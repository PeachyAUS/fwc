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FAMILY CHAMPIONSHIPS/FAMILY CHAMPIONSHIPS/"/>
    </mc:Choice>
  </mc:AlternateContent>
  <xr:revisionPtr revIDLastSave="0" documentId="13_ncr:1_{A2F9ED4D-4D4C-6E46-A5C5-2B008ED81A3D}" xr6:coauthVersionLast="47" xr6:coauthVersionMax="47" xr10:uidLastSave="{00000000-0000-0000-0000-000000000000}"/>
  <bookViews>
    <workbookView xWindow="0" yWindow="660" windowWidth="34560" windowHeight="20580" tabRatio="500" activeTab="3" xr2:uid="{00000000-000D-0000-FFFF-FFFF00000000}"/>
  </bookViews>
  <sheets>
    <sheet name="Guide &amp; Settings" sheetId="1" r:id="rId1"/>
    <sheet name="FWC Weekly" sheetId="14" r:id="rId2"/>
    <sheet name="Leaders" sheetId="2" r:id="rId3"/>
    <sheet name="Dashboard" sheetId="3" r:id="rId4"/>
    <sheet name="Player Card" sheetId="4" r:id="rId5"/>
    <sheet name="Head-to-Head" sheetId="5" r:id="rId6"/>
    <sheet name="Sport Records" sheetId="6" r:id="rId7"/>
    <sheet name="Records &amp; Awards" sheetId="7" r:id="rId8"/>
    <sheet name="Trends &amp; Stats" sheetId="8" r:id="rId9"/>
    <sheet name="Match Log" sheetId="9" r:id="rId10"/>
    <sheet name="Sport Voting" sheetId="10" r:id="rId11"/>
    <sheet name="Calcs" sheetId="11" state="hidden" r:id="rId12"/>
    <sheet name="Engine" sheetId="12" state="hidden" r:id="rId13"/>
    <sheet name="Lists" sheetId="13" state="hidden" r:id="rId14"/>
  </sheets>
  <definedNames>
    <definedName name="_xlnm._FilterDatabase" localSheetId="1" hidden="1">Leaders!$A$9:$E$27</definedName>
    <definedName name="_xlnm._FilterDatabase" localSheetId="5" hidden="1">'Sport Records'!$A$73:$G$87</definedName>
    <definedName name="_xlnm._FilterDatabase" localSheetId="2" hidden="1">Dashboard!$A$4:$W$18</definedName>
  </definedName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2" l="1"/>
  <c r="Q2" i="12" s="1"/>
  <c r="X144" i="11"/>
  <c r="C144" i="11"/>
  <c r="B144" i="11"/>
  <c r="X143" i="11"/>
  <c r="C143" i="11"/>
  <c r="B143" i="11"/>
  <c r="X142" i="11"/>
  <c r="C142" i="11"/>
  <c r="B142" i="11"/>
  <c r="X141" i="11"/>
  <c r="C141" i="11"/>
  <c r="B141" i="11"/>
  <c r="X140" i="11"/>
  <c r="C140" i="11"/>
  <c r="B140" i="11"/>
  <c r="X139" i="11"/>
  <c r="C139" i="11"/>
  <c r="B139" i="11"/>
  <c r="X138" i="11"/>
  <c r="C138" i="11"/>
  <c r="B138" i="11"/>
  <c r="X137" i="11"/>
  <c r="C137" i="11"/>
  <c r="B137" i="11"/>
  <c r="X136" i="11"/>
  <c r="C136" i="11"/>
  <c r="B136" i="11"/>
  <c r="X135" i="11"/>
  <c r="C135" i="11"/>
  <c r="B135" i="11"/>
  <c r="X134" i="11"/>
  <c r="C134" i="11"/>
  <c r="B134" i="11"/>
  <c r="X133" i="11"/>
  <c r="C133" i="11"/>
  <c r="B133" i="11"/>
  <c r="X132" i="11"/>
  <c r="C132" i="11"/>
  <c r="B132" i="11"/>
  <c r="X131" i="11"/>
  <c r="C131" i="11"/>
  <c r="B131" i="11"/>
  <c r="X130" i="11"/>
  <c r="C130" i="11"/>
  <c r="B130" i="11"/>
  <c r="X129" i="11"/>
  <c r="C129" i="11"/>
  <c r="B129" i="11"/>
  <c r="X128" i="11"/>
  <c r="C128" i="11"/>
  <c r="B128" i="11"/>
  <c r="X127" i="11"/>
  <c r="C127" i="11"/>
  <c r="B127" i="11"/>
  <c r="X126" i="11"/>
  <c r="C126" i="11"/>
  <c r="B126" i="11"/>
  <c r="X125" i="11"/>
  <c r="C125" i="11"/>
  <c r="B125" i="11"/>
  <c r="X124" i="11"/>
  <c r="C124" i="11"/>
  <c r="B124" i="11"/>
  <c r="X123" i="11"/>
  <c r="C123" i="11"/>
  <c r="B123" i="11"/>
  <c r="X122" i="11"/>
  <c r="C122" i="11"/>
  <c r="B122" i="11"/>
  <c r="X121" i="11"/>
  <c r="C121" i="11"/>
  <c r="B121" i="11"/>
  <c r="X120" i="11"/>
  <c r="C120" i="11"/>
  <c r="B120" i="11"/>
  <c r="X119" i="11"/>
  <c r="C119" i="11"/>
  <c r="B119" i="11"/>
  <c r="X118" i="11"/>
  <c r="C118" i="11"/>
  <c r="B118" i="11"/>
  <c r="X117" i="11"/>
  <c r="C117" i="11"/>
  <c r="B117" i="11"/>
  <c r="X116" i="11"/>
  <c r="C116" i="11"/>
  <c r="B116" i="11"/>
  <c r="X115" i="11"/>
  <c r="C115" i="11"/>
  <c r="B115" i="11"/>
  <c r="X114" i="11"/>
  <c r="C114" i="11"/>
  <c r="B114" i="11"/>
  <c r="X113" i="11"/>
  <c r="C113" i="11"/>
  <c r="B113" i="11"/>
  <c r="X112" i="11"/>
  <c r="C112" i="11"/>
  <c r="B112" i="11"/>
  <c r="X111" i="11"/>
  <c r="C111" i="11"/>
  <c r="B111" i="11"/>
  <c r="X110" i="11"/>
  <c r="C110" i="11"/>
  <c r="B110" i="11"/>
  <c r="X109" i="11"/>
  <c r="C109" i="11"/>
  <c r="B109" i="11"/>
  <c r="X108" i="11"/>
  <c r="C108" i="11"/>
  <c r="B108" i="11"/>
  <c r="X107" i="11"/>
  <c r="C107" i="11"/>
  <c r="B107" i="11"/>
  <c r="X106" i="11"/>
  <c r="C106" i="11"/>
  <c r="B106" i="11"/>
  <c r="X105" i="11"/>
  <c r="C105" i="11"/>
  <c r="B105" i="11"/>
  <c r="X104" i="11"/>
  <c r="C104" i="11"/>
  <c r="B104" i="11"/>
  <c r="X103" i="11"/>
  <c r="C103" i="11"/>
  <c r="B103" i="11"/>
  <c r="X102" i="11"/>
  <c r="C102" i="11"/>
  <c r="B102" i="11"/>
  <c r="X101" i="11"/>
  <c r="C101" i="11"/>
  <c r="B101" i="11"/>
  <c r="X100" i="11"/>
  <c r="C100" i="11"/>
  <c r="B100" i="11"/>
  <c r="X99" i="11"/>
  <c r="C99" i="11"/>
  <c r="B99" i="11"/>
  <c r="X98" i="11"/>
  <c r="C98" i="11"/>
  <c r="B98" i="11"/>
  <c r="X97" i="11"/>
  <c r="C97" i="11"/>
  <c r="B97" i="11"/>
  <c r="X96" i="11"/>
  <c r="W96" i="11"/>
  <c r="C96" i="11"/>
  <c r="B96" i="11"/>
  <c r="X95" i="11"/>
  <c r="W95" i="11"/>
  <c r="C95" i="11"/>
  <c r="B95" i="11"/>
  <c r="X94" i="11"/>
  <c r="W94" i="11"/>
  <c r="V94" i="11"/>
  <c r="C94" i="11"/>
  <c r="B94" i="11"/>
  <c r="X93" i="11"/>
  <c r="W93" i="11"/>
  <c r="V93" i="11"/>
  <c r="C93" i="11"/>
  <c r="B93" i="11"/>
  <c r="X92" i="11"/>
  <c r="W92" i="11"/>
  <c r="V92" i="11"/>
  <c r="C92" i="11"/>
  <c r="B92" i="11"/>
  <c r="X91" i="11"/>
  <c r="W91" i="11"/>
  <c r="V91" i="11"/>
  <c r="C91" i="11"/>
  <c r="B91" i="11"/>
  <c r="X90" i="11"/>
  <c r="W90" i="11"/>
  <c r="V90" i="11"/>
  <c r="C90" i="11"/>
  <c r="B90" i="11"/>
  <c r="X89" i="11"/>
  <c r="W89" i="11"/>
  <c r="V89" i="11"/>
  <c r="C89" i="11"/>
  <c r="B89" i="11"/>
  <c r="X88" i="11"/>
  <c r="W88" i="11"/>
  <c r="V88" i="11"/>
  <c r="C88" i="11"/>
  <c r="B88" i="11"/>
  <c r="X87" i="11"/>
  <c r="W87" i="11"/>
  <c r="V87" i="11"/>
  <c r="C87" i="11"/>
  <c r="B87" i="11"/>
  <c r="X86" i="11"/>
  <c r="W86" i="11"/>
  <c r="V86" i="11"/>
  <c r="C86" i="11"/>
  <c r="B86" i="11"/>
  <c r="X85" i="11"/>
  <c r="W85" i="11"/>
  <c r="V85" i="11"/>
  <c r="C85" i="11"/>
  <c r="B85" i="11"/>
  <c r="X84" i="11"/>
  <c r="W84" i="11"/>
  <c r="V84" i="11"/>
  <c r="C84" i="11"/>
  <c r="B84" i="11"/>
  <c r="X83" i="11"/>
  <c r="W83" i="11"/>
  <c r="V83" i="11"/>
  <c r="C83" i="11"/>
  <c r="B83" i="11"/>
  <c r="X82" i="11"/>
  <c r="W82" i="11"/>
  <c r="V82" i="11"/>
  <c r="C82" i="11"/>
  <c r="B82" i="11"/>
  <c r="X81" i="11"/>
  <c r="W81" i="11"/>
  <c r="V81" i="11"/>
  <c r="C81" i="11"/>
  <c r="B81" i="11"/>
  <c r="X80" i="11"/>
  <c r="W80" i="11"/>
  <c r="V80" i="11"/>
  <c r="C80" i="11"/>
  <c r="B80" i="11"/>
  <c r="X79" i="11"/>
  <c r="W79" i="11"/>
  <c r="V79" i="11"/>
  <c r="C79" i="11"/>
  <c r="B79" i="11"/>
  <c r="X78" i="11"/>
  <c r="W78" i="11"/>
  <c r="V78" i="11"/>
  <c r="C78" i="11"/>
  <c r="B78" i="11"/>
  <c r="X77" i="11"/>
  <c r="W77" i="11"/>
  <c r="V77" i="11"/>
  <c r="L77" i="11"/>
  <c r="C77" i="11"/>
  <c r="B77" i="11"/>
  <c r="X76" i="11"/>
  <c r="W76" i="11"/>
  <c r="V76" i="11"/>
  <c r="L76" i="11"/>
  <c r="C76" i="11"/>
  <c r="B76" i="11"/>
  <c r="X75" i="11"/>
  <c r="W75" i="11"/>
  <c r="V75" i="11"/>
  <c r="L75" i="11"/>
  <c r="C75" i="11"/>
  <c r="B75" i="11"/>
  <c r="X74" i="11"/>
  <c r="W74" i="11"/>
  <c r="V74" i="11"/>
  <c r="L74" i="11"/>
  <c r="C74" i="11"/>
  <c r="B74" i="11"/>
  <c r="X73" i="11"/>
  <c r="W73" i="11"/>
  <c r="V73" i="11"/>
  <c r="L73" i="11"/>
  <c r="C73" i="11"/>
  <c r="B73" i="11"/>
  <c r="X72" i="11"/>
  <c r="W72" i="11"/>
  <c r="V72" i="11"/>
  <c r="L72" i="11"/>
  <c r="C72" i="11"/>
  <c r="B72" i="11"/>
  <c r="X71" i="11"/>
  <c r="W71" i="11"/>
  <c r="V71" i="11"/>
  <c r="L71" i="11"/>
  <c r="C71" i="11"/>
  <c r="B71" i="11"/>
  <c r="X70" i="11"/>
  <c r="W70" i="11"/>
  <c r="V70" i="11"/>
  <c r="L70" i="11"/>
  <c r="C70" i="11"/>
  <c r="B70" i="11"/>
  <c r="X69" i="11"/>
  <c r="W69" i="11"/>
  <c r="V69" i="11"/>
  <c r="L69" i="11"/>
  <c r="C69" i="11"/>
  <c r="B69" i="11"/>
  <c r="X68" i="11"/>
  <c r="W68" i="11"/>
  <c r="V68" i="11"/>
  <c r="L68" i="11"/>
  <c r="C68" i="11"/>
  <c r="B68" i="11"/>
  <c r="X67" i="11"/>
  <c r="W67" i="11"/>
  <c r="V67" i="11"/>
  <c r="L67" i="11"/>
  <c r="C67" i="11"/>
  <c r="B67" i="11"/>
  <c r="X66" i="11"/>
  <c r="W66" i="11"/>
  <c r="V66" i="11"/>
  <c r="L66" i="11"/>
  <c r="C66" i="11"/>
  <c r="B66" i="11"/>
  <c r="X65" i="11"/>
  <c r="W65" i="11"/>
  <c r="V65" i="11"/>
  <c r="L65" i="11"/>
  <c r="C65" i="11"/>
  <c r="B65" i="11"/>
  <c r="X64" i="11"/>
  <c r="W64" i="11"/>
  <c r="V64" i="11"/>
  <c r="L64" i="11"/>
  <c r="C64" i="11"/>
  <c r="B64" i="11"/>
  <c r="X63" i="11"/>
  <c r="W63" i="11"/>
  <c r="V63" i="11"/>
  <c r="L63" i="11"/>
  <c r="C63" i="11"/>
  <c r="B63" i="11"/>
  <c r="X62" i="11"/>
  <c r="W62" i="11"/>
  <c r="V62" i="11"/>
  <c r="L62" i="11"/>
  <c r="C62" i="11"/>
  <c r="B62" i="11"/>
  <c r="X61" i="11"/>
  <c r="W61" i="11"/>
  <c r="V61" i="11"/>
  <c r="S61" i="11"/>
  <c r="L61" i="11"/>
  <c r="C61" i="11"/>
  <c r="B61" i="11"/>
  <c r="X60" i="11"/>
  <c r="W60" i="11"/>
  <c r="V60" i="11"/>
  <c r="S60" i="11"/>
  <c r="L60" i="11"/>
  <c r="C60" i="11"/>
  <c r="B60" i="11"/>
  <c r="X59" i="11"/>
  <c r="W59" i="11"/>
  <c r="V59" i="11"/>
  <c r="S59" i="11"/>
  <c r="L59" i="11"/>
  <c r="C59" i="11"/>
  <c r="B59" i="11"/>
  <c r="X58" i="11"/>
  <c r="W58" i="11"/>
  <c r="V58" i="11"/>
  <c r="S58" i="11"/>
  <c r="L58" i="11"/>
  <c r="C58" i="11"/>
  <c r="B58" i="11"/>
  <c r="X57" i="11"/>
  <c r="W57" i="11"/>
  <c r="V57" i="11"/>
  <c r="S57" i="11"/>
  <c r="L57" i="11"/>
  <c r="C57" i="11"/>
  <c r="B57" i="11"/>
  <c r="X56" i="11"/>
  <c r="W56" i="11"/>
  <c r="V56" i="11"/>
  <c r="S56" i="11"/>
  <c r="L56" i="11"/>
  <c r="C56" i="11"/>
  <c r="B56" i="11"/>
  <c r="X55" i="11"/>
  <c r="W55" i="11"/>
  <c r="V55" i="11"/>
  <c r="S55" i="11"/>
  <c r="L55" i="11"/>
  <c r="C55" i="11"/>
  <c r="B55" i="11"/>
  <c r="X54" i="11"/>
  <c r="W54" i="11"/>
  <c r="V54" i="11"/>
  <c r="S54" i="11"/>
  <c r="L54" i="11"/>
  <c r="C54" i="11"/>
  <c r="B54" i="11"/>
  <c r="X53" i="11"/>
  <c r="W53" i="11"/>
  <c r="V53" i="11"/>
  <c r="S53" i="11"/>
  <c r="L53" i="11"/>
  <c r="C53" i="11"/>
  <c r="B53" i="11"/>
  <c r="X52" i="11"/>
  <c r="W52" i="11"/>
  <c r="V52" i="11"/>
  <c r="S52" i="11"/>
  <c r="L52" i="11"/>
  <c r="C52" i="11"/>
  <c r="B52" i="11"/>
  <c r="X51" i="11"/>
  <c r="W51" i="11"/>
  <c r="V51" i="11"/>
  <c r="S51" i="11"/>
  <c r="L51" i="11"/>
  <c r="C51" i="11"/>
  <c r="B51" i="11"/>
  <c r="X50" i="11"/>
  <c r="W50" i="11"/>
  <c r="V50" i="11"/>
  <c r="S50" i="11"/>
  <c r="L50" i="11"/>
  <c r="C50" i="11"/>
  <c r="B50" i="11"/>
  <c r="X49" i="11"/>
  <c r="W49" i="11"/>
  <c r="V49" i="11"/>
  <c r="S49" i="11"/>
  <c r="L49" i="11"/>
  <c r="C49" i="11"/>
  <c r="B49" i="11"/>
  <c r="X48" i="11"/>
  <c r="W48" i="11"/>
  <c r="V48" i="11"/>
  <c r="S48" i="11"/>
  <c r="L48" i="11"/>
  <c r="C48" i="11"/>
  <c r="B48" i="11"/>
  <c r="X47" i="11"/>
  <c r="W47" i="11"/>
  <c r="V47" i="11"/>
  <c r="S47" i="11"/>
  <c r="L47" i="11"/>
  <c r="C47" i="11"/>
  <c r="B47" i="11"/>
  <c r="X46" i="11"/>
  <c r="W46" i="11"/>
  <c r="V46" i="11"/>
  <c r="S46" i="11"/>
  <c r="L46" i="11"/>
  <c r="C46" i="11"/>
  <c r="B46" i="11"/>
  <c r="X45" i="11"/>
  <c r="W45" i="11"/>
  <c r="V45" i="11"/>
  <c r="S45" i="11"/>
  <c r="L45" i="11"/>
  <c r="C45" i="11"/>
  <c r="B45" i="11"/>
  <c r="X44" i="11"/>
  <c r="W44" i="11"/>
  <c r="V44" i="11"/>
  <c r="S44" i="11"/>
  <c r="L44" i="11"/>
  <c r="C44" i="11"/>
  <c r="B44" i="11"/>
  <c r="X43" i="11"/>
  <c r="W43" i="11"/>
  <c r="V43" i="11"/>
  <c r="S43" i="11"/>
  <c r="L43" i="11"/>
  <c r="C43" i="11"/>
  <c r="B43" i="11"/>
  <c r="X42" i="11"/>
  <c r="W42" i="11"/>
  <c r="V42" i="11"/>
  <c r="S42" i="11"/>
  <c r="L42" i="11"/>
  <c r="C42" i="11"/>
  <c r="B42" i="11"/>
  <c r="X41" i="11"/>
  <c r="W41" i="11"/>
  <c r="V41" i="11"/>
  <c r="S41" i="11"/>
  <c r="L41" i="11"/>
  <c r="C41" i="11"/>
  <c r="B41" i="11"/>
  <c r="X40" i="11"/>
  <c r="W40" i="11"/>
  <c r="V40" i="11"/>
  <c r="S40" i="11"/>
  <c r="L40" i="11"/>
  <c r="C40" i="11"/>
  <c r="B40" i="11"/>
  <c r="X39" i="11"/>
  <c r="W39" i="11"/>
  <c r="V39" i="11"/>
  <c r="S39" i="11"/>
  <c r="L39" i="11"/>
  <c r="C39" i="11"/>
  <c r="B39" i="11"/>
  <c r="X38" i="11"/>
  <c r="W38" i="11"/>
  <c r="V38" i="11"/>
  <c r="S38" i="11"/>
  <c r="L38" i="11"/>
  <c r="C38" i="11"/>
  <c r="B38" i="11"/>
  <c r="X37" i="11"/>
  <c r="W37" i="11"/>
  <c r="V37" i="11"/>
  <c r="S37" i="11"/>
  <c r="L37" i="11"/>
  <c r="C37" i="11"/>
  <c r="B37" i="11"/>
  <c r="X36" i="11"/>
  <c r="W36" i="11"/>
  <c r="V36" i="11"/>
  <c r="S36" i="11"/>
  <c r="L36" i="11"/>
  <c r="C36" i="11"/>
  <c r="B36" i="11"/>
  <c r="X35" i="11"/>
  <c r="W35" i="11"/>
  <c r="V35" i="11"/>
  <c r="S35" i="11"/>
  <c r="L35" i="11"/>
  <c r="C35" i="11"/>
  <c r="B35" i="11"/>
  <c r="X34" i="11"/>
  <c r="W34" i="11"/>
  <c r="V34" i="11"/>
  <c r="S34" i="11"/>
  <c r="L34" i="11"/>
  <c r="C34" i="11"/>
  <c r="B34" i="11"/>
  <c r="X33" i="11"/>
  <c r="W33" i="11"/>
  <c r="V33" i="11"/>
  <c r="T33" i="11"/>
  <c r="S33" i="11"/>
  <c r="L33" i="11"/>
  <c r="C33" i="11"/>
  <c r="B33" i="11"/>
  <c r="X32" i="11"/>
  <c r="W32" i="11"/>
  <c r="V32" i="11"/>
  <c r="T32" i="11"/>
  <c r="S32" i="11"/>
  <c r="L32" i="11"/>
  <c r="C32" i="11"/>
  <c r="B32" i="11"/>
  <c r="X31" i="11"/>
  <c r="W31" i="11"/>
  <c r="V31" i="11"/>
  <c r="T31" i="11"/>
  <c r="S31" i="11"/>
  <c r="L31" i="11"/>
  <c r="C31" i="11"/>
  <c r="B31" i="11"/>
  <c r="X30" i="11"/>
  <c r="W30" i="11"/>
  <c r="V30" i="11"/>
  <c r="T30" i="11"/>
  <c r="S30" i="11"/>
  <c r="L30" i="11"/>
  <c r="C30" i="11"/>
  <c r="B30" i="11"/>
  <c r="X29" i="11"/>
  <c r="W29" i="11"/>
  <c r="V29" i="11"/>
  <c r="T29" i="11"/>
  <c r="S29" i="11"/>
  <c r="L29" i="11"/>
  <c r="C29" i="11"/>
  <c r="B29" i="11"/>
  <c r="X28" i="11"/>
  <c r="W28" i="11"/>
  <c r="V28" i="11"/>
  <c r="T28" i="11"/>
  <c r="S28" i="11"/>
  <c r="L28" i="11"/>
  <c r="C28" i="11"/>
  <c r="B28" i="11"/>
  <c r="X27" i="11"/>
  <c r="W27" i="11"/>
  <c r="V27" i="11"/>
  <c r="T27" i="11"/>
  <c r="S27" i="11"/>
  <c r="L27" i="11"/>
  <c r="C27" i="11"/>
  <c r="B27" i="11"/>
  <c r="X26" i="11"/>
  <c r="W26" i="11"/>
  <c r="V26" i="11"/>
  <c r="T26" i="11"/>
  <c r="S26" i="11"/>
  <c r="L26" i="11"/>
  <c r="C26" i="11"/>
  <c r="B26" i="11"/>
  <c r="X25" i="11"/>
  <c r="W25" i="11"/>
  <c r="V25" i="11"/>
  <c r="T25" i="11"/>
  <c r="S25" i="11"/>
  <c r="R25" i="11"/>
  <c r="Q25" i="11"/>
  <c r="N25" i="11"/>
  <c r="M25" i="11"/>
  <c r="L25" i="11"/>
  <c r="K25" i="11"/>
  <c r="C25" i="11"/>
  <c r="B25" i="11"/>
  <c r="U20" i="11"/>
  <c r="P20" i="11"/>
  <c r="T20" i="11" s="1"/>
  <c r="T16" i="3" s="1"/>
  <c r="I20" i="11"/>
  <c r="N20" i="11" s="1"/>
  <c r="Z20" i="11" s="1"/>
  <c r="F20" i="11"/>
  <c r="O20" i="11" s="1"/>
  <c r="P19" i="11"/>
  <c r="R13" i="3" s="1"/>
  <c r="I19" i="11"/>
  <c r="N19" i="11" s="1"/>
  <c r="Z19" i="11" s="1"/>
  <c r="F19" i="11"/>
  <c r="O19" i="11" s="1"/>
  <c r="P18" i="11"/>
  <c r="I18" i="11"/>
  <c r="N18" i="11" s="1"/>
  <c r="Z18" i="11" s="1"/>
  <c r="F18" i="11"/>
  <c r="V18" i="11" s="1"/>
  <c r="P17" i="11"/>
  <c r="R8" i="3" s="1"/>
  <c r="I17" i="11"/>
  <c r="N17" i="11" s="1"/>
  <c r="Z17" i="11" s="1"/>
  <c r="F17" i="11"/>
  <c r="P16" i="11"/>
  <c r="R18" i="3" s="1"/>
  <c r="I16" i="11"/>
  <c r="N16" i="11" s="1"/>
  <c r="Z16" i="11" s="1"/>
  <c r="F16" i="11"/>
  <c r="O16" i="11" s="1"/>
  <c r="P15" i="11"/>
  <c r="I15" i="11"/>
  <c r="N15" i="11" s="1"/>
  <c r="F15" i="11"/>
  <c r="V15" i="11" s="1"/>
  <c r="P14" i="11"/>
  <c r="R10" i="3" s="1"/>
  <c r="I14" i="11"/>
  <c r="N14" i="11" s="1"/>
  <c r="Z14" i="11" s="1"/>
  <c r="F14" i="11"/>
  <c r="G14" i="11" s="1"/>
  <c r="H14" i="11" s="1"/>
  <c r="P13" i="11"/>
  <c r="I13" i="11"/>
  <c r="N13" i="11" s="1"/>
  <c r="Z13" i="11" s="1"/>
  <c r="F13" i="11"/>
  <c r="O13" i="11" s="1"/>
  <c r="P12" i="11"/>
  <c r="R15" i="3" s="1"/>
  <c r="I12" i="11"/>
  <c r="N12" i="11" s="1"/>
  <c r="Z12" i="11" s="1"/>
  <c r="F12" i="11"/>
  <c r="P11" i="11"/>
  <c r="R6" i="3" s="1"/>
  <c r="I11" i="11"/>
  <c r="N11" i="11" s="1"/>
  <c r="Z11" i="11" s="1"/>
  <c r="F11" i="11"/>
  <c r="O11" i="11" s="1"/>
  <c r="P10" i="11"/>
  <c r="I10" i="11"/>
  <c r="N10" i="11" s="1"/>
  <c r="Z10" i="11" s="1"/>
  <c r="F10" i="11"/>
  <c r="V10" i="11" s="1"/>
  <c r="P9" i="11"/>
  <c r="R14" i="3" s="1"/>
  <c r="I9" i="11"/>
  <c r="N9" i="11" s="1"/>
  <c r="Z9" i="11" s="1"/>
  <c r="F9" i="11"/>
  <c r="G9" i="11" s="1"/>
  <c r="H9" i="11" s="1"/>
  <c r="P8" i="11"/>
  <c r="R11" i="3" s="1"/>
  <c r="I8" i="11"/>
  <c r="N8" i="11" s="1"/>
  <c r="Z8" i="11" s="1"/>
  <c r="F8" i="11"/>
  <c r="O8" i="11" s="1"/>
  <c r="P7" i="11"/>
  <c r="R7" i="3" s="1"/>
  <c r="I7" i="11"/>
  <c r="N7" i="11" s="1"/>
  <c r="Z7" i="11" s="1"/>
  <c r="F7" i="11"/>
  <c r="G7" i="11" s="1"/>
  <c r="B5" i="11"/>
  <c r="AG9" i="11" s="1"/>
  <c r="B4" i="11"/>
  <c r="B3" i="11"/>
  <c r="Q49" i="10"/>
  <c r="P49" i="10"/>
  <c r="R49" i="10" s="1"/>
  <c r="A49" i="10"/>
  <c r="R48" i="10"/>
  <c r="P48" i="10"/>
  <c r="A48" i="10"/>
  <c r="Q48" i="10" s="1"/>
  <c r="Q47" i="10"/>
  <c r="P47" i="10"/>
  <c r="R47" i="10" s="1"/>
  <c r="A47" i="10"/>
  <c r="Q46" i="10"/>
  <c r="P46" i="10"/>
  <c r="A46" i="10"/>
  <c r="A45" i="10"/>
  <c r="Q45" i="10" s="1"/>
  <c r="A44" i="10"/>
  <c r="Q43" i="10"/>
  <c r="P43" i="10"/>
  <c r="A43" i="10"/>
  <c r="A42" i="10"/>
  <c r="R41" i="10"/>
  <c r="Q41" i="10"/>
  <c r="P41" i="10"/>
  <c r="A41" i="10"/>
  <c r="P40" i="10"/>
  <c r="A40" i="10"/>
  <c r="Q40" i="10" s="1"/>
  <c r="Q39" i="10"/>
  <c r="P39" i="10"/>
  <c r="R39" i="10" s="1"/>
  <c r="A39" i="10"/>
  <c r="A38" i="10"/>
  <c r="Q37" i="10"/>
  <c r="P37" i="10"/>
  <c r="A37" i="10"/>
  <c r="R37" i="10" s="1"/>
  <c r="A36" i="10"/>
  <c r="Q36" i="10" s="1"/>
  <c r="A35" i="10"/>
  <c r="Q34" i="10"/>
  <c r="A34" i="10"/>
  <c r="A33" i="10"/>
  <c r="R32" i="10"/>
  <c r="P32" i="10"/>
  <c r="A32" i="10"/>
  <c r="Q32" i="10" s="1"/>
  <c r="P31" i="10"/>
  <c r="A31" i="10"/>
  <c r="R26" i="10"/>
  <c r="Q26" i="10"/>
  <c r="P26" i="10"/>
  <c r="R25" i="10"/>
  <c r="Q25" i="10"/>
  <c r="P25" i="10"/>
  <c r="R24" i="10"/>
  <c r="Q24" i="10"/>
  <c r="P24" i="10"/>
  <c r="R23" i="10"/>
  <c r="Q23" i="10"/>
  <c r="P23" i="10"/>
  <c r="R22" i="10"/>
  <c r="Q22" i="10"/>
  <c r="P22" i="10"/>
  <c r="R21" i="10"/>
  <c r="Q21" i="10"/>
  <c r="P21" i="10"/>
  <c r="R20" i="10"/>
  <c r="Q20" i="10"/>
  <c r="P20" i="10"/>
  <c r="R19" i="10"/>
  <c r="Q19" i="10"/>
  <c r="P19" i="10"/>
  <c r="R18" i="10"/>
  <c r="Q18" i="10"/>
  <c r="P18" i="10"/>
  <c r="R17" i="10"/>
  <c r="Q17" i="10"/>
  <c r="P17" i="10"/>
  <c r="R16" i="10"/>
  <c r="Q16" i="10"/>
  <c r="P16" i="10"/>
  <c r="R15" i="10"/>
  <c r="Q15" i="10"/>
  <c r="P15" i="10"/>
  <c r="R14" i="10"/>
  <c r="Q14" i="10"/>
  <c r="P14" i="10"/>
  <c r="R13" i="10"/>
  <c r="Q13" i="10"/>
  <c r="P13" i="10"/>
  <c r="R12" i="10"/>
  <c r="Q12" i="10"/>
  <c r="P12" i="10"/>
  <c r="R11" i="10"/>
  <c r="Q11" i="10"/>
  <c r="P11" i="10"/>
  <c r="Q10" i="10"/>
  <c r="P10" i="10"/>
  <c r="R10" i="10" s="1"/>
  <c r="Q9" i="10"/>
  <c r="P9" i="10"/>
  <c r="Q8" i="10"/>
  <c r="R8" i="10" s="1"/>
  <c r="P8" i="10"/>
  <c r="Q7" i="10"/>
  <c r="P7" i="10"/>
  <c r="R7" i="10" s="1"/>
  <c r="F3" i="10"/>
  <c r="R43" i="10" s="1"/>
  <c r="D3" i="10"/>
  <c r="B3" i="10"/>
  <c r="AC311" i="9"/>
  <c r="AB311" i="9"/>
  <c r="AA311" i="9"/>
  <c r="Z311" i="9"/>
  <c r="Y311" i="9"/>
  <c r="X311" i="9"/>
  <c r="W311" i="9"/>
  <c r="V311" i="9"/>
  <c r="U311" i="9"/>
  <c r="T311" i="9"/>
  <c r="S311" i="9"/>
  <c r="R311" i="9"/>
  <c r="Q311" i="9"/>
  <c r="P311" i="9"/>
  <c r="O311" i="9"/>
  <c r="N311" i="9"/>
  <c r="M311" i="9"/>
  <c r="L311" i="9"/>
  <c r="K311" i="9"/>
  <c r="J311" i="9"/>
  <c r="I311" i="9"/>
  <c r="H311" i="9"/>
  <c r="G311" i="9"/>
  <c r="F311" i="9"/>
  <c r="AC310" i="9"/>
  <c r="AB310" i="9"/>
  <c r="AA310" i="9"/>
  <c r="Z310" i="9"/>
  <c r="Y310" i="9"/>
  <c r="X310" i="9"/>
  <c r="W310" i="9"/>
  <c r="V310" i="9"/>
  <c r="U310" i="9"/>
  <c r="T310" i="9"/>
  <c r="S310" i="9"/>
  <c r="R310" i="9"/>
  <c r="Q310" i="9"/>
  <c r="P310" i="9"/>
  <c r="O310" i="9"/>
  <c r="N310" i="9"/>
  <c r="M310" i="9"/>
  <c r="L310" i="9"/>
  <c r="K310" i="9"/>
  <c r="J310" i="9"/>
  <c r="I310" i="9"/>
  <c r="H310" i="9"/>
  <c r="G310" i="9"/>
  <c r="F310" i="9"/>
  <c r="AC309" i="9"/>
  <c r="AB309" i="9"/>
  <c r="AA309" i="9"/>
  <c r="Z309" i="9"/>
  <c r="Y309" i="9"/>
  <c r="X309" i="9"/>
  <c r="W309" i="9"/>
  <c r="V309" i="9"/>
  <c r="U309" i="9"/>
  <c r="T309" i="9"/>
  <c r="S309" i="9"/>
  <c r="R309" i="9"/>
  <c r="Q309" i="9"/>
  <c r="P309" i="9"/>
  <c r="O309" i="9"/>
  <c r="N309" i="9"/>
  <c r="M309" i="9"/>
  <c r="L309" i="9"/>
  <c r="K309" i="9"/>
  <c r="J309" i="9"/>
  <c r="I309" i="9"/>
  <c r="H309" i="9"/>
  <c r="G309" i="9"/>
  <c r="F309" i="9"/>
  <c r="AC308" i="9"/>
  <c r="AB308" i="9"/>
  <c r="AA308" i="9"/>
  <c r="Z308" i="9"/>
  <c r="Y308" i="9"/>
  <c r="X308" i="9"/>
  <c r="W308" i="9"/>
  <c r="V308" i="9"/>
  <c r="U308" i="9"/>
  <c r="T308" i="9"/>
  <c r="S308" i="9"/>
  <c r="R308" i="9"/>
  <c r="Q308" i="9"/>
  <c r="P308" i="9"/>
  <c r="O308" i="9"/>
  <c r="N308" i="9"/>
  <c r="M308" i="9"/>
  <c r="L308" i="9"/>
  <c r="K308" i="9"/>
  <c r="J308" i="9"/>
  <c r="I308" i="9"/>
  <c r="H308" i="9"/>
  <c r="G308" i="9"/>
  <c r="F308" i="9"/>
  <c r="AC307" i="9"/>
  <c r="AB307" i="9"/>
  <c r="AA307" i="9"/>
  <c r="Z307" i="9"/>
  <c r="Y307" i="9"/>
  <c r="X307" i="9"/>
  <c r="W307" i="9"/>
  <c r="V307" i="9"/>
  <c r="U307" i="9"/>
  <c r="T307" i="9"/>
  <c r="S307" i="9"/>
  <c r="R307" i="9"/>
  <c r="Q307" i="9"/>
  <c r="P307" i="9"/>
  <c r="O307" i="9"/>
  <c r="N307" i="9"/>
  <c r="M307" i="9"/>
  <c r="L307" i="9"/>
  <c r="K307" i="9"/>
  <c r="J307" i="9"/>
  <c r="I307" i="9"/>
  <c r="H307" i="9"/>
  <c r="G307" i="9"/>
  <c r="F307" i="9"/>
  <c r="AC306" i="9"/>
  <c r="AB306" i="9"/>
  <c r="AA306" i="9"/>
  <c r="Z306" i="9"/>
  <c r="Y306" i="9"/>
  <c r="X306" i="9"/>
  <c r="W306" i="9"/>
  <c r="V306" i="9"/>
  <c r="U306" i="9"/>
  <c r="T306" i="9"/>
  <c r="S306" i="9"/>
  <c r="R306" i="9"/>
  <c r="Q306" i="9"/>
  <c r="P306" i="9"/>
  <c r="O306" i="9"/>
  <c r="N306" i="9"/>
  <c r="M306" i="9"/>
  <c r="L306" i="9"/>
  <c r="K306" i="9"/>
  <c r="J306" i="9"/>
  <c r="I306" i="9"/>
  <c r="H306" i="9"/>
  <c r="G306" i="9"/>
  <c r="F306" i="9"/>
  <c r="AC305" i="9"/>
  <c r="AB305" i="9"/>
  <c r="AA305" i="9"/>
  <c r="Z305" i="9"/>
  <c r="Y305" i="9"/>
  <c r="X305" i="9"/>
  <c r="W305" i="9"/>
  <c r="V305" i="9"/>
  <c r="U305" i="9"/>
  <c r="T305" i="9"/>
  <c r="S305" i="9"/>
  <c r="R305" i="9"/>
  <c r="Q305" i="9"/>
  <c r="P305" i="9"/>
  <c r="O305" i="9"/>
  <c r="N305" i="9"/>
  <c r="M305" i="9"/>
  <c r="L305" i="9"/>
  <c r="K305" i="9"/>
  <c r="J305" i="9"/>
  <c r="I305" i="9"/>
  <c r="H305" i="9"/>
  <c r="G305" i="9"/>
  <c r="F305" i="9"/>
  <c r="AC304" i="9"/>
  <c r="AB304" i="9"/>
  <c r="AA304" i="9"/>
  <c r="Z304" i="9"/>
  <c r="Y304" i="9"/>
  <c r="X304" i="9"/>
  <c r="W304" i="9"/>
  <c r="V304" i="9"/>
  <c r="U304" i="9"/>
  <c r="T304" i="9"/>
  <c r="S304" i="9"/>
  <c r="R304" i="9"/>
  <c r="Q304" i="9"/>
  <c r="P304" i="9"/>
  <c r="O304" i="9"/>
  <c r="N304" i="9"/>
  <c r="M304" i="9"/>
  <c r="L304" i="9"/>
  <c r="K304" i="9"/>
  <c r="J304" i="9"/>
  <c r="I304" i="9"/>
  <c r="H304" i="9"/>
  <c r="G304" i="9"/>
  <c r="F304" i="9"/>
  <c r="AC303" i="9"/>
  <c r="AB303" i="9"/>
  <c r="AA303" i="9"/>
  <c r="Z303" i="9"/>
  <c r="Y303" i="9"/>
  <c r="X303" i="9"/>
  <c r="W303" i="9"/>
  <c r="V303" i="9"/>
  <c r="U303" i="9"/>
  <c r="T303" i="9"/>
  <c r="S303" i="9"/>
  <c r="R303" i="9"/>
  <c r="Q303" i="9"/>
  <c r="P303" i="9"/>
  <c r="O303" i="9"/>
  <c r="N303" i="9"/>
  <c r="M303" i="9"/>
  <c r="L303" i="9"/>
  <c r="K303" i="9"/>
  <c r="J303" i="9"/>
  <c r="I303" i="9"/>
  <c r="H303" i="9"/>
  <c r="G303" i="9"/>
  <c r="F303" i="9"/>
  <c r="AC302" i="9"/>
  <c r="AB302" i="9"/>
  <c r="AA302" i="9"/>
  <c r="Z302" i="9"/>
  <c r="Y302" i="9"/>
  <c r="X302" i="9"/>
  <c r="W302" i="9"/>
  <c r="V302" i="9"/>
  <c r="U302" i="9"/>
  <c r="T302" i="9"/>
  <c r="S302" i="9"/>
  <c r="R302" i="9"/>
  <c r="Q302" i="9"/>
  <c r="P302" i="9"/>
  <c r="O302" i="9"/>
  <c r="N302" i="9"/>
  <c r="M302" i="9"/>
  <c r="L302" i="9"/>
  <c r="K302" i="9"/>
  <c r="J302" i="9"/>
  <c r="I302" i="9"/>
  <c r="H302" i="9"/>
  <c r="G302" i="9"/>
  <c r="F302" i="9"/>
  <c r="AC301" i="9"/>
  <c r="AB301" i="9"/>
  <c r="AA301" i="9"/>
  <c r="Z301" i="9"/>
  <c r="Y301" i="9"/>
  <c r="X301" i="9"/>
  <c r="W301" i="9"/>
  <c r="V301" i="9"/>
  <c r="U301" i="9"/>
  <c r="T301" i="9"/>
  <c r="S301" i="9"/>
  <c r="R301" i="9"/>
  <c r="Q301" i="9"/>
  <c r="P301" i="9"/>
  <c r="O301" i="9"/>
  <c r="N301" i="9"/>
  <c r="M301" i="9"/>
  <c r="L301" i="9"/>
  <c r="K301" i="9"/>
  <c r="J301" i="9"/>
  <c r="I301" i="9"/>
  <c r="H301" i="9"/>
  <c r="G301" i="9"/>
  <c r="F301" i="9"/>
  <c r="AC300" i="9"/>
  <c r="AB300" i="9"/>
  <c r="AA300" i="9"/>
  <c r="Z300" i="9"/>
  <c r="Y300" i="9"/>
  <c r="X300" i="9"/>
  <c r="W300" i="9"/>
  <c r="V300" i="9"/>
  <c r="U300" i="9"/>
  <c r="T300" i="9"/>
  <c r="S300" i="9"/>
  <c r="R300" i="9"/>
  <c r="Q300" i="9"/>
  <c r="P300" i="9"/>
  <c r="O300" i="9"/>
  <c r="N300" i="9"/>
  <c r="M300" i="9"/>
  <c r="L300" i="9"/>
  <c r="K300" i="9"/>
  <c r="J300" i="9"/>
  <c r="I300" i="9"/>
  <c r="H300" i="9"/>
  <c r="G300" i="9"/>
  <c r="F300" i="9"/>
  <c r="AC299" i="9"/>
  <c r="AB299" i="9"/>
  <c r="AA299" i="9"/>
  <c r="Z299" i="9"/>
  <c r="Y299" i="9"/>
  <c r="X299" i="9"/>
  <c r="W299" i="9"/>
  <c r="V299" i="9"/>
  <c r="U299" i="9"/>
  <c r="T299" i="9"/>
  <c r="S299" i="9"/>
  <c r="R299" i="9"/>
  <c r="Q299" i="9"/>
  <c r="P299" i="9"/>
  <c r="O299" i="9"/>
  <c r="N299" i="9"/>
  <c r="M299" i="9"/>
  <c r="L299" i="9"/>
  <c r="K299" i="9"/>
  <c r="J299" i="9"/>
  <c r="I299" i="9"/>
  <c r="H299" i="9"/>
  <c r="G299" i="9"/>
  <c r="F299" i="9"/>
  <c r="AC298" i="9"/>
  <c r="AB298" i="9"/>
  <c r="AA298" i="9"/>
  <c r="Z298" i="9"/>
  <c r="Y298" i="9"/>
  <c r="X298" i="9"/>
  <c r="W298" i="9"/>
  <c r="V298" i="9"/>
  <c r="U298" i="9"/>
  <c r="T298" i="9"/>
  <c r="S298" i="9"/>
  <c r="R298" i="9"/>
  <c r="Q298" i="9"/>
  <c r="P298" i="9"/>
  <c r="O298" i="9"/>
  <c r="N298" i="9"/>
  <c r="M298" i="9"/>
  <c r="L298" i="9"/>
  <c r="K298" i="9"/>
  <c r="J298" i="9"/>
  <c r="I298" i="9"/>
  <c r="H298" i="9"/>
  <c r="G298" i="9"/>
  <c r="F298" i="9"/>
  <c r="AC297" i="9"/>
  <c r="AB297" i="9"/>
  <c r="AA297" i="9"/>
  <c r="Z297" i="9"/>
  <c r="Y297" i="9"/>
  <c r="X297" i="9"/>
  <c r="W297" i="9"/>
  <c r="V297" i="9"/>
  <c r="U297" i="9"/>
  <c r="T297" i="9"/>
  <c r="S297" i="9"/>
  <c r="R297" i="9"/>
  <c r="Q297" i="9"/>
  <c r="P297" i="9"/>
  <c r="O297" i="9"/>
  <c r="N297" i="9"/>
  <c r="M297" i="9"/>
  <c r="L297" i="9"/>
  <c r="K297" i="9"/>
  <c r="J297" i="9"/>
  <c r="I297" i="9"/>
  <c r="H297" i="9"/>
  <c r="G297" i="9"/>
  <c r="F297" i="9"/>
  <c r="AC296" i="9"/>
  <c r="AB296" i="9"/>
  <c r="AA296" i="9"/>
  <c r="Z296" i="9"/>
  <c r="Y296" i="9"/>
  <c r="X296" i="9"/>
  <c r="W296" i="9"/>
  <c r="V296" i="9"/>
  <c r="U296" i="9"/>
  <c r="T296" i="9"/>
  <c r="S296" i="9"/>
  <c r="R296" i="9"/>
  <c r="Q296" i="9"/>
  <c r="P296" i="9"/>
  <c r="O296" i="9"/>
  <c r="N296" i="9"/>
  <c r="M296" i="9"/>
  <c r="L296" i="9"/>
  <c r="K296" i="9"/>
  <c r="J296" i="9"/>
  <c r="I296" i="9"/>
  <c r="H296" i="9"/>
  <c r="G296" i="9"/>
  <c r="F296" i="9"/>
  <c r="AC295" i="9"/>
  <c r="AB295" i="9"/>
  <c r="AA295" i="9"/>
  <c r="Z295" i="9"/>
  <c r="Y295" i="9"/>
  <c r="X295" i="9"/>
  <c r="W295" i="9"/>
  <c r="V295" i="9"/>
  <c r="U295" i="9"/>
  <c r="T295" i="9"/>
  <c r="S295" i="9"/>
  <c r="R295" i="9"/>
  <c r="Q295" i="9"/>
  <c r="P295" i="9"/>
  <c r="O295" i="9"/>
  <c r="N295" i="9"/>
  <c r="M295" i="9"/>
  <c r="L295" i="9"/>
  <c r="K295" i="9"/>
  <c r="J295" i="9"/>
  <c r="I295" i="9"/>
  <c r="H295" i="9"/>
  <c r="G295" i="9"/>
  <c r="F295" i="9"/>
  <c r="AC294" i="9"/>
  <c r="AB294" i="9"/>
  <c r="AA294" i="9"/>
  <c r="Z294" i="9"/>
  <c r="Y294" i="9"/>
  <c r="X294" i="9"/>
  <c r="W294" i="9"/>
  <c r="V294" i="9"/>
  <c r="U294" i="9"/>
  <c r="T294" i="9"/>
  <c r="S294" i="9"/>
  <c r="R294" i="9"/>
  <c r="Q294" i="9"/>
  <c r="P294" i="9"/>
  <c r="O294" i="9"/>
  <c r="N294" i="9"/>
  <c r="M294" i="9"/>
  <c r="L294" i="9"/>
  <c r="K294" i="9"/>
  <c r="J294" i="9"/>
  <c r="I294" i="9"/>
  <c r="H294" i="9"/>
  <c r="G294" i="9"/>
  <c r="F294" i="9"/>
  <c r="AC293" i="9"/>
  <c r="AB293" i="9"/>
  <c r="AA293" i="9"/>
  <c r="Z293" i="9"/>
  <c r="Y293" i="9"/>
  <c r="X293" i="9"/>
  <c r="W293" i="9"/>
  <c r="V293" i="9"/>
  <c r="U293" i="9"/>
  <c r="T293" i="9"/>
  <c r="S293" i="9"/>
  <c r="R293" i="9"/>
  <c r="Q293" i="9"/>
  <c r="P293" i="9"/>
  <c r="O293" i="9"/>
  <c r="N293" i="9"/>
  <c r="M293" i="9"/>
  <c r="L293" i="9"/>
  <c r="K293" i="9"/>
  <c r="J293" i="9"/>
  <c r="I293" i="9"/>
  <c r="H293" i="9"/>
  <c r="G293" i="9"/>
  <c r="F293" i="9"/>
  <c r="AC292" i="9"/>
  <c r="AB292" i="9"/>
  <c r="AA292" i="9"/>
  <c r="Z292" i="9"/>
  <c r="Y292" i="9"/>
  <c r="X292" i="9"/>
  <c r="W292" i="9"/>
  <c r="V292" i="9"/>
  <c r="U292" i="9"/>
  <c r="T292" i="9"/>
  <c r="S292" i="9"/>
  <c r="R292" i="9"/>
  <c r="Q292" i="9"/>
  <c r="P292" i="9"/>
  <c r="O292" i="9"/>
  <c r="N292" i="9"/>
  <c r="M292" i="9"/>
  <c r="L292" i="9"/>
  <c r="K292" i="9"/>
  <c r="J292" i="9"/>
  <c r="I292" i="9"/>
  <c r="H292" i="9"/>
  <c r="G292" i="9"/>
  <c r="F292" i="9"/>
  <c r="AC291" i="9"/>
  <c r="AB291" i="9"/>
  <c r="AA291" i="9"/>
  <c r="Z291" i="9"/>
  <c r="Y291" i="9"/>
  <c r="X291" i="9"/>
  <c r="W291" i="9"/>
  <c r="V291" i="9"/>
  <c r="U291" i="9"/>
  <c r="T291" i="9"/>
  <c r="S291" i="9"/>
  <c r="R291" i="9"/>
  <c r="Q291" i="9"/>
  <c r="P291" i="9"/>
  <c r="O291" i="9"/>
  <c r="N291" i="9"/>
  <c r="M291" i="9"/>
  <c r="L291" i="9"/>
  <c r="K291" i="9"/>
  <c r="J291" i="9"/>
  <c r="I291" i="9"/>
  <c r="H291" i="9"/>
  <c r="G291" i="9"/>
  <c r="F291" i="9"/>
  <c r="AC290" i="9"/>
  <c r="AB290" i="9"/>
  <c r="AA290" i="9"/>
  <c r="Z290" i="9"/>
  <c r="Y290" i="9"/>
  <c r="X290" i="9"/>
  <c r="W290" i="9"/>
  <c r="V290" i="9"/>
  <c r="U290" i="9"/>
  <c r="T290" i="9"/>
  <c r="S290" i="9"/>
  <c r="R290" i="9"/>
  <c r="Q290" i="9"/>
  <c r="P290" i="9"/>
  <c r="O290" i="9"/>
  <c r="N290" i="9"/>
  <c r="M290" i="9"/>
  <c r="L290" i="9"/>
  <c r="K290" i="9"/>
  <c r="J290" i="9"/>
  <c r="I290" i="9"/>
  <c r="H290" i="9"/>
  <c r="G290" i="9"/>
  <c r="F290" i="9"/>
  <c r="AC289" i="9"/>
  <c r="T289" i="9"/>
  <c r="R289" i="9"/>
  <c r="O289" i="9"/>
  <c r="G289" i="9"/>
  <c r="F289" i="9"/>
  <c r="L289" i="9" s="1"/>
  <c r="AC288" i="9"/>
  <c r="T288" i="9"/>
  <c r="R288" i="9"/>
  <c r="O288" i="9"/>
  <c r="L288" i="9"/>
  <c r="G288" i="9"/>
  <c r="D144" i="11" s="1"/>
  <c r="F288" i="9"/>
  <c r="E144" i="11" s="1"/>
  <c r="H144" i="11" s="1"/>
  <c r="AC287" i="9"/>
  <c r="T287" i="9"/>
  <c r="R287" i="9"/>
  <c r="O287" i="9"/>
  <c r="G287" i="9"/>
  <c r="F287" i="9"/>
  <c r="L287" i="9" s="1"/>
  <c r="AC286" i="9"/>
  <c r="T286" i="9"/>
  <c r="R286" i="9"/>
  <c r="O286" i="9"/>
  <c r="G286" i="9"/>
  <c r="D143" i="11" s="1"/>
  <c r="F286" i="9"/>
  <c r="E143" i="11" s="1"/>
  <c r="H143" i="11" s="1"/>
  <c r="AC285" i="9"/>
  <c r="T285" i="9"/>
  <c r="R285" i="9"/>
  <c r="O285" i="9"/>
  <c r="G285" i="9"/>
  <c r="F285" i="9"/>
  <c r="L285" i="9" s="1"/>
  <c r="AC284" i="9"/>
  <c r="T284" i="9"/>
  <c r="R284" i="9"/>
  <c r="O284" i="9"/>
  <c r="G284" i="9"/>
  <c r="D142" i="11" s="1"/>
  <c r="F284" i="9"/>
  <c r="E142" i="11" s="1"/>
  <c r="H142" i="11" s="1"/>
  <c r="AC283" i="9"/>
  <c r="T283" i="9"/>
  <c r="R283" i="9"/>
  <c r="O283" i="9"/>
  <c r="G283" i="9"/>
  <c r="F283" i="9"/>
  <c r="L283" i="9" s="1"/>
  <c r="AC282" i="9"/>
  <c r="T282" i="9"/>
  <c r="R282" i="9"/>
  <c r="O282" i="9"/>
  <c r="G282" i="9"/>
  <c r="D141" i="11" s="1"/>
  <c r="F282" i="9"/>
  <c r="E141" i="11" s="1"/>
  <c r="H141" i="11" s="1"/>
  <c r="AC281" i="9"/>
  <c r="T281" i="9"/>
  <c r="R281" i="9"/>
  <c r="O281" i="9"/>
  <c r="G281" i="9"/>
  <c r="F281" i="9"/>
  <c r="L281" i="9" s="1"/>
  <c r="AC280" i="9"/>
  <c r="T280" i="9"/>
  <c r="R280" i="9"/>
  <c r="O280" i="9"/>
  <c r="G280" i="9"/>
  <c r="D140" i="11" s="1"/>
  <c r="F280" i="9"/>
  <c r="E140" i="11" s="1"/>
  <c r="H140" i="11" s="1"/>
  <c r="AC279" i="9"/>
  <c r="T279" i="9"/>
  <c r="R279" i="9"/>
  <c r="O279" i="9"/>
  <c r="G279" i="9"/>
  <c r="F279" i="9"/>
  <c r="L279" i="9" s="1"/>
  <c r="AC278" i="9"/>
  <c r="T278" i="9"/>
  <c r="R278" i="9"/>
  <c r="O278" i="9"/>
  <c r="G278" i="9"/>
  <c r="D139" i="11" s="1"/>
  <c r="F278" i="9"/>
  <c r="E139" i="11" s="1"/>
  <c r="H139" i="11" s="1"/>
  <c r="AC277" i="9"/>
  <c r="T277" i="9"/>
  <c r="R277" i="9"/>
  <c r="O277" i="9"/>
  <c r="G277" i="9"/>
  <c r="F277" i="9"/>
  <c r="AC276" i="9"/>
  <c r="T276" i="9"/>
  <c r="R276" i="9"/>
  <c r="O276" i="9"/>
  <c r="G276" i="9"/>
  <c r="D138" i="11" s="1"/>
  <c r="F276" i="9"/>
  <c r="L276" i="9" s="1"/>
  <c r="AC275" i="9"/>
  <c r="T275" i="9"/>
  <c r="R275" i="9"/>
  <c r="O275" i="9"/>
  <c r="G275" i="9"/>
  <c r="F275" i="9"/>
  <c r="L275" i="9" s="1"/>
  <c r="AC274" i="9"/>
  <c r="T274" i="9"/>
  <c r="R274" i="9"/>
  <c r="O274" i="9"/>
  <c r="G274" i="9"/>
  <c r="D137" i="11" s="1"/>
  <c r="F274" i="9"/>
  <c r="AC273" i="9"/>
  <c r="T273" i="9"/>
  <c r="R273" i="9"/>
  <c r="O273" i="9"/>
  <c r="G273" i="9"/>
  <c r="F273" i="9"/>
  <c r="L273" i="9" s="1"/>
  <c r="AC272" i="9"/>
  <c r="T272" i="9"/>
  <c r="R272" i="9"/>
  <c r="O272" i="9"/>
  <c r="G272" i="9"/>
  <c r="D136" i="11" s="1"/>
  <c r="F272" i="9"/>
  <c r="L272" i="9" s="1"/>
  <c r="AC271" i="9"/>
  <c r="T271" i="9"/>
  <c r="R271" i="9"/>
  <c r="O271" i="9"/>
  <c r="G271" i="9"/>
  <c r="F271" i="9"/>
  <c r="L271" i="9" s="1"/>
  <c r="AC270" i="9"/>
  <c r="U270" i="9"/>
  <c r="Y271" i="9" s="1"/>
  <c r="T270" i="9"/>
  <c r="R270" i="9"/>
  <c r="O270" i="9"/>
  <c r="G270" i="9"/>
  <c r="D135" i="11" s="1"/>
  <c r="F270" i="9"/>
  <c r="AC269" i="9"/>
  <c r="T269" i="9"/>
  <c r="R269" i="9"/>
  <c r="O269" i="9"/>
  <c r="G269" i="9"/>
  <c r="F269" i="9"/>
  <c r="L269" i="9" s="1"/>
  <c r="AC268" i="9"/>
  <c r="T268" i="9"/>
  <c r="R268" i="9"/>
  <c r="O268" i="9"/>
  <c r="G268" i="9"/>
  <c r="D134" i="11" s="1"/>
  <c r="F268" i="9"/>
  <c r="L268" i="9" s="1"/>
  <c r="AC267" i="9"/>
  <c r="T267" i="9"/>
  <c r="R267" i="9"/>
  <c r="O267" i="9"/>
  <c r="G267" i="9"/>
  <c r="F267" i="9"/>
  <c r="AC266" i="9"/>
  <c r="T266" i="9"/>
  <c r="R266" i="9"/>
  <c r="O266" i="9"/>
  <c r="G266" i="9"/>
  <c r="D133" i="11" s="1"/>
  <c r="F266" i="9"/>
  <c r="L266" i="9" s="1"/>
  <c r="AC265" i="9"/>
  <c r="T265" i="9"/>
  <c r="R265" i="9"/>
  <c r="O265" i="9"/>
  <c r="G265" i="9"/>
  <c r="F265" i="9"/>
  <c r="L265" i="9" s="1"/>
  <c r="AC264" i="9"/>
  <c r="T264" i="9"/>
  <c r="R264" i="9"/>
  <c r="O264" i="9"/>
  <c r="G264" i="9"/>
  <c r="D132" i="11" s="1"/>
  <c r="F264" i="9"/>
  <c r="AC263" i="9"/>
  <c r="T263" i="9"/>
  <c r="R263" i="9"/>
  <c r="O263" i="9"/>
  <c r="G263" i="9"/>
  <c r="F263" i="9"/>
  <c r="L263" i="9" s="1"/>
  <c r="AC262" i="9"/>
  <c r="T262" i="9"/>
  <c r="R262" i="9"/>
  <c r="O262" i="9"/>
  <c r="G262" i="9"/>
  <c r="D131" i="11" s="1"/>
  <c r="F262" i="9"/>
  <c r="L262" i="9" s="1"/>
  <c r="AC261" i="9"/>
  <c r="T261" i="9"/>
  <c r="R261" i="9"/>
  <c r="O261" i="9"/>
  <c r="G261" i="9"/>
  <c r="F261" i="9"/>
  <c r="AC260" i="9"/>
  <c r="T260" i="9"/>
  <c r="R260" i="9"/>
  <c r="O260" i="9"/>
  <c r="G260" i="9"/>
  <c r="D130" i="11" s="1"/>
  <c r="F260" i="9"/>
  <c r="L260" i="9" s="1"/>
  <c r="AC259" i="9"/>
  <c r="T259" i="9"/>
  <c r="R259" i="9"/>
  <c r="O259" i="9"/>
  <c r="G259" i="9"/>
  <c r="F259" i="9"/>
  <c r="L259" i="9" s="1"/>
  <c r="AC258" i="9"/>
  <c r="T258" i="9"/>
  <c r="R258" i="9"/>
  <c r="O258" i="9"/>
  <c r="G258" i="9"/>
  <c r="D129" i="11" s="1"/>
  <c r="F258" i="9"/>
  <c r="AC257" i="9"/>
  <c r="T257" i="9"/>
  <c r="R257" i="9"/>
  <c r="O257" i="9"/>
  <c r="G257" i="9"/>
  <c r="F257" i="9"/>
  <c r="L257" i="9" s="1"/>
  <c r="AC256" i="9"/>
  <c r="U256" i="9"/>
  <c r="T256" i="9"/>
  <c r="R256" i="9"/>
  <c r="O256" i="9"/>
  <c r="G256" i="9"/>
  <c r="D128" i="11" s="1"/>
  <c r="F256" i="9"/>
  <c r="E128" i="11" s="1"/>
  <c r="H128" i="11" s="1"/>
  <c r="AC255" i="9"/>
  <c r="U255" i="9"/>
  <c r="T255" i="9"/>
  <c r="R255" i="9"/>
  <c r="O255" i="9"/>
  <c r="G255" i="9"/>
  <c r="F255" i="9"/>
  <c r="L255" i="9" s="1"/>
  <c r="AC254" i="9"/>
  <c r="T254" i="9"/>
  <c r="R254" i="9"/>
  <c r="O254" i="9"/>
  <c r="G254" i="9"/>
  <c r="D127" i="11" s="1"/>
  <c r="F254" i="9"/>
  <c r="E127" i="11" s="1"/>
  <c r="H127" i="11" s="1"/>
  <c r="AC253" i="9"/>
  <c r="T253" i="9"/>
  <c r="R253" i="9"/>
  <c r="O253" i="9"/>
  <c r="G253" i="9"/>
  <c r="F253" i="9"/>
  <c r="L253" i="9" s="1"/>
  <c r="AC252" i="9"/>
  <c r="T252" i="9"/>
  <c r="R252" i="9"/>
  <c r="O252" i="9"/>
  <c r="G252" i="9"/>
  <c r="D126" i="11" s="1"/>
  <c r="F252" i="9"/>
  <c r="E126" i="11" s="1"/>
  <c r="H126" i="11" s="1"/>
  <c r="AC251" i="9"/>
  <c r="T251" i="9"/>
  <c r="R251" i="9"/>
  <c r="O251" i="9"/>
  <c r="G251" i="9"/>
  <c r="F251" i="9"/>
  <c r="AC250" i="9"/>
  <c r="T250" i="9"/>
  <c r="R250" i="9"/>
  <c r="O250" i="9"/>
  <c r="G250" i="9"/>
  <c r="D125" i="11" s="1"/>
  <c r="F250" i="9"/>
  <c r="AC249" i="9"/>
  <c r="T249" i="9"/>
  <c r="R249" i="9"/>
  <c r="O249" i="9"/>
  <c r="G249" i="9"/>
  <c r="F249" i="9"/>
  <c r="L249" i="9" s="1"/>
  <c r="AC248" i="9"/>
  <c r="T248" i="9"/>
  <c r="R248" i="9"/>
  <c r="O248" i="9"/>
  <c r="G248" i="9"/>
  <c r="D124" i="11" s="1"/>
  <c r="F248" i="9"/>
  <c r="AC247" i="9"/>
  <c r="U247" i="9"/>
  <c r="T247" i="9"/>
  <c r="R247" i="9"/>
  <c r="O247" i="9"/>
  <c r="G247" i="9"/>
  <c r="F247" i="9"/>
  <c r="L247" i="9" s="1"/>
  <c r="AC246" i="9"/>
  <c r="U246" i="9"/>
  <c r="T246" i="9"/>
  <c r="R246" i="9"/>
  <c r="O246" i="9"/>
  <c r="G246" i="9"/>
  <c r="D123" i="11" s="1"/>
  <c r="F246" i="9"/>
  <c r="AC245" i="9"/>
  <c r="U245" i="9"/>
  <c r="T245" i="9"/>
  <c r="R245" i="9"/>
  <c r="O245" i="9"/>
  <c r="G245" i="9"/>
  <c r="F245" i="9"/>
  <c r="L245" i="9" s="1"/>
  <c r="AC244" i="9"/>
  <c r="U244" i="9"/>
  <c r="T244" i="9"/>
  <c r="R244" i="9"/>
  <c r="O244" i="9"/>
  <c r="G244" i="9"/>
  <c r="D122" i="11" s="1"/>
  <c r="F244" i="9"/>
  <c r="AC243" i="9"/>
  <c r="T243" i="9"/>
  <c r="R243" i="9"/>
  <c r="O243" i="9"/>
  <c r="G243" i="9"/>
  <c r="F243" i="9"/>
  <c r="L243" i="9" s="1"/>
  <c r="AC242" i="9"/>
  <c r="T242" i="9"/>
  <c r="R242" i="9"/>
  <c r="O242" i="9"/>
  <c r="G242" i="9"/>
  <c r="D121" i="11" s="1"/>
  <c r="F242" i="9"/>
  <c r="L242" i="9" s="1"/>
  <c r="AC241" i="9"/>
  <c r="T241" i="9"/>
  <c r="R241" i="9"/>
  <c r="O241" i="9"/>
  <c r="G241" i="9"/>
  <c r="F241" i="9"/>
  <c r="L241" i="9" s="1"/>
  <c r="AC240" i="9"/>
  <c r="T240" i="9"/>
  <c r="R240" i="9"/>
  <c r="O240" i="9"/>
  <c r="G240" i="9"/>
  <c r="D120" i="11" s="1"/>
  <c r="F240" i="9"/>
  <c r="L240" i="9" s="1"/>
  <c r="AC239" i="9"/>
  <c r="T239" i="9"/>
  <c r="R239" i="9"/>
  <c r="O239" i="9"/>
  <c r="G239" i="9"/>
  <c r="F239" i="9"/>
  <c r="L239" i="9" s="1"/>
  <c r="AC238" i="9"/>
  <c r="T238" i="9"/>
  <c r="R238" i="9"/>
  <c r="O238" i="9"/>
  <c r="G238" i="9"/>
  <c r="F238" i="9"/>
  <c r="AC237" i="9"/>
  <c r="T237" i="9"/>
  <c r="R237" i="9"/>
  <c r="O237" i="9"/>
  <c r="G237" i="9"/>
  <c r="D119" i="11" s="1"/>
  <c r="F237" i="9"/>
  <c r="E119" i="11" s="1"/>
  <c r="H119" i="11" s="1"/>
  <c r="AC236" i="9"/>
  <c r="U236" i="9"/>
  <c r="T236" i="9"/>
  <c r="R236" i="9"/>
  <c r="O236" i="9"/>
  <c r="G236" i="9"/>
  <c r="F236" i="9"/>
  <c r="L236" i="9" s="1"/>
  <c r="AC235" i="9"/>
  <c r="T235" i="9"/>
  <c r="R235" i="9"/>
  <c r="O235" i="9"/>
  <c r="G235" i="9"/>
  <c r="D118" i="11" s="1"/>
  <c r="F235" i="9"/>
  <c r="E118" i="11" s="1"/>
  <c r="H118" i="11" s="1"/>
  <c r="AC234" i="9"/>
  <c r="T234" i="9"/>
  <c r="R234" i="9"/>
  <c r="O234" i="9"/>
  <c r="G234" i="9"/>
  <c r="F234" i="9"/>
  <c r="AC233" i="9"/>
  <c r="U233" i="9"/>
  <c r="T233" i="9"/>
  <c r="R233" i="9"/>
  <c r="O233" i="9"/>
  <c r="G233" i="9"/>
  <c r="D117" i="11" s="1"/>
  <c r="F233" i="9"/>
  <c r="E117" i="11" s="1"/>
  <c r="H117" i="11" s="1"/>
  <c r="AC232" i="9"/>
  <c r="T232" i="9"/>
  <c r="R232" i="9"/>
  <c r="O232" i="9"/>
  <c r="G232" i="9"/>
  <c r="F232" i="9"/>
  <c r="L232" i="9" s="1"/>
  <c r="AC231" i="9"/>
  <c r="T231" i="9"/>
  <c r="R231" i="9"/>
  <c r="O231" i="9"/>
  <c r="G231" i="9"/>
  <c r="D116" i="11" s="1"/>
  <c r="F231" i="9"/>
  <c r="AC230" i="9"/>
  <c r="T230" i="9"/>
  <c r="R230" i="9"/>
  <c r="O230" i="9"/>
  <c r="G230" i="9"/>
  <c r="F230" i="9"/>
  <c r="L230" i="9" s="1"/>
  <c r="AC229" i="9"/>
  <c r="T229" i="9"/>
  <c r="R229" i="9"/>
  <c r="O229" i="9"/>
  <c r="G229" i="9"/>
  <c r="D115" i="11" s="1"/>
  <c r="F229" i="9"/>
  <c r="E115" i="11" s="1"/>
  <c r="H115" i="11" s="1"/>
  <c r="AC228" i="9"/>
  <c r="U228" i="9"/>
  <c r="T228" i="9"/>
  <c r="R228" i="9"/>
  <c r="O228" i="9"/>
  <c r="G228" i="9"/>
  <c r="F228" i="9"/>
  <c r="L228" i="9" s="1"/>
  <c r="AC227" i="9"/>
  <c r="T227" i="9"/>
  <c r="R227" i="9"/>
  <c r="O227" i="9"/>
  <c r="G227" i="9"/>
  <c r="D114" i="11" s="1"/>
  <c r="F227" i="9"/>
  <c r="E114" i="11" s="1"/>
  <c r="H114" i="11" s="1"/>
  <c r="AC226" i="9"/>
  <c r="U226" i="9"/>
  <c r="T226" i="9"/>
  <c r="R226" i="9"/>
  <c r="O226" i="9"/>
  <c r="G226" i="9"/>
  <c r="F226" i="9"/>
  <c r="AC225" i="9"/>
  <c r="U225" i="9"/>
  <c r="T225" i="9"/>
  <c r="R225" i="9"/>
  <c r="O225" i="9"/>
  <c r="G225" i="9"/>
  <c r="F225" i="9"/>
  <c r="L225" i="9" s="1"/>
  <c r="AC224" i="9"/>
  <c r="U224" i="9"/>
  <c r="T224" i="9"/>
  <c r="R224" i="9"/>
  <c r="O224" i="9"/>
  <c r="G224" i="9"/>
  <c r="D113" i="11" s="1"/>
  <c r="F224" i="9"/>
  <c r="E113" i="11" s="1"/>
  <c r="H113" i="11" s="1"/>
  <c r="AC223" i="9"/>
  <c r="T223" i="9"/>
  <c r="R223" i="9"/>
  <c r="O223" i="9"/>
  <c r="G223" i="9"/>
  <c r="F223" i="9"/>
  <c r="AC222" i="9"/>
  <c r="T222" i="9"/>
  <c r="R222" i="9"/>
  <c r="O222" i="9"/>
  <c r="G222" i="9"/>
  <c r="D112" i="11" s="1"/>
  <c r="F222" i="9"/>
  <c r="AC221" i="9"/>
  <c r="T221" i="9"/>
  <c r="R221" i="9"/>
  <c r="O221" i="9"/>
  <c r="G221" i="9"/>
  <c r="F221" i="9"/>
  <c r="AC220" i="9"/>
  <c r="U220" i="9"/>
  <c r="Y221" i="9" s="1"/>
  <c r="T220" i="9"/>
  <c r="R220" i="9"/>
  <c r="O220" i="9"/>
  <c r="G220" i="9"/>
  <c r="D111" i="11" s="1"/>
  <c r="F220" i="9"/>
  <c r="L220" i="9" s="1"/>
  <c r="AC219" i="9"/>
  <c r="T219" i="9"/>
  <c r="R219" i="9"/>
  <c r="O219" i="9"/>
  <c r="G219" i="9"/>
  <c r="F219" i="9"/>
  <c r="AC218" i="9"/>
  <c r="T218" i="9"/>
  <c r="R218" i="9"/>
  <c r="O218" i="9"/>
  <c r="G218" i="9"/>
  <c r="F218" i="9"/>
  <c r="L218" i="9" s="1"/>
  <c r="AC217" i="9"/>
  <c r="T217" i="9"/>
  <c r="R217" i="9"/>
  <c r="O217" i="9"/>
  <c r="G217" i="9"/>
  <c r="F217" i="9"/>
  <c r="AC216" i="9"/>
  <c r="T216" i="9"/>
  <c r="R216" i="9"/>
  <c r="O216" i="9"/>
  <c r="G216" i="9"/>
  <c r="D110" i="11" s="1"/>
  <c r="F216" i="9"/>
  <c r="E110" i="11" s="1"/>
  <c r="H110" i="11" s="1"/>
  <c r="AC215" i="9"/>
  <c r="T215" i="9"/>
  <c r="R215" i="9"/>
  <c r="O215" i="9"/>
  <c r="G215" i="9"/>
  <c r="F215" i="9"/>
  <c r="AC214" i="9"/>
  <c r="T214" i="9"/>
  <c r="R214" i="9"/>
  <c r="O214" i="9"/>
  <c r="G214" i="9"/>
  <c r="F214" i="9"/>
  <c r="L214" i="9" s="1"/>
  <c r="AC213" i="9"/>
  <c r="T213" i="9"/>
  <c r="R213" i="9"/>
  <c r="O213" i="9"/>
  <c r="G213" i="9"/>
  <c r="F213" i="9"/>
  <c r="AC212" i="9"/>
  <c r="T212" i="9"/>
  <c r="R212" i="9"/>
  <c r="O212" i="9"/>
  <c r="G212" i="9"/>
  <c r="D109" i="11" s="1"/>
  <c r="F212" i="9"/>
  <c r="E109" i="11" s="1"/>
  <c r="H109" i="11" s="1"/>
  <c r="AC211" i="9"/>
  <c r="T211" i="9"/>
  <c r="R211" i="9"/>
  <c r="O211" i="9"/>
  <c r="G211" i="9"/>
  <c r="F211" i="9"/>
  <c r="AC210" i="9"/>
  <c r="T210" i="9"/>
  <c r="R210" i="9"/>
  <c r="O210" i="9"/>
  <c r="G210" i="9"/>
  <c r="F210" i="9"/>
  <c r="L210" i="9" s="1"/>
  <c r="AC209" i="9"/>
  <c r="T209" i="9"/>
  <c r="R209" i="9"/>
  <c r="O209" i="9"/>
  <c r="G209" i="9"/>
  <c r="F209" i="9"/>
  <c r="AC208" i="9"/>
  <c r="T208" i="9"/>
  <c r="R208" i="9"/>
  <c r="O208" i="9"/>
  <c r="G208" i="9"/>
  <c r="D108" i="11" s="1"/>
  <c r="F208" i="9"/>
  <c r="E108" i="11" s="1"/>
  <c r="H108" i="11" s="1"/>
  <c r="AC207" i="9"/>
  <c r="T207" i="9"/>
  <c r="R207" i="9"/>
  <c r="O207" i="9"/>
  <c r="G207" i="9"/>
  <c r="F207" i="9"/>
  <c r="AC206" i="9"/>
  <c r="T206" i="9"/>
  <c r="R206" i="9"/>
  <c r="O206" i="9"/>
  <c r="G206" i="9"/>
  <c r="F206" i="9"/>
  <c r="L206" i="9" s="1"/>
  <c r="AC205" i="9"/>
  <c r="T205" i="9"/>
  <c r="R205" i="9"/>
  <c r="O205" i="9"/>
  <c r="G205" i="9"/>
  <c r="F205" i="9"/>
  <c r="AC204" i="9"/>
  <c r="T204" i="9"/>
  <c r="R204" i="9"/>
  <c r="O204" i="9"/>
  <c r="G204" i="9"/>
  <c r="D107" i="11" s="1"/>
  <c r="F204" i="9"/>
  <c r="E107" i="11" s="1"/>
  <c r="H107" i="11" s="1"/>
  <c r="AC203" i="9"/>
  <c r="T203" i="9"/>
  <c r="R203" i="9"/>
  <c r="O203" i="9"/>
  <c r="G203" i="9"/>
  <c r="F203" i="9"/>
  <c r="AC202" i="9"/>
  <c r="T202" i="9"/>
  <c r="R202" i="9"/>
  <c r="O202" i="9"/>
  <c r="G202" i="9"/>
  <c r="F202" i="9"/>
  <c r="L202" i="9" s="1"/>
  <c r="AC201" i="9"/>
  <c r="T201" i="9"/>
  <c r="R201" i="9"/>
  <c r="O201" i="9"/>
  <c r="G201" i="9"/>
  <c r="F201" i="9"/>
  <c r="AC200" i="9"/>
  <c r="T200" i="9"/>
  <c r="R200" i="9"/>
  <c r="O200" i="9"/>
  <c r="G200" i="9"/>
  <c r="D106" i="11" s="1"/>
  <c r="F200" i="9"/>
  <c r="E106" i="11" s="1"/>
  <c r="H106" i="11" s="1"/>
  <c r="AC199" i="9"/>
  <c r="T199" i="9"/>
  <c r="R199" i="9"/>
  <c r="O199" i="9"/>
  <c r="G199" i="9"/>
  <c r="F199" i="9"/>
  <c r="AC198" i="9"/>
  <c r="T198" i="9"/>
  <c r="R198" i="9"/>
  <c r="O198" i="9"/>
  <c r="G198" i="9"/>
  <c r="F198" i="9"/>
  <c r="AC197" i="9"/>
  <c r="T197" i="9"/>
  <c r="R197" i="9"/>
  <c r="O197" i="9"/>
  <c r="G197" i="9"/>
  <c r="F197" i="9"/>
  <c r="AC196" i="9"/>
  <c r="T196" i="9"/>
  <c r="R196" i="9"/>
  <c r="O196" i="9"/>
  <c r="G196" i="9"/>
  <c r="D105" i="11" s="1"/>
  <c r="F196" i="9"/>
  <c r="E105" i="11" s="1"/>
  <c r="H105" i="11" s="1"/>
  <c r="AC195" i="9"/>
  <c r="T195" i="9"/>
  <c r="R195" i="9"/>
  <c r="O195" i="9"/>
  <c r="G195" i="9"/>
  <c r="F195" i="9"/>
  <c r="AC194" i="9"/>
  <c r="T194" i="9"/>
  <c r="R194" i="9"/>
  <c r="O194" i="9"/>
  <c r="G194" i="9"/>
  <c r="F194" i="9"/>
  <c r="L194" i="9" s="1"/>
  <c r="AC193" i="9"/>
  <c r="T193" i="9"/>
  <c r="R193" i="9"/>
  <c r="O193" i="9"/>
  <c r="G193" i="9"/>
  <c r="F193" i="9"/>
  <c r="AC192" i="9"/>
  <c r="T192" i="9"/>
  <c r="R192" i="9"/>
  <c r="O192" i="9"/>
  <c r="G192" i="9"/>
  <c r="D104" i="11" s="1"/>
  <c r="F192" i="9"/>
  <c r="AC191" i="9"/>
  <c r="T191" i="9"/>
  <c r="R191" i="9"/>
  <c r="O191" i="9"/>
  <c r="G191" i="9"/>
  <c r="F191" i="9"/>
  <c r="L191" i="9" s="1"/>
  <c r="AC190" i="9"/>
  <c r="T190" i="9"/>
  <c r="R190" i="9"/>
  <c r="O190" i="9"/>
  <c r="G190" i="9"/>
  <c r="F190" i="9"/>
  <c r="AC189" i="9"/>
  <c r="T189" i="9"/>
  <c r="R189" i="9"/>
  <c r="O189" i="9"/>
  <c r="G189" i="9"/>
  <c r="F189" i="9"/>
  <c r="L189" i="9" s="1"/>
  <c r="AC188" i="9"/>
  <c r="T188" i="9"/>
  <c r="R188" i="9"/>
  <c r="O188" i="9"/>
  <c r="G188" i="9"/>
  <c r="D103" i="11" s="1"/>
  <c r="F188" i="9"/>
  <c r="E103" i="11" s="1"/>
  <c r="H103" i="11" s="1"/>
  <c r="AC187" i="9"/>
  <c r="T187" i="9"/>
  <c r="R187" i="9"/>
  <c r="O187" i="9"/>
  <c r="G187" i="9"/>
  <c r="F187" i="9"/>
  <c r="L187" i="9" s="1"/>
  <c r="AC186" i="9"/>
  <c r="T186" i="9"/>
  <c r="R186" i="9"/>
  <c r="O186" i="9"/>
  <c r="G186" i="9"/>
  <c r="F186" i="9"/>
  <c r="L186" i="9" s="1"/>
  <c r="AC185" i="9"/>
  <c r="T185" i="9"/>
  <c r="R185" i="9"/>
  <c r="O185" i="9"/>
  <c r="G185" i="9"/>
  <c r="F185" i="9"/>
  <c r="AC184" i="9"/>
  <c r="T184" i="9"/>
  <c r="R184" i="9"/>
  <c r="O184" i="9"/>
  <c r="G184" i="9"/>
  <c r="D102" i="11" s="1"/>
  <c r="F184" i="9"/>
  <c r="E102" i="11" s="1"/>
  <c r="H102" i="11" s="1"/>
  <c r="AC183" i="9"/>
  <c r="T183" i="9"/>
  <c r="R183" i="9"/>
  <c r="O183" i="9"/>
  <c r="G183" i="9"/>
  <c r="F183" i="9"/>
  <c r="AC182" i="9"/>
  <c r="T182" i="9"/>
  <c r="R182" i="9"/>
  <c r="O182" i="9"/>
  <c r="G182" i="9"/>
  <c r="F182" i="9"/>
  <c r="L182" i="9" s="1"/>
  <c r="AC181" i="9"/>
  <c r="T181" i="9"/>
  <c r="R181" i="9"/>
  <c r="O181" i="9"/>
  <c r="G181" i="9"/>
  <c r="F181" i="9"/>
  <c r="L181" i="9" s="1"/>
  <c r="AC180" i="9"/>
  <c r="T180" i="9"/>
  <c r="R180" i="9"/>
  <c r="O180" i="9"/>
  <c r="G180" i="9"/>
  <c r="D101" i="11" s="1"/>
  <c r="F180" i="9"/>
  <c r="E101" i="11" s="1"/>
  <c r="H101" i="11" s="1"/>
  <c r="AC179" i="9"/>
  <c r="T179" i="9"/>
  <c r="R179" i="9"/>
  <c r="O179" i="9"/>
  <c r="G179" i="9"/>
  <c r="F179" i="9"/>
  <c r="L179" i="9" s="1"/>
  <c r="AC178" i="9"/>
  <c r="T178" i="9"/>
  <c r="R178" i="9"/>
  <c r="O178" i="9"/>
  <c r="G178" i="9"/>
  <c r="F178" i="9"/>
  <c r="AC177" i="9"/>
  <c r="T177" i="9"/>
  <c r="R177" i="9"/>
  <c r="O177" i="9"/>
  <c r="G177" i="9"/>
  <c r="F177" i="9"/>
  <c r="L177" i="9" s="1"/>
  <c r="AC176" i="9"/>
  <c r="T176" i="9"/>
  <c r="R176" i="9"/>
  <c r="O176" i="9"/>
  <c r="G176" i="9"/>
  <c r="D100" i="11" s="1"/>
  <c r="F176" i="9"/>
  <c r="AC175" i="9"/>
  <c r="T175" i="9"/>
  <c r="R175" i="9"/>
  <c r="O175" i="9"/>
  <c r="G175" i="9"/>
  <c r="F175" i="9"/>
  <c r="L175" i="9" s="1"/>
  <c r="AC174" i="9"/>
  <c r="T174" i="9"/>
  <c r="R174" i="9"/>
  <c r="O174" i="9"/>
  <c r="G174" i="9"/>
  <c r="F174" i="9"/>
  <c r="AC173" i="9"/>
  <c r="T173" i="9"/>
  <c r="R173" i="9"/>
  <c r="O173" i="9"/>
  <c r="G173" i="9"/>
  <c r="F173" i="9"/>
  <c r="AC172" i="9"/>
  <c r="T172" i="9"/>
  <c r="R172" i="9"/>
  <c r="O172" i="9"/>
  <c r="G172" i="9"/>
  <c r="D99" i="11" s="1"/>
  <c r="F172" i="9"/>
  <c r="E99" i="11" s="1"/>
  <c r="H99" i="11" s="1"/>
  <c r="AC171" i="9"/>
  <c r="T171" i="9"/>
  <c r="R171" i="9"/>
  <c r="O171" i="9"/>
  <c r="G171" i="9"/>
  <c r="F171" i="9"/>
  <c r="AC170" i="9"/>
  <c r="T170" i="9"/>
  <c r="R170" i="9"/>
  <c r="O170" i="9"/>
  <c r="G170" i="9"/>
  <c r="F170" i="9"/>
  <c r="L170" i="9" s="1"/>
  <c r="AC169" i="9"/>
  <c r="T169" i="9"/>
  <c r="R169" i="9"/>
  <c r="O169" i="9"/>
  <c r="G169" i="9"/>
  <c r="F169" i="9"/>
  <c r="AC168" i="9"/>
  <c r="T168" i="9"/>
  <c r="R168" i="9"/>
  <c r="O168" i="9"/>
  <c r="G168" i="9"/>
  <c r="D98" i="11" s="1"/>
  <c r="F168" i="9"/>
  <c r="E98" i="11" s="1"/>
  <c r="H98" i="11" s="1"/>
  <c r="AC167" i="9"/>
  <c r="T167" i="9"/>
  <c r="R167" i="9"/>
  <c r="O167" i="9"/>
  <c r="G167" i="9"/>
  <c r="F167" i="9"/>
  <c r="L167" i="9" s="1"/>
  <c r="AC166" i="9"/>
  <c r="T166" i="9"/>
  <c r="R166" i="9"/>
  <c r="O166" i="9"/>
  <c r="G166" i="9"/>
  <c r="F166" i="9"/>
  <c r="L166" i="9" s="1"/>
  <c r="AC165" i="9"/>
  <c r="U165" i="9"/>
  <c r="T165" i="9"/>
  <c r="R165" i="9"/>
  <c r="O165" i="9"/>
  <c r="H165" i="9"/>
  <c r="G165" i="9"/>
  <c r="F165" i="9"/>
  <c r="AC164" i="9"/>
  <c r="T164" i="9"/>
  <c r="R164" i="9"/>
  <c r="O164" i="9"/>
  <c r="G164" i="9"/>
  <c r="D97" i="11" s="1"/>
  <c r="F164" i="9"/>
  <c r="E97" i="11" s="1"/>
  <c r="H97" i="11" s="1"/>
  <c r="AC163" i="9"/>
  <c r="T163" i="9"/>
  <c r="R163" i="9"/>
  <c r="O163" i="9"/>
  <c r="G163" i="9"/>
  <c r="F163" i="9"/>
  <c r="L163" i="9" s="1"/>
  <c r="AC162" i="9"/>
  <c r="T162" i="9"/>
  <c r="R162" i="9"/>
  <c r="O162" i="9"/>
  <c r="G162" i="9"/>
  <c r="F162" i="9"/>
  <c r="L162" i="9" s="1"/>
  <c r="AC161" i="9"/>
  <c r="T161" i="9"/>
  <c r="R161" i="9"/>
  <c r="O161" i="9"/>
  <c r="G161" i="9"/>
  <c r="F161" i="9"/>
  <c r="L161" i="9" s="1"/>
  <c r="AC160" i="9"/>
  <c r="T160" i="9"/>
  <c r="R160" i="9"/>
  <c r="O160" i="9"/>
  <c r="G160" i="9"/>
  <c r="D96" i="11" s="1"/>
  <c r="F160" i="9"/>
  <c r="AC159" i="9"/>
  <c r="U159" i="9"/>
  <c r="T159" i="9"/>
  <c r="R159" i="9"/>
  <c r="O159" i="9"/>
  <c r="H159" i="9"/>
  <c r="G159" i="9"/>
  <c r="F159" i="9"/>
  <c r="L159" i="9" s="1"/>
  <c r="AC158" i="9"/>
  <c r="T158" i="9"/>
  <c r="R158" i="9"/>
  <c r="O158" i="9"/>
  <c r="G158" i="9"/>
  <c r="F158" i="9"/>
  <c r="L158" i="9" s="1"/>
  <c r="AC157" i="9"/>
  <c r="T157" i="9"/>
  <c r="R157" i="9"/>
  <c r="O157" i="9"/>
  <c r="G157" i="9"/>
  <c r="F157" i="9"/>
  <c r="L157" i="9" s="1"/>
  <c r="AC156" i="9"/>
  <c r="T156" i="9"/>
  <c r="R156" i="9"/>
  <c r="O156" i="9"/>
  <c r="G156" i="9"/>
  <c r="D95" i="11" s="1"/>
  <c r="F156" i="9"/>
  <c r="E95" i="11" s="1"/>
  <c r="H95" i="11" s="1"/>
  <c r="AC155" i="9"/>
  <c r="T155" i="9"/>
  <c r="R155" i="9"/>
  <c r="O155" i="9"/>
  <c r="G155" i="9"/>
  <c r="F155" i="9"/>
  <c r="L155" i="9" s="1"/>
  <c r="AC154" i="9"/>
  <c r="T154" i="9"/>
  <c r="R154" i="9"/>
  <c r="O154" i="9"/>
  <c r="G154" i="9"/>
  <c r="F154" i="9"/>
  <c r="L154" i="9" s="1"/>
  <c r="AC153" i="9"/>
  <c r="T153" i="9"/>
  <c r="R153" i="9"/>
  <c r="O153" i="9"/>
  <c r="G153" i="9"/>
  <c r="F153" i="9"/>
  <c r="AC152" i="9"/>
  <c r="T152" i="9"/>
  <c r="R152" i="9"/>
  <c r="O152" i="9"/>
  <c r="G152" i="9"/>
  <c r="D94" i="11" s="1"/>
  <c r="F152" i="9"/>
  <c r="AC151" i="9"/>
  <c r="T151" i="9"/>
  <c r="R151" i="9"/>
  <c r="O151" i="9"/>
  <c r="G151" i="9"/>
  <c r="F151" i="9"/>
  <c r="AC150" i="9"/>
  <c r="T150" i="9"/>
  <c r="R150" i="9"/>
  <c r="O150" i="9"/>
  <c r="G150" i="9"/>
  <c r="F150" i="9"/>
  <c r="AC149" i="9"/>
  <c r="T149" i="9"/>
  <c r="R149" i="9"/>
  <c r="O149" i="9"/>
  <c r="G149" i="9"/>
  <c r="F149" i="9"/>
  <c r="L149" i="9" s="1"/>
  <c r="AC148" i="9"/>
  <c r="T148" i="9"/>
  <c r="R148" i="9"/>
  <c r="O148" i="9"/>
  <c r="G148" i="9"/>
  <c r="D93" i="11" s="1"/>
  <c r="F148" i="9"/>
  <c r="E93" i="11" s="1"/>
  <c r="H93" i="11" s="1"/>
  <c r="AC147" i="9"/>
  <c r="T147" i="9"/>
  <c r="R147" i="9"/>
  <c r="O147" i="9"/>
  <c r="G147" i="9"/>
  <c r="F147" i="9"/>
  <c r="L147" i="9" s="1"/>
  <c r="AC146" i="9"/>
  <c r="T146" i="9"/>
  <c r="R146" i="9"/>
  <c r="O146" i="9"/>
  <c r="G146" i="9"/>
  <c r="D92" i="11" s="1"/>
  <c r="F146" i="9"/>
  <c r="E92" i="11" s="1"/>
  <c r="H92" i="11" s="1"/>
  <c r="AC145" i="9"/>
  <c r="T145" i="9"/>
  <c r="R145" i="9"/>
  <c r="O145" i="9"/>
  <c r="G145" i="9"/>
  <c r="F145" i="9"/>
  <c r="L145" i="9" s="1"/>
  <c r="AC144" i="9"/>
  <c r="T144" i="9"/>
  <c r="R144" i="9"/>
  <c r="O144" i="9"/>
  <c r="G144" i="9"/>
  <c r="D91" i="11" s="1"/>
  <c r="F144" i="9"/>
  <c r="AC143" i="9"/>
  <c r="T143" i="9"/>
  <c r="R143" i="9"/>
  <c r="O143" i="9"/>
  <c r="G143" i="9"/>
  <c r="F143" i="9"/>
  <c r="AC142" i="9"/>
  <c r="T142" i="9"/>
  <c r="R142" i="9"/>
  <c r="O142" i="9"/>
  <c r="G142" i="9"/>
  <c r="D90" i="11" s="1"/>
  <c r="F142" i="9"/>
  <c r="L142" i="9" s="1"/>
  <c r="AC141" i="9"/>
  <c r="T141" i="9"/>
  <c r="R141" i="9"/>
  <c r="O141" i="9"/>
  <c r="G141" i="9"/>
  <c r="F141" i="9"/>
  <c r="AC140" i="9"/>
  <c r="T140" i="9"/>
  <c r="R140" i="9"/>
  <c r="O140" i="9"/>
  <c r="G140" i="9"/>
  <c r="D89" i="11" s="1"/>
  <c r="F140" i="9"/>
  <c r="AC139" i="9"/>
  <c r="T139" i="9"/>
  <c r="R139" i="9"/>
  <c r="O139" i="9"/>
  <c r="G139" i="9"/>
  <c r="F139" i="9"/>
  <c r="L139" i="9" s="1"/>
  <c r="AC138" i="9"/>
  <c r="U138" i="9"/>
  <c r="Y138" i="9" s="1"/>
  <c r="Z138" i="9" s="1"/>
  <c r="T138" i="9"/>
  <c r="R138" i="9"/>
  <c r="O138" i="9"/>
  <c r="G138" i="9"/>
  <c r="D88" i="11" s="1"/>
  <c r="F138" i="9"/>
  <c r="L138" i="9" s="1"/>
  <c r="AC137" i="9"/>
  <c r="T137" i="9"/>
  <c r="R137" i="9"/>
  <c r="O137" i="9"/>
  <c r="G137" i="9"/>
  <c r="F137" i="9"/>
  <c r="AC136" i="9"/>
  <c r="T136" i="9"/>
  <c r="R136" i="9"/>
  <c r="O136" i="9"/>
  <c r="G136" i="9"/>
  <c r="D87" i="11" s="1"/>
  <c r="F136" i="9"/>
  <c r="L136" i="9" s="1"/>
  <c r="AC135" i="9"/>
  <c r="T135" i="9"/>
  <c r="R135" i="9"/>
  <c r="O135" i="9"/>
  <c r="G135" i="9"/>
  <c r="F135" i="9"/>
  <c r="AC134" i="9"/>
  <c r="T134" i="9"/>
  <c r="R134" i="9"/>
  <c r="O134" i="9"/>
  <c r="G134" i="9"/>
  <c r="D86" i="11" s="1"/>
  <c r="F134" i="9"/>
  <c r="L134" i="9" s="1"/>
  <c r="AC133" i="9"/>
  <c r="T133" i="9"/>
  <c r="R133" i="9"/>
  <c r="O133" i="9"/>
  <c r="G133" i="9"/>
  <c r="F133" i="9"/>
  <c r="L133" i="9" s="1"/>
  <c r="AC132" i="9"/>
  <c r="U132" i="9"/>
  <c r="Y132" i="9" s="1"/>
  <c r="Z132" i="9" s="1"/>
  <c r="T132" i="9"/>
  <c r="R132" i="9"/>
  <c r="O132" i="9"/>
  <c r="G132" i="9"/>
  <c r="D85" i="11" s="1"/>
  <c r="F132" i="9"/>
  <c r="AC131" i="9"/>
  <c r="U131" i="9"/>
  <c r="T131" i="9"/>
  <c r="R131" i="9"/>
  <c r="O131" i="9"/>
  <c r="G131" i="9"/>
  <c r="F131" i="9"/>
  <c r="L131" i="9" s="1"/>
  <c r="AC130" i="9"/>
  <c r="U130" i="9"/>
  <c r="T130" i="9"/>
  <c r="R130" i="9"/>
  <c r="O130" i="9"/>
  <c r="G130" i="9"/>
  <c r="D84" i="11" s="1"/>
  <c r="F130" i="9"/>
  <c r="AC129" i="9"/>
  <c r="T129" i="9"/>
  <c r="R129" i="9"/>
  <c r="O129" i="9"/>
  <c r="G129" i="9"/>
  <c r="F129" i="9"/>
  <c r="L129" i="9" s="1"/>
  <c r="AC128" i="9"/>
  <c r="U128" i="9"/>
  <c r="Y128" i="9" s="1"/>
  <c r="Z128" i="9" s="1"/>
  <c r="T128" i="9"/>
  <c r="R128" i="9"/>
  <c r="O128" i="9"/>
  <c r="G128" i="9"/>
  <c r="D83" i="11" s="1"/>
  <c r="F128" i="9"/>
  <c r="AC127" i="9"/>
  <c r="U127" i="9"/>
  <c r="T127" i="9"/>
  <c r="R127" i="9"/>
  <c r="O127" i="9"/>
  <c r="G127" i="9"/>
  <c r="F127" i="9"/>
  <c r="L127" i="9" s="1"/>
  <c r="AC126" i="9"/>
  <c r="U126" i="9"/>
  <c r="Y126" i="9" s="1"/>
  <c r="Z126" i="9" s="1"/>
  <c r="T126" i="9"/>
  <c r="R126" i="9"/>
  <c r="O126" i="9"/>
  <c r="G126" i="9"/>
  <c r="D82" i="11" s="1"/>
  <c r="F126" i="9"/>
  <c r="L126" i="9" s="1"/>
  <c r="AC125" i="9"/>
  <c r="U125" i="9"/>
  <c r="T125" i="9"/>
  <c r="R125" i="9"/>
  <c r="O125" i="9"/>
  <c r="G125" i="9"/>
  <c r="F125" i="9"/>
  <c r="AC124" i="9"/>
  <c r="U124" i="9"/>
  <c r="Y125" i="9" s="1"/>
  <c r="T124" i="9"/>
  <c r="R124" i="9"/>
  <c r="O124" i="9"/>
  <c r="G124" i="9"/>
  <c r="D81" i="11" s="1"/>
  <c r="F124" i="9"/>
  <c r="L124" i="9" s="1"/>
  <c r="AC123" i="9"/>
  <c r="U123" i="9"/>
  <c r="T123" i="9"/>
  <c r="R123" i="9"/>
  <c r="O123" i="9"/>
  <c r="G123" i="9"/>
  <c r="F123" i="9"/>
  <c r="AC122" i="9"/>
  <c r="U122" i="9"/>
  <c r="Y123" i="9" s="1"/>
  <c r="T122" i="9"/>
  <c r="R122" i="9"/>
  <c r="O122" i="9"/>
  <c r="G122" i="9"/>
  <c r="D80" i="11" s="1"/>
  <c r="F122" i="9"/>
  <c r="AC121" i="9"/>
  <c r="T121" i="9"/>
  <c r="R121" i="9"/>
  <c r="O121" i="9"/>
  <c r="G121" i="9"/>
  <c r="F121" i="9"/>
  <c r="AC120" i="9"/>
  <c r="U120" i="9"/>
  <c r="T120" i="9"/>
  <c r="R120" i="9"/>
  <c r="O120" i="9"/>
  <c r="G120" i="9"/>
  <c r="D79" i="11" s="1"/>
  <c r="F120" i="9"/>
  <c r="AC119" i="9"/>
  <c r="U119" i="9"/>
  <c r="T119" i="9"/>
  <c r="R119" i="9"/>
  <c r="O119" i="9"/>
  <c r="H119" i="9"/>
  <c r="G119" i="9"/>
  <c r="F119" i="9"/>
  <c r="L119" i="9" s="1"/>
  <c r="AC118" i="9"/>
  <c r="T118" i="9"/>
  <c r="R118" i="9"/>
  <c r="O118" i="9"/>
  <c r="G118" i="9"/>
  <c r="D78" i="11" s="1"/>
  <c r="F118" i="9"/>
  <c r="AC117" i="9"/>
  <c r="T117" i="9"/>
  <c r="R117" i="9"/>
  <c r="O117" i="9"/>
  <c r="G117" i="9"/>
  <c r="F117" i="9"/>
  <c r="L117" i="9" s="1"/>
  <c r="AC116" i="9"/>
  <c r="T116" i="9"/>
  <c r="R116" i="9"/>
  <c r="O116" i="9"/>
  <c r="G116" i="9"/>
  <c r="D77" i="11" s="1"/>
  <c r="F116" i="9"/>
  <c r="L116" i="9" s="1"/>
  <c r="AC115" i="9"/>
  <c r="T115" i="9"/>
  <c r="R115" i="9"/>
  <c r="O115" i="9"/>
  <c r="G115" i="9"/>
  <c r="F115" i="9"/>
  <c r="AC114" i="9"/>
  <c r="T114" i="9"/>
  <c r="R114" i="9"/>
  <c r="O114" i="9"/>
  <c r="G114" i="9"/>
  <c r="D76" i="11" s="1"/>
  <c r="F114" i="9"/>
  <c r="AC113" i="9"/>
  <c r="T113" i="9"/>
  <c r="R113" i="9"/>
  <c r="O113" i="9"/>
  <c r="G113" i="9"/>
  <c r="F113" i="9"/>
  <c r="L113" i="9" s="1"/>
  <c r="AC112" i="9"/>
  <c r="T112" i="9"/>
  <c r="R112" i="9"/>
  <c r="O112" i="9"/>
  <c r="G112" i="9"/>
  <c r="D75" i="11" s="1"/>
  <c r="F112" i="9"/>
  <c r="E75" i="11" s="1"/>
  <c r="H75" i="11" s="1"/>
  <c r="AC111" i="9"/>
  <c r="T111" i="9"/>
  <c r="R111" i="9"/>
  <c r="O111" i="9"/>
  <c r="G111" i="9"/>
  <c r="F111" i="9"/>
  <c r="AC110" i="9"/>
  <c r="T110" i="9"/>
  <c r="R110" i="9"/>
  <c r="O110" i="9"/>
  <c r="G110" i="9"/>
  <c r="D74" i="11" s="1"/>
  <c r="F110" i="9"/>
  <c r="AC109" i="9"/>
  <c r="T109" i="9"/>
  <c r="R109" i="9"/>
  <c r="O109" i="9"/>
  <c r="G109" i="9"/>
  <c r="F109" i="9"/>
  <c r="AC108" i="9"/>
  <c r="T108" i="9"/>
  <c r="R108" i="9"/>
  <c r="O108" i="9"/>
  <c r="G108" i="9"/>
  <c r="D73" i="11" s="1"/>
  <c r="F108" i="9"/>
  <c r="E73" i="11" s="1"/>
  <c r="H73" i="11" s="1"/>
  <c r="AC107" i="9"/>
  <c r="T107" i="9"/>
  <c r="R107" i="9"/>
  <c r="O107" i="9"/>
  <c r="G107" i="9"/>
  <c r="F107" i="9"/>
  <c r="L107" i="9" s="1"/>
  <c r="AC106" i="9"/>
  <c r="T106" i="9"/>
  <c r="R106" i="9"/>
  <c r="O106" i="9"/>
  <c r="G106" i="9"/>
  <c r="D72" i="11" s="1"/>
  <c r="F106" i="9"/>
  <c r="AC105" i="9"/>
  <c r="U105" i="9"/>
  <c r="T105" i="9"/>
  <c r="R105" i="9"/>
  <c r="O105" i="9"/>
  <c r="G105" i="9"/>
  <c r="F105" i="9"/>
  <c r="L105" i="9" s="1"/>
  <c r="AC104" i="9"/>
  <c r="T104" i="9"/>
  <c r="R104" i="9"/>
  <c r="O104" i="9"/>
  <c r="G104" i="9"/>
  <c r="D71" i="11" s="1"/>
  <c r="F104" i="9"/>
  <c r="E71" i="11" s="1"/>
  <c r="H71" i="11" s="1"/>
  <c r="AC103" i="9"/>
  <c r="T103" i="9"/>
  <c r="R103" i="9"/>
  <c r="O103" i="9"/>
  <c r="G103" i="9"/>
  <c r="F103" i="9"/>
  <c r="AC102" i="9"/>
  <c r="T102" i="9"/>
  <c r="R102" i="9"/>
  <c r="O102" i="9"/>
  <c r="G102" i="9"/>
  <c r="D70" i="11" s="1"/>
  <c r="F102" i="9"/>
  <c r="E70" i="11" s="1"/>
  <c r="H70" i="11" s="1"/>
  <c r="AC101" i="9"/>
  <c r="T101" i="9"/>
  <c r="R101" i="9"/>
  <c r="O101" i="9"/>
  <c r="G101" i="9"/>
  <c r="F101" i="9"/>
  <c r="L101" i="9" s="1"/>
  <c r="AC100" i="9"/>
  <c r="T100" i="9"/>
  <c r="R100" i="9"/>
  <c r="O100" i="9"/>
  <c r="G100" i="9"/>
  <c r="D69" i="11" s="1"/>
  <c r="F100" i="9"/>
  <c r="E69" i="11" s="1"/>
  <c r="H69" i="11" s="1"/>
  <c r="AC99" i="9"/>
  <c r="T99" i="9"/>
  <c r="R99" i="9"/>
  <c r="O99" i="9"/>
  <c r="G99" i="9"/>
  <c r="F99" i="9"/>
  <c r="AC98" i="9"/>
  <c r="T98" i="9"/>
  <c r="R98" i="9"/>
  <c r="O98" i="9"/>
  <c r="G98" i="9"/>
  <c r="D68" i="11" s="1"/>
  <c r="F98" i="9"/>
  <c r="E68" i="11" s="1"/>
  <c r="H68" i="11" s="1"/>
  <c r="AC97" i="9"/>
  <c r="T97" i="9"/>
  <c r="R97" i="9"/>
  <c r="O97" i="9"/>
  <c r="G97" i="9"/>
  <c r="F97" i="9"/>
  <c r="L97" i="9" s="1"/>
  <c r="AC96" i="9"/>
  <c r="T96" i="9"/>
  <c r="R96" i="9"/>
  <c r="O96" i="9"/>
  <c r="G96" i="9"/>
  <c r="D67" i="11" s="1"/>
  <c r="F96" i="9"/>
  <c r="AC95" i="9"/>
  <c r="U95" i="9"/>
  <c r="T95" i="9"/>
  <c r="R95" i="9"/>
  <c r="O95" i="9"/>
  <c r="G95" i="9"/>
  <c r="F95" i="9"/>
  <c r="L95" i="9" s="1"/>
  <c r="AC94" i="9"/>
  <c r="T94" i="9"/>
  <c r="R94" i="9"/>
  <c r="O94" i="9"/>
  <c r="G94" i="9"/>
  <c r="D66" i="11" s="1"/>
  <c r="F94" i="9"/>
  <c r="E66" i="11" s="1"/>
  <c r="H66" i="11" s="1"/>
  <c r="AC93" i="9"/>
  <c r="T93" i="9"/>
  <c r="R93" i="9"/>
  <c r="O93" i="9"/>
  <c r="G93" i="9"/>
  <c r="F93" i="9"/>
  <c r="L93" i="9" s="1"/>
  <c r="AC92" i="9"/>
  <c r="T92" i="9"/>
  <c r="R92" i="9"/>
  <c r="O92" i="9"/>
  <c r="G92" i="9"/>
  <c r="D65" i="11" s="1"/>
  <c r="F92" i="9"/>
  <c r="E65" i="11" s="1"/>
  <c r="H65" i="11" s="1"/>
  <c r="AC91" i="9"/>
  <c r="T91" i="9"/>
  <c r="R91" i="9"/>
  <c r="O91" i="9"/>
  <c r="G91" i="9"/>
  <c r="F91" i="9"/>
  <c r="L91" i="9" s="1"/>
  <c r="AC90" i="9"/>
  <c r="U90" i="9"/>
  <c r="Y91" i="9" s="1"/>
  <c r="T90" i="9"/>
  <c r="R90" i="9"/>
  <c r="O90" i="9"/>
  <c r="G90" i="9"/>
  <c r="D64" i="11" s="1"/>
  <c r="F90" i="9"/>
  <c r="AC89" i="9"/>
  <c r="T89" i="9"/>
  <c r="R89" i="9"/>
  <c r="O89" i="9"/>
  <c r="G89" i="9"/>
  <c r="F89" i="9"/>
  <c r="AC88" i="9"/>
  <c r="T88" i="9"/>
  <c r="R88" i="9"/>
  <c r="O88" i="9"/>
  <c r="G88" i="9"/>
  <c r="D63" i="11" s="1"/>
  <c r="F88" i="9"/>
  <c r="AC87" i="9"/>
  <c r="U87" i="9"/>
  <c r="T87" i="9"/>
  <c r="R87" i="9"/>
  <c r="O87" i="9"/>
  <c r="G87" i="9"/>
  <c r="F87" i="9"/>
  <c r="L87" i="9" s="1"/>
  <c r="AC86" i="9"/>
  <c r="U86" i="9"/>
  <c r="Y87" i="9" s="1"/>
  <c r="T86" i="9"/>
  <c r="R86" i="9"/>
  <c r="O86" i="9"/>
  <c r="H86" i="9"/>
  <c r="P86" i="9" s="1"/>
  <c r="Q86" i="9" s="1"/>
  <c r="G86" i="9"/>
  <c r="D62" i="11" s="1"/>
  <c r="F86" i="9"/>
  <c r="L86" i="9" s="1"/>
  <c r="AC85" i="9"/>
  <c r="T85" i="9"/>
  <c r="R85" i="9"/>
  <c r="O85" i="9"/>
  <c r="G85" i="9"/>
  <c r="F85" i="9"/>
  <c r="L85" i="9" s="1"/>
  <c r="AC84" i="9"/>
  <c r="T84" i="9"/>
  <c r="R84" i="9"/>
  <c r="O84" i="9"/>
  <c r="G84" i="9"/>
  <c r="D61" i="11" s="1"/>
  <c r="F84" i="9"/>
  <c r="L84" i="9" s="1"/>
  <c r="AC83" i="9"/>
  <c r="T83" i="9"/>
  <c r="R83" i="9"/>
  <c r="O83" i="9"/>
  <c r="G83" i="9"/>
  <c r="F83" i="9"/>
  <c r="AC82" i="9"/>
  <c r="T82" i="9"/>
  <c r="R82" i="9"/>
  <c r="O82" i="9"/>
  <c r="G82" i="9"/>
  <c r="D60" i="11" s="1"/>
  <c r="F82" i="9"/>
  <c r="L82" i="9" s="1"/>
  <c r="AC81" i="9"/>
  <c r="T81" i="9"/>
  <c r="R81" i="9"/>
  <c r="O81" i="9"/>
  <c r="G81" i="9"/>
  <c r="F81" i="9"/>
  <c r="L81" i="9" s="1"/>
  <c r="AC80" i="9"/>
  <c r="T80" i="9"/>
  <c r="R80" i="9"/>
  <c r="O80" i="9"/>
  <c r="G80" i="9"/>
  <c r="D59" i="11" s="1"/>
  <c r="F80" i="9"/>
  <c r="L80" i="9" s="1"/>
  <c r="AC79" i="9"/>
  <c r="U79" i="9"/>
  <c r="T79" i="9"/>
  <c r="R79" i="9"/>
  <c r="O79" i="9"/>
  <c r="G79" i="9"/>
  <c r="F79" i="9"/>
  <c r="L79" i="9" s="1"/>
  <c r="AC78" i="9"/>
  <c r="U78" i="9"/>
  <c r="T78" i="9"/>
  <c r="R78" i="9"/>
  <c r="O78" i="9"/>
  <c r="G78" i="9"/>
  <c r="F78" i="9"/>
  <c r="AC77" i="9"/>
  <c r="U77" i="9"/>
  <c r="Y77" i="9" s="1"/>
  <c r="Z77" i="9" s="1"/>
  <c r="T77" i="9"/>
  <c r="R77" i="9"/>
  <c r="O77" i="9"/>
  <c r="G77" i="9"/>
  <c r="D58" i="11" s="1"/>
  <c r="F77" i="9"/>
  <c r="AC76" i="9"/>
  <c r="T76" i="9"/>
  <c r="R76" i="9"/>
  <c r="O76" i="9"/>
  <c r="G76" i="9"/>
  <c r="F76" i="9"/>
  <c r="AC75" i="9"/>
  <c r="T75" i="9"/>
  <c r="R75" i="9"/>
  <c r="O75" i="9"/>
  <c r="G75" i="9"/>
  <c r="D57" i="11" s="1"/>
  <c r="F75" i="9"/>
  <c r="E57" i="11" s="1"/>
  <c r="H57" i="11" s="1"/>
  <c r="AC74" i="9"/>
  <c r="U74" i="9"/>
  <c r="T74" i="9"/>
  <c r="R74" i="9"/>
  <c r="O74" i="9"/>
  <c r="G74" i="9"/>
  <c r="F74" i="9"/>
  <c r="AC73" i="9"/>
  <c r="T73" i="9"/>
  <c r="R73" i="9"/>
  <c r="O73" i="9"/>
  <c r="G73" i="9"/>
  <c r="D56" i="11" s="1"/>
  <c r="F73" i="9"/>
  <c r="E56" i="11" s="1"/>
  <c r="H56" i="11" s="1"/>
  <c r="AC72" i="9"/>
  <c r="U72" i="9"/>
  <c r="T72" i="9"/>
  <c r="R72" i="9"/>
  <c r="O72" i="9"/>
  <c r="G72" i="9"/>
  <c r="F72" i="9"/>
  <c r="L72" i="9" s="1"/>
  <c r="AC71" i="9"/>
  <c r="U71" i="9"/>
  <c r="T71" i="9"/>
  <c r="R71" i="9"/>
  <c r="O71" i="9"/>
  <c r="G71" i="9"/>
  <c r="D55" i="11" s="1"/>
  <c r="F71" i="9"/>
  <c r="AC70" i="9"/>
  <c r="T70" i="9"/>
  <c r="R70" i="9"/>
  <c r="O70" i="9"/>
  <c r="G70" i="9"/>
  <c r="F70" i="9"/>
  <c r="L70" i="9" s="1"/>
  <c r="AC69" i="9"/>
  <c r="T69" i="9"/>
  <c r="R69" i="9"/>
  <c r="O69" i="9"/>
  <c r="G69" i="9"/>
  <c r="D54" i="11" s="1"/>
  <c r="F69" i="9"/>
  <c r="AC68" i="9"/>
  <c r="U68" i="9"/>
  <c r="Y67" i="9" s="1"/>
  <c r="T68" i="9"/>
  <c r="R68" i="9"/>
  <c r="O68" i="9"/>
  <c r="G68" i="9"/>
  <c r="F68" i="9"/>
  <c r="L68" i="9" s="1"/>
  <c r="AC67" i="9"/>
  <c r="U67" i="9"/>
  <c r="T67" i="9"/>
  <c r="R67" i="9"/>
  <c r="O67" i="9"/>
  <c r="G67" i="9"/>
  <c r="D53" i="11" s="1"/>
  <c r="F67" i="9"/>
  <c r="E53" i="11" s="1"/>
  <c r="H53" i="11" s="1"/>
  <c r="AC66" i="9"/>
  <c r="T66" i="9"/>
  <c r="R66" i="9"/>
  <c r="O66" i="9"/>
  <c r="G66" i="9"/>
  <c r="F66" i="9"/>
  <c r="AC65" i="9"/>
  <c r="T65" i="9"/>
  <c r="R65" i="9"/>
  <c r="O65" i="9"/>
  <c r="G65" i="9"/>
  <c r="D52" i="11" s="1"/>
  <c r="F65" i="9"/>
  <c r="E52" i="11" s="1"/>
  <c r="H52" i="11" s="1"/>
  <c r="AC64" i="9"/>
  <c r="T64" i="9"/>
  <c r="R64" i="9"/>
  <c r="O64" i="9"/>
  <c r="G64" i="9"/>
  <c r="F64" i="9"/>
  <c r="AC63" i="9"/>
  <c r="T63" i="9"/>
  <c r="R63" i="9"/>
  <c r="O63" i="9"/>
  <c r="G63" i="9"/>
  <c r="D51" i="11" s="1"/>
  <c r="F63" i="9"/>
  <c r="E51" i="11" s="1"/>
  <c r="H51" i="11" s="1"/>
  <c r="AC62" i="9"/>
  <c r="T62" i="9"/>
  <c r="R62" i="9"/>
  <c r="O62" i="9"/>
  <c r="G62" i="9"/>
  <c r="F62" i="9"/>
  <c r="AC61" i="9"/>
  <c r="T61" i="9"/>
  <c r="R61" i="9"/>
  <c r="O61" i="9"/>
  <c r="G61" i="9"/>
  <c r="D50" i="11" s="1"/>
  <c r="F61" i="9"/>
  <c r="E50" i="11" s="1"/>
  <c r="H50" i="11" s="1"/>
  <c r="AC60" i="9"/>
  <c r="U60" i="9"/>
  <c r="T60" i="9"/>
  <c r="R60" i="9"/>
  <c r="O60" i="9"/>
  <c r="G60" i="9"/>
  <c r="F60" i="9"/>
  <c r="L60" i="9" s="1"/>
  <c r="AC59" i="9"/>
  <c r="T59" i="9"/>
  <c r="R59" i="9"/>
  <c r="O59" i="9"/>
  <c r="G59" i="9"/>
  <c r="D49" i="11" s="1"/>
  <c r="F59" i="9"/>
  <c r="E49" i="11" s="1"/>
  <c r="H49" i="11" s="1"/>
  <c r="AC58" i="9"/>
  <c r="T58" i="9"/>
  <c r="R58" i="9"/>
  <c r="O58" i="9"/>
  <c r="G58" i="9"/>
  <c r="F58" i="9"/>
  <c r="L58" i="9" s="1"/>
  <c r="AC57" i="9"/>
  <c r="T57" i="9"/>
  <c r="R57" i="9"/>
  <c r="O57" i="9"/>
  <c r="G57" i="9"/>
  <c r="D48" i="11" s="1"/>
  <c r="F57" i="9"/>
  <c r="E48" i="11" s="1"/>
  <c r="H48" i="11" s="1"/>
  <c r="AC56" i="9"/>
  <c r="T56" i="9"/>
  <c r="R56" i="9"/>
  <c r="O56" i="9"/>
  <c r="G56" i="9"/>
  <c r="F56" i="9"/>
  <c r="L56" i="9" s="1"/>
  <c r="AC55" i="9"/>
  <c r="T55" i="9"/>
  <c r="R55" i="9"/>
  <c r="O55" i="9"/>
  <c r="G55" i="9"/>
  <c r="D47" i="11" s="1"/>
  <c r="F55" i="9"/>
  <c r="E47" i="11" s="1"/>
  <c r="H47" i="11" s="1"/>
  <c r="AC54" i="9"/>
  <c r="T54" i="9"/>
  <c r="R54" i="9"/>
  <c r="O54" i="9"/>
  <c r="G54" i="9"/>
  <c r="F54" i="9"/>
  <c r="L54" i="9" s="1"/>
  <c r="AC53" i="9"/>
  <c r="T53" i="9"/>
  <c r="R53" i="9"/>
  <c r="O53" i="9"/>
  <c r="G53" i="9"/>
  <c r="D46" i="11" s="1"/>
  <c r="F53" i="9"/>
  <c r="AC52" i="9"/>
  <c r="T52" i="9"/>
  <c r="R52" i="9"/>
  <c r="O52" i="9"/>
  <c r="G52" i="9"/>
  <c r="F52" i="9"/>
  <c r="L52" i="9" s="1"/>
  <c r="AC51" i="9"/>
  <c r="T51" i="9"/>
  <c r="R51" i="9"/>
  <c r="O51" i="9"/>
  <c r="G51" i="9"/>
  <c r="D45" i="11" s="1"/>
  <c r="F51" i="9"/>
  <c r="E45" i="11" s="1"/>
  <c r="H45" i="11" s="1"/>
  <c r="AC50" i="9"/>
  <c r="U50" i="9"/>
  <c r="T50" i="9"/>
  <c r="R50" i="9"/>
  <c r="O50" i="9"/>
  <c r="G50" i="9"/>
  <c r="F50" i="9"/>
  <c r="L50" i="9" s="1"/>
  <c r="AC49" i="9"/>
  <c r="U49" i="9"/>
  <c r="Y50" i="9" s="1"/>
  <c r="T49" i="9"/>
  <c r="R49" i="9"/>
  <c r="O49" i="9"/>
  <c r="G49" i="9"/>
  <c r="D44" i="11" s="1"/>
  <c r="F49" i="9"/>
  <c r="E44" i="11" s="1"/>
  <c r="H44" i="11" s="1"/>
  <c r="AC48" i="9"/>
  <c r="T48" i="9"/>
  <c r="R48" i="9"/>
  <c r="O48" i="9"/>
  <c r="G48" i="9"/>
  <c r="F48" i="9"/>
  <c r="L48" i="9" s="1"/>
  <c r="AC47" i="9"/>
  <c r="T47" i="9"/>
  <c r="R47" i="9"/>
  <c r="O47" i="9"/>
  <c r="G47" i="9"/>
  <c r="D43" i="11" s="1"/>
  <c r="F47" i="9"/>
  <c r="E43" i="11" s="1"/>
  <c r="H43" i="11" s="1"/>
  <c r="AC46" i="9"/>
  <c r="U46" i="9"/>
  <c r="T46" i="9"/>
  <c r="R46" i="9"/>
  <c r="O46" i="9"/>
  <c r="G46" i="9"/>
  <c r="F46" i="9"/>
  <c r="L46" i="9" s="1"/>
  <c r="AC45" i="9"/>
  <c r="T45" i="9"/>
  <c r="R45" i="9"/>
  <c r="O45" i="9"/>
  <c r="G45" i="9"/>
  <c r="D42" i="11" s="1"/>
  <c r="F45" i="9"/>
  <c r="E42" i="11" s="1"/>
  <c r="H42" i="11" s="1"/>
  <c r="AC44" i="9"/>
  <c r="U44" i="9"/>
  <c r="T44" i="9"/>
  <c r="R44" i="9"/>
  <c r="O44" i="9"/>
  <c r="G44" i="9"/>
  <c r="F44" i="9"/>
  <c r="L44" i="9" s="1"/>
  <c r="AC43" i="9"/>
  <c r="U43" i="9"/>
  <c r="Y43" i="9" s="1"/>
  <c r="Z43" i="9" s="1"/>
  <c r="T43" i="9"/>
  <c r="R43" i="9"/>
  <c r="O43" i="9"/>
  <c r="G43" i="9"/>
  <c r="D41" i="11" s="1"/>
  <c r="F43" i="9"/>
  <c r="AC42" i="9"/>
  <c r="T42" i="9"/>
  <c r="R42" i="9"/>
  <c r="O42" i="9"/>
  <c r="G42" i="9"/>
  <c r="F42" i="9"/>
  <c r="L42" i="9" s="1"/>
  <c r="AC41" i="9"/>
  <c r="T41" i="9"/>
  <c r="R41" i="9"/>
  <c r="O41" i="9"/>
  <c r="G41" i="9"/>
  <c r="D40" i="11" s="1"/>
  <c r="F41" i="9"/>
  <c r="L41" i="9" s="1"/>
  <c r="AC40" i="9"/>
  <c r="T40" i="9"/>
  <c r="R40" i="9"/>
  <c r="O40" i="9"/>
  <c r="G40" i="9"/>
  <c r="F40" i="9"/>
  <c r="L40" i="9" s="1"/>
  <c r="AC39" i="9"/>
  <c r="T39" i="9"/>
  <c r="R39" i="9"/>
  <c r="O39" i="9"/>
  <c r="G39" i="9"/>
  <c r="D39" i="11" s="1"/>
  <c r="F39" i="9"/>
  <c r="E39" i="11" s="1"/>
  <c r="H39" i="11" s="1"/>
  <c r="AC38" i="9"/>
  <c r="T38" i="9"/>
  <c r="R38" i="9"/>
  <c r="O38" i="9"/>
  <c r="G38" i="9"/>
  <c r="F38" i="9"/>
  <c r="L38" i="9" s="1"/>
  <c r="AC37" i="9"/>
  <c r="T37" i="9"/>
  <c r="R37" i="9"/>
  <c r="O37" i="9"/>
  <c r="G37" i="9"/>
  <c r="D38" i="11" s="1"/>
  <c r="F37" i="9"/>
  <c r="E38" i="11" s="1"/>
  <c r="H38" i="11" s="1"/>
  <c r="AC36" i="9"/>
  <c r="T36" i="9"/>
  <c r="R36" i="9"/>
  <c r="O36" i="9"/>
  <c r="G36" i="9"/>
  <c r="F36" i="9"/>
  <c r="L36" i="9" s="1"/>
  <c r="AC35" i="9"/>
  <c r="T35" i="9"/>
  <c r="R35" i="9"/>
  <c r="O35" i="9"/>
  <c r="G35" i="9"/>
  <c r="D37" i="11" s="1"/>
  <c r="F35" i="9"/>
  <c r="AC34" i="9"/>
  <c r="T34" i="9"/>
  <c r="R34" i="9"/>
  <c r="O34" i="9"/>
  <c r="G34" i="9"/>
  <c r="F34" i="9"/>
  <c r="L34" i="9" s="1"/>
  <c r="AC33" i="9"/>
  <c r="T33" i="9"/>
  <c r="R33" i="9"/>
  <c r="O33" i="9"/>
  <c r="G33" i="9"/>
  <c r="D36" i="11" s="1"/>
  <c r="F33" i="9"/>
  <c r="E36" i="11" s="1"/>
  <c r="H36" i="11" s="1"/>
  <c r="AC32" i="9"/>
  <c r="T32" i="9"/>
  <c r="R32" i="9"/>
  <c r="O32" i="9"/>
  <c r="G32" i="9"/>
  <c r="F32" i="9"/>
  <c r="L32" i="9" s="1"/>
  <c r="AC31" i="9"/>
  <c r="T31" i="9"/>
  <c r="R31" i="9"/>
  <c r="O31" i="9"/>
  <c r="G31" i="9"/>
  <c r="D35" i="11" s="1"/>
  <c r="F31" i="9"/>
  <c r="E35" i="11" s="1"/>
  <c r="H35" i="11" s="1"/>
  <c r="AC30" i="9"/>
  <c r="U30" i="9"/>
  <c r="T30" i="9"/>
  <c r="R30" i="9"/>
  <c r="O30" i="9"/>
  <c r="H30" i="9"/>
  <c r="G30" i="9"/>
  <c r="F30" i="9"/>
  <c r="L30" i="9" s="1"/>
  <c r="AC29" i="9"/>
  <c r="U29" i="9"/>
  <c r="Y29" i="9" s="1"/>
  <c r="Z29" i="9" s="1"/>
  <c r="T29" i="9"/>
  <c r="R29" i="9"/>
  <c r="O29" i="9"/>
  <c r="G29" i="9"/>
  <c r="D34" i="11" s="1"/>
  <c r="F29" i="9"/>
  <c r="E34" i="11" s="1"/>
  <c r="H34" i="11" s="1"/>
  <c r="AC28" i="9"/>
  <c r="T28" i="9"/>
  <c r="R28" i="9"/>
  <c r="O28" i="9"/>
  <c r="G28" i="9"/>
  <c r="F28" i="9"/>
  <c r="L28" i="9" s="1"/>
  <c r="AC27" i="9"/>
  <c r="T27" i="9"/>
  <c r="R27" i="9"/>
  <c r="O27" i="9"/>
  <c r="G27" i="9"/>
  <c r="D33" i="11" s="1"/>
  <c r="F27" i="9"/>
  <c r="AC26" i="9"/>
  <c r="T26" i="9"/>
  <c r="R26" i="9"/>
  <c r="O26" i="9"/>
  <c r="G26" i="9"/>
  <c r="F26" i="9"/>
  <c r="L26" i="9" s="1"/>
  <c r="AC25" i="9"/>
  <c r="T25" i="9"/>
  <c r="R25" i="9"/>
  <c r="O25" i="9"/>
  <c r="G25" i="9"/>
  <c r="D32" i="11" s="1"/>
  <c r="F25" i="9"/>
  <c r="L25" i="9" s="1"/>
  <c r="AC24" i="9"/>
  <c r="U24" i="9"/>
  <c r="Y23" i="9" s="1"/>
  <c r="T24" i="9"/>
  <c r="R24" i="9"/>
  <c r="O24" i="9"/>
  <c r="G24" i="9"/>
  <c r="F24" i="9"/>
  <c r="P24" i="6" s="1"/>
  <c r="E26" i="2" s="1"/>
  <c r="AC23" i="9"/>
  <c r="U23" i="9"/>
  <c r="T23" i="9"/>
  <c r="R23" i="9"/>
  <c r="O23" i="9"/>
  <c r="G23" i="9"/>
  <c r="D31" i="11" s="1"/>
  <c r="F23" i="9"/>
  <c r="L23" i="9" s="1"/>
  <c r="AC22" i="9"/>
  <c r="T22" i="9"/>
  <c r="R22" i="9"/>
  <c r="O22" i="9"/>
  <c r="G22" i="9"/>
  <c r="F22" i="9"/>
  <c r="P22" i="6" s="1"/>
  <c r="R22" i="6" s="1"/>
  <c r="AC21" i="9"/>
  <c r="T21" i="9"/>
  <c r="R21" i="9"/>
  <c r="O21" i="9"/>
  <c r="G21" i="9"/>
  <c r="D30" i="11" s="1"/>
  <c r="F21" i="9"/>
  <c r="L21" i="9" s="1"/>
  <c r="AC20" i="9"/>
  <c r="T20" i="9"/>
  <c r="R20" i="9"/>
  <c r="O20" i="9"/>
  <c r="G20" i="9"/>
  <c r="F20" i="9"/>
  <c r="AC19" i="9"/>
  <c r="T19" i="9"/>
  <c r="R19" i="9"/>
  <c r="O19" i="9"/>
  <c r="G19" i="9"/>
  <c r="D29" i="11" s="1"/>
  <c r="F19" i="9"/>
  <c r="P19" i="6" s="1"/>
  <c r="AC18" i="9"/>
  <c r="T18" i="9"/>
  <c r="R18" i="9"/>
  <c r="O18" i="9"/>
  <c r="G18" i="9"/>
  <c r="F18" i="9"/>
  <c r="P18" i="6" s="1"/>
  <c r="R18" i="6" s="1"/>
  <c r="AC17" i="9"/>
  <c r="T17" i="9"/>
  <c r="R17" i="9"/>
  <c r="O17" i="9"/>
  <c r="G17" i="9"/>
  <c r="D28" i="11" s="1"/>
  <c r="F17" i="9"/>
  <c r="L17" i="9" s="1"/>
  <c r="AC16" i="9"/>
  <c r="U16" i="9"/>
  <c r="Y15" i="9" s="1"/>
  <c r="T16" i="9"/>
  <c r="R16" i="9"/>
  <c r="O16" i="9"/>
  <c r="G16" i="9"/>
  <c r="F16" i="9"/>
  <c r="P16" i="6" s="1"/>
  <c r="AC15" i="9"/>
  <c r="U15" i="9"/>
  <c r="T15" i="9"/>
  <c r="R15" i="9"/>
  <c r="O15" i="9"/>
  <c r="G15" i="9"/>
  <c r="D27" i="11" s="1"/>
  <c r="F15" i="9"/>
  <c r="L15" i="9" s="1"/>
  <c r="AC14" i="9"/>
  <c r="U14" i="9"/>
  <c r="T14" i="9"/>
  <c r="R14" i="9"/>
  <c r="O14" i="9"/>
  <c r="H14" i="9"/>
  <c r="G14" i="9"/>
  <c r="F14" i="9"/>
  <c r="P14" i="6" s="1"/>
  <c r="AC13" i="9"/>
  <c r="U13" i="9"/>
  <c r="T13" i="9"/>
  <c r="R13" i="9"/>
  <c r="O13" i="9"/>
  <c r="G13" i="9"/>
  <c r="F13" i="9"/>
  <c r="P13" i="6" s="1"/>
  <c r="AC12" i="9"/>
  <c r="U12" i="9"/>
  <c r="T12" i="9"/>
  <c r="R12" i="9"/>
  <c r="O12" i="9"/>
  <c r="H12" i="9"/>
  <c r="G12" i="9"/>
  <c r="F12" i="9"/>
  <c r="P12" i="6" s="1"/>
  <c r="E14" i="2" s="1"/>
  <c r="AC11" i="9"/>
  <c r="U11" i="9"/>
  <c r="T11" i="9"/>
  <c r="R11" i="9"/>
  <c r="O11" i="9"/>
  <c r="H11" i="9"/>
  <c r="G11" i="9"/>
  <c r="F11" i="9"/>
  <c r="L11" i="9" s="1"/>
  <c r="AC10" i="9"/>
  <c r="U10" i="9"/>
  <c r="T10" i="9"/>
  <c r="R10" i="9"/>
  <c r="O10" i="9"/>
  <c r="G10" i="9"/>
  <c r="F10" i="9"/>
  <c r="P10" i="6" s="1"/>
  <c r="E12" i="2" s="1"/>
  <c r="AC9" i="9"/>
  <c r="U9" i="9"/>
  <c r="T9" i="9"/>
  <c r="R9" i="9"/>
  <c r="O9" i="9"/>
  <c r="H9" i="9"/>
  <c r="G9" i="9"/>
  <c r="F9" i="9"/>
  <c r="L9" i="9" s="1"/>
  <c r="AC8" i="9"/>
  <c r="U8" i="9"/>
  <c r="T8" i="9"/>
  <c r="R8" i="9"/>
  <c r="O8" i="9"/>
  <c r="G8" i="9"/>
  <c r="F8" i="9"/>
  <c r="P8" i="6" s="1"/>
  <c r="E10" i="2" s="1"/>
  <c r="AC7" i="9"/>
  <c r="U7" i="9"/>
  <c r="Y12" i="9" s="1"/>
  <c r="T7" i="9"/>
  <c r="R7" i="9"/>
  <c r="O7" i="9"/>
  <c r="H7" i="9"/>
  <c r="P13" i="9" s="1"/>
  <c r="G7" i="9"/>
  <c r="D26" i="11" s="1"/>
  <c r="F7" i="9"/>
  <c r="L7" i="9" s="1"/>
  <c r="AC6" i="9"/>
  <c r="Y6" i="9"/>
  <c r="U6" i="9"/>
  <c r="T6" i="9"/>
  <c r="R6" i="9"/>
  <c r="P6" i="9"/>
  <c r="O6" i="9"/>
  <c r="H6" i="9"/>
  <c r="G6" i="9"/>
  <c r="F6" i="9"/>
  <c r="L6" i="9" s="1"/>
  <c r="AC5" i="9"/>
  <c r="Y5" i="9"/>
  <c r="U5" i="9"/>
  <c r="T5" i="9"/>
  <c r="R5" i="9"/>
  <c r="P5" i="9"/>
  <c r="O5" i="9"/>
  <c r="H5" i="9"/>
  <c r="G5" i="9"/>
  <c r="F5" i="9"/>
  <c r="AC4" i="9"/>
  <c r="Y4" i="9"/>
  <c r="Z4" i="9" s="1"/>
  <c r="U4" i="9"/>
  <c r="T4" i="9"/>
  <c r="V4" i="9" s="1"/>
  <c r="W5" i="9" s="1"/>
  <c r="R4" i="9"/>
  <c r="O4" i="9"/>
  <c r="H4" i="9"/>
  <c r="P4" i="9" s="1"/>
  <c r="Q4" i="9" s="1"/>
  <c r="G4" i="9"/>
  <c r="D25" i="11" s="1"/>
  <c r="F4" i="9"/>
  <c r="L4" i="9" s="1"/>
  <c r="K53" i="8"/>
  <c r="J53" i="8"/>
  <c r="I53" i="8"/>
  <c r="H53" i="8"/>
  <c r="G53" i="8"/>
  <c r="F53" i="8"/>
  <c r="E53" i="8"/>
  <c r="D53" i="8"/>
  <c r="C53" i="8"/>
  <c r="B53" i="8"/>
  <c r="K52" i="8"/>
  <c r="J52" i="8"/>
  <c r="I52" i="8"/>
  <c r="H52" i="8"/>
  <c r="G52" i="8"/>
  <c r="F52" i="8"/>
  <c r="E52" i="8"/>
  <c r="D52" i="8"/>
  <c r="C52" i="8"/>
  <c r="B52" i="8"/>
  <c r="K51" i="8"/>
  <c r="J51" i="8"/>
  <c r="I51" i="8"/>
  <c r="H51" i="8"/>
  <c r="G51" i="8"/>
  <c r="F51" i="8"/>
  <c r="E51" i="8"/>
  <c r="D51" i="8"/>
  <c r="C51" i="8"/>
  <c r="B51" i="8"/>
  <c r="K50" i="8"/>
  <c r="J50" i="8"/>
  <c r="I50" i="8"/>
  <c r="H50" i="8"/>
  <c r="G50" i="8"/>
  <c r="F50" i="8"/>
  <c r="E50" i="8"/>
  <c r="D50" i="8"/>
  <c r="C50" i="8"/>
  <c r="B50" i="8"/>
  <c r="K49" i="8"/>
  <c r="J49" i="8"/>
  <c r="I49" i="8"/>
  <c r="H49" i="8"/>
  <c r="G49" i="8"/>
  <c r="F49" i="8"/>
  <c r="E49" i="8"/>
  <c r="D49" i="8"/>
  <c r="C49" i="8"/>
  <c r="B49" i="8"/>
  <c r="K48" i="8"/>
  <c r="J48" i="8"/>
  <c r="I48" i="8"/>
  <c r="H48" i="8"/>
  <c r="G48" i="8"/>
  <c r="F48" i="8"/>
  <c r="E48" i="8"/>
  <c r="D48" i="8"/>
  <c r="C48" i="8"/>
  <c r="B48" i="8"/>
  <c r="K47" i="8"/>
  <c r="J47" i="8"/>
  <c r="I47" i="8"/>
  <c r="H47" i="8"/>
  <c r="G47" i="8"/>
  <c r="F47" i="8"/>
  <c r="E47" i="8"/>
  <c r="D47" i="8"/>
  <c r="C47" i="8"/>
  <c r="B47" i="8"/>
  <c r="K46" i="8"/>
  <c r="J46" i="8"/>
  <c r="I46" i="8"/>
  <c r="H46" i="8"/>
  <c r="G46" i="8"/>
  <c r="F46" i="8"/>
  <c r="E46" i="8"/>
  <c r="D46" i="8"/>
  <c r="C46" i="8"/>
  <c r="B46" i="8"/>
  <c r="K45" i="8"/>
  <c r="J45" i="8"/>
  <c r="I45" i="8"/>
  <c r="H45" i="8"/>
  <c r="G45" i="8"/>
  <c r="F45" i="8"/>
  <c r="E45" i="8"/>
  <c r="D45" i="8"/>
  <c r="C45" i="8"/>
  <c r="B45" i="8"/>
  <c r="K44" i="8"/>
  <c r="J44" i="8"/>
  <c r="I44" i="8"/>
  <c r="H44" i="8"/>
  <c r="G44" i="8"/>
  <c r="F44" i="8"/>
  <c r="E44" i="8"/>
  <c r="D44" i="8"/>
  <c r="C44" i="8"/>
  <c r="B44" i="8"/>
  <c r="K43" i="8"/>
  <c r="J43" i="8"/>
  <c r="I43" i="8"/>
  <c r="H43" i="8"/>
  <c r="G43" i="8"/>
  <c r="F43" i="8"/>
  <c r="E43" i="8"/>
  <c r="D43" i="8"/>
  <c r="C43" i="8"/>
  <c r="B43" i="8"/>
  <c r="K42" i="8"/>
  <c r="J42" i="8"/>
  <c r="I42" i="8"/>
  <c r="H42" i="8"/>
  <c r="G42" i="8"/>
  <c r="F42" i="8"/>
  <c r="E42" i="8"/>
  <c r="D42" i="8"/>
  <c r="C42" i="8"/>
  <c r="B42" i="8"/>
  <c r="K41" i="8"/>
  <c r="J41" i="8"/>
  <c r="I41" i="8"/>
  <c r="H41" i="8"/>
  <c r="G41" i="8"/>
  <c r="F41" i="8"/>
  <c r="E41" i="8"/>
  <c r="D41" i="8"/>
  <c r="C41" i="8"/>
  <c r="B41" i="8"/>
  <c r="K40" i="8"/>
  <c r="J40" i="8"/>
  <c r="I40" i="8"/>
  <c r="H40" i="8"/>
  <c r="G40" i="8"/>
  <c r="F40" i="8"/>
  <c r="E40" i="8"/>
  <c r="D40" i="8"/>
  <c r="C40" i="8"/>
  <c r="B40" i="8"/>
  <c r="C36" i="8"/>
  <c r="B36" i="8"/>
  <c r="C35" i="8"/>
  <c r="B35" i="8"/>
  <c r="E35" i="8" s="1"/>
  <c r="F35" i="8" s="1"/>
  <c r="C34" i="8"/>
  <c r="B34" i="8"/>
  <c r="D34" i="8" s="1"/>
  <c r="C33" i="8"/>
  <c r="B33" i="8"/>
  <c r="C32" i="8"/>
  <c r="B32" i="8"/>
  <c r="C31" i="8"/>
  <c r="B31" i="8"/>
  <c r="C30" i="8"/>
  <c r="B30" i="8"/>
  <c r="C29" i="8"/>
  <c r="B29" i="8"/>
  <c r="C28" i="8"/>
  <c r="B28" i="8"/>
  <c r="C27" i="8"/>
  <c r="B27" i="8"/>
  <c r="C26" i="8"/>
  <c r="B26" i="8"/>
  <c r="C25" i="8"/>
  <c r="B25" i="8"/>
  <c r="C24" i="8"/>
  <c r="B24" i="8"/>
  <c r="C23" i="8"/>
  <c r="B23" i="8"/>
  <c r="D17" i="8"/>
  <c r="O109" i="6"/>
  <c r="N109" i="6"/>
  <c r="M109" i="6"/>
  <c r="L109" i="6"/>
  <c r="K109" i="6"/>
  <c r="J109" i="6"/>
  <c r="H109" i="6"/>
  <c r="G109" i="6"/>
  <c r="E109" i="6"/>
  <c r="D109" i="6"/>
  <c r="C109" i="6"/>
  <c r="B109" i="6"/>
  <c r="O108" i="6"/>
  <c r="O107" i="6"/>
  <c r="N107" i="6"/>
  <c r="M107" i="6"/>
  <c r="L107" i="6"/>
  <c r="K107" i="6"/>
  <c r="J107" i="6"/>
  <c r="H107" i="6"/>
  <c r="G107" i="6"/>
  <c r="E107" i="6"/>
  <c r="C107" i="6"/>
  <c r="B107" i="6"/>
  <c r="O106" i="6"/>
  <c r="N106" i="6"/>
  <c r="M106" i="6"/>
  <c r="L106" i="6"/>
  <c r="K106" i="6"/>
  <c r="J106" i="6"/>
  <c r="H106" i="6"/>
  <c r="G106" i="6"/>
  <c r="F106" i="6"/>
  <c r="E106" i="6"/>
  <c r="C106" i="6"/>
  <c r="O105" i="6"/>
  <c r="N105" i="6"/>
  <c r="M105" i="6"/>
  <c r="L105" i="6"/>
  <c r="K105" i="6"/>
  <c r="J105" i="6"/>
  <c r="I105" i="6"/>
  <c r="H105" i="6"/>
  <c r="G105" i="6"/>
  <c r="F105" i="6"/>
  <c r="E105" i="6"/>
  <c r="D105" i="6"/>
  <c r="C105" i="6"/>
  <c r="B105" i="6"/>
  <c r="O104" i="6"/>
  <c r="N104" i="6"/>
  <c r="M104" i="6"/>
  <c r="K104" i="6"/>
  <c r="J104" i="6"/>
  <c r="H104" i="6"/>
  <c r="F104" i="6"/>
  <c r="E104" i="6"/>
  <c r="C104" i="6"/>
  <c r="O103" i="6"/>
  <c r="N103" i="6"/>
  <c r="M103" i="6"/>
  <c r="K103" i="6"/>
  <c r="J103" i="6"/>
  <c r="H103" i="6"/>
  <c r="E103" i="6"/>
  <c r="D103" i="6"/>
  <c r="C103" i="6"/>
  <c r="O102" i="6"/>
  <c r="N102" i="6"/>
  <c r="M102" i="6"/>
  <c r="D102" i="6"/>
  <c r="O101" i="6"/>
  <c r="N101" i="6"/>
  <c r="M101" i="6"/>
  <c r="L101" i="6"/>
  <c r="K101" i="6"/>
  <c r="J101" i="6"/>
  <c r="I101" i="6"/>
  <c r="H101" i="6"/>
  <c r="G101" i="6"/>
  <c r="F101" i="6"/>
  <c r="E101" i="6"/>
  <c r="D101" i="6"/>
  <c r="C101" i="6"/>
  <c r="B101" i="6"/>
  <c r="O100" i="6"/>
  <c r="N100" i="6"/>
  <c r="M100" i="6"/>
  <c r="L100" i="6"/>
  <c r="K100" i="6"/>
  <c r="J100" i="6"/>
  <c r="I100" i="6"/>
  <c r="H100" i="6"/>
  <c r="G100" i="6"/>
  <c r="F100" i="6"/>
  <c r="E100" i="6"/>
  <c r="D100" i="6"/>
  <c r="C100" i="6"/>
  <c r="B100" i="6"/>
  <c r="O99" i="6"/>
  <c r="N99" i="6"/>
  <c r="M99" i="6"/>
  <c r="K99" i="6"/>
  <c r="J99" i="6"/>
  <c r="I99" i="6"/>
  <c r="H99" i="6"/>
  <c r="E99" i="6"/>
  <c r="D99" i="6"/>
  <c r="C99" i="6"/>
  <c r="B99" i="6"/>
  <c r="O98" i="6"/>
  <c r="N98" i="6"/>
  <c r="M98" i="6"/>
  <c r="L98" i="6"/>
  <c r="K98" i="6"/>
  <c r="J98" i="6"/>
  <c r="I98" i="6"/>
  <c r="H98" i="6"/>
  <c r="G98" i="6"/>
  <c r="F98" i="6"/>
  <c r="E98" i="6"/>
  <c r="D98" i="6"/>
  <c r="C98" i="6"/>
  <c r="B98" i="6"/>
  <c r="O97" i="6"/>
  <c r="N97" i="6"/>
  <c r="M97" i="6"/>
  <c r="L97" i="6"/>
  <c r="K97" i="6"/>
  <c r="J97" i="6"/>
  <c r="I97" i="6"/>
  <c r="H97" i="6"/>
  <c r="G97" i="6"/>
  <c r="F97" i="6"/>
  <c r="E97" i="6"/>
  <c r="D97" i="6"/>
  <c r="C97" i="6"/>
  <c r="B97" i="6"/>
  <c r="O96" i="6"/>
  <c r="N96" i="6"/>
  <c r="M96" i="6"/>
  <c r="K96" i="6"/>
  <c r="J96" i="6"/>
  <c r="C96" i="6"/>
  <c r="O95" i="6"/>
  <c r="N95" i="6"/>
  <c r="M95" i="6"/>
  <c r="G95" i="6"/>
  <c r="F95" i="6"/>
  <c r="E95" i="6"/>
  <c r="D95" i="6"/>
  <c r="B95" i="6"/>
  <c r="O94" i="6"/>
  <c r="N94" i="6"/>
  <c r="M94" i="6"/>
  <c r="L94" i="6"/>
  <c r="K94" i="6"/>
  <c r="J94" i="6"/>
  <c r="I94" i="6"/>
  <c r="H94" i="6"/>
  <c r="G94" i="6"/>
  <c r="F94" i="6"/>
  <c r="E94" i="6"/>
  <c r="D94" i="6"/>
  <c r="C94" i="6"/>
  <c r="B94" i="6"/>
  <c r="O93" i="6"/>
  <c r="N93" i="6"/>
  <c r="M93" i="6"/>
  <c r="L93" i="6"/>
  <c r="K93" i="6"/>
  <c r="J93" i="6"/>
  <c r="H93" i="6"/>
  <c r="E93" i="6"/>
  <c r="C93" i="6"/>
  <c r="O92" i="6"/>
  <c r="N92" i="6"/>
  <c r="M92" i="6"/>
  <c r="L92" i="6"/>
  <c r="K92" i="6"/>
  <c r="J92" i="6"/>
  <c r="I92" i="6"/>
  <c r="H92" i="6"/>
  <c r="G92" i="6"/>
  <c r="F92" i="6"/>
  <c r="E92" i="6"/>
  <c r="D92" i="6"/>
  <c r="C92" i="6"/>
  <c r="B92" i="6"/>
  <c r="O91" i="6"/>
  <c r="N91" i="6"/>
  <c r="M91" i="6"/>
  <c r="L91" i="6"/>
  <c r="K91" i="6"/>
  <c r="J91" i="6"/>
  <c r="H91" i="6"/>
  <c r="F91" i="6"/>
  <c r="E91" i="6"/>
  <c r="D91" i="6"/>
  <c r="C91" i="6"/>
  <c r="B91" i="6"/>
  <c r="D87" i="6"/>
  <c r="C87" i="6"/>
  <c r="B87" i="6"/>
  <c r="D86" i="6"/>
  <c r="C86" i="6"/>
  <c r="B86" i="6"/>
  <c r="F85" i="6"/>
  <c r="D85" i="6"/>
  <c r="C85" i="6"/>
  <c r="B85" i="6"/>
  <c r="E85" i="6" s="1"/>
  <c r="D84" i="6"/>
  <c r="C84" i="6"/>
  <c r="B84" i="6"/>
  <c r="D83" i="6"/>
  <c r="C83" i="6"/>
  <c r="B83" i="6"/>
  <c r="D82" i="6"/>
  <c r="C82" i="6"/>
  <c r="B82" i="6"/>
  <c r="D81" i="6"/>
  <c r="C81" i="6"/>
  <c r="B81" i="6"/>
  <c r="D80" i="6"/>
  <c r="C80" i="6"/>
  <c r="B80" i="6"/>
  <c r="D79" i="6"/>
  <c r="C79" i="6"/>
  <c r="B79" i="6"/>
  <c r="D78" i="6"/>
  <c r="C78" i="6"/>
  <c r="B78" i="6"/>
  <c r="D77" i="6"/>
  <c r="C77" i="6"/>
  <c r="B77" i="6"/>
  <c r="D76" i="6"/>
  <c r="C76" i="6"/>
  <c r="B76" i="6"/>
  <c r="D75" i="6"/>
  <c r="C75" i="6"/>
  <c r="B75" i="6"/>
  <c r="D74" i="6"/>
  <c r="C74" i="6"/>
  <c r="B74" i="6"/>
  <c r="O48" i="6"/>
  <c r="N48" i="6"/>
  <c r="M48" i="6"/>
  <c r="L48" i="6"/>
  <c r="K48" i="6"/>
  <c r="J48" i="6"/>
  <c r="I48" i="6"/>
  <c r="H48" i="6"/>
  <c r="G48" i="6"/>
  <c r="F48" i="6"/>
  <c r="E48" i="6"/>
  <c r="D48" i="6"/>
  <c r="C48" i="6"/>
  <c r="B48" i="6"/>
  <c r="O47" i="6"/>
  <c r="N47" i="6"/>
  <c r="M47" i="6"/>
  <c r="L47" i="6"/>
  <c r="K47" i="6"/>
  <c r="J47" i="6"/>
  <c r="I47" i="6"/>
  <c r="H47" i="6"/>
  <c r="G47" i="6"/>
  <c r="F47" i="6"/>
  <c r="E47" i="6"/>
  <c r="D47" i="6"/>
  <c r="C47" i="6"/>
  <c r="B47" i="6"/>
  <c r="O46" i="6"/>
  <c r="N46" i="6"/>
  <c r="M46" i="6"/>
  <c r="L46" i="6"/>
  <c r="K46" i="6"/>
  <c r="J46" i="6"/>
  <c r="I46" i="6"/>
  <c r="H46" i="6"/>
  <c r="G46" i="6"/>
  <c r="F46" i="6"/>
  <c r="E46" i="6"/>
  <c r="D46" i="6"/>
  <c r="C46" i="6"/>
  <c r="B46" i="6"/>
  <c r="O45" i="6"/>
  <c r="N45" i="6"/>
  <c r="M45" i="6"/>
  <c r="L45" i="6"/>
  <c r="K45" i="6"/>
  <c r="J45" i="6"/>
  <c r="I45" i="6"/>
  <c r="H45" i="6"/>
  <c r="G45" i="6"/>
  <c r="F45" i="6"/>
  <c r="E45" i="6"/>
  <c r="D45" i="6"/>
  <c r="C45" i="6"/>
  <c r="B45" i="6"/>
  <c r="O44" i="6"/>
  <c r="N44" i="6"/>
  <c r="M44" i="6"/>
  <c r="L44" i="6"/>
  <c r="K44" i="6"/>
  <c r="J44" i="6"/>
  <c r="I44" i="6"/>
  <c r="H44" i="6"/>
  <c r="G44" i="6"/>
  <c r="F44" i="6"/>
  <c r="E44" i="6"/>
  <c r="D44" i="6"/>
  <c r="C44" i="6"/>
  <c r="B44" i="6"/>
  <c r="O43" i="6"/>
  <c r="N43" i="6"/>
  <c r="M43" i="6"/>
  <c r="L43" i="6"/>
  <c r="K43" i="6"/>
  <c r="J43" i="6"/>
  <c r="I43" i="6"/>
  <c r="H43" i="6"/>
  <c r="G43" i="6"/>
  <c r="F43" i="6"/>
  <c r="E43" i="6"/>
  <c r="D43" i="6"/>
  <c r="C43" i="6"/>
  <c r="B43" i="6"/>
  <c r="O42" i="6"/>
  <c r="N42" i="6"/>
  <c r="M42" i="6"/>
  <c r="L42" i="6"/>
  <c r="K42" i="6"/>
  <c r="J42" i="6"/>
  <c r="I42" i="6"/>
  <c r="H42" i="6"/>
  <c r="G42" i="6"/>
  <c r="F42" i="6"/>
  <c r="E42" i="6"/>
  <c r="D42" i="6"/>
  <c r="C42" i="6"/>
  <c r="B42" i="6"/>
  <c r="O41" i="6"/>
  <c r="N41" i="6"/>
  <c r="M41" i="6"/>
  <c r="L41" i="6"/>
  <c r="K41" i="6"/>
  <c r="J41" i="6"/>
  <c r="I41" i="6"/>
  <c r="H41" i="6"/>
  <c r="G41" i="6"/>
  <c r="F41" i="6"/>
  <c r="E41" i="6"/>
  <c r="D41" i="6"/>
  <c r="C41" i="6"/>
  <c r="B41" i="6"/>
  <c r="O40" i="6"/>
  <c r="N40" i="6"/>
  <c r="M40" i="6"/>
  <c r="L40" i="6"/>
  <c r="K40" i="6"/>
  <c r="J40" i="6"/>
  <c r="I40" i="6"/>
  <c r="H40" i="6"/>
  <c r="G40" i="6"/>
  <c r="F40" i="6"/>
  <c r="E40" i="6"/>
  <c r="D40" i="6"/>
  <c r="C40" i="6"/>
  <c r="B40" i="6"/>
  <c r="O39" i="6"/>
  <c r="N39" i="6"/>
  <c r="M39" i="6"/>
  <c r="L39" i="6"/>
  <c r="K39" i="6"/>
  <c r="J39" i="6"/>
  <c r="I39" i="6"/>
  <c r="H39" i="6"/>
  <c r="G39" i="6"/>
  <c r="F39" i="6"/>
  <c r="E39" i="6"/>
  <c r="D39" i="6"/>
  <c r="C39" i="6"/>
  <c r="B39" i="6"/>
  <c r="O38" i="6"/>
  <c r="N38" i="6"/>
  <c r="M38" i="6"/>
  <c r="L38" i="6"/>
  <c r="K38" i="6"/>
  <c r="J38" i="6"/>
  <c r="I38" i="6"/>
  <c r="H38" i="6"/>
  <c r="G38" i="6"/>
  <c r="F38" i="6"/>
  <c r="E38" i="6"/>
  <c r="D38" i="6"/>
  <c r="C38" i="6"/>
  <c r="B38" i="6"/>
  <c r="O37" i="6"/>
  <c r="N37" i="6"/>
  <c r="M37" i="6"/>
  <c r="L37" i="6"/>
  <c r="K37" i="6"/>
  <c r="J37" i="6"/>
  <c r="I37" i="6"/>
  <c r="H37" i="6"/>
  <c r="G37" i="6"/>
  <c r="F37" i="6"/>
  <c r="E37" i="6"/>
  <c r="D37" i="6"/>
  <c r="C37" i="6"/>
  <c r="B37" i="6"/>
  <c r="O36" i="6"/>
  <c r="N36" i="6"/>
  <c r="M36" i="6"/>
  <c r="L36" i="6"/>
  <c r="K36" i="6"/>
  <c r="J36" i="6"/>
  <c r="I36" i="6"/>
  <c r="H36" i="6"/>
  <c r="G36" i="6"/>
  <c r="F36" i="6"/>
  <c r="E36" i="6"/>
  <c r="D36" i="6"/>
  <c r="C36" i="6"/>
  <c r="B36" i="6"/>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6" i="6"/>
  <c r="O70" i="6" s="1"/>
  <c r="T71" i="8" s="1"/>
  <c r="N26" i="6"/>
  <c r="N70" i="6" s="1"/>
  <c r="T70" i="8" s="1"/>
  <c r="M26" i="6"/>
  <c r="M70" i="6" s="1"/>
  <c r="T69" i="8" s="1"/>
  <c r="L26" i="6"/>
  <c r="L70" i="6" s="1"/>
  <c r="T68" i="8" s="1"/>
  <c r="K26" i="6"/>
  <c r="K70" i="6" s="1"/>
  <c r="T67" i="8" s="1"/>
  <c r="J26" i="6"/>
  <c r="J70" i="6" s="1"/>
  <c r="T66" i="8" s="1"/>
  <c r="I26" i="6"/>
  <c r="H26" i="6"/>
  <c r="H70" i="6" s="1"/>
  <c r="T64" i="8" s="1"/>
  <c r="G26" i="6"/>
  <c r="G70" i="6" s="1"/>
  <c r="T63" i="8" s="1"/>
  <c r="F26" i="6"/>
  <c r="E26" i="6"/>
  <c r="E70" i="6" s="1"/>
  <c r="T61" i="8" s="1"/>
  <c r="D26" i="6"/>
  <c r="D70" i="6" s="1"/>
  <c r="T60" i="8" s="1"/>
  <c r="C26" i="6"/>
  <c r="C70" i="6" s="1"/>
  <c r="T59" i="8" s="1"/>
  <c r="B26" i="6"/>
  <c r="B70" i="6" s="1"/>
  <c r="T58" i="8" s="1"/>
  <c r="O25" i="6"/>
  <c r="O69" i="6" s="1"/>
  <c r="S71" i="8" s="1"/>
  <c r="N25" i="6"/>
  <c r="M25" i="6"/>
  <c r="L25" i="6"/>
  <c r="K25" i="6"/>
  <c r="J25" i="6"/>
  <c r="I25" i="6"/>
  <c r="H25" i="6"/>
  <c r="G25" i="6"/>
  <c r="F25" i="6"/>
  <c r="E25" i="6"/>
  <c r="D25" i="6"/>
  <c r="C25" i="6"/>
  <c r="B25" i="6"/>
  <c r="O24" i="6"/>
  <c r="O68" i="6" s="1"/>
  <c r="R71" i="8" s="1"/>
  <c r="N24" i="6"/>
  <c r="N68" i="6" s="1"/>
  <c r="R70" i="8" s="1"/>
  <c r="M24" i="6"/>
  <c r="M68" i="6" s="1"/>
  <c r="R69" i="8" s="1"/>
  <c r="L24" i="6"/>
  <c r="L68" i="6" s="1"/>
  <c r="R68" i="8" s="1"/>
  <c r="K24" i="6"/>
  <c r="K68" i="6" s="1"/>
  <c r="R67" i="8" s="1"/>
  <c r="J24" i="6"/>
  <c r="J68" i="6" s="1"/>
  <c r="R66" i="8" s="1"/>
  <c r="I24" i="6"/>
  <c r="H24" i="6"/>
  <c r="H68" i="6" s="1"/>
  <c r="R64" i="8" s="1"/>
  <c r="G24" i="6"/>
  <c r="G68" i="6" s="1"/>
  <c r="R63" i="8" s="1"/>
  <c r="F24" i="6"/>
  <c r="E24" i="6"/>
  <c r="E68" i="6" s="1"/>
  <c r="R61" i="8" s="1"/>
  <c r="D24" i="6"/>
  <c r="C24" i="6"/>
  <c r="C68" i="6" s="1"/>
  <c r="R59" i="8" s="1"/>
  <c r="B24" i="6"/>
  <c r="B68" i="6" s="1"/>
  <c r="R58" i="8" s="1"/>
  <c r="O23" i="6"/>
  <c r="O67" i="6" s="1"/>
  <c r="Q71" i="8" s="1"/>
  <c r="N23" i="6"/>
  <c r="N67" i="6" s="1"/>
  <c r="Q70" i="8" s="1"/>
  <c r="M23" i="6"/>
  <c r="M67" i="6" s="1"/>
  <c r="Q69" i="8" s="1"/>
  <c r="L23" i="6"/>
  <c r="L67" i="6" s="1"/>
  <c r="Q68" i="8" s="1"/>
  <c r="K23" i="6"/>
  <c r="K67" i="6" s="1"/>
  <c r="Q67" i="8" s="1"/>
  <c r="J23" i="6"/>
  <c r="J67" i="6" s="1"/>
  <c r="Q66" i="8" s="1"/>
  <c r="I23" i="6"/>
  <c r="H23" i="6"/>
  <c r="H67" i="6" s="1"/>
  <c r="Q64" i="8" s="1"/>
  <c r="G23" i="6"/>
  <c r="G67" i="6" s="1"/>
  <c r="Q63" i="8" s="1"/>
  <c r="F23" i="6"/>
  <c r="F67" i="6" s="1"/>
  <c r="Q62" i="8" s="1"/>
  <c r="E23" i="6"/>
  <c r="E67" i="6" s="1"/>
  <c r="Q61" i="8" s="1"/>
  <c r="D23" i="6"/>
  <c r="C23" i="6"/>
  <c r="C67" i="6" s="1"/>
  <c r="Q59" i="8" s="1"/>
  <c r="B23" i="6"/>
  <c r="O22" i="6"/>
  <c r="O66" i="6" s="1"/>
  <c r="P71" i="8" s="1"/>
  <c r="N22" i="6"/>
  <c r="N66" i="6" s="1"/>
  <c r="P70" i="8" s="1"/>
  <c r="M22" i="6"/>
  <c r="M66" i="6" s="1"/>
  <c r="P69" i="8" s="1"/>
  <c r="L22" i="6"/>
  <c r="L66" i="6" s="1"/>
  <c r="P68" i="8" s="1"/>
  <c r="K22" i="6"/>
  <c r="K66" i="6" s="1"/>
  <c r="P67" i="8" s="1"/>
  <c r="J22" i="6"/>
  <c r="J66" i="6" s="1"/>
  <c r="P66" i="8" s="1"/>
  <c r="I22" i="6"/>
  <c r="I66" i="6" s="1"/>
  <c r="P65" i="8" s="1"/>
  <c r="H22" i="6"/>
  <c r="H66" i="6" s="1"/>
  <c r="P64" i="8" s="1"/>
  <c r="G22" i="6"/>
  <c r="G66" i="6" s="1"/>
  <c r="P63" i="8" s="1"/>
  <c r="F22" i="6"/>
  <c r="F66" i="6" s="1"/>
  <c r="P62" i="8" s="1"/>
  <c r="E22" i="6"/>
  <c r="E66" i="6" s="1"/>
  <c r="P61" i="8" s="1"/>
  <c r="D22" i="6"/>
  <c r="D66" i="6" s="1"/>
  <c r="P60" i="8" s="1"/>
  <c r="C22" i="6"/>
  <c r="C66" i="6" s="1"/>
  <c r="P59" i="8" s="1"/>
  <c r="B22" i="6"/>
  <c r="B66" i="6" s="1"/>
  <c r="P58" i="8" s="1"/>
  <c r="O21" i="6"/>
  <c r="O65" i="6" s="1"/>
  <c r="O71" i="8" s="1"/>
  <c r="N21" i="6"/>
  <c r="N65" i="6" s="1"/>
  <c r="O70" i="8" s="1"/>
  <c r="M21" i="6"/>
  <c r="M65" i="6" s="1"/>
  <c r="O69" i="8" s="1"/>
  <c r="L21" i="6"/>
  <c r="K21" i="6"/>
  <c r="K65" i="6" s="1"/>
  <c r="O67" i="8" s="1"/>
  <c r="J21" i="6"/>
  <c r="J65" i="6" s="1"/>
  <c r="O66" i="8" s="1"/>
  <c r="I21" i="6"/>
  <c r="H21" i="6"/>
  <c r="H65" i="6" s="1"/>
  <c r="O64" i="8" s="1"/>
  <c r="G21" i="6"/>
  <c r="F21" i="6"/>
  <c r="F65" i="6" s="1"/>
  <c r="O62" i="8" s="1"/>
  <c r="E21" i="6"/>
  <c r="E65" i="6" s="1"/>
  <c r="O61" i="8" s="1"/>
  <c r="D21" i="6"/>
  <c r="C21" i="6"/>
  <c r="C65" i="6" s="1"/>
  <c r="O59" i="8" s="1"/>
  <c r="B21" i="6"/>
  <c r="P20" i="6"/>
  <c r="E22" i="2" s="1"/>
  <c r="O20" i="6"/>
  <c r="O64" i="6" s="1"/>
  <c r="N71" i="8" s="1"/>
  <c r="N20" i="6"/>
  <c r="N64" i="6" s="1"/>
  <c r="N70" i="8" s="1"/>
  <c r="M20" i="6"/>
  <c r="M64" i="6" s="1"/>
  <c r="N69" i="8" s="1"/>
  <c r="L20" i="6"/>
  <c r="K20" i="6"/>
  <c r="K64" i="6" s="1"/>
  <c r="N67" i="8" s="1"/>
  <c r="J20" i="6"/>
  <c r="J64" i="6" s="1"/>
  <c r="N66" i="8" s="1"/>
  <c r="I20" i="6"/>
  <c r="H20" i="6"/>
  <c r="H64" i="6" s="1"/>
  <c r="N64" i="8" s="1"/>
  <c r="G20" i="6"/>
  <c r="F20" i="6"/>
  <c r="E20" i="6"/>
  <c r="E64" i="6" s="1"/>
  <c r="N61" i="8" s="1"/>
  <c r="D20" i="6"/>
  <c r="D64" i="6" s="1"/>
  <c r="N60" i="8" s="1"/>
  <c r="C20" i="6"/>
  <c r="C64" i="6" s="1"/>
  <c r="N59" i="8" s="1"/>
  <c r="B20" i="6"/>
  <c r="O19" i="6"/>
  <c r="O63" i="6" s="1"/>
  <c r="M71" i="8" s="1"/>
  <c r="N19" i="6"/>
  <c r="N63" i="6" s="1"/>
  <c r="M70" i="8" s="1"/>
  <c r="M19" i="6"/>
  <c r="M63" i="6" s="1"/>
  <c r="M69" i="8" s="1"/>
  <c r="L19" i="6"/>
  <c r="K19" i="6"/>
  <c r="J19" i="6"/>
  <c r="I19" i="6"/>
  <c r="H19" i="6"/>
  <c r="G19" i="6"/>
  <c r="F19" i="6"/>
  <c r="E19" i="6"/>
  <c r="D19" i="6"/>
  <c r="D63" i="6" s="1"/>
  <c r="M60" i="8" s="1"/>
  <c r="C19" i="6"/>
  <c r="B19" i="6"/>
  <c r="O18" i="6"/>
  <c r="O62" i="6" s="1"/>
  <c r="L71" i="8" s="1"/>
  <c r="N18" i="6"/>
  <c r="N62" i="6" s="1"/>
  <c r="L70" i="8" s="1"/>
  <c r="M18" i="6"/>
  <c r="M62" i="6" s="1"/>
  <c r="L69" i="8" s="1"/>
  <c r="L18" i="6"/>
  <c r="L62" i="6" s="1"/>
  <c r="L68" i="8" s="1"/>
  <c r="K18" i="6"/>
  <c r="K62" i="6" s="1"/>
  <c r="L67" i="8" s="1"/>
  <c r="J18" i="6"/>
  <c r="J62" i="6" s="1"/>
  <c r="L66" i="8" s="1"/>
  <c r="I18" i="6"/>
  <c r="I62" i="6" s="1"/>
  <c r="L65" i="8" s="1"/>
  <c r="H18" i="6"/>
  <c r="H62" i="6" s="1"/>
  <c r="L64" i="8" s="1"/>
  <c r="G18" i="6"/>
  <c r="G62" i="6" s="1"/>
  <c r="L63" i="8" s="1"/>
  <c r="F18" i="6"/>
  <c r="F62" i="6" s="1"/>
  <c r="L62" i="8" s="1"/>
  <c r="E18" i="6"/>
  <c r="E62" i="6" s="1"/>
  <c r="L61" i="8" s="1"/>
  <c r="D18" i="6"/>
  <c r="D62" i="6" s="1"/>
  <c r="L60" i="8" s="1"/>
  <c r="C18" i="6"/>
  <c r="C62" i="6" s="1"/>
  <c r="L59" i="8" s="1"/>
  <c r="B18" i="6"/>
  <c r="B62" i="6" s="1"/>
  <c r="L58" i="8" s="1"/>
  <c r="O17" i="6"/>
  <c r="O61" i="6" s="1"/>
  <c r="K71" i="8" s="1"/>
  <c r="N17" i="6"/>
  <c r="N61" i="6" s="1"/>
  <c r="K70" i="8" s="1"/>
  <c r="M17" i="6"/>
  <c r="M61" i="6" s="1"/>
  <c r="K69" i="8" s="1"/>
  <c r="L17" i="6"/>
  <c r="L61" i="6" s="1"/>
  <c r="K68" i="8" s="1"/>
  <c r="K17" i="6"/>
  <c r="K61" i="6" s="1"/>
  <c r="K67" i="8" s="1"/>
  <c r="J17" i="6"/>
  <c r="J61" i="6" s="1"/>
  <c r="K66" i="8" s="1"/>
  <c r="I17" i="6"/>
  <c r="I61" i="6" s="1"/>
  <c r="K65" i="8" s="1"/>
  <c r="H17" i="6"/>
  <c r="H61" i="6" s="1"/>
  <c r="K64" i="8" s="1"/>
  <c r="G17" i="6"/>
  <c r="G61" i="6" s="1"/>
  <c r="K63" i="8" s="1"/>
  <c r="F17" i="6"/>
  <c r="F61" i="6" s="1"/>
  <c r="K62" i="8" s="1"/>
  <c r="E17" i="6"/>
  <c r="E61" i="6" s="1"/>
  <c r="K61" i="8" s="1"/>
  <c r="D17" i="6"/>
  <c r="D61" i="6" s="1"/>
  <c r="K60" i="8" s="1"/>
  <c r="C17" i="6"/>
  <c r="C61" i="6" s="1"/>
  <c r="K59" i="8" s="1"/>
  <c r="B17" i="6"/>
  <c r="B61" i="6" s="1"/>
  <c r="K58" i="8" s="1"/>
  <c r="O16" i="6"/>
  <c r="O60" i="6" s="1"/>
  <c r="J71" i="8" s="1"/>
  <c r="N16" i="6"/>
  <c r="N60" i="6" s="1"/>
  <c r="J70" i="8" s="1"/>
  <c r="M16" i="6"/>
  <c r="M60" i="6" s="1"/>
  <c r="J69" i="8" s="1"/>
  <c r="L16" i="6"/>
  <c r="K16" i="6"/>
  <c r="K60" i="6" s="1"/>
  <c r="J67" i="8" s="1"/>
  <c r="J16" i="6"/>
  <c r="J60" i="6" s="1"/>
  <c r="J66" i="8" s="1"/>
  <c r="I16" i="6"/>
  <c r="I60" i="6" s="1"/>
  <c r="J65" i="8" s="1"/>
  <c r="H16" i="6"/>
  <c r="H60" i="6" s="1"/>
  <c r="J64" i="8" s="1"/>
  <c r="G16" i="6"/>
  <c r="F16" i="6"/>
  <c r="E16" i="6"/>
  <c r="E60" i="6" s="1"/>
  <c r="J61" i="8" s="1"/>
  <c r="D16" i="6"/>
  <c r="D60" i="6" s="1"/>
  <c r="J60" i="8" s="1"/>
  <c r="C16" i="6"/>
  <c r="C60" i="6" s="1"/>
  <c r="J59" i="8" s="1"/>
  <c r="B16" i="6"/>
  <c r="B60" i="6" s="1"/>
  <c r="J58" i="8" s="1"/>
  <c r="O15" i="6"/>
  <c r="O59" i="6" s="1"/>
  <c r="I71" i="8" s="1"/>
  <c r="N15" i="6"/>
  <c r="N59" i="6" s="1"/>
  <c r="I70" i="8" s="1"/>
  <c r="M15" i="6"/>
  <c r="M59" i="6" s="1"/>
  <c r="I69" i="8" s="1"/>
  <c r="L15" i="6"/>
  <c r="L59" i="6" s="1"/>
  <c r="I68" i="8" s="1"/>
  <c r="K15" i="6"/>
  <c r="K59" i="6" s="1"/>
  <c r="I67" i="8" s="1"/>
  <c r="J15" i="6"/>
  <c r="J59" i="6" s="1"/>
  <c r="I66" i="8" s="1"/>
  <c r="I15" i="6"/>
  <c r="I59" i="6" s="1"/>
  <c r="I65" i="8" s="1"/>
  <c r="H15" i="6"/>
  <c r="H59" i="6" s="1"/>
  <c r="I64" i="8" s="1"/>
  <c r="G15" i="6"/>
  <c r="G59" i="6" s="1"/>
  <c r="I63" i="8" s="1"/>
  <c r="F15" i="6"/>
  <c r="F59" i="6" s="1"/>
  <c r="I62" i="8" s="1"/>
  <c r="E15" i="6"/>
  <c r="E59" i="6" s="1"/>
  <c r="I61" i="8" s="1"/>
  <c r="D15" i="6"/>
  <c r="D59" i="6" s="1"/>
  <c r="I60" i="8" s="1"/>
  <c r="C15" i="6"/>
  <c r="C59" i="6" s="1"/>
  <c r="I59" i="8" s="1"/>
  <c r="B15" i="6"/>
  <c r="B59" i="6" s="1"/>
  <c r="I58" i="8" s="1"/>
  <c r="O14" i="6"/>
  <c r="O58" i="6" s="1"/>
  <c r="H71" i="8" s="1"/>
  <c r="N14" i="6"/>
  <c r="N58" i="6" s="1"/>
  <c r="H70" i="8" s="1"/>
  <c r="M14" i="6"/>
  <c r="M58" i="6" s="1"/>
  <c r="H69" i="8" s="1"/>
  <c r="L14" i="6"/>
  <c r="L58" i="6" s="1"/>
  <c r="H68" i="8" s="1"/>
  <c r="K14" i="6"/>
  <c r="K58" i="6" s="1"/>
  <c r="H67" i="8" s="1"/>
  <c r="J14" i="6"/>
  <c r="J58" i="6" s="1"/>
  <c r="H66" i="8" s="1"/>
  <c r="I14" i="6"/>
  <c r="I58" i="6" s="1"/>
  <c r="H65" i="8" s="1"/>
  <c r="H14" i="6"/>
  <c r="H58" i="6" s="1"/>
  <c r="H64" i="8" s="1"/>
  <c r="G14" i="6"/>
  <c r="G58" i="6" s="1"/>
  <c r="H63" i="8" s="1"/>
  <c r="F14" i="6"/>
  <c r="F58" i="6" s="1"/>
  <c r="H62" i="8" s="1"/>
  <c r="E14" i="6"/>
  <c r="E58" i="6" s="1"/>
  <c r="H61" i="8" s="1"/>
  <c r="D14" i="6"/>
  <c r="D58" i="6" s="1"/>
  <c r="H60" i="8" s="1"/>
  <c r="C14" i="6"/>
  <c r="C58" i="6" s="1"/>
  <c r="H59" i="8" s="1"/>
  <c r="B14" i="6"/>
  <c r="B58" i="6" s="1"/>
  <c r="H58" i="8" s="1"/>
  <c r="O13" i="6"/>
  <c r="O57" i="6" s="1"/>
  <c r="G71" i="8" s="1"/>
  <c r="N13" i="6"/>
  <c r="N57" i="6" s="1"/>
  <c r="G70" i="8" s="1"/>
  <c r="M13" i="6"/>
  <c r="M57" i="6" s="1"/>
  <c r="G69" i="8" s="1"/>
  <c r="L13" i="6"/>
  <c r="K13" i="6"/>
  <c r="K57" i="6" s="1"/>
  <c r="G67" i="8" s="1"/>
  <c r="J13" i="6"/>
  <c r="J57" i="6" s="1"/>
  <c r="G66" i="8" s="1"/>
  <c r="I13" i="6"/>
  <c r="H13" i="6"/>
  <c r="G13" i="6"/>
  <c r="F13" i="6"/>
  <c r="E13" i="6"/>
  <c r="D13" i="6"/>
  <c r="C13" i="6"/>
  <c r="C57" i="6" s="1"/>
  <c r="G59" i="8" s="1"/>
  <c r="B13" i="6"/>
  <c r="O12" i="6"/>
  <c r="O56" i="6" s="1"/>
  <c r="F71" i="8" s="1"/>
  <c r="N12" i="6"/>
  <c r="N56" i="6" s="1"/>
  <c r="F70" i="8" s="1"/>
  <c r="M12" i="6"/>
  <c r="M56" i="6" s="1"/>
  <c r="F69" i="8" s="1"/>
  <c r="L12" i="6"/>
  <c r="K12" i="6"/>
  <c r="J12" i="6"/>
  <c r="I12" i="6"/>
  <c r="H12" i="6"/>
  <c r="G12" i="6"/>
  <c r="G56" i="6" s="1"/>
  <c r="F63" i="8" s="1"/>
  <c r="F12" i="6"/>
  <c r="F56" i="6" s="1"/>
  <c r="F62" i="8" s="1"/>
  <c r="E12" i="6"/>
  <c r="E56" i="6" s="1"/>
  <c r="F61" i="8" s="1"/>
  <c r="D12" i="6"/>
  <c r="D56" i="6" s="1"/>
  <c r="F60" i="8" s="1"/>
  <c r="C12" i="6"/>
  <c r="B12" i="6"/>
  <c r="B56" i="6" s="1"/>
  <c r="F58" i="8" s="1"/>
  <c r="O11" i="6"/>
  <c r="O55" i="6" s="1"/>
  <c r="E71" i="8" s="1"/>
  <c r="N11" i="6"/>
  <c r="N55" i="6" s="1"/>
  <c r="E70" i="8" s="1"/>
  <c r="M11" i="6"/>
  <c r="M55" i="6" s="1"/>
  <c r="E69" i="8" s="1"/>
  <c r="L11" i="6"/>
  <c r="L55" i="6" s="1"/>
  <c r="E68" i="8" s="1"/>
  <c r="K11" i="6"/>
  <c r="K55" i="6" s="1"/>
  <c r="E67" i="8" s="1"/>
  <c r="J11" i="6"/>
  <c r="J55" i="6" s="1"/>
  <c r="E66" i="8" s="1"/>
  <c r="I11" i="6"/>
  <c r="I55" i="6" s="1"/>
  <c r="E65" i="8" s="1"/>
  <c r="H11" i="6"/>
  <c r="H55" i="6" s="1"/>
  <c r="E64" i="8" s="1"/>
  <c r="G11" i="6"/>
  <c r="G55" i="6" s="1"/>
  <c r="E63" i="8" s="1"/>
  <c r="F11" i="6"/>
  <c r="F55" i="6" s="1"/>
  <c r="E62" i="8" s="1"/>
  <c r="E11" i="6"/>
  <c r="E55" i="6" s="1"/>
  <c r="E61" i="8" s="1"/>
  <c r="D11" i="6"/>
  <c r="D55" i="6" s="1"/>
  <c r="E60" i="8" s="1"/>
  <c r="C11" i="6"/>
  <c r="C55" i="6" s="1"/>
  <c r="E59" i="8" s="1"/>
  <c r="B11" i="6"/>
  <c r="B55" i="6" s="1"/>
  <c r="E58" i="8" s="1"/>
  <c r="O10" i="6"/>
  <c r="O54" i="6" s="1"/>
  <c r="D71" i="8" s="1"/>
  <c r="N10" i="6"/>
  <c r="N54" i="6" s="1"/>
  <c r="D70" i="8" s="1"/>
  <c r="M10" i="6"/>
  <c r="M54" i="6" s="1"/>
  <c r="D69" i="8" s="1"/>
  <c r="L10" i="6"/>
  <c r="L54" i="6" s="1"/>
  <c r="D68" i="8" s="1"/>
  <c r="K10" i="6"/>
  <c r="K54" i="6" s="1"/>
  <c r="D67" i="8" s="1"/>
  <c r="J10" i="6"/>
  <c r="J54" i="6" s="1"/>
  <c r="D66" i="8" s="1"/>
  <c r="I10" i="6"/>
  <c r="H10" i="6"/>
  <c r="H54" i="6" s="1"/>
  <c r="D64" i="8" s="1"/>
  <c r="G10" i="6"/>
  <c r="F10" i="6"/>
  <c r="E10" i="6"/>
  <c r="E54" i="6" s="1"/>
  <c r="D61" i="8" s="1"/>
  <c r="D10" i="6"/>
  <c r="C10" i="6"/>
  <c r="C54" i="6" s="1"/>
  <c r="D59" i="8" s="1"/>
  <c r="B10" i="6"/>
  <c r="O9" i="6"/>
  <c r="O53" i="6" s="1"/>
  <c r="C71" i="8" s="1"/>
  <c r="N9" i="6"/>
  <c r="N53" i="6" s="1"/>
  <c r="C70" i="8" s="1"/>
  <c r="M9" i="6"/>
  <c r="M53" i="6" s="1"/>
  <c r="C69" i="8" s="1"/>
  <c r="L9" i="6"/>
  <c r="L53" i="6" s="1"/>
  <c r="C68" i="8" s="1"/>
  <c r="K9" i="6"/>
  <c r="K53" i="6" s="1"/>
  <c r="C67" i="8" s="1"/>
  <c r="J9" i="6"/>
  <c r="J53" i="6" s="1"/>
  <c r="C66" i="8" s="1"/>
  <c r="I9" i="6"/>
  <c r="I53" i="6" s="1"/>
  <c r="C65" i="8" s="1"/>
  <c r="H9" i="6"/>
  <c r="H53" i="6" s="1"/>
  <c r="C64" i="8" s="1"/>
  <c r="G9" i="6"/>
  <c r="G53" i="6" s="1"/>
  <c r="C63" i="8" s="1"/>
  <c r="F9" i="6"/>
  <c r="F53" i="6" s="1"/>
  <c r="C62" i="8" s="1"/>
  <c r="E9" i="6"/>
  <c r="E53" i="6" s="1"/>
  <c r="C61" i="8" s="1"/>
  <c r="D9" i="6"/>
  <c r="D53" i="6" s="1"/>
  <c r="C60" i="8" s="1"/>
  <c r="C9" i="6"/>
  <c r="C53" i="6" s="1"/>
  <c r="C59" i="8" s="1"/>
  <c r="B9" i="6"/>
  <c r="B53" i="6" s="1"/>
  <c r="C58" i="8" s="1"/>
  <c r="O8" i="6"/>
  <c r="O52" i="6" s="1"/>
  <c r="B71" i="8" s="1"/>
  <c r="N8" i="6"/>
  <c r="N52" i="6" s="1"/>
  <c r="B70" i="8" s="1"/>
  <c r="M8" i="6"/>
  <c r="M52" i="6" s="1"/>
  <c r="B69" i="8" s="1"/>
  <c r="L8" i="6"/>
  <c r="L52" i="6" s="1"/>
  <c r="B68" i="8" s="1"/>
  <c r="K8" i="6"/>
  <c r="J8" i="6"/>
  <c r="I8" i="6"/>
  <c r="H8" i="6"/>
  <c r="G8" i="6"/>
  <c r="F8" i="6"/>
  <c r="F52" i="6" s="1"/>
  <c r="B62" i="8" s="1"/>
  <c r="E8" i="6"/>
  <c r="D8" i="6"/>
  <c r="D52" i="6" s="1"/>
  <c r="B60" i="8" s="1"/>
  <c r="C8" i="6"/>
  <c r="C52" i="6" s="1"/>
  <c r="B59" i="8" s="1"/>
  <c r="B8" i="6"/>
  <c r="B52" i="6" s="1"/>
  <c r="B58" i="8" s="1"/>
  <c r="O35" i="5"/>
  <c r="N35" i="5"/>
  <c r="M35" i="5"/>
  <c r="L35" i="5"/>
  <c r="K35" i="5"/>
  <c r="J35" i="5"/>
  <c r="I35" i="5"/>
  <c r="H35" i="5"/>
  <c r="G35" i="5"/>
  <c r="F35" i="5"/>
  <c r="E35" i="5"/>
  <c r="D35" i="5"/>
  <c r="C35" i="5"/>
  <c r="B35" i="5"/>
  <c r="O34" i="5"/>
  <c r="N34" i="5"/>
  <c r="M34" i="5"/>
  <c r="L34" i="5"/>
  <c r="K34" i="5"/>
  <c r="J34" i="5"/>
  <c r="I34" i="5"/>
  <c r="H34" i="5"/>
  <c r="G34" i="5"/>
  <c r="F34" i="5"/>
  <c r="E34" i="5"/>
  <c r="D34" i="5"/>
  <c r="C34" i="5"/>
  <c r="B34" i="5"/>
  <c r="O33" i="5"/>
  <c r="N33" i="5"/>
  <c r="M33" i="5"/>
  <c r="L33" i="5"/>
  <c r="K33" i="5"/>
  <c r="J33" i="5"/>
  <c r="I33" i="5"/>
  <c r="H33" i="5"/>
  <c r="G33" i="5"/>
  <c r="F33" i="5"/>
  <c r="E33" i="5"/>
  <c r="D33" i="5"/>
  <c r="C33" i="5"/>
  <c r="B33" i="5"/>
  <c r="O32" i="5"/>
  <c r="N32" i="5"/>
  <c r="M32" i="5"/>
  <c r="L32" i="5"/>
  <c r="K32" i="5"/>
  <c r="J32" i="5"/>
  <c r="I32" i="5"/>
  <c r="H32" i="5"/>
  <c r="G32" i="5"/>
  <c r="F32" i="5"/>
  <c r="E32" i="5"/>
  <c r="D32" i="5"/>
  <c r="C32" i="5"/>
  <c r="B32" i="5"/>
  <c r="O31" i="5"/>
  <c r="N31" i="5"/>
  <c r="M31" i="5"/>
  <c r="L31" i="5"/>
  <c r="K31" i="5"/>
  <c r="J31" i="5"/>
  <c r="I31" i="5"/>
  <c r="H31" i="5"/>
  <c r="G31" i="5"/>
  <c r="F31" i="5"/>
  <c r="E31" i="5"/>
  <c r="D31" i="5"/>
  <c r="C31" i="5"/>
  <c r="B31" i="5"/>
  <c r="O30" i="5"/>
  <c r="N30" i="5"/>
  <c r="M30" i="5"/>
  <c r="L30" i="5"/>
  <c r="K30" i="5"/>
  <c r="J30" i="5"/>
  <c r="I30" i="5"/>
  <c r="H30" i="5"/>
  <c r="G30" i="5"/>
  <c r="F30" i="5"/>
  <c r="E30" i="5"/>
  <c r="D30" i="5"/>
  <c r="C30" i="5"/>
  <c r="B30" i="5"/>
  <c r="O29" i="5"/>
  <c r="N29" i="5"/>
  <c r="M29" i="5"/>
  <c r="L29" i="5"/>
  <c r="K29" i="5"/>
  <c r="J29" i="5"/>
  <c r="I29" i="5"/>
  <c r="H29" i="5"/>
  <c r="G29" i="5"/>
  <c r="F29" i="5"/>
  <c r="E29" i="5"/>
  <c r="D29" i="5"/>
  <c r="C29" i="5"/>
  <c r="B29" i="5"/>
  <c r="O28" i="5"/>
  <c r="N28" i="5"/>
  <c r="M28" i="5"/>
  <c r="L28" i="5"/>
  <c r="K28" i="5"/>
  <c r="J28" i="5"/>
  <c r="I28" i="5"/>
  <c r="H28" i="5"/>
  <c r="G28" i="5"/>
  <c r="F28" i="5"/>
  <c r="E28" i="5"/>
  <c r="D28" i="5"/>
  <c r="C28" i="5"/>
  <c r="B28" i="5"/>
  <c r="O27" i="5"/>
  <c r="N27" i="5"/>
  <c r="M27" i="5"/>
  <c r="L27" i="5"/>
  <c r="K27" i="5"/>
  <c r="J27" i="5"/>
  <c r="I27" i="5"/>
  <c r="H27" i="5"/>
  <c r="G27" i="5"/>
  <c r="F27" i="5"/>
  <c r="E27" i="5"/>
  <c r="D27" i="5"/>
  <c r="C27" i="5"/>
  <c r="B27" i="5"/>
  <c r="O26" i="5"/>
  <c r="N26" i="5"/>
  <c r="M26" i="5"/>
  <c r="L26" i="5"/>
  <c r="K26" i="5"/>
  <c r="J26" i="5"/>
  <c r="I26" i="5"/>
  <c r="H26" i="5"/>
  <c r="G26" i="5"/>
  <c r="F26" i="5"/>
  <c r="E26" i="5"/>
  <c r="D26" i="5"/>
  <c r="C26" i="5"/>
  <c r="B26" i="5"/>
  <c r="O25" i="5"/>
  <c r="N25" i="5"/>
  <c r="M25" i="5"/>
  <c r="L25" i="5"/>
  <c r="K25" i="5"/>
  <c r="J25" i="5"/>
  <c r="I25" i="5"/>
  <c r="H25" i="5"/>
  <c r="G25" i="5"/>
  <c r="F25" i="5"/>
  <c r="E25" i="5"/>
  <c r="D25" i="5"/>
  <c r="C25" i="5"/>
  <c r="B25" i="5"/>
  <c r="O24" i="5"/>
  <c r="N24" i="5"/>
  <c r="M24" i="5"/>
  <c r="L24" i="5"/>
  <c r="K24" i="5"/>
  <c r="J24" i="5"/>
  <c r="I24" i="5"/>
  <c r="H24" i="5"/>
  <c r="G24" i="5"/>
  <c r="F24" i="5"/>
  <c r="E24" i="5"/>
  <c r="D24" i="5"/>
  <c r="C24" i="5"/>
  <c r="B24" i="5"/>
  <c r="O23" i="5"/>
  <c r="N23" i="5"/>
  <c r="M23" i="5"/>
  <c r="L23" i="5"/>
  <c r="K23" i="5"/>
  <c r="J23" i="5"/>
  <c r="I23" i="5"/>
  <c r="H23" i="5"/>
  <c r="G23" i="5"/>
  <c r="F23" i="5"/>
  <c r="E23" i="5"/>
  <c r="D23" i="5"/>
  <c r="C23" i="5"/>
  <c r="B23" i="5"/>
  <c r="O22" i="5"/>
  <c r="N22" i="5"/>
  <c r="M22" i="5"/>
  <c r="L22" i="5"/>
  <c r="K22" i="5"/>
  <c r="J22" i="5"/>
  <c r="I22" i="5"/>
  <c r="H22" i="5"/>
  <c r="G22" i="5"/>
  <c r="F22" i="5"/>
  <c r="E22" i="5"/>
  <c r="D22" i="5"/>
  <c r="C22" i="5"/>
  <c r="B22" i="5"/>
  <c r="O18" i="5"/>
  <c r="N18" i="5"/>
  <c r="M18" i="5"/>
  <c r="L18" i="5"/>
  <c r="K18" i="5"/>
  <c r="J18" i="5"/>
  <c r="I18" i="5"/>
  <c r="H18" i="5"/>
  <c r="G18" i="5"/>
  <c r="F18" i="5"/>
  <c r="E18" i="5"/>
  <c r="D18" i="5"/>
  <c r="C18" i="5"/>
  <c r="B18" i="5"/>
  <c r="O17" i="5"/>
  <c r="N17" i="5"/>
  <c r="M17" i="5"/>
  <c r="L17" i="5"/>
  <c r="K17" i="5"/>
  <c r="J17" i="5"/>
  <c r="I17" i="5"/>
  <c r="H17" i="5"/>
  <c r="G17" i="5"/>
  <c r="F17" i="5"/>
  <c r="E17" i="5"/>
  <c r="D17" i="5"/>
  <c r="C17" i="5"/>
  <c r="B17" i="5"/>
  <c r="O16" i="5"/>
  <c r="N16" i="5"/>
  <c r="M16" i="5"/>
  <c r="L16" i="5"/>
  <c r="K16" i="5"/>
  <c r="J16" i="5"/>
  <c r="I16" i="5"/>
  <c r="H16" i="5"/>
  <c r="G16" i="5"/>
  <c r="F16" i="5"/>
  <c r="E16" i="5"/>
  <c r="D16" i="5"/>
  <c r="C16" i="5"/>
  <c r="B16" i="5"/>
  <c r="O15" i="5"/>
  <c r="N15" i="5"/>
  <c r="M15" i="5"/>
  <c r="L15" i="5"/>
  <c r="K15" i="5"/>
  <c r="J15" i="5"/>
  <c r="I15" i="5"/>
  <c r="H15" i="5"/>
  <c r="G15" i="5"/>
  <c r="F15" i="5"/>
  <c r="E15" i="5"/>
  <c r="D15" i="5"/>
  <c r="C15" i="5"/>
  <c r="B15" i="5"/>
  <c r="O14" i="5"/>
  <c r="N14" i="5"/>
  <c r="M14" i="5"/>
  <c r="L14" i="5"/>
  <c r="K14" i="5"/>
  <c r="J14" i="5"/>
  <c r="I14" i="5"/>
  <c r="H14" i="5"/>
  <c r="G14" i="5"/>
  <c r="F14" i="5"/>
  <c r="E14" i="5"/>
  <c r="D14" i="5"/>
  <c r="C14" i="5"/>
  <c r="B14" i="5"/>
  <c r="O13" i="5"/>
  <c r="N13" i="5"/>
  <c r="M13" i="5"/>
  <c r="L13" i="5"/>
  <c r="K13" i="5"/>
  <c r="J13" i="5"/>
  <c r="I13" i="5"/>
  <c r="H13" i="5"/>
  <c r="G13" i="5"/>
  <c r="F13" i="5"/>
  <c r="E13" i="5"/>
  <c r="D13" i="5"/>
  <c r="C13" i="5"/>
  <c r="B13" i="5"/>
  <c r="O12" i="5"/>
  <c r="N12" i="5"/>
  <c r="M12" i="5"/>
  <c r="L12" i="5"/>
  <c r="K12" i="5"/>
  <c r="J12" i="5"/>
  <c r="I12" i="5"/>
  <c r="H12" i="5"/>
  <c r="G12" i="5"/>
  <c r="F12" i="5"/>
  <c r="E12" i="5"/>
  <c r="D12" i="5"/>
  <c r="C12" i="5"/>
  <c r="B12" i="5"/>
  <c r="O11" i="5"/>
  <c r="N11" i="5"/>
  <c r="M11" i="5"/>
  <c r="L11" i="5"/>
  <c r="K11" i="5"/>
  <c r="J11" i="5"/>
  <c r="I11" i="5"/>
  <c r="H11" i="5"/>
  <c r="G11" i="5"/>
  <c r="F11" i="5"/>
  <c r="E11" i="5"/>
  <c r="D11" i="5"/>
  <c r="C11" i="5"/>
  <c r="B11" i="5"/>
  <c r="O10" i="5"/>
  <c r="N10" i="5"/>
  <c r="M10" i="5"/>
  <c r="L10" i="5"/>
  <c r="K10" i="5"/>
  <c r="J10" i="5"/>
  <c r="I10" i="5"/>
  <c r="H10" i="5"/>
  <c r="G10" i="5"/>
  <c r="F10" i="5"/>
  <c r="E10" i="5"/>
  <c r="D10" i="5"/>
  <c r="C10" i="5"/>
  <c r="B10" i="5"/>
  <c r="O9" i="5"/>
  <c r="N9" i="5"/>
  <c r="M9" i="5"/>
  <c r="L9" i="5"/>
  <c r="K9" i="5"/>
  <c r="J9" i="5"/>
  <c r="I9" i="5"/>
  <c r="H9" i="5"/>
  <c r="G9" i="5"/>
  <c r="F9" i="5"/>
  <c r="E9" i="5"/>
  <c r="D9" i="5"/>
  <c r="C9" i="5"/>
  <c r="B9" i="5"/>
  <c r="O8" i="5"/>
  <c r="N8" i="5"/>
  <c r="M8" i="5"/>
  <c r="L8" i="5"/>
  <c r="K8" i="5"/>
  <c r="J8" i="5"/>
  <c r="I8" i="5"/>
  <c r="H8" i="5"/>
  <c r="G8" i="5"/>
  <c r="F8" i="5"/>
  <c r="E8" i="5"/>
  <c r="D8" i="5"/>
  <c r="C8" i="5"/>
  <c r="B8" i="5"/>
  <c r="O7" i="5"/>
  <c r="N7" i="5"/>
  <c r="M7" i="5"/>
  <c r="L7" i="5"/>
  <c r="K7" i="5"/>
  <c r="J7" i="5"/>
  <c r="I7" i="5"/>
  <c r="H7" i="5"/>
  <c r="G7" i="5"/>
  <c r="F7" i="5"/>
  <c r="E7" i="5"/>
  <c r="D7" i="5"/>
  <c r="C7" i="5"/>
  <c r="B7" i="5"/>
  <c r="O6" i="5"/>
  <c r="N6" i="5"/>
  <c r="M6" i="5"/>
  <c r="L6" i="5"/>
  <c r="K6" i="5"/>
  <c r="J6" i="5"/>
  <c r="I6" i="5"/>
  <c r="H6" i="5"/>
  <c r="G6" i="5"/>
  <c r="F6" i="5"/>
  <c r="E6" i="5"/>
  <c r="D6" i="5"/>
  <c r="C6" i="5"/>
  <c r="B6" i="5"/>
  <c r="O5" i="5"/>
  <c r="N5" i="5"/>
  <c r="M5" i="5"/>
  <c r="L5" i="5"/>
  <c r="K5" i="5"/>
  <c r="J5" i="5"/>
  <c r="I5" i="5"/>
  <c r="H5" i="5"/>
  <c r="G5" i="5"/>
  <c r="F5" i="5"/>
  <c r="E5" i="5"/>
  <c r="D5" i="5"/>
  <c r="C5" i="5"/>
  <c r="B5" i="5"/>
  <c r="F23" i="4"/>
  <c r="E23" i="4"/>
  <c r="G23" i="4" s="1"/>
  <c r="F22" i="4"/>
  <c r="E22" i="4"/>
  <c r="F21" i="4"/>
  <c r="E21" i="4"/>
  <c r="G21" i="4" s="1"/>
  <c r="F20" i="4"/>
  <c r="E20" i="4"/>
  <c r="H20" i="4" s="1"/>
  <c r="F19" i="4"/>
  <c r="E19" i="4"/>
  <c r="H19" i="4" s="1"/>
  <c r="F18" i="4"/>
  <c r="E18" i="4"/>
  <c r="F17" i="4"/>
  <c r="E17" i="4"/>
  <c r="F16" i="4"/>
  <c r="E16" i="4"/>
  <c r="F15" i="4"/>
  <c r="E15" i="4"/>
  <c r="H15" i="4" s="1"/>
  <c r="F14" i="4"/>
  <c r="E14" i="4"/>
  <c r="H14" i="4" s="1"/>
  <c r="B14" i="4"/>
  <c r="F13" i="4"/>
  <c r="E13" i="4"/>
  <c r="F12" i="4"/>
  <c r="E12" i="4"/>
  <c r="G12" i="4" s="1"/>
  <c r="F11" i="4"/>
  <c r="E11" i="4"/>
  <c r="H11" i="4" s="1"/>
  <c r="F10" i="4"/>
  <c r="E10" i="4"/>
  <c r="F9" i="4"/>
  <c r="E9" i="4"/>
  <c r="F8" i="4"/>
  <c r="E8" i="4"/>
  <c r="H8" i="4" s="1"/>
  <c r="F7" i="4"/>
  <c r="E7" i="4"/>
  <c r="F6" i="4"/>
  <c r="E6" i="4"/>
  <c r="H6" i="4" s="1"/>
  <c r="F5" i="4"/>
  <c r="E5" i="4"/>
  <c r="P18" i="3"/>
  <c r="K18" i="3"/>
  <c r="AE16" i="11" s="1"/>
  <c r="E18" i="3"/>
  <c r="D18" i="3"/>
  <c r="AD16" i="11" s="1"/>
  <c r="R17" i="3"/>
  <c r="P17" i="3"/>
  <c r="K17" i="3"/>
  <c r="AE10" i="11" s="1"/>
  <c r="E17" i="3"/>
  <c r="D17" i="3"/>
  <c r="AD10" i="11" s="1"/>
  <c r="R16" i="3"/>
  <c r="P16" i="3"/>
  <c r="K16" i="3"/>
  <c r="AE20" i="11" s="1"/>
  <c r="J16" i="3"/>
  <c r="I16" i="3"/>
  <c r="H16" i="3"/>
  <c r="E16" i="3"/>
  <c r="D16" i="3"/>
  <c r="AD20" i="11" s="1"/>
  <c r="AF20" i="11" s="1"/>
  <c r="W16" i="3" s="1"/>
  <c r="C16" i="3"/>
  <c r="P15" i="3"/>
  <c r="K15" i="3"/>
  <c r="AE12" i="11" s="1"/>
  <c r="E15" i="3"/>
  <c r="D15" i="3"/>
  <c r="AD12" i="11" s="1"/>
  <c r="P14" i="3"/>
  <c r="O14" i="3"/>
  <c r="K14" i="3"/>
  <c r="AE9" i="11" s="1"/>
  <c r="E14" i="3"/>
  <c r="D14" i="3"/>
  <c r="AD9" i="11" s="1"/>
  <c r="P13" i="3"/>
  <c r="K13" i="3"/>
  <c r="AE19" i="11" s="1"/>
  <c r="E13" i="3"/>
  <c r="D13" i="3"/>
  <c r="AD19" i="11" s="1"/>
  <c r="R12" i="3"/>
  <c r="P12" i="3"/>
  <c r="K12" i="3"/>
  <c r="AE18" i="11" s="1"/>
  <c r="E12" i="3"/>
  <c r="D12" i="3"/>
  <c r="AD18" i="11" s="1"/>
  <c r="P11" i="3"/>
  <c r="K11" i="3"/>
  <c r="AE8" i="11" s="1"/>
  <c r="E11" i="3"/>
  <c r="D11" i="3"/>
  <c r="AD8" i="11" s="1"/>
  <c r="P10" i="3"/>
  <c r="O10" i="3"/>
  <c r="K10" i="3"/>
  <c r="AE14" i="11" s="1"/>
  <c r="E10" i="3"/>
  <c r="D10" i="3"/>
  <c r="AD14" i="11" s="1"/>
  <c r="P8" i="3"/>
  <c r="K8" i="3"/>
  <c r="AE17" i="11" s="1"/>
  <c r="E8" i="3"/>
  <c r="D8" i="3"/>
  <c r="AD17" i="11" s="1"/>
  <c r="R9" i="3"/>
  <c r="P9" i="3"/>
  <c r="K9" i="3"/>
  <c r="AE13" i="11" s="1"/>
  <c r="E9" i="3"/>
  <c r="D9" i="3"/>
  <c r="AD13" i="11" s="1"/>
  <c r="P7" i="3"/>
  <c r="K7" i="3"/>
  <c r="AE7" i="11" s="1"/>
  <c r="E7" i="3"/>
  <c r="D7" i="3"/>
  <c r="AD7" i="11" s="1"/>
  <c r="P6" i="3"/>
  <c r="K6" i="3"/>
  <c r="AE11" i="11" s="1"/>
  <c r="E6" i="3"/>
  <c r="D6" i="3"/>
  <c r="AD11" i="11" s="1"/>
  <c r="R5" i="3"/>
  <c r="P5" i="3"/>
  <c r="K5" i="3"/>
  <c r="AE15" i="11" s="1"/>
  <c r="E5" i="3"/>
  <c r="D5" i="3"/>
  <c r="M2" i="3"/>
  <c r="A28" i="2"/>
  <c r="A27" i="2"/>
  <c r="A26" i="2"/>
  <c r="A25" i="2"/>
  <c r="A24" i="2"/>
  <c r="A23" i="2"/>
  <c r="A22" i="2"/>
  <c r="A21" i="2"/>
  <c r="A20" i="2"/>
  <c r="A19" i="2"/>
  <c r="A18" i="2"/>
  <c r="A17" i="2"/>
  <c r="A16" i="2"/>
  <c r="A15" i="2"/>
  <c r="A14" i="2"/>
  <c r="A13" i="2"/>
  <c r="A12" i="2"/>
  <c r="A11" i="2"/>
  <c r="A10" i="2"/>
  <c r="F22" i="7"/>
  <c r="S288" i="9" l="1"/>
  <c r="I288" i="9" s="1"/>
  <c r="K288" i="9" s="1"/>
  <c r="S289" i="9"/>
  <c r="I289" i="9" s="1"/>
  <c r="K289" i="9" s="1"/>
  <c r="F144" i="11"/>
  <c r="G144" i="11" s="1"/>
  <c r="I144" i="11" s="1"/>
  <c r="Y144" i="11" s="1"/>
  <c r="S286" i="9"/>
  <c r="I286" i="9" s="1"/>
  <c r="K286" i="9" s="1"/>
  <c r="L286" i="9"/>
  <c r="L280" i="9"/>
  <c r="S287" i="9"/>
  <c r="I287" i="9" s="1"/>
  <c r="K287" i="9" s="1"/>
  <c r="B20" i="11"/>
  <c r="L284" i="9"/>
  <c r="L282" i="9"/>
  <c r="P11" i="6"/>
  <c r="R11" i="6" s="1"/>
  <c r="S284" i="9"/>
  <c r="I284" i="9" s="1"/>
  <c r="K284" i="9" s="1"/>
  <c r="S285" i="9"/>
  <c r="I285" i="9" s="1"/>
  <c r="G10" i="11"/>
  <c r="O10" i="11" s="1"/>
  <c r="B27" i="4"/>
  <c r="P26" i="6"/>
  <c r="E28" i="2" s="1"/>
  <c r="L196" i="9"/>
  <c r="G20" i="11"/>
  <c r="H20" i="11" s="1"/>
  <c r="O16" i="3" s="1"/>
  <c r="S283" i="9"/>
  <c r="I283" i="9" s="1"/>
  <c r="K283" i="9" s="1"/>
  <c r="S282" i="9"/>
  <c r="I282" i="9" s="1"/>
  <c r="G85" i="6"/>
  <c r="S85" i="6" s="1"/>
  <c r="G17" i="4"/>
  <c r="L164" i="9"/>
  <c r="P21" i="6"/>
  <c r="E23" i="2" s="1"/>
  <c r="P17" i="6"/>
  <c r="R17" i="6" s="1"/>
  <c r="L49" i="9"/>
  <c r="Z123" i="9"/>
  <c r="S281" i="9"/>
  <c r="I281" i="9" s="1"/>
  <c r="G65" i="6"/>
  <c r="O63" i="8" s="1"/>
  <c r="S280" i="9"/>
  <c r="I280" i="9" s="1"/>
  <c r="K280" i="9" s="1"/>
  <c r="G75" i="6"/>
  <c r="G12" i="3"/>
  <c r="X18" i="11" s="1"/>
  <c r="G84" i="6"/>
  <c r="E75" i="6"/>
  <c r="E76" i="6"/>
  <c r="F15" i="3"/>
  <c r="G60" i="6"/>
  <c r="J63" i="8" s="1"/>
  <c r="L65" i="6"/>
  <c r="O68" i="8" s="1"/>
  <c r="D65" i="6"/>
  <c r="O60" i="8" s="1"/>
  <c r="E24" i="2"/>
  <c r="I65" i="6"/>
  <c r="O65" i="8" s="1"/>
  <c r="B65" i="6"/>
  <c r="O58" i="8" s="1"/>
  <c r="S92" i="9"/>
  <c r="I92" i="9" s="1"/>
  <c r="K92" i="9" s="1"/>
  <c r="Q19" i="11"/>
  <c r="R19" i="11" s="1"/>
  <c r="P23" i="6"/>
  <c r="E25" i="2" s="1"/>
  <c r="P9" i="6"/>
  <c r="L65" i="9"/>
  <c r="L63" i="9"/>
  <c r="L73" i="9"/>
  <c r="P15" i="6"/>
  <c r="R15" i="6" s="1"/>
  <c r="P25" i="6"/>
  <c r="E27" i="2" s="1"/>
  <c r="L252" i="9"/>
  <c r="S146" i="9"/>
  <c r="I146" i="9" s="1"/>
  <c r="L172" i="9"/>
  <c r="L19" i="9"/>
  <c r="L33" i="9"/>
  <c r="L45" i="9"/>
  <c r="L188" i="9"/>
  <c r="L229" i="9"/>
  <c r="L13" i="9"/>
  <c r="L75" i="9"/>
  <c r="L104" i="9"/>
  <c r="L156" i="9"/>
  <c r="Y133" i="9"/>
  <c r="L39" i="9"/>
  <c r="L92" i="9"/>
  <c r="L102" i="9"/>
  <c r="L146" i="9"/>
  <c r="L184" i="9"/>
  <c r="L235" i="9"/>
  <c r="S136" i="9"/>
  <c r="I136" i="9" s="1"/>
  <c r="S241" i="9"/>
  <c r="I241" i="9" s="1"/>
  <c r="K241" i="9" s="1"/>
  <c r="S271" i="9"/>
  <c r="I271" i="9" s="1"/>
  <c r="K271" i="9" s="1"/>
  <c r="S76" i="9"/>
  <c r="I76" i="9" s="1"/>
  <c r="K76" i="9" s="1"/>
  <c r="S244" i="9"/>
  <c r="I244" i="9" s="1"/>
  <c r="F122" i="11" s="1"/>
  <c r="S23" i="9"/>
  <c r="I23" i="9" s="1"/>
  <c r="K23" i="9" s="1"/>
  <c r="E83" i="6"/>
  <c r="F64" i="6"/>
  <c r="N62" i="8" s="1"/>
  <c r="S274" i="9"/>
  <c r="I274" i="9" s="1"/>
  <c r="S107" i="9"/>
  <c r="I107" i="9" s="1"/>
  <c r="K107" i="9" s="1"/>
  <c r="E86" i="6"/>
  <c r="S97" i="9"/>
  <c r="I97" i="9" s="1"/>
  <c r="K97" i="9" s="1"/>
  <c r="Y78" i="9"/>
  <c r="Z78" i="9" s="1"/>
  <c r="O9" i="11"/>
  <c r="E69" i="6"/>
  <c r="S61" i="8" s="1"/>
  <c r="F70" i="6"/>
  <c r="T62" i="8" s="1"/>
  <c r="S278" i="9"/>
  <c r="I278" i="9" s="1"/>
  <c r="K278" i="9" s="1"/>
  <c r="G69" i="6"/>
  <c r="S63" i="8" s="1"/>
  <c r="J56" i="6"/>
  <c r="F66" i="8" s="1"/>
  <c r="K56" i="6"/>
  <c r="F67" i="8" s="1"/>
  <c r="G18" i="11"/>
  <c r="H18" i="11" s="1"/>
  <c r="O12" i="3" s="1"/>
  <c r="B63" i="6"/>
  <c r="M58" i="8" s="1"/>
  <c r="S279" i="9"/>
  <c r="I279" i="9" s="1"/>
  <c r="G78" i="6"/>
  <c r="F63" i="6"/>
  <c r="M62" i="8" s="1"/>
  <c r="G11" i="11"/>
  <c r="H11" i="11" s="1"/>
  <c r="O6" i="3" s="1"/>
  <c r="S48" i="9"/>
  <c r="I48" i="9" s="1"/>
  <c r="K48" i="9" s="1"/>
  <c r="S243" i="9"/>
  <c r="I243" i="9" s="1"/>
  <c r="K243" i="9" s="1"/>
  <c r="S254" i="9"/>
  <c r="I254" i="9" s="1"/>
  <c r="F7" i="3"/>
  <c r="F10" i="3"/>
  <c r="S276" i="9"/>
  <c r="I276" i="9" s="1"/>
  <c r="B10" i="4"/>
  <c r="G7" i="3"/>
  <c r="X7" i="11" s="1"/>
  <c r="G12" i="11"/>
  <c r="O12" i="11" s="1"/>
  <c r="S225" i="9"/>
  <c r="I225" i="9" s="1"/>
  <c r="K225" i="9" s="1"/>
  <c r="S4" i="9"/>
  <c r="I4" i="9" s="1"/>
  <c r="G64" i="6"/>
  <c r="N63" i="8" s="1"/>
  <c r="G76" i="6"/>
  <c r="G81" i="6"/>
  <c r="G15" i="11"/>
  <c r="H15" i="11" s="1"/>
  <c r="O5" i="3" s="1"/>
  <c r="G63" i="6"/>
  <c r="M63" i="8" s="1"/>
  <c r="I64" i="6"/>
  <c r="N65" i="8" s="1"/>
  <c r="S25" i="9"/>
  <c r="I25" i="9" s="1"/>
  <c r="K25" i="9" s="1"/>
  <c r="G19" i="11"/>
  <c r="H19" i="11" s="1"/>
  <c r="O13" i="3" s="1"/>
  <c r="I63" i="6"/>
  <c r="M65" i="8" s="1"/>
  <c r="G86" i="6"/>
  <c r="D31" i="8"/>
  <c r="G16" i="11"/>
  <c r="H16" i="11" s="1"/>
  <c r="O18" i="3" s="1"/>
  <c r="F9" i="3"/>
  <c r="D24" i="8"/>
  <c r="D32" i="8"/>
  <c r="S74" i="9"/>
  <c r="I74" i="9" s="1"/>
  <c r="K74" i="9" s="1"/>
  <c r="V9" i="11"/>
  <c r="B54" i="6"/>
  <c r="D58" i="8" s="1"/>
  <c r="E78" i="6"/>
  <c r="G13" i="11"/>
  <c r="H13" i="11" s="1"/>
  <c r="O9" i="3" s="1"/>
  <c r="S72" i="9"/>
  <c r="I72" i="9" s="1"/>
  <c r="K72" i="9" s="1"/>
  <c r="S122" i="9"/>
  <c r="I122" i="9" s="1"/>
  <c r="S235" i="9"/>
  <c r="I235" i="9" s="1"/>
  <c r="F118" i="11" s="1"/>
  <c r="G118" i="11" s="1"/>
  <c r="I118" i="11" s="1"/>
  <c r="Y118" i="11" s="1"/>
  <c r="L278" i="9"/>
  <c r="C21" i="7"/>
  <c r="F21" i="7" s="1"/>
  <c r="G13" i="3"/>
  <c r="X19" i="11" s="1"/>
  <c r="F18" i="3"/>
  <c r="H57" i="6"/>
  <c r="G64" i="8" s="1"/>
  <c r="L60" i="6"/>
  <c r="J68" i="8" s="1"/>
  <c r="D67" i="6"/>
  <c r="Q60" i="8" s="1"/>
  <c r="F69" i="6"/>
  <c r="S62" i="8" s="1"/>
  <c r="E84" i="6"/>
  <c r="S44" i="9"/>
  <c r="I44" i="9" s="1"/>
  <c r="K44" i="9" s="1"/>
  <c r="S65" i="9"/>
  <c r="I65" i="9" s="1"/>
  <c r="F52" i="11" s="1"/>
  <c r="G52" i="11" s="1"/>
  <c r="I52" i="11" s="1"/>
  <c r="Y52" i="11" s="1"/>
  <c r="G7" i="4"/>
  <c r="F54" i="6"/>
  <c r="D62" i="8" s="1"/>
  <c r="H56" i="6"/>
  <c r="F64" i="8" s="1"/>
  <c r="G5" i="3"/>
  <c r="X15" i="11" s="1"/>
  <c r="F16" i="3"/>
  <c r="G54" i="6"/>
  <c r="D63" i="8" s="1"/>
  <c r="I56" i="6"/>
  <c r="F65" i="8" s="1"/>
  <c r="L69" i="6"/>
  <c r="S68" i="8" s="1"/>
  <c r="D27" i="8"/>
  <c r="V20" i="11"/>
  <c r="F5" i="3"/>
  <c r="G18" i="3"/>
  <c r="X16" i="11" s="1"/>
  <c r="G15" i="3"/>
  <c r="E80" i="6"/>
  <c r="S15" i="9"/>
  <c r="I15" i="9" s="1"/>
  <c r="K15" i="9" s="1"/>
  <c r="S222" i="9"/>
  <c r="I222" i="9" s="1"/>
  <c r="F112" i="11" s="1"/>
  <c r="G10" i="3"/>
  <c r="X14" i="11" s="1"/>
  <c r="F13" i="3"/>
  <c r="G80" i="6"/>
  <c r="H21" i="4"/>
  <c r="I57" i="6"/>
  <c r="G65" i="8" s="1"/>
  <c r="B64" i="6"/>
  <c r="N58" i="8" s="1"/>
  <c r="S121" i="9"/>
  <c r="I121" i="9" s="1"/>
  <c r="F79" i="11" s="1"/>
  <c r="S273" i="9"/>
  <c r="I273" i="9" s="1"/>
  <c r="K273" i="9" s="1"/>
  <c r="S124" i="9"/>
  <c r="I124" i="9" s="1"/>
  <c r="F81" i="11" s="1"/>
  <c r="S253" i="9"/>
  <c r="I253" i="9" s="1"/>
  <c r="K253" i="9" s="1"/>
  <c r="S100" i="9"/>
  <c r="I100" i="9" s="1"/>
  <c r="C63" i="6"/>
  <c r="M59" i="8" s="1"/>
  <c r="N69" i="6"/>
  <c r="S70" i="8" s="1"/>
  <c r="S242" i="9"/>
  <c r="I242" i="9" s="1"/>
  <c r="K242" i="9" s="1"/>
  <c r="S245" i="9"/>
  <c r="I245" i="9" s="1"/>
  <c r="K245" i="9" s="1"/>
  <c r="G16" i="4"/>
  <c r="L56" i="6"/>
  <c r="F68" i="8" s="1"/>
  <c r="M69" i="6"/>
  <c r="S69" i="8" s="1"/>
  <c r="E63" i="6"/>
  <c r="M61" i="8" s="1"/>
  <c r="S46" i="9"/>
  <c r="I46" i="9" s="1"/>
  <c r="K46" i="9" s="1"/>
  <c r="S89" i="9"/>
  <c r="I89" i="9" s="1"/>
  <c r="K89" i="9" s="1"/>
  <c r="S240" i="9"/>
  <c r="I240" i="9" s="1"/>
  <c r="S87" i="9"/>
  <c r="I87" i="9" s="1"/>
  <c r="K87" i="9" s="1"/>
  <c r="S32" i="9"/>
  <c r="I32" i="9" s="1"/>
  <c r="K32" i="9" s="1"/>
  <c r="S78" i="9"/>
  <c r="I78" i="9" s="1"/>
  <c r="K78" i="9" s="1"/>
  <c r="S84" i="9"/>
  <c r="I84" i="9" s="1"/>
  <c r="S17" i="9"/>
  <c r="I17" i="9" s="1"/>
  <c r="K17" i="9" s="1"/>
  <c r="H63" i="6"/>
  <c r="M64" i="8" s="1"/>
  <c r="S64" i="9"/>
  <c r="I64" i="9" s="1"/>
  <c r="K64" i="9" s="1"/>
  <c r="D28" i="8"/>
  <c r="Z5" i="9"/>
  <c r="S188" i="9"/>
  <c r="I188" i="9" s="1"/>
  <c r="S234" i="9"/>
  <c r="I234" i="9" s="1"/>
  <c r="J63" i="6"/>
  <c r="M66" i="8" s="1"/>
  <c r="L64" i="6"/>
  <c r="N68" i="8" s="1"/>
  <c r="S230" i="9"/>
  <c r="I230" i="9" s="1"/>
  <c r="K230" i="9" s="1"/>
  <c r="S266" i="9"/>
  <c r="I266" i="9" s="1"/>
  <c r="V5" i="9"/>
  <c r="X5" i="9" s="1"/>
  <c r="J5" i="9" s="1"/>
  <c r="S10" i="9"/>
  <c r="I10" i="9" s="1"/>
  <c r="K10" i="9" s="1"/>
  <c r="C69" i="6"/>
  <c r="S59" i="8" s="1"/>
  <c r="G82" i="6"/>
  <c r="S82" i="6" s="1"/>
  <c r="S227" i="9"/>
  <c r="I227" i="9" s="1"/>
  <c r="G13" i="4"/>
  <c r="B67" i="6"/>
  <c r="Q58" i="8" s="1"/>
  <c r="D69" i="6"/>
  <c r="S60" i="8" s="1"/>
  <c r="Z12" i="9"/>
  <c r="AA12" i="9" s="1"/>
  <c r="AB12" i="9" s="1"/>
  <c r="E96" i="6" s="1"/>
  <c r="S157" i="9"/>
  <c r="I157" i="9" s="1"/>
  <c r="K157" i="9" s="1"/>
  <c r="K244" i="9"/>
  <c r="Y124" i="9"/>
  <c r="Z124" i="9" s="1"/>
  <c r="R16" i="6"/>
  <c r="F68" i="6"/>
  <c r="R62" i="8" s="1"/>
  <c r="S168" i="9"/>
  <c r="I168" i="9" s="1"/>
  <c r="K168" i="9" s="1"/>
  <c r="S179" i="9"/>
  <c r="I179" i="9" s="1"/>
  <c r="K179" i="9" s="1"/>
  <c r="S239" i="9"/>
  <c r="I239" i="9" s="1"/>
  <c r="K239" i="9" s="1"/>
  <c r="J69" i="6"/>
  <c r="S66" i="8" s="1"/>
  <c r="S186" i="9"/>
  <c r="I186" i="9" s="1"/>
  <c r="K186" i="9" s="1"/>
  <c r="S237" i="9"/>
  <c r="I237" i="9" s="1"/>
  <c r="Q18" i="6"/>
  <c r="I67" i="6"/>
  <c r="Q65" i="8" s="1"/>
  <c r="K69" i="6"/>
  <c r="S67" i="8" s="1"/>
  <c r="Q6" i="9"/>
  <c r="S18" i="9"/>
  <c r="I18" i="9" s="1"/>
  <c r="F28" i="11" s="1"/>
  <c r="S86" i="9"/>
  <c r="I86" i="9" s="1"/>
  <c r="F62" i="11" s="1"/>
  <c r="S165" i="9"/>
  <c r="I165" i="9" s="1"/>
  <c r="K165" i="9" s="1"/>
  <c r="S166" i="9"/>
  <c r="I166" i="9" s="1"/>
  <c r="K166" i="9" s="1"/>
  <c r="H69" i="6"/>
  <c r="S64" i="8" s="1"/>
  <c r="E19" i="2"/>
  <c r="Q13" i="6"/>
  <c r="G77" i="6"/>
  <c r="E34" i="8"/>
  <c r="F34" i="8" s="1"/>
  <c r="V86" i="9"/>
  <c r="W87" i="9" s="1"/>
  <c r="S145" i="9"/>
  <c r="I145" i="9" s="1"/>
  <c r="K145" i="9" s="1"/>
  <c r="S236" i="9"/>
  <c r="I236" i="9" s="1"/>
  <c r="K236" i="9" s="1"/>
  <c r="S248" i="9"/>
  <c r="I248" i="9" s="1"/>
  <c r="F124" i="11" s="1"/>
  <c r="S252" i="9"/>
  <c r="I252" i="9" s="1"/>
  <c r="F126" i="11" s="1"/>
  <c r="H23" i="4"/>
  <c r="Q16" i="6"/>
  <c r="I69" i="6"/>
  <c r="S65" i="8" s="1"/>
  <c r="I68" i="6"/>
  <c r="R65" i="8" s="1"/>
  <c r="V6" i="9"/>
  <c r="Z87" i="9"/>
  <c r="AA87" i="9" s="1"/>
  <c r="AB87" i="9" s="1"/>
  <c r="U89" i="9" s="1"/>
  <c r="S111" i="9"/>
  <c r="I111" i="9" s="1"/>
  <c r="K111" i="9" s="1"/>
  <c r="S171" i="9"/>
  <c r="I171" i="9" s="1"/>
  <c r="K171" i="9" s="1"/>
  <c r="S246" i="9"/>
  <c r="I246" i="9" s="1"/>
  <c r="F123" i="11" s="1"/>
  <c r="S38" i="9"/>
  <c r="I38" i="9" s="1"/>
  <c r="F38" i="11" s="1"/>
  <c r="G38" i="11" s="1"/>
  <c r="I38" i="11" s="1"/>
  <c r="Y38" i="11" s="1"/>
  <c r="S55" i="9"/>
  <c r="I55" i="9" s="1"/>
  <c r="K55" i="9" s="1"/>
  <c r="S62" i="9"/>
  <c r="I62" i="9" s="1"/>
  <c r="F50" i="11" s="1"/>
  <c r="G50" i="11" s="1"/>
  <c r="I50" i="11" s="1"/>
  <c r="Y50" i="11" s="1"/>
  <c r="Y139" i="9"/>
  <c r="S8" i="9"/>
  <c r="I8" i="9" s="1"/>
  <c r="K8" i="9" s="1"/>
  <c r="S149" i="9"/>
  <c r="I149" i="9" s="1"/>
  <c r="K149" i="9" s="1"/>
  <c r="E18" i="2"/>
  <c r="E20" i="2"/>
  <c r="G20" i="4"/>
  <c r="Q10" i="6"/>
  <c r="R26" i="6"/>
  <c r="D29" i="8"/>
  <c r="D35" i="8"/>
  <c r="Z6" i="9"/>
  <c r="AA6" i="9" s="1"/>
  <c r="AB6" i="9" s="1"/>
  <c r="L99" i="6" s="1"/>
  <c r="S21" i="9"/>
  <c r="I21" i="9" s="1"/>
  <c r="F30" i="11" s="1"/>
  <c r="S30" i="9"/>
  <c r="I30" i="9" s="1"/>
  <c r="K30" i="9" s="1"/>
  <c r="S37" i="9"/>
  <c r="I37" i="9" s="1"/>
  <c r="K37" i="9" s="1"/>
  <c r="S52" i="9"/>
  <c r="I52" i="9" s="1"/>
  <c r="K52" i="9" s="1"/>
  <c r="S66" i="9"/>
  <c r="I66" i="9" s="1"/>
  <c r="K66" i="9" s="1"/>
  <c r="S118" i="9"/>
  <c r="I118" i="9" s="1"/>
  <c r="K118" i="9" s="1"/>
  <c r="G14" i="4"/>
  <c r="C56" i="6"/>
  <c r="F59" i="8" s="1"/>
  <c r="D57" i="6"/>
  <c r="G60" i="8" s="1"/>
  <c r="L57" i="6"/>
  <c r="G68" i="8" s="1"/>
  <c r="G74" i="6"/>
  <c r="Y44" i="9"/>
  <c r="Z44" i="9" s="1"/>
  <c r="S257" i="9"/>
  <c r="I257" i="9" s="1"/>
  <c r="F128" i="11" s="1"/>
  <c r="E57" i="6"/>
  <c r="G61" i="8" s="1"/>
  <c r="S35" i="9"/>
  <c r="I35" i="9" s="1"/>
  <c r="F37" i="11" s="1"/>
  <c r="S109" i="9"/>
  <c r="I109" i="9" s="1"/>
  <c r="F73" i="11" s="1"/>
  <c r="G73" i="11" s="1"/>
  <c r="I73" i="11" s="1"/>
  <c r="Y73" i="11" s="1"/>
  <c r="S126" i="9"/>
  <c r="I126" i="9" s="1"/>
  <c r="K126" i="9" s="1"/>
  <c r="S163" i="9"/>
  <c r="I163" i="9" s="1"/>
  <c r="K163" i="9" s="1"/>
  <c r="S238" i="9"/>
  <c r="I238" i="9" s="1"/>
  <c r="K238" i="9" s="1"/>
  <c r="G11" i="4"/>
  <c r="B57" i="6"/>
  <c r="G58" i="8" s="1"/>
  <c r="F60" i="6"/>
  <c r="J62" i="8" s="1"/>
  <c r="F57" i="6"/>
  <c r="G62" i="8" s="1"/>
  <c r="R23" i="6"/>
  <c r="B69" i="6"/>
  <c r="S58" i="8" s="1"/>
  <c r="D68" i="6"/>
  <c r="R60" i="8" s="1"/>
  <c r="P92" i="6"/>
  <c r="B11" i="2" s="1"/>
  <c r="D11" i="2" s="1"/>
  <c r="S19" i="9"/>
  <c r="I19" i="9" s="1"/>
  <c r="K19" i="9" s="1"/>
  <c r="S53" i="9"/>
  <c r="I53" i="9" s="1"/>
  <c r="F46" i="11" s="1"/>
  <c r="S231" i="9"/>
  <c r="I231" i="9" s="1"/>
  <c r="K231" i="9" s="1"/>
  <c r="G8" i="4"/>
  <c r="R12" i="6"/>
  <c r="R24" i="6"/>
  <c r="G10" i="4"/>
  <c r="D54" i="6"/>
  <c r="D60" i="8" s="1"/>
  <c r="G57" i="6"/>
  <c r="G63" i="8" s="1"/>
  <c r="L63" i="6"/>
  <c r="M68" i="8" s="1"/>
  <c r="G79" i="6"/>
  <c r="G87" i="6"/>
  <c r="S6" i="9"/>
  <c r="I6" i="9" s="1"/>
  <c r="K6" i="9" s="1"/>
  <c r="S26" i="9"/>
  <c r="I26" i="9" s="1"/>
  <c r="K26" i="9" s="1"/>
  <c r="V165" i="9"/>
  <c r="S207" i="9"/>
  <c r="I207" i="9" s="1"/>
  <c r="K207" i="9" s="1"/>
  <c r="S249" i="9"/>
  <c r="I249" i="9" s="1"/>
  <c r="K249" i="9" s="1"/>
  <c r="U13" i="11"/>
  <c r="U18" i="11"/>
  <c r="Q10" i="11"/>
  <c r="S17" i="3" s="1"/>
  <c r="Q14" i="11"/>
  <c r="S10" i="3" s="1"/>
  <c r="U11" i="11"/>
  <c r="U17" i="11"/>
  <c r="U7" i="11"/>
  <c r="U16" i="11"/>
  <c r="Q20" i="11"/>
  <c r="S16" i="3" s="1"/>
  <c r="U10" i="11"/>
  <c r="R20" i="11"/>
  <c r="S20" i="11" s="1"/>
  <c r="U9" i="11"/>
  <c r="Q11" i="11"/>
  <c r="S6" i="3" s="1"/>
  <c r="U14" i="11"/>
  <c r="R13" i="6"/>
  <c r="Q11" i="6"/>
  <c r="AG16" i="11"/>
  <c r="E13" i="2"/>
  <c r="E15" i="2"/>
  <c r="Q21" i="6"/>
  <c r="R21" i="6"/>
  <c r="R19" i="6"/>
  <c r="E21" i="2"/>
  <c r="E16" i="2"/>
  <c r="R14" i="6"/>
  <c r="Q14" i="6"/>
  <c r="Z15" i="11"/>
  <c r="B32" i="7"/>
  <c r="Y8" i="9"/>
  <c r="Z8" i="9" s="1"/>
  <c r="AA8" i="9" s="1"/>
  <c r="AB8" i="9" s="1"/>
  <c r="G96" i="6" s="1"/>
  <c r="S272" i="9"/>
  <c r="I272" i="9" s="1"/>
  <c r="K272" i="9" s="1"/>
  <c r="S176" i="9"/>
  <c r="I176" i="9" s="1"/>
  <c r="K176" i="9" s="1"/>
  <c r="L224" i="9"/>
  <c r="S247" i="9"/>
  <c r="I247" i="9" s="1"/>
  <c r="K247" i="9" s="1"/>
  <c r="S31" i="9"/>
  <c r="I31" i="9" s="1"/>
  <c r="F35" i="11" s="1"/>
  <c r="G35" i="11" s="1"/>
  <c r="I35" i="11" s="1"/>
  <c r="Y35" i="11" s="1"/>
  <c r="S56" i="9"/>
  <c r="I56" i="9" s="1"/>
  <c r="K56" i="9" s="1"/>
  <c r="L61" i="9"/>
  <c r="S158" i="9"/>
  <c r="I158" i="9" s="1"/>
  <c r="K158" i="9" s="1"/>
  <c r="L256" i="9"/>
  <c r="P97" i="6"/>
  <c r="B16" i="2" s="1"/>
  <c r="D16" i="2" s="1"/>
  <c r="S12" i="9"/>
  <c r="I12" i="9" s="1"/>
  <c r="K12" i="9" s="1"/>
  <c r="Y86" i="9"/>
  <c r="Z86" i="9" s="1"/>
  <c r="S144" i="9"/>
  <c r="I144" i="9" s="1"/>
  <c r="K144" i="9" s="1"/>
  <c r="S156" i="9"/>
  <c r="I156" i="9" s="1"/>
  <c r="K156" i="9" s="1"/>
  <c r="S232" i="9"/>
  <c r="I232" i="9" s="1"/>
  <c r="K232" i="9" s="1"/>
  <c r="L254" i="9"/>
  <c r="V12" i="9"/>
  <c r="S224" i="9"/>
  <c r="I224" i="9" s="1"/>
  <c r="K224" i="9" s="1"/>
  <c r="P14" i="9"/>
  <c r="Q14" i="9" s="1"/>
  <c r="S47" i="9"/>
  <c r="I47" i="9" s="1"/>
  <c r="F43" i="11" s="1"/>
  <c r="G43" i="11" s="1"/>
  <c r="I43" i="11" s="1"/>
  <c r="Y43" i="11" s="1"/>
  <c r="S49" i="9"/>
  <c r="I49" i="9" s="1"/>
  <c r="F44" i="11" s="1"/>
  <c r="G44" i="11" s="1"/>
  <c r="I44" i="11" s="1"/>
  <c r="Y44" i="11" s="1"/>
  <c r="S60" i="9"/>
  <c r="I60" i="9" s="1"/>
  <c r="K60" i="9" s="1"/>
  <c r="S132" i="9"/>
  <c r="I132" i="9" s="1"/>
  <c r="K132" i="9" s="1"/>
  <c r="S223" i="9"/>
  <c r="I223" i="9" s="1"/>
  <c r="K223" i="9" s="1"/>
  <c r="S255" i="9"/>
  <c r="I255" i="9" s="1"/>
  <c r="K255" i="9" s="1"/>
  <c r="S256" i="9"/>
  <c r="I256" i="9" s="1"/>
  <c r="K256" i="9" s="1"/>
  <c r="L98" i="9"/>
  <c r="Y127" i="9"/>
  <c r="Z127" i="9" s="1"/>
  <c r="AA127" i="9" s="1"/>
  <c r="AB127" i="9" s="1"/>
  <c r="U151" i="9" s="1"/>
  <c r="Y129" i="9"/>
  <c r="L180" i="9"/>
  <c r="L200" i="9"/>
  <c r="S226" i="9"/>
  <c r="I226" i="9" s="1"/>
  <c r="K226" i="9" s="1"/>
  <c r="S14" i="9"/>
  <c r="I14" i="9" s="1"/>
  <c r="K14" i="9" s="1"/>
  <c r="S147" i="9"/>
  <c r="I147" i="9" s="1"/>
  <c r="K147" i="9" s="1"/>
  <c r="V14" i="9"/>
  <c r="S16" i="9"/>
  <c r="I16" i="9" s="1"/>
  <c r="K16" i="9" s="1"/>
  <c r="S36" i="9"/>
  <c r="I36" i="9" s="1"/>
  <c r="K36" i="9" s="1"/>
  <c r="S98" i="9"/>
  <c r="I98" i="9" s="1"/>
  <c r="K98" i="9" s="1"/>
  <c r="S209" i="9"/>
  <c r="I209" i="9" s="1"/>
  <c r="K209" i="9" s="1"/>
  <c r="L233" i="9"/>
  <c r="S258" i="9"/>
  <c r="I258" i="9" s="1"/>
  <c r="K258" i="9" s="1"/>
  <c r="Q24" i="6"/>
  <c r="S20" i="9"/>
  <c r="I20" i="9" s="1"/>
  <c r="F29" i="11" s="1"/>
  <c r="S22" i="9"/>
  <c r="I22" i="9" s="1"/>
  <c r="K22" i="9" s="1"/>
  <c r="S24" i="9"/>
  <c r="I24" i="9" s="1"/>
  <c r="K24" i="9" s="1"/>
  <c r="S54" i="9"/>
  <c r="I54" i="9" s="1"/>
  <c r="K54" i="9" s="1"/>
  <c r="L108" i="9"/>
  <c r="S119" i="9"/>
  <c r="I119" i="9" s="1"/>
  <c r="K119" i="9" s="1"/>
  <c r="S154" i="9"/>
  <c r="I154" i="9" s="1"/>
  <c r="K154" i="9" s="1"/>
  <c r="L168" i="9"/>
  <c r="L208" i="9"/>
  <c r="H10" i="11"/>
  <c r="O17" i="3" s="1"/>
  <c r="S170" i="9"/>
  <c r="I170" i="9" s="1"/>
  <c r="K170" i="9" s="1"/>
  <c r="S213" i="9"/>
  <c r="I213" i="9" s="1"/>
  <c r="K213" i="9" s="1"/>
  <c r="L237" i="9"/>
  <c r="P8" i="9"/>
  <c r="Y16" i="9"/>
  <c r="Z16" i="9" s="1"/>
  <c r="S43" i="9"/>
  <c r="I43" i="9" s="1"/>
  <c r="F41" i="11" s="1"/>
  <c r="S80" i="9"/>
  <c r="I80" i="9" s="1"/>
  <c r="F59" i="11" s="1"/>
  <c r="S94" i="9"/>
  <c r="I94" i="9" s="1"/>
  <c r="S131" i="9"/>
  <c r="I131" i="9" s="1"/>
  <c r="K131" i="9" s="1"/>
  <c r="S195" i="9"/>
  <c r="I195" i="9" s="1"/>
  <c r="K195" i="9" s="1"/>
  <c r="S233" i="9"/>
  <c r="I233" i="9" s="1"/>
  <c r="K233" i="9" s="1"/>
  <c r="Q22" i="6"/>
  <c r="R10" i="6"/>
  <c r="Q12" i="6"/>
  <c r="Q5" i="9"/>
  <c r="Y24" i="9"/>
  <c r="Z24" i="9" s="1"/>
  <c r="L29" i="9"/>
  <c r="L47" i="9"/>
  <c r="Y68" i="9"/>
  <c r="Z68" i="9" s="1"/>
  <c r="S120" i="9"/>
  <c r="I120" i="9" s="1"/>
  <c r="K120" i="9" s="1"/>
  <c r="Y122" i="9"/>
  <c r="Z122" i="9" s="1"/>
  <c r="Z125" i="9"/>
  <c r="AA124" i="9" s="1"/>
  <c r="AB124" i="9" s="1"/>
  <c r="U135" i="9" s="1"/>
  <c r="S130" i="9"/>
  <c r="I130" i="9" s="1"/>
  <c r="K130" i="9" s="1"/>
  <c r="L148" i="9"/>
  <c r="S152" i="9"/>
  <c r="I152" i="9" s="1"/>
  <c r="K152" i="9" s="1"/>
  <c r="L216" i="9"/>
  <c r="L227" i="9"/>
  <c r="S263" i="9"/>
  <c r="I263" i="9" s="1"/>
  <c r="F131" i="11" s="1"/>
  <c r="S5" i="9"/>
  <c r="I5" i="9" s="1"/>
  <c r="K5" i="9" s="1"/>
  <c r="L37" i="9"/>
  <c r="S42" i="9"/>
  <c r="I42" i="9" s="1"/>
  <c r="F40" i="11" s="1"/>
  <c r="S45" i="9"/>
  <c r="I45" i="9" s="1"/>
  <c r="F42" i="11" s="1"/>
  <c r="G42" i="11" s="1"/>
  <c r="I42" i="11" s="1"/>
  <c r="Y42" i="11" s="1"/>
  <c r="S29" i="9"/>
  <c r="I29" i="9" s="1"/>
  <c r="F34" i="11" s="1"/>
  <c r="G34" i="11" s="1"/>
  <c r="I34" i="11" s="1"/>
  <c r="Y34" i="11" s="1"/>
  <c r="S71" i="9"/>
  <c r="I71" i="9" s="1"/>
  <c r="F55" i="11" s="1"/>
  <c r="S201" i="9"/>
  <c r="I201" i="9" s="1"/>
  <c r="K201" i="9" s="1"/>
  <c r="S229" i="9"/>
  <c r="I229" i="9" s="1"/>
  <c r="F115" i="11" s="1"/>
  <c r="G115" i="11" s="1"/>
  <c r="I115" i="11" s="1"/>
  <c r="Y115" i="11" s="1"/>
  <c r="P10" i="9"/>
  <c r="L31" i="9"/>
  <c r="S39" i="9"/>
  <c r="I39" i="9" s="1"/>
  <c r="K39" i="9" s="1"/>
  <c r="Z50" i="9"/>
  <c r="AA50" i="9" s="1"/>
  <c r="AB50" i="9" s="1"/>
  <c r="U52" i="9" s="1"/>
  <c r="L67" i="9"/>
  <c r="AG14" i="11"/>
  <c r="AG7" i="11"/>
  <c r="AG10" i="11"/>
  <c r="L7" i="3"/>
  <c r="L15" i="3"/>
  <c r="L12" i="3"/>
  <c r="D23" i="8"/>
  <c r="Q15" i="6"/>
  <c r="S33" i="9"/>
  <c r="I33" i="9" s="1"/>
  <c r="S34" i="9"/>
  <c r="I34" i="9" s="1"/>
  <c r="K34" i="9" s="1"/>
  <c r="Q17" i="6"/>
  <c r="I70" i="6"/>
  <c r="T65" i="8" s="1"/>
  <c r="E74" i="6"/>
  <c r="E79" i="6"/>
  <c r="E87" i="6"/>
  <c r="L20" i="9"/>
  <c r="I54" i="6"/>
  <c r="D65" i="8" s="1"/>
  <c r="L12" i="9"/>
  <c r="Q19" i="6"/>
  <c r="Q20" i="6"/>
  <c r="E82" i="6"/>
  <c r="D25" i="8"/>
  <c r="R20" i="6"/>
  <c r="E77" i="6"/>
  <c r="P105" i="6"/>
  <c r="B24" i="2" s="1"/>
  <c r="S28" i="9"/>
  <c r="I28" i="9" s="1"/>
  <c r="S27" i="9"/>
  <c r="I27" i="9" s="1"/>
  <c r="K27" i="9" s="1"/>
  <c r="P101" i="6"/>
  <c r="B20" i="2" s="1"/>
  <c r="E36" i="8"/>
  <c r="F36" i="8" s="1"/>
  <c r="D36" i="8"/>
  <c r="L24" i="9"/>
  <c r="G6" i="3"/>
  <c r="X11" i="11" s="1"/>
  <c r="G14" i="3"/>
  <c r="X9" i="11" s="1"/>
  <c r="G9" i="4"/>
  <c r="H12" i="4"/>
  <c r="B21" i="7"/>
  <c r="L9" i="3"/>
  <c r="F8" i="3"/>
  <c r="AF18" i="11"/>
  <c r="W12" i="3" s="1"/>
  <c r="L16" i="3"/>
  <c r="F17" i="3"/>
  <c r="G6" i="4"/>
  <c r="G19" i="4"/>
  <c r="AC20" i="11"/>
  <c r="Y20" i="11" s="1"/>
  <c r="Q23" i="6"/>
  <c r="G83" i="6"/>
  <c r="S83" i="6" s="1"/>
  <c r="G8" i="3"/>
  <c r="X17" i="11" s="1"/>
  <c r="G17" i="3"/>
  <c r="X10" i="11" s="1"/>
  <c r="D26" i="8"/>
  <c r="L8" i="9"/>
  <c r="L11" i="3"/>
  <c r="F12" i="3"/>
  <c r="B20" i="4"/>
  <c r="Q8" i="6"/>
  <c r="Q25" i="6"/>
  <c r="A11" i="8" s="1"/>
  <c r="P100" i="6"/>
  <c r="B19" i="2" s="1"/>
  <c r="G9" i="3"/>
  <c r="X13" i="11" s="1"/>
  <c r="G16" i="3"/>
  <c r="X20" i="11" s="1"/>
  <c r="G5" i="4"/>
  <c r="G18" i="4"/>
  <c r="R8" i="6"/>
  <c r="G52" i="6"/>
  <c r="B63" i="8" s="1"/>
  <c r="B31" i="7"/>
  <c r="G11" i="3"/>
  <c r="X8" i="11" s="1"/>
  <c r="G15" i="4"/>
  <c r="G22" i="4"/>
  <c r="L5" i="3"/>
  <c r="F6" i="3"/>
  <c r="L13" i="3"/>
  <c r="F14" i="3"/>
  <c r="B22" i="7"/>
  <c r="C22" i="7"/>
  <c r="L6" i="3"/>
  <c r="L14" i="3"/>
  <c r="H52" i="6"/>
  <c r="B64" i="8" s="1"/>
  <c r="E81" i="6"/>
  <c r="V9" i="9"/>
  <c r="B30" i="7"/>
  <c r="L10" i="3"/>
  <c r="F11" i="3"/>
  <c r="L18" i="3"/>
  <c r="I52" i="6"/>
  <c r="B65" i="8" s="1"/>
  <c r="AD15" i="11"/>
  <c r="A10" i="8"/>
  <c r="L8" i="3"/>
  <c r="AF19" i="11"/>
  <c r="W13" i="3" s="1"/>
  <c r="L17" i="3"/>
  <c r="B11" i="4"/>
  <c r="E52" i="6"/>
  <c r="B61" i="8" s="1"/>
  <c r="J52" i="6"/>
  <c r="B66" i="8" s="1"/>
  <c r="W4" i="9"/>
  <c r="X4" i="9" s="1"/>
  <c r="W6" i="9"/>
  <c r="L16" i="9"/>
  <c r="K63" i="6"/>
  <c r="M67" i="8" s="1"/>
  <c r="K52" i="6"/>
  <c r="B67" i="8" s="1"/>
  <c r="P94" i="6"/>
  <c r="B13" i="2" s="1"/>
  <c r="P98" i="6"/>
  <c r="B17" i="2" s="1"/>
  <c r="E54" i="11"/>
  <c r="H54" i="11" s="1"/>
  <c r="L69" i="9"/>
  <c r="AA5" i="9"/>
  <c r="AB5" i="9" s="1"/>
  <c r="G99" i="6" s="1"/>
  <c r="E32" i="11"/>
  <c r="H32" i="11" s="1"/>
  <c r="S40" i="9"/>
  <c r="I40" i="9" s="1"/>
  <c r="D33" i="8"/>
  <c r="P7" i="9"/>
  <c r="Q7" i="9" s="1"/>
  <c r="P11" i="9"/>
  <c r="Q11" i="9" s="1"/>
  <c r="E28" i="11"/>
  <c r="H28" i="11" s="1"/>
  <c r="E30" i="11"/>
  <c r="H30" i="11" s="1"/>
  <c r="D30" i="8"/>
  <c r="U12" i="11"/>
  <c r="E37" i="11"/>
  <c r="H37" i="11" s="1"/>
  <c r="L35" i="9"/>
  <c r="L5" i="9"/>
  <c r="S13" i="9"/>
  <c r="I13" i="9" s="1"/>
  <c r="K13" i="9" s="1"/>
  <c r="S11" i="9"/>
  <c r="I11" i="9" s="1"/>
  <c r="K11" i="9" s="1"/>
  <c r="S9" i="9"/>
  <c r="I9" i="9" s="1"/>
  <c r="K9" i="9" s="1"/>
  <c r="S7" i="9"/>
  <c r="I7" i="9" s="1"/>
  <c r="Y13" i="9"/>
  <c r="Z13" i="9" s="1"/>
  <c r="AA13" i="9" s="1"/>
  <c r="AB13" i="9" s="1"/>
  <c r="L96" i="6" s="1"/>
  <c r="Y11" i="9"/>
  <c r="Z11" i="9" s="1"/>
  <c r="AA11" i="9" s="1"/>
  <c r="AB11" i="9" s="1"/>
  <c r="H96" i="6" s="1"/>
  <c r="Y9" i="9"/>
  <c r="Z9" i="9" s="1"/>
  <c r="AA9" i="9" s="1"/>
  <c r="AB9" i="9" s="1"/>
  <c r="I96" i="6" s="1"/>
  <c r="Y7" i="9"/>
  <c r="Z7" i="9" s="1"/>
  <c r="Y10" i="9"/>
  <c r="Z10" i="9" s="1"/>
  <c r="AA10" i="9" s="1"/>
  <c r="AB10" i="9" s="1"/>
  <c r="F96" i="6" s="1"/>
  <c r="P12" i="9"/>
  <c r="Q12" i="9" s="1"/>
  <c r="Y14" i="9"/>
  <c r="Z14" i="9" s="1"/>
  <c r="AA14" i="9" s="1"/>
  <c r="AB14" i="9" s="1"/>
  <c r="D96" i="6" s="1"/>
  <c r="E33" i="11"/>
  <c r="H33" i="11" s="1"/>
  <c r="E40" i="11"/>
  <c r="H40" i="11" s="1"/>
  <c r="V7" i="9"/>
  <c r="V11" i="9"/>
  <c r="Y30" i="9"/>
  <c r="Z30" i="9" s="1"/>
  <c r="E25" i="11"/>
  <c r="H25" i="11" s="1"/>
  <c r="E41" i="11"/>
  <c r="H41" i="11" s="1"/>
  <c r="L43" i="9"/>
  <c r="E26" i="11"/>
  <c r="H26" i="11" s="1"/>
  <c r="P9" i="9"/>
  <c r="Q9" i="9" s="1"/>
  <c r="L10" i="9"/>
  <c r="L14" i="9"/>
  <c r="E27" i="11"/>
  <c r="H27" i="11" s="1"/>
  <c r="Z15" i="9"/>
  <c r="AA15" i="9" s="1"/>
  <c r="AB15" i="9" s="1"/>
  <c r="U17" i="9" s="1"/>
  <c r="L18" i="9"/>
  <c r="E29" i="11"/>
  <c r="H29" i="11" s="1"/>
  <c r="L22" i="9"/>
  <c r="E31" i="11"/>
  <c r="H31" i="11" s="1"/>
  <c r="Z23" i="9"/>
  <c r="AA24" i="9" s="1"/>
  <c r="AB24" i="9" s="1"/>
  <c r="U26" i="9" s="1"/>
  <c r="L27" i="9"/>
  <c r="E46" i="11"/>
  <c r="H46" i="11" s="1"/>
  <c r="L53" i="9"/>
  <c r="S51" i="9"/>
  <c r="I51" i="9" s="1"/>
  <c r="F25" i="11"/>
  <c r="K4" i="9"/>
  <c r="S58" i="9"/>
  <c r="I58" i="9" s="1"/>
  <c r="K58" i="9" s="1"/>
  <c r="S57" i="9"/>
  <c r="I57" i="9" s="1"/>
  <c r="S41" i="9"/>
  <c r="I41" i="9" s="1"/>
  <c r="K41" i="9" s="1"/>
  <c r="S50" i="9"/>
  <c r="I50" i="9" s="1"/>
  <c r="K50" i="9" s="1"/>
  <c r="L57" i="9"/>
  <c r="S59" i="9"/>
  <c r="I59" i="9" s="1"/>
  <c r="E55" i="11"/>
  <c r="H55" i="11" s="1"/>
  <c r="L71" i="9"/>
  <c r="F69" i="11"/>
  <c r="G69" i="11" s="1"/>
  <c r="I69" i="11" s="1"/>
  <c r="Y69" i="11" s="1"/>
  <c r="K100" i="9"/>
  <c r="S79" i="9"/>
  <c r="I79" i="9" s="1"/>
  <c r="K79" i="9" s="1"/>
  <c r="S77" i="9"/>
  <c r="I77" i="9" s="1"/>
  <c r="L55" i="9"/>
  <c r="E63" i="11"/>
  <c r="H63" i="11" s="1"/>
  <c r="L88" i="9"/>
  <c r="V30" i="9"/>
  <c r="S83" i="9"/>
  <c r="I83" i="9" s="1"/>
  <c r="K83" i="9" s="1"/>
  <c r="S82" i="9"/>
  <c r="I82" i="9" s="1"/>
  <c r="S67" i="9"/>
  <c r="I67" i="9" s="1"/>
  <c r="K67" i="9" s="1"/>
  <c r="S68" i="9"/>
  <c r="I68" i="9" s="1"/>
  <c r="Y72" i="9"/>
  <c r="Z72" i="9" s="1"/>
  <c r="AA71" i="9" s="1"/>
  <c r="AB71" i="9" s="1"/>
  <c r="U73" i="9" s="1"/>
  <c r="Y71" i="9"/>
  <c r="Z71" i="9" s="1"/>
  <c r="L64" i="9"/>
  <c r="S69" i="9"/>
  <c r="I69" i="9" s="1"/>
  <c r="S70" i="9"/>
  <c r="I70" i="9" s="1"/>
  <c r="K70" i="9" s="1"/>
  <c r="Z67" i="9"/>
  <c r="AA67" i="9" s="1"/>
  <c r="AB67" i="9" s="1"/>
  <c r="U69" i="9" s="1"/>
  <c r="AA78" i="9"/>
  <c r="AB78" i="9" s="1"/>
  <c r="I107" i="6" s="1"/>
  <c r="L83" i="9"/>
  <c r="L59" i="9"/>
  <c r="E58" i="11"/>
  <c r="H58" i="11" s="1"/>
  <c r="L66" i="9"/>
  <c r="F61" i="11"/>
  <c r="K84" i="9"/>
  <c r="L78" i="9"/>
  <c r="Y49" i="9"/>
  <c r="Z49" i="9" s="1"/>
  <c r="L51" i="9"/>
  <c r="L77" i="9"/>
  <c r="F67" i="11"/>
  <c r="S99" i="9"/>
  <c r="I99" i="9" s="1"/>
  <c r="K99" i="9" s="1"/>
  <c r="E74" i="11"/>
  <c r="H74" i="11" s="1"/>
  <c r="L110" i="9"/>
  <c r="S85" i="9"/>
  <c r="I85" i="9" s="1"/>
  <c r="K85" i="9" s="1"/>
  <c r="E67" i="11"/>
  <c r="H67" i="11" s="1"/>
  <c r="L96" i="9"/>
  <c r="E62" i="11"/>
  <c r="H62" i="11" s="1"/>
  <c r="P87" i="9"/>
  <c r="S93" i="9"/>
  <c r="I93" i="9" s="1"/>
  <c r="E76" i="11"/>
  <c r="H76" i="11" s="1"/>
  <c r="L114" i="9"/>
  <c r="S104" i="9"/>
  <c r="I104" i="9" s="1"/>
  <c r="S105" i="9"/>
  <c r="I105" i="9" s="1"/>
  <c r="K105" i="9" s="1"/>
  <c r="L109" i="9"/>
  <c r="E72" i="11"/>
  <c r="H72" i="11" s="1"/>
  <c r="L106" i="9"/>
  <c r="E61" i="11"/>
  <c r="H61" i="11" s="1"/>
  <c r="S90" i="9"/>
  <c r="I90" i="9" s="1"/>
  <c r="S75" i="9"/>
  <c r="I75" i="9" s="1"/>
  <c r="L76" i="9"/>
  <c r="Y79" i="9"/>
  <c r="Z79" i="9" s="1"/>
  <c r="AA79" i="9" s="1"/>
  <c r="AB79" i="9" s="1"/>
  <c r="D107" i="6" s="1"/>
  <c r="S81" i="9"/>
  <c r="I81" i="9" s="1"/>
  <c r="K81" i="9" s="1"/>
  <c r="U15" i="11"/>
  <c r="F80" i="11"/>
  <c r="K122" i="9"/>
  <c r="S63" i="9"/>
  <c r="I63" i="9" s="1"/>
  <c r="E60" i="11"/>
  <c r="H60" i="11" s="1"/>
  <c r="S95" i="9"/>
  <c r="I95" i="9" s="1"/>
  <c r="K95" i="9" s="1"/>
  <c r="L99" i="9"/>
  <c r="S102" i="9"/>
  <c r="I102" i="9" s="1"/>
  <c r="K102" i="9" s="1"/>
  <c r="S103" i="9"/>
  <c r="I103" i="9" s="1"/>
  <c r="F78" i="11"/>
  <c r="S73" i="9"/>
  <c r="I73" i="9" s="1"/>
  <c r="L74" i="9"/>
  <c r="S96" i="9"/>
  <c r="I96" i="9" s="1"/>
  <c r="K96" i="9" s="1"/>
  <c r="K124" i="9"/>
  <c r="S61" i="9"/>
  <c r="I61" i="9" s="1"/>
  <c r="K61" i="9" s="1"/>
  <c r="L62" i="9"/>
  <c r="E59" i="11"/>
  <c r="H59" i="11" s="1"/>
  <c r="S88" i="9"/>
  <c r="I88" i="9" s="1"/>
  <c r="L89" i="9"/>
  <c r="E64" i="11"/>
  <c r="H64" i="11" s="1"/>
  <c r="L90" i="9"/>
  <c r="Y90" i="9"/>
  <c r="Z90" i="9" s="1"/>
  <c r="S91" i="9"/>
  <c r="I91" i="9" s="1"/>
  <c r="K91" i="9" s="1"/>
  <c r="L115" i="9"/>
  <c r="L143" i="9"/>
  <c r="L135" i="9"/>
  <c r="V119" i="9"/>
  <c r="E80" i="11"/>
  <c r="H80" i="11" s="1"/>
  <c r="AA122" i="9"/>
  <c r="AB122" i="9" s="1"/>
  <c r="U133" i="9" s="1"/>
  <c r="Z133" i="9" s="1"/>
  <c r="L122" i="9"/>
  <c r="S129" i="9"/>
  <c r="I129" i="9" s="1"/>
  <c r="K129" i="9" s="1"/>
  <c r="S112" i="9"/>
  <c r="I112" i="9" s="1"/>
  <c r="E77" i="11"/>
  <c r="H77" i="11" s="1"/>
  <c r="L123" i="9"/>
  <c r="AA123" i="9"/>
  <c r="AB123" i="9" s="1"/>
  <c r="U149" i="9" s="1"/>
  <c r="S128" i="9"/>
  <c r="I128" i="9" s="1"/>
  <c r="S101" i="9"/>
  <c r="I101" i="9" s="1"/>
  <c r="K101" i="9" s="1"/>
  <c r="L125" i="9"/>
  <c r="S108" i="9"/>
  <c r="I108" i="9" s="1"/>
  <c r="K108" i="9" s="1"/>
  <c r="E78" i="11"/>
  <c r="H78" i="11" s="1"/>
  <c r="L118" i="9"/>
  <c r="U8" i="11"/>
  <c r="E84" i="11"/>
  <c r="H84" i="11" s="1"/>
  <c r="E79" i="11"/>
  <c r="H79" i="11" s="1"/>
  <c r="L120" i="9"/>
  <c r="L103" i="9"/>
  <c r="S113" i="9"/>
  <c r="I113" i="9" s="1"/>
  <c r="K113" i="9" s="1"/>
  <c r="L121" i="9"/>
  <c r="L130" i="9"/>
  <c r="L137" i="9"/>
  <c r="S138" i="9"/>
  <c r="I138" i="9" s="1"/>
  <c r="S139" i="9"/>
  <c r="I139" i="9" s="1"/>
  <c r="K139" i="9" s="1"/>
  <c r="L100" i="9"/>
  <c r="F92" i="11"/>
  <c r="G92" i="11" s="1"/>
  <c r="I92" i="11" s="1"/>
  <c r="Y92" i="11" s="1"/>
  <c r="K146" i="9"/>
  <c r="L111" i="9"/>
  <c r="S115" i="9"/>
  <c r="I115" i="9" s="1"/>
  <c r="K115" i="9" s="1"/>
  <c r="S114" i="9"/>
  <c r="I114" i="9" s="1"/>
  <c r="L94" i="9"/>
  <c r="S117" i="9"/>
  <c r="I117" i="9" s="1"/>
  <c r="K117" i="9" s="1"/>
  <c r="S116" i="9"/>
  <c r="I116" i="9" s="1"/>
  <c r="S135" i="9"/>
  <c r="I135" i="9" s="1"/>
  <c r="K135" i="9" s="1"/>
  <c r="S134" i="9"/>
  <c r="I134" i="9" s="1"/>
  <c r="S106" i="9"/>
  <c r="I106" i="9" s="1"/>
  <c r="S110" i="9"/>
  <c r="I110" i="9" s="1"/>
  <c r="K121" i="9"/>
  <c r="Y131" i="9"/>
  <c r="Z131" i="9" s="1"/>
  <c r="AA130" i="9" s="1"/>
  <c r="AB130" i="9" s="1"/>
  <c r="U164" i="9" s="1"/>
  <c r="Y130" i="9"/>
  <c r="Z130" i="9" s="1"/>
  <c r="E85" i="11"/>
  <c r="H85" i="11" s="1"/>
  <c r="L132" i="9"/>
  <c r="L112" i="9"/>
  <c r="E89" i="11"/>
  <c r="H89" i="11" s="1"/>
  <c r="S155" i="9"/>
  <c r="I155" i="9" s="1"/>
  <c r="K155" i="9" s="1"/>
  <c r="S151" i="9"/>
  <c r="I151" i="9" s="1"/>
  <c r="K151" i="9" s="1"/>
  <c r="S127" i="9"/>
  <c r="I127" i="9" s="1"/>
  <c r="K127" i="9" s="1"/>
  <c r="E91" i="11"/>
  <c r="H91" i="11" s="1"/>
  <c r="L144" i="9"/>
  <c r="S148" i="9"/>
  <c r="I148" i="9" s="1"/>
  <c r="S159" i="9"/>
  <c r="I159" i="9" s="1"/>
  <c r="K159" i="9" s="1"/>
  <c r="S160" i="9"/>
  <c r="I160" i="9" s="1"/>
  <c r="S162" i="9"/>
  <c r="I162" i="9" s="1"/>
  <c r="K162" i="9" s="1"/>
  <c r="S161" i="9"/>
  <c r="I161" i="9" s="1"/>
  <c r="K161" i="9" s="1"/>
  <c r="S137" i="9"/>
  <c r="I137" i="9" s="1"/>
  <c r="K137" i="9" s="1"/>
  <c r="E83" i="11"/>
  <c r="H83" i="11" s="1"/>
  <c r="L140" i="9"/>
  <c r="S142" i="9"/>
  <c r="I142" i="9" s="1"/>
  <c r="S143" i="9"/>
  <c r="I143" i="9" s="1"/>
  <c r="K143" i="9" s="1"/>
  <c r="L150" i="9"/>
  <c r="S125" i="9"/>
  <c r="I125" i="9" s="1"/>
  <c r="K125" i="9" s="1"/>
  <c r="E88" i="11"/>
  <c r="H88" i="11" s="1"/>
  <c r="L151" i="9"/>
  <c r="L169" i="9"/>
  <c r="L171" i="9"/>
  <c r="E94" i="11"/>
  <c r="H94" i="11" s="1"/>
  <c r="L152" i="9"/>
  <c r="S153" i="9"/>
  <c r="I153" i="9" s="1"/>
  <c r="K153" i="9" s="1"/>
  <c r="E82" i="11"/>
  <c r="H82" i="11" s="1"/>
  <c r="V159" i="9"/>
  <c r="L173" i="9"/>
  <c r="S123" i="9"/>
  <c r="I123" i="9" s="1"/>
  <c r="K123" i="9" s="1"/>
  <c r="E87" i="11"/>
  <c r="H87" i="11" s="1"/>
  <c r="L128" i="9"/>
  <c r="S133" i="9"/>
  <c r="I133" i="9" s="1"/>
  <c r="K133" i="9" s="1"/>
  <c r="L141" i="9"/>
  <c r="E90" i="11"/>
  <c r="H90" i="11" s="1"/>
  <c r="E81" i="11"/>
  <c r="H81" i="11" s="1"/>
  <c r="S140" i="9"/>
  <c r="I140" i="9" s="1"/>
  <c r="S141" i="9"/>
  <c r="I141" i="9" s="1"/>
  <c r="K141" i="9" s="1"/>
  <c r="E86" i="11"/>
  <c r="H86" i="11" s="1"/>
  <c r="F87" i="11"/>
  <c r="K136" i="9"/>
  <c r="S150" i="9"/>
  <c r="I150" i="9" s="1"/>
  <c r="K150" i="9" s="1"/>
  <c r="E96" i="11"/>
  <c r="H96" i="11" s="1"/>
  <c r="L160" i="9"/>
  <c r="L165" i="9"/>
  <c r="L153" i="9"/>
  <c r="L185" i="9"/>
  <c r="E100" i="11"/>
  <c r="H100" i="11" s="1"/>
  <c r="L176" i="9"/>
  <c r="L174" i="9"/>
  <c r="S185" i="9"/>
  <c r="I185" i="9" s="1"/>
  <c r="K185" i="9" s="1"/>
  <c r="S187" i="9"/>
  <c r="I187" i="9" s="1"/>
  <c r="K187" i="9" s="1"/>
  <c r="S184" i="9"/>
  <c r="I184" i="9" s="1"/>
  <c r="U19" i="11"/>
  <c r="S164" i="9"/>
  <c r="I164" i="9" s="1"/>
  <c r="S167" i="9"/>
  <c r="I167" i="9" s="1"/>
  <c r="K167" i="9" s="1"/>
  <c r="S169" i="9"/>
  <c r="I169" i="9" s="1"/>
  <c r="K169" i="9" s="1"/>
  <c r="S178" i="9"/>
  <c r="I178" i="9" s="1"/>
  <c r="K178" i="9" s="1"/>
  <c r="S177" i="9"/>
  <c r="I177" i="9" s="1"/>
  <c r="K177" i="9" s="1"/>
  <c r="S189" i="9"/>
  <c r="I189" i="9" s="1"/>
  <c r="K189" i="9" s="1"/>
  <c r="S191" i="9"/>
  <c r="I191" i="9" s="1"/>
  <c r="K191" i="9" s="1"/>
  <c r="L190" i="9"/>
  <c r="L198" i="9"/>
  <c r="S180" i="9"/>
  <c r="I180" i="9" s="1"/>
  <c r="S182" i="9"/>
  <c r="I182" i="9" s="1"/>
  <c r="K182" i="9" s="1"/>
  <c r="S183" i="9"/>
  <c r="I183" i="9" s="1"/>
  <c r="K183" i="9" s="1"/>
  <c r="K188" i="9"/>
  <c r="F114" i="11"/>
  <c r="G114" i="11" s="1"/>
  <c r="I114" i="11" s="1"/>
  <c r="Y114" i="11" s="1"/>
  <c r="K227" i="9"/>
  <c r="S181" i="9"/>
  <c r="I181" i="9" s="1"/>
  <c r="K181" i="9" s="1"/>
  <c r="E104" i="11"/>
  <c r="H104" i="11" s="1"/>
  <c r="L192" i="9"/>
  <c r="L195" i="9"/>
  <c r="S198" i="9"/>
  <c r="I198" i="9" s="1"/>
  <c r="K198" i="9" s="1"/>
  <c r="S196" i="9"/>
  <c r="I196" i="9" s="1"/>
  <c r="S197" i="9"/>
  <c r="I197" i="9" s="1"/>
  <c r="K197" i="9" s="1"/>
  <c r="S199" i="9"/>
  <c r="I199" i="9" s="1"/>
  <c r="K199" i="9" s="1"/>
  <c r="S173" i="9"/>
  <c r="I173" i="9" s="1"/>
  <c r="K173" i="9" s="1"/>
  <c r="S175" i="9"/>
  <c r="I175" i="9" s="1"/>
  <c r="K175" i="9" s="1"/>
  <c r="S193" i="9"/>
  <c r="I193" i="9" s="1"/>
  <c r="K193" i="9" s="1"/>
  <c r="S172" i="9"/>
  <c r="I172" i="9" s="1"/>
  <c r="S174" i="9"/>
  <c r="I174" i="9" s="1"/>
  <c r="K174" i="9" s="1"/>
  <c r="L178" i="9"/>
  <c r="L183" i="9"/>
  <c r="S190" i="9"/>
  <c r="I190" i="9" s="1"/>
  <c r="K190" i="9" s="1"/>
  <c r="L203" i="9"/>
  <c r="S206" i="9"/>
  <c r="I206" i="9" s="1"/>
  <c r="K206" i="9" s="1"/>
  <c r="S204" i="9"/>
  <c r="I204" i="9" s="1"/>
  <c r="E112" i="11"/>
  <c r="H112" i="11" s="1"/>
  <c r="L222" i="9"/>
  <c r="S228" i="9"/>
  <c r="I228" i="9" s="1"/>
  <c r="K228" i="9" s="1"/>
  <c r="L209" i="9"/>
  <c r="F119" i="11"/>
  <c r="G119" i="11" s="1"/>
  <c r="I119" i="11" s="1"/>
  <c r="Y119" i="11" s="1"/>
  <c r="K237" i="9"/>
  <c r="L215" i="9"/>
  <c r="S219" i="9"/>
  <c r="I219" i="9" s="1"/>
  <c r="K219" i="9" s="1"/>
  <c r="S218" i="9"/>
  <c r="I218" i="9" s="1"/>
  <c r="K218" i="9" s="1"/>
  <c r="S216" i="9"/>
  <c r="I216" i="9" s="1"/>
  <c r="F117" i="11"/>
  <c r="G117" i="11" s="1"/>
  <c r="I117" i="11" s="1"/>
  <c r="Y117" i="11" s="1"/>
  <c r="K234" i="9"/>
  <c r="L201" i="9"/>
  <c r="S221" i="9"/>
  <c r="I221" i="9" s="1"/>
  <c r="K221" i="9" s="1"/>
  <c r="S220" i="9"/>
  <c r="I220" i="9" s="1"/>
  <c r="S205" i="9"/>
  <c r="I205" i="9" s="1"/>
  <c r="K205" i="9" s="1"/>
  <c r="L207" i="9"/>
  <c r="S210" i="9"/>
  <c r="I210" i="9" s="1"/>
  <c r="K210" i="9" s="1"/>
  <c r="S208" i="9"/>
  <c r="I208" i="9" s="1"/>
  <c r="L212" i="9"/>
  <c r="L223" i="9"/>
  <c r="S211" i="9"/>
  <c r="I211" i="9" s="1"/>
  <c r="K211" i="9" s="1"/>
  <c r="L213" i="9"/>
  <c r="L219" i="9"/>
  <c r="S217" i="9"/>
  <c r="I217" i="9" s="1"/>
  <c r="K217" i="9" s="1"/>
  <c r="L193" i="9"/>
  <c r="L199" i="9"/>
  <c r="S202" i="9"/>
  <c r="I202" i="9" s="1"/>
  <c r="K202" i="9" s="1"/>
  <c r="S200" i="9"/>
  <c r="I200" i="9" s="1"/>
  <c r="L204" i="9"/>
  <c r="E111" i="11"/>
  <c r="H111" i="11" s="1"/>
  <c r="Y220" i="9"/>
  <c r="Z220" i="9" s="1"/>
  <c r="S203" i="9"/>
  <c r="I203" i="9" s="1"/>
  <c r="K203" i="9" s="1"/>
  <c r="L205" i="9"/>
  <c r="L211" i="9"/>
  <c r="S214" i="9"/>
  <c r="I214" i="9" s="1"/>
  <c r="K214" i="9" s="1"/>
  <c r="S212" i="9"/>
  <c r="I212" i="9" s="1"/>
  <c r="Y226" i="9"/>
  <c r="Z226" i="9" s="1"/>
  <c r="AA226" i="9" s="1"/>
  <c r="AB226" i="9" s="1"/>
  <c r="U238" i="9" s="1"/>
  <c r="Y224" i="9"/>
  <c r="Z224" i="9" s="1"/>
  <c r="Y225" i="9"/>
  <c r="Z225" i="9" s="1"/>
  <c r="K235" i="9"/>
  <c r="S215" i="9"/>
  <c r="I215" i="9" s="1"/>
  <c r="K215" i="9" s="1"/>
  <c r="L217" i="9"/>
  <c r="E116" i="11"/>
  <c r="H116" i="11" s="1"/>
  <c r="L231" i="9"/>
  <c r="S194" i="9"/>
  <c r="I194" i="9" s="1"/>
  <c r="K194" i="9" s="1"/>
  <c r="S192" i="9"/>
  <c r="I192" i="9" s="1"/>
  <c r="L221" i="9"/>
  <c r="L197" i="9"/>
  <c r="L226" i="9"/>
  <c r="F120" i="11"/>
  <c r="K240" i="9"/>
  <c r="E125" i="11"/>
  <c r="H125" i="11" s="1"/>
  <c r="L250" i="9"/>
  <c r="O7" i="11"/>
  <c r="H7" i="11"/>
  <c r="O7" i="3" s="1"/>
  <c r="E122" i="11"/>
  <c r="H122" i="11" s="1"/>
  <c r="E129" i="11"/>
  <c r="H129" i="11" s="1"/>
  <c r="L258" i="9"/>
  <c r="L277" i="9"/>
  <c r="E124" i="11"/>
  <c r="H124" i="11" s="1"/>
  <c r="S251" i="9"/>
  <c r="I251" i="9" s="1"/>
  <c r="K251" i="9" s="1"/>
  <c r="S250" i="9"/>
  <c r="I250" i="9" s="1"/>
  <c r="L244" i="9"/>
  <c r="E123" i="11"/>
  <c r="H123" i="11" s="1"/>
  <c r="K248" i="9"/>
  <c r="F138" i="11"/>
  <c r="K276" i="9"/>
  <c r="L248" i="9"/>
  <c r="L238" i="9"/>
  <c r="K246" i="9"/>
  <c r="F133" i="11"/>
  <c r="K266" i="9"/>
  <c r="F137" i="11"/>
  <c r="K274" i="9"/>
  <c r="L246" i="9"/>
  <c r="L234" i="9"/>
  <c r="E120" i="11"/>
  <c r="H120" i="11" s="1"/>
  <c r="K257" i="9"/>
  <c r="R33" i="10"/>
  <c r="G126" i="11"/>
  <c r="I126" i="11" s="1"/>
  <c r="Y126" i="11" s="1"/>
  <c r="E135" i="11"/>
  <c r="H135" i="11" s="1"/>
  <c r="L270" i="9"/>
  <c r="Q8" i="11"/>
  <c r="S11" i="3" s="1"/>
  <c r="F127" i="11"/>
  <c r="G127" i="11" s="1"/>
  <c r="I127" i="11" s="1"/>
  <c r="Y127" i="11" s="1"/>
  <c r="K254" i="9"/>
  <c r="L267" i="9"/>
  <c r="Y244" i="9"/>
  <c r="Z244" i="9" s="1"/>
  <c r="Y245" i="9"/>
  <c r="Z245" i="9" s="1"/>
  <c r="AA245" i="9" s="1"/>
  <c r="AB245" i="9" s="1"/>
  <c r="U277" i="9" s="1"/>
  <c r="S269" i="9"/>
  <c r="I269" i="9" s="1"/>
  <c r="K269" i="9" s="1"/>
  <c r="S268" i="9"/>
  <c r="I268" i="9" s="1"/>
  <c r="Q35" i="10"/>
  <c r="R35" i="10" s="1"/>
  <c r="P35" i="10"/>
  <c r="E121" i="11"/>
  <c r="H121" i="11" s="1"/>
  <c r="E132" i="11"/>
  <c r="H132" i="11" s="1"/>
  <c r="L264" i="9"/>
  <c r="L251" i="9"/>
  <c r="Y246" i="9"/>
  <c r="Z246" i="9" s="1"/>
  <c r="Y247" i="9"/>
  <c r="Z247" i="9" s="1"/>
  <c r="L261" i="9"/>
  <c r="S262" i="9"/>
  <c r="I262" i="9" s="1"/>
  <c r="K262" i="9" s="1"/>
  <c r="Q44" i="10"/>
  <c r="P44" i="10"/>
  <c r="R44" i="10" s="1"/>
  <c r="Q7" i="11"/>
  <c r="R7" i="11" s="1"/>
  <c r="Q13" i="11"/>
  <c r="T13" i="11" s="1"/>
  <c r="T9" i="3" s="1"/>
  <c r="O14" i="11"/>
  <c r="Q18" i="11"/>
  <c r="R46" i="10"/>
  <c r="AG17" i="11"/>
  <c r="AH16" i="11"/>
  <c r="AG8" i="11"/>
  <c r="AH7" i="11"/>
  <c r="AH20" i="11"/>
  <c r="AG20" i="11"/>
  <c r="AH15" i="11"/>
  <c r="AG15" i="11"/>
  <c r="AH14" i="11"/>
  <c r="AH9" i="11"/>
  <c r="Q17" i="11"/>
  <c r="AG11" i="11"/>
  <c r="AG19" i="11"/>
  <c r="G8" i="11"/>
  <c r="H8" i="11" s="1"/>
  <c r="O11" i="3" s="1"/>
  <c r="AH11" i="11"/>
  <c r="V14" i="11"/>
  <c r="Q15" i="11"/>
  <c r="S5" i="3" s="1"/>
  <c r="Q16" i="11"/>
  <c r="S18" i="3" s="1"/>
  <c r="AH19" i="11"/>
  <c r="S275" i="9"/>
  <c r="I275" i="9" s="1"/>
  <c r="K275" i="9" s="1"/>
  <c r="E138" i="11"/>
  <c r="H138" i="11" s="1"/>
  <c r="P33" i="10"/>
  <c r="P42" i="10"/>
  <c r="R42" i="10" s="1"/>
  <c r="V7" i="11"/>
  <c r="Q9" i="11"/>
  <c r="V16" i="11"/>
  <c r="G128" i="11"/>
  <c r="I128" i="11" s="1"/>
  <c r="Y128" i="11" s="1"/>
  <c r="Y270" i="9"/>
  <c r="Z270" i="9" s="1"/>
  <c r="Q33" i="10"/>
  <c r="R38" i="10"/>
  <c r="Q42" i="10"/>
  <c r="P38" i="10"/>
  <c r="AG12" i="11"/>
  <c r="AG18" i="11"/>
  <c r="S261" i="9"/>
  <c r="I261" i="9" s="1"/>
  <c r="K261" i="9" s="1"/>
  <c r="E131" i="11"/>
  <c r="H131" i="11" s="1"/>
  <c r="Q38" i="10"/>
  <c r="AH8" i="11"/>
  <c r="AH12" i="11"/>
  <c r="AH18" i="11"/>
  <c r="S260" i="9"/>
  <c r="I260" i="9" s="1"/>
  <c r="S267" i="9"/>
  <c r="I267" i="9" s="1"/>
  <c r="K267" i="9" s="1"/>
  <c r="E134" i="11"/>
  <c r="H134" i="11" s="1"/>
  <c r="P34" i="10"/>
  <c r="R34" i="10" s="1"/>
  <c r="AG13" i="11"/>
  <c r="AH17" i="11"/>
  <c r="E137" i="11"/>
  <c r="H137" i="11" s="1"/>
  <c r="R9" i="10"/>
  <c r="V13" i="11"/>
  <c r="AH13" i="11"/>
  <c r="AH10" i="11"/>
  <c r="G17" i="11"/>
  <c r="H17" i="11" s="1"/>
  <c r="O8" i="3" s="1"/>
  <c r="S259" i="9"/>
  <c r="I259" i="9" s="1"/>
  <c r="K259" i="9" s="1"/>
  <c r="E130" i="11"/>
  <c r="H130" i="11" s="1"/>
  <c r="S265" i="9"/>
  <c r="I265" i="9" s="1"/>
  <c r="E133" i="11"/>
  <c r="H133" i="11" s="1"/>
  <c r="S264" i="9"/>
  <c r="I264" i="9" s="1"/>
  <c r="K264" i="9" s="1"/>
  <c r="E136" i="11"/>
  <c r="H136" i="11" s="1"/>
  <c r="L274" i="9"/>
  <c r="Q31" i="10"/>
  <c r="R31" i="10" s="1"/>
  <c r="R40" i="10"/>
  <c r="P45" i="10"/>
  <c r="R45" i="10" s="1"/>
  <c r="Q12" i="11"/>
  <c r="S15" i="3" s="1"/>
  <c r="S270" i="9"/>
  <c r="I270" i="9" s="1"/>
  <c r="S277" i="9"/>
  <c r="I277" i="9" s="1"/>
  <c r="K277" i="9" s="1"/>
  <c r="P36" i="10"/>
  <c r="R36" i="10" s="1"/>
  <c r="J20" i="11"/>
  <c r="V19" i="11"/>
  <c r="F143" i="11" l="1"/>
  <c r="G143" i="11" s="1"/>
  <c r="I143" i="11" s="1"/>
  <c r="Y143" i="11" s="1"/>
  <c r="C3" i="6"/>
  <c r="T19" i="11"/>
  <c r="T13" i="3" s="1"/>
  <c r="Q26" i="6"/>
  <c r="F82" i="11"/>
  <c r="K62" i="9"/>
  <c r="W86" i="9"/>
  <c r="X86" i="9" s="1"/>
  <c r="F129" i="11"/>
  <c r="K109" i="9"/>
  <c r="F85" i="11"/>
  <c r="G85" i="11" s="1"/>
  <c r="I85" i="11" s="1"/>
  <c r="Y85" i="11" s="1"/>
  <c r="A12" i="8"/>
  <c r="B23" i="7"/>
  <c r="H13" i="4"/>
  <c r="K285" i="9"/>
  <c r="F142" i="11"/>
  <c r="G142" i="11" s="1"/>
  <c r="I142" i="11" s="1"/>
  <c r="Y142" i="11" s="1"/>
  <c r="AC19" i="11"/>
  <c r="Y19" i="11" s="1"/>
  <c r="B16" i="4"/>
  <c r="H10" i="4"/>
  <c r="S13" i="3"/>
  <c r="F116" i="11"/>
  <c r="F136" i="11"/>
  <c r="G136" i="11" s="1"/>
  <c r="I136" i="11" s="1"/>
  <c r="Y136" i="11" s="1"/>
  <c r="O18" i="11"/>
  <c r="AA86" i="9"/>
  <c r="AB86" i="9" s="1"/>
  <c r="U88" i="9" s="1"/>
  <c r="Y88" i="9" s="1"/>
  <c r="Z88" i="9" s="1"/>
  <c r="R25" i="6"/>
  <c r="B8" i="4"/>
  <c r="K53" i="9"/>
  <c r="K282" i="9"/>
  <c r="F141" i="11"/>
  <c r="G141" i="11" s="1"/>
  <c r="I141" i="11" s="1"/>
  <c r="Y141" i="11" s="1"/>
  <c r="O15" i="11"/>
  <c r="F113" i="11"/>
  <c r="G113" i="11" s="1"/>
  <c r="I113" i="11" s="1"/>
  <c r="Y113" i="11" s="1"/>
  <c r="K18" i="9"/>
  <c r="AC18" i="11"/>
  <c r="Y18" i="11" s="1"/>
  <c r="AA125" i="9"/>
  <c r="AB125" i="9" s="1"/>
  <c r="U129" i="9" s="1"/>
  <c r="Z129" i="9" s="1"/>
  <c r="R10" i="11"/>
  <c r="H12" i="11"/>
  <c r="O15" i="3" s="1"/>
  <c r="C23" i="7"/>
  <c r="K281" i="9"/>
  <c r="F140" i="11"/>
  <c r="G140" i="11" s="1"/>
  <c r="I140" i="11" s="1"/>
  <c r="Y140" i="11" s="1"/>
  <c r="K42" i="9"/>
  <c r="K222" i="9"/>
  <c r="F68" i="11"/>
  <c r="G68" i="11" s="1"/>
  <c r="I68" i="11" s="1"/>
  <c r="Y68" i="11" s="1"/>
  <c r="G137" i="11"/>
  <c r="I137" i="11" s="1"/>
  <c r="Y137" i="11" s="1"/>
  <c r="K38" i="9"/>
  <c r="K263" i="9"/>
  <c r="F95" i="11"/>
  <c r="G95" i="11" s="1"/>
  <c r="I95" i="11" s="1"/>
  <c r="Y95" i="11" s="1"/>
  <c r="E17" i="2"/>
  <c r="T10" i="11"/>
  <c r="T17" i="3" s="1"/>
  <c r="K43" i="9"/>
  <c r="F32" i="11"/>
  <c r="G32" i="11" s="1"/>
  <c r="I32" i="11" s="1"/>
  <c r="Y32" i="11" s="1"/>
  <c r="G28" i="11"/>
  <c r="I28" i="11" s="1"/>
  <c r="Y28" i="11" s="1"/>
  <c r="AA4" i="9"/>
  <c r="AB4" i="9" s="1"/>
  <c r="F99" i="6" s="1"/>
  <c r="P99" i="6" s="1"/>
  <c r="B18" i="2" s="1"/>
  <c r="R9" i="6"/>
  <c r="E11" i="2"/>
  <c r="Q9" i="6"/>
  <c r="G67" i="11"/>
  <c r="I67" i="11" s="1"/>
  <c r="Y67" i="11" s="1"/>
  <c r="K86" i="9"/>
  <c r="F91" i="11"/>
  <c r="G91" i="11" s="1"/>
  <c r="I91" i="11" s="1"/>
  <c r="Y91" i="11" s="1"/>
  <c r="K21" i="9"/>
  <c r="K229" i="9"/>
  <c r="V11" i="11"/>
  <c r="K65" i="9"/>
  <c r="K279" i="9"/>
  <c r="F139" i="11"/>
  <c r="G139" i="11" s="1"/>
  <c r="I139" i="11" s="1"/>
  <c r="Y139" i="11" s="1"/>
  <c r="O17" i="11"/>
  <c r="X6" i="9"/>
  <c r="J6" i="9" s="1"/>
  <c r="M6" i="9" s="1"/>
  <c r="N6" i="9" s="1"/>
  <c r="F47" i="11"/>
  <c r="G47" i="11" s="1"/>
  <c r="I47" i="11" s="1"/>
  <c r="Y47" i="11" s="1"/>
  <c r="C11" i="2"/>
  <c r="V12" i="11"/>
  <c r="G41" i="11"/>
  <c r="I41" i="11" s="1"/>
  <c r="Y41" i="11" s="1"/>
  <c r="AC17" i="11"/>
  <c r="Y17" i="11" s="1"/>
  <c r="G138" i="11"/>
  <c r="I138" i="11" s="1"/>
  <c r="Y138" i="11" s="1"/>
  <c r="C16" i="2"/>
  <c r="AC9" i="11"/>
  <c r="Y9" i="11" s="1"/>
  <c r="F27" i="11"/>
  <c r="G27" i="11" s="1"/>
  <c r="I27" i="11" s="1"/>
  <c r="Y27" i="11" s="1"/>
  <c r="AA44" i="9"/>
  <c r="AB44" i="9" s="1"/>
  <c r="F93" i="6" s="1"/>
  <c r="AA43" i="9"/>
  <c r="AB43" i="9" s="1"/>
  <c r="U45" i="9" s="1"/>
  <c r="Y45" i="9" s="1"/>
  <c r="Z45" i="9" s="1"/>
  <c r="G25" i="11"/>
  <c r="I25" i="11" s="1"/>
  <c r="Y25" i="11" s="1"/>
  <c r="G62" i="11"/>
  <c r="I62" i="11" s="1"/>
  <c r="Y62" i="11" s="1"/>
  <c r="G120" i="11"/>
  <c r="I120" i="11" s="1"/>
  <c r="Y120" i="11" s="1"/>
  <c r="X12" i="11"/>
  <c r="B25" i="4" s="1"/>
  <c r="B9" i="4"/>
  <c r="K47" i="9"/>
  <c r="G61" i="11"/>
  <c r="I61" i="11" s="1"/>
  <c r="Y61" i="11" s="1"/>
  <c r="AC13" i="11"/>
  <c r="Y13" i="11" s="1"/>
  <c r="G29" i="11"/>
  <c r="I29" i="11" s="1"/>
  <c r="Y29" i="11" s="1"/>
  <c r="G55" i="11"/>
  <c r="I55" i="11" s="1"/>
  <c r="Y55" i="11" s="1"/>
  <c r="F31" i="11"/>
  <c r="F121" i="11"/>
  <c r="G121" i="11" s="1"/>
  <c r="I121" i="11" s="1"/>
  <c r="Y121" i="11" s="1"/>
  <c r="I13" i="3"/>
  <c r="AC8" i="11"/>
  <c r="Y8" i="11" s="1"/>
  <c r="AC7" i="11"/>
  <c r="Y7" i="11" s="1"/>
  <c r="K252" i="9"/>
  <c r="K35" i="9"/>
  <c r="F84" i="11"/>
  <c r="G84" i="11" s="1"/>
  <c r="I84" i="11" s="1"/>
  <c r="Y84" i="11" s="1"/>
  <c r="AA126" i="9"/>
  <c r="AB126" i="9" s="1"/>
  <c r="U134" i="9" s="1"/>
  <c r="Y134" i="9" s="1"/>
  <c r="Z134" i="9" s="1"/>
  <c r="AC11" i="11"/>
  <c r="Y11" i="11" s="1"/>
  <c r="AA49" i="9"/>
  <c r="AB49" i="9" s="1"/>
  <c r="U51" i="9" s="1"/>
  <c r="Y52" i="9" s="1"/>
  <c r="Z52" i="9" s="1"/>
  <c r="K49" i="9"/>
  <c r="R14" i="11"/>
  <c r="T14" i="11"/>
  <c r="T10" i="3" s="1"/>
  <c r="R11" i="11"/>
  <c r="T11" i="11"/>
  <c r="T6" i="3" s="1"/>
  <c r="U16" i="3"/>
  <c r="W20" i="11"/>
  <c r="V16" i="3"/>
  <c r="T15" i="11"/>
  <c r="T5" i="3" s="1"/>
  <c r="AA132" i="9"/>
  <c r="AB132" i="9" s="1"/>
  <c r="U137" i="9" s="1"/>
  <c r="AA133" i="9"/>
  <c r="AB133" i="9" s="1"/>
  <c r="U148" i="9" s="1"/>
  <c r="G46" i="11"/>
  <c r="I46" i="11" s="1"/>
  <c r="Y46" i="11" s="1"/>
  <c r="K31" i="9"/>
  <c r="K20" i="9"/>
  <c r="J13" i="3"/>
  <c r="G37" i="11"/>
  <c r="I37" i="11" s="1"/>
  <c r="Y37" i="11" s="1"/>
  <c r="J18" i="3"/>
  <c r="G112" i="11"/>
  <c r="I112" i="11" s="1"/>
  <c r="Y112" i="11" s="1"/>
  <c r="AA72" i="9"/>
  <c r="AB72" i="9" s="1"/>
  <c r="U75" i="9" s="1"/>
  <c r="Y76" i="9" s="1"/>
  <c r="G79" i="11"/>
  <c r="I79" i="11" s="1"/>
  <c r="Y79" i="11" s="1"/>
  <c r="K71" i="9"/>
  <c r="K80" i="9"/>
  <c r="I17" i="3" s="1"/>
  <c r="G124" i="11"/>
  <c r="I124" i="11" s="1"/>
  <c r="Y124" i="11" s="1"/>
  <c r="G82" i="11"/>
  <c r="I82" i="11" s="1"/>
  <c r="Y82" i="11" s="1"/>
  <c r="K45" i="9"/>
  <c r="K29" i="9"/>
  <c r="G133" i="11"/>
  <c r="I133" i="11" s="1"/>
  <c r="Y133" i="11" s="1"/>
  <c r="AA224" i="9"/>
  <c r="AB224" i="9" s="1"/>
  <c r="U237" i="9" s="1"/>
  <c r="Y238" i="9" s="1"/>
  <c r="Z238" i="9" s="1"/>
  <c r="G123" i="11"/>
  <c r="I123" i="11" s="1"/>
  <c r="Y123" i="11" s="1"/>
  <c r="G129" i="11"/>
  <c r="I129" i="11" s="1"/>
  <c r="Y129" i="11" s="1"/>
  <c r="F66" i="11"/>
  <c r="G66" i="11" s="1"/>
  <c r="I66" i="11" s="1"/>
  <c r="Y66" i="11" s="1"/>
  <c r="K94" i="9"/>
  <c r="G80" i="11"/>
  <c r="I80" i="11" s="1"/>
  <c r="Y80" i="11" s="1"/>
  <c r="G40" i="11"/>
  <c r="I40" i="11" s="1"/>
  <c r="Y40" i="11" s="1"/>
  <c r="G87" i="11"/>
  <c r="I87" i="11" s="1"/>
  <c r="Y87" i="11" s="1"/>
  <c r="AA131" i="9"/>
  <c r="AB131" i="9" s="1"/>
  <c r="U139" i="9" s="1"/>
  <c r="Z139" i="9" s="1"/>
  <c r="AA23" i="9"/>
  <c r="AB23" i="9" s="1"/>
  <c r="U25" i="9" s="1"/>
  <c r="B13" i="4"/>
  <c r="Y167" i="9"/>
  <c r="Y166" i="9"/>
  <c r="Y164" i="9"/>
  <c r="Z164" i="9" s="1"/>
  <c r="Y165" i="9"/>
  <c r="Z165" i="9" s="1"/>
  <c r="Y25" i="9"/>
  <c r="Y26" i="9"/>
  <c r="Z26" i="9" s="1"/>
  <c r="AC16" i="11"/>
  <c r="Y16" i="11" s="1"/>
  <c r="AA246" i="9"/>
  <c r="AB246" i="9" s="1"/>
  <c r="U248" i="9" s="1"/>
  <c r="AA247" i="9"/>
  <c r="AB247" i="9" s="1"/>
  <c r="U249" i="9" s="1"/>
  <c r="F106" i="11"/>
  <c r="G106" i="11" s="1"/>
  <c r="I106" i="11" s="1"/>
  <c r="Y106" i="11" s="1"/>
  <c r="K200" i="9"/>
  <c r="F111" i="11"/>
  <c r="G111" i="11" s="1"/>
  <c r="I111" i="11" s="1"/>
  <c r="Y111" i="11" s="1"/>
  <c r="K220" i="9"/>
  <c r="G78" i="11"/>
  <c r="I78" i="11" s="1"/>
  <c r="Y78" i="11" s="1"/>
  <c r="AA16" i="9"/>
  <c r="AB16" i="9" s="1"/>
  <c r="U18" i="9" s="1"/>
  <c r="AC14" i="11"/>
  <c r="Y14" i="11" s="1"/>
  <c r="T12" i="11"/>
  <c r="R13" i="11"/>
  <c r="S9" i="3"/>
  <c r="AA68" i="9"/>
  <c r="AB68" i="9" s="1"/>
  <c r="U99" i="9" s="1"/>
  <c r="J7" i="3"/>
  <c r="F26" i="11"/>
  <c r="G26" i="11" s="1"/>
  <c r="K7" i="9"/>
  <c r="F39" i="11"/>
  <c r="G39" i="11" s="1"/>
  <c r="I39" i="11" s="1"/>
  <c r="Y39" i="11" s="1"/>
  <c r="K40" i="9"/>
  <c r="M5" i="9"/>
  <c r="N5" i="9" s="1"/>
  <c r="F77" i="11"/>
  <c r="G77" i="11" s="1"/>
  <c r="I77" i="11" s="1"/>
  <c r="Y77" i="11" s="1"/>
  <c r="K116" i="9"/>
  <c r="AA244" i="9"/>
  <c r="AB244" i="9" s="1"/>
  <c r="U276" i="9" s="1"/>
  <c r="J12" i="3"/>
  <c r="F83" i="11"/>
  <c r="G83" i="11" s="1"/>
  <c r="I83" i="11" s="1"/>
  <c r="Y83" i="11" s="1"/>
  <c r="K128" i="9"/>
  <c r="Y74" i="9"/>
  <c r="Z74" i="9" s="1"/>
  <c r="Y73" i="9"/>
  <c r="Z73" i="9" s="1"/>
  <c r="F58" i="11"/>
  <c r="G58" i="11" s="1"/>
  <c r="I58" i="11" s="1"/>
  <c r="Y58" i="11" s="1"/>
  <c r="K77" i="9"/>
  <c r="F36" i="11"/>
  <c r="G36" i="11" s="1"/>
  <c r="I36" i="11" s="1"/>
  <c r="Y36" i="11" s="1"/>
  <c r="K33" i="9"/>
  <c r="F104" i="11"/>
  <c r="G104" i="11" s="1"/>
  <c r="I104" i="11" s="1"/>
  <c r="Y104" i="11" s="1"/>
  <c r="K192" i="9"/>
  <c r="F107" i="11"/>
  <c r="G107" i="11" s="1"/>
  <c r="I107" i="11" s="1"/>
  <c r="Y107" i="11" s="1"/>
  <c r="K204" i="9"/>
  <c r="T7" i="11"/>
  <c r="T7" i="3" s="1"/>
  <c r="S7" i="3"/>
  <c r="F125" i="11"/>
  <c r="G125" i="11" s="1"/>
  <c r="I125" i="11" s="1"/>
  <c r="Y125" i="11" s="1"/>
  <c r="K250" i="9"/>
  <c r="T16" i="11"/>
  <c r="T18" i="3" s="1"/>
  <c r="R8" i="11"/>
  <c r="G81" i="11"/>
  <c r="I81" i="11" s="1"/>
  <c r="Y81" i="11" s="1"/>
  <c r="F56" i="11"/>
  <c r="G56" i="11" s="1"/>
  <c r="I56" i="11" s="1"/>
  <c r="Y56" i="11" s="1"/>
  <c r="K73" i="9"/>
  <c r="F57" i="11"/>
  <c r="G57" i="11" s="1"/>
  <c r="I57" i="11" s="1"/>
  <c r="Y57" i="11" s="1"/>
  <c r="K75" i="9"/>
  <c r="F48" i="11"/>
  <c r="G48" i="11" s="1"/>
  <c r="I48" i="11" s="1"/>
  <c r="Y48" i="11" s="1"/>
  <c r="K57" i="9"/>
  <c r="R16" i="11"/>
  <c r="T8" i="11"/>
  <c r="T11" i="3" s="1"/>
  <c r="F103" i="11"/>
  <c r="G103" i="11" s="1"/>
  <c r="I103" i="11" s="1"/>
  <c r="Y103" i="11" s="1"/>
  <c r="F98" i="11"/>
  <c r="G98" i="11" s="1"/>
  <c r="I98" i="11" s="1"/>
  <c r="Y98" i="11" s="1"/>
  <c r="F94" i="11"/>
  <c r="G94" i="11" s="1"/>
  <c r="I94" i="11" s="1"/>
  <c r="Y94" i="11" s="1"/>
  <c r="J8" i="3"/>
  <c r="F51" i="11"/>
  <c r="G51" i="11" s="1"/>
  <c r="I51" i="11" s="1"/>
  <c r="Y51" i="11" s="1"/>
  <c r="K63" i="9"/>
  <c r="F53" i="11"/>
  <c r="G53" i="11" s="1"/>
  <c r="I53" i="11" s="1"/>
  <c r="Y53" i="11" s="1"/>
  <c r="K68" i="9"/>
  <c r="F109" i="11"/>
  <c r="G109" i="11" s="1"/>
  <c r="I109" i="11" s="1"/>
  <c r="Y109" i="11" s="1"/>
  <c r="K212" i="9"/>
  <c r="F100" i="11"/>
  <c r="G100" i="11" s="1"/>
  <c r="I100" i="11" s="1"/>
  <c r="Y100" i="11" s="1"/>
  <c r="F63" i="11"/>
  <c r="G63" i="11" s="1"/>
  <c r="I63" i="11" s="1"/>
  <c r="Y63" i="11" s="1"/>
  <c r="K88" i="9"/>
  <c r="Y69" i="9"/>
  <c r="Z69" i="9" s="1"/>
  <c r="Y70" i="9"/>
  <c r="J5" i="3"/>
  <c r="F135" i="11"/>
  <c r="G135" i="11" s="1"/>
  <c r="I135" i="11" s="1"/>
  <c r="Y135" i="11" s="1"/>
  <c r="K270" i="9"/>
  <c r="F132" i="11"/>
  <c r="G132" i="11" s="1"/>
  <c r="I132" i="11" s="1"/>
  <c r="Y132" i="11" s="1"/>
  <c r="K265" i="9"/>
  <c r="T9" i="11"/>
  <c r="T14" i="3" s="1"/>
  <c r="R9" i="11"/>
  <c r="S14" i="3"/>
  <c r="R15" i="11"/>
  <c r="F105" i="11"/>
  <c r="G105" i="11" s="1"/>
  <c r="I105" i="11" s="1"/>
  <c r="Y105" i="11" s="1"/>
  <c r="K196" i="9"/>
  <c r="F97" i="11"/>
  <c r="G97" i="11" s="1"/>
  <c r="I97" i="11" s="1"/>
  <c r="Y97" i="11" s="1"/>
  <c r="K164" i="9"/>
  <c r="AA77" i="9"/>
  <c r="AB77" i="9" s="1"/>
  <c r="F107" i="6" s="1"/>
  <c r="P107" i="6" s="1"/>
  <c r="B26" i="2" s="1"/>
  <c r="J14" i="3"/>
  <c r="J15" i="3"/>
  <c r="AC10" i="11"/>
  <c r="Y10" i="11" s="1"/>
  <c r="C20" i="2"/>
  <c r="D20" i="2"/>
  <c r="G59" i="11"/>
  <c r="I59" i="11" s="1"/>
  <c r="Y59" i="11" s="1"/>
  <c r="AA30" i="9"/>
  <c r="AB30" i="9" s="1"/>
  <c r="U32" i="9" s="1"/>
  <c r="AA29" i="9"/>
  <c r="AB29" i="9" s="1"/>
  <c r="U31" i="9" s="1"/>
  <c r="F64" i="11"/>
  <c r="G64" i="11" s="1"/>
  <c r="I64" i="11" s="1"/>
  <c r="Y64" i="11" s="1"/>
  <c r="K90" i="9"/>
  <c r="F45" i="11"/>
  <c r="G45" i="11" s="1"/>
  <c r="I45" i="11" s="1"/>
  <c r="Y45" i="11" s="1"/>
  <c r="K51" i="9"/>
  <c r="J10" i="3"/>
  <c r="F101" i="11"/>
  <c r="G101" i="11" s="1"/>
  <c r="I101" i="11" s="1"/>
  <c r="Y101" i="11" s="1"/>
  <c r="K180" i="9"/>
  <c r="F96" i="11"/>
  <c r="G96" i="11" s="1"/>
  <c r="I96" i="11" s="1"/>
  <c r="Y96" i="11" s="1"/>
  <c r="K160" i="9"/>
  <c r="F74" i="11"/>
  <c r="G74" i="11" s="1"/>
  <c r="I74" i="11" s="1"/>
  <c r="Y74" i="11" s="1"/>
  <c r="K110" i="9"/>
  <c r="F76" i="11"/>
  <c r="G76" i="11" s="1"/>
  <c r="I76" i="11" s="1"/>
  <c r="Y76" i="11" s="1"/>
  <c r="K114" i="9"/>
  <c r="R12" i="11"/>
  <c r="F134" i="11"/>
  <c r="G134" i="11" s="1"/>
  <c r="I134" i="11" s="1"/>
  <c r="Y134" i="11" s="1"/>
  <c r="K268" i="9"/>
  <c r="V8" i="11"/>
  <c r="G122" i="11"/>
  <c r="I122" i="11" s="1"/>
  <c r="Y122" i="11" s="1"/>
  <c r="J9" i="3"/>
  <c r="F72" i="11"/>
  <c r="G72" i="11" s="1"/>
  <c r="I72" i="11" s="1"/>
  <c r="Y72" i="11" s="1"/>
  <c r="K106" i="9"/>
  <c r="F75" i="11"/>
  <c r="G75" i="11" s="1"/>
  <c r="I75" i="11" s="1"/>
  <c r="Y75" i="11" s="1"/>
  <c r="K112" i="9"/>
  <c r="F70" i="11"/>
  <c r="G70" i="11" s="1"/>
  <c r="I70" i="11" s="1"/>
  <c r="Y70" i="11" s="1"/>
  <c r="K103" i="9"/>
  <c r="J6" i="3"/>
  <c r="D17" i="2"/>
  <c r="C17" i="2"/>
  <c r="F33" i="11"/>
  <c r="G33" i="11" s="1"/>
  <c r="I33" i="11" s="1"/>
  <c r="Y33" i="11" s="1"/>
  <c r="K28" i="9"/>
  <c r="F86" i="11"/>
  <c r="G86" i="11" s="1"/>
  <c r="I86" i="11" s="1"/>
  <c r="Y86" i="11" s="1"/>
  <c r="K134" i="9"/>
  <c r="F71" i="11"/>
  <c r="G71" i="11" s="1"/>
  <c r="I71" i="11" s="1"/>
  <c r="Y71" i="11" s="1"/>
  <c r="K104" i="9"/>
  <c r="D13" i="2"/>
  <c r="C13" i="2"/>
  <c r="D19" i="2"/>
  <c r="C19" i="2"/>
  <c r="AC12" i="11"/>
  <c r="Y12" i="11" s="1"/>
  <c r="J4" i="9"/>
  <c r="F102" i="11"/>
  <c r="G102" i="11" s="1"/>
  <c r="I102" i="11" s="1"/>
  <c r="Y102" i="11" s="1"/>
  <c r="K184" i="9"/>
  <c r="F93" i="11"/>
  <c r="G93" i="11" s="1"/>
  <c r="I93" i="11" s="1"/>
  <c r="Y93" i="11" s="1"/>
  <c r="K148" i="9"/>
  <c r="F88" i="11"/>
  <c r="G88" i="11" s="1"/>
  <c r="I88" i="11" s="1"/>
  <c r="Y88" i="11" s="1"/>
  <c r="K138" i="9"/>
  <c r="G116" i="11"/>
  <c r="I116" i="11" s="1"/>
  <c r="Y116" i="11" s="1"/>
  <c r="F108" i="11"/>
  <c r="G108" i="11" s="1"/>
  <c r="I108" i="11" s="1"/>
  <c r="Y108" i="11" s="1"/>
  <c r="K208" i="9"/>
  <c r="F90" i="11"/>
  <c r="G90" i="11" s="1"/>
  <c r="I90" i="11" s="1"/>
  <c r="Y90" i="11" s="1"/>
  <c r="K142" i="9"/>
  <c r="F54" i="11"/>
  <c r="G54" i="11" s="1"/>
  <c r="I54" i="11" s="1"/>
  <c r="Y54" i="11" s="1"/>
  <c r="K69" i="9"/>
  <c r="G31" i="11"/>
  <c r="I31" i="11" s="1"/>
  <c r="Y31" i="11" s="1"/>
  <c r="AA7" i="9"/>
  <c r="AB7" i="9" s="1"/>
  <c r="B96" i="6" s="1"/>
  <c r="P96" i="6" s="1"/>
  <c r="B15" i="2" s="1"/>
  <c r="G30" i="11"/>
  <c r="I30" i="11" s="1"/>
  <c r="Y30" i="11" s="1"/>
  <c r="AC15" i="11"/>
  <c r="Y15" i="11" s="1"/>
  <c r="F99" i="11"/>
  <c r="G99" i="11" s="1"/>
  <c r="I99" i="11" s="1"/>
  <c r="Y99" i="11" s="1"/>
  <c r="K172" i="9"/>
  <c r="V17" i="11"/>
  <c r="F110" i="11"/>
  <c r="G110" i="11" s="1"/>
  <c r="I110" i="11" s="1"/>
  <c r="Y110" i="11" s="1"/>
  <c r="K216" i="9"/>
  <c r="AA225" i="9"/>
  <c r="AB225" i="9" s="1"/>
  <c r="U239" i="9" s="1"/>
  <c r="F89" i="11"/>
  <c r="G89" i="11" s="1"/>
  <c r="I89" i="11" s="1"/>
  <c r="Y89" i="11" s="1"/>
  <c r="K140" i="9"/>
  <c r="I18" i="3" s="1"/>
  <c r="F60" i="11"/>
  <c r="G60" i="11" s="1"/>
  <c r="I60" i="11" s="1"/>
  <c r="Y60" i="11" s="1"/>
  <c r="K82" i="9"/>
  <c r="W12" i="9"/>
  <c r="X12" i="9" s="1"/>
  <c r="J12" i="9" s="1"/>
  <c r="W8" i="9"/>
  <c r="W14" i="9"/>
  <c r="X14" i="9" s="1"/>
  <c r="J14" i="9" s="1"/>
  <c r="W10" i="9"/>
  <c r="W13" i="9"/>
  <c r="W9" i="9"/>
  <c r="X9" i="9" s="1"/>
  <c r="J9" i="9" s="1"/>
  <c r="W7" i="9"/>
  <c r="X7" i="9" s="1"/>
  <c r="W11" i="9"/>
  <c r="X11" i="9" s="1"/>
  <c r="J11" i="9" s="1"/>
  <c r="D24" i="2"/>
  <c r="C24" i="2"/>
  <c r="J17" i="3"/>
  <c r="F130" i="11"/>
  <c r="G130" i="11" s="1"/>
  <c r="I130" i="11" s="1"/>
  <c r="Y130" i="11" s="1"/>
  <c r="K260" i="9"/>
  <c r="R17" i="11"/>
  <c r="S8" i="3"/>
  <c r="T18" i="11"/>
  <c r="T12" i="3" s="1"/>
  <c r="R18" i="11"/>
  <c r="S12" i="3"/>
  <c r="G131" i="11"/>
  <c r="I131" i="11" s="1"/>
  <c r="Y131" i="11" s="1"/>
  <c r="T17" i="11"/>
  <c r="T8" i="3" s="1"/>
  <c r="J11" i="3"/>
  <c r="F65" i="11"/>
  <c r="G65" i="11" s="1"/>
  <c r="I65" i="11" s="1"/>
  <c r="Y65" i="11" s="1"/>
  <c r="K93" i="9"/>
  <c r="F49" i="11"/>
  <c r="G49" i="11" s="1"/>
  <c r="I49" i="11" s="1"/>
  <c r="Y49" i="11" s="1"/>
  <c r="K59" i="9"/>
  <c r="C24" i="7" l="1"/>
  <c r="A6" i="8"/>
  <c r="B26" i="4"/>
  <c r="Y89" i="9"/>
  <c r="Z89" i="9" s="1"/>
  <c r="AA89" i="9" s="1"/>
  <c r="AB89" i="9" s="1"/>
  <c r="U116" i="9" s="1"/>
  <c r="B24" i="7"/>
  <c r="Y135" i="9"/>
  <c r="Z135" i="9" s="1"/>
  <c r="Y75" i="9"/>
  <c r="Z75" i="9" s="1"/>
  <c r="Y46" i="9"/>
  <c r="Z46" i="9" s="1"/>
  <c r="Y51" i="9"/>
  <c r="Z51" i="9" s="1"/>
  <c r="I15" i="3"/>
  <c r="I9" i="3"/>
  <c r="Z25" i="9"/>
  <c r="I8" i="3"/>
  <c r="I5" i="3"/>
  <c r="A7" i="8"/>
  <c r="I14" i="3"/>
  <c r="I11" i="3"/>
  <c r="Y237" i="9"/>
  <c r="Z237" i="9" s="1"/>
  <c r="Y239" i="9"/>
  <c r="Z239" i="9" s="1"/>
  <c r="I6" i="3"/>
  <c r="I10" i="3"/>
  <c r="I12" i="3"/>
  <c r="M9" i="11"/>
  <c r="D26" i="2"/>
  <c r="C26" i="2"/>
  <c r="M14" i="11"/>
  <c r="AA52" i="9"/>
  <c r="AB52" i="9" s="1"/>
  <c r="U54" i="9" s="1"/>
  <c r="AA51" i="9"/>
  <c r="AB51" i="9" s="1"/>
  <c r="U53" i="9" s="1"/>
  <c r="M17" i="11"/>
  <c r="M11" i="11"/>
  <c r="M13" i="11"/>
  <c r="M10" i="11"/>
  <c r="Y277" i="9"/>
  <c r="Z277" i="9" s="1"/>
  <c r="Y276" i="9"/>
  <c r="Z276" i="9" s="1"/>
  <c r="Y149" i="9"/>
  <c r="Z149" i="9" s="1"/>
  <c r="Y151" i="9"/>
  <c r="Z151" i="9" s="1"/>
  <c r="AA151" i="9" s="1"/>
  <c r="AB151" i="9" s="1"/>
  <c r="U173" i="9" s="1"/>
  <c r="Y148" i="9"/>
  <c r="Z148" i="9" s="1"/>
  <c r="Y150" i="9"/>
  <c r="AA238" i="9"/>
  <c r="AB238" i="9" s="1"/>
  <c r="U257" i="9" s="1"/>
  <c r="AA129" i="9"/>
  <c r="AB129" i="9" s="1"/>
  <c r="U163" i="9" s="1"/>
  <c r="AA128" i="9"/>
  <c r="AB128" i="9" s="1"/>
  <c r="U136" i="9" s="1"/>
  <c r="Y248" i="9"/>
  <c r="Z248" i="9" s="1"/>
  <c r="Y249" i="9"/>
  <c r="Z249" i="9" s="1"/>
  <c r="AA139" i="9"/>
  <c r="AB139" i="9" s="1"/>
  <c r="U140" i="9" s="1"/>
  <c r="AA138" i="9"/>
  <c r="AB138" i="9" s="1"/>
  <c r="D108" i="6" s="1"/>
  <c r="B17" i="4"/>
  <c r="T15" i="3"/>
  <c r="T2" i="3" s="1"/>
  <c r="M11" i="9"/>
  <c r="N11" i="9" s="1"/>
  <c r="M9" i="9"/>
  <c r="N9" i="9" s="1"/>
  <c r="M20" i="11"/>
  <c r="Y32" i="9"/>
  <c r="Z32" i="9" s="1"/>
  <c r="Y31" i="9"/>
  <c r="Z31" i="9" s="1"/>
  <c r="U25" i="11"/>
  <c r="H13" i="9"/>
  <c r="Y17" i="9"/>
  <c r="Z17" i="9" s="1"/>
  <c r="Y18" i="9"/>
  <c r="Z18" i="9" s="1"/>
  <c r="AA46" i="9"/>
  <c r="AB46" i="9" s="1"/>
  <c r="D93" i="6" s="1"/>
  <c r="AA45" i="9"/>
  <c r="AB45" i="9" s="1"/>
  <c r="U47" i="9" s="1"/>
  <c r="AA134" i="9"/>
  <c r="AB134" i="9" s="1"/>
  <c r="U150" i="9" s="1"/>
  <c r="AA135" i="9"/>
  <c r="AB135" i="9" s="1"/>
  <c r="U158" i="9" s="1"/>
  <c r="M8" i="11"/>
  <c r="M14" i="9"/>
  <c r="N14" i="9" s="1"/>
  <c r="M18" i="11"/>
  <c r="P25" i="11"/>
  <c r="H8" i="9"/>
  <c r="M15" i="11"/>
  <c r="D15" i="2"/>
  <c r="C15" i="2"/>
  <c r="AA73" i="9"/>
  <c r="AB73" i="9" s="1"/>
  <c r="I106" i="6" s="1"/>
  <c r="AA74" i="9"/>
  <c r="AB74" i="9" s="1"/>
  <c r="U76" i="9" s="1"/>
  <c r="M12" i="9"/>
  <c r="N12" i="9" s="1"/>
  <c r="M12" i="11"/>
  <c r="AA26" i="9"/>
  <c r="AB26" i="9" s="1"/>
  <c r="U28" i="9" s="1"/>
  <c r="AA25" i="9"/>
  <c r="AB25" i="9" s="1"/>
  <c r="U27" i="9" s="1"/>
  <c r="M19" i="11"/>
  <c r="M4" i="9"/>
  <c r="M7" i="11"/>
  <c r="I7" i="3"/>
  <c r="I26" i="11"/>
  <c r="M16" i="11"/>
  <c r="C18" i="2"/>
  <c r="D18" i="2"/>
  <c r="AA88" i="9" l="1"/>
  <c r="AB88" i="9" s="1"/>
  <c r="U91" i="9" s="1"/>
  <c r="Z91" i="9" s="1"/>
  <c r="AA239" i="9"/>
  <c r="AB239" i="9" s="1"/>
  <c r="AA237" i="9"/>
  <c r="AB237" i="9" s="1"/>
  <c r="U254" i="9" s="1"/>
  <c r="Y254" i="9" s="1"/>
  <c r="Z254" i="9" s="1"/>
  <c r="Y28" i="9"/>
  <c r="Z28" i="9" s="1"/>
  <c r="Y27" i="9"/>
  <c r="Z27" i="9" s="1"/>
  <c r="N39" i="11"/>
  <c r="N48" i="11"/>
  <c r="N32" i="11"/>
  <c r="N41" i="11"/>
  <c r="N34" i="11"/>
  <c r="N43" i="11"/>
  <c r="N45" i="11"/>
  <c r="N47" i="11"/>
  <c r="N46" i="11"/>
  <c r="N42" i="11"/>
  <c r="N40" i="11"/>
  <c r="N31" i="11"/>
  <c r="N44" i="11"/>
  <c r="N38" i="11"/>
  <c r="N26" i="11"/>
  <c r="N36" i="11"/>
  <c r="N30" i="11"/>
  <c r="N37" i="11"/>
  <c r="N29" i="11"/>
  <c r="N35" i="11"/>
  <c r="N28" i="11"/>
  <c r="N33" i="11"/>
  <c r="N27" i="11"/>
  <c r="H60" i="9"/>
  <c r="R26" i="11"/>
  <c r="H15" i="9"/>
  <c r="Y116" i="9"/>
  <c r="Z116" i="9" s="1"/>
  <c r="Y117" i="9"/>
  <c r="Y257" i="9"/>
  <c r="Z257" i="9" s="1"/>
  <c r="Y256" i="9"/>
  <c r="Z256" i="9" s="1"/>
  <c r="Z150" i="9"/>
  <c r="Q80" i="11"/>
  <c r="Q82" i="11"/>
  <c r="Q75" i="11"/>
  <c r="Q77" i="11"/>
  <c r="Q74" i="11"/>
  <c r="Q66" i="11"/>
  <c r="Q50" i="11"/>
  <c r="Q34" i="11"/>
  <c r="Q59" i="11"/>
  <c r="Q43" i="11"/>
  <c r="Q27" i="11"/>
  <c r="Q73" i="11"/>
  <c r="Q68" i="11"/>
  <c r="Q52" i="11"/>
  <c r="Q36" i="11"/>
  <c r="Q61" i="11"/>
  <c r="Q45" i="11"/>
  <c r="Q29" i="11"/>
  <c r="Q70" i="11"/>
  <c r="Q54" i="11"/>
  <c r="Q38" i="11"/>
  <c r="Q63" i="11"/>
  <c r="Q47" i="11"/>
  <c r="Q72" i="11"/>
  <c r="Q56" i="11"/>
  <c r="Q65" i="11"/>
  <c r="Q49" i="11"/>
  <c r="Q58" i="11"/>
  <c r="Q67" i="11"/>
  <c r="Q51" i="11"/>
  <c r="Q79" i="11"/>
  <c r="Q60" i="11"/>
  <c r="Q57" i="11"/>
  <c r="Q41" i="11"/>
  <c r="Q69" i="11"/>
  <c r="Q39" i="11"/>
  <c r="Q26" i="11"/>
  <c r="Q81" i="11"/>
  <c r="Q48" i="11"/>
  <c r="Q30" i="11"/>
  <c r="Q37" i="11"/>
  <c r="Q64" i="11"/>
  <c r="Q78" i="11"/>
  <c r="Q55" i="11"/>
  <c r="Q76" i="11"/>
  <c r="Q62" i="11"/>
  <c r="Q46" i="11"/>
  <c r="Q35" i="11"/>
  <c r="Q53" i="11"/>
  <c r="Q33" i="11"/>
  <c r="Q28" i="11"/>
  <c r="Q42" i="11"/>
  <c r="Q71" i="11"/>
  <c r="Q44" i="11"/>
  <c r="Q31" i="11"/>
  <c r="Q32" i="11"/>
  <c r="Q40" i="11"/>
  <c r="H128" i="9"/>
  <c r="Y26" i="11"/>
  <c r="F6" i="7"/>
  <c r="E20" i="7" s="1"/>
  <c r="D9" i="7"/>
  <c r="F7" i="7"/>
  <c r="D11" i="7"/>
  <c r="C6" i="7"/>
  <c r="F20" i="7" s="1"/>
  <c r="C8" i="7"/>
  <c r="D12" i="7"/>
  <c r="B13" i="7"/>
  <c r="C9" i="7"/>
  <c r="F9" i="7"/>
  <c r="B6" i="7"/>
  <c r="C20" i="7" s="1"/>
  <c r="E6" i="7"/>
  <c r="B20" i="7" s="1"/>
  <c r="C12" i="7"/>
  <c r="F12" i="7"/>
  <c r="B9" i="7"/>
  <c r="E9" i="7"/>
  <c r="B12" i="7"/>
  <c r="D6" i="7"/>
  <c r="D20" i="7" s="1"/>
  <c r="F8" i="7"/>
  <c r="F10" i="7"/>
  <c r="F11" i="7"/>
  <c r="F13" i="7"/>
  <c r="E7" i="7"/>
  <c r="E8" i="7"/>
  <c r="E10" i="7"/>
  <c r="D13" i="7"/>
  <c r="E11" i="7"/>
  <c r="D7" i="7"/>
  <c r="C10" i="7"/>
  <c r="D8" i="7"/>
  <c r="E13" i="7"/>
  <c r="B7" i="7"/>
  <c r="C11" i="7"/>
  <c r="D10" i="7"/>
  <c r="C13" i="7"/>
  <c r="B8" i="7"/>
  <c r="C7" i="7"/>
  <c r="B10" i="7"/>
  <c r="E12" i="7"/>
  <c r="B11" i="7"/>
  <c r="AA18" i="9"/>
  <c r="AB18" i="9" s="1"/>
  <c r="U20" i="9" s="1"/>
  <c r="AA17" i="9"/>
  <c r="AB17" i="9" s="1"/>
  <c r="U19" i="9" s="1"/>
  <c r="Y141" i="9"/>
  <c r="Y140" i="9"/>
  <c r="Z140" i="9" s="1"/>
  <c r="Z76" i="9"/>
  <c r="Q13" i="9"/>
  <c r="V13" i="9"/>
  <c r="X13" i="9" s="1"/>
  <c r="J13" i="9" s="1"/>
  <c r="AA249" i="9"/>
  <c r="AB249" i="9" s="1"/>
  <c r="U250" i="9" s="1"/>
  <c r="AA248" i="9"/>
  <c r="AB248" i="9" s="1"/>
  <c r="U251" i="9" s="1"/>
  <c r="Y54" i="9"/>
  <c r="Z54" i="9" s="1"/>
  <c r="Y53" i="9"/>
  <c r="Z53" i="9" s="1"/>
  <c r="A9" i="8"/>
  <c r="B29" i="7"/>
  <c r="V8" i="9"/>
  <c r="X8" i="9" s="1"/>
  <c r="Q8" i="9"/>
  <c r="N4" i="9"/>
  <c r="Y136" i="9"/>
  <c r="Z136" i="9" s="1"/>
  <c r="Y137" i="9"/>
  <c r="Z137" i="9" s="1"/>
  <c r="AA32" i="9"/>
  <c r="AB32" i="9" s="1"/>
  <c r="U34" i="9" s="1"/>
  <c r="AA31" i="9"/>
  <c r="AB31" i="9" s="1"/>
  <c r="U33" i="9" s="1"/>
  <c r="AA276" i="9"/>
  <c r="AB276" i="9" s="1"/>
  <c r="G91" i="6" s="1"/>
  <c r="AA277" i="9"/>
  <c r="AB277" i="9" s="1"/>
  <c r="I91" i="6" s="1"/>
  <c r="Y48" i="9"/>
  <c r="Y47" i="9"/>
  <c r="Z47" i="9" s="1"/>
  <c r="M30" i="11"/>
  <c r="M39" i="11"/>
  <c r="M32" i="11"/>
  <c r="M41" i="11"/>
  <c r="M37" i="11"/>
  <c r="M40" i="11"/>
  <c r="M31" i="11"/>
  <c r="M38" i="11"/>
  <c r="M26" i="11"/>
  <c r="M36" i="11"/>
  <c r="M29" i="11"/>
  <c r="M34" i="11"/>
  <c r="M27" i="11"/>
  <c r="M35" i="11"/>
  <c r="M28" i="11"/>
  <c r="M33" i="11"/>
  <c r="H46" i="9"/>
  <c r="U285" i="9" l="1"/>
  <c r="Y255" i="9"/>
  <c r="Z255" i="9" s="1"/>
  <c r="AA255" i="9" s="1"/>
  <c r="AB255" i="9" s="1"/>
  <c r="F103" i="6" s="1"/>
  <c r="AA149" i="9"/>
  <c r="AB149" i="9" s="1"/>
  <c r="U155" i="9" s="1"/>
  <c r="AA150" i="9"/>
  <c r="AB150" i="9" s="1"/>
  <c r="U172" i="9" s="1"/>
  <c r="AA148" i="9"/>
  <c r="AB148" i="9" s="1"/>
  <c r="U154" i="9" s="1"/>
  <c r="P91" i="6"/>
  <c r="B10" i="2" s="1"/>
  <c r="H5" i="4"/>
  <c r="AA75" i="9"/>
  <c r="AB75" i="9" s="1"/>
  <c r="B106" i="6" s="1"/>
  <c r="AA76" i="9"/>
  <c r="AB76" i="9" s="1"/>
  <c r="D106" i="6" s="1"/>
  <c r="J8" i="9"/>
  <c r="P128" i="9"/>
  <c r="Q128" i="9" s="1"/>
  <c r="P129" i="9"/>
  <c r="V128" i="9"/>
  <c r="AA256" i="9"/>
  <c r="AB256" i="9" s="1"/>
  <c r="U258" i="9" s="1"/>
  <c r="AA257" i="9"/>
  <c r="AB257" i="9" s="1"/>
  <c r="U259" i="9" s="1"/>
  <c r="M13" i="9"/>
  <c r="N13" i="9" s="1"/>
  <c r="O25" i="11"/>
  <c r="H10" i="9"/>
  <c r="Y34" i="9"/>
  <c r="Z34" i="9" s="1"/>
  <c r="Y33" i="9"/>
  <c r="Z33" i="9" s="1"/>
  <c r="AA28" i="9"/>
  <c r="AB28" i="9" s="1"/>
  <c r="AA27" i="9"/>
  <c r="AB27" i="9" s="1"/>
  <c r="U58" i="9" s="1"/>
  <c r="Y19" i="9"/>
  <c r="Z19" i="9" s="1"/>
  <c r="Y20" i="9"/>
  <c r="Z20" i="9" s="1"/>
  <c r="AA90" i="9"/>
  <c r="AB90" i="9" s="1"/>
  <c r="U235" i="9" s="1"/>
  <c r="AA91" i="9"/>
  <c r="AB91" i="9" s="1"/>
  <c r="U117" i="9" s="1"/>
  <c r="Z117" i="9" s="1"/>
  <c r="AA137" i="9"/>
  <c r="AB137" i="9" s="1"/>
  <c r="U141" i="9" s="1"/>
  <c r="AA136" i="9"/>
  <c r="AB136" i="9" s="1"/>
  <c r="U142" i="9" s="1"/>
  <c r="V46" i="9"/>
  <c r="AA54" i="9"/>
  <c r="AB54" i="9" s="1"/>
  <c r="U56" i="9" s="1"/>
  <c r="AA53" i="9"/>
  <c r="AB53" i="9" s="1"/>
  <c r="U55" i="9" s="1"/>
  <c r="V15" i="9"/>
  <c r="Y251" i="9"/>
  <c r="Z251" i="9" s="1"/>
  <c r="Y250" i="9"/>
  <c r="Z250" i="9" s="1"/>
  <c r="V60" i="9"/>
  <c r="U286" i="9" l="1"/>
  <c r="Y285" i="9"/>
  <c r="Z285" i="9" s="1"/>
  <c r="Y284" i="9"/>
  <c r="P106" i="6"/>
  <c r="B25" i="2" s="1"/>
  <c r="AA254" i="9"/>
  <c r="AB254" i="9" s="1"/>
  <c r="I103" i="6" s="1"/>
  <c r="Y56" i="9"/>
  <c r="Z56" i="9" s="1"/>
  <c r="Y55" i="9"/>
  <c r="Z55" i="9" s="1"/>
  <c r="W129" i="9"/>
  <c r="W128" i="9"/>
  <c r="X128" i="9" s="1"/>
  <c r="Y142" i="9"/>
  <c r="Z142" i="9" s="1"/>
  <c r="Y143" i="9"/>
  <c r="Y259" i="9"/>
  <c r="Z259" i="9" s="1"/>
  <c r="Y258" i="9"/>
  <c r="Z258" i="9" s="1"/>
  <c r="M8" i="9"/>
  <c r="N8" i="9" s="1"/>
  <c r="AA250" i="9"/>
  <c r="AB250" i="9" s="1"/>
  <c r="U252" i="9" s="1"/>
  <c r="AA251" i="9"/>
  <c r="AB251" i="9" s="1"/>
  <c r="U253" i="9" s="1"/>
  <c r="U38" i="11"/>
  <c r="U47" i="11"/>
  <c r="U31" i="11"/>
  <c r="U40" i="11"/>
  <c r="U49" i="11"/>
  <c r="U33" i="11"/>
  <c r="U42" i="11"/>
  <c r="U51" i="11"/>
  <c r="U44" i="11"/>
  <c r="U46" i="11"/>
  <c r="U48" i="11"/>
  <c r="U45" i="11"/>
  <c r="U36" i="11"/>
  <c r="U29" i="11"/>
  <c r="U52" i="11"/>
  <c r="U35" i="11"/>
  <c r="U34" i="11"/>
  <c r="U28" i="11"/>
  <c r="U32" i="11"/>
  <c r="U50" i="11"/>
  <c r="U41" i="11"/>
  <c r="U27" i="11"/>
  <c r="U43" i="11"/>
  <c r="U37" i="11"/>
  <c r="U39" i="11"/>
  <c r="U26" i="11"/>
  <c r="U30" i="11"/>
  <c r="H68" i="9"/>
  <c r="AA117" i="9"/>
  <c r="AB117" i="9" s="1"/>
  <c r="U221" i="9" s="1"/>
  <c r="AA116" i="9"/>
  <c r="AB116" i="9" s="1"/>
  <c r="U118" i="9" s="1"/>
  <c r="AA34" i="9"/>
  <c r="AB34" i="9" s="1"/>
  <c r="U81" i="9" s="1"/>
  <c r="AA33" i="9"/>
  <c r="AB33" i="9" s="1"/>
  <c r="U57" i="9" s="1"/>
  <c r="AA19" i="9"/>
  <c r="AB19" i="9" s="1"/>
  <c r="U21" i="9" s="1"/>
  <c r="AA20" i="9"/>
  <c r="AB20" i="9" s="1"/>
  <c r="U22" i="9" s="1"/>
  <c r="Z141" i="9"/>
  <c r="D25" i="2"/>
  <c r="C25" i="2"/>
  <c r="Y236" i="9"/>
  <c r="Z236" i="9" s="1"/>
  <c r="Y235" i="9"/>
  <c r="Z235" i="9" s="1"/>
  <c r="Q10" i="9"/>
  <c r="V10" i="9"/>
  <c r="X10" i="9" s="1"/>
  <c r="D10" i="2"/>
  <c r="C10" i="2"/>
  <c r="Y175" i="9"/>
  <c r="Y173" i="9"/>
  <c r="Z173" i="9" s="1"/>
  <c r="Y174" i="9"/>
  <c r="Y172" i="9"/>
  <c r="Z172" i="9" s="1"/>
  <c r="Y287" i="9" l="1"/>
  <c r="Y286" i="9"/>
  <c r="Z286" i="9" s="1"/>
  <c r="AA259" i="9"/>
  <c r="AB259" i="9" s="1"/>
  <c r="AA258" i="9"/>
  <c r="AB258" i="9" s="1"/>
  <c r="B103" i="6" s="1"/>
  <c r="J10" i="9"/>
  <c r="J7" i="9"/>
  <c r="Y21" i="9"/>
  <c r="Z21" i="9" s="1"/>
  <c r="Y22" i="9"/>
  <c r="Z22" i="9" s="1"/>
  <c r="AA141" i="9"/>
  <c r="AB141" i="9" s="1"/>
  <c r="U143" i="9" s="1"/>
  <c r="AA140" i="9"/>
  <c r="AB140" i="9" s="1"/>
  <c r="U144" i="9" s="1"/>
  <c r="Y58" i="9"/>
  <c r="Z58" i="9" s="1"/>
  <c r="Y57" i="9"/>
  <c r="Z57" i="9" s="1"/>
  <c r="Y252" i="9"/>
  <c r="Z252" i="9" s="1"/>
  <c r="Y253" i="9"/>
  <c r="Z253" i="9" s="1"/>
  <c r="Y119" i="9"/>
  <c r="Z119" i="9" s="1"/>
  <c r="Y118" i="9"/>
  <c r="Z118" i="9" s="1"/>
  <c r="AA235" i="9"/>
  <c r="AB235" i="9" s="1"/>
  <c r="U241" i="9" s="1"/>
  <c r="AA236" i="9"/>
  <c r="AB236" i="9" s="1"/>
  <c r="K95" i="6" s="1"/>
  <c r="P26" i="11"/>
  <c r="H16" i="9"/>
  <c r="P68" i="9"/>
  <c r="Q68" i="9" s="1"/>
  <c r="P67" i="9"/>
  <c r="V68" i="9"/>
  <c r="Z221" i="9"/>
  <c r="AA56" i="9"/>
  <c r="AB56" i="9" s="1"/>
  <c r="U104" i="9" s="1"/>
  <c r="AA55" i="9"/>
  <c r="AB55" i="9" s="1"/>
  <c r="D104" i="6" s="1"/>
  <c r="E25" i="8" s="1"/>
  <c r="U284" i="9" l="1"/>
  <c r="AA58" i="9"/>
  <c r="AB58" i="9" s="1"/>
  <c r="U62" i="9" s="1"/>
  <c r="AA57" i="9"/>
  <c r="AB57" i="9" s="1"/>
  <c r="U59" i="9" s="1"/>
  <c r="Y145" i="9"/>
  <c r="Y144" i="9"/>
  <c r="Z144" i="9" s="1"/>
  <c r="AA119" i="9"/>
  <c r="AB119" i="9" s="1"/>
  <c r="C95" i="6" s="1"/>
  <c r="AA118" i="9"/>
  <c r="AB118" i="9" s="1"/>
  <c r="L95" i="6" s="1"/>
  <c r="H9" i="4" s="1"/>
  <c r="AA252" i="9"/>
  <c r="AB252" i="9" s="1"/>
  <c r="F109" i="6" s="1"/>
  <c r="AA253" i="9"/>
  <c r="AB253" i="9" s="1"/>
  <c r="I109" i="6" s="1"/>
  <c r="AA22" i="9"/>
  <c r="AB22" i="9" s="1"/>
  <c r="U35" i="9" s="1"/>
  <c r="AA21" i="9"/>
  <c r="AB21" i="9" s="1"/>
  <c r="U36" i="9" s="1"/>
  <c r="Y105" i="9"/>
  <c r="Z105" i="9" s="1"/>
  <c r="Y104" i="9"/>
  <c r="Z104" i="9" s="1"/>
  <c r="M10" i="9"/>
  <c r="N10" i="9" s="1"/>
  <c r="AA221" i="9"/>
  <c r="AB221" i="9" s="1"/>
  <c r="U223" i="9" s="1"/>
  <c r="AA220" i="9"/>
  <c r="AB220" i="9" s="1"/>
  <c r="U222" i="9" s="1"/>
  <c r="W67" i="9"/>
  <c r="W68" i="9"/>
  <c r="X68" i="9" s="1"/>
  <c r="M7" i="9"/>
  <c r="P16" i="9"/>
  <c r="Q16" i="9" s="1"/>
  <c r="P15" i="9"/>
  <c r="Q15" i="9" s="1"/>
  <c r="V16" i="9"/>
  <c r="Z143" i="9"/>
  <c r="Z284" i="9" l="1"/>
  <c r="P109" i="6"/>
  <c r="B28" i="2" s="1"/>
  <c r="C28" i="2" s="1"/>
  <c r="AA104" i="9"/>
  <c r="AB104" i="9" s="1"/>
  <c r="U106" i="9" s="1"/>
  <c r="AA105" i="9"/>
  <c r="AB105" i="9" s="1"/>
  <c r="U107" i="9" s="1"/>
  <c r="Y35" i="9"/>
  <c r="Z35" i="9" s="1"/>
  <c r="Y36" i="9"/>
  <c r="Z36" i="9" s="1"/>
  <c r="Y222" i="9"/>
  <c r="Z222" i="9" s="1"/>
  <c r="Y223" i="9"/>
  <c r="Z223" i="9" s="1"/>
  <c r="O32" i="11"/>
  <c r="O31" i="11"/>
  <c r="O26" i="11"/>
  <c r="O30" i="11"/>
  <c r="O29" i="11"/>
  <c r="O28" i="11"/>
  <c r="O33" i="11"/>
  <c r="O27" i="11"/>
  <c r="H29" i="9"/>
  <c r="W16" i="9"/>
  <c r="X16" i="9" s="1"/>
  <c r="W15" i="9"/>
  <c r="X15" i="9" s="1"/>
  <c r="N7" i="9"/>
  <c r="AA143" i="9"/>
  <c r="AB143" i="9" s="1"/>
  <c r="U145" i="9" s="1"/>
  <c r="Z145" i="9" s="1"/>
  <c r="AA142" i="9"/>
  <c r="AB142" i="9" s="1"/>
  <c r="U146" i="9" s="1"/>
  <c r="Y60" i="9"/>
  <c r="Z60" i="9" s="1"/>
  <c r="Y59" i="9"/>
  <c r="Z59" i="9" s="1"/>
  <c r="Y62" i="9"/>
  <c r="Z62" i="9" s="1"/>
  <c r="Y61" i="9"/>
  <c r="D28" i="2" l="1"/>
  <c r="AA284" i="9"/>
  <c r="AB284" i="9" s="1"/>
  <c r="G103" i="6" s="1"/>
  <c r="AA285" i="9"/>
  <c r="AB285" i="9" s="1"/>
  <c r="L103" i="6" s="1"/>
  <c r="H17" i="4" s="1"/>
  <c r="AA145" i="9"/>
  <c r="AA144" i="9"/>
  <c r="AB144" i="9" s="1"/>
  <c r="U147" i="9" s="1"/>
  <c r="AA59" i="9"/>
  <c r="AB59" i="9" s="1"/>
  <c r="U63" i="9" s="1"/>
  <c r="AA60" i="9"/>
  <c r="AB60" i="9" s="1"/>
  <c r="U61" i="9" s="1"/>
  <c r="Z61" i="9" s="1"/>
  <c r="Y146" i="9"/>
  <c r="Z146" i="9" s="1"/>
  <c r="Y147" i="9"/>
  <c r="J16" i="9"/>
  <c r="J15" i="9"/>
  <c r="AA222" i="9"/>
  <c r="AB222" i="9" s="1"/>
  <c r="H95" i="6" s="1"/>
  <c r="AA223" i="9"/>
  <c r="AB223" i="9" s="1"/>
  <c r="U240" i="9" s="1"/>
  <c r="K28" i="11"/>
  <c r="K37" i="11"/>
  <c r="K30" i="11"/>
  <c r="K39" i="11"/>
  <c r="K35" i="11"/>
  <c r="K33" i="11"/>
  <c r="K27" i="11"/>
  <c r="K40" i="11"/>
  <c r="K31" i="11"/>
  <c r="K38" i="11"/>
  <c r="K26" i="11"/>
  <c r="K36" i="11"/>
  <c r="K29" i="11"/>
  <c r="K32" i="11"/>
  <c r="K34" i="11"/>
  <c r="H43" i="9"/>
  <c r="V29" i="9"/>
  <c r="P30" i="9"/>
  <c r="Q30" i="9" s="1"/>
  <c r="P29" i="9"/>
  <c r="Q29" i="9" s="1"/>
  <c r="AA36" i="9"/>
  <c r="AB36" i="9" s="1"/>
  <c r="U38" i="9" s="1"/>
  <c r="AA35" i="9"/>
  <c r="AB35" i="9" s="1"/>
  <c r="U37" i="9" s="1"/>
  <c r="AB145" i="9"/>
  <c r="U152" i="9" s="1"/>
  <c r="Y107" i="9"/>
  <c r="Z107" i="9" s="1"/>
  <c r="Y106" i="9"/>
  <c r="Z106" i="9" s="1"/>
  <c r="P103" i="6" l="1"/>
  <c r="B22" i="2" s="1"/>
  <c r="D22" i="2" s="1"/>
  <c r="AA61" i="9"/>
  <c r="AB61" i="9" s="1"/>
  <c r="U66" i="9" s="1"/>
  <c r="AA62" i="9"/>
  <c r="AB62" i="9" s="1"/>
  <c r="U64" i="9" s="1"/>
  <c r="P43" i="9"/>
  <c r="Q43" i="9" s="1"/>
  <c r="P44" i="9"/>
  <c r="V43" i="9"/>
  <c r="Y240" i="9"/>
  <c r="Z240" i="9" s="1"/>
  <c r="Y241" i="9"/>
  <c r="Z241" i="9" s="1"/>
  <c r="M15" i="9"/>
  <c r="M16" i="9"/>
  <c r="N16" i="9" s="1"/>
  <c r="AA106" i="9"/>
  <c r="AB106" i="9" s="1"/>
  <c r="U108" i="9" s="1"/>
  <c r="AA107" i="9"/>
  <c r="AB107" i="9" s="1"/>
  <c r="U109" i="9" s="1"/>
  <c r="Z147" i="9"/>
  <c r="Y37" i="9"/>
  <c r="Z37" i="9" s="1"/>
  <c r="Y38" i="9"/>
  <c r="Z38" i="9" s="1"/>
  <c r="Y64" i="9"/>
  <c r="Y63" i="9"/>
  <c r="Z63" i="9" s="1"/>
  <c r="W30" i="9"/>
  <c r="X30" i="9" s="1"/>
  <c r="W29" i="9"/>
  <c r="X29" i="9" s="1"/>
  <c r="C22" i="2" l="1"/>
  <c r="Z64" i="9"/>
  <c r="P27" i="11"/>
  <c r="H18" i="9"/>
  <c r="N15" i="9"/>
  <c r="AA38" i="9"/>
  <c r="AB38" i="9" s="1"/>
  <c r="U40" i="9" s="1"/>
  <c r="AA37" i="9"/>
  <c r="AB37" i="9" s="1"/>
  <c r="U39" i="9" s="1"/>
  <c r="AA241" i="9"/>
  <c r="AB241" i="9" s="1"/>
  <c r="U243" i="9" s="1"/>
  <c r="AA240" i="9"/>
  <c r="AB240" i="9" s="1"/>
  <c r="U242" i="9" s="1"/>
  <c r="W44" i="9"/>
  <c r="W43" i="9"/>
  <c r="X43" i="9" s="1"/>
  <c r="J30" i="9"/>
  <c r="J29" i="9"/>
  <c r="AA63" i="9"/>
  <c r="AB63" i="9" s="1"/>
  <c r="U65" i="9" s="1"/>
  <c r="AA64" i="9"/>
  <c r="AB64" i="9" s="1"/>
  <c r="U92" i="9" s="1"/>
  <c r="AA147" i="9"/>
  <c r="AB147" i="9" s="1"/>
  <c r="U162" i="9" s="1"/>
  <c r="AA146" i="9"/>
  <c r="AB146" i="9" s="1"/>
  <c r="U153" i="9" s="1"/>
  <c r="Y109" i="9"/>
  <c r="Z109" i="9" s="1"/>
  <c r="Y108" i="9"/>
  <c r="Z108" i="9" s="1"/>
  <c r="AA108" i="9" l="1"/>
  <c r="AB108" i="9" s="1"/>
  <c r="I104" i="6" s="1"/>
  <c r="AA109" i="9"/>
  <c r="AB109" i="9" s="1"/>
  <c r="U121" i="9" s="1"/>
  <c r="Y242" i="9"/>
  <c r="Z242" i="9" s="1"/>
  <c r="Y243" i="9"/>
  <c r="Z243" i="9" s="1"/>
  <c r="M30" i="9"/>
  <c r="N30" i="9" s="1"/>
  <c r="Y40" i="9"/>
  <c r="Z40" i="9" s="1"/>
  <c r="Y39" i="9"/>
  <c r="Z39" i="9" s="1"/>
  <c r="Y153" i="9"/>
  <c r="Z153" i="9" s="1"/>
  <c r="Y152" i="9"/>
  <c r="Z152" i="9" s="1"/>
  <c r="Y155" i="9"/>
  <c r="Z155" i="9" s="1"/>
  <c r="AA155" i="9" s="1"/>
  <c r="AB155" i="9" s="1"/>
  <c r="U168" i="9" s="1"/>
  <c r="Y154" i="9"/>
  <c r="Z154" i="9" s="1"/>
  <c r="Y65" i="9"/>
  <c r="Z65" i="9" s="1"/>
  <c r="Y66" i="9"/>
  <c r="Z66" i="9" s="1"/>
  <c r="R27" i="11"/>
  <c r="H17" i="9"/>
  <c r="M29" i="9"/>
  <c r="N29" i="9" s="1"/>
  <c r="P17" i="9"/>
  <c r="P18" i="9"/>
  <c r="Q18" i="9" s="1"/>
  <c r="V18" i="9"/>
  <c r="Q17" i="9" l="1"/>
  <c r="AA154" i="9"/>
  <c r="AB154" i="9" s="1"/>
  <c r="U169" i="9" s="1"/>
  <c r="Y168" i="9" s="1"/>
  <c r="Z168" i="9" s="1"/>
  <c r="AA152" i="9"/>
  <c r="AB152" i="9" s="1"/>
  <c r="U157" i="9" s="1"/>
  <c r="AA153" i="9"/>
  <c r="AB153" i="9" s="1"/>
  <c r="U156" i="9" s="1"/>
  <c r="T34" i="11"/>
  <c r="H32" i="9"/>
  <c r="AA243" i="9"/>
  <c r="AB243" i="9" s="1"/>
  <c r="I95" i="6" s="1"/>
  <c r="AA242" i="9"/>
  <c r="AB242" i="9" s="1"/>
  <c r="J95" i="6" s="1"/>
  <c r="P95" i="6" s="1"/>
  <c r="B14" i="2" s="1"/>
  <c r="Y121" i="9"/>
  <c r="Z121" i="9" s="1"/>
  <c r="Y120" i="9"/>
  <c r="Z120" i="9" s="1"/>
  <c r="O34" i="11"/>
  <c r="H31" i="9"/>
  <c r="AA65" i="9"/>
  <c r="AB65" i="9" s="1"/>
  <c r="U82" i="9" s="1"/>
  <c r="AA66" i="9"/>
  <c r="AB66" i="9" s="1"/>
  <c r="U70" i="9" s="1"/>
  <c r="W18" i="9"/>
  <c r="X18" i="9" s="1"/>
  <c r="W17" i="9"/>
  <c r="AA39" i="9"/>
  <c r="AB39" i="9" s="1"/>
  <c r="U41" i="9" s="1"/>
  <c r="AA40" i="9"/>
  <c r="AB40" i="9" s="1"/>
  <c r="U42" i="9" s="1"/>
  <c r="V17" i="9"/>
  <c r="X17" i="9" l="1"/>
  <c r="Y83" i="9"/>
  <c r="Y82" i="9"/>
  <c r="Z82" i="9" s="1"/>
  <c r="D14" i="2"/>
  <c r="C14" i="2"/>
  <c r="AA120" i="9"/>
  <c r="AB120" i="9" s="1"/>
  <c r="U271" i="9" s="1"/>
  <c r="AA121" i="9"/>
  <c r="AB121" i="9" s="1"/>
  <c r="Y169" i="9"/>
  <c r="Z169" i="9" s="1"/>
  <c r="Y171" i="9"/>
  <c r="Y42" i="9"/>
  <c r="Z42" i="9" s="1"/>
  <c r="Y41" i="9"/>
  <c r="Z41" i="9" s="1"/>
  <c r="Y170" i="9"/>
  <c r="J18" i="9"/>
  <c r="J17" i="9"/>
  <c r="P31" i="9"/>
  <c r="Q31" i="9" s="1"/>
  <c r="P32" i="9"/>
  <c r="Q32" i="9" s="1"/>
  <c r="V31" i="9"/>
  <c r="Z70" i="9"/>
  <c r="V32" i="9"/>
  <c r="Y157" i="9"/>
  <c r="Z157" i="9" s="1"/>
  <c r="Y158" i="9"/>
  <c r="Z158" i="9" s="1"/>
  <c r="Y159" i="9"/>
  <c r="Z159" i="9" s="1"/>
  <c r="AA159" i="9" s="1"/>
  <c r="AB159" i="9" s="1"/>
  <c r="U179" i="9" s="1"/>
  <c r="Y156" i="9"/>
  <c r="Z156" i="9" s="1"/>
  <c r="U279" i="9" l="1"/>
  <c r="M18" i="9"/>
  <c r="N18" i="9" s="1"/>
  <c r="AA156" i="9"/>
  <c r="AB156" i="9" s="1"/>
  <c r="U160" i="9" s="1"/>
  <c r="AA158" i="9"/>
  <c r="AB158" i="9" s="1"/>
  <c r="U178" i="9" s="1"/>
  <c r="AA157" i="9"/>
  <c r="AB157" i="9" s="1"/>
  <c r="U161" i="9" s="1"/>
  <c r="AA42" i="9"/>
  <c r="AB42" i="9" s="1"/>
  <c r="U48" i="9" s="1"/>
  <c r="AA41" i="9"/>
  <c r="AB41" i="9" s="1"/>
  <c r="U261" i="9" s="1"/>
  <c r="Z271" i="9"/>
  <c r="AA69" i="9"/>
  <c r="AB69" i="9" s="1"/>
  <c r="B102" i="6" s="1"/>
  <c r="AA70" i="9"/>
  <c r="AB70" i="9" s="1"/>
  <c r="U80" i="9" s="1"/>
  <c r="W32" i="9"/>
  <c r="X32" i="9" s="1"/>
  <c r="W31" i="9"/>
  <c r="X31" i="9" s="1"/>
  <c r="M17" i="9"/>
  <c r="Y278" i="9" l="1"/>
  <c r="Y279" i="9"/>
  <c r="Z279" i="9" s="1"/>
  <c r="J32" i="9"/>
  <c r="J31" i="9"/>
  <c r="AA271" i="9"/>
  <c r="AB271" i="9" s="1"/>
  <c r="U273" i="9" s="1"/>
  <c r="AA270" i="9"/>
  <c r="AB270" i="9" s="1"/>
  <c r="U272" i="9" s="1"/>
  <c r="Z48" i="9"/>
  <c r="Y81" i="9"/>
  <c r="Z81" i="9" s="1"/>
  <c r="Y80" i="9"/>
  <c r="Z80" i="9" s="1"/>
  <c r="Y161" i="9"/>
  <c r="Z161" i="9" s="1"/>
  <c r="Y163" i="9"/>
  <c r="Z163" i="9" s="1"/>
  <c r="AA163" i="9" s="1"/>
  <c r="AB163" i="9" s="1"/>
  <c r="U183" i="9" s="1"/>
  <c r="Y160" i="9"/>
  <c r="Z160" i="9" s="1"/>
  <c r="Y162" i="9"/>
  <c r="Z162" i="9" s="1"/>
  <c r="P28" i="11"/>
  <c r="H20" i="9"/>
  <c r="N17" i="9"/>
  <c r="R28" i="11" l="1"/>
  <c r="H19" i="9"/>
  <c r="AA48" i="9"/>
  <c r="AB48" i="9" s="1"/>
  <c r="I93" i="6" s="1"/>
  <c r="AA47" i="9"/>
  <c r="AB47" i="9" s="1"/>
  <c r="U260" i="9" s="1"/>
  <c r="P20" i="9"/>
  <c r="Q20" i="9" s="1"/>
  <c r="P19" i="9"/>
  <c r="Q19" i="9" s="1"/>
  <c r="V20" i="9"/>
  <c r="AA162" i="9"/>
  <c r="AB162" i="9" s="1"/>
  <c r="U182" i="9" s="1"/>
  <c r="AA160" i="9"/>
  <c r="AB160" i="9" s="1"/>
  <c r="U167" i="9" s="1"/>
  <c r="AA161" i="9"/>
  <c r="AB161" i="9" s="1"/>
  <c r="U166" i="9" s="1"/>
  <c r="AA81" i="9"/>
  <c r="AB81" i="9" s="1"/>
  <c r="U85" i="9" s="1"/>
  <c r="AA80" i="9"/>
  <c r="AB80" i="9" s="1"/>
  <c r="U83" i="9" s="1"/>
  <c r="Y273" i="9"/>
  <c r="Z273" i="9" s="1"/>
  <c r="Y272" i="9"/>
  <c r="Z272" i="9" s="1"/>
  <c r="M31" i="9"/>
  <c r="N31" i="9" s="1"/>
  <c r="M32" i="9"/>
  <c r="N32" i="9" s="1"/>
  <c r="Z166" i="9" l="1"/>
  <c r="Z83" i="9"/>
  <c r="T35" i="11"/>
  <c r="H34" i="9"/>
  <c r="W20" i="9"/>
  <c r="X20" i="9" s="1"/>
  <c r="W19" i="9"/>
  <c r="Z167" i="9"/>
  <c r="AA167" i="9" s="1"/>
  <c r="AB167" i="9" s="1"/>
  <c r="U189" i="9" s="1"/>
  <c r="O35" i="11"/>
  <c r="H33" i="9"/>
  <c r="AA273" i="9"/>
  <c r="AB273" i="9" s="1"/>
  <c r="U275" i="9" s="1"/>
  <c r="AA272" i="9"/>
  <c r="AB272" i="9" s="1"/>
  <c r="U274" i="9" s="1"/>
  <c r="Y260" i="9"/>
  <c r="Z260" i="9" s="1"/>
  <c r="Y261" i="9"/>
  <c r="Z261" i="9" s="1"/>
  <c r="V19" i="9"/>
  <c r="X19" i="9" l="1"/>
  <c r="AA83" i="9"/>
  <c r="AB83" i="9" s="1"/>
  <c r="E102" i="6" s="1"/>
  <c r="E26" i="8" s="1"/>
  <c r="AA82" i="9"/>
  <c r="AB82" i="9" s="1"/>
  <c r="U84" i="9" s="1"/>
  <c r="V34" i="9"/>
  <c r="AA261" i="9"/>
  <c r="AB261" i="9" s="1"/>
  <c r="U263" i="9" s="1"/>
  <c r="AA260" i="9"/>
  <c r="AB260" i="9" s="1"/>
  <c r="U262" i="9" s="1"/>
  <c r="AA166" i="9"/>
  <c r="AB166" i="9" s="1"/>
  <c r="U188" i="9" s="1"/>
  <c r="AA165" i="9"/>
  <c r="AB165" i="9" s="1"/>
  <c r="U170" i="9" s="1"/>
  <c r="AA164" i="9"/>
  <c r="AB164" i="9" s="1"/>
  <c r="U171" i="9" s="1"/>
  <c r="J20" i="9"/>
  <c r="J19" i="9"/>
  <c r="P34" i="9"/>
  <c r="Q34" i="9" s="1"/>
  <c r="P33" i="9"/>
  <c r="Q33" i="9" s="1"/>
  <c r="V33" i="9"/>
  <c r="Y274" i="9"/>
  <c r="Z274" i="9" s="1"/>
  <c r="Y275" i="9"/>
  <c r="Z275" i="9" s="1"/>
  <c r="M20" i="9" l="1"/>
  <c r="N20" i="9" s="1"/>
  <c r="Z171" i="9"/>
  <c r="AA171" i="9" s="1"/>
  <c r="AB171" i="9" s="1"/>
  <c r="U184" i="9" s="1"/>
  <c r="Z170" i="9"/>
  <c r="Y191" i="9"/>
  <c r="Y188" i="9"/>
  <c r="Z188" i="9" s="1"/>
  <c r="Y190" i="9"/>
  <c r="Y189" i="9"/>
  <c r="Z189" i="9" s="1"/>
  <c r="Y263" i="9"/>
  <c r="Z263" i="9" s="1"/>
  <c r="Y262" i="9"/>
  <c r="Z262" i="9" s="1"/>
  <c r="Y84" i="9"/>
  <c r="Z84" i="9" s="1"/>
  <c r="Y85" i="9"/>
  <c r="Z85" i="9" s="1"/>
  <c r="M19" i="9"/>
  <c r="AA275" i="9"/>
  <c r="AB275" i="9" s="1"/>
  <c r="AA274" i="9"/>
  <c r="AB274" i="9" s="1"/>
  <c r="B104" i="6" s="1"/>
  <c r="E23" i="8" s="1"/>
  <c r="W33" i="9"/>
  <c r="X33" i="9" s="1"/>
  <c r="W34" i="9"/>
  <c r="X34" i="9" s="1"/>
  <c r="U278" i="9" l="1"/>
  <c r="J34" i="9"/>
  <c r="J33" i="9"/>
  <c r="N19" i="9"/>
  <c r="AA85" i="9"/>
  <c r="AB85" i="9" s="1"/>
  <c r="K102" i="6" s="1"/>
  <c r="E32" i="8" s="1"/>
  <c r="AA84" i="9"/>
  <c r="AB84" i="9" s="1"/>
  <c r="U93" i="9" s="1"/>
  <c r="AA168" i="9"/>
  <c r="AB168" i="9" s="1"/>
  <c r="U174" i="9" s="1"/>
  <c r="AA170" i="9"/>
  <c r="AB170" i="9" s="1"/>
  <c r="U185" i="9" s="1"/>
  <c r="Y185" i="9" s="1"/>
  <c r="Z185" i="9" s="1"/>
  <c r="AA169" i="9"/>
  <c r="AB169" i="9" s="1"/>
  <c r="U175" i="9" s="1"/>
  <c r="AA262" i="9"/>
  <c r="AB262" i="9" s="1"/>
  <c r="U264" i="9" s="1"/>
  <c r="AA263" i="9"/>
  <c r="AB263" i="9" s="1"/>
  <c r="U265" i="9" s="1"/>
  <c r="P29" i="11"/>
  <c r="H22" i="9"/>
  <c r="Z278" i="9" l="1"/>
  <c r="M34" i="9"/>
  <c r="N34" i="9" s="1"/>
  <c r="R29" i="11"/>
  <c r="H21" i="9"/>
  <c r="V22" i="9"/>
  <c r="M33" i="9"/>
  <c r="N33" i="9" s="1"/>
  <c r="Y265" i="9"/>
  <c r="Z265" i="9" s="1"/>
  <c r="Y264" i="9"/>
  <c r="Z264" i="9" s="1"/>
  <c r="Y187" i="9"/>
  <c r="Z175" i="9"/>
  <c r="AA175" i="9" s="1"/>
  <c r="AB175" i="9" s="1"/>
  <c r="U193" i="9" s="1"/>
  <c r="Z174" i="9"/>
  <c r="Y93" i="9"/>
  <c r="Z93" i="9" s="1"/>
  <c r="Y92" i="9"/>
  <c r="Z92" i="9" s="1"/>
  <c r="Y186" i="9"/>
  <c r="Y184" i="9"/>
  <c r="Z184" i="9" s="1"/>
  <c r="AA278" i="9" l="1"/>
  <c r="AB278" i="9" s="1"/>
  <c r="AA279" i="9"/>
  <c r="AB279" i="9" s="1"/>
  <c r="AA92" i="9"/>
  <c r="AB92" i="9" s="1"/>
  <c r="I102" i="6" s="1"/>
  <c r="E30" i="8" s="1"/>
  <c r="AA93" i="9"/>
  <c r="AB93" i="9" s="1"/>
  <c r="U94" i="9" s="1"/>
  <c r="AA265" i="9"/>
  <c r="AB265" i="9" s="1"/>
  <c r="U267" i="9" s="1"/>
  <c r="AA264" i="9"/>
  <c r="AB264" i="9" s="1"/>
  <c r="U266" i="9" s="1"/>
  <c r="O39" i="11"/>
  <c r="O40" i="11"/>
  <c r="O38" i="11"/>
  <c r="O36" i="11"/>
  <c r="O37" i="11"/>
  <c r="H44" i="9"/>
  <c r="P21" i="9"/>
  <c r="Q21" i="9" s="1"/>
  <c r="P22" i="9"/>
  <c r="Q22" i="9" s="1"/>
  <c r="V21" i="9"/>
  <c r="AA174" i="9"/>
  <c r="AB174" i="9" s="1"/>
  <c r="U192" i="9" s="1"/>
  <c r="AA172" i="9"/>
  <c r="AB172" i="9" s="1"/>
  <c r="U176" i="9" s="1"/>
  <c r="AA173" i="9"/>
  <c r="AB173" i="9" s="1"/>
  <c r="U177" i="9" s="1"/>
  <c r="T45" i="11"/>
  <c r="T54" i="11"/>
  <c r="T38" i="11"/>
  <c r="T47" i="11"/>
  <c r="T56" i="11"/>
  <c r="T40" i="11"/>
  <c r="T49" i="11"/>
  <c r="T58" i="11"/>
  <c r="T51" i="11"/>
  <c r="T44" i="11"/>
  <c r="T53" i="11"/>
  <c r="T46" i="11"/>
  <c r="T55" i="11"/>
  <c r="T52" i="11"/>
  <c r="T36" i="11"/>
  <c r="T37" i="11"/>
  <c r="T42" i="11"/>
  <c r="T50" i="11"/>
  <c r="T41" i="11"/>
  <c r="T43" i="11"/>
  <c r="T57" i="11"/>
  <c r="T48" i="11"/>
  <c r="T39" i="11"/>
  <c r="H81" i="9"/>
  <c r="U281" i="9" l="1"/>
  <c r="U280" i="9"/>
  <c r="V44" i="9"/>
  <c r="X44" i="9" s="1"/>
  <c r="Q44" i="9"/>
  <c r="Y266" i="9"/>
  <c r="Z266" i="9" s="1"/>
  <c r="Y267" i="9"/>
  <c r="Z267" i="9" s="1"/>
  <c r="V81" i="9"/>
  <c r="Y95" i="9"/>
  <c r="Z95" i="9" s="1"/>
  <c r="Y94" i="9"/>
  <c r="Z94" i="9" s="1"/>
  <c r="Y194" i="9"/>
  <c r="Y193" i="9"/>
  <c r="Z193" i="9" s="1"/>
  <c r="Y195" i="9"/>
  <c r="Y192" i="9"/>
  <c r="Z192" i="9" s="1"/>
  <c r="Y177" i="9"/>
  <c r="Z177" i="9" s="1"/>
  <c r="Y179" i="9"/>
  <c r="Z179" i="9" s="1"/>
  <c r="AA179" i="9" s="1"/>
  <c r="AB179" i="9" s="1"/>
  <c r="U203" i="9" s="1"/>
  <c r="Y176" i="9"/>
  <c r="Z176" i="9" s="1"/>
  <c r="Y178" i="9"/>
  <c r="Z178" i="9" s="1"/>
  <c r="W22" i="9"/>
  <c r="X22" i="9" s="1"/>
  <c r="W21" i="9"/>
  <c r="X21" i="9" s="1"/>
  <c r="Y281" i="9" l="1"/>
  <c r="Z281" i="9" s="1"/>
  <c r="AA281" i="9" s="1"/>
  <c r="AB281" i="9" s="1"/>
  <c r="Y280" i="9"/>
  <c r="Z280" i="9" s="1"/>
  <c r="AA280" i="9" s="1"/>
  <c r="AB280" i="9" s="1"/>
  <c r="J22" i="9"/>
  <c r="M22" i="9" s="1"/>
  <c r="N22" i="9" s="1"/>
  <c r="J21" i="9"/>
  <c r="AA94" i="9"/>
  <c r="AB94" i="9" s="1"/>
  <c r="U96" i="9" s="1"/>
  <c r="AA95" i="9"/>
  <c r="AB95" i="9" s="1"/>
  <c r="U97" i="9" s="1"/>
  <c r="AA177" i="9"/>
  <c r="AB177" i="9" s="1"/>
  <c r="U181" i="9" s="1"/>
  <c r="AA176" i="9"/>
  <c r="AB176" i="9" s="1"/>
  <c r="U180" i="9" s="1"/>
  <c r="AA178" i="9"/>
  <c r="AB178" i="9" s="1"/>
  <c r="U202" i="9" s="1"/>
  <c r="AA267" i="9"/>
  <c r="AB267" i="9" s="1"/>
  <c r="U269" i="9" s="1"/>
  <c r="AA266" i="9"/>
  <c r="AB266" i="9" s="1"/>
  <c r="U268" i="9" s="1"/>
  <c r="J44" i="9"/>
  <c r="M44" i="9" s="1"/>
  <c r="N44" i="9" s="1"/>
  <c r="J43" i="9"/>
  <c r="U283" i="9" l="1"/>
  <c r="U282" i="9"/>
  <c r="M43" i="9"/>
  <c r="N43" i="9" s="1"/>
  <c r="O41" i="11"/>
  <c r="O43" i="11"/>
  <c r="O45" i="11"/>
  <c r="O47" i="11"/>
  <c r="O44" i="11"/>
  <c r="O46" i="11"/>
  <c r="O42" i="11"/>
  <c r="H57" i="9"/>
  <c r="Y269" i="9"/>
  <c r="Z269" i="9" s="1"/>
  <c r="Y268" i="9"/>
  <c r="Z268" i="9" s="1"/>
  <c r="Y181" i="9"/>
  <c r="Z181" i="9" s="1"/>
  <c r="Y183" i="9"/>
  <c r="Z183" i="9" s="1"/>
  <c r="AA183" i="9" s="1"/>
  <c r="AB183" i="9" s="1"/>
  <c r="U204" i="9" s="1"/>
  <c r="Y182" i="9"/>
  <c r="Z182" i="9" s="1"/>
  <c r="Y180" i="9"/>
  <c r="Z180" i="9" s="1"/>
  <c r="M21" i="9"/>
  <c r="N21" i="9" s="1"/>
  <c r="Y97" i="9"/>
  <c r="Z97" i="9" s="1"/>
  <c r="Y96" i="9"/>
  <c r="Z96" i="9" s="1"/>
  <c r="P30" i="11"/>
  <c r="H24" i="9"/>
  <c r="Y282" i="9" l="1"/>
  <c r="Z282" i="9" s="1"/>
  <c r="AA282" i="9" s="1"/>
  <c r="AB282" i="9" s="1"/>
  <c r="G104" i="6" s="1"/>
  <c r="E28" i="8" s="1"/>
  <c r="Y283" i="9"/>
  <c r="Z283" i="9" s="1"/>
  <c r="AA283" i="9" s="1"/>
  <c r="AB283" i="9" s="1"/>
  <c r="L104" i="6" s="1"/>
  <c r="P24" i="9"/>
  <c r="Q24" i="9" s="1"/>
  <c r="P23" i="9"/>
  <c r="V24" i="9"/>
  <c r="AA269" i="9"/>
  <c r="AB269" i="9" s="1"/>
  <c r="G93" i="6" s="1"/>
  <c r="H7" i="4" s="1"/>
  <c r="AA268" i="9"/>
  <c r="AB268" i="9" s="1"/>
  <c r="B93" i="6" s="1"/>
  <c r="P93" i="6" s="1"/>
  <c r="B12" i="2" s="1"/>
  <c r="R30" i="11"/>
  <c r="H23" i="9"/>
  <c r="P58" i="9"/>
  <c r="P57" i="9"/>
  <c r="Q57" i="9" s="1"/>
  <c r="V57" i="9"/>
  <c r="AA182" i="9"/>
  <c r="AB182" i="9" s="1"/>
  <c r="K108" i="6" s="1"/>
  <c r="AA180" i="9"/>
  <c r="AB180" i="9" s="1"/>
  <c r="U186" i="9" s="1"/>
  <c r="AA181" i="9"/>
  <c r="AB181" i="9" s="1"/>
  <c r="U187" i="9" s="1"/>
  <c r="AA96" i="9"/>
  <c r="AB96" i="9" s="1"/>
  <c r="U98" i="9" s="1"/>
  <c r="AA97" i="9"/>
  <c r="AB97" i="9" s="1"/>
  <c r="U110" i="9" s="1"/>
  <c r="K41" i="11"/>
  <c r="H45" i="9"/>
  <c r="H18" i="4" l="1"/>
  <c r="P104" i="6"/>
  <c r="B23" i="2" s="1"/>
  <c r="Z186" i="9"/>
  <c r="V23" i="9"/>
  <c r="C12" i="2"/>
  <c r="D12" i="2"/>
  <c r="W24" i="9"/>
  <c r="X24" i="9" s="1"/>
  <c r="W23" i="9"/>
  <c r="X23" i="9" s="1"/>
  <c r="P45" i="9"/>
  <c r="Q45" i="9" s="1"/>
  <c r="P46" i="9"/>
  <c r="Q46" i="9" s="1"/>
  <c r="V45" i="9"/>
  <c r="Q23" i="9"/>
  <c r="Y111" i="9"/>
  <c r="Y110" i="9"/>
  <c r="Z110" i="9" s="1"/>
  <c r="Y99" i="9"/>
  <c r="Z99" i="9" s="1"/>
  <c r="Y98" i="9"/>
  <c r="Z98" i="9" s="1"/>
  <c r="W58" i="9"/>
  <c r="W57" i="9"/>
  <c r="X57" i="9" s="1"/>
  <c r="Z187" i="9"/>
  <c r="AA187" i="9" s="1"/>
  <c r="AB187" i="9" s="1"/>
  <c r="U197" i="9" s="1"/>
  <c r="D23" i="2" l="1"/>
  <c r="C23" i="2"/>
  <c r="W46" i="9"/>
  <c r="X46" i="9" s="1"/>
  <c r="W45" i="9"/>
  <c r="X45" i="9" s="1"/>
  <c r="J24" i="9"/>
  <c r="M24" i="9" s="1"/>
  <c r="N24" i="9" s="1"/>
  <c r="J23" i="9"/>
  <c r="M23" i="9" s="1"/>
  <c r="N23" i="9" s="1"/>
  <c r="AA184" i="9"/>
  <c r="AB184" i="9" s="1"/>
  <c r="U190" i="9" s="1"/>
  <c r="AA186" i="9"/>
  <c r="AB186" i="9" s="1"/>
  <c r="U196" i="9" s="1"/>
  <c r="AA185" i="9"/>
  <c r="AB185" i="9" s="1"/>
  <c r="U191" i="9" s="1"/>
  <c r="AA98" i="9"/>
  <c r="AB98" i="9" s="1"/>
  <c r="U100" i="9" s="1"/>
  <c r="AA99" i="9"/>
  <c r="AB99" i="9" s="1"/>
  <c r="U101" i="9" s="1"/>
  <c r="Y101" i="9" l="1"/>
  <c r="Z101" i="9" s="1"/>
  <c r="Y100" i="9"/>
  <c r="Z100" i="9" s="1"/>
  <c r="Z191" i="9"/>
  <c r="AA191" i="9" s="1"/>
  <c r="AB191" i="9" s="1"/>
  <c r="N108" i="6" s="1"/>
  <c r="Z190" i="9"/>
  <c r="Y199" i="9"/>
  <c r="Y196" i="9"/>
  <c r="Z196" i="9" s="1"/>
  <c r="Y198" i="9"/>
  <c r="Y197" i="9"/>
  <c r="Z197" i="9" s="1"/>
  <c r="R31" i="11"/>
  <c r="H25" i="9"/>
  <c r="P31" i="11"/>
  <c r="H26" i="9"/>
  <c r="J46" i="9"/>
  <c r="J45" i="9"/>
  <c r="AA189" i="9" l="1"/>
  <c r="AB189" i="9" s="1"/>
  <c r="U194" i="9" s="1"/>
  <c r="AA190" i="9"/>
  <c r="AB190" i="9" s="1"/>
  <c r="U205" i="9" s="1"/>
  <c r="AA188" i="9"/>
  <c r="AB188" i="9" s="1"/>
  <c r="U195" i="9" s="1"/>
  <c r="M45" i="9"/>
  <c r="N45" i="9" s="1"/>
  <c r="M46" i="9"/>
  <c r="N46" i="9" s="1"/>
  <c r="P25" i="9"/>
  <c r="Q25" i="9" s="1"/>
  <c r="P26" i="9"/>
  <c r="Q26" i="9" s="1"/>
  <c r="V26" i="9"/>
  <c r="V25" i="9"/>
  <c r="AA100" i="9"/>
  <c r="AB100" i="9" s="1"/>
  <c r="U102" i="9" s="1"/>
  <c r="AA101" i="9"/>
  <c r="AB101" i="9" s="1"/>
  <c r="U103" i="9" s="1"/>
  <c r="Y103" i="9" l="1"/>
  <c r="Z103" i="9" s="1"/>
  <c r="Y102" i="9"/>
  <c r="Z102" i="9" s="1"/>
  <c r="W26" i="9"/>
  <c r="X26" i="9" s="1"/>
  <c r="W25" i="9"/>
  <c r="X25" i="9" s="1"/>
  <c r="M43" i="11"/>
  <c r="M42" i="11"/>
  <c r="H49" i="9"/>
  <c r="K42" i="11"/>
  <c r="H47" i="9"/>
  <c r="Z195" i="9"/>
  <c r="AA195" i="9" s="1"/>
  <c r="AB195" i="9" s="1"/>
  <c r="U211" i="9" s="1"/>
  <c r="Y205" i="9"/>
  <c r="Z205" i="9" s="1"/>
  <c r="Y207" i="9"/>
  <c r="Y204" i="9"/>
  <c r="Z204" i="9" s="1"/>
  <c r="Y206" i="9"/>
  <c r="Z194" i="9"/>
  <c r="P48" i="9" l="1"/>
  <c r="P47" i="9"/>
  <c r="Q47" i="9" s="1"/>
  <c r="V47" i="9"/>
  <c r="AA194" i="9"/>
  <c r="AB194" i="9" s="1"/>
  <c r="U210" i="9" s="1"/>
  <c r="AA192" i="9"/>
  <c r="AB192" i="9" s="1"/>
  <c r="U198" i="9" s="1"/>
  <c r="AA193" i="9"/>
  <c r="AB193" i="9" s="1"/>
  <c r="U199" i="9" s="1"/>
  <c r="P50" i="9"/>
  <c r="P49" i="9"/>
  <c r="Q49" i="9" s="1"/>
  <c r="V49" i="9"/>
  <c r="J26" i="9"/>
  <c r="M26" i="9" s="1"/>
  <c r="N26" i="9" s="1"/>
  <c r="J25" i="9"/>
  <c r="M25" i="9" s="1"/>
  <c r="N25" i="9" s="1"/>
  <c r="AA102" i="9"/>
  <c r="AB102" i="9" s="1"/>
  <c r="F102" i="6" s="1"/>
  <c r="E27" i="8" s="1"/>
  <c r="AA103" i="9"/>
  <c r="AB103" i="9" s="1"/>
  <c r="U111" i="9" s="1"/>
  <c r="R32" i="11" l="1"/>
  <c r="H27" i="9"/>
  <c r="P32" i="11"/>
  <c r="H28" i="9"/>
  <c r="W49" i="9"/>
  <c r="X49" i="9" s="1"/>
  <c r="W50" i="9"/>
  <c r="Z199" i="9"/>
  <c r="AA199" i="9" s="1"/>
  <c r="AB199" i="9" s="1"/>
  <c r="U218" i="9" s="1"/>
  <c r="Z198" i="9"/>
  <c r="W47" i="9"/>
  <c r="X47" i="9" s="1"/>
  <c r="W48" i="9"/>
  <c r="Z111" i="9"/>
  <c r="AA198" i="9" l="1"/>
  <c r="AB198" i="9" s="1"/>
  <c r="U219" i="9" s="1"/>
  <c r="AA196" i="9"/>
  <c r="AB196" i="9" s="1"/>
  <c r="U200" i="9" s="1"/>
  <c r="AA197" i="9"/>
  <c r="AB197" i="9" s="1"/>
  <c r="U201" i="9" s="1"/>
  <c r="AA110" i="9"/>
  <c r="AB110" i="9" s="1"/>
  <c r="U112" i="9" s="1"/>
  <c r="AA111" i="9"/>
  <c r="AB111" i="9" s="1"/>
  <c r="U113" i="9" s="1"/>
  <c r="P27" i="9"/>
  <c r="Q27" i="9" s="1"/>
  <c r="P28" i="9"/>
  <c r="Q28" i="9" s="1"/>
  <c r="V28" i="9"/>
  <c r="V27" i="9"/>
  <c r="W28" i="9" l="1"/>
  <c r="X28" i="9" s="1"/>
  <c r="W27" i="9"/>
  <c r="X27" i="9" s="1"/>
  <c r="Y113" i="9"/>
  <c r="Z113" i="9" s="1"/>
  <c r="Y112" i="9"/>
  <c r="Z112" i="9" s="1"/>
  <c r="Y202" i="9"/>
  <c r="Z202" i="9" s="1"/>
  <c r="Y201" i="9"/>
  <c r="Z201" i="9" s="1"/>
  <c r="Y200" i="9"/>
  <c r="Z200" i="9" s="1"/>
  <c r="Y203" i="9"/>
  <c r="Z203" i="9" s="1"/>
  <c r="AA203" i="9" s="1"/>
  <c r="AB203" i="9" s="1"/>
  <c r="U212" i="9" s="1"/>
  <c r="AA200" i="9" l="1"/>
  <c r="AB200" i="9" s="1"/>
  <c r="U206" i="9" s="1"/>
  <c r="AA202" i="9"/>
  <c r="AB202" i="9" s="1"/>
  <c r="U213" i="9" s="1"/>
  <c r="AA201" i="9"/>
  <c r="AB201" i="9" s="1"/>
  <c r="U207" i="9" s="1"/>
  <c r="AA113" i="9"/>
  <c r="AB113" i="9" s="1"/>
  <c r="U115" i="9" s="1"/>
  <c r="AA112" i="9"/>
  <c r="AB112" i="9" s="1"/>
  <c r="U114" i="9" s="1"/>
  <c r="J28" i="9"/>
  <c r="M28" i="9" s="1"/>
  <c r="N28" i="9" s="1"/>
  <c r="J27" i="9"/>
  <c r="M27" i="9" s="1"/>
  <c r="N27" i="9" s="1"/>
  <c r="R36" i="11" l="1"/>
  <c r="R34" i="11"/>
  <c r="R35" i="11"/>
  <c r="R33" i="11"/>
  <c r="H36" i="9"/>
  <c r="P34" i="11"/>
  <c r="P36" i="11"/>
  <c r="P35" i="11"/>
  <c r="P33" i="11"/>
  <c r="H35" i="9"/>
  <c r="Y114" i="9"/>
  <c r="Z114" i="9" s="1"/>
  <c r="Y115" i="9"/>
  <c r="Z115" i="9" s="1"/>
  <c r="Z207" i="9"/>
  <c r="AA207" i="9" s="1"/>
  <c r="AB207" i="9" s="1"/>
  <c r="I108" i="6" s="1"/>
  <c r="Z206" i="9"/>
  <c r="Y215" i="9"/>
  <c r="Y212" i="9"/>
  <c r="Z212" i="9" s="1"/>
  <c r="Y214" i="9"/>
  <c r="Y213" i="9"/>
  <c r="Z213" i="9" s="1"/>
  <c r="AA115" i="9" l="1"/>
  <c r="AB115" i="9" s="1"/>
  <c r="U227" i="9" s="1"/>
  <c r="AA114" i="9"/>
  <c r="AB114" i="9" s="1"/>
  <c r="J102" i="6" s="1"/>
  <c r="E31" i="8" s="1"/>
  <c r="P36" i="9"/>
  <c r="Q36" i="9" s="1"/>
  <c r="P35" i="9"/>
  <c r="Q35" i="9" s="1"/>
  <c r="V35" i="9"/>
  <c r="AA206" i="9"/>
  <c r="AB206" i="9" s="1"/>
  <c r="J108" i="6" s="1"/>
  <c r="AA204" i="9"/>
  <c r="AB204" i="9" s="1"/>
  <c r="U208" i="9" s="1"/>
  <c r="AA205" i="9"/>
  <c r="AB205" i="9" s="1"/>
  <c r="U209" i="9" s="1"/>
  <c r="V36" i="9"/>
  <c r="Y211" i="9" l="1"/>
  <c r="Z211" i="9" s="1"/>
  <c r="AA211" i="9" s="1"/>
  <c r="AB211" i="9" s="1"/>
  <c r="L108" i="6" s="1"/>
  <c r="Y208" i="9"/>
  <c r="Z208" i="9" s="1"/>
  <c r="Y210" i="9"/>
  <c r="Z210" i="9" s="1"/>
  <c r="Y209" i="9"/>
  <c r="Z209" i="9" s="1"/>
  <c r="W36" i="9"/>
  <c r="X36" i="9" s="1"/>
  <c r="W35" i="9"/>
  <c r="X35" i="9" s="1"/>
  <c r="Y228" i="9"/>
  <c r="Z228" i="9" s="1"/>
  <c r="Y227" i="9"/>
  <c r="Z227" i="9" s="1"/>
  <c r="AA227" i="9" l="1"/>
  <c r="AB227" i="9" s="1"/>
  <c r="U229" i="9" s="1"/>
  <c r="AA228" i="9"/>
  <c r="AB228" i="9" s="1"/>
  <c r="U230" i="9" s="1"/>
  <c r="J36" i="9"/>
  <c r="M36" i="9" s="1"/>
  <c r="N36" i="9" s="1"/>
  <c r="J35" i="9"/>
  <c r="M35" i="9" s="1"/>
  <c r="N35" i="9" s="1"/>
  <c r="AA208" i="9"/>
  <c r="AB208" i="9" s="1"/>
  <c r="U214" i="9" s="1"/>
  <c r="AA210" i="9"/>
  <c r="AB210" i="9" s="1"/>
  <c r="H108" i="6" s="1"/>
  <c r="AA209" i="9"/>
  <c r="AB209" i="9" s="1"/>
  <c r="U215" i="9" s="1"/>
  <c r="Z215" i="9" l="1"/>
  <c r="AA215" i="9" s="1"/>
  <c r="AB215" i="9" s="1"/>
  <c r="C108" i="6" s="1"/>
  <c r="P37" i="11"/>
  <c r="H37" i="9"/>
  <c r="Z214" i="9"/>
  <c r="R37" i="11"/>
  <c r="H38" i="9"/>
  <c r="Y230" i="9"/>
  <c r="Z230" i="9" s="1"/>
  <c r="Y229" i="9"/>
  <c r="Z229" i="9" s="1"/>
  <c r="AA230" i="9" l="1"/>
  <c r="AB230" i="9" s="1"/>
  <c r="U232" i="9" s="1"/>
  <c r="AA229" i="9"/>
  <c r="AB229" i="9" s="1"/>
  <c r="U231" i="9" s="1"/>
  <c r="P38" i="9"/>
  <c r="Q38" i="9" s="1"/>
  <c r="P37" i="9"/>
  <c r="Q37" i="9" s="1"/>
  <c r="V38" i="9"/>
  <c r="AA214" i="9"/>
  <c r="AB214" i="9" s="1"/>
  <c r="B108" i="6" s="1"/>
  <c r="AA212" i="9"/>
  <c r="AB212" i="9" s="1"/>
  <c r="U216" i="9" s="1"/>
  <c r="AA213" i="9"/>
  <c r="AB213" i="9" s="1"/>
  <c r="U217" i="9" s="1"/>
  <c r="V37" i="9"/>
  <c r="Y217" i="9" l="1"/>
  <c r="Z217" i="9" s="1"/>
  <c r="Y216" i="9"/>
  <c r="Z216" i="9" s="1"/>
  <c r="Y219" i="9"/>
  <c r="Z219" i="9" s="1"/>
  <c r="AA219" i="9" s="1"/>
  <c r="AB219" i="9" s="1"/>
  <c r="F108" i="6" s="1"/>
  <c r="Y218" i="9"/>
  <c r="Z218" i="9" s="1"/>
  <c r="W37" i="9"/>
  <c r="X37" i="9" s="1"/>
  <c r="W38" i="9"/>
  <c r="X38" i="9" s="1"/>
  <c r="Y232" i="9"/>
  <c r="Z232" i="9" s="1"/>
  <c r="Y231" i="9"/>
  <c r="Z231" i="9" s="1"/>
  <c r="AA232" i="9" l="1"/>
  <c r="AB232" i="9" s="1"/>
  <c r="H102" i="6" s="1"/>
  <c r="E29" i="8" s="1"/>
  <c r="AA231" i="9"/>
  <c r="AB231" i="9" s="1"/>
  <c r="U234" i="9" s="1"/>
  <c r="AA216" i="9"/>
  <c r="AB216" i="9" s="1"/>
  <c r="M108" i="6" s="1"/>
  <c r="AA218" i="9"/>
  <c r="AB218" i="9" s="1"/>
  <c r="G108" i="6" s="1"/>
  <c r="H22" i="4" s="1"/>
  <c r="AA217" i="9"/>
  <c r="AB217" i="9" s="1"/>
  <c r="E108" i="6" s="1"/>
  <c r="J38" i="9"/>
  <c r="M38" i="9" s="1"/>
  <c r="N38" i="9" s="1"/>
  <c r="J37" i="9"/>
  <c r="M37" i="9" s="1"/>
  <c r="N37" i="9" s="1"/>
  <c r="P108" i="6" l="1"/>
  <c r="B27" i="2" s="1"/>
  <c r="P38" i="11"/>
  <c r="H39" i="9"/>
  <c r="R38" i="11"/>
  <c r="H40" i="9"/>
  <c r="C27" i="2"/>
  <c r="D27" i="2"/>
  <c r="Y234" i="9"/>
  <c r="Z234" i="9" s="1"/>
  <c r="Y233" i="9"/>
  <c r="Z233" i="9" s="1"/>
  <c r="P40" i="9" l="1"/>
  <c r="Q40" i="9" s="1"/>
  <c r="P39" i="9"/>
  <c r="Q39" i="9" s="1"/>
  <c r="V40" i="9"/>
  <c r="AA233" i="9"/>
  <c r="AB233" i="9" s="1"/>
  <c r="C102" i="6" s="1"/>
  <c r="AA234" i="9"/>
  <c r="AB234" i="9" s="1"/>
  <c r="V39" i="9"/>
  <c r="U287" i="9" l="1"/>
  <c r="E33" i="8"/>
  <c r="W40" i="9"/>
  <c r="X40" i="9" s="1"/>
  <c r="W39" i="9"/>
  <c r="X39" i="9" s="1"/>
  <c r="E24" i="8"/>
  <c r="F25" i="8" s="1"/>
  <c r="Z287" i="9" l="1"/>
  <c r="F24" i="8"/>
  <c r="F23" i="8"/>
  <c r="F28" i="8"/>
  <c r="F26" i="8"/>
  <c r="F32" i="8"/>
  <c r="F30" i="8"/>
  <c r="F27" i="8"/>
  <c r="F31" i="8"/>
  <c r="F29" i="8"/>
  <c r="J40" i="9"/>
  <c r="M40" i="9" s="1"/>
  <c r="N40" i="9" s="1"/>
  <c r="J39" i="9"/>
  <c r="M39" i="9" s="1"/>
  <c r="N39" i="9" s="1"/>
  <c r="F33" i="8"/>
  <c r="AA287" i="9" l="1"/>
  <c r="AB287" i="9" s="1"/>
  <c r="AA286" i="9"/>
  <c r="AB286" i="9" s="1"/>
  <c r="R39" i="11"/>
  <c r="H42" i="9"/>
  <c r="P39" i="11"/>
  <c r="H41" i="9"/>
  <c r="U289" i="9" l="1"/>
  <c r="U288" i="9"/>
  <c r="V41" i="9"/>
  <c r="P41" i="9"/>
  <c r="Q41" i="9" s="1"/>
  <c r="P42" i="9"/>
  <c r="Q42" i="9" s="1"/>
  <c r="V42" i="9"/>
  <c r="Y289" i="9" l="1"/>
  <c r="Z289" i="9" s="1"/>
  <c r="AA289" i="9" s="1"/>
  <c r="AB289" i="9" s="1"/>
  <c r="L102" i="6" s="1"/>
  <c r="H16" i="4" s="1"/>
  <c r="B19" i="4" s="1"/>
  <c r="Y288" i="9"/>
  <c r="Z288" i="9" s="1"/>
  <c r="AA288" i="9" s="1"/>
  <c r="AB288" i="9" s="1"/>
  <c r="G102" i="6" s="1"/>
  <c r="W42" i="9"/>
  <c r="X42" i="9" s="1"/>
  <c r="W41" i="9"/>
  <c r="X41" i="9" s="1"/>
  <c r="P102" i="6" l="1"/>
  <c r="B21" i="2" s="1"/>
  <c r="C21" i="2" s="1"/>
  <c r="J42" i="9"/>
  <c r="M42" i="9" s="1"/>
  <c r="N42" i="9" s="1"/>
  <c r="J41" i="9"/>
  <c r="M41" i="9" s="1"/>
  <c r="N41" i="9" s="1"/>
  <c r="D21" i="2" l="1"/>
  <c r="P75" i="11"/>
  <c r="P57" i="11"/>
  <c r="P41" i="11"/>
  <c r="P74" i="11"/>
  <c r="P66" i="11"/>
  <c r="P50" i="11"/>
  <c r="P59" i="11"/>
  <c r="P43" i="11"/>
  <c r="P73" i="11"/>
  <c r="P68" i="11"/>
  <c r="P52" i="11"/>
  <c r="P61" i="11"/>
  <c r="P45" i="11"/>
  <c r="P70" i="11"/>
  <c r="P54" i="11"/>
  <c r="P63" i="11"/>
  <c r="P47" i="11"/>
  <c r="P72" i="11"/>
  <c r="P56" i="11"/>
  <c r="P65" i="11"/>
  <c r="P49" i="11"/>
  <c r="P58" i="11"/>
  <c r="P77" i="11"/>
  <c r="P67" i="11"/>
  <c r="P51" i="11"/>
  <c r="P78" i="11"/>
  <c r="P76" i="11"/>
  <c r="P71" i="11"/>
  <c r="P64" i="11"/>
  <c r="P48" i="11"/>
  <c r="P44" i="11"/>
  <c r="P69" i="11"/>
  <c r="P55" i="11"/>
  <c r="P62" i="11"/>
  <c r="P46" i="11"/>
  <c r="P53" i="11"/>
  <c r="P60" i="11"/>
  <c r="P42" i="11"/>
  <c r="P40" i="11"/>
  <c r="H120" i="9"/>
  <c r="R42" i="11"/>
  <c r="R41" i="11"/>
  <c r="R40" i="11"/>
  <c r="H48" i="9"/>
  <c r="V48" i="9" l="1"/>
  <c r="X48" i="9" s="1"/>
  <c r="Q48" i="9"/>
  <c r="V120" i="9"/>
  <c r="J48" i="9" l="1"/>
  <c r="M48" i="9" s="1"/>
  <c r="N48" i="9" s="1"/>
  <c r="J47" i="9"/>
  <c r="M47" i="9" l="1"/>
  <c r="N47" i="9" s="1"/>
  <c r="R43" i="11"/>
  <c r="H50" i="9"/>
  <c r="V50" i="9" l="1"/>
  <c r="X50" i="9" s="1"/>
  <c r="Q50" i="9"/>
  <c r="K44" i="11"/>
  <c r="K46" i="11"/>
  <c r="K48" i="11"/>
  <c r="K50" i="11"/>
  <c r="K43" i="11"/>
  <c r="K52" i="11"/>
  <c r="K45" i="11"/>
  <c r="K51" i="11"/>
  <c r="K49" i="11"/>
  <c r="K47" i="11"/>
  <c r="H67" i="9"/>
  <c r="V67" i="9" l="1"/>
  <c r="X67" i="9" s="1"/>
  <c r="Q67" i="9"/>
  <c r="J50" i="9"/>
  <c r="M50" i="9" s="1"/>
  <c r="N50" i="9" s="1"/>
  <c r="J49" i="9"/>
  <c r="M49" i="9" l="1"/>
  <c r="N49" i="9" s="1"/>
  <c r="R44" i="11"/>
  <c r="H52" i="9"/>
  <c r="J67" i="9"/>
  <c r="J68" i="9"/>
  <c r="M68" i="9" l="1"/>
  <c r="N68" i="9" s="1"/>
  <c r="V52" i="9"/>
  <c r="M67" i="9"/>
  <c r="N67" i="9" s="1"/>
  <c r="M44" i="11"/>
  <c r="H51" i="9"/>
  <c r="P52" i="9" l="1"/>
  <c r="Q52" i="9" s="1"/>
  <c r="P51" i="9"/>
  <c r="Q51" i="9" s="1"/>
  <c r="V51" i="9"/>
  <c r="K53" i="11"/>
  <c r="H69" i="9"/>
  <c r="U54" i="11"/>
  <c r="U56" i="11"/>
  <c r="U58" i="11"/>
  <c r="U60" i="11"/>
  <c r="U53" i="11"/>
  <c r="U55" i="11"/>
  <c r="U61" i="11"/>
  <c r="U59" i="11"/>
  <c r="U57" i="11"/>
  <c r="H87" i="9"/>
  <c r="P70" i="9" l="1"/>
  <c r="P69" i="9"/>
  <c r="Q69" i="9" s="1"/>
  <c r="V69" i="9"/>
  <c r="W52" i="9"/>
  <c r="X52" i="9" s="1"/>
  <c r="W51" i="9"/>
  <c r="X51" i="9" s="1"/>
  <c r="V87" i="9"/>
  <c r="X87" i="9" s="1"/>
  <c r="Q87" i="9"/>
  <c r="J87" i="9" l="1"/>
  <c r="J86" i="9"/>
  <c r="J52" i="9"/>
  <c r="M52" i="9" s="1"/>
  <c r="N52" i="9" s="1"/>
  <c r="J51" i="9"/>
  <c r="W69" i="9"/>
  <c r="X69" i="9" s="1"/>
  <c r="W70" i="9"/>
  <c r="M51" i="9" l="1"/>
  <c r="N51" i="9" s="1"/>
  <c r="M86" i="9"/>
  <c r="N86" i="9" s="1"/>
  <c r="R45" i="11"/>
  <c r="H54" i="9"/>
  <c r="M87" i="9"/>
  <c r="N87" i="9" s="1"/>
  <c r="U62" i="11" l="1"/>
  <c r="H89" i="9"/>
  <c r="V54" i="9"/>
  <c r="S62" i="11"/>
  <c r="H88" i="9"/>
  <c r="M45" i="11"/>
  <c r="H53" i="9"/>
  <c r="P53" i="9" l="1"/>
  <c r="Q53" i="9" s="1"/>
  <c r="P54" i="9"/>
  <c r="Q54" i="9" s="1"/>
  <c r="V53" i="9"/>
  <c r="P88" i="9"/>
  <c r="Q88" i="9" s="1"/>
  <c r="P89" i="9"/>
  <c r="Q89" i="9" s="1"/>
  <c r="V88" i="9"/>
  <c r="V89" i="9"/>
  <c r="W89" i="9" l="1"/>
  <c r="X89" i="9" s="1"/>
  <c r="W88" i="9"/>
  <c r="X88" i="9" s="1"/>
  <c r="W54" i="9"/>
  <c r="X54" i="9" s="1"/>
  <c r="W53" i="9"/>
  <c r="X53" i="9" s="1"/>
  <c r="J54" i="9" l="1"/>
  <c r="M54" i="9" s="1"/>
  <c r="N54" i="9" s="1"/>
  <c r="J53" i="9"/>
  <c r="J89" i="9"/>
  <c r="J88" i="9"/>
  <c r="M88" i="9" l="1"/>
  <c r="N88" i="9" s="1"/>
  <c r="M53" i="9"/>
  <c r="N53" i="9" s="1"/>
  <c r="M89" i="9"/>
  <c r="N89" i="9" s="1"/>
  <c r="R46" i="11"/>
  <c r="H56" i="9"/>
  <c r="V56" i="9" l="1"/>
  <c r="U63" i="11"/>
  <c r="U65" i="11"/>
  <c r="U67" i="11"/>
  <c r="U64" i="11"/>
  <c r="U66" i="11"/>
  <c r="H99" i="9"/>
  <c r="M46" i="11"/>
  <c r="H55" i="9"/>
  <c r="S63" i="11"/>
  <c r="H91" i="9"/>
  <c r="V91" i="9" l="1"/>
  <c r="P56" i="9"/>
  <c r="Q56" i="9" s="1"/>
  <c r="P55" i="9"/>
  <c r="Q55" i="9" s="1"/>
  <c r="V55" i="9"/>
  <c r="V99" i="9"/>
  <c r="W55" i="9" l="1"/>
  <c r="X55" i="9" s="1"/>
  <c r="W56" i="9"/>
  <c r="X56" i="9" s="1"/>
  <c r="J56" i="9" l="1"/>
  <c r="M56" i="9" s="1"/>
  <c r="N56" i="9" s="1"/>
  <c r="J55" i="9"/>
  <c r="M55" i="9" s="1"/>
  <c r="N55" i="9" s="1"/>
  <c r="M55" i="11" l="1"/>
  <c r="M48" i="11"/>
  <c r="M50" i="11"/>
  <c r="M52" i="11"/>
  <c r="M54" i="11"/>
  <c r="M47" i="11"/>
  <c r="M53" i="11"/>
  <c r="M51" i="11"/>
  <c r="M49" i="11"/>
  <c r="H74" i="9"/>
  <c r="R47" i="11"/>
  <c r="H58" i="9"/>
  <c r="V58" i="9" l="1"/>
  <c r="X58" i="9" s="1"/>
  <c r="Q58" i="9"/>
  <c r="V74" i="9"/>
  <c r="J58" i="9" l="1"/>
  <c r="M58" i="9" s="1"/>
  <c r="N58" i="9" s="1"/>
  <c r="J57" i="9"/>
  <c r="M57" i="9" s="1"/>
  <c r="N57" i="9" s="1"/>
  <c r="O48" i="11" l="1"/>
  <c r="H59" i="9"/>
  <c r="R49" i="11"/>
  <c r="R48" i="11"/>
  <c r="H62" i="9"/>
  <c r="P61" i="9" l="1"/>
  <c r="P62" i="9"/>
  <c r="Q62" i="9" s="1"/>
  <c r="V62" i="9"/>
  <c r="P59" i="9"/>
  <c r="Q59" i="9" s="1"/>
  <c r="P60" i="9"/>
  <c r="Q60" i="9" s="1"/>
  <c r="V59" i="9"/>
  <c r="W60" i="9" l="1"/>
  <c r="X60" i="9" s="1"/>
  <c r="W59" i="9"/>
  <c r="X59" i="9" s="1"/>
  <c r="W62" i="9"/>
  <c r="X62" i="9" s="1"/>
  <c r="W61" i="9"/>
  <c r="J60" i="9" l="1"/>
  <c r="J59" i="9"/>
  <c r="M59" i="9" s="1"/>
  <c r="N59" i="9" s="1"/>
  <c r="O50" i="11" l="1"/>
  <c r="O49" i="11"/>
  <c r="H63" i="9"/>
  <c r="M60" i="9"/>
  <c r="N60" i="9" s="1"/>
  <c r="N49" i="11" l="1"/>
  <c r="H61" i="9"/>
  <c r="P63" i="9"/>
  <c r="Q63" i="9" s="1"/>
  <c r="P64" i="9"/>
  <c r="V63" i="9"/>
  <c r="W64" i="9" l="1"/>
  <c r="W63" i="9"/>
  <c r="X63" i="9" s="1"/>
  <c r="V61" i="9"/>
  <c r="X61" i="9" s="1"/>
  <c r="Q61" i="9"/>
  <c r="J62" i="9" l="1"/>
  <c r="M62" i="9" s="1"/>
  <c r="N62" i="9" s="1"/>
  <c r="J61" i="9"/>
  <c r="M61" i="9" l="1"/>
  <c r="N61" i="9" s="1"/>
  <c r="R50" i="11"/>
  <c r="H64" i="9"/>
  <c r="V64" i="9" l="1"/>
  <c r="X64" i="9" s="1"/>
  <c r="Q64" i="9"/>
  <c r="N50" i="11"/>
  <c r="N51" i="11"/>
  <c r="H66" i="9"/>
  <c r="V66" i="9" l="1"/>
  <c r="J63" i="9"/>
  <c r="M63" i="9" s="1"/>
  <c r="N63" i="9" s="1"/>
  <c r="J64" i="9"/>
  <c r="M64" i="9" s="1"/>
  <c r="N64" i="9" s="1"/>
  <c r="O51" i="11" l="1"/>
  <c r="H65" i="9"/>
  <c r="R52" i="11"/>
  <c r="R54" i="11"/>
  <c r="R51" i="11"/>
  <c r="R53" i="11"/>
  <c r="H71" i="9"/>
  <c r="V71" i="9" l="1"/>
  <c r="P72" i="9"/>
  <c r="P71" i="9"/>
  <c r="Q71" i="9" s="1"/>
  <c r="P66" i="9"/>
  <c r="Q66" i="9" s="1"/>
  <c r="P65" i="9"/>
  <c r="Q65" i="9" s="1"/>
  <c r="V65" i="9"/>
  <c r="W65" i="9" l="1"/>
  <c r="X65" i="9" s="1"/>
  <c r="W66" i="9"/>
  <c r="X66" i="9" s="1"/>
  <c r="W72" i="9"/>
  <c r="W71" i="9"/>
  <c r="X71" i="9" s="1"/>
  <c r="J65" i="9" l="1"/>
  <c r="M65" i="9" s="1"/>
  <c r="N65" i="9" s="1"/>
  <c r="J66" i="9"/>
  <c r="M66" i="9" l="1"/>
  <c r="N66" i="9" s="1"/>
  <c r="O57" i="11"/>
  <c r="O52" i="11"/>
  <c r="O54" i="11"/>
  <c r="O56" i="11"/>
  <c r="O55" i="11"/>
  <c r="O53" i="11"/>
  <c r="H77" i="9"/>
  <c r="P77" i="9" l="1"/>
  <c r="Q77" i="9" s="1"/>
  <c r="P78" i="9"/>
  <c r="P79" i="9"/>
  <c r="V77" i="9"/>
  <c r="N52" i="11"/>
  <c r="N53" i="11"/>
  <c r="H70" i="9"/>
  <c r="V70" i="9" l="1"/>
  <c r="X70" i="9" s="1"/>
  <c r="Q70" i="9"/>
  <c r="W79" i="9"/>
  <c r="W77" i="9"/>
  <c r="X77" i="9" s="1"/>
  <c r="W78" i="9"/>
  <c r="J70" i="9" l="1"/>
  <c r="J69" i="9"/>
  <c r="M69" i="9" s="1"/>
  <c r="N69" i="9" s="1"/>
  <c r="M70" i="9" l="1"/>
  <c r="N70" i="9" s="1"/>
  <c r="K54" i="11"/>
  <c r="H72" i="9"/>
  <c r="V72" i="9" l="1"/>
  <c r="X72" i="9" s="1"/>
  <c r="Q72" i="9"/>
  <c r="N55" i="11"/>
  <c r="N57" i="11"/>
  <c r="N54" i="11"/>
  <c r="N56" i="11"/>
  <c r="N58" i="11"/>
  <c r="H80" i="9"/>
  <c r="P81" i="9" l="1"/>
  <c r="Q81" i="9" s="1"/>
  <c r="P80" i="9"/>
  <c r="Q80" i="9" s="1"/>
  <c r="V80" i="9"/>
  <c r="J71" i="9"/>
  <c r="M71" i="9" s="1"/>
  <c r="N71" i="9" s="1"/>
  <c r="J72" i="9"/>
  <c r="M72" i="9" s="1"/>
  <c r="N72" i="9" s="1"/>
  <c r="K55" i="11" l="1"/>
  <c r="K56" i="11"/>
  <c r="H75" i="9"/>
  <c r="W80" i="9"/>
  <c r="X80" i="9" s="1"/>
  <c r="W81" i="9"/>
  <c r="X81" i="9" s="1"/>
  <c r="R55" i="11"/>
  <c r="H73" i="9"/>
  <c r="P73" i="9" l="1"/>
  <c r="Q73" i="9" s="1"/>
  <c r="P74" i="9"/>
  <c r="Q74" i="9" s="1"/>
  <c r="V73" i="9"/>
  <c r="J80" i="9"/>
  <c r="M80" i="9" s="1"/>
  <c r="N80" i="9" s="1"/>
  <c r="J81" i="9"/>
  <c r="P75" i="9"/>
  <c r="Q75" i="9" s="1"/>
  <c r="P76" i="9"/>
  <c r="V75" i="9"/>
  <c r="W76" i="9" l="1"/>
  <c r="W75" i="9"/>
  <c r="X75" i="9" s="1"/>
  <c r="N59" i="11"/>
  <c r="H83" i="9"/>
  <c r="M81" i="9"/>
  <c r="N81" i="9" s="1"/>
  <c r="W74" i="9"/>
  <c r="X74" i="9" s="1"/>
  <c r="W73" i="9"/>
  <c r="X73" i="9" s="1"/>
  <c r="J73" i="9" l="1"/>
  <c r="M73" i="9" s="1"/>
  <c r="N73" i="9" s="1"/>
  <c r="J74" i="9"/>
  <c r="M74" i="9" s="1"/>
  <c r="N74" i="9" s="1"/>
  <c r="T60" i="11"/>
  <c r="T59" i="11"/>
  <c r="H85" i="9"/>
  <c r="V83" i="9"/>
  <c r="V85" i="9" l="1"/>
  <c r="M56" i="11"/>
  <c r="H76" i="9"/>
  <c r="R56" i="11"/>
  <c r="R57" i="11"/>
  <c r="H78" i="9"/>
  <c r="V78" i="9" l="1"/>
  <c r="X78" i="9" s="1"/>
  <c r="Q78" i="9"/>
  <c r="V76" i="9"/>
  <c r="X76" i="9" s="1"/>
  <c r="Q76" i="9"/>
  <c r="J78" i="9" l="1"/>
  <c r="M78" i="9" s="1"/>
  <c r="N78" i="9" s="1"/>
  <c r="J75" i="9"/>
  <c r="M75" i="9" s="1"/>
  <c r="N75" i="9" s="1"/>
  <c r="J76" i="9"/>
  <c r="M76" i="9" s="1"/>
  <c r="N76" i="9" s="1"/>
  <c r="M57" i="11" l="1"/>
  <c r="H79" i="9"/>
  <c r="K74" i="11"/>
  <c r="K76" i="11"/>
  <c r="K78" i="11"/>
  <c r="K60" i="11"/>
  <c r="K75" i="11"/>
  <c r="K69" i="11"/>
  <c r="K62" i="11"/>
  <c r="K71" i="11"/>
  <c r="K64" i="11"/>
  <c r="K73" i="11"/>
  <c r="K57" i="11"/>
  <c r="K66" i="11"/>
  <c r="K59" i="11"/>
  <c r="K68" i="11"/>
  <c r="K61" i="11"/>
  <c r="K70" i="11"/>
  <c r="K80" i="11"/>
  <c r="K79" i="11"/>
  <c r="K77" i="11"/>
  <c r="K67" i="11"/>
  <c r="K72" i="11"/>
  <c r="K58" i="11"/>
  <c r="K65" i="11"/>
  <c r="K63" i="11"/>
  <c r="H125" i="9"/>
  <c r="R59" i="11"/>
  <c r="R61" i="11"/>
  <c r="R63" i="11"/>
  <c r="R58" i="11"/>
  <c r="R60" i="11"/>
  <c r="R62" i="11"/>
  <c r="H90" i="9"/>
  <c r="V125" i="9" l="1"/>
  <c r="P91" i="9"/>
  <c r="Q91" i="9" s="1"/>
  <c r="P90" i="9"/>
  <c r="Q90" i="9" s="1"/>
  <c r="V90" i="9"/>
  <c r="V79" i="9"/>
  <c r="X79" i="9" s="1"/>
  <c r="Q79" i="9"/>
  <c r="W90" i="9" l="1"/>
  <c r="X90" i="9" s="1"/>
  <c r="W91" i="9"/>
  <c r="X91" i="9" s="1"/>
  <c r="J79" i="9"/>
  <c r="M79" i="9" s="1"/>
  <c r="N79" i="9" s="1"/>
  <c r="J77" i="9"/>
  <c r="M77" i="9" s="1"/>
  <c r="N77" i="9" s="1"/>
  <c r="O59" i="11" l="1"/>
  <c r="O58" i="11"/>
  <c r="H82" i="9"/>
  <c r="M76" i="11"/>
  <c r="M78" i="11"/>
  <c r="M87" i="11"/>
  <c r="M80" i="11"/>
  <c r="M73" i="11"/>
  <c r="M86" i="11"/>
  <c r="M62" i="11"/>
  <c r="M71" i="11"/>
  <c r="M64" i="11"/>
  <c r="M74" i="11"/>
  <c r="M66" i="11"/>
  <c r="M59" i="11"/>
  <c r="M68" i="11"/>
  <c r="M61" i="11"/>
  <c r="M70" i="11"/>
  <c r="M63" i="11"/>
  <c r="M82" i="11"/>
  <c r="M72" i="11"/>
  <c r="M84" i="11"/>
  <c r="M85" i="11"/>
  <c r="M79" i="11"/>
  <c r="M83" i="11"/>
  <c r="M81" i="11"/>
  <c r="M75" i="11"/>
  <c r="M69" i="11"/>
  <c r="M60" i="11"/>
  <c r="M58" i="11"/>
  <c r="M67" i="11"/>
  <c r="M65" i="11"/>
  <c r="M77" i="11"/>
  <c r="H138" i="9"/>
  <c r="J91" i="9"/>
  <c r="J90" i="9"/>
  <c r="M90" i="9" s="1"/>
  <c r="N90" i="9" s="1"/>
  <c r="R64" i="11" l="1"/>
  <c r="H92" i="9"/>
  <c r="M91" i="9"/>
  <c r="N91" i="9" s="1"/>
  <c r="P83" i="9"/>
  <c r="Q83" i="9" s="1"/>
  <c r="P82" i="9"/>
  <c r="Q82" i="9" s="1"/>
  <c r="V82" i="9"/>
  <c r="P139" i="9"/>
  <c r="P138" i="9"/>
  <c r="Q138" i="9" s="1"/>
  <c r="V138" i="9"/>
  <c r="W139" i="9" l="1"/>
  <c r="W138" i="9"/>
  <c r="X138" i="9" s="1"/>
  <c r="W82" i="9"/>
  <c r="X82" i="9" s="1"/>
  <c r="W83" i="9"/>
  <c r="X83" i="9" s="1"/>
  <c r="S65" i="11"/>
  <c r="S64" i="11"/>
  <c r="H95" i="9"/>
  <c r="V92" i="9"/>
  <c r="V95" i="9" l="1"/>
  <c r="J82" i="9"/>
  <c r="M82" i="9" s="1"/>
  <c r="N82" i="9" s="1"/>
  <c r="J83" i="9"/>
  <c r="M83" i="9" s="1"/>
  <c r="N83" i="9" s="1"/>
  <c r="N80" i="11" l="1"/>
  <c r="N73" i="11"/>
  <c r="N79" i="11"/>
  <c r="N76" i="11"/>
  <c r="N71" i="11"/>
  <c r="N64" i="11"/>
  <c r="N74" i="11"/>
  <c r="N66" i="11"/>
  <c r="N68" i="11"/>
  <c r="N61" i="11"/>
  <c r="N70" i="11"/>
  <c r="N63" i="11"/>
  <c r="N72" i="11"/>
  <c r="N65" i="11"/>
  <c r="N78" i="11"/>
  <c r="N75" i="11"/>
  <c r="N69" i="11"/>
  <c r="N62" i="11"/>
  <c r="N67" i="11"/>
  <c r="N77" i="11"/>
  <c r="N60" i="11"/>
  <c r="H124" i="9"/>
  <c r="O60" i="11"/>
  <c r="H84" i="9"/>
  <c r="P85" i="9" l="1"/>
  <c r="Q85" i="9" s="1"/>
  <c r="P84" i="9"/>
  <c r="Q84" i="9" s="1"/>
  <c r="V84" i="9"/>
  <c r="P125" i="9"/>
  <c r="Q125" i="9" s="1"/>
  <c r="P124" i="9"/>
  <c r="Q124" i="9" s="1"/>
  <c r="V124" i="9"/>
  <c r="W124" i="9" l="1"/>
  <c r="X124" i="9" s="1"/>
  <c r="W125" i="9"/>
  <c r="X125" i="9" s="1"/>
  <c r="W85" i="9"/>
  <c r="X85" i="9" s="1"/>
  <c r="W84" i="9"/>
  <c r="X84" i="9" s="1"/>
  <c r="J85" i="9" l="1"/>
  <c r="J84" i="9"/>
  <c r="M84" i="9" s="1"/>
  <c r="N84" i="9" s="1"/>
  <c r="J124" i="9"/>
  <c r="M124" i="9" s="1"/>
  <c r="N124" i="9" s="1"/>
  <c r="J125" i="9"/>
  <c r="M125" i="9" s="1"/>
  <c r="N125" i="9" s="1"/>
  <c r="K81" i="11" l="1"/>
  <c r="K82" i="11"/>
  <c r="H129" i="9"/>
  <c r="O64" i="11"/>
  <c r="O61" i="11"/>
  <c r="O63" i="11"/>
  <c r="O62" i="11"/>
  <c r="H93" i="9"/>
  <c r="N85" i="11"/>
  <c r="N82" i="11"/>
  <c r="N84" i="11"/>
  <c r="N83" i="11"/>
  <c r="N81" i="11"/>
  <c r="H135" i="9"/>
  <c r="M85" i="9"/>
  <c r="N85" i="9" s="1"/>
  <c r="T75" i="11" l="1"/>
  <c r="T77" i="11"/>
  <c r="T79" i="11"/>
  <c r="T73" i="11"/>
  <c r="T61" i="11"/>
  <c r="T70" i="11"/>
  <c r="T63" i="11"/>
  <c r="T72" i="11"/>
  <c r="T65" i="11"/>
  <c r="T67" i="11"/>
  <c r="T83" i="11"/>
  <c r="T82" i="11"/>
  <c r="T81" i="11"/>
  <c r="T69" i="11"/>
  <c r="T80" i="11"/>
  <c r="T78" i="11"/>
  <c r="T62" i="11"/>
  <c r="T71" i="11"/>
  <c r="T74" i="11"/>
  <c r="T68" i="11"/>
  <c r="T64" i="11"/>
  <c r="T76" i="11"/>
  <c r="T66" i="11"/>
  <c r="H131" i="9"/>
  <c r="V135" i="9"/>
  <c r="P92" i="9"/>
  <c r="Q92" i="9" s="1"/>
  <c r="P93" i="9"/>
  <c r="Q93" i="9" s="1"/>
  <c r="V93" i="9"/>
  <c r="V129" i="9"/>
  <c r="X129" i="9" s="1"/>
  <c r="Q129" i="9"/>
  <c r="J129" i="9" l="1"/>
  <c r="M129" i="9" s="1"/>
  <c r="N129" i="9" s="1"/>
  <c r="J128" i="9"/>
  <c r="W93" i="9"/>
  <c r="X93" i="9" s="1"/>
  <c r="W92" i="9"/>
  <c r="X92" i="9" s="1"/>
  <c r="V131" i="9"/>
  <c r="J93" i="9" l="1"/>
  <c r="M93" i="9" s="1"/>
  <c r="N93" i="9" s="1"/>
  <c r="J92" i="9"/>
  <c r="M92" i="9" s="1"/>
  <c r="N92" i="9" s="1"/>
  <c r="M128" i="9"/>
  <c r="N128" i="9" s="1"/>
  <c r="K90" i="11"/>
  <c r="K92" i="11"/>
  <c r="K85" i="11"/>
  <c r="K94" i="11"/>
  <c r="K87" i="11"/>
  <c r="K84" i="11"/>
  <c r="K93" i="11"/>
  <c r="K95" i="11"/>
  <c r="K91" i="11"/>
  <c r="K89" i="11"/>
  <c r="K86" i="11"/>
  <c r="K88" i="11"/>
  <c r="K83" i="11"/>
  <c r="H163" i="9"/>
  <c r="Q84" i="11" l="1"/>
  <c r="Q86" i="11"/>
  <c r="Q85" i="11"/>
  <c r="Q83" i="11"/>
  <c r="H136" i="9"/>
  <c r="V163" i="9"/>
  <c r="R68" i="11"/>
  <c r="R70" i="11"/>
  <c r="R65" i="11"/>
  <c r="R67" i="11"/>
  <c r="R69" i="11"/>
  <c r="R66" i="11"/>
  <c r="H104" i="9"/>
  <c r="O65" i="11"/>
  <c r="H94" i="9"/>
  <c r="P105" i="9" l="1"/>
  <c r="P104" i="9"/>
  <c r="Q104" i="9" s="1"/>
  <c r="V104" i="9"/>
  <c r="P95" i="9"/>
  <c r="Q95" i="9" s="1"/>
  <c r="P94" i="9"/>
  <c r="Q94" i="9" s="1"/>
  <c r="V94" i="9"/>
  <c r="P137" i="9"/>
  <c r="P136" i="9"/>
  <c r="Q136" i="9" s="1"/>
  <c r="V136" i="9"/>
  <c r="W136" i="9" l="1"/>
  <c r="X136" i="9" s="1"/>
  <c r="W137" i="9"/>
  <c r="W94" i="9"/>
  <c r="X94" i="9" s="1"/>
  <c r="W95" i="9"/>
  <c r="X95" i="9" s="1"/>
  <c r="W105" i="9"/>
  <c r="W104" i="9"/>
  <c r="X104" i="9" s="1"/>
  <c r="J95" i="9" l="1"/>
  <c r="J94" i="9"/>
  <c r="M94" i="9" s="1"/>
  <c r="N94" i="9" s="1"/>
  <c r="O66" i="11" l="1"/>
  <c r="H96" i="9"/>
  <c r="M95" i="9"/>
  <c r="N95" i="9" s="1"/>
  <c r="S66" i="11" l="1"/>
  <c r="H97" i="9"/>
  <c r="V96" i="9"/>
  <c r="P97" i="9" l="1"/>
  <c r="Q97" i="9" s="1"/>
  <c r="P96" i="9"/>
  <c r="Q96" i="9" s="1"/>
  <c r="V97" i="9"/>
  <c r="W97" i="9" l="1"/>
  <c r="X97" i="9" s="1"/>
  <c r="W96" i="9"/>
  <c r="X96" i="9" s="1"/>
  <c r="J97" i="9" l="1"/>
  <c r="J96" i="9"/>
  <c r="M96" i="9" s="1"/>
  <c r="N96" i="9" s="1"/>
  <c r="O67" i="11" l="1"/>
  <c r="H98" i="9"/>
  <c r="M97" i="9"/>
  <c r="N97" i="9" s="1"/>
  <c r="S68" i="11" l="1"/>
  <c r="S73" i="11"/>
  <c r="S70" i="11"/>
  <c r="S72" i="11"/>
  <c r="S67" i="11"/>
  <c r="S69" i="11"/>
  <c r="S71" i="11"/>
  <c r="H110" i="9"/>
  <c r="P99" i="9"/>
  <c r="Q99" i="9" s="1"/>
  <c r="P98" i="9"/>
  <c r="Q98" i="9" s="1"/>
  <c r="V98" i="9"/>
  <c r="W99" i="9" l="1"/>
  <c r="X99" i="9" s="1"/>
  <c r="W98" i="9"/>
  <c r="X98" i="9" s="1"/>
  <c r="P111" i="9"/>
  <c r="P110" i="9"/>
  <c r="Q110" i="9" s="1"/>
  <c r="V110" i="9"/>
  <c r="W111" i="9" l="1"/>
  <c r="W110" i="9"/>
  <c r="X110" i="9" s="1"/>
  <c r="J98" i="9"/>
  <c r="M98" i="9" s="1"/>
  <c r="N98" i="9" s="1"/>
  <c r="J99" i="9"/>
  <c r="M99" i="9" s="1"/>
  <c r="N99" i="9" s="1"/>
  <c r="U68" i="11" l="1"/>
  <c r="H101" i="9"/>
  <c r="O68" i="11"/>
  <c r="H100" i="9"/>
  <c r="P100" i="9" l="1"/>
  <c r="Q100" i="9" s="1"/>
  <c r="P101" i="9"/>
  <c r="Q101" i="9" s="1"/>
  <c r="V100" i="9"/>
  <c r="V101" i="9"/>
  <c r="W100" i="9" l="1"/>
  <c r="X100" i="9" s="1"/>
  <c r="W101" i="9"/>
  <c r="X101" i="9" s="1"/>
  <c r="J101" i="9" l="1"/>
  <c r="M101" i="9" s="1"/>
  <c r="N101" i="9" s="1"/>
  <c r="J100" i="9"/>
  <c r="M100" i="9" s="1"/>
  <c r="N100" i="9" s="1"/>
  <c r="O69" i="11" l="1"/>
  <c r="H102" i="9"/>
  <c r="U69" i="11"/>
  <c r="H103" i="9"/>
  <c r="P103" i="9" l="1"/>
  <c r="Q103" i="9" s="1"/>
  <c r="P102" i="9"/>
  <c r="Q102" i="9" s="1"/>
  <c r="V103" i="9"/>
  <c r="V102" i="9"/>
  <c r="W102" i="9" l="1"/>
  <c r="X102" i="9" s="1"/>
  <c r="W103" i="9"/>
  <c r="X103" i="9" s="1"/>
  <c r="J102" i="9" l="1"/>
  <c r="M102" i="9" s="1"/>
  <c r="N102" i="9" s="1"/>
  <c r="J103" i="9"/>
  <c r="M103" i="9" s="1"/>
  <c r="N103" i="9" s="1"/>
  <c r="U70" i="11" l="1"/>
  <c r="H105" i="9"/>
  <c r="O78" i="11"/>
  <c r="O73" i="11"/>
  <c r="O75" i="11"/>
  <c r="O74" i="11"/>
  <c r="O70" i="11"/>
  <c r="O72" i="11"/>
  <c r="O79" i="11"/>
  <c r="O76" i="11"/>
  <c r="O71" i="11"/>
  <c r="O77" i="11"/>
  <c r="H123" i="9"/>
  <c r="V123" i="9" l="1"/>
  <c r="V105" i="9"/>
  <c r="X105" i="9" s="1"/>
  <c r="Q105" i="9"/>
  <c r="J104" i="9" l="1"/>
  <c r="M104" i="9" s="1"/>
  <c r="N104" i="9" s="1"/>
  <c r="J105" i="9"/>
  <c r="M105" i="9" s="1"/>
  <c r="N105" i="9" s="1"/>
  <c r="U71" i="11" l="1"/>
  <c r="H107" i="9"/>
  <c r="R71" i="11"/>
  <c r="H106" i="9"/>
  <c r="P106" i="9" l="1"/>
  <c r="Q106" i="9" s="1"/>
  <c r="P107" i="9"/>
  <c r="Q107" i="9" s="1"/>
  <c r="V106" i="9"/>
  <c r="V107" i="9"/>
  <c r="W107" i="9" l="1"/>
  <c r="X107" i="9" s="1"/>
  <c r="W106" i="9"/>
  <c r="X106" i="9" s="1"/>
  <c r="J107" i="9" l="1"/>
  <c r="M107" i="9" s="1"/>
  <c r="N107" i="9" s="1"/>
  <c r="J106" i="9"/>
  <c r="M106" i="9" s="1"/>
  <c r="N106" i="9" s="1"/>
  <c r="R72" i="11" l="1"/>
  <c r="H108" i="9"/>
  <c r="U72" i="11"/>
  <c r="H109" i="9"/>
  <c r="P109" i="9" l="1"/>
  <c r="Q109" i="9" s="1"/>
  <c r="P108" i="9"/>
  <c r="Q108" i="9" s="1"/>
  <c r="V109" i="9"/>
  <c r="V108" i="9"/>
  <c r="W109" i="9" l="1"/>
  <c r="X109" i="9" s="1"/>
  <c r="W108" i="9"/>
  <c r="X108" i="9" s="1"/>
  <c r="J109" i="9" l="1"/>
  <c r="M109" i="9" s="1"/>
  <c r="N109" i="9" s="1"/>
  <c r="J108" i="9"/>
  <c r="M108" i="9" s="1"/>
  <c r="N108" i="9" s="1"/>
  <c r="R73" i="11" l="1"/>
  <c r="R77" i="11"/>
  <c r="R74" i="11"/>
  <c r="R79" i="11"/>
  <c r="R81" i="11"/>
  <c r="R78" i="11"/>
  <c r="R76" i="11"/>
  <c r="R80" i="11"/>
  <c r="R75" i="11"/>
  <c r="H127" i="9"/>
  <c r="U73" i="11"/>
  <c r="H111" i="9"/>
  <c r="V111" i="9" l="1"/>
  <c r="X111" i="9" s="1"/>
  <c r="Q111" i="9"/>
  <c r="V127" i="9"/>
  <c r="J110" i="9" l="1"/>
  <c r="M110" i="9" s="1"/>
  <c r="N110" i="9" s="1"/>
  <c r="J111" i="9"/>
  <c r="M111" i="9" s="1"/>
  <c r="N111" i="9" s="1"/>
  <c r="U74" i="11" l="1"/>
  <c r="H113" i="9"/>
  <c r="S74" i="11"/>
  <c r="H112" i="9"/>
  <c r="P113" i="9" l="1"/>
  <c r="Q113" i="9" s="1"/>
  <c r="P112" i="9"/>
  <c r="Q112" i="9" s="1"/>
  <c r="V112" i="9"/>
  <c r="V113" i="9"/>
  <c r="W113" i="9" l="1"/>
  <c r="X113" i="9" s="1"/>
  <c r="W112" i="9"/>
  <c r="X112" i="9" s="1"/>
  <c r="J113" i="9" l="1"/>
  <c r="M113" i="9" s="1"/>
  <c r="N113" i="9" s="1"/>
  <c r="J112" i="9"/>
  <c r="M112" i="9" s="1"/>
  <c r="N112" i="9" s="1"/>
  <c r="S75" i="11" l="1"/>
  <c r="H114" i="9"/>
  <c r="U75" i="11"/>
  <c r="H115" i="9"/>
  <c r="V115" i="9" l="1"/>
  <c r="P115" i="9"/>
  <c r="Q115" i="9" s="1"/>
  <c r="P114" i="9"/>
  <c r="Q114" i="9" s="1"/>
  <c r="V114" i="9"/>
  <c r="W114" i="9" l="1"/>
  <c r="X114" i="9" s="1"/>
  <c r="W115" i="9"/>
  <c r="X115" i="9" s="1"/>
  <c r="J115" i="9" l="1"/>
  <c r="M115" i="9" s="1"/>
  <c r="N115" i="9" s="1"/>
  <c r="J114" i="9"/>
  <c r="M114" i="9" s="1"/>
  <c r="N114" i="9" s="1"/>
  <c r="S76" i="11" l="1"/>
  <c r="H117" i="9"/>
  <c r="U76" i="11"/>
  <c r="H116" i="9"/>
  <c r="P117" i="9" l="1"/>
  <c r="Q117" i="9" s="1"/>
  <c r="P116" i="9"/>
  <c r="Q116" i="9" s="1"/>
  <c r="V116" i="9"/>
  <c r="V117" i="9"/>
  <c r="W117" i="9" l="1"/>
  <c r="X117" i="9" s="1"/>
  <c r="W116" i="9"/>
  <c r="X116" i="9" s="1"/>
  <c r="J117" i="9" l="1"/>
  <c r="M117" i="9" s="1"/>
  <c r="N117" i="9" s="1"/>
  <c r="J116" i="9"/>
  <c r="M116" i="9" s="1"/>
  <c r="N116" i="9" s="1"/>
  <c r="U77" i="11" l="1"/>
  <c r="H118" i="9"/>
  <c r="S77" i="11"/>
  <c r="S79" i="11"/>
  <c r="S81" i="11"/>
  <c r="S80" i="11"/>
  <c r="S78" i="11"/>
  <c r="H126" i="9"/>
  <c r="P127" i="9" l="1"/>
  <c r="Q127" i="9" s="1"/>
  <c r="V126" i="9"/>
  <c r="P126" i="9"/>
  <c r="Q126" i="9" s="1"/>
  <c r="P119" i="9"/>
  <c r="Q119" i="9" s="1"/>
  <c r="P118" i="9"/>
  <c r="Q118" i="9" s="1"/>
  <c r="V118" i="9"/>
  <c r="W119" i="9" l="1"/>
  <c r="X119" i="9" s="1"/>
  <c r="W118" i="9"/>
  <c r="X118" i="9" s="1"/>
  <c r="W126" i="9"/>
  <c r="X126" i="9" s="1"/>
  <c r="W127" i="9"/>
  <c r="X127" i="9" s="1"/>
  <c r="J127" i="9" l="1"/>
  <c r="M127" i="9" s="1"/>
  <c r="N127" i="9" s="1"/>
  <c r="J126" i="9"/>
  <c r="M126" i="9" s="1"/>
  <c r="N126" i="9" s="1"/>
  <c r="J119" i="9"/>
  <c r="J118" i="9"/>
  <c r="M118" i="9" s="1"/>
  <c r="N118" i="9" s="1"/>
  <c r="M119" i="9" l="1"/>
  <c r="N119" i="9" s="1"/>
  <c r="S82" i="11"/>
  <c r="S84" i="11"/>
  <c r="S85" i="11"/>
  <c r="S83" i="11"/>
  <c r="H134" i="9"/>
  <c r="U78" i="11"/>
  <c r="H121" i="9"/>
  <c r="R89" i="11"/>
  <c r="R91" i="11"/>
  <c r="R84" i="11"/>
  <c r="R86" i="11"/>
  <c r="R83" i="11"/>
  <c r="R92" i="11"/>
  <c r="R88" i="11"/>
  <c r="R90" i="11"/>
  <c r="R85" i="11"/>
  <c r="R82" i="11"/>
  <c r="R87" i="11"/>
  <c r="H151" i="9"/>
  <c r="P120" i="9" l="1"/>
  <c r="Q120" i="9" s="1"/>
  <c r="P121" i="9"/>
  <c r="Q121" i="9" s="1"/>
  <c r="V121" i="9"/>
  <c r="P135" i="9"/>
  <c r="Q135" i="9" s="1"/>
  <c r="P134" i="9"/>
  <c r="Q134" i="9" s="1"/>
  <c r="V134" i="9"/>
  <c r="V151" i="9"/>
  <c r="L83" i="11"/>
  <c r="L78" i="11"/>
  <c r="L80" i="11"/>
  <c r="L79" i="11"/>
  <c r="L81" i="11"/>
  <c r="L82" i="11"/>
  <c r="H130" i="9"/>
  <c r="P130" i="9" l="1"/>
  <c r="Q130" i="9" s="1"/>
  <c r="P131" i="9"/>
  <c r="Q131" i="9" s="1"/>
  <c r="V130" i="9"/>
  <c r="W120" i="9"/>
  <c r="X120" i="9" s="1"/>
  <c r="W121" i="9"/>
  <c r="X121" i="9" s="1"/>
  <c r="W134" i="9"/>
  <c r="X134" i="9" s="1"/>
  <c r="W135" i="9"/>
  <c r="X135" i="9" s="1"/>
  <c r="J134" i="9" l="1"/>
  <c r="M134" i="9" s="1"/>
  <c r="N134" i="9" s="1"/>
  <c r="J135" i="9"/>
  <c r="M135" i="9" s="1"/>
  <c r="N135" i="9" s="1"/>
  <c r="J120" i="9"/>
  <c r="M120" i="9" s="1"/>
  <c r="N120" i="9" s="1"/>
  <c r="J121" i="9"/>
  <c r="M121" i="9" s="1"/>
  <c r="N121" i="9" s="1"/>
  <c r="W131" i="9"/>
  <c r="X131" i="9" s="1"/>
  <c r="W130" i="9"/>
  <c r="X130" i="9" s="1"/>
  <c r="J130" i="9" l="1"/>
  <c r="J131" i="9"/>
  <c r="M131" i="9" s="1"/>
  <c r="N131" i="9" s="1"/>
  <c r="P79" i="11"/>
  <c r="H122" i="9"/>
  <c r="U84" i="11"/>
  <c r="U79" i="11"/>
  <c r="U81" i="11"/>
  <c r="U83" i="11"/>
  <c r="U82" i="11"/>
  <c r="U80" i="11"/>
  <c r="H132" i="9"/>
  <c r="N87" i="11"/>
  <c r="N89" i="11"/>
  <c r="N93" i="11"/>
  <c r="N91" i="11"/>
  <c r="N94" i="11"/>
  <c r="N92" i="11"/>
  <c r="N88" i="11"/>
  <c r="N86" i="11"/>
  <c r="N90" i="11"/>
  <c r="H158" i="9"/>
  <c r="S86" i="11"/>
  <c r="S92" i="11"/>
  <c r="S91" i="11"/>
  <c r="S88" i="11"/>
  <c r="S90" i="11"/>
  <c r="S89" i="11"/>
  <c r="S87" i="11"/>
  <c r="H150" i="9"/>
  <c r="P132" i="9" l="1"/>
  <c r="Q132" i="9" s="1"/>
  <c r="P133" i="9"/>
  <c r="V132" i="9"/>
  <c r="V150" i="9"/>
  <c r="V158" i="9"/>
  <c r="V122" i="9"/>
  <c r="P122" i="9"/>
  <c r="Q122" i="9" s="1"/>
  <c r="P123" i="9"/>
  <c r="Q123" i="9" s="1"/>
  <c r="T86" i="11"/>
  <c r="T85" i="11"/>
  <c r="T87" i="11"/>
  <c r="T84" i="11"/>
  <c r="H139" i="9"/>
  <c r="M130" i="9"/>
  <c r="N130" i="9" s="1"/>
  <c r="V139" i="9" l="1"/>
  <c r="X139" i="9" s="1"/>
  <c r="Q139" i="9"/>
  <c r="W122" i="9"/>
  <c r="X122" i="9" s="1"/>
  <c r="W123" i="9"/>
  <c r="X123" i="9" s="1"/>
  <c r="W133" i="9"/>
  <c r="W132" i="9"/>
  <c r="X132" i="9" s="1"/>
  <c r="L85" i="11"/>
  <c r="L94" i="11"/>
  <c r="L87" i="11"/>
  <c r="L96" i="11"/>
  <c r="L93" i="11"/>
  <c r="L95" i="11"/>
  <c r="L91" i="11"/>
  <c r="L89" i="11"/>
  <c r="L92" i="11"/>
  <c r="L86" i="11"/>
  <c r="L84" i="11"/>
  <c r="L88" i="11"/>
  <c r="L90" i="11"/>
  <c r="H164" i="9"/>
  <c r="P167" i="9" l="1"/>
  <c r="P166" i="9"/>
  <c r="P164" i="9"/>
  <c r="Q164" i="9" s="1"/>
  <c r="P165" i="9"/>
  <c r="Q165" i="9" s="1"/>
  <c r="V164" i="9"/>
  <c r="J123" i="9"/>
  <c r="M123" i="9" s="1"/>
  <c r="N123" i="9" s="1"/>
  <c r="J122" i="9"/>
  <c r="M122" i="9" s="1"/>
  <c r="N122" i="9" s="1"/>
  <c r="J139" i="9"/>
  <c r="M139" i="9" s="1"/>
  <c r="N139" i="9" s="1"/>
  <c r="J138" i="9"/>
  <c r="M138" i="9" s="1"/>
  <c r="N138" i="9" s="1"/>
  <c r="M143" i="11" l="1"/>
  <c r="M144" i="11"/>
  <c r="M141" i="11"/>
  <c r="M142" i="11"/>
  <c r="M139" i="11"/>
  <c r="M140" i="11"/>
  <c r="M138" i="11"/>
  <c r="M122" i="11"/>
  <c r="M106" i="11"/>
  <c r="M131" i="11"/>
  <c r="M124" i="11"/>
  <c r="M108" i="11"/>
  <c r="M92" i="11"/>
  <c r="M133" i="11"/>
  <c r="M117" i="11"/>
  <c r="M126" i="11"/>
  <c r="M110" i="11"/>
  <c r="M94" i="11"/>
  <c r="M135" i="11"/>
  <c r="M119" i="11"/>
  <c r="M103" i="11"/>
  <c r="M128" i="11"/>
  <c r="M112" i="11"/>
  <c r="M96" i="11"/>
  <c r="B4" i="12"/>
  <c r="M137" i="11"/>
  <c r="M121" i="11"/>
  <c r="M105" i="11"/>
  <c r="M89" i="11"/>
  <c r="M130" i="11"/>
  <c r="M114" i="11"/>
  <c r="M98" i="11"/>
  <c r="M132" i="11"/>
  <c r="M125" i="11"/>
  <c r="M109" i="11"/>
  <c r="M134" i="11"/>
  <c r="M118" i="11"/>
  <c r="M102" i="11"/>
  <c r="M136" i="11"/>
  <c r="M120" i="11"/>
  <c r="M104" i="11"/>
  <c r="M129" i="11"/>
  <c r="M111" i="11"/>
  <c r="M99" i="11"/>
  <c r="M100" i="11"/>
  <c r="M127" i="11"/>
  <c r="M123" i="11"/>
  <c r="M115" i="11"/>
  <c r="M95" i="11"/>
  <c r="M93" i="11"/>
  <c r="M91" i="11"/>
  <c r="M113" i="11"/>
  <c r="M101" i="11"/>
  <c r="M107" i="11"/>
  <c r="M97" i="11"/>
  <c r="M88" i="11"/>
  <c r="M90" i="11"/>
  <c r="M116" i="11"/>
  <c r="J9" i="11"/>
  <c r="T88" i="11"/>
  <c r="H140" i="9"/>
  <c r="P82" i="11"/>
  <c r="P84" i="11"/>
  <c r="P81" i="11"/>
  <c r="P83" i="11"/>
  <c r="P80" i="11"/>
  <c r="H133" i="9"/>
  <c r="O80" i="11"/>
  <c r="O89" i="11"/>
  <c r="O82" i="11"/>
  <c r="O91" i="11"/>
  <c r="O88" i="11"/>
  <c r="O84" i="11"/>
  <c r="O92" i="11"/>
  <c r="O86" i="11"/>
  <c r="O90" i="11"/>
  <c r="O87" i="11"/>
  <c r="O85" i="11"/>
  <c r="O83" i="11"/>
  <c r="O81" i="11"/>
  <c r="H149" i="9"/>
  <c r="W167" i="9"/>
  <c r="W164" i="9"/>
  <c r="X164" i="9" s="1"/>
  <c r="W166" i="9"/>
  <c r="W165" i="9"/>
  <c r="X165" i="9" s="1"/>
  <c r="V149" i="9" l="1"/>
  <c r="P141" i="9"/>
  <c r="P140" i="9"/>
  <c r="Q140" i="9" s="1"/>
  <c r="V140" i="9"/>
  <c r="F2" i="12"/>
  <c r="B9" i="11"/>
  <c r="C14" i="3"/>
  <c r="F84" i="6"/>
  <c r="S84" i="6" s="1"/>
  <c r="V133" i="9"/>
  <c r="X133" i="9" s="1"/>
  <c r="Q133" i="9"/>
  <c r="W141" i="9" l="1"/>
  <c r="W140" i="9"/>
  <c r="X140" i="9" s="1"/>
  <c r="J133" i="9"/>
  <c r="M133" i="9" s="1"/>
  <c r="N133" i="9" s="1"/>
  <c r="J132" i="9"/>
  <c r="M132" i="9" s="1"/>
  <c r="N132" i="9" s="1"/>
  <c r="S9" i="11"/>
  <c r="W9" i="11" l="1"/>
  <c r="V14" i="3"/>
  <c r="P87" i="11"/>
  <c r="P89" i="11"/>
  <c r="P91" i="11"/>
  <c r="P92" i="11"/>
  <c r="P86" i="11"/>
  <c r="P90" i="11"/>
  <c r="P88" i="11"/>
  <c r="P85" i="11"/>
  <c r="H148" i="9"/>
  <c r="U86" i="11"/>
  <c r="U85" i="11"/>
  <c r="H137" i="9"/>
  <c r="U14" i="3"/>
  <c r="V137" i="9" l="1"/>
  <c r="X137" i="9" s="1"/>
  <c r="Q137" i="9"/>
  <c r="P148" i="9"/>
  <c r="Q148" i="9" s="1"/>
  <c r="P151" i="9"/>
  <c r="Q151" i="9" s="1"/>
  <c r="P150" i="9"/>
  <c r="Q150" i="9" s="1"/>
  <c r="P149" i="9"/>
  <c r="Q149" i="9" s="1"/>
  <c r="V148" i="9"/>
  <c r="W149" i="9" l="1"/>
  <c r="X149" i="9" s="1"/>
  <c r="W148" i="9"/>
  <c r="X148" i="9" s="1"/>
  <c r="W151" i="9"/>
  <c r="X151" i="9" s="1"/>
  <c r="J151" i="9" s="1"/>
  <c r="M151" i="9" s="1"/>
  <c r="N151" i="9" s="1"/>
  <c r="W150" i="9"/>
  <c r="X150" i="9" s="1"/>
  <c r="J136" i="9"/>
  <c r="J137" i="9"/>
  <c r="M137" i="9" s="1"/>
  <c r="N137" i="9" s="1"/>
  <c r="U88" i="11" l="1"/>
  <c r="U87" i="11"/>
  <c r="H141" i="9"/>
  <c r="M136" i="9"/>
  <c r="N136" i="9" s="1"/>
  <c r="J148" i="9"/>
  <c r="M148" i="9" s="1"/>
  <c r="N148" i="9" s="1"/>
  <c r="J149" i="9"/>
  <c r="M149" i="9" s="1"/>
  <c r="N149" i="9" s="1"/>
  <c r="J150" i="9"/>
  <c r="M150" i="9" s="1"/>
  <c r="N150" i="9" s="1"/>
  <c r="R93" i="11"/>
  <c r="R95" i="11"/>
  <c r="R94" i="11"/>
  <c r="R97" i="11"/>
  <c r="R96" i="11"/>
  <c r="R98" i="11"/>
  <c r="H173" i="9"/>
  <c r="S98" i="11" l="1"/>
  <c r="S93" i="11"/>
  <c r="S95" i="11"/>
  <c r="S94" i="11"/>
  <c r="S97" i="11"/>
  <c r="S96" i="11"/>
  <c r="H172" i="9"/>
  <c r="V173" i="9"/>
  <c r="O93" i="11"/>
  <c r="H155" i="9"/>
  <c r="P93" i="11"/>
  <c r="H154" i="9"/>
  <c r="Q88" i="11"/>
  <c r="Q89" i="11"/>
  <c r="Q87" i="11"/>
  <c r="H142" i="9"/>
  <c r="V141" i="9"/>
  <c r="X141" i="9" s="1"/>
  <c r="Q141" i="9"/>
  <c r="P143" i="9" l="1"/>
  <c r="P142" i="9"/>
  <c r="Q142" i="9" s="1"/>
  <c r="V142" i="9"/>
  <c r="V154" i="9"/>
  <c r="V155" i="9"/>
  <c r="P175" i="9"/>
  <c r="P173" i="9"/>
  <c r="Q173" i="9" s="1"/>
  <c r="P174" i="9"/>
  <c r="P172" i="9"/>
  <c r="Q172" i="9" s="1"/>
  <c r="V172" i="9"/>
  <c r="J141" i="9"/>
  <c r="M141" i="9" s="1"/>
  <c r="N141" i="9" s="1"/>
  <c r="J140" i="9"/>
  <c r="M140" i="9" s="1"/>
  <c r="N140" i="9" s="1"/>
  <c r="W175" i="9" l="1"/>
  <c r="W174" i="9"/>
  <c r="W173" i="9"/>
  <c r="X173" i="9" s="1"/>
  <c r="W172" i="9"/>
  <c r="X172" i="9" s="1"/>
  <c r="T90" i="11"/>
  <c r="T89" i="11"/>
  <c r="H144" i="9"/>
  <c r="U89" i="11"/>
  <c r="H143" i="9"/>
  <c r="Q143" i="9" s="1"/>
  <c r="W143" i="9"/>
  <c r="W142" i="9"/>
  <c r="X142" i="9" s="1"/>
  <c r="V143" i="9" l="1"/>
  <c r="X143" i="9" s="1"/>
  <c r="P144" i="9"/>
  <c r="Q144" i="9" s="1"/>
  <c r="P145" i="9"/>
  <c r="V144" i="9"/>
  <c r="J142" i="9" l="1"/>
  <c r="J143" i="9"/>
  <c r="M143" i="9" s="1"/>
  <c r="N143" i="9" s="1"/>
  <c r="W145" i="9"/>
  <c r="W144" i="9"/>
  <c r="X144" i="9" s="1"/>
  <c r="U90" i="11" l="1"/>
  <c r="H145" i="9"/>
  <c r="M142" i="9"/>
  <c r="N142" i="9" s="1"/>
  <c r="Q91" i="11" l="1"/>
  <c r="Q90" i="11"/>
  <c r="H146" i="9"/>
  <c r="V145" i="9"/>
  <c r="X145" i="9" s="1"/>
  <c r="Q145" i="9"/>
  <c r="J145" i="9" l="1"/>
  <c r="M145" i="9" s="1"/>
  <c r="N145" i="9" s="1"/>
  <c r="J144" i="9"/>
  <c r="M144" i="9" s="1"/>
  <c r="N144" i="9" s="1"/>
  <c r="P147" i="9"/>
  <c r="P146" i="9"/>
  <c r="Q146" i="9" s="1"/>
  <c r="V146" i="9"/>
  <c r="W147" i="9" l="1"/>
  <c r="W146" i="9"/>
  <c r="X146" i="9" s="1"/>
  <c r="T91" i="11"/>
  <c r="H147" i="9"/>
  <c r="Q147" i="9" s="1"/>
  <c r="U93" i="11"/>
  <c r="U92" i="11"/>
  <c r="U91" i="11"/>
  <c r="H152" i="9"/>
  <c r="V152" i="9" l="1"/>
  <c r="V147" i="9"/>
  <c r="X147" i="9" s="1"/>
  <c r="J147" i="9" l="1"/>
  <c r="M147" i="9" s="1"/>
  <c r="N147" i="9" s="1"/>
  <c r="J146" i="9"/>
  <c r="M146" i="9" l="1"/>
  <c r="N146" i="9" s="1"/>
  <c r="T93" i="11"/>
  <c r="T95" i="11"/>
  <c r="T94" i="11"/>
  <c r="T92" i="11"/>
  <c r="H162" i="9"/>
  <c r="V162" i="9" l="1"/>
  <c r="Q93" i="11"/>
  <c r="Q92" i="11"/>
  <c r="H153" i="9"/>
  <c r="V153" i="9" l="1"/>
  <c r="P154" i="9"/>
  <c r="Q154" i="9" s="1"/>
  <c r="P155" i="9"/>
  <c r="Q155" i="9" s="1"/>
  <c r="P153" i="9"/>
  <c r="Q153" i="9" s="1"/>
  <c r="P152" i="9"/>
  <c r="Q152" i="9" s="1"/>
  <c r="W155" i="9" l="1"/>
  <c r="X155" i="9" s="1"/>
  <c r="J155" i="9" s="1"/>
  <c r="M155" i="9" s="1"/>
  <c r="N155" i="9" s="1"/>
  <c r="W154" i="9"/>
  <c r="X154" i="9" s="1"/>
  <c r="W153" i="9"/>
  <c r="X153" i="9" s="1"/>
  <c r="W152" i="9"/>
  <c r="X152" i="9" s="1"/>
  <c r="J154" i="9" l="1"/>
  <c r="M154" i="9" s="1"/>
  <c r="N154" i="9" s="1"/>
  <c r="J152" i="9"/>
  <c r="M152" i="9" s="1"/>
  <c r="N152" i="9" s="1"/>
  <c r="J153" i="9"/>
  <c r="M153" i="9" s="1"/>
  <c r="N153" i="9" s="1"/>
  <c r="O94" i="11"/>
  <c r="O96" i="11"/>
  <c r="O95" i="11"/>
  <c r="O97" i="11"/>
  <c r="H168" i="9"/>
  <c r="V168" i="9" l="1"/>
  <c r="Q94" i="11"/>
  <c r="H156" i="9"/>
  <c r="U94" i="11"/>
  <c r="H157" i="9"/>
  <c r="P97" i="11"/>
  <c r="P95" i="11"/>
  <c r="P96" i="11"/>
  <c r="P94" i="11"/>
  <c r="H169" i="9"/>
  <c r="V157" i="9" l="1"/>
  <c r="P156" i="9"/>
  <c r="Q156" i="9" s="1"/>
  <c r="P157" i="9"/>
  <c r="Q157" i="9" s="1"/>
  <c r="P159" i="9"/>
  <c r="Q159" i="9" s="1"/>
  <c r="P158" i="9"/>
  <c r="Q158" i="9" s="1"/>
  <c r="V156" i="9"/>
  <c r="V169" i="9"/>
  <c r="W170" i="9" s="1"/>
  <c r="P168" i="9"/>
  <c r="Q168" i="9" s="1"/>
  <c r="P169" i="9"/>
  <c r="Q169" i="9" s="1"/>
  <c r="P170" i="9"/>
  <c r="P171" i="9"/>
  <c r="W168" i="9" l="1"/>
  <c r="X168" i="9" s="1"/>
  <c r="W169" i="9"/>
  <c r="X169" i="9" s="1"/>
  <c r="W171" i="9"/>
  <c r="W159" i="9"/>
  <c r="X159" i="9" s="1"/>
  <c r="J159" i="9" s="1"/>
  <c r="W156" i="9"/>
  <c r="X156" i="9" s="1"/>
  <c r="W158" i="9"/>
  <c r="X158" i="9" s="1"/>
  <c r="W157" i="9"/>
  <c r="X157" i="9" s="1"/>
  <c r="J156" i="9" l="1"/>
  <c r="M156" i="9" s="1"/>
  <c r="N156" i="9" s="1"/>
  <c r="J157" i="9"/>
  <c r="M157" i="9" s="1"/>
  <c r="N157" i="9" s="1"/>
  <c r="J158" i="9"/>
  <c r="M158" i="9" s="1"/>
  <c r="N158" i="9" s="1"/>
  <c r="M159" i="9"/>
  <c r="N159" i="9" s="1"/>
  <c r="V95" i="11" l="1"/>
  <c r="V97" i="11"/>
  <c r="V99" i="11"/>
  <c r="V96" i="11"/>
  <c r="V98" i="11"/>
  <c r="H179" i="9"/>
  <c r="N99" i="11"/>
  <c r="N96" i="11"/>
  <c r="N98" i="11"/>
  <c r="N95" i="11"/>
  <c r="N97" i="11"/>
  <c r="H178" i="9"/>
  <c r="U95" i="11"/>
  <c r="H161" i="9"/>
  <c r="Q95" i="11"/>
  <c r="H160" i="9"/>
  <c r="P163" i="9" l="1"/>
  <c r="Q163" i="9" s="1"/>
  <c r="P160" i="9"/>
  <c r="Q160" i="9" s="1"/>
  <c r="P161" i="9"/>
  <c r="Q161" i="9" s="1"/>
  <c r="P162" i="9"/>
  <c r="Q162" i="9" s="1"/>
  <c r="V160" i="9"/>
  <c r="V161" i="9"/>
  <c r="V178" i="9"/>
  <c r="V179" i="9"/>
  <c r="W163" i="9" l="1"/>
  <c r="X163" i="9" s="1"/>
  <c r="J163" i="9" s="1"/>
  <c r="M163" i="9" s="1"/>
  <c r="N163" i="9" s="1"/>
  <c r="W162" i="9"/>
  <c r="X162" i="9" s="1"/>
  <c r="W160" i="9"/>
  <c r="X160" i="9" s="1"/>
  <c r="W161" i="9"/>
  <c r="X161" i="9" s="1"/>
  <c r="J162" i="9" l="1"/>
  <c r="M162" i="9" s="1"/>
  <c r="N162" i="9" s="1"/>
  <c r="J160" i="9"/>
  <c r="M160" i="9" s="1"/>
  <c r="N160" i="9" s="1"/>
  <c r="J161" i="9"/>
  <c r="M161" i="9" s="1"/>
  <c r="N161" i="9" s="1"/>
  <c r="K100" i="11"/>
  <c r="K99" i="11"/>
  <c r="K96" i="11"/>
  <c r="K98" i="11"/>
  <c r="K97" i="11"/>
  <c r="H183" i="9"/>
  <c r="V183" i="9" l="1"/>
  <c r="U96" i="11"/>
  <c r="H166" i="9"/>
  <c r="Q96" i="11"/>
  <c r="H167" i="9"/>
  <c r="T100" i="11"/>
  <c r="T97" i="11"/>
  <c r="T96" i="11"/>
  <c r="T98" i="11"/>
  <c r="T99" i="11"/>
  <c r="H182" i="9"/>
  <c r="V182" i="9" l="1"/>
  <c r="V167" i="9"/>
  <c r="X167" i="9" s="1"/>
  <c r="J167" i="9" s="1"/>
  <c r="M167" i="9" s="1"/>
  <c r="N167" i="9" s="1"/>
  <c r="Q167" i="9"/>
  <c r="V166" i="9"/>
  <c r="X166" i="9" s="1"/>
  <c r="Q166" i="9"/>
  <c r="Q98" i="11" l="1"/>
  <c r="Q100" i="11"/>
  <c r="Q102" i="11"/>
  <c r="Q99" i="11"/>
  <c r="Q101" i="11"/>
  <c r="Q97" i="11"/>
  <c r="H189" i="9"/>
  <c r="J166" i="9"/>
  <c r="M166" i="9" s="1"/>
  <c r="N166" i="9" s="1"/>
  <c r="J165" i="9"/>
  <c r="J164" i="9"/>
  <c r="M164" i="9" l="1"/>
  <c r="N164" i="9" s="1"/>
  <c r="M165" i="9"/>
  <c r="N165" i="9" s="1"/>
  <c r="U98" i="11"/>
  <c r="U100" i="11"/>
  <c r="U102" i="11"/>
  <c r="U97" i="11"/>
  <c r="U101" i="11"/>
  <c r="U99" i="11"/>
  <c r="H188" i="9"/>
  <c r="V189" i="9"/>
  <c r="P190" i="9" l="1"/>
  <c r="P189" i="9"/>
  <c r="Q189" i="9" s="1"/>
  <c r="P191" i="9"/>
  <c r="P188" i="9"/>
  <c r="Q188" i="9" s="1"/>
  <c r="V188" i="9"/>
  <c r="W97" i="11"/>
  <c r="H170" i="9"/>
  <c r="L97" i="11"/>
  <c r="H171" i="9"/>
  <c r="V171" i="9" l="1"/>
  <c r="X171" i="9" s="1"/>
  <c r="J171" i="9" s="1"/>
  <c r="Q171" i="9"/>
  <c r="V170" i="9"/>
  <c r="X170" i="9" s="1"/>
  <c r="Q170" i="9"/>
  <c r="W189" i="9"/>
  <c r="X189" i="9" s="1"/>
  <c r="W191" i="9"/>
  <c r="W188" i="9"/>
  <c r="X188" i="9" s="1"/>
  <c r="W190" i="9"/>
  <c r="J168" i="9" l="1"/>
  <c r="M168" i="9" s="1"/>
  <c r="N168" i="9" s="1"/>
  <c r="J170" i="9"/>
  <c r="J169" i="9"/>
  <c r="M169" i="9" s="1"/>
  <c r="N169" i="9" s="1"/>
  <c r="M171" i="9"/>
  <c r="N171" i="9" s="1"/>
  <c r="L99" i="11" l="1"/>
  <c r="L101" i="11"/>
  <c r="L100" i="11"/>
  <c r="L98" i="11"/>
  <c r="H184" i="9"/>
  <c r="P98" i="11"/>
  <c r="H175" i="9"/>
  <c r="M170" i="9"/>
  <c r="N170" i="9" s="1"/>
  <c r="O98" i="11"/>
  <c r="H174" i="9"/>
  <c r="V174" i="9" l="1"/>
  <c r="X174" i="9" s="1"/>
  <c r="Q174" i="9"/>
  <c r="W100" i="11"/>
  <c r="W99" i="11"/>
  <c r="W101" i="11"/>
  <c r="W98" i="11"/>
  <c r="H185" i="9"/>
  <c r="P185" i="9" s="1"/>
  <c r="Q185" i="9" s="1"/>
  <c r="V175" i="9"/>
  <c r="X175" i="9" s="1"/>
  <c r="J175" i="9" s="1"/>
  <c r="M175" i="9" s="1"/>
  <c r="N175" i="9" s="1"/>
  <c r="Q175" i="9"/>
  <c r="V184" i="9"/>
  <c r="P101" i="11" l="1"/>
  <c r="P103" i="11"/>
  <c r="P100" i="11"/>
  <c r="P99" i="11"/>
  <c r="P102" i="11"/>
  <c r="H193" i="9"/>
  <c r="P186" i="9"/>
  <c r="P184" i="9"/>
  <c r="Q184" i="9" s="1"/>
  <c r="P187" i="9"/>
  <c r="V185" i="9"/>
  <c r="J174" i="9"/>
  <c r="M174" i="9" s="1"/>
  <c r="N174" i="9" s="1"/>
  <c r="J172" i="9"/>
  <c r="M172" i="9" s="1"/>
  <c r="N172" i="9" s="1"/>
  <c r="J173" i="9"/>
  <c r="M173" i="9" s="1"/>
  <c r="N173" i="9" s="1"/>
  <c r="W184" i="9"/>
  <c r="X184" i="9" s="1"/>
  <c r="W186" i="9"/>
  <c r="W187" i="9"/>
  <c r="W185" i="9"/>
  <c r="X185" i="9" s="1"/>
  <c r="R99" i="11" l="1"/>
  <c r="H177" i="9"/>
  <c r="S99" i="11"/>
  <c r="H176" i="9"/>
  <c r="O100" i="11"/>
  <c r="O99" i="11"/>
  <c r="O103" i="11"/>
  <c r="O101" i="11"/>
  <c r="O102" i="11"/>
  <c r="H192" i="9"/>
  <c r="V193" i="9"/>
  <c r="P195" i="9" l="1"/>
  <c r="P192" i="9"/>
  <c r="Q192" i="9" s="1"/>
  <c r="P194" i="9"/>
  <c r="P193" i="9"/>
  <c r="Q193" i="9" s="1"/>
  <c r="V192" i="9"/>
  <c r="P176" i="9"/>
  <c r="Q176" i="9" s="1"/>
  <c r="P178" i="9"/>
  <c r="Q178" i="9" s="1"/>
  <c r="P177" i="9"/>
  <c r="Q177" i="9" s="1"/>
  <c r="P179" i="9"/>
  <c r="Q179" i="9" s="1"/>
  <c r="V176" i="9"/>
  <c r="V177" i="9"/>
  <c r="W177" i="9" l="1"/>
  <c r="X177" i="9" s="1"/>
  <c r="W179" i="9"/>
  <c r="X179" i="9" s="1"/>
  <c r="J179" i="9" s="1"/>
  <c r="W176" i="9"/>
  <c r="X176" i="9" s="1"/>
  <c r="W178" i="9"/>
  <c r="X178" i="9" s="1"/>
  <c r="W194" i="9"/>
  <c r="W193" i="9"/>
  <c r="X193" i="9" s="1"/>
  <c r="W195" i="9"/>
  <c r="W192" i="9"/>
  <c r="X192" i="9" s="1"/>
  <c r="J177" i="9" l="1"/>
  <c r="M177" i="9" s="1"/>
  <c r="N177" i="9" s="1"/>
  <c r="J178" i="9"/>
  <c r="M178" i="9" s="1"/>
  <c r="N178" i="9" s="1"/>
  <c r="J176" i="9"/>
  <c r="M176" i="9" s="1"/>
  <c r="N176" i="9" s="1"/>
  <c r="M179" i="9"/>
  <c r="N179" i="9" s="1"/>
  <c r="V104" i="11" l="1"/>
  <c r="V103" i="11"/>
  <c r="V105" i="11"/>
  <c r="V100" i="11"/>
  <c r="V101" i="11"/>
  <c r="V102" i="11"/>
  <c r="H203" i="9"/>
  <c r="S100" i="11"/>
  <c r="H180" i="9"/>
  <c r="N101" i="11"/>
  <c r="N103" i="11"/>
  <c r="N105" i="11"/>
  <c r="N102" i="11"/>
  <c r="N100" i="11"/>
  <c r="N104" i="11"/>
  <c r="H202" i="9"/>
  <c r="R100" i="11"/>
  <c r="H181" i="9"/>
  <c r="V202" i="9" l="1"/>
  <c r="P183" i="9"/>
  <c r="Q183" i="9" s="1"/>
  <c r="P180" i="9"/>
  <c r="Q180" i="9" s="1"/>
  <c r="P182" i="9"/>
  <c r="Q182" i="9" s="1"/>
  <c r="P181" i="9"/>
  <c r="Q181" i="9" s="1"/>
  <c r="V180" i="9"/>
  <c r="V203" i="9"/>
  <c r="V181" i="9"/>
  <c r="W182" i="9" l="1"/>
  <c r="X182" i="9" s="1"/>
  <c r="W181" i="9"/>
  <c r="X181" i="9" s="1"/>
  <c r="W183" i="9"/>
  <c r="X183" i="9" s="1"/>
  <c r="J183" i="9" s="1"/>
  <c r="M183" i="9" s="1"/>
  <c r="N183" i="9" s="1"/>
  <c r="W180" i="9"/>
  <c r="X180" i="9" s="1"/>
  <c r="K104" i="11" l="1"/>
  <c r="K106" i="11"/>
  <c r="K101" i="11"/>
  <c r="K103" i="11"/>
  <c r="K102" i="11"/>
  <c r="K105" i="11"/>
  <c r="H204" i="9"/>
  <c r="J182" i="9"/>
  <c r="M182" i="9" s="1"/>
  <c r="N182" i="9" s="1"/>
  <c r="J180" i="9"/>
  <c r="M180" i="9" s="1"/>
  <c r="N180" i="9" s="1"/>
  <c r="J181" i="9"/>
  <c r="M181" i="9" s="1"/>
  <c r="N181" i="9" s="1"/>
  <c r="S101" i="11" l="1"/>
  <c r="H186" i="9"/>
  <c r="R101" i="11"/>
  <c r="H187" i="9"/>
  <c r="T105" i="11"/>
  <c r="T107" i="11"/>
  <c r="T116" i="11"/>
  <c r="T109" i="11"/>
  <c r="T102" i="11"/>
  <c r="T111" i="11"/>
  <c r="T104" i="11"/>
  <c r="T113" i="11"/>
  <c r="T108" i="11"/>
  <c r="T117" i="11"/>
  <c r="T101" i="11"/>
  <c r="T103" i="11"/>
  <c r="T112" i="11"/>
  <c r="T106" i="11"/>
  <c r="T115" i="11"/>
  <c r="T110" i="11"/>
  <c r="T114" i="11"/>
  <c r="H236" i="9"/>
  <c r="V204" i="9"/>
  <c r="V236" i="9" l="1"/>
  <c r="V187" i="9"/>
  <c r="X187" i="9" s="1"/>
  <c r="J187" i="9" s="1"/>
  <c r="M187" i="9" s="1"/>
  <c r="N187" i="9" s="1"/>
  <c r="Q187" i="9"/>
  <c r="V186" i="9"/>
  <c r="X186" i="9" s="1"/>
  <c r="Q186" i="9"/>
  <c r="R103" i="11" l="1"/>
  <c r="R102" i="11"/>
  <c r="R104" i="11"/>
  <c r="H197" i="9"/>
  <c r="J184" i="9"/>
  <c r="J186" i="9"/>
  <c r="M186" i="9" s="1"/>
  <c r="N186" i="9" s="1"/>
  <c r="J185" i="9"/>
  <c r="M185" i="9" l="1"/>
  <c r="N185" i="9" s="1"/>
  <c r="S102" i="11"/>
  <c r="S104" i="11"/>
  <c r="S103" i="11"/>
  <c r="H196" i="9"/>
  <c r="M184" i="9"/>
  <c r="N184" i="9" s="1"/>
  <c r="V197" i="9"/>
  <c r="P198" i="9" l="1"/>
  <c r="P197" i="9"/>
  <c r="Q197" i="9" s="1"/>
  <c r="P196" i="9"/>
  <c r="Q196" i="9" s="1"/>
  <c r="P199" i="9"/>
  <c r="V196" i="9"/>
  <c r="L102" i="11"/>
  <c r="H190" i="9"/>
  <c r="W102" i="11"/>
  <c r="H191" i="9"/>
  <c r="V191" i="9" l="1"/>
  <c r="X191" i="9" s="1"/>
  <c r="J191" i="9" s="1"/>
  <c r="Q191" i="9"/>
  <c r="V190" i="9"/>
  <c r="X190" i="9" s="1"/>
  <c r="Q190" i="9"/>
  <c r="W197" i="9"/>
  <c r="X197" i="9" s="1"/>
  <c r="W199" i="9"/>
  <c r="W196" i="9"/>
  <c r="X196" i="9" s="1"/>
  <c r="W198" i="9"/>
  <c r="J189" i="9" l="1"/>
  <c r="M189" i="9" s="1"/>
  <c r="N189" i="9" s="1"/>
  <c r="J190" i="9"/>
  <c r="M190" i="9" s="1"/>
  <c r="N190" i="9" s="1"/>
  <c r="J188" i="9"/>
  <c r="M188" i="9" s="1"/>
  <c r="N188" i="9" s="1"/>
  <c r="M191" i="9"/>
  <c r="N191" i="9" s="1"/>
  <c r="H13" i="3"/>
  <c r="W143" i="11" l="1"/>
  <c r="W144" i="11"/>
  <c r="W141" i="11"/>
  <c r="W142" i="11"/>
  <c r="W139" i="11"/>
  <c r="W140" i="11"/>
  <c r="W132" i="11"/>
  <c r="W116" i="11"/>
  <c r="W134" i="11"/>
  <c r="W118" i="11"/>
  <c r="B14" i="12"/>
  <c r="W127" i="11"/>
  <c r="W136" i="11"/>
  <c r="W120" i="11"/>
  <c r="W104" i="11"/>
  <c r="W129" i="11"/>
  <c r="W113" i="11"/>
  <c r="W138" i="11"/>
  <c r="W122" i="11"/>
  <c r="W106" i="11"/>
  <c r="W131" i="11"/>
  <c r="W115" i="11"/>
  <c r="W124" i="11"/>
  <c r="W108" i="11"/>
  <c r="W133" i="11"/>
  <c r="W135" i="11"/>
  <c r="W119" i="11"/>
  <c r="W103" i="11"/>
  <c r="W128" i="11"/>
  <c r="W112" i="11"/>
  <c r="W137" i="11"/>
  <c r="W130" i="11"/>
  <c r="W114" i="11"/>
  <c r="W123" i="11"/>
  <c r="W109" i="11"/>
  <c r="W125" i="11"/>
  <c r="W117" i="11"/>
  <c r="W121" i="11"/>
  <c r="W110" i="11"/>
  <c r="W107" i="11"/>
  <c r="W126" i="11"/>
  <c r="W111" i="11"/>
  <c r="W105" i="11"/>
  <c r="J19" i="11"/>
  <c r="U103" i="11"/>
  <c r="H195" i="9"/>
  <c r="L103" i="11"/>
  <c r="L105" i="11"/>
  <c r="L106" i="11"/>
  <c r="L104" i="11"/>
  <c r="H205" i="9"/>
  <c r="Q103" i="11"/>
  <c r="H194" i="9"/>
  <c r="V195" i="9" l="1"/>
  <c r="X195" i="9" s="1"/>
  <c r="J195" i="9" s="1"/>
  <c r="M195" i="9" s="1"/>
  <c r="N195" i="9" s="1"/>
  <c r="Q195" i="9"/>
  <c r="V194" i="9"/>
  <c r="X194" i="9" s="1"/>
  <c r="Q194" i="9"/>
  <c r="P2" i="12"/>
  <c r="B19" i="11"/>
  <c r="C13" i="3"/>
  <c r="F83" i="6"/>
  <c r="V205" i="9"/>
  <c r="P207" i="9"/>
  <c r="P204" i="9"/>
  <c r="Q204" i="9" s="1"/>
  <c r="P206" i="9"/>
  <c r="P205" i="9"/>
  <c r="Q205" i="9" s="1"/>
  <c r="U104" i="11" l="1"/>
  <c r="U106" i="11"/>
  <c r="U107" i="11"/>
  <c r="U105" i="11"/>
  <c r="H211" i="9"/>
  <c r="S19" i="11"/>
  <c r="U13" i="3" s="1"/>
  <c r="W206" i="9"/>
  <c r="W205" i="9"/>
  <c r="X205" i="9" s="1"/>
  <c r="W207" i="9"/>
  <c r="W204" i="9"/>
  <c r="X204" i="9" s="1"/>
  <c r="J194" i="9"/>
  <c r="M194" i="9" s="1"/>
  <c r="N194" i="9" s="1"/>
  <c r="J193" i="9"/>
  <c r="M193" i="9" s="1"/>
  <c r="N193" i="9" s="1"/>
  <c r="J192" i="9"/>
  <c r="M192" i="9" s="1"/>
  <c r="N192" i="9" s="1"/>
  <c r="O104" i="11" l="1"/>
  <c r="H198" i="9"/>
  <c r="Q107" i="11"/>
  <c r="Q106" i="11"/>
  <c r="Q105" i="11"/>
  <c r="Q104" i="11"/>
  <c r="H210" i="9"/>
  <c r="P104" i="11"/>
  <c r="H199" i="9"/>
  <c r="W19" i="11"/>
  <c r="V13" i="3"/>
  <c r="V211" i="9"/>
  <c r="V199" i="9" l="1"/>
  <c r="X199" i="9" s="1"/>
  <c r="J199" i="9" s="1"/>
  <c r="M199" i="9" s="1"/>
  <c r="N199" i="9" s="1"/>
  <c r="Q199" i="9"/>
  <c r="V210" i="9"/>
  <c r="V198" i="9"/>
  <c r="X198" i="9" s="1"/>
  <c r="Q198" i="9"/>
  <c r="P105" i="11" l="1"/>
  <c r="P107" i="11"/>
  <c r="P109" i="11"/>
  <c r="P108" i="11"/>
  <c r="P106" i="11"/>
  <c r="H218" i="9"/>
  <c r="J197" i="9"/>
  <c r="M197" i="9" s="1"/>
  <c r="N197" i="9" s="1"/>
  <c r="J196" i="9"/>
  <c r="M196" i="9" s="1"/>
  <c r="N196" i="9" s="1"/>
  <c r="J198" i="9"/>
  <c r="M198" i="9" s="1"/>
  <c r="N198" i="9" s="1"/>
  <c r="R105" i="11" l="1"/>
  <c r="H201" i="9"/>
  <c r="O108" i="11"/>
  <c r="O105" i="11"/>
  <c r="O107" i="11"/>
  <c r="O106" i="11"/>
  <c r="O109" i="11"/>
  <c r="H219" i="9"/>
  <c r="S105" i="11"/>
  <c r="H200" i="9"/>
  <c r="V218" i="9"/>
  <c r="P201" i="9" l="1"/>
  <c r="Q201" i="9" s="1"/>
  <c r="P203" i="9"/>
  <c r="Q203" i="9" s="1"/>
  <c r="P200" i="9"/>
  <c r="Q200" i="9" s="1"/>
  <c r="P202" i="9"/>
  <c r="Q202" i="9" s="1"/>
  <c r="V200" i="9"/>
  <c r="V219" i="9"/>
  <c r="V201" i="9"/>
  <c r="W203" i="9" l="1"/>
  <c r="X203" i="9" s="1"/>
  <c r="J203" i="9" s="1"/>
  <c r="W200" i="9"/>
  <c r="X200" i="9" s="1"/>
  <c r="W202" i="9"/>
  <c r="X202" i="9" s="1"/>
  <c r="W201" i="9"/>
  <c r="X201" i="9" s="1"/>
  <c r="J201" i="9" l="1"/>
  <c r="M201" i="9" s="1"/>
  <c r="N201" i="9" s="1"/>
  <c r="J200" i="9"/>
  <c r="M200" i="9" s="1"/>
  <c r="N200" i="9" s="1"/>
  <c r="J202" i="9"/>
  <c r="M202" i="9" s="1"/>
  <c r="N202" i="9" s="1"/>
  <c r="M203" i="9"/>
  <c r="N203" i="9" s="1"/>
  <c r="V107" i="11" l="1"/>
  <c r="V106" i="11"/>
  <c r="V108" i="11"/>
  <c r="H212" i="9"/>
  <c r="N107" i="11"/>
  <c r="N108" i="11"/>
  <c r="N106" i="11"/>
  <c r="H213" i="9"/>
  <c r="S106" i="11"/>
  <c r="H206" i="9"/>
  <c r="R106" i="11"/>
  <c r="H207" i="9"/>
  <c r="V207" i="9" l="1"/>
  <c r="X207" i="9" s="1"/>
  <c r="J207" i="9" s="1"/>
  <c r="M207" i="9" s="1"/>
  <c r="N207" i="9" s="1"/>
  <c r="Q207" i="9"/>
  <c r="V206" i="9"/>
  <c r="X206" i="9" s="1"/>
  <c r="Q206" i="9"/>
  <c r="V213" i="9"/>
  <c r="P213" i="9"/>
  <c r="Q213" i="9" s="1"/>
  <c r="P215" i="9"/>
  <c r="P212" i="9"/>
  <c r="Q212" i="9" s="1"/>
  <c r="P214" i="9"/>
  <c r="V212" i="9"/>
  <c r="R107" i="11" l="1"/>
  <c r="R109" i="11"/>
  <c r="R111" i="11"/>
  <c r="R112" i="11"/>
  <c r="R110" i="11"/>
  <c r="R108" i="11"/>
  <c r="H224" i="9"/>
  <c r="W214" i="9"/>
  <c r="W213" i="9"/>
  <c r="X213" i="9" s="1"/>
  <c r="W215" i="9"/>
  <c r="W212" i="9"/>
  <c r="X212" i="9" s="1"/>
  <c r="J205" i="9"/>
  <c r="M205" i="9" s="1"/>
  <c r="N205" i="9" s="1"/>
  <c r="J206" i="9"/>
  <c r="M206" i="9" s="1"/>
  <c r="N206" i="9" s="1"/>
  <c r="J204" i="9"/>
  <c r="M204" i="9" s="1"/>
  <c r="N204" i="9" s="1"/>
  <c r="K107" i="11" l="1"/>
  <c r="H208" i="9"/>
  <c r="S109" i="11"/>
  <c r="S108" i="11"/>
  <c r="S110" i="11"/>
  <c r="S107" i="11"/>
  <c r="H221" i="9"/>
  <c r="L107" i="11"/>
  <c r="H209" i="9"/>
  <c r="P225" i="9"/>
  <c r="P224" i="9"/>
  <c r="Q224" i="9" s="1"/>
  <c r="P226" i="9"/>
  <c r="V224" i="9"/>
  <c r="V209" i="9" l="1"/>
  <c r="V221" i="9"/>
  <c r="W224" i="9"/>
  <c r="X224" i="9" s="1"/>
  <c r="W225" i="9"/>
  <c r="W226" i="9"/>
  <c r="P210" i="9"/>
  <c r="Q210" i="9" s="1"/>
  <c r="P209" i="9"/>
  <c r="Q209" i="9" s="1"/>
  <c r="P211" i="9"/>
  <c r="Q211" i="9" s="1"/>
  <c r="P208" i="9"/>
  <c r="Q208" i="9" s="1"/>
  <c r="V208" i="9"/>
  <c r="W211" i="9" l="1"/>
  <c r="X211" i="9" s="1"/>
  <c r="J211" i="9" s="1"/>
  <c r="M211" i="9" s="1"/>
  <c r="N211" i="9" s="1"/>
  <c r="W208" i="9"/>
  <c r="X208" i="9" s="1"/>
  <c r="W210" i="9"/>
  <c r="X210" i="9" s="1"/>
  <c r="W209" i="9"/>
  <c r="X209" i="9" s="1"/>
  <c r="J208" i="9" l="1"/>
  <c r="M208" i="9" s="1"/>
  <c r="N208" i="9" s="1"/>
  <c r="J210" i="9"/>
  <c r="M210" i="9" s="1"/>
  <c r="N210" i="9" s="1"/>
  <c r="J209" i="9"/>
  <c r="M209" i="9" s="1"/>
  <c r="N209" i="9" s="1"/>
  <c r="U111" i="11"/>
  <c r="U110" i="11"/>
  <c r="U112" i="11"/>
  <c r="U109" i="11"/>
  <c r="U108" i="11"/>
  <c r="H225" i="9"/>
  <c r="V225" i="9" l="1"/>
  <c r="X225" i="9" s="1"/>
  <c r="Q225" i="9"/>
  <c r="L108" i="11"/>
  <c r="H215" i="9"/>
  <c r="Q110" i="11"/>
  <c r="Q109" i="11"/>
  <c r="Q108" i="11"/>
  <c r="H220" i="9"/>
  <c r="K108" i="11"/>
  <c r="H214" i="9"/>
  <c r="P221" i="9" l="1"/>
  <c r="Q221" i="9" s="1"/>
  <c r="P220" i="9"/>
  <c r="Q220" i="9" s="1"/>
  <c r="V220" i="9"/>
  <c r="V214" i="9"/>
  <c r="X214" i="9" s="1"/>
  <c r="Q214" i="9"/>
  <c r="V215" i="9"/>
  <c r="X215" i="9" s="1"/>
  <c r="J215" i="9" s="1"/>
  <c r="M215" i="9" s="1"/>
  <c r="N215" i="9" s="1"/>
  <c r="Q215" i="9"/>
  <c r="J225" i="9"/>
  <c r="M225" i="9" s="1"/>
  <c r="N225" i="9" s="1"/>
  <c r="L113" i="11" l="1"/>
  <c r="L115" i="11"/>
  <c r="L110" i="11"/>
  <c r="L112" i="11"/>
  <c r="L116" i="11"/>
  <c r="L109" i="11"/>
  <c r="L111" i="11"/>
  <c r="L114" i="11"/>
  <c r="H233" i="9"/>
  <c r="U113" i="11"/>
  <c r="H227" i="9"/>
  <c r="W220" i="9"/>
  <c r="X220" i="9" s="1"/>
  <c r="W221" i="9"/>
  <c r="X221" i="9" s="1"/>
  <c r="J214" i="9"/>
  <c r="M214" i="9" s="1"/>
  <c r="N214" i="9" s="1"/>
  <c r="J212" i="9"/>
  <c r="J213" i="9"/>
  <c r="M213" i="9" s="1"/>
  <c r="N213" i="9" s="1"/>
  <c r="N109" i="11" l="1"/>
  <c r="H217" i="9"/>
  <c r="J220" i="9"/>
  <c r="M220" i="9" s="1"/>
  <c r="N220" i="9" s="1"/>
  <c r="J221" i="9"/>
  <c r="M221" i="9" s="1"/>
  <c r="N221" i="9" s="1"/>
  <c r="P228" i="9"/>
  <c r="P227" i="9"/>
  <c r="Q227" i="9" s="1"/>
  <c r="V227" i="9"/>
  <c r="V233" i="9"/>
  <c r="M212" i="9"/>
  <c r="N212" i="9" s="1"/>
  <c r="K120" i="11"/>
  <c r="K122" i="11"/>
  <c r="K124" i="11"/>
  <c r="K117" i="11"/>
  <c r="K126" i="11"/>
  <c r="K110" i="11"/>
  <c r="K119" i="11"/>
  <c r="K112" i="11"/>
  <c r="K123" i="11"/>
  <c r="K116" i="11"/>
  <c r="K118" i="11"/>
  <c r="K127" i="11"/>
  <c r="K114" i="11"/>
  <c r="K111" i="11"/>
  <c r="K125" i="11"/>
  <c r="K121" i="11"/>
  <c r="K109" i="11"/>
  <c r="K115" i="11"/>
  <c r="K113" i="11"/>
  <c r="H256" i="9"/>
  <c r="V109" i="11" l="1"/>
  <c r="H216" i="9"/>
  <c r="V256" i="9"/>
  <c r="W228" i="9"/>
  <c r="W227" i="9"/>
  <c r="X227" i="9" s="1"/>
  <c r="S111" i="11"/>
  <c r="H223" i="9"/>
  <c r="Q111" i="11"/>
  <c r="H222" i="9"/>
  <c r="V217" i="9"/>
  <c r="P223" i="9" l="1"/>
  <c r="Q223" i="9" s="1"/>
  <c r="P222" i="9"/>
  <c r="Q222" i="9" s="1"/>
  <c r="V222" i="9"/>
  <c r="V223" i="9"/>
  <c r="P219" i="9"/>
  <c r="Q219" i="9" s="1"/>
  <c r="P218" i="9"/>
  <c r="Q218" i="9" s="1"/>
  <c r="P217" i="9"/>
  <c r="Q217" i="9" s="1"/>
  <c r="P216" i="9"/>
  <c r="Q216" i="9" s="1"/>
  <c r="V216" i="9"/>
  <c r="W218" i="9" l="1"/>
  <c r="X218" i="9" s="1"/>
  <c r="W217" i="9"/>
  <c r="X217" i="9" s="1"/>
  <c r="W216" i="9"/>
  <c r="X216" i="9" s="1"/>
  <c r="W219" i="9"/>
  <c r="X219" i="9" s="1"/>
  <c r="J219" i="9" s="1"/>
  <c r="M219" i="9" s="1"/>
  <c r="N219" i="9" s="1"/>
  <c r="W222" i="9"/>
  <c r="X222" i="9" s="1"/>
  <c r="W223" i="9"/>
  <c r="X223" i="9" s="1"/>
  <c r="J222" i="9" l="1"/>
  <c r="M222" i="9" s="1"/>
  <c r="N222" i="9" s="1"/>
  <c r="J223" i="9"/>
  <c r="M223" i="9" s="1"/>
  <c r="N223" i="9" s="1"/>
  <c r="O110" i="11"/>
  <c r="O119" i="11"/>
  <c r="O112" i="11"/>
  <c r="O121" i="11"/>
  <c r="O114" i="11"/>
  <c r="O116" i="11"/>
  <c r="O111" i="11"/>
  <c r="O120" i="11"/>
  <c r="O122" i="11"/>
  <c r="O115" i="11"/>
  <c r="O117" i="11"/>
  <c r="O113" i="11"/>
  <c r="O118" i="11"/>
  <c r="H247" i="9"/>
  <c r="J217" i="9"/>
  <c r="M217" i="9" s="1"/>
  <c r="N217" i="9" s="1"/>
  <c r="J216" i="9"/>
  <c r="J218" i="9"/>
  <c r="M218" i="9" s="1"/>
  <c r="N218" i="9" s="1"/>
  <c r="N143" i="11" l="1"/>
  <c r="N144" i="11"/>
  <c r="N141" i="11"/>
  <c r="N142" i="11"/>
  <c r="N139" i="11"/>
  <c r="N140" i="11"/>
  <c r="V247" i="9"/>
  <c r="P112" i="11"/>
  <c r="P110" i="11"/>
  <c r="P111" i="11"/>
  <c r="H226" i="9"/>
  <c r="M216" i="9"/>
  <c r="N216" i="9" s="1"/>
  <c r="H12" i="3"/>
  <c r="N131" i="11"/>
  <c r="N115" i="11"/>
  <c r="N133" i="11"/>
  <c r="N117" i="11"/>
  <c r="N126" i="11"/>
  <c r="N135" i="11"/>
  <c r="N119" i="11"/>
  <c r="B5" i="12"/>
  <c r="N128" i="11"/>
  <c r="N112" i="11"/>
  <c r="N137" i="11"/>
  <c r="N121" i="11"/>
  <c r="N130" i="11"/>
  <c r="N114" i="11"/>
  <c r="N123" i="11"/>
  <c r="N132" i="11"/>
  <c r="N134" i="11"/>
  <c r="N118" i="11"/>
  <c r="N127" i="11"/>
  <c r="N111" i="11"/>
  <c r="N136" i="11"/>
  <c r="N129" i="11"/>
  <c r="N113" i="11"/>
  <c r="N138" i="11"/>
  <c r="N122" i="11"/>
  <c r="N125" i="11"/>
  <c r="N110" i="11"/>
  <c r="N116" i="11"/>
  <c r="N124" i="11"/>
  <c r="N120" i="11"/>
  <c r="J10" i="11"/>
  <c r="S112" i="11"/>
  <c r="S114" i="11"/>
  <c r="S116" i="11"/>
  <c r="S118" i="11"/>
  <c r="S115" i="11"/>
  <c r="S119" i="11"/>
  <c r="S117" i="11"/>
  <c r="S113" i="11"/>
  <c r="H240" i="9"/>
  <c r="Q112" i="11"/>
  <c r="Q113" i="11"/>
  <c r="H228" i="9"/>
  <c r="V143" i="11" l="1"/>
  <c r="V144" i="11"/>
  <c r="V141" i="11"/>
  <c r="V142" i="11"/>
  <c r="V139" i="11"/>
  <c r="V140" i="11"/>
  <c r="V228" i="9"/>
  <c r="X228" i="9" s="1"/>
  <c r="Q228" i="9"/>
  <c r="P241" i="9"/>
  <c r="P240" i="9"/>
  <c r="Q240" i="9" s="1"/>
  <c r="V240" i="9"/>
  <c r="G2" i="12"/>
  <c r="B10" i="11"/>
  <c r="F86" i="6"/>
  <c r="S86" i="6" s="1"/>
  <c r="C17" i="3"/>
  <c r="V123" i="11"/>
  <c r="V132" i="11"/>
  <c r="V125" i="11"/>
  <c r="V134" i="11"/>
  <c r="V118" i="11"/>
  <c r="V127" i="11"/>
  <c r="V111" i="11"/>
  <c r="B13" i="12"/>
  <c r="V136" i="11"/>
  <c r="V120" i="11"/>
  <c r="V129" i="11"/>
  <c r="V113" i="11"/>
  <c r="V138" i="11"/>
  <c r="V122" i="11"/>
  <c r="V131" i="11"/>
  <c r="V115" i="11"/>
  <c r="V133" i="11"/>
  <c r="V126" i="11"/>
  <c r="V110" i="11"/>
  <c r="V135" i="11"/>
  <c r="V119" i="11"/>
  <c r="V137" i="11"/>
  <c r="V121" i="11"/>
  <c r="V130" i="11"/>
  <c r="V112" i="11"/>
  <c r="V117" i="11"/>
  <c r="V128" i="11"/>
  <c r="V124" i="11"/>
  <c r="V116" i="11"/>
  <c r="V114" i="11"/>
  <c r="J18" i="11"/>
  <c r="V226" i="9"/>
  <c r="X226" i="9" s="1"/>
  <c r="Q226" i="9"/>
  <c r="J226" i="9" l="1"/>
  <c r="M226" i="9" s="1"/>
  <c r="N226" i="9" s="1"/>
  <c r="J224" i="9"/>
  <c r="M224" i="9" s="1"/>
  <c r="N224" i="9" s="1"/>
  <c r="S10" i="11"/>
  <c r="W241" i="9"/>
  <c r="W240" i="9"/>
  <c r="X240" i="9" s="1"/>
  <c r="J227" i="9"/>
  <c r="M227" i="9" s="1"/>
  <c r="N227" i="9" s="1"/>
  <c r="J228" i="9"/>
  <c r="M228" i="9" s="1"/>
  <c r="N228" i="9" s="1"/>
  <c r="O2" i="12"/>
  <c r="B18" i="11"/>
  <c r="C12" i="3"/>
  <c r="F82" i="6"/>
  <c r="S18" i="11" l="1"/>
  <c r="Q114" i="11"/>
  <c r="H230" i="9"/>
  <c r="W10" i="11"/>
  <c r="V17" i="3"/>
  <c r="P117" i="11"/>
  <c r="P114" i="11"/>
  <c r="P116" i="11"/>
  <c r="P113" i="11"/>
  <c r="P115" i="11"/>
  <c r="P118" i="11"/>
  <c r="H238" i="9"/>
  <c r="R116" i="11"/>
  <c r="R115" i="11"/>
  <c r="R117" i="11"/>
  <c r="R113" i="11"/>
  <c r="R114" i="11"/>
  <c r="H235" i="9"/>
  <c r="U114" i="11"/>
  <c r="H229" i="9"/>
  <c r="U17" i="3"/>
  <c r="V238" i="9" l="1"/>
  <c r="P229" i="9"/>
  <c r="Q229" i="9" s="1"/>
  <c r="P230" i="9"/>
  <c r="Q230" i="9" s="1"/>
  <c r="V229" i="9"/>
  <c r="V230" i="9"/>
  <c r="W18" i="11"/>
  <c r="V12" i="3"/>
  <c r="P236" i="9"/>
  <c r="Q236" i="9" s="1"/>
  <c r="P235" i="9"/>
  <c r="Q235" i="9" s="1"/>
  <c r="V235" i="9"/>
  <c r="U12" i="3"/>
  <c r="W236" i="9" l="1"/>
  <c r="X236" i="9" s="1"/>
  <c r="W235" i="9"/>
  <c r="X235" i="9" s="1"/>
  <c r="W230" i="9"/>
  <c r="X230" i="9" s="1"/>
  <c r="W229" i="9"/>
  <c r="X229" i="9" s="1"/>
  <c r="J229" i="9" l="1"/>
  <c r="M229" i="9" s="1"/>
  <c r="N229" i="9" s="1"/>
  <c r="J230" i="9"/>
  <c r="M230" i="9" s="1"/>
  <c r="N230" i="9" s="1"/>
  <c r="J235" i="9"/>
  <c r="M235" i="9" s="1"/>
  <c r="N235" i="9" s="1"/>
  <c r="J236" i="9"/>
  <c r="M236" i="9" s="1"/>
  <c r="N236" i="9" s="1"/>
  <c r="T143" i="11" l="1"/>
  <c r="T144" i="11"/>
  <c r="T141" i="11"/>
  <c r="T142" i="11"/>
  <c r="T139" i="11"/>
  <c r="T140" i="11"/>
  <c r="R118" i="11"/>
  <c r="H237" i="9"/>
  <c r="T137" i="11"/>
  <c r="T121" i="11"/>
  <c r="T130" i="11"/>
  <c r="T123" i="11"/>
  <c r="T132" i="11"/>
  <c r="T125" i="11"/>
  <c r="T134" i="11"/>
  <c r="T118" i="11"/>
  <c r="T127" i="11"/>
  <c r="T136" i="11"/>
  <c r="T120" i="11"/>
  <c r="T129" i="11"/>
  <c r="B11" i="12"/>
  <c r="T138" i="11"/>
  <c r="T131" i="11"/>
  <c r="T124" i="11"/>
  <c r="T133" i="11"/>
  <c r="T135" i="11"/>
  <c r="T119" i="11"/>
  <c r="T128" i="11"/>
  <c r="T126" i="11"/>
  <c r="T122" i="11"/>
  <c r="J16" i="11"/>
  <c r="Q115" i="11"/>
  <c r="H232" i="9"/>
  <c r="U115" i="11"/>
  <c r="H231" i="9"/>
  <c r="V232" i="9" l="1"/>
  <c r="M2" i="12"/>
  <c r="B16" i="11"/>
  <c r="C18" i="3"/>
  <c r="F87" i="6"/>
  <c r="S87" i="6" s="1"/>
  <c r="P231" i="9"/>
  <c r="Q231" i="9" s="1"/>
  <c r="P232" i="9"/>
  <c r="Q232" i="9" s="1"/>
  <c r="V231" i="9"/>
  <c r="P239" i="9"/>
  <c r="P238" i="9"/>
  <c r="Q238" i="9" s="1"/>
  <c r="P237" i="9"/>
  <c r="Q237" i="9" s="1"/>
  <c r="V237" i="9"/>
  <c r="W237" i="9" l="1"/>
  <c r="X237" i="9" s="1"/>
  <c r="W239" i="9"/>
  <c r="W238" i="9"/>
  <c r="X238" i="9" s="1"/>
  <c r="W232" i="9"/>
  <c r="X232" i="9" s="1"/>
  <c r="W231" i="9"/>
  <c r="X231" i="9" s="1"/>
  <c r="S16" i="11"/>
  <c r="W16" i="11" l="1"/>
  <c r="V18" i="3"/>
  <c r="J232" i="9"/>
  <c r="M232" i="9" s="1"/>
  <c r="N232" i="9" s="1"/>
  <c r="J231" i="9"/>
  <c r="M231" i="9" s="1"/>
  <c r="N231" i="9" s="1"/>
  <c r="J238" i="9"/>
  <c r="M238" i="9" s="1"/>
  <c r="N238" i="9" s="1"/>
  <c r="U18" i="3"/>
  <c r="Q143" i="11" l="1"/>
  <c r="Q144" i="11"/>
  <c r="Q141" i="11"/>
  <c r="Q142" i="11"/>
  <c r="Q139" i="11"/>
  <c r="Q140" i="11"/>
  <c r="U116" i="11"/>
  <c r="H234" i="9"/>
  <c r="P119" i="11"/>
  <c r="P121" i="11"/>
  <c r="P120" i="11"/>
  <c r="H244" i="9"/>
  <c r="Q126" i="11"/>
  <c r="Q135" i="11"/>
  <c r="Q128" i="11"/>
  <c r="Q137" i="11"/>
  <c r="Q121" i="11"/>
  <c r="Q130" i="11"/>
  <c r="Q123" i="11"/>
  <c r="Q132" i="11"/>
  <c r="Q116" i="11"/>
  <c r="Q125" i="11"/>
  <c r="Q134" i="11"/>
  <c r="Q118" i="11"/>
  <c r="Q136" i="11"/>
  <c r="Q129" i="11"/>
  <c r="Q138" i="11"/>
  <c r="Q122" i="11"/>
  <c r="Q131" i="11"/>
  <c r="Q124" i="11"/>
  <c r="B8" i="12"/>
  <c r="Q133" i="11"/>
  <c r="Q117" i="11"/>
  <c r="Q127" i="11"/>
  <c r="Q119" i="11"/>
  <c r="Q120" i="11"/>
  <c r="J13" i="11"/>
  <c r="J2" i="12" l="1"/>
  <c r="B13" i="11"/>
  <c r="F76" i="6"/>
  <c r="S76" i="6" s="1"/>
  <c r="C9" i="3"/>
  <c r="P245" i="9"/>
  <c r="P244" i="9"/>
  <c r="Q244" i="9" s="1"/>
  <c r="V244" i="9"/>
  <c r="P234" i="9"/>
  <c r="Q234" i="9" s="1"/>
  <c r="P233" i="9"/>
  <c r="Q233" i="9" s="1"/>
  <c r="V234" i="9"/>
  <c r="W244" i="9" l="1"/>
  <c r="X244" i="9" s="1"/>
  <c r="W245" i="9"/>
  <c r="W233" i="9"/>
  <c r="X233" i="9" s="1"/>
  <c r="W234" i="9"/>
  <c r="X234" i="9" s="1"/>
  <c r="S13" i="11"/>
  <c r="W13" i="11" l="1"/>
  <c r="V9" i="3"/>
  <c r="U9" i="3"/>
  <c r="J233" i="9"/>
  <c r="M233" i="9" s="1"/>
  <c r="N233" i="9" s="1"/>
  <c r="J234" i="9"/>
  <c r="M234" i="9" s="1"/>
  <c r="N234" i="9" s="1"/>
  <c r="L143" i="11" l="1"/>
  <c r="L144" i="11"/>
  <c r="L141" i="11"/>
  <c r="L142" i="11"/>
  <c r="L139" i="11"/>
  <c r="L140" i="11"/>
  <c r="U118" i="11"/>
  <c r="U117" i="11"/>
  <c r="H239" i="9"/>
  <c r="L129" i="11"/>
  <c r="L138" i="11"/>
  <c r="L131" i="11"/>
  <c r="L124" i="11"/>
  <c r="L133" i="11"/>
  <c r="L117" i="11"/>
  <c r="L126" i="11"/>
  <c r="L135" i="11"/>
  <c r="L119" i="11"/>
  <c r="L128" i="11"/>
  <c r="L137" i="11"/>
  <c r="L121" i="11"/>
  <c r="B3" i="12"/>
  <c r="L130" i="11"/>
  <c r="L132" i="11"/>
  <c r="L125" i="11"/>
  <c r="L134" i="11"/>
  <c r="L127" i="11"/>
  <c r="L136" i="11"/>
  <c r="L120" i="11"/>
  <c r="L122" i="11"/>
  <c r="L123" i="11"/>
  <c r="L118" i="11"/>
  <c r="J8" i="11"/>
  <c r="E2" i="12" l="1"/>
  <c r="B8" i="11"/>
  <c r="F81" i="6"/>
  <c r="S81" i="6" s="1"/>
  <c r="C11" i="3"/>
  <c r="V239" i="9"/>
  <c r="X239" i="9" s="1"/>
  <c r="Q239" i="9"/>
  <c r="J239" i="9" l="1"/>
  <c r="M239" i="9" s="1"/>
  <c r="N239" i="9" s="1"/>
  <c r="J237" i="9"/>
  <c r="M237" i="9" s="1"/>
  <c r="N237" i="9" s="1"/>
  <c r="S8" i="11"/>
  <c r="U11" i="3" s="1"/>
  <c r="H279" i="9" l="1"/>
  <c r="W8" i="11"/>
  <c r="V11" i="3"/>
  <c r="R119" i="11"/>
  <c r="H241" i="9"/>
  <c r="U130" i="11"/>
  <c r="U132" i="11"/>
  <c r="U125" i="11"/>
  <c r="U134" i="11"/>
  <c r="U127" i="11"/>
  <c r="U136" i="11"/>
  <c r="U120" i="11"/>
  <c r="U129" i="11"/>
  <c r="U138" i="11"/>
  <c r="U122" i="11"/>
  <c r="U131" i="11"/>
  <c r="U133" i="11"/>
  <c r="U126" i="11"/>
  <c r="U135" i="11"/>
  <c r="U128" i="11"/>
  <c r="U137" i="11"/>
  <c r="U121" i="11"/>
  <c r="U119" i="11"/>
  <c r="U123" i="11"/>
  <c r="U124" i="11"/>
  <c r="J17" i="11"/>
  <c r="P278" i="9" l="1"/>
  <c r="P279" i="9"/>
  <c r="Q279" i="9" s="1"/>
  <c r="V279" i="9"/>
  <c r="V241" i="9"/>
  <c r="X241" i="9" s="1"/>
  <c r="Q241" i="9"/>
  <c r="W278" i="9" l="1"/>
  <c r="W279" i="9"/>
  <c r="X279" i="9" s="1"/>
  <c r="J241" i="9"/>
  <c r="M241" i="9" s="1"/>
  <c r="N241" i="9" s="1"/>
  <c r="J240" i="9"/>
  <c r="M240" i="9" s="1"/>
  <c r="N240" i="9" s="1"/>
  <c r="S120" i="11" l="1"/>
  <c r="H242" i="9"/>
  <c r="R120" i="11"/>
  <c r="H243" i="9"/>
  <c r="V243" i="9" l="1"/>
  <c r="P243" i="9"/>
  <c r="Q243" i="9" s="1"/>
  <c r="P242" i="9"/>
  <c r="Q242" i="9" s="1"/>
  <c r="V242" i="9"/>
  <c r="W243" i="9" l="1"/>
  <c r="X243" i="9" s="1"/>
  <c r="W242" i="9"/>
  <c r="X242" i="9" s="1"/>
  <c r="J243" i="9" l="1"/>
  <c r="M243" i="9" s="1"/>
  <c r="N243" i="9" s="1"/>
  <c r="J242" i="9"/>
  <c r="M242" i="9" s="1"/>
  <c r="N242" i="9" s="1"/>
  <c r="S143" i="11" l="1"/>
  <c r="S144" i="11"/>
  <c r="S141" i="11"/>
  <c r="S142" i="11"/>
  <c r="S139" i="11"/>
  <c r="S140" i="11"/>
  <c r="S128" i="11"/>
  <c r="S137" i="11"/>
  <c r="S130" i="11"/>
  <c r="S123" i="11"/>
  <c r="S132" i="11"/>
  <c r="S125" i="11"/>
  <c r="S134" i="11"/>
  <c r="S127" i="11"/>
  <c r="S136" i="11"/>
  <c r="S138" i="11"/>
  <c r="B10" i="12"/>
  <c r="S131" i="11"/>
  <c r="S124" i="11"/>
  <c r="S133" i="11"/>
  <c r="S126" i="11"/>
  <c r="S135" i="11"/>
  <c r="S129" i="11"/>
  <c r="S121" i="11"/>
  <c r="S122" i="11"/>
  <c r="J15" i="11"/>
  <c r="R121" i="11"/>
  <c r="H245" i="9"/>
  <c r="L2" i="12" l="1"/>
  <c r="B15" i="11"/>
  <c r="F74" i="6"/>
  <c r="S74" i="6" s="1"/>
  <c r="C5" i="3"/>
  <c r="V245" i="9"/>
  <c r="X245" i="9" s="1"/>
  <c r="Q245" i="9"/>
  <c r="J245" i="9" l="1"/>
  <c r="M245" i="9" s="1"/>
  <c r="N245" i="9" s="1"/>
  <c r="J244" i="9"/>
  <c r="M244" i="9" s="1"/>
  <c r="N244" i="9" s="1"/>
  <c r="S15" i="11"/>
  <c r="W15" i="11" l="1"/>
  <c r="V5" i="3"/>
  <c r="P123" i="11"/>
  <c r="P125" i="11"/>
  <c r="P124" i="11"/>
  <c r="P127" i="11"/>
  <c r="P126" i="11"/>
  <c r="P122" i="11"/>
  <c r="H257" i="9"/>
  <c r="U5" i="3"/>
  <c r="R122" i="11"/>
  <c r="H246" i="9"/>
  <c r="P247" i="9" l="1"/>
  <c r="Q247" i="9" s="1"/>
  <c r="P246" i="9"/>
  <c r="Q246" i="9" s="1"/>
  <c r="V246" i="9"/>
  <c r="P256" i="9"/>
  <c r="Q256" i="9" s="1"/>
  <c r="P257" i="9"/>
  <c r="Q257" i="9" s="1"/>
  <c r="V257" i="9"/>
  <c r="W257" i="9" l="1"/>
  <c r="X257" i="9" s="1"/>
  <c r="W256" i="9"/>
  <c r="X256" i="9" s="1"/>
  <c r="W247" i="9"/>
  <c r="X247" i="9" s="1"/>
  <c r="W246" i="9"/>
  <c r="X246" i="9" s="1"/>
  <c r="J256" i="9" l="1"/>
  <c r="M256" i="9" s="1"/>
  <c r="N256" i="9" s="1"/>
  <c r="J257" i="9"/>
  <c r="M257" i="9" s="1"/>
  <c r="N257" i="9" s="1"/>
  <c r="J247" i="9"/>
  <c r="M247" i="9" s="1"/>
  <c r="N247" i="9" s="1"/>
  <c r="J246" i="9"/>
  <c r="M246" i="9" s="1"/>
  <c r="N246" i="9" s="1"/>
  <c r="R123" i="11" l="1"/>
  <c r="H248" i="9"/>
  <c r="O123" i="11"/>
  <c r="H249" i="9"/>
  <c r="P128" i="11"/>
  <c r="H259" i="9"/>
  <c r="K128" i="11"/>
  <c r="H258" i="9"/>
  <c r="P259" i="9" l="1"/>
  <c r="Q259" i="9" s="1"/>
  <c r="P258" i="9"/>
  <c r="Q258" i="9" s="1"/>
  <c r="V258" i="9"/>
  <c r="V259" i="9"/>
  <c r="V249" i="9"/>
  <c r="P248" i="9"/>
  <c r="Q248" i="9" s="1"/>
  <c r="P249" i="9"/>
  <c r="Q249" i="9" s="1"/>
  <c r="V248" i="9"/>
  <c r="W249" i="9" l="1"/>
  <c r="X249" i="9" s="1"/>
  <c r="W248" i="9"/>
  <c r="X248" i="9" s="1"/>
  <c r="W259" i="9"/>
  <c r="X259" i="9" s="1"/>
  <c r="W258" i="9"/>
  <c r="X258" i="9" s="1"/>
  <c r="J259" i="9" l="1"/>
  <c r="M259" i="9" s="1"/>
  <c r="N259" i="9" s="1"/>
  <c r="J258" i="9"/>
  <c r="M258" i="9" s="1"/>
  <c r="N258" i="9" s="1"/>
  <c r="J249" i="9"/>
  <c r="M249" i="9" s="1"/>
  <c r="N249" i="9" s="1"/>
  <c r="J248" i="9"/>
  <c r="M248" i="9" s="1"/>
  <c r="N248" i="9" s="1"/>
  <c r="R124" i="11" l="1"/>
  <c r="H251" i="9"/>
  <c r="K129" i="11"/>
  <c r="H260" i="9"/>
  <c r="O124" i="11"/>
  <c r="H250" i="9"/>
  <c r="P129" i="11"/>
  <c r="H261" i="9"/>
  <c r="V261" i="9" l="1"/>
  <c r="P251" i="9"/>
  <c r="Q251" i="9" s="1"/>
  <c r="P250" i="9"/>
  <c r="Q250" i="9" s="1"/>
  <c r="V250" i="9"/>
  <c r="P261" i="9"/>
  <c r="Q261" i="9" s="1"/>
  <c r="P260" i="9"/>
  <c r="Q260" i="9" s="1"/>
  <c r="V260" i="9"/>
  <c r="V251" i="9"/>
  <c r="W260" i="9" l="1"/>
  <c r="X260" i="9" s="1"/>
  <c r="W261" i="9"/>
  <c r="X261" i="9" s="1"/>
  <c r="W250" i="9"/>
  <c r="X250" i="9" s="1"/>
  <c r="W251" i="9"/>
  <c r="X251" i="9" s="1"/>
  <c r="J250" i="9" l="1"/>
  <c r="M250" i="9" s="1"/>
  <c r="N250" i="9" s="1"/>
  <c r="J251" i="9"/>
  <c r="M251" i="9" s="1"/>
  <c r="N251" i="9" s="1"/>
  <c r="J261" i="9"/>
  <c r="M261" i="9" s="1"/>
  <c r="N261" i="9" s="1"/>
  <c r="J260" i="9"/>
  <c r="M260" i="9" s="1"/>
  <c r="N260" i="9" s="1"/>
  <c r="P130" i="11" l="1"/>
  <c r="H263" i="9"/>
  <c r="K130" i="11"/>
  <c r="H262" i="9"/>
  <c r="R125" i="11"/>
  <c r="H253" i="9"/>
  <c r="O125" i="11"/>
  <c r="H252" i="9"/>
  <c r="P253" i="9" l="1"/>
  <c r="Q253" i="9" s="1"/>
  <c r="P252" i="9"/>
  <c r="Q252" i="9" s="1"/>
  <c r="V252" i="9"/>
  <c r="V253" i="9"/>
  <c r="V262" i="9"/>
  <c r="P263" i="9"/>
  <c r="Q263" i="9" s="1"/>
  <c r="P262" i="9"/>
  <c r="Q262" i="9" s="1"/>
  <c r="V263" i="9"/>
  <c r="W263" i="9" l="1"/>
  <c r="X263" i="9" s="1"/>
  <c r="W262" i="9"/>
  <c r="X262" i="9" s="1"/>
  <c r="W252" i="9"/>
  <c r="X252" i="9" s="1"/>
  <c r="W253" i="9"/>
  <c r="X253" i="9" s="1"/>
  <c r="J252" i="9" l="1"/>
  <c r="M252" i="9" s="1"/>
  <c r="N252" i="9" s="1"/>
  <c r="J253" i="9"/>
  <c r="M253" i="9" s="1"/>
  <c r="N253" i="9" s="1"/>
  <c r="J262" i="9"/>
  <c r="M262" i="9" s="1"/>
  <c r="N262" i="9" s="1"/>
  <c r="J263" i="9"/>
  <c r="M263" i="9" s="1"/>
  <c r="N263" i="9" s="1"/>
  <c r="P131" i="11" l="1"/>
  <c r="H265" i="9"/>
  <c r="K131" i="11"/>
  <c r="H264" i="9"/>
  <c r="R126" i="11"/>
  <c r="H254" i="9"/>
  <c r="O126" i="11"/>
  <c r="H255" i="9"/>
  <c r="V255" i="9" l="1"/>
  <c r="P255" i="9"/>
  <c r="Q255" i="9" s="1"/>
  <c r="P254" i="9"/>
  <c r="Q254" i="9" s="1"/>
  <c r="V254" i="9"/>
  <c r="V264" i="9"/>
  <c r="P264" i="9"/>
  <c r="Q264" i="9" s="1"/>
  <c r="P265" i="9"/>
  <c r="Q265" i="9" s="1"/>
  <c r="V265" i="9"/>
  <c r="W265" i="9" l="1"/>
  <c r="X265" i="9" s="1"/>
  <c r="W264" i="9"/>
  <c r="X264" i="9" s="1"/>
  <c r="W255" i="9"/>
  <c r="X255" i="9" s="1"/>
  <c r="W254" i="9"/>
  <c r="X254" i="9" s="1"/>
  <c r="J254" i="9" l="1"/>
  <c r="M254" i="9" s="1"/>
  <c r="N254" i="9" s="1"/>
  <c r="J14" i="11" s="1"/>
  <c r="J255" i="9"/>
  <c r="M255" i="9" s="1"/>
  <c r="N255" i="9" s="1"/>
  <c r="O144" i="11" s="1"/>
  <c r="J265" i="9"/>
  <c r="M265" i="9" s="1"/>
  <c r="N265" i="9" s="1"/>
  <c r="J264" i="9"/>
  <c r="M264" i="9" s="1"/>
  <c r="N264" i="9" s="1"/>
  <c r="O142" i="11" l="1"/>
  <c r="O143" i="11"/>
  <c r="O140" i="11"/>
  <c r="O141" i="11"/>
  <c r="O139" i="11"/>
  <c r="J11" i="11"/>
  <c r="P132" i="11"/>
  <c r="H267" i="9"/>
  <c r="K132" i="11"/>
  <c r="H266" i="9"/>
  <c r="O133" i="11"/>
  <c r="B6" i="12"/>
  <c r="O135" i="11"/>
  <c r="O128" i="11"/>
  <c r="O137" i="11"/>
  <c r="O130" i="11"/>
  <c r="O132" i="11"/>
  <c r="O134" i="11"/>
  <c r="O127" i="11"/>
  <c r="O136" i="11"/>
  <c r="O138" i="11"/>
  <c r="O131" i="11"/>
  <c r="O129" i="11"/>
  <c r="R135" i="11"/>
  <c r="R137" i="11"/>
  <c r="R130" i="11"/>
  <c r="R132" i="11"/>
  <c r="R134" i="11"/>
  <c r="R127" i="11"/>
  <c r="R136" i="11"/>
  <c r="R129" i="11"/>
  <c r="R131" i="11"/>
  <c r="R133" i="11"/>
  <c r="R128" i="11"/>
  <c r="H277" i="9"/>
  <c r="V277" i="9" l="1"/>
  <c r="H2" i="12"/>
  <c r="B11" i="11"/>
  <c r="C6" i="3"/>
  <c r="F75" i="6"/>
  <c r="S75" i="6" s="1"/>
  <c r="P267" i="9"/>
  <c r="Q267" i="9" s="1"/>
  <c r="P266" i="9"/>
  <c r="Q266" i="9" s="1"/>
  <c r="V266" i="9"/>
  <c r="V267" i="9"/>
  <c r="W266" i="9" l="1"/>
  <c r="X266" i="9" s="1"/>
  <c r="W267" i="9"/>
  <c r="X267" i="9" s="1"/>
  <c r="S11" i="11"/>
  <c r="U6" i="3" s="1"/>
  <c r="W11" i="11" l="1"/>
  <c r="V6" i="3"/>
  <c r="J266" i="9"/>
  <c r="M266" i="9" s="1"/>
  <c r="N266" i="9" s="1"/>
  <c r="J267" i="9"/>
  <c r="M267" i="9" s="1"/>
  <c r="N267" i="9" s="1"/>
  <c r="P133" i="11" l="1"/>
  <c r="H269" i="9"/>
  <c r="K133" i="11"/>
  <c r="H268" i="9"/>
  <c r="P269" i="9" l="1"/>
  <c r="Q269" i="9" s="1"/>
  <c r="P268" i="9"/>
  <c r="Q268" i="9" s="1"/>
  <c r="V268" i="9"/>
  <c r="V269" i="9"/>
  <c r="W269" i="9" l="1"/>
  <c r="X269" i="9" s="1"/>
  <c r="W268" i="9"/>
  <c r="X268" i="9" s="1"/>
  <c r="J268" i="9" l="1"/>
  <c r="M268" i="9" s="1"/>
  <c r="N268" i="9" s="1"/>
  <c r="J269" i="9"/>
  <c r="M269" i="9" s="1"/>
  <c r="N269" i="9" s="1"/>
  <c r="P134" i="11" l="1"/>
  <c r="H271" i="9"/>
  <c r="K134" i="11"/>
  <c r="H270" i="9"/>
  <c r="P270" i="9" l="1"/>
  <c r="Q270" i="9" s="1"/>
  <c r="P271" i="9"/>
  <c r="Q271" i="9" s="1"/>
  <c r="V270" i="9"/>
  <c r="V271" i="9"/>
  <c r="W271" i="9" l="1"/>
  <c r="X271" i="9" s="1"/>
  <c r="W270" i="9"/>
  <c r="X270" i="9" s="1"/>
  <c r="J271" i="9" l="1"/>
  <c r="M271" i="9" s="1"/>
  <c r="N271" i="9" s="1"/>
  <c r="J270" i="9"/>
  <c r="M270" i="9" s="1"/>
  <c r="N270" i="9" s="1"/>
  <c r="K135" i="11" l="1"/>
  <c r="H272" i="9"/>
  <c r="P135" i="11"/>
  <c r="H273" i="9"/>
  <c r="V273" i="9" l="1"/>
  <c r="P273" i="9"/>
  <c r="Q273" i="9" s="1"/>
  <c r="P272" i="9"/>
  <c r="Q272" i="9" s="1"/>
  <c r="V272" i="9"/>
  <c r="W272" i="9" l="1"/>
  <c r="X272" i="9" s="1"/>
  <c r="W273" i="9"/>
  <c r="X273" i="9" s="1"/>
  <c r="J273" i="9" l="1"/>
  <c r="M273" i="9" s="1"/>
  <c r="N273" i="9" s="1"/>
  <c r="J272" i="9"/>
  <c r="M272" i="9" s="1"/>
  <c r="N272" i="9" s="1"/>
  <c r="K136" i="11" l="1"/>
  <c r="H274" i="9"/>
  <c r="P136" i="11"/>
  <c r="H275" i="9"/>
  <c r="V275" i="9" l="1"/>
  <c r="P275" i="9"/>
  <c r="Q275" i="9" s="1"/>
  <c r="P274" i="9"/>
  <c r="Q274" i="9" s="1"/>
  <c r="V274" i="9"/>
  <c r="W275" i="9" l="1"/>
  <c r="X275" i="9" s="1"/>
  <c r="W274" i="9"/>
  <c r="X274" i="9" s="1"/>
  <c r="J275" i="9" l="1"/>
  <c r="M275" i="9" s="1"/>
  <c r="N275" i="9" s="1"/>
  <c r="J12" i="11" s="1"/>
  <c r="J274" i="9"/>
  <c r="M274" i="9" s="1"/>
  <c r="N274" i="9" s="1"/>
  <c r="K144" i="11" s="1"/>
  <c r="K142" i="11" l="1"/>
  <c r="K143" i="11"/>
  <c r="K140" i="11"/>
  <c r="K141" i="11"/>
  <c r="K139" i="11"/>
  <c r="J7" i="11"/>
  <c r="K12" i="11" s="1"/>
  <c r="K138" i="11"/>
  <c r="B2" i="12"/>
  <c r="K137" i="11"/>
  <c r="P137" i="11"/>
  <c r="H276" i="9"/>
  <c r="K10" i="11" l="1"/>
  <c r="K20" i="11"/>
  <c r="K8" i="11"/>
  <c r="K9" i="11"/>
  <c r="K18" i="11"/>
  <c r="K7" i="11"/>
  <c r="K16" i="11"/>
  <c r="K17" i="11"/>
  <c r="K13" i="11"/>
  <c r="K19" i="11"/>
  <c r="K15" i="11"/>
  <c r="K14" i="11"/>
  <c r="K11" i="11"/>
  <c r="P276" i="9"/>
  <c r="Q276" i="9" s="1"/>
  <c r="P277" i="9"/>
  <c r="Q277" i="9" s="1"/>
  <c r="V276" i="9"/>
  <c r="D2" i="12"/>
  <c r="B7" i="11"/>
  <c r="C7" i="3"/>
  <c r="F79" i="6"/>
  <c r="S79" i="6" s="1"/>
  <c r="W277" i="9" l="1"/>
  <c r="X277" i="9" s="1"/>
  <c r="W276" i="9"/>
  <c r="X276" i="9" s="1"/>
  <c r="S7" i="11"/>
  <c r="W7" i="11" l="1"/>
  <c r="V7" i="3"/>
  <c r="J276" i="9"/>
  <c r="M276" i="9" s="1"/>
  <c r="N276" i="9" s="1"/>
  <c r="J277" i="9"/>
  <c r="U7" i="3"/>
  <c r="H278" i="9" l="1"/>
  <c r="M277" i="9"/>
  <c r="H6" i="3"/>
  <c r="H10" i="3"/>
  <c r="H7" i="3"/>
  <c r="H14" i="3"/>
  <c r="H17" i="3"/>
  <c r="H18" i="3"/>
  <c r="H5" i="3"/>
  <c r="H9" i="3"/>
  <c r="H11" i="3"/>
  <c r="P138" i="11"/>
  <c r="Q278" i="9" l="1"/>
  <c r="V278" i="9"/>
  <c r="X278" i="9" s="1"/>
  <c r="N277" i="9"/>
  <c r="R143" i="11" l="1"/>
  <c r="R144" i="11"/>
  <c r="R141" i="11"/>
  <c r="R142" i="11"/>
  <c r="R139" i="11"/>
  <c r="R140" i="11"/>
  <c r="J278" i="9"/>
  <c r="M278" i="9" s="1"/>
  <c r="J279" i="9"/>
  <c r="R138" i="11"/>
  <c r="B9" i="12"/>
  <c r="M279" i="9" l="1"/>
  <c r="N279" i="9" s="1"/>
  <c r="N278" i="9"/>
  <c r="K2" i="12"/>
  <c r="B14" i="11"/>
  <c r="F78" i="6"/>
  <c r="S78" i="6" s="1"/>
  <c r="C10" i="3"/>
  <c r="H281" i="9" l="1"/>
  <c r="H280" i="9"/>
  <c r="U139" i="11"/>
  <c r="P139" i="11"/>
  <c r="S14" i="11"/>
  <c r="P280" i="9" l="1"/>
  <c r="Q280" i="9" s="1"/>
  <c r="P281" i="9"/>
  <c r="Q281" i="9" s="1"/>
  <c r="V281" i="9"/>
  <c r="V280" i="9"/>
  <c r="W14" i="11"/>
  <c r="V10" i="3"/>
  <c r="U10" i="3"/>
  <c r="W280" i="9" l="1"/>
  <c r="X280" i="9" s="1"/>
  <c r="J280" i="9" s="1"/>
  <c r="W281" i="9"/>
  <c r="X281" i="9" s="1"/>
  <c r="J281" i="9" s="1"/>
  <c r="M281" i="9" l="1"/>
  <c r="N281" i="9" s="1"/>
  <c r="M280" i="9"/>
  <c r="U140" i="11"/>
  <c r="N280" i="9"/>
  <c r="H283" i="9" l="1"/>
  <c r="H282" i="9"/>
  <c r="P140" i="11"/>
  <c r="P282" i="9" l="1"/>
  <c r="Q282" i="9" s="1"/>
  <c r="P283" i="9"/>
  <c r="Q283" i="9" s="1"/>
  <c r="V283" i="9"/>
  <c r="V282" i="9"/>
  <c r="W282" i="9" l="1"/>
  <c r="X282" i="9" s="1"/>
  <c r="J282" i="9" s="1"/>
  <c r="W283" i="9"/>
  <c r="X283" i="9" s="1"/>
  <c r="J283" i="9" s="1"/>
  <c r="M283" i="9" l="1"/>
  <c r="N283" i="9" s="1"/>
  <c r="M282" i="9"/>
  <c r="U141" i="11"/>
  <c r="N282" i="9"/>
  <c r="H285" i="9" l="1"/>
  <c r="H284" i="9"/>
  <c r="P141" i="11"/>
  <c r="P284" i="9" l="1"/>
  <c r="Q284" i="9" s="1"/>
  <c r="P285" i="9"/>
  <c r="Q285" i="9" s="1"/>
  <c r="V285" i="9"/>
  <c r="V284" i="9"/>
  <c r="W285" i="9" l="1"/>
  <c r="X285" i="9" s="1"/>
  <c r="J285" i="9" s="1"/>
  <c r="W284" i="9"/>
  <c r="X284" i="9" s="1"/>
  <c r="J284" i="9" s="1"/>
  <c r="M284" i="9" l="1"/>
  <c r="M285" i="9"/>
  <c r="N285" i="9" s="1"/>
  <c r="U142" i="11"/>
  <c r="N284" i="9"/>
  <c r="H287" i="9" l="1"/>
  <c r="H286" i="9"/>
  <c r="P142" i="11"/>
  <c r="P286" i="9" l="1"/>
  <c r="Q286" i="9" s="1"/>
  <c r="P287" i="9"/>
  <c r="Q287" i="9" s="1"/>
  <c r="V287" i="9"/>
  <c r="V286" i="9"/>
  <c r="W287" i="9" l="1"/>
  <c r="X287" i="9" s="1"/>
  <c r="J287" i="9" s="1"/>
  <c r="W286" i="9"/>
  <c r="X286" i="9" s="1"/>
  <c r="J286" i="9" s="1"/>
  <c r="M286" i="9" l="1"/>
  <c r="M287" i="9"/>
  <c r="N287" i="9" s="1"/>
  <c r="U143" i="11"/>
  <c r="N286" i="9"/>
  <c r="H289" i="9" l="1"/>
  <c r="H288" i="9"/>
  <c r="P143" i="11"/>
  <c r="P288" i="9" l="1"/>
  <c r="Q288" i="9" s="1"/>
  <c r="P289" i="9"/>
  <c r="Q289" i="9" s="1"/>
  <c r="V289" i="9"/>
  <c r="V288" i="9"/>
  <c r="W289" i="9" l="1"/>
  <c r="X289" i="9" s="1"/>
  <c r="J289" i="9" s="1"/>
  <c r="W288" i="9"/>
  <c r="X288" i="9" s="1"/>
  <c r="J288" i="9" s="1"/>
  <c r="M288" i="9" l="1"/>
  <c r="H15" i="3"/>
  <c r="M289" i="9"/>
  <c r="N289" i="9" s="1"/>
  <c r="H8" i="3"/>
  <c r="B12" i="12"/>
  <c r="U144" i="11"/>
  <c r="B19" i="7"/>
  <c r="B18" i="7"/>
  <c r="H19" i="7"/>
  <c r="H18" i="7"/>
  <c r="N288" i="9"/>
  <c r="F77" i="6" l="1"/>
  <c r="S77" i="6" s="1"/>
  <c r="C8" i="3"/>
  <c r="N2" i="12"/>
  <c r="B17" i="11"/>
  <c r="S17" i="11" s="1"/>
  <c r="P144" i="11"/>
  <c r="H17" i="7"/>
  <c r="B17" i="7"/>
  <c r="B7" i="12"/>
  <c r="E18" i="7"/>
  <c r="D18" i="7"/>
  <c r="C18" i="7"/>
  <c r="F18" i="7"/>
  <c r="C19" i="7"/>
  <c r="F19" i="7"/>
  <c r="D19" i="7"/>
  <c r="E19" i="7"/>
  <c r="W17" i="11" l="1"/>
  <c r="B24" i="4" s="1"/>
  <c r="V8" i="3"/>
  <c r="B6" i="4"/>
  <c r="U8" i="3"/>
  <c r="F80" i="6"/>
  <c r="S80" i="6" s="1"/>
  <c r="C4" i="6" s="1"/>
  <c r="I2" i="12"/>
  <c r="C15" i="3"/>
  <c r="B12" i="11"/>
  <c r="D17" i="7"/>
  <c r="E17" i="7"/>
  <c r="C17" i="7"/>
  <c r="F17" i="7"/>
  <c r="N5" i="3" l="1"/>
  <c r="N7" i="3"/>
  <c r="A8" i="3"/>
  <c r="B5" i="4" s="1"/>
  <c r="A7" i="3"/>
  <c r="N15" i="3"/>
  <c r="A17" i="3"/>
  <c r="A16" i="3"/>
  <c r="N9" i="3"/>
  <c r="N11" i="3"/>
  <c r="N18" i="3"/>
  <c r="A5" i="3"/>
  <c r="N13" i="3"/>
  <c r="A11" i="3"/>
  <c r="N6" i="3"/>
  <c r="N12" i="3"/>
  <c r="A9" i="3"/>
  <c r="A18" i="3"/>
  <c r="N16" i="3"/>
  <c r="N17" i="3"/>
  <c r="A13" i="3"/>
  <c r="A6" i="3"/>
  <c r="A14" i="3"/>
  <c r="N8" i="3"/>
  <c r="A10" i="3"/>
  <c r="N14" i="3"/>
  <c r="N10" i="3"/>
  <c r="A15" i="3"/>
  <c r="B33" i="7"/>
  <c r="A12" i="3"/>
  <c r="A5" i="8"/>
  <c r="D11" i="11"/>
  <c r="L11" i="11" s="1"/>
  <c r="Q6" i="3" s="1"/>
  <c r="D15" i="11"/>
  <c r="L15" i="11" s="1"/>
  <c r="Q5" i="3" s="1"/>
  <c r="C18" i="8"/>
  <c r="D7" i="11"/>
  <c r="L7" i="11" s="1"/>
  <c r="E7" i="11"/>
  <c r="D10" i="11"/>
  <c r="L10" i="11" s="1"/>
  <c r="Q17" i="3" s="1"/>
  <c r="C17" i="8"/>
  <c r="D17" i="11"/>
  <c r="L17" i="11" s="1"/>
  <c r="Q8" i="3" s="1"/>
  <c r="E13" i="11"/>
  <c r="E11" i="11"/>
  <c r="E17" i="11"/>
  <c r="B15" i="4" s="1"/>
  <c r="D8" i="11"/>
  <c r="L8" i="11" s="1"/>
  <c r="Q11" i="3" s="1"/>
  <c r="E10" i="11"/>
  <c r="B19" i="8"/>
  <c r="E18" i="11"/>
  <c r="D14" i="11"/>
  <c r="L14" i="11" s="1"/>
  <c r="Q10" i="3" s="1"/>
  <c r="E8" i="11"/>
  <c r="B18" i="8"/>
  <c r="D12" i="11"/>
  <c r="L12" i="11" s="1"/>
  <c r="Q15" i="3" s="1"/>
  <c r="D19" i="8"/>
  <c r="E9" i="11"/>
  <c r="E14" i="11"/>
  <c r="D18" i="8"/>
  <c r="E12" i="11"/>
  <c r="D9" i="11"/>
  <c r="L9" i="11" s="1"/>
  <c r="Q14" i="3" s="1"/>
  <c r="E15" i="11"/>
  <c r="D13" i="11"/>
  <c r="L13" i="11" s="1"/>
  <c r="Q9" i="3" s="1"/>
  <c r="B17" i="8"/>
  <c r="D19" i="11"/>
  <c r="L19" i="11" s="1"/>
  <c r="Q13" i="3" s="1"/>
  <c r="D20" i="11"/>
  <c r="L20" i="11" s="1"/>
  <c r="Q16" i="3" s="1"/>
  <c r="S12" i="11"/>
  <c r="C19" i="8"/>
  <c r="E16" i="11"/>
  <c r="E19" i="11"/>
  <c r="E20" i="11"/>
  <c r="D18" i="11"/>
  <c r="L18" i="11" s="1"/>
  <c r="Q12" i="3" s="1"/>
  <c r="D16" i="11"/>
  <c r="L16" i="11" s="1"/>
  <c r="Q18" i="3" s="1"/>
  <c r="C3" i="12"/>
  <c r="C8" i="11" s="1"/>
  <c r="C8" i="12"/>
  <c r="C13" i="11" s="1"/>
  <c r="C14" i="12"/>
  <c r="C19" i="11" s="1"/>
  <c r="C12" i="12"/>
  <c r="C17" i="11" s="1"/>
  <c r="C11" i="12"/>
  <c r="C16" i="11" s="1"/>
  <c r="C10" i="12"/>
  <c r="C15" i="11" s="1"/>
  <c r="C4" i="12"/>
  <c r="C9" i="11" s="1"/>
  <c r="C13" i="12"/>
  <c r="C18" i="11" s="1"/>
  <c r="C5" i="12"/>
  <c r="C10" i="11" s="1"/>
  <c r="C15" i="12"/>
  <c r="C20" i="11" s="1"/>
  <c r="C6" i="12"/>
  <c r="C11" i="11" s="1"/>
  <c r="C9" i="12"/>
  <c r="C14" i="11" s="1"/>
  <c r="C2" i="12"/>
  <c r="C7" i="11" s="1"/>
  <c r="C7" i="12"/>
  <c r="C12" i="11" s="1"/>
  <c r="A6" i="2"/>
  <c r="A5" i="2"/>
  <c r="B28" i="7" s="1"/>
  <c r="AA20" i="11" l="1"/>
  <c r="AB20" i="11" s="1"/>
  <c r="M16" i="3"/>
  <c r="V15" i="3"/>
  <c r="A3" i="3" s="1"/>
  <c r="W12" i="11"/>
  <c r="U15" i="3"/>
  <c r="M10" i="3"/>
  <c r="AA14" i="11"/>
  <c r="AB14" i="11" s="1"/>
  <c r="AF14" i="11" s="1"/>
  <c r="W10" i="3" s="1"/>
  <c r="M17" i="3"/>
  <c r="AA10" i="11"/>
  <c r="AB10" i="11" s="1"/>
  <c r="AF10" i="11" s="1"/>
  <c r="W17" i="3" s="1"/>
  <c r="AA18" i="11"/>
  <c r="AB18" i="11" s="1"/>
  <c r="M12" i="3"/>
  <c r="AA11" i="11"/>
  <c r="AB11" i="11" s="1"/>
  <c r="AF11" i="11" s="1"/>
  <c r="W6" i="3" s="1"/>
  <c r="M6" i="3"/>
  <c r="AA16" i="11"/>
  <c r="AB16" i="11" s="1"/>
  <c r="AF16" i="11" s="1"/>
  <c r="W18" i="3" s="1"/>
  <c r="M18" i="3"/>
  <c r="M14" i="3"/>
  <c r="AA9" i="11"/>
  <c r="AB9" i="11" s="1"/>
  <c r="AF9" i="11" s="1"/>
  <c r="W14" i="3" s="1"/>
  <c r="M5" i="3"/>
  <c r="AA15" i="11"/>
  <c r="AB15" i="11" s="1"/>
  <c r="AF15" i="11" s="1"/>
  <c r="W5" i="3" s="1"/>
  <c r="B12" i="4"/>
  <c r="AA17" i="11"/>
  <c r="M8" i="3"/>
  <c r="M13" i="3"/>
  <c r="AA19" i="11"/>
  <c r="AB19" i="11" s="1"/>
  <c r="M9" i="3"/>
  <c r="AA13" i="11"/>
  <c r="AB13" i="11" s="1"/>
  <c r="AF13" i="11" s="1"/>
  <c r="W9" i="3" s="1"/>
  <c r="M11" i="3"/>
  <c r="AA8" i="11"/>
  <c r="AB8" i="11" s="1"/>
  <c r="AF8" i="11" s="1"/>
  <c r="W11" i="3" s="1"/>
  <c r="Q7" i="3"/>
  <c r="A8" i="8"/>
  <c r="M15" i="3"/>
  <c r="AA12" i="11"/>
  <c r="AA7" i="11"/>
  <c r="AB7" i="11" s="1"/>
  <c r="AF7" i="11" s="1"/>
  <c r="W7" i="3" s="1"/>
  <c r="M7" i="3"/>
  <c r="AB17" i="11" l="1"/>
  <c r="B28" i="4"/>
  <c r="AB12" i="11"/>
  <c r="AF12" i="11" s="1"/>
  <c r="W15" i="3" s="1"/>
  <c r="AF17" i="11" l="1"/>
  <c r="B23" i="4"/>
  <c r="W8" i="3" l="1"/>
  <c r="B7" i="4"/>
</calcChain>
</file>

<file path=xl/sharedStrings.xml><?xml version="1.0" encoding="utf-8"?>
<sst xmlns="http://schemas.openxmlformats.org/spreadsheetml/2006/main" count="1776" uniqueCount="421">
  <si>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</si>
  <si>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</si>
  <si>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</si>
  <si>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</si>
  <si>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</si>
  <si>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</si>
  <si>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</si>
  <si>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</si>
  <si>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</si>
  <si>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</si>
  <si>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</si>
  <si>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</si>
  <si>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</si>
  <si>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</si>
  <si>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</si>
  <si>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</si>
  <si>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</si>
  <si>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</si>
  <si>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</si>
  <si>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</si>
  <si>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</si>
  <si>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</si>
  <si>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</si>
  <si>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</si>
  <si>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</si>
  <si>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</si>
  <si>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</si>
  <si>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</si>
  <si>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</si>
  <si>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</si>
  <si>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</si>
  <si>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</si>
  <si>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</si>
  <si>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</si>
  <si>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</si>
  <si>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</si>
  <si>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</si>
  <si>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</si>
  <si>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</si>
  <si>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</si>
  <si>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</si>
  <si>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</si>
  <si>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</si>
  <si>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</si>
  <si>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</si>
  <si>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</si>
  <si>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</si>
  <si>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</si>
  <si>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</si>
  <si>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</si>
  <si>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</si>
  <si>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</si>
  <si>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</si>
  <si>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</si>
  <si>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</si>
  <si>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</si>
  <si>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</si>
  <si>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</si>
  <si>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</si>
  <si>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</si>
  <si>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</si>
  <si>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</si>
  <si>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</si>
  <si>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</si>
  <si>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</si>
  <si>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</si>
  <si>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  Under 6 weeks since your last game  →  Active. All good.</t>
  </si>
  <si>
    <t>•  At 6 weeks idle  →  flagged ⚠ At Risk on the Dashboard. A warning only, no penalty — go get a game in.</t>
  </si>
  <si>
    <t>•  At 8 weeks idle  →  the slide begins: you lose 5 rating points EVERY week, and you cannot hold the live Champion crown until you play again.</t>
  </si>
  <si>
    <t>•  There is NO maximum — you keep losing 5 points a week, forever, until you play a game.</t>
  </si>
  <si>
    <t>•  Lost points are GONE FOR GOOD. Playing again stops the slide immediately and restarts your 6-week clock — but it does NOT refund the points you already lost.</t>
  </si>
  <si>
    <t>•  Penalties stack across separate idle spells. The settings above (6 / 8 weeks, 5 pts/week) are open to a family vote.</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</si>
  <si>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</si>
  <si>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</si>
  <si>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</si>
  <si>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</si>
  <si>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</si>
  <si>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</si>
  <si>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</si>
  <si>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</si>
  <si>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</si>
  <si>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</si>
  <si>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</si>
  <si>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</si>
  <si>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</si>
  <si>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</si>
  <si>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</si>
  <si>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</si>
  <si>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</si>
  <si>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</si>
  <si>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</si>
  <si>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</si>
  <si>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</si>
  <si>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</si>
  <si>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</si>
  <si>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</si>
  <si>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</si>
  <si>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</si>
  <si>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</si>
  <si>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</si>
  <si>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</si>
  <si>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</si>
  <si>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</si>
  <si>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</si>
  <si>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Active = played within 6 weeks · ⚠ At Risk = 6–8 weeks idle (warning, no penalty) · Inactive = 8+ weeks idle (losing 5 pts/week until you play).</t>
  </si>
  <si>
    <t>Tier</t>
  </si>
  <si>
    <t>your band by rank: Elite = 1st–3rd · Strong = 4th–7th · Mid = 8th–11th · Developing = 12th or lower.</t>
  </si>
  <si>
    <t>Status</t>
  </si>
  <si>
    <t>Eligible = can win the title (8+ games across 3+ sports) · Provisional = playing but not there yet · No games = hasn’t played.</t>
  </si>
  <si>
    <t>Win %</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</si>
  <si>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</si>
  <si>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</si>
  <si>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</si>
  <si>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</si>
  <si>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</si>
  <si>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</si>
  <si>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</si>
  <si>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</si>
  <si>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</si>
  <si>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</si>
  <si>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</si>
  <si>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Rank</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</si>
  <si>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</si>
  <si>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</si>
  <si>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</si>
  <si>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</si>
  <si>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</si>
  <si>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</si>
  <si>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</si>
  <si>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</si>
  <si>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</si>
  <si>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</si>
  <si>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Sport rating</t>
  </si>
  <si>
    <t>Record (W–L)</t>
  </si>
  <si>
    <t>Games</t>
  </si>
  <si>
    <t>ROLL OF HONOUR</t>
  </si>
  <si>
    <t>Family World Champions since 2019</t>
  </si>
  <si>
    <t>Year</t>
  </si>
  <si>
    <t>Champion</t>
  </si>
  <si>
    <t>Wooden Spoon</t>
  </si>
  <si>
    <t>2019</t>
  </si>
  <si>
    <t>Shawn</t>
  </si>
  <si>
    <t>Beau</t>
  </si>
  <si>
    <t>2020</t>
  </si>
  <si>
    <t>Josh</t>
  </si>
  <si>
    <t>Aaron</t>
  </si>
  <si>
    <t>2021</t>
  </si>
  <si>
    <t>David</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</si>
  <si>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</si>
  <si>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</si>
  <si>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</si>
  <si>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</si>
  <si>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</si>
  <si>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</si>
  <si>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</si>
  <si>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</si>
  <si>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</si>
  <si>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</si>
  <si>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</si>
  <si>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</si>
  <si>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</si>
  <si>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</si>
  <si>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</si>
  <si>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Player</t>
  </si>
  <si>
    <t>Won</t>
  </si>
  <si>
    <t>Lost</t>
  </si>
  <si>
    <t>Sports</t>
  </si>
  <si>
    <t>SoS</t>
  </si>
  <si>
    <t>Behind</t>
  </si>
  <si>
    <t>Form (last 5)</t>
  </si>
  <si>
    <t>Move</t>
  </si>
  <si>
    <t>Last Played</t>
  </si>
  <si>
    <t>Wks Idle</t>
  </si>
  <si>
    <t>Adj. Rating</t>
  </si>
  <si>
    <t>Dean B</t>
  </si>
  <si>
    <t>Simon</t>
  </si>
  <si>
    <t>Oscar</t>
  </si>
  <si>
    <t>Daniel (Ferret)</t>
  </si>
  <si>
    <t>Dean M</t>
  </si>
  <si>
    <t>Dylan A</t>
  </si>
  <si>
    <t>Chase</t>
  </si>
  <si>
    <t>Dylan S</t>
  </si>
  <si>
    <t>Cody</t>
  </si>
  <si>
    <t>FWC Rating = 1000 + Skill Pts + Form Pts + Arena Pts. Skill &amp; Form are zero-sum (won off each other); Arena is a participation reward for group games. Champion = highest-rated Eligible player. Weights live on the Guide tab.</t>
  </si>
  <si>
    <t>PLAYER CARD</t>
  </si>
  <si>
    <t>Pick any player to see their full story. Everything updates live.     ℹ  Every column &amp; rule is explained on the Guide &amp; Settings tab.</t>
  </si>
  <si>
    <t>Player:</t>
  </si>
  <si>
    <t>BY SPORT</t>
  </si>
  <si>
    <t>Wins</t>
  </si>
  <si>
    <t>Chess</t>
  </si>
  <si>
    <t>Darts</t>
  </si>
  <si>
    <t>FIFA</t>
  </si>
  <si>
    <t>Golf</t>
  </si>
  <si>
    <t>Pool</t>
  </si>
  <si>
    <t>Kelly Pool</t>
  </si>
  <si>
    <t>Sports played</t>
  </si>
  <si>
    <t>Target</t>
  </si>
  <si>
    <t>Strength of schedule</t>
  </si>
  <si>
    <t>Snooker</t>
  </si>
  <si>
    <t>Current streak</t>
  </si>
  <si>
    <t>Putt Putt</t>
  </si>
  <si>
    <t>Back Yard Putt Putt</t>
  </si>
  <si>
    <t>Sting Pong</t>
  </si>
  <si>
    <t>Table Tennis</t>
  </si>
  <si>
    <t>Last played / status</t>
  </si>
  <si>
    <t>Mario Party</t>
  </si>
  <si>
    <t>HIGHLIGHTS</t>
  </si>
  <si>
    <t>Mario Kart</t>
  </si>
  <si>
    <t>Best sport (rating)</t>
  </si>
  <si>
    <t>Go Karting</t>
  </si>
  <si>
    <t>Most-played sport</t>
  </si>
  <si>
    <t>Call of Duty</t>
  </si>
  <si>
    <t>Poker</t>
  </si>
  <si>
    <t>ATHLETE INDEX  ·  what drives the tier</t>
  </si>
  <si>
    <t>ShuffleBoard</t>
  </si>
  <si>
    <t>Overall Index</t>
  </si>
  <si>
    <t>Mario Golf</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</si>
  <si>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</si>
  <si>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</si>
  <si>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</si>
  <si>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</si>
  <si>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</si>
  <si>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</si>
  <si>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</si>
  <si>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</si>
  <si>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</si>
  <si>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</si>
  <si>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</si>
  <si>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</si>
  <si>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</si>
  <si>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</si>
  <si>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</si>
  <si>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</si>
  <si>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</si>
  <si>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</si>
  <si>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</si>
  <si>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</si>
  <si>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</si>
  <si>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Rating</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</si>
  <si>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</si>
  <si>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</si>
  <si>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</si>
  <si>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</si>
  <si>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</si>
  <si>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</si>
  <si>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</si>
  <si>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</si>
  <si>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</si>
  <si>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</si>
  <si>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</si>
  <si>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</si>
  <si>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</si>
  <si>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</si>
  <si>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</si>
  <si>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</si>
  <si>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</si>
  <si>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</si>
  <si>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</si>
  <si>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</si>
  <si>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</si>
  <si>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</si>
  <si>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</si>
  <si>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</si>
  <si>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</si>
  <si>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</si>
  <si>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</si>
  <si>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</si>
  <si>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</si>
  <si>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</si>
  <si>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</si>
  <si>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</si>
  <si>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</si>
  <si>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</si>
  <si>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</si>
  <si>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</si>
  <si>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</si>
  <si>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</si>
  <si>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</si>
  <si>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</si>
  <si>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</si>
  <si>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</si>
  <si>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TRENDS &amp; STORYLINES</t>
  </si>
  <si>
    <t>The living story of the season — every line updates automatically as games are logged.     ℹ  Every column &amp; rule is explained on the Guide &amp; Settings tab.</t>
  </si>
  <si>
    <t>📰  THE STORY SO FAR</t>
  </si>
  <si>
    <t>🏁  THE TITLE RACE</t>
  </si>
  <si>
    <t>Pos</t>
  </si>
  <si>
    <t>Gap to lead</t>
  </si>
  <si>
    <t>🏆  SPORT LADDER  ·  pick a sport →</t>
  </si>
  <si>
    <t>🔥  FORM HEAT MAP</t>
  </si>
  <si>
    <t>last 10 games each — oldest ◄ left · newest ► right   (green = win, red = loss)</t>
  </si>
  <si>
    <t>🎯  SPORT MASTERY HEAT MAP</t>
  </si>
  <si>
    <t>win % per player per sport · red = weak, green = strong · blank = not played</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</si>
  <si>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</si>
  <si>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</si>
  <si>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</si>
  <si>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</si>
  <si>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</si>
  <si>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</si>
  <si>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</si>
  <si>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</si>
  <si>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</si>
  <si>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</si>
  <si>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</si>
  <si>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</si>
  <si>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</si>
  <si>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</si>
  <si>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</si>
  <si>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</si>
  <si>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</si>
  <si>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</si>
  <si>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</si>
  <si>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</si>
  <si>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</si>
  <si>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</si>
  <si>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</si>
  <si>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</si>
  <si>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</si>
  <si>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</si>
  <si>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</si>
  <si>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</si>
  <si>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</si>
  <si>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</si>
  <si>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</si>
  <si>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</si>
  <si>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</si>
  <si>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</si>
  <si>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</si>
  <si>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</si>
  <si>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</si>
  <si>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</si>
  <si>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</si>
  <si>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</si>
  <si>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</si>
  <si>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</si>
  <si>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</si>
  <si>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</si>
  <si>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CALCS (hidden helper — do not edit)</t>
  </si>
  <si>
    <t>Cutoff (7d before latest):</t>
  </si>
  <si>
    <t>League last game:</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</si>
  <si>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</si>
  <si>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</si>
  <si>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</si>
  <si>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</si>
  <si>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</si>
  <si>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</si>
  <si>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</si>
  <si>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</si>
  <si>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</si>
  <si>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</si>
  <si>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</si>
  <si>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</si>
  <si>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</si>
  <si>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</si>
  <si>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</si>
  <si>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</si>
  <si>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</si>
  <si>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</si>
  <si>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</si>
  <si>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</si>
  <si>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</si>
  <si>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</si>
  <si>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</si>
  <si>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</si>
  <si>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</si>
  <si>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</si>
  <si>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</si>
  <si>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</si>
  <si>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   T H E   F W C   W E E K L Y</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</si>
  <si>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</si>
  <si>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</si>
  <si>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</si>
  <si>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Good morning and welcome to the Wrap, the only place that treats a backyard championship like the world title it actually is. Robbo, I have called a lot of hot streaks in my time, but I am not sure I have ever seen anyone catch fire quite like Aaron did this week.</t>
  </si>
  <si>
    <t>ROBBO</t>
  </si>
  <si>
    <t>He has not lost in five, Macca. Five wins from five, a form rating sitting on a perfect hundred, and he did it the hard way. Ten games, seven wins, and most of them came against a bloke who has been a genuine thorn in his side for months.</t>
  </si>
  <si>
    <t>Shawn. And we will get to that little tit for tat, because it was brutal to watch.</t>
  </si>
  <si>
    <t>It was a clinic. But here is the thing nobody is saying out loud. Aaron is now the single highest rated athlete in this entire championship on the Athlete Index. Eighty one point six. That is higher than the bloke sitting on top of the ladder.</t>
  </si>
  <si>
    <t>Hang on. The man on top of the ladder is Dean B.</t>
  </si>
  <si>
    <t>Exactly my point. Hold that thought.</t>
  </si>
  <si>
    <t>THE TITLE RACE</t>
  </si>
  <si>
    <t>Let us do the ladder, because it tells two stories at once. Dean B is your number one, a rating of eleven eighty nine, clear at the top. Josh sits second on eleven forty seven. Then it is Aaron charging into third on eleven twenty five.</t>
  </si>
  <si>
    <t>And the gap from first to third is only sixty four points. In this comp that is two good nights of work. But watch what is propping Dean B up. His skill rating is ninety seven point three, the highest number anybody has posted all season. When the man plays, he is ruthless.</t>
  </si>
  <si>
    <t>I can sense a but the size of a house coming.</t>
  </si>
  <si>
    <t>He has done it across three sports, Macca. Three. His versatility score is sixty seven. Aaron, Josh, Oscar, Shawn and Daniel are all sitting on a perfect hundred for versatility because they will play anything you put in front of them. Dean B is a specialist sitting on a lead, and he did not log a single game this week.</t>
  </si>
  <si>
    <t>So the crown is real, but the throne might be wobbling.</t>
  </si>
  <si>
    <t>That is exactly how I would call it.</t>
  </si>
  <si>
    <t>THE FORM DESK</t>
  </si>
  <si>
    <t>Form desk. Aaron we have covered, the perfect five. Who else is warm?</t>
  </si>
  <si>
    <t>Oscar. And this is the one nobody is watching. Four wins from his last five, a form rating of eighty, an Athlete Index of seventy three that is line ball with Dean B and Josh, and he is sitting quietly in fifth. He did not even play this week and he is still one of the three best athletes in the comp by the numbers.</t>
  </si>
  <si>
    <t>The lurker.</t>
  </si>
  <si>
    <t>The lurker. Now for the bad news, and it is wearing Simon's colours. Rank four on the ladder, but three straight losses, and his last five reads win, win, loss, loss, loss. That arrow is pointing the wrong way in a hurry.</t>
  </si>
  <si>
    <t>From a top four seed, that one will sting.</t>
  </si>
  <si>
    <t>RIVALRY CORNER</t>
  </si>
  <si>
    <t>Right. The main event. Aaron versus Shawn. Tell them what happened.</t>
  </si>
  <si>
    <t>Seven to three. That is how their personal duel finished this week across Mario Party, FIFA and Mario Kart. And the Mario Kart leg was the killer. Aaron swept it three nil.</t>
  </si>
  <si>
    <t>Three from three on the karts. No reply.</t>
  </si>
  <si>
    <t>It pushes Aaron's all time record over Shawn out to seventy three percent across eleven decided games. When these two play, it is Aaron's world. But do not feel too sorry for Shawn, because he gave us the other great rivalry story of the week.</t>
  </si>
  <si>
    <t>The Ferret.</t>
  </si>
  <si>
    <t>Shawn and Daniel the Ferret have now shared nineteen games. Nineteen. That is the most played pairing in the history of this championship, and it is desperately tight. Shawn leads it fifty six to forty four. And this very morning Shawn snapped a four game losing skid by beating Daniel at the chess board.</t>
  </si>
  <si>
    <t>Ended the slide with his brain instead of his thumbs. I love it.</t>
  </si>
  <si>
    <t>And keep one eye on Josh and Daniel. They split their Mario Golf duel two games apiece, but the real headline was Josh knocking off the Ferret in a contest where our model gave him a twenty five percent chance. Upset of the week, no question about it.</t>
  </si>
  <si>
    <t>THE NUMBERS NOBODY IS TALKING ABOUT</t>
  </si>
  <si>
    <t>This is my favourite segment. Robbo, give me the stat that changes how people see this week.</t>
  </si>
  <si>
    <t>Daniel the Ferret. Forty nine games played, across eleven different sports. Nobody in this championship has played more, and nobody has played wider. He is the Iron Man and the all rounder rolled into one human being.</t>
  </si>
  <si>
    <t>I feel another but coming on.</t>
  </si>
  <si>
    <t>His win rate is forty three percent. So the question for the Ferret is a simple one. Is it time to stop collecting new sports and start winning the ones he is already best at?</t>
  </si>
  <si>
    <t>Give me one more.</t>
  </si>
  <si>
    <t>Shawn. Everyone sees rank eleven and writes him off. But he carries one of the toughest strength of schedule numbers of any regular in the comp, seventy four point six, and he played eleven games this week, more than any other human in the championship. He is grinding the hardest road there is, and the ranking will catch up to the effort.</t>
  </si>
  <si>
    <t>And the bloke at the foot of the table?</t>
  </si>
  <si>
    <t>Cody. And I will be honest, it is grim reading. He is winless in his head to head record, nought percent against the field. But here is the twist. His strength of schedule is seventy five, the toughest in the entire comp. He is not losing to easybeats, he is losing to the very best. One win against that calibre and the dam could break.</t>
  </si>
  <si>
    <t>WHAT WE ARE WATCHING NEXT</t>
  </si>
  <si>
    <t>Next week. What are your eyes on?</t>
  </si>
  <si>
    <t>Aaron. He is twenty two points behind Josh and sixty four behind Dean B. If he holds this form for one more week, we are talking about a brand new name at the very top of this championship.</t>
  </si>
  <si>
    <t>And Dean B has a decision to make. Defend that lead, or keep sitting on it.</t>
  </si>
  <si>
    <t>Sitting still is not free in this format. Every week you do not play, the chasers close the gap. I want to see the champion come out and answer the question.</t>
  </si>
  <si>
    <t>For mine, I want game twenty of Shawn versus the Ferret. Nineteen all square in the rear view mirror, the whole rivalry balanced on a knife's edge.</t>
  </si>
  <si>
    <t>Book it.</t>
  </si>
  <si>
    <t>THE SIGN OFF</t>
  </si>
  <si>
    <t>That is the Wrap. Aaron is flying, Dean B is suddenly under pressure, and the Ferret keeps racking up the miles. Get your games in, because the numbers are watching even when we are not.</t>
  </si>
  <si>
    <t>Play more, play smart, and we will see you next Monday.</t>
  </si>
  <si>
    <t>Same chairs, fresh numbers. Cheers all.</t>
  </si>
  <si>
    <t>THE MONDAY WRAP      ·      with Macca and Robbo      ·      Week ending Monday 29 June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</si>
</sst>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
    <numFmt numFmtId="165" formatCode="yyyy\-mm\-dd"/>
    <numFmt numFmtId="166" formatCode="0;\-0;;"/>
    <numFmt numFmtId="167" formatCode="0.0%;;;"/>
    <numFmt numFmtId="168" formatCode="\+0.0;\-0.0;;"/>
    <numFmt numFmtId="169" formatCode="\+0.0;;;"/>
    <numFmt numFmtId="170" formatCode="0.0"/>
    <numFmt numFmtId="171" formatCode="mm/dd/yy"/>
  </numFmts>
  <fonts count="70" x14ac:knownFonts="1">
    <font>
      <sz val="11"/>
      <color theme="1"/>
      <name val="Calibri"/>
      <family val="2"/>
      <charset val="1"/>
    </font>
    <font>
      <b/>
      <sz val="16"/>
      <color rgb="FF0D2240"/>
      <name val="Calibri"/>
      <charset val="1"/>
    </font>
    <font>
      <sz val="10"/>
      <color rgb="FF23303F"/>
      <name val="Calibri"/>
      <charset val="1"/>
    </font>
    <font>
      <b/>
      <sz val="12"/>
      <color rgb="FFB23A48"/>
      <name val="Arial"/>
      <family val="2"/>
      <charset val="1"/>
    </font>
    <font>
      <b/>
      <sz val="12"/>
      <color rgb="FF0D2240"/>
      <name val="Calibri"/>
      <charset val="1"/>
    </font>
    <font>
      <sz val="10"/>
      <name val="Arial"/>
      <family val="2"/>
      <charset val="1"/>
    </font>
    <font>
      <b/>
      <sz val="10"/>
      <color rgb="FF23303F"/>
      <name val="Calibri"/>
      <charset val="1"/>
    </font>
    <font>
      <b/>
      <sz val="11"/>
      <color rgb="FF0D2240"/>
      <name val="Calibri"/>
      <charset val="1"/>
    </font>
    <font>
      <b/>
      <sz val="11"/>
      <color rgb="FF0000FF"/>
      <name val="Arial"/>
      <family val="2"/>
      <charset val="1"/>
    </font>
    <font>
      <sz val="9"/>
      <color rgb="FF6B7280"/>
      <name val="Calibri"/>
      <charset val="1"/>
    </font>
    <font>
      <b/>
      <sz val="12"/>
      <name val="Cambria"/>
      <charset val="1"/>
    </font>
    <font>
      <i/>
      <sz val="10"/>
      <color rgb="FF6B7280"/>
      <name val="Calibri"/>
      <charset val="1"/>
    </font>
    <font>
      <b/>
      <sz val="18"/>
      <color rgb="FF0D2240"/>
      <name val="Calibri"/>
      <family val="2"/>
      <charset val="1"/>
    </font>
    <font>
      <sz val="11"/>
      <name val="Cambria"/>
      <charset val="1"/>
    </font>
    <font>
      <i/>
      <sz val="10"/>
      <color rgb="FF5D6F81"/>
      <name val="Calibri"/>
      <family val="2"/>
      <charset val="1"/>
    </font>
    <font>
      <b/>
      <sz val="10"/>
      <color rgb="FFB0892F"/>
      <name val="Calibri"/>
      <family val="2"/>
      <charset val="1"/>
    </font>
    <font>
      <b/>
      <sz val="26"/>
      <color rgb="FF0D2240"/>
      <name val="Calibri"/>
      <family val="2"/>
      <charset val="1"/>
    </font>
    <font>
      <sz val="11"/>
      <color rgb="FF5D6F81"/>
      <name val="Calibri"/>
      <family val="2"/>
      <charset val="1"/>
    </font>
    <font>
      <b/>
      <sz val="11"/>
      <color rgb="FF0D2240"/>
      <name val="Calibri"/>
      <family val="2"/>
      <charset val="1"/>
    </font>
    <font>
      <b/>
      <sz val="10"/>
      <color rgb="FFFFFFFF"/>
      <name val="Calibri"/>
      <family val="2"/>
      <charset val="1"/>
    </font>
    <font>
      <b/>
      <sz val="11"/>
      <color rgb="FF23303F"/>
      <name val="Calibri"/>
      <family val="2"/>
      <charset val="1"/>
    </font>
    <font>
      <sz val="11"/>
      <color rgb="FF23303F"/>
      <name val="Calibri"/>
      <family val="2"/>
      <charset val="1"/>
    </font>
    <font>
      <b/>
      <sz val="14"/>
      <color rgb="FF0D2240"/>
      <name val="Calibri"/>
      <charset val="1"/>
    </font>
    <font>
      <sz val="10"/>
      <color rgb="FF6B7280"/>
      <name val="Calibri"/>
      <charset val="1"/>
    </font>
    <font>
      <b/>
      <sz val="10"/>
      <color rgb="FFFFFFFF"/>
      <name val="Calibri"/>
      <charset val="1"/>
    </font>
    <font>
      <b/>
      <sz val="11"/>
      <color rgb="FFB0892F"/>
      <name val="Calibri"/>
      <charset val="1"/>
    </font>
    <font>
      <b/>
      <sz val="10"/>
      <color rgb="FF0D2240"/>
      <name val="Calibri"/>
      <charset val="1"/>
    </font>
    <font>
      <b/>
      <sz val="18"/>
      <color rgb="FF1B2A4A"/>
      <name val="Arial"/>
      <family val="2"/>
      <charset val="1"/>
    </font>
    <font>
      <i/>
      <sz val="10"/>
      <color rgb="FF6B7280"/>
      <name val="Arial"/>
      <family val="2"/>
      <charset val="1"/>
    </font>
    <font>
      <sz val="5"/>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sz val="11"/>
      <color rgb="FF23303F"/>
      <name val="Calibri"/>
      <charset val="1"/>
    </font>
    <font>
      <b/>
      <sz val="13"/>
      <color rgb="FFB0892F"/>
      <name val="Calibri"/>
      <charset val="1"/>
    </font>
    <font>
      <b/>
      <sz val="16"/>
      <color rgb="FF1B2A4A"/>
      <name val="Arial"/>
      <family val="2"/>
      <charset val="1"/>
    </font>
    <font>
      <b/>
      <sz val="10"/>
      <color rgb="FF1B2A4A"/>
      <name val="Arial"/>
      <family val="2"/>
      <charset val="1"/>
    </font>
    <font>
      <b/>
      <sz val="11"/>
      <color rgb="FFB23A48"/>
      <name val="Arial"/>
      <family val="2"/>
      <charset val="1"/>
    </font>
    <font>
      <b/>
      <sz val="16"/>
      <color rgb="FF0D2240"/>
      <name val="Calibri"/>
      <family val="2"/>
      <charset val="1"/>
    </font>
    <font>
      <b/>
      <sz val="10"/>
      <color rgb="FF0D2240"/>
      <name val="Calibri"/>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charset val="1"/>
    </font>
    <font>
      <b/>
      <sz val="9"/>
      <color rgb="FF23303F"/>
      <name val="Calibri"/>
      <charset val="1"/>
    </font>
    <font>
      <b/>
      <sz val="9"/>
      <color rgb="FFFFFFFF"/>
      <name val="Calibri"/>
      <charset val="1"/>
    </font>
    <font>
      <b/>
      <sz val="8"/>
      <color rgb="FFFFFFFF"/>
      <name val="Calibri"/>
      <charset val="1"/>
    </font>
    <font>
      <sz val="8"/>
      <color rgb="FF23303F"/>
      <name val="Calibri"/>
      <charset val="1"/>
    </font>
    <font>
      <b/>
      <sz val="13"/>
      <color rgb="FF1B2A4A"/>
      <name val="Arial"/>
      <family val="2"/>
      <charset val="1"/>
    </font>
    <font>
      <i/>
      <sz val="9"/>
      <color rgb="FFB23A48"/>
      <name val="Arial"/>
      <family val="2"/>
      <charset val="1"/>
    </font>
    <font>
      <b/>
      <sz val="11"/>
      <color rgb="FFB0892F"/>
      <name val="Calibri"/>
      <family val="2"/>
      <charset val="1"/>
    </font>
    <font>
      <b/>
      <sz val="10"/>
      <color rgb="FF23303F"/>
      <name val="Calibri"/>
      <family val="2"/>
      <charset val="1"/>
    </font>
    <font>
      <sz val="10"/>
      <color rgb="FF23303F"/>
      <name val="Calibri"/>
      <family val="2"/>
      <charset val="1"/>
    </font>
    <font>
      <sz val="9.5"/>
      <color rgb="FF23303F"/>
      <name val="Calibri"/>
      <family val="2"/>
      <charset val="1"/>
    </font>
    <font>
      <b/>
      <sz val="26"/>
      <color rgb="FF0D2240"/>
      <name val="Calibri"/>
      <family val="2"/>
    </font>
    <font>
      <i/>
      <sz val="11"/>
      <color rgb="FF6B7280"/>
      <name val="Calibri"/>
      <family val="2"/>
    </font>
    <font>
      <b/>
      <sz val="11"/>
      <color rgb="FFFFFFFF"/>
      <name val="Calibri"/>
      <family val="2"/>
    </font>
    <font>
      <sz val="11"/>
      <color rgb="FF23303F"/>
      <name val="Calibri"/>
      <family val="2"/>
    </font>
    <font>
      <b/>
      <sz val="11"/>
      <color rgb="FF0D2240"/>
      <name val="Calibri"/>
      <family val="2"/>
    </font>
    <font>
      <b/>
      <sz val="11"/>
      <color rgb="FFB0892F"/>
      <name val="Calibri"/>
      <family val="2"/>
    </font>
    <font>
      <sz val="10"/>
      <color rgb="FF44505E"/>
      <name val="Calibri"/>
      <family val="2"/>
    </font>
  </fonts>
  <fills count="13">
    <fill>
      <patternFill patternType="none"/>
    </fill>
    <fill>
      <patternFill patternType="gray125"/>
    </fill>
    <fill>
      <patternFill patternType="solid">
        <fgColor rgb="FFFFF2CC"/>
        <bgColor rgb="FFFBEEC8"/>
      </patternFill>
    </fill>
    <fill>
      <patternFill patternType="solid">
        <fgColor rgb="FFFBF4E1"/>
        <bgColor rgb="FFFFF8E1"/>
      </patternFill>
    </fill>
    <fill>
      <patternFill patternType="solid">
        <fgColor rgb="FF0D2240"/>
        <bgColor rgb="FF1B2A4A"/>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s>
  <borders count="5">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s>
  <cellStyleXfs count="1">
    <xf numFmtId="0" fontId="0" fillId="0" borderId="0"/>
  </cellStyleXfs>
  <cellXfs count="156">
    <xf numFmtId="0" fontId="0" fillId="0" borderId="0" xfId="0"/>
    <xf numFmtId="0" fontId="45" fillId="0" borderId="0" xfId="0" applyFont="1" applyAlignment="1">
      <alignment horizontal="left" vertical="center"/>
    </xf>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13" fillId="0" borderId="0" xfId="0" applyFont="1"/>
    <xf numFmtId="0" fontId="19" fillId="4" borderId="2" xfId="0" applyFont="1" applyFill="1" applyBorder="1" applyAlignment="1">
      <alignment horizontal="left" vertical="center" indent="1"/>
    </xf>
    <xf numFmtId="0" fontId="20" fillId="0" borderId="2" xfId="0" applyFont="1" applyBorder="1" applyAlignment="1">
      <alignment horizontal="left" vertical="center" indent="1"/>
    </xf>
    <xf numFmtId="0" fontId="18" fillId="0" borderId="2" xfId="0" applyFont="1" applyBorder="1" applyAlignment="1">
      <alignment horizontal="left" vertical="center" indent="1"/>
    </xf>
    <xf numFmtId="0" fontId="21" fillId="0" borderId="2" xfId="0" applyFont="1" applyBorder="1" applyAlignment="1">
      <alignment horizontal="left" vertical="center" indent="1"/>
    </xf>
    <xf numFmtId="0" fontId="22" fillId="0" borderId="0" xfId="0" applyFont="1"/>
    <xf numFmtId="0" fontId="23" fillId="0" borderId="0" xfId="0" applyFont="1"/>
    <xf numFmtId="0" fontId="24" fillId="4" borderId="3" xfId="0" applyFont="1" applyFill="1" applyBorder="1" applyAlignment="1">
      <alignment horizontal="center" vertical="center"/>
    </xf>
    <xf numFmtId="0" fontId="7" fillId="0" borderId="3" xfId="0" applyFont="1" applyBorder="1" applyAlignment="1">
      <alignment horizontal="center" vertical="center"/>
    </xf>
    <xf numFmtId="0" fontId="25"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25"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6" fillId="0" borderId="0" xfId="0" applyFont="1"/>
    <xf numFmtId="0" fontId="25" fillId="0" borderId="0" xfId="0" applyFont="1"/>
    <xf numFmtId="0" fontId="27" fillId="0" borderId="0" xfId="0" applyFont="1"/>
    <xf numFmtId="0" fontId="28" fillId="0" borderId="0" xfId="0" applyFont="1"/>
    <xf numFmtId="0" fontId="29" fillId="0" borderId="0" xfId="0" applyFont="1" applyAlignment="1">
      <alignment horizontal="center" vertical="center" wrapText="1"/>
    </xf>
    <xf numFmtId="0" fontId="30" fillId="0" borderId="0" xfId="0" applyFont="1" applyAlignment="1">
      <alignment horizontal="center" vertical="center" wrapText="1"/>
    </xf>
    <xf numFmtId="0" fontId="31" fillId="0" borderId="0" xfId="0" applyFont="1"/>
    <xf numFmtId="0" fontId="32" fillId="6" borderId="1" xfId="0" applyFont="1" applyFill="1" applyBorder="1" applyAlignment="1">
      <alignment horizontal="center" vertical="center"/>
    </xf>
    <xf numFmtId="0" fontId="33" fillId="0" borderId="1" xfId="0" applyFont="1" applyBorder="1" applyAlignment="1">
      <alignment horizontal="center" vertical="center"/>
    </xf>
    <xf numFmtId="0" fontId="34" fillId="0" borderId="1" xfId="0" applyFont="1" applyBorder="1" applyAlignment="1">
      <alignment horizontal="left" vertical="center"/>
    </xf>
    <xf numFmtId="1" fontId="35" fillId="0" borderId="1" xfId="0" applyNumberFormat="1" applyFont="1" applyBorder="1" applyAlignment="1">
      <alignment horizontal="center" vertical="center"/>
    </xf>
    <xf numFmtId="0" fontId="36" fillId="0" borderId="1" xfId="0" applyFont="1" applyBorder="1" applyAlignment="1">
      <alignment horizontal="center" vertical="center"/>
    </xf>
    <xf numFmtId="9" fontId="36" fillId="0" borderId="1" xfId="0" applyNumberFormat="1" applyFont="1" applyBorder="1" applyAlignment="1">
      <alignment horizontal="center" vertical="center"/>
    </xf>
    <xf numFmtId="1" fontId="36" fillId="0" borderId="1" xfId="0" applyNumberFormat="1" applyFont="1" applyBorder="1" applyAlignment="1">
      <alignment horizontal="center" vertical="center"/>
    </xf>
    <xf numFmtId="0" fontId="37" fillId="0" borderId="0" xfId="0" applyFont="1"/>
    <xf numFmtId="0" fontId="1" fillId="0" borderId="0" xfId="0" applyFont="1"/>
    <xf numFmtId="0" fontId="4" fillId="3" borderId="3" xfId="0" applyFont="1" applyFill="1" applyBorder="1" applyAlignment="1">
      <alignment horizontal="center" vertical="center"/>
    </xf>
    <xf numFmtId="0" fontId="7" fillId="5" borderId="3" xfId="0" applyFont="1" applyFill="1" applyBorder="1" applyAlignment="1">
      <alignment horizontal="left" vertical="center"/>
    </xf>
    <xf numFmtId="0" fontId="38"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38"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38" fillId="0" borderId="3" xfId="0" applyNumberFormat="1" applyFont="1" applyBorder="1" applyAlignment="1">
      <alignment horizontal="left" vertical="center"/>
    </xf>
    <xf numFmtId="0" fontId="7" fillId="5" borderId="3" xfId="0" applyFont="1" applyFill="1" applyBorder="1"/>
    <xf numFmtId="0" fontId="38" fillId="0" borderId="3" xfId="0" applyFont="1" applyBorder="1"/>
    <xf numFmtId="0" fontId="25"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6" fillId="0" borderId="1" xfId="0" applyNumberFormat="1" applyFont="1" applyBorder="1" applyAlignment="1">
      <alignment horizontal="center" vertical="center"/>
    </xf>
    <xf numFmtId="0" fontId="42" fillId="0" borderId="0" xfId="0" applyFont="1"/>
    <xf numFmtId="0" fontId="43" fillId="0" borderId="0" xfId="0" applyFont="1"/>
    <xf numFmtId="0" fontId="44" fillId="0" borderId="0" xfId="0" applyFont="1"/>
    <xf numFmtId="0" fontId="46" fillId="4" borderId="2" xfId="0" applyFont="1" applyFill="1" applyBorder="1" applyAlignment="1">
      <alignment horizontal="center" vertical="center"/>
    </xf>
    <xf numFmtId="0" fontId="46" fillId="4" borderId="2" xfId="0" applyFont="1" applyFill="1" applyBorder="1" applyAlignment="1">
      <alignment horizontal="center" textRotation="90"/>
    </xf>
    <xf numFmtId="0" fontId="47" fillId="0" borderId="2" xfId="0" applyFont="1" applyBorder="1" applyAlignment="1">
      <alignment horizontal="left" vertical="center"/>
    </xf>
    <xf numFmtId="0" fontId="48" fillId="0" borderId="2" xfId="0" applyFont="1" applyBorder="1" applyAlignment="1">
      <alignment horizontal="center" vertical="center"/>
    </xf>
    <xf numFmtId="0" fontId="49" fillId="0" borderId="2" xfId="0" applyFont="1" applyBorder="1" applyAlignment="1">
      <alignment horizontal="center" vertical="center"/>
    </xf>
    <xf numFmtId="0" fontId="50" fillId="3" borderId="2" xfId="0" applyFont="1" applyFill="1" applyBorder="1" applyAlignment="1">
      <alignment horizontal="center" vertical="center"/>
    </xf>
    <xf numFmtId="9" fontId="48" fillId="0" borderId="2" xfId="0" applyNumberFormat="1" applyFont="1" applyBorder="1" applyAlignment="1">
      <alignment horizontal="center" vertical="center"/>
    </xf>
    <xf numFmtId="0" fontId="46" fillId="4" borderId="2" xfId="0" applyFont="1" applyFill="1" applyBorder="1" applyAlignment="1">
      <alignment horizontal="left" vertical="center"/>
    </xf>
    <xf numFmtId="1" fontId="48" fillId="0" borderId="2" xfId="0" applyNumberFormat="1" applyFont="1" applyBorder="1" applyAlignment="1">
      <alignment horizontal="center" vertical="center"/>
    </xf>
    <xf numFmtId="1" fontId="0" fillId="0" borderId="0" xfId="0" applyNumberFormat="1"/>
    <xf numFmtId="0" fontId="2" fillId="3" borderId="3" xfId="0" applyFont="1" applyFill="1" applyBorder="1" applyAlignment="1">
      <alignment horizontal="left" vertical="center"/>
    </xf>
    <xf numFmtId="0" fontId="2" fillId="3" borderId="3" xfId="0" applyFont="1" applyFill="1" applyBorder="1" applyAlignment="1">
      <alignment horizontal="center" vertical="center"/>
    </xf>
    <xf numFmtId="0" fontId="26" fillId="0" borderId="3" xfId="0" applyFont="1" applyBorder="1" applyAlignment="1">
      <alignment horizontal="left" vertical="center"/>
    </xf>
    <xf numFmtId="0" fontId="26" fillId="5" borderId="3" xfId="0" applyFont="1" applyFill="1" applyBorder="1" applyAlignment="1">
      <alignment horizontal="left" vertical="center"/>
    </xf>
    <xf numFmtId="0" fontId="51" fillId="4" borderId="3" xfId="0" applyFont="1" applyFill="1" applyBorder="1" applyAlignment="1">
      <alignment horizontal="center" vertical="center"/>
    </xf>
    <xf numFmtId="0" fontId="25" fillId="5" borderId="3" xfId="0" applyFont="1" applyFill="1" applyBorder="1" applyAlignment="1">
      <alignment horizontal="left" vertical="center"/>
    </xf>
    <xf numFmtId="0" fontId="38" fillId="8" borderId="3" xfId="0" applyFont="1" applyFill="1" applyBorder="1" applyAlignment="1">
      <alignment horizontal="left" vertical="center"/>
    </xf>
    <xf numFmtId="0" fontId="13" fillId="8" borderId="3" xfId="0" applyFont="1" applyFill="1" applyBorder="1"/>
    <xf numFmtId="0" fontId="38" fillId="9" borderId="3" xfId="0" applyFont="1" applyFill="1" applyBorder="1" applyAlignment="1">
      <alignment horizontal="left" vertical="center"/>
    </xf>
    <xf numFmtId="0" fontId="13" fillId="9" borderId="3" xfId="0" applyFont="1" applyFill="1" applyBorder="1"/>
    <xf numFmtId="9" fontId="13" fillId="9" borderId="3" xfId="0" applyNumberFormat="1" applyFont="1" applyFill="1" applyBorder="1"/>
    <xf numFmtId="1" fontId="13" fillId="9" borderId="3" xfId="0" applyNumberFormat="1" applyFont="1" applyFill="1" applyBorder="1"/>
    <xf numFmtId="9" fontId="13" fillId="8" borderId="3" xfId="0" applyNumberFormat="1" applyFont="1" applyFill="1" applyBorder="1"/>
    <xf numFmtId="1" fontId="13" fillId="8" borderId="3" xfId="0" applyNumberFormat="1" applyFont="1" applyFill="1" applyBorder="1"/>
    <xf numFmtId="9" fontId="13" fillId="0" borderId="0" xfId="0" applyNumberFormat="1" applyFont="1"/>
    <xf numFmtId="1" fontId="13" fillId="0" borderId="0" xfId="0" applyNumberFormat="1" applyFont="1"/>
    <xf numFmtId="9" fontId="24" fillId="4" borderId="3" xfId="0" applyNumberFormat="1" applyFont="1" applyFill="1" applyBorder="1" applyAlignment="1">
      <alignment horizontal="center" vertical="center"/>
    </xf>
    <xf numFmtId="0" fontId="25" fillId="3" borderId="3" xfId="0" applyFont="1" applyFill="1" applyBorder="1" applyAlignment="1">
      <alignment horizontal="center" vertical="center"/>
    </xf>
    <xf numFmtId="0" fontId="25" fillId="3" borderId="3" xfId="0" applyFont="1" applyFill="1" applyBorder="1" applyAlignment="1">
      <alignment horizontal="left" vertical="center"/>
    </xf>
    <xf numFmtId="9" fontId="25" fillId="3" borderId="3" xfId="0" applyNumberFormat="1" applyFont="1" applyFill="1" applyBorder="1" applyAlignment="1">
      <alignment horizontal="center" vertical="center"/>
    </xf>
    <xf numFmtId="0" fontId="38" fillId="0" borderId="3" xfId="0" applyFont="1" applyBorder="1" applyAlignment="1">
      <alignment horizontal="center" vertical="center"/>
    </xf>
    <xf numFmtId="9" fontId="38" fillId="0" borderId="3" xfId="0" applyNumberFormat="1" applyFont="1" applyBorder="1" applyAlignment="1">
      <alignment horizontal="center" vertical="center"/>
    </xf>
    <xf numFmtId="0" fontId="52" fillId="0" borderId="0" xfId="0" applyFont="1"/>
    <xf numFmtId="0" fontId="53" fillId="0" borderId="3" xfId="0" applyFont="1" applyBorder="1" applyAlignment="1">
      <alignment horizontal="center" vertical="center"/>
    </xf>
    <xf numFmtId="0" fontId="54" fillId="4" borderId="3" xfId="0" applyFont="1" applyFill="1" applyBorder="1" applyAlignment="1">
      <alignment horizontal="center" vertical="center"/>
    </xf>
    <xf numFmtId="0" fontId="55" fillId="4" borderId="3" xfId="0" applyFont="1" applyFill="1" applyBorder="1" applyAlignment="1">
      <alignment horizontal="center" textRotation="90"/>
    </xf>
    <xf numFmtId="9" fontId="56" fillId="0" borderId="3" xfId="0" applyNumberFormat="1" applyFont="1" applyBorder="1" applyAlignment="1">
      <alignment horizontal="center" vertical="center"/>
    </xf>
    <xf numFmtId="0" fontId="36" fillId="10" borderId="1" xfId="0" applyFont="1" applyFill="1" applyBorder="1" applyAlignment="1" applyProtection="1">
      <alignment horizontal="center" vertical="center"/>
      <protection locked="0"/>
    </xf>
    <xf numFmtId="165" fontId="36" fillId="10" borderId="1" xfId="0" applyNumberFormat="1" applyFont="1" applyFill="1" applyBorder="1" applyAlignment="1" applyProtection="1">
      <alignment horizontal="center" vertical="center"/>
      <protection locked="0"/>
    </xf>
    <xf numFmtId="0" fontId="36" fillId="10" borderId="1" xfId="0" applyFont="1" applyFill="1" applyBorder="1" applyAlignment="1" applyProtection="1">
      <alignment horizontal="left" vertical="center"/>
      <protection locked="0"/>
    </xf>
    <xf numFmtId="164" fontId="36" fillId="11" borderId="1" xfId="0" applyNumberFormat="1" applyFont="1" applyFill="1" applyBorder="1" applyAlignment="1">
      <alignment horizontal="center" vertical="center"/>
    </xf>
    <xf numFmtId="0" fontId="36" fillId="11" borderId="1" xfId="0" applyFont="1" applyFill="1" applyBorder="1" applyAlignment="1">
      <alignment horizontal="center" vertical="center"/>
    </xf>
    <xf numFmtId="166" fontId="36" fillId="11" borderId="1" xfId="0" applyNumberFormat="1" applyFont="1" applyFill="1" applyBorder="1" applyAlignment="1">
      <alignment horizontal="center" vertical="center"/>
    </xf>
    <xf numFmtId="167" fontId="36" fillId="11" borderId="1" xfId="0" applyNumberFormat="1" applyFont="1" applyFill="1" applyBorder="1" applyAlignment="1">
      <alignment horizontal="center" vertical="center"/>
    </xf>
    <xf numFmtId="168" fontId="36" fillId="11" borderId="1" xfId="0" applyNumberFormat="1" applyFont="1" applyFill="1" applyBorder="1" applyAlignment="1">
      <alignment horizontal="center" vertical="center"/>
    </xf>
    <xf numFmtId="169" fontId="36" fillId="11" borderId="1" xfId="0" applyNumberFormat="1" applyFont="1" applyFill="1" applyBorder="1" applyAlignment="1">
      <alignment horizontal="center" vertical="center"/>
    </xf>
    <xf numFmtId="170" fontId="0" fillId="0" borderId="0" xfId="0" applyNumberFormat="1"/>
    <xf numFmtId="0" fontId="59" fillId="0" borderId="0" xfId="0" applyFont="1" applyAlignment="1">
      <alignment horizontal="center" vertical="center"/>
    </xf>
    <xf numFmtId="0" fontId="60" fillId="0" borderId="2" xfId="0" applyFont="1" applyBorder="1" applyAlignment="1">
      <alignment horizontal="left" vertical="center"/>
    </xf>
    <xf numFmtId="0" fontId="61" fillId="12" borderId="2" xfId="0" applyFont="1" applyFill="1" applyBorder="1" applyAlignment="1">
      <alignment horizontal="center" vertical="center"/>
    </xf>
    <xf numFmtId="0" fontId="44" fillId="0" borderId="2" xfId="0" applyFont="1" applyBorder="1" applyAlignment="1">
      <alignment horizontal="center" vertical="center"/>
    </xf>
    <xf numFmtId="0" fontId="62" fillId="0" borderId="2" xfId="0" applyFont="1" applyBorder="1" applyAlignment="1">
      <alignment horizontal="left" vertical="center"/>
    </xf>
    <xf numFmtId="171" fontId="0" fillId="0" borderId="0" xfId="0" applyNumberFormat="1"/>
    <xf numFmtId="165" fontId="0" fillId="0" borderId="0" xfId="0" applyNumberFormat="1"/>
    <xf numFmtId="164" fontId="0" fillId="0" borderId="0" xfId="0" applyNumberFormat="1"/>
    <xf numFmtId="0" fontId="67" fillId="0" borderId="0" xfId="0" applyFont="1" applyAlignment="1">
      <alignment horizontal="left" vertical="top"/>
    </xf>
    <xf numFmtId="0" fontId="68" fillId="0" borderId="0" xfId="0" applyFont="1" applyAlignment="1">
      <alignment horizontal="left" vertical="top"/>
    </xf>
    <xf numFmtId="0" fontId="66" fillId="0" borderId="0" xfId="0" applyFont="1" applyAlignment="1">
      <alignment horizontal="left" vertical="top" wrapText="1"/>
    </xf>
    <xf numFmtId="0" fontId="0" fillId="0" borderId="0" xfId="0"/>
    <xf numFmtId="0" fontId="65" fillId="4" borderId="0" xfId="0" applyFont="1" applyFill="1" applyAlignment="1">
      <alignment horizontal="left" vertical="center" indent="1"/>
    </xf>
    <xf numFmtId="0" fontId="63" fillId="0" borderId="0" xfId="0" applyFont="1" applyAlignment="1">
      <alignment horizontal="center" vertical="center"/>
    </xf>
    <xf numFmtId="0" fontId="64" fillId="0" borderId="0" xfId="0" applyFont="1" applyAlignment="1">
      <alignment horizontal="center" vertical="center"/>
    </xf>
    <xf numFmtId="0" fontId="69" fillId="0" borderId="0" xfId="0" applyFont="1" applyAlignment="1">
      <alignment horizontal="left" vertical="top" wrapText="1"/>
    </xf>
    <xf numFmtId="0" fontId="18" fillId="0" borderId="0" xfId="0" applyFont="1" applyAlignment="1">
      <alignment horizontal="left" indent="1"/>
    </xf>
    <xf numFmtId="0" fontId="12" fillId="0" borderId="0" xfId="0" applyFont="1" applyAlignment="1">
      <alignment horizontal="left" vertical="center" indent="1"/>
    </xf>
    <xf numFmtId="0" fontId="14" fillId="0" borderId="0" xfId="0" applyFont="1" applyAlignment="1">
      <alignment horizontal="left" vertical="center" wrapText="1" indent="1"/>
    </xf>
    <xf numFmtId="0" fontId="15" fillId="3" borderId="0" xfId="0" applyFont="1" applyFill="1" applyAlignment="1">
      <alignment horizontal="left" vertical="center" indent="1"/>
    </xf>
    <xf numFmtId="0" fontId="16" fillId="3" borderId="0" xfId="0" applyFont="1" applyFill="1" applyAlignment="1">
      <alignment horizontal="left" vertical="center"/>
    </xf>
    <xf numFmtId="0" fontId="17" fillId="3" borderId="0" xfId="0" applyFont="1" applyFill="1" applyAlignment="1">
      <alignment horizontal="left" vertical="center" indent="1"/>
    </xf>
    <xf numFmtId="0" fontId="28" fillId="0" borderId="0" xfId="0" applyFont="1" applyAlignment="1">
      <alignment horizontal="left" vertical="center" wrapText="1"/>
    </xf>
    <xf numFmtId="0" fontId="28" fillId="0" borderId="4" xfId="0" applyFont="1" applyBorder="1" applyAlignment="1">
      <alignment horizontal="left" vertical="center"/>
    </xf>
    <xf numFmtId="0" fontId="18" fillId="0" borderId="0" xfId="0" applyFont="1"/>
    <xf numFmtId="0" fontId="14" fillId="0" borderId="0" xfId="0" applyFont="1"/>
    <xf numFmtId="0" fontId="45" fillId="0" borderId="0" xfId="0" applyFont="1" applyAlignment="1">
      <alignment horizontal="left" vertical="center"/>
    </xf>
    <xf numFmtId="0" fontId="23" fillId="0" borderId="0" xfId="0" applyFont="1" applyAlignment="1">
      <alignment horizontal="left" vertical="center" wrapText="1"/>
    </xf>
    <xf numFmtId="0" fontId="57" fillId="0" borderId="0" xfId="0" applyFont="1"/>
    <xf numFmtId="0" fontId="58" fillId="0" borderId="0" xfId="0" applyFont="1"/>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C7CE"/>
        </patternFill>
      </fill>
    </dxf>
    <dxf>
      <fill>
        <patternFill>
          <bgColor rgb="FFC6EFCE"/>
        </patternFill>
      </fill>
    </dxf>
    <dxf>
      <fill>
        <patternFill>
          <bgColor rgb="FFFFEB9C"/>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F4E1"/>
      <rgbColor rgb="FF0000FF"/>
      <rgbColor rgb="FFFFEB84"/>
      <rgbColor rgb="FFFF00FF"/>
      <rgbColor rgb="FFECECEC"/>
      <rgbColor rgb="FF800000"/>
      <rgbColor rgb="FF14532D"/>
      <rgbColor rgb="FF000080"/>
      <rgbColor rgb="FF7A5A12"/>
      <rgbColor rgb="FF800080"/>
      <rgbColor rgb="FFF4F7FB"/>
      <rgbColor rgb="FFD9D9D9"/>
      <rgbColor rgb="FF6B7280"/>
      <rgbColor rgb="FFD8DEE6"/>
      <rgbColor rgb="FFB23A48"/>
      <rgbColor rgb="FFFFF8E1"/>
      <rgbColor rgb="FFDDEBF7"/>
      <rgbColor rgb="FF660066"/>
      <rgbColor rgb="FFF8696B"/>
      <rgbColor rgb="FF0066CC"/>
      <rgbColor rgb="FFC9CFDA"/>
      <rgbColor rgb="FF000080"/>
      <rgbColor rgb="FFFF00FF"/>
      <rgbColor rgb="FFFCE9B8"/>
      <rgbColor rgb="FFEEF2F7"/>
      <rgbColor rgb="FF800080"/>
      <rgbColor rgb="FF800000"/>
      <rgbColor rgb="FFFBF7EC"/>
      <rgbColor rgb="FF0000FF"/>
      <rgbColor rgb="FFF2F2F2"/>
      <rgbColor rgb="FFEAF0F7"/>
      <rgbColor rgb="FFC6EFCE"/>
      <rgbColor rgb="FFFFEB9C"/>
      <rgbColor rgb="FFD6DCE4"/>
      <rgbColor rgb="FFFFC7CE"/>
      <rgbColor rgb="FFF6CFCF"/>
      <rgbColor rgb="FFFCD5B4"/>
      <rgbColor rgb="FF4A6FA5"/>
      <rgbColor rgb="FF63BE7B"/>
      <rgbColor rgb="FFC9E8D2"/>
      <rgbColor rgb="FFFBEEC8"/>
      <rgbColor rgb="FFC9A227"/>
      <rgbColor rgb="FFFFF2CC"/>
      <rgbColor rgb="FF5D6F81"/>
      <rgbColor rgb="FFB0892F"/>
      <rgbColor rgb="FF1B2A4A"/>
      <rgbColor rgb="FF2F8F5B"/>
      <rgbColor rgb="FF0D2240"/>
      <rgbColor rgb="FF1A1A1A"/>
      <rgbColor rgb="FF7F1D1D"/>
      <rgbColor rgb="FFF5F5F5"/>
      <rgbColor rgb="FF333399"/>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170B0-CCD1-EB47-B869-AFB99E6DC060}">
  <sheetPr>
    <tabColor rgb="FFC9A227"/>
  </sheetPr>
  <dimension ref="B1:D96"/>
  <sheetViews>
    <sheetView topLeftCell="A3" zoomScale="150" zoomScaleNormal="150" workbookViewId="0">
      <selection activeCell="C88" sqref="C8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2" t="s">
        <v>0</v>
      </c>
    </row>
    <row r="2" spans="2:4" ht="60" customHeight="1" x14ac:dyDescent="0.2">
      <c r="B2" s="3" t="s">
        <v>1</v>
      </c>
    </row>
    <row r="3" spans="2:4" ht="60" customHeight="1" x14ac:dyDescent="0.2">
      <c r="B3" s="3" t="s">
        <v>2</v>
      </c>
    </row>
    <row r="4" spans="2:4" ht="4.5" customHeight="1" x14ac:dyDescent="0.2">
      <c r="B4" s="4"/>
    </row>
    <row r="5" spans="2:4" s="5" customFormat="1" ht="19.5" customHeight="1" x14ac:dyDescent="0.2">
      <c r="B5" s="6" t="s">
        <v>3</v>
      </c>
      <c r="D5" s="7"/>
    </row>
    <row r="6" spans="2:4" ht="60" customHeight="1" x14ac:dyDescent="0.2">
      <c r="B6" s="3" t="s">
        <v>4</v>
      </c>
    </row>
    <row r="7" spans="2:4" ht="4.5" customHeight="1" x14ac:dyDescent="0.2"/>
    <row r="8" spans="2:4" ht="19.5" customHeight="1" x14ac:dyDescent="0.2">
      <c r="B8" s="6" t="s">
        <v>5</v>
      </c>
      <c r="D8" s="8"/>
    </row>
    <row r="9" spans="2:4" ht="60" customHeight="1" x14ac:dyDescent="0.2">
      <c r="B9" s="3" t="s">
        <v>6</v>
      </c>
    </row>
    <row r="10" spans="2:4" ht="3.75" customHeight="1" x14ac:dyDescent="0.2"/>
    <row r="11" spans="2:4" ht="19.5" customHeight="1" x14ac:dyDescent="0.2">
      <c r="B11" s="9" t="s">
        <v>7</v>
      </c>
      <c r="D11" s="8"/>
    </row>
    <row r="12" spans="2:4" ht="18" customHeight="1" x14ac:dyDescent="0.2">
      <c r="B12" s="10" t="s">
        <v>8</v>
      </c>
    </row>
    <row r="13" spans="2:4" ht="18" customHeight="1" x14ac:dyDescent="0.2">
      <c r="B13" s="10" t="s">
        <v>9</v>
      </c>
    </row>
    <row r="14" spans="2:4" ht="18" customHeight="1" x14ac:dyDescent="0.2">
      <c r="B14" s="10" t="s">
        <v>10</v>
      </c>
    </row>
    <row r="15" spans="2:4" ht="18" customHeight="1" x14ac:dyDescent="0.2">
      <c r="B15" s="11" t="s">
        <v>11</v>
      </c>
      <c r="D15" s="8"/>
    </row>
    <row r="16" spans="2:4" ht="4.5" customHeight="1" x14ac:dyDescent="0.2"/>
    <row r="17" spans="2:4" ht="15" customHeight="1" x14ac:dyDescent="0.2">
      <c r="B17" s="12" t="s">
        <v>12</v>
      </c>
    </row>
    <row r="18" spans="2:4" ht="24.75" customHeight="1" x14ac:dyDescent="0.2">
      <c r="B18" s="13" t="s">
        <v>13</v>
      </c>
      <c r="D18" s="14" t="s">
        <v>14</v>
      </c>
    </row>
    <row r="19" spans="2:4" ht="24.75" customHeight="1" x14ac:dyDescent="0.2">
      <c r="B19" s="15" t="s">
        <v>15</v>
      </c>
      <c r="D19" s="14" t="s">
        <v>16</v>
      </c>
    </row>
    <row r="20" spans="2:4" ht="24.75" customHeight="1" x14ac:dyDescent="0.2">
      <c r="B20" s="15" t="s">
        <v>17</v>
      </c>
      <c r="D20" s="14" t="s">
        <v>18</v>
      </c>
    </row>
    <row r="21" spans="2:4" ht="24.75" customHeight="1" x14ac:dyDescent="0.2">
      <c r="B21" s="15" t="s">
        <v>19</v>
      </c>
      <c r="D21" s="3" t="s">
        <v>20</v>
      </c>
    </row>
    <row r="22" spans="2:4" ht="24.75" customHeight="1" x14ac:dyDescent="0.2">
      <c r="B22" s="13" t="s">
        <v>21</v>
      </c>
      <c r="D22" s="3" t="s">
        <v>22</v>
      </c>
    </row>
    <row r="23" spans="2:4" ht="24.75" customHeight="1" x14ac:dyDescent="0.2">
      <c r="B23" s="15" t="s">
        <v>23</v>
      </c>
      <c r="D23" s="3" t="s">
        <v>24</v>
      </c>
    </row>
    <row r="24" spans="2:4" ht="24.75" customHeight="1" x14ac:dyDescent="0.2">
      <c r="B24" s="15" t="s">
        <v>25</v>
      </c>
      <c r="D24" s="3" t="s">
        <v>26</v>
      </c>
    </row>
    <row r="25" spans="2:4" ht="24.75" customHeight="1" x14ac:dyDescent="0.2">
      <c r="B25" s="15" t="s">
        <v>27</v>
      </c>
      <c r="D25" s="3" t="s">
        <v>28</v>
      </c>
    </row>
    <row r="26" spans="2:4" ht="24.75" customHeight="1" x14ac:dyDescent="0.2">
      <c r="B26" s="13" t="s">
        <v>29</v>
      </c>
      <c r="D26" s="3" t="s">
        <v>30</v>
      </c>
    </row>
    <row r="27" spans="2:4" ht="3.75" customHeight="1" x14ac:dyDescent="0.2"/>
    <row r="28" spans="2:4" ht="15" customHeight="1" x14ac:dyDescent="0.2">
      <c r="B28" s="12" t="s">
        <v>31</v>
      </c>
    </row>
    <row r="29" spans="2:4" ht="18" customHeight="1" x14ac:dyDescent="0.2">
      <c r="B29" s="10" t="s">
        <v>32</v>
      </c>
    </row>
    <row r="30" spans="2:4" ht="18" customHeight="1" x14ac:dyDescent="0.2">
      <c r="B30" s="10" t="s">
        <v>33</v>
      </c>
    </row>
    <row r="31" spans="2:4" ht="18" customHeight="1" x14ac:dyDescent="0.2">
      <c r="B31" s="16" t="s">
        <v>34</v>
      </c>
    </row>
    <row r="32" spans="2:4" ht="18" customHeight="1" x14ac:dyDescent="0.2">
      <c r="B32" s="16" t="s">
        <v>35</v>
      </c>
    </row>
    <row r="33" spans="2:4" ht="4.5" customHeight="1" x14ac:dyDescent="0.2">
      <c r="B33" s="17"/>
    </row>
    <row r="34" spans="2:4" ht="18" customHeight="1" x14ac:dyDescent="0.2">
      <c r="B34" s="18" t="s">
        <v>36</v>
      </c>
    </row>
    <row r="35" spans="2:4" ht="60" customHeight="1" x14ac:dyDescent="0.2">
      <c r="B35" s="3" t="s">
        <v>37</v>
      </c>
    </row>
    <row r="36" spans="2:4" ht="4.5" customHeight="1" x14ac:dyDescent="0.2">
      <c r="B36" s="17"/>
    </row>
    <row r="37" spans="2:4" ht="15" customHeight="1" x14ac:dyDescent="0.2">
      <c r="B37" s="18" t="s">
        <v>38</v>
      </c>
    </row>
    <row r="38" spans="2:4" ht="60" customHeight="1" x14ac:dyDescent="0.2">
      <c r="B38" s="3" t="s">
        <v>39</v>
      </c>
    </row>
    <row r="39" spans="2:4" ht="4.5" customHeight="1" x14ac:dyDescent="0.2"/>
    <row r="40" spans="2:4" ht="18" customHeight="1" x14ac:dyDescent="0.2">
      <c r="B40" s="12" t="s">
        <v>40</v>
      </c>
    </row>
    <row r="41" spans="2:4" ht="18" customHeight="1" x14ac:dyDescent="0.2">
      <c r="B41" s="19" t="s">
        <v>41</v>
      </c>
      <c r="C41" s="20">
        <v>1000</v>
      </c>
      <c r="D41" s="21" t="s">
        <v>42</v>
      </c>
    </row>
    <row r="42" spans="2:4" ht="18" customHeight="1" x14ac:dyDescent="0.2">
      <c r="B42" s="19" t="s">
        <v>43</v>
      </c>
      <c r="C42" s="20">
        <v>32</v>
      </c>
      <c r="D42" s="21" t="s">
        <v>44</v>
      </c>
    </row>
    <row r="43" spans="2:4" ht="18" customHeight="1" x14ac:dyDescent="0.2">
      <c r="B43" s="19" t="s">
        <v>45</v>
      </c>
      <c r="C43" s="20">
        <v>12</v>
      </c>
      <c r="D43" s="21" t="s">
        <v>46</v>
      </c>
    </row>
    <row r="44" spans="2:4" ht="18" customHeight="1" x14ac:dyDescent="0.2">
      <c r="B44" s="19" t="s">
        <v>47</v>
      </c>
      <c r="C44" s="20">
        <v>1</v>
      </c>
      <c r="D44" s="21" t="s">
        <v>48</v>
      </c>
    </row>
    <row r="45" spans="2:4" ht="18" customHeight="1" x14ac:dyDescent="0.2">
      <c r="B45" s="19" t="s">
        <v>49</v>
      </c>
      <c r="C45" s="20">
        <v>8</v>
      </c>
      <c r="D45" s="21" t="s">
        <v>50</v>
      </c>
    </row>
    <row r="46" spans="2:4" ht="18" customHeight="1" x14ac:dyDescent="0.2">
      <c r="B46" s="19" t="s">
        <v>51</v>
      </c>
      <c r="C46" s="20">
        <v>3</v>
      </c>
      <c r="D46" s="21" t="s">
        <v>52</v>
      </c>
    </row>
    <row r="47" spans="2:4" ht="18" customHeight="1" x14ac:dyDescent="0.2">
      <c r="B47" s="19" t="s">
        <v>53</v>
      </c>
      <c r="C47">
        <v>6</v>
      </c>
      <c r="D47" s="22" t="s">
        <v>54</v>
      </c>
    </row>
    <row r="48" spans="2:4" ht="18" customHeight="1" x14ac:dyDescent="0.2">
      <c r="B48" s="19" t="s">
        <v>55</v>
      </c>
      <c r="C48">
        <v>8</v>
      </c>
      <c r="D48" s="22" t="s">
        <v>56</v>
      </c>
    </row>
    <row r="49" spans="2:4" ht="18" customHeight="1" x14ac:dyDescent="0.2">
      <c r="B49" s="19" t="s">
        <v>57</v>
      </c>
      <c r="C49">
        <v>5</v>
      </c>
      <c r="D49" s="22" t="s">
        <v>58</v>
      </c>
    </row>
    <row r="50" spans="2:4" ht="4.5" customHeight="1" x14ac:dyDescent="0.2"/>
    <row r="51" spans="2:4" ht="18" customHeight="1" x14ac:dyDescent="0.2">
      <c r="B51" s="18" t="s">
        <v>59</v>
      </c>
    </row>
    <row r="52" spans="2:4" ht="30" customHeight="1" x14ac:dyDescent="0.2">
      <c r="B52" s="3" t="s">
        <v>60</v>
      </c>
    </row>
    <row r="53" spans="2:4" ht="30" customHeight="1" x14ac:dyDescent="0.2">
      <c r="B53" s="3" t="s">
        <v>61</v>
      </c>
    </row>
    <row r="54" spans="2:4" ht="30" customHeight="1" x14ac:dyDescent="0.2">
      <c r="B54" s="3" t="s">
        <v>62</v>
      </c>
    </row>
    <row r="55" spans="2:4" ht="30" customHeight="1" x14ac:dyDescent="0.2">
      <c r="B55" s="3" t="s">
        <v>63</v>
      </c>
    </row>
    <row r="56" spans="2:4" ht="4.5" customHeight="1" x14ac:dyDescent="0.2">
      <c r="B56" s="23"/>
    </row>
    <row r="57" spans="2:4" ht="30" customHeight="1" x14ac:dyDescent="0.2">
      <c r="B57" s="6" t="s">
        <v>64</v>
      </c>
    </row>
    <row r="58" spans="2:4" ht="30" customHeight="1" x14ac:dyDescent="0.2">
      <c r="B58" s="3" t="s">
        <v>65</v>
      </c>
    </row>
    <row r="59" spans="2:4" ht="30" customHeight="1" x14ac:dyDescent="0.2">
      <c r="B59" s="3" t="s">
        <v>66</v>
      </c>
    </row>
    <row r="60" spans="2:4" ht="30" customHeight="1" x14ac:dyDescent="0.2">
      <c r="B60" s="3" t="s">
        <v>67</v>
      </c>
    </row>
    <row r="61" spans="2:4" ht="30" customHeight="1" x14ac:dyDescent="0.2">
      <c r="B61" s="3" t="s">
        <v>68</v>
      </c>
    </row>
    <row r="62" spans="2:4" ht="30" customHeight="1" x14ac:dyDescent="0.2">
      <c r="B62" s="3" t="s">
        <v>69</v>
      </c>
    </row>
    <row r="63" spans="2:4" ht="30" customHeight="1" x14ac:dyDescent="0.2">
      <c r="B63" s="3" t="s">
        <v>70</v>
      </c>
    </row>
    <row r="64" spans="2:4" ht="30" customHeight="1" x14ac:dyDescent="0.2">
      <c r="B64" s="3" t="s">
        <v>71</v>
      </c>
    </row>
    <row r="65" spans="2:4" ht="4.5" customHeight="1" x14ac:dyDescent="0.2">
      <c r="B65" s="23"/>
    </row>
    <row r="66" spans="2:4" ht="18" customHeight="1" x14ac:dyDescent="0.2">
      <c r="B66" s="12" t="s">
        <v>72</v>
      </c>
    </row>
    <row r="67" spans="2:4" ht="30" customHeight="1" x14ac:dyDescent="0.2">
      <c r="B67" s="3" t="s">
        <v>73</v>
      </c>
    </row>
    <row r="68" spans="2:4" ht="3.75" customHeight="1" x14ac:dyDescent="0.2"/>
    <row r="69" spans="2:4" ht="31.5" customHeight="1" x14ac:dyDescent="0.2">
      <c r="B69" s="12" t="s">
        <v>74</v>
      </c>
    </row>
    <row r="70" spans="2:4" ht="31.5" customHeight="1" x14ac:dyDescent="0.2">
      <c r="B70" s="24" t="s">
        <v>75</v>
      </c>
      <c r="D70" s="3" t="s">
        <v>76</v>
      </c>
    </row>
    <row r="71" spans="2:4" ht="31.5" customHeight="1" x14ac:dyDescent="0.2">
      <c r="B71" s="24" t="s">
        <v>77</v>
      </c>
      <c r="D71" s="3" t="s">
        <v>78</v>
      </c>
    </row>
    <row r="72" spans="2:4" ht="31.5" customHeight="1" x14ac:dyDescent="0.2">
      <c r="B72" s="24" t="s">
        <v>79</v>
      </c>
      <c r="D72" s="3" t="s">
        <v>80</v>
      </c>
    </row>
    <row r="73" spans="2:4" ht="31.5" customHeight="1" x14ac:dyDescent="0.2">
      <c r="B73" s="24" t="s">
        <v>81</v>
      </c>
      <c r="D73" s="3" t="s">
        <v>82</v>
      </c>
    </row>
    <row r="74" spans="2:4" ht="31.5" customHeight="1" x14ac:dyDescent="0.2">
      <c r="B74" s="24" t="s">
        <v>83</v>
      </c>
      <c r="D74" s="3" t="s">
        <v>84</v>
      </c>
    </row>
    <row r="75" spans="2:4" ht="31.5" customHeight="1" x14ac:dyDescent="0.2">
      <c r="B75" s="24" t="s">
        <v>85</v>
      </c>
      <c r="D75" s="3" t="s">
        <v>86</v>
      </c>
    </row>
    <row r="76" spans="2:4" ht="31.5" customHeight="1" x14ac:dyDescent="0.2">
      <c r="B76" s="24" t="s">
        <v>87</v>
      </c>
      <c r="D76" s="3" t="s">
        <v>88</v>
      </c>
    </row>
    <row r="77" spans="2:4" ht="31.5" customHeight="1" x14ac:dyDescent="0.2">
      <c r="B77" s="24" t="s">
        <v>89</v>
      </c>
      <c r="D77" s="3" t="s">
        <v>90</v>
      </c>
    </row>
    <row r="78" spans="2:4" ht="31.5" customHeight="1" x14ac:dyDescent="0.2">
      <c r="B78" s="24" t="s">
        <v>91</v>
      </c>
      <c r="D78" s="3" t="s">
        <v>92</v>
      </c>
    </row>
    <row r="79" spans="2:4" ht="31.5" customHeight="1" x14ac:dyDescent="0.2">
      <c r="B79" s="24" t="s">
        <v>93</v>
      </c>
      <c r="D79" s="3" t="s">
        <v>94</v>
      </c>
    </row>
    <row r="80" spans="2:4" ht="31.5" customHeight="1" x14ac:dyDescent="0.2">
      <c r="B80" s="24" t="s">
        <v>95</v>
      </c>
      <c r="D80" s="3" t="s">
        <v>96</v>
      </c>
    </row>
    <row r="81" spans="2:4" ht="31.5" customHeight="1" x14ac:dyDescent="0.2">
      <c r="B81" s="24" t="s">
        <v>97</v>
      </c>
      <c r="D81" s="3" t="s">
        <v>98</v>
      </c>
    </row>
    <row r="82" spans="2:4" ht="31.5" customHeight="1" x14ac:dyDescent="0.2">
      <c r="B82" s="24" t="s">
        <v>99</v>
      </c>
      <c r="D82" s="3" t="s">
        <v>100</v>
      </c>
    </row>
    <row r="83" spans="2:4" ht="31.5" customHeight="1" x14ac:dyDescent="0.2">
      <c r="B83" s="24" t="s">
        <v>101</v>
      </c>
      <c r="D83" s="3" t="s">
        <v>102</v>
      </c>
    </row>
    <row r="84" spans="2:4" ht="31.5" customHeight="1" x14ac:dyDescent="0.2">
      <c r="B84" s="24" t="s">
        <v>103</v>
      </c>
      <c r="D84" s="3" t="s">
        <v>104</v>
      </c>
    </row>
    <row r="85" spans="2:4" ht="31.5" customHeight="1" x14ac:dyDescent="0.2">
      <c r="B85" s="24" t="s">
        <v>105</v>
      </c>
      <c r="D85" s="3" t="s">
        <v>106</v>
      </c>
    </row>
    <row r="86" spans="2:4" ht="31.5" customHeight="1" x14ac:dyDescent="0.2">
      <c r="B86" s="24" t="s">
        <v>107</v>
      </c>
      <c r="D86" s="3" t="s">
        <v>108</v>
      </c>
    </row>
    <row r="87" spans="2:4" ht="31.5" customHeight="1" x14ac:dyDescent="0.2">
      <c r="B87" s="24" t="s">
        <v>109</v>
      </c>
      <c r="D87" s="3" t="s">
        <v>110</v>
      </c>
    </row>
    <row r="88" spans="2:4" ht="31.5" customHeight="1" x14ac:dyDescent="0.2">
      <c r="B88" s="24" t="s">
        <v>111</v>
      </c>
      <c r="D88" s="3" t="s">
        <v>112</v>
      </c>
    </row>
    <row r="89" spans="2:4" ht="31.5" customHeight="1" x14ac:dyDescent="0.2">
      <c r="B89" s="24" t="s">
        <v>113</v>
      </c>
      <c r="D89" s="3" t="s">
        <v>114</v>
      </c>
    </row>
    <row r="90" spans="2:4" ht="31.5" customHeight="1" x14ac:dyDescent="0.2">
      <c r="B90" s="24" t="s">
        <v>115</v>
      </c>
      <c r="D90" s="3" t="s">
        <v>116</v>
      </c>
    </row>
    <row r="91" spans="2:4" ht="31.5" customHeight="1" x14ac:dyDescent="0.2">
      <c r="B91" s="24" t="s">
        <v>117</v>
      </c>
      <c r="D91" s="3" t="s">
        <v>118</v>
      </c>
    </row>
    <row r="92" spans="2:4" ht="31.5" customHeight="1" x14ac:dyDescent="0.2">
      <c r="B92" s="24" t="s">
        <v>119</v>
      </c>
      <c r="D92" s="3" t="s">
        <v>120</v>
      </c>
    </row>
    <row r="93" spans="2:4" ht="31.5" customHeight="1" x14ac:dyDescent="0.2">
      <c r="B93" s="24" t="s">
        <v>121</v>
      </c>
      <c r="D93" s="3" t="s">
        <v>122</v>
      </c>
    </row>
    <row r="94" spans="2:4" ht="31.5" customHeight="1" x14ac:dyDescent="0.2">
      <c r="B94" s="24" t="s">
        <v>123</v>
      </c>
      <c r="D94" s="3" t="s">
        <v>124</v>
      </c>
    </row>
    <row r="96" spans="2:4" x14ac:dyDescent="0.2">
      <c r="B96" s="25" t="s">
        <v>125</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AA520-C3EA-2C48-9D1D-A5A14883AECF}">
  <dimension ref="A1:H60"/>
  <sheetViews>
    <sheetView showGridLines="0" topLeftCell="A43"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8" customHeight="1" x14ac:dyDescent="0.2">
      <c r="A1" s="139" t="s">
        <v>367</v>
      </c>
      <c r="B1" s="137"/>
      <c r="C1" s="137"/>
      <c r="D1" s="137"/>
      <c r="E1" s="137"/>
      <c r="F1" s="137"/>
      <c r="G1" s="137"/>
      <c r="H1" s="137"/>
    </row>
    <row r="2" spans="1:8" ht="18" customHeight="1" x14ac:dyDescent="0.2">
      <c r="A2" s="140" t="s">
        <v>420</v>
      </c>
      <c r="B2" s="137"/>
      <c r="C2" s="137"/>
      <c r="D2" s="137"/>
      <c r="E2" s="137"/>
      <c r="F2" s="137"/>
      <c r="G2" s="137"/>
      <c r="H2" s="137"/>
    </row>
    <row r="3" spans="1:8" ht="48" customHeight="1" x14ac:dyDescent="0.2">
      <c r="A3" s="141" t="s">
        <v>368</v>
      </c>
      <c r="B3" s="137"/>
      <c r="C3" s="137"/>
      <c r="D3" s="137"/>
      <c r="E3" s="137"/>
      <c r="F3" s="137"/>
      <c r="G3" s="137"/>
      <c r="H3" s="137"/>
    </row>
    <row r="6" spans="1:8" ht="22" customHeight="1" x14ac:dyDescent="0.2">
      <c r="A6" s="138" t="s">
        <v>369</v>
      </c>
      <c r="B6" s="137"/>
      <c r="C6" s="137"/>
      <c r="D6" s="137"/>
      <c r="E6" s="137"/>
      <c r="F6" s="137"/>
      <c r="G6" s="137"/>
      <c r="H6" s="137"/>
    </row>
    <row r="7" spans="1:8" ht="50.5" customHeight="1" x14ac:dyDescent="0.2">
      <c r="A7" s="134" t="s">
        <v>370</v>
      </c>
      <c r="B7" s="136" t="s">
        <v>371</v>
      </c>
      <c r="C7" s="137"/>
      <c r="D7" s="137"/>
      <c r="E7" s="137"/>
      <c r="F7" s="137"/>
      <c r="G7" s="137"/>
      <c r="H7" s="137"/>
    </row>
    <row r="8" spans="1:8" ht="50.5" customHeight="1" x14ac:dyDescent="0.2">
      <c r="A8" s="135" t="s">
        <v>372</v>
      </c>
      <c r="B8" s="136" t="s">
        <v>373</v>
      </c>
      <c r="C8" s="137"/>
      <c r="D8" s="137"/>
      <c r="E8" s="137"/>
      <c r="F8" s="137"/>
      <c r="G8" s="137"/>
      <c r="H8" s="137"/>
    </row>
    <row r="9" spans="1:8" ht="19.5" customHeight="1" x14ac:dyDescent="0.2">
      <c r="A9" s="134" t="s">
        <v>370</v>
      </c>
      <c r="B9" s="136" t="s">
        <v>374</v>
      </c>
      <c r="C9" s="137"/>
      <c r="D9" s="137"/>
      <c r="E9" s="137"/>
      <c r="F9" s="137"/>
      <c r="G9" s="137"/>
      <c r="H9" s="137"/>
    </row>
    <row r="10" spans="1:8" ht="50.5" customHeight="1" x14ac:dyDescent="0.2">
      <c r="A10" s="135" t="s">
        <v>372</v>
      </c>
      <c r="B10" s="136" t="s">
        <v>375</v>
      </c>
      <c r="C10" s="137"/>
      <c r="D10" s="137"/>
      <c r="E10" s="137"/>
      <c r="F10" s="137"/>
      <c r="G10" s="137"/>
      <c r="H10" s="137"/>
    </row>
    <row r="11" spans="1:8" ht="19.5" customHeight="1" x14ac:dyDescent="0.2">
      <c r="A11" s="134" t="s">
        <v>370</v>
      </c>
      <c r="B11" s="136" t="s">
        <v>376</v>
      </c>
      <c r="C11" s="137"/>
      <c r="D11" s="137"/>
      <c r="E11" s="137"/>
      <c r="F11" s="137"/>
      <c r="G11" s="137"/>
      <c r="H11" s="137"/>
    </row>
    <row r="12" spans="1:8" ht="19.5" customHeight="1" x14ac:dyDescent="0.2">
      <c r="A12" s="135" t="s">
        <v>372</v>
      </c>
      <c r="B12" s="136" t="s">
        <v>377</v>
      </c>
      <c r="C12" s="137"/>
      <c r="D12" s="137"/>
      <c r="E12" s="137"/>
      <c r="F12" s="137"/>
      <c r="G12" s="137"/>
      <c r="H12" s="137"/>
    </row>
    <row r="14" spans="1:8" ht="22" customHeight="1" x14ac:dyDescent="0.2">
      <c r="A14" s="138" t="s">
        <v>378</v>
      </c>
      <c r="B14" s="137"/>
      <c r="C14" s="137"/>
      <c r="D14" s="137"/>
      <c r="E14" s="137"/>
      <c r="F14" s="137"/>
      <c r="G14" s="137"/>
      <c r="H14" s="137"/>
    </row>
    <row r="15" spans="1:8" ht="50.5" customHeight="1" x14ac:dyDescent="0.2">
      <c r="A15" s="134" t="s">
        <v>370</v>
      </c>
      <c r="B15" s="136" t="s">
        <v>379</v>
      </c>
      <c r="C15" s="137"/>
      <c r="D15" s="137"/>
      <c r="E15" s="137"/>
      <c r="F15" s="137"/>
      <c r="G15" s="137"/>
      <c r="H15" s="137"/>
    </row>
    <row r="16" spans="1:8" ht="50.5" customHeight="1" x14ac:dyDescent="0.2">
      <c r="A16" s="135" t="s">
        <v>372</v>
      </c>
      <c r="B16" s="136" t="s">
        <v>380</v>
      </c>
      <c r="C16" s="137"/>
      <c r="D16" s="137"/>
      <c r="E16" s="137"/>
      <c r="F16" s="137"/>
      <c r="G16" s="137"/>
      <c r="H16" s="137"/>
    </row>
    <row r="17" spans="1:8" ht="19.5" customHeight="1" x14ac:dyDescent="0.2">
      <c r="A17" s="134" t="s">
        <v>370</v>
      </c>
      <c r="B17" s="136" t="s">
        <v>381</v>
      </c>
      <c r="C17" s="137"/>
      <c r="D17" s="137"/>
      <c r="E17" s="137"/>
      <c r="F17" s="137"/>
      <c r="G17" s="137"/>
      <c r="H17" s="137"/>
    </row>
    <row r="18" spans="1:8" ht="66" customHeight="1" x14ac:dyDescent="0.2">
      <c r="A18" s="135" t="s">
        <v>372</v>
      </c>
      <c r="B18" s="136" t="s">
        <v>382</v>
      </c>
      <c r="C18" s="137"/>
      <c r="D18" s="137"/>
      <c r="E18" s="137"/>
      <c r="F18" s="137"/>
      <c r="G18" s="137"/>
      <c r="H18" s="137"/>
    </row>
    <row r="19" spans="1:8" ht="19.5" customHeight="1" x14ac:dyDescent="0.2">
      <c r="A19" s="134" t="s">
        <v>370</v>
      </c>
      <c r="B19" s="136" t="s">
        <v>383</v>
      </c>
      <c r="C19" s="137"/>
      <c r="D19" s="137"/>
      <c r="E19" s="137"/>
      <c r="F19" s="137"/>
      <c r="G19" s="137"/>
      <c r="H19" s="137"/>
    </row>
    <row r="20" spans="1:8" ht="19.5" customHeight="1" x14ac:dyDescent="0.2">
      <c r="A20" s="135" t="s">
        <v>372</v>
      </c>
      <c r="B20" s="136" t="s">
        <v>384</v>
      </c>
      <c r="C20" s="137"/>
      <c r="D20" s="137"/>
      <c r="E20" s="137"/>
      <c r="F20" s="137"/>
      <c r="G20" s="137"/>
      <c r="H20" s="137"/>
    </row>
    <row r="22" spans="1:8" ht="22" customHeight="1" x14ac:dyDescent="0.2">
      <c r="A22" s="138" t="s">
        <v>385</v>
      </c>
      <c r="B22" s="137"/>
      <c r="C22" s="137"/>
      <c r="D22" s="137"/>
      <c r="E22" s="137"/>
      <c r="F22" s="137"/>
      <c r="G22" s="137"/>
      <c r="H22" s="137"/>
    </row>
    <row r="23" spans="1:8" ht="19.5" customHeight="1" x14ac:dyDescent="0.2">
      <c r="A23" s="134" t="s">
        <v>370</v>
      </c>
      <c r="B23" s="136" t="s">
        <v>386</v>
      </c>
      <c r="C23" s="137"/>
      <c r="D23" s="137"/>
      <c r="E23" s="137"/>
      <c r="F23" s="137"/>
      <c r="G23" s="137"/>
      <c r="H23" s="137"/>
    </row>
    <row r="24" spans="1:8" ht="66" customHeight="1" x14ac:dyDescent="0.2">
      <c r="A24" s="135" t="s">
        <v>372</v>
      </c>
      <c r="B24" s="136" t="s">
        <v>387</v>
      </c>
      <c r="C24" s="137"/>
      <c r="D24" s="137"/>
      <c r="E24" s="137"/>
      <c r="F24" s="137"/>
      <c r="G24" s="137"/>
      <c r="H24" s="137"/>
    </row>
    <row r="25" spans="1:8" ht="19.5" customHeight="1" x14ac:dyDescent="0.2">
      <c r="A25" s="134" t="s">
        <v>370</v>
      </c>
      <c r="B25" s="136" t="s">
        <v>388</v>
      </c>
      <c r="C25" s="137"/>
      <c r="D25" s="137"/>
      <c r="E25" s="137"/>
      <c r="F25" s="137"/>
      <c r="G25" s="137"/>
      <c r="H25" s="137"/>
    </row>
    <row r="26" spans="1:8" ht="50.5" customHeight="1" x14ac:dyDescent="0.2">
      <c r="A26" s="135" t="s">
        <v>372</v>
      </c>
      <c r="B26" s="136" t="s">
        <v>389</v>
      </c>
      <c r="C26" s="137"/>
      <c r="D26" s="137"/>
      <c r="E26" s="137"/>
      <c r="F26" s="137"/>
      <c r="G26" s="137"/>
      <c r="H26" s="137"/>
    </row>
    <row r="27" spans="1:8" ht="19.5" customHeight="1" x14ac:dyDescent="0.2">
      <c r="A27" s="134" t="s">
        <v>370</v>
      </c>
      <c r="B27" s="136" t="s">
        <v>390</v>
      </c>
      <c r="C27" s="137"/>
      <c r="D27" s="137"/>
      <c r="E27" s="137"/>
      <c r="F27" s="137"/>
      <c r="G27" s="137"/>
      <c r="H27" s="137"/>
    </row>
    <row r="29" spans="1:8" ht="22" customHeight="1" x14ac:dyDescent="0.2">
      <c r="A29" s="138" t="s">
        <v>391</v>
      </c>
      <c r="B29" s="137"/>
      <c r="C29" s="137"/>
      <c r="D29" s="137"/>
      <c r="E29" s="137"/>
      <c r="F29" s="137"/>
      <c r="G29" s="137"/>
      <c r="H29" s="137"/>
    </row>
    <row r="30" spans="1:8" ht="19.5" customHeight="1" x14ac:dyDescent="0.2">
      <c r="A30" s="134" t="s">
        <v>370</v>
      </c>
      <c r="B30" s="136" t="s">
        <v>392</v>
      </c>
      <c r="C30" s="137"/>
      <c r="D30" s="137"/>
      <c r="E30" s="137"/>
      <c r="F30" s="137"/>
      <c r="G30" s="137"/>
      <c r="H30" s="137"/>
    </row>
    <row r="31" spans="1:8" ht="35" customHeight="1" x14ac:dyDescent="0.2">
      <c r="A31" s="135" t="s">
        <v>372</v>
      </c>
      <c r="B31" s="136" t="s">
        <v>393</v>
      </c>
      <c r="C31" s="137"/>
      <c r="D31" s="137"/>
      <c r="E31" s="137"/>
      <c r="F31" s="137"/>
      <c r="G31" s="137"/>
      <c r="H31" s="137"/>
    </row>
    <row r="32" spans="1:8" ht="19.5" customHeight="1" x14ac:dyDescent="0.2">
      <c r="A32" s="134" t="s">
        <v>370</v>
      </c>
      <c r="B32" s="136" t="s">
        <v>394</v>
      </c>
      <c r="C32" s="137"/>
      <c r="D32" s="137"/>
      <c r="E32" s="137"/>
      <c r="F32" s="137"/>
      <c r="G32" s="137"/>
      <c r="H32" s="137"/>
    </row>
    <row r="33" spans="1:8" ht="50.5" customHeight="1" x14ac:dyDescent="0.2">
      <c r="A33" s="135" t="s">
        <v>372</v>
      </c>
      <c r="B33" s="136" t="s">
        <v>395</v>
      </c>
      <c r="C33" s="137"/>
      <c r="D33" s="137"/>
      <c r="E33" s="137"/>
      <c r="F33" s="137"/>
      <c r="G33" s="137"/>
      <c r="H33" s="137"/>
    </row>
    <row r="34" spans="1:8" ht="19.5" customHeight="1" x14ac:dyDescent="0.2">
      <c r="A34" s="134" t="s">
        <v>370</v>
      </c>
      <c r="B34" s="136" t="s">
        <v>396</v>
      </c>
      <c r="C34" s="137"/>
      <c r="D34" s="137"/>
      <c r="E34" s="137"/>
      <c r="F34" s="137"/>
      <c r="G34" s="137"/>
      <c r="H34" s="137"/>
    </row>
    <row r="35" spans="1:8" ht="66" customHeight="1" x14ac:dyDescent="0.2">
      <c r="A35" s="135" t="s">
        <v>372</v>
      </c>
      <c r="B35" s="136" t="s">
        <v>397</v>
      </c>
      <c r="C35" s="137"/>
      <c r="D35" s="137"/>
      <c r="E35" s="137"/>
      <c r="F35" s="137"/>
      <c r="G35" s="137"/>
      <c r="H35" s="137"/>
    </row>
    <row r="36" spans="1:8" ht="19.5" customHeight="1" x14ac:dyDescent="0.2">
      <c r="A36" s="134" t="s">
        <v>370</v>
      </c>
      <c r="B36" s="136" t="s">
        <v>398</v>
      </c>
      <c r="C36" s="137"/>
      <c r="D36" s="137"/>
      <c r="E36" s="137"/>
      <c r="F36" s="137"/>
      <c r="G36" s="137"/>
      <c r="H36" s="137"/>
    </row>
    <row r="37" spans="1:8" ht="50.5" customHeight="1" x14ac:dyDescent="0.2">
      <c r="A37" s="135" t="s">
        <v>372</v>
      </c>
      <c r="B37" s="136" t="s">
        <v>399</v>
      </c>
      <c r="C37" s="137"/>
      <c r="D37" s="137"/>
      <c r="E37" s="137"/>
      <c r="F37" s="137"/>
      <c r="G37" s="137"/>
      <c r="H37" s="137"/>
    </row>
    <row r="39" spans="1:8" ht="22" customHeight="1" x14ac:dyDescent="0.2">
      <c r="A39" s="138" t="s">
        <v>400</v>
      </c>
      <c r="B39" s="137"/>
      <c r="C39" s="137"/>
      <c r="D39" s="137"/>
      <c r="E39" s="137"/>
      <c r="F39" s="137"/>
      <c r="G39" s="137"/>
      <c r="H39" s="137"/>
    </row>
    <row r="40" spans="1:8" ht="19.5" customHeight="1" x14ac:dyDescent="0.2">
      <c r="A40" s="134" t="s">
        <v>370</v>
      </c>
      <c r="B40" s="136" t="s">
        <v>401</v>
      </c>
      <c r="C40" s="137"/>
      <c r="D40" s="137"/>
      <c r="E40" s="137"/>
      <c r="F40" s="137"/>
      <c r="G40" s="137"/>
      <c r="H40" s="137"/>
    </row>
    <row r="41" spans="1:8" ht="50.5" customHeight="1" x14ac:dyDescent="0.2">
      <c r="A41" s="135" t="s">
        <v>372</v>
      </c>
      <c r="B41" s="136" t="s">
        <v>402</v>
      </c>
      <c r="C41" s="137"/>
      <c r="D41" s="137"/>
      <c r="E41" s="137"/>
      <c r="F41" s="137"/>
      <c r="G41" s="137"/>
      <c r="H41" s="137"/>
    </row>
    <row r="42" spans="1:8" ht="19.5" customHeight="1" x14ac:dyDescent="0.2">
      <c r="A42" s="134" t="s">
        <v>370</v>
      </c>
      <c r="B42" s="136" t="s">
        <v>403</v>
      </c>
      <c r="C42" s="137"/>
      <c r="D42" s="137"/>
      <c r="E42" s="137"/>
      <c r="F42" s="137"/>
      <c r="G42" s="137"/>
      <c r="H42" s="137"/>
    </row>
    <row r="43" spans="1:8" ht="35" customHeight="1" x14ac:dyDescent="0.2">
      <c r="A43" s="135" t="s">
        <v>372</v>
      </c>
      <c r="B43" s="136" t="s">
        <v>404</v>
      </c>
      <c r="C43" s="137"/>
      <c r="D43" s="137"/>
      <c r="E43" s="137"/>
      <c r="F43" s="137"/>
      <c r="G43" s="137"/>
      <c r="H43" s="137"/>
    </row>
    <row r="44" spans="1:8" ht="19.5" customHeight="1" x14ac:dyDescent="0.2">
      <c r="A44" s="134" t="s">
        <v>370</v>
      </c>
      <c r="B44" s="136" t="s">
        <v>405</v>
      </c>
      <c r="C44" s="137"/>
      <c r="D44" s="137"/>
      <c r="E44" s="137"/>
      <c r="F44" s="137"/>
      <c r="G44" s="137"/>
      <c r="H44" s="137"/>
    </row>
    <row r="45" spans="1:8" ht="66" customHeight="1" x14ac:dyDescent="0.2">
      <c r="A45" s="135" t="s">
        <v>372</v>
      </c>
      <c r="B45" s="136" t="s">
        <v>406</v>
      </c>
      <c r="C45" s="137"/>
      <c r="D45" s="137"/>
      <c r="E45" s="137"/>
      <c r="F45" s="137"/>
      <c r="G45" s="137"/>
      <c r="H45" s="137"/>
    </row>
    <row r="46" spans="1:8" ht="19.5" customHeight="1" x14ac:dyDescent="0.2">
      <c r="A46" s="134" t="s">
        <v>370</v>
      </c>
      <c r="B46" s="136" t="s">
        <v>407</v>
      </c>
      <c r="C46" s="137"/>
      <c r="D46" s="137"/>
      <c r="E46" s="137"/>
      <c r="F46" s="137"/>
      <c r="G46" s="137"/>
      <c r="H46" s="137"/>
    </row>
    <row r="47" spans="1:8" ht="66" customHeight="1" x14ac:dyDescent="0.2">
      <c r="A47" s="135" t="s">
        <v>372</v>
      </c>
      <c r="B47" s="136" t="s">
        <v>408</v>
      </c>
      <c r="C47" s="137"/>
      <c r="D47" s="137"/>
      <c r="E47" s="137"/>
      <c r="F47" s="137"/>
      <c r="G47" s="137"/>
      <c r="H47" s="137"/>
    </row>
    <row r="49" spans="1:8" ht="22" customHeight="1" x14ac:dyDescent="0.2">
      <c r="A49" s="138" t="s">
        <v>409</v>
      </c>
      <c r="B49" s="137"/>
      <c r="C49" s="137"/>
      <c r="D49" s="137"/>
      <c r="E49" s="137"/>
      <c r="F49" s="137"/>
      <c r="G49" s="137"/>
      <c r="H49" s="137"/>
    </row>
    <row r="50" spans="1:8" ht="19.5" customHeight="1" x14ac:dyDescent="0.2">
      <c r="A50" s="134" t="s">
        <v>370</v>
      </c>
      <c r="B50" s="136" t="s">
        <v>410</v>
      </c>
      <c r="C50" s="137"/>
      <c r="D50" s="137"/>
      <c r="E50" s="137"/>
      <c r="F50" s="137"/>
      <c r="G50" s="137"/>
      <c r="H50" s="137"/>
    </row>
    <row r="51" spans="1:8" ht="35" customHeight="1" x14ac:dyDescent="0.2">
      <c r="A51" s="135" t="s">
        <v>372</v>
      </c>
      <c r="B51" s="136" t="s">
        <v>411</v>
      </c>
      <c r="C51" s="137"/>
      <c r="D51" s="137"/>
      <c r="E51" s="137"/>
      <c r="F51" s="137"/>
      <c r="G51" s="137"/>
      <c r="H51" s="137"/>
    </row>
    <row r="52" spans="1:8" ht="19.5" customHeight="1" x14ac:dyDescent="0.2">
      <c r="A52" s="134" t="s">
        <v>370</v>
      </c>
      <c r="B52" s="136" t="s">
        <v>412</v>
      </c>
      <c r="C52" s="137"/>
      <c r="D52" s="137"/>
      <c r="E52" s="137"/>
      <c r="F52" s="137"/>
      <c r="G52" s="137"/>
      <c r="H52" s="137"/>
    </row>
    <row r="53" spans="1:8" ht="35" customHeight="1" x14ac:dyDescent="0.2">
      <c r="A53" s="135" t="s">
        <v>372</v>
      </c>
      <c r="B53" s="136" t="s">
        <v>413</v>
      </c>
      <c r="C53" s="137"/>
      <c r="D53" s="137"/>
      <c r="E53" s="137"/>
      <c r="F53" s="137"/>
      <c r="G53" s="137"/>
      <c r="H53" s="137"/>
    </row>
    <row r="54" spans="1:8" ht="35" customHeight="1" x14ac:dyDescent="0.2">
      <c r="A54" s="134" t="s">
        <v>370</v>
      </c>
      <c r="B54" s="136" t="s">
        <v>414</v>
      </c>
      <c r="C54" s="137"/>
      <c r="D54" s="137"/>
      <c r="E54" s="137"/>
      <c r="F54" s="137"/>
      <c r="G54" s="137"/>
      <c r="H54" s="137"/>
    </row>
    <row r="55" spans="1:8" ht="19.5" customHeight="1" x14ac:dyDescent="0.2">
      <c r="A55" s="135" t="s">
        <v>372</v>
      </c>
      <c r="B55" s="136" t="s">
        <v>415</v>
      </c>
      <c r="C55" s="137"/>
      <c r="D55" s="137"/>
      <c r="E55" s="137"/>
      <c r="F55" s="137"/>
      <c r="G55" s="137"/>
      <c r="H55" s="137"/>
    </row>
    <row r="57" spans="1:8" ht="22" customHeight="1" x14ac:dyDescent="0.2">
      <c r="A57" s="138" t="s">
        <v>416</v>
      </c>
      <c r="B57" s="137"/>
      <c r="C57" s="137"/>
      <c r="D57" s="137"/>
      <c r="E57" s="137"/>
      <c r="F57" s="137"/>
      <c r="G57" s="137"/>
      <c r="H57" s="137"/>
    </row>
    <row r="58" spans="1:8" ht="35" customHeight="1" x14ac:dyDescent="0.2">
      <c r="A58" s="134" t="s">
        <v>370</v>
      </c>
      <c r="B58" s="136" t="s">
        <v>417</v>
      </c>
      <c r="C58" s="137"/>
      <c r="D58" s="137"/>
      <c r="E58" s="137"/>
      <c r="F58" s="137"/>
      <c r="G58" s="137"/>
      <c r="H58" s="137"/>
    </row>
    <row r="59" spans="1:8" ht="19.5" customHeight="1" x14ac:dyDescent="0.2">
      <c r="A59" s="135" t="s">
        <v>372</v>
      </c>
      <c r="B59" s="136" t="s">
        <v>418</v>
      </c>
      <c r="C59" s="137"/>
      <c r="D59" s="137"/>
      <c r="E59" s="137"/>
      <c r="F59" s="137"/>
      <c r="G59" s="137"/>
      <c r="H59" s="137"/>
    </row>
    <row r="60" spans="1:8" ht="19.5" customHeight="1" x14ac:dyDescent="0.2">
      <c r="A60" s="134" t="s">
        <v>370</v>
      </c>
      <c r="B60" s="136" t="s">
        <v>419</v>
      </c>
      <c r="C60" s="137"/>
      <c r="D60" s="137"/>
      <c r="E60" s="137"/>
      <c r="F60" s="137"/>
      <c r="G60" s="137"/>
      <c r="H60" s="137"/>
    </row>
  </sheetData>
  <mergeCells count="52">
    <mergeCell ref="A1:H1"/>
    <mergeCell ref="A2:H2"/>
    <mergeCell ref="A3:H3"/>
    <mergeCell ref="A6:H6"/>
    <mergeCell ref="B7:H7"/>
    <mergeCell ref="B8:H8"/>
    <mergeCell ref="B9:H9"/>
    <mergeCell ref="B10:H10"/>
    <mergeCell ref="B11:H11"/>
    <mergeCell ref="B12:H12"/>
    <mergeCell ref="A14:H14"/>
    <mergeCell ref="B15:H15"/>
    <mergeCell ref="B16:H16"/>
    <mergeCell ref="B17:H17"/>
    <mergeCell ref="B18:H18"/>
    <mergeCell ref="B19:H19"/>
    <mergeCell ref="B20:H20"/>
    <mergeCell ref="A22:H22"/>
    <mergeCell ref="B23:H23"/>
    <mergeCell ref="B24:H24"/>
    <mergeCell ref="B25:H25"/>
    <mergeCell ref="B26:H26"/>
    <mergeCell ref="B27:H27"/>
    <mergeCell ref="A29:H29"/>
    <mergeCell ref="B30:H30"/>
    <mergeCell ref="B31:H31"/>
    <mergeCell ref="B32:H32"/>
    <mergeCell ref="B33:H33"/>
    <mergeCell ref="B34:H34"/>
    <mergeCell ref="B35:H35"/>
    <mergeCell ref="B36:H36"/>
    <mergeCell ref="B37:H37"/>
    <mergeCell ref="A39:H39"/>
    <mergeCell ref="B40:H40"/>
    <mergeCell ref="B41:H41"/>
    <mergeCell ref="B42:H42"/>
    <mergeCell ref="B43:H43"/>
    <mergeCell ref="B44:H44"/>
    <mergeCell ref="B45:H45"/>
    <mergeCell ref="B46:H46"/>
    <mergeCell ref="B47:H47"/>
    <mergeCell ref="A49:H49"/>
    <mergeCell ref="B50:H50"/>
    <mergeCell ref="B51:H51"/>
    <mergeCell ref="B52:H52"/>
    <mergeCell ref="B59:H59"/>
    <mergeCell ref="B60:H60"/>
    <mergeCell ref="B53:H53"/>
    <mergeCell ref="B54:H54"/>
    <mergeCell ref="B55:H55"/>
    <mergeCell ref="A57:H57"/>
    <mergeCell ref="B58:H58"/>
  </mergeCells>
  <pageMargins left="0.4" right="0.4" top="0.4" bottom="0.4" header="0.3" footer="0.3"/>
  <pageSetup paperSize="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468B-B221-EA43-B4B8-C115ABF95F16}">
  <sheetPr>
    <tabColor rgb="FFB0892F"/>
  </sheetPr>
  <dimension ref="A1:I28"/>
  <sheetViews>
    <sheetView showGridLines="0" zoomScale="170" zoomScaleNormal="170" workbookViewId="0">
      <pane ySplit="9" topLeftCell="A10" activePane="bottomLeft" state="frozen"/>
      <selection pane="bottomLeft" activeCell="J28" sqref="J28"/>
    </sheetView>
  </sheetViews>
  <sheetFormatPr baseColWidth="10" defaultColWidth="8.83203125" defaultRowHeight="15" x14ac:dyDescent="0.2"/>
  <cols>
    <col min="1" max="1" width="17"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43" t="s">
        <v>126</v>
      </c>
      <c r="B1" s="143"/>
      <c r="C1" s="143"/>
      <c r="D1" s="143"/>
      <c r="E1" s="143"/>
      <c r="G1" s="26"/>
      <c r="H1" s="26"/>
      <c r="I1" s="26"/>
    </row>
    <row r="2" spans="1:9" ht="28.5" customHeight="1" x14ac:dyDescent="0.2">
      <c r="A2" s="144" t="s">
        <v>127</v>
      </c>
      <c r="B2" s="144"/>
      <c r="C2" s="144"/>
      <c r="D2" s="144"/>
      <c r="E2" s="144"/>
      <c r="G2" s="26"/>
      <c r="H2" s="26"/>
      <c r="I2" s="26"/>
    </row>
    <row r="3" spans="1:9" ht="3" customHeight="1" x14ac:dyDescent="0.2">
      <c r="G3" s="26"/>
      <c r="H3" s="26"/>
      <c r="I3" s="26"/>
    </row>
    <row r="4" spans="1:9" ht="15" customHeight="1" x14ac:dyDescent="0.2">
      <c r="A4" s="145" t="s">
        <v>128</v>
      </c>
      <c r="B4" s="145"/>
      <c r="C4" s="145"/>
      <c r="D4" s="145"/>
      <c r="E4" s="145"/>
      <c r="G4" s="26"/>
      <c r="H4" s="26"/>
      <c r="I4" s="26"/>
    </row>
    <row r="5" spans="1:9" ht="24.75" customHeight="1" x14ac:dyDescent="0.2">
      <c r="A5" s="146" t="str">
        <f>'Sport Records'!$C$4</f>
        <v>Dean B</v>
      </c>
      <c r="B5" s="146"/>
      <c r="C5" s="146"/>
      <c r="D5" s="146"/>
      <c r="E5" s="146"/>
      <c r="G5" s="26"/>
      <c r="H5" s="26"/>
      <c r="I5" s="26"/>
    </row>
    <row r="6" spans="1:9" ht="15" customHeight="1" x14ac:dyDescent="0.2">
      <c r="A6" s="147" t="str">
        <f>"FWC rating "&amp;TEXT(IFERROR(INDEX(Engine!$B$2:$B$15,MATCH('Sport Records'!$C$4,Engine!$A$2:$A$15,0)),0),"0")&amp;"   |   "&amp;COUNTIFS('Match Log'!$D$4:$D$311,'Sport Records'!$C$4,'Match Log'!$E$4:$E$311,"Win")&amp;" wins, "&amp;(COUNTIF('Match Log'!$D$4:$D$311,'Sport Records'!$C$4)-COUNTIFS('Match Log'!$D$4:$D$311,'Sport Records'!$C$4,'Match Log'!$E$4:$E$311,"Win"))&amp;" losses"&amp;"   |   highest-rated eligible player"</f>
        <v>FWC rating 1189   |   15 wins, 8 losses   |   highest-rated eligible player</v>
      </c>
      <c r="B6" s="147"/>
      <c r="C6" s="147"/>
      <c r="D6" s="147"/>
      <c r="E6" s="147"/>
      <c r="G6" s="26"/>
      <c r="H6" s="26"/>
      <c r="I6" s="26"/>
    </row>
    <row r="7" spans="1:9" ht="15" customHeight="1" x14ac:dyDescent="0.2">
      <c r="G7" s="26"/>
      <c r="H7" s="26"/>
      <c r="I7" s="26"/>
    </row>
    <row r="8" spans="1:9" ht="15" customHeight="1" x14ac:dyDescent="0.2">
      <c r="A8" s="142" t="s">
        <v>129</v>
      </c>
      <c r="B8" s="142"/>
      <c r="C8" s="142"/>
      <c r="D8" s="142"/>
      <c r="E8" s="142"/>
      <c r="G8" s="26"/>
      <c r="H8" s="26"/>
      <c r="I8" s="26"/>
    </row>
    <row r="9" spans="1:9" ht="15" customHeight="1" x14ac:dyDescent="0.2">
      <c r="A9" s="27" t="s">
        <v>130</v>
      </c>
      <c r="B9" s="27" t="s">
        <v>131</v>
      </c>
      <c r="C9" s="27" t="s">
        <v>132</v>
      </c>
      <c r="D9" s="27" t="s">
        <v>133</v>
      </c>
      <c r="E9" s="27" t="s">
        <v>134</v>
      </c>
      <c r="G9" s="26"/>
      <c r="H9" s="26"/>
      <c r="I9" s="26"/>
    </row>
    <row r="10" spans="1:9" ht="15" customHeight="1" x14ac:dyDescent="0.25">
      <c r="A10" s="28" t="str">
        <f>IF(Lists!$C$2="","",Lists!$C$2)</f>
        <v>Chess</v>
      </c>
      <c r="B10" s="29" t="str">
        <f>IFERROR('Sport Records'!$P$91,"—")</f>
        <v>Shawn</v>
      </c>
      <c r="C10" s="30">
        <f>IF(OR($B10="—",$B10=""),"",ROUND(MAX('Sport Records'!$B$91:$O$91),0))</f>
        <v>1031</v>
      </c>
      <c r="D10" s="30" t="str">
        <f>IF(OR($B10="—",$B10=""),"—",COUNTIFS('Match Log'!$D$4:$D$311,$B10,'Match Log'!$C$4:$C$311,$A10,'Match Log'!$E$4:$E$311,"Win")&amp;"–"&amp;(COUNTIFS('Match Log'!$D$4:$D$311,$B10,'Match Log'!$C$4:$C$311,$A10)-COUNTIFS('Match Log'!$D$4:$D$311,$B10,'Match Log'!$C$4:$C$311,$A10,'Match Log'!$E$4:$E$311,"Win")))</f>
        <v>2–0</v>
      </c>
      <c r="E10" s="30">
        <f>IFERROR('Sport Records'!$P$8,0)</f>
        <v>2</v>
      </c>
      <c r="G10" s="31" t="s">
        <v>135</v>
      </c>
      <c r="H10" s="26"/>
      <c r="I10" s="26"/>
    </row>
    <row r="11" spans="1:9" ht="15" customHeight="1" x14ac:dyDescent="0.2">
      <c r="A11" s="28" t="str">
        <f>IF(Lists!$C$3="","",Lists!$C$3)</f>
        <v>Darts</v>
      </c>
      <c r="B11" s="29" t="str">
        <f>IFERROR('Sport Records'!$P$92,"—")</f>
        <v>—</v>
      </c>
      <c r="C11" s="30" t="str">
        <f>IF(OR($B11="—",$B11=""),"",ROUND(MAX('Sport Records'!$B$92:$O$92),0))</f>
        <v/>
      </c>
      <c r="D11" s="30" t="str">
        <f>IF(OR($B11="—",$B11=""),"—",COUNTIFS('Match Log'!$D$4:$D$311,$B11,'Match Log'!$C$4:$C$311,$A11,'Match Log'!$E$4:$E$311,"Win")&amp;"–"&amp;(COUNTIFS('Match Log'!$D$4:$D$311,$B11,'Match Log'!$C$4:$C$311,$A11)-COUNTIFS('Match Log'!$D$4:$D$311,$B11,'Match Log'!$C$4:$C$311,$A11,'Match Log'!$E$4:$E$311,"Win")))</f>
        <v>—</v>
      </c>
      <c r="E11" s="30">
        <f>IFERROR('Sport Records'!$P$9,0)</f>
        <v>0</v>
      </c>
      <c r="G11" s="32" t="s">
        <v>136</v>
      </c>
      <c r="H11" s="26"/>
      <c r="I11" s="26"/>
    </row>
    <row r="12" spans="1:9" ht="15" customHeight="1" x14ac:dyDescent="0.2">
      <c r="A12" s="28" t="str">
        <f>IF(Lists!$C$4="","",Lists!$C$4)</f>
        <v>FIFA</v>
      </c>
      <c r="B12" s="29" t="str">
        <f>IFERROR('Sport Records'!$P$93,"—")</f>
        <v>Aaron</v>
      </c>
      <c r="C12" s="30">
        <f>IF(OR($B12="—",$B12=""),"",ROUND(MAX('Sport Records'!$B$93:$O$93),0))</f>
        <v>1051</v>
      </c>
      <c r="D12" s="30" t="str">
        <f>IF(OR($B12="—",$B12=""),"—",COUNTIFS('Match Log'!$D$4:$D$311,$B12,'Match Log'!$C$4:$C$311,$A12,'Match Log'!$E$4:$E$311,"Win")&amp;"–"&amp;(COUNTIFS('Match Log'!$D$4:$D$311,$B12,'Match Log'!$C$4:$C$311,$A12)-COUNTIFS('Match Log'!$D$4:$D$311,$B12,'Match Log'!$C$4:$C$311,$A12,'Match Log'!$E$4:$E$311,"Win")))</f>
        <v>6–2</v>
      </c>
      <c r="E12" s="30">
        <f>IFERROR('Sport Records'!$P$10,0)</f>
        <v>16</v>
      </c>
      <c r="G12" s="26"/>
      <c r="H12" s="26"/>
      <c r="I12" s="26"/>
    </row>
    <row r="13" spans="1:9" ht="15" customHeight="1" x14ac:dyDescent="0.2">
      <c r="A13" s="28" t="str">
        <f>IF(Lists!$C$5="","",Lists!$C$5)</f>
        <v>Golf</v>
      </c>
      <c r="B13" s="29" t="str">
        <f>IFERROR('Sport Records'!$P$94,"—")</f>
        <v>—</v>
      </c>
      <c r="C13" s="30" t="str">
        <f>IF(OR($B13="—",$B13=""),"",ROUND(MAX('Sport Records'!$B$94:$O$94),0))</f>
        <v/>
      </c>
      <c r="D13" s="30" t="str">
        <f>IF(OR($B13="—",$B13=""),"—",COUNTIFS('Match Log'!$D$4:$D$311,$B13,'Match Log'!$C$4:$C$311,$A13,'Match Log'!$E$4:$E$311,"Win")&amp;"–"&amp;(COUNTIFS('Match Log'!$D$4:$D$311,$B13,'Match Log'!$C$4:$C$311,$A13)-COUNTIFS('Match Log'!$D$4:$D$311,$B13,'Match Log'!$C$4:$C$311,$A13,'Match Log'!$E$4:$E$311,"Win")))</f>
        <v>—</v>
      </c>
      <c r="E13" s="30">
        <f>IFERROR('Sport Records'!$P$11,0)</f>
        <v>0</v>
      </c>
      <c r="G13" s="33" t="s">
        <v>137</v>
      </c>
      <c r="H13" s="33" t="s">
        <v>138</v>
      </c>
      <c r="I13" s="33" t="s">
        <v>139</v>
      </c>
    </row>
    <row r="14" spans="1:9" ht="15" customHeight="1" x14ac:dyDescent="0.2">
      <c r="A14" s="28" t="str">
        <f>IF(Lists!$C$6="","",Lists!$C$6)</f>
        <v>Pool</v>
      </c>
      <c r="B14" s="29" t="str">
        <f>IFERROR('Sport Records'!$P$95,"—")</f>
        <v>Simon</v>
      </c>
      <c r="C14" s="30">
        <f>IF(OR($B14="—",$B14=""),"",ROUND(MAX('Sport Records'!$B$95:$O$95),0))</f>
        <v>1030</v>
      </c>
      <c r="D14" s="30" t="str">
        <f>IF(OR($B14="—",$B14=""),"—",COUNTIFS('Match Log'!$D$4:$D$311,$B14,'Match Log'!$C$4:$C$311,$A14,'Match Log'!$E$4:$E$311,"Win")&amp;"–"&amp;(COUNTIFS('Match Log'!$D$4:$D$311,$B14,'Match Log'!$C$4:$C$311,$A14)-COUNTIFS('Match Log'!$D$4:$D$311,$B14,'Match Log'!$C$4:$C$311,$A14,'Match Log'!$E$4:$E$311,"Win")))</f>
        <v>2–0</v>
      </c>
      <c r="E14" s="30">
        <f>IFERROR('Sport Records'!$P$12,0)</f>
        <v>10</v>
      </c>
      <c r="G14" s="34" t="s">
        <v>140</v>
      </c>
      <c r="H14" s="35" t="s">
        <v>141</v>
      </c>
      <c r="I14" s="36" t="s">
        <v>142</v>
      </c>
    </row>
    <row r="15" spans="1:9" ht="15" customHeight="1" x14ac:dyDescent="0.2">
      <c r="A15" s="28" t="str">
        <f>IF(Lists!$C$7="","",Lists!$C$7)</f>
        <v>Kelly Pool</v>
      </c>
      <c r="B15" s="29" t="str">
        <f>IFERROR('Sport Records'!$P$96,"—")</f>
        <v>Aaron</v>
      </c>
      <c r="C15" s="30">
        <f>IF(OR($B15="—",$B15=""),"",ROUND(MAX('Sport Records'!$B$96:$O$96),0))</f>
        <v>1016</v>
      </c>
      <c r="D15" s="30" t="str">
        <f>IF(OR($B15="—",$B15=""),"—",COUNTIFS('Match Log'!$D$4:$D$311,$B15,'Match Log'!$C$4:$C$311,$A15,'Match Log'!$E$4:$E$311,"Win")&amp;"–"&amp;(COUNTIFS('Match Log'!$D$4:$D$311,$B15,'Match Log'!$C$4:$C$311,$A15)-COUNTIFS('Match Log'!$D$4:$D$311,$B15,'Match Log'!$C$4:$C$311,$A15,'Match Log'!$E$4:$E$311,"Win")))</f>
        <v>1–0</v>
      </c>
      <c r="E15" s="30">
        <f>IFERROR('Sport Records'!$P$13,0)</f>
        <v>1</v>
      </c>
      <c r="G15" s="37" t="s">
        <v>143</v>
      </c>
      <c r="H15" s="38" t="s">
        <v>144</v>
      </c>
      <c r="I15" s="39" t="s">
        <v>145</v>
      </c>
    </row>
    <row r="16" spans="1:9" ht="15" customHeight="1" x14ac:dyDescent="0.2">
      <c r="A16" s="28" t="str">
        <f>IF(Lists!$C$8="","",Lists!$C$8)</f>
        <v>Target</v>
      </c>
      <c r="B16" s="29" t="str">
        <f>IFERROR('Sport Records'!$P$97,"—")</f>
        <v>—</v>
      </c>
      <c r="C16" s="30" t="str">
        <f>IF(OR($B16="—",$B16=""),"",ROUND(MAX('Sport Records'!$B$97:$O$97),0))</f>
        <v/>
      </c>
      <c r="D16" s="30" t="str">
        <f>IF(OR($B16="—",$B16=""),"—",COUNTIFS('Match Log'!$D$4:$D$311,$B16,'Match Log'!$C$4:$C$311,$A16,'Match Log'!$E$4:$E$311,"Win")&amp;"–"&amp;(COUNTIFS('Match Log'!$D$4:$D$311,$B16,'Match Log'!$C$4:$C$311,$A16)-COUNTIFS('Match Log'!$D$4:$D$311,$B16,'Match Log'!$C$4:$C$311,$A16,'Match Log'!$E$4:$E$311,"Win")))</f>
        <v>—</v>
      </c>
      <c r="E16" s="30">
        <f>IFERROR('Sport Records'!$P$14,0)</f>
        <v>0</v>
      </c>
      <c r="G16" s="34" t="s">
        <v>146</v>
      </c>
      <c r="H16" s="35" t="s">
        <v>145</v>
      </c>
      <c r="I16" s="36" t="s">
        <v>147</v>
      </c>
    </row>
    <row r="17" spans="1:9" ht="15" customHeight="1" x14ac:dyDescent="0.2">
      <c r="A17" s="28" t="str">
        <f>IF(Lists!$C$9="","",Lists!$C$9)</f>
        <v>Snooker</v>
      </c>
      <c r="B17" s="29" t="str">
        <f>IFERROR('Sport Records'!$P$98,"—")</f>
        <v>—</v>
      </c>
      <c r="C17" s="30" t="str">
        <f>IF(OR($B17="—",$B17=""),"",ROUND(MAX('Sport Records'!$B$98:$O$98),0))</f>
        <v/>
      </c>
      <c r="D17" s="30" t="str">
        <f>IF(OR($B17="—",$B17=""),"—",COUNTIFS('Match Log'!$D$4:$D$311,$B17,'Match Log'!$C$4:$C$311,$A17,'Match Log'!$E$4:$E$311,"Win")&amp;"–"&amp;(COUNTIFS('Match Log'!$D$4:$D$311,$B17,'Match Log'!$C$4:$C$311,$A17)-COUNTIFS('Match Log'!$D$4:$D$311,$B17,'Match Log'!$C$4:$C$311,$A17,'Match Log'!$E$4:$E$311,"Win")))</f>
        <v>—</v>
      </c>
      <c r="E17" s="30">
        <f>IFERROR('Sport Records'!$P$15,0)</f>
        <v>0</v>
      </c>
      <c r="G17" s="37" t="s">
        <v>148</v>
      </c>
      <c r="H17" s="38" t="s">
        <v>149</v>
      </c>
      <c r="I17" s="39" t="s">
        <v>141</v>
      </c>
    </row>
    <row r="18" spans="1:9" ht="15" customHeight="1" x14ac:dyDescent="0.2">
      <c r="A18" s="28" t="str">
        <f>IF(Lists!$C$10="","",Lists!$C$10)</f>
        <v>Putt Putt</v>
      </c>
      <c r="B18" s="29" t="str">
        <f>IFERROR('Sport Records'!$P$99,"—")</f>
        <v>Josh</v>
      </c>
      <c r="C18" s="30">
        <f>IF(OR($B18="—",$B18=""),"",ROUND(MAX('Sport Records'!$B$99:$O$99),0))</f>
        <v>1016</v>
      </c>
      <c r="D18" s="30" t="str">
        <f>IF(OR($B18="—",$B18=""),"—",COUNTIFS('Match Log'!$D$4:$D$311,$B18,'Match Log'!$C$4:$C$311,$A18,'Match Log'!$E$4:$E$311,"Win")&amp;"–"&amp;(COUNTIFS('Match Log'!$D$4:$D$311,$B18,'Match Log'!$C$4:$C$311,$A18)-COUNTIFS('Match Log'!$D$4:$D$311,$B18,'Match Log'!$C$4:$C$311,$A18,'Match Log'!$E$4:$E$311,"Win")))</f>
        <v>1–0</v>
      </c>
      <c r="E18" s="30">
        <f>IFERROR('Sport Records'!$P$16,0)</f>
        <v>1</v>
      </c>
      <c r="G18" s="34" t="s">
        <v>150</v>
      </c>
      <c r="H18" s="40" t="s">
        <v>151</v>
      </c>
      <c r="I18" s="36"/>
    </row>
    <row r="19" spans="1:9" ht="15" customHeight="1" x14ac:dyDescent="0.2">
      <c r="A19" s="28" t="str">
        <f>IF(Lists!$C$11="","",Lists!$C$11)</f>
        <v>Back Yard Putt Putt</v>
      </c>
      <c r="B19" s="29" t="str">
        <f>IFERROR('Sport Records'!$P$100,"—")</f>
        <v>—</v>
      </c>
      <c r="C19" s="30" t="str">
        <f>IF(OR($B19="—",$B19=""),"",ROUND(MAX('Sport Records'!$B$100:$O$100),0))</f>
        <v/>
      </c>
      <c r="D19" s="30" t="str">
        <f>IF(OR($B19="—",$B19=""),"—",COUNTIFS('Match Log'!$D$4:$D$311,$B19,'Match Log'!$C$4:$C$311,$A19,'Match Log'!$E$4:$E$311,"Win")&amp;"–"&amp;(COUNTIFS('Match Log'!$D$4:$D$311,$B19,'Match Log'!$C$4:$C$311,$A19)-COUNTIFS('Match Log'!$D$4:$D$311,$B19,'Match Log'!$C$4:$C$311,$A19,'Match Log'!$E$4:$E$311,"Win")))</f>
        <v>—</v>
      </c>
      <c r="E19" s="30">
        <f>IFERROR('Sport Records'!$P$17,0)</f>
        <v>0</v>
      </c>
      <c r="G19" s="37" t="s">
        <v>152</v>
      </c>
      <c r="H19" s="41" t="s">
        <v>151</v>
      </c>
      <c r="I19" s="39"/>
    </row>
    <row r="20" spans="1:9" ht="15" customHeight="1" x14ac:dyDescent="0.2">
      <c r="A20" s="28" t="str">
        <f>IF(Lists!$C$12="","",Lists!$C$12)</f>
        <v>Sting Pong</v>
      </c>
      <c r="B20" s="29" t="str">
        <f>IFERROR('Sport Records'!$P$101,"—")</f>
        <v>—</v>
      </c>
      <c r="C20" s="30" t="str">
        <f>IF(OR($B20="—",$B20=""),"",ROUND(MAX('Sport Records'!$B$101:$O$101),0))</f>
        <v/>
      </c>
      <c r="D20" s="30" t="str">
        <f>IF(OR($B20="—",$B20=""),"—",COUNTIFS('Match Log'!$D$4:$D$311,$B20,'Match Log'!$C$4:$C$311,$A20,'Match Log'!$E$4:$E$311,"Win")&amp;"–"&amp;(COUNTIFS('Match Log'!$D$4:$D$311,$B20,'Match Log'!$C$4:$C$311,$A20)-COUNTIFS('Match Log'!$D$4:$D$311,$B20,'Match Log'!$C$4:$C$311,$A20,'Match Log'!$E$4:$E$311,"Win")))</f>
        <v>—</v>
      </c>
      <c r="E20" s="30">
        <f>IFERROR('Sport Records'!$P$18,0)</f>
        <v>0</v>
      </c>
      <c r="G20" s="34" t="s">
        <v>153</v>
      </c>
      <c r="H20" s="40" t="s">
        <v>151</v>
      </c>
      <c r="I20" s="36"/>
    </row>
    <row r="21" spans="1:9" ht="15" customHeight="1" x14ac:dyDescent="0.2">
      <c r="A21" s="28" t="str">
        <f>IF(Lists!$C$13="","",Lists!$C$13)</f>
        <v>Table Tennis</v>
      </c>
      <c r="B21" s="29" t="str">
        <f>IFERROR('Sport Records'!$P$102,"—")</f>
        <v>Josh</v>
      </c>
      <c r="C21" s="30">
        <f>IF(OR($B21="—",$B21=""),"",ROUND(MAX('Sport Records'!$B$102:$O$102),0))</f>
        <v>1109</v>
      </c>
      <c r="D21" s="30" t="str">
        <f>IF(OR($B21="—",$B21=""),"—",COUNTIFS('Match Log'!$D$4:$D$311,$B21,'Match Log'!$C$4:$C$311,$A21,'Match Log'!$E$4:$E$311,"Win")&amp;"–"&amp;(COUNTIFS('Match Log'!$D$4:$D$311,$B21,'Match Log'!$C$4:$C$311,$A21)-COUNTIFS('Match Log'!$D$4:$D$311,$B21,'Match Log'!$C$4:$C$311,$A21,'Match Log'!$E$4:$E$311,"Win")))</f>
        <v>13–2</v>
      </c>
      <c r="E21" s="30">
        <f>IFERROR('Sport Records'!$P$19,0)</f>
        <v>31</v>
      </c>
      <c r="G21" s="37" t="s">
        <v>154</v>
      </c>
      <c r="H21" s="41" t="s">
        <v>155</v>
      </c>
      <c r="I21" s="39" t="s">
        <v>156</v>
      </c>
    </row>
    <row r="22" spans="1:9" ht="15" customHeight="1" x14ac:dyDescent="0.2">
      <c r="A22" s="28" t="str">
        <f>IF(Lists!$C$14="","",Lists!$C$14)</f>
        <v>Mario Party</v>
      </c>
      <c r="B22" s="29" t="str">
        <f>IFERROR('Sport Records'!$P$103,"—")</f>
        <v>Daniel (Ferret)</v>
      </c>
      <c r="C22" s="30">
        <f>IF(OR($B22="—",$B22=""),"",ROUND(MAX('Sport Records'!$B$103:$O$103),0))</f>
        <v>1045</v>
      </c>
      <c r="D22" s="30" t="str">
        <f>IF(OR($B22="—",$B22=""),"—",COUNTIFS('Match Log'!$D$4:$D$311,$B22,'Match Log'!$C$4:$C$311,$A22,'Match Log'!$E$4:$E$311,"Win")&amp;"–"&amp;(COUNTIFS('Match Log'!$D$4:$D$311,$B22,'Match Log'!$C$4:$C$311,$A22)-COUNTIFS('Match Log'!$D$4:$D$311,$B22,'Match Log'!$C$4:$C$311,$A22,'Match Log'!$E$4:$E$311,"Win")))</f>
        <v>3–0</v>
      </c>
      <c r="E22" s="30">
        <f>IFERROR('Sport Records'!$P$20,0)</f>
        <v>6</v>
      </c>
      <c r="G22" s="26"/>
      <c r="H22" s="26"/>
      <c r="I22" s="26"/>
    </row>
    <row r="23" spans="1:9" ht="15" customHeight="1" x14ac:dyDescent="0.2">
      <c r="A23" s="28" t="str">
        <f>IF(Lists!$C$15="","",Lists!$C$15)</f>
        <v>Mario Kart</v>
      </c>
      <c r="B23" s="29" t="str">
        <f>IFERROR('Sport Records'!$P$104,"—")</f>
        <v>Chase</v>
      </c>
      <c r="C23" s="30">
        <f>IF(OR($B23="—",$B23=""),"",ROUND(MAX('Sport Records'!$B$104:$O$104),0))</f>
        <v>1056</v>
      </c>
      <c r="D23" s="30" t="str">
        <f>IF(OR($B23="—",$B23=""),"—",COUNTIFS('Match Log'!$D$4:$D$311,$B23,'Match Log'!$C$4:$C$311,$A23,'Match Log'!$E$4:$E$311,"Win")&amp;"–"&amp;(COUNTIFS('Match Log'!$D$4:$D$311,$B23,'Match Log'!$C$4:$C$311,$A23)-COUNTIFS('Match Log'!$D$4:$D$311,$B23,'Match Log'!$C$4:$C$311,$A23,'Match Log'!$E$4:$E$311,"Win")))</f>
        <v>4–0</v>
      </c>
      <c r="E23" s="30">
        <f>IFERROR('Sport Records'!$P$21,0)</f>
        <v>14</v>
      </c>
      <c r="G23" s="42" t="s">
        <v>157</v>
      </c>
      <c r="H23" s="43" t="s">
        <v>158</v>
      </c>
      <c r="I23" s="26"/>
    </row>
    <row r="24" spans="1:9" ht="15" customHeight="1" x14ac:dyDescent="0.2">
      <c r="A24" s="28" t="str">
        <f>IF(Lists!$C$16="","",Lists!$C$16)</f>
        <v>Go Karting</v>
      </c>
      <c r="B24" s="29" t="str">
        <f>IFERROR('Sport Records'!$P$105,"—")</f>
        <v>—</v>
      </c>
      <c r="C24" s="30" t="str">
        <f>IF(OR($B24="—",$B24=""),"",ROUND(MAX('Sport Records'!$B$105:$O$105),0))</f>
        <v/>
      </c>
      <c r="D24" s="30" t="str">
        <f>IF(OR($B24="—",$B24=""),"—",COUNTIFS('Match Log'!$D$4:$D$311,$B24,'Match Log'!$C$4:$C$311,$A24,'Match Log'!$E$4:$E$311,"Win")&amp;"–"&amp;(COUNTIFS('Match Log'!$D$4:$D$311,$B24,'Match Log'!$C$4:$C$311,$A24)-COUNTIFS('Match Log'!$D$4:$D$311,$B24,'Match Log'!$C$4:$C$311,$A24,'Match Log'!$E$4:$E$311,"Win")))</f>
        <v>—</v>
      </c>
      <c r="E24" s="30">
        <f>IFERROR('Sport Records'!$P$22,0)</f>
        <v>0</v>
      </c>
      <c r="G24" s="42" t="s">
        <v>159</v>
      </c>
      <c r="H24" s="43" t="s">
        <v>160</v>
      </c>
      <c r="I24" s="26"/>
    </row>
    <row r="25" spans="1:9" ht="15" customHeight="1" x14ac:dyDescent="0.2">
      <c r="A25" s="28" t="str">
        <f>IF(Lists!$C$17="","",Lists!$C$17)</f>
        <v>Call of Duty</v>
      </c>
      <c r="B25" s="29" t="str">
        <f>IFERROR('Sport Records'!$P$106,"—")</f>
        <v>Daniel (Ferret)</v>
      </c>
      <c r="C25" s="30">
        <f>IF(OR($B25="—",$B25=""),"",ROUND(MAX('Sport Records'!$B$106:$O$106),0))</f>
        <v>1031</v>
      </c>
      <c r="D25" s="30" t="str">
        <f>IF(OR($B25="—",$B25=""),"—",COUNTIFS('Match Log'!$D$4:$D$311,$B25,'Match Log'!$C$4:$C$311,$A25,'Match Log'!$E$4:$E$311,"Win")&amp;"–"&amp;(COUNTIFS('Match Log'!$D$4:$D$311,$B25,'Match Log'!$C$4:$C$311,$A25)-COUNTIFS('Match Log'!$D$4:$D$311,$B25,'Match Log'!$C$4:$C$311,$A25,'Match Log'!$E$4:$E$311,"Win")))</f>
        <v>2–0</v>
      </c>
      <c r="E25" s="30">
        <f>IFERROR('Sport Records'!$P$23,0)</f>
        <v>3</v>
      </c>
    </row>
    <row r="26" spans="1:9" ht="15" customHeight="1" x14ac:dyDescent="0.2">
      <c r="A26" s="28" t="str">
        <f>IF(Lists!$C$18="","",Lists!$C$18)</f>
        <v>Poker</v>
      </c>
      <c r="B26" s="29" t="str">
        <f>IFERROR('Sport Records'!$P$107,"—")</f>
        <v>Josh</v>
      </c>
      <c r="C26" s="30">
        <f>IF(OR($B26="—",$B26=""),"",ROUND(MAX('Sport Records'!$B$107:$O$107),0))</f>
        <v>1016</v>
      </c>
      <c r="D26" s="30" t="str">
        <f>IF(OR($B26="—",$B26=""),"—",COUNTIFS('Match Log'!$D$4:$D$311,$B26,'Match Log'!$C$4:$C$311,$A26,'Match Log'!$E$4:$E$311,"Win")&amp;"–"&amp;(COUNTIFS('Match Log'!$D$4:$D$311,$B26,'Match Log'!$C$4:$C$311,$A26)-COUNTIFS('Match Log'!$D$4:$D$311,$B26,'Match Log'!$C$4:$C$311,$A26,'Match Log'!$E$4:$E$311,"Win")))</f>
        <v>1–0</v>
      </c>
      <c r="E26" s="30">
        <f>IFERROR('Sport Records'!$P$24,0)</f>
        <v>1</v>
      </c>
    </row>
    <row r="27" spans="1:9" ht="15" customHeight="1" x14ac:dyDescent="0.2">
      <c r="A27" s="28" t="str">
        <f>IF(Lists!$C$19="","",Lists!$C$19)</f>
        <v>ShuffleBoard</v>
      </c>
      <c r="B27" s="29" t="str">
        <f>IFERROR('Sport Records'!$P$108,"—")</f>
        <v>Simon</v>
      </c>
      <c r="C27" s="30">
        <f>IF(OR($B27="—",$B27=""),"",ROUND(MAX('Sport Records'!$B$108:$O$108),0))</f>
        <v>1060</v>
      </c>
      <c r="D27" s="30" t="str">
        <f>IF(OR($B27="—",$B27=""),"—",COUNTIFS('Match Log'!$D$4:$D$311,$B27,'Match Log'!$C$4:$C$311,$A27,'Match Log'!$E$4:$E$311,"Win")&amp;"–"&amp;(COUNTIFS('Match Log'!$D$4:$D$311,$B27,'Match Log'!$C$4:$C$311,$A27)-COUNTIFS('Match Log'!$D$4:$D$311,$B27,'Match Log'!$C$4:$C$311,$A27,'Match Log'!$E$4:$E$311,"Win")))</f>
        <v>8–3</v>
      </c>
      <c r="E27" s="30">
        <f>IFERROR('Sport Records'!$P$25,0)</f>
        <v>31</v>
      </c>
    </row>
    <row r="28" spans="1:9" ht="15" customHeight="1" x14ac:dyDescent="0.2">
      <c r="A28" s="28" t="str">
        <f>IF(Lists!$C$20="","",Lists!$C$20)</f>
        <v>Mario Golf</v>
      </c>
      <c r="B28" s="29" t="str">
        <f>'Sport Records'!$P$109</f>
        <v>Josh</v>
      </c>
      <c r="C28" s="30">
        <f>IF(OR($B28="—",$B28=""),"",ROUND(MAX('Sport Records'!$B$109:$O$109),0))</f>
        <v>1005</v>
      </c>
      <c r="D28" s="30" t="str">
        <f>IF(OR($B28="—",$B28=""),"—",COUNTIFS('Match Log'!$D$4:$D$311,$B28,'Match Log'!$C$4:$C$311,$A28,'Match Log'!$E$4:$E$311,"Win")&amp;"–"&amp;(COUNTIFS('Match Log'!$D$4:$D$311,$B28,'Match Log'!$C$4:$C$311,$A28)-COUNTIFS('Match Log'!$D$4:$D$311,$B28,'Match Log'!$C$4:$C$311,$A28,'Match Log'!$E$4:$E$311,"Win")))</f>
        <v>2–2</v>
      </c>
      <c r="E28" s="30">
        <f>'Sport Records'!$P$26</f>
        <v>4</v>
      </c>
    </row>
  </sheetData>
  <autoFilter ref="A9:E27" xr:uid="{00000000-0009-0000-0000-000001000000}"/>
  <mergeCells count="6">
    <mergeCell ref="A8:E8"/>
    <mergeCell ref="A1:E1"/>
    <mergeCell ref="A2:E2"/>
    <mergeCell ref="A4:E4"/>
    <mergeCell ref="A5:E5"/>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45558-0C3D-5542-B4D5-7A79784D9AC1}">
  <sheetPr>
    <tabColor rgb="FFB23A48"/>
  </sheetPr>
  <dimension ref="A1:W23"/>
  <sheetViews>
    <sheetView tabSelected="1" zoomScale="200" zoomScaleNormal="200" workbookViewId="0">
      <pane xSplit="3" ySplit="4" topLeftCell="D5" activePane="bottomRight" state="frozen"/>
      <selection pane="topRight" activeCell="D1" sqref="D1"/>
      <selection pane="bottomLeft" activeCell="A5" sqref="A5"/>
      <selection pane="bottomRight" activeCell="G24" sqref="G24"/>
    </sheetView>
  </sheetViews>
  <sheetFormatPr baseColWidth="10" defaultColWidth="8.6640625" defaultRowHeight="15" x14ac:dyDescent="0.2"/>
  <cols>
    <col min="1" max="1" width="7"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s>
  <sheetData>
    <row r="1" spans="1:23" ht="22.5" customHeight="1" x14ac:dyDescent="0.25">
      <c r="A1" s="44" t="s">
        <v>161</v>
      </c>
    </row>
    <row r="2" spans="1:23" ht="15" customHeight="1" x14ac:dyDescent="0.2">
      <c r="A2" s="45" t="s">
        <v>162</v>
      </c>
      <c r="M2" s="46" t="str">
        <f>"Standings as of Game "&amp;MAX('Match Log'!$A$4:$A$311)&amp;"  ·  "&amp;TEXT(MAX('Match Log'!$B$4:$B$311),"d mmm yyyy")</f>
        <v>Standings as of Game 120  ·  5 Jul 2026</v>
      </c>
      <c r="T2" s="47" t="str">
        <f>IF(COUNTIF($T$5:$T$18,"At risk")+COUNTIF($T$5:$T$18,"Inactive")=0,"Inactivity watch:  all players active ✓","⚠ Inactivity watch:  "&amp;(COUNTIF($T$5:$T$18,"At risk")+COUNTIF($T$5:$T$18,"Inactive"))&amp;" player(s) need a game — see Activity column")</f>
        <v>Inactivity watch:  all players active ✓</v>
      </c>
    </row>
    <row r="3" spans="1:23" ht="15.75" customHeight="1" x14ac:dyDescent="0.2">
      <c r="A3" s="48" t="str">
        <f>"Current Champion:  "&amp;IFERROR(INDEX($B$5:$B$18,MATCH(SUMPRODUCT(MAX(($L$5:$L$18="Eligible")*($T$5:$T$18&lt;&gt;"Inactive")*$V$5:$V$18)),$V$5:$V$18,0)),"— none eligible yet —")</f>
        <v>Current Champion:  Dean B</v>
      </c>
    </row>
    <row r="4" spans="1:23" ht="15" customHeight="1" x14ac:dyDescent="0.2">
      <c r="A4" s="49" t="s">
        <v>121</v>
      </c>
      <c r="B4" s="49" t="s">
        <v>163</v>
      </c>
      <c r="C4" s="49" t="s">
        <v>75</v>
      </c>
      <c r="D4" s="49" t="s">
        <v>134</v>
      </c>
      <c r="E4" s="49" t="s">
        <v>164</v>
      </c>
      <c r="F4" s="49" t="s">
        <v>165</v>
      </c>
      <c r="G4" s="49" t="s">
        <v>109</v>
      </c>
      <c r="H4" s="49" t="s">
        <v>85</v>
      </c>
      <c r="I4" s="49" t="s">
        <v>87</v>
      </c>
      <c r="J4" s="49" t="s">
        <v>89</v>
      </c>
      <c r="K4" s="49" t="s">
        <v>166</v>
      </c>
      <c r="L4" s="49" t="s">
        <v>107</v>
      </c>
      <c r="M4" s="49" t="s">
        <v>167</v>
      </c>
      <c r="N4" s="49" t="s">
        <v>168</v>
      </c>
      <c r="O4" s="49" t="s">
        <v>95</v>
      </c>
      <c r="P4" s="49" t="s">
        <v>169</v>
      </c>
      <c r="Q4" s="49" t="s">
        <v>170</v>
      </c>
      <c r="R4" s="49" t="s">
        <v>171</v>
      </c>
      <c r="S4" s="49" t="s">
        <v>172</v>
      </c>
      <c r="T4" s="49" t="s">
        <v>103</v>
      </c>
      <c r="U4" s="49" t="s">
        <v>79</v>
      </c>
      <c r="V4" s="49" t="s">
        <v>173</v>
      </c>
      <c r="W4" s="49" t="s">
        <v>105</v>
      </c>
    </row>
    <row r="5" spans="1:23" ht="15" customHeight="1" x14ac:dyDescent="0.2">
      <c r="A5" s="50">
        <f>SUMPRODUCT(($C$5:$C$18&gt;$C5)*1)+SUMPRODUCT(($C$5:$C$18=$C5)*($D$5:$D$18&gt;$D5)*1)+1</f>
        <v>1</v>
      </c>
      <c r="B5" s="51" t="s">
        <v>174</v>
      </c>
      <c r="C5" s="52">
        <f>INDEX(Engine!$B$2:$B$15,MATCH($B5,Engine!$A$2:$A$15,0))</f>
        <v>1189.3765078898728</v>
      </c>
      <c r="D5" s="53">
        <f>COUNTIF('Match Log'!$D$4:$D$311,$B5)</f>
        <v>23</v>
      </c>
      <c r="E5" s="53">
        <f>COUNTIFS('Match Log'!$D$4:$D$311,$B5,'Match Log'!$E$4:$E$311,"Win")</f>
        <v>15</v>
      </c>
      <c r="F5" s="53">
        <f>$D5-$E5</f>
        <v>8</v>
      </c>
      <c r="G5" s="54">
        <f>IF($D5=0,"",$E5/$D5)</f>
        <v>0.65217391304347827</v>
      </c>
      <c r="H5" s="55">
        <f>SUMIF('Match Log'!$D$4:$D$311,$B5,'Match Log'!$J$4:$J$311)</f>
        <v>80.736145770043876</v>
      </c>
      <c r="I5" s="55">
        <f>SUMIF('Match Log'!$D$4:$D$311,$B5,'Match Log'!$K$4:$K$311)</f>
        <v>56.640362119828737</v>
      </c>
      <c r="J5" s="55">
        <f>SUMIF('Match Log'!$D$4:$D$311,$B5,'Match Log'!$L$4:$L$311)</f>
        <v>52</v>
      </c>
      <c r="K5" s="53">
        <f>SUMPRODUCT(--(COUNTIFS('Match Log'!$D$4:$D$311,$B5,'Match Log'!$C$4:$C$311,Lists!$C$2:$C$20)&gt;0))</f>
        <v>3</v>
      </c>
      <c r="L5" s="53" t="str">
        <f>IF($D5=0,"No games",IF(AND($D5&gt;='Guide &amp; Settings'!$C$45,$K5&gt;='Guide &amp; Settings'!$C$46),"Eligible","Provisional"))</f>
        <v>Eligible</v>
      </c>
      <c r="M5" s="52">
        <f>IFERROR(INDEX(Calcs!$C$7:$C$20,MATCH($B5,Calcs!$A$7:$A$20,0)),"")</f>
        <v>1070.5898196633232</v>
      </c>
      <c r="N5" s="52">
        <f>MAX($C$5:$C$18)-$C5</f>
        <v>0</v>
      </c>
      <c r="O5" s="53" t="str">
        <f>IFERROR(INDEX(Calcs!$H$7:$H$20,MATCH($B5,Calcs!$A$7:$A$20,0)),"")</f>
        <v>W2</v>
      </c>
      <c r="P5" s="53" t="str">
        <f>IFERROR(INDEX(Calcs!$I$7:$I$20,MATCH($B5,Calcs!$A$7:$A$20,0)),"")</f>
        <v>LLLWW</v>
      </c>
      <c r="Q5" s="53" t="str">
        <f>IFERROR(IF(INDEX(Calcs!$L$7:$L$20,MATCH($B5,Calcs!$A$7:$A$20,0))&gt;0,"▲"&amp;INDEX(Calcs!$L$7:$L$20,MATCH($B5,Calcs!$A$7:$A$20,0)),IF(INDEX(Calcs!$L$7:$L$20,MATCH($B5,Calcs!$A$7:$A$20,0))&lt;0,"▼"&amp;ABS(INDEX(Calcs!$L$7:$L$20,MATCH($B5,Calcs!$A$7:$A$20,0))),"–")),"")</f>
        <v>–</v>
      </c>
      <c r="R5" s="53" t="str">
        <f>IFERROR(IF(INDEX(Calcs!$P$7:$P$20,MATCH($B5,Calcs!$A$7:$A$20,0))=0,"—",TEXT(INDEX(Calcs!$P$7:$P$20,MATCH($B5,Calcs!$A$7:$A$20,0)),"d mmm")),"")</f>
        <v>16 Jun</v>
      </c>
      <c r="S5" s="53">
        <f>IFERROR(ROUND(INDEX(Calcs!$Q$7:$Q$20,MATCH($B5,Calcs!$A$7:$A$20,0)),1),"")</f>
        <v>2.7</v>
      </c>
      <c r="T5" s="53" t="str">
        <f>IFERROR(INDEX(Calcs!$T$7:$T$20,MATCH($B5,Calcs!$A$7:$A$20,0)),"")</f>
        <v>Active</v>
      </c>
      <c r="U5" s="55">
        <f>IFERROR(MAX(0,ROUND($C5-INDEX(Calcs!$S$7:$S$20,MATCH($B5,Calcs!$A$7:$A$20,0)),0)),0)</f>
        <v>0</v>
      </c>
      <c r="V5" s="55">
        <f>IFERROR(ROUND(INDEX(Calcs!$S$7:$S$20,MATCH($B5,Calcs!$A$7:$A$20,0)),0),"")</f>
        <v>1189</v>
      </c>
      <c r="W5" s="53" t="str">
        <f>IFERROR(INDEX(Calcs!$AF$7:$AF$20,MATCH($B5,Calcs!$A$7:$A$20,0)),"")</f>
        <v>Elite</v>
      </c>
    </row>
    <row r="6" spans="1:23" ht="15" customHeight="1" x14ac:dyDescent="0.2">
      <c r="A6" s="50">
        <f>SUMPRODUCT(($C$5:$C$18&gt;$C6)*1)+SUMPRODUCT(($C$5:$C$18=$C6)*($D$5:$D$18&gt;$D6)*1)+1</f>
        <v>2</v>
      </c>
      <c r="B6" s="51" t="s">
        <v>144</v>
      </c>
      <c r="C6" s="52">
        <f>INDEX(Engine!$B$2:$B$15,MATCH($B6,Engine!$A$2:$A$15,0))</f>
        <v>1147.1945550051951</v>
      </c>
      <c r="D6" s="53">
        <f>COUNTIF('Match Log'!$D$4:$D$311,$B6)</f>
        <v>32</v>
      </c>
      <c r="E6" s="53">
        <f>COUNTIFS('Match Log'!$D$4:$D$311,$B6,'Match Log'!$E$4:$E$311,"Win")</f>
        <v>20</v>
      </c>
      <c r="F6" s="53">
        <f>$D6-$E6</f>
        <v>12</v>
      </c>
      <c r="G6" s="54">
        <f>IF($D6=0,"",$E6/$D6)</f>
        <v>0.625</v>
      </c>
      <c r="H6" s="55">
        <f>SUMIF('Match Log'!$D$4:$D$311,$B6,'Match Log'!$J$4:$J$311)</f>
        <v>35.723163059660365</v>
      </c>
      <c r="I6" s="55">
        <f>SUMIF('Match Log'!$D$4:$D$311,$B6,'Match Log'!$K$4:$K$311)</f>
        <v>51.471391945534876</v>
      </c>
      <c r="J6" s="55">
        <f>SUMIF('Match Log'!$D$4:$D$311,$B6,'Match Log'!$L$4:$L$311)</f>
        <v>60</v>
      </c>
      <c r="K6" s="53">
        <f>SUMPRODUCT(--(COUNTIFS('Match Log'!$D$4:$D$311,$B6,'Match Log'!$C$4:$C$311,Lists!$C$2:$C$20)&gt;0))</f>
        <v>8</v>
      </c>
      <c r="L6" s="53" t="str">
        <f>IF($D6=0,"No games",IF(AND($D6&gt;='Guide &amp; Settings'!$C$45,$K6&gt;='Guide &amp; Settings'!$C$46),"Eligible","Provisional"))</f>
        <v>Eligible</v>
      </c>
      <c r="M6" s="52">
        <f>IFERROR(INDEX(Calcs!$C$7:$C$20,MATCH($B6,Calcs!$A$7:$A$20,0)),"")</f>
        <v>1053.34276463265</v>
      </c>
      <c r="N6" s="52">
        <f>MAX($C$5:$C$18)-$C6</f>
        <v>42.181952884677685</v>
      </c>
      <c r="O6" s="53" t="str">
        <f>IFERROR(INDEX(Calcs!$H$7:$H$20,MATCH($B6,Calcs!$A$7:$A$20,0)),"")</f>
        <v>L1</v>
      </c>
      <c r="P6" s="53" t="str">
        <f>IFERROR(INDEX(Calcs!$I$7:$I$20,MATCH($B6,Calcs!$A$7:$A$20,0)),"")</f>
        <v>LLWWL</v>
      </c>
      <c r="Q6" s="53" t="str">
        <f>IFERROR(IF(INDEX(Calcs!$L$7:$L$20,MATCH($B6,Calcs!$A$7:$A$20,0))&gt;0,"▲"&amp;INDEX(Calcs!$L$7:$L$20,MATCH($B6,Calcs!$A$7:$A$20,0)),IF(INDEX(Calcs!$L$7:$L$20,MATCH($B6,Calcs!$A$7:$A$20,0))&lt;0,"▼"&amp;ABS(INDEX(Calcs!$L$7:$L$20,MATCH($B6,Calcs!$A$7:$A$20,0))),"–")),"")</f>
        <v>–</v>
      </c>
      <c r="R6" s="53" t="str">
        <f>IFERROR(IF(INDEX(Calcs!$P$7:$P$20,MATCH($B6,Calcs!$A$7:$A$20,0))=0,"—",TEXT(INDEX(Calcs!$P$7:$P$20,MATCH($B6,Calcs!$A$7:$A$20,0)),"d mmm")),"")</f>
        <v>26 Jun</v>
      </c>
      <c r="S6" s="53">
        <f>IFERROR(ROUND(INDEX(Calcs!$Q$7:$Q$20,MATCH($B6,Calcs!$A$7:$A$20,0)),1),"")</f>
        <v>1.3</v>
      </c>
      <c r="T6" s="53" t="str">
        <f>IFERROR(INDEX(Calcs!$T$7:$T$20,MATCH($B6,Calcs!$A$7:$A$20,0)),"")</f>
        <v>Active</v>
      </c>
      <c r="U6" s="55">
        <f>IFERROR(MAX(0,ROUND($C6-INDEX(Calcs!$S$7:$S$20,MATCH($B6,Calcs!$A$7:$A$20,0)),0)),0)</f>
        <v>0</v>
      </c>
      <c r="V6" s="55">
        <f>IFERROR(ROUND(INDEX(Calcs!$S$7:$S$20,MATCH($B6,Calcs!$A$7:$A$20,0)),0),"")</f>
        <v>1147</v>
      </c>
      <c r="W6" s="53" t="str">
        <f>IFERROR(INDEX(Calcs!$AF$7:$AF$20,MATCH($B6,Calcs!$A$7:$A$20,0)),"")</f>
        <v>Elite</v>
      </c>
    </row>
    <row r="7" spans="1:23" ht="15" customHeight="1" x14ac:dyDescent="0.2">
      <c r="A7" s="50">
        <f>SUMPRODUCT(($C$5:$C$18&gt;$C7)*1)+SUMPRODUCT(($C$5:$C$18=$C7)*($D$5:$D$18&gt;$D7)*1)+1</f>
        <v>3</v>
      </c>
      <c r="B7" s="51" t="s">
        <v>145</v>
      </c>
      <c r="C7" s="52">
        <f>INDEX(Engine!$B$2:$B$15,MATCH($B7,Engine!$A$2:$A$15,0))</f>
        <v>1125.1080177960646</v>
      </c>
      <c r="D7" s="53">
        <f>COUNTIF('Match Log'!$D$4:$D$311,$B7)</f>
        <v>25</v>
      </c>
      <c r="E7" s="53">
        <f>COUNTIFS('Match Log'!$D$4:$D$311,$B7,'Match Log'!$E$4:$E$311,"Win")</f>
        <v>15</v>
      </c>
      <c r="F7" s="53">
        <f>$D7-$E7</f>
        <v>10</v>
      </c>
      <c r="G7" s="54">
        <f>IF($D7=0,"",$E7/$D7)</f>
        <v>0.6</v>
      </c>
      <c r="H7" s="55">
        <f>SUMIF('Match Log'!$D$4:$D$311,$B7,'Match Log'!$J$4:$J$311)</f>
        <v>41.705142857640425</v>
      </c>
      <c r="I7" s="55">
        <f>SUMIF('Match Log'!$D$4:$D$311,$B7,'Match Log'!$K$4:$K$311)</f>
        <v>39.402874938423857</v>
      </c>
      <c r="J7" s="55">
        <f>SUMIF('Match Log'!$D$4:$D$311,$B7,'Match Log'!$L$4:$L$311)</f>
        <v>44</v>
      </c>
      <c r="K7" s="53">
        <f>SUMPRODUCT(--(COUNTIFS('Match Log'!$D$4:$D$311,$B7,'Match Log'!$C$4:$C$311,Lists!$C$2:$C$20)&gt;0))</f>
        <v>7</v>
      </c>
      <c r="L7" s="53" t="str">
        <f>IF($D7=0,"No games",IF(AND($D7&gt;='Guide &amp; Settings'!$C$45,$K7&gt;='Guide &amp; Settings'!$C$46),"Eligible","Provisional"))</f>
        <v>Eligible</v>
      </c>
      <c r="M7" s="52">
        <f>IFERROR(INDEX(Calcs!$C$7:$C$20,MATCH($B7,Calcs!$A$7:$A$20,0)),"")</f>
        <v>1045.5878315396451</v>
      </c>
      <c r="N7" s="52">
        <f>MAX($C$5:$C$18)-$C7</f>
        <v>64.268490093808168</v>
      </c>
      <c r="O7" s="53" t="str">
        <f>IFERROR(INDEX(Calcs!$H$7:$H$20,MATCH($B7,Calcs!$A$7:$A$20,0)),"")</f>
        <v>W5</v>
      </c>
      <c r="P7" s="53" t="str">
        <f>IFERROR(INDEX(Calcs!$I$7:$I$20,MATCH($B7,Calcs!$A$7:$A$20,0)),"")</f>
        <v>WWWWW</v>
      </c>
      <c r="Q7" s="53" t="str">
        <f>IFERROR(IF(INDEX(Calcs!$L$7:$L$20,MATCH($B7,Calcs!$A$7:$A$20,0))&gt;0,"▲"&amp;INDEX(Calcs!$L$7:$L$20,MATCH($B7,Calcs!$A$7:$A$20,0)),IF(INDEX(Calcs!$L$7:$L$20,MATCH($B7,Calcs!$A$7:$A$20,0))&lt;0,"▼"&amp;ABS(INDEX(Calcs!$L$7:$L$20,MATCH($B7,Calcs!$A$7:$A$20,0))),"–")),"")</f>
        <v>–</v>
      </c>
      <c r="R7" s="53" t="str">
        <f>IFERROR(IF(INDEX(Calcs!$P$7:$P$20,MATCH($B7,Calcs!$A$7:$A$20,0))=0,"—",TEXT(INDEX(Calcs!$P$7:$P$20,MATCH($B7,Calcs!$A$7:$A$20,0)),"d mmm")),"")</f>
        <v>27 Jun</v>
      </c>
      <c r="S7" s="53">
        <f>IFERROR(ROUND(INDEX(Calcs!$Q$7:$Q$20,MATCH($B7,Calcs!$A$7:$A$20,0)),1),"")</f>
        <v>1.1000000000000001</v>
      </c>
      <c r="T7" s="53" t="str">
        <f>IFERROR(INDEX(Calcs!$T$7:$T$20,MATCH($B7,Calcs!$A$7:$A$20,0)),"")</f>
        <v>Active</v>
      </c>
      <c r="U7" s="55">
        <f>IFERROR(MAX(0,ROUND($C7-INDEX(Calcs!$S$7:$S$20,MATCH($B7,Calcs!$A$7:$A$20,0)),0)),0)</f>
        <v>0</v>
      </c>
      <c r="V7" s="55">
        <f>IFERROR(ROUND(INDEX(Calcs!$S$7:$S$20,MATCH($B7,Calcs!$A$7:$A$20,0)),0),"")</f>
        <v>1125</v>
      </c>
      <c r="W7" s="53" t="str">
        <f>IFERROR(INDEX(Calcs!$AF$7:$AF$20,MATCH($B7,Calcs!$A$7:$A$20,0)),"")</f>
        <v>Elite</v>
      </c>
    </row>
    <row r="8" spans="1:23" ht="15" customHeight="1" x14ac:dyDescent="0.2">
      <c r="A8" s="50">
        <f>SUMPRODUCT(($C$5:$C$18&gt;$C8)*1)+SUMPRODUCT(($C$5:$C$18=$C8)*($D$5:$D$18&gt;$D8)*1)+1</f>
        <v>4</v>
      </c>
      <c r="B8" s="51" t="s">
        <v>176</v>
      </c>
      <c r="C8" s="52">
        <f>INDEX(Engine!$B$2:$B$15,MATCH($B8,Engine!$A$2:$A$15,0))</f>
        <v>1108.1045793188271</v>
      </c>
      <c r="D8" s="53">
        <f>COUNTIF('Match Log'!$D$4:$D$311,$B8)</f>
        <v>41</v>
      </c>
      <c r="E8" s="53">
        <f>COUNTIFS('Match Log'!$D$4:$D$311,$B8,'Match Log'!$E$4:$E$311,"Win")</f>
        <v>19</v>
      </c>
      <c r="F8" s="53">
        <f>$D8-$E8</f>
        <v>22</v>
      </c>
      <c r="G8" s="54">
        <f>IF($D8=0,"",$E8/$D8)</f>
        <v>0.46341463414634149</v>
      </c>
      <c r="H8" s="55">
        <f>SUMIF('Match Log'!$D$4:$D$311,$B8,'Match Log'!$J$4:$J$311)</f>
        <v>23.738190785093689</v>
      </c>
      <c r="I8" s="55">
        <f>SUMIF('Match Log'!$D$4:$D$311,$B8,'Match Log'!$K$4:$K$311)</f>
        <v>23.366388533733524</v>
      </c>
      <c r="J8" s="55">
        <f>SUMIF('Match Log'!$D$4:$D$311,$B8,'Match Log'!$L$4:$L$311)</f>
        <v>61</v>
      </c>
      <c r="K8" s="53">
        <f>SUMPRODUCT(--(COUNTIFS('Match Log'!$D$4:$D$311,$B8,'Match Log'!$C$4:$C$311,Lists!$C$2:$C$20)&gt;0))</f>
        <v>7</v>
      </c>
      <c r="L8" s="53" t="str">
        <f>IF($D8=0,"No games",IF(AND($D8&gt;='Guide &amp; Settings'!$C$45,$K8&gt;='Guide &amp; Settings'!$C$46),"Eligible","Provisional"))</f>
        <v>Eligible</v>
      </c>
      <c r="M8" s="52">
        <f>IFERROR(INDEX(Calcs!$C$7:$C$20,MATCH($B8,Calcs!$A$7:$A$20,0)),"")</f>
        <v>1069.5967813481279</v>
      </c>
      <c r="N8" s="52">
        <f>MAX($C$5:$C$18)-$C8</f>
        <v>81.271928571045692</v>
      </c>
      <c r="O8" s="53" t="str">
        <f>IFERROR(INDEX(Calcs!$H$7:$H$20,MATCH($B8,Calcs!$A$7:$A$20,0)),"")</f>
        <v>L2</v>
      </c>
      <c r="P8" s="53" t="str">
        <f>IFERROR(INDEX(Calcs!$I$7:$I$20,MATCH($B8,Calcs!$A$7:$A$20,0)),"")</f>
        <v>WWWLL</v>
      </c>
      <c r="Q8" s="53" t="str">
        <f>IFERROR(IF(INDEX(Calcs!$L$7:$L$20,MATCH($B8,Calcs!$A$7:$A$20,0))&gt;0,"▲"&amp;INDEX(Calcs!$L$7:$L$20,MATCH($B8,Calcs!$A$7:$A$20,0)),IF(INDEX(Calcs!$L$7:$L$20,MATCH($B8,Calcs!$A$7:$A$20,0))&lt;0,"▼"&amp;ABS(INDEX(Calcs!$L$7:$L$20,MATCH($B8,Calcs!$A$7:$A$20,0))),"–")),"")</f>
        <v>▲1</v>
      </c>
      <c r="R8" s="53" t="str">
        <f>IFERROR(IF(INDEX(Calcs!$P$7:$P$20,MATCH($B8,Calcs!$A$7:$A$20,0))=0,"—",TEXT(INDEX(Calcs!$P$7:$P$20,MATCH($B8,Calcs!$A$7:$A$20,0)),"d mmm")),"")</f>
        <v>5 Jul</v>
      </c>
      <c r="S8" s="53">
        <f>IFERROR(ROUND(INDEX(Calcs!$Q$7:$Q$20,MATCH($B8,Calcs!$A$7:$A$20,0)),1),"")</f>
        <v>0</v>
      </c>
      <c r="T8" s="53" t="str">
        <f>IFERROR(INDEX(Calcs!$T$7:$T$20,MATCH($B8,Calcs!$A$7:$A$20,0)),"")</f>
        <v>Active</v>
      </c>
      <c r="U8" s="55">
        <f>IFERROR(MAX(0,ROUND($C8-INDEX(Calcs!$S$7:$S$20,MATCH($B8,Calcs!$A$7:$A$20,0)),0)),0)</f>
        <v>0</v>
      </c>
      <c r="V8" s="55">
        <f>IFERROR(ROUND(INDEX(Calcs!$S$7:$S$20,MATCH($B8,Calcs!$A$7:$A$20,0)),0),"")</f>
        <v>1108</v>
      </c>
      <c r="W8" s="53" t="str">
        <f>IFERROR(INDEX(Calcs!$AF$7:$AF$20,MATCH($B8,Calcs!$A$7:$A$20,0)),"")</f>
        <v>Strong</v>
      </c>
    </row>
    <row r="9" spans="1:23" ht="15" customHeight="1" x14ac:dyDescent="0.2">
      <c r="A9" s="50">
        <f>SUMPRODUCT(($C$5:$C$18&gt;$C9)*1)+SUMPRODUCT(($C$5:$C$18=$C9)*($D$5:$D$18&gt;$D9)*1)+1</f>
        <v>5</v>
      </c>
      <c r="B9" s="51" t="s">
        <v>175</v>
      </c>
      <c r="C9" s="52">
        <f>INDEX(Engine!$B$2:$B$15,MATCH($B9,Engine!$A$2:$A$15,0))</f>
        <v>1099.9035033078371</v>
      </c>
      <c r="D9" s="53">
        <f>COUNTIF('Match Log'!$D$4:$D$311,$B9)</f>
        <v>17</v>
      </c>
      <c r="E9" s="53">
        <f>COUNTIFS('Match Log'!$D$4:$D$311,$B9,'Match Log'!$E$4:$E$311,"Win")</f>
        <v>10</v>
      </c>
      <c r="F9" s="53">
        <f>$D9-$E9</f>
        <v>7</v>
      </c>
      <c r="G9" s="54">
        <f>IF($D9=0,"",$E9/$D9)</f>
        <v>0.58823529411764708</v>
      </c>
      <c r="H9" s="55">
        <f>SUMIF('Match Log'!$D$4:$D$311,$B9,'Match Log'!$J$4:$J$311)</f>
        <v>18.993138966169308</v>
      </c>
      <c r="I9" s="55">
        <f>SUMIF('Match Log'!$D$4:$D$311,$B9,'Match Log'!$K$4:$K$311)</f>
        <v>28.910364341667837</v>
      </c>
      <c r="J9" s="55">
        <f>SUMIF('Match Log'!$D$4:$D$311,$B9,'Match Log'!$L$4:$L$311)</f>
        <v>52</v>
      </c>
      <c r="K9" s="53">
        <f>SUMPRODUCT(--(COUNTIFS('Match Log'!$D$4:$D$311,$B9,'Match Log'!$C$4:$C$311,Lists!$C$2:$C$20)&gt;0))</f>
        <v>4</v>
      </c>
      <c r="L9" s="53" t="str">
        <f>IF($D9=0,"No games",IF(AND($D9&gt;='Guide &amp; Settings'!$C$45,$K9&gt;='Guide &amp; Settings'!$C$46),"Eligible","Provisional"))</f>
        <v>Eligible</v>
      </c>
      <c r="M9" s="52">
        <f>IFERROR(INDEX(Calcs!$C$7:$C$20,MATCH($B9,Calcs!$A$7:$A$20,0)),"")</f>
        <v>1076.8851355816855</v>
      </c>
      <c r="N9" s="52">
        <f>MAX($C$5:$C$18)-$C9</f>
        <v>89.473004582035628</v>
      </c>
      <c r="O9" s="53" t="str">
        <f>IFERROR(INDEX(Calcs!$H$7:$H$20,MATCH($B9,Calcs!$A$7:$A$20,0)),"")</f>
        <v>L3</v>
      </c>
      <c r="P9" s="53" t="str">
        <f>IFERROR(INDEX(Calcs!$I$7:$I$20,MATCH($B9,Calcs!$A$7:$A$20,0)),"")</f>
        <v>WWLLL</v>
      </c>
      <c r="Q9" s="53" t="str">
        <f>IFERROR(IF(INDEX(Calcs!$L$7:$L$20,MATCH($B9,Calcs!$A$7:$A$20,0))&gt;0,"▲"&amp;INDEX(Calcs!$L$7:$L$20,MATCH($B9,Calcs!$A$7:$A$20,0)),IF(INDEX(Calcs!$L$7:$L$20,MATCH($B9,Calcs!$A$7:$A$20,0))&lt;0,"▼"&amp;ABS(INDEX(Calcs!$L$7:$L$20,MATCH($B9,Calcs!$A$7:$A$20,0))),"–")),"")</f>
        <v>▼1</v>
      </c>
      <c r="R9" s="53" t="str">
        <f>IFERROR(IF(INDEX(Calcs!$P$7:$P$20,MATCH($B9,Calcs!$A$7:$A$20,0))=0,"—",TEXT(INDEX(Calcs!$P$7:$P$20,MATCH($B9,Calcs!$A$7:$A$20,0)),"d mmm")),"")</f>
        <v>15 Jun</v>
      </c>
      <c r="S9" s="53">
        <f>IFERROR(ROUND(INDEX(Calcs!$Q$7:$Q$20,MATCH($B9,Calcs!$A$7:$A$20,0)),1),"")</f>
        <v>2.9</v>
      </c>
      <c r="T9" s="53" t="str">
        <f>IFERROR(INDEX(Calcs!$T$7:$T$20,MATCH($B9,Calcs!$A$7:$A$20,0)),"")</f>
        <v>Active</v>
      </c>
      <c r="U9" s="55">
        <f>IFERROR(MAX(0,ROUND($C9-INDEX(Calcs!$S$7:$S$20,MATCH($B9,Calcs!$A$7:$A$20,0)),0)),0)</f>
        <v>0</v>
      </c>
      <c r="V9" s="55">
        <f>IFERROR(ROUND(INDEX(Calcs!$S$7:$S$20,MATCH($B9,Calcs!$A$7:$A$20,0)),0),"")</f>
        <v>1100</v>
      </c>
      <c r="W9" s="53" t="str">
        <f>IFERROR(INDEX(Calcs!$AF$7:$AF$20,MATCH($B9,Calcs!$A$7:$A$20,0)),"")</f>
        <v>Strong</v>
      </c>
    </row>
    <row r="10" spans="1:23" ht="15" customHeight="1" x14ac:dyDescent="0.2">
      <c r="A10" s="50">
        <f>SUMPRODUCT(($C$5:$C$18&gt;$C10)*1)+SUMPRODUCT(($C$5:$C$18=$C10)*($D$5:$D$18&gt;$D10)*1)+1</f>
        <v>6</v>
      </c>
      <c r="B10" s="51" t="s">
        <v>177</v>
      </c>
      <c r="C10" s="52">
        <f>INDEX(Engine!$B$2:$B$15,MATCH($B10,Engine!$A$2:$A$15,0))</f>
        <v>1069.478840506906</v>
      </c>
      <c r="D10" s="53">
        <f>COUNTIF('Match Log'!$D$4:$D$311,$B10)</f>
        <v>49</v>
      </c>
      <c r="E10" s="53">
        <f>COUNTIFS('Match Log'!$D$4:$D$311,$B10,'Match Log'!$E$4:$E$311,"Win")</f>
        <v>21</v>
      </c>
      <c r="F10" s="53">
        <f>$D10-$E10</f>
        <v>28</v>
      </c>
      <c r="G10" s="54">
        <f>IF($D10=0,"",$E10/$D10)</f>
        <v>0.42857142857142855</v>
      </c>
      <c r="H10" s="55">
        <f>SUMIF('Match Log'!$D$4:$D$311,$B10,'Match Log'!$J$4:$J$311)</f>
        <v>-33.313102598619778</v>
      </c>
      <c r="I10" s="55">
        <f>SUMIF('Match Log'!$D$4:$D$311,$B10,'Match Log'!$K$4:$K$311)</f>
        <v>27.791943105525881</v>
      </c>
      <c r="J10" s="55">
        <f>SUMIF('Match Log'!$D$4:$D$311,$B10,'Match Log'!$L$4:$L$311)</f>
        <v>75</v>
      </c>
      <c r="K10" s="53">
        <f>SUMPRODUCT(--(COUNTIFS('Match Log'!$D$4:$D$311,$B10,'Match Log'!$C$4:$C$311,Lists!$C$2:$C$20)&gt;0))</f>
        <v>11</v>
      </c>
      <c r="L10" s="53" t="str">
        <f>IF($D10=0,"No games",IF(AND($D10&gt;='Guide &amp; Settings'!$C$45,$K10&gt;='Guide &amp; Settings'!$C$46),"Eligible","Provisional"))</f>
        <v>Eligible</v>
      </c>
      <c r="M10" s="52">
        <f>IFERROR(INDEX(Calcs!$C$7:$C$20,MATCH($B10,Calcs!$A$7:$A$20,0)),"")</f>
        <v>1077.1238319002935</v>
      </c>
      <c r="N10" s="52">
        <f>MAX($C$5:$C$18)-$C10</f>
        <v>119.8976673829668</v>
      </c>
      <c r="O10" s="53" t="str">
        <f>IFERROR(INDEX(Calcs!$H$7:$H$20,MATCH($B10,Calcs!$A$7:$A$20,0)),"")</f>
        <v>L1</v>
      </c>
      <c r="P10" s="53" t="str">
        <f>IFERROR(INDEX(Calcs!$I$7:$I$20,MATCH($B10,Calcs!$A$7:$A$20,0)),"")</f>
        <v>WLLWL</v>
      </c>
      <c r="Q10" s="53" t="str">
        <f>IFERROR(IF(INDEX(Calcs!$L$7:$L$20,MATCH($B10,Calcs!$A$7:$A$20,0))&gt;0,"▲"&amp;INDEX(Calcs!$L$7:$L$20,MATCH($B10,Calcs!$A$7:$A$20,0)),IF(INDEX(Calcs!$L$7:$L$20,MATCH($B10,Calcs!$A$7:$A$20,0))&lt;0,"▼"&amp;ABS(INDEX(Calcs!$L$7:$L$20,MATCH($B10,Calcs!$A$7:$A$20,0))),"–")),"")</f>
        <v>–</v>
      </c>
      <c r="R10" s="53" t="str">
        <f>IFERROR(IF(INDEX(Calcs!$P$7:$P$20,MATCH($B10,Calcs!$A$7:$A$20,0))=0,"—",TEXT(INDEX(Calcs!$P$7:$P$20,MATCH($B10,Calcs!$A$7:$A$20,0)),"d mmm")),"")</f>
        <v>29 Jun</v>
      </c>
      <c r="S10" s="53">
        <f>IFERROR(ROUND(INDEX(Calcs!$Q$7:$Q$20,MATCH($B10,Calcs!$A$7:$A$20,0)),1),"")</f>
        <v>0.9</v>
      </c>
      <c r="T10" s="53" t="str">
        <f>IFERROR(INDEX(Calcs!$T$7:$T$20,MATCH($B10,Calcs!$A$7:$A$20,0)),"")</f>
        <v>Active</v>
      </c>
      <c r="U10" s="55">
        <f>IFERROR(MAX(0,ROUND($C10-INDEX(Calcs!$S$7:$S$20,MATCH($B10,Calcs!$A$7:$A$20,0)),0)),0)</f>
        <v>0</v>
      </c>
      <c r="V10" s="55">
        <f>IFERROR(ROUND(INDEX(Calcs!$S$7:$S$20,MATCH($B10,Calcs!$A$7:$A$20,0)),0),"")</f>
        <v>1069</v>
      </c>
      <c r="W10" s="53" t="str">
        <f>IFERROR(INDEX(Calcs!$AF$7:$AF$20,MATCH($B10,Calcs!$A$7:$A$20,0)),"")</f>
        <v>Strong</v>
      </c>
    </row>
    <row r="11" spans="1:23" ht="15" customHeight="1" x14ac:dyDescent="0.2">
      <c r="A11" s="50">
        <f>SUMPRODUCT(($C$5:$C$18&gt;$C11)*1)+SUMPRODUCT(($C$5:$C$18=$C11)*($D$5:$D$18&gt;$D11)*1)+1</f>
        <v>7</v>
      </c>
      <c r="B11" s="51" t="s">
        <v>142</v>
      </c>
      <c r="C11" s="52">
        <f>INDEX(Engine!$B$2:$B$15,MATCH($B11,Engine!$A$2:$A$15,0))</f>
        <v>1044.8691565259944</v>
      </c>
      <c r="D11" s="53">
        <f>COUNTIF('Match Log'!$D$4:$D$311,$B11)</f>
        <v>10</v>
      </c>
      <c r="E11" s="53">
        <f>COUNTIFS('Match Log'!$D$4:$D$311,$B11,'Match Log'!$E$4:$E$311,"Win")</f>
        <v>5</v>
      </c>
      <c r="F11" s="53">
        <f>$D11-$E11</f>
        <v>5</v>
      </c>
      <c r="G11" s="54">
        <f>IF($D11=0,"",$E11/$D11)</f>
        <v>0.5</v>
      </c>
      <c r="H11" s="55">
        <f>SUMIF('Match Log'!$D$4:$D$311,$B11,'Match Log'!$J$4:$J$311)</f>
        <v>-15.210558333280616</v>
      </c>
      <c r="I11" s="55">
        <f>SUMIF('Match Log'!$D$4:$D$311,$B11,'Match Log'!$K$4:$K$311)</f>
        <v>16.079714859275072</v>
      </c>
      <c r="J11" s="55">
        <f>SUMIF('Match Log'!$D$4:$D$311,$B11,'Match Log'!$L$4:$L$311)</f>
        <v>44</v>
      </c>
      <c r="K11" s="53">
        <f>SUMPRODUCT(--(COUNTIFS('Match Log'!$D$4:$D$311,$B11,'Match Log'!$C$4:$C$311,Lists!$C$2:$C$20)&gt;0))</f>
        <v>3</v>
      </c>
      <c r="L11" s="53" t="str">
        <f>IF($D11=0,"No games",IF(AND($D11&gt;='Guide &amp; Settings'!$C$45,$K11&gt;='Guide &amp; Settings'!$C$46),"Eligible","Provisional"))</f>
        <v>Eligible</v>
      </c>
      <c r="M11" s="52">
        <f>IFERROR(INDEX(Calcs!$C$7:$C$20,MATCH($B11,Calcs!$A$7:$A$20,0)),"")</f>
        <v>1081.7744095356741</v>
      </c>
      <c r="N11" s="52">
        <f>MAX($C$5:$C$18)-$C11</f>
        <v>144.50735136387834</v>
      </c>
      <c r="O11" s="53" t="str">
        <f>IFERROR(INDEX(Calcs!$H$7:$H$20,MATCH($B11,Calcs!$A$7:$A$20,0)),"")</f>
        <v>L2</v>
      </c>
      <c r="P11" s="53" t="str">
        <f>IFERROR(INDEX(Calcs!$I$7:$I$20,MATCH($B11,Calcs!$A$7:$A$20,0)),"")</f>
        <v>LWWLL</v>
      </c>
      <c r="Q11" s="53" t="str">
        <f>IFERROR(IF(INDEX(Calcs!$L$7:$L$20,MATCH($B11,Calcs!$A$7:$A$20,0))&gt;0,"▲"&amp;INDEX(Calcs!$L$7:$L$20,MATCH($B11,Calcs!$A$7:$A$20,0)),IF(INDEX(Calcs!$L$7:$L$20,MATCH($B11,Calcs!$A$7:$A$20,0))&lt;0,"▼"&amp;ABS(INDEX(Calcs!$L$7:$L$20,MATCH($B11,Calcs!$A$7:$A$20,0))),"–")),"")</f>
        <v>–</v>
      </c>
      <c r="R11" s="53" t="str">
        <f>IFERROR(IF(INDEX(Calcs!$P$7:$P$20,MATCH($B11,Calcs!$A$7:$A$20,0))=0,"—",TEXT(INDEX(Calcs!$P$7:$P$20,MATCH($B11,Calcs!$A$7:$A$20,0)),"d mmm")),"")</f>
        <v>15 Jun</v>
      </c>
      <c r="S11" s="53">
        <f>IFERROR(ROUND(INDEX(Calcs!$Q$7:$Q$20,MATCH($B11,Calcs!$A$7:$A$20,0)),1),"")</f>
        <v>2.9</v>
      </c>
      <c r="T11" s="53" t="str">
        <f>IFERROR(INDEX(Calcs!$T$7:$T$20,MATCH($B11,Calcs!$A$7:$A$20,0)),"")</f>
        <v>Active</v>
      </c>
      <c r="U11" s="55">
        <f>IFERROR(MAX(0,ROUND($C11-INDEX(Calcs!$S$7:$S$20,MATCH($B11,Calcs!$A$7:$A$20,0)),0)),0)</f>
        <v>0</v>
      </c>
      <c r="V11" s="55">
        <f>IFERROR(ROUND(INDEX(Calcs!$S$7:$S$20,MATCH($B11,Calcs!$A$7:$A$20,0)),0),"")</f>
        <v>1045</v>
      </c>
      <c r="W11" s="53" t="str">
        <f>IFERROR(INDEX(Calcs!$AF$7:$AF$20,MATCH($B11,Calcs!$A$7:$A$20,0)),"")</f>
        <v>Mid</v>
      </c>
    </row>
    <row r="12" spans="1:23" ht="15" customHeight="1" x14ac:dyDescent="0.2">
      <c r="A12" s="50">
        <f>SUMPRODUCT(($C$5:$C$18&gt;$C12)*1)+SUMPRODUCT(($C$5:$C$18=$C12)*($D$5:$D$18&gt;$D12)*1)+1</f>
        <v>8</v>
      </c>
      <c r="B12" s="51" t="s">
        <v>178</v>
      </c>
      <c r="C12" s="52">
        <f>INDEX(Engine!$B$2:$B$15,MATCH($B12,Engine!$A$2:$A$15,0))</f>
        <v>1039.5415973556721</v>
      </c>
      <c r="D12" s="53">
        <f>COUNTIF('Match Log'!$D$4:$D$311,$B12)</f>
        <v>5</v>
      </c>
      <c r="E12" s="53">
        <f>COUNTIFS('Match Log'!$D$4:$D$311,$B12,'Match Log'!$E$4:$E$311,"Win")</f>
        <v>2</v>
      </c>
      <c r="F12" s="53">
        <f>$D12-$E12</f>
        <v>3</v>
      </c>
      <c r="G12" s="54">
        <f>IF($D12=0,"",$E12/$D12)</f>
        <v>0.4</v>
      </c>
      <c r="H12" s="55">
        <f>SUMIF('Match Log'!$D$4:$D$311,$B12,'Match Log'!$J$4:$J$311)</f>
        <v>-1.9252751900484864</v>
      </c>
      <c r="I12" s="55">
        <f>SUMIF('Match Log'!$D$4:$D$311,$B12,'Match Log'!$K$4:$K$311)</f>
        <v>13.466872545720536</v>
      </c>
      <c r="J12" s="55">
        <f>SUMIF('Match Log'!$D$4:$D$311,$B12,'Match Log'!$L$4:$L$311)</f>
        <v>28</v>
      </c>
      <c r="K12" s="53">
        <f>SUMPRODUCT(--(COUNTIFS('Match Log'!$D$4:$D$311,$B12,'Match Log'!$C$4:$C$311,Lists!$C$2:$C$20)&gt;0))</f>
        <v>1</v>
      </c>
      <c r="L12" s="53" t="str">
        <f>IF($D12=0,"No games",IF(AND($D12&gt;='Guide &amp; Settings'!$C$45,$K12&gt;='Guide &amp; Settings'!$C$46),"Eligible","Provisional"))</f>
        <v>Provisional</v>
      </c>
      <c r="M12" s="52">
        <f>IFERROR(INDEX(Calcs!$C$7:$C$20,MATCH($B12,Calcs!$A$7:$A$20,0)),"")</f>
        <v>1066.7168830610781</v>
      </c>
      <c r="N12" s="52">
        <f>MAX($C$5:$C$18)-$C12</f>
        <v>149.83491053420062</v>
      </c>
      <c r="O12" s="53" t="str">
        <f>IFERROR(INDEX(Calcs!$H$7:$H$20,MATCH($B12,Calcs!$A$7:$A$20,0)),"")</f>
        <v>W2</v>
      </c>
      <c r="P12" s="53" t="str">
        <f>IFERROR(INDEX(Calcs!$I$7:$I$20,MATCH($B12,Calcs!$A$7:$A$20,0)),"")</f>
        <v>LLLWW</v>
      </c>
      <c r="Q12" s="53" t="str">
        <f>IFERROR(IF(INDEX(Calcs!$L$7:$L$20,MATCH($B12,Calcs!$A$7:$A$20,0))&gt;0,"▲"&amp;INDEX(Calcs!$L$7:$L$20,MATCH($B12,Calcs!$A$7:$A$20,0)),IF(INDEX(Calcs!$L$7:$L$20,MATCH($B12,Calcs!$A$7:$A$20,0))&lt;0,"▼"&amp;ABS(INDEX(Calcs!$L$7:$L$20,MATCH($B12,Calcs!$A$7:$A$20,0))),"–")),"")</f>
        <v>–</v>
      </c>
      <c r="R12" s="53" t="str">
        <f>IFERROR(IF(INDEX(Calcs!$P$7:$P$20,MATCH($B12,Calcs!$A$7:$A$20,0))=0,"—",TEXT(INDEX(Calcs!$P$7:$P$20,MATCH($B12,Calcs!$A$7:$A$20,0)),"d mmm")),"")</f>
        <v>15 Jun</v>
      </c>
      <c r="S12" s="53">
        <f>IFERROR(ROUND(INDEX(Calcs!$Q$7:$Q$20,MATCH($B12,Calcs!$A$7:$A$20,0)),1),"")</f>
        <v>2.9</v>
      </c>
      <c r="T12" s="53" t="str">
        <f>IFERROR(INDEX(Calcs!$T$7:$T$20,MATCH($B12,Calcs!$A$7:$A$20,0)),"")</f>
        <v>Active</v>
      </c>
      <c r="U12" s="55">
        <f>IFERROR(MAX(0,ROUND($C12-INDEX(Calcs!$S$7:$S$20,MATCH($B12,Calcs!$A$7:$A$20,0)),0)),0)</f>
        <v>0</v>
      </c>
      <c r="V12" s="55">
        <f>IFERROR(ROUND(INDEX(Calcs!$S$7:$S$20,MATCH($B12,Calcs!$A$7:$A$20,0)),0),"")</f>
        <v>1040</v>
      </c>
      <c r="W12" s="53" t="str">
        <f>IFERROR(INDEX(Calcs!$AF$7:$AF$20,MATCH($B12,Calcs!$A$7:$A$20,0)),"")</f>
        <v>Unranked</v>
      </c>
    </row>
    <row r="13" spans="1:23" ht="15" customHeight="1" x14ac:dyDescent="0.2">
      <c r="A13" s="50">
        <f>SUMPRODUCT(($C$5:$C$18&gt;$C13)*1)+SUMPRODUCT(($C$5:$C$18=$C13)*($D$5:$D$18&gt;$D13)*1)+1</f>
        <v>9</v>
      </c>
      <c r="B13" s="51" t="s">
        <v>179</v>
      </c>
      <c r="C13" s="52">
        <f>INDEX(Engine!$B$2:$B$15,MATCH($B13,Engine!$A$2:$A$15,0))</f>
        <v>1038.5016461247724</v>
      </c>
      <c r="D13" s="53">
        <f>COUNTIF('Match Log'!$D$4:$D$311,$B13)</f>
        <v>4</v>
      </c>
      <c r="E13" s="53">
        <f>COUNTIFS('Match Log'!$D$4:$D$311,$B13,'Match Log'!$E$4:$E$311,"Win")</f>
        <v>2</v>
      </c>
      <c r="F13" s="53">
        <f>$D13-$E13</f>
        <v>2</v>
      </c>
      <c r="G13" s="54">
        <f>IF($D13=0,"",$E13/$D13)</f>
        <v>0.5</v>
      </c>
      <c r="H13" s="55">
        <f>SUMIF('Match Log'!$D$4:$D$311,$B13,'Match Log'!$J$4:$J$311)</f>
        <v>1.6363549587646489</v>
      </c>
      <c r="I13" s="55">
        <f>SUMIF('Match Log'!$D$4:$D$311,$B13,'Match Log'!$K$4:$K$311)</f>
        <v>12.865291166007616</v>
      </c>
      <c r="J13" s="55">
        <f>SUMIF('Match Log'!$D$4:$D$311,$B13,'Match Log'!$L$4:$L$311)</f>
        <v>24</v>
      </c>
      <c r="K13" s="53">
        <f>SUMPRODUCT(--(COUNTIFS('Match Log'!$D$4:$D$311,$B13,'Match Log'!$C$4:$C$311,Lists!$C$2:$C$20)&gt;0))</f>
        <v>1</v>
      </c>
      <c r="L13" s="53" t="str">
        <f>IF($D13=0,"No games",IF(AND($D13&gt;='Guide &amp; Settings'!$C$45,$K13&gt;='Guide &amp; Settings'!$C$46),"Eligible","Provisional"))</f>
        <v>Provisional</v>
      </c>
      <c r="M13" s="52">
        <f>IFERROR(INDEX(Calcs!$C$7:$C$20,MATCH($B13,Calcs!$A$7:$A$20,0)),"")</f>
        <v>1083.7530580834598</v>
      </c>
      <c r="N13" s="52">
        <f>MAX($C$5:$C$18)-$C13</f>
        <v>150.87486176510038</v>
      </c>
      <c r="O13" s="53" t="str">
        <f>IFERROR(INDEX(Calcs!$H$7:$H$20,MATCH($B13,Calcs!$A$7:$A$20,0)),"")</f>
        <v>L1</v>
      </c>
      <c r="P13" s="53" t="str">
        <f>IFERROR(INDEX(Calcs!$I$7:$I$20,MATCH($B13,Calcs!$A$7:$A$20,0)),"")</f>
        <v>WLWL</v>
      </c>
      <c r="Q13" s="53" t="str">
        <f>IFERROR(IF(INDEX(Calcs!$L$7:$L$20,MATCH($B13,Calcs!$A$7:$A$20,0))&gt;0,"▲"&amp;INDEX(Calcs!$L$7:$L$20,MATCH($B13,Calcs!$A$7:$A$20,0)),IF(INDEX(Calcs!$L$7:$L$20,MATCH($B13,Calcs!$A$7:$A$20,0))&lt;0,"▼"&amp;ABS(INDEX(Calcs!$L$7:$L$20,MATCH($B13,Calcs!$A$7:$A$20,0))),"–")),"")</f>
        <v>–</v>
      </c>
      <c r="R13" s="53" t="str">
        <f>IFERROR(IF(INDEX(Calcs!$P$7:$P$20,MATCH($B13,Calcs!$A$7:$A$20,0))=0,"—",TEXT(INDEX(Calcs!$P$7:$P$20,MATCH($B13,Calcs!$A$7:$A$20,0)),"d mmm")),"")</f>
        <v>15 Jun</v>
      </c>
      <c r="S13" s="53">
        <f>IFERROR(ROUND(INDEX(Calcs!$Q$7:$Q$20,MATCH($B13,Calcs!$A$7:$A$20,0)),1),"")</f>
        <v>2.9</v>
      </c>
      <c r="T13" s="53" t="str">
        <f>IFERROR(INDEX(Calcs!$T$7:$T$20,MATCH($B13,Calcs!$A$7:$A$20,0)),"")</f>
        <v>Active</v>
      </c>
      <c r="U13" s="55">
        <f>IFERROR(MAX(0,ROUND($C13-INDEX(Calcs!$S$7:$S$20,MATCH($B13,Calcs!$A$7:$A$20,0)),0)),0)</f>
        <v>0</v>
      </c>
      <c r="V13" s="55">
        <f>IFERROR(ROUND(INDEX(Calcs!$S$7:$S$20,MATCH($B13,Calcs!$A$7:$A$20,0)),0),"")</f>
        <v>1039</v>
      </c>
      <c r="W13" s="53" t="str">
        <f>IFERROR(INDEX(Calcs!$AF$7:$AF$20,MATCH($B13,Calcs!$A$7:$A$20,0)),"")</f>
        <v>Unranked</v>
      </c>
    </row>
    <row r="14" spans="1:23" ht="15" customHeight="1" x14ac:dyDescent="0.2">
      <c r="A14" s="50">
        <f>SUMPRODUCT(($C$5:$C$18&gt;$C14)*1)+SUMPRODUCT(($C$5:$C$18=$C14)*($D$5:$D$18&gt;$D14)*1)+1</f>
        <v>10</v>
      </c>
      <c r="B14" s="51" t="s">
        <v>180</v>
      </c>
      <c r="C14" s="52">
        <f>INDEX(Engine!$B$2:$B$15,MATCH($B14,Engine!$A$2:$A$15,0))</f>
        <v>1017.3466608720325</v>
      </c>
      <c r="D14" s="53">
        <f>COUNTIF('Match Log'!$D$4:$D$311,$B14)</f>
        <v>10</v>
      </c>
      <c r="E14" s="53">
        <f>COUNTIFS('Match Log'!$D$4:$D$311,$B14,'Match Log'!$E$4:$E$311,"Win")</f>
        <v>5</v>
      </c>
      <c r="F14" s="53">
        <f>$D14-$E14</f>
        <v>5</v>
      </c>
      <c r="G14" s="54">
        <f>IF($D14=0,"",$E14/$D14)</f>
        <v>0.5</v>
      </c>
      <c r="H14" s="55">
        <f>SUMIF('Match Log'!$D$4:$D$311,$B14,'Match Log'!$J$4:$J$311)</f>
        <v>7.9323751577466233</v>
      </c>
      <c r="I14" s="55">
        <f>SUMIF('Match Log'!$D$4:$D$311,$B14,'Match Log'!$K$4:$K$311)</f>
        <v>-1.5857142857142881</v>
      </c>
      <c r="J14" s="55">
        <f>SUMIF('Match Log'!$D$4:$D$311,$B14,'Match Log'!$L$4:$L$311)</f>
        <v>11</v>
      </c>
      <c r="K14" s="53">
        <f>SUMPRODUCT(--(COUNTIFS('Match Log'!$D$4:$D$311,$B14,'Match Log'!$C$4:$C$311,Lists!$C$2:$C$20)&gt;0))</f>
        <v>6</v>
      </c>
      <c r="L14" s="53" t="str">
        <f>IF($D14=0,"No games",IF(AND($D14&gt;='Guide &amp; Settings'!$C$45,$K14&gt;='Guide &amp; Settings'!$C$46),"Eligible","Provisional"))</f>
        <v>Eligible</v>
      </c>
      <c r="M14" s="52">
        <f>IFERROR(INDEX(Calcs!$C$7:$C$20,MATCH($B14,Calcs!$A$7:$A$20,0)),"")</f>
        <v>1073.6851802864951</v>
      </c>
      <c r="N14" s="52">
        <f>MAX($C$5:$C$18)-$C14</f>
        <v>172.02984701784021</v>
      </c>
      <c r="O14" s="53" t="str">
        <f>IFERROR(INDEX(Calcs!$H$7:$H$20,MATCH($B14,Calcs!$A$7:$A$20,0)),"")</f>
        <v>W1</v>
      </c>
      <c r="P14" s="53" t="str">
        <f>IFERROR(INDEX(Calcs!$I$7:$I$20,MATCH($B14,Calcs!$A$7:$A$20,0)),"")</f>
        <v>WLLLW</v>
      </c>
      <c r="Q14" s="53" t="str">
        <f>IFERROR(IF(INDEX(Calcs!$L$7:$L$20,MATCH($B14,Calcs!$A$7:$A$20,0))&gt;0,"▲"&amp;INDEX(Calcs!$L$7:$L$20,MATCH($B14,Calcs!$A$7:$A$20,0)),IF(INDEX(Calcs!$L$7:$L$20,MATCH($B14,Calcs!$A$7:$A$20,0))&lt;0,"▼"&amp;ABS(INDEX(Calcs!$L$7:$L$20,MATCH($B14,Calcs!$A$7:$A$20,0))),"–")),"")</f>
        <v>–</v>
      </c>
      <c r="R14" s="53" t="str">
        <f>IFERROR(IF(INDEX(Calcs!$P$7:$P$20,MATCH($B14,Calcs!$A$7:$A$20,0))=0,"—",TEXT(INDEX(Calcs!$P$7:$P$20,MATCH($B14,Calcs!$A$7:$A$20,0)),"d mmm")),"")</f>
        <v>15 Jun</v>
      </c>
      <c r="S14" s="53">
        <f>IFERROR(ROUND(INDEX(Calcs!$Q$7:$Q$20,MATCH($B14,Calcs!$A$7:$A$20,0)),1),"")</f>
        <v>2.9</v>
      </c>
      <c r="T14" s="53" t="str">
        <f>IFERROR(INDEX(Calcs!$T$7:$T$20,MATCH($B14,Calcs!$A$7:$A$20,0)),"")</f>
        <v>Active</v>
      </c>
      <c r="U14" s="55">
        <f>IFERROR(MAX(0,ROUND($C14-INDEX(Calcs!$S$7:$S$20,MATCH($B14,Calcs!$A$7:$A$20,0)),0)),0)</f>
        <v>0</v>
      </c>
      <c r="V14" s="55">
        <f>IFERROR(ROUND(INDEX(Calcs!$S$7:$S$20,MATCH($B14,Calcs!$A$7:$A$20,0)),0),"")</f>
        <v>1017</v>
      </c>
      <c r="W14" s="53" t="str">
        <f>IFERROR(INDEX(Calcs!$AF$7:$AF$20,MATCH($B14,Calcs!$A$7:$A$20,0)),"")</f>
        <v>Mid</v>
      </c>
    </row>
    <row r="15" spans="1:23" ht="15" customHeight="1" x14ac:dyDescent="0.2">
      <c r="A15" s="50">
        <f>SUMPRODUCT(($C$5:$C$18&gt;$C15)*1)+SUMPRODUCT(($C$5:$C$18=$C15)*($D$5:$D$18&gt;$D15)*1)+1</f>
        <v>11</v>
      </c>
      <c r="B15" s="51" t="s">
        <v>141</v>
      </c>
      <c r="C15" s="52">
        <f>INDEX(Engine!$B$2:$B$15,MATCH($B15,Engine!$A$2:$A$15,0))</f>
        <v>1003.4940022422369</v>
      </c>
      <c r="D15" s="53">
        <f>COUNTIF('Match Log'!$D$4:$D$311,$B15)</f>
        <v>43</v>
      </c>
      <c r="E15" s="53">
        <f>COUNTIFS('Match Log'!$D$4:$D$311,$B15,'Match Log'!$E$4:$E$311,"Win")</f>
        <v>18</v>
      </c>
      <c r="F15" s="53">
        <f>$D15-$E15</f>
        <v>25</v>
      </c>
      <c r="G15" s="54">
        <f>IF($D15=0,"",$E15/$D15)</f>
        <v>0.41860465116279072</v>
      </c>
      <c r="H15" s="55">
        <f>SUMIF('Match Log'!$D$4:$D$311,$B15,'Match Log'!$J$4:$J$311)</f>
        <v>-40.747063783664544</v>
      </c>
      <c r="I15" s="55">
        <f>SUMIF('Match Log'!$D$4:$D$311,$B15,'Match Log'!$K$4:$K$311)</f>
        <v>-12.758933974098742</v>
      </c>
      <c r="J15" s="55">
        <f>SUMIF('Match Log'!$D$4:$D$311,$B15,'Match Log'!$L$4:$L$311)</f>
        <v>57</v>
      </c>
      <c r="K15" s="53">
        <f>SUMPRODUCT(--(COUNTIFS('Match Log'!$D$4:$D$311,$B15,'Match Log'!$C$4:$C$311,Lists!$C$2:$C$20)&gt;0))</f>
        <v>8</v>
      </c>
      <c r="L15" s="53" t="str">
        <f>IF($D15=0,"No games",IF(AND($D15&gt;='Guide &amp; Settings'!$C$45,$K15&gt;='Guide &amp; Settings'!$C$46),"Eligible","Provisional"))</f>
        <v>Eligible</v>
      </c>
      <c r="M15" s="52">
        <f>IFERROR(INDEX(Calcs!$C$7:$C$20,MATCH($B15,Calcs!$A$7:$A$20,0)),"")</f>
        <v>1101.0839759749338</v>
      </c>
      <c r="N15" s="52">
        <f>MAX($C$5:$C$18)-$C15</f>
        <v>185.88250564763587</v>
      </c>
      <c r="O15" s="53" t="str">
        <f>IFERROR(INDEX(Calcs!$H$7:$H$20,MATCH($B15,Calcs!$A$7:$A$20,0)),"")</f>
        <v>W2</v>
      </c>
      <c r="P15" s="53" t="str">
        <f>IFERROR(INDEX(Calcs!$I$7:$I$20,MATCH($B15,Calcs!$A$7:$A$20,0)),"")</f>
        <v>LLLWW</v>
      </c>
      <c r="Q15" s="53" t="str">
        <f>IFERROR(IF(INDEX(Calcs!$L$7:$L$20,MATCH($B15,Calcs!$A$7:$A$20,0))&gt;0,"▲"&amp;INDEX(Calcs!$L$7:$L$20,MATCH($B15,Calcs!$A$7:$A$20,0)),IF(INDEX(Calcs!$L$7:$L$20,MATCH($B15,Calcs!$A$7:$A$20,0))&lt;0,"▼"&amp;ABS(INDEX(Calcs!$L$7:$L$20,MATCH($B15,Calcs!$A$7:$A$20,0))),"–")),"")</f>
        <v>▲1</v>
      </c>
      <c r="R15" s="53" t="str">
        <f>IFERROR(IF(INDEX(Calcs!$P$7:$P$20,MATCH($B15,Calcs!$A$7:$A$20,0))=0,"—",TEXT(INDEX(Calcs!$P$7:$P$20,MATCH($B15,Calcs!$A$7:$A$20,0)),"d mmm")),"")</f>
        <v>5 Jul</v>
      </c>
      <c r="S15" s="53">
        <f>IFERROR(ROUND(INDEX(Calcs!$Q$7:$Q$20,MATCH($B15,Calcs!$A$7:$A$20,0)),1),"")</f>
        <v>0</v>
      </c>
      <c r="T15" s="53" t="str">
        <f>IFERROR(INDEX(Calcs!$T$7:$T$20,MATCH($B15,Calcs!$A$7:$A$20,0)),"")</f>
        <v>Active</v>
      </c>
      <c r="U15" s="55">
        <f>IFERROR(MAX(0,ROUND($C15-INDEX(Calcs!$S$7:$S$20,MATCH($B15,Calcs!$A$7:$A$20,0)),0)),0)</f>
        <v>0</v>
      </c>
      <c r="V15" s="55">
        <f>IFERROR(ROUND(INDEX(Calcs!$S$7:$S$20,MATCH($B15,Calcs!$A$7:$A$20,0)),0),"")</f>
        <v>1003</v>
      </c>
      <c r="W15" s="53" t="str">
        <f>IFERROR(INDEX(Calcs!$AF$7:$AF$20,MATCH($B15,Calcs!$A$7:$A$20,0)),"")</f>
        <v>Strong</v>
      </c>
    </row>
    <row r="16" spans="1:23" ht="15" customHeight="1" x14ac:dyDescent="0.2">
      <c r="A16" s="50">
        <f>SUMPRODUCT(($C$5:$C$18&gt;$C16)*1)+SUMPRODUCT(($C$5:$C$18=$C16)*($D$5:$D$18&gt;$D16)*1)+1</f>
        <v>12</v>
      </c>
      <c r="B16" s="51" t="s">
        <v>181</v>
      </c>
      <c r="C16" s="52">
        <f>INDEX(Engine!$B$2:$B$15,MATCH($B16,Engine!$A$2:$A$15,0))</f>
        <v>1000</v>
      </c>
      <c r="D16" s="53">
        <f>COUNTIF('Match Log'!$D$4:$D$311,$B16)</f>
        <v>0</v>
      </c>
      <c r="E16" s="53">
        <f>COUNTIFS('Match Log'!$D$4:$D$311,$B16,'Match Log'!$E$4:$E$311,"Win")</f>
        <v>0</v>
      </c>
      <c r="F16" s="53">
        <f>$D16-$E16</f>
        <v>0</v>
      </c>
      <c r="G16" s="54" t="str">
        <f>IF($D16=0,"",$E16/$D16)</f>
        <v/>
      </c>
      <c r="H16" s="55">
        <f>SUMIF('Match Log'!$D$4:$D$311,$B16,'Match Log'!$J$4:$J$311)</f>
        <v>0</v>
      </c>
      <c r="I16" s="55">
        <f>SUMIF('Match Log'!$D$4:$D$311,$B16,'Match Log'!$K$4:$K$311)</f>
        <v>0</v>
      </c>
      <c r="J16" s="55">
        <f>SUMIF('Match Log'!$D$4:$D$311,$B16,'Match Log'!$L$4:$L$311)</f>
        <v>0</v>
      </c>
      <c r="K16" s="53">
        <f>SUMPRODUCT(--(COUNTIFS('Match Log'!$D$4:$D$311,$B16,'Match Log'!$C$4:$C$311,Lists!$C$2:$C$20)&gt;0))</f>
        <v>0</v>
      </c>
      <c r="L16" s="53" t="str">
        <f>IF($D16=0,"No games",IF(AND($D16&gt;='Guide &amp; Settings'!$C$45,$K16&gt;='Guide &amp; Settings'!$C$46),"Eligible","Provisional"))</f>
        <v>No games</v>
      </c>
      <c r="M16" s="52" t="str">
        <f>IFERROR(INDEX(Calcs!$C$7:$C$20,MATCH($B16,Calcs!$A$7:$A$20,0)),"")</f>
        <v/>
      </c>
      <c r="N16" s="52">
        <f>MAX($C$5:$C$18)-$C16</f>
        <v>189.37650788987276</v>
      </c>
      <c r="O16" s="53" t="str">
        <f>IFERROR(INDEX(Calcs!$H$7:$H$20,MATCH($B16,Calcs!$A$7:$A$20,0)),"")</f>
        <v/>
      </c>
      <c r="P16" s="53" t="str">
        <f>IFERROR(INDEX(Calcs!$I$7:$I$20,MATCH($B16,Calcs!$A$7:$A$20,0)),"")</f>
        <v/>
      </c>
      <c r="Q16" s="53" t="str">
        <f>IFERROR(IF(INDEX(Calcs!$L$7:$L$20,MATCH($B16,Calcs!$A$7:$A$20,0))&gt;0,"▲"&amp;INDEX(Calcs!$L$7:$L$20,MATCH($B16,Calcs!$A$7:$A$20,0)),IF(INDEX(Calcs!$L$7:$L$20,MATCH($B16,Calcs!$A$7:$A$20,0))&lt;0,"▼"&amp;ABS(INDEX(Calcs!$L$7:$L$20,MATCH($B16,Calcs!$A$7:$A$20,0))),"–")),"")</f>
        <v>▼1</v>
      </c>
      <c r="R16" s="53" t="str">
        <f>IFERROR(IF(INDEX(Calcs!$P$7:$P$20,MATCH($B16,Calcs!$A$7:$A$20,0))=0,"—",TEXT(INDEX(Calcs!$P$7:$P$20,MATCH($B16,Calcs!$A$7:$A$20,0)),"d mmm")),"")</f>
        <v>—</v>
      </c>
      <c r="S16" s="53" t="str">
        <f>IFERROR(ROUND(INDEX(Calcs!$Q$7:$Q$20,MATCH($B16,Calcs!$A$7:$A$20,0)),1),"")</f>
        <v/>
      </c>
      <c r="T16" s="53" t="str">
        <f>IFERROR(INDEX(Calcs!$T$7:$T$20,MATCH($B16,Calcs!$A$7:$A$20,0)),"")</f>
        <v>No games</v>
      </c>
      <c r="U16" s="55">
        <f>IFERROR(MAX(0,ROUND($C16-INDEX(Calcs!$S$7:$S$20,MATCH($B16,Calcs!$A$7:$A$20,0)),0)),0)</f>
        <v>0</v>
      </c>
      <c r="V16" s="55">
        <f>IFERROR(ROUND(INDEX(Calcs!$S$7:$S$20,MATCH($B16,Calcs!$A$7:$A$20,0)),0),"")</f>
        <v>1000</v>
      </c>
      <c r="W16" s="53" t="str">
        <f>IFERROR(INDEX(Calcs!$AF$7:$AF$20,MATCH($B16,Calcs!$A$7:$A$20,0)),"")</f>
        <v>No games</v>
      </c>
    </row>
    <row r="17" spans="1:23" ht="15" customHeight="1" x14ac:dyDescent="0.2">
      <c r="A17" s="50">
        <f>SUMPRODUCT(($C$5:$C$18&gt;$C17)*1)+SUMPRODUCT(($C$5:$C$18=$C17)*($D$5:$D$18&gt;$D17)*1)+1</f>
        <v>13</v>
      </c>
      <c r="B17" s="51" t="s">
        <v>147</v>
      </c>
      <c r="C17" s="52">
        <f>INDEX(Engine!$B$2:$B$15,MATCH($B17,Engine!$A$2:$A$15,0))</f>
        <v>990.8737469852914</v>
      </c>
      <c r="D17" s="53">
        <f>COUNTIF('Match Log'!$D$4:$D$311,$B17)</f>
        <v>14</v>
      </c>
      <c r="E17" s="53">
        <f>COUNTIFS('Match Log'!$D$4:$D$311,$B17,'Match Log'!$E$4:$E$311,"Win")</f>
        <v>4</v>
      </c>
      <c r="F17" s="53">
        <f>$D17-$E17</f>
        <v>10</v>
      </c>
      <c r="G17" s="54">
        <f>IF($D17=0,"",$E17/$D17)</f>
        <v>0.2857142857142857</v>
      </c>
      <c r="H17" s="55">
        <f>SUMIF('Match Log'!$D$4:$D$311,$B17,'Match Log'!$J$4:$J$311)</f>
        <v>-39.088800752958761</v>
      </c>
      <c r="I17" s="55">
        <f>SUMIF('Match Log'!$D$4:$D$311,$B17,'Match Log'!$K$4:$K$311)</f>
        <v>-6.0374522617496993</v>
      </c>
      <c r="J17" s="55">
        <f>SUMIF('Match Log'!$D$4:$D$311,$B17,'Match Log'!$L$4:$L$311)</f>
        <v>36</v>
      </c>
      <c r="K17" s="53">
        <f>SUMPRODUCT(--(COUNTIFS('Match Log'!$D$4:$D$311,$B17,'Match Log'!$C$4:$C$311,Lists!$C$2:$C$20)&gt;0))</f>
        <v>3</v>
      </c>
      <c r="L17" s="53" t="str">
        <f>IF($D17=0,"No games",IF(AND($D17&gt;='Guide &amp; Settings'!$C$45,$K17&gt;='Guide &amp; Settings'!$C$46),"Eligible","Provisional"))</f>
        <v>Eligible</v>
      </c>
      <c r="M17" s="52">
        <f>IFERROR(INDEX(Calcs!$C$7:$C$20,MATCH($B17,Calcs!$A$7:$A$20,0)),"")</f>
        <v>1088.6528297296989</v>
      </c>
      <c r="N17" s="52">
        <f>MAX($C$5:$C$18)-$C17</f>
        <v>198.50276090458135</v>
      </c>
      <c r="O17" s="53" t="str">
        <f>IFERROR(INDEX(Calcs!$H$7:$H$20,MATCH($B17,Calcs!$A$7:$A$20,0)),"")</f>
        <v>W2</v>
      </c>
      <c r="P17" s="53" t="str">
        <f>IFERROR(INDEX(Calcs!$I$7:$I$20,MATCH($B17,Calcs!$A$7:$A$20,0)),"")</f>
        <v>LLLWW</v>
      </c>
      <c r="Q17" s="53" t="str">
        <f>IFERROR(IF(INDEX(Calcs!$L$7:$L$20,MATCH($B17,Calcs!$A$7:$A$20,0))&gt;0,"▲"&amp;INDEX(Calcs!$L$7:$L$20,MATCH($B17,Calcs!$A$7:$A$20,0)),IF(INDEX(Calcs!$L$7:$L$20,MATCH($B17,Calcs!$A$7:$A$20,0))&lt;0,"▼"&amp;ABS(INDEX(Calcs!$L$7:$L$20,MATCH($B17,Calcs!$A$7:$A$20,0))),"–")),"")</f>
        <v>–</v>
      </c>
      <c r="R17" s="53" t="str">
        <f>IFERROR(IF(INDEX(Calcs!$P$7:$P$20,MATCH($B17,Calcs!$A$7:$A$20,0))=0,"—",TEXT(INDEX(Calcs!$P$7:$P$20,MATCH($B17,Calcs!$A$7:$A$20,0)),"d mmm")),"")</f>
        <v>15 Jun</v>
      </c>
      <c r="S17" s="53">
        <f>IFERROR(ROUND(INDEX(Calcs!$Q$7:$Q$20,MATCH($B17,Calcs!$A$7:$A$20,0)),1),"")</f>
        <v>2.9</v>
      </c>
      <c r="T17" s="53" t="str">
        <f>IFERROR(INDEX(Calcs!$T$7:$T$20,MATCH($B17,Calcs!$A$7:$A$20,0)),"")</f>
        <v>Active</v>
      </c>
      <c r="U17" s="55">
        <f>IFERROR(MAX(0,ROUND($C17-INDEX(Calcs!$S$7:$S$20,MATCH($B17,Calcs!$A$7:$A$20,0)),0)),0)</f>
        <v>0</v>
      </c>
      <c r="V17" s="55">
        <f>IFERROR(ROUND(INDEX(Calcs!$S$7:$S$20,MATCH($B17,Calcs!$A$7:$A$20,0)),0),"")</f>
        <v>991</v>
      </c>
      <c r="W17" s="53" t="str">
        <f>IFERROR(INDEX(Calcs!$AF$7:$AF$20,MATCH($B17,Calcs!$A$7:$A$20,0)),"")</f>
        <v>Developing</v>
      </c>
    </row>
    <row r="18" spans="1:23" ht="15" customHeight="1" x14ac:dyDescent="0.2">
      <c r="A18" s="50">
        <f>SUMPRODUCT(($C$5:$C$18&gt;$C18)*1)+SUMPRODUCT(($C$5:$C$18=$C18)*($D$5:$D$18&gt;$D18)*1)+1</f>
        <v>14</v>
      </c>
      <c r="B18" s="51" t="s">
        <v>182</v>
      </c>
      <c r="C18" s="52">
        <f>INDEX(Engine!$B$2:$B$15,MATCH($B18,Engine!$A$2:$A$15,0))</f>
        <v>894.20718606929802</v>
      </c>
      <c r="D18" s="53">
        <f>COUNTIF('Match Log'!$D$4:$D$311,$B18)</f>
        <v>13</v>
      </c>
      <c r="E18" s="53">
        <f>COUNTIFS('Match Log'!$D$4:$D$311,$B18,'Match Log'!$E$4:$E$311,"Win")</f>
        <v>2</v>
      </c>
      <c r="F18" s="53">
        <f>$D18-$E18</f>
        <v>11</v>
      </c>
      <c r="G18" s="54">
        <f>IF($D18=0,"",$E18/$D18)</f>
        <v>0.15384615384615385</v>
      </c>
      <c r="H18" s="55">
        <f>SUMIF('Match Log'!$D$4:$D$311,$B18,'Match Log'!$J$4:$J$311)</f>
        <v>-80.179710896546737</v>
      </c>
      <c r="I18" s="55">
        <f>SUMIF('Match Log'!$D$4:$D$311,$B18,'Match Log'!$K$4:$K$311)</f>
        <v>-33.613103034155223</v>
      </c>
      <c r="J18" s="55">
        <f>SUMIF('Match Log'!$D$4:$D$311,$B18,'Match Log'!$L$4:$L$311)</f>
        <v>8</v>
      </c>
      <c r="K18" s="53">
        <f>SUMPRODUCT(--(COUNTIFS('Match Log'!$D$4:$D$311,$B18,'Match Log'!$C$4:$C$311,Lists!$C$2:$C$20)&gt;0))</f>
        <v>3</v>
      </c>
      <c r="L18" s="53" t="str">
        <f>IF($D18=0,"No games",IF(AND($D18&gt;='Guide &amp; Settings'!$C$45,$K18&gt;='Guide &amp; Settings'!$C$46),"Eligible","Provisional"))</f>
        <v>Eligible</v>
      </c>
      <c r="M18" s="52">
        <f>IFERROR(INDEX(Calcs!$C$7:$C$20,MATCH($B18,Calcs!$A$7:$A$20,0)),"")</f>
        <v>1102.6199266748274</v>
      </c>
      <c r="N18" s="52">
        <f>MAX($C$5:$C$18)-$C18</f>
        <v>295.16932182057474</v>
      </c>
      <c r="O18" s="53" t="str">
        <f>IFERROR(INDEX(Calcs!$H$7:$H$20,MATCH($B18,Calcs!$A$7:$A$20,0)),"")</f>
        <v>L4</v>
      </c>
      <c r="P18" s="53" t="str">
        <f>IFERROR(INDEX(Calcs!$I$7:$I$20,MATCH($B18,Calcs!$A$7:$A$20,0)),"")</f>
        <v>WLLLL</v>
      </c>
      <c r="Q18" s="53" t="str">
        <f>IFERROR(IF(INDEX(Calcs!$L$7:$L$20,MATCH($B18,Calcs!$A$7:$A$20,0))&gt;0,"▲"&amp;INDEX(Calcs!$L$7:$L$20,MATCH($B18,Calcs!$A$7:$A$20,0)),IF(INDEX(Calcs!$L$7:$L$20,MATCH($B18,Calcs!$A$7:$A$20,0))&lt;0,"▼"&amp;ABS(INDEX(Calcs!$L$7:$L$20,MATCH($B18,Calcs!$A$7:$A$20,0))),"–")),"")</f>
        <v>–</v>
      </c>
      <c r="R18" s="53" t="str">
        <f>IFERROR(IF(INDEX(Calcs!$P$7:$P$20,MATCH($B18,Calcs!$A$7:$A$20,0))=0,"—",TEXT(INDEX(Calcs!$P$7:$P$20,MATCH($B18,Calcs!$A$7:$A$20,0)),"d mmm")),"")</f>
        <v>15 Jun</v>
      </c>
      <c r="S18" s="53">
        <f>IFERROR(ROUND(INDEX(Calcs!$Q$7:$Q$20,MATCH($B18,Calcs!$A$7:$A$20,0)),1),"")</f>
        <v>2.9</v>
      </c>
      <c r="T18" s="53" t="str">
        <f>IFERROR(INDEX(Calcs!$T$7:$T$20,MATCH($B18,Calcs!$A$7:$A$20,0)),"")</f>
        <v>Active</v>
      </c>
      <c r="U18" s="55">
        <f>IFERROR(MAX(0,ROUND($C18-INDEX(Calcs!$S$7:$S$20,MATCH($B18,Calcs!$A$7:$A$20,0)),0)),0)</f>
        <v>0</v>
      </c>
      <c r="V18" s="55">
        <f>IFERROR(ROUND(INDEX(Calcs!$S$7:$S$20,MATCH($B18,Calcs!$A$7:$A$20,0)),0),"")</f>
        <v>894</v>
      </c>
      <c r="W18" s="53" t="str">
        <f>IFERROR(INDEX(Calcs!$AF$7:$AF$20,MATCH($B18,Calcs!$A$7:$A$20,0)),"")</f>
        <v>Developing</v>
      </c>
    </row>
    <row r="19" spans="1:23" ht="15" customHeight="1" x14ac:dyDescent="0.2">
      <c r="A19" s="56" t="s">
        <v>183</v>
      </c>
    </row>
    <row r="23" spans="1:23" ht="12.75" customHeight="1" x14ac:dyDescent="0.2"/>
  </sheetData>
  <autoFilter ref="A4:W18" xr:uid="{00000000-0009-0000-0000-000002000000}">
    <sortState xmlns:xlrd2="http://schemas.microsoft.com/office/spreadsheetml/2017/richdata2" ref="A5:W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D2C-12F2-3148-8801-B920C579EE08}">
  <dimension ref="A1:H28"/>
  <sheetViews>
    <sheetView zoomScale="175" zoomScaleNormal="175" workbookViewId="0">
      <selection activeCell="J16" sqref="J16"/>
    </sheetView>
  </sheetViews>
  <sheetFormatPr baseColWidth="10" defaultColWidth="8.6640625" defaultRowHeight="15" x14ac:dyDescent="0.2"/>
  <cols>
    <col min="1" max="1" width="34.6640625" customWidth="1"/>
    <col min="2" max="2" width="14.6640625" customWidth="1"/>
    <col min="3" max="3" width="3" customWidth="1"/>
    <col min="4" max="4" width="14.1640625" customWidth="1"/>
    <col min="5" max="5" width="5.83203125" customWidth="1"/>
    <col min="6" max="6" width="4.5" customWidth="1"/>
    <col min="7" max="7" width="5.33203125" customWidth="1"/>
    <col min="8" max="8" width="9.1640625" customWidth="1"/>
  </cols>
  <sheetData>
    <row r="1" spans="1:8" ht="21" customHeight="1" x14ac:dyDescent="0.25">
      <c r="A1" s="57" t="s">
        <v>184</v>
      </c>
    </row>
    <row r="2" spans="1:8" ht="15" customHeight="1" x14ac:dyDescent="0.2">
      <c r="A2" s="32" t="s">
        <v>185</v>
      </c>
    </row>
    <row r="3" spans="1:8" ht="15" customHeight="1" x14ac:dyDescent="0.2">
      <c r="A3" s="19" t="s">
        <v>186</v>
      </c>
      <c r="B3" s="58" t="s">
        <v>176</v>
      </c>
      <c r="D3" s="12" t="s">
        <v>187</v>
      </c>
    </row>
    <row r="4" spans="1:8" ht="15" customHeight="1" x14ac:dyDescent="0.2">
      <c r="D4" s="33" t="s">
        <v>130</v>
      </c>
      <c r="E4" s="33" t="s">
        <v>134</v>
      </c>
      <c r="F4" s="33" t="s">
        <v>188</v>
      </c>
      <c r="G4" s="33" t="s">
        <v>109</v>
      </c>
      <c r="H4" s="33" t="s">
        <v>132</v>
      </c>
    </row>
    <row r="5" spans="1:8" ht="15" customHeight="1" x14ac:dyDescent="0.2">
      <c r="A5" s="59" t="s">
        <v>121</v>
      </c>
      <c r="B5" s="60">
        <f>IFERROR(INDEX(Dashboard!$A$5:$A$18,MATCH($B$3,Dashboard!$B$5:$B$18,0)),"")</f>
        <v>4</v>
      </c>
      <c r="D5" s="61" t="s">
        <v>189</v>
      </c>
      <c r="E5" s="36">
        <f>COUNTIFS('Match Log'!$D$4:$D$311,$B$3,'Match Log'!$C$4:$C$311,$D5)</f>
        <v>0</v>
      </c>
      <c r="F5" s="36">
        <f>COUNTIFS('Match Log'!$D$4:$D$311,$B$3,'Match Log'!$C$4:$C$311,$D5,'Match Log'!$E$4:$E$311,"Win")</f>
        <v>0</v>
      </c>
      <c r="G5" s="62" t="str">
        <f t="shared" ref="G5:G23" si="0">IF($E5=0,"",$F5/$E5)</f>
        <v/>
      </c>
      <c r="H5" s="63" t="str">
        <f>IFERROR(IF($E5=0,"",INDEX('Sport Records'!$B$91:$O$109,MATCH($D5,'Sport Records'!$A$91:$A$109,0),MATCH($B$3,'Sport Records'!$B$90:$O$90,0))),"")</f>
        <v/>
      </c>
    </row>
    <row r="6" spans="1:8" ht="15" customHeight="1" x14ac:dyDescent="0.2">
      <c r="A6" s="59" t="s">
        <v>75</v>
      </c>
      <c r="B6" s="64">
        <f>IFERROR(INDEX(Dashboard!$C$5:$C$18,MATCH($B$3,Dashboard!$B$5:$B$18,0)),"")</f>
        <v>1108.1045793188271</v>
      </c>
      <c r="D6" s="65" t="s">
        <v>190</v>
      </c>
      <c r="E6" s="39">
        <f>COUNTIFS('Match Log'!$D$4:$D$311,$B$3,'Match Log'!$C$4:$C$311,$D6)</f>
        <v>0</v>
      </c>
      <c r="F6" s="39">
        <f>COUNTIFS('Match Log'!$D$4:$D$311,$B$3,'Match Log'!$C$4:$C$311,$D6,'Match Log'!$E$4:$E$311,"Win")</f>
        <v>0</v>
      </c>
      <c r="G6" s="66" t="str">
        <f t="shared" si="0"/>
        <v/>
      </c>
      <c r="H6" s="67" t="str">
        <f>IFERROR(IF($E6=0,"",INDEX('Sport Records'!$B$91:$O$109,MATCH($D6,'Sport Records'!$A$91:$A$109,0),MATCH($B$3,'Sport Records'!$B$90:$O$90,0))),"")</f>
        <v/>
      </c>
    </row>
    <row r="7" spans="1:8" ht="15" customHeight="1" x14ac:dyDescent="0.2">
      <c r="A7" s="59" t="s">
        <v>105</v>
      </c>
      <c r="B7" s="60" t="str">
        <f>IFERROR(INDEX(Calcs!$AF$7:$AF$20,MATCH($B$3,Calcs!$A$7:$A$20,0)),"")</f>
        <v>Strong</v>
      </c>
      <c r="D7" s="61" t="s">
        <v>191</v>
      </c>
      <c r="E7" s="36">
        <f>COUNTIFS('Match Log'!$D$4:$D$311,$B$3,'Match Log'!$C$4:$C$311,$D7)</f>
        <v>0</v>
      </c>
      <c r="F7" s="36">
        <f>COUNTIFS('Match Log'!$D$4:$D$311,$B$3,'Match Log'!$C$4:$C$311,$D7,'Match Log'!$E$4:$E$311,"Win")</f>
        <v>0</v>
      </c>
      <c r="G7" s="62" t="str">
        <f t="shared" si="0"/>
        <v/>
      </c>
      <c r="H7" s="63" t="str">
        <f>IFERROR(IF($E7=0,"",INDEX('Sport Records'!$B$91:$O$109,MATCH($D7,'Sport Records'!$A$91:$A$109,0),MATCH($B$3,'Sport Records'!$B$90:$O$90,0))),"")</f>
        <v/>
      </c>
    </row>
    <row r="8" spans="1:8" ht="15" customHeight="1" x14ac:dyDescent="0.2">
      <c r="A8" s="59" t="s">
        <v>133</v>
      </c>
      <c r="B8" s="60" t="str">
        <f>IFERROR(INDEX(Dashboard!$E$5:$E$18,MATCH($B$3,Dashboard!$B$5:$B$18,0))&amp;"–"&amp;INDEX(Dashboard!$F$5:$F$18,MATCH($B$3,Dashboard!$B$5:$B$18,0)),"")</f>
        <v>19–22</v>
      </c>
      <c r="D8" s="65" t="s">
        <v>192</v>
      </c>
      <c r="E8" s="39">
        <f>COUNTIFS('Match Log'!$D$4:$D$311,$B$3,'Match Log'!$C$4:$C$311,$D8)</f>
        <v>0</v>
      </c>
      <c r="F8" s="39">
        <f>COUNTIFS('Match Log'!$D$4:$D$311,$B$3,'Match Log'!$C$4:$C$311,$D8,'Match Log'!$E$4:$E$311,"Win")</f>
        <v>0</v>
      </c>
      <c r="G8" s="66" t="str">
        <f t="shared" si="0"/>
        <v/>
      </c>
      <c r="H8" s="67" t="str">
        <f>IFERROR(IF($E8=0,"",INDEX('Sport Records'!$B$91:$O$109,MATCH($D8,'Sport Records'!$A$91:$A$109,0),MATCH($B$3,'Sport Records'!$B$90:$O$90,0))),"")</f>
        <v/>
      </c>
    </row>
    <row r="9" spans="1:8" ht="15" customHeight="1" x14ac:dyDescent="0.2">
      <c r="A9" s="59" t="s">
        <v>109</v>
      </c>
      <c r="B9" s="68">
        <f>IFERROR(INDEX(Dashboard!$G$5:$G$18,MATCH($B$3,Dashboard!$B$5:$B$18,0)),"")</f>
        <v>0.46341463414634149</v>
      </c>
      <c r="D9" s="61" t="s">
        <v>193</v>
      </c>
      <c r="E9" s="36">
        <f>COUNTIFS('Match Log'!$D$4:$D$311,$B$3,'Match Log'!$C$4:$C$311,$D9)</f>
        <v>4</v>
      </c>
      <c r="F9" s="36">
        <f>COUNTIFS('Match Log'!$D$4:$D$311,$B$3,'Match Log'!$C$4:$C$311,$D9,'Match Log'!$E$4:$E$311,"Win")</f>
        <v>2</v>
      </c>
      <c r="G9" s="62">
        <f t="shared" si="0"/>
        <v>0.5</v>
      </c>
      <c r="H9" s="63">
        <f>IFERROR(IF($E9=0,"",INDEX('Sport Records'!$B$91:$O$109,MATCH($D9,'Sport Records'!$A$91:$A$109,0),MATCH($B$3,'Sport Records'!$B$90:$O$90,0))),"")</f>
        <v>1004.0463383766044</v>
      </c>
    </row>
    <row r="10" spans="1:8" ht="15" customHeight="1" x14ac:dyDescent="0.2">
      <c r="A10" s="59" t="s">
        <v>134</v>
      </c>
      <c r="B10" s="60">
        <f>IFERROR(INDEX(Dashboard!$D$5:$D$18,MATCH($B$3,Dashboard!$B$5:$B$18,0)),"")</f>
        <v>41</v>
      </c>
      <c r="D10" s="65" t="s">
        <v>194</v>
      </c>
      <c r="E10" s="39">
        <f>COUNTIFS('Match Log'!$D$4:$D$311,$B$3,'Match Log'!$C$4:$C$311,$D10)</f>
        <v>1</v>
      </c>
      <c r="F10" s="39">
        <f>COUNTIFS('Match Log'!$D$4:$D$311,$B$3,'Match Log'!$C$4:$C$311,$D10,'Match Log'!$E$4:$E$311,"Win")</f>
        <v>0</v>
      </c>
      <c r="G10" s="66">
        <f t="shared" si="0"/>
        <v>0</v>
      </c>
      <c r="H10" s="67">
        <f>IFERROR(IF($E10=0,"",INDEX('Sport Records'!$B$91:$O$109,MATCH($D10,'Sport Records'!$A$91:$A$109,0),MATCH($B$3,'Sport Records'!$B$90:$O$90,0))),"")</f>
        <v>997.71428571428567</v>
      </c>
    </row>
    <row r="11" spans="1:8" ht="15" customHeight="1" x14ac:dyDescent="0.2">
      <c r="A11" s="59" t="s">
        <v>195</v>
      </c>
      <c r="B11" s="60">
        <f>IFERROR(INDEX(Dashboard!$K$5:$K$18,MATCH($B$3,Dashboard!$B$5:$B$18,0)),"")</f>
        <v>7</v>
      </c>
      <c r="D11" s="61" t="s">
        <v>196</v>
      </c>
      <c r="E11" s="36">
        <f>COUNTIFS('Match Log'!$D$4:$D$311,$B$3,'Match Log'!$C$4:$C$311,$D11)</f>
        <v>0</v>
      </c>
      <c r="F11" s="36">
        <f>COUNTIFS('Match Log'!$D$4:$D$311,$B$3,'Match Log'!$C$4:$C$311,$D11,'Match Log'!$E$4:$E$311,"Win")</f>
        <v>0</v>
      </c>
      <c r="G11" s="62" t="str">
        <f t="shared" si="0"/>
        <v/>
      </c>
      <c r="H11" s="63" t="str">
        <f>IFERROR(IF($E11=0,"",INDEX('Sport Records'!$B$91:$O$109,MATCH($D11,'Sport Records'!$A$91:$A$109,0),MATCH($B$3,'Sport Records'!$B$90:$O$90,0))),"")</f>
        <v/>
      </c>
    </row>
    <row r="12" spans="1:8" ht="15" customHeight="1" x14ac:dyDescent="0.2">
      <c r="A12" s="59" t="s">
        <v>197</v>
      </c>
      <c r="B12" s="64">
        <f>IFERROR(INDEX(Calcs!$C$7:$C$20,MATCH($B$3,Calcs!$A$7:$A$20,0)),"")</f>
        <v>1069.5967813481279</v>
      </c>
      <c r="D12" s="65" t="s">
        <v>198</v>
      </c>
      <c r="E12" s="39">
        <f>COUNTIFS('Match Log'!$D$4:$D$311,$B$3,'Match Log'!$C$4:$C$311,$D12)</f>
        <v>0</v>
      </c>
      <c r="F12" s="39">
        <f>COUNTIFS('Match Log'!$D$4:$D$311,$B$3,'Match Log'!$C$4:$C$311,$D12,'Match Log'!$E$4:$E$311,"Win")</f>
        <v>0</v>
      </c>
      <c r="G12" s="66" t="str">
        <f t="shared" si="0"/>
        <v/>
      </c>
      <c r="H12" s="67" t="str">
        <f>IFERROR(IF($E12=0,"",INDEX('Sport Records'!$B$91:$O$109,MATCH($D12,'Sport Records'!$A$91:$A$109,0),MATCH($B$3,'Sport Records'!$B$90:$O$90,0))),"")</f>
        <v/>
      </c>
    </row>
    <row r="13" spans="1:8" ht="15" customHeight="1" x14ac:dyDescent="0.2">
      <c r="A13" s="59" t="s">
        <v>199</v>
      </c>
      <c r="B13" s="60" t="str">
        <f>IFERROR(INDEX(Calcs!$H$7:$H$20,MATCH($B$3,Calcs!$A$7:$A$20,0)),"")</f>
        <v>L2</v>
      </c>
      <c r="D13" s="61" t="s">
        <v>200</v>
      </c>
      <c r="E13" s="36">
        <f>COUNTIFS('Match Log'!$D$4:$D$311,$B$3,'Match Log'!$C$4:$C$311,$D13)</f>
        <v>1</v>
      </c>
      <c r="F13" s="36">
        <f>COUNTIFS('Match Log'!$D$4:$D$311,$B$3,'Match Log'!$C$4:$C$311,$D13,'Match Log'!$E$4:$E$311,"Win")</f>
        <v>0</v>
      </c>
      <c r="G13" s="62">
        <f t="shared" si="0"/>
        <v>0</v>
      </c>
      <c r="H13" s="63">
        <f>IFERROR(IF($E13=0,"",INDEX('Sport Records'!$B$91:$O$109,MATCH($D13,'Sport Records'!$A$91:$A$109,0),MATCH($B$3,'Sport Records'!$B$90:$O$90,0))),"")</f>
        <v>992</v>
      </c>
    </row>
    <row r="14" spans="1:8" ht="15" customHeight="1" x14ac:dyDescent="0.2">
      <c r="A14" s="59" t="s">
        <v>169</v>
      </c>
      <c r="B14" s="60" t="str">
        <f>IFERROR(INDEX(Calcs!$I$7:$I$20,MATCH($B$3,Calcs!$A$7:$A$20,0)),"")</f>
        <v>WWWLL</v>
      </c>
      <c r="D14" s="65" t="s">
        <v>201</v>
      </c>
      <c r="E14" s="39">
        <f>COUNTIFS('Match Log'!$D$4:$D$311,$B$3,'Match Log'!$C$4:$C$311,$D14)</f>
        <v>0</v>
      </c>
      <c r="F14" s="39">
        <f>COUNTIFS('Match Log'!$D$4:$D$311,$B$3,'Match Log'!$C$4:$C$311,$D14,'Match Log'!$E$4:$E$311,"Win")</f>
        <v>0</v>
      </c>
      <c r="G14" s="66" t="str">
        <f t="shared" si="0"/>
        <v/>
      </c>
      <c r="H14" s="67" t="str">
        <f>IFERROR(IF($E14=0,"",INDEX('Sport Records'!$B$91:$O$109,MATCH($D14,'Sport Records'!$A$91:$A$109,0),MATCH($B$3,'Sport Records'!$B$90:$O$90,0))),"")</f>
        <v/>
      </c>
    </row>
    <row r="15" spans="1:8" ht="15" customHeight="1" x14ac:dyDescent="0.2">
      <c r="A15" s="59" t="s">
        <v>119</v>
      </c>
      <c r="B15" s="64">
        <f>IFERROR(INDEX(Calcs!$E$7:$E$20,MATCH($B$3,Calcs!$A$7:$A$20,0)),"")</f>
        <v>81.271928571045692</v>
      </c>
      <c r="D15" s="61" t="s">
        <v>202</v>
      </c>
      <c r="E15" s="36">
        <f>COUNTIFS('Match Log'!$D$4:$D$311,$B$3,'Match Log'!$C$4:$C$311,$D15)</f>
        <v>0</v>
      </c>
      <c r="F15" s="36">
        <f>COUNTIFS('Match Log'!$D$4:$D$311,$B$3,'Match Log'!$C$4:$C$311,$D15,'Match Log'!$E$4:$E$311,"Win")</f>
        <v>0</v>
      </c>
      <c r="G15" s="62" t="str">
        <f t="shared" si="0"/>
        <v/>
      </c>
      <c r="H15" s="63" t="str">
        <f>IFERROR(IF($E15=0,"",INDEX('Sport Records'!$B$91:$O$109,MATCH($D15,'Sport Records'!$A$91:$A$109,0),MATCH($B$3,'Sport Records'!$B$90:$O$90,0))),"")</f>
        <v/>
      </c>
    </row>
    <row r="16" spans="1:8" ht="15" customHeight="1" x14ac:dyDescent="0.2">
      <c r="A16" s="59" t="s">
        <v>107</v>
      </c>
      <c r="B16" s="60" t="str">
        <f>IFERROR(INDEX(Dashboard!$L$5:$L$18,MATCH($B$3,Dashboard!$B$5:$B$18,0)),"")</f>
        <v>Eligible</v>
      </c>
      <c r="D16" s="65" t="s">
        <v>203</v>
      </c>
      <c r="E16" s="39">
        <f>COUNTIFS('Match Log'!$D$4:$D$311,$B$3,'Match Log'!$C$4:$C$311,$D16)</f>
        <v>13</v>
      </c>
      <c r="F16" s="39">
        <f>COUNTIFS('Match Log'!$D$4:$D$311,$B$3,'Match Log'!$C$4:$C$311,$D16,'Match Log'!$E$4:$E$311,"Win")</f>
        <v>6</v>
      </c>
      <c r="G16" s="66">
        <f t="shared" si="0"/>
        <v>0.46153846153846156</v>
      </c>
      <c r="H16" s="67">
        <f>IFERROR(IF($E16=0,"",INDEX('Sport Records'!$B$91:$O$109,MATCH($D16,'Sport Records'!$A$91:$A$109,0),MATCH($B$3,'Sport Records'!$B$90:$O$90,0))),"")</f>
        <v>1003.9713656909046</v>
      </c>
    </row>
    <row r="17" spans="1:8" ht="15" customHeight="1" x14ac:dyDescent="0.2">
      <c r="A17" s="69" t="s">
        <v>204</v>
      </c>
      <c r="B17" s="70" t="str">
        <f>IFERROR(TEXT(INDEX(Calcs!$P$7:$P$20,MATCH($B$3,Calcs!$A$7:$A$20,0)),"d mmm")&amp;"  ·  "&amp;INDEX(Calcs!$T$7:$T$20,MATCH($B$3,Calcs!$A$7:$A$20,0)),"")</f>
        <v>5 Jul  ·  Active</v>
      </c>
      <c r="D17" s="61" t="s">
        <v>205</v>
      </c>
      <c r="E17" s="36">
        <f>COUNTIFS('Match Log'!$D$4:$D$311,$B$3,'Match Log'!$C$4:$C$311,$D17)</f>
        <v>3</v>
      </c>
      <c r="F17" s="36">
        <f>COUNTIFS('Match Log'!$D$4:$D$311,$B$3,'Match Log'!$C$4:$C$311,$D17,'Match Log'!$E$4:$E$311,"Win")</f>
        <v>1</v>
      </c>
      <c r="G17" s="62">
        <f t="shared" si="0"/>
        <v>0.33333333333333331</v>
      </c>
      <c r="H17" s="63">
        <f>IFERROR(IF($E17=0,"",INDEX('Sport Records'!$B$91:$O$109,MATCH($D17,'Sport Records'!$A$91:$A$109,0),MATCH($B$3,'Sport Records'!$B$90:$O$90,0))),"")</f>
        <v>1000.5463997736937</v>
      </c>
    </row>
    <row r="18" spans="1:8" ht="15" customHeight="1" x14ac:dyDescent="0.2">
      <c r="A18" s="12" t="s">
        <v>206</v>
      </c>
      <c r="D18" s="65" t="s">
        <v>207</v>
      </c>
      <c r="E18" s="39">
        <f>COUNTIFS('Match Log'!$D$4:$D$311,$B$3,'Match Log'!$C$4:$C$311,$D18)</f>
        <v>7</v>
      </c>
      <c r="F18" s="39">
        <f>COUNTIFS('Match Log'!$D$4:$D$311,$B$3,'Match Log'!$C$4:$C$311,$D18,'Match Log'!$E$4:$E$311,"Win")</f>
        <v>5</v>
      </c>
      <c r="G18" s="66">
        <f t="shared" si="0"/>
        <v>0.7142857142857143</v>
      </c>
      <c r="H18" s="67">
        <f>IFERROR(IF($E18=0,"",INDEX('Sport Records'!$B$91:$O$109,MATCH($D18,'Sport Records'!$A$91:$A$109,0),MATCH($B$3,'Sport Records'!$B$90:$O$90,0))),"")</f>
        <v>1034.9676314940889</v>
      </c>
    </row>
    <row r="19" spans="1:8" ht="15" customHeight="1" x14ac:dyDescent="0.2">
      <c r="A19" s="69" t="s">
        <v>208</v>
      </c>
      <c r="B19" s="71" t="str">
        <f>IFERROR(INDEX($D$5:$D$23,MATCH(MAX($H$5:$H$23),$H$5:$H$23,0)),"")</f>
        <v>Mario Kart</v>
      </c>
      <c r="D19" s="61" t="s">
        <v>209</v>
      </c>
      <c r="E19" s="36">
        <f>COUNTIFS('Match Log'!$D$4:$D$311,$B$3,'Match Log'!$C$4:$C$311,$D19)</f>
        <v>0</v>
      </c>
      <c r="F19" s="36">
        <f>COUNTIFS('Match Log'!$D$4:$D$311,$B$3,'Match Log'!$C$4:$C$311,$D19,'Match Log'!$E$4:$E$311,"Win")</f>
        <v>0</v>
      </c>
      <c r="G19" s="62" t="str">
        <f t="shared" si="0"/>
        <v/>
      </c>
      <c r="H19" s="63" t="str">
        <f>IFERROR(IF($E19=0,"",INDEX('Sport Records'!$B$91:$O$109,MATCH($D19,'Sport Records'!$A$91:$A$109,0),MATCH($B$3,'Sport Records'!$B$90:$O$90,0))),"")</f>
        <v/>
      </c>
    </row>
    <row r="20" spans="1:8" ht="15" customHeight="1" x14ac:dyDescent="0.2">
      <c r="A20" s="69" t="s">
        <v>210</v>
      </c>
      <c r="B20" s="71" t="str">
        <f>IFERROR(INDEX($D$5:$D$23,MATCH(MAX($E$5:$E$23),$E$5:$E$23,0)),"")</f>
        <v>Table Tennis</v>
      </c>
      <c r="D20" s="65" t="s">
        <v>211</v>
      </c>
      <c r="E20" s="39">
        <f>COUNTIFS('Match Log'!$D$4:$D$311,$B$3,'Match Log'!$C$4:$C$311,$D20)</f>
        <v>0</v>
      </c>
      <c r="F20" s="39">
        <f>COUNTIFS('Match Log'!$D$4:$D$311,$B$3,'Match Log'!$C$4:$C$311,$D20,'Match Log'!$E$4:$E$311,"Win")</f>
        <v>0</v>
      </c>
      <c r="G20" s="66" t="str">
        <f t="shared" si="0"/>
        <v/>
      </c>
      <c r="H20" s="67" t="str">
        <f>IFERROR(IF($E20=0,"",INDEX('Sport Records'!$B$91:$O$109,MATCH($D20,'Sport Records'!$A$91:$A$109,0),MATCH($B$3,'Sport Records'!$B$90:$O$90,0))),"")</f>
        <v/>
      </c>
    </row>
    <row r="21" spans="1:8" ht="15" customHeight="1" x14ac:dyDescent="0.2">
      <c r="D21" s="61" t="s">
        <v>212</v>
      </c>
      <c r="E21" s="36">
        <f>COUNTIFS('Match Log'!$D$4:$D$311,$B$3,'Match Log'!$C$4:$C$311,$D21)</f>
        <v>0</v>
      </c>
      <c r="F21" s="36">
        <f>COUNTIFS('Match Log'!$D$4:$D$311,$B$3,'Match Log'!$C$4:$C$311,$D21,'Match Log'!$E$4:$E$311,"Win")</f>
        <v>0</v>
      </c>
      <c r="G21" s="62" t="str">
        <f t="shared" si="0"/>
        <v/>
      </c>
      <c r="H21" s="63" t="str">
        <f>IFERROR(IF($E21=0,"",INDEX('Sport Records'!$B$91:$O$109,MATCH($D21,'Sport Records'!$A$91:$A$109,0),MATCH($B$3,'Sport Records'!$B$90:$O$90,0))),"")</f>
        <v/>
      </c>
    </row>
    <row r="22" spans="1:8" ht="15" customHeight="1" x14ac:dyDescent="0.2">
      <c r="A22" s="12" t="s">
        <v>213</v>
      </c>
      <c r="D22" s="65" t="s">
        <v>214</v>
      </c>
      <c r="E22" s="39">
        <f>COUNTIFS('Match Log'!$D$4:$D$311,$B$3,'Match Log'!$C$4:$C$311,$D22)</f>
        <v>12</v>
      </c>
      <c r="F22" s="39">
        <f>COUNTIFS('Match Log'!$D$4:$D$311,$B$3,'Match Log'!$C$4:$C$311,$D22,'Match Log'!$E$4:$E$311,"Win")</f>
        <v>5</v>
      </c>
      <c r="G22" s="66">
        <f t="shared" si="0"/>
        <v>0.41666666666666669</v>
      </c>
      <c r="H22" s="67">
        <f>IFERROR(IF($E22=0,"",INDEX('Sport Records'!$B$91:$O$109,MATCH($D22,'Sport Records'!$A$91:$A$109,0),MATCH($B$3,'Sport Records'!$B$90:$O$90,0))),"")</f>
        <v>959.92547606336859</v>
      </c>
    </row>
    <row r="23" spans="1:8" ht="15" customHeight="1" x14ac:dyDescent="0.2">
      <c r="A23" s="69" t="s">
        <v>215</v>
      </c>
      <c r="B23" s="72">
        <f>IFERROR(ROUND(INDEX(Calcs!$AB$7:$AB$20,MATCH($B$3,Calcs!$A$7:$A$20,0)),0),"")</f>
        <v>71</v>
      </c>
      <c r="D23" s="61" t="s">
        <v>216</v>
      </c>
      <c r="E23" s="36">
        <f>COUNTIFS('Match Log'!$D$4:$D$311,$B$3,'Match Log'!$C$4:$C$311,$D23)</f>
        <v>0</v>
      </c>
      <c r="F23" s="36">
        <f>COUNTIFS('Match Log'!$D$4:$D$311,$B$3,'Match Log'!$C$4:$C$311,$D23,'Match Log'!$E$4:$E$311,"Win")</f>
        <v>0</v>
      </c>
      <c r="G23" s="62" t="str">
        <f t="shared" si="0"/>
        <v/>
      </c>
      <c r="H23" s="63" t="str">
        <f>IFERROR(IF($E23=0,"",INDEX('Sport Records'!$B$91:$O$109,MATCH($D23,'Sport Records'!$A$91:$A$109,0),MATCH($B$3,'Sport Records'!$B$90:$O$90,0))),"")</f>
        <v/>
      </c>
    </row>
    <row r="24" spans="1:8" x14ac:dyDescent="0.2">
      <c r="A24" s="69" t="s">
        <v>217</v>
      </c>
      <c r="B24" s="70">
        <f>IFERROR(ROUND(INDEX(Calcs!$W$7:$W$20,MATCH($B$3,Calcs!$A$7:$A$20,0)),0),"")</f>
        <v>77</v>
      </c>
    </row>
    <row r="25" spans="1:8" x14ac:dyDescent="0.2">
      <c r="A25" s="69" t="s">
        <v>218</v>
      </c>
      <c r="B25" s="70">
        <f>IFERROR(ROUND(INDEX(Calcs!$X$7:$X$20,MATCH($B$3,Calcs!$A$7:$A$20,0)),0),"")</f>
        <v>46</v>
      </c>
    </row>
    <row r="26" spans="1:8" x14ac:dyDescent="0.2">
      <c r="A26" s="69" t="s">
        <v>219</v>
      </c>
      <c r="B26" s="70">
        <f>IFERROR(ROUND(INDEX(Calcs!$Y$7:$Y$20,MATCH($B$3,Calcs!$A$7:$A$20,0)),0),"")</f>
        <v>95</v>
      </c>
    </row>
    <row r="27" spans="1:8" x14ac:dyDescent="0.2">
      <c r="A27" s="69" t="s">
        <v>220</v>
      </c>
      <c r="B27" s="70">
        <f>IFERROR(ROUND(INDEX(Calcs!$Z$7:$Z$20,MATCH($B$3,Calcs!$A$7:$A$20,0)),0),"")</f>
        <v>60</v>
      </c>
    </row>
    <row r="28" spans="1:8" x14ac:dyDescent="0.2">
      <c r="A28" s="69" t="s">
        <v>221</v>
      </c>
      <c r="B28" s="70">
        <f>IFERROR(ROUND(INDEX(Calcs!$AA$7:$AA$20,MATCH($B$3,Calcs!$A$7:$A$20,0)),0),"")</f>
        <v>67</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5">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3" id="{00000000-000E-0000-0300-000021000000}">
            <xm:f>AND(IFERROR(INDEX(Calcs!$Q$7:$Q$20,MATCH($B$3,Calcs!$A$7:$A$20,0)),0)&gt;=6,IFERROR(INDEX(Calcs!$Q$7:$Q$20,MATCH($B$3,Calcs!$A$7:$A$20,0)),0)&lt;8)</xm:f>
            <x14:dxf>
              <fill>
                <patternFill>
                  <bgColor rgb="FFFFEB9C"/>
                </patternFill>
              </fill>
            </x14:dxf>
          </x14:cfRule>
          <x14:cfRule type="expression" priority="34" id="{00000000-000E-0000-0300-000022000000}">
            <xm:f>IFERROR(INDEX(Calcs!$Q$7:$Q$20,MATCH($B$3,Calcs!$A$7:$A$20,0)),0)&lt;6</xm:f>
            <x14:dxf>
              <fill>
                <patternFill>
                  <bgColor rgb="FFC6EFCE"/>
                </patternFill>
              </fill>
            </x14:dxf>
          </x14:cfRule>
          <x14:cfRule type="expression" priority="32" id="{00000000-000E-0000-0300-000020000000}">
            <xm:f>IFERROR(INDEX(Calcs!$Q$7:$Q$20,MATCH($B$3,Calcs!$A$7:$A$20,0)),0)&gt;=8</xm:f>
            <x14:dxf>
              <fill>
                <patternFill>
                  <bgColor rgb="FFFFC7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Lists!$A$2:$A$15</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EF06-5C05-DF49-8403-DF82CB97B60A}">
  <sheetPr>
    <tabColor rgb="FF4A6FA5"/>
  </sheetPr>
  <dimension ref="A1:O35"/>
  <sheetViews>
    <sheetView topLeftCell="A11" zoomScale="130" zoomScaleNormal="130" workbookViewId="0">
      <selection activeCell="G1" sqref="G1:G1048576"/>
    </sheetView>
  </sheetViews>
  <sheetFormatPr baseColWidth="10" defaultColWidth="8.6640625" defaultRowHeight="15" x14ac:dyDescent="0.2"/>
  <cols>
    <col min="1" max="1" width="17" customWidth="1"/>
    <col min="2" max="15" width="11" customWidth="1"/>
  </cols>
  <sheetData>
    <row r="1" spans="1:15" ht="19.5" customHeight="1" x14ac:dyDescent="0.2">
      <c r="A1" s="73" t="s">
        <v>222</v>
      </c>
    </row>
    <row r="2" spans="1:15" ht="39" customHeight="1" x14ac:dyDescent="0.2">
      <c r="A2" s="148" t="s">
        <v>223</v>
      </c>
      <c r="B2" s="148"/>
      <c r="C2" s="148"/>
      <c r="D2" s="148"/>
      <c r="E2" s="148"/>
      <c r="F2" s="148"/>
      <c r="G2" s="148"/>
      <c r="H2" s="148"/>
      <c r="I2" s="148"/>
      <c r="J2" s="148"/>
      <c r="K2" s="148"/>
      <c r="L2" s="148"/>
      <c r="M2" s="148"/>
      <c r="N2" s="148"/>
      <c r="O2" s="148"/>
    </row>
    <row r="3" spans="1:15" ht="38" customHeight="1" x14ac:dyDescent="0.2">
      <c r="A3" s="149" t="s">
        <v>224</v>
      </c>
      <c r="B3" s="149"/>
      <c r="C3" s="149"/>
      <c r="D3" s="149"/>
      <c r="E3" s="149"/>
      <c r="F3" s="149"/>
      <c r="G3" s="149"/>
      <c r="H3" s="149"/>
      <c r="I3" s="149"/>
      <c r="J3" s="149"/>
      <c r="K3" s="149"/>
      <c r="L3" s="149"/>
      <c r="M3" s="149"/>
      <c r="N3" s="149"/>
      <c r="O3" s="149"/>
    </row>
    <row r="4" spans="1:15" ht="15" customHeight="1" x14ac:dyDescent="0.2">
      <c r="A4" s="74" t="s">
        <v>225</v>
      </c>
      <c r="B4" s="49" t="s">
        <v>145</v>
      </c>
      <c r="C4" s="49" t="s">
        <v>142</v>
      </c>
      <c r="D4" s="49" t="s">
        <v>180</v>
      </c>
      <c r="E4" s="49" t="s">
        <v>147</v>
      </c>
      <c r="F4" s="49" t="s">
        <v>144</v>
      </c>
      <c r="G4" s="49" t="s">
        <v>141</v>
      </c>
      <c r="H4" s="49" t="s">
        <v>175</v>
      </c>
      <c r="I4" s="49" t="s">
        <v>177</v>
      </c>
      <c r="J4" s="49" t="s">
        <v>174</v>
      </c>
      <c r="K4" s="49" t="s">
        <v>182</v>
      </c>
      <c r="L4" s="49" t="s">
        <v>176</v>
      </c>
      <c r="M4" s="49" t="s">
        <v>178</v>
      </c>
      <c r="N4" s="49" t="s">
        <v>179</v>
      </c>
      <c r="O4" s="49" t="s">
        <v>181</v>
      </c>
    </row>
    <row r="5" spans="1:15" ht="15" customHeight="1" x14ac:dyDescent="0.2">
      <c r="A5" s="49" t="s">
        <v>145</v>
      </c>
      <c r="B5" s="54" t="str">
        <f>IF($A5=B$4,"—",IF((SUMPRODUCT(('Match Log'!$D$4:$D$311=$A5)*('Match Log'!$E$4:$E$311="Win")*COUNTIFS('Match Log'!$A$4:$A$311,'Match Log'!$A$4:$A$311,'Match Log'!$D$4:$D$311,B$4,'Match Log'!$E$4:$E$311,"Loss"))+SUMPRODUCT(('Match Log'!$D$4:$D$311=B$4)*('Match Log'!$E$4:$E$311="Win")*COUNTIFS('Match Log'!$A$4:$A$311,'Match Log'!$A$4:$A$311,'Match Log'!$D$4:$D$311,$A5,'Match Log'!$E$4:$E$311,"Loss")))=0,"",TEXT(SUMPRODUCT(('Match Log'!$D$4:$D$311=$A5)*('Match Log'!$E$4:$E$311="Win")*COUNTIFS('Match Log'!$A$4:$A$311,'Match Log'!$A$4:$A$311,'Match Log'!$D$4:$D$311,B$4,'Match Log'!$E$4:$E$311,"Loss"))/(SUMPRODUCT(('Match Log'!$D$4:$D$311=$A5)*('Match Log'!$E$4:$E$311="Win")*COUNTIFS('Match Log'!$A$4:$A$311,'Match Log'!$A$4:$A$311,'Match Log'!$D$4:$D$311,B$4,'Match Log'!$E$4:$E$311,"Loss"))+SUMPRODUCT(('Match Log'!$D$4:$D$311=B$4)*('Match Log'!$E$4:$E$311="Win")*COUNTIFS('Match Log'!$A$4:$A$311,'Match Log'!$A$4:$A$311,'Match Log'!$D$4:$D$311,$A5,'Match Log'!$E$4:$E$311,"Loss"))),"0%")&amp;" of "&amp;(SUMPRODUCT(('Match Log'!$D$4:$D$311=$A5)*('Match Log'!$E$4:$E$311="Win")*COUNTIFS('Match Log'!$A$4:$A$311,'Match Log'!$A$4:$A$311,'Match Log'!$D$4:$D$311,B$4,'Match Log'!$E$4:$E$311,"Loss"))+SUMPRODUCT(('Match Log'!$D$4:$D$311=B$4)*('Match Log'!$E$4:$E$311="Win")*COUNTIFS('Match Log'!$A$4:$A$311,'Match Log'!$A$4:$A$311,'Match Log'!$D$4:$D$311,$A5,'Match Log'!$E$4:$E$311,"Loss")))))</f>
        <v>—</v>
      </c>
      <c r="C5" s="54" t="str">
        <f>IF($A5=C$4,"—",IF((SUMPRODUCT(('Match Log'!$D$4:$D$311=$A5)*('Match Log'!$E$4:$E$311="Win")*COUNTIFS('Match Log'!$A$4:$A$311,'Match Log'!$A$4:$A$311,'Match Log'!$D$4:$D$311,C$4,'Match Log'!$E$4:$E$311,"Loss"))+SUMPRODUCT(('Match Log'!$D$4:$D$311=C$4)*('Match Log'!$E$4:$E$311="Win")*COUNTIFS('Match Log'!$A$4:$A$311,'Match Log'!$A$4:$A$311,'Match Log'!$D$4:$D$311,$A5,'Match Log'!$E$4:$E$311,"Loss")))=0,"",TEXT(SUMPRODUCT(('Match Log'!$D$4:$D$311=$A5)*('Match Log'!$E$4:$E$311="Win")*COUNTIFS('Match Log'!$A$4:$A$311,'Match Log'!$A$4:$A$311,'Match Log'!$D$4:$D$311,C$4,'Match Log'!$E$4:$E$311,"Loss"))/(SUMPRODUCT(('Match Log'!$D$4:$D$311=$A5)*('Match Log'!$E$4:$E$311="Win")*COUNTIFS('Match Log'!$A$4:$A$311,'Match Log'!$A$4:$A$311,'Match Log'!$D$4:$D$311,C$4,'Match Log'!$E$4:$E$311,"Loss"))+SUMPRODUCT(('Match Log'!$D$4:$D$311=C$4)*('Match Log'!$E$4:$E$311="Win")*COUNTIFS('Match Log'!$A$4:$A$311,'Match Log'!$A$4:$A$311,'Match Log'!$D$4:$D$311,$A5,'Match Log'!$E$4:$E$311,"Loss"))),"0%")&amp;" of "&amp;(SUMPRODUCT(('Match Log'!$D$4:$D$311=$A5)*('Match Log'!$E$4:$E$311="Win")*COUNTIFS('Match Log'!$A$4:$A$311,'Match Log'!$A$4:$A$311,'Match Log'!$D$4:$D$311,C$4,'Match Log'!$E$4:$E$311,"Loss"))+SUMPRODUCT(('Match Log'!$D$4:$D$311=C$4)*('Match Log'!$E$4:$E$311="Win")*COUNTIFS('Match Log'!$A$4:$A$311,'Match Log'!$A$4:$A$311,'Match Log'!$D$4:$D$311,$A5,'Match Log'!$E$4:$E$311,"Loss")))))</f>
        <v/>
      </c>
      <c r="D5" s="54" t="str">
        <f>IF($A5=D$4,"—",IF((SUMPRODUCT(('Match Log'!$D$4:$D$311=$A5)*('Match Log'!$E$4:$E$311="Win")*COUNTIFS('Match Log'!$A$4:$A$311,'Match Log'!$A$4:$A$311,'Match Log'!$D$4:$D$311,D$4,'Match Log'!$E$4:$E$311,"Loss"))+SUMPRODUCT(('Match Log'!$D$4:$D$311=D$4)*('Match Log'!$E$4:$E$311="Win")*COUNTIFS('Match Log'!$A$4:$A$311,'Match Log'!$A$4:$A$311,'Match Log'!$D$4:$D$311,$A5,'Match Log'!$E$4:$E$311,"Loss")))=0,"",TEXT(SUMPRODUCT(('Match Log'!$D$4:$D$311=$A5)*('Match Log'!$E$4:$E$311="Win")*COUNTIFS('Match Log'!$A$4:$A$311,'Match Log'!$A$4:$A$311,'Match Log'!$D$4:$D$311,D$4,'Match Log'!$E$4:$E$311,"Loss"))/(SUMPRODUCT(('Match Log'!$D$4:$D$311=$A5)*('Match Log'!$E$4:$E$311="Win")*COUNTIFS('Match Log'!$A$4:$A$311,'Match Log'!$A$4:$A$311,'Match Log'!$D$4:$D$311,D$4,'Match Log'!$E$4:$E$311,"Loss"))+SUMPRODUCT(('Match Log'!$D$4:$D$311=D$4)*('Match Log'!$E$4:$E$311="Win")*COUNTIFS('Match Log'!$A$4:$A$311,'Match Log'!$A$4:$A$311,'Match Log'!$D$4:$D$311,$A5,'Match Log'!$E$4:$E$311,"Loss"))),"0%")&amp;" of "&amp;(SUMPRODUCT(('Match Log'!$D$4:$D$311=$A5)*('Match Log'!$E$4:$E$311="Win")*COUNTIFS('Match Log'!$A$4:$A$311,'Match Log'!$A$4:$A$311,'Match Log'!$D$4:$D$311,D$4,'Match Log'!$E$4:$E$311,"Loss"))+SUMPRODUCT(('Match Log'!$D$4:$D$311=D$4)*('Match Log'!$E$4:$E$311="Win")*COUNTIFS('Match Log'!$A$4:$A$311,'Match Log'!$A$4:$A$311,'Match Log'!$D$4:$D$311,$A5,'Match Log'!$E$4:$E$311,"Loss")))))</f>
        <v>100% of 3</v>
      </c>
      <c r="E5" s="54" t="str">
        <f>IF($A5=E$4,"—",IF((SUMPRODUCT(('Match Log'!$D$4:$D$311=$A5)*('Match Log'!$E$4:$E$311="Win")*COUNTIFS('Match Log'!$A$4:$A$311,'Match Log'!$A$4:$A$311,'Match Log'!$D$4:$D$311,E$4,'Match Log'!$E$4:$E$311,"Loss"))+SUMPRODUCT(('Match Log'!$D$4:$D$311=E$4)*('Match Log'!$E$4:$E$311="Win")*COUNTIFS('Match Log'!$A$4:$A$311,'Match Log'!$A$4:$A$311,'Match Log'!$D$4:$D$311,$A5,'Match Log'!$E$4:$E$311,"Loss")))=0,"",TEXT(SUMPRODUCT(('Match Log'!$D$4:$D$311=$A5)*('Match Log'!$E$4:$E$311="Win")*COUNTIFS('Match Log'!$A$4:$A$311,'Match Log'!$A$4:$A$311,'Match Log'!$D$4:$D$311,E$4,'Match Log'!$E$4:$E$311,"Loss"))/(SUMPRODUCT(('Match Log'!$D$4:$D$311=$A5)*('Match Log'!$E$4:$E$311="Win")*COUNTIFS('Match Log'!$A$4:$A$311,'Match Log'!$A$4:$A$311,'Match Log'!$D$4:$D$311,E$4,'Match Log'!$E$4:$E$311,"Loss"))+SUMPRODUCT(('Match Log'!$D$4:$D$311=E$4)*('Match Log'!$E$4:$E$311="Win")*COUNTIFS('Match Log'!$A$4:$A$311,'Match Log'!$A$4:$A$311,'Match Log'!$D$4:$D$311,$A5,'Match Log'!$E$4:$E$311,"Loss"))),"0%")&amp;" of "&amp;(SUMPRODUCT(('Match Log'!$D$4:$D$311=$A5)*('Match Log'!$E$4:$E$311="Win")*COUNTIFS('Match Log'!$A$4:$A$311,'Match Log'!$A$4:$A$311,'Match Log'!$D$4:$D$311,E$4,'Match Log'!$E$4:$E$311,"Loss"))+SUMPRODUCT(('Match Log'!$D$4:$D$311=E$4)*('Match Log'!$E$4:$E$311="Win")*COUNTIFS('Match Log'!$A$4:$A$311,'Match Log'!$A$4:$A$311,'Match Log'!$D$4:$D$311,$A5,'Match Log'!$E$4:$E$311,"Loss")))))</f>
        <v>50% of 4</v>
      </c>
      <c r="F5" s="54" t="str">
        <f>IF($A5=F$4,"—",IF((SUMPRODUCT(('Match Log'!$D$4:$D$311=$A5)*('Match Log'!$E$4:$E$311="Win")*COUNTIFS('Match Log'!$A$4:$A$311,'Match Log'!$A$4:$A$311,'Match Log'!$D$4:$D$311,F$4,'Match Log'!$E$4:$E$311,"Loss"))+SUMPRODUCT(('Match Log'!$D$4:$D$311=F$4)*('Match Log'!$E$4:$E$311="Win")*COUNTIFS('Match Log'!$A$4:$A$311,'Match Log'!$A$4:$A$311,'Match Log'!$D$4:$D$311,$A5,'Match Log'!$E$4:$E$311,"Loss")))=0,"",TEXT(SUMPRODUCT(('Match Log'!$D$4:$D$311=$A5)*('Match Log'!$E$4:$E$311="Win")*COUNTIFS('Match Log'!$A$4:$A$311,'Match Log'!$A$4:$A$311,'Match Log'!$D$4:$D$311,F$4,'Match Log'!$E$4:$E$311,"Loss"))/(SUMPRODUCT(('Match Log'!$D$4:$D$311=$A5)*('Match Log'!$E$4:$E$311="Win")*COUNTIFS('Match Log'!$A$4:$A$311,'Match Log'!$A$4:$A$311,'Match Log'!$D$4:$D$311,F$4,'Match Log'!$E$4:$E$311,"Loss"))+SUMPRODUCT(('Match Log'!$D$4:$D$311=F$4)*('Match Log'!$E$4:$E$311="Win")*COUNTIFS('Match Log'!$A$4:$A$311,'Match Log'!$A$4:$A$311,'Match Log'!$D$4:$D$311,$A5,'Match Log'!$E$4:$E$311,"Loss"))),"0%")&amp;" of "&amp;(SUMPRODUCT(('Match Log'!$D$4:$D$311=$A5)*('Match Log'!$E$4:$E$311="Win")*COUNTIFS('Match Log'!$A$4:$A$311,'Match Log'!$A$4:$A$311,'Match Log'!$D$4:$D$311,F$4,'Match Log'!$E$4:$E$311,"Loss"))+SUMPRODUCT(('Match Log'!$D$4:$D$311=F$4)*('Match Log'!$E$4:$E$311="Win")*COUNTIFS('Match Log'!$A$4:$A$311,'Match Log'!$A$4:$A$311,'Match Log'!$D$4:$D$311,$A5,'Match Log'!$E$4:$E$311,"Loss")))))</f>
        <v>100% of 2</v>
      </c>
      <c r="G5" s="54" t="str">
        <f>IF($A5=G$4,"—",IF((SUMPRODUCT(('Match Log'!$D$4:$D$311=$A5)*('Match Log'!$E$4:$E$311="Win")*COUNTIFS('Match Log'!$A$4:$A$311,'Match Log'!$A$4:$A$311,'Match Log'!$D$4:$D$311,G$4,'Match Log'!$E$4:$E$311,"Loss"))+SUMPRODUCT(('Match Log'!$D$4:$D$311=G$4)*('Match Log'!$E$4:$E$311="Win")*COUNTIFS('Match Log'!$A$4:$A$311,'Match Log'!$A$4:$A$311,'Match Log'!$D$4:$D$311,$A5,'Match Log'!$E$4:$E$311,"Loss")))=0,"",TEXT(SUMPRODUCT(('Match Log'!$D$4:$D$311=$A5)*('Match Log'!$E$4:$E$311="Win")*COUNTIFS('Match Log'!$A$4:$A$311,'Match Log'!$A$4:$A$311,'Match Log'!$D$4:$D$311,G$4,'Match Log'!$E$4:$E$311,"Loss"))/(SUMPRODUCT(('Match Log'!$D$4:$D$311=$A5)*('Match Log'!$E$4:$E$311="Win")*COUNTIFS('Match Log'!$A$4:$A$311,'Match Log'!$A$4:$A$311,'Match Log'!$D$4:$D$311,G$4,'Match Log'!$E$4:$E$311,"Loss"))+SUMPRODUCT(('Match Log'!$D$4:$D$311=G$4)*('Match Log'!$E$4:$E$311="Win")*COUNTIFS('Match Log'!$A$4:$A$311,'Match Log'!$A$4:$A$311,'Match Log'!$D$4:$D$311,$A5,'Match Log'!$E$4:$E$311,"Loss"))),"0%")&amp;" of "&amp;(SUMPRODUCT(('Match Log'!$D$4:$D$311=$A5)*('Match Log'!$E$4:$E$311="Win")*COUNTIFS('Match Log'!$A$4:$A$311,'Match Log'!$A$4:$A$311,'Match Log'!$D$4:$D$311,G$4,'Match Log'!$E$4:$E$311,"Loss"))+SUMPRODUCT(('Match Log'!$D$4:$D$311=G$4)*('Match Log'!$E$4:$E$311="Win")*COUNTIFS('Match Log'!$A$4:$A$311,'Match Log'!$A$4:$A$311,'Match Log'!$D$4:$D$311,$A5,'Match Log'!$E$4:$E$311,"Loss")))))</f>
        <v>73% of 11</v>
      </c>
      <c r="H5" s="54" t="str">
        <f>IF($A5=H$4,"—",IF((SUMPRODUCT(('Match Log'!$D$4:$D$311=$A5)*('Match Log'!$E$4:$E$311="Win")*COUNTIFS('Match Log'!$A$4:$A$311,'Match Log'!$A$4:$A$311,'Match Log'!$D$4:$D$311,H$4,'Match Log'!$E$4:$E$311,"Loss"))+SUMPRODUCT(('Match Log'!$D$4:$D$311=H$4)*('Match Log'!$E$4:$E$311="Win")*COUNTIFS('Match Log'!$A$4:$A$311,'Match Log'!$A$4:$A$311,'Match Log'!$D$4:$D$311,$A5,'Match Log'!$E$4:$E$311,"Loss")))=0,"",TEXT(SUMPRODUCT(('Match Log'!$D$4:$D$311=$A5)*('Match Log'!$E$4:$E$311="Win")*COUNTIFS('Match Log'!$A$4:$A$311,'Match Log'!$A$4:$A$311,'Match Log'!$D$4:$D$311,H$4,'Match Log'!$E$4:$E$311,"Loss"))/(SUMPRODUCT(('Match Log'!$D$4:$D$311=$A5)*('Match Log'!$E$4:$E$311="Win")*COUNTIFS('Match Log'!$A$4:$A$311,'Match Log'!$A$4:$A$311,'Match Log'!$D$4:$D$311,H$4,'Match Log'!$E$4:$E$311,"Loss"))+SUMPRODUCT(('Match Log'!$D$4:$D$311=H$4)*('Match Log'!$E$4:$E$311="Win")*COUNTIFS('Match Log'!$A$4:$A$311,'Match Log'!$A$4:$A$311,'Match Log'!$D$4:$D$311,$A5,'Match Log'!$E$4:$E$311,"Loss"))),"0%")&amp;" of "&amp;(SUMPRODUCT(('Match Log'!$D$4:$D$311=$A5)*('Match Log'!$E$4:$E$311="Win")*COUNTIFS('Match Log'!$A$4:$A$311,'Match Log'!$A$4:$A$311,'Match Log'!$D$4:$D$311,H$4,'Match Log'!$E$4:$E$311,"Loss"))+SUMPRODUCT(('Match Log'!$D$4:$D$311=H$4)*('Match Log'!$E$4:$E$311="Win")*COUNTIFS('Match Log'!$A$4:$A$311,'Match Log'!$A$4:$A$311,'Match Log'!$D$4:$D$311,$A5,'Match Log'!$E$4:$E$311,"Loss")))))</f>
        <v>50% of 4</v>
      </c>
      <c r="I5" s="54" t="str">
        <f>IF($A5=I$4,"—",IF((SUMPRODUCT(('Match Log'!$D$4:$D$311=$A5)*('Match Log'!$E$4:$E$311="Win")*COUNTIFS('Match Log'!$A$4:$A$311,'Match Log'!$A$4:$A$311,'Match Log'!$D$4:$D$311,I$4,'Match Log'!$E$4:$E$311,"Loss"))+SUMPRODUCT(('Match Log'!$D$4:$D$311=I$4)*('Match Log'!$E$4:$E$311="Win")*COUNTIFS('Match Log'!$A$4:$A$311,'Match Log'!$A$4:$A$311,'Match Log'!$D$4:$D$311,$A5,'Match Log'!$E$4:$E$311,"Loss")))=0,"",TEXT(SUMPRODUCT(('Match Log'!$D$4:$D$311=$A5)*('Match Log'!$E$4:$E$311="Win")*COUNTIFS('Match Log'!$A$4:$A$311,'Match Log'!$A$4:$A$311,'Match Log'!$D$4:$D$311,I$4,'Match Log'!$E$4:$E$311,"Loss"))/(SUMPRODUCT(('Match Log'!$D$4:$D$311=$A5)*('Match Log'!$E$4:$E$311="Win")*COUNTIFS('Match Log'!$A$4:$A$311,'Match Log'!$A$4:$A$311,'Match Log'!$D$4:$D$311,I$4,'Match Log'!$E$4:$E$311,"Loss"))+SUMPRODUCT(('Match Log'!$D$4:$D$311=I$4)*('Match Log'!$E$4:$E$311="Win")*COUNTIFS('Match Log'!$A$4:$A$311,'Match Log'!$A$4:$A$311,'Match Log'!$D$4:$D$311,$A5,'Match Log'!$E$4:$E$311,"Loss"))),"0%")&amp;" of "&amp;(SUMPRODUCT(('Match Log'!$D$4:$D$311=$A5)*('Match Log'!$E$4:$E$311="Win")*COUNTIFS('Match Log'!$A$4:$A$311,'Match Log'!$A$4:$A$311,'Match Log'!$D$4:$D$311,I$4,'Match Log'!$E$4:$E$311,"Loss"))+SUMPRODUCT(('Match Log'!$D$4:$D$311=I$4)*('Match Log'!$E$4:$E$311="Win")*COUNTIFS('Match Log'!$A$4:$A$311,'Match Log'!$A$4:$A$311,'Match Log'!$D$4:$D$311,$A5,'Match Log'!$E$4:$E$311,"Loss")))))</f>
        <v>60% of 5</v>
      </c>
      <c r="J5" s="54" t="str">
        <f>IF($A5=J$4,"—",IF((SUMPRODUCT(('Match Log'!$D$4:$D$311=$A5)*('Match Log'!$E$4:$E$311="Win")*COUNTIFS('Match Log'!$A$4:$A$311,'Match Log'!$A$4:$A$311,'Match Log'!$D$4:$D$311,J$4,'Match Log'!$E$4:$E$311,"Loss"))+SUMPRODUCT(('Match Log'!$D$4:$D$311=J$4)*('Match Log'!$E$4:$E$311="Win")*COUNTIFS('Match Log'!$A$4:$A$311,'Match Log'!$A$4:$A$311,'Match Log'!$D$4:$D$311,$A5,'Match Log'!$E$4:$E$311,"Loss")))=0,"",TEXT(SUMPRODUCT(('Match Log'!$D$4:$D$311=$A5)*('Match Log'!$E$4:$E$311="Win")*COUNTIFS('Match Log'!$A$4:$A$311,'Match Log'!$A$4:$A$311,'Match Log'!$D$4:$D$311,J$4,'Match Log'!$E$4:$E$311,"Loss"))/(SUMPRODUCT(('Match Log'!$D$4:$D$311=$A5)*('Match Log'!$E$4:$E$311="Win")*COUNTIFS('Match Log'!$A$4:$A$311,'Match Log'!$A$4:$A$311,'Match Log'!$D$4:$D$311,J$4,'Match Log'!$E$4:$E$311,"Loss"))+SUMPRODUCT(('Match Log'!$D$4:$D$311=J$4)*('Match Log'!$E$4:$E$311="Win")*COUNTIFS('Match Log'!$A$4:$A$311,'Match Log'!$A$4:$A$311,'Match Log'!$D$4:$D$311,$A5,'Match Log'!$E$4:$E$311,"Loss"))),"0%")&amp;" of "&amp;(SUMPRODUCT(('Match Log'!$D$4:$D$311=$A5)*('Match Log'!$E$4:$E$311="Win")*COUNTIFS('Match Log'!$A$4:$A$311,'Match Log'!$A$4:$A$311,'Match Log'!$D$4:$D$311,J$4,'Match Log'!$E$4:$E$311,"Loss"))+SUMPRODUCT(('Match Log'!$D$4:$D$311=J$4)*('Match Log'!$E$4:$E$311="Win")*COUNTIFS('Match Log'!$A$4:$A$311,'Match Log'!$A$4:$A$311,'Match Log'!$D$4:$D$311,$A5,'Match Log'!$E$4:$E$311,"Loss")))))</f>
        <v>50% of 2</v>
      </c>
      <c r="K5" s="54" t="str">
        <f>IF($A5=K$4,"—",IF((SUMPRODUCT(('Match Log'!$D$4:$D$311=$A5)*('Match Log'!$E$4:$E$311="Win")*COUNTIFS('Match Log'!$A$4:$A$311,'Match Log'!$A$4:$A$311,'Match Log'!$D$4:$D$311,K$4,'Match Log'!$E$4:$E$311,"Loss"))+SUMPRODUCT(('Match Log'!$D$4:$D$311=K$4)*('Match Log'!$E$4:$E$311="Win")*COUNTIFS('Match Log'!$A$4:$A$311,'Match Log'!$A$4:$A$311,'Match Log'!$D$4:$D$311,$A5,'Match Log'!$E$4:$E$311,"Loss")))=0,"",TEXT(SUMPRODUCT(('Match Log'!$D$4:$D$311=$A5)*('Match Log'!$E$4:$E$311="Win")*COUNTIFS('Match Log'!$A$4:$A$311,'Match Log'!$A$4:$A$311,'Match Log'!$D$4:$D$311,K$4,'Match Log'!$E$4:$E$311,"Loss"))/(SUMPRODUCT(('Match Log'!$D$4:$D$311=$A5)*('Match Log'!$E$4:$E$311="Win")*COUNTIFS('Match Log'!$A$4:$A$311,'Match Log'!$A$4:$A$311,'Match Log'!$D$4:$D$311,K$4,'Match Log'!$E$4:$E$311,"Loss"))+SUMPRODUCT(('Match Log'!$D$4:$D$311=K$4)*('Match Log'!$E$4:$E$311="Win")*COUNTIFS('Match Log'!$A$4:$A$311,'Match Log'!$A$4:$A$311,'Match Log'!$D$4:$D$311,$A5,'Match Log'!$E$4:$E$311,"Loss"))),"0%")&amp;" of "&amp;(SUMPRODUCT(('Match Log'!$D$4:$D$311=$A5)*('Match Log'!$E$4:$E$311="Win")*COUNTIFS('Match Log'!$A$4:$A$311,'Match Log'!$A$4:$A$311,'Match Log'!$D$4:$D$311,K$4,'Match Log'!$E$4:$E$311,"Loss"))+SUMPRODUCT(('Match Log'!$D$4:$D$311=K$4)*('Match Log'!$E$4:$E$311="Win")*COUNTIFS('Match Log'!$A$4:$A$311,'Match Log'!$A$4:$A$311,'Match Log'!$D$4:$D$311,$A5,'Match Log'!$E$4:$E$311,"Loss")))))</f>
        <v/>
      </c>
      <c r="L5" s="54" t="str">
        <f>IF($A5=L$4,"—",IF((SUMPRODUCT(('Match Log'!$D$4:$D$311=$A5)*('Match Log'!$E$4:$E$311="Win")*COUNTIFS('Match Log'!$A$4:$A$311,'Match Log'!$A$4:$A$311,'Match Log'!$D$4:$D$311,L$4,'Match Log'!$E$4:$E$311,"Loss"))+SUMPRODUCT(('Match Log'!$D$4:$D$311=L$4)*('Match Log'!$E$4:$E$311="Win")*COUNTIFS('Match Log'!$A$4:$A$311,'Match Log'!$A$4:$A$311,'Match Log'!$D$4:$D$311,$A5,'Match Log'!$E$4:$E$311,"Loss")))=0,"",TEXT(SUMPRODUCT(('Match Log'!$D$4:$D$311=$A5)*('Match Log'!$E$4:$E$311="Win")*COUNTIFS('Match Log'!$A$4:$A$311,'Match Log'!$A$4:$A$311,'Match Log'!$D$4:$D$311,L$4,'Match Log'!$E$4:$E$311,"Loss"))/(SUMPRODUCT(('Match Log'!$D$4:$D$311=$A5)*('Match Log'!$E$4:$E$311="Win")*COUNTIFS('Match Log'!$A$4:$A$311,'Match Log'!$A$4:$A$311,'Match Log'!$D$4:$D$311,L$4,'Match Log'!$E$4:$E$311,"Loss"))+SUMPRODUCT(('Match Log'!$D$4:$D$311=L$4)*('Match Log'!$E$4:$E$311="Win")*COUNTIFS('Match Log'!$A$4:$A$311,'Match Log'!$A$4:$A$311,'Match Log'!$D$4:$D$311,$A5,'Match Log'!$E$4:$E$311,"Loss"))),"0%")&amp;" of "&amp;(SUMPRODUCT(('Match Log'!$D$4:$D$311=$A5)*('Match Log'!$E$4:$E$311="Win")*COUNTIFS('Match Log'!$A$4:$A$311,'Match Log'!$A$4:$A$311,'Match Log'!$D$4:$D$311,L$4,'Match Log'!$E$4:$E$311,"Loss"))+SUMPRODUCT(('Match Log'!$D$4:$D$311=L$4)*('Match Log'!$E$4:$E$311="Win")*COUNTIFS('Match Log'!$A$4:$A$311,'Match Log'!$A$4:$A$311,'Match Log'!$D$4:$D$311,$A5,'Match Log'!$E$4:$E$311,"Loss")))))</f>
        <v>50% of 4</v>
      </c>
      <c r="M5" s="54" t="str">
        <f>IF($A5=M$4,"—",IF((SUMPRODUCT(('Match Log'!$D$4:$D$311=$A5)*('Match Log'!$E$4:$E$311="Win")*COUNTIFS('Match Log'!$A$4:$A$311,'Match Log'!$A$4:$A$311,'Match Log'!$D$4:$D$311,M$4,'Match Log'!$E$4:$E$311,"Loss"))+SUMPRODUCT(('Match Log'!$D$4:$D$311=M$4)*('Match Log'!$E$4:$E$311="Win")*COUNTIFS('Match Log'!$A$4:$A$311,'Match Log'!$A$4:$A$311,'Match Log'!$D$4:$D$311,$A5,'Match Log'!$E$4:$E$311,"Loss")))=0,"",TEXT(SUMPRODUCT(('Match Log'!$D$4:$D$311=$A5)*('Match Log'!$E$4:$E$311="Win")*COUNTIFS('Match Log'!$A$4:$A$311,'Match Log'!$A$4:$A$311,'Match Log'!$D$4:$D$311,M$4,'Match Log'!$E$4:$E$311,"Loss"))/(SUMPRODUCT(('Match Log'!$D$4:$D$311=$A5)*('Match Log'!$E$4:$E$311="Win")*COUNTIFS('Match Log'!$A$4:$A$311,'Match Log'!$A$4:$A$311,'Match Log'!$D$4:$D$311,M$4,'Match Log'!$E$4:$E$311,"Loss"))+SUMPRODUCT(('Match Log'!$D$4:$D$311=M$4)*('Match Log'!$E$4:$E$311="Win")*COUNTIFS('Match Log'!$A$4:$A$311,'Match Log'!$A$4:$A$311,'Match Log'!$D$4:$D$311,$A5,'Match Log'!$E$4:$E$311,"Loss"))),"0%")&amp;" of "&amp;(SUMPRODUCT(('Match Log'!$D$4:$D$311=$A5)*('Match Log'!$E$4:$E$311="Win")*COUNTIFS('Match Log'!$A$4:$A$311,'Match Log'!$A$4:$A$311,'Match Log'!$D$4:$D$311,M$4,'Match Log'!$E$4:$E$311,"Loss"))+SUMPRODUCT(('Match Log'!$D$4:$D$311=M$4)*('Match Log'!$E$4:$E$311="Win")*COUNTIFS('Match Log'!$A$4:$A$311,'Match Log'!$A$4:$A$311,'Match Log'!$D$4:$D$311,$A5,'Match Log'!$E$4:$E$311,"Loss")))))</f>
        <v>0% of 1</v>
      </c>
      <c r="N5" s="54" t="str">
        <f>IF($A5=N$4,"—",IF((SUMPRODUCT(('Match Log'!$D$4:$D$311=$A5)*('Match Log'!$E$4:$E$311="Win")*COUNTIFS('Match Log'!$A$4:$A$311,'Match Log'!$A$4:$A$311,'Match Log'!$D$4:$D$311,N$4,'Match Log'!$E$4:$E$311,"Loss"))+SUMPRODUCT(('Match Log'!$D$4:$D$311=N$4)*('Match Log'!$E$4:$E$311="Win")*COUNTIFS('Match Log'!$A$4:$A$311,'Match Log'!$A$4:$A$311,'Match Log'!$D$4:$D$311,$A5,'Match Log'!$E$4:$E$311,"Loss")))=0,"",TEXT(SUMPRODUCT(('Match Log'!$D$4:$D$311=$A5)*('Match Log'!$E$4:$E$311="Win")*COUNTIFS('Match Log'!$A$4:$A$311,'Match Log'!$A$4:$A$311,'Match Log'!$D$4:$D$311,N$4,'Match Log'!$E$4:$E$311,"Loss"))/(SUMPRODUCT(('Match Log'!$D$4:$D$311=$A5)*('Match Log'!$E$4:$E$311="Win")*COUNTIFS('Match Log'!$A$4:$A$311,'Match Log'!$A$4:$A$311,'Match Log'!$D$4:$D$311,N$4,'Match Log'!$E$4:$E$311,"Loss"))+SUMPRODUCT(('Match Log'!$D$4:$D$311=N$4)*('Match Log'!$E$4:$E$311="Win")*COUNTIFS('Match Log'!$A$4:$A$311,'Match Log'!$A$4:$A$311,'Match Log'!$D$4:$D$311,$A5,'Match Log'!$E$4:$E$311,"Loss"))),"0%")&amp;" of "&amp;(SUMPRODUCT(('Match Log'!$D$4:$D$311=$A5)*('Match Log'!$E$4:$E$311="Win")*COUNTIFS('Match Log'!$A$4:$A$311,'Match Log'!$A$4:$A$311,'Match Log'!$D$4:$D$311,N$4,'Match Log'!$E$4:$E$311,"Loss"))+SUMPRODUCT(('Match Log'!$D$4:$D$311=N$4)*('Match Log'!$E$4:$E$311="Win")*COUNTIFS('Match Log'!$A$4:$A$311,'Match Log'!$A$4:$A$311,'Match Log'!$D$4:$D$311,$A5,'Match Log'!$E$4:$E$311,"Loss")))))</f>
        <v/>
      </c>
      <c r="O5" s="54" t="str">
        <f>IF($A5=O$4,"—",IF((SUMPRODUCT(('Match Log'!$D$4:$D$311=$A5)*('Match Log'!$E$4:$E$311="Win")*COUNTIFS('Match Log'!$A$4:$A$311,'Match Log'!$A$4:$A$311,'Match Log'!$D$4:$D$311,O$4,'Match Log'!$E$4:$E$311,"Loss"))+SUMPRODUCT(('Match Log'!$D$4:$D$311=O$4)*('Match Log'!$E$4:$E$311="Win")*COUNTIFS('Match Log'!$A$4:$A$311,'Match Log'!$A$4:$A$311,'Match Log'!$D$4:$D$311,$A5,'Match Log'!$E$4:$E$311,"Loss")))=0,"",TEXT(SUMPRODUCT(('Match Log'!$D$4:$D$311=$A5)*('Match Log'!$E$4:$E$311="Win")*COUNTIFS('Match Log'!$A$4:$A$311,'Match Log'!$A$4:$A$311,'Match Log'!$D$4:$D$311,O$4,'Match Log'!$E$4:$E$311,"Loss"))/(SUMPRODUCT(('Match Log'!$D$4:$D$311=$A5)*('Match Log'!$E$4:$E$311="Win")*COUNTIFS('Match Log'!$A$4:$A$311,'Match Log'!$A$4:$A$311,'Match Log'!$D$4:$D$311,O$4,'Match Log'!$E$4:$E$311,"Loss"))+SUMPRODUCT(('Match Log'!$D$4:$D$311=O$4)*('Match Log'!$E$4:$E$311="Win")*COUNTIFS('Match Log'!$A$4:$A$311,'Match Log'!$A$4:$A$311,'Match Log'!$D$4:$D$311,$A5,'Match Log'!$E$4:$E$311,"Loss"))),"0%")&amp;" of "&amp;(SUMPRODUCT(('Match Log'!$D$4:$D$311=$A5)*('Match Log'!$E$4:$E$311="Win")*COUNTIFS('Match Log'!$A$4:$A$311,'Match Log'!$A$4:$A$311,'Match Log'!$D$4:$D$311,O$4,'Match Log'!$E$4:$E$311,"Loss"))+SUMPRODUCT(('Match Log'!$D$4:$D$311=O$4)*('Match Log'!$E$4:$E$311="Win")*COUNTIFS('Match Log'!$A$4:$A$311,'Match Log'!$A$4:$A$311,'Match Log'!$D$4:$D$311,$A5,'Match Log'!$E$4:$E$311,"Loss")))))</f>
        <v/>
      </c>
    </row>
    <row r="6" spans="1:15" ht="15" customHeight="1" x14ac:dyDescent="0.2">
      <c r="A6" s="49" t="s">
        <v>142</v>
      </c>
      <c r="B6" s="54" t="str">
        <f>IF($A6=B$4,"—",IF((SUMPRODUCT(('Match Log'!$D$4:$D$311=$A6)*('Match Log'!$E$4:$E$311="Win")*COUNTIFS('Match Log'!$A$4:$A$311,'Match Log'!$A$4:$A$311,'Match Log'!$D$4:$D$311,B$4,'Match Log'!$E$4:$E$311,"Loss"))+SUMPRODUCT(('Match Log'!$D$4:$D$311=B$4)*('Match Log'!$E$4:$E$311="Win")*COUNTIFS('Match Log'!$A$4:$A$311,'Match Log'!$A$4:$A$311,'Match Log'!$D$4:$D$311,$A6,'Match Log'!$E$4:$E$311,"Loss")))=0,"",TEXT(SUMPRODUCT(('Match Log'!$D$4:$D$311=$A6)*('Match Log'!$E$4:$E$311="Win")*COUNTIFS('Match Log'!$A$4:$A$311,'Match Log'!$A$4:$A$311,'Match Log'!$D$4:$D$311,B$4,'Match Log'!$E$4:$E$311,"Loss"))/(SUMPRODUCT(('Match Log'!$D$4:$D$311=$A6)*('Match Log'!$E$4:$E$311="Win")*COUNTIFS('Match Log'!$A$4:$A$311,'Match Log'!$A$4:$A$311,'Match Log'!$D$4:$D$311,B$4,'Match Log'!$E$4:$E$311,"Loss"))+SUMPRODUCT(('Match Log'!$D$4:$D$311=B$4)*('Match Log'!$E$4:$E$311="Win")*COUNTIFS('Match Log'!$A$4:$A$311,'Match Log'!$A$4:$A$311,'Match Log'!$D$4:$D$311,$A6,'Match Log'!$E$4:$E$311,"Loss"))),"0%")&amp;" of "&amp;(SUMPRODUCT(('Match Log'!$D$4:$D$311=$A6)*('Match Log'!$E$4:$E$311="Win")*COUNTIFS('Match Log'!$A$4:$A$311,'Match Log'!$A$4:$A$311,'Match Log'!$D$4:$D$311,B$4,'Match Log'!$E$4:$E$311,"Loss"))+SUMPRODUCT(('Match Log'!$D$4:$D$311=B$4)*('Match Log'!$E$4:$E$311="Win")*COUNTIFS('Match Log'!$A$4:$A$311,'Match Log'!$A$4:$A$311,'Match Log'!$D$4:$D$311,$A6,'Match Log'!$E$4:$E$311,"Loss")))))</f>
        <v/>
      </c>
      <c r="C6" s="54" t="str">
        <f>IF($A6=C$4,"—",IF((SUMPRODUCT(('Match Log'!$D$4:$D$311=$A6)*('Match Log'!$E$4:$E$311="Win")*COUNTIFS('Match Log'!$A$4:$A$311,'Match Log'!$A$4:$A$311,'Match Log'!$D$4:$D$311,C$4,'Match Log'!$E$4:$E$311,"Loss"))+SUMPRODUCT(('Match Log'!$D$4:$D$311=C$4)*('Match Log'!$E$4:$E$311="Win")*COUNTIFS('Match Log'!$A$4:$A$311,'Match Log'!$A$4:$A$311,'Match Log'!$D$4:$D$311,$A6,'Match Log'!$E$4:$E$311,"Loss")))=0,"",TEXT(SUMPRODUCT(('Match Log'!$D$4:$D$311=$A6)*('Match Log'!$E$4:$E$311="Win")*COUNTIFS('Match Log'!$A$4:$A$311,'Match Log'!$A$4:$A$311,'Match Log'!$D$4:$D$311,C$4,'Match Log'!$E$4:$E$311,"Loss"))/(SUMPRODUCT(('Match Log'!$D$4:$D$311=$A6)*('Match Log'!$E$4:$E$311="Win")*COUNTIFS('Match Log'!$A$4:$A$311,'Match Log'!$A$4:$A$311,'Match Log'!$D$4:$D$311,C$4,'Match Log'!$E$4:$E$311,"Loss"))+SUMPRODUCT(('Match Log'!$D$4:$D$311=C$4)*('Match Log'!$E$4:$E$311="Win")*COUNTIFS('Match Log'!$A$4:$A$311,'Match Log'!$A$4:$A$311,'Match Log'!$D$4:$D$311,$A6,'Match Log'!$E$4:$E$311,"Loss"))),"0%")&amp;" of "&amp;(SUMPRODUCT(('Match Log'!$D$4:$D$311=$A6)*('Match Log'!$E$4:$E$311="Win")*COUNTIFS('Match Log'!$A$4:$A$311,'Match Log'!$A$4:$A$311,'Match Log'!$D$4:$D$311,C$4,'Match Log'!$E$4:$E$311,"Loss"))+SUMPRODUCT(('Match Log'!$D$4:$D$311=C$4)*('Match Log'!$E$4:$E$311="Win")*COUNTIFS('Match Log'!$A$4:$A$311,'Match Log'!$A$4:$A$311,'Match Log'!$D$4:$D$311,$A6,'Match Log'!$E$4:$E$311,"Loss")))))</f>
        <v>—</v>
      </c>
      <c r="D6" s="54" t="str">
        <f>IF($A6=D$4,"—",IF((SUMPRODUCT(('Match Log'!$D$4:$D$311=$A6)*('Match Log'!$E$4:$E$311="Win")*COUNTIFS('Match Log'!$A$4:$A$311,'Match Log'!$A$4:$A$311,'Match Log'!$D$4:$D$311,D$4,'Match Log'!$E$4:$E$311,"Loss"))+SUMPRODUCT(('Match Log'!$D$4:$D$311=D$4)*('Match Log'!$E$4:$E$311="Win")*COUNTIFS('Match Log'!$A$4:$A$311,'Match Log'!$A$4:$A$311,'Match Log'!$D$4:$D$311,$A6,'Match Log'!$E$4:$E$311,"Loss")))=0,"",TEXT(SUMPRODUCT(('Match Log'!$D$4:$D$311=$A6)*('Match Log'!$E$4:$E$311="Win")*COUNTIFS('Match Log'!$A$4:$A$311,'Match Log'!$A$4:$A$311,'Match Log'!$D$4:$D$311,D$4,'Match Log'!$E$4:$E$311,"Loss"))/(SUMPRODUCT(('Match Log'!$D$4:$D$311=$A6)*('Match Log'!$E$4:$E$311="Win")*COUNTIFS('Match Log'!$A$4:$A$311,'Match Log'!$A$4:$A$311,'Match Log'!$D$4:$D$311,D$4,'Match Log'!$E$4:$E$311,"Loss"))+SUMPRODUCT(('Match Log'!$D$4:$D$311=D$4)*('Match Log'!$E$4:$E$311="Win")*COUNTIFS('Match Log'!$A$4:$A$311,'Match Log'!$A$4:$A$311,'Match Log'!$D$4:$D$311,$A6,'Match Log'!$E$4:$E$311,"Loss"))),"0%")&amp;" of "&amp;(SUMPRODUCT(('Match Log'!$D$4:$D$311=$A6)*('Match Log'!$E$4:$E$311="Win")*COUNTIFS('Match Log'!$A$4:$A$311,'Match Log'!$A$4:$A$311,'Match Log'!$D$4:$D$311,D$4,'Match Log'!$E$4:$E$311,"Loss"))+SUMPRODUCT(('Match Log'!$D$4:$D$311=D$4)*('Match Log'!$E$4:$E$311="Win")*COUNTIFS('Match Log'!$A$4:$A$311,'Match Log'!$A$4:$A$311,'Match Log'!$D$4:$D$311,$A6,'Match Log'!$E$4:$E$311,"Loss")))))</f>
        <v/>
      </c>
      <c r="E6" s="54" t="str">
        <f>IF($A6=E$4,"—",IF((SUMPRODUCT(('Match Log'!$D$4:$D$311=$A6)*('Match Log'!$E$4:$E$311="Win")*COUNTIFS('Match Log'!$A$4:$A$311,'Match Log'!$A$4:$A$311,'Match Log'!$D$4:$D$311,E$4,'Match Log'!$E$4:$E$311,"Loss"))+SUMPRODUCT(('Match Log'!$D$4:$D$311=E$4)*('Match Log'!$E$4:$E$311="Win")*COUNTIFS('Match Log'!$A$4:$A$311,'Match Log'!$A$4:$A$311,'Match Log'!$D$4:$D$311,$A6,'Match Log'!$E$4:$E$311,"Loss")))=0,"",TEXT(SUMPRODUCT(('Match Log'!$D$4:$D$311=$A6)*('Match Log'!$E$4:$E$311="Win")*COUNTIFS('Match Log'!$A$4:$A$311,'Match Log'!$A$4:$A$311,'Match Log'!$D$4:$D$311,E$4,'Match Log'!$E$4:$E$311,"Loss"))/(SUMPRODUCT(('Match Log'!$D$4:$D$311=$A6)*('Match Log'!$E$4:$E$311="Win")*COUNTIFS('Match Log'!$A$4:$A$311,'Match Log'!$A$4:$A$311,'Match Log'!$D$4:$D$311,E$4,'Match Log'!$E$4:$E$311,"Loss"))+SUMPRODUCT(('Match Log'!$D$4:$D$311=E$4)*('Match Log'!$E$4:$E$311="Win")*COUNTIFS('Match Log'!$A$4:$A$311,'Match Log'!$A$4:$A$311,'Match Log'!$D$4:$D$311,$A6,'Match Log'!$E$4:$E$311,"Loss"))),"0%")&amp;" of "&amp;(SUMPRODUCT(('Match Log'!$D$4:$D$311=$A6)*('Match Log'!$E$4:$E$311="Win")*COUNTIFS('Match Log'!$A$4:$A$311,'Match Log'!$A$4:$A$311,'Match Log'!$D$4:$D$311,E$4,'Match Log'!$E$4:$E$311,"Loss"))+SUMPRODUCT(('Match Log'!$D$4:$D$311=E$4)*('Match Log'!$E$4:$E$311="Win")*COUNTIFS('Match Log'!$A$4:$A$311,'Match Log'!$A$4:$A$311,'Match Log'!$D$4:$D$311,$A6,'Match Log'!$E$4:$E$311,"Loss")))))</f>
        <v>0% of 1</v>
      </c>
      <c r="F6" s="54" t="str">
        <f>IF($A6=F$4,"—",IF((SUMPRODUCT(('Match Log'!$D$4:$D$311=$A6)*('Match Log'!$E$4:$E$311="Win")*COUNTIFS('Match Log'!$A$4:$A$311,'Match Log'!$A$4:$A$311,'Match Log'!$D$4:$D$311,F$4,'Match Log'!$E$4:$E$311,"Loss"))+SUMPRODUCT(('Match Log'!$D$4:$D$311=F$4)*('Match Log'!$E$4:$E$311="Win")*COUNTIFS('Match Log'!$A$4:$A$311,'Match Log'!$A$4:$A$311,'Match Log'!$D$4:$D$311,$A6,'Match Log'!$E$4:$E$311,"Loss")))=0,"",TEXT(SUMPRODUCT(('Match Log'!$D$4:$D$311=$A6)*('Match Log'!$E$4:$E$311="Win")*COUNTIFS('Match Log'!$A$4:$A$311,'Match Log'!$A$4:$A$311,'Match Log'!$D$4:$D$311,F$4,'Match Log'!$E$4:$E$311,"Loss"))/(SUMPRODUCT(('Match Log'!$D$4:$D$311=$A6)*('Match Log'!$E$4:$E$311="Win")*COUNTIFS('Match Log'!$A$4:$A$311,'Match Log'!$A$4:$A$311,'Match Log'!$D$4:$D$311,F$4,'Match Log'!$E$4:$E$311,"Loss"))+SUMPRODUCT(('Match Log'!$D$4:$D$311=F$4)*('Match Log'!$E$4:$E$311="Win")*COUNTIFS('Match Log'!$A$4:$A$311,'Match Log'!$A$4:$A$311,'Match Log'!$D$4:$D$311,$A6,'Match Log'!$E$4:$E$311,"Loss"))),"0%")&amp;" of "&amp;(SUMPRODUCT(('Match Log'!$D$4:$D$311=$A6)*('Match Log'!$E$4:$E$311="Win")*COUNTIFS('Match Log'!$A$4:$A$311,'Match Log'!$A$4:$A$311,'Match Log'!$D$4:$D$311,F$4,'Match Log'!$E$4:$E$311,"Loss"))+SUMPRODUCT(('Match Log'!$D$4:$D$311=F$4)*('Match Log'!$E$4:$E$311="Win")*COUNTIFS('Match Log'!$A$4:$A$311,'Match Log'!$A$4:$A$311,'Match Log'!$D$4:$D$311,$A6,'Match Log'!$E$4:$E$311,"Loss")))))</f>
        <v>0% of 1</v>
      </c>
      <c r="G6" s="54" t="str">
        <f>IF($A6=G$4,"—",IF((SUMPRODUCT(('Match Log'!$D$4:$D$311=$A6)*('Match Log'!$E$4:$E$311="Win")*COUNTIFS('Match Log'!$A$4:$A$311,'Match Log'!$A$4:$A$311,'Match Log'!$D$4:$D$311,G$4,'Match Log'!$E$4:$E$311,"Loss"))+SUMPRODUCT(('Match Log'!$D$4:$D$311=G$4)*('Match Log'!$E$4:$E$311="Win")*COUNTIFS('Match Log'!$A$4:$A$311,'Match Log'!$A$4:$A$311,'Match Log'!$D$4:$D$311,$A6,'Match Log'!$E$4:$E$311,"Loss")))=0,"",TEXT(SUMPRODUCT(('Match Log'!$D$4:$D$311=$A6)*('Match Log'!$E$4:$E$311="Win")*COUNTIFS('Match Log'!$A$4:$A$311,'Match Log'!$A$4:$A$311,'Match Log'!$D$4:$D$311,G$4,'Match Log'!$E$4:$E$311,"Loss"))/(SUMPRODUCT(('Match Log'!$D$4:$D$311=$A6)*('Match Log'!$E$4:$E$311="Win")*COUNTIFS('Match Log'!$A$4:$A$311,'Match Log'!$A$4:$A$311,'Match Log'!$D$4:$D$311,G$4,'Match Log'!$E$4:$E$311,"Loss"))+SUMPRODUCT(('Match Log'!$D$4:$D$311=G$4)*('Match Log'!$E$4:$E$311="Win")*COUNTIFS('Match Log'!$A$4:$A$311,'Match Log'!$A$4:$A$311,'Match Log'!$D$4:$D$311,$A6,'Match Log'!$E$4:$E$311,"Loss"))),"0%")&amp;" of "&amp;(SUMPRODUCT(('Match Log'!$D$4:$D$311=$A6)*('Match Log'!$E$4:$E$311="Win")*COUNTIFS('Match Log'!$A$4:$A$311,'Match Log'!$A$4:$A$311,'Match Log'!$D$4:$D$311,G$4,'Match Log'!$E$4:$E$311,"Loss"))+SUMPRODUCT(('Match Log'!$D$4:$D$311=G$4)*('Match Log'!$E$4:$E$311="Win")*COUNTIFS('Match Log'!$A$4:$A$311,'Match Log'!$A$4:$A$311,'Match Log'!$D$4:$D$311,$A6,'Match Log'!$E$4:$E$311,"Loss")))))</f>
        <v>0% of 1</v>
      </c>
      <c r="H6" s="54" t="str">
        <f>IF($A6=H$4,"—",IF((SUMPRODUCT(('Match Log'!$D$4:$D$311=$A6)*('Match Log'!$E$4:$E$311="Win")*COUNTIFS('Match Log'!$A$4:$A$311,'Match Log'!$A$4:$A$311,'Match Log'!$D$4:$D$311,H$4,'Match Log'!$E$4:$E$311,"Loss"))+SUMPRODUCT(('Match Log'!$D$4:$D$311=H$4)*('Match Log'!$E$4:$E$311="Win")*COUNTIFS('Match Log'!$A$4:$A$311,'Match Log'!$A$4:$A$311,'Match Log'!$D$4:$D$311,$A6,'Match Log'!$E$4:$E$311,"Loss")))=0,"",TEXT(SUMPRODUCT(('Match Log'!$D$4:$D$311=$A6)*('Match Log'!$E$4:$E$311="Win")*COUNTIFS('Match Log'!$A$4:$A$311,'Match Log'!$A$4:$A$311,'Match Log'!$D$4:$D$311,H$4,'Match Log'!$E$4:$E$311,"Loss"))/(SUMPRODUCT(('Match Log'!$D$4:$D$311=$A6)*('Match Log'!$E$4:$E$311="Win")*COUNTIFS('Match Log'!$A$4:$A$311,'Match Log'!$A$4:$A$311,'Match Log'!$D$4:$D$311,H$4,'Match Log'!$E$4:$E$311,"Loss"))+SUMPRODUCT(('Match Log'!$D$4:$D$311=H$4)*('Match Log'!$E$4:$E$311="Win")*COUNTIFS('Match Log'!$A$4:$A$311,'Match Log'!$A$4:$A$311,'Match Log'!$D$4:$D$311,$A6,'Match Log'!$E$4:$E$311,"Loss"))),"0%")&amp;" of "&amp;(SUMPRODUCT(('Match Log'!$D$4:$D$311=$A6)*('Match Log'!$E$4:$E$311="Win")*COUNTIFS('Match Log'!$A$4:$A$311,'Match Log'!$A$4:$A$311,'Match Log'!$D$4:$D$311,H$4,'Match Log'!$E$4:$E$311,"Loss"))+SUMPRODUCT(('Match Log'!$D$4:$D$311=H$4)*('Match Log'!$E$4:$E$311="Win")*COUNTIFS('Match Log'!$A$4:$A$311,'Match Log'!$A$4:$A$311,'Match Log'!$D$4:$D$311,$A6,'Match Log'!$E$4:$E$311,"Loss")))))</f>
        <v>67% of 3</v>
      </c>
      <c r="I6" s="54" t="str">
        <f>IF($A6=I$4,"—",IF((SUMPRODUCT(('Match Log'!$D$4:$D$311=$A6)*('Match Log'!$E$4:$E$311="Win")*COUNTIFS('Match Log'!$A$4:$A$311,'Match Log'!$A$4:$A$311,'Match Log'!$D$4:$D$311,I$4,'Match Log'!$E$4:$E$311,"Loss"))+SUMPRODUCT(('Match Log'!$D$4:$D$311=I$4)*('Match Log'!$E$4:$E$311="Win")*COUNTIFS('Match Log'!$A$4:$A$311,'Match Log'!$A$4:$A$311,'Match Log'!$D$4:$D$311,$A6,'Match Log'!$E$4:$E$311,"Loss")))=0,"",TEXT(SUMPRODUCT(('Match Log'!$D$4:$D$311=$A6)*('Match Log'!$E$4:$E$311="Win")*COUNTIFS('Match Log'!$A$4:$A$311,'Match Log'!$A$4:$A$311,'Match Log'!$D$4:$D$311,I$4,'Match Log'!$E$4:$E$311,"Loss"))/(SUMPRODUCT(('Match Log'!$D$4:$D$311=$A6)*('Match Log'!$E$4:$E$311="Win")*COUNTIFS('Match Log'!$A$4:$A$311,'Match Log'!$A$4:$A$311,'Match Log'!$D$4:$D$311,I$4,'Match Log'!$E$4:$E$311,"Loss"))+SUMPRODUCT(('Match Log'!$D$4:$D$311=I$4)*('Match Log'!$E$4:$E$311="Win")*COUNTIFS('Match Log'!$A$4:$A$311,'Match Log'!$A$4:$A$311,'Match Log'!$D$4:$D$311,$A6,'Match Log'!$E$4:$E$311,"Loss"))),"0%")&amp;" of "&amp;(SUMPRODUCT(('Match Log'!$D$4:$D$311=$A6)*('Match Log'!$E$4:$E$311="Win")*COUNTIFS('Match Log'!$A$4:$A$311,'Match Log'!$A$4:$A$311,'Match Log'!$D$4:$D$311,I$4,'Match Log'!$E$4:$E$311,"Loss"))+SUMPRODUCT(('Match Log'!$D$4:$D$311=I$4)*('Match Log'!$E$4:$E$311="Win")*COUNTIFS('Match Log'!$A$4:$A$311,'Match Log'!$A$4:$A$311,'Match Log'!$D$4:$D$311,$A6,'Match Log'!$E$4:$E$311,"Loss")))))</f>
        <v>100% of 2</v>
      </c>
      <c r="J6" s="54" t="str">
        <f>IF($A6=J$4,"—",IF((SUMPRODUCT(('Match Log'!$D$4:$D$311=$A6)*('Match Log'!$E$4:$E$311="Win")*COUNTIFS('Match Log'!$A$4:$A$311,'Match Log'!$A$4:$A$311,'Match Log'!$D$4:$D$311,J$4,'Match Log'!$E$4:$E$311,"Loss"))+SUMPRODUCT(('Match Log'!$D$4:$D$311=J$4)*('Match Log'!$E$4:$E$311="Win")*COUNTIFS('Match Log'!$A$4:$A$311,'Match Log'!$A$4:$A$311,'Match Log'!$D$4:$D$311,$A6,'Match Log'!$E$4:$E$311,"Loss")))=0,"",TEXT(SUMPRODUCT(('Match Log'!$D$4:$D$311=$A6)*('Match Log'!$E$4:$E$311="Win")*COUNTIFS('Match Log'!$A$4:$A$311,'Match Log'!$A$4:$A$311,'Match Log'!$D$4:$D$311,J$4,'Match Log'!$E$4:$E$311,"Loss"))/(SUMPRODUCT(('Match Log'!$D$4:$D$311=$A6)*('Match Log'!$E$4:$E$311="Win")*COUNTIFS('Match Log'!$A$4:$A$311,'Match Log'!$A$4:$A$311,'Match Log'!$D$4:$D$311,J$4,'Match Log'!$E$4:$E$311,"Loss"))+SUMPRODUCT(('Match Log'!$D$4:$D$311=J$4)*('Match Log'!$E$4:$E$311="Win")*COUNTIFS('Match Log'!$A$4:$A$311,'Match Log'!$A$4:$A$311,'Match Log'!$D$4:$D$311,$A6,'Match Log'!$E$4:$E$311,"Loss"))),"0%")&amp;" of "&amp;(SUMPRODUCT(('Match Log'!$D$4:$D$311=$A6)*('Match Log'!$E$4:$E$311="Win")*COUNTIFS('Match Log'!$A$4:$A$311,'Match Log'!$A$4:$A$311,'Match Log'!$D$4:$D$311,J$4,'Match Log'!$E$4:$E$311,"Loss"))+SUMPRODUCT(('Match Log'!$D$4:$D$311=J$4)*('Match Log'!$E$4:$E$311="Win")*COUNTIFS('Match Log'!$A$4:$A$311,'Match Log'!$A$4:$A$311,'Match Log'!$D$4:$D$311,$A6,'Match Log'!$E$4:$E$311,"Loss")))))</f>
        <v>100% of 2</v>
      </c>
      <c r="K6" s="54" t="str">
        <f>IF($A6=K$4,"—",IF((SUMPRODUCT(('Match Log'!$D$4:$D$311=$A6)*('Match Log'!$E$4:$E$311="Win")*COUNTIFS('Match Log'!$A$4:$A$311,'Match Log'!$A$4:$A$311,'Match Log'!$D$4:$D$311,K$4,'Match Log'!$E$4:$E$311,"Loss"))+SUMPRODUCT(('Match Log'!$D$4:$D$311=K$4)*('Match Log'!$E$4:$E$311="Win")*COUNTIFS('Match Log'!$A$4:$A$311,'Match Log'!$A$4:$A$311,'Match Log'!$D$4:$D$311,$A6,'Match Log'!$E$4:$E$311,"Loss")))=0,"",TEXT(SUMPRODUCT(('Match Log'!$D$4:$D$311=$A6)*('Match Log'!$E$4:$E$311="Win")*COUNTIFS('Match Log'!$A$4:$A$311,'Match Log'!$A$4:$A$311,'Match Log'!$D$4:$D$311,K$4,'Match Log'!$E$4:$E$311,"Loss"))/(SUMPRODUCT(('Match Log'!$D$4:$D$311=$A6)*('Match Log'!$E$4:$E$311="Win")*COUNTIFS('Match Log'!$A$4:$A$311,'Match Log'!$A$4:$A$311,'Match Log'!$D$4:$D$311,K$4,'Match Log'!$E$4:$E$311,"Loss"))+SUMPRODUCT(('Match Log'!$D$4:$D$311=K$4)*('Match Log'!$E$4:$E$311="Win")*COUNTIFS('Match Log'!$A$4:$A$311,'Match Log'!$A$4:$A$311,'Match Log'!$D$4:$D$311,$A6,'Match Log'!$E$4:$E$311,"Loss"))),"0%")&amp;" of "&amp;(SUMPRODUCT(('Match Log'!$D$4:$D$311=$A6)*('Match Log'!$E$4:$E$311="Win")*COUNTIFS('Match Log'!$A$4:$A$311,'Match Log'!$A$4:$A$311,'Match Log'!$D$4:$D$311,K$4,'Match Log'!$E$4:$E$311,"Loss"))+SUMPRODUCT(('Match Log'!$D$4:$D$311=K$4)*('Match Log'!$E$4:$E$311="Win")*COUNTIFS('Match Log'!$A$4:$A$311,'Match Log'!$A$4:$A$311,'Match Log'!$D$4:$D$311,$A6,'Match Log'!$E$4:$E$311,"Loss")))))</f>
        <v>100% of 1</v>
      </c>
      <c r="L6" s="54" t="str">
        <f>IF($A6=L$4,"—",IF((SUMPRODUCT(('Match Log'!$D$4:$D$311=$A6)*('Match Log'!$E$4:$E$311="Win")*COUNTIFS('Match Log'!$A$4:$A$311,'Match Log'!$A$4:$A$311,'Match Log'!$D$4:$D$311,L$4,'Match Log'!$E$4:$E$311,"Loss"))+SUMPRODUCT(('Match Log'!$D$4:$D$311=L$4)*('Match Log'!$E$4:$E$311="Win")*COUNTIFS('Match Log'!$A$4:$A$311,'Match Log'!$A$4:$A$311,'Match Log'!$D$4:$D$311,$A6,'Match Log'!$E$4:$E$311,"Loss")))=0,"",TEXT(SUMPRODUCT(('Match Log'!$D$4:$D$311=$A6)*('Match Log'!$E$4:$E$311="Win")*COUNTIFS('Match Log'!$A$4:$A$311,'Match Log'!$A$4:$A$311,'Match Log'!$D$4:$D$311,L$4,'Match Log'!$E$4:$E$311,"Loss"))/(SUMPRODUCT(('Match Log'!$D$4:$D$311=$A6)*('Match Log'!$E$4:$E$311="Win")*COUNTIFS('Match Log'!$A$4:$A$311,'Match Log'!$A$4:$A$311,'Match Log'!$D$4:$D$311,L$4,'Match Log'!$E$4:$E$311,"Loss"))+SUMPRODUCT(('Match Log'!$D$4:$D$311=L$4)*('Match Log'!$E$4:$E$311="Win")*COUNTIFS('Match Log'!$A$4:$A$311,'Match Log'!$A$4:$A$311,'Match Log'!$D$4:$D$311,$A6,'Match Log'!$E$4:$E$311,"Loss"))),"0%")&amp;" of "&amp;(SUMPRODUCT(('Match Log'!$D$4:$D$311=$A6)*('Match Log'!$E$4:$E$311="Win")*COUNTIFS('Match Log'!$A$4:$A$311,'Match Log'!$A$4:$A$311,'Match Log'!$D$4:$D$311,L$4,'Match Log'!$E$4:$E$311,"Loss"))+SUMPRODUCT(('Match Log'!$D$4:$D$311=L$4)*('Match Log'!$E$4:$E$311="Win")*COUNTIFS('Match Log'!$A$4:$A$311,'Match Log'!$A$4:$A$311,'Match Log'!$D$4:$D$311,$A6,'Match Log'!$E$4:$E$311,"Loss")))))</f>
        <v>40% of 5</v>
      </c>
      <c r="M6" s="54" t="str">
        <f>IF($A6=M$4,"—",IF((SUMPRODUCT(('Match Log'!$D$4:$D$311=$A6)*('Match Log'!$E$4:$E$311="Win")*COUNTIFS('Match Log'!$A$4:$A$311,'Match Log'!$A$4:$A$311,'Match Log'!$D$4:$D$311,M$4,'Match Log'!$E$4:$E$311,"Loss"))+SUMPRODUCT(('Match Log'!$D$4:$D$311=M$4)*('Match Log'!$E$4:$E$311="Win")*COUNTIFS('Match Log'!$A$4:$A$311,'Match Log'!$A$4:$A$311,'Match Log'!$D$4:$D$311,$A6,'Match Log'!$E$4:$E$311,"Loss")))=0,"",TEXT(SUMPRODUCT(('Match Log'!$D$4:$D$311=$A6)*('Match Log'!$E$4:$E$311="Win")*COUNTIFS('Match Log'!$A$4:$A$311,'Match Log'!$A$4:$A$311,'Match Log'!$D$4:$D$311,M$4,'Match Log'!$E$4:$E$311,"Loss"))/(SUMPRODUCT(('Match Log'!$D$4:$D$311=$A6)*('Match Log'!$E$4:$E$311="Win")*COUNTIFS('Match Log'!$A$4:$A$311,'Match Log'!$A$4:$A$311,'Match Log'!$D$4:$D$311,M$4,'Match Log'!$E$4:$E$311,"Loss"))+SUMPRODUCT(('Match Log'!$D$4:$D$311=M$4)*('Match Log'!$E$4:$E$311="Win")*COUNTIFS('Match Log'!$A$4:$A$311,'Match Log'!$A$4:$A$311,'Match Log'!$D$4:$D$311,$A6,'Match Log'!$E$4:$E$311,"Loss"))),"0%")&amp;" of "&amp;(SUMPRODUCT(('Match Log'!$D$4:$D$311=$A6)*('Match Log'!$E$4:$E$311="Win")*COUNTIFS('Match Log'!$A$4:$A$311,'Match Log'!$A$4:$A$311,'Match Log'!$D$4:$D$311,M$4,'Match Log'!$E$4:$E$311,"Loss"))+SUMPRODUCT(('Match Log'!$D$4:$D$311=M$4)*('Match Log'!$E$4:$E$311="Win")*COUNTIFS('Match Log'!$A$4:$A$311,'Match Log'!$A$4:$A$311,'Match Log'!$D$4:$D$311,$A6,'Match Log'!$E$4:$E$311,"Loss")))))</f>
        <v>0% of 1</v>
      </c>
      <c r="N6" s="54" t="str">
        <f>IF($A6=N$4,"—",IF((SUMPRODUCT(('Match Log'!$D$4:$D$311=$A6)*('Match Log'!$E$4:$E$311="Win")*COUNTIFS('Match Log'!$A$4:$A$311,'Match Log'!$A$4:$A$311,'Match Log'!$D$4:$D$311,N$4,'Match Log'!$E$4:$E$311,"Loss"))+SUMPRODUCT(('Match Log'!$D$4:$D$311=N$4)*('Match Log'!$E$4:$E$311="Win")*COUNTIFS('Match Log'!$A$4:$A$311,'Match Log'!$A$4:$A$311,'Match Log'!$D$4:$D$311,$A6,'Match Log'!$E$4:$E$311,"Loss")))=0,"",TEXT(SUMPRODUCT(('Match Log'!$D$4:$D$311=$A6)*('Match Log'!$E$4:$E$311="Win")*COUNTIFS('Match Log'!$A$4:$A$311,'Match Log'!$A$4:$A$311,'Match Log'!$D$4:$D$311,N$4,'Match Log'!$E$4:$E$311,"Loss"))/(SUMPRODUCT(('Match Log'!$D$4:$D$311=$A6)*('Match Log'!$E$4:$E$311="Win")*COUNTIFS('Match Log'!$A$4:$A$311,'Match Log'!$A$4:$A$311,'Match Log'!$D$4:$D$311,N$4,'Match Log'!$E$4:$E$311,"Loss"))+SUMPRODUCT(('Match Log'!$D$4:$D$311=N$4)*('Match Log'!$E$4:$E$311="Win")*COUNTIFS('Match Log'!$A$4:$A$311,'Match Log'!$A$4:$A$311,'Match Log'!$D$4:$D$311,$A6,'Match Log'!$E$4:$E$311,"Loss"))),"0%")&amp;" of "&amp;(SUMPRODUCT(('Match Log'!$D$4:$D$311=$A6)*('Match Log'!$E$4:$E$311="Win")*COUNTIFS('Match Log'!$A$4:$A$311,'Match Log'!$A$4:$A$311,'Match Log'!$D$4:$D$311,N$4,'Match Log'!$E$4:$E$311,"Loss"))+SUMPRODUCT(('Match Log'!$D$4:$D$311=N$4)*('Match Log'!$E$4:$E$311="Win")*COUNTIFS('Match Log'!$A$4:$A$311,'Match Log'!$A$4:$A$311,'Match Log'!$D$4:$D$311,$A6,'Match Log'!$E$4:$E$311,"Loss")))))</f>
        <v/>
      </c>
      <c r="O6" s="54" t="str">
        <f>IF($A6=O$4,"—",IF((SUMPRODUCT(('Match Log'!$D$4:$D$311=$A6)*('Match Log'!$E$4:$E$311="Win")*COUNTIFS('Match Log'!$A$4:$A$311,'Match Log'!$A$4:$A$311,'Match Log'!$D$4:$D$311,O$4,'Match Log'!$E$4:$E$311,"Loss"))+SUMPRODUCT(('Match Log'!$D$4:$D$311=O$4)*('Match Log'!$E$4:$E$311="Win")*COUNTIFS('Match Log'!$A$4:$A$311,'Match Log'!$A$4:$A$311,'Match Log'!$D$4:$D$311,$A6,'Match Log'!$E$4:$E$311,"Loss")))=0,"",TEXT(SUMPRODUCT(('Match Log'!$D$4:$D$311=$A6)*('Match Log'!$E$4:$E$311="Win")*COUNTIFS('Match Log'!$A$4:$A$311,'Match Log'!$A$4:$A$311,'Match Log'!$D$4:$D$311,O$4,'Match Log'!$E$4:$E$311,"Loss"))/(SUMPRODUCT(('Match Log'!$D$4:$D$311=$A6)*('Match Log'!$E$4:$E$311="Win")*COUNTIFS('Match Log'!$A$4:$A$311,'Match Log'!$A$4:$A$311,'Match Log'!$D$4:$D$311,O$4,'Match Log'!$E$4:$E$311,"Loss"))+SUMPRODUCT(('Match Log'!$D$4:$D$311=O$4)*('Match Log'!$E$4:$E$311="Win")*COUNTIFS('Match Log'!$A$4:$A$311,'Match Log'!$A$4:$A$311,'Match Log'!$D$4:$D$311,$A6,'Match Log'!$E$4:$E$311,"Loss"))),"0%")&amp;" of "&amp;(SUMPRODUCT(('Match Log'!$D$4:$D$311=$A6)*('Match Log'!$E$4:$E$311="Win")*COUNTIFS('Match Log'!$A$4:$A$311,'Match Log'!$A$4:$A$311,'Match Log'!$D$4:$D$311,O$4,'Match Log'!$E$4:$E$311,"Loss"))+SUMPRODUCT(('Match Log'!$D$4:$D$311=O$4)*('Match Log'!$E$4:$E$311="Win")*COUNTIFS('Match Log'!$A$4:$A$311,'Match Log'!$A$4:$A$311,'Match Log'!$D$4:$D$311,$A6,'Match Log'!$E$4:$E$311,"Loss")))))</f>
        <v/>
      </c>
    </row>
    <row r="7" spans="1:15" ht="15" customHeight="1" x14ac:dyDescent="0.2">
      <c r="A7" s="49" t="s">
        <v>180</v>
      </c>
      <c r="B7" s="54" t="str">
        <f>IF($A7=B$4,"—",IF((SUMPRODUCT(('Match Log'!$D$4:$D$311=$A7)*('Match Log'!$E$4:$E$311="Win")*COUNTIFS('Match Log'!$A$4:$A$311,'Match Log'!$A$4:$A$311,'Match Log'!$D$4:$D$311,B$4,'Match Log'!$E$4:$E$311,"Loss"))+SUMPRODUCT(('Match Log'!$D$4:$D$311=B$4)*('Match Log'!$E$4:$E$311="Win")*COUNTIFS('Match Log'!$A$4:$A$311,'Match Log'!$A$4:$A$311,'Match Log'!$D$4:$D$311,$A7,'Match Log'!$E$4:$E$311,"Loss")))=0,"",TEXT(SUMPRODUCT(('Match Log'!$D$4:$D$311=$A7)*('Match Log'!$E$4:$E$311="Win")*COUNTIFS('Match Log'!$A$4:$A$311,'Match Log'!$A$4:$A$311,'Match Log'!$D$4:$D$311,B$4,'Match Log'!$E$4:$E$311,"Loss"))/(SUMPRODUCT(('Match Log'!$D$4:$D$311=$A7)*('Match Log'!$E$4:$E$311="Win")*COUNTIFS('Match Log'!$A$4:$A$311,'Match Log'!$A$4:$A$311,'Match Log'!$D$4:$D$311,B$4,'Match Log'!$E$4:$E$311,"Loss"))+SUMPRODUCT(('Match Log'!$D$4:$D$311=B$4)*('Match Log'!$E$4:$E$311="Win")*COUNTIFS('Match Log'!$A$4:$A$311,'Match Log'!$A$4:$A$311,'Match Log'!$D$4:$D$311,$A7,'Match Log'!$E$4:$E$311,"Loss"))),"0%")&amp;" of "&amp;(SUMPRODUCT(('Match Log'!$D$4:$D$311=$A7)*('Match Log'!$E$4:$E$311="Win")*COUNTIFS('Match Log'!$A$4:$A$311,'Match Log'!$A$4:$A$311,'Match Log'!$D$4:$D$311,B$4,'Match Log'!$E$4:$E$311,"Loss"))+SUMPRODUCT(('Match Log'!$D$4:$D$311=B$4)*('Match Log'!$E$4:$E$311="Win")*COUNTIFS('Match Log'!$A$4:$A$311,'Match Log'!$A$4:$A$311,'Match Log'!$D$4:$D$311,$A7,'Match Log'!$E$4:$E$311,"Loss")))))</f>
        <v>0% of 3</v>
      </c>
      <c r="C7" s="54" t="str">
        <f>IF($A7=C$4,"—",IF((SUMPRODUCT(('Match Log'!$D$4:$D$311=$A7)*('Match Log'!$E$4:$E$311="Win")*COUNTIFS('Match Log'!$A$4:$A$311,'Match Log'!$A$4:$A$311,'Match Log'!$D$4:$D$311,C$4,'Match Log'!$E$4:$E$311,"Loss"))+SUMPRODUCT(('Match Log'!$D$4:$D$311=C$4)*('Match Log'!$E$4:$E$311="Win")*COUNTIFS('Match Log'!$A$4:$A$311,'Match Log'!$A$4:$A$311,'Match Log'!$D$4:$D$311,$A7,'Match Log'!$E$4:$E$311,"Loss")))=0,"",TEXT(SUMPRODUCT(('Match Log'!$D$4:$D$311=$A7)*('Match Log'!$E$4:$E$311="Win")*COUNTIFS('Match Log'!$A$4:$A$311,'Match Log'!$A$4:$A$311,'Match Log'!$D$4:$D$311,C$4,'Match Log'!$E$4:$E$311,"Loss"))/(SUMPRODUCT(('Match Log'!$D$4:$D$311=$A7)*('Match Log'!$E$4:$E$311="Win")*COUNTIFS('Match Log'!$A$4:$A$311,'Match Log'!$A$4:$A$311,'Match Log'!$D$4:$D$311,C$4,'Match Log'!$E$4:$E$311,"Loss"))+SUMPRODUCT(('Match Log'!$D$4:$D$311=C$4)*('Match Log'!$E$4:$E$311="Win")*COUNTIFS('Match Log'!$A$4:$A$311,'Match Log'!$A$4:$A$311,'Match Log'!$D$4:$D$311,$A7,'Match Log'!$E$4:$E$311,"Loss"))),"0%")&amp;" of "&amp;(SUMPRODUCT(('Match Log'!$D$4:$D$311=$A7)*('Match Log'!$E$4:$E$311="Win")*COUNTIFS('Match Log'!$A$4:$A$311,'Match Log'!$A$4:$A$311,'Match Log'!$D$4:$D$311,C$4,'Match Log'!$E$4:$E$311,"Loss"))+SUMPRODUCT(('Match Log'!$D$4:$D$311=C$4)*('Match Log'!$E$4:$E$311="Win")*COUNTIFS('Match Log'!$A$4:$A$311,'Match Log'!$A$4:$A$311,'Match Log'!$D$4:$D$311,$A7,'Match Log'!$E$4:$E$311,"Loss")))))</f>
        <v/>
      </c>
      <c r="D7" s="54" t="str">
        <f>IF($A7=D$4,"—",IF((SUMPRODUCT(('Match Log'!$D$4:$D$311=$A7)*('Match Log'!$E$4:$E$311="Win")*COUNTIFS('Match Log'!$A$4:$A$311,'Match Log'!$A$4:$A$311,'Match Log'!$D$4:$D$311,D$4,'Match Log'!$E$4:$E$311,"Loss"))+SUMPRODUCT(('Match Log'!$D$4:$D$311=D$4)*('Match Log'!$E$4:$E$311="Win")*COUNTIFS('Match Log'!$A$4:$A$311,'Match Log'!$A$4:$A$311,'Match Log'!$D$4:$D$311,$A7,'Match Log'!$E$4:$E$311,"Loss")))=0,"",TEXT(SUMPRODUCT(('Match Log'!$D$4:$D$311=$A7)*('Match Log'!$E$4:$E$311="Win")*COUNTIFS('Match Log'!$A$4:$A$311,'Match Log'!$A$4:$A$311,'Match Log'!$D$4:$D$311,D$4,'Match Log'!$E$4:$E$311,"Loss"))/(SUMPRODUCT(('Match Log'!$D$4:$D$311=$A7)*('Match Log'!$E$4:$E$311="Win")*COUNTIFS('Match Log'!$A$4:$A$311,'Match Log'!$A$4:$A$311,'Match Log'!$D$4:$D$311,D$4,'Match Log'!$E$4:$E$311,"Loss"))+SUMPRODUCT(('Match Log'!$D$4:$D$311=D$4)*('Match Log'!$E$4:$E$311="Win")*COUNTIFS('Match Log'!$A$4:$A$311,'Match Log'!$A$4:$A$311,'Match Log'!$D$4:$D$311,$A7,'Match Log'!$E$4:$E$311,"Loss"))),"0%")&amp;" of "&amp;(SUMPRODUCT(('Match Log'!$D$4:$D$311=$A7)*('Match Log'!$E$4:$E$311="Win")*COUNTIFS('Match Log'!$A$4:$A$311,'Match Log'!$A$4:$A$311,'Match Log'!$D$4:$D$311,D$4,'Match Log'!$E$4:$E$311,"Loss"))+SUMPRODUCT(('Match Log'!$D$4:$D$311=D$4)*('Match Log'!$E$4:$E$311="Win")*COUNTIFS('Match Log'!$A$4:$A$311,'Match Log'!$A$4:$A$311,'Match Log'!$D$4:$D$311,$A7,'Match Log'!$E$4:$E$311,"Loss")))))</f>
        <v>—</v>
      </c>
      <c r="E7" s="54" t="str">
        <f>IF($A7=E$4,"—",IF((SUMPRODUCT(('Match Log'!$D$4:$D$311=$A7)*('Match Log'!$E$4:$E$311="Win")*COUNTIFS('Match Log'!$A$4:$A$311,'Match Log'!$A$4:$A$311,'Match Log'!$D$4:$D$311,E$4,'Match Log'!$E$4:$E$311,"Loss"))+SUMPRODUCT(('Match Log'!$D$4:$D$311=E$4)*('Match Log'!$E$4:$E$311="Win")*COUNTIFS('Match Log'!$A$4:$A$311,'Match Log'!$A$4:$A$311,'Match Log'!$D$4:$D$311,$A7,'Match Log'!$E$4:$E$311,"Loss")))=0,"",TEXT(SUMPRODUCT(('Match Log'!$D$4:$D$311=$A7)*('Match Log'!$E$4:$E$311="Win")*COUNTIFS('Match Log'!$A$4:$A$311,'Match Log'!$A$4:$A$311,'Match Log'!$D$4:$D$311,E$4,'Match Log'!$E$4:$E$311,"Loss"))/(SUMPRODUCT(('Match Log'!$D$4:$D$311=$A7)*('Match Log'!$E$4:$E$311="Win")*COUNTIFS('Match Log'!$A$4:$A$311,'Match Log'!$A$4:$A$311,'Match Log'!$D$4:$D$311,E$4,'Match Log'!$E$4:$E$311,"Loss"))+SUMPRODUCT(('Match Log'!$D$4:$D$311=E$4)*('Match Log'!$E$4:$E$311="Win")*COUNTIFS('Match Log'!$A$4:$A$311,'Match Log'!$A$4:$A$311,'Match Log'!$D$4:$D$311,$A7,'Match Log'!$E$4:$E$311,"Loss"))),"0%")&amp;" of "&amp;(SUMPRODUCT(('Match Log'!$D$4:$D$311=$A7)*('Match Log'!$E$4:$E$311="Win")*COUNTIFS('Match Log'!$A$4:$A$311,'Match Log'!$A$4:$A$311,'Match Log'!$D$4:$D$311,E$4,'Match Log'!$E$4:$E$311,"Loss"))+SUMPRODUCT(('Match Log'!$D$4:$D$311=E$4)*('Match Log'!$E$4:$E$311="Win")*COUNTIFS('Match Log'!$A$4:$A$311,'Match Log'!$A$4:$A$311,'Match Log'!$D$4:$D$311,$A7,'Match Log'!$E$4:$E$311,"Loss")))))</f>
        <v/>
      </c>
      <c r="F7" s="54" t="str">
        <f>IF($A7=F$4,"—",IF((SUMPRODUCT(('Match Log'!$D$4:$D$311=$A7)*('Match Log'!$E$4:$E$311="Win")*COUNTIFS('Match Log'!$A$4:$A$311,'Match Log'!$A$4:$A$311,'Match Log'!$D$4:$D$311,F$4,'Match Log'!$E$4:$E$311,"Loss"))+SUMPRODUCT(('Match Log'!$D$4:$D$311=F$4)*('Match Log'!$E$4:$E$311="Win")*COUNTIFS('Match Log'!$A$4:$A$311,'Match Log'!$A$4:$A$311,'Match Log'!$D$4:$D$311,$A7,'Match Log'!$E$4:$E$311,"Loss")))=0,"",TEXT(SUMPRODUCT(('Match Log'!$D$4:$D$311=$A7)*('Match Log'!$E$4:$E$311="Win")*COUNTIFS('Match Log'!$A$4:$A$311,'Match Log'!$A$4:$A$311,'Match Log'!$D$4:$D$311,F$4,'Match Log'!$E$4:$E$311,"Loss"))/(SUMPRODUCT(('Match Log'!$D$4:$D$311=$A7)*('Match Log'!$E$4:$E$311="Win")*COUNTIFS('Match Log'!$A$4:$A$311,'Match Log'!$A$4:$A$311,'Match Log'!$D$4:$D$311,F$4,'Match Log'!$E$4:$E$311,"Loss"))+SUMPRODUCT(('Match Log'!$D$4:$D$311=F$4)*('Match Log'!$E$4:$E$311="Win")*COUNTIFS('Match Log'!$A$4:$A$311,'Match Log'!$A$4:$A$311,'Match Log'!$D$4:$D$311,$A7,'Match Log'!$E$4:$E$311,"Loss"))),"0%")&amp;" of "&amp;(SUMPRODUCT(('Match Log'!$D$4:$D$311=$A7)*('Match Log'!$E$4:$E$311="Win")*COUNTIFS('Match Log'!$A$4:$A$311,'Match Log'!$A$4:$A$311,'Match Log'!$D$4:$D$311,F$4,'Match Log'!$E$4:$E$311,"Loss"))+SUMPRODUCT(('Match Log'!$D$4:$D$311=F$4)*('Match Log'!$E$4:$E$311="Win")*COUNTIFS('Match Log'!$A$4:$A$311,'Match Log'!$A$4:$A$311,'Match Log'!$D$4:$D$311,$A7,'Match Log'!$E$4:$E$311,"Loss")))))</f>
        <v>0% of 1</v>
      </c>
      <c r="G7" s="54" t="str">
        <f>IF($A7=G$4,"—",IF((SUMPRODUCT(('Match Log'!$D$4:$D$311=$A7)*('Match Log'!$E$4:$E$311="Win")*COUNTIFS('Match Log'!$A$4:$A$311,'Match Log'!$A$4:$A$311,'Match Log'!$D$4:$D$311,G$4,'Match Log'!$E$4:$E$311,"Loss"))+SUMPRODUCT(('Match Log'!$D$4:$D$311=G$4)*('Match Log'!$E$4:$E$311="Win")*COUNTIFS('Match Log'!$A$4:$A$311,'Match Log'!$A$4:$A$311,'Match Log'!$D$4:$D$311,$A7,'Match Log'!$E$4:$E$311,"Loss")))=0,"",TEXT(SUMPRODUCT(('Match Log'!$D$4:$D$311=$A7)*('Match Log'!$E$4:$E$311="Win")*COUNTIFS('Match Log'!$A$4:$A$311,'Match Log'!$A$4:$A$311,'Match Log'!$D$4:$D$311,G$4,'Match Log'!$E$4:$E$311,"Loss"))/(SUMPRODUCT(('Match Log'!$D$4:$D$311=$A7)*('Match Log'!$E$4:$E$311="Win")*COUNTIFS('Match Log'!$A$4:$A$311,'Match Log'!$A$4:$A$311,'Match Log'!$D$4:$D$311,G$4,'Match Log'!$E$4:$E$311,"Loss"))+SUMPRODUCT(('Match Log'!$D$4:$D$311=G$4)*('Match Log'!$E$4:$E$311="Win")*COUNTIFS('Match Log'!$A$4:$A$311,'Match Log'!$A$4:$A$311,'Match Log'!$D$4:$D$311,$A7,'Match Log'!$E$4:$E$311,"Loss"))),"0%")&amp;" of "&amp;(SUMPRODUCT(('Match Log'!$D$4:$D$311=$A7)*('Match Log'!$E$4:$E$311="Win")*COUNTIFS('Match Log'!$A$4:$A$311,'Match Log'!$A$4:$A$311,'Match Log'!$D$4:$D$311,G$4,'Match Log'!$E$4:$E$311,"Loss"))+SUMPRODUCT(('Match Log'!$D$4:$D$311=G$4)*('Match Log'!$E$4:$E$311="Win")*COUNTIFS('Match Log'!$A$4:$A$311,'Match Log'!$A$4:$A$311,'Match Log'!$D$4:$D$311,$A7,'Match Log'!$E$4:$E$311,"Loss")))))</f>
        <v/>
      </c>
      <c r="H7" s="54" t="str">
        <f>IF($A7=H$4,"—",IF((SUMPRODUCT(('Match Log'!$D$4:$D$311=$A7)*('Match Log'!$E$4:$E$311="Win")*COUNTIFS('Match Log'!$A$4:$A$311,'Match Log'!$A$4:$A$311,'Match Log'!$D$4:$D$311,H$4,'Match Log'!$E$4:$E$311,"Loss"))+SUMPRODUCT(('Match Log'!$D$4:$D$311=H$4)*('Match Log'!$E$4:$E$311="Win")*COUNTIFS('Match Log'!$A$4:$A$311,'Match Log'!$A$4:$A$311,'Match Log'!$D$4:$D$311,$A7,'Match Log'!$E$4:$E$311,"Loss")))=0,"",TEXT(SUMPRODUCT(('Match Log'!$D$4:$D$311=$A7)*('Match Log'!$E$4:$E$311="Win")*COUNTIFS('Match Log'!$A$4:$A$311,'Match Log'!$A$4:$A$311,'Match Log'!$D$4:$D$311,H$4,'Match Log'!$E$4:$E$311,"Loss"))/(SUMPRODUCT(('Match Log'!$D$4:$D$311=$A7)*('Match Log'!$E$4:$E$311="Win")*COUNTIFS('Match Log'!$A$4:$A$311,'Match Log'!$A$4:$A$311,'Match Log'!$D$4:$D$311,H$4,'Match Log'!$E$4:$E$311,"Loss"))+SUMPRODUCT(('Match Log'!$D$4:$D$311=H$4)*('Match Log'!$E$4:$E$311="Win")*COUNTIFS('Match Log'!$A$4:$A$311,'Match Log'!$A$4:$A$311,'Match Log'!$D$4:$D$311,$A7,'Match Log'!$E$4:$E$311,"Loss"))),"0%")&amp;" of "&amp;(SUMPRODUCT(('Match Log'!$D$4:$D$311=$A7)*('Match Log'!$E$4:$E$311="Win")*COUNTIFS('Match Log'!$A$4:$A$311,'Match Log'!$A$4:$A$311,'Match Log'!$D$4:$D$311,H$4,'Match Log'!$E$4:$E$311,"Loss"))+SUMPRODUCT(('Match Log'!$D$4:$D$311=H$4)*('Match Log'!$E$4:$E$311="Win")*COUNTIFS('Match Log'!$A$4:$A$311,'Match Log'!$A$4:$A$311,'Match Log'!$D$4:$D$311,$A7,'Match Log'!$E$4:$E$311,"Loss")))))</f>
        <v/>
      </c>
      <c r="I7" s="54" t="str">
        <f>IF($A7=I$4,"—",IF((SUMPRODUCT(('Match Log'!$D$4:$D$311=$A7)*('Match Log'!$E$4:$E$311="Win")*COUNTIFS('Match Log'!$A$4:$A$311,'Match Log'!$A$4:$A$311,'Match Log'!$D$4:$D$311,I$4,'Match Log'!$E$4:$E$311,"Loss"))+SUMPRODUCT(('Match Log'!$D$4:$D$311=I$4)*('Match Log'!$E$4:$E$311="Win")*COUNTIFS('Match Log'!$A$4:$A$311,'Match Log'!$A$4:$A$311,'Match Log'!$D$4:$D$311,$A7,'Match Log'!$E$4:$E$311,"Loss")))=0,"",TEXT(SUMPRODUCT(('Match Log'!$D$4:$D$311=$A7)*('Match Log'!$E$4:$E$311="Win")*COUNTIFS('Match Log'!$A$4:$A$311,'Match Log'!$A$4:$A$311,'Match Log'!$D$4:$D$311,I$4,'Match Log'!$E$4:$E$311,"Loss"))/(SUMPRODUCT(('Match Log'!$D$4:$D$311=$A7)*('Match Log'!$E$4:$E$311="Win")*COUNTIFS('Match Log'!$A$4:$A$311,'Match Log'!$A$4:$A$311,'Match Log'!$D$4:$D$311,I$4,'Match Log'!$E$4:$E$311,"Loss"))+SUMPRODUCT(('Match Log'!$D$4:$D$311=I$4)*('Match Log'!$E$4:$E$311="Win")*COUNTIFS('Match Log'!$A$4:$A$311,'Match Log'!$A$4:$A$311,'Match Log'!$D$4:$D$311,$A7,'Match Log'!$E$4:$E$311,"Loss"))),"0%")&amp;" of "&amp;(SUMPRODUCT(('Match Log'!$D$4:$D$311=$A7)*('Match Log'!$E$4:$E$311="Win")*COUNTIFS('Match Log'!$A$4:$A$311,'Match Log'!$A$4:$A$311,'Match Log'!$D$4:$D$311,I$4,'Match Log'!$E$4:$E$311,"Loss"))+SUMPRODUCT(('Match Log'!$D$4:$D$311=I$4)*('Match Log'!$E$4:$E$311="Win")*COUNTIFS('Match Log'!$A$4:$A$311,'Match Log'!$A$4:$A$311,'Match Log'!$D$4:$D$311,$A7,'Match Log'!$E$4:$E$311,"Loss")))))</f>
        <v>80% of 5</v>
      </c>
      <c r="J7" s="54" t="str">
        <f>IF($A7=J$4,"—",IF((SUMPRODUCT(('Match Log'!$D$4:$D$311=$A7)*('Match Log'!$E$4:$E$311="Win")*COUNTIFS('Match Log'!$A$4:$A$311,'Match Log'!$A$4:$A$311,'Match Log'!$D$4:$D$311,J$4,'Match Log'!$E$4:$E$311,"Loss"))+SUMPRODUCT(('Match Log'!$D$4:$D$311=J$4)*('Match Log'!$E$4:$E$311="Win")*COUNTIFS('Match Log'!$A$4:$A$311,'Match Log'!$A$4:$A$311,'Match Log'!$D$4:$D$311,$A7,'Match Log'!$E$4:$E$311,"Loss")))=0,"",TEXT(SUMPRODUCT(('Match Log'!$D$4:$D$311=$A7)*('Match Log'!$E$4:$E$311="Win")*COUNTIFS('Match Log'!$A$4:$A$311,'Match Log'!$A$4:$A$311,'Match Log'!$D$4:$D$311,J$4,'Match Log'!$E$4:$E$311,"Loss"))/(SUMPRODUCT(('Match Log'!$D$4:$D$311=$A7)*('Match Log'!$E$4:$E$311="Win")*COUNTIFS('Match Log'!$A$4:$A$311,'Match Log'!$A$4:$A$311,'Match Log'!$D$4:$D$311,J$4,'Match Log'!$E$4:$E$311,"Loss"))+SUMPRODUCT(('Match Log'!$D$4:$D$311=J$4)*('Match Log'!$E$4:$E$311="Win")*COUNTIFS('Match Log'!$A$4:$A$311,'Match Log'!$A$4:$A$311,'Match Log'!$D$4:$D$311,$A7,'Match Log'!$E$4:$E$311,"Loss"))),"0%")&amp;" of "&amp;(SUMPRODUCT(('Match Log'!$D$4:$D$311=$A7)*('Match Log'!$E$4:$E$311="Win")*COUNTIFS('Match Log'!$A$4:$A$311,'Match Log'!$A$4:$A$311,'Match Log'!$D$4:$D$311,J$4,'Match Log'!$E$4:$E$311,"Loss"))+SUMPRODUCT(('Match Log'!$D$4:$D$311=J$4)*('Match Log'!$E$4:$E$311="Win")*COUNTIFS('Match Log'!$A$4:$A$311,'Match Log'!$A$4:$A$311,'Match Log'!$D$4:$D$311,$A7,'Match Log'!$E$4:$E$311,"Loss")))))</f>
        <v/>
      </c>
      <c r="K7" s="54" t="str">
        <f>IF($A7=K$4,"—",IF((SUMPRODUCT(('Match Log'!$D$4:$D$311=$A7)*('Match Log'!$E$4:$E$311="Win")*COUNTIFS('Match Log'!$A$4:$A$311,'Match Log'!$A$4:$A$311,'Match Log'!$D$4:$D$311,K$4,'Match Log'!$E$4:$E$311,"Loss"))+SUMPRODUCT(('Match Log'!$D$4:$D$311=K$4)*('Match Log'!$E$4:$E$311="Win")*COUNTIFS('Match Log'!$A$4:$A$311,'Match Log'!$A$4:$A$311,'Match Log'!$D$4:$D$311,$A7,'Match Log'!$E$4:$E$311,"Loss")))=0,"",TEXT(SUMPRODUCT(('Match Log'!$D$4:$D$311=$A7)*('Match Log'!$E$4:$E$311="Win")*COUNTIFS('Match Log'!$A$4:$A$311,'Match Log'!$A$4:$A$311,'Match Log'!$D$4:$D$311,K$4,'Match Log'!$E$4:$E$311,"Loss"))/(SUMPRODUCT(('Match Log'!$D$4:$D$311=$A7)*('Match Log'!$E$4:$E$311="Win")*COUNTIFS('Match Log'!$A$4:$A$311,'Match Log'!$A$4:$A$311,'Match Log'!$D$4:$D$311,K$4,'Match Log'!$E$4:$E$311,"Loss"))+SUMPRODUCT(('Match Log'!$D$4:$D$311=K$4)*('Match Log'!$E$4:$E$311="Win")*COUNTIFS('Match Log'!$A$4:$A$311,'Match Log'!$A$4:$A$311,'Match Log'!$D$4:$D$311,$A7,'Match Log'!$E$4:$E$311,"Loss"))),"0%")&amp;" of "&amp;(SUMPRODUCT(('Match Log'!$D$4:$D$311=$A7)*('Match Log'!$E$4:$E$311="Win")*COUNTIFS('Match Log'!$A$4:$A$311,'Match Log'!$A$4:$A$311,'Match Log'!$D$4:$D$311,K$4,'Match Log'!$E$4:$E$311,"Loss"))+SUMPRODUCT(('Match Log'!$D$4:$D$311=K$4)*('Match Log'!$E$4:$E$311="Win")*COUNTIFS('Match Log'!$A$4:$A$311,'Match Log'!$A$4:$A$311,'Match Log'!$D$4:$D$311,$A7,'Match Log'!$E$4:$E$311,"Loss")))))</f>
        <v>100% of 1</v>
      </c>
      <c r="L7" s="54" t="str">
        <f>IF($A7=L$4,"—",IF((SUMPRODUCT(('Match Log'!$D$4:$D$311=$A7)*('Match Log'!$E$4:$E$311="Win")*COUNTIFS('Match Log'!$A$4:$A$311,'Match Log'!$A$4:$A$311,'Match Log'!$D$4:$D$311,L$4,'Match Log'!$E$4:$E$311,"Loss"))+SUMPRODUCT(('Match Log'!$D$4:$D$311=L$4)*('Match Log'!$E$4:$E$311="Win")*COUNTIFS('Match Log'!$A$4:$A$311,'Match Log'!$A$4:$A$311,'Match Log'!$D$4:$D$311,$A7,'Match Log'!$E$4:$E$311,"Loss")))=0,"",TEXT(SUMPRODUCT(('Match Log'!$D$4:$D$311=$A7)*('Match Log'!$E$4:$E$311="Win")*COUNTIFS('Match Log'!$A$4:$A$311,'Match Log'!$A$4:$A$311,'Match Log'!$D$4:$D$311,L$4,'Match Log'!$E$4:$E$311,"Loss"))/(SUMPRODUCT(('Match Log'!$D$4:$D$311=$A7)*('Match Log'!$E$4:$E$311="Win")*COUNTIFS('Match Log'!$A$4:$A$311,'Match Log'!$A$4:$A$311,'Match Log'!$D$4:$D$311,L$4,'Match Log'!$E$4:$E$311,"Loss"))+SUMPRODUCT(('Match Log'!$D$4:$D$311=L$4)*('Match Log'!$E$4:$E$311="Win")*COUNTIFS('Match Log'!$A$4:$A$311,'Match Log'!$A$4:$A$311,'Match Log'!$D$4:$D$311,$A7,'Match Log'!$E$4:$E$311,"Loss"))),"0%")&amp;" of "&amp;(SUMPRODUCT(('Match Log'!$D$4:$D$311=$A7)*('Match Log'!$E$4:$E$311="Win")*COUNTIFS('Match Log'!$A$4:$A$311,'Match Log'!$A$4:$A$311,'Match Log'!$D$4:$D$311,L$4,'Match Log'!$E$4:$E$311,"Loss"))+SUMPRODUCT(('Match Log'!$D$4:$D$311=L$4)*('Match Log'!$E$4:$E$311="Win")*COUNTIFS('Match Log'!$A$4:$A$311,'Match Log'!$A$4:$A$311,'Match Log'!$D$4:$D$311,$A7,'Match Log'!$E$4:$E$311,"Loss")))))</f>
        <v/>
      </c>
      <c r="M7" s="54" t="str">
        <f>IF($A7=M$4,"—",IF((SUMPRODUCT(('Match Log'!$D$4:$D$311=$A7)*('Match Log'!$E$4:$E$311="Win")*COUNTIFS('Match Log'!$A$4:$A$311,'Match Log'!$A$4:$A$311,'Match Log'!$D$4:$D$311,M$4,'Match Log'!$E$4:$E$311,"Loss"))+SUMPRODUCT(('Match Log'!$D$4:$D$311=M$4)*('Match Log'!$E$4:$E$311="Win")*COUNTIFS('Match Log'!$A$4:$A$311,'Match Log'!$A$4:$A$311,'Match Log'!$D$4:$D$311,$A7,'Match Log'!$E$4:$E$311,"Loss")))=0,"",TEXT(SUMPRODUCT(('Match Log'!$D$4:$D$311=$A7)*('Match Log'!$E$4:$E$311="Win")*COUNTIFS('Match Log'!$A$4:$A$311,'Match Log'!$A$4:$A$311,'Match Log'!$D$4:$D$311,M$4,'Match Log'!$E$4:$E$311,"Loss"))/(SUMPRODUCT(('Match Log'!$D$4:$D$311=$A7)*('Match Log'!$E$4:$E$311="Win")*COUNTIFS('Match Log'!$A$4:$A$311,'Match Log'!$A$4:$A$311,'Match Log'!$D$4:$D$311,M$4,'Match Log'!$E$4:$E$311,"Loss"))+SUMPRODUCT(('Match Log'!$D$4:$D$311=M$4)*('Match Log'!$E$4:$E$311="Win")*COUNTIFS('Match Log'!$A$4:$A$311,'Match Log'!$A$4:$A$311,'Match Log'!$D$4:$D$311,$A7,'Match Log'!$E$4:$E$311,"Loss"))),"0%")&amp;" of "&amp;(SUMPRODUCT(('Match Log'!$D$4:$D$311=$A7)*('Match Log'!$E$4:$E$311="Win")*COUNTIFS('Match Log'!$A$4:$A$311,'Match Log'!$A$4:$A$311,'Match Log'!$D$4:$D$311,M$4,'Match Log'!$E$4:$E$311,"Loss"))+SUMPRODUCT(('Match Log'!$D$4:$D$311=M$4)*('Match Log'!$E$4:$E$311="Win")*COUNTIFS('Match Log'!$A$4:$A$311,'Match Log'!$A$4:$A$311,'Match Log'!$D$4:$D$311,$A7,'Match Log'!$E$4:$E$311,"Loss")))))</f>
        <v/>
      </c>
      <c r="N7" s="54" t="str">
        <f>IF($A7=N$4,"—",IF((SUMPRODUCT(('Match Log'!$D$4:$D$311=$A7)*('Match Log'!$E$4:$E$311="Win")*COUNTIFS('Match Log'!$A$4:$A$311,'Match Log'!$A$4:$A$311,'Match Log'!$D$4:$D$311,N$4,'Match Log'!$E$4:$E$311,"Loss"))+SUMPRODUCT(('Match Log'!$D$4:$D$311=N$4)*('Match Log'!$E$4:$E$311="Win")*COUNTIFS('Match Log'!$A$4:$A$311,'Match Log'!$A$4:$A$311,'Match Log'!$D$4:$D$311,$A7,'Match Log'!$E$4:$E$311,"Loss")))=0,"",TEXT(SUMPRODUCT(('Match Log'!$D$4:$D$311=$A7)*('Match Log'!$E$4:$E$311="Win")*COUNTIFS('Match Log'!$A$4:$A$311,'Match Log'!$A$4:$A$311,'Match Log'!$D$4:$D$311,N$4,'Match Log'!$E$4:$E$311,"Loss"))/(SUMPRODUCT(('Match Log'!$D$4:$D$311=$A7)*('Match Log'!$E$4:$E$311="Win")*COUNTIFS('Match Log'!$A$4:$A$311,'Match Log'!$A$4:$A$311,'Match Log'!$D$4:$D$311,N$4,'Match Log'!$E$4:$E$311,"Loss"))+SUMPRODUCT(('Match Log'!$D$4:$D$311=N$4)*('Match Log'!$E$4:$E$311="Win")*COUNTIFS('Match Log'!$A$4:$A$311,'Match Log'!$A$4:$A$311,'Match Log'!$D$4:$D$311,$A7,'Match Log'!$E$4:$E$311,"Loss"))),"0%")&amp;" of "&amp;(SUMPRODUCT(('Match Log'!$D$4:$D$311=$A7)*('Match Log'!$E$4:$E$311="Win")*COUNTIFS('Match Log'!$A$4:$A$311,'Match Log'!$A$4:$A$311,'Match Log'!$D$4:$D$311,N$4,'Match Log'!$E$4:$E$311,"Loss"))+SUMPRODUCT(('Match Log'!$D$4:$D$311=N$4)*('Match Log'!$E$4:$E$311="Win")*COUNTIFS('Match Log'!$A$4:$A$311,'Match Log'!$A$4:$A$311,'Match Log'!$D$4:$D$311,$A7,'Match Log'!$E$4:$E$311,"Loss")))))</f>
        <v/>
      </c>
      <c r="O7" s="54" t="str">
        <f>IF($A7=O$4,"—",IF((SUMPRODUCT(('Match Log'!$D$4:$D$311=$A7)*('Match Log'!$E$4:$E$311="Win")*COUNTIFS('Match Log'!$A$4:$A$311,'Match Log'!$A$4:$A$311,'Match Log'!$D$4:$D$311,O$4,'Match Log'!$E$4:$E$311,"Loss"))+SUMPRODUCT(('Match Log'!$D$4:$D$311=O$4)*('Match Log'!$E$4:$E$311="Win")*COUNTIFS('Match Log'!$A$4:$A$311,'Match Log'!$A$4:$A$311,'Match Log'!$D$4:$D$311,$A7,'Match Log'!$E$4:$E$311,"Loss")))=0,"",TEXT(SUMPRODUCT(('Match Log'!$D$4:$D$311=$A7)*('Match Log'!$E$4:$E$311="Win")*COUNTIFS('Match Log'!$A$4:$A$311,'Match Log'!$A$4:$A$311,'Match Log'!$D$4:$D$311,O$4,'Match Log'!$E$4:$E$311,"Loss"))/(SUMPRODUCT(('Match Log'!$D$4:$D$311=$A7)*('Match Log'!$E$4:$E$311="Win")*COUNTIFS('Match Log'!$A$4:$A$311,'Match Log'!$A$4:$A$311,'Match Log'!$D$4:$D$311,O$4,'Match Log'!$E$4:$E$311,"Loss"))+SUMPRODUCT(('Match Log'!$D$4:$D$311=O$4)*('Match Log'!$E$4:$E$311="Win")*COUNTIFS('Match Log'!$A$4:$A$311,'Match Log'!$A$4:$A$311,'Match Log'!$D$4:$D$311,$A7,'Match Log'!$E$4:$E$311,"Loss"))),"0%")&amp;" of "&amp;(SUMPRODUCT(('Match Log'!$D$4:$D$311=$A7)*('Match Log'!$E$4:$E$311="Win")*COUNTIFS('Match Log'!$A$4:$A$311,'Match Log'!$A$4:$A$311,'Match Log'!$D$4:$D$311,O$4,'Match Log'!$E$4:$E$311,"Loss"))+SUMPRODUCT(('Match Log'!$D$4:$D$311=O$4)*('Match Log'!$E$4:$E$311="Win")*COUNTIFS('Match Log'!$A$4:$A$311,'Match Log'!$A$4:$A$311,'Match Log'!$D$4:$D$311,$A7,'Match Log'!$E$4:$E$311,"Loss")))))</f>
        <v/>
      </c>
    </row>
    <row r="8" spans="1:15" ht="15" customHeight="1" x14ac:dyDescent="0.2">
      <c r="A8" s="49" t="s">
        <v>147</v>
      </c>
      <c r="B8" s="54" t="str">
        <f>IF($A8=B$4,"—",IF((SUMPRODUCT(('Match Log'!$D$4:$D$311=$A8)*('Match Log'!$E$4:$E$311="Win")*COUNTIFS('Match Log'!$A$4:$A$311,'Match Log'!$A$4:$A$311,'Match Log'!$D$4:$D$311,B$4,'Match Log'!$E$4:$E$311,"Loss"))+SUMPRODUCT(('Match Log'!$D$4:$D$311=B$4)*('Match Log'!$E$4:$E$311="Win")*COUNTIFS('Match Log'!$A$4:$A$311,'Match Log'!$A$4:$A$311,'Match Log'!$D$4:$D$311,$A8,'Match Log'!$E$4:$E$311,"Loss")))=0,"",TEXT(SUMPRODUCT(('Match Log'!$D$4:$D$311=$A8)*('Match Log'!$E$4:$E$311="Win")*COUNTIFS('Match Log'!$A$4:$A$311,'Match Log'!$A$4:$A$311,'Match Log'!$D$4:$D$311,B$4,'Match Log'!$E$4:$E$311,"Loss"))/(SUMPRODUCT(('Match Log'!$D$4:$D$311=$A8)*('Match Log'!$E$4:$E$311="Win")*COUNTIFS('Match Log'!$A$4:$A$311,'Match Log'!$A$4:$A$311,'Match Log'!$D$4:$D$311,B$4,'Match Log'!$E$4:$E$311,"Loss"))+SUMPRODUCT(('Match Log'!$D$4:$D$311=B$4)*('Match Log'!$E$4:$E$311="Win")*COUNTIFS('Match Log'!$A$4:$A$311,'Match Log'!$A$4:$A$311,'Match Log'!$D$4:$D$311,$A8,'Match Log'!$E$4:$E$311,"Loss"))),"0%")&amp;" of "&amp;(SUMPRODUCT(('Match Log'!$D$4:$D$311=$A8)*('Match Log'!$E$4:$E$311="Win")*COUNTIFS('Match Log'!$A$4:$A$311,'Match Log'!$A$4:$A$311,'Match Log'!$D$4:$D$311,B$4,'Match Log'!$E$4:$E$311,"Loss"))+SUMPRODUCT(('Match Log'!$D$4:$D$311=B$4)*('Match Log'!$E$4:$E$311="Win")*COUNTIFS('Match Log'!$A$4:$A$311,'Match Log'!$A$4:$A$311,'Match Log'!$D$4:$D$311,$A8,'Match Log'!$E$4:$E$311,"Loss")))))</f>
        <v>50% of 4</v>
      </c>
      <c r="C8" s="54" t="str">
        <f>IF($A8=C$4,"—",IF((SUMPRODUCT(('Match Log'!$D$4:$D$311=$A8)*('Match Log'!$E$4:$E$311="Win")*COUNTIFS('Match Log'!$A$4:$A$311,'Match Log'!$A$4:$A$311,'Match Log'!$D$4:$D$311,C$4,'Match Log'!$E$4:$E$311,"Loss"))+SUMPRODUCT(('Match Log'!$D$4:$D$311=C$4)*('Match Log'!$E$4:$E$311="Win")*COUNTIFS('Match Log'!$A$4:$A$311,'Match Log'!$A$4:$A$311,'Match Log'!$D$4:$D$311,$A8,'Match Log'!$E$4:$E$311,"Loss")))=0,"",TEXT(SUMPRODUCT(('Match Log'!$D$4:$D$311=$A8)*('Match Log'!$E$4:$E$311="Win")*COUNTIFS('Match Log'!$A$4:$A$311,'Match Log'!$A$4:$A$311,'Match Log'!$D$4:$D$311,C$4,'Match Log'!$E$4:$E$311,"Loss"))/(SUMPRODUCT(('Match Log'!$D$4:$D$311=$A8)*('Match Log'!$E$4:$E$311="Win")*COUNTIFS('Match Log'!$A$4:$A$311,'Match Log'!$A$4:$A$311,'Match Log'!$D$4:$D$311,C$4,'Match Log'!$E$4:$E$311,"Loss"))+SUMPRODUCT(('Match Log'!$D$4:$D$311=C$4)*('Match Log'!$E$4:$E$311="Win")*COUNTIFS('Match Log'!$A$4:$A$311,'Match Log'!$A$4:$A$311,'Match Log'!$D$4:$D$311,$A8,'Match Log'!$E$4:$E$311,"Loss"))),"0%")&amp;" of "&amp;(SUMPRODUCT(('Match Log'!$D$4:$D$311=$A8)*('Match Log'!$E$4:$E$311="Win")*COUNTIFS('Match Log'!$A$4:$A$311,'Match Log'!$A$4:$A$311,'Match Log'!$D$4:$D$311,C$4,'Match Log'!$E$4:$E$311,"Loss"))+SUMPRODUCT(('Match Log'!$D$4:$D$311=C$4)*('Match Log'!$E$4:$E$311="Win")*COUNTIFS('Match Log'!$A$4:$A$311,'Match Log'!$A$4:$A$311,'Match Log'!$D$4:$D$311,$A8,'Match Log'!$E$4:$E$311,"Loss")))))</f>
        <v>100% of 1</v>
      </c>
      <c r="D8" s="54" t="str">
        <f>IF($A8=D$4,"—",IF((SUMPRODUCT(('Match Log'!$D$4:$D$311=$A8)*('Match Log'!$E$4:$E$311="Win")*COUNTIFS('Match Log'!$A$4:$A$311,'Match Log'!$A$4:$A$311,'Match Log'!$D$4:$D$311,D$4,'Match Log'!$E$4:$E$311,"Loss"))+SUMPRODUCT(('Match Log'!$D$4:$D$311=D$4)*('Match Log'!$E$4:$E$311="Win")*COUNTIFS('Match Log'!$A$4:$A$311,'Match Log'!$A$4:$A$311,'Match Log'!$D$4:$D$311,$A8,'Match Log'!$E$4:$E$311,"Loss")))=0,"",TEXT(SUMPRODUCT(('Match Log'!$D$4:$D$311=$A8)*('Match Log'!$E$4:$E$311="Win")*COUNTIFS('Match Log'!$A$4:$A$311,'Match Log'!$A$4:$A$311,'Match Log'!$D$4:$D$311,D$4,'Match Log'!$E$4:$E$311,"Loss"))/(SUMPRODUCT(('Match Log'!$D$4:$D$311=$A8)*('Match Log'!$E$4:$E$311="Win")*COUNTIFS('Match Log'!$A$4:$A$311,'Match Log'!$A$4:$A$311,'Match Log'!$D$4:$D$311,D$4,'Match Log'!$E$4:$E$311,"Loss"))+SUMPRODUCT(('Match Log'!$D$4:$D$311=D$4)*('Match Log'!$E$4:$E$311="Win")*COUNTIFS('Match Log'!$A$4:$A$311,'Match Log'!$A$4:$A$311,'Match Log'!$D$4:$D$311,$A8,'Match Log'!$E$4:$E$311,"Loss"))),"0%")&amp;" of "&amp;(SUMPRODUCT(('Match Log'!$D$4:$D$311=$A8)*('Match Log'!$E$4:$E$311="Win")*COUNTIFS('Match Log'!$A$4:$A$311,'Match Log'!$A$4:$A$311,'Match Log'!$D$4:$D$311,D$4,'Match Log'!$E$4:$E$311,"Loss"))+SUMPRODUCT(('Match Log'!$D$4:$D$311=D$4)*('Match Log'!$E$4:$E$311="Win")*COUNTIFS('Match Log'!$A$4:$A$311,'Match Log'!$A$4:$A$311,'Match Log'!$D$4:$D$311,$A8,'Match Log'!$E$4:$E$311,"Loss")))))</f>
        <v/>
      </c>
      <c r="E8" s="54" t="str">
        <f>IF($A8=E$4,"—",IF((SUMPRODUCT(('Match Log'!$D$4:$D$311=$A8)*('Match Log'!$E$4:$E$311="Win")*COUNTIFS('Match Log'!$A$4:$A$311,'Match Log'!$A$4:$A$311,'Match Log'!$D$4:$D$311,E$4,'Match Log'!$E$4:$E$311,"Loss"))+SUMPRODUCT(('Match Log'!$D$4:$D$311=E$4)*('Match Log'!$E$4:$E$311="Win")*COUNTIFS('Match Log'!$A$4:$A$311,'Match Log'!$A$4:$A$311,'Match Log'!$D$4:$D$311,$A8,'Match Log'!$E$4:$E$311,"Loss")))=0,"",TEXT(SUMPRODUCT(('Match Log'!$D$4:$D$311=$A8)*('Match Log'!$E$4:$E$311="Win")*COUNTIFS('Match Log'!$A$4:$A$311,'Match Log'!$A$4:$A$311,'Match Log'!$D$4:$D$311,E$4,'Match Log'!$E$4:$E$311,"Loss"))/(SUMPRODUCT(('Match Log'!$D$4:$D$311=$A8)*('Match Log'!$E$4:$E$311="Win")*COUNTIFS('Match Log'!$A$4:$A$311,'Match Log'!$A$4:$A$311,'Match Log'!$D$4:$D$311,E$4,'Match Log'!$E$4:$E$311,"Loss"))+SUMPRODUCT(('Match Log'!$D$4:$D$311=E$4)*('Match Log'!$E$4:$E$311="Win")*COUNTIFS('Match Log'!$A$4:$A$311,'Match Log'!$A$4:$A$311,'Match Log'!$D$4:$D$311,$A8,'Match Log'!$E$4:$E$311,"Loss"))),"0%")&amp;" of "&amp;(SUMPRODUCT(('Match Log'!$D$4:$D$311=$A8)*('Match Log'!$E$4:$E$311="Win")*COUNTIFS('Match Log'!$A$4:$A$311,'Match Log'!$A$4:$A$311,'Match Log'!$D$4:$D$311,E$4,'Match Log'!$E$4:$E$311,"Loss"))+SUMPRODUCT(('Match Log'!$D$4:$D$311=E$4)*('Match Log'!$E$4:$E$311="Win")*COUNTIFS('Match Log'!$A$4:$A$311,'Match Log'!$A$4:$A$311,'Match Log'!$D$4:$D$311,$A8,'Match Log'!$E$4:$E$311,"Loss")))))</f>
        <v>—</v>
      </c>
      <c r="F8" s="54" t="str">
        <f>IF($A8=F$4,"—",IF((SUMPRODUCT(('Match Log'!$D$4:$D$311=$A8)*('Match Log'!$E$4:$E$311="Win")*COUNTIFS('Match Log'!$A$4:$A$311,'Match Log'!$A$4:$A$311,'Match Log'!$D$4:$D$311,F$4,'Match Log'!$E$4:$E$311,"Loss"))+SUMPRODUCT(('Match Log'!$D$4:$D$311=F$4)*('Match Log'!$E$4:$E$311="Win")*COUNTIFS('Match Log'!$A$4:$A$311,'Match Log'!$A$4:$A$311,'Match Log'!$D$4:$D$311,$A8,'Match Log'!$E$4:$E$311,"Loss")))=0,"",TEXT(SUMPRODUCT(('Match Log'!$D$4:$D$311=$A8)*('Match Log'!$E$4:$E$311="Win")*COUNTIFS('Match Log'!$A$4:$A$311,'Match Log'!$A$4:$A$311,'Match Log'!$D$4:$D$311,F$4,'Match Log'!$E$4:$E$311,"Loss"))/(SUMPRODUCT(('Match Log'!$D$4:$D$311=$A8)*('Match Log'!$E$4:$E$311="Win")*COUNTIFS('Match Log'!$A$4:$A$311,'Match Log'!$A$4:$A$311,'Match Log'!$D$4:$D$311,F$4,'Match Log'!$E$4:$E$311,"Loss"))+SUMPRODUCT(('Match Log'!$D$4:$D$311=F$4)*('Match Log'!$E$4:$E$311="Win")*COUNTIFS('Match Log'!$A$4:$A$311,'Match Log'!$A$4:$A$311,'Match Log'!$D$4:$D$311,$A8,'Match Log'!$E$4:$E$311,"Loss"))),"0%")&amp;" of "&amp;(SUMPRODUCT(('Match Log'!$D$4:$D$311=$A8)*('Match Log'!$E$4:$E$311="Win")*COUNTIFS('Match Log'!$A$4:$A$311,'Match Log'!$A$4:$A$311,'Match Log'!$D$4:$D$311,F$4,'Match Log'!$E$4:$E$311,"Loss"))+SUMPRODUCT(('Match Log'!$D$4:$D$311=F$4)*('Match Log'!$E$4:$E$311="Win")*COUNTIFS('Match Log'!$A$4:$A$311,'Match Log'!$A$4:$A$311,'Match Log'!$D$4:$D$311,$A8,'Match Log'!$E$4:$E$311,"Loss")))))</f>
        <v>25% of 4</v>
      </c>
      <c r="G8" s="54" t="str">
        <f>IF($A8=G$4,"—",IF((SUMPRODUCT(('Match Log'!$D$4:$D$311=$A8)*('Match Log'!$E$4:$E$311="Win")*COUNTIFS('Match Log'!$A$4:$A$311,'Match Log'!$A$4:$A$311,'Match Log'!$D$4:$D$311,G$4,'Match Log'!$E$4:$E$311,"Loss"))+SUMPRODUCT(('Match Log'!$D$4:$D$311=G$4)*('Match Log'!$E$4:$E$311="Win")*COUNTIFS('Match Log'!$A$4:$A$311,'Match Log'!$A$4:$A$311,'Match Log'!$D$4:$D$311,$A8,'Match Log'!$E$4:$E$311,"Loss")))=0,"",TEXT(SUMPRODUCT(('Match Log'!$D$4:$D$311=$A8)*('Match Log'!$E$4:$E$311="Win")*COUNTIFS('Match Log'!$A$4:$A$311,'Match Log'!$A$4:$A$311,'Match Log'!$D$4:$D$311,G$4,'Match Log'!$E$4:$E$311,"Loss"))/(SUMPRODUCT(('Match Log'!$D$4:$D$311=$A8)*('Match Log'!$E$4:$E$311="Win")*COUNTIFS('Match Log'!$A$4:$A$311,'Match Log'!$A$4:$A$311,'Match Log'!$D$4:$D$311,G$4,'Match Log'!$E$4:$E$311,"Loss"))+SUMPRODUCT(('Match Log'!$D$4:$D$311=G$4)*('Match Log'!$E$4:$E$311="Win")*COUNTIFS('Match Log'!$A$4:$A$311,'Match Log'!$A$4:$A$311,'Match Log'!$D$4:$D$311,$A8,'Match Log'!$E$4:$E$311,"Loss"))),"0%")&amp;" of "&amp;(SUMPRODUCT(('Match Log'!$D$4:$D$311=$A8)*('Match Log'!$E$4:$E$311="Win")*COUNTIFS('Match Log'!$A$4:$A$311,'Match Log'!$A$4:$A$311,'Match Log'!$D$4:$D$311,G$4,'Match Log'!$E$4:$E$311,"Loss"))+SUMPRODUCT(('Match Log'!$D$4:$D$311=G$4)*('Match Log'!$E$4:$E$311="Win")*COUNTIFS('Match Log'!$A$4:$A$311,'Match Log'!$A$4:$A$311,'Match Log'!$D$4:$D$311,$A8,'Match Log'!$E$4:$E$311,"Loss")))))</f>
        <v>100% of 1</v>
      </c>
      <c r="H8" s="54" t="str">
        <f>IF($A8=H$4,"—",IF((SUMPRODUCT(('Match Log'!$D$4:$D$311=$A8)*('Match Log'!$E$4:$E$311="Win")*COUNTIFS('Match Log'!$A$4:$A$311,'Match Log'!$A$4:$A$311,'Match Log'!$D$4:$D$311,H$4,'Match Log'!$E$4:$E$311,"Loss"))+SUMPRODUCT(('Match Log'!$D$4:$D$311=H$4)*('Match Log'!$E$4:$E$311="Win")*COUNTIFS('Match Log'!$A$4:$A$311,'Match Log'!$A$4:$A$311,'Match Log'!$D$4:$D$311,$A8,'Match Log'!$E$4:$E$311,"Loss")))=0,"",TEXT(SUMPRODUCT(('Match Log'!$D$4:$D$311=$A8)*('Match Log'!$E$4:$E$311="Win")*COUNTIFS('Match Log'!$A$4:$A$311,'Match Log'!$A$4:$A$311,'Match Log'!$D$4:$D$311,H$4,'Match Log'!$E$4:$E$311,"Loss"))/(SUMPRODUCT(('Match Log'!$D$4:$D$311=$A8)*('Match Log'!$E$4:$E$311="Win")*COUNTIFS('Match Log'!$A$4:$A$311,'Match Log'!$A$4:$A$311,'Match Log'!$D$4:$D$311,H$4,'Match Log'!$E$4:$E$311,"Loss"))+SUMPRODUCT(('Match Log'!$D$4:$D$311=H$4)*('Match Log'!$E$4:$E$311="Win")*COUNTIFS('Match Log'!$A$4:$A$311,'Match Log'!$A$4:$A$311,'Match Log'!$D$4:$D$311,$A8,'Match Log'!$E$4:$E$311,"Loss"))),"0%")&amp;" of "&amp;(SUMPRODUCT(('Match Log'!$D$4:$D$311=$A8)*('Match Log'!$E$4:$E$311="Win")*COUNTIFS('Match Log'!$A$4:$A$311,'Match Log'!$A$4:$A$311,'Match Log'!$D$4:$D$311,H$4,'Match Log'!$E$4:$E$311,"Loss"))+SUMPRODUCT(('Match Log'!$D$4:$D$311=H$4)*('Match Log'!$E$4:$E$311="Win")*COUNTIFS('Match Log'!$A$4:$A$311,'Match Log'!$A$4:$A$311,'Match Log'!$D$4:$D$311,$A8,'Match Log'!$E$4:$E$311,"Loss")))))</f>
        <v>0% of 1</v>
      </c>
      <c r="I8" s="54" t="str">
        <f>IF($A8=I$4,"—",IF((SUMPRODUCT(('Match Log'!$D$4:$D$311=$A8)*('Match Log'!$E$4:$E$311="Win")*COUNTIFS('Match Log'!$A$4:$A$311,'Match Log'!$A$4:$A$311,'Match Log'!$D$4:$D$311,I$4,'Match Log'!$E$4:$E$311,"Loss"))+SUMPRODUCT(('Match Log'!$D$4:$D$311=I$4)*('Match Log'!$E$4:$E$311="Win")*COUNTIFS('Match Log'!$A$4:$A$311,'Match Log'!$A$4:$A$311,'Match Log'!$D$4:$D$311,$A8,'Match Log'!$E$4:$E$311,"Loss")))=0,"",TEXT(SUMPRODUCT(('Match Log'!$D$4:$D$311=$A8)*('Match Log'!$E$4:$E$311="Win")*COUNTIFS('Match Log'!$A$4:$A$311,'Match Log'!$A$4:$A$311,'Match Log'!$D$4:$D$311,I$4,'Match Log'!$E$4:$E$311,"Loss"))/(SUMPRODUCT(('Match Log'!$D$4:$D$311=$A8)*('Match Log'!$E$4:$E$311="Win")*COUNTIFS('Match Log'!$A$4:$A$311,'Match Log'!$A$4:$A$311,'Match Log'!$D$4:$D$311,I$4,'Match Log'!$E$4:$E$311,"Loss"))+SUMPRODUCT(('Match Log'!$D$4:$D$311=I$4)*('Match Log'!$E$4:$E$311="Win")*COUNTIFS('Match Log'!$A$4:$A$311,'Match Log'!$A$4:$A$311,'Match Log'!$D$4:$D$311,$A8,'Match Log'!$E$4:$E$311,"Loss"))),"0%")&amp;" of "&amp;(SUMPRODUCT(('Match Log'!$D$4:$D$311=$A8)*('Match Log'!$E$4:$E$311="Win")*COUNTIFS('Match Log'!$A$4:$A$311,'Match Log'!$A$4:$A$311,'Match Log'!$D$4:$D$311,I$4,'Match Log'!$E$4:$E$311,"Loss"))+SUMPRODUCT(('Match Log'!$D$4:$D$311=I$4)*('Match Log'!$E$4:$E$311="Win")*COUNTIFS('Match Log'!$A$4:$A$311,'Match Log'!$A$4:$A$311,'Match Log'!$D$4:$D$311,$A8,'Match Log'!$E$4:$E$311,"Loss")))))</f>
        <v>0% of 3</v>
      </c>
      <c r="J8" s="54" t="str">
        <f>IF($A8=J$4,"—",IF((SUMPRODUCT(('Match Log'!$D$4:$D$311=$A8)*('Match Log'!$E$4:$E$311="Win")*COUNTIFS('Match Log'!$A$4:$A$311,'Match Log'!$A$4:$A$311,'Match Log'!$D$4:$D$311,J$4,'Match Log'!$E$4:$E$311,"Loss"))+SUMPRODUCT(('Match Log'!$D$4:$D$311=J$4)*('Match Log'!$E$4:$E$311="Win")*COUNTIFS('Match Log'!$A$4:$A$311,'Match Log'!$A$4:$A$311,'Match Log'!$D$4:$D$311,$A8,'Match Log'!$E$4:$E$311,"Loss")))=0,"",TEXT(SUMPRODUCT(('Match Log'!$D$4:$D$311=$A8)*('Match Log'!$E$4:$E$311="Win")*COUNTIFS('Match Log'!$A$4:$A$311,'Match Log'!$A$4:$A$311,'Match Log'!$D$4:$D$311,J$4,'Match Log'!$E$4:$E$311,"Loss"))/(SUMPRODUCT(('Match Log'!$D$4:$D$311=$A8)*('Match Log'!$E$4:$E$311="Win")*COUNTIFS('Match Log'!$A$4:$A$311,'Match Log'!$A$4:$A$311,'Match Log'!$D$4:$D$311,J$4,'Match Log'!$E$4:$E$311,"Loss"))+SUMPRODUCT(('Match Log'!$D$4:$D$311=J$4)*('Match Log'!$E$4:$E$311="Win")*COUNTIFS('Match Log'!$A$4:$A$311,'Match Log'!$A$4:$A$311,'Match Log'!$D$4:$D$311,$A8,'Match Log'!$E$4:$E$311,"Loss"))),"0%")&amp;" of "&amp;(SUMPRODUCT(('Match Log'!$D$4:$D$311=$A8)*('Match Log'!$E$4:$E$311="Win")*COUNTIFS('Match Log'!$A$4:$A$311,'Match Log'!$A$4:$A$311,'Match Log'!$D$4:$D$311,J$4,'Match Log'!$E$4:$E$311,"Loss"))+SUMPRODUCT(('Match Log'!$D$4:$D$311=J$4)*('Match Log'!$E$4:$E$311="Win")*COUNTIFS('Match Log'!$A$4:$A$311,'Match Log'!$A$4:$A$311,'Match Log'!$D$4:$D$311,$A8,'Match Log'!$E$4:$E$311,"Loss")))))</f>
        <v>0% of 3</v>
      </c>
      <c r="K8" s="54" t="str">
        <f>IF($A8=K$4,"—",IF((SUMPRODUCT(('Match Log'!$D$4:$D$311=$A8)*('Match Log'!$E$4:$E$311="Win")*COUNTIFS('Match Log'!$A$4:$A$311,'Match Log'!$A$4:$A$311,'Match Log'!$D$4:$D$311,K$4,'Match Log'!$E$4:$E$311,"Loss"))+SUMPRODUCT(('Match Log'!$D$4:$D$311=K$4)*('Match Log'!$E$4:$E$311="Win")*COUNTIFS('Match Log'!$A$4:$A$311,'Match Log'!$A$4:$A$311,'Match Log'!$D$4:$D$311,$A8,'Match Log'!$E$4:$E$311,"Loss")))=0,"",TEXT(SUMPRODUCT(('Match Log'!$D$4:$D$311=$A8)*('Match Log'!$E$4:$E$311="Win")*COUNTIFS('Match Log'!$A$4:$A$311,'Match Log'!$A$4:$A$311,'Match Log'!$D$4:$D$311,K$4,'Match Log'!$E$4:$E$311,"Loss"))/(SUMPRODUCT(('Match Log'!$D$4:$D$311=$A8)*('Match Log'!$E$4:$E$311="Win")*COUNTIFS('Match Log'!$A$4:$A$311,'Match Log'!$A$4:$A$311,'Match Log'!$D$4:$D$311,K$4,'Match Log'!$E$4:$E$311,"Loss"))+SUMPRODUCT(('Match Log'!$D$4:$D$311=K$4)*('Match Log'!$E$4:$E$311="Win")*COUNTIFS('Match Log'!$A$4:$A$311,'Match Log'!$A$4:$A$311,'Match Log'!$D$4:$D$311,$A8,'Match Log'!$E$4:$E$311,"Loss"))),"0%")&amp;" of "&amp;(SUMPRODUCT(('Match Log'!$D$4:$D$311=$A8)*('Match Log'!$E$4:$E$311="Win")*COUNTIFS('Match Log'!$A$4:$A$311,'Match Log'!$A$4:$A$311,'Match Log'!$D$4:$D$311,K$4,'Match Log'!$E$4:$E$311,"Loss"))+SUMPRODUCT(('Match Log'!$D$4:$D$311=K$4)*('Match Log'!$E$4:$E$311="Win")*COUNTIFS('Match Log'!$A$4:$A$311,'Match Log'!$A$4:$A$311,'Match Log'!$D$4:$D$311,$A8,'Match Log'!$E$4:$E$311,"Loss")))))</f>
        <v>100% of 1</v>
      </c>
      <c r="L8" s="54" t="str">
        <f>IF($A8=L$4,"—",IF((SUMPRODUCT(('Match Log'!$D$4:$D$311=$A8)*('Match Log'!$E$4:$E$311="Win")*COUNTIFS('Match Log'!$A$4:$A$311,'Match Log'!$A$4:$A$311,'Match Log'!$D$4:$D$311,L$4,'Match Log'!$E$4:$E$311,"Loss"))+SUMPRODUCT(('Match Log'!$D$4:$D$311=L$4)*('Match Log'!$E$4:$E$311="Win")*COUNTIFS('Match Log'!$A$4:$A$311,'Match Log'!$A$4:$A$311,'Match Log'!$D$4:$D$311,$A8,'Match Log'!$E$4:$E$311,"Loss")))=0,"",TEXT(SUMPRODUCT(('Match Log'!$D$4:$D$311=$A8)*('Match Log'!$E$4:$E$311="Win")*COUNTIFS('Match Log'!$A$4:$A$311,'Match Log'!$A$4:$A$311,'Match Log'!$D$4:$D$311,L$4,'Match Log'!$E$4:$E$311,"Loss"))/(SUMPRODUCT(('Match Log'!$D$4:$D$311=$A8)*('Match Log'!$E$4:$E$311="Win")*COUNTIFS('Match Log'!$A$4:$A$311,'Match Log'!$A$4:$A$311,'Match Log'!$D$4:$D$311,L$4,'Match Log'!$E$4:$E$311,"Loss"))+SUMPRODUCT(('Match Log'!$D$4:$D$311=L$4)*('Match Log'!$E$4:$E$311="Win")*COUNTIFS('Match Log'!$A$4:$A$311,'Match Log'!$A$4:$A$311,'Match Log'!$D$4:$D$311,$A8,'Match Log'!$E$4:$E$311,"Loss"))),"0%")&amp;" of "&amp;(SUMPRODUCT(('Match Log'!$D$4:$D$311=$A8)*('Match Log'!$E$4:$E$311="Win")*COUNTIFS('Match Log'!$A$4:$A$311,'Match Log'!$A$4:$A$311,'Match Log'!$D$4:$D$311,L$4,'Match Log'!$E$4:$E$311,"Loss"))+SUMPRODUCT(('Match Log'!$D$4:$D$311=L$4)*('Match Log'!$E$4:$E$311="Win")*COUNTIFS('Match Log'!$A$4:$A$311,'Match Log'!$A$4:$A$311,'Match Log'!$D$4:$D$311,$A8,'Match Log'!$E$4:$E$311,"Loss")))))</f>
        <v>0% of 1</v>
      </c>
      <c r="M8" s="54" t="str">
        <f>IF($A8=M$4,"—",IF((SUMPRODUCT(('Match Log'!$D$4:$D$311=$A8)*('Match Log'!$E$4:$E$311="Win")*COUNTIFS('Match Log'!$A$4:$A$311,'Match Log'!$A$4:$A$311,'Match Log'!$D$4:$D$311,M$4,'Match Log'!$E$4:$E$311,"Loss"))+SUMPRODUCT(('Match Log'!$D$4:$D$311=M$4)*('Match Log'!$E$4:$E$311="Win")*COUNTIFS('Match Log'!$A$4:$A$311,'Match Log'!$A$4:$A$311,'Match Log'!$D$4:$D$311,$A8,'Match Log'!$E$4:$E$311,"Loss")))=0,"",TEXT(SUMPRODUCT(('Match Log'!$D$4:$D$311=$A8)*('Match Log'!$E$4:$E$311="Win")*COUNTIFS('Match Log'!$A$4:$A$311,'Match Log'!$A$4:$A$311,'Match Log'!$D$4:$D$311,M$4,'Match Log'!$E$4:$E$311,"Loss"))/(SUMPRODUCT(('Match Log'!$D$4:$D$311=$A8)*('Match Log'!$E$4:$E$311="Win")*COUNTIFS('Match Log'!$A$4:$A$311,'Match Log'!$A$4:$A$311,'Match Log'!$D$4:$D$311,M$4,'Match Log'!$E$4:$E$311,"Loss"))+SUMPRODUCT(('Match Log'!$D$4:$D$311=M$4)*('Match Log'!$E$4:$E$311="Win")*COUNTIFS('Match Log'!$A$4:$A$311,'Match Log'!$A$4:$A$311,'Match Log'!$D$4:$D$311,$A8,'Match Log'!$E$4:$E$311,"Loss"))),"0%")&amp;" of "&amp;(SUMPRODUCT(('Match Log'!$D$4:$D$311=$A8)*('Match Log'!$E$4:$E$311="Win")*COUNTIFS('Match Log'!$A$4:$A$311,'Match Log'!$A$4:$A$311,'Match Log'!$D$4:$D$311,M$4,'Match Log'!$E$4:$E$311,"Loss"))+SUMPRODUCT(('Match Log'!$D$4:$D$311=M$4)*('Match Log'!$E$4:$E$311="Win")*COUNTIFS('Match Log'!$A$4:$A$311,'Match Log'!$A$4:$A$311,'Match Log'!$D$4:$D$311,$A8,'Match Log'!$E$4:$E$311,"Loss")))))</f>
        <v/>
      </c>
      <c r="N8" s="54" t="str">
        <f>IF($A8=N$4,"—",IF((SUMPRODUCT(('Match Log'!$D$4:$D$311=$A8)*('Match Log'!$E$4:$E$311="Win")*COUNTIFS('Match Log'!$A$4:$A$311,'Match Log'!$A$4:$A$311,'Match Log'!$D$4:$D$311,N$4,'Match Log'!$E$4:$E$311,"Loss"))+SUMPRODUCT(('Match Log'!$D$4:$D$311=N$4)*('Match Log'!$E$4:$E$311="Win")*COUNTIFS('Match Log'!$A$4:$A$311,'Match Log'!$A$4:$A$311,'Match Log'!$D$4:$D$311,$A8,'Match Log'!$E$4:$E$311,"Loss")))=0,"",TEXT(SUMPRODUCT(('Match Log'!$D$4:$D$311=$A8)*('Match Log'!$E$4:$E$311="Win")*COUNTIFS('Match Log'!$A$4:$A$311,'Match Log'!$A$4:$A$311,'Match Log'!$D$4:$D$311,N$4,'Match Log'!$E$4:$E$311,"Loss"))/(SUMPRODUCT(('Match Log'!$D$4:$D$311=$A8)*('Match Log'!$E$4:$E$311="Win")*COUNTIFS('Match Log'!$A$4:$A$311,'Match Log'!$A$4:$A$311,'Match Log'!$D$4:$D$311,N$4,'Match Log'!$E$4:$E$311,"Loss"))+SUMPRODUCT(('Match Log'!$D$4:$D$311=N$4)*('Match Log'!$E$4:$E$311="Win")*COUNTIFS('Match Log'!$A$4:$A$311,'Match Log'!$A$4:$A$311,'Match Log'!$D$4:$D$311,$A8,'Match Log'!$E$4:$E$311,"Loss"))),"0%")&amp;" of "&amp;(SUMPRODUCT(('Match Log'!$D$4:$D$311=$A8)*('Match Log'!$E$4:$E$311="Win")*COUNTIFS('Match Log'!$A$4:$A$311,'Match Log'!$A$4:$A$311,'Match Log'!$D$4:$D$311,N$4,'Match Log'!$E$4:$E$311,"Loss"))+SUMPRODUCT(('Match Log'!$D$4:$D$311=N$4)*('Match Log'!$E$4:$E$311="Win")*COUNTIFS('Match Log'!$A$4:$A$311,'Match Log'!$A$4:$A$311,'Match Log'!$D$4:$D$311,$A8,'Match Log'!$E$4:$E$311,"Loss")))))</f>
        <v/>
      </c>
      <c r="O8" s="54" t="str">
        <f>IF($A8=O$4,"—",IF((SUMPRODUCT(('Match Log'!$D$4:$D$311=$A8)*('Match Log'!$E$4:$E$311="Win")*COUNTIFS('Match Log'!$A$4:$A$311,'Match Log'!$A$4:$A$311,'Match Log'!$D$4:$D$311,O$4,'Match Log'!$E$4:$E$311,"Loss"))+SUMPRODUCT(('Match Log'!$D$4:$D$311=O$4)*('Match Log'!$E$4:$E$311="Win")*COUNTIFS('Match Log'!$A$4:$A$311,'Match Log'!$A$4:$A$311,'Match Log'!$D$4:$D$311,$A8,'Match Log'!$E$4:$E$311,"Loss")))=0,"",TEXT(SUMPRODUCT(('Match Log'!$D$4:$D$311=$A8)*('Match Log'!$E$4:$E$311="Win")*COUNTIFS('Match Log'!$A$4:$A$311,'Match Log'!$A$4:$A$311,'Match Log'!$D$4:$D$311,O$4,'Match Log'!$E$4:$E$311,"Loss"))/(SUMPRODUCT(('Match Log'!$D$4:$D$311=$A8)*('Match Log'!$E$4:$E$311="Win")*COUNTIFS('Match Log'!$A$4:$A$311,'Match Log'!$A$4:$A$311,'Match Log'!$D$4:$D$311,O$4,'Match Log'!$E$4:$E$311,"Loss"))+SUMPRODUCT(('Match Log'!$D$4:$D$311=O$4)*('Match Log'!$E$4:$E$311="Win")*COUNTIFS('Match Log'!$A$4:$A$311,'Match Log'!$A$4:$A$311,'Match Log'!$D$4:$D$311,$A8,'Match Log'!$E$4:$E$311,"Loss"))),"0%")&amp;" of "&amp;(SUMPRODUCT(('Match Log'!$D$4:$D$311=$A8)*('Match Log'!$E$4:$E$311="Win")*COUNTIFS('Match Log'!$A$4:$A$311,'Match Log'!$A$4:$A$311,'Match Log'!$D$4:$D$311,O$4,'Match Log'!$E$4:$E$311,"Loss"))+SUMPRODUCT(('Match Log'!$D$4:$D$311=O$4)*('Match Log'!$E$4:$E$311="Win")*COUNTIFS('Match Log'!$A$4:$A$311,'Match Log'!$A$4:$A$311,'Match Log'!$D$4:$D$311,$A8,'Match Log'!$E$4:$E$311,"Loss")))))</f>
        <v/>
      </c>
    </row>
    <row r="9" spans="1:15" ht="15" customHeight="1" x14ac:dyDescent="0.2">
      <c r="A9" s="49" t="s">
        <v>144</v>
      </c>
      <c r="B9" s="54" t="str">
        <f>IF($A9=B$4,"—",IF((SUMPRODUCT(('Match Log'!$D$4:$D$311=$A9)*('Match Log'!$E$4:$E$311="Win")*COUNTIFS('Match Log'!$A$4:$A$311,'Match Log'!$A$4:$A$311,'Match Log'!$D$4:$D$311,B$4,'Match Log'!$E$4:$E$311,"Loss"))+SUMPRODUCT(('Match Log'!$D$4:$D$311=B$4)*('Match Log'!$E$4:$E$311="Win")*COUNTIFS('Match Log'!$A$4:$A$311,'Match Log'!$A$4:$A$311,'Match Log'!$D$4:$D$311,$A9,'Match Log'!$E$4:$E$311,"Loss")))=0,"",TEXT(SUMPRODUCT(('Match Log'!$D$4:$D$311=$A9)*('Match Log'!$E$4:$E$311="Win")*COUNTIFS('Match Log'!$A$4:$A$311,'Match Log'!$A$4:$A$311,'Match Log'!$D$4:$D$311,B$4,'Match Log'!$E$4:$E$311,"Loss"))/(SUMPRODUCT(('Match Log'!$D$4:$D$311=$A9)*('Match Log'!$E$4:$E$311="Win")*COUNTIFS('Match Log'!$A$4:$A$311,'Match Log'!$A$4:$A$311,'Match Log'!$D$4:$D$311,B$4,'Match Log'!$E$4:$E$311,"Loss"))+SUMPRODUCT(('Match Log'!$D$4:$D$311=B$4)*('Match Log'!$E$4:$E$311="Win")*COUNTIFS('Match Log'!$A$4:$A$311,'Match Log'!$A$4:$A$311,'Match Log'!$D$4:$D$311,$A9,'Match Log'!$E$4:$E$311,"Loss"))),"0%")&amp;" of "&amp;(SUMPRODUCT(('Match Log'!$D$4:$D$311=$A9)*('Match Log'!$E$4:$E$311="Win")*COUNTIFS('Match Log'!$A$4:$A$311,'Match Log'!$A$4:$A$311,'Match Log'!$D$4:$D$311,B$4,'Match Log'!$E$4:$E$311,"Loss"))+SUMPRODUCT(('Match Log'!$D$4:$D$311=B$4)*('Match Log'!$E$4:$E$311="Win")*COUNTIFS('Match Log'!$A$4:$A$311,'Match Log'!$A$4:$A$311,'Match Log'!$D$4:$D$311,$A9,'Match Log'!$E$4:$E$311,"Loss")))))</f>
        <v>0% of 2</v>
      </c>
      <c r="C9" s="54" t="str">
        <f>IF($A9=C$4,"—",IF((SUMPRODUCT(('Match Log'!$D$4:$D$311=$A9)*('Match Log'!$E$4:$E$311="Win")*COUNTIFS('Match Log'!$A$4:$A$311,'Match Log'!$A$4:$A$311,'Match Log'!$D$4:$D$311,C$4,'Match Log'!$E$4:$E$311,"Loss"))+SUMPRODUCT(('Match Log'!$D$4:$D$311=C$4)*('Match Log'!$E$4:$E$311="Win")*COUNTIFS('Match Log'!$A$4:$A$311,'Match Log'!$A$4:$A$311,'Match Log'!$D$4:$D$311,$A9,'Match Log'!$E$4:$E$311,"Loss")))=0,"",TEXT(SUMPRODUCT(('Match Log'!$D$4:$D$311=$A9)*('Match Log'!$E$4:$E$311="Win")*COUNTIFS('Match Log'!$A$4:$A$311,'Match Log'!$A$4:$A$311,'Match Log'!$D$4:$D$311,C$4,'Match Log'!$E$4:$E$311,"Loss"))/(SUMPRODUCT(('Match Log'!$D$4:$D$311=$A9)*('Match Log'!$E$4:$E$311="Win")*COUNTIFS('Match Log'!$A$4:$A$311,'Match Log'!$A$4:$A$311,'Match Log'!$D$4:$D$311,C$4,'Match Log'!$E$4:$E$311,"Loss"))+SUMPRODUCT(('Match Log'!$D$4:$D$311=C$4)*('Match Log'!$E$4:$E$311="Win")*COUNTIFS('Match Log'!$A$4:$A$311,'Match Log'!$A$4:$A$311,'Match Log'!$D$4:$D$311,$A9,'Match Log'!$E$4:$E$311,"Loss"))),"0%")&amp;" of "&amp;(SUMPRODUCT(('Match Log'!$D$4:$D$311=$A9)*('Match Log'!$E$4:$E$311="Win")*COUNTIFS('Match Log'!$A$4:$A$311,'Match Log'!$A$4:$A$311,'Match Log'!$D$4:$D$311,C$4,'Match Log'!$E$4:$E$311,"Loss"))+SUMPRODUCT(('Match Log'!$D$4:$D$311=C$4)*('Match Log'!$E$4:$E$311="Win")*COUNTIFS('Match Log'!$A$4:$A$311,'Match Log'!$A$4:$A$311,'Match Log'!$D$4:$D$311,$A9,'Match Log'!$E$4:$E$311,"Loss")))))</f>
        <v>100% of 1</v>
      </c>
      <c r="D9" s="54" t="str">
        <f>IF($A9=D$4,"—",IF((SUMPRODUCT(('Match Log'!$D$4:$D$311=$A9)*('Match Log'!$E$4:$E$311="Win")*COUNTIFS('Match Log'!$A$4:$A$311,'Match Log'!$A$4:$A$311,'Match Log'!$D$4:$D$311,D$4,'Match Log'!$E$4:$E$311,"Loss"))+SUMPRODUCT(('Match Log'!$D$4:$D$311=D$4)*('Match Log'!$E$4:$E$311="Win")*COUNTIFS('Match Log'!$A$4:$A$311,'Match Log'!$A$4:$A$311,'Match Log'!$D$4:$D$311,$A9,'Match Log'!$E$4:$E$311,"Loss")))=0,"",TEXT(SUMPRODUCT(('Match Log'!$D$4:$D$311=$A9)*('Match Log'!$E$4:$E$311="Win")*COUNTIFS('Match Log'!$A$4:$A$311,'Match Log'!$A$4:$A$311,'Match Log'!$D$4:$D$311,D$4,'Match Log'!$E$4:$E$311,"Loss"))/(SUMPRODUCT(('Match Log'!$D$4:$D$311=$A9)*('Match Log'!$E$4:$E$311="Win")*COUNTIFS('Match Log'!$A$4:$A$311,'Match Log'!$A$4:$A$311,'Match Log'!$D$4:$D$311,D$4,'Match Log'!$E$4:$E$311,"Loss"))+SUMPRODUCT(('Match Log'!$D$4:$D$311=D$4)*('Match Log'!$E$4:$E$311="Win")*COUNTIFS('Match Log'!$A$4:$A$311,'Match Log'!$A$4:$A$311,'Match Log'!$D$4:$D$311,$A9,'Match Log'!$E$4:$E$311,"Loss"))),"0%")&amp;" of "&amp;(SUMPRODUCT(('Match Log'!$D$4:$D$311=$A9)*('Match Log'!$E$4:$E$311="Win")*COUNTIFS('Match Log'!$A$4:$A$311,'Match Log'!$A$4:$A$311,'Match Log'!$D$4:$D$311,D$4,'Match Log'!$E$4:$E$311,"Loss"))+SUMPRODUCT(('Match Log'!$D$4:$D$311=D$4)*('Match Log'!$E$4:$E$311="Win")*COUNTIFS('Match Log'!$A$4:$A$311,'Match Log'!$A$4:$A$311,'Match Log'!$D$4:$D$311,$A9,'Match Log'!$E$4:$E$311,"Loss")))))</f>
        <v>100% of 1</v>
      </c>
      <c r="E9" s="54" t="str">
        <f>IF($A9=E$4,"—",IF((SUMPRODUCT(('Match Log'!$D$4:$D$311=$A9)*('Match Log'!$E$4:$E$311="Win")*COUNTIFS('Match Log'!$A$4:$A$311,'Match Log'!$A$4:$A$311,'Match Log'!$D$4:$D$311,E$4,'Match Log'!$E$4:$E$311,"Loss"))+SUMPRODUCT(('Match Log'!$D$4:$D$311=E$4)*('Match Log'!$E$4:$E$311="Win")*COUNTIFS('Match Log'!$A$4:$A$311,'Match Log'!$A$4:$A$311,'Match Log'!$D$4:$D$311,$A9,'Match Log'!$E$4:$E$311,"Loss")))=0,"",TEXT(SUMPRODUCT(('Match Log'!$D$4:$D$311=$A9)*('Match Log'!$E$4:$E$311="Win")*COUNTIFS('Match Log'!$A$4:$A$311,'Match Log'!$A$4:$A$311,'Match Log'!$D$4:$D$311,E$4,'Match Log'!$E$4:$E$311,"Loss"))/(SUMPRODUCT(('Match Log'!$D$4:$D$311=$A9)*('Match Log'!$E$4:$E$311="Win")*COUNTIFS('Match Log'!$A$4:$A$311,'Match Log'!$A$4:$A$311,'Match Log'!$D$4:$D$311,E$4,'Match Log'!$E$4:$E$311,"Loss"))+SUMPRODUCT(('Match Log'!$D$4:$D$311=E$4)*('Match Log'!$E$4:$E$311="Win")*COUNTIFS('Match Log'!$A$4:$A$311,'Match Log'!$A$4:$A$311,'Match Log'!$D$4:$D$311,$A9,'Match Log'!$E$4:$E$311,"Loss"))),"0%")&amp;" of "&amp;(SUMPRODUCT(('Match Log'!$D$4:$D$311=$A9)*('Match Log'!$E$4:$E$311="Win")*COUNTIFS('Match Log'!$A$4:$A$311,'Match Log'!$A$4:$A$311,'Match Log'!$D$4:$D$311,E$4,'Match Log'!$E$4:$E$311,"Loss"))+SUMPRODUCT(('Match Log'!$D$4:$D$311=E$4)*('Match Log'!$E$4:$E$311="Win")*COUNTIFS('Match Log'!$A$4:$A$311,'Match Log'!$A$4:$A$311,'Match Log'!$D$4:$D$311,$A9,'Match Log'!$E$4:$E$311,"Loss")))))</f>
        <v>75% of 4</v>
      </c>
      <c r="F9" s="54" t="str">
        <f>IF($A9=F$4,"—",IF((SUMPRODUCT(('Match Log'!$D$4:$D$311=$A9)*('Match Log'!$E$4:$E$311="Win")*COUNTIFS('Match Log'!$A$4:$A$311,'Match Log'!$A$4:$A$311,'Match Log'!$D$4:$D$311,F$4,'Match Log'!$E$4:$E$311,"Loss"))+SUMPRODUCT(('Match Log'!$D$4:$D$311=F$4)*('Match Log'!$E$4:$E$311="Win")*COUNTIFS('Match Log'!$A$4:$A$311,'Match Log'!$A$4:$A$311,'Match Log'!$D$4:$D$311,$A9,'Match Log'!$E$4:$E$311,"Loss")))=0,"",TEXT(SUMPRODUCT(('Match Log'!$D$4:$D$311=$A9)*('Match Log'!$E$4:$E$311="Win")*COUNTIFS('Match Log'!$A$4:$A$311,'Match Log'!$A$4:$A$311,'Match Log'!$D$4:$D$311,F$4,'Match Log'!$E$4:$E$311,"Loss"))/(SUMPRODUCT(('Match Log'!$D$4:$D$311=$A9)*('Match Log'!$E$4:$E$311="Win")*COUNTIFS('Match Log'!$A$4:$A$311,'Match Log'!$A$4:$A$311,'Match Log'!$D$4:$D$311,F$4,'Match Log'!$E$4:$E$311,"Loss"))+SUMPRODUCT(('Match Log'!$D$4:$D$311=F$4)*('Match Log'!$E$4:$E$311="Win")*COUNTIFS('Match Log'!$A$4:$A$311,'Match Log'!$A$4:$A$311,'Match Log'!$D$4:$D$311,$A9,'Match Log'!$E$4:$E$311,"Loss"))),"0%")&amp;" of "&amp;(SUMPRODUCT(('Match Log'!$D$4:$D$311=$A9)*('Match Log'!$E$4:$E$311="Win")*COUNTIFS('Match Log'!$A$4:$A$311,'Match Log'!$A$4:$A$311,'Match Log'!$D$4:$D$311,F$4,'Match Log'!$E$4:$E$311,"Loss"))+SUMPRODUCT(('Match Log'!$D$4:$D$311=F$4)*('Match Log'!$E$4:$E$311="Win")*COUNTIFS('Match Log'!$A$4:$A$311,'Match Log'!$A$4:$A$311,'Match Log'!$D$4:$D$311,$A9,'Match Log'!$E$4:$E$311,"Loss")))))</f>
        <v>—</v>
      </c>
      <c r="G9" s="54" t="str">
        <f>IF($A9=G$4,"—",IF((SUMPRODUCT(('Match Log'!$D$4:$D$311=$A9)*('Match Log'!$E$4:$E$311="Win")*COUNTIFS('Match Log'!$A$4:$A$311,'Match Log'!$A$4:$A$311,'Match Log'!$D$4:$D$311,G$4,'Match Log'!$E$4:$E$311,"Loss"))+SUMPRODUCT(('Match Log'!$D$4:$D$311=G$4)*('Match Log'!$E$4:$E$311="Win")*COUNTIFS('Match Log'!$A$4:$A$311,'Match Log'!$A$4:$A$311,'Match Log'!$D$4:$D$311,$A9,'Match Log'!$E$4:$E$311,"Loss")))=0,"",TEXT(SUMPRODUCT(('Match Log'!$D$4:$D$311=$A9)*('Match Log'!$E$4:$E$311="Win")*COUNTIFS('Match Log'!$A$4:$A$311,'Match Log'!$A$4:$A$311,'Match Log'!$D$4:$D$311,G$4,'Match Log'!$E$4:$E$311,"Loss"))/(SUMPRODUCT(('Match Log'!$D$4:$D$311=$A9)*('Match Log'!$E$4:$E$311="Win")*COUNTIFS('Match Log'!$A$4:$A$311,'Match Log'!$A$4:$A$311,'Match Log'!$D$4:$D$311,G$4,'Match Log'!$E$4:$E$311,"Loss"))+SUMPRODUCT(('Match Log'!$D$4:$D$311=G$4)*('Match Log'!$E$4:$E$311="Win")*COUNTIFS('Match Log'!$A$4:$A$311,'Match Log'!$A$4:$A$311,'Match Log'!$D$4:$D$311,$A9,'Match Log'!$E$4:$E$311,"Loss"))),"0%")&amp;" of "&amp;(SUMPRODUCT(('Match Log'!$D$4:$D$311=$A9)*('Match Log'!$E$4:$E$311="Win")*COUNTIFS('Match Log'!$A$4:$A$311,'Match Log'!$A$4:$A$311,'Match Log'!$D$4:$D$311,G$4,'Match Log'!$E$4:$E$311,"Loss"))+SUMPRODUCT(('Match Log'!$D$4:$D$311=G$4)*('Match Log'!$E$4:$E$311="Win")*COUNTIFS('Match Log'!$A$4:$A$311,'Match Log'!$A$4:$A$311,'Match Log'!$D$4:$D$311,$A9,'Match Log'!$E$4:$E$311,"Loss")))))</f>
        <v>50% of 2</v>
      </c>
      <c r="H9" s="54" t="str">
        <f>IF($A9=H$4,"—",IF((SUMPRODUCT(('Match Log'!$D$4:$D$311=$A9)*('Match Log'!$E$4:$E$311="Win")*COUNTIFS('Match Log'!$A$4:$A$311,'Match Log'!$A$4:$A$311,'Match Log'!$D$4:$D$311,H$4,'Match Log'!$E$4:$E$311,"Loss"))+SUMPRODUCT(('Match Log'!$D$4:$D$311=H$4)*('Match Log'!$E$4:$E$311="Win")*COUNTIFS('Match Log'!$A$4:$A$311,'Match Log'!$A$4:$A$311,'Match Log'!$D$4:$D$311,$A9,'Match Log'!$E$4:$E$311,"Loss")))=0,"",TEXT(SUMPRODUCT(('Match Log'!$D$4:$D$311=$A9)*('Match Log'!$E$4:$E$311="Win")*COUNTIFS('Match Log'!$A$4:$A$311,'Match Log'!$A$4:$A$311,'Match Log'!$D$4:$D$311,H$4,'Match Log'!$E$4:$E$311,"Loss"))/(SUMPRODUCT(('Match Log'!$D$4:$D$311=$A9)*('Match Log'!$E$4:$E$311="Win")*COUNTIFS('Match Log'!$A$4:$A$311,'Match Log'!$A$4:$A$311,'Match Log'!$D$4:$D$311,H$4,'Match Log'!$E$4:$E$311,"Loss"))+SUMPRODUCT(('Match Log'!$D$4:$D$311=H$4)*('Match Log'!$E$4:$E$311="Win")*COUNTIFS('Match Log'!$A$4:$A$311,'Match Log'!$A$4:$A$311,'Match Log'!$D$4:$D$311,$A9,'Match Log'!$E$4:$E$311,"Loss"))),"0%")&amp;" of "&amp;(SUMPRODUCT(('Match Log'!$D$4:$D$311=$A9)*('Match Log'!$E$4:$E$311="Win")*COUNTIFS('Match Log'!$A$4:$A$311,'Match Log'!$A$4:$A$311,'Match Log'!$D$4:$D$311,H$4,'Match Log'!$E$4:$E$311,"Loss"))+SUMPRODUCT(('Match Log'!$D$4:$D$311=H$4)*('Match Log'!$E$4:$E$311="Win")*COUNTIFS('Match Log'!$A$4:$A$311,'Match Log'!$A$4:$A$311,'Match Log'!$D$4:$D$311,$A9,'Match Log'!$E$4:$E$311,"Loss")))))</f>
        <v>50% of 2</v>
      </c>
      <c r="I9" s="54" t="str">
        <f>IF($A9=I$4,"—",IF((SUMPRODUCT(('Match Log'!$D$4:$D$311=$A9)*('Match Log'!$E$4:$E$311="Win")*COUNTIFS('Match Log'!$A$4:$A$311,'Match Log'!$A$4:$A$311,'Match Log'!$D$4:$D$311,I$4,'Match Log'!$E$4:$E$311,"Loss"))+SUMPRODUCT(('Match Log'!$D$4:$D$311=I$4)*('Match Log'!$E$4:$E$311="Win")*COUNTIFS('Match Log'!$A$4:$A$311,'Match Log'!$A$4:$A$311,'Match Log'!$D$4:$D$311,$A9,'Match Log'!$E$4:$E$311,"Loss")))=0,"",TEXT(SUMPRODUCT(('Match Log'!$D$4:$D$311=$A9)*('Match Log'!$E$4:$E$311="Win")*COUNTIFS('Match Log'!$A$4:$A$311,'Match Log'!$A$4:$A$311,'Match Log'!$D$4:$D$311,I$4,'Match Log'!$E$4:$E$311,"Loss"))/(SUMPRODUCT(('Match Log'!$D$4:$D$311=$A9)*('Match Log'!$E$4:$E$311="Win")*COUNTIFS('Match Log'!$A$4:$A$311,'Match Log'!$A$4:$A$311,'Match Log'!$D$4:$D$311,I$4,'Match Log'!$E$4:$E$311,"Loss"))+SUMPRODUCT(('Match Log'!$D$4:$D$311=I$4)*('Match Log'!$E$4:$E$311="Win")*COUNTIFS('Match Log'!$A$4:$A$311,'Match Log'!$A$4:$A$311,'Match Log'!$D$4:$D$311,$A9,'Match Log'!$E$4:$E$311,"Loss"))),"0%")&amp;" of "&amp;(SUMPRODUCT(('Match Log'!$D$4:$D$311=$A9)*('Match Log'!$E$4:$E$311="Win")*COUNTIFS('Match Log'!$A$4:$A$311,'Match Log'!$A$4:$A$311,'Match Log'!$D$4:$D$311,I$4,'Match Log'!$E$4:$E$311,"Loss"))+SUMPRODUCT(('Match Log'!$D$4:$D$311=I$4)*('Match Log'!$E$4:$E$311="Win")*COUNTIFS('Match Log'!$A$4:$A$311,'Match Log'!$A$4:$A$311,'Match Log'!$D$4:$D$311,$A9,'Match Log'!$E$4:$E$311,"Loss")))))</f>
        <v>58% of 12</v>
      </c>
      <c r="J9" s="54" t="str">
        <f>IF($A9=J$4,"—",IF((SUMPRODUCT(('Match Log'!$D$4:$D$311=$A9)*('Match Log'!$E$4:$E$311="Win")*COUNTIFS('Match Log'!$A$4:$A$311,'Match Log'!$A$4:$A$311,'Match Log'!$D$4:$D$311,J$4,'Match Log'!$E$4:$E$311,"Loss"))+SUMPRODUCT(('Match Log'!$D$4:$D$311=J$4)*('Match Log'!$E$4:$E$311="Win")*COUNTIFS('Match Log'!$A$4:$A$311,'Match Log'!$A$4:$A$311,'Match Log'!$D$4:$D$311,$A9,'Match Log'!$E$4:$E$311,"Loss")))=0,"",TEXT(SUMPRODUCT(('Match Log'!$D$4:$D$311=$A9)*('Match Log'!$E$4:$E$311="Win")*COUNTIFS('Match Log'!$A$4:$A$311,'Match Log'!$A$4:$A$311,'Match Log'!$D$4:$D$311,J$4,'Match Log'!$E$4:$E$311,"Loss"))/(SUMPRODUCT(('Match Log'!$D$4:$D$311=$A9)*('Match Log'!$E$4:$E$311="Win")*COUNTIFS('Match Log'!$A$4:$A$311,'Match Log'!$A$4:$A$311,'Match Log'!$D$4:$D$311,J$4,'Match Log'!$E$4:$E$311,"Loss"))+SUMPRODUCT(('Match Log'!$D$4:$D$311=J$4)*('Match Log'!$E$4:$E$311="Win")*COUNTIFS('Match Log'!$A$4:$A$311,'Match Log'!$A$4:$A$311,'Match Log'!$D$4:$D$311,$A9,'Match Log'!$E$4:$E$311,"Loss"))),"0%")&amp;" of "&amp;(SUMPRODUCT(('Match Log'!$D$4:$D$311=$A9)*('Match Log'!$E$4:$E$311="Win")*COUNTIFS('Match Log'!$A$4:$A$311,'Match Log'!$A$4:$A$311,'Match Log'!$D$4:$D$311,J$4,'Match Log'!$E$4:$E$311,"Loss"))+SUMPRODUCT(('Match Log'!$D$4:$D$311=J$4)*('Match Log'!$E$4:$E$311="Win")*COUNTIFS('Match Log'!$A$4:$A$311,'Match Log'!$A$4:$A$311,'Match Log'!$D$4:$D$311,$A9,'Match Log'!$E$4:$E$311,"Loss")))))</f>
        <v>40% of 5</v>
      </c>
      <c r="K9" s="54" t="str">
        <f>IF($A9=K$4,"—",IF((SUMPRODUCT(('Match Log'!$D$4:$D$311=$A9)*('Match Log'!$E$4:$E$311="Win")*COUNTIFS('Match Log'!$A$4:$A$311,'Match Log'!$A$4:$A$311,'Match Log'!$D$4:$D$311,K$4,'Match Log'!$E$4:$E$311,"Loss"))+SUMPRODUCT(('Match Log'!$D$4:$D$311=K$4)*('Match Log'!$E$4:$E$311="Win")*COUNTIFS('Match Log'!$A$4:$A$311,'Match Log'!$A$4:$A$311,'Match Log'!$D$4:$D$311,$A9,'Match Log'!$E$4:$E$311,"Loss")))=0,"",TEXT(SUMPRODUCT(('Match Log'!$D$4:$D$311=$A9)*('Match Log'!$E$4:$E$311="Win")*COUNTIFS('Match Log'!$A$4:$A$311,'Match Log'!$A$4:$A$311,'Match Log'!$D$4:$D$311,K$4,'Match Log'!$E$4:$E$311,"Loss"))/(SUMPRODUCT(('Match Log'!$D$4:$D$311=$A9)*('Match Log'!$E$4:$E$311="Win")*COUNTIFS('Match Log'!$A$4:$A$311,'Match Log'!$A$4:$A$311,'Match Log'!$D$4:$D$311,K$4,'Match Log'!$E$4:$E$311,"Loss"))+SUMPRODUCT(('Match Log'!$D$4:$D$311=K$4)*('Match Log'!$E$4:$E$311="Win")*COUNTIFS('Match Log'!$A$4:$A$311,'Match Log'!$A$4:$A$311,'Match Log'!$D$4:$D$311,$A9,'Match Log'!$E$4:$E$311,"Loss"))),"0%")&amp;" of "&amp;(SUMPRODUCT(('Match Log'!$D$4:$D$311=$A9)*('Match Log'!$E$4:$E$311="Win")*COUNTIFS('Match Log'!$A$4:$A$311,'Match Log'!$A$4:$A$311,'Match Log'!$D$4:$D$311,K$4,'Match Log'!$E$4:$E$311,"Loss"))+SUMPRODUCT(('Match Log'!$D$4:$D$311=K$4)*('Match Log'!$E$4:$E$311="Win")*COUNTIFS('Match Log'!$A$4:$A$311,'Match Log'!$A$4:$A$311,'Match Log'!$D$4:$D$311,$A9,'Match Log'!$E$4:$E$311,"Loss")))))</f>
        <v>100% of 4</v>
      </c>
      <c r="L9" s="54" t="str">
        <f>IF($A9=L$4,"—",IF((SUMPRODUCT(('Match Log'!$D$4:$D$311=$A9)*('Match Log'!$E$4:$E$311="Win")*COUNTIFS('Match Log'!$A$4:$A$311,'Match Log'!$A$4:$A$311,'Match Log'!$D$4:$D$311,L$4,'Match Log'!$E$4:$E$311,"Loss"))+SUMPRODUCT(('Match Log'!$D$4:$D$311=L$4)*('Match Log'!$E$4:$E$311="Win")*COUNTIFS('Match Log'!$A$4:$A$311,'Match Log'!$A$4:$A$311,'Match Log'!$D$4:$D$311,$A9,'Match Log'!$E$4:$E$311,"Loss")))=0,"",TEXT(SUMPRODUCT(('Match Log'!$D$4:$D$311=$A9)*('Match Log'!$E$4:$E$311="Win")*COUNTIFS('Match Log'!$A$4:$A$311,'Match Log'!$A$4:$A$311,'Match Log'!$D$4:$D$311,L$4,'Match Log'!$E$4:$E$311,"Loss"))/(SUMPRODUCT(('Match Log'!$D$4:$D$311=$A9)*('Match Log'!$E$4:$E$311="Win")*COUNTIFS('Match Log'!$A$4:$A$311,'Match Log'!$A$4:$A$311,'Match Log'!$D$4:$D$311,L$4,'Match Log'!$E$4:$E$311,"Loss"))+SUMPRODUCT(('Match Log'!$D$4:$D$311=L$4)*('Match Log'!$E$4:$E$311="Win")*COUNTIFS('Match Log'!$A$4:$A$311,'Match Log'!$A$4:$A$311,'Match Log'!$D$4:$D$311,$A9,'Match Log'!$E$4:$E$311,"Loss"))),"0%")&amp;" of "&amp;(SUMPRODUCT(('Match Log'!$D$4:$D$311=$A9)*('Match Log'!$E$4:$E$311="Win")*COUNTIFS('Match Log'!$A$4:$A$311,'Match Log'!$A$4:$A$311,'Match Log'!$D$4:$D$311,L$4,'Match Log'!$E$4:$E$311,"Loss"))+SUMPRODUCT(('Match Log'!$D$4:$D$311=L$4)*('Match Log'!$E$4:$E$311="Win")*COUNTIFS('Match Log'!$A$4:$A$311,'Match Log'!$A$4:$A$311,'Match Log'!$D$4:$D$311,$A9,'Match Log'!$E$4:$E$311,"Loss")))))</f>
        <v>67% of 6</v>
      </c>
      <c r="M9" s="54" t="str">
        <f>IF($A9=M$4,"—",IF((SUMPRODUCT(('Match Log'!$D$4:$D$311=$A9)*('Match Log'!$E$4:$E$311="Win")*COUNTIFS('Match Log'!$A$4:$A$311,'Match Log'!$A$4:$A$311,'Match Log'!$D$4:$D$311,M$4,'Match Log'!$E$4:$E$311,"Loss"))+SUMPRODUCT(('Match Log'!$D$4:$D$311=M$4)*('Match Log'!$E$4:$E$311="Win")*COUNTIFS('Match Log'!$A$4:$A$311,'Match Log'!$A$4:$A$311,'Match Log'!$D$4:$D$311,$A9,'Match Log'!$E$4:$E$311,"Loss")))=0,"",TEXT(SUMPRODUCT(('Match Log'!$D$4:$D$311=$A9)*('Match Log'!$E$4:$E$311="Win")*COUNTIFS('Match Log'!$A$4:$A$311,'Match Log'!$A$4:$A$311,'Match Log'!$D$4:$D$311,M$4,'Match Log'!$E$4:$E$311,"Loss"))/(SUMPRODUCT(('Match Log'!$D$4:$D$311=$A9)*('Match Log'!$E$4:$E$311="Win")*COUNTIFS('Match Log'!$A$4:$A$311,'Match Log'!$A$4:$A$311,'Match Log'!$D$4:$D$311,M$4,'Match Log'!$E$4:$E$311,"Loss"))+SUMPRODUCT(('Match Log'!$D$4:$D$311=M$4)*('Match Log'!$E$4:$E$311="Win")*COUNTIFS('Match Log'!$A$4:$A$311,'Match Log'!$A$4:$A$311,'Match Log'!$D$4:$D$311,$A9,'Match Log'!$E$4:$E$311,"Loss"))),"0%")&amp;" of "&amp;(SUMPRODUCT(('Match Log'!$D$4:$D$311=$A9)*('Match Log'!$E$4:$E$311="Win")*COUNTIFS('Match Log'!$A$4:$A$311,'Match Log'!$A$4:$A$311,'Match Log'!$D$4:$D$311,M$4,'Match Log'!$E$4:$E$311,"Loss"))+SUMPRODUCT(('Match Log'!$D$4:$D$311=M$4)*('Match Log'!$E$4:$E$311="Win")*COUNTIFS('Match Log'!$A$4:$A$311,'Match Log'!$A$4:$A$311,'Match Log'!$D$4:$D$311,$A9,'Match Log'!$E$4:$E$311,"Loss")))))</f>
        <v>0% of 1</v>
      </c>
      <c r="N9" s="54" t="str">
        <f>IF($A9=N$4,"—",IF((SUMPRODUCT(('Match Log'!$D$4:$D$311=$A9)*('Match Log'!$E$4:$E$311="Win")*COUNTIFS('Match Log'!$A$4:$A$311,'Match Log'!$A$4:$A$311,'Match Log'!$D$4:$D$311,N$4,'Match Log'!$E$4:$E$311,"Loss"))+SUMPRODUCT(('Match Log'!$D$4:$D$311=N$4)*('Match Log'!$E$4:$E$311="Win")*COUNTIFS('Match Log'!$A$4:$A$311,'Match Log'!$A$4:$A$311,'Match Log'!$D$4:$D$311,$A9,'Match Log'!$E$4:$E$311,"Loss")))=0,"",TEXT(SUMPRODUCT(('Match Log'!$D$4:$D$311=$A9)*('Match Log'!$E$4:$E$311="Win")*COUNTIFS('Match Log'!$A$4:$A$311,'Match Log'!$A$4:$A$311,'Match Log'!$D$4:$D$311,N$4,'Match Log'!$E$4:$E$311,"Loss"))/(SUMPRODUCT(('Match Log'!$D$4:$D$311=$A9)*('Match Log'!$E$4:$E$311="Win")*COUNTIFS('Match Log'!$A$4:$A$311,'Match Log'!$A$4:$A$311,'Match Log'!$D$4:$D$311,N$4,'Match Log'!$E$4:$E$311,"Loss"))+SUMPRODUCT(('Match Log'!$D$4:$D$311=N$4)*('Match Log'!$E$4:$E$311="Win")*COUNTIFS('Match Log'!$A$4:$A$311,'Match Log'!$A$4:$A$311,'Match Log'!$D$4:$D$311,$A9,'Match Log'!$E$4:$E$311,"Loss"))),"0%")&amp;" of "&amp;(SUMPRODUCT(('Match Log'!$D$4:$D$311=$A9)*('Match Log'!$E$4:$E$311="Win")*COUNTIFS('Match Log'!$A$4:$A$311,'Match Log'!$A$4:$A$311,'Match Log'!$D$4:$D$311,N$4,'Match Log'!$E$4:$E$311,"Loss"))+SUMPRODUCT(('Match Log'!$D$4:$D$311=N$4)*('Match Log'!$E$4:$E$311="Win")*COUNTIFS('Match Log'!$A$4:$A$311,'Match Log'!$A$4:$A$311,'Match Log'!$D$4:$D$311,$A9,'Match Log'!$E$4:$E$311,"Loss")))))</f>
        <v>100% of 1</v>
      </c>
      <c r="O9" s="54" t="str">
        <f>IF($A9=O$4,"—",IF((SUMPRODUCT(('Match Log'!$D$4:$D$311=$A9)*('Match Log'!$E$4:$E$311="Win")*COUNTIFS('Match Log'!$A$4:$A$311,'Match Log'!$A$4:$A$311,'Match Log'!$D$4:$D$311,O$4,'Match Log'!$E$4:$E$311,"Loss"))+SUMPRODUCT(('Match Log'!$D$4:$D$311=O$4)*('Match Log'!$E$4:$E$311="Win")*COUNTIFS('Match Log'!$A$4:$A$311,'Match Log'!$A$4:$A$311,'Match Log'!$D$4:$D$311,$A9,'Match Log'!$E$4:$E$311,"Loss")))=0,"",TEXT(SUMPRODUCT(('Match Log'!$D$4:$D$311=$A9)*('Match Log'!$E$4:$E$311="Win")*COUNTIFS('Match Log'!$A$4:$A$311,'Match Log'!$A$4:$A$311,'Match Log'!$D$4:$D$311,O$4,'Match Log'!$E$4:$E$311,"Loss"))/(SUMPRODUCT(('Match Log'!$D$4:$D$311=$A9)*('Match Log'!$E$4:$E$311="Win")*COUNTIFS('Match Log'!$A$4:$A$311,'Match Log'!$A$4:$A$311,'Match Log'!$D$4:$D$311,O$4,'Match Log'!$E$4:$E$311,"Loss"))+SUMPRODUCT(('Match Log'!$D$4:$D$311=O$4)*('Match Log'!$E$4:$E$311="Win")*COUNTIFS('Match Log'!$A$4:$A$311,'Match Log'!$A$4:$A$311,'Match Log'!$D$4:$D$311,$A9,'Match Log'!$E$4:$E$311,"Loss"))),"0%")&amp;" of "&amp;(SUMPRODUCT(('Match Log'!$D$4:$D$311=$A9)*('Match Log'!$E$4:$E$311="Win")*COUNTIFS('Match Log'!$A$4:$A$311,'Match Log'!$A$4:$A$311,'Match Log'!$D$4:$D$311,O$4,'Match Log'!$E$4:$E$311,"Loss"))+SUMPRODUCT(('Match Log'!$D$4:$D$311=O$4)*('Match Log'!$E$4:$E$311="Win")*COUNTIFS('Match Log'!$A$4:$A$311,'Match Log'!$A$4:$A$311,'Match Log'!$D$4:$D$311,$A9,'Match Log'!$E$4:$E$311,"Loss")))))</f>
        <v/>
      </c>
    </row>
    <row r="10" spans="1:15" ht="15" customHeight="1" x14ac:dyDescent="0.2">
      <c r="A10" s="49" t="s">
        <v>141</v>
      </c>
      <c r="B10" s="54" t="str">
        <f>IF($A10=B$4,"—",IF((SUMPRODUCT(('Match Log'!$D$4:$D$311=$A10)*('Match Log'!$E$4:$E$311="Win")*COUNTIFS('Match Log'!$A$4:$A$311,'Match Log'!$A$4:$A$311,'Match Log'!$D$4:$D$311,B$4,'Match Log'!$E$4:$E$311,"Loss"))+SUMPRODUCT(('Match Log'!$D$4:$D$311=B$4)*('Match Log'!$E$4:$E$311="Win")*COUNTIFS('Match Log'!$A$4:$A$311,'Match Log'!$A$4:$A$311,'Match Log'!$D$4:$D$311,$A10,'Match Log'!$E$4:$E$311,"Loss")))=0,"",TEXT(SUMPRODUCT(('Match Log'!$D$4:$D$311=$A10)*('Match Log'!$E$4:$E$311="Win")*COUNTIFS('Match Log'!$A$4:$A$311,'Match Log'!$A$4:$A$311,'Match Log'!$D$4:$D$311,B$4,'Match Log'!$E$4:$E$311,"Loss"))/(SUMPRODUCT(('Match Log'!$D$4:$D$311=$A10)*('Match Log'!$E$4:$E$311="Win")*COUNTIFS('Match Log'!$A$4:$A$311,'Match Log'!$A$4:$A$311,'Match Log'!$D$4:$D$311,B$4,'Match Log'!$E$4:$E$311,"Loss"))+SUMPRODUCT(('Match Log'!$D$4:$D$311=B$4)*('Match Log'!$E$4:$E$311="Win")*COUNTIFS('Match Log'!$A$4:$A$311,'Match Log'!$A$4:$A$311,'Match Log'!$D$4:$D$311,$A10,'Match Log'!$E$4:$E$311,"Loss"))),"0%")&amp;" of "&amp;(SUMPRODUCT(('Match Log'!$D$4:$D$311=$A10)*('Match Log'!$E$4:$E$311="Win")*COUNTIFS('Match Log'!$A$4:$A$311,'Match Log'!$A$4:$A$311,'Match Log'!$D$4:$D$311,B$4,'Match Log'!$E$4:$E$311,"Loss"))+SUMPRODUCT(('Match Log'!$D$4:$D$311=B$4)*('Match Log'!$E$4:$E$311="Win")*COUNTIFS('Match Log'!$A$4:$A$311,'Match Log'!$A$4:$A$311,'Match Log'!$D$4:$D$311,$A10,'Match Log'!$E$4:$E$311,"Loss")))))</f>
        <v>27% of 11</v>
      </c>
      <c r="C10" s="54" t="str">
        <f>IF($A10=C$4,"—",IF((SUMPRODUCT(('Match Log'!$D$4:$D$311=$A10)*('Match Log'!$E$4:$E$311="Win")*COUNTIFS('Match Log'!$A$4:$A$311,'Match Log'!$A$4:$A$311,'Match Log'!$D$4:$D$311,C$4,'Match Log'!$E$4:$E$311,"Loss"))+SUMPRODUCT(('Match Log'!$D$4:$D$311=C$4)*('Match Log'!$E$4:$E$311="Win")*COUNTIFS('Match Log'!$A$4:$A$311,'Match Log'!$A$4:$A$311,'Match Log'!$D$4:$D$311,$A10,'Match Log'!$E$4:$E$311,"Loss")))=0,"",TEXT(SUMPRODUCT(('Match Log'!$D$4:$D$311=$A10)*('Match Log'!$E$4:$E$311="Win")*COUNTIFS('Match Log'!$A$4:$A$311,'Match Log'!$A$4:$A$311,'Match Log'!$D$4:$D$311,C$4,'Match Log'!$E$4:$E$311,"Loss"))/(SUMPRODUCT(('Match Log'!$D$4:$D$311=$A10)*('Match Log'!$E$4:$E$311="Win")*COUNTIFS('Match Log'!$A$4:$A$311,'Match Log'!$A$4:$A$311,'Match Log'!$D$4:$D$311,C$4,'Match Log'!$E$4:$E$311,"Loss"))+SUMPRODUCT(('Match Log'!$D$4:$D$311=C$4)*('Match Log'!$E$4:$E$311="Win")*COUNTIFS('Match Log'!$A$4:$A$311,'Match Log'!$A$4:$A$311,'Match Log'!$D$4:$D$311,$A10,'Match Log'!$E$4:$E$311,"Loss"))),"0%")&amp;" of "&amp;(SUMPRODUCT(('Match Log'!$D$4:$D$311=$A10)*('Match Log'!$E$4:$E$311="Win")*COUNTIFS('Match Log'!$A$4:$A$311,'Match Log'!$A$4:$A$311,'Match Log'!$D$4:$D$311,C$4,'Match Log'!$E$4:$E$311,"Loss"))+SUMPRODUCT(('Match Log'!$D$4:$D$311=C$4)*('Match Log'!$E$4:$E$311="Win")*COUNTIFS('Match Log'!$A$4:$A$311,'Match Log'!$A$4:$A$311,'Match Log'!$D$4:$D$311,$A10,'Match Log'!$E$4:$E$311,"Loss")))))</f>
        <v>100% of 1</v>
      </c>
      <c r="D10" s="54" t="str">
        <f>IF($A10=D$4,"—",IF((SUMPRODUCT(('Match Log'!$D$4:$D$311=$A10)*('Match Log'!$E$4:$E$311="Win")*COUNTIFS('Match Log'!$A$4:$A$311,'Match Log'!$A$4:$A$311,'Match Log'!$D$4:$D$311,D$4,'Match Log'!$E$4:$E$311,"Loss"))+SUMPRODUCT(('Match Log'!$D$4:$D$311=D$4)*('Match Log'!$E$4:$E$311="Win")*COUNTIFS('Match Log'!$A$4:$A$311,'Match Log'!$A$4:$A$311,'Match Log'!$D$4:$D$311,$A10,'Match Log'!$E$4:$E$311,"Loss")))=0,"",TEXT(SUMPRODUCT(('Match Log'!$D$4:$D$311=$A10)*('Match Log'!$E$4:$E$311="Win")*COUNTIFS('Match Log'!$A$4:$A$311,'Match Log'!$A$4:$A$311,'Match Log'!$D$4:$D$311,D$4,'Match Log'!$E$4:$E$311,"Loss"))/(SUMPRODUCT(('Match Log'!$D$4:$D$311=$A10)*('Match Log'!$E$4:$E$311="Win")*COUNTIFS('Match Log'!$A$4:$A$311,'Match Log'!$A$4:$A$311,'Match Log'!$D$4:$D$311,D$4,'Match Log'!$E$4:$E$311,"Loss"))+SUMPRODUCT(('Match Log'!$D$4:$D$311=D$4)*('Match Log'!$E$4:$E$311="Win")*COUNTIFS('Match Log'!$A$4:$A$311,'Match Log'!$A$4:$A$311,'Match Log'!$D$4:$D$311,$A10,'Match Log'!$E$4:$E$311,"Loss"))),"0%")&amp;" of "&amp;(SUMPRODUCT(('Match Log'!$D$4:$D$311=$A10)*('Match Log'!$E$4:$E$311="Win")*COUNTIFS('Match Log'!$A$4:$A$311,'Match Log'!$A$4:$A$311,'Match Log'!$D$4:$D$311,D$4,'Match Log'!$E$4:$E$311,"Loss"))+SUMPRODUCT(('Match Log'!$D$4:$D$311=D$4)*('Match Log'!$E$4:$E$311="Win")*COUNTIFS('Match Log'!$A$4:$A$311,'Match Log'!$A$4:$A$311,'Match Log'!$D$4:$D$311,$A10,'Match Log'!$E$4:$E$311,"Loss")))))</f>
        <v/>
      </c>
      <c r="E10" s="54" t="str">
        <f>IF($A10=E$4,"—",IF((SUMPRODUCT(('Match Log'!$D$4:$D$311=$A10)*('Match Log'!$E$4:$E$311="Win")*COUNTIFS('Match Log'!$A$4:$A$311,'Match Log'!$A$4:$A$311,'Match Log'!$D$4:$D$311,E$4,'Match Log'!$E$4:$E$311,"Loss"))+SUMPRODUCT(('Match Log'!$D$4:$D$311=E$4)*('Match Log'!$E$4:$E$311="Win")*COUNTIFS('Match Log'!$A$4:$A$311,'Match Log'!$A$4:$A$311,'Match Log'!$D$4:$D$311,$A10,'Match Log'!$E$4:$E$311,"Loss")))=0,"",TEXT(SUMPRODUCT(('Match Log'!$D$4:$D$311=$A10)*('Match Log'!$E$4:$E$311="Win")*COUNTIFS('Match Log'!$A$4:$A$311,'Match Log'!$A$4:$A$311,'Match Log'!$D$4:$D$311,E$4,'Match Log'!$E$4:$E$311,"Loss"))/(SUMPRODUCT(('Match Log'!$D$4:$D$311=$A10)*('Match Log'!$E$4:$E$311="Win")*COUNTIFS('Match Log'!$A$4:$A$311,'Match Log'!$A$4:$A$311,'Match Log'!$D$4:$D$311,E$4,'Match Log'!$E$4:$E$311,"Loss"))+SUMPRODUCT(('Match Log'!$D$4:$D$311=E$4)*('Match Log'!$E$4:$E$311="Win")*COUNTIFS('Match Log'!$A$4:$A$311,'Match Log'!$A$4:$A$311,'Match Log'!$D$4:$D$311,$A10,'Match Log'!$E$4:$E$311,"Loss"))),"0%")&amp;" of "&amp;(SUMPRODUCT(('Match Log'!$D$4:$D$311=$A10)*('Match Log'!$E$4:$E$311="Win")*COUNTIFS('Match Log'!$A$4:$A$311,'Match Log'!$A$4:$A$311,'Match Log'!$D$4:$D$311,E$4,'Match Log'!$E$4:$E$311,"Loss"))+SUMPRODUCT(('Match Log'!$D$4:$D$311=E$4)*('Match Log'!$E$4:$E$311="Win")*COUNTIFS('Match Log'!$A$4:$A$311,'Match Log'!$A$4:$A$311,'Match Log'!$D$4:$D$311,$A10,'Match Log'!$E$4:$E$311,"Loss")))))</f>
        <v>0% of 1</v>
      </c>
      <c r="F10" s="54" t="str">
        <f>IF($A10=F$4,"—",IF((SUMPRODUCT(('Match Log'!$D$4:$D$311=$A10)*('Match Log'!$E$4:$E$311="Win")*COUNTIFS('Match Log'!$A$4:$A$311,'Match Log'!$A$4:$A$311,'Match Log'!$D$4:$D$311,F$4,'Match Log'!$E$4:$E$311,"Loss"))+SUMPRODUCT(('Match Log'!$D$4:$D$311=F$4)*('Match Log'!$E$4:$E$311="Win")*COUNTIFS('Match Log'!$A$4:$A$311,'Match Log'!$A$4:$A$311,'Match Log'!$D$4:$D$311,$A10,'Match Log'!$E$4:$E$311,"Loss")))=0,"",TEXT(SUMPRODUCT(('Match Log'!$D$4:$D$311=$A10)*('Match Log'!$E$4:$E$311="Win")*COUNTIFS('Match Log'!$A$4:$A$311,'Match Log'!$A$4:$A$311,'Match Log'!$D$4:$D$311,F$4,'Match Log'!$E$4:$E$311,"Loss"))/(SUMPRODUCT(('Match Log'!$D$4:$D$311=$A10)*('Match Log'!$E$4:$E$311="Win")*COUNTIFS('Match Log'!$A$4:$A$311,'Match Log'!$A$4:$A$311,'Match Log'!$D$4:$D$311,F$4,'Match Log'!$E$4:$E$311,"Loss"))+SUMPRODUCT(('Match Log'!$D$4:$D$311=F$4)*('Match Log'!$E$4:$E$311="Win")*COUNTIFS('Match Log'!$A$4:$A$311,'Match Log'!$A$4:$A$311,'Match Log'!$D$4:$D$311,$A10,'Match Log'!$E$4:$E$311,"Loss"))),"0%")&amp;" of "&amp;(SUMPRODUCT(('Match Log'!$D$4:$D$311=$A10)*('Match Log'!$E$4:$E$311="Win")*COUNTIFS('Match Log'!$A$4:$A$311,'Match Log'!$A$4:$A$311,'Match Log'!$D$4:$D$311,F$4,'Match Log'!$E$4:$E$311,"Loss"))+SUMPRODUCT(('Match Log'!$D$4:$D$311=F$4)*('Match Log'!$E$4:$E$311="Win")*COUNTIFS('Match Log'!$A$4:$A$311,'Match Log'!$A$4:$A$311,'Match Log'!$D$4:$D$311,$A10,'Match Log'!$E$4:$E$311,"Loss")))))</f>
        <v>50% of 2</v>
      </c>
      <c r="G10" s="54" t="str">
        <f>IF($A10=G$4,"—",IF((SUMPRODUCT(('Match Log'!$D$4:$D$311=$A10)*('Match Log'!$E$4:$E$311="Win")*COUNTIFS('Match Log'!$A$4:$A$311,'Match Log'!$A$4:$A$311,'Match Log'!$D$4:$D$311,G$4,'Match Log'!$E$4:$E$311,"Loss"))+SUMPRODUCT(('Match Log'!$D$4:$D$311=G$4)*('Match Log'!$E$4:$E$311="Win")*COUNTIFS('Match Log'!$A$4:$A$311,'Match Log'!$A$4:$A$311,'Match Log'!$D$4:$D$311,$A10,'Match Log'!$E$4:$E$311,"Loss")))=0,"",TEXT(SUMPRODUCT(('Match Log'!$D$4:$D$311=$A10)*('Match Log'!$E$4:$E$311="Win")*COUNTIFS('Match Log'!$A$4:$A$311,'Match Log'!$A$4:$A$311,'Match Log'!$D$4:$D$311,G$4,'Match Log'!$E$4:$E$311,"Loss"))/(SUMPRODUCT(('Match Log'!$D$4:$D$311=$A10)*('Match Log'!$E$4:$E$311="Win")*COUNTIFS('Match Log'!$A$4:$A$311,'Match Log'!$A$4:$A$311,'Match Log'!$D$4:$D$311,G$4,'Match Log'!$E$4:$E$311,"Loss"))+SUMPRODUCT(('Match Log'!$D$4:$D$311=G$4)*('Match Log'!$E$4:$E$311="Win")*COUNTIFS('Match Log'!$A$4:$A$311,'Match Log'!$A$4:$A$311,'Match Log'!$D$4:$D$311,$A10,'Match Log'!$E$4:$E$311,"Loss"))),"0%")&amp;" of "&amp;(SUMPRODUCT(('Match Log'!$D$4:$D$311=$A10)*('Match Log'!$E$4:$E$311="Win")*COUNTIFS('Match Log'!$A$4:$A$311,'Match Log'!$A$4:$A$311,'Match Log'!$D$4:$D$311,G$4,'Match Log'!$E$4:$E$311,"Loss"))+SUMPRODUCT(('Match Log'!$D$4:$D$311=G$4)*('Match Log'!$E$4:$E$311="Win")*COUNTIFS('Match Log'!$A$4:$A$311,'Match Log'!$A$4:$A$311,'Match Log'!$D$4:$D$311,$A10,'Match Log'!$E$4:$E$311,"Loss")))))</f>
        <v>—</v>
      </c>
      <c r="H10" s="54" t="str">
        <f>IF($A10=H$4,"—",IF((SUMPRODUCT(('Match Log'!$D$4:$D$311=$A10)*('Match Log'!$E$4:$E$311="Win")*COUNTIFS('Match Log'!$A$4:$A$311,'Match Log'!$A$4:$A$311,'Match Log'!$D$4:$D$311,H$4,'Match Log'!$E$4:$E$311,"Loss"))+SUMPRODUCT(('Match Log'!$D$4:$D$311=H$4)*('Match Log'!$E$4:$E$311="Win")*COUNTIFS('Match Log'!$A$4:$A$311,'Match Log'!$A$4:$A$311,'Match Log'!$D$4:$D$311,$A10,'Match Log'!$E$4:$E$311,"Loss")))=0,"",TEXT(SUMPRODUCT(('Match Log'!$D$4:$D$311=$A10)*('Match Log'!$E$4:$E$311="Win")*COUNTIFS('Match Log'!$A$4:$A$311,'Match Log'!$A$4:$A$311,'Match Log'!$D$4:$D$311,H$4,'Match Log'!$E$4:$E$311,"Loss"))/(SUMPRODUCT(('Match Log'!$D$4:$D$311=$A10)*('Match Log'!$E$4:$E$311="Win")*COUNTIFS('Match Log'!$A$4:$A$311,'Match Log'!$A$4:$A$311,'Match Log'!$D$4:$D$311,H$4,'Match Log'!$E$4:$E$311,"Loss"))+SUMPRODUCT(('Match Log'!$D$4:$D$311=H$4)*('Match Log'!$E$4:$E$311="Win")*COUNTIFS('Match Log'!$A$4:$A$311,'Match Log'!$A$4:$A$311,'Match Log'!$D$4:$D$311,$A10,'Match Log'!$E$4:$E$311,"Loss"))),"0%")&amp;" of "&amp;(SUMPRODUCT(('Match Log'!$D$4:$D$311=$A10)*('Match Log'!$E$4:$E$311="Win")*COUNTIFS('Match Log'!$A$4:$A$311,'Match Log'!$A$4:$A$311,'Match Log'!$D$4:$D$311,H$4,'Match Log'!$E$4:$E$311,"Loss"))+SUMPRODUCT(('Match Log'!$D$4:$D$311=H$4)*('Match Log'!$E$4:$E$311="Win")*COUNTIFS('Match Log'!$A$4:$A$311,'Match Log'!$A$4:$A$311,'Match Log'!$D$4:$D$311,$A10,'Match Log'!$E$4:$E$311,"Loss")))))</f>
        <v>50% of 2</v>
      </c>
      <c r="I10" s="54" t="str">
        <f>IF($A10=I$4,"—",IF((SUMPRODUCT(('Match Log'!$D$4:$D$311=$A10)*('Match Log'!$E$4:$E$311="Win")*COUNTIFS('Match Log'!$A$4:$A$311,'Match Log'!$A$4:$A$311,'Match Log'!$D$4:$D$311,I$4,'Match Log'!$E$4:$E$311,"Loss"))+SUMPRODUCT(('Match Log'!$D$4:$D$311=I$4)*('Match Log'!$E$4:$E$311="Win")*COUNTIFS('Match Log'!$A$4:$A$311,'Match Log'!$A$4:$A$311,'Match Log'!$D$4:$D$311,$A10,'Match Log'!$E$4:$E$311,"Loss")))=0,"",TEXT(SUMPRODUCT(('Match Log'!$D$4:$D$311=$A10)*('Match Log'!$E$4:$E$311="Win")*COUNTIFS('Match Log'!$A$4:$A$311,'Match Log'!$A$4:$A$311,'Match Log'!$D$4:$D$311,I$4,'Match Log'!$E$4:$E$311,"Loss"))/(SUMPRODUCT(('Match Log'!$D$4:$D$311=$A10)*('Match Log'!$E$4:$E$311="Win")*COUNTIFS('Match Log'!$A$4:$A$311,'Match Log'!$A$4:$A$311,'Match Log'!$D$4:$D$311,I$4,'Match Log'!$E$4:$E$311,"Loss"))+SUMPRODUCT(('Match Log'!$D$4:$D$311=I$4)*('Match Log'!$E$4:$E$311="Win")*COUNTIFS('Match Log'!$A$4:$A$311,'Match Log'!$A$4:$A$311,'Match Log'!$D$4:$D$311,$A10,'Match Log'!$E$4:$E$311,"Loss"))),"0%")&amp;" of "&amp;(SUMPRODUCT(('Match Log'!$D$4:$D$311=$A10)*('Match Log'!$E$4:$E$311="Win")*COUNTIFS('Match Log'!$A$4:$A$311,'Match Log'!$A$4:$A$311,'Match Log'!$D$4:$D$311,I$4,'Match Log'!$E$4:$E$311,"Loss"))+SUMPRODUCT(('Match Log'!$D$4:$D$311=I$4)*('Match Log'!$E$4:$E$311="Win")*COUNTIFS('Match Log'!$A$4:$A$311,'Match Log'!$A$4:$A$311,'Match Log'!$D$4:$D$311,$A10,'Match Log'!$E$4:$E$311,"Loss")))))</f>
        <v>56% of 18</v>
      </c>
      <c r="J10" s="54" t="str">
        <f>IF($A10=J$4,"—",IF((SUMPRODUCT(('Match Log'!$D$4:$D$311=$A10)*('Match Log'!$E$4:$E$311="Win")*COUNTIFS('Match Log'!$A$4:$A$311,'Match Log'!$A$4:$A$311,'Match Log'!$D$4:$D$311,J$4,'Match Log'!$E$4:$E$311,"Loss"))+SUMPRODUCT(('Match Log'!$D$4:$D$311=J$4)*('Match Log'!$E$4:$E$311="Win")*COUNTIFS('Match Log'!$A$4:$A$311,'Match Log'!$A$4:$A$311,'Match Log'!$D$4:$D$311,$A10,'Match Log'!$E$4:$E$311,"Loss")))=0,"",TEXT(SUMPRODUCT(('Match Log'!$D$4:$D$311=$A10)*('Match Log'!$E$4:$E$311="Win")*COUNTIFS('Match Log'!$A$4:$A$311,'Match Log'!$A$4:$A$311,'Match Log'!$D$4:$D$311,J$4,'Match Log'!$E$4:$E$311,"Loss"))/(SUMPRODUCT(('Match Log'!$D$4:$D$311=$A10)*('Match Log'!$E$4:$E$311="Win")*COUNTIFS('Match Log'!$A$4:$A$311,'Match Log'!$A$4:$A$311,'Match Log'!$D$4:$D$311,J$4,'Match Log'!$E$4:$E$311,"Loss"))+SUMPRODUCT(('Match Log'!$D$4:$D$311=J$4)*('Match Log'!$E$4:$E$311="Win")*COUNTIFS('Match Log'!$A$4:$A$311,'Match Log'!$A$4:$A$311,'Match Log'!$D$4:$D$311,$A10,'Match Log'!$E$4:$E$311,"Loss"))),"0%")&amp;" of "&amp;(SUMPRODUCT(('Match Log'!$D$4:$D$311=$A10)*('Match Log'!$E$4:$E$311="Win")*COUNTIFS('Match Log'!$A$4:$A$311,'Match Log'!$A$4:$A$311,'Match Log'!$D$4:$D$311,J$4,'Match Log'!$E$4:$E$311,"Loss"))+SUMPRODUCT(('Match Log'!$D$4:$D$311=J$4)*('Match Log'!$E$4:$E$311="Win")*COUNTIFS('Match Log'!$A$4:$A$311,'Match Log'!$A$4:$A$311,'Match Log'!$D$4:$D$311,$A10,'Match Log'!$E$4:$E$311,"Loss")))))</f>
        <v>33% of 3</v>
      </c>
      <c r="K10" s="54" t="str">
        <f>IF($A10=K$4,"—",IF((SUMPRODUCT(('Match Log'!$D$4:$D$311=$A10)*('Match Log'!$E$4:$E$311="Win")*COUNTIFS('Match Log'!$A$4:$A$311,'Match Log'!$A$4:$A$311,'Match Log'!$D$4:$D$311,K$4,'Match Log'!$E$4:$E$311,"Loss"))+SUMPRODUCT(('Match Log'!$D$4:$D$311=K$4)*('Match Log'!$E$4:$E$311="Win")*COUNTIFS('Match Log'!$A$4:$A$311,'Match Log'!$A$4:$A$311,'Match Log'!$D$4:$D$311,$A10,'Match Log'!$E$4:$E$311,"Loss")))=0,"",TEXT(SUMPRODUCT(('Match Log'!$D$4:$D$311=$A10)*('Match Log'!$E$4:$E$311="Win")*COUNTIFS('Match Log'!$A$4:$A$311,'Match Log'!$A$4:$A$311,'Match Log'!$D$4:$D$311,K$4,'Match Log'!$E$4:$E$311,"Loss"))/(SUMPRODUCT(('Match Log'!$D$4:$D$311=$A10)*('Match Log'!$E$4:$E$311="Win")*COUNTIFS('Match Log'!$A$4:$A$311,'Match Log'!$A$4:$A$311,'Match Log'!$D$4:$D$311,K$4,'Match Log'!$E$4:$E$311,"Loss"))+SUMPRODUCT(('Match Log'!$D$4:$D$311=K$4)*('Match Log'!$E$4:$E$311="Win")*COUNTIFS('Match Log'!$A$4:$A$311,'Match Log'!$A$4:$A$311,'Match Log'!$D$4:$D$311,$A10,'Match Log'!$E$4:$E$311,"Loss"))),"0%")&amp;" of "&amp;(SUMPRODUCT(('Match Log'!$D$4:$D$311=$A10)*('Match Log'!$E$4:$E$311="Win")*COUNTIFS('Match Log'!$A$4:$A$311,'Match Log'!$A$4:$A$311,'Match Log'!$D$4:$D$311,K$4,'Match Log'!$E$4:$E$311,"Loss"))+SUMPRODUCT(('Match Log'!$D$4:$D$311=K$4)*('Match Log'!$E$4:$E$311="Win")*COUNTIFS('Match Log'!$A$4:$A$311,'Match Log'!$A$4:$A$311,'Match Log'!$D$4:$D$311,$A10,'Match Log'!$E$4:$E$311,"Loss")))))</f>
        <v/>
      </c>
      <c r="L10" s="54" t="str">
        <f>IF($A10=L$4,"—",IF((SUMPRODUCT(('Match Log'!$D$4:$D$311=$A10)*('Match Log'!$E$4:$E$311="Win")*COUNTIFS('Match Log'!$A$4:$A$311,'Match Log'!$A$4:$A$311,'Match Log'!$D$4:$D$311,L$4,'Match Log'!$E$4:$E$311,"Loss"))+SUMPRODUCT(('Match Log'!$D$4:$D$311=L$4)*('Match Log'!$E$4:$E$311="Win")*COUNTIFS('Match Log'!$A$4:$A$311,'Match Log'!$A$4:$A$311,'Match Log'!$D$4:$D$311,$A10,'Match Log'!$E$4:$E$311,"Loss")))=0,"",TEXT(SUMPRODUCT(('Match Log'!$D$4:$D$311=$A10)*('Match Log'!$E$4:$E$311="Win")*COUNTIFS('Match Log'!$A$4:$A$311,'Match Log'!$A$4:$A$311,'Match Log'!$D$4:$D$311,L$4,'Match Log'!$E$4:$E$311,"Loss"))/(SUMPRODUCT(('Match Log'!$D$4:$D$311=$A10)*('Match Log'!$E$4:$E$311="Win")*COUNTIFS('Match Log'!$A$4:$A$311,'Match Log'!$A$4:$A$311,'Match Log'!$D$4:$D$311,L$4,'Match Log'!$E$4:$E$311,"Loss"))+SUMPRODUCT(('Match Log'!$D$4:$D$311=L$4)*('Match Log'!$E$4:$E$311="Win")*COUNTIFS('Match Log'!$A$4:$A$311,'Match Log'!$A$4:$A$311,'Match Log'!$D$4:$D$311,$A10,'Match Log'!$E$4:$E$311,"Loss"))),"0%")&amp;" of "&amp;(SUMPRODUCT(('Match Log'!$D$4:$D$311=$A10)*('Match Log'!$E$4:$E$311="Win")*COUNTIFS('Match Log'!$A$4:$A$311,'Match Log'!$A$4:$A$311,'Match Log'!$D$4:$D$311,L$4,'Match Log'!$E$4:$E$311,"Loss"))+SUMPRODUCT(('Match Log'!$D$4:$D$311=L$4)*('Match Log'!$E$4:$E$311="Win")*COUNTIFS('Match Log'!$A$4:$A$311,'Match Log'!$A$4:$A$311,'Match Log'!$D$4:$D$311,$A10,'Match Log'!$E$4:$E$311,"Loss")))))</f>
        <v>30% of 10</v>
      </c>
      <c r="M10" s="54" t="str">
        <f>IF($A10=M$4,"—",IF((SUMPRODUCT(('Match Log'!$D$4:$D$311=$A10)*('Match Log'!$E$4:$E$311="Win")*COUNTIFS('Match Log'!$A$4:$A$311,'Match Log'!$A$4:$A$311,'Match Log'!$D$4:$D$311,M$4,'Match Log'!$E$4:$E$311,"Loss"))+SUMPRODUCT(('Match Log'!$D$4:$D$311=M$4)*('Match Log'!$E$4:$E$311="Win")*COUNTIFS('Match Log'!$A$4:$A$311,'Match Log'!$A$4:$A$311,'Match Log'!$D$4:$D$311,$A10,'Match Log'!$E$4:$E$311,"Loss")))=0,"",TEXT(SUMPRODUCT(('Match Log'!$D$4:$D$311=$A10)*('Match Log'!$E$4:$E$311="Win")*COUNTIFS('Match Log'!$A$4:$A$311,'Match Log'!$A$4:$A$311,'Match Log'!$D$4:$D$311,M$4,'Match Log'!$E$4:$E$311,"Loss"))/(SUMPRODUCT(('Match Log'!$D$4:$D$311=$A10)*('Match Log'!$E$4:$E$311="Win")*COUNTIFS('Match Log'!$A$4:$A$311,'Match Log'!$A$4:$A$311,'Match Log'!$D$4:$D$311,M$4,'Match Log'!$E$4:$E$311,"Loss"))+SUMPRODUCT(('Match Log'!$D$4:$D$311=M$4)*('Match Log'!$E$4:$E$311="Win")*COUNTIFS('Match Log'!$A$4:$A$311,'Match Log'!$A$4:$A$311,'Match Log'!$D$4:$D$311,$A10,'Match Log'!$E$4:$E$311,"Loss"))),"0%")&amp;" of "&amp;(SUMPRODUCT(('Match Log'!$D$4:$D$311=$A10)*('Match Log'!$E$4:$E$311="Win")*COUNTIFS('Match Log'!$A$4:$A$311,'Match Log'!$A$4:$A$311,'Match Log'!$D$4:$D$311,M$4,'Match Log'!$E$4:$E$311,"Loss"))+SUMPRODUCT(('Match Log'!$D$4:$D$311=M$4)*('Match Log'!$E$4:$E$311="Win")*COUNTIFS('Match Log'!$A$4:$A$311,'Match Log'!$A$4:$A$311,'Match Log'!$D$4:$D$311,$A10,'Match Log'!$E$4:$E$311,"Loss")))))</f>
        <v>0% of 1</v>
      </c>
      <c r="N10" s="54" t="str">
        <f>IF($A10=N$4,"—",IF((SUMPRODUCT(('Match Log'!$D$4:$D$311=$A10)*('Match Log'!$E$4:$E$311="Win")*COUNTIFS('Match Log'!$A$4:$A$311,'Match Log'!$A$4:$A$311,'Match Log'!$D$4:$D$311,N$4,'Match Log'!$E$4:$E$311,"Loss"))+SUMPRODUCT(('Match Log'!$D$4:$D$311=N$4)*('Match Log'!$E$4:$E$311="Win")*COUNTIFS('Match Log'!$A$4:$A$311,'Match Log'!$A$4:$A$311,'Match Log'!$D$4:$D$311,$A10,'Match Log'!$E$4:$E$311,"Loss")))=0,"",TEXT(SUMPRODUCT(('Match Log'!$D$4:$D$311=$A10)*('Match Log'!$E$4:$E$311="Win")*COUNTIFS('Match Log'!$A$4:$A$311,'Match Log'!$A$4:$A$311,'Match Log'!$D$4:$D$311,N$4,'Match Log'!$E$4:$E$311,"Loss"))/(SUMPRODUCT(('Match Log'!$D$4:$D$311=$A10)*('Match Log'!$E$4:$E$311="Win")*COUNTIFS('Match Log'!$A$4:$A$311,'Match Log'!$A$4:$A$311,'Match Log'!$D$4:$D$311,N$4,'Match Log'!$E$4:$E$311,"Loss"))+SUMPRODUCT(('Match Log'!$D$4:$D$311=N$4)*('Match Log'!$E$4:$E$311="Win")*COUNTIFS('Match Log'!$A$4:$A$311,'Match Log'!$A$4:$A$311,'Match Log'!$D$4:$D$311,$A10,'Match Log'!$E$4:$E$311,"Loss"))),"0%")&amp;" of "&amp;(SUMPRODUCT(('Match Log'!$D$4:$D$311=$A10)*('Match Log'!$E$4:$E$311="Win")*COUNTIFS('Match Log'!$A$4:$A$311,'Match Log'!$A$4:$A$311,'Match Log'!$D$4:$D$311,N$4,'Match Log'!$E$4:$E$311,"Loss"))+SUMPRODUCT(('Match Log'!$D$4:$D$311=N$4)*('Match Log'!$E$4:$E$311="Win")*COUNTIFS('Match Log'!$A$4:$A$311,'Match Log'!$A$4:$A$311,'Match Log'!$D$4:$D$311,$A10,'Match Log'!$E$4:$E$311,"Loss")))))</f>
        <v>100% of 1</v>
      </c>
      <c r="O10" s="54" t="str">
        <f>IF($A10=O$4,"—",IF((SUMPRODUCT(('Match Log'!$D$4:$D$311=$A10)*('Match Log'!$E$4:$E$311="Win")*COUNTIFS('Match Log'!$A$4:$A$311,'Match Log'!$A$4:$A$311,'Match Log'!$D$4:$D$311,O$4,'Match Log'!$E$4:$E$311,"Loss"))+SUMPRODUCT(('Match Log'!$D$4:$D$311=O$4)*('Match Log'!$E$4:$E$311="Win")*COUNTIFS('Match Log'!$A$4:$A$311,'Match Log'!$A$4:$A$311,'Match Log'!$D$4:$D$311,$A10,'Match Log'!$E$4:$E$311,"Loss")))=0,"",TEXT(SUMPRODUCT(('Match Log'!$D$4:$D$311=$A10)*('Match Log'!$E$4:$E$311="Win")*COUNTIFS('Match Log'!$A$4:$A$311,'Match Log'!$A$4:$A$311,'Match Log'!$D$4:$D$311,O$4,'Match Log'!$E$4:$E$311,"Loss"))/(SUMPRODUCT(('Match Log'!$D$4:$D$311=$A10)*('Match Log'!$E$4:$E$311="Win")*COUNTIFS('Match Log'!$A$4:$A$311,'Match Log'!$A$4:$A$311,'Match Log'!$D$4:$D$311,O$4,'Match Log'!$E$4:$E$311,"Loss"))+SUMPRODUCT(('Match Log'!$D$4:$D$311=O$4)*('Match Log'!$E$4:$E$311="Win")*COUNTIFS('Match Log'!$A$4:$A$311,'Match Log'!$A$4:$A$311,'Match Log'!$D$4:$D$311,$A10,'Match Log'!$E$4:$E$311,"Loss"))),"0%")&amp;" of "&amp;(SUMPRODUCT(('Match Log'!$D$4:$D$311=$A10)*('Match Log'!$E$4:$E$311="Win")*COUNTIFS('Match Log'!$A$4:$A$311,'Match Log'!$A$4:$A$311,'Match Log'!$D$4:$D$311,O$4,'Match Log'!$E$4:$E$311,"Loss"))+SUMPRODUCT(('Match Log'!$D$4:$D$311=O$4)*('Match Log'!$E$4:$E$311="Win")*COUNTIFS('Match Log'!$A$4:$A$311,'Match Log'!$A$4:$A$311,'Match Log'!$D$4:$D$311,$A10,'Match Log'!$E$4:$E$311,"Loss")))))</f>
        <v/>
      </c>
    </row>
    <row r="11" spans="1:15" ht="15" customHeight="1" x14ac:dyDescent="0.2">
      <c r="A11" s="49" t="s">
        <v>175</v>
      </c>
      <c r="B11" s="54" t="str">
        <f>IF($A11=B$4,"—",IF((SUMPRODUCT(('Match Log'!$D$4:$D$311=$A11)*('Match Log'!$E$4:$E$311="Win")*COUNTIFS('Match Log'!$A$4:$A$311,'Match Log'!$A$4:$A$311,'Match Log'!$D$4:$D$311,B$4,'Match Log'!$E$4:$E$311,"Loss"))+SUMPRODUCT(('Match Log'!$D$4:$D$311=B$4)*('Match Log'!$E$4:$E$311="Win")*COUNTIFS('Match Log'!$A$4:$A$311,'Match Log'!$A$4:$A$311,'Match Log'!$D$4:$D$311,$A11,'Match Log'!$E$4:$E$311,"Loss")))=0,"",TEXT(SUMPRODUCT(('Match Log'!$D$4:$D$311=$A11)*('Match Log'!$E$4:$E$311="Win")*COUNTIFS('Match Log'!$A$4:$A$311,'Match Log'!$A$4:$A$311,'Match Log'!$D$4:$D$311,B$4,'Match Log'!$E$4:$E$311,"Loss"))/(SUMPRODUCT(('Match Log'!$D$4:$D$311=$A11)*('Match Log'!$E$4:$E$311="Win")*COUNTIFS('Match Log'!$A$4:$A$311,'Match Log'!$A$4:$A$311,'Match Log'!$D$4:$D$311,B$4,'Match Log'!$E$4:$E$311,"Loss"))+SUMPRODUCT(('Match Log'!$D$4:$D$311=B$4)*('Match Log'!$E$4:$E$311="Win")*COUNTIFS('Match Log'!$A$4:$A$311,'Match Log'!$A$4:$A$311,'Match Log'!$D$4:$D$311,$A11,'Match Log'!$E$4:$E$311,"Loss"))),"0%")&amp;" of "&amp;(SUMPRODUCT(('Match Log'!$D$4:$D$311=$A11)*('Match Log'!$E$4:$E$311="Win")*COUNTIFS('Match Log'!$A$4:$A$311,'Match Log'!$A$4:$A$311,'Match Log'!$D$4:$D$311,B$4,'Match Log'!$E$4:$E$311,"Loss"))+SUMPRODUCT(('Match Log'!$D$4:$D$311=B$4)*('Match Log'!$E$4:$E$311="Win")*COUNTIFS('Match Log'!$A$4:$A$311,'Match Log'!$A$4:$A$311,'Match Log'!$D$4:$D$311,$A11,'Match Log'!$E$4:$E$311,"Loss")))))</f>
        <v>50% of 4</v>
      </c>
      <c r="C11" s="54" t="str">
        <f>IF($A11=C$4,"—",IF((SUMPRODUCT(('Match Log'!$D$4:$D$311=$A11)*('Match Log'!$E$4:$E$311="Win")*COUNTIFS('Match Log'!$A$4:$A$311,'Match Log'!$A$4:$A$311,'Match Log'!$D$4:$D$311,C$4,'Match Log'!$E$4:$E$311,"Loss"))+SUMPRODUCT(('Match Log'!$D$4:$D$311=C$4)*('Match Log'!$E$4:$E$311="Win")*COUNTIFS('Match Log'!$A$4:$A$311,'Match Log'!$A$4:$A$311,'Match Log'!$D$4:$D$311,$A11,'Match Log'!$E$4:$E$311,"Loss")))=0,"",TEXT(SUMPRODUCT(('Match Log'!$D$4:$D$311=$A11)*('Match Log'!$E$4:$E$311="Win")*COUNTIFS('Match Log'!$A$4:$A$311,'Match Log'!$A$4:$A$311,'Match Log'!$D$4:$D$311,C$4,'Match Log'!$E$4:$E$311,"Loss"))/(SUMPRODUCT(('Match Log'!$D$4:$D$311=$A11)*('Match Log'!$E$4:$E$311="Win")*COUNTIFS('Match Log'!$A$4:$A$311,'Match Log'!$A$4:$A$311,'Match Log'!$D$4:$D$311,C$4,'Match Log'!$E$4:$E$311,"Loss"))+SUMPRODUCT(('Match Log'!$D$4:$D$311=C$4)*('Match Log'!$E$4:$E$311="Win")*COUNTIFS('Match Log'!$A$4:$A$311,'Match Log'!$A$4:$A$311,'Match Log'!$D$4:$D$311,$A11,'Match Log'!$E$4:$E$311,"Loss"))),"0%")&amp;" of "&amp;(SUMPRODUCT(('Match Log'!$D$4:$D$311=$A11)*('Match Log'!$E$4:$E$311="Win")*COUNTIFS('Match Log'!$A$4:$A$311,'Match Log'!$A$4:$A$311,'Match Log'!$D$4:$D$311,C$4,'Match Log'!$E$4:$E$311,"Loss"))+SUMPRODUCT(('Match Log'!$D$4:$D$311=C$4)*('Match Log'!$E$4:$E$311="Win")*COUNTIFS('Match Log'!$A$4:$A$311,'Match Log'!$A$4:$A$311,'Match Log'!$D$4:$D$311,$A11,'Match Log'!$E$4:$E$311,"Loss")))))</f>
        <v>33% of 3</v>
      </c>
      <c r="D11" s="54" t="str">
        <f>IF($A11=D$4,"—",IF((SUMPRODUCT(('Match Log'!$D$4:$D$311=$A11)*('Match Log'!$E$4:$E$311="Win")*COUNTIFS('Match Log'!$A$4:$A$311,'Match Log'!$A$4:$A$311,'Match Log'!$D$4:$D$311,D$4,'Match Log'!$E$4:$E$311,"Loss"))+SUMPRODUCT(('Match Log'!$D$4:$D$311=D$4)*('Match Log'!$E$4:$E$311="Win")*COUNTIFS('Match Log'!$A$4:$A$311,'Match Log'!$A$4:$A$311,'Match Log'!$D$4:$D$311,$A11,'Match Log'!$E$4:$E$311,"Loss")))=0,"",TEXT(SUMPRODUCT(('Match Log'!$D$4:$D$311=$A11)*('Match Log'!$E$4:$E$311="Win")*COUNTIFS('Match Log'!$A$4:$A$311,'Match Log'!$A$4:$A$311,'Match Log'!$D$4:$D$311,D$4,'Match Log'!$E$4:$E$311,"Loss"))/(SUMPRODUCT(('Match Log'!$D$4:$D$311=$A11)*('Match Log'!$E$4:$E$311="Win")*COUNTIFS('Match Log'!$A$4:$A$311,'Match Log'!$A$4:$A$311,'Match Log'!$D$4:$D$311,D$4,'Match Log'!$E$4:$E$311,"Loss"))+SUMPRODUCT(('Match Log'!$D$4:$D$311=D$4)*('Match Log'!$E$4:$E$311="Win")*COUNTIFS('Match Log'!$A$4:$A$311,'Match Log'!$A$4:$A$311,'Match Log'!$D$4:$D$311,$A11,'Match Log'!$E$4:$E$311,"Loss"))),"0%")&amp;" of "&amp;(SUMPRODUCT(('Match Log'!$D$4:$D$311=$A11)*('Match Log'!$E$4:$E$311="Win")*COUNTIFS('Match Log'!$A$4:$A$311,'Match Log'!$A$4:$A$311,'Match Log'!$D$4:$D$311,D$4,'Match Log'!$E$4:$E$311,"Loss"))+SUMPRODUCT(('Match Log'!$D$4:$D$311=D$4)*('Match Log'!$E$4:$E$311="Win")*COUNTIFS('Match Log'!$A$4:$A$311,'Match Log'!$A$4:$A$311,'Match Log'!$D$4:$D$311,$A11,'Match Log'!$E$4:$E$311,"Loss")))))</f>
        <v/>
      </c>
      <c r="E11" s="54" t="str">
        <f>IF($A11=E$4,"—",IF((SUMPRODUCT(('Match Log'!$D$4:$D$311=$A11)*('Match Log'!$E$4:$E$311="Win")*COUNTIFS('Match Log'!$A$4:$A$311,'Match Log'!$A$4:$A$311,'Match Log'!$D$4:$D$311,E$4,'Match Log'!$E$4:$E$311,"Loss"))+SUMPRODUCT(('Match Log'!$D$4:$D$311=E$4)*('Match Log'!$E$4:$E$311="Win")*COUNTIFS('Match Log'!$A$4:$A$311,'Match Log'!$A$4:$A$311,'Match Log'!$D$4:$D$311,$A11,'Match Log'!$E$4:$E$311,"Loss")))=0,"",TEXT(SUMPRODUCT(('Match Log'!$D$4:$D$311=$A11)*('Match Log'!$E$4:$E$311="Win")*COUNTIFS('Match Log'!$A$4:$A$311,'Match Log'!$A$4:$A$311,'Match Log'!$D$4:$D$311,E$4,'Match Log'!$E$4:$E$311,"Loss"))/(SUMPRODUCT(('Match Log'!$D$4:$D$311=$A11)*('Match Log'!$E$4:$E$311="Win")*COUNTIFS('Match Log'!$A$4:$A$311,'Match Log'!$A$4:$A$311,'Match Log'!$D$4:$D$311,E$4,'Match Log'!$E$4:$E$311,"Loss"))+SUMPRODUCT(('Match Log'!$D$4:$D$311=E$4)*('Match Log'!$E$4:$E$311="Win")*COUNTIFS('Match Log'!$A$4:$A$311,'Match Log'!$A$4:$A$311,'Match Log'!$D$4:$D$311,$A11,'Match Log'!$E$4:$E$311,"Loss"))),"0%")&amp;" of "&amp;(SUMPRODUCT(('Match Log'!$D$4:$D$311=$A11)*('Match Log'!$E$4:$E$311="Win")*COUNTIFS('Match Log'!$A$4:$A$311,'Match Log'!$A$4:$A$311,'Match Log'!$D$4:$D$311,E$4,'Match Log'!$E$4:$E$311,"Loss"))+SUMPRODUCT(('Match Log'!$D$4:$D$311=E$4)*('Match Log'!$E$4:$E$311="Win")*COUNTIFS('Match Log'!$A$4:$A$311,'Match Log'!$A$4:$A$311,'Match Log'!$D$4:$D$311,$A11,'Match Log'!$E$4:$E$311,"Loss")))))</f>
        <v>100% of 1</v>
      </c>
      <c r="F11" s="54" t="str">
        <f>IF($A11=F$4,"—",IF((SUMPRODUCT(('Match Log'!$D$4:$D$311=$A11)*('Match Log'!$E$4:$E$311="Win")*COUNTIFS('Match Log'!$A$4:$A$311,'Match Log'!$A$4:$A$311,'Match Log'!$D$4:$D$311,F$4,'Match Log'!$E$4:$E$311,"Loss"))+SUMPRODUCT(('Match Log'!$D$4:$D$311=F$4)*('Match Log'!$E$4:$E$311="Win")*COUNTIFS('Match Log'!$A$4:$A$311,'Match Log'!$A$4:$A$311,'Match Log'!$D$4:$D$311,$A11,'Match Log'!$E$4:$E$311,"Loss")))=0,"",TEXT(SUMPRODUCT(('Match Log'!$D$4:$D$311=$A11)*('Match Log'!$E$4:$E$311="Win")*COUNTIFS('Match Log'!$A$4:$A$311,'Match Log'!$A$4:$A$311,'Match Log'!$D$4:$D$311,F$4,'Match Log'!$E$4:$E$311,"Loss"))/(SUMPRODUCT(('Match Log'!$D$4:$D$311=$A11)*('Match Log'!$E$4:$E$311="Win")*COUNTIFS('Match Log'!$A$4:$A$311,'Match Log'!$A$4:$A$311,'Match Log'!$D$4:$D$311,F$4,'Match Log'!$E$4:$E$311,"Loss"))+SUMPRODUCT(('Match Log'!$D$4:$D$311=F$4)*('Match Log'!$E$4:$E$311="Win")*COUNTIFS('Match Log'!$A$4:$A$311,'Match Log'!$A$4:$A$311,'Match Log'!$D$4:$D$311,$A11,'Match Log'!$E$4:$E$311,"Loss"))),"0%")&amp;" of "&amp;(SUMPRODUCT(('Match Log'!$D$4:$D$311=$A11)*('Match Log'!$E$4:$E$311="Win")*COUNTIFS('Match Log'!$A$4:$A$311,'Match Log'!$A$4:$A$311,'Match Log'!$D$4:$D$311,F$4,'Match Log'!$E$4:$E$311,"Loss"))+SUMPRODUCT(('Match Log'!$D$4:$D$311=F$4)*('Match Log'!$E$4:$E$311="Win")*COUNTIFS('Match Log'!$A$4:$A$311,'Match Log'!$A$4:$A$311,'Match Log'!$D$4:$D$311,$A11,'Match Log'!$E$4:$E$311,"Loss")))))</f>
        <v>50% of 2</v>
      </c>
      <c r="G11" s="54" t="str">
        <f>IF($A11=G$4,"—",IF((SUMPRODUCT(('Match Log'!$D$4:$D$311=$A11)*('Match Log'!$E$4:$E$311="Win")*COUNTIFS('Match Log'!$A$4:$A$311,'Match Log'!$A$4:$A$311,'Match Log'!$D$4:$D$311,G$4,'Match Log'!$E$4:$E$311,"Loss"))+SUMPRODUCT(('Match Log'!$D$4:$D$311=G$4)*('Match Log'!$E$4:$E$311="Win")*COUNTIFS('Match Log'!$A$4:$A$311,'Match Log'!$A$4:$A$311,'Match Log'!$D$4:$D$311,$A11,'Match Log'!$E$4:$E$311,"Loss")))=0,"",TEXT(SUMPRODUCT(('Match Log'!$D$4:$D$311=$A11)*('Match Log'!$E$4:$E$311="Win")*COUNTIFS('Match Log'!$A$4:$A$311,'Match Log'!$A$4:$A$311,'Match Log'!$D$4:$D$311,G$4,'Match Log'!$E$4:$E$311,"Loss"))/(SUMPRODUCT(('Match Log'!$D$4:$D$311=$A11)*('Match Log'!$E$4:$E$311="Win")*COUNTIFS('Match Log'!$A$4:$A$311,'Match Log'!$A$4:$A$311,'Match Log'!$D$4:$D$311,G$4,'Match Log'!$E$4:$E$311,"Loss"))+SUMPRODUCT(('Match Log'!$D$4:$D$311=G$4)*('Match Log'!$E$4:$E$311="Win")*COUNTIFS('Match Log'!$A$4:$A$311,'Match Log'!$A$4:$A$311,'Match Log'!$D$4:$D$311,$A11,'Match Log'!$E$4:$E$311,"Loss"))),"0%")&amp;" of "&amp;(SUMPRODUCT(('Match Log'!$D$4:$D$311=$A11)*('Match Log'!$E$4:$E$311="Win")*COUNTIFS('Match Log'!$A$4:$A$311,'Match Log'!$A$4:$A$311,'Match Log'!$D$4:$D$311,G$4,'Match Log'!$E$4:$E$311,"Loss"))+SUMPRODUCT(('Match Log'!$D$4:$D$311=G$4)*('Match Log'!$E$4:$E$311="Win")*COUNTIFS('Match Log'!$A$4:$A$311,'Match Log'!$A$4:$A$311,'Match Log'!$D$4:$D$311,$A11,'Match Log'!$E$4:$E$311,"Loss")))))</f>
        <v>50% of 2</v>
      </c>
      <c r="H11" s="54" t="str">
        <f>IF($A11=H$4,"—",IF((SUMPRODUCT(('Match Log'!$D$4:$D$311=$A11)*('Match Log'!$E$4:$E$311="Win")*COUNTIFS('Match Log'!$A$4:$A$311,'Match Log'!$A$4:$A$311,'Match Log'!$D$4:$D$311,H$4,'Match Log'!$E$4:$E$311,"Loss"))+SUMPRODUCT(('Match Log'!$D$4:$D$311=H$4)*('Match Log'!$E$4:$E$311="Win")*COUNTIFS('Match Log'!$A$4:$A$311,'Match Log'!$A$4:$A$311,'Match Log'!$D$4:$D$311,$A11,'Match Log'!$E$4:$E$311,"Loss")))=0,"",TEXT(SUMPRODUCT(('Match Log'!$D$4:$D$311=$A11)*('Match Log'!$E$4:$E$311="Win")*COUNTIFS('Match Log'!$A$4:$A$311,'Match Log'!$A$4:$A$311,'Match Log'!$D$4:$D$311,H$4,'Match Log'!$E$4:$E$311,"Loss"))/(SUMPRODUCT(('Match Log'!$D$4:$D$311=$A11)*('Match Log'!$E$4:$E$311="Win")*COUNTIFS('Match Log'!$A$4:$A$311,'Match Log'!$A$4:$A$311,'Match Log'!$D$4:$D$311,H$4,'Match Log'!$E$4:$E$311,"Loss"))+SUMPRODUCT(('Match Log'!$D$4:$D$311=H$4)*('Match Log'!$E$4:$E$311="Win")*COUNTIFS('Match Log'!$A$4:$A$311,'Match Log'!$A$4:$A$311,'Match Log'!$D$4:$D$311,$A11,'Match Log'!$E$4:$E$311,"Loss"))),"0%")&amp;" of "&amp;(SUMPRODUCT(('Match Log'!$D$4:$D$311=$A11)*('Match Log'!$E$4:$E$311="Win")*COUNTIFS('Match Log'!$A$4:$A$311,'Match Log'!$A$4:$A$311,'Match Log'!$D$4:$D$311,H$4,'Match Log'!$E$4:$E$311,"Loss"))+SUMPRODUCT(('Match Log'!$D$4:$D$311=H$4)*('Match Log'!$E$4:$E$311="Win")*COUNTIFS('Match Log'!$A$4:$A$311,'Match Log'!$A$4:$A$311,'Match Log'!$D$4:$D$311,$A11,'Match Log'!$E$4:$E$311,"Loss")))))</f>
        <v>—</v>
      </c>
      <c r="I11" s="54" t="str">
        <f>IF($A11=I$4,"—",IF((SUMPRODUCT(('Match Log'!$D$4:$D$311=$A11)*('Match Log'!$E$4:$E$311="Win")*COUNTIFS('Match Log'!$A$4:$A$311,'Match Log'!$A$4:$A$311,'Match Log'!$D$4:$D$311,I$4,'Match Log'!$E$4:$E$311,"Loss"))+SUMPRODUCT(('Match Log'!$D$4:$D$311=I$4)*('Match Log'!$E$4:$E$311="Win")*COUNTIFS('Match Log'!$A$4:$A$311,'Match Log'!$A$4:$A$311,'Match Log'!$D$4:$D$311,$A11,'Match Log'!$E$4:$E$311,"Loss")))=0,"",TEXT(SUMPRODUCT(('Match Log'!$D$4:$D$311=$A11)*('Match Log'!$E$4:$E$311="Win")*COUNTIFS('Match Log'!$A$4:$A$311,'Match Log'!$A$4:$A$311,'Match Log'!$D$4:$D$311,I$4,'Match Log'!$E$4:$E$311,"Loss"))/(SUMPRODUCT(('Match Log'!$D$4:$D$311=$A11)*('Match Log'!$E$4:$E$311="Win")*COUNTIFS('Match Log'!$A$4:$A$311,'Match Log'!$A$4:$A$311,'Match Log'!$D$4:$D$311,I$4,'Match Log'!$E$4:$E$311,"Loss"))+SUMPRODUCT(('Match Log'!$D$4:$D$311=I$4)*('Match Log'!$E$4:$E$311="Win")*COUNTIFS('Match Log'!$A$4:$A$311,'Match Log'!$A$4:$A$311,'Match Log'!$D$4:$D$311,$A11,'Match Log'!$E$4:$E$311,"Loss"))),"0%")&amp;" of "&amp;(SUMPRODUCT(('Match Log'!$D$4:$D$311=$A11)*('Match Log'!$E$4:$E$311="Win")*COUNTIFS('Match Log'!$A$4:$A$311,'Match Log'!$A$4:$A$311,'Match Log'!$D$4:$D$311,I$4,'Match Log'!$E$4:$E$311,"Loss"))+SUMPRODUCT(('Match Log'!$D$4:$D$311=I$4)*('Match Log'!$E$4:$E$311="Win")*COUNTIFS('Match Log'!$A$4:$A$311,'Match Log'!$A$4:$A$311,'Match Log'!$D$4:$D$311,$A11,'Match Log'!$E$4:$E$311,"Loss")))))</f>
        <v/>
      </c>
      <c r="J11" s="54" t="str">
        <f>IF($A11=J$4,"—",IF((SUMPRODUCT(('Match Log'!$D$4:$D$311=$A11)*('Match Log'!$E$4:$E$311="Win")*COUNTIFS('Match Log'!$A$4:$A$311,'Match Log'!$A$4:$A$311,'Match Log'!$D$4:$D$311,J$4,'Match Log'!$E$4:$E$311,"Loss"))+SUMPRODUCT(('Match Log'!$D$4:$D$311=J$4)*('Match Log'!$E$4:$E$311="Win")*COUNTIFS('Match Log'!$A$4:$A$311,'Match Log'!$A$4:$A$311,'Match Log'!$D$4:$D$311,$A11,'Match Log'!$E$4:$E$311,"Loss")))=0,"",TEXT(SUMPRODUCT(('Match Log'!$D$4:$D$311=$A11)*('Match Log'!$E$4:$E$311="Win")*COUNTIFS('Match Log'!$A$4:$A$311,'Match Log'!$A$4:$A$311,'Match Log'!$D$4:$D$311,J$4,'Match Log'!$E$4:$E$311,"Loss"))/(SUMPRODUCT(('Match Log'!$D$4:$D$311=$A11)*('Match Log'!$E$4:$E$311="Win")*COUNTIFS('Match Log'!$A$4:$A$311,'Match Log'!$A$4:$A$311,'Match Log'!$D$4:$D$311,J$4,'Match Log'!$E$4:$E$311,"Loss"))+SUMPRODUCT(('Match Log'!$D$4:$D$311=J$4)*('Match Log'!$E$4:$E$311="Win")*COUNTIFS('Match Log'!$A$4:$A$311,'Match Log'!$A$4:$A$311,'Match Log'!$D$4:$D$311,$A11,'Match Log'!$E$4:$E$311,"Loss"))),"0%")&amp;" of "&amp;(SUMPRODUCT(('Match Log'!$D$4:$D$311=$A11)*('Match Log'!$E$4:$E$311="Win")*COUNTIFS('Match Log'!$A$4:$A$311,'Match Log'!$A$4:$A$311,'Match Log'!$D$4:$D$311,J$4,'Match Log'!$E$4:$E$311,"Loss"))+SUMPRODUCT(('Match Log'!$D$4:$D$311=J$4)*('Match Log'!$E$4:$E$311="Win")*COUNTIFS('Match Log'!$A$4:$A$311,'Match Log'!$A$4:$A$311,'Match Log'!$D$4:$D$311,$A11,'Match Log'!$E$4:$E$311,"Loss")))))</f>
        <v>100% of 2</v>
      </c>
      <c r="K11" s="54" t="str">
        <f>IF($A11=K$4,"—",IF((SUMPRODUCT(('Match Log'!$D$4:$D$311=$A11)*('Match Log'!$E$4:$E$311="Win")*COUNTIFS('Match Log'!$A$4:$A$311,'Match Log'!$A$4:$A$311,'Match Log'!$D$4:$D$311,K$4,'Match Log'!$E$4:$E$311,"Loss"))+SUMPRODUCT(('Match Log'!$D$4:$D$311=K$4)*('Match Log'!$E$4:$E$311="Win")*COUNTIFS('Match Log'!$A$4:$A$311,'Match Log'!$A$4:$A$311,'Match Log'!$D$4:$D$311,$A11,'Match Log'!$E$4:$E$311,"Loss")))=0,"",TEXT(SUMPRODUCT(('Match Log'!$D$4:$D$311=$A11)*('Match Log'!$E$4:$E$311="Win")*COUNTIFS('Match Log'!$A$4:$A$311,'Match Log'!$A$4:$A$311,'Match Log'!$D$4:$D$311,K$4,'Match Log'!$E$4:$E$311,"Loss"))/(SUMPRODUCT(('Match Log'!$D$4:$D$311=$A11)*('Match Log'!$E$4:$E$311="Win")*COUNTIFS('Match Log'!$A$4:$A$311,'Match Log'!$A$4:$A$311,'Match Log'!$D$4:$D$311,K$4,'Match Log'!$E$4:$E$311,"Loss"))+SUMPRODUCT(('Match Log'!$D$4:$D$311=K$4)*('Match Log'!$E$4:$E$311="Win")*COUNTIFS('Match Log'!$A$4:$A$311,'Match Log'!$A$4:$A$311,'Match Log'!$D$4:$D$311,$A11,'Match Log'!$E$4:$E$311,"Loss"))),"0%")&amp;" of "&amp;(SUMPRODUCT(('Match Log'!$D$4:$D$311=$A11)*('Match Log'!$E$4:$E$311="Win")*COUNTIFS('Match Log'!$A$4:$A$311,'Match Log'!$A$4:$A$311,'Match Log'!$D$4:$D$311,K$4,'Match Log'!$E$4:$E$311,"Loss"))+SUMPRODUCT(('Match Log'!$D$4:$D$311=K$4)*('Match Log'!$E$4:$E$311="Win")*COUNTIFS('Match Log'!$A$4:$A$311,'Match Log'!$A$4:$A$311,'Match Log'!$D$4:$D$311,$A11,'Match Log'!$E$4:$E$311,"Loss")))))</f>
        <v>100% of 2</v>
      </c>
      <c r="L11" s="54" t="str">
        <f>IF($A11=L$4,"—",IF((SUMPRODUCT(('Match Log'!$D$4:$D$311=$A11)*('Match Log'!$E$4:$E$311="Win")*COUNTIFS('Match Log'!$A$4:$A$311,'Match Log'!$A$4:$A$311,'Match Log'!$D$4:$D$311,L$4,'Match Log'!$E$4:$E$311,"Loss"))+SUMPRODUCT(('Match Log'!$D$4:$D$311=L$4)*('Match Log'!$E$4:$E$311="Win")*COUNTIFS('Match Log'!$A$4:$A$311,'Match Log'!$A$4:$A$311,'Match Log'!$D$4:$D$311,$A11,'Match Log'!$E$4:$E$311,"Loss")))=0,"",TEXT(SUMPRODUCT(('Match Log'!$D$4:$D$311=$A11)*('Match Log'!$E$4:$E$311="Win")*COUNTIFS('Match Log'!$A$4:$A$311,'Match Log'!$A$4:$A$311,'Match Log'!$D$4:$D$311,L$4,'Match Log'!$E$4:$E$311,"Loss"))/(SUMPRODUCT(('Match Log'!$D$4:$D$311=$A11)*('Match Log'!$E$4:$E$311="Win")*COUNTIFS('Match Log'!$A$4:$A$311,'Match Log'!$A$4:$A$311,'Match Log'!$D$4:$D$311,L$4,'Match Log'!$E$4:$E$311,"Loss"))+SUMPRODUCT(('Match Log'!$D$4:$D$311=L$4)*('Match Log'!$E$4:$E$311="Win")*COUNTIFS('Match Log'!$A$4:$A$311,'Match Log'!$A$4:$A$311,'Match Log'!$D$4:$D$311,$A11,'Match Log'!$E$4:$E$311,"Loss"))),"0%")&amp;" of "&amp;(SUMPRODUCT(('Match Log'!$D$4:$D$311=$A11)*('Match Log'!$E$4:$E$311="Win")*COUNTIFS('Match Log'!$A$4:$A$311,'Match Log'!$A$4:$A$311,'Match Log'!$D$4:$D$311,L$4,'Match Log'!$E$4:$E$311,"Loss"))+SUMPRODUCT(('Match Log'!$D$4:$D$311=L$4)*('Match Log'!$E$4:$E$311="Win")*COUNTIFS('Match Log'!$A$4:$A$311,'Match Log'!$A$4:$A$311,'Match Log'!$D$4:$D$311,$A11,'Match Log'!$E$4:$E$311,"Loss")))))</f>
        <v>40% of 5</v>
      </c>
      <c r="M11" s="54" t="str">
        <f>IF($A11=M$4,"—",IF((SUMPRODUCT(('Match Log'!$D$4:$D$311=$A11)*('Match Log'!$E$4:$E$311="Win")*COUNTIFS('Match Log'!$A$4:$A$311,'Match Log'!$A$4:$A$311,'Match Log'!$D$4:$D$311,M$4,'Match Log'!$E$4:$E$311,"Loss"))+SUMPRODUCT(('Match Log'!$D$4:$D$311=M$4)*('Match Log'!$E$4:$E$311="Win")*COUNTIFS('Match Log'!$A$4:$A$311,'Match Log'!$A$4:$A$311,'Match Log'!$D$4:$D$311,$A11,'Match Log'!$E$4:$E$311,"Loss")))=0,"",TEXT(SUMPRODUCT(('Match Log'!$D$4:$D$311=$A11)*('Match Log'!$E$4:$E$311="Win")*COUNTIFS('Match Log'!$A$4:$A$311,'Match Log'!$A$4:$A$311,'Match Log'!$D$4:$D$311,M$4,'Match Log'!$E$4:$E$311,"Loss"))/(SUMPRODUCT(('Match Log'!$D$4:$D$311=$A11)*('Match Log'!$E$4:$E$311="Win")*COUNTIFS('Match Log'!$A$4:$A$311,'Match Log'!$A$4:$A$311,'Match Log'!$D$4:$D$311,M$4,'Match Log'!$E$4:$E$311,"Loss"))+SUMPRODUCT(('Match Log'!$D$4:$D$311=M$4)*('Match Log'!$E$4:$E$311="Win")*COUNTIFS('Match Log'!$A$4:$A$311,'Match Log'!$A$4:$A$311,'Match Log'!$D$4:$D$311,$A11,'Match Log'!$E$4:$E$311,"Loss"))),"0%")&amp;" of "&amp;(SUMPRODUCT(('Match Log'!$D$4:$D$311=$A11)*('Match Log'!$E$4:$E$311="Win")*COUNTIFS('Match Log'!$A$4:$A$311,'Match Log'!$A$4:$A$311,'Match Log'!$D$4:$D$311,M$4,'Match Log'!$E$4:$E$311,"Loss"))+SUMPRODUCT(('Match Log'!$D$4:$D$311=M$4)*('Match Log'!$E$4:$E$311="Win")*COUNTIFS('Match Log'!$A$4:$A$311,'Match Log'!$A$4:$A$311,'Match Log'!$D$4:$D$311,$A11,'Match Log'!$E$4:$E$311,"Loss")))))</f>
        <v>100% of 1</v>
      </c>
      <c r="N11" s="54" t="str">
        <f>IF($A11=N$4,"—",IF((SUMPRODUCT(('Match Log'!$D$4:$D$311=$A11)*('Match Log'!$E$4:$E$311="Win")*COUNTIFS('Match Log'!$A$4:$A$311,'Match Log'!$A$4:$A$311,'Match Log'!$D$4:$D$311,N$4,'Match Log'!$E$4:$E$311,"Loss"))+SUMPRODUCT(('Match Log'!$D$4:$D$311=N$4)*('Match Log'!$E$4:$E$311="Win")*COUNTIFS('Match Log'!$A$4:$A$311,'Match Log'!$A$4:$A$311,'Match Log'!$D$4:$D$311,$A11,'Match Log'!$E$4:$E$311,"Loss")))=0,"",TEXT(SUMPRODUCT(('Match Log'!$D$4:$D$311=$A11)*('Match Log'!$E$4:$E$311="Win")*COUNTIFS('Match Log'!$A$4:$A$311,'Match Log'!$A$4:$A$311,'Match Log'!$D$4:$D$311,N$4,'Match Log'!$E$4:$E$311,"Loss"))/(SUMPRODUCT(('Match Log'!$D$4:$D$311=$A11)*('Match Log'!$E$4:$E$311="Win")*COUNTIFS('Match Log'!$A$4:$A$311,'Match Log'!$A$4:$A$311,'Match Log'!$D$4:$D$311,N$4,'Match Log'!$E$4:$E$311,"Loss"))+SUMPRODUCT(('Match Log'!$D$4:$D$311=N$4)*('Match Log'!$E$4:$E$311="Win")*COUNTIFS('Match Log'!$A$4:$A$311,'Match Log'!$A$4:$A$311,'Match Log'!$D$4:$D$311,$A11,'Match Log'!$E$4:$E$311,"Loss"))),"0%")&amp;" of "&amp;(SUMPRODUCT(('Match Log'!$D$4:$D$311=$A11)*('Match Log'!$E$4:$E$311="Win")*COUNTIFS('Match Log'!$A$4:$A$311,'Match Log'!$A$4:$A$311,'Match Log'!$D$4:$D$311,N$4,'Match Log'!$E$4:$E$311,"Loss"))+SUMPRODUCT(('Match Log'!$D$4:$D$311=N$4)*('Match Log'!$E$4:$E$311="Win")*COUNTIFS('Match Log'!$A$4:$A$311,'Match Log'!$A$4:$A$311,'Match Log'!$D$4:$D$311,$A11,'Match Log'!$E$4:$E$311,"Loss")))))</f>
        <v>50% of 2</v>
      </c>
      <c r="O11" s="54" t="str">
        <f>IF($A11=O$4,"—",IF((SUMPRODUCT(('Match Log'!$D$4:$D$311=$A11)*('Match Log'!$E$4:$E$311="Win")*COUNTIFS('Match Log'!$A$4:$A$311,'Match Log'!$A$4:$A$311,'Match Log'!$D$4:$D$311,O$4,'Match Log'!$E$4:$E$311,"Loss"))+SUMPRODUCT(('Match Log'!$D$4:$D$311=O$4)*('Match Log'!$E$4:$E$311="Win")*COUNTIFS('Match Log'!$A$4:$A$311,'Match Log'!$A$4:$A$311,'Match Log'!$D$4:$D$311,$A11,'Match Log'!$E$4:$E$311,"Loss")))=0,"",TEXT(SUMPRODUCT(('Match Log'!$D$4:$D$311=$A11)*('Match Log'!$E$4:$E$311="Win")*COUNTIFS('Match Log'!$A$4:$A$311,'Match Log'!$A$4:$A$311,'Match Log'!$D$4:$D$311,O$4,'Match Log'!$E$4:$E$311,"Loss"))/(SUMPRODUCT(('Match Log'!$D$4:$D$311=$A11)*('Match Log'!$E$4:$E$311="Win")*COUNTIFS('Match Log'!$A$4:$A$311,'Match Log'!$A$4:$A$311,'Match Log'!$D$4:$D$311,O$4,'Match Log'!$E$4:$E$311,"Loss"))+SUMPRODUCT(('Match Log'!$D$4:$D$311=O$4)*('Match Log'!$E$4:$E$311="Win")*COUNTIFS('Match Log'!$A$4:$A$311,'Match Log'!$A$4:$A$311,'Match Log'!$D$4:$D$311,$A11,'Match Log'!$E$4:$E$311,"Loss"))),"0%")&amp;" of "&amp;(SUMPRODUCT(('Match Log'!$D$4:$D$311=$A11)*('Match Log'!$E$4:$E$311="Win")*COUNTIFS('Match Log'!$A$4:$A$311,'Match Log'!$A$4:$A$311,'Match Log'!$D$4:$D$311,O$4,'Match Log'!$E$4:$E$311,"Loss"))+SUMPRODUCT(('Match Log'!$D$4:$D$311=O$4)*('Match Log'!$E$4:$E$311="Win")*COUNTIFS('Match Log'!$A$4:$A$311,'Match Log'!$A$4:$A$311,'Match Log'!$D$4:$D$311,$A11,'Match Log'!$E$4:$E$311,"Loss")))))</f>
        <v/>
      </c>
    </row>
    <row r="12" spans="1:15" ht="15" customHeight="1" x14ac:dyDescent="0.2">
      <c r="A12" s="49" t="s">
        <v>177</v>
      </c>
      <c r="B12" s="54" t="str">
        <f>IF($A12=B$4,"—",IF((SUMPRODUCT(('Match Log'!$D$4:$D$311=$A12)*('Match Log'!$E$4:$E$311="Win")*COUNTIFS('Match Log'!$A$4:$A$311,'Match Log'!$A$4:$A$311,'Match Log'!$D$4:$D$311,B$4,'Match Log'!$E$4:$E$311,"Loss"))+SUMPRODUCT(('Match Log'!$D$4:$D$311=B$4)*('Match Log'!$E$4:$E$311="Win")*COUNTIFS('Match Log'!$A$4:$A$311,'Match Log'!$A$4:$A$311,'Match Log'!$D$4:$D$311,$A12,'Match Log'!$E$4:$E$311,"Loss")))=0,"",TEXT(SUMPRODUCT(('Match Log'!$D$4:$D$311=$A12)*('Match Log'!$E$4:$E$311="Win")*COUNTIFS('Match Log'!$A$4:$A$311,'Match Log'!$A$4:$A$311,'Match Log'!$D$4:$D$311,B$4,'Match Log'!$E$4:$E$311,"Loss"))/(SUMPRODUCT(('Match Log'!$D$4:$D$311=$A12)*('Match Log'!$E$4:$E$311="Win")*COUNTIFS('Match Log'!$A$4:$A$311,'Match Log'!$A$4:$A$311,'Match Log'!$D$4:$D$311,B$4,'Match Log'!$E$4:$E$311,"Loss"))+SUMPRODUCT(('Match Log'!$D$4:$D$311=B$4)*('Match Log'!$E$4:$E$311="Win")*COUNTIFS('Match Log'!$A$4:$A$311,'Match Log'!$A$4:$A$311,'Match Log'!$D$4:$D$311,$A12,'Match Log'!$E$4:$E$311,"Loss"))),"0%")&amp;" of "&amp;(SUMPRODUCT(('Match Log'!$D$4:$D$311=$A12)*('Match Log'!$E$4:$E$311="Win")*COUNTIFS('Match Log'!$A$4:$A$311,'Match Log'!$A$4:$A$311,'Match Log'!$D$4:$D$311,B$4,'Match Log'!$E$4:$E$311,"Loss"))+SUMPRODUCT(('Match Log'!$D$4:$D$311=B$4)*('Match Log'!$E$4:$E$311="Win")*COUNTIFS('Match Log'!$A$4:$A$311,'Match Log'!$A$4:$A$311,'Match Log'!$D$4:$D$311,$A12,'Match Log'!$E$4:$E$311,"Loss")))))</f>
        <v>40% of 5</v>
      </c>
      <c r="C12" s="54" t="str">
        <f>IF($A12=C$4,"—",IF((SUMPRODUCT(('Match Log'!$D$4:$D$311=$A12)*('Match Log'!$E$4:$E$311="Win")*COUNTIFS('Match Log'!$A$4:$A$311,'Match Log'!$A$4:$A$311,'Match Log'!$D$4:$D$311,C$4,'Match Log'!$E$4:$E$311,"Loss"))+SUMPRODUCT(('Match Log'!$D$4:$D$311=C$4)*('Match Log'!$E$4:$E$311="Win")*COUNTIFS('Match Log'!$A$4:$A$311,'Match Log'!$A$4:$A$311,'Match Log'!$D$4:$D$311,$A12,'Match Log'!$E$4:$E$311,"Loss")))=0,"",TEXT(SUMPRODUCT(('Match Log'!$D$4:$D$311=$A12)*('Match Log'!$E$4:$E$311="Win")*COUNTIFS('Match Log'!$A$4:$A$311,'Match Log'!$A$4:$A$311,'Match Log'!$D$4:$D$311,C$4,'Match Log'!$E$4:$E$311,"Loss"))/(SUMPRODUCT(('Match Log'!$D$4:$D$311=$A12)*('Match Log'!$E$4:$E$311="Win")*COUNTIFS('Match Log'!$A$4:$A$311,'Match Log'!$A$4:$A$311,'Match Log'!$D$4:$D$311,C$4,'Match Log'!$E$4:$E$311,"Loss"))+SUMPRODUCT(('Match Log'!$D$4:$D$311=C$4)*('Match Log'!$E$4:$E$311="Win")*COUNTIFS('Match Log'!$A$4:$A$311,'Match Log'!$A$4:$A$311,'Match Log'!$D$4:$D$311,$A12,'Match Log'!$E$4:$E$311,"Loss"))),"0%")&amp;" of "&amp;(SUMPRODUCT(('Match Log'!$D$4:$D$311=$A12)*('Match Log'!$E$4:$E$311="Win")*COUNTIFS('Match Log'!$A$4:$A$311,'Match Log'!$A$4:$A$311,'Match Log'!$D$4:$D$311,C$4,'Match Log'!$E$4:$E$311,"Loss"))+SUMPRODUCT(('Match Log'!$D$4:$D$311=C$4)*('Match Log'!$E$4:$E$311="Win")*COUNTIFS('Match Log'!$A$4:$A$311,'Match Log'!$A$4:$A$311,'Match Log'!$D$4:$D$311,$A12,'Match Log'!$E$4:$E$311,"Loss")))))</f>
        <v>0% of 2</v>
      </c>
      <c r="D12" s="54" t="str">
        <f>IF($A12=D$4,"—",IF((SUMPRODUCT(('Match Log'!$D$4:$D$311=$A12)*('Match Log'!$E$4:$E$311="Win")*COUNTIFS('Match Log'!$A$4:$A$311,'Match Log'!$A$4:$A$311,'Match Log'!$D$4:$D$311,D$4,'Match Log'!$E$4:$E$311,"Loss"))+SUMPRODUCT(('Match Log'!$D$4:$D$311=D$4)*('Match Log'!$E$4:$E$311="Win")*COUNTIFS('Match Log'!$A$4:$A$311,'Match Log'!$A$4:$A$311,'Match Log'!$D$4:$D$311,$A12,'Match Log'!$E$4:$E$311,"Loss")))=0,"",TEXT(SUMPRODUCT(('Match Log'!$D$4:$D$311=$A12)*('Match Log'!$E$4:$E$311="Win")*COUNTIFS('Match Log'!$A$4:$A$311,'Match Log'!$A$4:$A$311,'Match Log'!$D$4:$D$311,D$4,'Match Log'!$E$4:$E$311,"Loss"))/(SUMPRODUCT(('Match Log'!$D$4:$D$311=$A12)*('Match Log'!$E$4:$E$311="Win")*COUNTIFS('Match Log'!$A$4:$A$311,'Match Log'!$A$4:$A$311,'Match Log'!$D$4:$D$311,D$4,'Match Log'!$E$4:$E$311,"Loss"))+SUMPRODUCT(('Match Log'!$D$4:$D$311=D$4)*('Match Log'!$E$4:$E$311="Win")*COUNTIFS('Match Log'!$A$4:$A$311,'Match Log'!$A$4:$A$311,'Match Log'!$D$4:$D$311,$A12,'Match Log'!$E$4:$E$311,"Loss"))),"0%")&amp;" of "&amp;(SUMPRODUCT(('Match Log'!$D$4:$D$311=$A12)*('Match Log'!$E$4:$E$311="Win")*COUNTIFS('Match Log'!$A$4:$A$311,'Match Log'!$A$4:$A$311,'Match Log'!$D$4:$D$311,D$4,'Match Log'!$E$4:$E$311,"Loss"))+SUMPRODUCT(('Match Log'!$D$4:$D$311=D$4)*('Match Log'!$E$4:$E$311="Win")*COUNTIFS('Match Log'!$A$4:$A$311,'Match Log'!$A$4:$A$311,'Match Log'!$D$4:$D$311,$A12,'Match Log'!$E$4:$E$311,"Loss")))))</f>
        <v>20% of 5</v>
      </c>
      <c r="E12" s="54" t="str">
        <f>IF($A12=E$4,"—",IF((SUMPRODUCT(('Match Log'!$D$4:$D$311=$A12)*('Match Log'!$E$4:$E$311="Win")*COUNTIFS('Match Log'!$A$4:$A$311,'Match Log'!$A$4:$A$311,'Match Log'!$D$4:$D$311,E$4,'Match Log'!$E$4:$E$311,"Loss"))+SUMPRODUCT(('Match Log'!$D$4:$D$311=E$4)*('Match Log'!$E$4:$E$311="Win")*COUNTIFS('Match Log'!$A$4:$A$311,'Match Log'!$A$4:$A$311,'Match Log'!$D$4:$D$311,$A12,'Match Log'!$E$4:$E$311,"Loss")))=0,"",TEXT(SUMPRODUCT(('Match Log'!$D$4:$D$311=$A12)*('Match Log'!$E$4:$E$311="Win")*COUNTIFS('Match Log'!$A$4:$A$311,'Match Log'!$A$4:$A$311,'Match Log'!$D$4:$D$311,E$4,'Match Log'!$E$4:$E$311,"Loss"))/(SUMPRODUCT(('Match Log'!$D$4:$D$311=$A12)*('Match Log'!$E$4:$E$311="Win")*COUNTIFS('Match Log'!$A$4:$A$311,'Match Log'!$A$4:$A$311,'Match Log'!$D$4:$D$311,E$4,'Match Log'!$E$4:$E$311,"Loss"))+SUMPRODUCT(('Match Log'!$D$4:$D$311=E$4)*('Match Log'!$E$4:$E$311="Win")*COUNTIFS('Match Log'!$A$4:$A$311,'Match Log'!$A$4:$A$311,'Match Log'!$D$4:$D$311,$A12,'Match Log'!$E$4:$E$311,"Loss"))),"0%")&amp;" of "&amp;(SUMPRODUCT(('Match Log'!$D$4:$D$311=$A12)*('Match Log'!$E$4:$E$311="Win")*COUNTIFS('Match Log'!$A$4:$A$311,'Match Log'!$A$4:$A$311,'Match Log'!$D$4:$D$311,E$4,'Match Log'!$E$4:$E$311,"Loss"))+SUMPRODUCT(('Match Log'!$D$4:$D$311=E$4)*('Match Log'!$E$4:$E$311="Win")*COUNTIFS('Match Log'!$A$4:$A$311,'Match Log'!$A$4:$A$311,'Match Log'!$D$4:$D$311,$A12,'Match Log'!$E$4:$E$311,"Loss")))))</f>
        <v>100% of 3</v>
      </c>
      <c r="F12" s="54" t="str">
        <f>IF($A12=F$4,"—",IF((SUMPRODUCT(('Match Log'!$D$4:$D$311=$A12)*('Match Log'!$E$4:$E$311="Win")*COUNTIFS('Match Log'!$A$4:$A$311,'Match Log'!$A$4:$A$311,'Match Log'!$D$4:$D$311,F$4,'Match Log'!$E$4:$E$311,"Loss"))+SUMPRODUCT(('Match Log'!$D$4:$D$311=F$4)*('Match Log'!$E$4:$E$311="Win")*COUNTIFS('Match Log'!$A$4:$A$311,'Match Log'!$A$4:$A$311,'Match Log'!$D$4:$D$311,$A12,'Match Log'!$E$4:$E$311,"Loss")))=0,"",TEXT(SUMPRODUCT(('Match Log'!$D$4:$D$311=$A12)*('Match Log'!$E$4:$E$311="Win")*COUNTIFS('Match Log'!$A$4:$A$311,'Match Log'!$A$4:$A$311,'Match Log'!$D$4:$D$311,F$4,'Match Log'!$E$4:$E$311,"Loss"))/(SUMPRODUCT(('Match Log'!$D$4:$D$311=$A12)*('Match Log'!$E$4:$E$311="Win")*COUNTIFS('Match Log'!$A$4:$A$311,'Match Log'!$A$4:$A$311,'Match Log'!$D$4:$D$311,F$4,'Match Log'!$E$4:$E$311,"Loss"))+SUMPRODUCT(('Match Log'!$D$4:$D$311=F$4)*('Match Log'!$E$4:$E$311="Win")*COUNTIFS('Match Log'!$A$4:$A$311,'Match Log'!$A$4:$A$311,'Match Log'!$D$4:$D$311,$A12,'Match Log'!$E$4:$E$311,"Loss"))),"0%")&amp;" of "&amp;(SUMPRODUCT(('Match Log'!$D$4:$D$311=$A12)*('Match Log'!$E$4:$E$311="Win")*COUNTIFS('Match Log'!$A$4:$A$311,'Match Log'!$A$4:$A$311,'Match Log'!$D$4:$D$311,F$4,'Match Log'!$E$4:$E$311,"Loss"))+SUMPRODUCT(('Match Log'!$D$4:$D$311=F$4)*('Match Log'!$E$4:$E$311="Win")*COUNTIFS('Match Log'!$A$4:$A$311,'Match Log'!$A$4:$A$311,'Match Log'!$D$4:$D$311,$A12,'Match Log'!$E$4:$E$311,"Loss")))))</f>
        <v>42% of 12</v>
      </c>
      <c r="G12" s="54" t="str">
        <f>IF($A12=G$4,"—",IF((SUMPRODUCT(('Match Log'!$D$4:$D$311=$A12)*('Match Log'!$E$4:$E$311="Win")*COUNTIFS('Match Log'!$A$4:$A$311,'Match Log'!$A$4:$A$311,'Match Log'!$D$4:$D$311,G$4,'Match Log'!$E$4:$E$311,"Loss"))+SUMPRODUCT(('Match Log'!$D$4:$D$311=G$4)*('Match Log'!$E$4:$E$311="Win")*COUNTIFS('Match Log'!$A$4:$A$311,'Match Log'!$A$4:$A$311,'Match Log'!$D$4:$D$311,$A12,'Match Log'!$E$4:$E$311,"Loss")))=0,"",TEXT(SUMPRODUCT(('Match Log'!$D$4:$D$311=$A12)*('Match Log'!$E$4:$E$311="Win")*COUNTIFS('Match Log'!$A$4:$A$311,'Match Log'!$A$4:$A$311,'Match Log'!$D$4:$D$311,G$4,'Match Log'!$E$4:$E$311,"Loss"))/(SUMPRODUCT(('Match Log'!$D$4:$D$311=$A12)*('Match Log'!$E$4:$E$311="Win")*COUNTIFS('Match Log'!$A$4:$A$311,'Match Log'!$A$4:$A$311,'Match Log'!$D$4:$D$311,G$4,'Match Log'!$E$4:$E$311,"Loss"))+SUMPRODUCT(('Match Log'!$D$4:$D$311=G$4)*('Match Log'!$E$4:$E$311="Win")*COUNTIFS('Match Log'!$A$4:$A$311,'Match Log'!$A$4:$A$311,'Match Log'!$D$4:$D$311,$A12,'Match Log'!$E$4:$E$311,"Loss"))),"0%")&amp;" of "&amp;(SUMPRODUCT(('Match Log'!$D$4:$D$311=$A12)*('Match Log'!$E$4:$E$311="Win")*COUNTIFS('Match Log'!$A$4:$A$311,'Match Log'!$A$4:$A$311,'Match Log'!$D$4:$D$311,G$4,'Match Log'!$E$4:$E$311,"Loss"))+SUMPRODUCT(('Match Log'!$D$4:$D$311=G$4)*('Match Log'!$E$4:$E$311="Win")*COUNTIFS('Match Log'!$A$4:$A$311,'Match Log'!$A$4:$A$311,'Match Log'!$D$4:$D$311,$A12,'Match Log'!$E$4:$E$311,"Loss")))))</f>
        <v>44% of 18</v>
      </c>
      <c r="H12" s="54" t="str">
        <f>IF($A12=H$4,"—",IF((SUMPRODUCT(('Match Log'!$D$4:$D$311=$A12)*('Match Log'!$E$4:$E$311="Win")*COUNTIFS('Match Log'!$A$4:$A$311,'Match Log'!$A$4:$A$311,'Match Log'!$D$4:$D$311,H$4,'Match Log'!$E$4:$E$311,"Loss"))+SUMPRODUCT(('Match Log'!$D$4:$D$311=H$4)*('Match Log'!$E$4:$E$311="Win")*COUNTIFS('Match Log'!$A$4:$A$311,'Match Log'!$A$4:$A$311,'Match Log'!$D$4:$D$311,$A12,'Match Log'!$E$4:$E$311,"Loss")))=0,"",TEXT(SUMPRODUCT(('Match Log'!$D$4:$D$311=$A12)*('Match Log'!$E$4:$E$311="Win")*COUNTIFS('Match Log'!$A$4:$A$311,'Match Log'!$A$4:$A$311,'Match Log'!$D$4:$D$311,H$4,'Match Log'!$E$4:$E$311,"Loss"))/(SUMPRODUCT(('Match Log'!$D$4:$D$311=$A12)*('Match Log'!$E$4:$E$311="Win")*COUNTIFS('Match Log'!$A$4:$A$311,'Match Log'!$A$4:$A$311,'Match Log'!$D$4:$D$311,H$4,'Match Log'!$E$4:$E$311,"Loss"))+SUMPRODUCT(('Match Log'!$D$4:$D$311=H$4)*('Match Log'!$E$4:$E$311="Win")*COUNTIFS('Match Log'!$A$4:$A$311,'Match Log'!$A$4:$A$311,'Match Log'!$D$4:$D$311,$A12,'Match Log'!$E$4:$E$311,"Loss"))),"0%")&amp;" of "&amp;(SUMPRODUCT(('Match Log'!$D$4:$D$311=$A12)*('Match Log'!$E$4:$E$311="Win")*COUNTIFS('Match Log'!$A$4:$A$311,'Match Log'!$A$4:$A$311,'Match Log'!$D$4:$D$311,H$4,'Match Log'!$E$4:$E$311,"Loss"))+SUMPRODUCT(('Match Log'!$D$4:$D$311=H$4)*('Match Log'!$E$4:$E$311="Win")*COUNTIFS('Match Log'!$A$4:$A$311,'Match Log'!$A$4:$A$311,'Match Log'!$D$4:$D$311,$A12,'Match Log'!$E$4:$E$311,"Loss")))))</f>
        <v/>
      </c>
      <c r="I12" s="54" t="str">
        <f>IF($A12=I$4,"—",IF((SUMPRODUCT(('Match Log'!$D$4:$D$311=$A12)*('Match Log'!$E$4:$E$311="Win")*COUNTIFS('Match Log'!$A$4:$A$311,'Match Log'!$A$4:$A$311,'Match Log'!$D$4:$D$311,I$4,'Match Log'!$E$4:$E$311,"Loss"))+SUMPRODUCT(('Match Log'!$D$4:$D$311=I$4)*('Match Log'!$E$4:$E$311="Win")*COUNTIFS('Match Log'!$A$4:$A$311,'Match Log'!$A$4:$A$311,'Match Log'!$D$4:$D$311,$A12,'Match Log'!$E$4:$E$311,"Loss")))=0,"",TEXT(SUMPRODUCT(('Match Log'!$D$4:$D$311=$A12)*('Match Log'!$E$4:$E$311="Win")*COUNTIFS('Match Log'!$A$4:$A$311,'Match Log'!$A$4:$A$311,'Match Log'!$D$4:$D$311,I$4,'Match Log'!$E$4:$E$311,"Loss"))/(SUMPRODUCT(('Match Log'!$D$4:$D$311=$A12)*('Match Log'!$E$4:$E$311="Win")*COUNTIFS('Match Log'!$A$4:$A$311,'Match Log'!$A$4:$A$311,'Match Log'!$D$4:$D$311,I$4,'Match Log'!$E$4:$E$311,"Loss"))+SUMPRODUCT(('Match Log'!$D$4:$D$311=I$4)*('Match Log'!$E$4:$E$311="Win")*COUNTIFS('Match Log'!$A$4:$A$311,'Match Log'!$A$4:$A$311,'Match Log'!$D$4:$D$311,$A12,'Match Log'!$E$4:$E$311,"Loss"))),"0%")&amp;" of "&amp;(SUMPRODUCT(('Match Log'!$D$4:$D$311=$A12)*('Match Log'!$E$4:$E$311="Win")*COUNTIFS('Match Log'!$A$4:$A$311,'Match Log'!$A$4:$A$311,'Match Log'!$D$4:$D$311,I$4,'Match Log'!$E$4:$E$311,"Loss"))+SUMPRODUCT(('Match Log'!$D$4:$D$311=I$4)*('Match Log'!$E$4:$E$311="Win")*COUNTIFS('Match Log'!$A$4:$A$311,'Match Log'!$A$4:$A$311,'Match Log'!$D$4:$D$311,$A12,'Match Log'!$E$4:$E$311,"Loss")))))</f>
        <v>—</v>
      </c>
      <c r="J12" s="54" t="str">
        <f>IF($A12=J$4,"—",IF((SUMPRODUCT(('Match Log'!$D$4:$D$311=$A12)*('Match Log'!$E$4:$E$311="Win")*COUNTIFS('Match Log'!$A$4:$A$311,'Match Log'!$A$4:$A$311,'Match Log'!$D$4:$D$311,J$4,'Match Log'!$E$4:$E$311,"Loss"))+SUMPRODUCT(('Match Log'!$D$4:$D$311=J$4)*('Match Log'!$E$4:$E$311="Win")*COUNTIFS('Match Log'!$A$4:$A$311,'Match Log'!$A$4:$A$311,'Match Log'!$D$4:$D$311,$A12,'Match Log'!$E$4:$E$311,"Loss")))=0,"",TEXT(SUMPRODUCT(('Match Log'!$D$4:$D$311=$A12)*('Match Log'!$E$4:$E$311="Win")*COUNTIFS('Match Log'!$A$4:$A$311,'Match Log'!$A$4:$A$311,'Match Log'!$D$4:$D$311,J$4,'Match Log'!$E$4:$E$311,"Loss"))/(SUMPRODUCT(('Match Log'!$D$4:$D$311=$A12)*('Match Log'!$E$4:$E$311="Win")*COUNTIFS('Match Log'!$A$4:$A$311,'Match Log'!$A$4:$A$311,'Match Log'!$D$4:$D$311,J$4,'Match Log'!$E$4:$E$311,"Loss"))+SUMPRODUCT(('Match Log'!$D$4:$D$311=J$4)*('Match Log'!$E$4:$E$311="Win")*COUNTIFS('Match Log'!$A$4:$A$311,'Match Log'!$A$4:$A$311,'Match Log'!$D$4:$D$311,$A12,'Match Log'!$E$4:$E$311,"Loss"))),"0%")&amp;" of "&amp;(SUMPRODUCT(('Match Log'!$D$4:$D$311=$A12)*('Match Log'!$E$4:$E$311="Win")*COUNTIFS('Match Log'!$A$4:$A$311,'Match Log'!$A$4:$A$311,'Match Log'!$D$4:$D$311,J$4,'Match Log'!$E$4:$E$311,"Loss"))+SUMPRODUCT(('Match Log'!$D$4:$D$311=J$4)*('Match Log'!$E$4:$E$311="Win")*COUNTIFS('Match Log'!$A$4:$A$311,'Match Log'!$A$4:$A$311,'Match Log'!$D$4:$D$311,$A12,'Match Log'!$E$4:$E$311,"Loss")))))</f>
        <v>25% of 4</v>
      </c>
      <c r="K12" s="54" t="str">
        <f>IF($A12=K$4,"—",IF((SUMPRODUCT(('Match Log'!$D$4:$D$311=$A12)*('Match Log'!$E$4:$E$311="Win")*COUNTIFS('Match Log'!$A$4:$A$311,'Match Log'!$A$4:$A$311,'Match Log'!$D$4:$D$311,K$4,'Match Log'!$E$4:$E$311,"Loss"))+SUMPRODUCT(('Match Log'!$D$4:$D$311=K$4)*('Match Log'!$E$4:$E$311="Win")*COUNTIFS('Match Log'!$A$4:$A$311,'Match Log'!$A$4:$A$311,'Match Log'!$D$4:$D$311,$A12,'Match Log'!$E$4:$E$311,"Loss")))=0,"",TEXT(SUMPRODUCT(('Match Log'!$D$4:$D$311=$A12)*('Match Log'!$E$4:$E$311="Win")*COUNTIFS('Match Log'!$A$4:$A$311,'Match Log'!$A$4:$A$311,'Match Log'!$D$4:$D$311,K$4,'Match Log'!$E$4:$E$311,"Loss"))/(SUMPRODUCT(('Match Log'!$D$4:$D$311=$A12)*('Match Log'!$E$4:$E$311="Win")*COUNTIFS('Match Log'!$A$4:$A$311,'Match Log'!$A$4:$A$311,'Match Log'!$D$4:$D$311,K$4,'Match Log'!$E$4:$E$311,"Loss"))+SUMPRODUCT(('Match Log'!$D$4:$D$311=K$4)*('Match Log'!$E$4:$E$311="Win")*COUNTIFS('Match Log'!$A$4:$A$311,'Match Log'!$A$4:$A$311,'Match Log'!$D$4:$D$311,$A12,'Match Log'!$E$4:$E$311,"Loss"))),"0%")&amp;" of "&amp;(SUMPRODUCT(('Match Log'!$D$4:$D$311=$A12)*('Match Log'!$E$4:$E$311="Win")*COUNTIFS('Match Log'!$A$4:$A$311,'Match Log'!$A$4:$A$311,'Match Log'!$D$4:$D$311,K$4,'Match Log'!$E$4:$E$311,"Loss"))+SUMPRODUCT(('Match Log'!$D$4:$D$311=K$4)*('Match Log'!$E$4:$E$311="Win")*COUNTIFS('Match Log'!$A$4:$A$311,'Match Log'!$A$4:$A$311,'Match Log'!$D$4:$D$311,$A12,'Match Log'!$E$4:$E$311,"Loss")))))</f>
        <v>100% of 2</v>
      </c>
      <c r="L12" s="54" t="str">
        <f>IF($A12=L$4,"—",IF((SUMPRODUCT(('Match Log'!$D$4:$D$311=$A12)*('Match Log'!$E$4:$E$311="Win")*COUNTIFS('Match Log'!$A$4:$A$311,'Match Log'!$A$4:$A$311,'Match Log'!$D$4:$D$311,L$4,'Match Log'!$E$4:$E$311,"Loss"))+SUMPRODUCT(('Match Log'!$D$4:$D$311=L$4)*('Match Log'!$E$4:$E$311="Win")*COUNTIFS('Match Log'!$A$4:$A$311,'Match Log'!$A$4:$A$311,'Match Log'!$D$4:$D$311,$A12,'Match Log'!$E$4:$E$311,"Loss")))=0,"",TEXT(SUMPRODUCT(('Match Log'!$D$4:$D$311=$A12)*('Match Log'!$E$4:$E$311="Win")*COUNTIFS('Match Log'!$A$4:$A$311,'Match Log'!$A$4:$A$311,'Match Log'!$D$4:$D$311,L$4,'Match Log'!$E$4:$E$311,"Loss"))/(SUMPRODUCT(('Match Log'!$D$4:$D$311=$A12)*('Match Log'!$E$4:$E$311="Win")*COUNTIFS('Match Log'!$A$4:$A$311,'Match Log'!$A$4:$A$311,'Match Log'!$D$4:$D$311,L$4,'Match Log'!$E$4:$E$311,"Loss"))+SUMPRODUCT(('Match Log'!$D$4:$D$311=L$4)*('Match Log'!$E$4:$E$311="Win")*COUNTIFS('Match Log'!$A$4:$A$311,'Match Log'!$A$4:$A$311,'Match Log'!$D$4:$D$311,$A12,'Match Log'!$E$4:$E$311,"Loss"))),"0%")&amp;" of "&amp;(SUMPRODUCT(('Match Log'!$D$4:$D$311=$A12)*('Match Log'!$E$4:$E$311="Win")*COUNTIFS('Match Log'!$A$4:$A$311,'Match Log'!$A$4:$A$311,'Match Log'!$D$4:$D$311,L$4,'Match Log'!$E$4:$E$311,"Loss"))+SUMPRODUCT(('Match Log'!$D$4:$D$311=L$4)*('Match Log'!$E$4:$E$311="Win")*COUNTIFS('Match Log'!$A$4:$A$311,'Match Log'!$A$4:$A$311,'Match Log'!$D$4:$D$311,$A12,'Match Log'!$E$4:$E$311,"Loss")))))</f>
        <v>80% of 5</v>
      </c>
      <c r="M12" s="54" t="str">
        <f>IF($A12=M$4,"—",IF((SUMPRODUCT(('Match Log'!$D$4:$D$311=$A12)*('Match Log'!$E$4:$E$311="Win")*COUNTIFS('Match Log'!$A$4:$A$311,'Match Log'!$A$4:$A$311,'Match Log'!$D$4:$D$311,M$4,'Match Log'!$E$4:$E$311,"Loss"))+SUMPRODUCT(('Match Log'!$D$4:$D$311=M$4)*('Match Log'!$E$4:$E$311="Win")*COUNTIFS('Match Log'!$A$4:$A$311,'Match Log'!$A$4:$A$311,'Match Log'!$D$4:$D$311,$A12,'Match Log'!$E$4:$E$311,"Loss")))=0,"",TEXT(SUMPRODUCT(('Match Log'!$D$4:$D$311=$A12)*('Match Log'!$E$4:$E$311="Win")*COUNTIFS('Match Log'!$A$4:$A$311,'Match Log'!$A$4:$A$311,'Match Log'!$D$4:$D$311,M$4,'Match Log'!$E$4:$E$311,"Loss"))/(SUMPRODUCT(('Match Log'!$D$4:$D$311=$A12)*('Match Log'!$E$4:$E$311="Win")*COUNTIFS('Match Log'!$A$4:$A$311,'Match Log'!$A$4:$A$311,'Match Log'!$D$4:$D$311,M$4,'Match Log'!$E$4:$E$311,"Loss"))+SUMPRODUCT(('Match Log'!$D$4:$D$311=M$4)*('Match Log'!$E$4:$E$311="Win")*COUNTIFS('Match Log'!$A$4:$A$311,'Match Log'!$A$4:$A$311,'Match Log'!$D$4:$D$311,$A12,'Match Log'!$E$4:$E$311,"Loss"))),"0%")&amp;" of "&amp;(SUMPRODUCT(('Match Log'!$D$4:$D$311=$A12)*('Match Log'!$E$4:$E$311="Win")*COUNTIFS('Match Log'!$A$4:$A$311,'Match Log'!$A$4:$A$311,'Match Log'!$D$4:$D$311,M$4,'Match Log'!$E$4:$E$311,"Loss"))+SUMPRODUCT(('Match Log'!$D$4:$D$311=M$4)*('Match Log'!$E$4:$E$311="Win")*COUNTIFS('Match Log'!$A$4:$A$311,'Match Log'!$A$4:$A$311,'Match Log'!$D$4:$D$311,$A12,'Match Log'!$E$4:$E$311,"Loss")))))</f>
        <v>100% of 2</v>
      </c>
      <c r="N12" s="54" t="str">
        <f>IF($A12=N$4,"—",IF((SUMPRODUCT(('Match Log'!$D$4:$D$311=$A12)*('Match Log'!$E$4:$E$311="Win")*COUNTIFS('Match Log'!$A$4:$A$311,'Match Log'!$A$4:$A$311,'Match Log'!$D$4:$D$311,N$4,'Match Log'!$E$4:$E$311,"Loss"))+SUMPRODUCT(('Match Log'!$D$4:$D$311=N$4)*('Match Log'!$E$4:$E$311="Win")*COUNTIFS('Match Log'!$A$4:$A$311,'Match Log'!$A$4:$A$311,'Match Log'!$D$4:$D$311,$A12,'Match Log'!$E$4:$E$311,"Loss")))=0,"",TEXT(SUMPRODUCT(('Match Log'!$D$4:$D$311=$A12)*('Match Log'!$E$4:$E$311="Win")*COUNTIFS('Match Log'!$A$4:$A$311,'Match Log'!$A$4:$A$311,'Match Log'!$D$4:$D$311,N$4,'Match Log'!$E$4:$E$311,"Loss"))/(SUMPRODUCT(('Match Log'!$D$4:$D$311=$A12)*('Match Log'!$E$4:$E$311="Win")*COUNTIFS('Match Log'!$A$4:$A$311,'Match Log'!$A$4:$A$311,'Match Log'!$D$4:$D$311,N$4,'Match Log'!$E$4:$E$311,"Loss"))+SUMPRODUCT(('Match Log'!$D$4:$D$311=N$4)*('Match Log'!$E$4:$E$311="Win")*COUNTIFS('Match Log'!$A$4:$A$311,'Match Log'!$A$4:$A$311,'Match Log'!$D$4:$D$311,$A12,'Match Log'!$E$4:$E$311,"Loss"))),"0%")&amp;" of "&amp;(SUMPRODUCT(('Match Log'!$D$4:$D$311=$A12)*('Match Log'!$E$4:$E$311="Win")*COUNTIFS('Match Log'!$A$4:$A$311,'Match Log'!$A$4:$A$311,'Match Log'!$D$4:$D$311,N$4,'Match Log'!$E$4:$E$311,"Loss"))+SUMPRODUCT(('Match Log'!$D$4:$D$311=N$4)*('Match Log'!$E$4:$E$311="Win")*COUNTIFS('Match Log'!$A$4:$A$311,'Match Log'!$A$4:$A$311,'Match Log'!$D$4:$D$311,$A12,'Match Log'!$E$4:$E$311,"Loss")))))</f>
        <v>0% of 1</v>
      </c>
      <c r="O12" s="54" t="str">
        <f>IF($A12=O$4,"—",IF((SUMPRODUCT(('Match Log'!$D$4:$D$311=$A12)*('Match Log'!$E$4:$E$311="Win")*COUNTIFS('Match Log'!$A$4:$A$311,'Match Log'!$A$4:$A$311,'Match Log'!$D$4:$D$311,O$4,'Match Log'!$E$4:$E$311,"Loss"))+SUMPRODUCT(('Match Log'!$D$4:$D$311=O$4)*('Match Log'!$E$4:$E$311="Win")*COUNTIFS('Match Log'!$A$4:$A$311,'Match Log'!$A$4:$A$311,'Match Log'!$D$4:$D$311,$A12,'Match Log'!$E$4:$E$311,"Loss")))=0,"",TEXT(SUMPRODUCT(('Match Log'!$D$4:$D$311=$A12)*('Match Log'!$E$4:$E$311="Win")*COUNTIFS('Match Log'!$A$4:$A$311,'Match Log'!$A$4:$A$311,'Match Log'!$D$4:$D$311,O$4,'Match Log'!$E$4:$E$311,"Loss"))/(SUMPRODUCT(('Match Log'!$D$4:$D$311=$A12)*('Match Log'!$E$4:$E$311="Win")*COUNTIFS('Match Log'!$A$4:$A$311,'Match Log'!$A$4:$A$311,'Match Log'!$D$4:$D$311,O$4,'Match Log'!$E$4:$E$311,"Loss"))+SUMPRODUCT(('Match Log'!$D$4:$D$311=O$4)*('Match Log'!$E$4:$E$311="Win")*COUNTIFS('Match Log'!$A$4:$A$311,'Match Log'!$A$4:$A$311,'Match Log'!$D$4:$D$311,$A12,'Match Log'!$E$4:$E$311,"Loss"))),"0%")&amp;" of "&amp;(SUMPRODUCT(('Match Log'!$D$4:$D$311=$A12)*('Match Log'!$E$4:$E$311="Win")*COUNTIFS('Match Log'!$A$4:$A$311,'Match Log'!$A$4:$A$311,'Match Log'!$D$4:$D$311,O$4,'Match Log'!$E$4:$E$311,"Loss"))+SUMPRODUCT(('Match Log'!$D$4:$D$311=O$4)*('Match Log'!$E$4:$E$311="Win")*COUNTIFS('Match Log'!$A$4:$A$311,'Match Log'!$A$4:$A$311,'Match Log'!$D$4:$D$311,$A12,'Match Log'!$E$4:$E$311,"Loss")))))</f>
        <v/>
      </c>
    </row>
    <row r="13" spans="1:15" ht="15" customHeight="1" x14ac:dyDescent="0.2">
      <c r="A13" s="49" t="s">
        <v>174</v>
      </c>
      <c r="B13" s="54" t="str">
        <f>IF($A13=B$4,"—",IF((SUMPRODUCT(('Match Log'!$D$4:$D$311=$A13)*('Match Log'!$E$4:$E$311="Win")*COUNTIFS('Match Log'!$A$4:$A$311,'Match Log'!$A$4:$A$311,'Match Log'!$D$4:$D$311,B$4,'Match Log'!$E$4:$E$311,"Loss"))+SUMPRODUCT(('Match Log'!$D$4:$D$311=B$4)*('Match Log'!$E$4:$E$311="Win")*COUNTIFS('Match Log'!$A$4:$A$311,'Match Log'!$A$4:$A$311,'Match Log'!$D$4:$D$311,$A13,'Match Log'!$E$4:$E$311,"Loss")))=0,"",TEXT(SUMPRODUCT(('Match Log'!$D$4:$D$311=$A13)*('Match Log'!$E$4:$E$311="Win")*COUNTIFS('Match Log'!$A$4:$A$311,'Match Log'!$A$4:$A$311,'Match Log'!$D$4:$D$311,B$4,'Match Log'!$E$4:$E$311,"Loss"))/(SUMPRODUCT(('Match Log'!$D$4:$D$311=$A13)*('Match Log'!$E$4:$E$311="Win")*COUNTIFS('Match Log'!$A$4:$A$311,'Match Log'!$A$4:$A$311,'Match Log'!$D$4:$D$311,B$4,'Match Log'!$E$4:$E$311,"Loss"))+SUMPRODUCT(('Match Log'!$D$4:$D$311=B$4)*('Match Log'!$E$4:$E$311="Win")*COUNTIFS('Match Log'!$A$4:$A$311,'Match Log'!$A$4:$A$311,'Match Log'!$D$4:$D$311,$A13,'Match Log'!$E$4:$E$311,"Loss"))),"0%")&amp;" of "&amp;(SUMPRODUCT(('Match Log'!$D$4:$D$311=$A13)*('Match Log'!$E$4:$E$311="Win")*COUNTIFS('Match Log'!$A$4:$A$311,'Match Log'!$A$4:$A$311,'Match Log'!$D$4:$D$311,B$4,'Match Log'!$E$4:$E$311,"Loss"))+SUMPRODUCT(('Match Log'!$D$4:$D$311=B$4)*('Match Log'!$E$4:$E$311="Win")*COUNTIFS('Match Log'!$A$4:$A$311,'Match Log'!$A$4:$A$311,'Match Log'!$D$4:$D$311,$A13,'Match Log'!$E$4:$E$311,"Loss")))))</f>
        <v>50% of 2</v>
      </c>
      <c r="C13" s="54" t="str">
        <f>IF($A13=C$4,"—",IF((SUMPRODUCT(('Match Log'!$D$4:$D$311=$A13)*('Match Log'!$E$4:$E$311="Win")*COUNTIFS('Match Log'!$A$4:$A$311,'Match Log'!$A$4:$A$311,'Match Log'!$D$4:$D$311,C$4,'Match Log'!$E$4:$E$311,"Loss"))+SUMPRODUCT(('Match Log'!$D$4:$D$311=C$4)*('Match Log'!$E$4:$E$311="Win")*COUNTIFS('Match Log'!$A$4:$A$311,'Match Log'!$A$4:$A$311,'Match Log'!$D$4:$D$311,$A13,'Match Log'!$E$4:$E$311,"Loss")))=0,"",TEXT(SUMPRODUCT(('Match Log'!$D$4:$D$311=$A13)*('Match Log'!$E$4:$E$311="Win")*COUNTIFS('Match Log'!$A$4:$A$311,'Match Log'!$A$4:$A$311,'Match Log'!$D$4:$D$311,C$4,'Match Log'!$E$4:$E$311,"Loss"))/(SUMPRODUCT(('Match Log'!$D$4:$D$311=$A13)*('Match Log'!$E$4:$E$311="Win")*COUNTIFS('Match Log'!$A$4:$A$311,'Match Log'!$A$4:$A$311,'Match Log'!$D$4:$D$311,C$4,'Match Log'!$E$4:$E$311,"Loss"))+SUMPRODUCT(('Match Log'!$D$4:$D$311=C$4)*('Match Log'!$E$4:$E$311="Win")*COUNTIFS('Match Log'!$A$4:$A$311,'Match Log'!$A$4:$A$311,'Match Log'!$D$4:$D$311,$A13,'Match Log'!$E$4:$E$311,"Loss"))),"0%")&amp;" of "&amp;(SUMPRODUCT(('Match Log'!$D$4:$D$311=$A13)*('Match Log'!$E$4:$E$311="Win")*COUNTIFS('Match Log'!$A$4:$A$311,'Match Log'!$A$4:$A$311,'Match Log'!$D$4:$D$311,C$4,'Match Log'!$E$4:$E$311,"Loss"))+SUMPRODUCT(('Match Log'!$D$4:$D$311=C$4)*('Match Log'!$E$4:$E$311="Win")*COUNTIFS('Match Log'!$A$4:$A$311,'Match Log'!$A$4:$A$311,'Match Log'!$D$4:$D$311,$A13,'Match Log'!$E$4:$E$311,"Loss")))))</f>
        <v>0% of 2</v>
      </c>
      <c r="D13" s="54" t="str">
        <f>IF($A13=D$4,"—",IF((SUMPRODUCT(('Match Log'!$D$4:$D$311=$A13)*('Match Log'!$E$4:$E$311="Win")*COUNTIFS('Match Log'!$A$4:$A$311,'Match Log'!$A$4:$A$311,'Match Log'!$D$4:$D$311,D$4,'Match Log'!$E$4:$E$311,"Loss"))+SUMPRODUCT(('Match Log'!$D$4:$D$311=D$4)*('Match Log'!$E$4:$E$311="Win")*COUNTIFS('Match Log'!$A$4:$A$311,'Match Log'!$A$4:$A$311,'Match Log'!$D$4:$D$311,$A13,'Match Log'!$E$4:$E$311,"Loss")))=0,"",TEXT(SUMPRODUCT(('Match Log'!$D$4:$D$311=$A13)*('Match Log'!$E$4:$E$311="Win")*COUNTIFS('Match Log'!$A$4:$A$311,'Match Log'!$A$4:$A$311,'Match Log'!$D$4:$D$311,D$4,'Match Log'!$E$4:$E$311,"Loss"))/(SUMPRODUCT(('Match Log'!$D$4:$D$311=$A13)*('Match Log'!$E$4:$E$311="Win")*COUNTIFS('Match Log'!$A$4:$A$311,'Match Log'!$A$4:$A$311,'Match Log'!$D$4:$D$311,D$4,'Match Log'!$E$4:$E$311,"Loss"))+SUMPRODUCT(('Match Log'!$D$4:$D$311=D$4)*('Match Log'!$E$4:$E$311="Win")*COUNTIFS('Match Log'!$A$4:$A$311,'Match Log'!$A$4:$A$311,'Match Log'!$D$4:$D$311,$A13,'Match Log'!$E$4:$E$311,"Loss"))),"0%")&amp;" of "&amp;(SUMPRODUCT(('Match Log'!$D$4:$D$311=$A13)*('Match Log'!$E$4:$E$311="Win")*COUNTIFS('Match Log'!$A$4:$A$311,'Match Log'!$A$4:$A$311,'Match Log'!$D$4:$D$311,D$4,'Match Log'!$E$4:$E$311,"Loss"))+SUMPRODUCT(('Match Log'!$D$4:$D$311=D$4)*('Match Log'!$E$4:$E$311="Win")*COUNTIFS('Match Log'!$A$4:$A$311,'Match Log'!$A$4:$A$311,'Match Log'!$D$4:$D$311,$A13,'Match Log'!$E$4:$E$311,"Loss")))))</f>
        <v/>
      </c>
      <c r="E13" s="54" t="str">
        <f>IF($A13=E$4,"—",IF((SUMPRODUCT(('Match Log'!$D$4:$D$311=$A13)*('Match Log'!$E$4:$E$311="Win")*COUNTIFS('Match Log'!$A$4:$A$311,'Match Log'!$A$4:$A$311,'Match Log'!$D$4:$D$311,E$4,'Match Log'!$E$4:$E$311,"Loss"))+SUMPRODUCT(('Match Log'!$D$4:$D$311=E$4)*('Match Log'!$E$4:$E$311="Win")*COUNTIFS('Match Log'!$A$4:$A$311,'Match Log'!$A$4:$A$311,'Match Log'!$D$4:$D$311,$A13,'Match Log'!$E$4:$E$311,"Loss")))=0,"",TEXT(SUMPRODUCT(('Match Log'!$D$4:$D$311=$A13)*('Match Log'!$E$4:$E$311="Win")*COUNTIFS('Match Log'!$A$4:$A$311,'Match Log'!$A$4:$A$311,'Match Log'!$D$4:$D$311,E$4,'Match Log'!$E$4:$E$311,"Loss"))/(SUMPRODUCT(('Match Log'!$D$4:$D$311=$A13)*('Match Log'!$E$4:$E$311="Win")*COUNTIFS('Match Log'!$A$4:$A$311,'Match Log'!$A$4:$A$311,'Match Log'!$D$4:$D$311,E$4,'Match Log'!$E$4:$E$311,"Loss"))+SUMPRODUCT(('Match Log'!$D$4:$D$311=E$4)*('Match Log'!$E$4:$E$311="Win")*COUNTIFS('Match Log'!$A$4:$A$311,'Match Log'!$A$4:$A$311,'Match Log'!$D$4:$D$311,$A13,'Match Log'!$E$4:$E$311,"Loss"))),"0%")&amp;" of "&amp;(SUMPRODUCT(('Match Log'!$D$4:$D$311=$A13)*('Match Log'!$E$4:$E$311="Win")*COUNTIFS('Match Log'!$A$4:$A$311,'Match Log'!$A$4:$A$311,'Match Log'!$D$4:$D$311,E$4,'Match Log'!$E$4:$E$311,"Loss"))+SUMPRODUCT(('Match Log'!$D$4:$D$311=E$4)*('Match Log'!$E$4:$E$311="Win")*COUNTIFS('Match Log'!$A$4:$A$311,'Match Log'!$A$4:$A$311,'Match Log'!$D$4:$D$311,$A13,'Match Log'!$E$4:$E$311,"Loss")))))</f>
        <v>100% of 3</v>
      </c>
      <c r="F13" s="54" t="str">
        <f>IF($A13=F$4,"—",IF((SUMPRODUCT(('Match Log'!$D$4:$D$311=$A13)*('Match Log'!$E$4:$E$311="Win")*COUNTIFS('Match Log'!$A$4:$A$311,'Match Log'!$A$4:$A$311,'Match Log'!$D$4:$D$311,F$4,'Match Log'!$E$4:$E$311,"Loss"))+SUMPRODUCT(('Match Log'!$D$4:$D$311=F$4)*('Match Log'!$E$4:$E$311="Win")*COUNTIFS('Match Log'!$A$4:$A$311,'Match Log'!$A$4:$A$311,'Match Log'!$D$4:$D$311,$A13,'Match Log'!$E$4:$E$311,"Loss")))=0,"",TEXT(SUMPRODUCT(('Match Log'!$D$4:$D$311=$A13)*('Match Log'!$E$4:$E$311="Win")*COUNTIFS('Match Log'!$A$4:$A$311,'Match Log'!$A$4:$A$311,'Match Log'!$D$4:$D$311,F$4,'Match Log'!$E$4:$E$311,"Loss"))/(SUMPRODUCT(('Match Log'!$D$4:$D$311=$A13)*('Match Log'!$E$4:$E$311="Win")*COUNTIFS('Match Log'!$A$4:$A$311,'Match Log'!$A$4:$A$311,'Match Log'!$D$4:$D$311,F$4,'Match Log'!$E$4:$E$311,"Loss"))+SUMPRODUCT(('Match Log'!$D$4:$D$311=F$4)*('Match Log'!$E$4:$E$311="Win")*COUNTIFS('Match Log'!$A$4:$A$311,'Match Log'!$A$4:$A$311,'Match Log'!$D$4:$D$311,$A13,'Match Log'!$E$4:$E$311,"Loss"))),"0%")&amp;" of "&amp;(SUMPRODUCT(('Match Log'!$D$4:$D$311=$A13)*('Match Log'!$E$4:$E$311="Win")*COUNTIFS('Match Log'!$A$4:$A$311,'Match Log'!$A$4:$A$311,'Match Log'!$D$4:$D$311,F$4,'Match Log'!$E$4:$E$311,"Loss"))+SUMPRODUCT(('Match Log'!$D$4:$D$311=F$4)*('Match Log'!$E$4:$E$311="Win")*COUNTIFS('Match Log'!$A$4:$A$311,'Match Log'!$A$4:$A$311,'Match Log'!$D$4:$D$311,$A13,'Match Log'!$E$4:$E$311,"Loss")))))</f>
        <v>60% of 5</v>
      </c>
      <c r="G13" s="54" t="str">
        <f>IF($A13=G$4,"—",IF((SUMPRODUCT(('Match Log'!$D$4:$D$311=$A13)*('Match Log'!$E$4:$E$311="Win")*COUNTIFS('Match Log'!$A$4:$A$311,'Match Log'!$A$4:$A$311,'Match Log'!$D$4:$D$311,G$4,'Match Log'!$E$4:$E$311,"Loss"))+SUMPRODUCT(('Match Log'!$D$4:$D$311=G$4)*('Match Log'!$E$4:$E$311="Win")*COUNTIFS('Match Log'!$A$4:$A$311,'Match Log'!$A$4:$A$311,'Match Log'!$D$4:$D$311,$A13,'Match Log'!$E$4:$E$311,"Loss")))=0,"",TEXT(SUMPRODUCT(('Match Log'!$D$4:$D$311=$A13)*('Match Log'!$E$4:$E$311="Win")*COUNTIFS('Match Log'!$A$4:$A$311,'Match Log'!$A$4:$A$311,'Match Log'!$D$4:$D$311,G$4,'Match Log'!$E$4:$E$311,"Loss"))/(SUMPRODUCT(('Match Log'!$D$4:$D$311=$A13)*('Match Log'!$E$4:$E$311="Win")*COUNTIFS('Match Log'!$A$4:$A$311,'Match Log'!$A$4:$A$311,'Match Log'!$D$4:$D$311,G$4,'Match Log'!$E$4:$E$311,"Loss"))+SUMPRODUCT(('Match Log'!$D$4:$D$311=G$4)*('Match Log'!$E$4:$E$311="Win")*COUNTIFS('Match Log'!$A$4:$A$311,'Match Log'!$A$4:$A$311,'Match Log'!$D$4:$D$311,$A13,'Match Log'!$E$4:$E$311,"Loss"))),"0%")&amp;" of "&amp;(SUMPRODUCT(('Match Log'!$D$4:$D$311=$A13)*('Match Log'!$E$4:$E$311="Win")*COUNTIFS('Match Log'!$A$4:$A$311,'Match Log'!$A$4:$A$311,'Match Log'!$D$4:$D$311,G$4,'Match Log'!$E$4:$E$311,"Loss"))+SUMPRODUCT(('Match Log'!$D$4:$D$311=G$4)*('Match Log'!$E$4:$E$311="Win")*COUNTIFS('Match Log'!$A$4:$A$311,'Match Log'!$A$4:$A$311,'Match Log'!$D$4:$D$311,$A13,'Match Log'!$E$4:$E$311,"Loss")))))</f>
        <v>67% of 3</v>
      </c>
      <c r="H13" s="54" t="str">
        <f>IF($A13=H$4,"—",IF((SUMPRODUCT(('Match Log'!$D$4:$D$311=$A13)*('Match Log'!$E$4:$E$311="Win")*COUNTIFS('Match Log'!$A$4:$A$311,'Match Log'!$A$4:$A$311,'Match Log'!$D$4:$D$311,H$4,'Match Log'!$E$4:$E$311,"Loss"))+SUMPRODUCT(('Match Log'!$D$4:$D$311=H$4)*('Match Log'!$E$4:$E$311="Win")*COUNTIFS('Match Log'!$A$4:$A$311,'Match Log'!$A$4:$A$311,'Match Log'!$D$4:$D$311,$A13,'Match Log'!$E$4:$E$311,"Loss")))=0,"",TEXT(SUMPRODUCT(('Match Log'!$D$4:$D$311=$A13)*('Match Log'!$E$4:$E$311="Win")*COUNTIFS('Match Log'!$A$4:$A$311,'Match Log'!$A$4:$A$311,'Match Log'!$D$4:$D$311,H$4,'Match Log'!$E$4:$E$311,"Loss"))/(SUMPRODUCT(('Match Log'!$D$4:$D$311=$A13)*('Match Log'!$E$4:$E$311="Win")*COUNTIFS('Match Log'!$A$4:$A$311,'Match Log'!$A$4:$A$311,'Match Log'!$D$4:$D$311,H$4,'Match Log'!$E$4:$E$311,"Loss"))+SUMPRODUCT(('Match Log'!$D$4:$D$311=H$4)*('Match Log'!$E$4:$E$311="Win")*COUNTIFS('Match Log'!$A$4:$A$311,'Match Log'!$A$4:$A$311,'Match Log'!$D$4:$D$311,$A13,'Match Log'!$E$4:$E$311,"Loss"))),"0%")&amp;" of "&amp;(SUMPRODUCT(('Match Log'!$D$4:$D$311=$A13)*('Match Log'!$E$4:$E$311="Win")*COUNTIFS('Match Log'!$A$4:$A$311,'Match Log'!$A$4:$A$311,'Match Log'!$D$4:$D$311,H$4,'Match Log'!$E$4:$E$311,"Loss"))+SUMPRODUCT(('Match Log'!$D$4:$D$311=H$4)*('Match Log'!$E$4:$E$311="Win")*COUNTIFS('Match Log'!$A$4:$A$311,'Match Log'!$A$4:$A$311,'Match Log'!$D$4:$D$311,$A13,'Match Log'!$E$4:$E$311,"Loss")))))</f>
        <v>0% of 2</v>
      </c>
      <c r="I13" s="54" t="str">
        <f>IF($A13=I$4,"—",IF((SUMPRODUCT(('Match Log'!$D$4:$D$311=$A13)*('Match Log'!$E$4:$E$311="Win")*COUNTIFS('Match Log'!$A$4:$A$311,'Match Log'!$A$4:$A$311,'Match Log'!$D$4:$D$311,I$4,'Match Log'!$E$4:$E$311,"Loss"))+SUMPRODUCT(('Match Log'!$D$4:$D$311=I$4)*('Match Log'!$E$4:$E$311="Win")*COUNTIFS('Match Log'!$A$4:$A$311,'Match Log'!$A$4:$A$311,'Match Log'!$D$4:$D$311,$A13,'Match Log'!$E$4:$E$311,"Loss")))=0,"",TEXT(SUMPRODUCT(('Match Log'!$D$4:$D$311=$A13)*('Match Log'!$E$4:$E$311="Win")*COUNTIFS('Match Log'!$A$4:$A$311,'Match Log'!$A$4:$A$311,'Match Log'!$D$4:$D$311,I$4,'Match Log'!$E$4:$E$311,"Loss"))/(SUMPRODUCT(('Match Log'!$D$4:$D$311=$A13)*('Match Log'!$E$4:$E$311="Win")*COUNTIFS('Match Log'!$A$4:$A$311,'Match Log'!$A$4:$A$311,'Match Log'!$D$4:$D$311,I$4,'Match Log'!$E$4:$E$311,"Loss"))+SUMPRODUCT(('Match Log'!$D$4:$D$311=I$4)*('Match Log'!$E$4:$E$311="Win")*COUNTIFS('Match Log'!$A$4:$A$311,'Match Log'!$A$4:$A$311,'Match Log'!$D$4:$D$311,$A13,'Match Log'!$E$4:$E$311,"Loss"))),"0%")&amp;" of "&amp;(SUMPRODUCT(('Match Log'!$D$4:$D$311=$A13)*('Match Log'!$E$4:$E$311="Win")*COUNTIFS('Match Log'!$A$4:$A$311,'Match Log'!$A$4:$A$311,'Match Log'!$D$4:$D$311,I$4,'Match Log'!$E$4:$E$311,"Loss"))+SUMPRODUCT(('Match Log'!$D$4:$D$311=I$4)*('Match Log'!$E$4:$E$311="Win")*COUNTIFS('Match Log'!$A$4:$A$311,'Match Log'!$A$4:$A$311,'Match Log'!$D$4:$D$311,$A13,'Match Log'!$E$4:$E$311,"Loss")))))</f>
        <v>75% of 4</v>
      </c>
      <c r="J13" s="54" t="str">
        <f>IF($A13=J$4,"—",IF((SUMPRODUCT(('Match Log'!$D$4:$D$311=$A13)*('Match Log'!$E$4:$E$311="Win")*COUNTIFS('Match Log'!$A$4:$A$311,'Match Log'!$A$4:$A$311,'Match Log'!$D$4:$D$311,J$4,'Match Log'!$E$4:$E$311,"Loss"))+SUMPRODUCT(('Match Log'!$D$4:$D$311=J$4)*('Match Log'!$E$4:$E$311="Win")*COUNTIFS('Match Log'!$A$4:$A$311,'Match Log'!$A$4:$A$311,'Match Log'!$D$4:$D$311,$A13,'Match Log'!$E$4:$E$311,"Loss")))=0,"",TEXT(SUMPRODUCT(('Match Log'!$D$4:$D$311=$A13)*('Match Log'!$E$4:$E$311="Win")*COUNTIFS('Match Log'!$A$4:$A$311,'Match Log'!$A$4:$A$311,'Match Log'!$D$4:$D$311,J$4,'Match Log'!$E$4:$E$311,"Loss"))/(SUMPRODUCT(('Match Log'!$D$4:$D$311=$A13)*('Match Log'!$E$4:$E$311="Win")*COUNTIFS('Match Log'!$A$4:$A$311,'Match Log'!$A$4:$A$311,'Match Log'!$D$4:$D$311,J$4,'Match Log'!$E$4:$E$311,"Loss"))+SUMPRODUCT(('Match Log'!$D$4:$D$311=J$4)*('Match Log'!$E$4:$E$311="Win")*COUNTIFS('Match Log'!$A$4:$A$311,'Match Log'!$A$4:$A$311,'Match Log'!$D$4:$D$311,$A13,'Match Log'!$E$4:$E$311,"Loss"))),"0%")&amp;" of "&amp;(SUMPRODUCT(('Match Log'!$D$4:$D$311=$A13)*('Match Log'!$E$4:$E$311="Win")*COUNTIFS('Match Log'!$A$4:$A$311,'Match Log'!$A$4:$A$311,'Match Log'!$D$4:$D$311,J$4,'Match Log'!$E$4:$E$311,"Loss"))+SUMPRODUCT(('Match Log'!$D$4:$D$311=J$4)*('Match Log'!$E$4:$E$311="Win")*COUNTIFS('Match Log'!$A$4:$A$311,'Match Log'!$A$4:$A$311,'Match Log'!$D$4:$D$311,$A13,'Match Log'!$E$4:$E$311,"Loss")))))</f>
        <v>—</v>
      </c>
      <c r="K13" s="54" t="str">
        <f>IF($A13=K$4,"—",IF((SUMPRODUCT(('Match Log'!$D$4:$D$311=$A13)*('Match Log'!$E$4:$E$311="Win")*COUNTIFS('Match Log'!$A$4:$A$311,'Match Log'!$A$4:$A$311,'Match Log'!$D$4:$D$311,K$4,'Match Log'!$E$4:$E$311,"Loss"))+SUMPRODUCT(('Match Log'!$D$4:$D$311=K$4)*('Match Log'!$E$4:$E$311="Win")*COUNTIFS('Match Log'!$A$4:$A$311,'Match Log'!$A$4:$A$311,'Match Log'!$D$4:$D$311,$A13,'Match Log'!$E$4:$E$311,"Loss")))=0,"",TEXT(SUMPRODUCT(('Match Log'!$D$4:$D$311=$A13)*('Match Log'!$E$4:$E$311="Win")*COUNTIFS('Match Log'!$A$4:$A$311,'Match Log'!$A$4:$A$311,'Match Log'!$D$4:$D$311,K$4,'Match Log'!$E$4:$E$311,"Loss"))/(SUMPRODUCT(('Match Log'!$D$4:$D$311=$A13)*('Match Log'!$E$4:$E$311="Win")*COUNTIFS('Match Log'!$A$4:$A$311,'Match Log'!$A$4:$A$311,'Match Log'!$D$4:$D$311,K$4,'Match Log'!$E$4:$E$311,"Loss"))+SUMPRODUCT(('Match Log'!$D$4:$D$311=K$4)*('Match Log'!$E$4:$E$311="Win")*COUNTIFS('Match Log'!$A$4:$A$311,'Match Log'!$A$4:$A$311,'Match Log'!$D$4:$D$311,$A13,'Match Log'!$E$4:$E$311,"Loss"))),"0%")&amp;" of "&amp;(SUMPRODUCT(('Match Log'!$D$4:$D$311=$A13)*('Match Log'!$E$4:$E$311="Win")*COUNTIFS('Match Log'!$A$4:$A$311,'Match Log'!$A$4:$A$311,'Match Log'!$D$4:$D$311,K$4,'Match Log'!$E$4:$E$311,"Loss"))+SUMPRODUCT(('Match Log'!$D$4:$D$311=K$4)*('Match Log'!$E$4:$E$311="Win")*COUNTIFS('Match Log'!$A$4:$A$311,'Match Log'!$A$4:$A$311,'Match Log'!$D$4:$D$311,$A13,'Match Log'!$E$4:$E$311,"Loss")))))</f>
        <v>100% of 1</v>
      </c>
      <c r="L13" s="54" t="str">
        <f>IF($A13=L$4,"—",IF((SUMPRODUCT(('Match Log'!$D$4:$D$311=$A13)*('Match Log'!$E$4:$E$311="Win")*COUNTIFS('Match Log'!$A$4:$A$311,'Match Log'!$A$4:$A$311,'Match Log'!$D$4:$D$311,L$4,'Match Log'!$E$4:$E$311,"Loss"))+SUMPRODUCT(('Match Log'!$D$4:$D$311=L$4)*('Match Log'!$E$4:$E$311="Win")*COUNTIFS('Match Log'!$A$4:$A$311,'Match Log'!$A$4:$A$311,'Match Log'!$D$4:$D$311,$A13,'Match Log'!$E$4:$E$311,"Loss")))=0,"",TEXT(SUMPRODUCT(('Match Log'!$D$4:$D$311=$A13)*('Match Log'!$E$4:$E$311="Win")*COUNTIFS('Match Log'!$A$4:$A$311,'Match Log'!$A$4:$A$311,'Match Log'!$D$4:$D$311,L$4,'Match Log'!$E$4:$E$311,"Loss"))/(SUMPRODUCT(('Match Log'!$D$4:$D$311=$A13)*('Match Log'!$E$4:$E$311="Win")*COUNTIFS('Match Log'!$A$4:$A$311,'Match Log'!$A$4:$A$311,'Match Log'!$D$4:$D$311,L$4,'Match Log'!$E$4:$E$311,"Loss"))+SUMPRODUCT(('Match Log'!$D$4:$D$311=L$4)*('Match Log'!$E$4:$E$311="Win")*COUNTIFS('Match Log'!$A$4:$A$311,'Match Log'!$A$4:$A$311,'Match Log'!$D$4:$D$311,$A13,'Match Log'!$E$4:$E$311,"Loss"))),"0%")&amp;" of "&amp;(SUMPRODUCT(('Match Log'!$D$4:$D$311=$A13)*('Match Log'!$E$4:$E$311="Win")*COUNTIFS('Match Log'!$A$4:$A$311,'Match Log'!$A$4:$A$311,'Match Log'!$D$4:$D$311,L$4,'Match Log'!$E$4:$E$311,"Loss"))+SUMPRODUCT(('Match Log'!$D$4:$D$311=L$4)*('Match Log'!$E$4:$E$311="Win")*COUNTIFS('Match Log'!$A$4:$A$311,'Match Log'!$A$4:$A$311,'Match Log'!$D$4:$D$311,$A13,'Match Log'!$E$4:$E$311,"Loss")))))</f>
        <v>83% of 6</v>
      </c>
      <c r="M13" s="54" t="str">
        <f>IF($A13=M$4,"—",IF((SUMPRODUCT(('Match Log'!$D$4:$D$311=$A13)*('Match Log'!$E$4:$E$311="Win")*COUNTIFS('Match Log'!$A$4:$A$311,'Match Log'!$A$4:$A$311,'Match Log'!$D$4:$D$311,M$4,'Match Log'!$E$4:$E$311,"Loss"))+SUMPRODUCT(('Match Log'!$D$4:$D$311=M$4)*('Match Log'!$E$4:$E$311="Win")*COUNTIFS('Match Log'!$A$4:$A$311,'Match Log'!$A$4:$A$311,'Match Log'!$D$4:$D$311,$A13,'Match Log'!$E$4:$E$311,"Loss")))=0,"",TEXT(SUMPRODUCT(('Match Log'!$D$4:$D$311=$A13)*('Match Log'!$E$4:$E$311="Win")*COUNTIFS('Match Log'!$A$4:$A$311,'Match Log'!$A$4:$A$311,'Match Log'!$D$4:$D$311,M$4,'Match Log'!$E$4:$E$311,"Loss"))/(SUMPRODUCT(('Match Log'!$D$4:$D$311=$A13)*('Match Log'!$E$4:$E$311="Win")*COUNTIFS('Match Log'!$A$4:$A$311,'Match Log'!$A$4:$A$311,'Match Log'!$D$4:$D$311,M$4,'Match Log'!$E$4:$E$311,"Loss"))+SUMPRODUCT(('Match Log'!$D$4:$D$311=M$4)*('Match Log'!$E$4:$E$311="Win")*COUNTIFS('Match Log'!$A$4:$A$311,'Match Log'!$A$4:$A$311,'Match Log'!$D$4:$D$311,$A13,'Match Log'!$E$4:$E$311,"Loss"))),"0%")&amp;" of "&amp;(SUMPRODUCT(('Match Log'!$D$4:$D$311=$A13)*('Match Log'!$E$4:$E$311="Win")*COUNTIFS('Match Log'!$A$4:$A$311,'Match Log'!$A$4:$A$311,'Match Log'!$D$4:$D$311,M$4,'Match Log'!$E$4:$E$311,"Loss"))+SUMPRODUCT(('Match Log'!$D$4:$D$311=M$4)*('Match Log'!$E$4:$E$311="Win")*COUNTIFS('Match Log'!$A$4:$A$311,'Match Log'!$A$4:$A$311,'Match Log'!$D$4:$D$311,$A13,'Match Log'!$E$4:$E$311,"Loss")))))</f>
        <v>100% of 2</v>
      </c>
      <c r="N13" s="54" t="str">
        <f>IF($A13=N$4,"—",IF((SUMPRODUCT(('Match Log'!$D$4:$D$311=$A13)*('Match Log'!$E$4:$E$311="Win")*COUNTIFS('Match Log'!$A$4:$A$311,'Match Log'!$A$4:$A$311,'Match Log'!$D$4:$D$311,N$4,'Match Log'!$E$4:$E$311,"Loss"))+SUMPRODUCT(('Match Log'!$D$4:$D$311=N$4)*('Match Log'!$E$4:$E$311="Win")*COUNTIFS('Match Log'!$A$4:$A$311,'Match Log'!$A$4:$A$311,'Match Log'!$D$4:$D$311,$A13,'Match Log'!$E$4:$E$311,"Loss")))=0,"",TEXT(SUMPRODUCT(('Match Log'!$D$4:$D$311=$A13)*('Match Log'!$E$4:$E$311="Win")*COUNTIFS('Match Log'!$A$4:$A$311,'Match Log'!$A$4:$A$311,'Match Log'!$D$4:$D$311,N$4,'Match Log'!$E$4:$E$311,"Loss"))/(SUMPRODUCT(('Match Log'!$D$4:$D$311=$A13)*('Match Log'!$E$4:$E$311="Win")*COUNTIFS('Match Log'!$A$4:$A$311,'Match Log'!$A$4:$A$311,'Match Log'!$D$4:$D$311,N$4,'Match Log'!$E$4:$E$311,"Loss"))+SUMPRODUCT(('Match Log'!$D$4:$D$311=N$4)*('Match Log'!$E$4:$E$311="Win")*COUNTIFS('Match Log'!$A$4:$A$311,'Match Log'!$A$4:$A$311,'Match Log'!$D$4:$D$311,$A13,'Match Log'!$E$4:$E$311,"Loss"))),"0%")&amp;" of "&amp;(SUMPRODUCT(('Match Log'!$D$4:$D$311=$A13)*('Match Log'!$E$4:$E$311="Win")*COUNTIFS('Match Log'!$A$4:$A$311,'Match Log'!$A$4:$A$311,'Match Log'!$D$4:$D$311,N$4,'Match Log'!$E$4:$E$311,"Loss"))+SUMPRODUCT(('Match Log'!$D$4:$D$311=N$4)*('Match Log'!$E$4:$E$311="Win")*COUNTIFS('Match Log'!$A$4:$A$311,'Match Log'!$A$4:$A$311,'Match Log'!$D$4:$D$311,$A13,'Match Log'!$E$4:$E$311,"Loss")))))</f>
        <v>0% of 1</v>
      </c>
      <c r="O13" s="54" t="str">
        <f>IF($A13=O$4,"—",IF((SUMPRODUCT(('Match Log'!$D$4:$D$311=$A13)*('Match Log'!$E$4:$E$311="Win")*COUNTIFS('Match Log'!$A$4:$A$311,'Match Log'!$A$4:$A$311,'Match Log'!$D$4:$D$311,O$4,'Match Log'!$E$4:$E$311,"Loss"))+SUMPRODUCT(('Match Log'!$D$4:$D$311=O$4)*('Match Log'!$E$4:$E$311="Win")*COUNTIFS('Match Log'!$A$4:$A$311,'Match Log'!$A$4:$A$311,'Match Log'!$D$4:$D$311,$A13,'Match Log'!$E$4:$E$311,"Loss")))=0,"",TEXT(SUMPRODUCT(('Match Log'!$D$4:$D$311=$A13)*('Match Log'!$E$4:$E$311="Win")*COUNTIFS('Match Log'!$A$4:$A$311,'Match Log'!$A$4:$A$311,'Match Log'!$D$4:$D$311,O$4,'Match Log'!$E$4:$E$311,"Loss"))/(SUMPRODUCT(('Match Log'!$D$4:$D$311=$A13)*('Match Log'!$E$4:$E$311="Win")*COUNTIFS('Match Log'!$A$4:$A$311,'Match Log'!$A$4:$A$311,'Match Log'!$D$4:$D$311,O$4,'Match Log'!$E$4:$E$311,"Loss"))+SUMPRODUCT(('Match Log'!$D$4:$D$311=O$4)*('Match Log'!$E$4:$E$311="Win")*COUNTIFS('Match Log'!$A$4:$A$311,'Match Log'!$A$4:$A$311,'Match Log'!$D$4:$D$311,$A13,'Match Log'!$E$4:$E$311,"Loss"))),"0%")&amp;" of "&amp;(SUMPRODUCT(('Match Log'!$D$4:$D$311=$A13)*('Match Log'!$E$4:$E$311="Win")*COUNTIFS('Match Log'!$A$4:$A$311,'Match Log'!$A$4:$A$311,'Match Log'!$D$4:$D$311,O$4,'Match Log'!$E$4:$E$311,"Loss"))+SUMPRODUCT(('Match Log'!$D$4:$D$311=O$4)*('Match Log'!$E$4:$E$311="Win")*COUNTIFS('Match Log'!$A$4:$A$311,'Match Log'!$A$4:$A$311,'Match Log'!$D$4:$D$311,$A13,'Match Log'!$E$4:$E$311,"Loss")))))</f>
        <v/>
      </c>
    </row>
    <row r="14" spans="1:15" ht="15" customHeight="1" x14ac:dyDescent="0.2">
      <c r="A14" s="49" t="s">
        <v>182</v>
      </c>
      <c r="B14" s="54" t="str">
        <f>IF($A14=B$4,"—",IF((SUMPRODUCT(('Match Log'!$D$4:$D$311=$A14)*('Match Log'!$E$4:$E$311="Win")*COUNTIFS('Match Log'!$A$4:$A$311,'Match Log'!$A$4:$A$311,'Match Log'!$D$4:$D$311,B$4,'Match Log'!$E$4:$E$311,"Loss"))+SUMPRODUCT(('Match Log'!$D$4:$D$311=B$4)*('Match Log'!$E$4:$E$311="Win")*COUNTIFS('Match Log'!$A$4:$A$311,'Match Log'!$A$4:$A$311,'Match Log'!$D$4:$D$311,$A14,'Match Log'!$E$4:$E$311,"Loss")))=0,"",TEXT(SUMPRODUCT(('Match Log'!$D$4:$D$311=$A14)*('Match Log'!$E$4:$E$311="Win")*COUNTIFS('Match Log'!$A$4:$A$311,'Match Log'!$A$4:$A$311,'Match Log'!$D$4:$D$311,B$4,'Match Log'!$E$4:$E$311,"Loss"))/(SUMPRODUCT(('Match Log'!$D$4:$D$311=$A14)*('Match Log'!$E$4:$E$311="Win")*COUNTIFS('Match Log'!$A$4:$A$311,'Match Log'!$A$4:$A$311,'Match Log'!$D$4:$D$311,B$4,'Match Log'!$E$4:$E$311,"Loss"))+SUMPRODUCT(('Match Log'!$D$4:$D$311=B$4)*('Match Log'!$E$4:$E$311="Win")*COUNTIFS('Match Log'!$A$4:$A$311,'Match Log'!$A$4:$A$311,'Match Log'!$D$4:$D$311,$A14,'Match Log'!$E$4:$E$311,"Loss"))),"0%")&amp;" of "&amp;(SUMPRODUCT(('Match Log'!$D$4:$D$311=$A14)*('Match Log'!$E$4:$E$311="Win")*COUNTIFS('Match Log'!$A$4:$A$311,'Match Log'!$A$4:$A$311,'Match Log'!$D$4:$D$311,B$4,'Match Log'!$E$4:$E$311,"Loss"))+SUMPRODUCT(('Match Log'!$D$4:$D$311=B$4)*('Match Log'!$E$4:$E$311="Win")*COUNTIFS('Match Log'!$A$4:$A$311,'Match Log'!$A$4:$A$311,'Match Log'!$D$4:$D$311,$A14,'Match Log'!$E$4:$E$311,"Loss")))))</f>
        <v/>
      </c>
      <c r="C14" s="54" t="str">
        <f>IF($A14=C$4,"—",IF((SUMPRODUCT(('Match Log'!$D$4:$D$311=$A14)*('Match Log'!$E$4:$E$311="Win")*COUNTIFS('Match Log'!$A$4:$A$311,'Match Log'!$A$4:$A$311,'Match Log'!$D$4:$D$311,C$4,'Match Log'!$E$4:$E$311,"Loss"))+SUMPRODUCT(('Match Log'!$D$4:$D$311=C$4)*('Match Log'!$E$4:$E$311="Win")*COUNTIFS('Match Log'!$A$4:$A$311,'Match Log'!$A$4:$A$311,'Match Log'!$D$4:$D$311,$A14,'Match Log'!$E$4:$E$311,"Loss")))=0,"",TEXT(SUMPRODUCT(('Match Log'!$D$4:$D$311=$A14)*('Match Log'!$E$4:$E$311="Win")*COUNTIFS('Match Log'!$A$4:$A$311,'Match Log'!$A$4:$A$311,'Match Log'!$D$4:$D$311,C$4,'Match Log'!$E$4:$E$311,"Loss"))/(SUMPRODUCT(('Match Log'!$D$4:$D$311=$A14)*('Match Log'!$E$4:$E$311="Win")*COUNTIFS('Match Log'!$A$4:$A$311,'Match Log'!$A$4:$A$311,'Match Log'!$D$4:$D$311,C$4,'Match Log'!$E$4:$E$311,"Loss"))+SUMPRODUCT(('Match Log'!$D$4:$D$311=C$4)*('Match Log'!$E$4:$E$311="Win")*COUNTIFS('Match Log'!$A$4:$A$311,'Match Log'!$A$4:$A$311,'Match Log'!$D$4:$D$311,$A14,'Match Log'!$E$4:$E$311,"Loss"))),"0%")&amp;" of "&amp;(SUMPRODUCT(('Match Log'!$D$4:$D$311=$A14)*('Match Log'!$E$4:$E$311="Win")*COUNTIFS('Match Log'!$A$4:$A$311,'Match Log'!$A$4:$A$311,'Match Log'!$D$4:$D$311,C$4,'Match Log'!$E$4:$E$311,"Loss"))+SUMPRODUCT(('Match Log'!$D$4:$D$311=C$4)*('Match Log'!$E$4:$E$311="Win")*COUNTIFS('Match Log'!$A$4:$A$311,'Match Log'!$A$4:$A$311,'Match Log'!$D$4:$D$311,$A14,'Match Log'!$E$4:$E$311,"Loss")))))</f>
        <v>0% of 1</v>
      </c>
      <c r="D14" s="54" t="str">
        <f>IF($A14=D$4,"—",IF((SUMPRODUCT(('Match Log'!$D$4:$D$311=$A14)*('Match Log'!$E$4:$E$311="Win")*COUNTIFS('Match Log'!$A$4:$A$311,'Match Log'!$A$4:$A$311,'Match Log'!$D$4:$D$311,D$4,'Match Log'!$E$4:$E$311,"Loss"))+SUMPRODUCT(('Match Log'!$D$4:$D$311=D$4)*('Match Log'!$E$4:$E$311="Win")*COUNTIFS('Match Log'!$A$4:$A$311,'Match Log'!$A$4:$A$311,'Match Log'!$D$4:$D$311,$A14,'Match Log'!$E$4:$E$311,"Loss")))=0,"",TEXT(SUMPRODUCT(('Match Log'!$D$4:$D$311=$A14)*('Match Log'!$E$4:$E$311="Win")*COUNTIFS('Match Log'!$A$4:$A$311,'Match Log'!$A$4:$A$311,'Match Log'!$D$4:$D$311,D$4,'Match Log'!$E$4:$E$311,"Loss"))/(SUMPRODUCT(('Match Log'!$D$4:$D$311=$A14)*('Match Log'!$E$4:$E$311="Win")*COUNTIFS('Match Log'!$A$4:$A$311,'Match Log'!$A$4:$A$311,'Match Log'!$D$4:$D$311,D$4,'Match Log'!$E$4:$E$311,"Loss"))+SUMPRODUCT(('Match Log'!$D$4:$D$311=D$4)*('Match Log'!$E$4:$E$311="Win")*COUNTIFS('Match Log'!$A$4:$A$311,'Match Log'!$A$4:$A$311,'Match Log'!$D$4:$D$311,$A14,'Match Log'!$E$4:$E$311,"Loss"))),"0%")&amp;" of "&amp;(SUMPRODUCT(('Match Log'!$D$4:$D$311=$A14)*('Match Log'!$E$4:$E$311="Win")*COUNTIFS('Match Log'!$A$4:$A$311,'Match Log'!$A$4:$A$311,'Match Log'!$D$4:$D$311,D$4,'Match Log'!$E$4:$E$311,"Loss"))+SUMPRODUCT(('Match Log'!$D$4:$D$311=D$4)*('Match Log'!$E$4:$E$311="Win")*COUNTIFS('Match Log'!$A$4:$A$311,'Match Log'!$A$4:$A$311,'Match Log'!$D$4:$D$311,$A14,'Match Log'!$E$4:$E$311,"Loss")))))</f>
        <v>0% of 1</v>
      </c>
      <c r="E14" s="54" t="str">
        <f>IF($A14=E$4,"—",IF((SUMPRODUCT(('Match Log'!$D$4:$D$311=$A14)*('Match Log'!$E$4:$E$311="Win")*COUNTIFS('Match Log'!$A$4:$A$311,'Match Log'!$A$4:$A$311,'Match Log'!$D$4:$D$311,E$4,'Match Log'!$E$4:$E$311,"Loss"))+SUMPRODUCT(('Match Log'!$D$4:$D$311=E$4)*('Match Log'!$E$4:$E$311="Win")*COUNTIFS('Match Log'!$A$4:$A$311,'Match Log'!$A$4:$A$311,'Match Log'!$D$4:$D$311,$A14,'Match Log'!$E$4:$E$311,"Loss")))=0,"",TEXT(SUMPRODUCT(('Match Log'!$D$4:$D$311=$A14)*('Match Log'!$E$4:$E$311="Win")*COUNTIFS('Match Log'!$A$4:$A$311,'Match Log'!$A$4:$A$311,'Match Log'!$D$4:$D$311,E$4,'Match Log'!$E$4:$E$311,"Loss"))/(SUMPRODUCT(('Match Log'!$D$4:$D$311=$A14)*('Match Log'!$E$4:$E$311="Win")*COUNTIFS('Match Log'!$A$4:$A$311,'Match Log'!$A$4:$A$311,'Match Log'!$D$4:$D$311,E$4,'Match Log'!$E$4:$E$311,"Loss"))+SUMPRODUCT(('Match Log'!$D$4:$D$311=E$4)*('Match Log'!$E$4:$E$311="Win")*COUNTIFS('Match Log'!$A$4:$A$311,'Match Log'!$A$4:$A$311,'Match Log'!$D$4:$D$311,$A14,'Match Log'!$E$4:$E$311,"Loss"))),"0%")&amp;" of "&amp;(SUMPRODUCT(('Match Log'!$D$4:$D$311=$A14)*('Match Log'!$E$4:$E$311="Win")*COUNTIFS('Match Log'!$A$4:$A$311,'Match Log'!$A$4:$A$311,'Match Log'!$D$4:$D$311,E$4,'Match Log'!$E$4:$E$311,"Loss"))+SUMPRODUCT(('Match Log'!$D$4:$D$311=E$4)*('Match Log'!$E$4:$E$311="Win")*COUNTIFS('Match Log'!$A$4:$A$311,'Match Log'!$A$4:$A$311,'Match Log'!$D$4:$D$311,$A14,'Match Log'!$E$4:$E$311,"Loss")))))</f>
        <v>0% of 1</v>
      </c>
      <c r="F14" s="54" t="str">
        <f>IF($A14=F$4,"—",IF((SUMPRODUCT(('Match Log'!$D$4:$D$311=$A14)*('Match Log'!$E$4:$E$311="Win")*COUNTIFS('Match Log'!$A$4:$A$311,'Match Log'!$A$4:$A$311,'Match Log'!$D$4:$D$311,F$4,'Match Log'!$E$4:$E$311,"Loss"))+SUMPRODUCT(('Match Log'!$D$4:$D$311=F$4)*('Match Log'!$E$4:$E$311="Win")*COUNTIFS('Match Log'!$A$4:$A$311,'Match Log'!$A$4:$A$311,'Match Log'!$D$4:$D$311,$A14,'Match Log'!$E$4:$E$311,"Loss")))=0,"",TEXT(SUMPRODUCT(('Match Log'!$D$4:$D$311=$A14)*('Match Log'!$E$4:$E$311="Win")*COUNTIFS('Match Log'!$A$4:$A$311,'Match Log'!$A$4:$A$311,'Match Log'!$D$4:$D$311,F$4,'Match Log'!$E$4:$E$311,"Loss"))/(SUMPRODUCT(('Match Log'!$D$4:$D$311=$A14)*('Match Log'!$E$4:$E$311="Win")*COUNTIFS('Match Log'!$A$4:$A$311,'Match Log'!$A$4:$A$311,'Match Log'!$D$4:$D$311,F$4,'Match Log'!$E$4:$E$311,"Loss"))+SUMPRODUCT(('Match Log'!$D$4:$D$311=F$4)*('Match Log'!$E$4:$E$311="Win")*COUNTIFS('Match Log'!$A$4:$A$311,'Match Log'!$A$4:$A$311,'Match Log'!$D$4:$D$311,$A14,'Match Log'!$E$4:$E$311,"Loss"))),"0%")&amp;" of "&amp;(SUMPRODUCT(('Match Log'!$D$4:$D$311=$A14)*('Match Log'!$E$4:$E$311="Win")*COUNTIFS('Match Log'!$A$4:$A$311,'Match Log'!$A$4:$A$311,'Match Log'!$D$4:$D$311,F$4,'Match Log'!$E$4:$E$311,"Loss"))+SUMPRODUCT(('Match Log'!$D$4:$D$311=F$4)*('Match Log'!$E$4:$E$311="Win")*COUNTIFS('Match Log'!$A$4:$A$311,'Match Log'!$A$4:$A$311,'Match Log'!$D$4:$D$311,$A14,'Match Log'!$E$4:$E$311,"Loss")))))</f>
        <v>0% of 4</v>
      </c>
      <c r="G14" s="54" t="str">
        <f>IF($A14=G$4,"—",IF((SUMPRODUCT(('Match Log'!$D$4:$D$311=$A14)*('Match Log'!$E$4:$E$311="Win")*COUNTIFS('Match Log'!$A$4:$A$311,'Match Log'!$A$4:$A$311,'Match Log'!$D$4:$D$311,G$4,'Match Log'!$E$4:$E$311,"Loss"))+SUMPRODUCT(('Match Log'!$D$4:$D$311=G$4)*('Match Log'!$E$4:$E$311="Win")*COUNTIFS('Match Log'!$A$4:$A$311,'Match Log'!$A$4:$A$311,'Match Log'!$D$4:$D$311,$A14,'Match Log'!$E$4:$E$311,"Loss")))=0,"",TEXT(SUMPRODUCT(('Match Log'!$D$4:$D$311=$A14)*('Match Log'!$E$4:$E$311="Win")*COUNTIFS('Match Log'!$A$4:$A$311,'Match Log'!$A$4:$A$311,'Match Log'!$D$4:$D$311,G$4,'Match Log'!$E$4:$E$311,"Loss"))/(SUMPRODUCT(('Match Log'!$D$4:$D$311=$A14)*('Match Log'!$E$4:$E$311="Win")*COUNTIFS('Match Log'!$A$4:$A$311,'Match Log'!$A$4:$A$311,'Match Log'!$D$4:$D$311,G$4,'Match Log'!$E$4:$E$311,"Loss"))+SUMPRODUCT(('Match Log'!$D$4:$D$311=G$4)*('Match Log'!$E$4:$E$311="Win")*COUNTIFS('Match Log'!$A$4:$A$311,'Match Log'!$A$4:$A$311,'Match Log'!$D$4:$D$311,$A14,'Match Log'!$E$4:$E$311,"Loss"))),"0%")&amp;" of "&amp;(SUMPRODUCT(('Match Log'!$D$4:$D$311=$A14)*('Match Log'!$E$4:$E$311="Win")*COUNTIFS('Match Log'!$A$4:$A$311,'Match Log'!$A$4:$A$311,'Match Log'!$D$4:$D$311,G$4,'Match Log'!$E$4:$E$311,"Loss"))+SUMPRODUCT(('Match Log'!$D$4:$D$311=G$4)*('Match Log'!$E$4:$E$311="Win")*COUNTIFS('Match Log'!$A$4:$A$311,'Match Log'!$A$4:$A$311,'Match Log'!$D$4:$D$311,$A14,'Match Log'!$E$4:$E$311,"Loss")))))</f>
        <v/>
      </c>
      <c r="H14" s="54" t="str">
        <f>IF($A14=H$4,"—",IF((SUMPRODUCT(('Match Log'!$D$4:$D$311=$A14)*('Match Log'!$E$4:$E$311="Win")*COUNTIFS('Match Log'!$A$4:$A$311,'Match Log'!$A$4:$A$311,'Match Log'!$D$4:$D$311,H$4,'Match Log'!$E$4:$E$311,"Loss"))+SUMPRODUCT(('Match Log'!$D$4:$D$311=H$4)*('Match Log'!$E$4:$E$311="Win")*COUNTIFS('Match Log'!$A$4:$A$311,'Match Log'!$A$4:$A$311,'Match Log'!$D$4:$D$311,$A14,'Match Log'!$E$4:$E$311,"Loss")))=0,"",TEXT(SUMPRODUCT(('Match Log'!$D$4:$D$311=$A14)*('Match Log'!$E$4:$E$311="Win")*COUNTIFS('Match Log'!$A$4:$A$311,'Match Log'!$A$4:$A$311,'Match Log'!$D$4:$D$311,H$4,'Match Log'!$E$4:$E$311,"Loss"))/(SUMPRODUCT(('Match Log'!$D$4:$D$311=$A14)*('Match Log'!$E$4:$E$311="Win")*COUNTIFS('Match Log'!$A$4:$A$311,'Match Log'!$A$4:$A$311,'Match Log'!$D$4:$D$311,H$4,'Match Log'!$E$4:$E$311,"Loss"))+SUMPRODUCT(('Match Log'!$D$4:$D$311=H$4)*('Match Log'!$E$4:$E$311="Win")*COUNTIFS('Match Log'!$A$4:$A$311,'Match Log'!$A$4:$A$311,'Match Log'!$D$4:$D$311,$A14,'Match Log'!$E$4:$E$311,"Loss"))),"0%")&amp;" of "&amp;(SUMPRODUCT(('Match Log'!$D$4:$D$311=$A14)*('Match Log'!$E$4:$E$311="Win")*COUNTIFS('Match Log'!$A$4:$A$311,'Match Log'!$A$4:$A$311,'Match Log'!$D$4:$D$311,H$4,'Match Log'!$E$4:$E$311,"Loss"))+SUMPRODUCT(('Match Log'!$D$4:$D$311=H$4)*('Match Log'!$E$4:$E$311="Win")*COUNTIFS('Match Log'!$A$4:$A$311,'Match Log'!$A$4:$A$311,'Match Log'!$D$4:$D$311,$A14,'Match Log'!$E$4:$E$311,"Loss")))))</f>
        <v>0% of 2</v>
      </c>
      <c r="I14" s="54" t="str">
        <f>IF($A14=I$4,"—",IF((SUMPRODUCT(('Match Log'!$D$4:$D$311=$A14)*('Match Log'!$E$4:$E$311="Win")*COUNTIFS('Match Log'!$A$4:$A$311,'Match Log'!$A$4:$A$311,'Match Log'!$D$4:$D$311,I$4,'Match Log'!$E$4:$E$311,"Loss"))+SUMPRODUCT(('Match Log'!$D$4:$D$311=I$4)*('Match Log'!$E$4:$E$311="Win")*COUNTIFS('Match Log'!$A$4:$A$311,'Match Log'!$A$4:$A$311,'Match Log'!$D$4:$D$311,$A14,'Match Log'!$E$4:$E$311,"Loss")))=0,"",TEXT(SUMPRODUCT(('Match Log'!$D$4:$D$311=$A14)*('Match Log'!$E$4:$E$311="Win")*COUNTIFS('Match Log'!$A$4:$A$311,'Match Log'!$A$4:$A$311,'Match Log'!$D$4:$D$311,I$4,'Match Log'!$E$4:$E$311,"Loss"))/(SUMPRODUCT(('Match Log'!$D$4:$D$311=$A14)*('Match Log'!$E$4:$E$311="Win")*COUNTIFS('Match Log'!$A$4:$A$311,'Match Log'!$A$4:$A$311,'Match Log'!$D$4:$D$311,I$4,'Match Log'!$E$4:$E$311,"Loss"))+SUMPRODUCT(('Match Log'!$D$4:$D$311=I$4)*('Match Log'!$E$4:$E$311="Win")*COUNTIFS('Match Log'!$A$4:$A$311,'Match Log'!$A$4:$A$311,'Match Log'!$D$4:$D$311,$A14,'Match Log'!$E$4:$E$311,"Loss"))),"0%")&amp;" of "&amp;(SUMPRODUCT(('Match Log'!$D$4:$D$311=$A14)*('Match Log'!$E$4:$E$311="Win")*COUNTIFS('Match Log'!$A$4:$A$311,'Match Log'!$A$4:$A$311,'Match Log'!$D$4:$D$311,I$4,'Match Log'!$E$4:$E$311,"Loss"))+SUMPRODUCT(('Match Log'!$D$4:$D$311=I$4)*('Match Log'!$E$4:$E$311="Win")*COUNTIFS('Match Log'!$A$4:$A$311,'Match Log'!$A$4:$A$311,'Match Log'!$D$4:$D$311,$A14,'Match Log'!$E$4:$E$311,"Loss")))))</f>
        <v>0% of 2</v>
      </c>
      <c r="J14" s="54" t="str">
        <f>IF($A14=J$4,"—",IF((SUMPRODUCT(('Match Log'!$D$4:$D$311=$A14)*('Match Log'!$E$4:$E$311="Win")*COUNTIFS('Match Log'!$A$4:$A$311,'Match Log'!$A$4:$A$311,'Match Log'!$D$4:$D$311,J$4,'Match Log'!$E$4:$E$311,"Loss"))+SUMPRODUCT(('Match Log'!$D$4:$D$311=J$4)*('Match Log'!$E$4:$E$311="Win")*COUNTIFS('Match Log'!$A$4:$A$311,'Match Log'!$A$4:$A$311,'Match Log'!$D$4:$D$311,$A14,'Match Log'!$E$4:$E$311,"Loss")))=0,"",TEXT(SUMPRODUCT(('Match Log'!$D$4:$D$311=$A14)*('Match Log'!$E$4:$E$311="Win")*COUNTIFS('Match Log'!$A$4:$A$311,'Match Log'!$A$4:$A$311,'Match Log'!$D$4:$D$311,J$4,'Match Log'!$E$4:$E$311,"Loss"))/(SUMPRODUCT(('Match Log'!$D$4:$D$311=$A14)*('Match Log'!$E$4:$E$311="Win")*COUNTIFS('Match Log'!$A$4:$A$311,'Match Log'!$A$4:$A$311,'Match Log'!$D$4:$D$311,J$4,'Match Log'!$E$4:$E$311,"Loss"))+SUMPRODUCT(('Match Log'!$D$4:$D$311=J$4)*('Match Log'!$E$4:$E$311="Win")*COUNTIFS('Match Log'!$A$4:$A$311,'Match Log'!$A$4:$A$311,'Match Log'!$D$4:$D$311,$A14,'Match Log'!$E$4:$E$311,"Loss"))),"0%")&amp;" of "&amp;(SUMPRODUCT(('Match Log'!$D$4:$D$311=$A14)*('Match Log'!$E$4:$E$311="Win")*COUNTIFS('Match Log'!$A$4:$A$311,'Match Log'!$A$4:$A$311,'Match Log'!$D$4:$D$311,J$4,'Match Log'!$E$4:$E$311,"Loss"))+SUMPRODUCT(('Match Log'!$D$4:$D$311=J$4)*('Match Log'!$E$4:$E$311="Win")*COUNTIFS('Match Log'!$A$4:$A$311,'Match Log'!$A$4:$A$311,'Match Log'!$D$4:$D$311,$A14,'Match Log'!$E$4:$E$311,"Loss")))))</f>
        <v>0% of 1</v>
      </c>
      <c r="K14" s="54" t="str">
        <f>IF($A14=K$4,"—",IF((SUMPRODUCT(('Match Log'!$D$4:$D$311=$A14)*('Match Log'!$E$4:$E$311="Win")*COUNTIFS('Match Log'!$A$4:$A$311,'Match Log'!$A$4:$A$311,'Match Log'!$D$4:$D$311,K$4,'Match Log'!$E$4:$E$311,"Loss"))+SUMPRODUCT(('Match Log'!$D$4:$D$311=K$4)*('Match Log'!$E$4:$E$311="Win")*COUNTIFS('Match Log'!$A$4:$A$311,'Match Log'!$A$4:$A$311,'Match Log'!$D$4:$D$311,$A14,'Match Log'!$E$4:$E$311,"Loss")))=0,"",TEXT(SUMPRODUCT(('Match Log'!$D$4:$D$311=$A14)*('Match Log'!$E$4:$E$311="Win")*COUNTIFS('Match Log'!$A$4:$A$311,'Match Log'!$A$4:$A$311,'Match Log'!$D$4:$D$311,K$4,'Match Log'!$E$4:$E$311,"Loss"))/(SUMPRODUCT(('Match Log'!$D$4:$D$311=$A14)*('Match Log'!$E$4:$E$311="Win")*COUNTIFS('Match Log'!$A$4:$A$311,'Match Log'!$A$4:$A$311,'Match Log'!$D$4:$D$311,K$4,'Match Log'!$E$4:$E$311,"Loss"))+SUMPRODUCT(('Match Log'!$D$4:$D$311=K$4)*('Match Log'!$E$4:$E$311="Win")*COUNTIFS('Match Log'!$A$4:$A$311,'Match Log'!$A$4:$A$311,'Match Log'!$D$4:$D$311,$A14,'Match Log'!$E$4:$E$311,"Loss"))),"0%")&amp;" of "&amp;(SUMPRODUCT(('Match Log'!$D$4:$D$311=$A14)*('Match Log'!$E$4:$E$311="Win")*COUNTIFS('Match Log'!$A$4:$A$311,'Match Log'!$A$4:$A$311,'Match Log'!$D$4:$D$311,K$4,'Match Log'!$E$4:$E$311,"Loss"))+SUMPRODUCT(('Match Log'!$D$4:$D$311=K$4)*('Match Log'!$E$4:$E$311="Win")*COUNTIFS('Match Log'!$A$4:$A$311,'Match Log'!$A$4:$A$311,'Match Log'!$D$4:$D$311,$A14,'Match Log'!$E$4:$E$311,"Loss")))))</f>
        <v>—</v>
      </c>
      <c r="L14" s="54" t="str">
        <f>IF($A14=L$4,"—",IF((SUMPRODUCT(('Match Log'!$D$4:$D$311=$A14)*('Match Log'!$E$4:$E$311="Win")*COUNTIFS('Match Log'!$A$4:$A$311,'Match Log'!$A$4:$A$311,'Match Log'!$D$4:$D$311,L$4,'Match Log'!$E$4:$E$311,"Loss"))+SUMPRODUCT(('Match Log'!$D$4:$D$311=L$4)*('Match Log'!$E$4:$E$311="Win")*COUNTIFS('Match Log'!$A$4:$A$311,'Match Log'!$A$4:$A$311,'Match Log'!$D$4:$D$311,$A14,'Match Log'!$E$4:$E$311,"Loss")))=0,"",TEXT(SUMPRODUCT(('Match Log'!$D$4:$D$311=$A14)*('Match Log'!$E$4:$E$311="Win")*COUNTIFS('Match Log'!$A$4:$A$311,'Match Log'!$A$4:$A$311,'Match Log'!$D$4:$D$311,L$4,'Match Log'!$E$4:$E$311,"Loss"))/(SUMPRODUCT(('Match Log'!$D$4:$D$311=$A14)*('Match Log'!$E$4:$E$311="Win")*COUNTIFS('Match Log'!$A$4:$A$311,'Match Log'!$A$4:$A$311,'Match Log'!$D$4:$D$311,L$4,'Match Log'!$E$4:$E$311,"Loss"))+SUMPRODUCT(('Match Log'!$D$4:$D$311=L$4)*('Match Log'!$E$4:$E$311="Win")*COUNTIFS('Match Log'!$A$4:$A$311,'Match Log'!$A$4:$A$311,'Match Log'!$D$4:$D$311,$A14,'Match Log'!$E$4:$E$311,"Loss"))),"0%")&amp;" of "&amp;(SUMPRODUCT(('Match Log'!$D$4:$D$311=$A14)*('Match Log'!$E$4:$E$311="Win")*COUNTIFS('Match Log'!$A$4:$A$311,'Match Log'!$A$4:$A$311,'Match Log'!$D$4:$D$311,L$4,'Match Log'!$E$4:$E$311,"Loss"))+SUMPRODUCT(('Match Log'!$D$4:$D$311=L$4)*('Match Log'!$E$4:$E$311="Win")*COUNTIFS('Match Log'!$A$4:$A$311,'Match Log'!$A$4:$A$311,'Match Log'!$D$4:$D$311,$A14,'Match Log'!$E$4:$E$311,"Loss")))))</f>
        <v>67% of 3</v>
      </c>
      <c r="M14" s="54" t="str">
        <f>IF($A14=M$4,"—",IF((SUMPRODUCT(('Match Log'!$D$4:$D$311=$A14)*('Match Log'!$E$4:$E$311="Win")*COUNTIFS('Match Log'!$A$4:$A$311,'Match Log'!$A$4:$A$311,'Match Log'!$D$4:$D$311,M$4,'Match Log'!$E$4:$E$311,"Loss"))+SUMPRODUCT(('Match Log'!$D$4:$D$311=M$4)*('Match Log'!$E$4:$E$311="Win")*COUNTIFS('Match Log'!$A$4:$A$311,'Match Log'!$A$4:$A$311,'Match Log'!$D$4:$D$311,$A14,'Match Log'!$E$4:$E$311,"Loss")))=0,"",TEXT(SUMPRODUCT(('Match Log'!$D$4:$D$311=$A14)*('Match Log'!$E$4:$E$311="Win")*COUNTIFS('Match Log'!$A$4:$A$311,'Match Log'!$A$4:$A$311,'Match Log'!$D$4:$D$311,M$4,'Match Log'!$E$4:$E$311,"Loss"))/(SUMPRODUCT(('Match Log'!$D$4:$D$311=$A14)*('Match Log'!$E$4:$E$311="Win")*COUNTIFS('Match Log'!$A$4:$A$311,'Match Log'!$A$4:$A$311,'Match Log'!$D$4:$D$311,M$4,'Match Log'!$E$4:$E$311,"Loss"))+SUMPRODUCT(('Match Log'!$D$4:$D$311=M$4)*('Match Log'!$E$4:$E$311="Win")*COUNTIFS('Match Log'!$A$4:$A$311,'Match Log'!$A$4:$A$311,'Match Log'!$D$4:$D$311,$A14,'Match Log'!$E$4:$E$311,"Loss"))),"0%")&amp;" of "&amp;(SUMPRODUCT(('Match Log'!$D$4:$D$311=$A14)*('Match Log'!$E$4:$E$311="Win")*COUNTIFS('Match Log'!$A$4:$A$311,'Match Log'!$A$4:$A$311,'Match Log'!$D$4:$D$311,M$4,'Match Log'!$E$4:$E$311,"Loss"))+SUMPRODUCT(('Match Log'!$D$4:$D$311=M$4)*('Match Log'!$E$4:$E$311="Win")*COUNTIFS('Match Log'!$A$4:$A$311,'Match Log'!$A$4:$A$311,'Match Log'!$D$4:$D$311,$A14,'Match Log'!$E$4:$E$311,"Loss")))))</f>
        <v/>
      </c>
      <c r="N14" s="54" t="str">
        <f>IF($A14=N$4,"—",IF((SUMPRODUCT(('Match Log'!$D$4:$D$311=$A14)*('Match Log'!$E$4:$E$311="Win")*COUNTIFS('Match Log'!$A$4:$A$311,'Match Log'!$A$4:$A$311,'Match Log'!$D$4:$D$311,N$4,'Match Log'!$E$4:$E$311,"Loss"))+SUMPRODUCT(('Match Log'!$D$4:$D$311=N$4)*('Match Log'!$E$4:$E$311="Win")*COUNTIFS('Match Log'!$A$4:$A$311,'Match Log'!$A$4:$A$311,'Match Log'!$D$4:$D$311,$A14,'Match Log'!$E$4:$E$311,"Loss")))=0,"",TEXT(SUMPRODUCT(('Match Log'!$D$4:$D$311=$A14)*('Match Log'!$E$4:$E$311="Win")*COUNTIFS('Match Log'!$A$4:$A$311,'Match Log'!$A$4:$A$311,'Match Log'!$D$4:$D$311,N$4,'Match Log'!$E$4:$E$311,"Loss"))/(SUMPRODUCT(('Match Log'!$D$4:$D$311=$A14)*('Match Log'!$E$4:$E$311="Win")*COUNTIFS('Match Log'!$A$4:$A$311,'Match Log'!$A$4:$A$311,'Match Log'!$D$4:$D$311,N$4,'Match Log'!$E$4:$E$311,"Loss"))+SUMPRODUCT(('Match Log'!$D$4:$D$311=N$4)*('Match Log'!$E$4:$E$311="Win")*COUNTIFS('Match Log'!$A$4:$A$311,'Match Log'!$A$4:$A$311,'Match Log'!$D$4:$D$311,$A14,'Match Log'!$E$4:$E$311,"Loss"))),"0%")&amp;" of "&amp;(SUMPRODUCT(('Match Log'!$D$4:$D$311=$A14)*('Match Log'!$E$4:$E$311="Win")*COUNTIFS('Match Log'!$A$4:$A$311,'Match Log'!$A$4:$A$311,'Match Log'!$D$4:$D$311,N$4,'Match Log'!$E$4:$E$311,"Loss"))+SUMPRODUCT(('Match Log'!$D$4:$D$311=N$4)*('Match Log'!$E$4:$E$311="Win")*COUNTIFS('Match Log'!$A$4:$A$311,'Match Log'!$A$4:$A$311,'Match Log'!$D$4:$D$311,$A14,'Match Log'!$E$4:$E$311,"Loss")))))</f>
        <v/>
      </c>
      <c r="O14" s="54" t="str">
        <f>IF($A14=O$4,"—",IF((SUMPRODUCT(('Match Log'!$D$4:$D$311=$A14)*('Match Log'!$E$4:$E$311="Win")*COUNTIFS('Match Log'!$A$4:$A$311,'Match Log'!$A$4:$A$311,'Match Log'!$D$4:$D$311,O$4,'Match Log'!$E$4:$E$311,"Loss"))+SUMPRODUCT(('Match Log'!$D$4:$D$311=O$4)*('Match Log'!$E$4:$E$311="Win")*COUNTIFS('Match Log'!$A$4:$A$311,'Match Log'!$A$4:$A$311,'Match Log'!$D$4:$D$311,$A14,'Match Log'!$E$4:$E$311,"Loss")))=0,"",TEXT(SUMPRODUCT(('Match Log'!$D$4:$D$311=$A14)*('Match Log'!$E$4:$E$311="Win")*COUNTIFS('Match Log'!$A$4:$A$311,'Match Log'!$A$4:$A$311,'Match Log'!$D$4:$D$311,O$4,'Match Log'!$E$4:$E$311,"Loss"))/(SUMPRODUCT(('Match Log'!$D$4:$D$311=$A14)*('Match Log'!$E$4:$E$311="Win")*COUNTIFS('Match Log'!$A$4:$A$311,'Match Log'!$A$4:$A$311,'Match Log'!$D$4:$D$311,O$4,'Match Log'!$E$4:$E$311,"Loss"))+SUMPRODUCT(('Match Log'!$D$4:$D$311=O$4)*('Match Log'!$E$4:$E$311="Win")*COUNTIFS('Match Log'!$A$4:$A$311,'Match Log'!$A$4:$A$311,'Match Log'!$D$4:$D$311,$A14,'Match Log'!$E$4:$E$311,"Loss"))),"0%")&amp;" of "&amp;(SUMPRODUCT(('Match Log'!$D$4:$D$311=$A14)*('Match Log'!$E$4:$E$311="Win")*COUNTIFS('Match Log'!$A$4:$A$311,'Match Log'!$A$4:$A$311,'Match Log'!$D$4:$D$311,O$4,'Match Log'!$E$4:$E$311,"Loss"))+SUMPRODUCT(('Match Log'!$D$4:$D$311=O$4)*('Match Log'!$E$4:$E$311="Win")*COUNTIFS('Match Log'!$A$4:$A$311,'Match Log'!$A$4:$A$311,'Match Log'!$D$4:$D$311,$A14,'Match Log'!$E$4:$E$311,"Loss")))))</f>
        <v/>
      </c>
    </row>
    <row r="15" spans="1:15" ht="15" customHeight="1" x14ac:dyDescent="0.2">
      <c r="A15" s="49" t="s">
        <v>176</v>
      </c>
      <c r="B15" s="54" t="str">
        <f>IF($A15=B$4,"—",IF((SUMPRODUCT(('Match Log'!$D$4:$D$311=$A15)*('Match Log'!$E$4:$E$311="Win")*COUNTIFS('Match Log'!$A$4:$A$311,'Match Log'!$A$4:$A$311,'Match Log'!$D$4:$D$311,B$4,'Match Log'!$E$4:$E$311,"Loss"))+SUMPRODUCT(('Match Log'!$D$4:$D$311=B$4)*('Match Log'!$E$4:$E$311="Win")*COUNTIFS('Match Log'!$A$4:$A$311,'Match Log'!$A$4:$A$311,'Match Log'!$D$4:$D$311,$A15,'Match Log'!$E$4:$E$311,"Loss")))=0,"",TEXT(SUMPRODUCT(('Match Log'!$D$4:$D$311=$A15)*('Match Log'!$E$4:$E$311="Win")*COUNTIFS('Match Log'!$A$4:$A$311,'Match Log'!$A$4:$A$311,'Match Log'!$D$4:$D$311,B$4,'Match Log'!$E$4:$E$311,"Loss"))/(SUMPRODUCT(('Match Log'!$D$4:$D$311=$A15)*('Match Log'!$E$4:$E$311="Win")*COUNTIFS('Match Log'!$A$4:$A$311,'Match Log'!$A$4:$A$311,'Match Log'!$D$4:$D$311,B$4,'Match Log'!$E$4:$E$311,"Loss"))+SUMPRODUCT(('Match Log'!$D$4:$D$311=B$4)*('Match Log'!$E$4:$E$311="Win")*COUNTIFS('Match Log'!$A$4:$A$311,'Match Log'!$A$4:$A$311,'Match Log'!$D$4:$D$311,$A15,'Match Log'!$E$4:$E$311,"Loss"))),"0%")&amp;" of "&amp;(SUMPRODUCT(('Match Log'!$D$4:$D$311=$A15)*('Match Log'!$E$4:$E$311="Win")*COUNTIFS('Match Log'!$A$4:$A$311,'Match Log'!$A$4:$A$311,'Match Log'!$D$4:$D$311,B$4,'Match Log'!$E$4:$E$311,"Loss"))+SUMPRODUCT(('Match Log'!$D$4:$D$311=B$4)*('Match Log'!$E$4:$E$311="Win")*COUNTIFS('Match Log'!$A$4:$A$311,'Match Log'!$A$4:$A$311,'Match Log'!$D$4:$D$311,$A15,'Match Log'!$E$4:$E$311,"Loss")))))</f>
        <v>50% of 4</v>
      </c>
      <c r="C15" s="54" t="str">
        <f>IF($A15=C$4,"—",IF((SUMPRODUCT(('Match Log'!$D$4:$D$311=$A15)*('Match Log'!$E$4:$E$311="Win")*COUNTIFS('Match Log'!$A$4:$A$311,'Match Log'!$A$4:$A$311,'Match Log'!$D$4:$D$311,C$4,'Match Log'!$E$4:$E$311,"Loss"))+SUMPRODUCT(('Match Log'!$D$4:$D$311=C$4)*('Match Log'!$E$4:$E$311="Win")*COUNTIFS('Match Log'!$A$4:$A$311,'Match Log'!$A$4:$A$311,'Match Log'!$D$4:$D$311,$A15,'Match Log'!$E$4:$E$311,"Loss")))=0,"",TEXT(SUMPRODUCT(('Match Log'!$D$4:$D$311=$A15)*('Match Log'!$E$4:$E$311="Win")*COUNTIFS('Match Log'!$A$4:$A$311,'Match Log'!$A$4:$A$311,'Match Log'!$D$4:$D$311,C$4,'Match Log'!$E$4:$E$311,"Loss"))/(SUMPRODUCT(('Match Log'!$D$4:$D$311=$A15)*('Match Log'!$E$4:$E$311="Win")*COUNTIFS('Match Log'!$A$4:$A$311,'Match Log'!$A$4:$A$311,'Match Log'!$D$4:$D$311,C$4,'Match Log'!$E$4:$E$311,"Loss"))+SUMPRODUCT(('Match Log'!$D$4:$D$311=C$4)*('Match Log'!$E$4:$E$311="Win")*COUNTIFS('Match Log'!$A$4:$A$311,'Match Log'!$A$4:$A$311,'Match Log'!$D$4:$D$311,$A15,'Match Log'!$E$4:$E$311,"Loss"))),"0%")&amp;" of "&amp;(SUMPRODUCT(('Match Log'!$D$4:$D$311=$A15)*('Match Log'!$E$4:$E$311="Win")*COUNTIFS('Match Log'!$A$4:$A$311,'Match Log'!$A$4:$A$311,'Match Log'!$D$4:$D$311,C$4,'Match Log'!$E$4:$E$311,"Loss"))+SUMPRODUCT(('Match Log'!$D$4:$D$311=C$4)*('Match Log'!$E$4:$E$311="Win")*COUNTIFS('Match Log'!$A$4:$A$311,'Match Log'!$A$4:$A$311,'Match Log'!$D$4:$D$311,$A15,'Match Log'!$E$4:$E$311,"Loss")))))</f>
        <v>60% of 5</v>
      </c>
      <c r="D15" s="54" t="str">
        <f>IF($A15=D$4,"—",IF((SUMPRODUCT(('Match Log'!$D$4:$D$311=$A15)*('Match Log'!$E$4:$E$311="Win")*COUNTIFS('Match Log'!$A$4:$A$311,'Match Log'!$A$4:$A$311,'Match Log'!$D$4:$D$311,D$4,'Match Log'!$E$4:$E$311,"Loss"))+SUMPRODUCT(('Match Log'!$D$4:$D$311=D$4)*('Match Log'!$E$4:$E$311="Win")*COUNTIFS('Match Log'!$A$4:$A$311,'Match Log'!$A$4:$A$311,'Match Log'!$D$4:$D$311,$A15,'Match Log'!$E$4:$E$311,"Loss")))=0,"",TEXT(SUMPRODUCT(('Match Log'!$D$4:$D$311=$A15)*('Match Log'!$E$4:$E$311="Win")*COUNTIFS('Match Log'!$A$4:$A$311,'Match Log'!$A$4:$A$311,'Match Log'!$D$4:$D$311,D$4,'Match Log'!$E$4:$E$311,"Loss"))/(SUMPRODUCT(('Match Log'!$D$4:$D$311=$A15)*('Match Log'!$E$4:$E$311="Win")*COUNTIFS('Match Log'!$A$4:$A$311,'Match Log'!$A$4:$A$311,'Match Log'!$D$4:$D$311,D$4,'Match Log'!$E$4:$E$311,"Loss"))+SUMPRODUCT(('Match Log'!$D$4:$D$311=D$4)*('Match Log'!$E$4:$E$311="Win")*COUNTIFS('Match Log'!$A$4:$A$311,'Match Log'!$A$4:$A$311,'Match Log'!$D$4:$D$311,$A15,'Match Log'!$E$4:$E$311,"Loss"))),"0%")&amp;" of "&amp;(SUMPRODUCT(('Match Log'!$D$4:$D$311=$A15)*('Match Log'!$E$4:$E$311="Win")*COUNTIFS('Match Log'!$A$4:$A$311,'Match Log'!$A$4:$A$311,'Match Log'!$D$4:$D$311,D$4,'Match Log'!$E$4:$E$311,"Loss"))+SUMPRODUCT(('Match Log'!$D$4:$D$311=D$4)*('Match Log'!$E$4:$E$311="Win")*COUNTIFS('Match Log'!$A$4:$A$311,'Match Log'!$A$4:$A$311,'Match Log'!$D$4:$D$311,$A15,'Match Log'!$E$4:$E$311,"Loss")))))</f>
        <v/>
      </c>
      <c r="E15" s="54" t="str">
        <f>IF($A15=E$4,"—",IF((SUMPRODUCT(('Match Log'!$D$4:$D$311=$A15)*('Match Log'!$E$4:$E$311="Win")*COUNTIFS('Match Log'!$A$4:$A$311,'Match Log'!$A$4:$A$311,'Match Log'!$D$4:$D$311,E$4,'Match Log'!$E$4:$E$311,"Loss"))+SUMPRODUCT(('Match Log'!$D$4:$D$311=E$4)*('Match Log'!$E$4:$E$311="Win")*COUNTIFS('Match Log'!$A$4:$A$311,'Match Log'!$A$4:$A$311,'Match Log'!$D$4:$D$311,$A15,'Match Log'!$E$4:$E$311,"Loss")))=0,"",TEXT(SUMPRODUCT(('Match Log'!$D$4:$D$311=$A15)*('Match Log'!$E$4:$E$311="Win")*COUNTIFS('Match Log'!$A$4:$A$311,'Match Log'!$A$4:$A$311,'Match Log'!$D$4:$D$311,E$4,'Match Log'!$E$4:$E$311,"Loss"))/(SUMPRODUCT(('Match Log'!$D$4:$D$311=$A15)*('Match Log'!$E$4:$E$311="Win")*COUNTIFS('Match Log'!$A$4:$A$311,'Match Log'!$A$4:$A$311,'Match Log'!$D$4:$D$311,E$4,'Match Log'!$E$4:$E$311,"Loss"))+SUMPRODUCT(('Match Log'!$D$4:$D$311=E$4)*('Match Log'!$E$4:$E$311="Win")*COUNTIFS('Match Log'!$A$4:$A$311,'Match Log'!$A$4:$A$311,'Match Log'!$D$4:$D$311,$A15,'Match Log'!$E$4:$E$311,"Loss"))),"0%")&amp;" of "&amp;(SUMPRODUCT(('Match Log'!$D$4:$D$311=$A15)*('Match Log'!$E$4:$E$311="Win")*COUNTIFS('Match Log'!$A$4:$A$311,'Match Log'!$A$4:$A$311,'Match Log'!$D$4:$D$311,E$4,'Match Log'!$E$4:$E$311,"Loss"))+SUMPRODUCT(('Match Log'!$D$4:$D$311=E$4)*('Match Log'!$E$4:$E$311="Win")*COUNTIFS('Match Log'!$A$4:$A$311,'Match Log'!$A$4:$A$311,'Match Log'!$D$4:$D$311,$A15,'Match Log'!$E$4:$E$311,"Loss")))))</f>
        <v>100% of 1</v>
      </c>
      <c r="F15" s="54" t="str">
        <f>IF($A15=F$4,"—",IF((SUMPRODUCT(('Match Log'!$D$4:$D$311=$A15)*('Match Log'!$E$4:$E$311="Win")*COUNTIFS('Match Log'!$A$4:$A$311,'Match Log'!$A$4:$A$311,'Match Log'!$D$4:$D$311,F$4,'Match Log'!$E$4:$E$311,"Loss"))+SUMPRODUCT(('Match Log'!$D$4:$D$311=F$4)*('Match Log'!$E$4:$E$311="Win")*COUNTIFS('Match Log'!$A$4:$A$311,'Match Log'!$A$4:$A$311,'Match Log'!$D$4:$D$311,$A15,'Match Log'!$E$4:$E$311,"Loss")))=0,"",TEXT(SUMPRODUCT(('Match Log'!$D$4:$D$311=$A15)*('Match Log'!$E$4:$E$311="Win")*COUNTIFS('Match Log'!$A$4:$A$311,'Match Log'!$A$4:$A$311,'Match Log'!$D$4:$D$311,F$4,'Match Log'!$E$4:$E$311,"Loss"))/(SUMPRODUCT(('Match Log'!$D$4:$D$311=$A15)*('Match Log'!$E$4:$E$311="Win")*COUNTIFS('Match Log'!$A$4:$A$311,'Match Log'!$A$4:$A$311,'Match Log'!$D$4:$D$311,F$4,'Match Log'!$E$4:$E$311,"Loss"))+SUMPRODUCT(('Match Log'!$D$4:$D$311=F$4)*('Match Log'!$E$4:$E$311="Win")*COUNTIFS('Match Log'!$A$4:$A$311,'Match Log'!$A$4:$A$311,'Match Log'!$D$4:$D$311,$A15,'Match Log'!$E$4:$E$311,"Loss"))),"0%")&amp;" of "&amp;(SUMPRODUCT(('Match Log'!$D$4:$D$311=$A15)*('Match Log'!$E$4:$E$311="Win")*COUNTIFS('Match Log'!$A$4:$A$311,'Match Log'!$A$4:$A$311,'Match Log'!$D$4:$D$311,F$4,'Match Log'!$E$4:$E$311,"Loss"))+SUMPRODUCT(('Match Log'!$D$4:$D$311=F$4)*('Match Log'!$E$4:$E$311="Win")*COUNTIFS('Match Log'!$A$4:$A$311,'Match Log'!$A$4:$A$311,'Match Log'!$D$4:$D$311,$A15,'Match Log'!$E$4:$E$311,"Loss")))))</f>
        <v>33% of 6</v>
      </c>
      <c r="G15" s="54" t="str">
        <f>IF($A15=G$4,"—",IF((SUMPRODUCT(('Match Log'!$D$4:$D$311=$A15)*('Match Log'!$E$4:$E$311="Win")*COUNTIFS('Match Log'!$A$4:$A$311,'Match Log'!$A$4:$A$311,'Match Log'!$D$4:$D$311,G$4,'Match Log'!$E$4:$E$311,"Loss"))+SUMPRODUCT(('Match Log'!$D$4:$D$311=G$4)*('Match Log'!$E$4:$E$311="Win")*COUNTIFS('Match Log'!$A$4:$A$311,'Match Log'!$A$4:$A$311,'Match Log'!$D$4:$D$311,$A15,'Match Log'!$E$4:$E$311,"Loss")))=0,"",TEXT(SUMPRODUCT(('Match Log'!$D$4:$D$311=$A15)*('Match Log'!$E$4:$E$311="Win")*COUNTIFS('Match Log'!$A$4:$A$311,'Match Log'!$A$4:$A$311,'Match Log'!$D$4:$D$311,G$4,'Match Log'!$E$4:$E$311,"Loss"))/(SUMPRODUCT(('Match Log'!$D$4:$D$311=$A15)*('Match Log'!$E$4:$E$311="Win")*COUNTIFS('Match Log'!$A$4:$A$311,'Match Log'!$A$4:$A$311,'Match Log'!$D$4:$D$311,G$4,'Match Log'!$E$4:$E$311,"Loss"))+SUMPRODUCT(('Match Log'!$D$4:$D$311=G$4)*('Match Log'!$E$4:$E$311="Win")*COUNTIFS('Match Log'!$A$4:$A$311,'Match Log'!$A$4:$A$311,'Match Log'!$D$4:$D$311,$A15,'Match Log'!$E$4:$E$311,"Loss"))),"0%")&amp;" of "&amp;(SUMPRODUCT(('Match Log'!$D$4:$D$311=$A15)*('Match Log'!$E$4:$E$311="Win")*COUNTIFS('Match Log'!$A$4:$A$311,'Match Log'!$A$4:$A$311,'Match Log'!$D$4:$D$311,G$4,'Match Log'!$E$4:$E$311,"Loss"))+SUMPRODUCT(('Match Log'!$D$4:$D$311=G$4)*('Match Log'!$E$4:$E$311="Win")*COUNTIFS('Match Log'!$A$4:$A$311,'Match Log'!$A$4:$A$311,'Match Log'!$D$4:$D$311,$A15,'Match Log'!$E$4:$E$311,"Loss")))))</f>
        <v>70% of 10</v>
      </c>
      <c r="H15" s="54" t="str">
        <f>IF($A15=H$4,"—",IF((SUMPRODUCT(('Match Log'!$D$4:$D$311=$A15)*('Match Log'!$E$4:$E$311="Win")*COUNTIFS('Match Log'!$A$4:$A$311,'Match Log'!$A$4:$A$311,'Match Log'!$D$4:$D$311,H$4,'Match Log'!$E$4:$E$311,"Loss"))+SUMPRODUCT(('Match Log'!$D$4:$D$311=H$4)*('Match Log'!$E$4:$E$311="Win")*COUNTIFS('Match Log'!$A$4:$A$311,'Match Log'!$A$4:$A$311,'Match Log'!$D$4:$D$311,$A15,'Match Log'!$E$4:$E$311,"Loss")))=0,"",TEXT(SUMPRODUCT(('Match Log'!$D$4:$D$311=$A15)*('Match Log'!$E$4:$E$311="Win")*COUNTIFS('Match Log'!$A$4:$A$311,'Match Log'!$A$4:$A$311,'Match Log'!$D$4:$D$311,H$4,'Match Log'!$E$4:$E$311,"Loss"))/(SUMPRODUCT(('Match Log'!$D$4:$D$311=$A15)*('Match Log'!$E$4:$E$311="Win")*COUNTIFS('Match Log'!$A$4:$A$311,'Match Log'!$A$4:$A$311,'Match Log'!$D$4:$D$311,H$4,'Match Log'!$E$4:$E$311,"Loss"))+SUMPRODUCT(('Match Log'!$D$4:$D$311=H$4)*('Match Log'!$E$4:$E$311="Win")*COUNTIFS('Match Log'!$A$4:$A$311,'Match Log'!$A$4:$A$311,'Match Log'!$D$4:$D$311,$A15,'Match Log'!$E$4:$E$311,"Loss"))),"0%")&amp;" of "&amp;(SUMPRODUCT(('Match Log'!$D$4:$D$311=$A15)*('Match Log'!$E$4:$E$311="Win")*COUNTIFS('Match Log'!$A$4:$A$311,'Match Log'!$A$4:$A$311,'Match Log'!$D$4:$D$311,H$4,'Match Log'!$E$4:$E$311,"Loss"))+SUMPRODUCT(('Match Log'!$D$4:$D$311=H$4)*('Match Log'!$E$4:$E$311="Win")*COUNTIFS('Match Log'!$A$4:$A$311,'Match Log'!$A$4:$A$311,'Match Log'!$D$4:$D$311,$A15,'Match Log'!$E$4:$E$311,"Loss")))))</f>
        <v>60% of 5</v>
      </c>
      <c r="I15" s="54" t="str">
        <f>IF($A15=I$4,"—",IF((SUMPRODUCT(('Match Log'!$D$4:$D$311=$A15)*('Match Log'!$E$4:$E$311="Win")*COUNTIFS('Match Log'!$A$4:$A$311,'Match Log'!$A$4:$A$311,'Match Log'!$D$4:$D$311,I$4,'Match Log'!$E$4:$E$311,"Loss"))+SUMPRODUCT(('Match Log'!$D$4:$D$311=I$4)*('Match Log'!$E$4:$E$311="Win")*COUNTIFS('Match Log'!$A$4:$A$311,'Match Log'!$A$4:$A$311,'Match Log'!$D$4:$D$311,$A15,'Match Log'!$E$4:$E$311,"Loss")))=0,"",TEXT(SUMPRODUCT(('Match Log'!$D$4:$D$311=$A15)*('Match Log'!$E$4:$E$311="Win")*COUNTIFS('Match Log'!$A$4:$A$311,'Match Log'!$A$4:$A$311,'Match Log'!$D$4:$D$311,I$4,'Match Log'!$E$4:$E$311,"Loss"))/(SUMPRODUCT(('Match Log'!$D$4:$D$311=$A15)*('Match Log'!$E$4:$E$311="Win")*COUNTIFS('Match Log'!$A$4:$A$311,'Match Log'!$A$4:$A$311,'Match Log'!$D$4:$D$311,I$4,'Match Log'!$E$4:$E$311,"Loss"))+SUMPRODUCT(('Match Log'!$D$4:$D$311=I$4)*('Match Log'!$E$4:$E$311="Win")*COUNTIFS('Match Log'!$A$4:$A$311,'Match Log'!$A$4:$A$311,'Match Log'!$D$4:$D$311,$A15,'Match Log'!$E$4:$E$311,"Loss"))),"0%")&amp;" of "&amp;(SUMPRODUCT(('Match Log'!$D$4:$D$311=$A15)*('Match Log'!$E$4:$E$311="Win")*COUNTIFS('Match Log'!$A$4:$A$311,'Match Log'!$A$4:$A$311,'Match Log'!$D$4:$D$311,I$4,'Match Log'!$E$4:$E$311,"Loss"))+SUMPRODUCT(('Match Log'!$D$4:$D$311=I$4)*('Match Log'!$E$4:$E$311="Win")*COUNTIFS('Match Log'!$A$4:$A$311,'Match Log'!$A$4:$A$311,'Match Log'!$D$4:$D$311,$A15,'Match Log'!$E$4:$E$311,"Loss")))))</f>
        <v>20% of 5</v>
      </c>
      <c r="J15" s="54" t="str">
        <f>IF($A15=J$4,"—",IF((SUMPRODUCT(('Match Log'!$D$4:$D$311=$A15)*('Match Log'!$E$4:$E$311="Win")*COUNTIFS('Match Log'!$A$4:$A$311,'Match Log'!$A$4:$A$311,'Match Log'!$D$4:$D$311,J$4,'Match Log'!$E$4:$E$311,"Loss"))+SUMPRODUCT(('Match Log'!$D$4:$D$311=J$4)*('Match Log'!$E$4:$E$311="Win")*COUNTIFS('Match Log'!$A$4:$A$311,'Match Log'!$A$4:$A$311,'Match Log'!$D$4:$D$311,$A15,'Match Log'!$E$4:$E$311,"Loss")))=0,"",TEXT(SUMPRODUCT(('Match Log'!$D$4:$D$311=$A15)*('Match Log'!$E$4:$E$311="Win")*COUNTIFS('Match Log'!$A$4:$A$311,'Match Log'!$A$4:$A$311,'Match Log'!$D$4:$D$311,J$4,'Match Log'!$E$4:$E$311,"Loss"))/(SUMPRODUCT(('Match Log'!$D$4:$D$311=$A15)*('Match Log'!$E$4:$E$311="Win")*COUNTIFS('Match Log'!$A$4:$A$311,'Match Log'!$A$4:$A$311,'Match Log'!$D$4:$D$311,J$4,'Match Log'!$E$4:$E$311,"Loss"))+SUMPRODUCT(('Match Log'!$D$4:$D$311=J$4)*('Match Log'!$E$4:$E$311="Win")*COUNTIFS('Match Log'!$A$4:$A$311,'Match Log'!$A$4:$A$311,'Match Log'!$D$4:$D$311,$A15,'Match Log'!$E$4:$E$311,"Loss"))),"0%")&amp;" of "&amp;(SUMPRODUCT(('Match Log'!$D$4:$D$311=$A15)*('Match Log'!$E$4:$E$311="Win")*COUNTIFS('Match Log'!$A$4:$A$311,'Match Log'!$A$4:$A$311,'Match Log'!$D$4:$D$311,J$4,'Match Log'!$E$4:$E$311,"Loss"))+SUMPRODUCT(('Match Log'!$D$4:$D$311=J$4)*('Match Log'!$E$4:$E$311="Win")*COUNTIFS('Match Log'!$A$4:$A$311,'Match Log'!$A$4:$A$311,'Match Log'!$D$4:$D$311,$A15,'Match Log'!$E$4:$E$311,"Loss")))))</f>
        <v>17% of 6</v>
      </c>
      <c r="K15" s="54" t="str">
        <f>IF($A15=K$4,"—",IF((SUMPRODUCT(('Match Log'!$D$4:$D$311=$A15)*('Match Log'!$E$4:$E$311="Win")*COUNTIFS('Match Log'!$A$4:$A$311,'Match Log'!$A$4:$A$311,'Match Log'!$D$4:$D$311,K$4,'Match Log'!$E$4:$E$311,"Loss"))+SUMPRODUCT(('Match Log'!$D$4:$D$311=K$4)*('Match Log'!$E$4:$E$311="Win")*COUNTIFS('Match Log'!$A$4:$A$311,'Match Log'!$A$4:$A$311,'Match Log'!$D$4:$D$311,$A15,'Match Log'!$E$4:$E$311,"Loss")))=0,"",TEXT(SUMPRODUCT(('Match Log'!$D$4:$D$311=$A15)*('Match Log'!$E$4:$E$311="Win")*COUNTIFS('Match Log'!$A$4:$A$311,'Match Log'!$A$4:$A$311,'Match Log'!$D$4:$D$311,K$4,'Match Log'!$E$4:$E$311,"Loss"))/(SUMPRODUCT(('Match Log'!$D$4:$D$311=$A15)*('Match Log'!$E$4:$E$311="Win")*COUNTIFS('Match Log'!$A$4:$A$311,'Match Log'!$A$4:$A$311,'Match Log'!$D$4:$D$311,K$4,'Match Log'!$E$4:$E$311,"Loss"))+SUMPRODUCT(('Match Log'!$D$4:$D$311=K$4)*('Match Log'!$E$4:$E$311="Win")*COUNTIFS('Match Log'!$A$4:$A$311,'Match Log'!$A$4:$A$311,'Match Log'!$D$4:$D$311,$A15,'Match Log'!$E$4:$E$311,"Loss"))),"0%")&amp;" of "&amp;(SUMPRODUCT(('Match Log'!$D$4:$D$311=$A15)*('Match Log'!$E$4:$E$311="Win")*COUNTIFS('Match Log'!$A$4:$A$311,'Match Log'!$A$4:$A$311,'Match Log'!$D$4:$D$311,K$4,'Match Log'!$E$4:$E$311,"Loss"))+SUMPRODUCT(('Match Log'!$D$4:$D$311=K$4)*('Match Log'!$E$4:$E$311="Win")*COUNTIFS('Match Log'!$A$4:$A$311,'Match Log'!$A$4:$A$311,'Match Log'!$D$4:$D$311,$A15,'Match Log'!$E$4:$E$311,"Loss")))))</f>
        <v>33% of 3</v>
      </c>
      <c r="L15" s="54" t="str">
        <f>IF($A15=L$4,"—",IF((SUMPRODUCT(('Match Log'!$D$4:$D$311=$A15)*('Match Log'!$E$4:$E$311="Win")*COUNTIFS('Match Log'!$A$4:$A$311,'Match Log'!$A$4:$A$311,'Match Log'!$D$4:$D$311,L$4,'Match Log'!$E$4:$E$311,"Loss"))+SUMPRODUCT(('Match Log'!$D$4:$D$311=L$4)*('Match Log'!$E$4:$E$311="Win")*COUNTIFS('Match Log'!$A$4:$A$311,'Match Log'!$A$4:$A$311,'Match Log'!$D$4:$D$311,$A15,'Match Log'!$E$4:$E$311,"Loss")))=0,"",TEXT(SUMPRODUCT(('Match Log'!$D$4:$D$311=$A15)*('Match Log'!$E$4:$E$311="Win")*COUNTIFS('Match Log'!$A$4:$A$311,'Match Log'!$A$4:$A$311,'Match Log'!$D$4:$D$311,L$4,'Match Log'!$E$4:$E$311,"Loss"))/(SUMPRODUCT(('Match Log'!$D$4:$D$311=$A15)*('Match Log'!$E$4:$E$311="Win")*COUNTIFS('Match Log'!$A$4:$A$311,'Match Log'!$A$4:$A$311,'Match Log'!$D$4:$D$311,L$4,'Match Log'!$E$4:$E$311,"Loss"))+SUMPRODUCT(('Match Log'!$D$4:$D$311=L$4)*('Match Log'!$E$4:$E$311="Win")*COUNTIFS('Match Log'!$A$4:$A$311,'Match Log'!$A$4:$A$311,'Match Log'!$D$4:$D$311,$A15,'Match Log'!$E$4:$E$311,"Loss"))),"0%")&amp;" of "&amp;(SUMPRODUCT(('Match Log'!$D$4:$D$311=$A15)*('Match Log'!$E$4:$E$311="Win")*COUNTIFS('Match Log'!$A$4:$A$311,'Match Log'!$A$4:$A$311,'Match Log'!$D$4:$D$311,L$4,'Match Log'!$E$4:$E$311,"Loss"))+SUMPRODUCT(('Match Log'!$D$4:$D$311=L$4)*('Match Log'!$E$4:$E$311="Win")*COUNTIFS('Match Log'!$A$4:$A$311,'Match Log'!$A$4:$A$311,'Match Log'!$D$4:$D$311,$A15,'Match Log'!$E$4:$E$311,"Loss")))))</f>
        <v>—</v>
      </c>
      <c r="M15" s="54" t="str">
        <f>IF($A15=M$4,"—",IF((SUMPRODUCT(('Match Log'!$D$4:$D$311=$A15)*('Match Log'!$E$4:$E$311="Win")*COUNTIFS('Match Log'!$A$4:$A$311,'Match Log'!$A$4:$A$311,'Match Log'!$D$4:$D$311,M$4,'Match Log'!$E$4:$E$311,"Loss"))+SUMPRODUCT(('Match Log'!$D$4:$D$311=M$4)*('Match Log'!$E$4:$E$311="Win")*COUNTIFS('Match Log'!$A$4:$A$311,'Match Log'!$A$4:$A$311,'Match Log'!$D$4:$D$311,$A15,'Match Log'!$E$4:$E$311,"Loss")))=0,"",TEXT(SUMPRODUCT(('Match Log'!$D$4:$D$311=$A15)*('Match Log'!$E$4:$E$311="Win")*COUNTIFS('Match Log'!$A$4:$A$311,'Match Log'!$A$4:$A$311,'Match Log'!$D$4:$D$311,M$4,'Match Log'!$E$4:$E$311,"Loss"))/(SUMPRODUCT(('Match Log'!$D$4:$D$311=$A15)*('Match Log'!$E$4:$E$311="Win")*COUNTIFS('Match Log'!$A$4:$A$311,'Match Log'!$A$4:$A$311,'Match Log'!$D$4:$D$311,M$4,'Match Log'!$E$4:$E$311,"Loss"))+SUMPRODUCT(('Match Log'!$D$4:$D$311=M$4)*('Match Log'!$E$4:$E$311="Win")*COUNTIFS('Match Log'!$A$4:$A$311,'Match Log'!$A$4:$A$311,'Match Log'!$D$4:$D$311,$A15,'Match Log'!$E$4:$E$311,"Loss"))),"0%")&amp;" of "&amp;(SUMPRODUCT(('Match Log'!$D$4:$D$311=$A15)*('Match Log'!$E$4:$E$311="Win")*COUNTIFS('Match Log'!$A$4:$A$311,'Match Log'!$A$4:$A$311,'Match Log'!$D$4:$D$311,M$4,'Match Log'!$E$4:$E$311,"Loss"))+SUMPRODUCT(('Match Log'!$D$4:$D$311=M$4)*('Match Log'!$E$4:$E$311="Win")*COUNTIFS('Match Log'!$A$4:$A$311,'Match Log'!$A$4:$A$311,'Match Log'!$D$4:$D$311,$A15,'Match Log'!$E$4:$E$311,"Loss")))))</f>
        <v>100% of 1</v>
      </c>
      <c r="N15" s="54" t="str">
        <f>IF($A15=N$4,"—",IF((SUMPRODUCT(('Match Log'!$D$4:$D$311=$A15)*('Match Log'!$E$4:$E$311="Win")*COUNTIFS('Match Log'!$A$4:$A$311,'Match Log'!$A$4:$A$311,'Match Log'!$D$4:$D$311,N$4,'Match Log'!$E$4:$E$311,"Loss"))+SUMPRODUCT(('Match Log'!$D$4:$D$311=N$4)*('Match Log'!$E$4:$E$311="Win")*COUNTIFS('Match Log'!$A$4:$A$311,'Match Log'!$A$4:$A$311,'Match Log'!$D$4:$D$311,$A15,'Match Log'!$E$4:$E$311,"Loss")))=0,"",TEXT(SUMPRODUCT(('Match Log'!$D$4:$D$311=$A15)*('Match Log'!$E$4:$E$311="Win")*COUNTIFS('Match Log'!$A$4:$A$311,'Match Log'!$A$4:$A$311,'Match Log'!$D$4:$D$311,N$4,'Match Log'!$E$4:$E$311,"Loss"))/(SUMPRODUCT(('Match Log'!$D$4:$D$311=$A15)*('Match Log'!$E$4:$E$311="Win")*COUNTIFS('Match Log'!$A$4:$A$311,'Match Log'!$A$4:$A$311,'Match Log'!$D$4:$D$311,N$4,'Match Log'!$E$4:$E$311,"Loss"))+SUMPRODUCT(('Match Log'!$D$4:$D$311=N$4)*('Match Log'!$E$4:$E$311="Win")*COUNTIFS('Match Log'!$A$4:$A$311,'Match Log'!$A$4:$A$311,'Match Log'!$D$4:$D$311,$A15,'Match Log'!$E$4:$E$311,"Loss"))),"0%")&amp;" of "&amp;(SUMPRODUCT(('Match Log'!$D$4:$D$311=$A15)*('Match Log'!$E$4:$E$311="Win")*COUNTIFS('Match Log'!$A$4:$A$311,'Match Log'!$A$4:$A$311,'Match Log'!$D$4:$D$311,N$4,'Match Log'!$E$4:$E$311,"Loss"))+SUMPRODUCT(('Match Log'!$D$4:$D$311=N$4)*('Match Log'!$E$4:$E$311="Win")*COUNTIFS('Match Log'!$A$4:$A$311,'Match Log'!$A$4:$A$311,'Match Log'!$D$4:$D$311,$A15,'Match Log'!$E$4:$E$311,"Loss")))))</f>
        <v>50% of 2</v>
      </c>
      <c r="O15" s="54" t="str">
        <f>IF($A15=O$4,"—",IF((SUMPRODUCT(('Match Log'!$D$4:$D$311=$A15)*('Match Log'!$E$4:$E$311="Win")*COUNTIFS('Match Log'!$A$4:$A$311,'Match Log'!$A$4:$A$311,'Match Log'!$D$4:$D$311,O$4,'Match Log'!$E$4:$E$311,"Loss"))+SUMPRODUCT(('Match Log'!$D$4:$D$311=O$4)*('Match Log'!$E$4:$E$311="Win")*COUNTIFS('Match Log'!$A$4:$A$311,'Match Log'!$A$4:$A$311,'Match Log'!$D$4:$D$311,$A15,'Match Log'!$E$4:$E$311,"Loss")))=0,"",TEXT(SUMPRODUCT(('Match Log'!$D$4:$D$311=$A15)*('Match Log'!$E$4:$E$311="Win")*COUNTIFS('Match Log'!$A$4:$A$311,'Match Log'!$A$4:$A$311,'Match Log'!$D$4:$D$311,O$4,'Match Log'!$E$4:$E$311,"Loss"))/(SUMPRODUCT(('Match Log'!$D$4:$D$311=$A15)*('Match Log'!$E$4:$E$311="Win")*COUNTIFS('Match Log'!$A$4:$A$311,'Match Log'!$A$4:$A$311,'Match Log'!$D$4:$D$311,O$4,'Match Log'!$E$4:$E$311,"Loss"))+SUMPRODUCT(('Match Log'!$D$4:$D$311=O$4)*('Match Log'!$E$4:$E$311="Win")*COUNTIFS('Match Log'!$A$4:$A$311,'Match Log'!$A$4:$A$311,'Match Log'!$D$4:$D$311,$A15,'Match Log'!$E$4:$E$311,"Loss"))),"0%")&amp;" of "&amp;(SUMPRODUCT(('Match Log'!$D$4:$D$311=$A15)*('Match Log'!$E$4:$E$311="Win")*COUNTIFS('Match Log'!$A$4:$A$311,'Match Log'!$A$4:$A$311,'Match Log'!$D$4:$D$311,O$4,'Match Log'!$E$4:$E$311,"Loss"))+SUMPRODUCT(('Match Log'!$D$4:$D$311=O$4)*('Match Log'!$E$4:$E$311="Win")*COUNTIFS('Match Log'!$A$4:$A$311,'Match Log'!$A$4:$A$311,'Match Log'!$D$4:$D$311,$A15,'Match Log'!$E$4:$E$311,"Loss")))))</f>
        <v/>
      </c>
    </row>
    <row r="16" spans="1:15" ht="15" customHeight="1" x14ac:dyDescent="0.2">
      <c r="A16" s="49" t="s">
        <v>178</v>
      </c>
      <c r="B16" s="54" t="str">
        <f>IF($A16=B$4,"—",IF((SUMPRODUCT(('Match Log'!$D$4:$D$311=$A16)*('Match Log'!$E$4:$E$311="Win")*COUNTIFS('Match Log'!$A$4:$A$311,'Match Log'!$A$4:$A$311,'Match Log'!$D$4:$D$311,B$4,'Match Log'!$E$4:$E$311,"Loss"))+SUMPRODUCT(('Match Log'!$D$4:$D$311=B$4)*('Match Log'!$E$4:$E$311="Win")*COUNTIFS('Match Log'!$A$4:$A$311,'Match Log'!$A$4:$A$311,'Match Log'!$D$4:$D$311,$A16,'Match Log'!$E$4:$E$311,"Loss")))=0,"",TEXT(SUMPRODUCT(('Match Log'!$D$4:$D$311=$A16)*('Match Log'!$E$4:$E$311="Win")*COUNTIFS('Match Log'!$A$4:$A$311,'Match Log'!$A$4:$A$311,'Match Log'!$D$4:$D$311,B$4,'Match Log'!$E$4:$E$311,"Loss"))/(SUMPRODUCT(('Match Log'!$D$4:$D$311=$A16)*('Match Log'!$E$4:$E$311="Win")*COUNTIFS('Match Log'!$A$4:$A$311,'Match Log'!$A$4:$A$311,'Match Log'!$D$4:$D$311,B$4,'Match Log'!$E$4:$E$311,"Loss"))+SUMPRODUCT(('Match Log'!$D$4:$D$311=B$4)*('Match Log'!$E$4:$E$311="Win")*COUNTIFS('Match Log'!$A$4:$A$311,'Match Log'!$A$4:$A$311,'Match Log'!$D$4:$D$311,$A16,'Match Log'!$E$4:$E$311,"Loss"))),"0%")&amp;" of "&amp;(SUMPRODUCT(('Match Log'!$D$4:$D$311=$A16)*('Match Log'!$E$4:$E$311="Win")*COUNTIFS('Match Log'!$A$4:$A$311,'Match Log'!$A$4:$A$311,'Match Log'!$D$4:$D$311,B$4,'Match Log'!$E$4:$E$311,"Loss"))+SUMPRODUCT(('Match Log'!$D$4:$D$311=B$4)*('Match Log'!$E$4:$E$311="Win")*COUNTIFS('Match Log'!$A$4:$A$311,'Match Log'!$A$4:$A$311,'Match Log'!$D$4:$D$311,$A16,'Match Log'!$E$4:$E$311,"Loss")))))</f>
        <v>100% of 1</v>
      </c>
      <c r="C16" s="54" t="str">
        <f>IF($A16=C$4,"—",IF((SUMPRODUCT(('Match Log'!$D$4:$D$311=$A16)*('Match Log'!$E$4:$E$311="Win")*COUNTIFS('Match Log'!$A$4:$A$311,'Match Log'!$A$4:$A$311,'Match Log'!$D$4:$D$311,C$4,'Match Log'!$E$4:$E$311,"Loss"))+SUMPRODUCT(('Match Log'!$D$4:$D$311=C$4)*('Match Log'!$E$4:$E$311="Win")*COUNTIFS('Match Log'!$A$4:$A$311,'Match Log'!$A$4:$A$311,'Match Log'!$D$4:$D$311,$A16,'Match Log'!$E$4:$E$311,"Loss")))=0,"",TEXT(SUMPRODUCT(('Match Log'!$D$4:$D$311=$A16)*('Match Log'!$E$4:$E$311="Win")*COUNTIFS('Match Log'!$A$4:$A$311,'Match Log'!$A$4:$A$311,'Match Log'!$D$4:$D$311,C$4,'Match Log'!$E$4:$E$311,"Loss"))/(SUMPRODUCT(('Match Log'!$D$4:$D$311=$A16)*('Match Log'!$E$4:$E$311="Win")*COUNTIFS('Match Log'!$A$4:$A$311,'Match Log'!$A$4:$A$311,'Match Log'!$D$4:$D$311,C$4,'Match Log'!$E$4:$E$311,"Loss"))+SUMPRODUCT(('Match Log'!$D$4:$D$311=C$4)*('Match Log'!$E$4:$E$311="Win")*COUNTIFS('Match Log'!$A$4:$A$311,'Match Log'!$A$4:$A$311,'Match Log'!$D$4:$D$311,$A16,'Match Log'!$E$4:$E$311,"Loss"))),"0%")&amp;" of "&amp;(SUMPRODUCT(('Match Log'!$D$4:$D$311=$A16)*('Match Log'!$E$4:$E$311="Win")*COUNTIFS('Match Log'!$A$4:$A$311,'Match Log'!$A$4:$A$311,'Match Log'!$D$4:$D$311,C$4,'Match Log'!$E$4:$E$311,"Loss"))+SUMPRODUCT(('Match Log'!$D$4:$D$311=C$4)*('Match Log'!$E$4:$E$311="Win")*COUNTIFS('Match Log'!$A$4:$A$311,'Match Log'!$A$4:$A$311,'Match Log'!$D$4:$D$311,$A16,'Match Log'!$E$4:$E$311,"Loss")))))</f>
        <v>100% of 1</v>
      </c>
      <c r="D16" s="54" t="str">
        <f>IF($A16=D$4,"—",IF((SUMPRODUCT(('Match Log'!$D$4:$D$311=$A16)*('Match Log'!$E$4:$E$311="Win")*COUNTIFS('Match Log'!$A$4:$A$311,'Match Log'!$A$4:$A$311,'Match Log'!$D$4:$D$311,D$4,'Match Log'!$E$4:$E$311,"Loss"))+SUMPRODUCT(('Match Log'!$D$4:$D$311=D$4)*('Match Log'!$E$4:$E$311="Win")*COUNTIFS('Match Log'!$A$4:$A$311,'Match Log'!$A$4:$A$311,'Match Log'!$D$4:$D$311,$A16,'Match Log'!$E$4:$E$311,"Loss")))=0,"",TEXT(SUMPRODUCT(('Match Log'!$D$4:$D$311=$A16)*('Match Log'!$E$4:$E$311="Win")*COUNTIFS('Match Log'!$A$4:$A$311,'Match Log'!$A$4:$A$311,'Match Log'!$D$4:$D$311,D$4,'Match Log'!$E$4:$E$311,"Loss"))/(SUMPRODUCT(('Match Log'!$D$4:$D$311=$A16)*('Match Log'!$E$4:$E$311="Win")*COUNTIFS('Match Log'!$A$4:$A$311,'Match Log'!$A$4:$A$311,'Match Log'!$D$4:$D$311,D$4,'Match Log'!$E$4:$E$311,"Loss"))+SUMPRODUCT(('Match Log'!$D$4:$D$311=D$4)*('Match Log'!$E$4:$E$311="Win")*COUNTIFS('Match Log'!$A$4:$A$311,'Match Log'!$A$4:$A$311,'Match Log'!$D$4:$D$311,$A16,'Match Log'!$E$4:$E$311,"Loss"))),"0%")&amp;" of "&amp;(SUMPRODUCT(('Match Log'!$D$4:$D$311=$A16)*('Match Log'!$E$4:$E$311="Win")*COUNTIFS('Match Log'!$A$4:$A$311,'Match Log'!$A$4:$A$311,'Match Log'!$D$4:$D$311,D$4,'Match Log'!$E$4:$E$311,"Loss"))+SUMPRODUCT(('Match Log'!$D$4:$D$311=D$4)*('Match Log'!$E$4:$E$311="Win")*COUNTIFS('Match Log'!$A$4:$A$311,'Match Log'!$A$4:$A$311,'Match Log'!$D$4:$D$311,$A16,'Match Log'!$E$4:$E$311,"Loss")))))</f>
        <v/>
      </c>
      <c r="E16" s="54" t="str">
        <f>IF($A16=E$4,"—",IF((SUMPRODUCT(('Match Log'!$D$4:$D$311=$A16)*('Match Log'!$E$4:$E$311="Win")*COUNTIFS('Match Log'!$A$4:$A$311,'Match Log'!$A$4:$A$311,'Match Log'!$D$4:$D$311,E$4,'Match Log'!$E$4:$E$311,"Loss"))+SUMPRODUCT(('Match Log'!$D$4:$D$311=E$4)*('Match Log'!$E$4:$E$311="Win")*COUNTIFS('Match Log'!$A$4:$A$311,'Match Log'!$A$4:$A$311,'Match Log'!$D$4:$D$311,$A16,'Match Log'!$E$4:$E$311,"Loss")))=0,"",TEXT(SUMPRODUCT(('Match Log'!$D$4:$D$311=$A16)*('Match Log'!$E$4:$E$311="Win")*COUNTIFS('Match Log'!$A$4:$A$311,'Match Log'!$A$4:$A$311,'Match Log'!$D$4:$D$311,E$4,'Match Log'!$E$4:$E$311,"Loss"))/(SUMPRODUCT(('Match Log'!$D$4:$D$311=$A16)*('Match Log'!$E$4:$E$311="Win")*COUNTIFS('Match Log'!$A$4:$A$311,'Match Log'!$A$4:$A$311,'Match Log'!$D$4:$D$311,E$4,'Match Log'!$E$4:$E$311,"Loss"))+SUMPRODUCT(('Match Log'!$D$4:$D$311=E$4)*('Match Log'!$E$4:$E$311="Win")*COUNTIFS('Match Log'!$A$4:$A$311,'Match Log'!$A$4:$A$311,'Match Log'!$D$4:$D$311,$A16,'Match Log'!$E$4:$E$311,"Loss"))),"0%")&amp;" of "&amp;(SUMPRODUCT(('Match Log'!$D$4:$D$311=$A16)*('Match Log'!$E$4:$E$311="Win")*COUNTIFS('Match Log'!$A$4:$A$311,'Match Log'!$A$4:$A$311,'Match Log'!$D$4:$D$311,E$4,'Match Log'!$E$4:$E$311,"Loss"))+SUMPRODUCT(('Match Log'!$D$4:$D$311=E$4)*('Match Log'!$E$4:$E$311="Win")*COUNTIFS('Match Log'!$A$4:$A$311,'Match Log'!$A$4:$A$311,'Match Log'!$D$4:$D$311,$A16,'Match Log'!$E$4:$E$311,"Loss")))))</f>
        <v/>
      </c>
      <c r="F16" s="54" t="str">
        <f>IF($A16=F$4,"—",IF((SUMPRODUCT(('Match Log'!$D$4:$D$311=$A16)*('Match Log'!$E$4:$E$311="Win")*COUNTIFS('Match Log'!$A$4:$A$311,'Match Log'!$A$4:$A$311,'Match Log'!$D$4:$D$311,F$4,'Match Log'!$E$4:$E$311,"Loss"))+SUMPRODUCT(('Match Log'!$D$4:$D$311=F$4)*('Match Log'!$E$4:$E$311="Win")*COUNTIFS('Match Log'!$A$4:$A$311,'Match Log'!$A$4:$A$311,'Match Log'!$D$4:$D$311,$A16,'Match Log'!$E$4:$E$311,"Loss")))=0,"",TEXT(SUMPRODUCT(('Match Log'!$D$4:$D$311=$A16)*('Match Log'!$E$4:$E$311="Win")*COUNTIFS('Match Log'!$A$4:$A$311,'Match Log'!$A$4:$A$311,'Match Log'!$D$4:$D$311,F$4,'Match Log'!$E$4:$E$311,"Loss"))/(SUMPRODUCT(('Match Log'!$D$4:$D$311=$A16)*('Match Log'!$E$4:$E$311="Win")*COUNTIFS('Match Log'!$A$4:$A$311,'Match Log'!$A$4:$A$311,'Match Log'!$D$4:$D$311,F$4,'Match Log'!$E$4:$E$311,"Loss"))+SUMPRODUCT(('Match Log'!$D$4:$D$311=F$4)*('Match Log'!$E$4:$E$311="Win")*COUNTIFS('Match Log'!$A$4:$A$311,'Match Log'!$A$4:$A$311,'Match Log'!$D$4:$D$311,$A16,'Match Log'!$E$4:$E$311,"Loss"))),"0%")&amp;" of "&amp;(SUMPRODUCT(('Match Log'!$D$4:$D$311=$A16)*('Match Log'!$E$4:$E$311="Win")*COUNTIFS('Match Log'!$A$4:$A$311,'Match Log'!$A$4:$A$311,'Match Log'!$D$4:$D$311,F$4,'Match Log'!$E$4:$E$311,"Loss"))+SUMPRODUCT(('Match Log'!$D$4:$D$311=F$4)*('Match Log'!$E$4:$E$311="Win")*COUNTIFS('Match Log'!$A$4:$A$311,'Match Log'!$A$4:$A$311,'Match Log'!$D$4:$D$311,$A16,'Match Log'!$E$4:$E$311,"Loss")))))</f>
        <v>100% of 1</v>
      </c>
      <c r="G16" s="54" t="str">
        <f>IF($A16=G$4,"—",IF((SUMPRODUCT(('Match Log'!$D$4:$D$311=$A16)*('Match Log'!$E$4:$E$311="Win")*COUNTIFS('Match Log'!$A$4:$A$311,'Match Log'!$A$4:$A$311,'Match Log'!$D$4:$D$311,G$4,'Match Log'!$E$4:$E$311,"Loss"))+SUMPRODUCT(('Match Log'!$D$4:$D$311=G$4)*('Match Log'!$E$4:$E$311="Win")*COUNTIFS('Match Log'!$A$4:$A$311,'Match Log'!$A$4:$A$311,'Match Log'!$D$4:$D$311,$A16,'Match Log'!$E$4:$E$311,"Loss")))=0,"",TEXT(SUMPRODUCT(('Match Log'!$D$4:$D$311=$A16)*('Match Log'!$E$4:$E$311="Win")*COUNTIFS('Match Log'!$A$4:$A$311,'Match Log'!$A$4:$A$311,'Match Log'!$D$4:$D$311,G$4,'Match Log'!$E$4:$E$311,"Loss"))/(SUMPRODUCT(('Match Log'!$D$4:$D$311=$A16)*('Match Log'!$E$4:$E$311="Win")*COUNTIFS('Match Log'!$A$4:$A$311,'Match Log'!$A$4:$A$311,'Match Log'!$D$4:$D$311,G$4,'Match Log'!$E$4:$E$311,"Loss"))+SUMPRODUCT(('Match Log'!$D$4:$D$311=G$4)*('Match Log'!$E$4:$E$311="Win")*COUNTIFS('Match Log'!$A$4:$A$311,'Match Log'!$A$4:$A$311,'Match Log'!$D$4:$D$311,$A16,'Match Log'!$E$4:$E$311,"Loss"))),"0%")&amp;" of "&amp;(SUMPRODUCT(('Match Log'!$D$4:$D$311=$A16)*('Match Log'!$E$4:$E$311="Win")*COUNTIFS('Match Log'!$A$4:$A$311,'Match Log'!$A$4:$A$311,'Match Log'!$D$4:$D$311,G$4,'Match Log'!$E$4:$E$311,"Loss"))+SUMPRODUCT(('Match Log'!$D$4:$D$311=G$4)*('Match Log'!$E$4:$E$311="Win")*COUNTIFS('Match Log'!$A$4:$A$311,'Match Log'!$A$4:$A$311,'Match Log'!$D$4:$D$311,$A16,'Match Log'!$E$4:$E$311,"Loss")))))</f>
        <v>100% of 1</v>
      </c>
      <c r="H16" s="54" t="str">
        <f>IF($A16=H$4,"—",IF((SUMPRODUCT(('Match Log'!$D$4:$D$311=$A16)*('Match Log'!$E$4:$E$311="Win")*COUNTIFS('Match Log'!$A$4:$A$311,'Match Log'!$A$4:$A$311,'Match Log'!$D$4:$D$311,H$4,'Match Log'!$E$4:$E$311,"Loss"))+SUMPRODUCT(('Match Log'!$D$4:$D$311=H$4)*('Match Log'!$E$4:$E$311="Win")*COUNTIFS('Match Log'!$A$4:$A$311,'Match Log'!$A$4:$A$311,'Match Log'!$D$4:$D$311,$A16,'Match Log'!$E$4:$E$311,"Loss")))=0,"",TEXT(SUMPRODUCT(('Match Log'!$D$4:$D$311=$A16)*('Match Log'!$E$4:$E$311="Win")*COUNTIFS('Match Log'!$A$4:$A$311,'Match Log'!$A$4:$A$311,'Match Log'!$D$4:$D$311,H$4,'Match Log'!$E$4:$E$311,"Loss"))/(SUMPRODUCT(('Match Log'!$D$4:$D$311=$A16)*('Match Log'!$E$4:$E$311="Win")*COUNTIFS('Match Log'!$A$4:$A$311,'Match Log'!$A$4:$A$311,'Match Log'!$D$4:$D$311,H$4,'Match Log'!$E$4:$E$311,"Loss"))+SUMPRODUCT(('Match Log'!$D$4:$D$311=H$4)*('Match Log'!$E$4:$E$311="Win")*COUNTIFS('Match Log'!$A$4:$A$311,'Match Log'!$A$4:$A$311,'Match Log'!$D$4:$D$311,$A16,'Match Log'!$E$4:$E$311,"Loss"))),"0%")&amp;" of "&amp;(SUMPRODUCT(('Match Log'!$D$4:$D$311=$A16)*('Match Log'!$E$4:$E$311="Win")*COUNTIFS('Match Log'!$A$4:$A$311,'Match Log'!$A$4:$A$311,'Match Log'!$D$4:$D$311,H$4,'Match Log'!$E$4:$E$311,"Loss"))+SUMPRODUCT(('Match Log'!$D$4:$D$311=H$4)*('Match Log'!$E$4:$E$311="Win")*COUNTIFS('Match Log'!$A$4:$A$311,'Match Log'!$A$4:$A$311,'Match Log'!$D$4:$D$311,$A16,'Match Log'!$E$4:$E$311,"Loss")))))</f>
        <v>0% of 1</v>
      </c>
      <c r="I16" s="54" t="str">
        <f>IF($A16=I$4,"—",IF((SUMPRODUCT(('Match Log'!$D$4:$D$311=$A16)*('Match Log'!$E$4:$E$311="Win")*COUNTIFS('Match Log'!$A$4:$A$311,'Match Log'!$A$4:$A$311,'Match Log'!$D$4:$D$311,I$4,'Match Log'!$E$4:$E$311,"Loss"))+SUMPRODUCT(('Match Log'!$D$4:$D$311=I$4)*('Match Log'!$E$4:$E$311="Win")*COUNTIFS('Match Log'!$A$4:$A$311,'Match Log'!$A$4:$A$311,'Match Log'!$D$4:$D$311,$A16,'Match Log'!$E$4:$E$311,"Loss")))=0,"",TEXT(SUMPRODUCT(('Match Log'!$D$4:$D$311=$A16)*('Match Log'!$E$4:$E$311="Win")*COUNTIFS('Match Log'!$A$4:$A$311,'Match Log'!$A$4:$A$311,'Match Log'!$D$4:$D$311,I$4,'Match Log'!$E$4:$E$311,"Loss"))/(SUMPRODUCT(('Match Log'!$D$4:$D$311=$A16)*('Match Log'!$E$4:$E$311="Win")*COUNTIFS('Match Log'!$A$4:$A$311,'Match Log'!$A$4:$A$311,'Match Log'!$D$4:$D$311,I$4,'Match Log'!$E$4:$E$311,"Loss"))+SUMPRODUCT(('Match Log'!$D$4:$D$311=I$4)*('Match Log'!$E$4:$E$311="Win")*COUNTIFS('Match Log'!$A$4:$A$311,'Match Log'!$A$4:$A$311,'Match Log'!$D$4:$D$311,$A16,'Match Log'!$E$4:$E$311,"Loss"))),"0%")&amp;" of "&amp;(SUMPRODUCT(('Match Log'!$D$4:$D$311=$A16)*('Match Log'!$E$4:$E$311="Win")*COUNTIFS('Match Log'!$A$4:$A$311,'Match Log'!$A$4:$A$311,'Match Log'!$D$4:$D$311,I$4,'Match Log'!$E$4:$E$311,"Loss"))+SUMPRODUCT(('Match Log'!$D$4:$D$311=I$4)*('Match Log'!$E$4:$E$311="Win")*COUNTIFS('Match Log'!$A$4:$A$311,'Match Log'!$A$4:$A$311,'Match Log'!$D$4:$D$311,$A16,'Match Log'!$E$4:$E$311,"Loss")))))</f>
        <v>0% of 2</v>
      </c>
      <c r="J16" s="54" t="str">
        <f>IF($A16=J$4,"—",IF((SUMPRODUCT(('Match Log'!$D$4:$D$311=$A16)*('Match Log'!$E$4:$E$311="Win")*COUNTIFS('Match Log'!$A$4:$A$311,'Match Log'!$A$4:$A$311,'Match Log'!$D$4:$D$311,J$4,'Match Log'!$E$4:$E$311,"Loss"))+SUMPRODUCT(('Match Log'!$D$4:$D$311=J$4)*('Match Log'!$E$4:$E$311="Win")*COUNTIFS('Match Log'!$A$4:$A$311,'Match Log'!$A$4:$A$311,'Match Log'!$D$4:$D$311,$A16,'Match Log'!$E$4:$E$311,"Loss")))=0,"",TEXT(SUMPRODUCT(('Match Log'!$D$4:$D$311=$A16)*('Match Log'!$E$4:$E$311="Win")*COUNTIFS('Match Log'!$A$4:$A$311,'Match Log'!$A$4:$A$311,'Match Log'!$D$4:$D$311,J$4,'Match Log'!$E$4:$E$311,"Loss"))/(SUMPRODUCT(('Match Log'!$D$4:$D$311=$A16)*('Match Log'!$E$4:$E$311="Win")*COUNTIFS('Match Log'!$A$4:$A$311,'Match Log'!$A$4:$A$311,'Match Log'!$D$4:$D$311,J$4,'Match Log'!$E$4:$E$311,"Loss"))+SUMPRODUCT(('Match Log'!$D$4:$D$311=J$4)*('Match Log'!$E$4:$E$311="Win")*COUNTIFS('Match Log'!$A$4:$A$311,'Match Log'!$A$4:$A$311,'Match Log'!$D$4:$D$311,$A16,'Match Log'!$E$4:$E$311,"Loss"))),"0%")&amp;" of "&amp;(SUMPRODUCT(('Match Log'!$D$4:$D$311=$A16)*('Match Log'!$E$4:$E$311="Win")*COUNTIFS('Match Log'!$A$4:$A$311,'Match Log'!$A$4:$A$311,'Match Log'!$D$4:$D$311,J$4,'Match Log'!$E$4:$E$311,"Loss"))+SUMPRODUCT(('Match Log'!$D$4:$D$311=J$4)*('Match Log'!$E$4:$E$311="Win")*COUNTIFS('Match Log'!$A$4:$A$311,'Match Log'!$A$4:$A$311,'Match Log'!$D$4:$D$311,$A16,'Match Log'!$E$4:$E$311,"Loss")))))</f>
        <v>0% of 2</v>
      </c>
      <c r="K16" s="54" t="str">
        <f>IF($A16=K$4,"—",IF((SUMPRODUCT(('Match Log'!$D$4:$D$311=$A16)*('Match Log'!$E$4:$E$311="Win")*COUNTIFS('Match Log'!$A$4:$A$311,'Match Log'!$A$4:$A$311,'Match Log'!$D$4:$D$311,K$4,'Match Log'!$E$4:$E$311,"Loss"))+SUMPRODUCT(('Match Log'!$D$4:$D$311=K$4)*('Match Log'!$E$4:$E$311="Win")*COUNTIFS('Match Log'!$A$4:$A$311,'Match Log'!$A$4:$A$311,'Match Log'!$D$4:$D$311,$A16,'Match Log'!$E$4:$E$311,"Loss")))=0,"",TEXT(SUMPRODUCT(('Match Log'!$D$4:$D$311=$A16)*('Match Log'!$E$4:$E$311="Win")*COUNTIFS('Match Log'!$A$4:$A$311,'Match Log'!$A$4:$A$311,'Match Log'!$D$4:$D$311,K$4,'Match Log'!$E$4:$E$311,"Loss"))/(SUMPRODUCT(('Match Log'!$D$4:$D$311=$A16)*('Match Log'!$E$4:$E$311="Win")*COUNTIFS('Match Log'!$A$4:$A$311,'Match Log'!$A$4:$A$311,'Match Log'!$D$4:$D$311,K$4,'Match Log'!$E$4:$E$311,"Loss"))+SUMPRODUCT(('Match Log'!$D$4:$D$311=K$4)*('Match Log'!$E$4:$E$311="Win")*COUNTIFS('Match Log'!$A$4:$A$311,'Match Log'!$A$4:$A$311,'Match Log'!$D$4:$D$311,$A16,'Match Log'!$E$4:$E$311,"Loss"))),"0%")&amp;" of "&amp;(SUMPRODUCT(('Match Log'!$D$4:$D$311=$A16)*('Match Log'!$E$4:$E$311="Win")*COUNTIFS('Match Log'!$A$4:$A$311,'Match Log'!$A$4:$A$311,'Match Log'!$D$4:$D$311,K$4,'Match Log'!$E$4:$E$311,"Loss"))+SUMPRODUCT(('Match Log'!$D$4:$D$311=K$4)*('Match Log'!$E$4:$E$311="Win")*COUNTIFS('Match Log'!$A$4:$A$311,'Match Log'!$A$4:$A$311,'Match Log'!$D$4:$D$311,$A16,'Match Log'!$E$4:$E$311,"Loss")))))</f>
        <v/>
      </c>
      <c r="L16" s="54" t="str">
        <f>IF($A16=L$4,"—",IF((SUMPRODUCT(('Match Log'!$D$4:$D$311=$A16)*('Match Log'!$E$4:$E$311="Win")*COUNTIFS('Match Log'!$A$4:$A$311,'Match Log'!$A$4:$A$311,'Match Log'!$D$4:$D$311,L$4,'Match Log'!$E$4:$E$311,"Loss"))+SUMPRODUCT(('Match Log'!$D$4:$D$311=L$4)*('Match Log'!$E$4:$E$311="Win")*COUNTIFS('Match Log'!$A$4:$A$311,'Match Log'!$A$4:$A$311,'Match Log'!$D$4:$D$311,$A16,'Match Log'!$E$4:$E$311,"Loss")))=0,"",TEXT(SUMPRODUCT(('Match Log'!$D$4:$D$311=$A16)*('Match Log'!$E$4:$E$311="Win")*COUNTIFS('Match Log'!$A$4:$A$311,'Match Log'!$A$4:$A$311,'Match Log'!$D$4:$D$311,L$4,'Match Log'!$E$4:$E$311,"Loss"))/(SUMPRODUCT(('Match Log'!$D$4:$D$311=$A16)*('Match Log'!$E$4:$E$311="Win")*COUNTIFS('Match Log'!$A$4:$A$311,'Match Log'!$A$4:$A$311,'Match Log'!$D$4:$D$311,L$4,'Match Log'!$E$4:$E$311,"Loss"))+SUMPRODUCT(('Match Log'!$D$4:$D$311=L$4)*('Match Log'!$E$4:$E$311="Win")*COUNTIFS('Match Log'!$A$4:$A$311,'Match Log'!$A$4:$A$311,'Match Log'!$D$4:$D$311,$A16,'Match Log'!$E$4:$E$311,"Loss"))),"0%")&amp;" of "&amp;(SUMPRODUCT(('Match Log'!$D$4:$D$311=$A16)*('Match Log'!$E$4:$E$311="Win")*COUNTIFS('Match Log'!$A$4:$A$311,'Match Log'!$A$4:$A$311,'Match Log'!$D$4:$D$311,L$4,'Match Log'!$E$4:$E$311,"Loss"))+SUMPRODUCT(('Match Log'!$D$4:$D$311=L$4)*('Match Log'!$E$4:$E$311="Win")*COUNTIFS('Match Log'!$A$4:$A$311,'Match Log'!$A$4:$A$311,'Match Log'!$D$4:$D$311,$A16,'Match Log'!$E$4:$E$311,"Loss")))))</f>
        <v>0% of 1</v>
      </c>
      <c r="M16" s="54" t="str">
        <f>IF($A16=M$4,"—",IF((SUMPRODUCT(('Match Log'!$D$4:$D$311=$A16)*('Match Log'!$E$4:$E$311="Win")*COUNTIFS('Match Log'!$A$4:$A$311,'Match Log'!$A$4:$A$311,'Match Log'!$D$4:$D$311,M$4,'Match Log'!$E$4:$E$311,"Loss"))+SUMPRODUCT(('Match Log'!$D$4:$D$311=M$4)*('Match Log'!$E$4:$E$311="Win")*COUNTIFS('Match Log'!$A$4:$A$311,'Match Log'!$A$4:$A$311,'Match Log'!$D$4:$D$311,$A16,'Match Log'!$E$4:$E$311,"Loss")))=0,"",TEXT(SUMPRODUCT(('Match Log'!$D$4:$D$311=$A16)*('Match Log'!$E$4:$E$311="Win")*COUNTIFS('Match Log'!$A$4:$A$311,'Match Log'!$A$4:$A$311,'Match Log'!$D$4:$D$311,M$4,'Match Log'!$E$4:$E$311,"Loss"))/(SUMPRODUCT(('Match Log'!$D$4:$D$311=$A16)*('Match Log'!$E$4:$E$311="Win")*COUNTIFS('Match Log'!$A$4:$A$311,'Match Log'!$A$4:$A$311,'Match Log'!$D$4:$D$311,M$4,'Match Log'!$E$4:$E$311,"Loss"))+SUMPRODUCT(('Match Log'!$D$4:$D$311=M$4)*('Match Log'!$E$4:$E$311="Win")*COUNTIFS('Match Log'!$A$4:$A$311,'Match Log'!$A$4:$A$311,'Match Log'!$D$4:$D$311,$A16,'Match Log'!$E$4:$E$311,"Loss"))),"0%")&amp;" of "&amp;(SUMPRODUCT(('Match Log'!$D$4:$D$311=$A16)*('Match Log'!$E$4:$E$311="Win")*COUNTIFS('Match Log'!$A$4:$A$311,'Match Log'!$A$4:$A$311,'Match Log'!$D$4:$D$311,M$4,'Match Log'!$E$4:$E$311,"Loss"))+SUMPRODUCT(('Match Log'!$D$4:$D$311=M$4)*('Match Log'!$E$4:$E$311="Win")*COUNTIFS('Match Log'!$A$4:$A$311,'Match Log'!$A$4:$A$311,'Match Log'!$D$4:$D$311,$A16,'Match Log'!$E$4:$E$311,"Loss")))))</f>
        <v>—</v>
      </c>
      <c r="N16" s="54" t="str">
        <f>IF($A16=N$4,"—",IF((SUMPRODUCT(('Match Log'!$D$4:$D$311=$A16)*('Match Log'!$E$4:$E$311="Win")*COUNTIFS('Match Log'!$A$4:$A$311,'Match Log'!$A$4:$A$311,'Match Log'!$D$4:$D$311,N$4,'Match Log'!$E$4:$E$311,"Loss"))+SUMPRODUCT(('Match Log'!$D$4:$D$311=N$4)*('Match Log'!$E$4:$E$311="Win")*COUNTIFS('Match Log'!$A$4:$A$311,'Match Log'!$A$4:$A$311,'Match Log'!$D$4:$D$311,$A16,'Match Log'!$E$4:$E$311,"Loss")))=0,"",TEXT(SUMPRODUCT(('Match Log'!$D$4:$D$311=$A16)*('Match Log'!$E$4:$E$311="Win")*COUNTIFS('Match Log'!$A$4:$A$311,'Match Log'!$A$4:$A$311,'Match Log'!$D$4:$D$311,N$4,'Match Log'!$E$4:$E$311,"Loss"))/(SUMPRODUCT(('Match Log'!$D$4:$D$311=$A16)*('Match Log'!$E$4:$E$311="Win")*COUNTIFS('Match Log'!$A$4:$A$311,'Match Log'!$A$4:$A$311,'Match Log'!$D$4:$D$311,N$4,'Match Log'!$E$4:$E$311,"Loss"))+SUMPRODUCT(('Match Log'!$D$4:$D$311=N$4)*('Match Log'!$E$4:$E$311="Win")*COUNTIFS('Match Log'!$A$4:$A$311,'Match Log'!$A$4:$A$311,'Match Log'!$D$4:$D$311,$A16,'Match Log'!$E$4:$E$311,"Loss"))),"0%")&amp;" of "&amp;(SUMPRODUCT(('Match Log'!$D$4:$D$311=$A16)*('Match Log'!$E$4:$E$311="Win")*COUNTIFS('Match Log'!$A$4:$A$311,'Match Log'!$A$4:$A$311,'Match Log'!$D$4:$D$311,N$4,'Match Log'!$E$4:$E$311,"Loss"))+SUMPRODUCT(('Match Log'!$D$4:$D$311=N$4)*('Match Log'!$E$4:$E$311="Win")*COUNTIFS('Match Log'!$A$4:$A$311,'Match Log'!$A$4:$A$311,'Match Log'!$D$4:$D$311,$A16,'Match Log'!$E$4:$E$311,"Loss")))))</f>
        <v/>
      </c>
      <c r="O16" s="54" t="str">
        <f>IF($A16=O$4,"—",IF((SUMPRODUCT(('Match Log'!$D$4:$D$311=$A16)*('Match Log'!$E$4:$E$311="Win")*COUNTIFS('Match Log'!$A$4:$A$311,'Match Log'!$A$4:$A$311,'Match Log'!$D$4:$D$311,O$4,'Match Log'!$E$4:$E$311,"Loss"))+SUMPRODUCT(('Match Log'!$D$4:$D$311=O$4)*('Match Log'!$E$4:$E$311="Win")*COUNTIFS('Match Log'!$A$4:$A$311,'Match Log'!$A$4:$A$311,'Match Log'!$D$4:$D$311,$A16,'Match Log'!$E$4:$E$311,"Loss")))=0,"",TEXT(SUMPRODUCT(('Match Log'!$D$4:$D$311=$A16)*('Match Log'!$E$4:$E$311="Win")*COUNTIFS('Match Log'!$A$4:$A$311,'Match Log'!$A$4:$A$311,'Match Log'!$D$4:$D$311,O$4,'Match Log'!$E$4:$E$311,"Loss"))/(SUMPRODUCT(('Match Log'!$D$4:$D$311=$A16)*('Match Log'!$E$4:$E$311="Win")*COUNTIFS('Match Log'!$A$4:$A$311,'Match Log'!$A$4:$A$311,'Match Log'!$D$4:$D$311,O$4,'Match Log'!$E$4:$E$311,"Loss"))+SUMPRODUCT(('Match Log'!$D$4:$D$311=O$4)*('Match Log'!$E$4:$E$311="Win")*COUNTIFS('Match Log'!$A$4:$A$311,'Match Log'!$A$4:$A$311,'Match Log'!$D$4:$D$311,$A16,'Match Log'!$E$4:$E$311,"Loss"))),"0%")&amp;" of "&amp;(SUMPRODUCT(('Match Log'!$D$4:$D$311=$A16)*('Match Log'!$E$4:$E$311="Win")*COUNTIFS('Match Log'!$A$4:$A$311,'Match Log'!$A$4:$A$311,'Match Log'!$D$4:$D$311,O$4,'Match Log'!$E$4:$E$311,"Loss"))+SUMPRODUCT(('Match Log'!$D$4:$D$311=O$4)*('Match Log'!$E$4:$E$311="Win")*COUNTIFS('Match Log'!$A$4:$A$311,'Match Log'!$A$4:$A$311,'Match Log'!$D$4:$D$311,$A16,'Match Log'!$E$4:$E$311,"Loss")))))</f>
        <v/>
      </c>
    </row>
    <row r="17" spans="1:15" ht="15" customHeight="1" x14ac:dyDescent="0.2">
      <c r="A17" s="49" t="s">
        <v>179</v>
      </c>
      <c r="B17" s="54" t="str">
        <f>IF($A17=B$4,"—",IF((SUMPRODUCT(('Match Log'!$D$4:$D$311=$A17)*('Match Log'!$E$4:$E$311="Win")*COUNTIFS('Match Log'!$A$4:$A$311,'Match Log'!$A$4:$A$311,'Match Log'!$D$4:$D$311,B$4,'Match Log'!$E$4:$E$311,"Loss"))+SUMPRODUCT(('Match Log'!$D$4:$D$311=B$4)*('Match Log'!$E$4:$E$311="Win")*COUNTIFS('Match Log'!$A$4:$A$311,'Match Log'!$A$4:$A$311,'Match Log'!$D$4:$D$311,$A17,'Match Log'!$E$4:$E$311,"Loss")))=0,"",TEXT(SUMPRODUCT(('Match Log'!$D$4:$D$311=$A17)*('Match Log'!$E$4:$E$311="Win")*COUNTIFS('Match Log'!$A$4:$A$311,'Match Log'!$A$4:$A$311,'Match Log'!$D$4:$D$311,B$4,'Match Log'!$E$4:$E$311,"Loss"))/(SUMPRODUCT(('Match Log'!$D$4:$D$311=$A17)*('Match Log'!$E$4:$E$311="Win")*COUNTIFS('Match Log'!$A$4:$A$311,'Match Log'!$A$4:$A$311,'Match Log'!$D$4:$D$311,B$4,'Match Log'!$E$4:$E$311,"Loss"))+SUMPRODUCT(('Match Log'!$D$4:$D$311=B$4)*('Match Log'!$E$4:$E$311="Win")*COUNTIFS('Match Log'!$A$4:$A$311,'Match Log'!$A$4:$A$311,'Match Log'!$D$4:$D$311,$A17,'Match Log'!$E$4:$E$311,"Loss"))),"0%")&amp;" of "&amp;(SUMPRODUCT(('Match Log'!$D$4:$D$311=$A17)*('Match Log'!$E$4:$E$311="Win")*COUNTIFS('Match Log'!$A$4:$A$311,'Match Log'!$A$4:$A$311,'Match Log'!$D$4:$D$311,B$4,'Match Log'!$E$4:$E$311,"Loss"))+SUMPRODUCT(('Match Log'!$D$4:$D$311=B$4)*('Match Log'!$E$4:$E$311="Win")*COUNTIFS('Match Log'!$A$4:$A$311,'Match Log'!$A$4:$A$311,'Match Log'!$D$4:$D$311,$A17,'Match Log'!$E$4:$E$311,"Loss")))))</f>
        <v/>
      </c>
      <c r="C17" s="54" t="str">
        <f>IF($A17=C$4,"—",IF((SUMPRODUCT(('Match Log'!$D$4:$D$311=$A17)*('Match Log'!$E$4:$E$311="Win")*COUNTIFS('Match Log'!$A$4:$A$311,'Match Log'!$A$4:$A$311,'Match Log'!$D$4:$D$311,C$4,'Match Log'!$E$4:$E$311,"Loss"))+SUMPRODUCT(('Match Log'!$D$4:$D$311=C$4)*('Match Log'!$E$4:$E$311="Win")*COUNTIFS('Match Log'!$A$4:$A$311,'Match Log'!$A$4:$A$311,'Match Log'!$D$4:$D$311,$A17,'Match Log'!$E$4:$E$311,"Loss")))=0,"",TEXT(SUMPRODUCT(('Match Log'!$D$4:$D$311=$A17)*('Match Log'!$E$4:$E$311="Win")*COUNTIFS('Match Log'!$A$4:$A$311,'Match Log'!$A$4:$A$311,'Match Log'!$D$4:$D$311,C$4,'Match Log'!$E$4:$E$311,"Loss"))/(SUMPRODUCT(('Match Log'!$D$4:$D$311=$A17)*('Match Log'!$E$4:$E$311="Win")*COUNTIFS('Match Log'!$A$4:$A$311,'Match Log'!$A$4:$A$311,'Match Log'!$D$4:$D$311,C$4,'Match Log'!$E$4:$E$311,"Loss"))+SUMPRODUCT(('Match Log'!$D$4:$D$311=C$4)*('Match Log'!$E$4:$E$311="Win")*COUNTIFS('Match Log'!$A$4:$A$311,'Match Log'!$A$4:$A$311,'Match Log'!$D$4:$D$311,$A17,'Match Log'!$E$4:$E$311,"Loss"))),"0%")&amp;" of "&amp;(SUMPRODUCT(('Match Log'!$D$4:$D$311=$A17)*('Match Log'!$E$4:$E$311="Win")*COUNTIFS('Match Log'!$A$4:$A$311,'Match Log'!$A$4:$A$311,'Match Log'!$D$4:$D$311,C$4,'Match Log'!$E$4:$E$311,"Loss"))+SUMPRODUCT(('Match Log'!$D$4:$D$311=C$4)*('Match Log'!$E$4:$E$311="Win")*COUNTIFS('Match Log'!$A$4:$A$311,'Match Log'!$A$4:$A$311,'Match Log'!$D$4:$D$311,$A17,'Match Log'!$E$4:$E$311,"Loss")))))</f>
        <v/>
      </c>
      <c r="D17" s="54" t="str">
        <f>IF($A17=D$4,"—",IF((SUMPRODUCT(('Match Log'!$D$4:$D$311=$A17)*('Match Log'!$E$4:$E$311="Win")*COUNTIFS('Match Log'!$A$4:$A$311,'Match Log'!$A$4:$A$311,'Match Log'!$D$4:$D$311,D$4,'Match Log'!$E$4:$E$311,"Loss"))+SUMPRODUCT(('Match Log'!$D$4:$D$311=D$4)*('Match Log'!$E$4:$E$311="Win")*COUNTIFS('Match Log'!$A$4:$A$311,'Match Log'!$A$4:$A$311,'Match Log'!$D$4:$D$311,$A17,'Match Log'!$E$4:$E$311,"Loss")))=0,"",TEXT(SUMPRODUCT(('Match Log'!$D$4:$D$311=$A17)*('Match Log'!$E$4:$E$311="Win")*COUNTIFS('Match Log'!$A$4:$A$311,'Match Log'!$A$4:$A$311,'Match Log'!$D$4:$D$311,D$4,'Match Log'!$E$4:$E$311,"Loss"))/(SUMPRODUCT(('Match Log'!$D$4:$D$311=$A17)*('Match Log'!$E$4:$E$311="Win")*COUNTIFS('Match Log'!$A$4:$A$311,'Match Log'!$A$4:$A$311,'Match Log'!$D$4:$D$311,D$4,'Match Log'!$E$4:$E$311,"Loss"))+SUMPRODUCT(('Match Log'!$D$4:$D$311=D$4)*('Match Log'!$E$4:$E$311="Win")*COUNTIFS('Match Log'!$A$4:$A$311,'Match Log'!$A$4:$A$311,'Match Log'!$D$4:$D$311,$A17,'Match Log'!$E$4:$E$311,"Loss"))),"0%")&amp;" of "&amp;(SUMPRODUCT(('Match Log'!$D$4:$D$311=$A17)*('Match Log'!$E$4:$E$311="Win")*COUNTIFS('Match Log'!$A$4:$A$311,'Match Log'!$A$4:$A$311,'Match Log'!$D$4:$D$311,D$4,'Match Log'!$E$4:$E$311,"Loss"))+SUMPRODUCT(('Match Log'!$D$4:$D$311=D$4)*('Match Log'!$E$4:$E$311="Win")*COUNTIFS('Match Log'!$A$4:$A$311,'Match Log'!$A$4:$A$311,'Match Log'!$D$4:$D$311,$A17,'Match Log'!$E$4:$E$311,"Loss")))))</f>
        <v/>
      </c>
      <c r="E17" s="54" t="str">
        <f>IF($A17=E$4,"—",IF((SUMPRODUCT(('Match Log'!$D$4:$D$311=$A17)*('Match Log'!$E$4:$E$311="Win")*COUNTIFS('Match Log'!$A$4:$A$311,'Match Log'!$A$4:$A$311,'Match Log'!$D$4:$D$311,E$4,'Match Log'!$E$4:$E$311,"Loss"))+SUMPRODUCT(('Match Log'!$D$4:$D$311=E$4)*('Match Log'!$E$4:$E$311="Win")*COUNTIFS('Match Log'!$A$4:$A$311,'Match Log'!$A$4:$A$311,'Match Log'!$D$4:$D$311,$A17,'Match Log'!$E$4:$E$311,"Loss")))=0,"",TEXT(SUMPRODUCT(('Match Log'!$D$4:$D$311=$A17)*('Match Log'!$E$4:$E$311="Win")*COUNTIFS('Match Log'!$A$4:$A$311,'Match Log'!$A$4:$A$311,'Match Log'!$D$4:$D$311,E$4,'Match Log'!$E$4:$E$311,"Loss"))/(SUMPRODUCT(('Match Log'!$D$4:$D$311=$A17)*('Match Log'!$E$4:$E$311="Win")*COUNTIFS('Match Log'!$A$4:$A$311,'Match Log'!$A$4:$A$311,'Match Log'!$D$4:$D$311,E$4,'Match Log'!$E$4:$E$311,"Loss"))+SUMPRODUCT(('Match Log'!$D$4:$D$311=E$4)*('Match Log'!$E$4:$E$311="Win")*COUNTIFS('Match Log'!$A$4:$A$311,'Match Log'!$A$4:$A$311,'Match Log'!$D$4:$D$311,$A17,'Match Log'!$E$4:$E$311,"Loss"))),"0%")&amp;" of "&amp;(SUMPRODUCT(('Match Log'!$D$4:$D$311=$A17)*('Match Log'!$E$4:$E$311="Win")*COUNTIFS('Match Log'!$A$4:$A$311,'Match Log'!$A$4:$A$311,'Match Log'!$D$4:$D$311,E$4,'Match Log'!$E$4:$E$311,"Loss"))+SUMPRODUCT(('Match Log'!$D$4:$D$311=E$4)*('Match Log'!$E$4:$E$311="Win")*COUNTIFS('Match Log'!$A$4:$A$311,'Match Log'!$A$4:$A$311,'Match Log'!$D$4:$D$311,$A17,'Match Log'!$E$4:$E$311,"Loss")))))</f>
        <v/>
      </c>
      <c r="F17" s="54" t="str">
        <f>IF($A17=F$4,"—",IF((SUMPRODUCT(('Match Log'!$D$4:$D$311=$A17)*('Match Log'!$E$4:$E$311="Win")*COUNTIFS('Match Log'!$A$4:$A$311,'Match Log'!$A$4:$A$311,'Match Log'!$D$4:$D$311,F$4,'Match Log'!$E$4:$E$311,"Loss"))+SUMPRODUCT(('Match Log'!$D$4:$D$311=F$4)*('Match Log'!$E$4:$E$311="Win")*COUNTIFS('Match Log'!$A$4:$A$311,'Match Log'!$A$4:$A$311,'Match Log'!$D$4:$D$311,$A17,'Match Log'!$E$4:$E$311,"Loss")))=0,"",TEXT(SUMPRODUCT(('Match Log'!$D$4:$D$311=$A17)*('Match Log'!$E$4:$E$311="Win")*COUNTIFS('Match Log'!$A$4:$A$311,'Match Log'!$A$4:$A$311,'Match Log'!$D$4:$D$311,F$4,'Match Log'!$E$4:$E$311,"Loss"))/(SUMPRODUCT(('Match Log'!$D$4:$D$311=$A17)*('Match Log'!$E$4:$E$311="Win")*COUNTIFS('Match Log'!$A$4:$A$311,'Match Log'!$A$4:$A$311,'Match Log'!$D$4:$D$311,F$4,'Match Log'!$E$4:$E$311,"Loss"))+SUMPRODUCT(('Match Log'!$D$4:$D$311=F$4)*('Match Log'!$E$4:$E$311="Win")*COUNTIFS('Match Log'!$A$4:$A$311,'Match Log'!$A$4:$A$311,'Match Log'!$D$4:$D$311,$A17,'Match Log'!$E$4:$E$311,"Loss"))),"0%")&amp;" of "&amp;(SUMPRODUCT(('Match Log'!$D$4:$D$311=$A17)*('Match Log'!$E$4:$E$311="Win")*COUNTIFS('Match Log'!$A$4:$A$311,'Match Log'!$A$4:$A$311,'Match Log'!$D$4:$D$311,F$4,'Match Log'!$E$4:$E$311,"Loss"))+SUMPRODUCT(('Match Log'!$D$4:$D$311=F$4)*('Match Log'!$E$4:$E$311="Win")*COUNTIFS('Match Log'!$A$4:$A$311,'Match Log'!$A$4:$A$311,'Match Log'!$D$4:$D$311,$A17,'Match Log'!$E$4:$E$311,"Loss")))))</f>
        <v>0% of 1</v>
      </c>
      <c r="G17" s="54" t="str">
        <f>IF($A17=G$4,"—",IF((SUMPRODUCT(('Match Log'!$D$4:$D$311=$A17)*('Match Log'!$E$4:$E$311="Win")*COUNTIFS('Match Log'!$A$4:$A$311,'Match Log'!$A$4:$A$311,'Match Log'!$D$4:$D$311,G$4,'Match Log'!$E$4:$E$311,"Loss"))+SUMPRODUCT(('Match Log'!$D$4:$D$311=G$4)*('Match Log'!$E$4:$E$311="Win")*COUNTIFS('Match Log'!$A$4:$A$311,'Match Log'!$A$4:$A$311,'Match Log'!$D$4:$D$311,$A17,'Match Log'!$E$4:$E$311,"Loss")))=0,"",TEXT(SUMPRODUCT(('Match Log'!$D$4:$D$311=$A17)*('Match Log'!$E$4:$E$311="Win")*COUNTIFS('Match Log'!$A$4:$A$311,'Match Log'!$A$4:$A$311,'Match Log'!$D$4:$D$311,G$4,'Match Log'!$E$4:$E$311,"Loss"))/(SUMPRODUCT(('Match Log'!$D$4:$D$311=$A17)*('Match Log'!$E$4:$E$311="Win")*COUNTIFS('Match Log'!$A$4:$A$311,'Match Log'!$A$4:$A$311,'Match Log'!$D$4:$D$311,G$4,'Match Log'!$E$4:$E$311,"Loss"))+SUMPRODUCT(('Match Log'!$D$4:$D$311=G$4)*('Match Log'!$E$4:$E$311="Win")*COUNTIFS('Match Log'!$A$4:$A$311,'Match Log'!$A$4:$A$311,'Match Log'!$D$4:$D$311,$A17,'Match Log'!$E$4:$E$311,"Loss"))),"0%")&amp;" of "&amp;(SUMPRODUCT(('Match Log'!$D$4:$D$311=$A17)*('Match Log'!$E$4:$E$311="Win")*COUNTIFS('Match Log'!$A$4:$A$311,'Match Log'!$A$4:$A$311,'Match Log'!$D$4:$D$311,G$4,'Match Log'!$E$4:$E$311,"Loss"))+SUMPRODUCT(('Match Log'!$D$4:$D$311=G$4)*('Match Log'!$E$4:$E$311="Win")*COUNTIFS('Match Log'!$A$4:$A$311,'Match Log'!$A$4:$A$311,'Match Log'!$D$4:$D$311,$A17,'Match Log'!$E$4:$E$311,"Loss")))))</f>
        <v>0% of 1</v>
      </c>
      <c r="H17" s="54" t="str">
        <f>IF($A17=H$4,"—",IF((SUMPRODUCT(('Match Log'!$D$4:$D$311=$A17)*('Match Log'!$E$4:$E$311="Win")*COUNTIFS('Match Log'!$A$4:$A$311,'Match Log'!$A$4:$A$311,'Match Log'!$D$4:$D$311,H$4,'Match Log'!$E$4:$E$311,"Loss"))+SUMPRODUCT(('Match Log'!$D$4:$D$311=H$4)*('Match Log'!$E$4:$E$311="Win")*COUNTIFS('Match Log'!$A$4:$A$311,'Match Log'!$A$4:$A$311,'Match Log'!$D$4:$D$311,$A17,'Match Log'!$E$4:$E$311,"Loss")))=0,"",TEXT(SUMPRODUCT(('Match Log'!$D$4:$D$311=$A17)*('Match Log'!$E$4:$E$311="Win")*COUNTIFS('Match Log'!$A$4:$A$311,'Match Log'!$A$4:$A$311,'Match Log'!$D$4:$D$311,H$4,'Match Log'!$E$4:$E$311,"Loss"))/(SUMPRODUCT(('Match Log'!$D$4:$D$311=$A17)*('Match Log'!$E$4:$E$311="Win")*COUNTIFS('Match Log'!$A$4:$A$311,'Match Log'!$A$4:$A$311,'Match Log'!$D$4:$D$311,H$4,'Match Log'!$E$4:$E$311,"Loss"))+SUMPRODUCT(('Match Log'!$D$4:$D$311=H$4)*('Match Log'!$E$4:$E$311="Win")*COUNTIFS('Match Log'!$A$4:$A$311,'Match Log'!$A$4:$A$311,'Match Log'!$D$4:$D$311,$A17,'Match Log'!$E$4:$E$311,"Loss"))),"0%")&amp;" of "&amp;(SUMPRODUCT(('Match Log'!$D$4:$D$311=$A17)*('Match Log'!$E$4:$E$311="Win")*COUNTIFS('Match Log'!$A$4:$A$311,'Match Log'!$A$4:$A$311,'Match Log'!$D$4:$D$311,H$4,'Match Log'!$E$4:$E$311,"Loss"))+SUMPRODUCT(('Match Log'!$D$4:$D$311=H$4)*('Match Log'!$E$4:$E$311="Win")*COUNTIFS('Match Log'!$A$4:$A$311,'Match Log'!$A$4:$A$311,'Match Log'!$D$4:$D$311,$A17,'Match Log'!$E$4:$E$311,"Loss")))))</f>
        <v>50% of 2</v>
      </c>
      <c r="I17" s="54" t="str">
        <f>IF($A17=I$4,"—",IF((SUMPRODUCT(('Match Log'!$D$4:$D$311=$A17)*('Match Log'!$E$4:$E$311="Win")*COUNTIFS('Match Log'!$A$4:$A$311,'Match Log'!$A$4:$A$311,'Match Log'!$D$4:$D$311,I$4,'Match Log'!$E$4:$E$311,"Loss"))+SUMPRODUCT(('Match Log'!$D$4:$D$311=I$4)*('Match Log'!$E$4:$E$311="Win")*COUNTIFS('Match Log'!$A$4:$A$311,'Match Log'!$A$4:$A$311,'Match Log'!$D$4:$D$311,$A17,'Match Log'!$E$4:$E$311,"Loss")))=0,"",TEXT(SUMPRODUCT(('Match Log'!$D$4:$D$311=$A17)*('Match Log'!$E$4:$E$311="Win")*COUNTIFS('Match Log'!$A$4:$A$311,'Match Log'!$A$4:$A$311,'Match Log'!$D$4:$D$311,I$4,'Match Log'!$E$4:$E$311,"Loss"))/(SUMPRODUCT(('Match Log'!$D$4:$D$311=$A17)*('Match Log'!$E$4:$E$311="Win")*COUNTIFS('Match Log'!$A$4:$A$311,'Match Log'!$A$4:$A$311,'Match Log'!$D$4:$D$311,I$4,'Match Log'!$E$4:$E$311,"Loss"))+SUMPRODUCT(('Match Log'!$D$4:$D$311=I$4)*('Match Log'!$E$4:$E$311="Win")*COUNTIFS('Match Log'!$A$4:$A$311,'Match Log'!$A$4:$A$311,'Match Log'!$D$4:$D$311,$A17,'Match Log'!$E$4:$E$311,"Loss"))),"0%")&amp;" of "&amp;(SUMPRODUCT(('Match Log'!$D$4:$D$311=$A17)*('Match Log'!$E$4:$E$311="Win")*COUNTIFS('Match Log'!$A$4:$A$311,'Match Log'!$A$4:$A$311,'Match Log'!$D$4:$D$311,I$4,'Match Log'!$E$4:$E$311,"Loss"))+SUMPRODUCT(('Match Log'!$D$4:$D$311=I$4)*('Match Log'!$E$4:$E$311="Win")*COUNTIFS('Match Log'!$A$4:$A$311,'Match Log'!$A$4:$A$311,'Match Log'!$D$4:$D$311,$A17,'Match Log'!$E$4:$E$311,"Loss")))))</f>
        <v>100% of 1</v>
      </c>
      <c r="J17" s="54" t="str">
        <f>IF($A17=J$4,"—",IF((SUMPRODUCT(('Match Log'!$D$4:$D$311=$A17)*('Match Log'!$E$4:$E$311="Win")*COUNTIFS('Match Log'!$A$4:$A$311,'Match Log'!$A$4:$A$311,'Match Log'!$D$4:$D$311,J$4,'Match Log'!$E$4:$E$311,"Loss"))+SUMPRODUCT(('Match Log'!$D$4:$D$311=J$4)*('Match Log'!$E$4:$E$311="Win")*COUNTIFS('Match Log'!$A$4:$A$311,'Match Log'!$A$4:$A$311,'Match Log'!$D$4:$D$311,$A17,'Match Log'!$E$4:$E$311,"Loss")))=0,"",TEXT(SUMPRODUCT(('Match Log'!$D$4:$D$311=$A17)*('Match Log'!$E$4:$E$311="Win")*COUNTIFS('Match Log'!$A$4:$A$311,'Match Log'!$A$4:$A$311,'Match Log'!$D$4:$D$311,J$4,'Match Log'!$E$4:$E$311,"Loss"))/(SUMPRODUCT(('Match Log'!$D$4:$D$311=$A17)*('Match Log'!$E$4:$E$311="Win")*COUNTIFS('Match Log'!$A$4:$A$311,'Match Log'!$A$4:$A$311,'Match Log'!$D$4:$D$311,J$4,'Match Log'!$E$4:$E$311,"Loss"))+SUMPRODUCT(('Match Log'!$D$4:$D$311=J$4)*('Match Log'!$E$4:$E$311="Win")*COUNTIFS('Match Log'!$A$4:$A$311,'Match Log'!$A$4:$A$311,'Match Log'!$D$4:$D$311,$A17,'Match Log'!$E$4:$E$311,"Loss"))),"0%")&amp;" of "&amp;(SUMPRODUCT(('Match Log'!$D$4:$D$311=$A17)*('Match Log'!$E$4:$E$311="Win")*COUNTIFS('Match Log'!$A$4:$A$311,'Match Log'!$A$4:$A$311,'Match Log'!$D$4:$D$311,J$4,'Match Log'!$E$4:$E$311,"Loss"))+SUMPRODUCT(('Match Log'!$D$4:$D$311=J$4)*('Match Log'!$E$4:$E$311="Win")*COUNTIFS('Match Log'!$A$4:$A$311,'Match Log'!$A$4:$A$311,'Match Log'!$D$4:$D$311,$A17,'Match Log'!$E$4:$E$311,"Loss")))))</f>
        <v>100% of 1</v>
      </c>
      <c r="K17" s="54" t="str">
        <f>IF($A17=K$4,"—",IF((SUMPRODUCT(('Match Log'!$D$4:$D$311=$A17)*('Match Log'!$E$4:$E$311="Win")*COUNTIFS('Match Log'!$A$4:$A$311,'Match Log'!$A$4:$A$311,'Match Log'!$D$4:$D$311,K$4,'Match Log'!$E$4:$E$311,"Loss"))+SUMPRODUCT(('Match Log'!$D$4:$D$311=K$4)*('Match Log'!$E$4:$E$311="Win")*COUNTIFS('Match Log'!$A$4:$A$311,'Match Log'!$A$4:$A$311,'Match Log'!$D$4:$D$311,$A17,'Match Log'!$E$4:$E$311,"Loss")))=0,"",TEXT(SUMPRODUCT(('Match Log'!$D$4:$D$311=$A17)*('Match Log'!$E$4:$E$311="Win")*COUNTIFS('Match Log'!$A$4:$A$311,'Match Log'!$A$4:$A$311,'Match Log'!$D$4:$D$311,K$4,'Match Log'!$E$4:$E$311,"Loss"))/(SUMPRODUCT(('Match Log'!$D$4:$D$311=$A17)*('Match Log'!$E$4:$E$311="Win")*COUNTIFS('Match Log'!$A$4:$A$311,'Match Log'!$A$4:$A$311,'Match Log'!$D$4:$D$311,K$4,'Match Log'!$E$4:$E$311,"Loss"))+SUMPRODUCT(('Match Log'!$D$4:$D$311=K$4)*('Match Log'!$E$4:$E$311="Win")*COUNTIFS('Match Log'!$A$4:$A$311,'Match Log'!$A$4:$A$311,'Match Log'!$D$4:$D$311,$A17,'Match Log'!$E$4:$E$311,"Loss"))),"0%")&amp;" of "&amp;(SUMPRODUCT(('Match Log'!$D$4:$D$311=$A17)*('Match Log'!$E$4:$E$311="Win")*COUNTIFS('Match Log'!$A$4:$A$311,'Match Log'!$A$4:$A$311,'Match Log'!$D$4:$D$311,K$4,'Match Log'!$E$4:$E$311,"Loss"))+SUMPRODUCT(('Match Log'!$D$4:$D$311=K$4)*('Match Log'!$E$4:$E$311="Win")*COUNTIFS('Match Log'!$A$4:$A$311,'Match Log'!$A$4:$A$311,'Match Log'!$D$4:$D$311,$A17,'Match Log'!$E$4:$E$311,"Loss")))))</f>
        <v/>
      </c>
      <c r="L17" s="54" t="str">
        <f>IF($A17=L$4,"—",IF((SUMPRODUCT(('Match Log'!$D$4:$D$311=$A17)*('Match Log'!$E$4:$E$311="Win")*COUNTIFS('Match Log'!$A$4:$A$311,'Match Log'!$A$4:$A$311,'Match Log'!$D$4:$D$311,L$4,'Match Log'!$E$4:$E$311,"Loss"))+SUMPRODUCT(('Match Log'!$D$4:$D$311=L$4)*('Match Log'!$E$4:$E$311="Win")*COUNTIFS('Match Log'!$A$4:$A$311,'Match Log'!$A$4:$A$311,'Match Log'!$D$4:$D$311,$A17,'Match Log'!$E$4:$E$311,"Loss")))=0,"",TEXT(SUMPRODUCT(('Match Log'!$D$4:$D$311=$A17)*('Match Log'!$E$4:$E$311="Win")*COUNTIFS('Match Log'!$A$4:$A$311,'Match Log'!$A$4:$A$311,'Match Log'!$D$4:$D$311,L$4,'Match Log'!$E$4:$E$311,"Loss"))/(SUMPRODUCT(('Match Log'!$D$4:$D$311=$A17)*('Match Log'!$E$4:$E$311="Win")*COUNTIFS('Match Log'!$A$4:$A$311,'Match Log'!$A$4:$A$311,'Match Log'!$D$4:$D$311,L$4,'Match Log'!$E$4:$E$311,"Loss"))+SUMPRODUCT(('Match Log'!$D$4:$D$311=L$4)*('Match Log'!$E$4:$E$311="Win")*COUNTIFS('Match Log'!$A$4:$A$311,'Match Log'!$A$4:$A$311,'Match Log'!$D$4:$D$311,$A17,'Match Log'!$E$4:$E$311,"Loss"))),"0%")&amp;" of "&amp;(SUMPRODUCT(('Match Log'!$D$4:$D$311=$A17)*('Match Log'!$E$4:$E$311="Win")*COUNTIFS('Match Log'!$A$4:$A$311,'Match Log'!$A$4:$A$311,'Match Log'!$D$4:$D$311,L$4,'Match Log'!$E$4:$E$311,"Loss"))+SUMPRODUCT(('Match Log'!$D$4:$D$311=L$4)*('Match Log'!$E$4:$E$311="Win")*COUNTIFS('Match Log'!$A$4:$A$311,'Match Log'!$A$4:$A$311,'Match Log'!$D$4:$D$311,$A17,'Match Log'!$E$4:$E$311,"Loss")))))</f>
        <v>50% of 2</v>
      </c>
      <c r="M17" s="54" t="str">
        <f>IF($A17=M$4,"—",IF((SUMPRODUCT(('Match Log'!$D$4:$D$311=$A17)*('Match Log'!$E$4:$E$311="Win")*COUNTIFS('Match Log'!$A$4:$A$311,'Match Log'!$A$4:$A$311,'Match Log'!$D$4:$D$311,M$4,'Match Log'!$E$4:$E$311,"Loss"))+SUMPRODUCT(('Match Log'!$D$4:$D$311=M$4)*('Match Log'!$E$4:$E$311="Win")*COUNTIFS('Match Log'!$A$4:$A$311,'Match Log'!$A$4:$A$311,'Match Log'!$D$4:$D$311,$A17,'Match Log'!$E$4:$E$311,"Loss")))=0,"",TEXT(SUMPRODUCT(('Match Log'!$D$4:$D$311=$A17)*('Match Log'!$E$4:$E$311="Win")*COUNTIFS('Match Log'!$A$4:$A$311,'Match Log'!$A$4:$A$311,'Match Log'!$D$4:$D$311,M$4,'Match Log'!$E$4:$E$311,"Loss"))/(SUMPRODUCT(('Match Log'!$D$4:$D$311=$A17)*('Match Log'!$E$4:$E$311="Win")*COUNTIFS('Match Log'!$A$4:$A$311,'Match Log'!$A$4:$A$311,'Match Log'!$D$4:$D$311,M$4,'Match Log'!$E$4:$E$311,"Loss"))+SUMPRODUCT(('Match Log'!$D$4:$D$311=M$4)*('Match Log'!$E$4:$E$311="Win")*COUNTIFS('Match Log'!$A$4:$A$311,'Match Log'!$A$4:$A$311,'Match Log'!$D$4:$D$311,$A17,'Match Log'!$E$4:$E$311,"Loss"))),"0%")&amp;" of "&amp;(SUMPRODUCT(('Match Log'!$D$4:$D$311=$A17)*('Match Log'!$E$4:$E$311="Win")*COUNTIFS('Match Log'!$A$4:$A$311,'Match Log'!$A$4:$A$311,'Match Log'!$D$4:$D$311,M$4,'Match Log'!$E$4:$E$311,"Loss"))+SUMPRODUCT(('Match Log'!$D$4:$D$311=M$4)*('Match Log'!$E$4:$E$311="Win")*COUNTIFS('Match Log'!$A$4:$A$311,'Match Log'!$A$4:$A$311,'Match Log'!$D$4:$D$311,$A17,'Match Log'!$E$4:$E$311,"Loss")))))</f>
        <v/>
      </c>
      <c r="N17" s="54" t="str">
        <f>IF($A17=N$4,"—",IF((SUMPRODUCT(('Match Log'!$D$4:$D$311=$A17)*('Match Log'!$E$4:$E$311="Win")*COUNTIFS('Match Log'!$A$4:$A$311,'Match Log'!$A$4:$A$311,'Match Log'!$D$4:$D$311,N$4,'Match Log'!$E$4:$E$311,"Loss"))+SUMPRODUCT(('Match Log'!$D$4:$D$311=N$4)*('Match Log'!$E$4:$E$311="Win")*COUNTIFS('Match Log'!$A$4:$A$311,'Match Log'!$A$4:$A$311,'Match Log'!$D$4:$D$311,$A17,'Match Log'!$E$4:$E$311,"Loss")))=0,"",TEXT(SUMPRODUCT(('Match Log'!$D$4:$D$311=$A17)*('Match Log'!$E$4:$E$311="Win")*COUNTIFS('Match Log'!$A$4:$A$311,'Match Log'!$A$4:$A$311,'Match Log'!$D$4:$D$311,N$4,'Match Log'!$E$4:$E$311,"Loss"))/(SUMPRODUCT(('Match Log'!$D$4:$D$311=$A17)*('Match Log'!$E$4:$E$311="Win")*COUNTIFS('Match Log'!$A$4:$A$311,'Match Log'!$A$4:$A$311,'Match Log'!$D$4:$D$311,N$4,'Match Log'!$E$4:$E$311,"Loss"))+SUMPRODUCT(('Match Log'!$D$4:$D$311=N$4)*('Match Log'!$E$4:$E$311="Win")*COUNTIFS('Match Log'!$A$4:$A$311,'Match Log'!$A$4:$A$311,'Match Log'!$D$4:$D$311,$A17,'Match Log'!$E$4:$E$311,"Loss"))),"0%")&amp;" of "&amp;(SUMPRODUCT(('Match Log'!$D$4:$D$311=$A17)*('Match Log'!$E$4:$E$311="Win")*COUNTIFS('Match Log'!$A$4:$A$311,'Match Log'!$A$4:$A$311,'Match Log'!$D$4:$D$311,N$4,'Match Log'!$E$4:$E$311,"Loss"))+SUMPRODUCT(('Match Log'!$D$4:$D$311=N$4)*('Match Log'!$E$4:$E$311="Win")*COUNTIFS('Match Log'!$A$4:$A$311,'Match Log'!$A$4:$A$311,'Match Log'!$D$4:$D$311,$A17,'Match Log'!$E$4:$E$311,"Loss")))))</f>
        <v>—</v>
      </c>
      <c r="O17" s="54" t="str">
        <f>IF($A17=O$4,"—",IF((SUMPRODUCT(('Match Log'!$D$4:$D$311=$A17)*('Match Log'!$E$4:$E$311="Win")*COUNTIFS('Match Log'!$A$4:$A$311,'Match Log'!$A$4:$A$311,'Match Log'!$D$4:$D$311,O$4,'Match Log'!$E$4:$E$311,"Loss"))+SUMPRODUCT(('Match Log'!$D$4:$D$311=O$4)*('Match Log'!$E$4:$E$311="Win")*COUNTIFS('Match Log'!$A$4:$A$311,'Match Log'!$A$4:$A$311,'Match Log'!$D$4:$D$311,$A17,'Match Log'!$E$4:$E$311,"Loss")))=0,"",TEXT(SUMPRODUCT(('Match Log'!$D$4:$D$311=$A17)*('Match Log'!$E$4:$E$311="Win")*COUNTIFS('Match Log'!$A$4:$A$311,'Match Log'!$A$4:$A$311,'Match Log'!$D$4:$D$311,O$4,'Match Log'!$E$4:$E$311,"Loss"))/(SUMPRODUCT(('Match Log'!$D$4:$D$311=$A17)*('Match Log'!$E$4:$E$311="Win")*COUNTIFS('Match Log'!$A$4:$A$311,'Match Log'!$A$4:$A$311,'Match Log'!$D$4:$D$311,O$4,'Match Log'!$E$4:$E$311,"Loss"))+SUMPRODUCT(('Match Log'!$D$4:$D$311=O$4)*('Match Log'!$E$4:$E$311="Win")*COUNTIFS('Match Log'!$A$4:$A$311,'Match Log'!$A$4:$A$311,'Match Log'!$D$4:$D$311,$A17,'Match Log'!$E$4:$E$311,"Loss"))),"0%")&amp;" of "&amp;(SUMPRODUCT(('Match Log'!$D$4:$D$311=$A17)*('Match Log'!$E$4:$E$311="Win")*COUNTIFS('Match Log'!$A$4:$A$311,'Match Log'!$A$4:$A$311,'Match Log'!$D$4:$D$311,O$4,'Match Log'!$E$4:$E$311,"Loss"))+SUMPRODUCT(('Match Log'!$D$4:$D$311=O$4)*('Match Log'!$E$4:$E$311="Win")*COUNTIFS('Match Log'!$A$4:$A$311,'Match Log'!$A$4:$A$311,'Match Log'!$D$4:$D$311,$A17,'Match Log'!$E$4:$E$311,"Loss")))))</f>
        <v/>
      </c>
    </row>
    <row r="18" spans="1:15" ht="15" customHeight="1" x14ac:dyDescent="0.2">
      <c r="A18" s="49" t="s">
        <v>181</v>
      </c>
      <c r="B18" s="54" t="str">
        <f>IF($A18=B$4,"—",IF((SUMPRODUCT(('Match Log'!$D$4:$D$311=$A18)*('Match Log'!$E$4:$E$311="Win")*COUNTIFS('Match Log'!$A$4:$A$311,'Match Log'!$A$4:$A$311,'Match Log'!$D$4:$D$311,B$4,'Match Log'!$E$4:$E$311,"Loss"))+SUMPRODUCT(('Match Log'!$D$4:$D$311=B$4)*('Match Log'!$E$4:$E$311="Win")*COUNTIFS('Match Log'!$A$4:$A$311,'Match Log'!$A$4:$A$311,'Match Log'!$D$4:$D$311,$A18,'Match Log'!$E$4:$E$311,"Loss")))=0,"",TEXT(SUMPRODUCT(('Match Log'!$D$4:$D$311=$A18)*('Match Log'!$E$4:$E$311="Win")*COUNTIFS('Match Log'!$A$4:$A$311,'Match Log'!$A$4:$A$311,'Match Log'!$D$4:$D$311,B$4,'Match Log'!$E$4:$E$311,"Loss"))/(SUMPRODUCT(('Match Log'!$D$4:$D$311=$A18)*('Match Log'!$E$4:$E$311="Win")*COUNTIFS('Match Log'!$A$4:$A$311,'Match Log'!$A$4:$A$311,'Match Log'!$D$4:$D$311,B$4,'Match Log'!$E$4:$E$311,"Loss"))+SUMPRODUCT(('Match Log'!$D$4:$D$311=B$4)*('Match Log'!$E$4:$E$311="Win")*COUNTIFS('Match Log'!$A$4:$A$311,'Match Log'!$A$4:$A$311,'Match Log'!$D$4:$D$311,$A18,'Match Log'!$E$4:$E$311,"Loss"))),"0%")&amp;" of "&amp;(SUMPRODUCT(('Match Log'!$D$4:$D$311=$A18)*('Match Log'!$E$4:$E$311="Win")*COUNTIFS('Match Log'!$A$4:$A$311,'Match Log'!$A$4:$A$311,'Match Log'!$D$4:$D$311,B$4,'Match Log'!$E$4:$E$311,"Loss"))+SUMPRODUCT(('Match Log'!$D$4:$D$311=B$4)*('Match Log'!$E$4:$E$311="Win")*COUNTIFS('Match Log'!$A$4:$A$311,'Match Log'!$A$4:$A$311,'Match Log'!$D$4:$D$311,$A18,'Match Log'!$E$4:$E$311,"Loss")))))</f>
        <v/>
      </c>
      <c r="C18" s="54" t="str">
        <f>IF($A18=C$4,"—",IF((SUMPRODUCT(('Match Log'!$D$4:$D$311=$A18)*('Match Log'!$E$4:$E$311="Win")*COUNTIFS('Match Log'!$A$4:$A$311,'Match Log'!$A$4:$A$311,'Match Log'!$D$4:$D$311,C$4,'Match Log'!$E$4:$E$311,"Loss"))+SUMPRODUCT(('Match Log'!$D$4:$D$311=C$4)*('Match Log'!$E$4:$E$311="Win")*COUNTIFS('Match Log'!$A$4:$A$311,'Match Log'!$A$4:$A$311,'Match Log'!$D$4:$D$311,$A18,'Match Log'!$E$4:$E$311,"Loss")))=0,"",TEXT(SUMPRODUCT(('Match Log'!$D$4:$D$311=$A18)*('Match Log'!$E$4:$E$311="Win")*COUNTIFS('Match Log'!$A$4:$A$311,'Match Log'!$A$4:$A$311,'Match Log'!$D$4:$D$311,C$4,'Match Log'!$E$4:$E$311,"Loss"))/(SUMPRODUCT(('Match Log'!$D$4:$D$311=$A18)*('Match Log'!$E$4:$E$311="Win")*COUNTIFS('Match Log'!$A$4:$A$311,'Match Log'!$A$4:$A$311,'Match Log'!$D$4:$D$311,C$4,'Match Log'!$E$4:$E$311,"Loss"))+SUMPRODUCT(('Match Log'!$D$4:$D$311=C$4)*('Match Log'!$E$4:$E$311="Win")*COUNTIFS('Match Log'!$A$4:$A$311,'Match Log'!$A$4:$A$311,'Match Log'!$D$4:$D$311,$A18,'Match Log'!$E$4:$E$311,"Loss"))),"0%")&amp;" of "&amp;(SUMPRODUCT(('Match Log'!$D$4:$D$311=$A18)*('Match Log'!$E$4:$E$311="Win")*COUNTIFS('Match Log'!$A$4:$A$311,'Match Log'!$A$4:$A$311,'Match Log'!$D$4:$D$311,C$4,'Match Log'!$E$4:$E$311,"Loss"))+SUMPRODUCT(('Match Log'!$D$4:$D$311=C$4)*('Match Log'!$E$4:$E$311="Win")*COUNTIFS('Match Log'!$A$4:$A$311,'Match Log'!$A$4:$A$311,'Match Log'!$D$4:$D$311,$A18,'Match Log'!$E$4:$E$311,"Loss")))))</f>
        <v/>
      </c>
      <c r="D18" s="54" t="str">
        <f>IF($A18=D$4,"—",IF((SUMPRODUCT(('Match Log'!$D$4:$D$311=$A18)*('Match Log'!$E$4:$E$311="Win")*COUNTIFS('Match Log'!$A$4:$A$311,'Match Log'!$A$4:$A$311,'Match Log'!$D$4:$D$311,D$4,'Match Log'!$E$4:$E$311,"Loss"))+SUMPRODUCT(('Match Log'!$D$4:$D$311=D$4)*('Match Log'!$E$4:$E$311="Win")*COUNTIFS('Match Log'!$A$4:$A$311,'Match Log'!$A$4:$A$311,'Match Log'!$D$4:$D$311,$A18,'Match Log'!$E$4:$E$311,"Loss")))=0,"",TEXT(SUMPRODUCT(('Match Log'!$D$4:$D$311=$A18)*('Match Log'!$E$4:$E$311="Win")*COUNTIFS('Match Log'!$A$4:$A$311,'Match Log'!$A$4:$A$311,'Match Log'!$D$4:$D$311,D$4,'Match Log'!$E$4:$E$311,"Loss"))/(SUMPRODUCT(('Match Log'!$D$4:$D$311=$A18)*('Match Log'!$E$4:$E$311="Win")*COUNTIFS('Match Log'!$A$4:$A$311,'Match Log'!$A$4:$A$311,'Match Log'!$D$4:$D$311,D$4,'Match Log'!$E$4:$E$311,"Loss"))+SUMPRODUCT(('Match Log'!$D$4:$D$311=D$4)*('Match Log'!$E$4:$E$311="Win")*COUNTIFS('Match Log'!$A$4:$A$311,'Match Log'!$A$4:$A$311,'Match Log'!$D$4:$D$311,$A18,'Match Log'!$E$4:$E$311,"Loss"))),"0%")&amp;" of "&amp;(SUMPRODUCT(('Match Log'!$D$4:$D$311=$A18)*('Match Log'!$E$4:$E$311="Win")*COUNTIFS('Match Log'!$A$4:$A$311,'Match Log'!$A$4:$A$311,'Match Log'!$D$4:$D$311,D$4,'Match Log'!$E$4:$E$311,"Loss"))+SUMPRODUCT(('Match Log'!$D$4:$D$311=D$4)*('Match Log'!$E$4:$E$311="Win")*COUNTIFS('Match Log'!$A$4:$A$311,'Match Log'!$A$4:$A$311,'Match Log'!$D$4:$D$311,$A18,'Match Log'!$E$4:$E$311,"Loss")))))</f>
        <v/>
      </c>
      <c r="E18" s="54" t="str">
        <f>IF($A18=E$4,"—",IF((SUMPRODUCT(('Match Log'!$D$4:$D$311=$A18)*('Match Log'!$E$4:$E$311="Win")*COUNTIFS('Match Log'!$A$4:$A$311,'Match Log'!$A$4:$A$311,'Match Log'!$D$4:$D$311,E$4,'Match Log'!$E$4:$E$311,"Loss"))+SUMPRODUCT(('Match Log'!$D$4:$D$311=E$4)*('Match Log'!$E$4:$E$311="Win")*COUNTIFS('Match Log'!$A$4:$A$311,'Match Log'!$A$4:$A$311,'Match Log'!$D$4:$D$311,$A18,'Match Log'!$E$4:$E$311,"Loss")))=0,"",TEXT(SUMPRODUCT(('Match Log'!$D$4:$D$311=$A18)*('Match Log'!$E$4:$E$311="Win")*COUNTIFS('Match Log'!$A$4:$A$311,'Match Log'!$A$4:$A$311,'Match Log'!$D$4:$D$311,E$4,'Match Log'!$E$4:$E$311,"Loss"))/(SUMPRODUCT(('Match Log'!$D$4:$D$311=$A18)*('Match Log'!$E$4:$E$311="Win")*COUNTIFS('Match Log'!$A$4:$A$311,'Match Log'!$A$4:$A$311,'Match Log'!$D$4:$D$311,E$4,'Match Log'!$E$4:$E$311,"Loss"))+SUMPRODUCT(('Match Log'!$D$4:$D$311=E$4)*('Match Log'!$E$4:$E$311="Win")*COUNTIFS('Match Log'!$A$4:$A$311,'Match Log'!$A$4:$A$311,'Match Log'!$D$4:$D$311,$A18,'Match Log'!$E$4:$E$311,"Loss"))),"0%")&amp;" of "&amp;(SUMPRODUCT(('Match Log'!$D$4:$D$311=$A18)*('Match Log'!$E$4:$E$311="Win")*COUNTIFS('Match Log'!$A$4:$A$311,'Match Log'!$A$4:$A$311,'Match Log'!$D$4:$D$311,E$4,'Match Log'!$E$4:$E$311,"Loss"))+SUMPRODUCT(('Match Log'!$D$4:$D$311=E$4)*('Match Log'!$E$4:$E$311="Win")*COUNTIFS('Match Log'!$A$4:$A$311,'Match Log'!$A$4:$A$311,'Match Log'!$D$4:$D$311,$A18,'Match Log'!$E$4:$E$311,"Loss")))))</f>
        <v/>
      </c>
      <c r="F18" s="54" t="str">
        <f>IF($A18=F$4,"—",IF((SUMPRODUCT(('Match Log'!$D$4:$D$311=$A18)*('Match Log'!$E$4:$E$311="Win")*COUNTIFS('Match Log'!$A$4:$A$311,'Match Log'!$A$4:$A$311,'Match Log'!$D$4:$D$311,F$4,'Match Log'!$E$4:$E$311,"Loss"))+SUMPRODUCT(('Match Log'!$D$4:$D$311=F$4)*('Match Log'!$E$4:$E$311="Win")*COUNTIFS('Match Log'!$A$4:$A$311,'Match Log'!$A$4:$A$311,'Match Log'!$D$4:$D$311,$A18,'Match Log'!$E$4:$E$311,"Loss")))=0,"",TEXT(SUMPRODUCT(('Match Log'!$D$4:$D$311=$A18)*('Match Log'!$E$4:$E$311="Win")*COUNTIFS('Match Log'!$A$4:$A$311,'Match Log'!$A$4:$A$311,'Match Log'!$D$4:$D$311,F$4,'Match Log'!$E$4:$E$311,"Loss"))/(SUMPRODUCT(('Match Log'!$D$4:$D$311=$A18)*('Match Log'!$E$4:$E$311="Win")*COUNTIFS('Match Log'!$A$4:$A$311,'Match Log'!$A$4:$A$311,'Match Log'!$D$4:$D$311,F$4,'Match Log'!$E$4:$E$311,"Loss"))+SUMPRODUCT(('Match Log'!$D$4:$D$311=F$4)*('Match Log'!$E$4:$E$311="Win")*COUNTIFS('Match Log'!$A$4:$A$311,'Match Log'!$A$4:$A$311,'Match Log'!$D$4:$D$311,$A18,'Match Log'!$E$4:$E$311,"Loss"))),"0%")&amp;" of "&amp;(SUMPRODUCT(('Match Log'!$D$4:$D$311=$A18)*('Match Log'!$E$4:$E$311="Win")*COUNTIFS('Match Log'!$A$4:$A$311,'Match Log'!$A$4:$A$311,'Match Log'!$D$4:$D$311,F$4,'Match Log'!$E$4:$E$311,"Loss"))+SUMPRODUCT(('Match Log'!$D$4:$D$311=F$4)*('Match Log'!$E$4:$E$311="Win")*COUNTIFS('Match Log'!$A$4:$A$311,'Match Log'!$A$4:$A$311,'Match Log'!$D$4:$D$311,$A18,'Match Log'!$E$4:$E$311,"Loss")))))</f>
        <v/>
      </c>
      <c r="G18" s="54" t="str">
        <f>IF($A18=G$4,"—",IF((SUMPRODUCT(('Match Log'!$D$4:$D$311=$A18)*('Match Log'!$E$4:$E$311="Win")*COUNTIFS('Match Log'!$A$4:$A$311,'Match Log'!$A$4:$A$311,'Match Log'!$D$4:$D$311,G$4,'Match Log'!$E$4:$E$311,"Loss"))+SUMPRODUCT(('Match Log'!$D$4:$D$311=G$4)*('Match Log'!$E$4:$E$311="Win")*COUNTIFS('Match Log'!$A$4:$A$311,'Match Log'!$A$4:$A$311,'Match Log'!$D$4:$D$311,$A18,'Match Log'!$E$4:$E$311,"Loss")))=0,"",TEXT(SUMPRODUCT(('Match Log'!$D$4:$D$311=$A18)*('Match Log'!$E$4:$E$311="Win")*COUNTIFS('Match Log'!$A$4:$A$311,'Match Log'!$A$4:$A$311,'Match Log'!$D$4:$D$311,G$4,'Match Log'!$E$4:$E$311,"Loss"))/(SUMPRODUCT(('Match Log'!$D$4:$D$311=$A18)*('Match Log'!$E$4:$E$311="Win")*COUNTIFS('Match Log'!$A$4:$A$311,'Match Log'!$A$4:$A$311,'Match Log'!$D$4:$D$311,G$4,'Match Log'!$E$4:$E$311,"Loss"))+SUMPRODUCT(('Match Log'!$D$4:$D$311=G$4)*('Match Log'!$E$4:$E$311="Win")*COUNTIFS('Match Log'!$A$4:$A$311,'Match Log'!$A$4:$A$311,'Match Log'!$D$4:$D$311,$A18,'Match Log'!$E$4:$E$311,"Loss"))),"0%")&amp;" of "&amp;(SUMPRODUCT(('Match Log'!$D$4:$D$311=$A18)*('Match Log'!$E$4:$E$311="Win")*COUNTIFS('Match Log'!$A$4:$A$311,'Match Log'!$A$4:$A$311,'Match Log'!$D$4:$D$311,G$4,'Match Log'!$E$4:$E$311,"Loss"))+SUMPRODUCT(('Match Log'!$D$4:$D$311=G$4)*('Match Log'!$E$4:$E$311="Win")*COUNTIFS('Match Log'!$A$4:$A$311,'Match Log'!$A$4:$A$311,'Match Log'!$D$4:$D$311,$A18,'Match Log'!$E$4:$E$311,"Loss")))))</f>
        <v/>
      </c>
      <c r="H18" s="54" t="str">
        <f>IF($A18=H$4,"—",IF((SUMPRODUCT(('Match Log'!$D$4:$D$311=$A18)*('Match Log'!$E$4:$E$311="Win")*COUNTIFS('Match Log'!$A$4:$A$311,'Match Log'!$A$4:$A$311,'Match Log'!$D$4:$D$311,H$4,'Match Log'!$E$4:$E$311,"Loss"))+SUMPRODUCT(('Match Log'!$D$4:$D$311=H$4)*('Match Log'!$E$4:$E$311="Win")*COUNTIFS('Match Log'!$A$4:$A$311,'Match Log'!$A$4:$A$311,'Match Log'!$D$4:$D$311,$A18,'Match Log'!$E$4:$E$311,"Loss")))=0,"",TEXT(SUMPRODUCT(('Match Log'!$D$4:$D$311=$A18)*('Match Log'!$E$4:$E$311="Win")*COUNTIFS('Match Log'!$A$4:$A$311,'Match Log'!$A$4:$A$311,'Match Log'!$D$4:$D$311,H$4,'Match Log'!$E$4:$E$311,"Loss"))/(SUMPRODUCT(('Match Log'!$D$4:$D$311=$A18)*('Match Log'!$E$4:$E$311="Win")*COUNTIFS('Match Log'!$A$4:$A$311,'Match Log'!$A$4:$A$311,'Match Log'!$D$4:$D$311,H$4,'Match Log'!$E$4:$E$311,"Loss"))+SUMPRODUCT(('Match Log'!$D$4:$D$311=H$4)*('Match Log'!$E$4:$E$311="Win")*COUNTIFS('Match Log'!$A$4:$A$311,'Match Log'!$A$4:$A$311,'Match Log'!$D$4:$D$311,$A18,'Match Log'!$E$4:$E$311,"Loss"))),"0%")&amp;" of "&amp;(SUMPRODUCT(('Match Log'!$D$4:$D$311=$A18)*('Match Log'!$E$4:$E$311="Win")*COUNTIFS('Match Log'!$A$4:$A$311,'Match Log'!$A$4:$A$311,'Match Log'!$D$4:$D$311,H$4,'Match Log'!$E$4:$E$311,"Loss"))+SUMPRODUCT(('Match Log'!$D$4:$D$311=H$4)*('Match Log'!$E$4:$E$311="Win")*COUNTIFS('Match Log'!$A$4:$A$311,'Match Log'!$A$4:$A$311,'Match Log'!$D$4:$D$311,$A18,'Match Log'!$E$4:$E$311,"Loss")))))</f>
        <v/>
      </c>
      <c r="I18" s="54" t="str">
        <f>IF($A18=I$4,"—",IF((SUMPRODUCT(('Match Log'!$D$4:$D$311=$A18)*('Match Log'!$E$4:$E$311="Win")*COUNTIFS('Match Log'!$A$4:$A$311,'Match Log'!$A$4:$A$311,'Match Log'!$D$4:$D$311,I$4,'Match Log'!$E$4:$E$311,"Loss"))+SUMPRODUCT(('Match Log'!$D$4:$D$311=I$4)*('Match Log'!$E$4:$E$311="Win")*COUNTIFS('Match Log'!$A$4:$A$311,'Match Log'!$A$4:$A$311,'Match Log'!$D$4:$D$311,$A18,'Match Log'!$E$4:$E$311,"Loss")))=0,"",TEXT(SUMPRODUCT(('Match Log'!$D$4:$D$311=$A18)*('Match Log'!$E$4:$E$311="Win")*COUNTIFS('Match Log'!$A$4:$A$311,'Match Log'!$A$4:$A$311,'Match Log'!$D$4:$D$311,I$4,'Match Log'!$E$4:$E$311,"Loss"))/(SUMPRODUCT(('Match Log'!$D$4:$D$311=$A18)*('Match Log'!$E$4:$E$311="Win")*COUNTIFS('Match Log'!$A$4:$A$311,'Match Log'!$A$4:$A$311,'Match Log'!$D$4:$D$311,I$4,'Match Log'!$E$4:$E$311,"Loss"))+SUMPRODUCT(('Match Log'!$D$4:$D$311=I$4)*('Match Log'!$E$4:$E$311="Win")*COUNTIFS('Match Log'!$A$4:$A$311,'Match Log'!$A$4:$A$311,'Match Log'!$D$4:$D$311,$A18,'Match Log'!$E$4:$E$311,"Loss"))),"0%")&amp;" of "&amp;(SUMPRODUCT(('Match Log'!$D$4:$D$311=$A18)*('Match Log'!$E$4:$E$311="Win")*COUNTIFS('Match Log'!$A$4:$A$311,'Match Log'!$A$4:$A$311,'Match Log'!$D$4:$D$311,I$4,'Match Log'!$E$4:$E$311,"Loss"))+SUMPRODUCT(('Match Log'!$D$4:$D$311=I$4)*('Match Log'!$E$4:$E$311="Win")*COUNTIFS('Match Log'!$A$4:$A$311,'Match Log'!$A$4:$A$311,'Match Log'!$D$4:$D$311,$A18,'Match Log'!$E$4:$E$311,"Loss")))))</f>
        <v/>
      </c>
      <c r="J18" s="54" t="str">
        <f>IF($A18=J$4,"—",IF((SUMPRODUCT(('Match Log'!$D$4:$D$311=$A18)*('Match Log'!$E$4:$E$311="Win")*COUNTIFS('Match Log'!$A$4:$A$311,'Match Log'!$A$4:$A$311,'Match Log'!$D$4:$D$311,J$4,'Match Log'!$E$4:$E$311,"Loss"))+SUMPRODUCT(('Match Log'!$D$4:$D$311=J$4)*('Match Log'!$E$4:$E$311="Win")*COUNTIFS('Match Log'!$A$4:$A$311,'Match Log'!$A$4:$A$311,'Match Log'!$D$4:$D$311,$A18,'Match Log'!$E$4:$E$311,"Loss")))=0,"",TEXT(SUMPRODUCT(('Match Log'!$D$4:$D$311=$A18)*('Match Log'!$E$4:$E$311="Win")*COUNTIFS('Match Log'!$A$4:$A$311,'Match Log'!$A$4:$A$311,'Match Log'!$D$4:$D$311,J$4,'Match Log'!$E$4:$E$311,"Loss"))/(SUMPRODUCT(('Match Log'!$D$4:$D$311=$A18)*('Match Log'!$E$4:$E$311="Win")*COUNTIFS('Match Log'!$A$4:$A$311,'Match Log'!$A$4:$A$311,'Match Log'!$D$4:$D$311,J$4,'Match Log'!$E$4:$E$311,"Loss"))+SUMPRODUCT(('Match Log'!$D$4:$D$311=J$4)*('Match Log'!$E$4:$E$311="Win")*COUNTIFS('Match Log'!$A$4:$A$311,'Match Log'!$A$4:$A$311,'Match Log'!$D$4:$D$311,$A18,'Match Log'!$E$4:$E$311,"Loss"))),"0%")&amp;" of "&amp;(SUMPRODUCT(('Match Log'!$D$4:$D$311=$A18)*('Match Log'!$E$4:$E$311="Win")*COUNTIFS('Match Log'!$A$4:$A$311,'Match Log'!$A$4:$A$311,'Match Log'!$D$4:$D$311,J$4,'Match Log'!$E$4:$E$311,"Loss"))+SUMPRODUCT(('Match Log'!$D$4:$D$311=J$4)*('Match Log'!$E$4:$E$311="Win")*COUNTIFS('Match Log'!$A$4:$A$311,'Match Log'!$A$4:$A$311,'Match Log'!$D$4:$D$311,$A18,'Match Log'!$E$4:$E$311,"Loss")))))</f>
        <v/>
      </c>
      <c r="K18" s="54" t="str">
        <f>IF($A18=K$4,"—",IF((SUMPRODUCT(('Match Log'!$D$4:$D$311=$A18)*('Match Log'!$E$4:$E$311="Win")*COUNTIFS('Match Log'!$A$4:$A$311,'Match Log'!$A$4:$A$311,'Match Log'!$D$4:$D$311,K$4,'Match Log'!$E$4:$E$311,"Loss"))+SUMPRODUCT(('Match Log'!$D$4:$D$311=K$4)*('Match Log'!$E$4:$E$311="Win")*COUNTIFS('Match Log'!$A$4:$A$311,'Match Log'!$A$4:$A$311,'Match Log'!$D$4:$D$311,$A18,'Match Log'!$E$4:$E$311,"Loss")))=0,"",TEXT(SUMPRODUCT(('Match Log'!$D$4:$D$311=$A18)*('Match Log'!$E$4:$E$311="Win")*COUNTIFS('Match Log'!$A$4:$A$311,'Match Log'!$A$4:$A$311,'Match Log'!$D$4:$D$311,K$4,'Match Log'!$E$4:$E$311,"Loss"))/(SUMPRODUCT(('Match Log'!$D$4:$D$311=$A18)*('Match Log'!$E$4:$E$311="Win")*COUNTIFS('Match Log'!$A$4:$A$311,'Match Log'!$A$4:$A$311,'Match Log'!$D$4:$D$311,K$4,'Match Log'!$E$4:$E$311,"Loss"))+SUMPRODUCT(('Match Log'!$D$4:$D$311=K$4)*('Match Log'!$E$4:$E$311="Win")*COUNTIFS('Match Log'!$A$4:$A$311,'Match Log'!$A$4:$A$311,'Match Log'!$D$4:$D$311,$A18,'Match Log'!$E$4:$E$311,"Loss"))),"0%")&amp;" of "&amp;(SUMPRODUCT(('Match Log'!$D$4:$D$311=$A18)*('Match Log'!$E$4:$E$311="Win")*COUNTIFS('Match Log'!$A$4:$A$311,'Match Log'!$A$4:$A$311,'Match Log'!$D$4:$D$311,K$4,'Match Log'!$E$4:$E$311,"Loss"))+SUMPRODUCT(('Match Log'!$D$4:$D$311=K$4)*('Match Log'!$E$4:$E$311="Win")*COUNTIFS('Match Log'!$A$4:$A$311,'Match Log'!$A$4:$A$311,'Match Log'!$D$4:$D$311,$A18,'Match Log'!$E$4:$E$311,"Loss")))))</f>
        <v/>
      </c>
      <c r="L18" s="54" t="str">
        <f>IF($A18=L$4,"—",IF((SUMPRODUCT(('Match Log'!$D$4:$D$311=$A18)*('Match Log'!$E$4:$E$311="Win")*COUNTIFS('Match Log'!$A$4:$A$311,'Match Log'!$A$4:$A$311,'Match Log'!$D$4:$D$311,L$4,'Match Log'!$E$4:$E$311,"Loss"))+SUMPRODUCT(('Match Log'!$D$4:$D$311=L$4)*('Match Log'!$E$4:$E$311="Win")*COUNTIFS('Match Log'!$A$4:$A$311,'Match Log'!$A$4:$A$311,'Match Log'!$D$4:$D$311,$A18,'Match Log'!$E$4:$E$311,"Loss")))=0,"",TEXT(SUMPRODUCT(('Match Log'!$D$4:$D$311=$A18)*('Match Log'!$E$4:$E$311="Win")*COUNTIFS('Match Log'!$A$4:$A$311,'Match Log'!$A$4:$A$311,'Match Log'!$D$4:$D$311,L$4,'Match Log'!$E$4:$E$311,"Loss"))/(SUMPRODUCT(('Match Log'!$D$4:$D$311=$A18)*('Match Log'!$E$4:$E$311="Win")*COUNTIFS('Match Log'!$A$4:$A$311,'Match Log'!$A$4:$A$311,'Match Log'!$D$4:$D$311,L$4,'Match Log'!$E$4:$E$311,"Loss"))+SUMPRODUCT(('Match Log'!$D$4:$D$311=L$4)*('Match Log'!$E$4:$E$311="Win")*COUNTIFS('Match Log'!$A$4:$A$311,'Match Log'!$A$4:$A$311,'Match Log'!$D$4:$D$311,$A18,'Match Log'!$E$4:$E$311,"Loss"))),"0%")&amp;" of "&amp;(SUMPRODUCT(('Match Log'!$D$4:$D$311=$A18)*('Match Log'!$E$4:$E$311="Win")*COUNTIFS('Match Log'!$A$4:$A$311,'Match Log'!$A$4:$A$311,'Match Log'!$D$4:$D$311,L$4,'Match Log'!$E$4:$E$311,"Loss"))+SUMPRODUCT(('Match Log'!$D$4:$D$311=L$4)*('Match Log'!$E$4:$E$311="Win")*COUNTIFS('Match Log'!$A$4:$A$311,'Match Log'!$A$4:$A$311,'Match Log'!$D$4:$D$311,$A18,'Match Log'!$E$4:$E$311,"Loss")))))</f>
        <v/>
      </c>
      <c r="M18" s="54" t="str">
        <f>IF($A18=M$4,"—",IF((SUMPRODUCT(('Match Log'!$D$4:$D$311=$A18)*('Match Log'!$E$4:$E$311="Win")*COUNTIFS('Match Log'!$A$4:$A$311,'Match Log'!$A$4:$A$311,'Match Log'!$D$4:$D$311,M$4,'Match Log'!$E$4:$E$311,"Loss"))+SUMPRODUCT(('Match Log'!$D$4:$D$311=M$4)*('Match Log'!$E$4:$E$311="Win")*COUNTIFS('Match Log'!$A$4:$A$311,'Match Log'!$A$4:$A$311,'Match Log'!$D$4:$D$311,$A18,'Match Log'!$E$4:$E$311,"Loss")))=0,"",TEXT(SUMPRODUCT(('Match Log'!$D$4:$D$311=$A18)*('Match Log'!$E$4:$E$311="Win")*COUNTIFS('Match Log'!$A$4:$A$311,'Match Log'!$A$4:$A$311,'Match Log'!$D$4:$D$311,M$4,'Match Log'!$E$4:$E$311,"Loss"))/(SUMPRODUCT(('Match Log'!$D$4:$D$311=$A18)*('Match Log'!$E$4:$E$311="Win")*COUNTIFS('Match Log'!$A$4:$A$311,'Match Log'!$A$4:$A$311,'Match Log'!$D$4:$D$311,M$4,'Match Log'!$E$4:$E$311,"Loss"))+SUMPRODUCT(('Match Log'!$D$4:$D$311=M$4)*('Match Log'!$E$4:$E$311="Win")*COUNTIFS('Match Log'!$A$4:$A$311,'Match Log'!$A$4:$A$311,'Match Log'!$D$4:$D$311,$A18,'Match Log'!$E$4:$E$311,"Loss"))),"0%")&amp;" of "&amp;(SUMPRODUCT(('Match Log'!$D$4:$D$311=$A18)*('Match Log'!$E$4:$E$311="Win")*COUNTIFS('Match Log'!$A$4:$A$311,'Match Log'!$A$4:$A$311,'Match Log'!$D$4:$D$311,M$4,'Match Log'!$E$4:$E$311,"Loss"))+SUMPRODUCT(('Match Log'!$D$4:$D$311=M$4)*('Match Log'!$E$4:$E$311="Win")*COUNTIFS('Match Log'!$A$4:$A$311,'Match Log'!$A$4:$A$311,'Match Log'!$D$4:$D$311,$A18,'Match Log'!$E$4:$E$311,"Loss")))))</f>
        <v/>
      </c>
      <c r="N18" s="54" t="str">
        <f>IF($A18=N$4,"—",IF((SUMPRODUCT(('Match Log'!$D$4:$D$311=$A18)*('Match Log'!$E$4:$E$311="Win")*COUNTIFS('Match Log'!$A$4:$A$311,'Match Log'!$A$4:$A$311,'Match Log'!$D$4:$D$311,N$4,'Match Log'!$E$4:$E$311,"Loss"))+SUMPRODUCT(('Match Log'!$D$4:$D$311=N$4)*('Match Log'!$E$4:$E$311="Win")*COUNTIFS('Match Log'!$A$4:$A$311,'Match Log'!$A$4:$A$311,'Match Log'!$D$4:$D$311,$A18,'Match Log'!$E$4:$E$311,"Loss")))=0,"",TEXT(SUMPRODUCT(('Match Log'!$D$4:$D$311=$A18)*('Match Log'!$E$4:$E$311="Win")*COUNTIFS('Match Log'!$A$4:$A$311,'Match Log'!$A$4:$A$311,'Match Log'!$D$4:$D$311,N$4,'Match Log'!$E$4:$E$311,"Loss"))/(SUMPRODUCT(('Match Log'!$D$4:$D$311=$A18)*('Match Log'!$E$4:$E$311="Win")*COUNTIFS('Match Log'!$A$4:$A$311,'Match Log'!$A$4:$A$311,'Match Log'!$D$4:$D$311,N$4,'Match Log'!$E$4:$E$311,"Loss"))+SUMPRODUCT(('Match Log'!$D$4:$D$311=N$4)*('Match Log'!$E$4:$E$311="Win")*COUNTIFS('Match Log'!$A$4:$A$311,'Match Log'!$A$4:$A$311,'Match Log'!$D$4:$D$311,$A18,'Match Log'!$E$4:$E$311,"Loss"))),"0%")&amp;" of "&amp;(SUMPRODUCT(('Match Log'!$D$4:$D$311=$A18)*('Match Log'!$E$4:$E$311="Win")*COUNTIFS('Match Log'!$A$4:$A$311,'Match Log'!$A$4:$A$311,'Match Log'!$D$4:$D$311,N$4,'Match Log'!$E$4:$E$311,"Loss"))+SUMPRODUCT(('Match Log'!$D$4:$D$311=N$4)*('Match Log'!$E$4:$E$311="Win")*COUNTIFS('Match Log'!$A$4:$A$311,'Match Log'!$A$4:$A$311,'Match Log'!$D$4:$D$311,$A18,'Match Log'!$E$4:$E$311,"Loss")))))</f>
        <v/>
      </c>
      <c r="O18" s="54" t="str">
        <f>IF($A18=O$4,"—",IF((SUMPRODUCT(('Match Log'!$D$4:$D$311=$A18)*('Match Log'!$E$4:$E$311="Win")*COUNTIFS('Match Log'!$A$4:$A$311,'Match Log'!$A$4:$A$311,'Match Log'!$D$4:$D$311,O$4,'Match Log'!$E$4:$E$311,"Loss"))+SUMPRODUCT(('Match Log'!$D$4:$D$311=O$4)*('Match Log'!$E$4:$E$311="Win")*COUNTIFS('Match Log'!$A$4:$A$311,'Match Log'!$A$4:$A$311,'Match Log'!$D$4:$D$311,$A18,'Match Log'!$E$4:$E$311,"Loss")))=0,"",TEXT(SUMPRODUCT(('Match Log'!$D$4:$D$311=$A18)*('Match Log'!$E$4:$E$311="Win")*COUNTIFS('Match Log'!$A$4:$A$311,'Match Log'!$A$4:$A$311,'Match Log'!$D$4:$D$311,O$4,'Match Log'!$E$4:$E$311,"Loss"))/(SUMPRODUCT(('Match Log'!$D$4:$D$311=$A18)*('Match Log'!$E$4:$E$311="Win")*COUNTIFS('Match Log'!$A$4:$A$311,'Match Log'!$A$4:$A$311,'Match Log'!$D$4:$D$311,O$4,'Match Log'!$E$4:$E$311,"Loss"))+SUMPRODUCT(('Match Log'!$D$4:$D$311=O$4)*('Match Log'!$E$4:$E$311="Win")*COUNTIFS('Match Log'!$A$4:$A$311,'Match Log'!$A$4:$A$311,'Match Log'!$D$4:$D$311,$A18,'Match Log'!$E$4:$E$311,"Loss"))),"0%")&amp;" of "&amp;(SUMPRODUCT(('Match Log'!$D$4:$D$311=$A18)*('Match Log'!$E$4:$E$311="Win")*COUNTIFS('Match Log'!$A$4:$A$311,'Match Log'!$A$4:$A$311,'Match Log'!$D$4:$D$311,O$4,'Match Log'!$E$4:$E$311,"Loss"))+SUMPRODUCT(('Match Log'!$D$4:$D$311=O$4)*('Match Log'!$E$4:$E$311="Win")*COUNTIFS('Match Log'!$A$4:$A$311,'Match Log'!$A$4:$A$311,'Match Log'!$D$4:$D$311,$A18,'Match Log'!$E$4:$E$311,"Loss")))))</f>
        <v>—</v>
      </c>
    </row>
    <row r="19" spans="1:15" ht="15" customHeight="1" x14ac:dyDescent="0.2">
      <c r="A19" s="49"/>
      <c r="B19" s="75"/>
      <c r="C19" s="75"/>
      <c r="D19" s="75"/>
      <c r="E19" s="75"/>
      <c r="F19" s="75"/>
      <c r="G19" s="75"/>
      <c r="H19" s="75"/>
      <c r="I19" s="75"/>
      <c r="J19" s="75"/>
      <c r="K19" s="75"/>
      <c r="L19" s="75"/>
    </row>
    <row r="20" spans="1:15" ht="15" customHeight="1" x14ac:dyDescent="0.2">
      <c r="A20" s="76" t="s">
        <v>226</v>
      </c>
      <c r="B20" s="75"/>
      <c r="C20" s="75"/>
      <c r="D20" s="75"/>
      <c r="E20" s="75"/>
      <c r="F20" s="75"/>
      <c r="G20" s="75"/>
      <c r="H20" s="75"/>
      <c r="I20" s="75"/>
      <c r="J20" s="75"/>
      <c r="K20" s="75"/>
      <c r="L20" s="75"/>
    </row>
    <row r="21" spans="1:15" ht="15" customHeight="1" x14ac:dyDescent="0.2">
      <c r="A21" s="74" t="s">
        <v>227</v>
      </c>
      <c r="B21" s="49" t="s">
        <v>145</v>
      </c>
      <c r="C21" s="49" t="s">
        <v>142</v>
      </c>
      <c r="D21" s="49" t="s">
        <v>180</v>
      </c>
      <c r="E21" s="49" t="s">
        <v>147</v>
      </c>
      <c r="F21" s="49" t="s">
        <v>144</v>
      </c>
      <c r="G21" s="49" t="s">
        <v>141</v>
      </c>
      <c r="H21" s="49" t="s">
        <v>175</v>
      </c>
      <c r="I21" s="49" t="s">
        <v>177</v>
      </c>
      <c r="J21" s="49" t="s">
        <v>174</v>
      </c>
      <c r="K21" s="49" t="s">
        <v>182</v>
      </c>
      <c r="L21" s="49" t="s">
        <v>176</v>
      </c>
      <c r="M21" s="49" t="s">
        <v>178</v>
      </c>
      <c r="N21" s="49" t="s">
        <v>179</v>
      </c>
      <c r="O21" s="49" t="s">
        <v>181</v>
      </c>
    </row>
    <row r="22" spans="1:15" ht="15" customHeight="1" x14ac:dyDescent="0.2">
      <c r="A22" s="49" t="s">
        <v>145</v>
      </c>
      <c r="B22" s="75">
        <f>IF($A22=B$21,0,SUMPRODUCT(('Match Log'!$D$4:$D$311=$A22)*(COUNTIFS('Match Log'!$A$4:$A$311,'Match Log'!$A$4:$A$311,'Match Log'!$D$4:$D$311,B$21)&gt;0)))</f>
        <v>0</v>
      </c>
      <c r="C22" s="75">
        <f>IF($A22=C$21,0,SUMPRODUCT(('Match Log'!$D$4:$D$311=$A22)*(COUNTIFS('Match Log'!$A$4:$A$311,'Match Log'!$A$4:$A$311,'Match Log'!$D$4:$D$311,C$21)&gt;0)))</f>
        <v>3</v>
      </c>
      <c r="D22" s="75">
        <f>IF($A22=D$21,0,SUMPRODUCT(('Match Log'!$D$4:$D$311=$A22)*(COUNTIFS('Match Log'!$A$4:$A$311,'Match Log'!$A$4:$A$311,'Match Log'!$D$4:$D$311,D$21)&gt;0)))</f>
        <v>3</v>
      </c>
      <c r="E22" s="75">
        <f>IF($A22=E$21,0,SUMPRODUCT(('Match Log'!$D$4:$D$311=$A22)*(COUNTIFS('Match Log'!$A$4:$A$311,'Match Log'!$A$4:$A$311,'Match Log'!$D$4:$D$311,E$21)&gt;0)))</f>
        <v>4</v>
      </c>
      <c r="F22" s="75">
        <f>IF($A22=F$21,0,SUMPRODUCT(('Match Log'!$D$4:$D$311=$A22)*(COUNTIFS('Match Log'!$A$4:$A$311,'Match Log'!$A$4:$A$311,'Match Log'!$D$4:$D$311,F$21)&gt;0)))</f>
        <v>2</v>
      </c>
      <c r="G22" s="75">
        <f>IF($A22=G$21,0,SUMPRODUCT(('Match Log'!$D$4:$D$311=$A22)*(COUNTIFS('Match Log'!$A$4:$A$311,'Match Log'!$A$4:$A$311,'Match Log'!$D$4:$D$311,G$21)&gt;0)))</f>
        <v>11</v>
      </c>
      <c r="H22" s="75">
        <f>IF($A22=H$21,0,SUMPRODUCT(('Match Log'!$D$4:$D$311=$A22)*(COUNTIFS('Match Log'!$A$4:$A$311,'Match Log'!$A$4:$A$311,'Match Log'!$D$4:$D$311,H$21)&gt;0)))</f>
        <v>4</v>
      </c>
      <c r="I22" s="75">
        <f>IF($A22=I$21,0,SUMPRODUCT(('Match Log'!$D$4:$D$311=$A22)*(COUNTIFS('Match Log'!$A$4:$A$311,'Match Log'!$A$4:$A$311,'Match Log'!$D$4:$D$311,I$21)&gt;0)))</f>
        <v>5</v>
      </c>
      <c r="J22" s="75">
        <f>IF($A22=J$21,0,SUMPRODUCT(('Match Log'!$D$4:$D$311=$A22)*(COUNTIFS('Match Log'!$A$4:$A$311,'Match Log'!$A$4:$A$311,'Match Log'!$D$4:$D$311,J$21)&gt;0)))</f>
        <v>2</v>
      </c>
      <c r="K22" s="75">
        <f>IF($A22=K$21,0,SUMPRODUCT(('Match Log'!$D$4:$D$311=$A22)*(COUNTIFS('Match Log'!$A$4:$A$311,'Match Log'!$A$4:$A$311,'Match Log'!$D$4:$D$311,K$21)&gt;0)))</f>
        <v>2</v>
      </c>
      <c r="L22" s="75">
        <f>IF($A22=L$21,0,SUMPRODUCT(('Match Log'!$D$4:$D$311=$A22)*(COUNTIFS('Match Log'!$A$4:$A$311,'Match Log'!$A$4:$A$311,'Match Log'!$D$4:$D$311,L$21)&gt;0)))</f>
        <v>4</v>
      </c>
      <c r="M22" s="75">
        <f>IF($A22=M$21,0,SUMPRODUCT(('Match Log'!$D$4:$D$311=$A22)*(COUNTIFS('Match Log'!$A$4:$A$311,'Match Log'!$A$4:$A$311,'Match Log'!$D$4:$D$311,M$21)&gt;0)))</f>
        <v>1</v>
      </c>
      <c r="N22" s="75">
        <f>IF($A22=N$21,0,SUMPRODUCT(('Match Log'!$D$4:$D$311=$A22)*(COUNTIFS('Match Log'!$A$4:$A$311,'Match Log'!$A$4:$A$311,'Match Log'!$D$4:$D$311,N$21)&gt;0)))</f>
        <v>0</v>
      </c>
      <c r="O22" s="75">
        <f>IF($A22=O$21,0,SUMPRODUCT(('Match Log'!$D$4:$D$311=$A22)*(COUNTIFS('Match Log'!$A$4:$A$311,'Match Log'!$A$4:$A$311,'Match Log'!$D$4:$D$311,O$21)&gt;0)))</f>
        <v>0</v>
      </c>
    </row>
    <row r="23" spans="1:15" ht="15" customHeight="1" x14ac:dyDescent="0.2">
      <c r="A23" s="49" t="s">
        <v>142</v>
      </c>
      <c r="B23" s="75">
        <f>IF($A23=B$21,0,SUMPRODUCT(('Match Log'!$D$4:$D$311=$A23)*(COUNTIFS('Match Log'!$A$4:$A$311,'Match Log'!$A$4:$A$311,'Match Log'!$D$4:$D$311,B$21)&gt;0)))</f>
        <v>3</v>
      </c>
      <c r="C23" s="75">
        <f>IF($A23=C$21,0,SUMPRODUCT(('Match Log'!$D$4:$D$311=$A23)*(COUNTIFS('Match Log'!$A$4:$A$311,'Match Log'!$A$4:$A$311,'Match Log'!$D$4:$D$311,C$21)&gt;0)))</f>
        <v>0</v>
      </c>
      <c r="D23" s="75">
        <f>IF($A23=D$21,0,SUMPRODUCT(('Match Log'!$D$4:$D$311=$A23)*(COUNTIFS('Match Log'!$A$4:$A$311,'Match Log'!$A$4:$A$311,'Match Log'!$D$4:$D$311,D$21)&gt;0)))</f>
        <v>0</v>
      </c>
      <c r="E23" s="75">
        <f>IF($A23=E$21,0,SUMPRODUCT(('Match Log'!$D$4:$D$311=$A23)*(COUNTIFS('Match Log'!$A$4:$A$311,'Match Log'!$A$4:$A$311,'Match Log'!$D$4:$D$311,E$21)&gt;0)))</f>
        <v>1</v>
      </c>
      <c r="F23" s="75">
        <f>IF($A23=F$21,0,SUMPRODUCT(('Match Log'!$D$4:$D$311=$A23)*(COUNTIFS('Match Log'!$A$4:$A$311,'Match Log'!$A$4:$A$311,'Match Log'!$D$4:$D$311,F$21)&gt;0)))</f>
        <v>1</v>
      </c>
      <c r="G23" s="75">
        <f>IF($A23=G$21,0,SUMPRODUCT(('Match Log'!$D$4:$D$311=$A23)*(COUNTIFS('Match Log'!$A$4:$A$311,'Match Log'!$A$4:$A$311,'Match Log'!$D$4:$D$311,G$21)&gt;0)))</f>
        <v>1</v>
      </c>
      <c r="H23" s="75">
        <f>IF($A23=H$21,0,SUMPRODUCT(('Match Log'!$D$4:$D$311=$A23)*(COUNTIFS('Match Log'!$A$4:$A$311,'Match Log'!$A$4:$A$311,'Match Log'!$D$4:$D$311,H$21)&gt;0)))</f>
        <v>3</v>
      </c>
      <c r="I23" s="75">
        <f>IF($A23=I$21,0,SUMPRODUCT(('Match Log'!$D$4:$D$311=$A23)*(COUNTIFS('Match Log'!$A$4:$A$311,'Match Log'!$A$4:$A$311,'Match Log'!$D$4:$D$311,I$21)&gt;0)))</f>
        <v>2</v>
      </c>
      <c r="J23" s="75">
        <f>IF($A23=J$21,0,SUMPRODUCT(('Match Log'!$D$4:$D$311=$A23)*(COUNTIFS('Match Log'!$A$4:$A$311,'Match Log'!$A$4:$A$311,'Match Log'!$D$4:$D$311,J$21)&gt;0)))</f>
        <v>2</v>
      </c>
      <c r="K23" s="75">
        <f>IF($A23=K$21,0,SUMPRODUCT(('Match Log'!$D$4:$D$311=$A23)*(COUNTIFS('Match Log'!$A$4:$A$311,'Match Log'!$A$4:$A$311,'Match Log'!$D$4:$D$311,K$21)&gt;0)))</f>
        <v>1</v>
      </c>
      <c r="L23" s="75">
        <f>IF($A23=L$21,0,SUMPRODUCT(('Match Log'!$D$4:$D$311=$A23)*(COUNTIFS('Match Log'!$A$4:$A$311,'Match Log'!$A$4:$A$311,'Match Log'!$D$4:$D$311,L$21)&gt;0)))</f>
        <v>5</v>
      </c>
      <c r="M23" s="75">
        <f>IF($A23=M$21,0,SUMPRODUCT(('Match Log'!$D$4:$D$311=$A23)*(COUNTIFS('Match Log'!$A$4:$A$311,'Match Log'!$A$4:$A$311,'Match Log'!$D$4:$D$311,M$21)&gt;0)))</f>
        <v>1</v>
      </c>
      <c r="N23" s="75">
        <f>IF($A23=N$21,0,SUMPRODUCT(('Match Log'!$D$4:$D$311=$A23)*(COUNTIFS('Match Log'!$A$4:$A$311,'Match Log'!$A$4:$A$311,'Match Log'!$D$4:$D$311,N$21)&gt;0)))</f>
        <v>4</v>
      </c>
      <c r="O23" s="75">
        <f>IF($A23=O$21,0,SUMPRODUCT(('Match Log'!$D$4:$D$311=$A23)*(COUNTIFS('Match Log'!$A$4:$A$311,'Match Log'!$A$4:$A$311,'Match Log'!$D$4:$D$311,O$21)&gt;0)))</f>
        <v>0</v>
      </c>
    </row>
    <row r="24" spans="1:15" ht="15" customHeight="1" x14ac:dyDescent="0.2">
      <c r="A24" s="49" t="s">
        <v>180</v>
      </c>
      <c r="B24" s="75">
        <f>IF($A24=B$21,0,SUMPRODUCT(('Match Log'!$D$4:$D$311=$A24)*(COUNTIFS('Match Log'!$A$4:$A$311,'Match Log'!$A$4:$A$311,'Match Log'!$D$4:$D$311,B$21)&gt;0)))</f>
        <v>3</v>
      </c>
      <c r="C24" s="75">
        <f>IF($A24=C$21,0,SUMPRODUCT(('Match Log'!$D$4:$D$311=$A24)*(COUNTIFS('Match Log'!$A$4:$A$311,'Match Log'!$A$4:$A$311,'Match Log'!$D$4:$D$311,C$21)&gt;0)))</f>
        <v>0</v>
      </c>
      <c r="D24" s="75">
        <f>IF($A24=D$21,0,SUMPRODUCT(('Match Log'!$D$4:$D$311=$A24)*(COUNTIFS('Match Log'!$A$4:$A$311,'Match Log'!$A$4:$A$311,'Match Log'!$D$4:$D$311,D$21)&gt;0)))</f>
        <v>0</v>
      </c>
      <c r="E24" s="75">
        <f>IF($A24=E$21,0,SUMPRODUCT(('Match Log'!$D$4:$D$311=$A24)*(COUNTIFS('Match Log'!$A$4:$A$311,'Match Log'!$A$4:$A$311,'Match Log'!$D$4:$D$311,E$21)&gt;0)))</f>
        <v>1</v>
      </c>
      <c r="F24" s="75">
        <f>IF($A24=F$21,0,SUMPRODUCT(('Match Log'!$D$4:$D$311=$A24)*(COUNTIFS('Match Log'!$A$4:$A$311,'Match Log'!$A$4:$A$311,'Match Log'!$D$4:$D$311,F$21)&gt;0)))</f>
        <v>2</v>
      </c>
      <c r="G24" s="75">
        <f>IF($A24=G$21,0,SUMPRODUCT(('Match Log'!$D$4:$D$311=$A24)*(COUNTIFS('Match Log'!$A$4:$A$311,'Match Log'!$A$4:$A$311,'Match Log'!$D$4:$D$311,G$21)&gt;0)))</f>
        <v>1</v>
      </c>
      <c r="H24" s="75">
        <f>IF($A24=H$21,0,SUMPRODUCT(('Match Log'!$D$4:$D$311=$A24)*(COUNTIFS('Match Log'!$A$4:$A$311,'Match Log'!$A$4:$A$311,'Match Log'!$D$4:$D$311,H$21)&gt;0)))</f>
        <v>1</v>
      </c>
      <c r="I24" s="75">
        <f>IF($A24=I$21,0,SUMPRODUCT(('Match Log'!$D$4:$D$311=$A24)*(COUNTIFS('Match Log'!$A$4:$A$311,'Match Log'!$A$4:$A$311,'Match Log'!$D$4:$D$311,I$21)&gt;0)))</f>
        <v>7</v>
      </c>
      <c r="J24" s="75">
        <f>IF($A24=J$21,0,SUMPRODUCT(('Match Log'!$D$4:$D$311=$A24)*(COUNTIFS('Match Log'!$A$4:$A$311,'Match Log'!$A$4:$A$311,'Match Log'!$D$4:$D$311,J$21)&gt;0)))</f>
        <v>0</v>
      </c>
      <c r="K24" s="75">
        <f>IF($A24=K$21,0,SUMPRODUCT(('Match Log'!$D$4:$D$311=$A24)*(COUNTIFS('Match Log'!$A$4:$A$311,'Match Log'!$A$4:$A$311,'Match Log'!$D$4:$D$311,K$21)&gt;0)))</f>
        <v>1</v>
      </c>
      <c r="L24" s="75">
        <f>IF($A24=L$21,0,SUMPRODUCT(('Match Log'!$D$4:$D$311=$A24)*(COUNTIFS('Match Log'!$A$4:$A$311,'Match Log'!$A$4:$A$311,'Match Log'!$D$4:$D$311,L$21)&gt;0)))</f>
        <v>1</v>
      </c>
      <c r="M24" s="75">
        <f>IF($A24=M$21,0,SUMPRODUCT(('Match Log'!$D$4:$D$311=$A24)*(COUNTIFS('Match Log'!$A$4:$A$311,'Match Log'!$A$4:$A$311,'Match Log'!$D$4:$D$311,M$21)&gt;0)))</f>
        <v>0</v>
      </c>
      <c r="N24" s="75">
        <f>IF($A24=N$21,0,SUMPRODUCT(('Match Log'!$D$4:$D$311=$A24)*(COUNTIFS('Match Log'!$A$4:$A$311,'Match Log'!$A$4:$A$311,'Match Log'!$D$4:$D$311,N$21)&gt;0)))</f>
        <v>0</v>
      </c>
      <c r="O24" s="75">
        <f>IF($A24=O$21,0,SUMPRODUCT(('Match Log'!$D$4:$D$311=$A24)*(COUNTIFS('Match Log'!$A$4:$A$311,'Match Log'!$A$4:$A$311,'Match Log'!$D$4:$D$311,O$21)&gt;0)))</f>
        <v>0</v>
      </c>
    </row>
    <row r="25" spans="1:15" ht="15" customHeight="1" x14ac:dyDescent="0.2">
      <c r="A25" s="49" t="s">
        <v>147</v>
      </c>
      <c r="B25" s="75">
        <f>IF($A25=B$21,0,SUMPRODUCT(('Match Log'!$D$4:$D$311=$A25)*(COUNTIFS('Match Log'!$A$4:$A$311,'Match Log'!$A$4:$A$311,'Match Log'!$D$4:$D$311,B$21)&gt;0)))</f>
        <v>4</v>
      </c>
      <c r="C25" s="75">
        <f>IF($A25=C$21,0,SUMPRODUCT(('Match Log'!$D$4:$D$311=$A25)*(COUNTIFS('Match Log'!$A$4:$A$311,'Match Log'!$A$4:$A$311,'Match Log'!$D$4:$D$311,C$21)&gt;0)))</f>
        <v>1</v>
      </c>
      <c r="D25" s="75">
        <f>IF($A25=D$21,0,SUMPRODUCT(('Match Log'!$D$4:$D$311=$A25)*(COUNTIFS('Match Log'!$A$4:$A$311,'Match Log'!$A$4:$A$311,'Match Log'!$D$4:$D$311,D$21)&gt;0)))</f>
        <v>1</v>
      </c>
      <c r="E25" s="75">
        <f>IF($A25=E$21,0,SUMPRODUCT(('Match Log'!$D$4:$D$311=$A25)*(COUNTIFS('Match Log'!$A$4:$A$311,'Match Log'!$A$4:$A$311,'Match Log'!$D$4:$D$311,E$21)&gt;0)))</f>
        <v>0</v>
      </c>
      <c r="F25" s="75">
        <f>IF($A25=F$21,0,SUMPRODUCT(('Match Log'!$D$4:$D$311=$A25)*(COUNTIFS('Match Log'!$A$4:$A$311,'Match Log'!$A$4:$A$311,'Match Log'!$D$4:$D$311,F$21)&gt;0)))</f>
        <v>5</v>
      </c>
      <c r="G25" s="75">
        <f>IF($A25=G$21,0,SUMPRODUCT(('Match Log'!$D$4:$D$311=$A25)*(COUNTIFS('Match Log'!$A$4:$A$311,'Match Log'!$A$4:$A$311,'Match Log'!$D$4:$D$311,G$21)&gt;0)))</f>
        <v>2</v>
      </c>
      <c r="H25" s="75">
        <f>IF($A25=H$21,0,SUMPRODUCT(('Match Log'!$D$4:$D$311=$A25)*(COUNTIFS('Match Log'!$A$4:$A$311,'Match Log'!$A$4:$A$311,'Match Log'!$D$4:$D$311,H$21)&gt;0)))</f>
        <v>2</v>
      </c>
      <c r="I25" s="75">
        <f>IF($A25=I$21,0,SUMPRODUCT(('Match Log'!$D$4:$D$311=$A25)*(COUNTIFS('Match Log'!$A$4:$A$311,'Match Log'!$A$4:$A$311,'Match Log'!$D$4:$D$311,I$21)&gt;0)))</f>
        <v>4</v>
      </c>
      <c r="J25" s="75">
        <f>IF($A25=J$21,0,SUMPRODUCT(('Match Log'!$D$4:$D$311=$A25)*(COUNTIFS('Match Log'!$A$4:$A$311,'Match Log'!$A$4:$A$311,'Match Log'!$D$4:$D$311,J$21)&gt;0)))</f>
        <v>3</v>
      </c>
      <c r="K25" s="75">
        <f>IF($A25=K$21,0,SUMPRODUCT(('Match Log'!$D$4:$D$311=$A25)*(COUNTIFS('Match Log'!$A$4:$A$311,'Match Log'!$A$4:$A$311,'Match Log'!$D$4:$D$311,K$21)&gt;0)))</f>
        <v>1</v>
      </c>
      <c r="L25" s="75">
        <f>IF($A25=L$21,0,SUMPRODUCT(('Match Log'!$D$4:$D$311=$A25)*(COUNTIFS('Match Log'!$A$4:$A$311,'Match Log'!$A$4:$A$311,'Match Log'!$D$4:$D$311,L$21)&gt;0)))</f>
        <v>2</v>
      </c>
      <c r="M25" s="75">
        <f>IF($A25=M$21,0,SUMPRODUCT(('Match Log'!$D$4:$D$311=$A25)*(COUNTIFS('Match Log'!$A$4:$A$311,'Match Log'!$A$4:$A$311,'Match Log'!$D$4:$D$311,M$21)&gt;0)))</f>
        <v>5</v>
      </c>
      <c r="N25" s="75">
        <f>IF($A25=N$21,0,SUMPRODUCT(('Match Log'!$D$4:$D$311=$A25)*(COUNTIFS('Match Log'!$A$4:$A$311,'Match Log'!$A$4:$A$311,'Match Log'!$D$4:$D$311,N$21)&gt;0)))</f>
        <v>0</v>
      </c>
      <c r="O25" s="75">
        <f>IF($A25=O$21,0,SUMPRODUCT(('Match Log'!$D$4:$D$311=$A25)*(COUNTIFS('Match Log'!$A$4:$A$311,'Match Log'!$A$4:$A$311,'Match Log'!$D$4:$D$311,O$21)&gt;0)))</f>
        <v>0</v>
      </c>
    </row>
    <row r="26" spans="1:15" ht="15" customHeight="1" x14ac:dyDescent="0.2">
      <c r="A26" s="49" t="s">
        <v>144</v>
      </c>
      <c r="B26" s="75">
        <f>IF($A26=B$21,0,SUMPRODUCT(('Match Log'!$D$4:$D$311=$A26)*(COUNTIFS('Match Log'!$A$4:$A$311,'Match Log'!$A$4:$A$311,'Match Log'!$D$4:$D$311,B$21)&gt;0)))</f>
        <v>2</v>
      </c>
      <c r="C26" s="75">
        <f>IF($A26=C$21,0,SUMPRODUCT(('Match Log'!$D$4:$D$311=$A26)*(COUNTIFS('Match Log'!$A$4:$A$311,'Match Log'!$A$4:$A$311,'Match Log'!$D$4:$D$311,C$21)&gt;0)))</f>
        <v>1</v>
      </c>
      <c r="D26" s="75">
        <f>IF($A26=D$21,0,SUMPRODUCT(('Match Log'!$D$4:$D$311=$A26)*(COUNTIFS('Match Log'!$A$4:$A$311,'Match Log'!$A$4:$A$311,'Match Log'!$D$4:$D$311,D$21)&gt;0)))</f>
        <v>2</v>
      </c>
      <c r="E26" s="75">
        <f>IF($A26=E$21,0,SUMPRODUCT(('Match Log'!$D$4:$D$311=$A26)*(COUNTIFS('Match Log'!$A$4:$A$311,'Match Log'!$A$4:$A$311,'Match Log'!$D$4:$D$311,E$21)&gt;0)))</f>
        <v>5</v>
      </c>
      <c r="F26" s="75">
        <f>IF($A26=F$21,0,SUMPRODUCT(('Match Log'!$D$4:$D$311=$A26)*(COUNTIFS('Match Log'!$A$4:$A$311,'Match Log'!$A$4:$A$311,'Match Log'!$D$4:$D$311,F$21)&gt;0)))</f>
        <v>0</v>
      </c>
      <c r="G26" s="75">
        <f>IF($A26=G$21,0,SUMPRODUCT(('Match Log'!$D$4:$D$311=$A26)*(COUNTIFS('Match Log'!$A$4:$A$311,'Match Log'!$A$4:$A$311,'Match Log'!$D$4:$D$311,G$21)&gt;0)))</f>
        <v>10</v>
      </c>
      <c r="H26" s="75">
        <f>IF($A26=H$21,0,SUMPRODUCT(('Match Log'!$D$4:$D$311=$A26)*(COUNTIFS('Match Log'!$A$4:$A$311,'Match Log'!$A$4:$A$311,'Match Log'!$D$4:$D$311,H$21)&gt;0)))</f>
        <v>3</v>
      </c>
      <c r="I26" s="75">
        <f>IF($A26=I$21,0,SUMPRODUCT(('Match Log'!$D$4:$D$311=$A26)*(COUNTIFS('Match Log'!$A$4:$A$311,'Match Log'!$A$4:$A$311,'Match Log'!$D$4:$D$311,I$21)&gt;0)))</f>
        <v>13</v>
      </c>
      <c r="J26" s="75">
        <f>IF($A26=J$21,0,SUMPRODUCT(('Match Log'!$D$4:$D$311=$A26)*(COUNTIFS('Match Log'!$A$4:$A$311,'Match Log'!$A$4:$A$311,'Match Log'!$D$4:$D$311,J$21)&gt;0)))</f>
        <v>5</v>
      </c>
      <c r="K26" s="75">
        <f>IF($A26=K$21,0,SUMPRODUCT(('Match Log'!$D$4:$D$311=$A26)*(COUNTIFS('Match Log'!$A$4:$A$311,'Match Log'!$A$4:$A$311,'Match Log'!$D$4:$D$311,K$21)&gt;0)))</f>
        <v>4</v>
      </c>
      <c r="L26" s="75">
        <f>IF($A26=L$21,0,SUMPRODUCT(('Match Log'!$D$4:$D$311=$A26)*(COUNTIFS('Match Log'!$A$4:$A$311,'Match Log'!$A$4:$A$311,'Match Log'!$D$4:$D$311,L$21)&gt;0)))</f>
        <v>7</v>
      </c>
      <c r="M26" s="75">
        <f>IF($A26=M$21,0,SUMPRODUCT(('Match Log'!$D$4:$D$311=$A26)*(COUNTIFS('Match Log'!$A$4:$A$311,'Match Log'!$A$4:$A$311,'Match Log'!$D$4:$D$311,M$21)&gt;0)))</f>
        <v>1</v>
      </c>
      <c r="N26" s="75">
        <f>IF($A26=N$21,0,SUMPRODUCT(('Match Log'!$D$4:$D$311=$A26)*(COUNTIFS('Match Log'!$A$4:$A$311,'Match Log'!$A$4:$A$311,'Match Log'!$D$4:$D$311,N$21)&gt;0)))</f>
        <v>1</v>
      </c>
      <c r="O26" s="75">
        <f>IF($A26=O$21,0,SUMPRODUCT(('Match Log'!$D$4:$D$311=$A26)*(COUNTIFS('Match Log'!$A$4:$A$311,'Match Log'!$A$4:$A$311,'Match Log'!$D$4:$D$311,O$21)&gt;0)))</f>
        <v>0</v>
      </c>
    </row>
    <row r="27" spans="1:15" ht="15" customHeight="1" x14ac:dyDescent="0.2">
      <c r="A27" s="49" t="s">
        <v>141</v>
      </c>
      <c r="B27" s="75">
        <f>IF($A27=B$21,0,SUMPRODUCT(('Match Log'!$D$4:$D$311=$A27)*(COUNTIFS('Match Log'!$A$4:$A$311,'Match Log'!$A$4:$A$311,'Match Log'!$D$4:$D$311,B$21)&gt;0)))</f>
        <v>11</v>
      </c>
      <c r="C27" s="75">
        <f>IF($A27=C$21,0,SUMPRODUCT(('Match Log'!$D$4:$D$311=$A27)*(COUNTIFS('Match Log'!$A$4:$A$311,'Match Log'!$A$4:$A$311,'Match Log'!$D$4:$D$311,C$21)&gt;0)))</f>
        <v>1</v>
      </c>
      <c r="D27" s="75">
        <f>IF($A27=D$21,0,SUMPRODUCT(('Match Log'!$D$4:$D$311=$A27)*(COUNTIFS('Match Log'!$A$4:$A$311,'Match Log'!$A$4:$A$311,'Match Log'!$D$4:$D$311,D$21)&gt;0)))</f>
        <v>1</v>
      </c>
      <c r="E27" s="75">
        <f>IF($A27=E$21,0,SUMPRODUCT(('Match Log'!$D$4:$D$311=$A27)*(COUNTIFS('Match Log'!$A$4:$A$311,'Match Log'!$A$4:$A$311,'Match Log'!$D$4:$D$311,E$21)&gt;0)))</f>
        <v>2</v>
      </c>
      <c r="F27" s="75">
        <f>IF($A27=F$21,0,SUMPRODUCT(('Match Log'!$D$4:$D$311=$A27)*(COUNTIFS('Match Log'!$A$4:$A$311,'Match Log'!$A$4:$A$311,'Match Log'!$D$4:$D$311,F$21)&gt;0)))</f>
        <v>10</v>
      </c>
      <c r="G27" s="75">
        <f>IF($A27=G$21,0,SUMPRODUCT(('Match Log'!$D$4:$D$311=$A27)*(COUNTIFS('Match Log'!$A$4:$A$311,'Match Log'!$A$4:$A$311,'Match Log'!$D$4:$D$311,G$21)&gt;0)))</f>
        <v>0</v>
      </c>
      <c r="H27" s="75">
        <f>IF($A27=H$21,0,SUMPRODUCT(('Match Log'!$D$4:$D$311=$A27)*(COUNTIFS('Match Log'!$A$4:$A$311,'Match Log'!$A$4:$A$311,'Match Log'!$D$4:$D$311,H$21)&gt;0)))</f>
        <v>3</v>
      </c>
      <c r="I27" s="75">
        <f>IF($A27=I$21,0,SUMPRODUCT(('Match Log'!$D$4:$D$311=$A27)*(COUNTIFS('Match Log'!$A$4:$A$311,'Match Log'!$A$4:$A$311,'Match Log'!$D$4:$D$311,I$21)&gt;0)))</f>
        <v>19</v>
      </c>
      <c r="J27" s="75">
        <f>IF($A27=J$21,0,SUMPRODUCT(('Match Log'!$D$4:$D$311=$A27)*(COUNTIFS('Match Log'!$A$4:$A$311,'Match Log'!$A$4:$A$311,'Match Log'!$D$4:$D$311,J$21)&gt;0)))</f>
        <v>3</v>
      </c>
      <c r="K27" s="75">
        <f>IF($A27=K$21,0,SUMPRODUCT(('Match Log'!$D$4:$D$311=$A27)*(COUNTIFS('Match Log'!$A$4:$A$311,'Match Log'!$A$4:$A$311,'Match Log'!$D$4:$D$311,K$21)&gt;0)))</f>
        <v>0</v>
      </c>
      <c r="L27" s="75">
        <f>IF($A27=L$21,0,SUMPRODUCT(('Match Log'!$D$4:$D$311=$A27)*(COUNTIFS('Match Log'!$A$4:$A$311,'Match Log'!$A$4:$A$311,'Match Log'!$D$4:$D$311,L$21)&gt;0)))</f>
        <v>14</v>
      </c>
      <c r="M27" s="75">
        <f>IF($A27=M$21,0,SUMPRODUCT(('Match Log'!$D$4:$D$311=$A27)*(COUNTIFS('Match Log'!$A$4:$A$311,'Match Log'!$A$4:$A$311,'Match Log'!$D$4:$D$311,M$21)&gt;0)))</f>
        <v>1</v>
      </c>
      <c r="N27" s="75">
        <f>IF($A27=N$21,0,SUMPRODUCT(('Match Log'!$D$4:$D$311=$A27)*(COUNTIFS('Match Log'!$A$4:$A$311,'Match Log'!$A$4:$A$311,'Match Log'!$D$4:$D$311,N$21)&gt;0)))</f>
        <v>1</v>
      </c>
      <c r="O27" s="75">
        <f>IF($A27=O$21,0,SUMPRODUCT(('Match Log'!$D$4:$D$311=$A27)*(COUNTIFS('Match Log'!$A$4:$A$311,'Match Log'!$A$4:$A$311,'Match Log'!$D$4:$D$311,O$21)&gt;0)))</f>
        <v>0</v>
      </c>
    </row>
    <row r="28" spans="1:15" ht="15" customHeight="1" x14ac:dyDescent="0.2">
      <c r="A28" s="49" t="s">
        <v>175</v>
      </c>
      <c r="B28" s="75">
        <f>IF($A28=B$21,0,SUMPRODUCT(('Match Log'!$D$4:$D$311=$A28)*(COUNTIFS('Match Log'!$A$4:$A$311,'Match Log'!$A$4:$A$311,'Match Log'!$D$4:$D$311,B$21)&gt;0)))</f>
        <v>4</v>
      </c>
      <c r="C28" s="75">
        <f>IF($A28=C$21,0,SUMPRODUCT(('Match Log'!$D$4:$D$311=$A28)*(COUNTIFS('Match Log'!$A$4:$A$311,'Match Log'!$A$4:$A$311,'Match Log'!$D$4:$D$311,C$21)&gt;0)))</f>
        <v>3</v>
      </c>
      <c r="D28" s="75">
        <f>IF($A28=D$21,0,SUMPRODUCT(('Match Log'!$D$4:$D$311=$A28)*(COUNTIFS('Match Log'!$A$4:$A$311,'Match Log'!$A$4:$A$311,'Match Log'!$D$4:$D$311,D$21)&gt;0)))</f>
        <v>1</v>
      </c>
      <c r="E28" s="75">
        <f>IF($A28=E$21,0,SUMPRODUCT(('Match Log'!$D$4:$D$311=$A28)*(COUNTIFS('Match Log'!$A$4:$A$311,'Match Log'!$A$4:$A$311,'Match Log'!$D$4:$D$311,E$21)&gt;0)))</f>
        <v>2</v>
      </c>
      <c r="F28" s="75">
        <f>IF($A28=F$21,0,SUMPRODUCT(('Match Log'!$D$4:$D$311=$A28)*(COUNTIFS('Match Log'!$A$4:$A$311,'Match Log'!$A$4:$A$311,'Match Log'!$D$4:$D$311,F$21)&gt;0)))</f>
        <v>3</v>
      </c>
      <c r="G28" s="75">
        <f>IF($A28=G$21,0,SUMPRODUCT(('Match Log'!$D$4:$D$311=$A28)*(COUNTIFS('Match Log'!$A$4:$A$311,'Match Log'!$A$4:$A$311,'Match Log'!$D$4:$D$311,G$21)&gt;0)))</f>
        <v>3</v>
      </c>
      <c r="H28" s="75">
        <f>IF($A28=H$21,0,SUMPRODUCT(('Match Log'!$D$4:$D$311=$A28)*(COUNTIFS('Match Log'!$A$4:$A$311,'Match Log'!$A$4:$A$311,'Match Log'!$D$4:$D$311,H$21)&gt;0)))</f>
        <v>0</v>
      </c>
      <c r="I28" s="75">
        <f>IF($A28=I$21,0,SUMPRODUCT(('Match Log'!$D$4:$D$311=$A28)*(COUNTIFS('Match Log'!$A$4:$A$311,'Match Log'!$A$4:$A$311,'Match Log'!$D$4:$D$311,I$21)&gt;0)))</f>
        <v>1</v>
      </c>
      <c r="J28" s="75">
        <f>IF($A28=J$21,0,SUMPRODUCT(('Match Log'!$D$4:$D$311=$A28)*(COUNTIFS('Match Log'!$A$4:$A$311,'Match Log'!$A$4:$A$311,'Match Log'!$D$4:$D$311,J$21)&gt;0)))</f>
        <v>2</v>
      </c>
      <c r="K28" s="75">
        <f>IF($A28=K$21,0,SUMPRODUCT(('Match Log'!$D$4:$D$311=$A28)*(COUNTIFS('Match Log'!$A$4:$A$311,'Match Log'!$A$4:$A$311,'Match Log'!$D$4:$D$311,K$21)&gt;0)))</f>
        <v>2</v>
      </c>
      <c r="L28" s="75">
        <f>IF($A28=L$21,0,SUMPRODUCT(('Match Log'!$D$4:$D$311=$A28)*(COUNTIFS('Match Log'!$A$4:$A$311,'Match Log'!$A$4:$A$311,'Match Log'!$D$4:$D$311,L$21)&gt;0)))</f>
        <v>13</v>
      </c>
      <c r="M28" s="75">
        <f>IF($A28=M$21,0,SUMPRODUCT(('Match Log'!$D$4:$D$311=$A28)*(COUNTIFS('Match Log'!$A$4:$A$311,'Match Log'!$A$4:$A$311,'Match Log'!$D$4:$D$311,M$21)&gt;0)))</f>
        <v>1</v>
      </c>
      <c r="N28" s="75">
        <f>IF($A28=N$21,0,SUMPRODUCT(('Match Log'!$D$4:$D$311=$A28)*(COUNTIFS('Match Log'!$A$4:$A$311,'Match Log'!$A$4:$A$311,'Match Log'!$D$4:$D$311,N$21)&gt;0)))</f>
        <v>2</v>
      </c>
      <c r="O28" s="75">
        <f>IF($A28=O$21,0,SUMPRODUCT(('Match Log'!$D$4:$D$311=$A28)*(COUNTIFS('Match Log'!$A$4:$A$311,'Match Log'!$A$4:$A$311,'Match Log'!$D$4:$D$311,O$21)&gt;0)))</f>
        <v>0</v>
      </c>
    </row>
    <row r="29" spans="1:15" ht="15" customHeight="1" x14ac:dyDescent="0.2">
      <c r="A29" s="49" t="s">
        <v>177</v>
      </c>
      <c r="B29" s="75">
        <f>IF($A29=B$21,0,SUMPRODUCT(('Match Log'!$D$4:$D$311=$A29)*(COUNTIFS('Match Log'!$A$4:$A$311,'Match Log'!$A$4:$A$311,'Match Log'!$D$4:$D$311,B$21)&gt;0)))</f>
        <v>5</v>
      </c>
      <c r="C29" s="75">
        <f>IF($A29=C$21,0,SUMPRODUCT(('Match Log'!$D$4:$D$311=$A29)*(COUNTIFS('Match Log'!$A$4:$A$311,'Match Log'!$A$4:$A$311,'Match Log'!$D$4:$D$311,C$21)&gt;0)))</f>
        <v>2</v>
      </c>
      <c r="D29" s="75">
        <f>IF($A29=D$21,0,SUMPRODUCT(('Match Log'!$D$4:$D$311=$A29)*(COUNTIFS('Match Log'!$A$4:$A$311,'Match Log'!$A$4:$A$311,'Match Log'!$D$4:$D$311,D$21)&gt;0)))</f>
        <v>7</v>
      </c>
      <c r="E29" s="75">
        <f>IF($A29=E$21,0,SUMPRODUCT(('Match Log'!$D$4:$D$311=$A29)*(COUNTIFS('Match Log'!$A$4:$A$311,'Match Log'!$A$4:$A$311,'Match Log'!$D$4:$D$311,E$21)&gt;0)))</f>
        <v>4</v>
      </c>
      <c r="F29" s="75">
        <f>IF($A29=F$21,0,SUMPRODUCT(('Match Log'!$D$4:$D$311=$A29)*(COUNTIFS('Match Log'!$A$4:$A$311,'Match Log'!$A$4:$A$311,'Match Log'!$D$4:$D$311,F$21)&gt;0)))</f>
        <v>13</v>
      </c>
      <c r="G29" s="75">
        <f>IF($A29=G$21,0,SUMPRODUCT(('Match Log'!$D$4:$D$311=$A29)*(COUNTIFS('Match Log'!$A$4:$A$311,'Match Log'!$A$4:$A$311,'Match Log'!$D$4:$D$311,G$21)&gt;0)))</f>
        <v>19</v>
      </c>
      <c r="H29" s="75">
        <f>IF($A29=H$21,0,SUMPRODUCT(('Match Log'!$D$4:$D$311=$A29)*(COUNTIFS('Match Log'!$A$4:$A$311,'Match Log'!$A$4:$A$311,'Match Log'!$D$4:$D$311,H$21)&gt;0)))</f>
        <v>1</v>
      </c>
      <c r="I29" s="75">
        <f>IF($A29=I$21,0,SUMPRODUCT(('Match Log'!$D$4:$D$311=$A29)*(COUNTIFS('Match Log'!$A$4:$A$311,'Match Log'!$A$4:$A$311,'Match Log'!$D$4:$D$311,I$21)&gt;0)))</f>
        <v>0</v>
      </c>
      <c r="J29" s="75">
        <f>IF($A29=J$21,0,SUMPRODUCT(('Match Log'!$D$4:$D$311=$A29)*(COUNTIFS('Match Log'!$A$4:$A$311,'Match Log'!$A$4:$A$311,'Match Log'!$D$4:$D$311,J$21)&gt;0)))</f>
        <v>12</v>
      </c>
      <c r="K29" s="75">
        <f>IF($A29=K$21,0,SUMPRODUCT(('Match Log'!$D$4:$D$311=$A29)*(COUNTIFS('Match Log'!$A$4:$A$311,'Match Log'!$A$4:$A$311,'Match Log'!$D$4:$D$311,K$21)&gt;0)))</f>
        <v>2</v>
      </c>
      <c r="L29" s="75">
        <f>IF($A29=L$21,0,SUMPRODUCT(('Match Log'!$D$4:$D$311=$A29)*(COUNTIFS('Match Log'!$A$4:$A$311,'Match Log'!$A$4:$A$311,'Match Log'!$D$4:$D$311,L$21)&gt;0)))</f>
        <v>6</v>
      </c>
      <c r="M29" s="75">
        <f>IF($A29=M$21,0,SUMPRODUCT(('Match Log'!$D$4:$D$311=$A29)*(COUNTIFS('Match Log'!$A$4:$A$311,'Match Log'!$A$4:$A$311,'Match Log'!$D$4:$D$311,M$21)&gt;0)))</f>
        <v>2</v>
      </c>
      <c r="N29" s="75">
        <f>IF($A29=N$21,0,SUMPRODUCT(('Match Log'!$D$4:$D$311=$A29)*(COUNTIFS('Match Log'!$A$4:$A$311,'Match Log'!$A$4:$A$311,'Match Log'!$D$4:$D$311,N$21)&gt;0)))</f>
        <v>1</v>
      </c>
      <c r="O29" s="75">
        <f>IF($A29=O$21,0,SUMPRODUCT(('Match Log'!$D$4:$D$311=$A29)*(COUNTIFS('Match Log'!$A$4:$A$311,'Match Log'!$A$4:$A$311,'Match Log'!$D$4:$D$311,O$21)&gt;0)))</f>
        <v>0</v>
      </c>
    </row>
    <row r="30" spans="1:15" ht="15" customHeight="1" x14ac:dyDescent="0.2">
      <c r="A30" s="49" t="s">
        <v>174</v>
      </c>
      <c r="B30" s="75">
        <f>IF($A30=B$21,0,SUMPRODUCT(('Match Log'!$D$4:$D$311=$A30)*(COUNTIFS('Match Log'!$A$4:$A$311,'Match Log'!$A$4:$A$311,'Match Log'!$D$4:$D$311,B$21)&gt;0)))</f>
        <v>2</v>
      </c>
      <c r="C30" s="75">
        <f>IF($A30=C$21,0,SUMPRODUCT(('Match Log'!$D$4:$D$311=$A30)*(COUNTIFS('Match Log'!$A$4:$A$311,'Match Log'!$A$4:$A$311,'Match Log'!$D$4:$D$311,C$21)&gt;0)))</f>
        <v>2</v>
      </c>
      <c r="D30" s="75">
        <f>IF($A30=D$21,0,SUMPRODUCT(('Match Log'!$D$4:$D$311=$A30)*(COUNTIFS('Match Log'!$A$4:$A$311,'Match Log'!$A$4:$A$311,'Match Log'!$D$4:$D$311,D$21)&gt;0)))</f>
        <v>0</v>
      </c>
      <c r="E30" s="75">
        <f>IF($A30=E$21,0,SUMPRODUCT(('Match Log'!$D$4:$D$311=$A30)*(COUNTIFS('Match Log'!$A$4:$A$311,'Match Log'!$A$4:$A$311,'Match Log'!$D$4:$D$311,E$21)&gt;0)))</f>
        <v>3</v>
      </c>
      <c r="F30" s="75">
        <f>IF($A30=F$21,0,SUMPRODUCT(('Match Log'!$D$4:$D$311=$A30)*(COUNTIFS('Match Log'!$A$4:$A$311,'Match Log'!$A$4:$A$311,'Match Log'!$D$4:$D$311,F$21)&gt;0)))</f>
        <v>5</v>
      </c>
      <c r="G30" s="75">
        <f>IF($A30=G$21,0,SUMPRODUCT(('Match Log'!$D$4:$D$311=$A30)*(COUNTIFS('Match Log'!$A$4:$A$311,'Match Log'!$A$4:$A$311,'Match Log'!$D$4:$D$311,G$21)&gt;0)))</f>
        <v>3</v>
      </c>
      <c r="H30" s="75">
        <f>IF($A30=H$21,0,SUMPRODUCT(('Match Log'!$D$4:$D$311=$A30)*(COUNTIFS('Match Log'!$A$4:$A$311,'Match Log'!$A$4:$A$311,'Match Log'!$D$4:$D$311,H$21)&gt;0)))</f>
        <v>2</v>
      </c>
      <c r="I30" s="75">
        <f>IF($A30=I$21,0,SUMPRODUCT(('Match Log'!$D$4:$D$311=$A30)*(COUNTIFS('Match Log'!$A$4:$A$311,'Match Log'!$A$4:$A$311,'Match Log'!$D$4:$D$311,I$21)&gt;0)))</f>
        <v>12</v>
      </c>
      <c r="J30" s="75">
        <f>IF($A30=J$21,0,SUMPRODUCT(('Match Log'!$D$4:$D$311=$A30)*(COUNTIFS('Match Log'!$A$4:$A$311,'Match Log'!$A$4:$A$311,'Match Log'!$D$4:$D$311,J$21)&gt;0)))</f>
        <v>0</v>
      </c>
      <c r="K30" s="75">
        <f>IF($A30=K$21,0,SUMPRODUCT(('Match Log'!$D$4:$D$311=$A30)*(COUNTIFS('Match Log'!$A$4:$A$311,'Match Log'!$A$4:$A$311,'Match Log'!$D$4:$D$311,K$21)&gt;0)))</f>
        <v>1</v>
      </c>
      <c r="L30" s="75">
        <f>IF($A30=L$21,0,SUMPRODUCT(('Match Log'!$D$4:$D$311=$A30)*(COUNTIFS('Match Log'!$A$4:$A$311,'Match Log'!$A$4:$A$311,'Match Log'!$D$4:$D$311,L$21)&gt;0)))</f>
        <v>6</v>
      </c>
      <c r="M30" s="75">
        <f>IF($A30=M$21,0,SUMPRODUCT(('Match Log'!$D$4:$D$311=$A30)*(COUNTIFS('Match Log'!$A$4:$A$311,'Match Log'!$A$4:$A$311,'Match Log'!$D$4:$D$311,M$21)&gt;0)))</f>
        <v>2</v>
      </c>
      <c r="N30" s="75">
        <f>IF($A30=N$21,0,SUMPRODUCT(('Match Log'!$D$4:$D$311=$A30)*(COUNTIFS('Match Log'!$A$4:$A$311,'Match Log'!$A$4:$A$311,'Match Log'!$D$4:$D$311,N$21)&gt;0)))</f>
        <v>1</v>
      </c>
      <c r="O30" s="75">
        <f>IF($A30=O$21,0,SUMPRODUCT(('Match Log'!$D$4:$D$311=$A30)*(COUNTIFS('Match Log'!$A$4:$A$311,'Match Log'!$A$4:$A$311,'Match Log'!$D$4:$D$311,O$21)&gt;0)))</f>
        <v>0</v>
      </c>
    </row>
    <row r="31" spans="1:15" ht="15" customHeight="1" x14ac:dyDescent="0.2">
      <c r="A31" s="49" t="s">
        <v>182</v>
      </c>
      <c r="B31" s="75">
        <f>IF($A31=B$21,0,SUMPRODUCT(('Match Log'!$D$4:$D$311=$A31)*(COUNTIFS('Match Log'!$A$4:$A$311,'Match Log'!$A$4:$A$311,'Match Log'!$D$4:$D$311,B$21)&gt;0)))</f>
        <v>2</v>
      </c>
      <c r="C31" s="75">
        <f>IF($A31=C$21,0,SUMPRODUCT(('Match Log'!$D$4:$D$311=$A31)*(COUNTIFS('Match Log'!$A$4:$A$311,'Match Log'!$A$4:$A$311,'Match Log'!$D$4:$D$311,C$21)&gt;0)))</f>
        <v>1</v>
      </c>
      <c r="D31" s="75">
        <f>IF($A31=D$21,0,SUMPRODUCT(('Match Log'!$D$4:$D$311=$A31)*(COUNTIFS('Match Log'!$A$4:$A$311,'Match Log'!$A$4:$A$311,'Match Log'!$D$4:$D$311,D$21)&gt;0)))</f>
        <v>1</v>
      </c>
      <c r="E31" s="75">
        <f>IF($A31=E$21,0,SUMPRODUCT(('Match Log'!$D$4:$D$311=$A31)*(COUNTIFS('Match Log'!$A$4:$A$311,'Match Log'!$A$4:$A$311,'Match Log'!$D$4:$D$311,E$21)&gt;0)))</f>
        <v>1</v>
      </c>
      <c r="F31" s="75">
        <f>IF($A31=F$21,0,SUMPRODUCT(('Match Log'!$D$4:$D$311=$A31)*(COUNTIFS('Match Log'!$A$4:$A$311,'Match Log'!$A$4:$A$311,'Match Log'!$D$4:$D$311,F$21)&gt;0)))</f>
        <v>4</v>
      </c>
      <c r="G31" s="75">
        <f>IF($A31=G$21,0,SUMPRODUCT(('Match Log'!$D$4:$D$311=$A31)*(COUNTIFS('Match Log'!$A$4:$A$311,'Match Log'!$A$4:$A$311,'Match Log'!$D$4:$D$311,G$21)&gt;0)))</f>
        <v>0</v>
      </c>
      <c r="H31" s="75">
        <f>IF($A31=H$21,0,SUMPRODUCT(('Match Log'!$D$4:$D$311=$A31)*(COUNTIFS('Match Log'!$A$4:$A$311,'Match Log'!$A$4:$A$311,'Match Log'!$D$4:$D$311,H$21)&gt;0)))</f>
        <v>2</v>
      </c>
      <c r="I31" s="75">
        <f>IF($A31=I$21,0,SUMPRODUCT(('Match Log'!$D$4:$D$311=$A31)*(COUNTIFS('Match Log'!$A$4:$A$311,'Match Log'!$A$4:$A$311,'Match Log'!$D$4:$D$311,I$21)&gt;0)))</f>
        <v>2</v>
      </c>
      <c r="J31" s="75">
        <f>IF($A31=J$21,0,SUMPRODUCT(('Match Log'!$D$4:$D$311=$A31)*(COUNTIFS('Match Log'!$A$4:$A$311,'Match Log'!$A$4:$A$311,'Match Log'!$D$4:$D$311,J$21)&gt;0)))</f>
        <v>1</v>
      </c>
      <c r="K31" s="75">
        <f>IF($A31=K$21,0,SUMPRODUCT(('Match Log'!$D$4:$D$311=$A31)*(COUNTIFS('Match Log'!$A$4:$A$311,'Match Log'!$A$4:$A$311,'Match Log'!$D$4:$D$311,K$21)&gt;0)))</f>
        <v>0</v>
      </c>
      <c r="L31" s="75">
        <f>IF($A31=L$21,0,SUMPRODUCT(('Match Log'!$D$4:$D$311=$A31)*(COUNTIFS('Match Log'!$A$4:$A$311,'Match Log'!$A$4:$A$311,'Match Log'!$D$4:$D$311,L$21)&gt;0)))</f>
        <v>3</v>
      </c>
      <c r="M31" s="75">
        <f>IF($A31=M$21,0,SUMPRODUCT(('Match Log'!$D$4:$D$311=$A31)*(COUNTIFS('Match Log'!$A$4:$A$311,'Match Log'!$A$4:$A$311,'Match Log'!$D$4:$D$311,M$21)&gt;0)))</f>
        <v>0</v>
      </c>
      <c r="N31" s="75">
        <f>IF($A31=N$21,0,SUMPRODUCT(('Match Log'!$D$4:$D$311=$A31)*(COUNTIFS('Match Log'!$A$4:$A$311,'Match Log'!$A$4:$A$311,'Match Log'!$D$4:$D$311,N$21)&gt;0)))</f>
        <v>0</v>
      </c>
      <c r="O31" s="75">
        <f>IF($A31=O$21,0,SUMPRODUCT(('Match Log'!$D$4:$D$311=$A31)*(COUNTIFS('Match Log'!$A$4:$A$311,'Match Log'!$A$4:$A$311,'Match Log'!$D$4:$D$311,O$21)&gt;0)))</f>
        <v>0</v>
      </c>
    </row>
    <row r="32" spans="1:15" ht="15" customHeight="1" x14ac:dyDescent="0.2">
      <c r="A32" s="49" t="s">
        <v>176</v>
      </c>
      <c r="B32" s="75">
        <f>IF($A32=B$21,0,SUMPRODUCT(('Match Log'!$D$4:$D$311=$A32)*(COUNTIFS('Match Log'!$A$4:$A$311,'Match Log'!$A$4:$A$311,'Match Log'!$D$4:$D$311,B$21)&gt;0)))</f>
        <v>4</v>
      </c>
      <c r="C32" s="75">
        <f>IF($A32=C$21,0,SUMPRODUCT(('Match Log'!$D$4:$D$311=$A32)*(COUNTIFS('Match Log'!$A$4:$A$311,'Match Log'!$A$4:$A$311,'Match Log'!$D$4:$D$311,C$21)&gt;0)))</f>
        <v>5</v>
      </c>
      <c r="D32" s="75">
        <f>IF($A32=D$21,0,SUMPRODUCT(('Match Log'!$D$4:$D$311=$A32)*(COUNTIFS('Match Log'!$A$4:$A$311,'Match Log'!$A$4:$A$311,'Match Log'!$D$4:$D$311,D$21)&gt;0)))</f>
        <v>1</v>
      </c>
      <c r="E32" s="75">
        <f>IF($A32=E$21,0,SUMPRODUCT(('Match Log'!$D$4:$D$311=$A32)*(COUNTIFS('Match Log'!$A$4:$A$311,'Match Log'!$A$4:$A$311,'Match Log'!$D$4:$D$311,E$21)&gt;0)))</f>
        <v>2</v>
      </c>
      <c r="F32" s="75">
        <f>IF($A32=F$21,0,SUMPRODUCT(('Match Log'!$D$4:$D$311=$A32)*(COUNTIFS('Match Log'!$A$4:$A$311,'Match Log'!$A$4:$A$311,'Match Log'!$D$4:$D$311,F$21)&gt;0)))</f>
        <v>7</v>
      </c>
      <c r="G32" s="75">
        <f>IF($A32=G$21,0,SUMPRODUCT(('Match Log'!$D$4:$D$311=$A32)*(COUNTIFS('Match Log'!$A$4:$A$311,'Match Log'!$A$4:$A$311,'Match Log'!$D$4:$D$311,G$21)&gt;0)))</f>
        <v>14</v>
      </c>
      <c r="H32" s="75">
        <f>IF($A32=H$21,0,SUMPRODUCT(('Match Log'!$D$4:$D$311=$A32)*(COUNTIFS('Match Log'!$A$4:$A$311,'Match Log'!$A$4:$A$311,'Match Log'!$D$4:$D$311,H$21)&gt;0)))</f>
        <v>13</v>
      </c>
      <c r="I32" s="75">
        <f>IF($A32=I$21,0,SUMPRODUCT(('Match Log'!$D$4:$D$311=$A32)*(COUNTIFS('Match Log'!$A$4:$A$311,'Match Log'!$A$4:$A$311,'Match Log'!$D$4:$D$311,I$21)&gt;0)))</f>
        <v>6</v>
      </c>
      <c r="J32" s="75">
        <f>IF($A32=J$21,0,SUMPRODUCT(('Match Log'!$D$4:$D$311=$A32)*(COUNTIFS('Match Log'!$A$4:$A$311,'Match Log'!$A$4:$A$311,'Match Log'!$D$4:$D$311,J$21)&gt;0)))</f>
        <v>6</v>
      </c>
      <c r="K32" s="75">
        <f>IF($A32=K$21,0,SUMPRODUCT(('Match Log'!$D$4:$D$311=$A32)*(COUNTIFS('Match Log'!$A$4:$A$311,'Match Log'!$A$4:$A$311,'Match Log'!$D$4:$D$311,K$21)&gt;0)))</f>
        <v>3</v>
      </c>
      <c r="L32" s="75">
        <f>IF($A32=L$21,0,SUMPRODUCT(('Match Log'!$D$4:$D$311=$A32)*(COUNTIFS('Match Log'!$A$4:$A$311,'Match Log'!$A$4:$A$311,'Match Log'!$D$4:$D$311,L$21)&gt;0)))</f>
        <v>0</v>
      </c>
      <c r="M32" s="75">
        <f>IF($A32=M$21,0,SUMPRODUCT(('Match Log'!$D$4:$D$311=$A32)*(COUNTIFS('Match Log'!$A$4:$A$311,'Match Log'!$A$4:$A$311,'Match Log'!$D$4:$D$311,M$21)&gt;0)))</f>
        <v>1</v>
      </c>
      <c r="N32" s="75">
        <f>IF($A32=N$21,0,SUMPRODUCT(('Match Log'!$D$4:$D$311=$A32)*(COUNTIFS('Match Log'!$A$4:$A$311,'Match Log'!$A$4:$A$311,'Match Log'!$D$4:$D$311,N$21)&gt;0)))</f>
        <v>2</v>
      </c>
      <c r="O32" s="75">
        <f>IF($A32=O$21,0,SUMPRODUCT(('Match Log'!$D$4:$D$311=$A32)*(COUNTIFS('Match Log'!$A$4:$A$311,'Match Log'!$A$4:$A$311,'Match Log'!$D$4:$D$311,O$21)&gt;0)))</f>
        <v>0</v>
      </c>
    </row>
    <row r="33" spans="1:15" ht="15" customHeight="1" x14ac:dyDescent="0.2">
      <c r="A33" s="49" t="s">
        <v>178</v>
      </c>
      <c r="B33" s="75">
        <f>IF($A33=B$21,0,SUMPRODUCT(('Match Log'!$D$4:$D$311=$A33)*(COUNTIFS('Match Log'!$A$4:$A$311,'Match Log'!$A$4:$A$311,'Match Log'!$D$4:$D$311,B$21)&gt;0)))</f>
        <v>1</v>
      </c>
      <c r="C33" s="75">
        <f>IF($A33=C$21,0,SUMPRODUCT(('Match Log'!$D$4:$D$311=$A33)*(COUNTIFS('Match Log'!$A$4:$A$311,'Match Log'!$A$4:$A$311,'Match Log'!$D$4:$D$311,C$21)&gt;0)))</f>
        <v>1</v>
      </c>
      <c r="D33" s="75">
        <f>IF($A33=D$21,0,SUMPRODUCT(('Match Log'!$D$4:$D$311=$A33)*(COUNTIFS('Match Log'!$A$4:$A$311,'Match Log'!$A$4:$A$311,'Match Log'!$D$4:$D$311,D$21)&gt;0)))</f>
        <v>0</v>
      </c>
      <c r="E33" s="75">
        <f>IF($A33=E$21,0,SUMPRODUCT(('Match Log'!$D$4:$D$311=$A33)*(COUNTIFS('Match Log'!$A$4:$A$311,'Match Log'!$A$4:$A$311,'Match Log'!$D$4:$D$311,E$21)&gt;0)))</f>
        <v>5</v>
      </c>
      <c r="F33" s="75">
        <f>IF($A33=F$21,0,SUMPRODUCT(('Match Log'!$D$4:$D$311=$A33)*(COUNTIFS('Match Log'!$A$4:$A$311,'Match Log'!$A$4:$A$311,'Match Log'!$D$4:$D$311,F$21)&gt;0)))</f>
        <v>1</v>
      </c>
      <c r="G33" s="75">
        <f>IF($A33=G$21,0,SUMPRODUCT(('Match Log'!$D$4:$D$311=$A33)*(COUNTIFS('Match Log'!$A$4:$A$311,'Match Log'!$A$4:$A$311,'Match Log'!$D$4:$D$311,G$21)&gt;0)))</f>
        <v>1</v>
      </c>
      <c r="H33" s="75">
        <f>IF($A33=H$21,0,SUMPRODUCT(('Match Log'!$D$4:$D$311=$A33)*(COUNTIFS('Match Log'!$A$4:$A$311,'Match Log'!$A$4:$A$311,'Match Log'!$D$4:$D$311,H$21)&gt;0)))</f>
        <v>1</v>
      </c>
      <c r="I33" s="75">
        <f>IF($A33=I$21,0,SUMPRODUCT(('Match Log'!$D$4:$D$311=$A33)*(COUNTIFS('Match Log'!$A$4:$A$311,'Match Log'!$A$4:$A$311,'Match Log'!$D$4:$D$311,I$21)&gt;0)))</f>
        <v>2</v>
      </c>
      <c r="J33" s="75">
        <f>IF($A33=J$21,0,SUMPRODUCT(('Match Log'!$D$4:$D$311=$A33)*(COUNTIFS('Match Log'!$A$4:$A$311,'Match Log'!$A$4:$A$311,'Match Log'!$D$4:$D$311,J$21)&gt;0)))</f>
        <v>2</v>
      </c>
      <c r="K33" s="75">
        <f>IF($A33=K$21,0,SUMPRODUCT(('Match Log'!$D$4:$D$311=$A33)*(COUNTIFS('Match Log'!$A$4:$A$311,'Match Log'!$A$4:$A$311,'Match Log'!$D$4:$D$311,K$21)&gt;0)))</f>
        <v>0</v>
      </c>
      <c r="L33" s="75">
        <f>IF($A33=L$21,0,SUMPRODUCT(('Match Log'!$D$4:$D$311=$A33)*(COUNTIFS('Match Log'!$A$4:$A$311,'Match Log'!$A$4:$A$311,'Match Log'!$D$4:$D$311,L$21)&gt;0)))</f>
        <v>1</v>
      </c>
      <c r="M33" s="75">
        <f>IF($A33=M$21,0,SUMPRODUCT(('Match Log'!$D$4:$D$311=$A33)*(COUNTIFS('Match Log'!$A$4:$A$311,'Match Log'!$A$4:$A$311,'Match Log'!$D$4:$D$311,M$21)&gt;0)))</f>
        <v>0</v>
      </c>
      <c r="N33" s="75">
        <f>IF($A33=N$21,0,SUMPRODUCT(('Match Log'!$D$4:$D$311=$A33)*(COUNTIFS('Match Log'!$A$4:$A$311,'Match Log'!$A$4:$A$311,'Match Log'!$D$4:$D$311,N$21)&gt;0)))</f>
        <v>0</v>
      </c>
      <c r="O33" s="75">
        <f>IF($A33=O$21,0,SUMPRODUCT(('Match Log'!$D$4:$D$311=$A33)*(COUNTIFS('Match Log'!$A$4:$A$311,'Match Log'!$A$4:$A$311,'Match Log'!$D$4:$D$311,O$21)&gt;0)))</f>
        <v>0</v>
      </c>
    </row>
    <row r="34" spans="1:15" ht="15" customHeight="1" x14ac:dyDescent="0.2">
      <c r="A34" s="49" t="s">
        <v>179</v>
      </c>
      <c r="B34" s="75">
        <f>IF($A34=B$21,0,SUMPRODUCT(('Match Log'!$D$4:$D$311=$A34)*(COUNTIFS('Match Log'!$A$4:$A$311,'Match Log'!$A$4:$A$311,'Match Log'!$D$4:$D$311,B$21)&gt;0)))</f>
        <v>0</v>
      </c>
      <c r="C34" s="75">
        <f>IF($A34=C$21,0,SUMPRODUCT(('Match Log'!$D$4:$D$311=$A34)*(COUNTIFS('Match Log'!$A$4:$A$311,'Match Log'!$A$4:$A$311,'Match Log'!$D$4:$D$311,C$21)&gt;0)))</f>
        <v>4</v>
      </c>
      <c r="D34" s="75">
        <f>IF($A34=D$21,0,SUMPRODUCT(('Match Log'!$D$4:$D$311=$A34)*(COUNTIFS('Match Log'!$A$4:$A$311,'Match Log'!$A$4:$A$311,'Match Log'!$D$4:$D$311,D$21)&gt;0)))</f>
        <v>0</v>
      </c>
      <c r="E34" s="75">
        <f>IF($A34=E$21,0,SUMPRODUCT(('Match Log'!$D$4:$D$311=$A34)*(COUNTIFS('Match Log'!$A$4:$A$311,'Match Log'!$A$4:$A$311,'Match Log'!$D$4:$D$311,E$21)&gt;0)))</f>
        <v>0</v>
      </c>
      <c r="F34" s="75">
        <f>IF($A34=F$21,0,SUMPRODUCT(('Match Log'!$D$4:$D$311=$A34)*(COUNTIFS('Match Log'!$A$4:$A$311,'Match Log'!$A$4:$A$311,'Match Log'!$D$4:$D$311,F$21)&gt;0)))</f>
        <v>1</v>
      </c>
      <c r="G34" s="75">
        <f>IF($A34=G$21,0,SUMPRODUCT(('Match Log'!$D$4:$D$311=$A34)*(COUNTIFS('Match Log'!$A$4:$A$311,'Match Log'!$A$4:$A$311,'Match Log'!$D$4:$D$311,G$21)&gt;0)))</f>
        <v>1</v>
      </c>
      <c r="H34" s="75">
        <f>IF($A34=H$21,0,SUMPRODUCT(('Match Log'!$D$4:$D$311=$A34)*(COUNTIFS('Match Log'!$A$4:$A$311,'Match Log'!$A$4:$A$311,'Match Log'!$D$4:$D$311,H$21)&gt;0)))</f>
        <v>2</v>
      </c>
      <c r="I34" s="75">
        <f>IF($A34=I$21,0,SUMPRODUCT(('Match Log'!$D$4:$D$311=$A34)*(COUNTIFS('Match Log'!$A$4:$A$311,'Match Log'!$A$4:$A$311,'Match Log'!$D$4:$D$311,I$21)&gt;0)))</f>
        <v>1</v>
      </c>
      <c r="J34" s="75">
        <f>IF($A34=J$21,0,SUMPRODUCT(('Match Log'!$D$4:$D$311=$A34)*(COUNTIFS('Match Log'!$A$4:$A$311,'Match Log'!$A$4:$A$311,'Match Log'!$D$4:$D$311,J$21)&gt;0)))</f>
        <v>1</v>
      </c>
      <c r="K34" s="75">
        <f>IF($A34=K$21,0,SUMPRODUCT(('Match Log'!$D$4:$D$311=$A34)*(COUNTIFS('Match Log'!$A$4:$A$311,'Match Log'!$A$4:$A$311,'Match Log'!$D$4:$D$311,K$21)&gt;0)))</f>
        <v>0</v>
      </c>
      <c r="L34" s="75">
        <f>IF($A34=L$21,0,SUMPRODUCT(('Match Log'!$D$4:$D$311=$A34)*(COUNTIFS('Match Log'!$A$4:$A$311,'Match Log'!$A$4:$A$311,'Match Log'!$D$4:$D$311,L$21)&gt;0)))</f>
        <v>2</v>
      </c>
      <c r="M34" s="75">
        <f>IF($A34=M$21,0,SUMPRODUCT(('Match Log'!$D$4:$D$311=$A34)*(COUNTIFS('Match Log'!$A$4:$A$311,'Match Log'!$A$4:$A$311,'Match Log'!$D$4:$D$311,M$21)&gt;0)))</f>
        <v>0</v>
      </c>
      <c r="N34" s="75">
        <f>IF($A34=N$21,0,SUMPRODUCT(('Match Log'!$D$4:$D$311=$A34)*(COUNTIFS('Match Log'!$A$4:$A$311,'Match Log'!$A$4:$A$311,'Match Log'!$D$4:$D$311,N$21)&gt;0)))</f>
        <v>0</v>
      </c>
      <c r="O34" s="75">
        <f>IF($A34=O$21,0,SUMPRODUCT(('Match Log'!$D$4:$D$311=$A34)*(COUNTIFS('Match Log'!$A$4:$A$311,'Match Log'!$A$4:$A$311,'Match Log'!$D$4:$D$311,O$21)&gt;0)))</f>
        <v>0</v>
      </c>
    </row>
    <row r="35" spans="1:15" ht="15" customHeight="1" x14ac:dyDescent="0.2">
      <c r="A35" s="49" t="s">
        <v>181</v>
      </c>
      <c r="B35" s="75">
        <f>IF($A35=B$21,0,SUMPRODUCT(('Match Log'!$D$4:$D$311=$A35)*(COUNTIFS('Match Log'!$A$4:$A$311,'Match Log'!$A$4:$A$311,'Match Log'!$D$4:$D$311,B$21)&gt;0)))</f>
        <v>0</v>
      </c>
      <c r="C35" s="75">
        <f>IF($A35=C$21,0,SUMPRODUCT(('Match Log'!$D$4:$D$311=$A35)*(COUNTIFS('Match Log'!$A$4:$A$311,'Match Log'!$A$4:$A$311,'Match Log'!$D$4:$D$311,C$21)&gt;0)))</f>
        <v>0</v>
      </c>
      <c r="D35" s="75">
        <f>IF($A35=D$21,0,SUMPRODUCT(('Match Log'!$D$4:$D$311=$A35)*(COUNTIFS('Match Log'!$A$4:$A$311,'Match Log'!$A$4:$A$311,'Match Log'!$D$4:$D$311,D$21)&gt;0)))</f>
        <v>0</v>
      </c>
      <c r="E35" s="75">
        <f>IF($A35=E$21,0,SUMPRODUCT(('Match Log'!$D$4:$D$311=$A35)*(COUNTIFS('Match Log'!$A$4:$A$311,'Match Log'!$A$4:$A$311,'Match Log'!$D$4:$D$311,E$21)&gt;0)))</f>
        <v>0</v>
      </c>
      <c r="F35" s="75">
        <f>IF($A35=F$21,0,SUMPRODUCT(('Match Log'!$D$4:$D$311=$A35)*(COUNTIFS('Match Log'!$A$4:$A$311,'Match Log'!$A$4:$A$311,'Match Log'!$D$4:$D$311,F$21)&gt;0)))</f>
        <v>0</v>
      </c>
      <c r="G35" s="75">
        <f>IF($A35=G$21,0,SUMPRODUCT(('Match Log'!$D$4:$D$311=$A35)*(COUNTIFS('Match Log'!$A$4:$A$311,'Match Log'!$A$4:$A$311,'Match Log'!$D$4:$D$311,G$21)&gt;0)))</f>
        <v>0</v>
      </c>
      <c r="H35" s="75">
        <f>IF($A35=H$21,0,SUMPRODUCT(('Match Log'!$D$4:$D$311=$A35)*(COUNTIFS('Match Log'!$A$4:$A$311,'Match Log'!$A$4:$A$311,'Match Log'!$D$4:$D$311,H$21)&gt;0)))</f>
        <v>0</v>
      </c>
      <c r="I35" s="75">
        <f>IF($A35=I$21,0,SUMPRODUCT(('Match Log'!$D$4:$D$311=$A35)*(COUNTIFS('Match Log'!$A$4:$A$311,'Match Log'!$A$4:$A$311,'Match Log'!$D$4:$D$311,I$21)&gt;0)))</f>
        <v>0</v>
      </c>
      <c r="J35" s="75">
        <f>IF($A35=J$21,0,SUMPRODUCT(('Match Log'!$D$4:$D$311=$A35)*(COUNTIFS('Match Log'!$A$4:$A$311,'Match Log'!$A$4:$A$311,'Match Log'!$D$4:$D$311,J$21)&gt;0)))</f>
        <v>0</v>
      </c>
      <c r="K35" s="75">
        <f>IF($A35=K$21,0,SUMPRODUCT(('Match Log'!$D$4:$D$311=$A35)*(COUNTIFS('Match Log'!$A$4:$A$311,'Match Log'!$A$4:$A$311,'Match Log'!$D$4:$D$311,K$21)&gt;0)))</f>
        <v>0</v>
      </c>
      <c r="L35" s="75">
        <f>IF($A35=L$21,0,SUMPRODUCT(('Match Log'!$D$4:$D$311=$A35)*(COUNTIFS('Match Log'!$A$4:$A$311,'Match Log'!$A$4:$A$311,'Match Log'!$D$4:$D$311,L$21)&gt;0)))</f>
        <v>0</v>
      </c>
      <c r="M35" s="75">
        <f>IF($A35=M$21,0,SUMPRODUCT(('Match Log'!$D$4:$D$311=$A35)*(COUNTIFS('Match Log'!$A$4:$A$311,'Match Log'!$A$4:$A$311,'Match Log'!$D$4:$D$311,M$21)&gt;0)))</f>
        <v>0</v>
      </c>
      <c r="N35" s="75">
        <f>IF($A35=N$21,0,SUMPRODUCT(('Match Log'!$D$4:$D$311=$A35)*(COUNTIFS('Match Log'!$A$4:$A$311,'Match Log'!$A$4:$A$311,'Match Log'!$D$4:$D$311,N$21)&gt;0)))</f>
        <v>0</v>
      </c>
      <c r="O35" s="75">
        <f>IF($A35=O$21,0,SUMPRODUCT(('Match Log'!$D$4:$D$311=$A35)*(COUNTIFS('Match Log'!$A$4:$A$311,'Match Log'!$A$4:$A$311,'Match Log'!$D$4:$D$311,O$21)&gt;0)))</f>
        <v>0</v>
      </c>
    </row>
  </sheetData>
  <mergeCells count="2">
    <mergeCell ref="A2:O2"/>
    <mergeCell ref="A3:O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FCACB-364D-D341-AC0B-7DE76F8AC506}">
  <sheetPr>
    <tabColor rgb="FFB0892F"/>
  </sheetPr>
  <dimension ref="A1:S109"/>
  <sheetViews>
    <sheetView showGridLines="0" zoomScale="126" zoomScaleNormal="126" workbookViewId="0">
      <pane ySplit="7" topLeftCell="A61" activePane="bottomLeft" state="frozen"/>
      <selection pane="bottomLeft" activeCell="L1" sqref="L1:L1048576"/>
    </sheetView>
  </sheetViews>
  <sheetFormatPr baseColWidth="10" defaultColWidth="8.83203125" defaultRowHeight="15" x14ac:dyDescent="0.2"/>
  <cols>
    <col min="1" max="1" width="21" customWidth="1"/>
    <col min="19" max="19" width="5.1640625" customWidth="1"/>
  </cols>
  <sheetData>
    <row r="1" spans="1:18" ht="21" customHeight="1" x14ac:dyDescent="0.25">
      <c r="A1" s="77" t="s">
        <v>228</v>
      </c>
    </row>
    <row r="2" spans="1:18" ht="15" customHeight="1" x14ac:dyDescent="0.2">
      <c r="A2" s="151" t="s">
        <v>229</v>
      </c>
      <c r="B2" s="151"/>
      <c r="C2" s="151"/>
      <c r="D2" s="151"/>
      <c r="E2" s="151"/>
      <c r="F2" s="151"/>
      <c r="G2" s="151"/>
      <c r="H2" s="151"/>
      <c r="I2" s="151"/>
      <c r="J2" s="151"/>
      <c r="K2" s="151"/>
      <c r="L2" s="151"/>
      <c r="M2" s="151"/>
      <c r="N2" s="151"/>
      <c r="O2" s="151"/>
      <c r="P2" s="151"/>
      <c r="Q2" s="151"/>
    </row>
    <row r="3" spans="1:18" ht="18.75" customHeight="1" x14ac:dyDescent="0.2">
      <c r="A3" s="78" t="s">
        <v>230</v>
      </c>
      <c r="C3" s="1">
        <f>SUM($P$8:$P$26)</f>
        <v>120</v>
      </c>
    </row>
    <row r="4" spans="1:18" ht="18.75" customHeight="1" x14ac:dyDescent="0.2">
      <c r="A4" s="78" t="s">
        <v>231</v>
      </c>
      <c r="C4" s="152" t="str">
        <f>INDEX($A$74:$A$87,MATCH(MAX($S$74:$S$87),$S$74:$S$87,0))</f>
        <v>Dean B</v>
      </c>
      <c r="D4" s="152"/>
      <c r="E4" s="152"/>
      <c r="F4" s="152"/>
      <c r="G4" s="152"/>
    </row>
    <row r="6" spans="1:18" ht="15" customHeight="1" x14ac:dyDescent="0.2">
      <c r="A6" s="150" t="s">
        <v>232</v>
      </c>
      <c r="B6" s="150"/>
      <c r="C6" s="150"/>
      <c r="D6" s="150"/>
      <c r="E6" s="150"/>
      <c r="F6" s="150"/>
      <c r="G6" s="150"/>
      <c r="H6" s="150"/>
      <c r="I6" s="150"/>
      <c r="J6" s="150"/>
      <c r="K6" s="150"/>
      <c r="L6" s="150"/>
      <c r="M6" s="150"/>
      <c r="N6" s="150"/>
      <c r="O6" s="150"/>
      <c r="P6" s="150"/>
      <c r="Q6" s="150"/>
    </row>
    <row r="7" spans="1:18" ht="91.5" customHeight="1" x14ac:dyDescent="0.2">
      <c r="A7" s="79" t="s">
        <v>130</v>
      </c>
      <c r="B7" s="80" t="s">
        <v>145</v>
      </c>
      <c r="C7" s="80" t="s">
        <v>142</v>
      </c>
      <c r="D7" s="80" t="s">
        <v>180</v>
      </c>
      <c r="E7" s="80" t="s">
        <v>147</v>
      </c>
      <c r="F7" s="80" t="s">
        <v>144</v>
      </c>
      <c r="G7" s="80" t="s">
        <v>141</v>
      </c>
      <c r="H7" s="80" t="s">
        <v>175</v>
      </c>
      <c r="I7" s="80" t="s">
        <v>177</v>
      </c>
      <c r="J7" s="80" t="s">
        <v>174</v>
      </c>
      <c r="K7" s="80" t="s">
        <v>182</v>
      </c>
      <c r="L7" s="80" t="s">
        <v>176</v>
      </c>
      <c r="M7" s="80" t="s">
        <v>178</v>
      </c>
      <c r="N7" s="80" t="s">
        <v>179</v>
      </c>
      <c r="O7" s="80" t="s">
        <v>181</v>
      </c>
      <c r="P7" s="79" t="s">
        <v>134</v>
      </c>
      <c r="Q7" s="79" t="s">
        <v>138</v>
      </c>
      <c r="R7" s="79" t="s">
        <v>233</v>
      </c>
    </row>
    <row r="8" spans="1:18" ht="15" customHeight="1" x14ac:dyDescent="0.2">
      <c r="A8" s="81" t="s">
        <v>189</v>
      </c>
      <c r="B8" s="82">
        <f>COUNTIFS('Match Log'!$D$4:$D$311,B$7,'Match Log'!$C$4:$C$311,$A8)</f>
        <v>0</v>
      </c>
      <c r="C8" s="82">
        <f>COUNTIFS('Match Log'!$D$4:$D$311,C$7,'Match Log'!$C$4:$C$311,$A8)</f>
        <v>0</v>
      </c>
      <c r="D8" s="82">
        <f>COUNTIFS('Match Log'!$D$4:$D$311,D$7,'Match Log'!$C$4:$C$311,$A8)</f>
        <v>0</v>
      </c>
      <c r="E8" s="82">
        <f>COUNTIFS('Match Log'!$D$4:$D$311,E$7,'Match Log'!$C$4:$C$311,$A8)</f>
        <v>0</v>
      </c>
      <c r="F8" s="82">
        <f>COUNTIFS('Match Log'!$D$4:$D$311,F$7,'Match Log'!$C$4:$C$311,$A8)</f>
        <v>0</v>
      </c>
      <c r="G8" s="82">
        <f>COUNTIFS('Match Log'!$D$4:$D$311,G$7,'Match Log'!$C$4:$C$311,$A8)</f>
        <v>2</v>
      </c>
      <c r="H8" s="82">
        <f>COUNTIFS('Match Log'!$D$4:$D$311,H$7,'Match Log'!$C$4:$C$311,$A8)</f>
        <v>0</v>
      </c>
      <c r="I8" s="82">
        <f>COUNTIFS('Match Log'!$D$4:$D$311,I$7,'Match Log'!$C$4:$C$311,$A8)</f>
        <v>2</v>
      </c>
      <c r="J8" s="82">
        <f>COUNTIFS('Match Log'!$D$4:$D$311,J$7,'Match Log'!$C$4:$C$311,$A8)</f>
        <v>0</v>
      </c>
      <c r="K8" s="82">
        <f>COUNTIFS('Match Log'!$D$4:$D$311,K$7,'Match Log'!$C$4:$C$311,$A8)</f>
        <v>0</v>
      </c>
      <c r="L8" s="82">
        <f>COUNTIFS('Match Log'!$D$4:$D$311,L$7,'Match Log'!$C$4:$C$311,$A8)</f>
        <v>0</v>
      </c>
      <c r="M8" s="82">
        <f>COUNTIFS('Match Log'!$D$4:$D$311,M$7,'Match Log'!$C$4:$C$311,$A8)</f>
        <v>0</v>
      </c>
      <c r="N8" s="82">
        <f>COUNTIFS('Match Log'!$D$4:$D$311,N$7,'Match Log'!$C$4:$C$311,$A8)</f>
        <v>0</v>
      </c>
      <c r="O8" s="82">
        <f>COUNTIFS('Match Log'!$D$4:$D$311,O$7,'Match Log'!$C$4:$C$311,$A8)</f>
        <v>0</v>
      </c>
      <c r="P8" s="83">
        <f>SUMPRODUCT(IFERROR((('Match Log'!$C$4:$C$311=$A8)*('Match Log'!$A$4:$A$311&lt;&gt;""))/COUNTIF('Match Log'!$A$4:$A$311,'Match Log'!$A$4:$A$311&amp;""),0))</f>
        <v>2</v>
      </c>
      <c r="Q8" s="84" t="str">
        <f t="shared" ref="Q8:Q26" si="0">IF($P8=0,"—",INDEX($B$29:$O$29,MATCH(MAX($B30:$O30),$B30:$O30,0)))</f>
        <v>Shawn</v>
      </c>
      <c r="R8" s="83">
        <f t="shared" ref="R8:R26" si="1">IF($P8=0,"—",MAX($B30:$O30))</f>
        <v>2</v>
      </c>
    </row>
    <row r="9" spans="1:18" ht="15" customHeight="1" x14ac:dyDescent="0.2">
      <c r="A9" s="81" t="s">
        <v>190</v>
      </c>
      <c r="B9" s="82">
        <f>COUNTIFS('Match Log'!$D$4:$D$311,B$7,'Match Log'!$C$4:$C$311,$A9)</f>
        <v>0</v>
      </c>
      <c r="C9" s="82">
        <f>COUNTIFS('Match Log'!$D$4:$D$311,C$7,'Match Log'!$C$4:$C$311,$A9)</f>
        <v>0</v>
      </c>
      <c r="D9" s="82">
        <f>COUNTIFS('Match Log'!$D$4:$D$311,D$7,'Match Log'!$C$4:$C$311,$A9)</f>
        <v>0</v>
      </c>
      <c r="E9" s="82">
        <f>COUNTIFS('Match Log'!$D$4:$D$311,E$7,'Match Log'!$C$4:$C$311,$A9)</f>
        <v>0</v>
      </c>
      <c r="F9" s="82">
        <f>COUNTIFS('Match Log'!$D$4:$D$311,F$7,'Match Log'!$C$4:$C$311,$A9)</f>
        <v>0</v>
      </c>
      <c r="G9" s="82">
        <f>COUNTIFS('Match Log'!$D$4:$D$311,G$7,'Match Log'!$C$4:$C$311,$A9)</f>
        <v>0</v>
      </c>
      <c r="H9" s="82">
        <f>COUNTIFS('Match Log'!$D$4:$D$311,H$7,'Match Log'!$C$4:$C$311,$A9)</f>
        <v>0</v>
      </c>
      <c r="I9" s="82">
        <f>COUNTIFS('Match Log'!$D$4:$D$311,I$7,'Match Log'!$C$4:$C$311,$A9)</f>
        <v>0</v>
      </c>
      <c r="J9" s="82">
        <f>COUNTIFS('Match Log'!$D$4:$D$311,J$7,'Match Log'!$C$4:$C$311,$A9)</f>
        <v>0</v>
      </c>
      <c r="K9" s="82">
        <f>COUNTIFS('Match Log'!$D$4:$D$311,K$7,'Match Log'!$C$4:$C$311,$A9)</f>
        <v>0</v>
      </c>
      <c r="L9" s="82">
        <f>COUNTIFS('Match Log'!$D$4:$D$311,L$7,'Match Log'!$C$4:$C$311,$A9)</f>
        <v>0</v>
      </c>
      <c r="M9" s="82">
        <f>COUNTIFS('Match Log'!$D$4:$D$311,M$7,'Match Log'!$C$4:$C$311,$A9)</f>
        <v>0</v>
      </c>
      <c r="N9" s="82">
        <f>COUNTIFS('Match Log'!$D$4:$D$311,N$7,'Match Log'!$C$4:$C$311,$A9)</f>
        <v>0</v>
      </c>
      <c r="O9" s="82">
        <f>COUNTIFS('Match Log'!$D$4:$D$311,O$7,'Match Log'!$C$4:$C$311,$A9)</f>
        <v>0</v>
      </c>
      <c r="P9" s="83">
        <f>SUMPRODUCT(IFERROR((('Match Log'!$C$4:$C$311=$A9)*('Match Log'!$A$4:$A$311&lt;&gt;""))/COUNTIF('Match Log'!$A$4:$A$311,'Match Log'!$A$4:$A$311&amp;""),0))</f>
        <v>0</v>
      </c>
      <c r="Q9" s="84" t="str">
        <f t="shared" si="0"/>
        <v>—</v>
      </c>
      <c r="R9" s="83" t="str">
        <f t="shared" si="1"/>
        <v>—</v>
      </c>
    </row>
    <row r="10" spans="1:18" ht="15" customHeight="1" x14ac:dyDescent="0.2">
      <c r="A10" s="81" t="s">
        <v>191</v>
      </c>
      <c r="B10" s="82">
        <f>COUNTIFS('Match Log'!$D$4:$D$311,B$7,'Match Log'!$C$4:$C$311,$A10)</f>
        <v>8</v>
      </c>
      <c r="C10" s="82">
        <f>COUNTIFS('Match Log'!$D$4:$D$311,C$7,'Match Log'!$C$4:$C$311,$A10)</f>
        <v>0</v>
      </c>
      <c r="D10" s="82">
        <f>COUNTIFS('Match Log'!$D$4:$D$311,D$7,'Match Log'!$C$4:$C$311,$A10)</f>
        <v>1</v>
      </c>
      <c r="E10" s="82">
        <f>COUNTIFS('Match Log'!$D$4:$D$311,E$7,'Match Log'!$C$4:$C$311,$A10)</f>
        <v>0</v>
      </c>
      <c r="F10" s="82">
        <f>COUNTIFS('Match Log'!$D$4:$D$311,F$7,'Match Log'!$C$4:$C$311,$A10)</f>
        <v>1</v>
      </c>
      <c r="G10" s="82">
        <f>COUNTIFS('Match Log'!$D$4:$D$311,G$7,'Match Log'!$C$4:$C$311,$A10)</f>
        <v>13</v>
      </c>
      <c r="H10" s="82">
        <f>COUNTIFS('Match Log'!$D$4:$D$311,H$7,'Match Log'!$C$4:$C$311,$A10)</f>
        <v>0</v>
      </c>
      <c r="I10" s="82">
        <f>COUNTIFS('Match Log'!$D$4:$D$311,I$7,'Match Log'!$C$4:$C$311,$A10)</f>
        <v>9</v>
      </c>
      <c r="J10" s="82">
        <f>COUNTIFS('Match Log'!$D$4:$D$311,J$7,'Match Log'!$C$4:$C$311,$A10)</f>
        <v>0</v>
      </c>
      <c r="K10" s="82">
        <f>COUNTIFS('Match Log'!$D$4:$D$311,K$7,'Match Log'!$C$4:$C$311,$A10)</f>
        <v>0</v>
      </c>
      <c r="L10" s="82">
        <f>COUNTIFS('Match Log'!$D$4:$D$311,L$7,'Match Log'!$C$4:$C$311,$A10)</f>
        <v>0</v>
      </c>
      <c r="M10" s="82">
        <f>COUNTIFS('Match Log'!$D$4:$D$311,M$7,'Match Log'!$C$4:$C$311,$A10)</f>
        <v>0</v>
      </c>
      <c r="N10" s="82">
        <f>COUNTIFS('Match Log'!$D$4:$D$311,N$7,'Match Log'!$C$4:$C$311,$A10)</f>
        <v>0</v>
      </c>
      <c r="O10" s="82">
        <f>COUNTIFS('Match Log'!$D$4:$D$311,O$7,'Match Log'!$C$4:$C$311,$A10)</f>
        <v>0</v>
      </c>
      <c r="P10" s="83">
        <f>SUMPRODUCT(IFERROR((('Match Log'!$C$4:$C$311=$A10)*('Match Log'!$A$4:$A$311&lt;&gt;""))/COUNTIF('Match Log'!$A$4:$A$311,'Match Log'!$A$4:$A$311&amp;""),0))</f>
        <v>16</v>
      </c>
      <c r="Q10" s="84" t="str">
        <f t="shared" si="0"/>
        <v>Aaron</v>
      </c>
      <c r="R10" s="83">
        <f t="shared" si="1"/>
        <v>6</v>
      </c>
    </row>
    <row r="11" spans="1:18" ht="15" customHeight="1" x14ac:dyDescent="0.2">
      <c r="A11" s="81" t="s">
        <v>192</v>
      </c>
      <c r="B11" s="82">
        <f>COUNTIFS('Match Log'!$D$4:$D$311,B$7,'Match Log'!$C$4:$C$311,$A11)</f>
        <v>0</v>
      </c>
      <c r="C11" s="82">
        <f>COUNTIFS('Match Log'!$D$4:$D$311,C$7,'Match Log'!$C$4:$C$311,$A11)</f>
        <v>0</v>
      </c>
      <c r="D11" s="82">
        <f>COUNTIFS('Match Log'!$D$4:$D$311,D$7,'Match Log'!$C$4:$C$311,$A11)</f>
        <v>0</v>
      </c>
      <c r="E11" s="82">
        <f>COUNTIFS('Match Log'!$D$4:$D$311,E$7,'Match Log'!$C$4:$C$311,$A11)</f>
        <v>0</v>
      </c>
      <c r="F11" s="82">
        <f>COUNTIFS('Match Log'!$D$4:$D$311,F$7,'Match Log'!$C$4:$C$311,$A11)</f>
        <v>0</v>
      </c>
      <c r="G11" s="82">
        <f>COUNTIFS('Match Log'!$D$4:$D$311,G$7,'Match Log'!$C$4:$C$311,$A11)</f>
        <v>0</v>
      </c>
      <c r="H11" s="82">
        <f>COUNTIFS('Match Log'!$D$4:$D$311,H$7,'Match Log'!$C$4:$C$311,$A11)</f>
        <v>0</v>
      </c>
      <c r="I11" s="82">
        <f>COUNTIFS('Match Log'!$D$4:$D$311,I$7,'Match Log'!$C$4:$C$311,$A11)</f>
        <v>0</v>
      </c>
      <c r="J11" s="82">
        <f>COUNTIFS('Match Log'!$D$4:$D$311,J$7,'Match Log'!$C$4:$C$311,$A11)</f>
        <v>0</v>
      </c>
      <c r="K11" s="82">
        <f>COUNTIFS('Match Log'!$D$4:$D$311,K$7,'Match Log'!$C$4:$C$311,$A11)</f>
        <v>0</v>
      </c>
      <c r="L11" s="82">
        <f>COUNTIFS('Match Log'!$D$4:$D$311,L$7,'Match Log'!$C$4:$C$311,$A11)</f>
        <v>0</v>
      </c>
      <c r="M11" s="82">
        <f>COUNTIFS('Match Log'!$D$4:$D$311,M$7,'Match Log'!$C$4:$C$311,$A11)</f>
        <v>0</v>
      </c>
      <c r="N11" s="82">
        <f>COUNTIFS('Match Log'!$D$4:$D$311,N$7,'Match Log'!$C$4:$C$311,$A11)</f>
        <v>0</v>
      </c>
      <c r="O11" s="82">
        <f>COUNTIFS('Match Log'!$D$4:$D$311,O$7,'Match Log'!$C$4:$C$311,$A11)</f>
        <v>0</v>
      </c>
      <c r="P11" s="83">
        <f>SUMPRODUCT(IFERROR((('Match Log'!$C$4:$C$311=$A11)*('Match Log'!$A$4:$A$311&lt;&gt;""))/COUNTIF('Match Log'!$A$4:$A$311,'Match Log'!$A$4:$A$311&amp;""),0))</f>
        <v>0</v>
      </c>
      <c r="Q11" s="84" t="str">
        <f t="shared" si="0"/>
        <v>—</v>
      </c>
      <c r="R11" s="83" t="str">
        <f t="shared" si="1"/>
        <v>—</v>
      </c>
    </row>
    <row r="12" spans="1:18" ht="15" customHeight="1" x14ac:dyDescent="0.2">
      <c r="A12" s="81" t="s">
        <v>193</v>
      </c>
      <c r="B12" s="82">
        <f>COUNTIFS('Match Log'!$D$4:$D$311,B$7,'Match Log'!$C$4:$C$311,$A12)</f>
        <v>0</v>
      </c>
      <c r="C12" s="82">
        <f>COUNTIFS('Match Log'!$D$4:$D$311,C$7,'Match Log'!$C$4:$C$311,$A12)</f>
        <v>1</v>
      </c>
      <c r="D12" s="82">
        <f>COUNTIFS('Match Log'!$D$4:$D$311,D$7,'Match Log'!$C$4:$C$311,$A12)</f>
        <v>0</v>
      </c>
      <c r="E12" s="82">
        <f>COUNTIFS('Match Log'!$D$4:$D$311,E$7,'Match Log'!$C$4:$C$311,$A12)</f>
        <v>0</v>
      </c>
      <c r="F12" s="82">
        <f>COUNTIFS('Match Log'!$D$4:$D$311,F$7,'Match Log'!$C$4:$C$311,$A12)</f>
        <v>0</v>
      </c>
      <c r="G12" s="82">
        <f>COUNTIFS('Match Log'!$D$4:$D$311,G$7,'Match Log'!$C$4:$C$311,$A12)</f>
        <v>0</v>
      </c>
      <c r="H12" s="82">
        <f>COUNTIFS('Match Log'!$D$4:$D$311,H$7,'Match Log'!$C$4:$C$311,$A12)</f>
        <v>2</v>
      </c>
      <c r="I12" s="82">
        <f>COUNTIFS('Match Log'!$D$4:$D$311,I$7,'Match Log'!$C$4:$C$311,$A12)</f>
        <v>4</v>
      </c>
      <c r="J12" s="82">
        <f>COUNTIFS('Match Log'!$D$4:$D$311,J$7,'Match Log'!$C$4:$C$311,$A12)</f>
        <v>8</v>
      </c>
      <c r="K12" s="82">
        <f>COUNTIFS('Match Log'!$D$4:$D$311,K$7,'Match Log'!$C$4:$C$311,$A12)</f>
        <v>1</v>
      </c>
      <c r="L12" s="82">
        <f>COUNTIFS('Match Log'!$D$4:$D$311,L$7,'Match Log'!$C$4:$C$311,$A12)</f>
        <v>4</v>
      </c>
      <c r="M12" s="82">
        <f>COUNTIFS('Match Log'!$D$4:$D$311,M$7,'Match Log'!$C$4:$C$311,$A12)</f>
        <v>0</v>
      </c>
      <c r="N12" s="82">
        <f>COUNTIFS('Match Log'!$D$4:$D$311,N$7,'Match Log'!$C$4:$C$311,$A12)</f>
        <v>0</v>
      </c>
      <c r="O12" s="82">
        <f>COUNTIFS('Match Log'!$D$4:$D$311,O$7,'Match Log'!$C$4:$C$311,$A12)</f>
        <v>0</v>
      </c>
      <c r="P12" s="83">
        <f>SUMPRODUCT(IFERROR((('Match Log'!$C$4:$C$311=$A12)*('Match Log'!$A$4:$A$311&lt;&gt;""))/COUNTIF('Match Log'!$A$4:$A$311,'Match Log'!$A$4:$A$311&amp;""),0))</f>
        <v>10</v>
      </c>
      <c r="Q12" s="84" t="str">
        <f t="shared" si="0"/>
        <v>Dean B</v>
      </c>
      <c r="R12" s="83">
        <f t="shared" si="1"/>
        <v>4</v>
      </c>
    </row>
    <row r="13" spans="1:18" ht="15" customHeight="1" x14ac:dyDescent="0.2">
      <c r="A13" s="81" t="s">
        <v>194</v>
      </c>
      <c r="B13" s="82">
        <f>COUNTIFS('Match Log'!$D$4:$D$311,B$7,'Match Log'!$C$4:$C$311,$A13)</f>
        <v>1</v>
      </c>
      <c r="C13" s="82">
        <f>COUNTIFS('Match Log'!$D$4:$D$311,C$7,'Match Log'!$C$4:$C$311,$A13)</f>
        <v>0</v>
      </c>
      <c r="D13" s="82">
        <f>COUNTIFS('Match Log'!$D$4:$D$311,D$7,'Match Log'!$C$4:$C$311,$A13)</f>
        <v>1</v>
      </c>
      <c r="E13" s="82">
        <f>COUNTIFS('Match Log'!$D$4:$D$311,E$7,'Match Log'!$C$4:$C$311,$A13)</f>
        <v>1</v>
      </c>
      <c r="F13" s="82">
        <f>COUNTIFS('Match Log'!$D$4:$D$311,F$7,'Match Log'!$C$4:$C$311,$A13)</f>
        <v>1</v>
      </c>
      <c r="G13" s="82">
        <f>COUNTIFS('Match Log'!$D$4:$D$311,G$7,'Match Log'!$C$4:$C$311,$A13)</f>
        <v>1</v>
      </c>
      <c r="H13" s="82">
        <f>COUNTIFS('Match Log'!$D$4:$D$311,H$7,'Match Log'!$C$4:$C$311,$A13)</f>
        <v>1</v>
      </c>
      <c r="I13" s="82">
        <f>COUNTIFS('Match Log'!$D$4:$D$311,I$7,'Match Log'!$C$4:$C$311,$A13)</f>
        <v>1</v>
      </c>
      <c r="J13" s="82">
        <f>COUNTIFS('Match Log'!$D$4:$D$311,J$7,'Match Log'!$C$4:$C$311,$A13)</f>
        <v>0</v>
      </c>
      <c r="K13" s="82">
        <f>COUNTIFS('Match Log'!$D$4:$D$311,K$7,'Match Log'!$C$4:$C$311,$A13)</f>
        <v>0</v>
      </c>
      <c r="L13" s="82">
        <f>COUNTIFS('Match Log'!$D$4:$D$311,L$7,'Match Log'!$C$4:$C$311,$A13)</f>
        <v>1</v>
      </c>
      <c r="M13" s="82">
        <f>COUNTIFS('Match Log'!$D$4:$D$311,M$7,'Match Log'!$C$4:$C$311,$A13)</f>
        <v>0</v>
      </c>
      <c r="N13" s="82">
        <f>COUNTIFS('Match Log'!$D$4:$D$311,N$7,'Match Log'!$C$4:$C$311,$A13)</f>
        <v>0</v>
      </c>
      <c r="O13" s="82">
        <f>COUNTIFS('Match Log'!$D$4:$D$311,O$7,'Match Log'!$C$4:$C$311,$A13)</f>
        <v>0</v>
      </c>
      <c r="P13" s="83">
        <f>SUMPRODUCT(IFERROR((('Match Log'!$C$4:$C$311=$A13)*('Match Log'!$A$4:$A$311&lt;&gt;""))/COUNTIF('Match Log'!$A$4:$A$311,'Match Log'!$A$4:$A$311&amp;""),0))</f>
        <v>1</v>
      </c>
      <c r="Q13" s="84" t="str">
        <f t="shared" si="0"/>
        <v>Aaron</v>
      </c>
      <c r="R13" s="83">
        <f t="shared" si="1"/>
        <v>1</v>
      </c>
    </row>
    <row r="14" spans="1:18" ht="15" customHeight="1" x14ac:dyDescent="0.2">
      <c r="A14" s="81" t="s">
        <v>196</v>
      </c>
      <c r="B14" s="82">
        <f>COUNTIFS('Match Log'!$D$4:$D$311,B$7,'Match Log'!$C$4:$C$311,$A14)</f>
        <v>0</v>
      </c>
      <c r="C14" s="82">
        <f>COUNTIFS('Match Log'!$D$4:$D$311,C$7,'Match Log'!$C$4:$C$311,$A14)</f>
        <v>0</v>
      </c>
      <c r="D14" s="82">
        <f>COUNTIFS('Match Log'!$D$4:$D$311,D$7,'Match Log'!$C$4:$C$311,$A14)</f>
        <v>0</v>
      </c>
      <c r="E14" s="82">
        <f>COUNTIFS('Match Log'!$D$4:$D$311,E$7,'Match Log'!$C$4:$C$311,$A14)</f>
        <v>0</v>
      </c>
      <c r="F14" s="82">
        <f>COUNTIFS('Match Log'!$D$4:$D$311,F$7,'Match Log'!$C$4:$C$311,$A14)</f>
        <v>0</v>
      </c>
      <c r="G14" s="82">
        <f>COUNTIFS('Match Log'!$D$4:$D$311,G$7,'Match Log'!$C$4:$C$311,$A14)</f>
        <v>0</v>
      </c>
      <c r="H14" s="82">
        <f>COUNTIFS('Match Log'!$D$4:$D$311,H$7,'Match Log'!$C$4:$C$311,$A14)</f>
        <v>0</v>
      </c>
      <c r="I14" s="82">
        <f>COUNTIFS('Match Log'!$D$4:$D$311,I$7,'Match Log'!$C$4:$C$311,$A14)</f>
        <v>0</v>
      </c>
      <c r="J14" s="82">
        <f>COUNTIFS('Match Log'!$D$4:$D$311,J$7,'Match Log'!$C$4:$C$311,$A14)</f>
        <v>0</v>
      </c>
      <c r="K14" s="82">
        <f>COUNTIFS('Match Log'!$D$4:$D$311,K$7,'Match Log'!$C$4:$C$311,$A14)</f>
        <v>0</v>
      </c>
      <c r="L14" s="82">
        <f>COUNTIFS('Match Log'!$D$4:$D$311,L$7,'Match Log'!$C$4:$C$311,$A14)</f>
        <v>0</v>
      </c>
      <c r="M14" s="82">
        <f>COUNTIFS('Match Log'!$D$4:$D$311,M$7,'Match Log'!$C$4:$C$311,$A14)</f>
        <v>0</v>
      </c>
      <c r="N14" s="82">
        <f>COUNTIFS('Match Log'!$D$4:$D$311,N$7,'Match Log'!$C$4:$C$311,$A14)</f>
        <v>0</v>
      </c>
      <c r="O14" s="82">
        <f>COUNTIFS('Match Log'!$D$4:$D$311,O$7,'Match Log'!$C$4:$C$311,$A14)</f>
        <v>0</v>
      </c>
      <c r="P14" s="83">
        <f>SUMPRODUCT(IFERROR((('Match Log'!$C$4:$C$311=$A14)*('Match Log'!$A$4:$A$311&lt;&gt;""))/COUNTIF('Match Log'!$A$4:$A$311,'Match Log'!$A$4:$A$311&amp;""),0))</f>
        <v>0</v>
      </c>
      <c r="Q14" s="84" t="str">
        <f t="shared" si="0"/>
        <v>—</v>
      </c>
      <c r="R14" s="83" t="str">
        <f t="shared" si="1"/>
        <v>—</v>
      </c>
    </row>
    <row r="15" spans="1:18" ht="15" customHeight="1" x14ac:dyDescent="0.2">
      <c r="A15" s="81" t="s">
        <v>198</v>
      </c>
      <c r="B15" s="82">
        <f>COUNTIFS('Match Log'!$D$4:$D$311,B$7,'Match Log'!$C$4:$C$311,$A15)</f>
        <v>0</v>
      </c>
      <c r="C15" s="82">
        <f>COUNTIFS('Match Log'!$D$4:$D$311,C$7,'Match Log'!$C$4:$C$311,$A15)</f>
        <v>0</v>
      </c>
      <c r="D15" s="82">
        <f>COUNTIFS('Match Log'!$D$4:$D$311,D$7,'Match Log'!$C$4:$C$311,$A15)</f>
        <v>0</v>
      </c>
      <c r="E15" s="82">
        <f>COUNTIFS('Match Log'!$D$4:$D$311,E$7,'Match Log'!$C$4:$C$311,$A15)</f>
        <v>0</v>
      </c>
      <c r="F15" s="82">
        <f>COUNTIFS('Match Log'!$D$4:$D$311,F$7,'Match Log'!$C$4:$C$311,$A15)</f>
        <v>0</v>
      </c>
      <c r="G15" s="82">
        <f>COUNTIFS('Match Log'!$D$4:$D$311,G$7,'Match Log'!$C$4:$C$311,$A15)</f>
        <v>0</v>
      </c>
      <c r="H15" s="82">
        <f>COUNTIFS('Match Log'!$D$4:$D$311,H$7,'Match Log'!$C$4:$C$311,$A15)</f>
        <v>0</v>
      </c>
      <c r="I15" s="82">
        <f>COUNTIFS('Match Log'!$D$4:$D$311,I$7,'Match Log'!$C$4:$C$311,$A15)</f>
        <v>0</v>
      </c>
      <c r="J15" s="82">
        <f>COUNTIFS('Match Log'!$D$4:$D$311,J$7,'Match Log'!$C$4:$C$311,$A15)</f>
        <v>0</v>
      </c>
      <c r="K15" s="82">
        <f>COUNTIFS('Match Log'!$D$4:$D$311,K$7,'Match Log'!$C$4:$C$311,$A15)</f>
        <v>0</v>
      </c>
      <c r="L15" s="82">
        <f>COUNTIFS('Match Log'!$D$4:$D$311,L$7,'Match Log'!$C$4:$C$311,$A15)</f>
        <v>0</v>
      </c>
      <c r="M15" s="82">
        <f>COUNTIFS('Match Log'!$D$4:$D$311,M$7,'Match Log'!$C$4:$C$311,$A15)</f>
        <v>0</v>
      </c>
      <c r="N15" s="82">
        <f>COUNTIFS('Match Log'!$D$4:$D$311,N$7,'Match Log'!$C$4:$C$311,$A15)</f>
        <v>0</v>
      </c>
      <c r="O15" s="82">
        <f>COUNTIFS('Match Log'!$D$4:$D$311,O$7,'Match Log'!$C$4:$C$311,$A15)</f>
        <v>0</v>
      </c>
      <c r="P15" s="83">
        <f>SUMPRODUCT(IFERROR((('Match Log'!$C$4:$C$311=$A15)*('Match Log'!$A$4:$A$311&lt;&gt;""))/COUNTIF('Match Log'!$A$4:$A$311,'Match Log'!$A$4:$A$311&amp;""),0))</f>
        <v>0</v>
      </c>
      <c r="Q15" s="84" t="str">
        <f t="shared" si="0"/>
        <v>—</v>
      </c>
      <c r="R15" s="83" t="str">
        <f t="shared" si="1"/>
        <v>—</v>
      </c>
    </row>
    <row r="16" spans="1:18" ht="15" customHeight="1" x14ac:dyDescent="0.2">
      <c r="A16" s="81" t="s">
        <v>200</v>
      </c>
      <c r="B16" s="82">
        <f>COUNTIFS('Match Log'!$D$4:$D$311,B$7,'Match Log'!$C$4:$C$311,$A16)</f>
        <v>0</v>
      </c>
      <c r="C16" s="82">
        <f>COUNTIFS('Match Log'!$D$4:$D$311,C$7,'Match Log'!$C$4:$C$311,$A16)</f>
        <v>0</v>
      </c>
      <c r="D16" s="82">
        <f>COUNTIFS('Match Log'!$D$4:$D$311,D$7,'Match Log'!$C$4:$C$311,$A16)</f>
        <v>0</v>
      </c>
      <c r="E16" s="82">
        <f>COUNTIFS('Match Log'!$D$4:$D$311,E$7,'Match Log'!$C$4:$C$311,$A16)</f>
        <v>0</v>
      </c>
      <c r="F16" s="82">
        <f>COUNTIFS('Match Log'!$D$4:$D$311,F$7,'Match Log'!$C$4:$C$311,$A16)</f>
        <v>1</v>
      </c>
      <c r="G16" s="82">
        <f>COUNTIFS('Match Log'!$D$4:$D$311,G$7,'Match Log'!$C$4:$C$311,$A16)</f>
        <v>1</v>
      </c>
      <c r="H16" s="82">
        <f>COUNTIFS('Match Log'!$D$4:$D$311,H$7,'Match Log'!$C$4:$C$311,$A16)</f>
        <v>0</v>
      </c>
      <c r="I16" s="82">
        <f>COUNTIFS('Match Log'!$D$4:$D$311,I$7,'Match Log'!$C$4:$C$311,$A16)</f>
        <v>0</v>
      </c>
      <c r="J16" s="82">
        <f>COUNTIFS('Match Log'!$D$4:$D$311,J$7,'Match Log'!$C$4:$C$311,$A16)</f>
        <v>0</v>
      </c>
      <c r="K16" s="82">
        <f>COUNTIFS('Match Log'!$D$4:$D$311,K$7,'Match Log'!$C$4:$C$311,$A16)</f>
        <v>0</v>
      </c>
      <c r="L16" s="82">
        <f>COUNTIFS('Match Log'!$D$4:$D$311,L$7,'Match Log'!$C$4:$C$311,$A16)</f>
        <v>1</v>
      </c>
      <c r="M16" s="82">
        <f>COUNTIFS('Match Log'!$D$4:$D$311,M$7,'Match Log'!$C$4:$C$311,$A16)</f>
        <v>0</v>
      </c>
      <c r="N16" s="82">
        <f>COUNTIFS('Match Log'!$D$4:$D$311,N$7,'Match Log'!$C$4:$C$311,$A16)</f>
        <v>0</v>
      </c>
      <c r="O16" s="82">
        <f>COUNTIFS('Match Log'!$D$4:$D$311,O$7,'Match Log'!$C$4:$C$311,$A16)</f>
        <v>0</v>
      </c>
      <c r="P16" s="83">
        <f>SUMPRODUCT(IFERROR((('Match Log'!$C$4:$C$311=$A16)*('Match Log'!$A$4:$A$311&lt;&gt;""))/COUNTIF('Match Log'!$A$4:$A$311,'Match Log'!$A$4:$A$311&amp;""),0))</f>
        <v>1</v>
      </c>
      <c r="Q16" s="84" t="str">
        <f t="shared" si="0"/>
        <v>Josh</v>
      </c>
      <c r="R16" s="83">
        <f t="shared" si="1"/>
        <v>1</v>
      </c>
    </row>
    <row r="17" spans="1:18" ht="15" customHeight="1" x14ac:dyDescent="0.2">
      <c r="A17" s="81" t="s">
        <v>201</v>
      </c>
      <c r="B17" s="82">
        <f>COUNTIFS('Match Log'!$D$4:$D$311,B$7,'Match Log'!$C$4:$C$311,$A17)</f>
        <v>0</v>
      </c>
      <c r="C17" s="82">
        <f>COUNTIFS('Match Log'!$D$4:$D$311,C$7,'Match Log'!$C$4:$C$311,$A17)</f>
        <v>0</v>
      </c>
      <c r="D17" s="82">
        <f>COUNTIFS('Match Log'!$D$4:$D$311,D$7,'Match Log'!$C$4:$C$311,$A17)</f>
        <v>0</v>
      </c>
      <c r="E17" s="82">
        <f>COUNTIFS('Match Log'!$D$4:$D$311,E$7,'Match Log'!$C$4:$C$311,$A17)</f>
        <v>0</v>
      </c>
      <c r="F17" s="82">
        <f>COUNTIFS('Match Log'!$D$4:$D$311,F$7,'Match Log'!$C$4:$C$311,$A17)</f>
        <v>0</v>
      </c>
      <c r="G17" s="82">
        <f>COUNTIFS('Match Log'!$D$4:$D$311,G$7,'Match Log'!$C$4:$C$311,$A17)</f>
        <v>0</v>
      </c>
      <c r="H17" s="82">
        <f>COUNTIFS('Match Log'!$D$4:$D$311,H$7,'Match Log'!$C$4:$C$311,$A17)</f>
        <v>0</v>
      </c>
      <c r="I17" s="82">
        <f>COUNTIFS('Match Log'!$D$4:$D$311,I$7,'Match Log'!$C$4:$C$311,$A17)</f>
        <v>0</v>
      </c>
      <c r="J17" s="82">
        <f>COUNTIFS('Match Log'!$D$4:$D$311,J$7,'Match Log'!$C$4:$C$311,$A17)</f>
        <v>0</v>
      </c>
      <c r="K17" s="82">
        <f>COUNTIFS('Match Log'!$D$4:$D$311,K$7,'Match Log'!$C$4:$C$311,$A17)</f>
        <v>0</v>
      </c>
      <c r="L17" s="82">
        <f>COUNTIFS('Match Log'!$D$4:$D$311,L$7,'Match Log'!$C$4:$C$311,$A17)</f>
        <v>0</v>
      </c>
      <c r="M17" s="82">
        <f>COUNTIFS('Match Log'!$D$4:$D$311,M$7,'Match Log'!$C$4:$C$311,$A17)</f>
        <v>0</v>
      </c>
      <c r="N17" s="82">
        <f>COUNTIFS('Match Log'!$D$4:$D$311,N$7,'Match Log'!$C$4:$C$311,$A17)</f>
        <v>0</v>
      </c>
      <c r="O17" s="82">
        <f>COUNTIFS('Match Log'!$D$4:$D$311,O$7,'Match Log'!$C$4:$C$311,$A17)</f>
        <v>0</v>
      </c>
      <c r="P17" s="83">
        <f>SUMPRODUCT(IFERROR((('Match Log'!$C$4:$C$311=$A17)*('Match Log'!$A$4:$A$311&lt;&gt;""))/COUNTIF('Match Log'!$A$4:$A$311,'Match Log'!$A$4:$A$311&amp;""),0))</f>
        <v>0</v>
      </c>
      <c r="Q17" s="84" t="str">
        <f t="shared" si="0"/>
        <v>—</v>
      </c>
      <c r="R17" s="83" t="str">
        <f t="shared" si="1"/>
        <v>—</v>
      </c>
    </row>
    <row r="18" spans="1:18" ht="15" customHeight="1" x14ac:dyDescent="0.2">
      <c r="A18" s="81" t="s">
        <v>202</v>
      </c>
      <c r="B18" s="82">
        <f>COUNTIFS('Match Log'!$D$4:$D$311,B$7,'Match Log'!$C$4:$C$311,$A18)</f>
        <v>0</v>
      </c>
      <c r="C18" s="82">
        <f>COUNTIFS('Match Log'!$D$4:$D$311,C$7,'Match Log'!$C$4:$C$311,$A18)</f>
        <v>0</v>
      </c>
      <c r="D18" s="82">
        <f>COUNTIFS('Match Log'!$D$4:$D$311,D$7,'Match Log'!$C$4:$C$311,$A18)</f>
        <v>0</v>
      </c>
      <c r="E18" s="82">
        <f>COUNTIFS('Match Log'!$D$4:$D$311,E$7,'Match Log'!$C$4:$C$311,$A18)</f>
        <v>0</v>
      </c>
      <c r="F18" s="82">
        <f>COUNTIFS('Match Log'!$D$4:$D$311,F$7,'Match Log'!$C$4:$C$311,$A18)</f>
        <v>0</v>
      </c>
      <c r="G18" s="82">
        <f>COUNTIFS('Match Log'!$D$4:$D$311,G$7,'Match Log'!$C$4:$C$311,$A18)</f>
        <v>0</v>
      </c>
      <c r="H18" s="82">
        <f>COUNTIFS('Match Log'!$D$4:$D$311,H$7,'Match Log'!$C$4:$C$311,$A18)</f>
        <v>0</v>
      </c>
      <c r="I18" s="82">
        <f>COUNTIFS('Match Log'!$D$4:$D$311,I$7,'Match Log'!$C$4:$C$311,$A18)</f>
        <v>0</v>
      </c>
      <c r="J18" s="82">
        <f>COUNTIFS('Match Log'!$D$4:$D$311,J$7,'Match Log'!$C$4:$C$311,$A18)</f>
        <v>0</v>
      </c>
      <c r="K18" s="82">
        <f>COUNTIFS('Match Log'!$D$4:$D$311,K$7,'Match Log'!$C$4:$C$311,$A18)</f>
        <v>0</v>
      </c>
      <c r="L18" s="82">
        <f>COUNTIFS('Match Log'!$D$4:$D$311,L$7,'Match Log'!$C$4:$C$311,$A18)</f>
        <v>0</v>
      </c>
      <c r="M18" s="82">
        <f>COUNTIFS('Match Log'!$D$4:$D$311,M$7,'Match Log'!$C$4:$C$311,$A18)</f>
        <v>0</v>
      </c>
      <c r="N18" s="82">
        <f>COUNTIFS('Match Log'!$D$4:$D$311,N$7,'Match Log'!$C$4:$C$311,$A18)</f>
        <v>0</v>
      </c>
      <c r="O18" s="82">
        <f>COUNTIFS('Match Log'!$D$4:$D$311,O$7,'Match Log'!$C$4:$C$311,$A18)</f>
        <v>0</v>
      </c>
      <c r="P18" s="83">
        <f>SUMPRODUCT(IFERROR((('Match Log'!$C$4:$C$311=$A18)*('Match Log'!$A$4:$A$311&lt;&gt;""))/COUNTIF('Match Log'!$A$4:$A$311,'Match Log'!$A$4:$A$311&amp;""),0))</f>
        <v>0</v>
      </c>
      <c r="Q18" s="84" t="str">
        <f t="shared" si="0"/>
        <v>—</v>
      </c>
      <c r="R18" s="83" t="str">
        <f t="shared" si="1"/>
        <v>—</v>
      </c>
    </row>
    <row r="19" spans="1:18" ht="15" customHeight="1" x14ac:dyDescent="0.2">
      <c r="A19" s="81" t="s">
        <v>203</v>
      </c>
      <c r="B19" s="82">
        <f>COUNTIFS('Match Log'!$D$4:$D$311,B$7,'Match Log'!$C$4:$C$311,$A19)</f>
        <v>2</v>
      </c>
      <c r="C19" s="82">
        <f>COUNTIFS('Match Log'!$D$4:$D$311,C$7,'Match Log'!$C$4:$C$311,$A19)</f>
        <v>1</v>
      </c>
      <c r="D19" s="82">
        <f>COUNTIFS('Match Log'!$D$4:$D$311,D$7,'Match Log'!$C$4:$C$311,$A19)</f>
        <v>0</v>
      </c>
      <c r="E19" s="82">
        <f>COUNTIFS('Match Log'!$D$4:$D$311,E$7,'Match Log'!$C$4:$C$311,$A19)</f>
        <v>6</v>
      </c>
      <c r="F19" s="82">
        <f>COUNTIFS('Match Log'!$D$4:$D$311,F$7,'Match Log'!$C$4:$C$311,$A19)</f>
        <v>15</v>
      </c>
      <c r="G19" s="82">
        <f>COUNTIFS('Match Log'!$D$4:$D$311,G$7,'Match Log'!$C$4:$C$311,$A19)</f>
        <v>5</v>
      </c>
      <c r="H19" s="82">
        <f>COUNTIFS('Match Log'!$D$4:$D$311,H$7,'Match Log'!$C$4:$C$311,$A19)</f>
        <v>3</v>
      </c>
      <c r="I19" s="82">
        <f>COUNTIFS('Match Log'!$D$4:$D$311,I$7,'Match Log'!$C$4:$C$311,$A19)</f>
        <v>7</v>
      </c>
      <c r="J19" s="82">
        <f>COUNTIFS('Match Log'!$D$4:$D$311,J$7,'Match Log'!$C$4:$C$311,$A19)</f>
        <v>5</v>
      </c>
      <c r="K19" s="82">
        <f>COUNTIFS('Match Log'!$D$4:$D$311,K$7,'Match Log'!$C$4:$C$311,$A19)</f>
        <v>5</v>
      </c>
      <c r="L19" s="82">
        <f>COUNTIFS('Match Log'!$D$4:$D$311,L$7,'Match Log'!$C$4:$C$311,$A19)</f>
        <v>13</v>
      </c>
      <c r="M19" s="82">
        <f>COUNTIFS('Match Log'!$D$4:$D$311,M$7,'Match Log'!$C$4:$C$311,$A19)</f>
        <v>0</v>
      </c>
      <c r="N19" s="82">
        <f>COUNTIFS('Match Log'!$D$4:$D$311,N$7,'Match Log'!$C$4:$C$311,$A19)</f>
        <v>0</v>
      </c>
      <c r="O19" s="82">
        <f>COUNTIFS('Match Log'!$D$4:$D$311,O$7,'Match Log'!$C$4:$C$311,$A19)</f>
        <v>0</v>
      </c>
      <c r="P19" s="83">
        <f>SUMPRODUCT(IFERROR((('Match Log'!$C$4:$C$311=$A19)*('Match Log'!$A$4:$A$311&lt;&gt;""))/COUNTIF('Match Log'!$A$4:$A$311,'Match Log'!$A$4:$A$311&amp;""),0))</f>
        <v>31</v>
      </c>
      <c r="Q19" s="84" t="str">
        <f t="shared" si="0"/>
        <v>Josh</v>
      </c>
      <c r="R19" s="83">
        <f t="shared" si="1"/>
        <v>13</v>
      </c>
    </row>
    <row r="20" spans="1:18" ht="15" customHeight="1" x14ac:dyDescent="0.2">
      <c r="A20" s="81" t="s">
        <v>205</v>
      </c>
      <c r="B20" s="82">
        <f>COUNTIFS('Match Log'!$D$4:$D$311,B$7,'Match Log'!$C$4:$C$311,$A20)</f>
        <v>2</v>
      </c>
      <c r="C20" s="82">
        <f>COUNTIFS('Match Log'!$D$4:$D$311,C$7,'Match Log'!$C$4:$C$311,$A20)</f>
        <v>0</v>
      </c>
      <c r="D20" s="82">
        <f>COUNTIFS('Match Log'!$D$4:$D$311,D$7,'Match Log'!$C$4:$C$311,$A20)</f>
        <v>0</v>
      </c>
      <c r="E20" s="82">
        <f>COUNTIFS('Match Log'!$D$4:$D$311,E$7,'Match Log'!$C$4:$C$311,$A20)</f>
        <v>0</v>
      </c>
      <c r="F20" s="82">
        <f>COUNTIFS('Match Log'!$D$4:$D$311,F$7,'Match Log'!$C$4:$C$311,$A20)</f>
        <v>1</v>
      </c>
      <c r="G20" s="82">
        <f>COUNTIFS('Match Log'!$D$4:$D$311,G$7,'Match Log'!$C$4:$C$311,$A20)</f>
        <v>5</v>
      </c>
      <c r="H20" s="82">
        <f>COUNTIFS('Match Log'!$D$4:$D$311,H$7,'Match Log'!$C$4:$C$311,$A20)</f>
        <v>0</v>
      </c>
      <c r="I20" s="82">
        <f>COUNTIFS('Match Log'!$D$4:$D$311,I$7,'Match Log'!$C$4:$C$311,$A20)</f>
        <v>3</v>
      </c>
      <c r="J20" s="82">
        <f>COUNTIFS('Match Log'!$D$4:$D$311,J$7,'Match Log'!$C$4:$C$311,$A20)</f>
        <v>0</v>
      </c>
      <c r="K20" s="82">
        <f>COUNTIFS('Match Log'!$D$4:$D$311,K$7,'Match Log'!$C$4:$C$311,$A20)</f>
        <v>0</v>
      </c>
      <c r="L20" s="82">
        <f>COUNTIFS('Match Log'!$D$4:$D$311,L$7,'Match Log'!$C$4:$C$311,$A20)</f>
        <v>3</v>
      </c>
      <c r="M20" s="82">
        <f>COUNTIFS('Match Log'!$D$4:$D$311,M$7,'Match Log'!$C$4:$C$311,$A20)</f>
        <v>0</v>
      </c>
      <c r="N20" s="82">
        <f>COUNTIFS('Match Log'!$D$4:$D$311,N$7,'Match Log'!$C$4:$C$311,$A20)</f>
        <v>0</v>
      </c>
      <c r="O20" s="82">
        <f>COUNTIFS('Match Log'!$D$4:$D$311,O$7,'Match Log'!$C$4:$C$311,$A20)</f>
        <v>0</v>
      </c>
      <c r="P20" s="83">
        <f>SUMPRODUCT(IFERROR((('Match Log'!$C$4:$C$311=$A20)*('Match Log'!$A$4:$A$311&lt;&gt;""))/COUNTIF('Match Log'!$A$4:$A$311,'Match Log'!$A$4:$A$311&amp;""),0))</f>
        <v>6</v>
      </c>
      <c r="Q20" s="84" t="str">
        <f t="shared" si="0"/>
        <v>Daniel (Ferret)</v>
      </c>
      <c r="R20" s="83">
        <f t="shared" si="1"/>
        <v>3</v>
      </c>
    </row>
    <row r="21" spans="1:18" ht="15" customHeight="1" x14ac:dyDescent="0.2">
      <c r="A21" s="81" t="s">
        <v>207</v>
      </c>
      <c r="B21" s="82">
        <f>COUNTIFS('Match Log'!$D$4:$D$311,B$7,'Match Log'!$C$4:$C$311,$A21)</f>
        <v>3</v>
      </c>
      <c r="C21" s="82">
        <f>COUNTIFS('Match Log'!$D$4:$D$311,C$7,'Match Log'!$C$4:$C$311,$A21)</f>
        <v>0</v>
      </c>
      <c r="D21" s="82">
        <f>COUNTIFS('Match Log'!$D$4:$D$311,D$7,'Match Log'!$C$4:$C$311,$A21)</f>
        <v>4</v>
      </c>
      <c r="E21" s="82">
        <f>COUNTIFS('Match Log'!$D$4:$D$311,E$7,'Match Log'!$C$4:$C$311,$A21)</f>
        <v>0</v>
      </c>
      <c r="F21" s="82">
        <f>COUNTIFS('Match Log'!$D$4:$D$311,F$7,'Match Log'!$C$4:$C$311,$A21)</f>
        <v>0</v>
      </c>
      <c r="G21" s="82">
        <f>COUNTIFS('Match Log'!$D$4:$D$311,G$7,'Match Log'!$C$4:$C$311,$A21)</f>
        <v>7</v>
      </c>
      <c r="H21" s="82">
        <f>COUNTIFS('Match Log'!$D$4:$D$311,H$7,'Match Log'!$C$4:$C$311,$A21)</f>
        <v>0</v>
      </c>
      <c r="I21" s="82">
        <f>COUNTIFS('Match Log'!$D$4:$D$311,I$7,'Match Log'!$C$4:$C$311,$A21)</f>
        <v>7</v>
      </c>
      <c r="J21" s="82">
        <f>COUNTIFS('Match Log'!$D$4:$D$311,J$7,'Match Log'!$C$4:$C$311,$A21)</f>
        <v>0</v>
      </c>
      <c r="K21" s="82">
        <f>COUNTIFS('Match Log'!$D$4:$D$311,K$7,'Match Log'!$C$4:$C$311,$A21)</f>
        <v>0</v>
      </c>
      <c r="L21" s="82">
        <f>COUNTIFS('Match Log'!$D$4:$D$311,L$7,'Match Log'!$C$4:$C$311,$A21)</f>
        <v>7</v>
      </c>
      <c r="M21" s="82">
        <f>COUNTIFS('Match Log'!$D$4:$D$311,M$7,'Match Log'!$C$4:$C$311,$A21)</f>
        <v>0</v>
      </c>
      <c r="N21" s="82">
        <f>COUNTIFS('Match Log'!$D$4:$D$311,N$7,'Match Log'!$C$4:$C$311,$A21)</f>
        <v>0</v>
      </c>
      <c r="O21" s="82">
        <f>COUNTIFS('Match Log'!$D$4:$D$311,O$7,'Match Log'!$C$4:$C$311,$A21)</f>
        <v>0</v>
      </c>
      <c r="P21" s="83">
        <f>SUMPRODUCT(IFERROR((('Match Log'!$C$4:$C$311=$A21)*('Match Log'!$A$4:$A$311&lt;&gt;""))/COUNTIF('Match Log'!$A$4:$A$311,'Match Log'!$A$4:$A$311&amp;""),0))</f>
        <v>14</v>
      </c>
      <c r="Q21" s="84" t="str">
        <f t="shared" si="0"/>
        <v>Oscar</v>
      </c>
      <c r="R21" s="83">
        <f t="shared" si="1"/>
        <v>5</v>
      </c>
    </row>
    <row r="22" spans="1:18" ht="15" customHeight="1" x14ac:dyDescent="0.2">
      <c r="A22" s="81" t="s">
        <v>209</v>
      </c>
      <c r="B22" s="82">
        <f>COUNTIFS('Match Log'!$D$4:$D$311,B$7,'Match Log'!$C$4:$C$311,$A22)</f>
        <v>0</v>
      </c>
      <c r="C22" s="82">
        <f>COUNTIFS('Match Log'!$D$4:$D$311,C$7,'Match Log'!$C$4:$C$311,$A22)</f>
        <v>0</v>
      </c>
      <c r="D22" s="82">
        <f>COUNTIFS('Match Log'!$D$4:$D$311,D$7,'Match Log'!$C$4:$C$311,$A22)</f>
        <v>0</v>
      </c>
      <c r="E22" s="82">
        <f>COUNTIFS('Match Log'!$D$4:$D$311,E$7,'Match Log'!$C$4:$C$311,$A22)</f>
        <v>0</v>
      </c>
      <c r="F22" s="82">
        <f>COUNTIFS('Match Log'!$D$4:$D$311,F$7,'Match Log'!$C$4:$C$311,$A22)</f>
        <v>0</v>
      </c>
      <c r="G22" s="82">
        <f>COUNTIFS('Match Log'!$D$4:$D$311,G$7,'Match Log'!$C$4:$C$311,$A22)</f>
        <v>0</v>
      </c>
      <c r="H22" s="82">
        <f>COUNTIFS('Match Log'!$D$4:$D$311,H$7,'Match Log'!$C$4:$C$311,$A22)</f>
        <v>0</v>
      </c>
      <c r="I22" s="82">
        <f>COUNTIFS('Match Log'!$D$4:$D$311,I$7,'Match Log'!$C$4:$C$311,$A22)</f>
        <v>0</v>
      </c>
      <c r="J22" s="82">
        <f>COUNTIFS('Match Log'!$D$4:$D$311,J$7,'Match Log'!$C$4:$C$311,$A22)</f>
        <v>0</v>
      </c>
      <c r="K22" s="82">
        <f>COUNTIFS('Match Log'!$D$4:$D$311,K$7,'Match Log'!$C$4:$C$311,$A22)</f>
        <v>0</v>
      </c>
      <c r="L22" s="82">
        <f>COUNTIFS('Match Log'!$D$4:$D$311,L$7,'Match Log'!$C$4:$C$311,$A22)</f>
        <v>0</v>
      </c>
      <c r="M22" s="82">
        <f>COUNTIFS('Match Log'!$D$4:$D$311,M$7,'Match Log'!$C$4:$C$311,$A22)</f>
        <v>0</v>
      </c>
      <c r="N22" s="82">
        <f>COUNTIFS('Match Log'!$D$4:$D$311,N$7,'Match Log'!$C$4:$C$311,$A22)</f>
        <v>0</v>
      </c>
      <c r="O22" s="82">
        <f>COUNTIFS('Match Log'!$D$4:$D$311,O$7,'Match Log'!$C$4:$C$311,$A22)</f>
        <v>0</v>
      </c>
      <c r="P22" s="83">
        <f>SUMPRODUCT(IFERROR((('Match Log'!$C$4:$C$311=$A22)*('Match Log'!$A$4:$A$311&lt;&gt;""))/COUNTIF('Match Log'!$A$4:$A$311,'Match Log'!$A$4:$A$311&amp;""),0))</f>
        <v>0</v>
      </c>
      <c r="Q22" s="84" t="str">
        <f t="shared" si="0"/>
        <v>—</v>
      </c>
      <c r="R22" s="83" t="str">
        <f t="shared" si="1"/>
        <v>—</v>
      </c>
    </row>
    <row r="23" spans="1:18" ht="15" customHeight="1" x14ac:dyDescent="0.2">
      <c r="A23" s="81" t="s">
        <v>211</v>
      </c>
      <c r="B23" s="82">
        <f>COUNTIFS('Match Log'!$D$4:$D$311,B$7,'Match Log'!$C$4:$C$311,$A23)</f>
        <v>2</v>
      </c>
      <c r="C23" s="82">
        <f>COUNTIFS('Match Log'!$D$4:$D$311,C$7,'Match Log'!$C$4:$C$311,$A23)</f>
        <v>0</v>
      </c>
      <c r="D23" s="82">
        <f>COUNTIFS('Match Log'!$D$4:$D$311,D$7,'Match Log'!$C$4:$C$311,$A23)</f>
        <v>2</v>
      </c>
      <c r="E23" s="82">
        <f>COUNTIFS('Match Log'!$D$4:$D$311,E$7,'Match Log'!$C$4:$C$311,$A23)</f>
        <v>0</v>
      </c>
      <c r="F23" s="82">
        <f>COUNTIFS('Match Log'!$D$4:$D$311,F$7,'Match Log'!$C$4:$C$311,$A23)</f>
        <v>0</v>
      </c>
      <c r="G23" s="82">
        <f>COUNTIFS('Match Log'!$D$4:$D$311,G$7,'Match Log'!$C$4:$C$311,$A23)</f>
        <v>0</v>
      </c>
      <c r="H23" s="82">
        <f>COUNTIFS('Match Log'!$D$4:$D$311,H$7,'Match Log'!$C$4:$C$311,$A23)</f>
        <v>0</v>
      </c>
      <c r="I23" s="82">
        <f>COUNTIFS('Match Log'!$D$4:$D$311,I$7,'Match Log'!$C$4:$C$311,$A23)</f>
        <v>2</v>
      </c>
      <c r="J23" s="82">
        <f>COUNTIFS('Match Log'!$D$4:$D$311,J$7,'Match Log'!$C$4:$C$311,$A23)</f>
        <v>0</v>
      </c>
      <c r="K23" s="82">
        <f>COUNTIFS('Match Log'!$D$4:$D$311,K$7,'Match Log'!$C$4:$C$311,$A23)</f>
        <v>0</v>
      </c>
      <c r="L23" s="82">
        <f>COUNTIFS('Match Log'!$D$4:$D$311,L$7,'Match Log'!$C$4:$C$311,$A23)</f>
        <v>0</v>
      </c>
      <c r="M23" s="82">
        <f>COUNTIFS('Match Log'!$D$4:$D$311,M$7,'Match Log'!$C$4:$C$311,$A23)</f>
        <v>0</v>
      </c>
      <c r="N23" s="82">
        <f>COUNTIFS('Match Log'!$D$4:$D$311,N$7,'Match Log'!$C$4:$C$311,$A23)</f>
        <v>0</v>
      </c>
      <c r="O23" s="82">
        <f>COUNTIFS('Match Log'!$D$4:$D$311,O$7,'Match Log'!$C$4:$C$311,$A23)</f>
        <v>0</v>
      </c>
      <c r="P23" s="83">
        <f>SUMPRODUCT(IFERROR((('Match Log'!$C$4:$C$311=$A23)*('Match Log'!$A$4:$A$311&lt;&gt;""))/COUNTIF('Match Log'!$A$4:$A$311,'Match Log'!$A$4:$A$311&amp;""),0))</f>
        <v>3</v>
      </c>
      <c r="Q23" s="84" t="str">
        <f t="shared" si="0"/>
        <v>Daniel (Ferret)</v>
      </c>
      <c r="R23" s="83">
        <f t="shared" si="1"/>
        <v>2</v>
      </c>
    </row>
    <row r="24" spans="1:18" ht="15" customHeight="1" x14ac:dyDescent="0.2">
      <c r="A24" s="81" t="s">
        <v>212</v>
      </c>
      <c r="B24" s="82">
        <f>COUNTIFS('Match Log'!$D$4:$D$311,B$7,'Match Log'!$C$4:$C$311,$A24)</f>
        <v>0</v>
      </c>
      <c r="C24" s="82">
        <f>COUNTIFS('Match Log'!$D$4:$D$311,C$7,'Match Log'!$C$4:$C$311,$A24)</f>
        <v>0</v>
      </c>
      <c r="D24" s="82">
        <f>COUNTIFS('Match Log'!$D$4:$D$311,D$7,'Match Log'!$C$4:$C$311,$A24)</f>
        <v>1</v>
      </c>
      <c r="E24" s="82">
        <f>COUNTIFS('Match Log'!$D$4:$D$311,E$7,'Match Log'!$C$4:$C$311,$A24)</f>
        <v>0</v>
      </c>
      <c r="F24" s="82">
        <f>COUNTIFS('Match Log'!$D$4:$D$311,F$7,'Match Log'!$C$4:$C$311,$A24)</f>
        <v>1</v>
      </c>
      <c r="G24" s="82">
        <f>COUNTIFS('Match Log'!$D$4:$D$311,G$7,'Match Log'!$C$4:$C$311,$A24)</f>
        <v>0</v>
      </c>
      <c r="H24" s="82">
        <f>COUNTIFS('Match Log'!$D$4:$D$311,H$7,'Match Log'!$C$4:$C$311,$A24)</f>
        <v>0</v>
      </c>
      <c r="I24" s="82">
        <f>COUNTIFS('Match Log'!$D$4:$D$311,I$7,'Match Log'!$C$4:$C$311,$A24)</f>
        <v>1</v>
      </c>
      <c r="J24" s="82">
        <f>COUNTIFS('Match Log'!$D$4:$D$311,J$7,'Match Log'!$C$4:$C$311,$A24)</f>
        <v>0</v>
      </c>
      <c r="K24" s="82">
        <f>COUNTIFS('Match Log'!$D$4:$D$311,K$7,'Match Log'!$C$4:$C$311,$A24)</f>
        <v>0</v>
      </c>
      <c r="L24" s="82">
        <f>COUNTIFS('Match Log'!$D$4:$D$311,L$7,'Match Log'!$C$4:$C$311,$A24)</f>
        <v>0</v>
      </c>
      <c r="M24" s="82">
        <f>COUNTIFS('Match Log'!$D$4:$D$311,M$7,'Match Log'!$C$4:$C$311,$A24)</f>
        <v>0</v>
      </c>
      <c r="N24" s="82">
        <f>COUNTIFS('Match Log'!$D$4:$D$311,N$7,'Match Log'!$C$4:$C$311,$A24)</f>
        <v>0</v>
      </c>
      <c r="O24" s="82">
        <f>COUNTIFS('Match Log'!$D$4:$D$311,O$7,'Match Log'!$C$4:$C$311,$A24)</f>
        <v>0</v>
      </c>
      <c r="P24" s="83">
        <f>SUMPRODUCT(IFERROR((('Match Log'!$C$4:$C$311=$A24)*('Match Log'!$A$4:$A$311&lt;&gt;""))/COUNTIF('Match Log'!$A$4:$A$311,'Match Log'!$A$4:$A$311&amp;""),0))</f>
        <v>1</v>
      </c>
      <c r="Q24" s="84" t="str">
        <f t="shared" si="0"/>
        <v>Josh</v>
      </c>
      <c r="R24" s="83">
        <f t="shared" si="1"/>
        <v>1</v>
      </c>
    </row>
    <row r="25" spans="1:18" ht="15" customHeight="1" x14ac:dyDescent="0.2">
      <c r="A25" s="81" t="s">
        <v>214</v>
      </c>
      <c r="B25" s="82">
        <f>COUNTIFS('Match Log'!$D$4:$D$311,B$7,'Match Log'!$C$4:$C$311,$A25)</f>
        <v>7</v>
      </c>
      <c r="C25" s="82">
        <f>COUNTIFS('Match Log'!$D$4:$D$311,C$7,'Match Log'!$C$4:$C$311,$A25)</f>
        <v>8</v>
      </c>
      <c r="D25" s="82">
        <f>COUNTIFS('Match Log'!$D$4:$D$311,D$7,'Match Log'!$C$4:$C$311,$A25)</f>
        <v>1</v>
      </c>
      <c r="E25" s="82">
        <f>COUNTIFS('Match Log'!$D$4:$D$311,E$7,'Match Log'!$C$4:$C$311,$A25)</f>
        <v>7</v>
      </c>
      <c r="F25" s="82">
        <f>COUNTIFS('Match Log'!$D$4:$D$311,F$7,'Match Log'!$C$4:$C$311,$A25)</f>
        <v>8</v>
      </c>
      <c r="G25" s="82">
        <f>COUNTIFS('Match Log'!$D$4:$D$311,G$7,'Match Log'!$C$4:$C$311,$A25)</f>
        <v>9</v>
      </c>
      <c r="H25" s="82">
        <f>COUNTIFS('Match Log'!$D$4:$D$311,H$7,'Match Log'!$C$4:$C$311,$A25)</f>
        <v>11</v>
      </c>
      <c r="I25" s="82">
        <f>COUNTIFS('Match Log'!$D$4:$D$311,I$7,'Match Log'!$C$4:$C$311,$A25)</f>
        <v>9</v>
      </c>
      <c r="J25" s="82">
        <f>COUNTIFS('Match Log'!$D$4:$D$311,J$7,'Match Log'!$C$4:$C$311,$A25)</f>
        <v>10</v>
      </c>
      <c r="K25" s="82">
        <f>COUNTIFS('Match Log'!$D$4:$D$311,K$7,'Match Log'!$C$4:$C$311,$A25)</f>
        <v>7</v>
      </c>
      <c r="L25" s="82">
        <f>COUNTIFS('Match Log'!$D$4:$D$311,L$7,'Match Log'!$C$4:$C$311,$A25)</f>
        <v>12</v>
      </c>
      <c r="M25" s="82">
        <f>COUNTIFS('Match Log'!$D$4:$D$311,M$7,'Match Log'!$C$4:$C$311,$A25)</f>
        <v>5</v>
      </c>
      <c r="N25" s="82">
        <f>COUNTIFS('Match Log'!$D$4:$D$311,N$7,'Match Log'!$C$4:$C$311,$A25)</f>
        <v>4</v>
      </c>
      <c r="O25" s="82">
        <f>COUNTIFS('Match Log'!$D$4:$D$311,O$7,'Match Log'!$C$4:$C$311,$A25)</f>
        <v>0</v>
      </c>
      <c r="P25" s="83">
        <f>SUMPRODUCT(IFERROR((('Match Log'!$C$4:$C$311=$A25)*('Match Log'!$A$4:$A$311&lt;&gt;""))/COUNTIF('Match Log'!$A$4:$A$311,'Match Log'!$A$4:$A$311&amp;""),0))</f>
        <v>31</v>
      </c>
      <c r="Q25" s="84" t="str">
        <f t="shared" si="0"/>
        <v>Simon</v>
      </c>
      <c r="R25" s="83">
        <f t="shared" si="1"/>
        <v>8</v>
      </c>
    </row>
    <row r="26" spans="1:18" ht="15" customHeight="1" x14ac:dyDescent="0.2">
      <c r="A26" s="81" t="s">
        <v>216</v>
      </c>
      <c r="B26" s="82">
        <f>COUNTIFS('Match Log'!$D$4:$D$311,B$7,'Match Log'!$C$4:$C$311,$A26)</f>
        <v>0</v>
      </c>
      <c r="C26" s="82">
        <f>COUNTIFS('Match Log'!$D$4:$D$311,C$7,'Match Log'!$C$4:$C$311,$A26)</f>
        <v>0</v>
      </c>
      <c r="D26" s="82">
        <f>COUNTIFS('Match Log'!$D$4:$D$311,D$7,'Match Log'!$C$4:$C$311,$A26)</f>
        <v>0</v>
      </c>
      <c r="E26" s="82">
        <f>COUNTIFS('Match Log'!$D$4:$D$311,E$7,'Match Log'!$C$4:$C$311,$A26)</f>
        <v>0</v>
      </c>
      <c r="F26" s="82">
        <f>COUNTIFS('Match Log'!$D$4:$D$311,F$7,'Match Log'!$C$4:$C$311,$A26)</f>
        <v>4</v>
      </c>
      <c r="G26" s="82">
        <f>COUNTIFS('Match Log'!$D$4:$D$311,G$7,'Match Log'!$C$4:$C$311,$A26)</f>
        <v>0</v>
      </c>
      <c r="H26" s="82">
        <f>COUNTIFS('Match Log'!$D$4:$D$311,H$7,'Match Log'!$C$4:$C$311,$A26)</f>
        <v>0</v>
      </c>
      <c r="I26" s="82">
        <f>COUNTIFS('Match Log'!$D$4:$D$311,I$7,'Match Log'!$C$4:$C$311,$A26)</f>
        <v>4</v>
      </c>
      <c r="J26" s="82">
        <f>COUNTIFS('Match Log'!$D$4:$D$311,J$7,'Match Log'!$C$4:$C$311,$A26)</f>
        <v>0</v>
      </c>
      <c r="K26" s="82">
        <f>COUNTIFS('Match Log'!$D$4:$D$311,K$7,'Match Log'!$C$4:$C$311,$A26)</f>
        <v>0</v>
      </c>
      <c r="L26" s="82">
        <f>COUNTIFS('Match Log'!$D$4:$D$311,L$7,'Match Log'!$C$4:$C$311,$A26)</f>
        <v>0</v>
      </c>
      <c r="M26" s="82">
        <f>COUNTIFS('Match Log'!$D$4:$D$311,M$7,'Match Log'!$C$4:$C$311,$A26)</f>
        <v>0</v>
      </c>
      <c r="N26" s="82">
        <f>COUNTIFS('Match Log'!$D$4:$D$311,N$7,'Match Log'!$C$4:$C$311,$A26)</f>
        <v>0</v>
      </c>
      <c r="O26" s="82">
        <f>COUNTIFS('Match Log'!$D$4:$D$311,O$7,'Match Log'!$C$4:$C$311,$A26)</f>
        <v>0</v>
      </c>
      <c r="P26" s="83">
        <f>SUMPRODUCT(IFERROR((('Match Log'!$C$4:$C$311=$A26)*('Match Log'!$A$4:$A$311&lt;&gt;""))/COUNTIF('Match Log'!$A$4:$A$311,'Match Log'!$A$4:$A$311&amp;""),0))</f>
        <v>4</v>
      </c>
      <c r="Q26" s="84" t="str">
        <f t="shared" si="0"/>
        <v>Josh</v>
      </c>
      <c r="R26" s="83">
        <f t="shared" si="1"/>
        <v>2</v>
      </c>
    </row>
    <row r="28" spans="1:18" ht="15" customHeight="1" x14ac:dyDescent="0.2">
      <c r="A28" s="150" t="s">
        <v>234</v>
      </c>
      <c r="B28" s="150"/>
      <c r="C28" s="150"/>
      <c r="D28" s="150"/>
      <c r="E28" s="150"/>
      <c r="F28" s="150"/>
      <c r="G28" s="150"/>
      <c r="H28" s="150"/>
      <c r="I28" s="150"/>
      <c r="J28" s="150"/>
      <c r="K28" s="150"/>
      <c r="L28" s="150"/>
      <c r="M28" s="150"/>
      <c r="N28" s="150"/>
      <c r="O28" s="150"/>
      <c r="P28" s="150"/>
      <c r="Q28" s="150"/>
    </row>
    <row r="29" spans="1:18" ht="91.5" customHeight="1" x14ac:dyDescent="0.2">
      <c r="A29" s="79" t="s">
        <v>130</v>
      </c>
      <c r="B29" s="80" t="s">
        <v>145</v>
      </c>
      <c r="C29" s="80" t="s">
        <v>142</v>
      </c>
      <c r="D29" s="80" t="s">
        <v>180</v>
      </c>
      <c r="E29" s="80" t="s">
        <v>147</v>
      </c>
      <c r="F29" s="80" t="s">
        <v>144</v>
      </c>
      <c r="G29" s="80" t="s">
        <v>141</v>
      </c>
      <c r="H29" s="80" t="s">
        <v>175</v>
      </c>
      <c r="I29" s="80" t="s">
        <v>177</v>
      </c>
      <c r="J29" s="80" t="s">
        <v>174</v>
      </c>
      <c r="K29" s="80" t="s">
        <v>182</v>
      </c>
      <c r="L29" s="80" t="s">
        <v>176</v>
      </c>
      <c r="M29" s="80" t="s">
        <v>178</v>
      </c>
      <c r="N29" s="80" t="s">
        <v>179</v>
      </c>
      <c r="O29" s="80" t="s">
        <v>181</v>
      </c>
    </row>
    <row r="30" spans="1:18" ht="15" customHeight="1" x14ac:dyDescent="0.2">
      <c r="A30" s="81" t="s">
        <v>189</v>
      </c>
      <c r="B30" s="82">
        <f>COUNTIFS('Match Log'!$D$4:$D$311,B$29,'Match Log'!$C$4:$C$311,$A30,'Match Log'!$E$4:$E$311,"Win")</f>
        <v>0</v>
      </c>
      <c r="C30" s="82">
        <f>COUNTIFS('Match Log'!$D$4:$D$311,C$29,'Match Log'!$C$4:$C$311,$A30,'Match Log'!$E$4:$E$311,"Win")</f>
        <v>0</v>
      </c>
      <c r="D30" s="82">
        <f>COUNTIFS('Match Log'!$D$4:$D$311,D$29,'Match Log'!$C$4:$C$311,$A30,'Match Log'!$E$4:$E$311,"Win")</f>
        <v>0</v>
      </c>
      <c r="E30" s="82">
        <f>COUNTIFS('Match Log'!$D$4:$D$311,E$29,'Match Log'!$C$4:$C$311,$A30,'Match Log'!$E$4:$E$311,"Win")</f>
        <v>0</v>
      </c>
      <c r="F30" s="82">
        <f>COUNTIFS('Match Log'!$D$4:$D$311,F$29,'Match Log'!$C$4:$C$311,$A30,'Match Log'!$E$4:$E$311,"Win")</f>
        <v>0</v>
      </c>
      <c r="G30" s="82">
        <f>COUNTIFS('Match Log'!$D$4:$D$311,G$29,'Match Log'!$C$4:$C$311,$A30,'Match Log'!$E$4:$E$311,"Win")</f>
        <v>2</v>
      </c>
      <c r="H30" s="82">
        <f>COUNTIFS('Match Log'!$D$4:$D$311,H$29,'Match Log'!$C$4:$C$311,$A30,'Match Log'!$E$4:$E$311,"Win")</f>
        <v>0</v>
      </c>
      <c r="I30" s="82">
        <f>COUNTIFS('Match Log'!$D$4:$D$311,I$29,'Match Log'!$C$4:$C$311,$A30,'Match Log'!$E$4:$E$311,"Win")</f>
        <v>0</v>
      </c>
      <c r="J30" s="82">
        <f>COUNTIFS('Match Log'!$D$4:$D$311,J$29,'Match Log'!$C$4:$C$311,$A30,'Match Log'!$E$4:$E$311,"Win")</f>
        <v>0</v>
      </c>
      <c r="K30" s="82">
        <f>COUNTIFS('Match Log'!$D$4:$D$311,K$29,'Match Log'!$C$4:$C$311,$A30,'Match Log'!$E$4:$E$311,"Win")</f>
        <v>0</v>
      </c>
      <c r="L30" s="82">
        <f>COUNTIFS('Match Log'!$D$4:$D$311,L$29,'Match Log'!$C$4:$C$311,$A30,'Match Log'!$E$4:$E$311,"Win")</f>
        <v>0</v>
      </c>
      <c r="M30" s="82">
        <f>COUNTIFS('Match Log'!$D$4:$D$311,M$29,'Match Log'!$C$4:$C$311,$A30,'Match Log'!$E$4:$E$311,"Win")</f>
        <v>0</v>
      </c>
      <c r="N30" s="82">
        <f>COUNTIFS('Match Log'!$D$4:$D$311,N$29,'Match Log'!$C$4:$C$311,$A30,'Match Log'!$E$4:$E$311,"Win")</f>
        <v>0</v>
      </c>
      <c r="O30" s="82">
        <f>COUNTIFS('Match Log'!$D$4:$D$311,O$29,'Match Log'!$C$4:$C$311,$A30,'Match Log'!$E$4:$E$311,"Win")</f>
        <v>0</v>
      </c>
    </row>
    <row r="31" spans="1:18" ht="15" customHeight="1" x14ac:dyDescent="0.2">
      <c r="A31" s="81" t="s">
        <v>190</v>
      </c>
      <c r="B31" s="82">
        <f>COUNTIFS('Match Log'!$D$4:$D$311,B$29,'Match Log'!$C$4:$C$311,$A31,'Match Log'!$E$4:$E$311,"Win")</f>
        <v>0</v>
      </c>
      <c r="C31" s="82">
        <f>COUNTIFS('Match Log'!$D$4:$D$311,C$29,'Match Log'!$C$4:$C$311,$A31,'Match Log'!$E$4:$E$311,"Win")</f>
        <v>0</v>
      </c>
      <c r="D31" s="82">
        <f>COUNTIFS('Match Log'!$D$4:$D$311,D$29,'Match Log'!$C$4:$C$311,$A31,'Match Log'!$E$4:$E$311,"Win")</f>
        <v>0</v>
      </c>
      <c r="E31" s="82">
        <f>COUNTIFS('Match Log'!$D$4:$D$311,E$29,'Match Log'!$C$4:$C$311,$A31,'Match Log'!$E$4:$E$311,"Win")</f>
        <v>0</v>
      </c>
      <c r="F31" s="82">
        <f>COUNTIFS('Match Log'!$D$4:$D$311,F$29,'Match Log'!$C$4:$C$311,$A31,'Match Log'!$E$4:$E$311,"Win")</f>
        <v>0</v>
      </c>
      <c r="G31" s="82">
        <f>COUNTIFS('Match Log'!$D$4:$D$311,G$29,'Match Log'!$C$4:$C$311,$A31,'Match Log'!$E$4:$E$311,"Win")</f>
        <v>0</v>
      </c>
      <c r="H31" s="82">
        <f>COUNTIFS('Match Log'!$D$4:$D$311,H$29,'Match Log'!$C$4:$C$311,$A31,'Match Log'!$E$4:$E$311,"Win")</f>
        <v>0</v>
      </c>
      <c r="I31" s="82">
        <f>COUNTIFS('Match Log'!$D$4:$D$311,I$29,'Match Log'!$C$4:$C$311,$A31,'Match Log'!$E$4:$E$311,"Win")</f>
        <v>0</v>
      </c>
      <c r="J31" s="82">
        <f>COUNTIFS('Match Log'!$D$4:$D$311,J$29,'Match Log'!$C$4:$C$311,$A31,'Match Log'!$E$4:$E$311,"Win")</f>
        <v>0</v>
      </c>
      <c r="K31" s="82">
        <f>COUNTIFS('Match Log'!$D$4:$D$311,K$29,'Match Log'!$C$4:$C$311,$A31,'Match Log'!$E$4:$E$311,"Win")</f>
        <v>0</v>
      </c>
      <c r="L31" s="82">
        <f>COUNTIFS('Match Log'!$D$4:$D$311,L$29,'Match Log'!$C$4:$C$311,$A31,'Match Log'!$E$4:$E$311,"Win")</f>
        <v>0</v>
      </c>
      <c r="M31" s="82">
        <f>COUNTIFS('Match Log'!$D$4:$D$311,M$29,'Match Log'!$C$4:$C$311,$A31,'Match Log'!$E$4:$E$311,"Win")</f>
        <v>0</v>
      </c>
      <c r="N31" s="82">
        <f>COUNTIFS('Match Log'!$D$4:$D$311,N$29,'Match Log'!$C$4:$C$311,$A31,'Match Log'!$E$4:$E$311,"Win")</f>
        <v>0</v>
      </c>
      <c r="O31" s="82">
        <f>COUNTIFS('Match Log'!$D$4:$D$311,O$29,'Match Log'!$C$4:$C$311,$A31,'Match Log'!$E$4:$E$311,"Win")</f>
        <v>0</v>
      </c>
    </row>
    <row r="32" spans="1:18" ht="15" customHeight="1" x14ac:dyDescent="0.2">
      <c r="A32" s="81" t="s">
        <v>191</v>
      </c>
      <c r="B32" s="82">
        <f>COUNTIFS('Match Log'!$D$4:$D$311,B$29,'Match Log'!$C$4:$C$311,$A32,'Match Log'!$E$4:$E$311,"Win")</f>
        <v>6</v>
      </c>
      <c r="C32" s="82">
        <f>COUNTIFS('Match Log'!$D$4:$D$311,C$29,'Match Log'!$C$4:$C$311,$A32,'Match Log'!$E$4:$E$311,"Win")</f>
        <v>0</v>
      </c>
      <c r="D32" s="82">
        <f>COUNTIFS('Match Log'!$D$4:$D$311,D$29,'Match Log'!$C$4:$C$311,$A32,'Match Log'!$E$4:$E$311,"Win")</f>
        <v>0</v>
      </c>
      <c r="E32" s="82">
        <f>COUNTIFS('Match Log'!$D$4:$D$311,E$29,'Match Log'!$C$4:$C$311,$A32,'Match Log'!$E$4:$E$311,"Win")</f>
        <v>0</v>
      </c>
      <c r="F32" s="82">
        <f>COUNTIFS('Match Log'!$D$4:$D$311,F$29,'Match Log'!$C$4:$C$311,$A32,'Match Log'!$E$4:$E$311,"Win")</f>
        <v>0</v>
      </c>
      <c r="G32" s="82">
        <f>COUNTIFS('Match Log'!$D$4:$D$311,G$29,'Match Log'!$C$4:$C$311,$A32,'Match Log'!$E$4:$E$311,"Win")</f>
        <v>6</v>
      </c>
      <c r="H32" s="82">
        <f>COUNTIFS('Match Log'!$D$4:$D$311,H$29,'Match Log'!$C$4:$C$311,$A32,'Match Log'!$E$4:$E$311,"Win")</f>
        <v>0</v>
      </c>
      <c r="I32" s="82">
        <f>COUNTIFS('Match Log'!$D$4:$D$311,I$29,'Match Log'!$C$4:$C$311,$A32,'Match Log'!$E$4:$E$311,"Win")</f>
        <v>4</v>
      </c>
      <c r="J32" s="82">
        <f>COUNTIFS('Match Log'!$D$4:$D$311,J$29,'Match Log'!$C$4:$C$311,$A32,'Match Log'!$E$4:$E$311,"Win")</f>
        <v>0</v>
      </c>
      <c r="K32" s="82">
        <f>COUNTIFS('Match Log'!$D$4:$D$311,K$29,'Match Log'!$C$4:$C$311,$A32,'Match Log'!$E$4:$E$311,"Win")</f>
        <v>0</v>
      </c>
      <c r="L32" s="82">
        <f>COUNTIFS('Match Log'!$D$4:$D$311,L$29,'Match Log'!$C$4:$C$311,$A32,'Match Log'!$E$4:$E$311,"Win")</f>
        <v>0</v>
      </c>
      <c r="M32" s="82">
        <f>COUNTIFS('Match Log'!$D$4:$D$311,M$29,'Match Log'!$C$4:$C$311,$A32,'Match Log'!$E$4:$E$311,"Win")</f>
        <v>0</v>
      </c>
      <c r="N32" s="82">
        <f>COUNTIFS('Match Log'!$D$4:$D$311,N$29,'Match Log'!$C$4:$C$311,$A32,'Match Log'!$E$4:$E$311,"Win")</f>
        <v>0</v>
      </c>
      <c r="O32" s="82">
        <f>COUNTIFS('Match Log'!$D$4:$D$311,O$29,'Match Log'!$C$4:$C$311,$A32,'Match Log'!$E$4:$E$311,"Win")</f>
        <v>0</v>
      </c>
    </row>
    <row r="33" spans="1:15" ht="15" customHeight="1" x14ac:dyDescent="0.2">
      <c r="A33" s="81" t="s">
        <v>192</v>
      </c>
      <c r="B33" s="82">
        <f>COUNTIFS('Match Log'!$D$4:$D$311,B$29,'Match Log'!$C$4:$C$311,$A33,'Match Log'!$E$4:$E$311,"Win")</f>
        <v>0</v>
      </c>
      <c r="C33" s="82">
        <f>COUNTIFS('Match Log'!$D$4:$D$311,C$29,'Match Log'!$C$4:$C$311,$A33,'Match Log'!$E$4:$E$311,"Win")</f>
        <v>0</v>
      </c>
      <c r="D33" s="82">
        <f>COUNTIFS('Match Log'!$D$4:$D$311,D$29,'Match Log'!$C$4:$C$311,$A33,'Match Log'!$E$4:$E$311,"Win")</f>
        <v>0</v>
      </c>
      <c r="E33" s="82">
        <f>COUNTIFS('Match Log'!$D$4:$D$311,E$29,'Match Log'!$C$4:$C$311,$A33,'Match Log'!$E$4:$E$311,"Win")</f>
        <v>0</v>
      </c>
      <c r="F33" s="82">
        <f>COUNTIFS('Match Log'!$D$4:$D$311,F$29,'Match Log'!$C$4:$C$311,$A33,'Match Log'!$E$4:$E$311,"Win")</f>
        <v>0</v>
      </c>
      <c r="G33" s="82">
        <f>COUNTIFS('Match Log'!$D$4:$D$311,G$29,'Match Log'!$C$4:$C$311,$A33,'Match Log'!$E$4:$E$311,"Win")</f>
        <v>0</v>
      </c>
      <c r="H33" s="82">
        <f>COUNTIFS('Match Log'!$D$4:$D$311,H$29,'Match Log'!$C$4:$C$311,$A33,'Match Log'!$E$4:$E$311,"Win")</f>
        <v>0</v>
      </c>
      <c r="I33" s="82">
        <f>COUNTIFS('Match Log'!$D$4:$D$311,I$29,'Match Log'!$C$4:$C$311,$A33,'Match Log'!$E$4:$E$311,"Win")</f>
        <v>0</v>
      </c>
      <c r="J33" s="82">
        <f>COUNTIFS('Match Log'!$D$4:$D$311,J$29,'Match Log'!$C$4:$C$311,$A33,'Match Log'!$E$4:$E$311,"Win")</f>
        <v>0</v>
      </c>
      <c r="K33" s="82">
        <f>COUNTIFS('Match Log'!$D$4:$D$311,K$29,'Match Log'!$C$4:$C$311,$A33,'Match Log'!$E$4:$E$311,"Win")</f>
        <v>0</v>
      </c>
      <c r="L33" s="82">
        <f>COUNTIFS('Match Log'!$D$4:$D$311,L$29,'Match Log'!$C$4:$C$311,$A33,'Match Log'!$E$4:$E$311,"Win")</f>
        <v>0</v>
      </c>
      <c r="M33" s="82">
        <f>COUNTIFS('Match Log'!$D$4:$D$311,M$29,'Match Log'!$C$4:$C$311,$A33,'Match Log'!$E$4:$E$311,"Win")</f>
        <v>0</v>
      </c>
      <c r="N33" s="82">
        <f>COUNTIFS('Match Log'!$D$4:$D$311,N$29,'Match Log'!$C$4:$C$311,$A33,'Match Log'!$E$4:$E$311,"Win")</f>
        <v>0</v>
      </c>
      <c r="O33" s="82">
        <f>COUNTIFS('Match Log'!$D$4:$D$311,O$29,'Match Log'!$C$4:$C$311,$A33,'Match Log'!$E$4:$E$311,"Win")</f>
        <v>0</v>
      </c>
    </row>
    <row r="34" spans="1:15" ht="15" customHeight="1" x14ac:dyDescent="0.2">
      <c r="A34" s="81" t="s">
        <v>193</v>
      </c>
      <c r="B34" s="82">
        <f>COUNTIFS('Match Log'!$D$4:$D$311,B$29,'Match Log'!$C$4:$C$311,$A34,'Match Log'!$E$4:$E$311,"Win")</f>
        <v>0</v>
      </c>
      <c r="C34" s="82">
        <f>COUNTIFS('Match Log'!$D$4:$D$311,C$29,'Match Log'!$C$4:$C$311,$A34,'Match Log'!$E$4:$E$311,"Win")</f>
        <v>0</v>
      </c>
      <c r="D34" s="82">
        <f>COUNTIFS('Match Log'!$D$4:$D$311,D$29,'Match Log'!$C$4:$C$311,$A34,'Match Log'!$E$4:$E$311,"Win")</f>
        <v>0</v>
      </c>
      <c r="E34" s="82">
        <f>COUNTIFS('Match Log'!$D$4:$D$311,E$29,'Match Log'!$C$4:$C$311,$A34,'Match Log'!$E$4:$E$311,"Win")</f>
        <v>0</v>
      </c>
      <c r="F34" s="82">
        <f>COUNTIFS('Match Log'!$D$4:$D$311,F$29,'Match Log'!$C$4:$C$311,$A34,'Match Log'!$E$4:$E$311,"Win")</f>
        <v>0</v>
      </c>
      <c r="G34" s="82">
        <f>COUNTIFS('Match Log'!$D$4:$D$311,G$29,'Match Log'!$C$4:$C$311,$A34,'Match Log'!$E$4:$E$311,"Win")</f>
        <v>0</v>
      </c>
      <c r="H34" s="82">
        <f>COUNTIFS('Match Log'!$D$4:$D$311,H$29,'Match Log'!$C$4:$C$311,$A34,'Match Log'!$E$4:$E$311,"Win")</f>
        <v>2</v>
      </c>
      <c r="I34" s="82">
        <f>COUNTIFS('Match Log'!$D$4:$D$311,I$29,'Match Log'!$C$4:$C$311,$A34,'Match Log'!$E$4:$E$311,"Win")</f>
        <v>2</v>
      </c>
      <c r="J34" s="82">
        <f>COUNTIFS('Match Log'!$D$4:$D$311,J$29,'Match Log'!$C$4:$C$311,$A34,'Match Log'!$E$4:$E$311,"Win")</f>
        <v>4</v>
      </c>
      <c r="K34" s="82">
        <f>COUNTIFS('Match Log'!$D$4:$D$311,K$29,'Match Log'!$C$4:$C$311,$A34,'Match Log'!$E$4:$E$311,"Win")</f>
        <v>0</v>
      </c>
      <c r="L34" s="82">
        <f>COUNTIFS('Match Log'!$D$4:$D$311,L$29,'Match Log'!$C$4:$C$311,$A34,'Match Log'!$E$4:$E$311,"Win")</f>
        <v>2</v>
      </c>
      <c r="M34" s="82">
        <f>COUNTIFS('Match Log'!$D$4:$D$311,M$29,'Match Log'!$C$4:$C$311,$A34,'Match Log'!$E$4:$E$311,"Win")</f>
        <v>0</v>
      </c>
      <c r="N34" s="82">
        <f>COUNTIFS('Match Log'!$D$4:$D$311,N$29,'Match Log'!$C$4:$C$311,$A34,'Match Log'!$E$4:$E$311,"Win")</f>
        <v>0</v>
      </c>
      <c r="O34" s="82">
        <f>COUNTIFS('Match Log'!$D$4:$D$311,O$29,'Match Log'!$C$4:$C$311,$A34,'Match Log'!$E$4:$E$311,"Win")</f>
        <v>0</v>
      </c>
    </row>
    <row r="35" spans="1:15" ht="15" customHeight="1" x14ac:dyDescent="0.2">
      <c r="A35" s="81" t="s">
        <v>194</v>
      </c>
      <c r="B35" s="82">
        <f>COUNTIFS('Match Log'!$D$4:$D$311,B$29,'Match Log'!$C$4:$C$311,$A35,'Match Log'!$E$4:$E$311,"Win")</f>
        <v>1</v>
      </c>
      <c r="C35" s="82">
        <f>COUNTIFS('Match Log'!$D$4:$D$311,C$29,'Match Log'!$C$4:$C$311,$A35,'Match Log'!$E$4:$E$311,"Win")</f>
        <v>0</v>
      </c>
      <c r="D35" s="82">
        <f>COUNTIFS('Match Log'!$D$4:$D$311,D$29,'Match Log'!$C$4:$C$311,$A35,'Match Log'!$E$4:$E$311,"Win")</f>
        <v>0</v>
      </c>
      <c r="E35" s="82">
        <f>COUNTIFS('Match Log'!$D$4:$D$311,E$29,'Match Log'!$C$4:$C$311,$A35,'Match Log'!$E$4:$E$311,"Win")</f>
        <v>0</v>
      </c>
      <c r="F35" s="82">
        <f>COUNTIFS('Match Log'!$D$4:$D$311,F$29,'Match Log'!$C$4:$C$311,$A35,'Match Log'!$E$4:$E$311,"Win")</f>
        <v>0</v>
      </c>
      <c r="G35" s="82">
        <f>COUNTIFS('Match Log'!$D$4:$D$311,G$29,'Match Log'!$C$4:$C$311,$A35,'Match Log'!$E$4:$E$311,"Win")</f>
        <v>0</v>
      </c>
      <c r="H35" s="82">
        <f>COUNTIFS('Match Log'!$D$4:$D$311,H$29,'Match Log'!$C$4:$C$311,$A35,'Match Log'!$E$4:$E$311,"Win")</f>
        <v>0</v>
      </c>
      <c r="I35" s="82">
        <f>COUNTIFS('Match Log'!$D$4:$D$311,I$29,'Match Log'!$C$4:$C$311,$A35,'Match Log'!$E$4:$E$311,"Win")</f>
        <v>0</v>
      </c>
      <c r="J35" s="82">
        <f>COUNTIFS('Match Log'!$D$4:$D$311,J$29,'Match Log'!$C$4:$C$311,$A35,'Match Log'!$E$4:$E$311,"Win")</f>
        <v>0</v>
      </c>
      <c r="K35" s="82">
        <f>COUNTIFS('Match Log'!$D$4:$D$311,K$29,'Match Log'!$C$4:$C$311,$A35,'Match Log'!$E$4:$E$311,"Win")</f>
        <v>0</v>
      </c>
      <c r="L35" s="82">
        <f>COUNTIFS('Match Log'!$D$4:$D$311,L$29,'Match Log'!$C$4:$C$311,$A35,'Match Log'!$E$4:$E$311,"Win")</f>
        <v>0</v>
      </c>
      <c r="M35" s="82">
        <f>COUNTIFS('Match Log'!$D$4:$D$311,M$29,'Match Log'!$C$4:$C$311,$A35,'Match Log'!$E$4:$E$311,"Win")</f>
        <v>0</v>
      </c>
      <c r="N35" s="82">
        <f>COUNTIFS('Match Log'!$D$4:$D$311,N$29,'Match Log'!$C$4:$C$311,$A35,'Match Log'!$E$4:$E$311,"Win")</f>
        <v>0</v>
      </c>
      <c r="O35" s="82">
        <f>COUNTIFS('Match Log'!$D$4:$D$311,O$29,'Match Log'!$C$4:$C$311,$A35,'Match Log'!$E$4:$E$311,"Win")</f>
        <v>0</v>
      </c>
    </row>
    <row r="36" spans="1:15" ht="15" customHeight="1" x14ac:dyDescent="0.2">
      <c r="A36" s="81" t="s">
        <v>196</v>
      </c>
      <c r="B36" s="82">
        <f>COUNTIFS('Match Log'!$D$4:$D$311,B$29,'Match Log'!$C$4:$C$311,$A36,'Match Log'!$E$4:$E$311,"Win")</f>
        <v>0</v>
      </c>
      <c r="C36" s="82">
        <f>COUNTIFS('Match Log'!$D$4:$D$311,C$29,'Match Log'!$C$4:$C$311,$A36,'Match Log'!$E$4:$E$311,"Win")</f>
        <v>0</v>
      </c>
      <c r="D36" s="82">
        <f>COUNTIFS('Match Log'!$D$4:$D$311,D$29,'Match Log'!$C$4:$C$311,$A36,'Match Log'!$E$4:$E$311,"Win")</f>
        <v>0</v>
      </c>
      <c r="E36" s="82">
        <f>COUNTIFS('Match Log'!$D$4:$D$311,E$29,'Match Log'!$C$4:$C$311,$A36,'Match Log'!$E$4:$E$311,"Win")</f>
        <v>0</v>
      </c>
      <c r="F36" s="82">
        <f>COUNTIFS('Match Log'!$D$4:$D$311,F$29,'Match Log'!$C$4:$C$311,$A36,'Match Log'!$E$4:$E$311,"Win")</f>
        <v>0</v>
      </c>
      <c r="G36" s="82">
        <f>COUNTIFS('Match Log'!$D$4:$D$311,G$29,'Match Log'!$C$4:$C$311,$A36,'Match Log'!$E$4:$E$311,"Win")</f>
        <v>0</v>
      </c>
      <c r="H36" s="82">
        <f>COUNTIFS('Match Log'!$D$4:$D$311,H$29,'Match Log'!$C$4:$C$311,$A36,'Match Log'!$E$4:$E$311,"Win")</f>
        <v>0</v>
      </c>
      <c r="I36" s="82">
        <f>COUNTIFS('Match Log'!$D$4:$D$311,I$29,'Match Log'!$C$4:$C$311,$A36,'Match Log'!$E$4:$E$311,"Win")</f>
        <v>0</v>
      </c>
      <c r="J36" s="82">
        <f>COUNTIFS('Match Log'!$D$4:$D$311,J$29,'Match Log'!$C$4:$C$311,$A36,'Match Log'!$E$4:$E$311,"Win")</f>
        <v>0</v>
      </c>
      <c r="K36" s="82">
        <f>COUNTIFS('Match Log'!$D$4:$D$311,K$29,'Match Log'!$C$4:$C$311,$A36,'Match Log'!$E$4:$E$311,"Win")</f>
        <v>0</v>
      </c>
      <c r="L36" s="82">
        <f>COUNTIFS('Match Log'!$D$4:$D$311,L$29,'Match Log'!$C$4:$C$311,$A36,'Match Log'!$E$4:$E$311,"Win")</f>
        <v>0</v>
      </c>
      <c r="M36" s="82">
        <f>COUNTIFS('Match Log'!$D$4:$D$311,M$29,'Match Log'!$C$4:$C$311,$A36,'Match Log'!$E$4:$E$311,"Win")</f>
        <v>0</v>
      </c>
      <c r="N36" s="82">
        <f>COUNTIFS('Match Log'!$D$4:$D$311,N$29,'Match Log'!$C$4:$C$311,$A36,'Match Log'!$E$4:$E$311,"Win")</f>
        <v>0</v>
      </c>
      <c r="O36" s="82">
        <f>COUNTIFS('Match Log'!$D$4:$D$311,O$29,'Match Log'!$C$4:$C$311,$A36,'Match Log'!$E$4:$E$311,"Win")</f>
        <v>0</v>
      </c>
    </row>
    <row r="37" spans="1:15" ht="15" customHeight="1" x14ac:dyDescent="0.2">
      <c r="A37" s="81" t="s">
        <v>198</v>
      </c>
      <c r="B37" s="82">
        <f>COUNTIFS('Match Log'!$D$4:$D$311,B$29,'Match Log'!$C$4:$C$311,$A37,'Match Log'!$E$4:$E$311,"Win")</f>
        <v>0</v>
      </c>
      <c r="C37" s="82">
        <f>COUNTIFS('Match Log'!$D$4:$D$311,C$29,'Match Log'!$C$4:$C$311,$A37,'Match Log'!$E$4:$E$311,"Win")</f>
        <v>0</v>
      </c>
      <c r="D37" s="82">
        <f>COUNTIFS('Match Log'!$D$4:$D$311,D$29,'Match Log'!$C$4:$C$311,$A37,'Match Log'!$E$4:$E$311,"Win")</f>
        <v>0</v>
      </c>
      <c r="E37" s="82">
        <f>COUNTIFS('Match Log'!$D$4:$D$311,E$29,'Match Log'!$C$4:$C$311,$A37,'Match Log'!$E$4:$E$311,"Win")</f>
        <v>0</v>
      </c>
      <c r="F37" s="82">
        <f>COUNTIFS('Match Log'!$D$4:$D$311,F$29,'Match Log'!$C$4:$C$311,$A37,'Match Log'!$E$4:$E$311,"Win")</f>
        <v>0</v>
      </c>
      <c r="G37" s="82">
        <f>COUNTIFS('Match Log'!$D$4:$D$311,G$29,'Match Log'!$C$4:$C$311,$A37,'Match Log'!$E$4:$E$311,"Win")</f>
        <v>0</v>
      </c>
      <c r="H37" s="82">
        <f>COUNTIFS('Match Log'!$D$4:$D$311,H$29,'Match Log'!$C$4:$C$311,$A37,'Match Log'!$E$4:$E$311,"Win")</f>
        <v>0</v>
      </c>
      <c r="I37" s="82">
        <f>COUNTIFS('Match Log'!$D$4:$D$311,I$29,'Match Log'!$C$4:$C$311,$A37,'Match Log'!$E$4:$E$311,"Win")</f>
        <v>0</v>
      </c>
      <c r="J37" s="82">
        <f>COUNTIFS('Match Log'!$D$4:$D$311,J$29,'Match Log'!$C$4:$C$311,$A37,'Match Log'!$E$4:$E$311,"Win")</f>
        <v>0</v>
      </c>
      <c r="K37" s="82">
        <f>COUNTIFS('Match Log'!$D$4:$D$311,K$29,'Match Log'!$C$4:$C$311,$A37,'Match Log'!$E$4:$E$311,"Win")</f>
        <v>0</v>
      </c>
      <c r="L37" s="82">
        <f>COUNTIFS('Match Log'!$D$4:$D$311,L$29,'Match Log'!$C$4:$C$311,$A37,'Match Log'!$E$4:$E$311,"Win")</f>
        <v>0</v>
      </c>
      <c r="M37" s="82">
        <f>COUNTIFS('Match Log'!$D$4:$D$311,M$29,'Match Log'!$C$4:$C$311,$A37,'Match Log'!$E$4:$E$311,"Win")</f>
        <v>0</v>
      </c>
      <c r="N37" s="82">
        <f>COUNTIFS('Match Log'!$D$4:$D$311,N$29,'Match Log'!$C$4:$C$311,$A37,'Match Log'!$E$4:$E$311,"Win")</f>
        <v>0</v>
      </c>
      <c r="O37" s="82">
        <f>COUNTIFS('Match Log'!$D$4:$D$311,O$29,'Match Log'!$C$4:$C$311,$A37,'Match Log'!$E$4:$E$311,"Win")</f>
        <v>0</v>
      </c>
    </row>
    <row r="38" spans="1:15" ht="15" customHeight="1" x14ac:dyDescent="0.2">
      <c r="A38" s="81" t="s">
        <v>200</v>
      </c>
      <c r="B38" s="82">
        <f>COUNTIFS('Match Log'!$D$4:$D$311,B$29,'Match Log'!$C$4:$C$311,$A38,'Match Log'!$E$4:$E$311,"Win")</f>
        <v>0</v>
      </c>
      <c r="C38" s="82">
        <f>COUNTIFS('Match Log'!$D$4:$D$311,C$29,'Match Log'!$C$4:$C$311,$A38,'Match Log'!$E$4:$E$311,"Win")</f>
        <v>0</v>
      </c>
      <c r="D38" s="82">
        <f>COUNTIFS('Match Log'!$D$4:$D$311,D$29,'Match Log'!$C$4:$C$311,$A38,'Match Log'!$E$4:$E$311,"Win")</f>
        <v>0</v>
      </c>
      <c r="E38" s="82">
        <f>COUNTIFS('Match Log'!$D$4:$D$311,E$29,'Match Log'!$C$4:$C$311,$A38,'Match Log'!$E$4:$E$311,"Win")</f>
        <v>0</v>
      </c>
      <c r="F38" s="82">
        <f>COUNTIFS('Match Log'!$D$4:$D$311,F$29,'Match Log'!$C$4:$C$311,$A38,'Match Log'!$E$4:$E$311,"Win")</f>
        <v>1</v>
      </c>
      <c r="G38" s="82">
        <f>COUNTIFS('Match Log'!$D$4:$D$311,G$29,'Match Log'!$C$4:$C$311,$A38,'Match Log'!$E$4:$E$311,"Win")</f>
        <v>0</v>
      </c>
      <c r="H38" s="82">
        <f>COUNTIFS('Match Log'!$D$4:$D$311,H$29,'Match Log'!$C$4:$C$311,$A38,'Match Log'!$E$4:$E$311,"Win")</f>
        <v>0</v>
      </c>
      <c r="I38" s="82">
        <f>COUNTIFS('Match Log'!$D$4:$D$311,I$29,'Match Log'!$C$4:$C$311,$A38,'Match Log'!$E$4:$E$311,"Win")</f>
        <v>0</v>
      </c>
      <c r="J38" s="82">
        <f>COUNTIFS('Match Log'!$D$4:$D$311,J$29,'Match Log'!$C$4:$C$311,$A38,'Match Log'!$E$4:$E$311,"Win")</f>
        <v>0</v>
      </c>
      <c r="K38" s="82">
        <f>COUNTIFS('Match Log'!$D$4:$D$311,K$29,'Match Log'!$C$4:$C$311,$A38,'Match Log'!$E$4:$E$311,"Win")</f>
        <v>0</v>
      </c>
      <c r="L38" s="82">
        <f>COUNTIFS('Match Log'!$D$4:$D$311,L$29,'Match Log'!$C$4:$C$311,$A38,'Match Log'!$E$4:$E$311,"Win")</f>
        <v>0</v>
      </c>
      <c r="M38" s="82">
        <f>COUNTIFS('Match Log'!$D$4:$D$311,M$29,'Match Log'!$C$4:$C$311,$A38,'Match Log'!$E$4:$E$311,"Win")</f>
        <v>0</v>
      </c>
      <c r="N38" s="82">
        <f>COUNTIFS('Match Log'!$D$4:$D$311,N$29,'Match Log'!$C$4:$C$311,$A38,'Match Log'!$E$4:$E$311,"Win")</f>
        <v>0</v>
      </c>
      <c r="O38" s="82">
        <f>COUNTIFS('Match Log'!$D$4:$D$311,O$29,'Match Log'!$C$4:$C$311,$A38,'Match Log'!$E$4:$E$311,"Win")</f>
        <v>0</v>
      </c>
    </row>
    <row r="39" spans="1:15" ht="15" customHeight="1" x14ac:dyDescent="0.2">
      <c r="A39" s="81" t="s">
        <v>201</v>
      </c>
      <c r="B39" s="82">
        <f>COUNTIFS('Match Log'!$D$4:$D$311,B$29,'Match Log'!$C$4:$C$311,$A39,'Match Log'!$E$4:$E$311,"Win")</f>
        <v>0</v>
      </c>
      <c r="C39" s="82">
        <f>COUNTIFS('Match Log'!$D$4:$D$311,C$29,'Match Log'!$C$4:$C$311,$A39,'Match Log'!$E$4:$E$311,"Win")</f>
        <v>0</v>
      </c>
      <c r="D39" s="82">
        <f>COUNTIFS('Match Log'!$D$4:$D$311,D$29,'Match Log'!$C$4:$C$311,$A39,'Match Log'!$E$4:$E$311,"Win")</f>
        <v>0</v>
      </c>
      <c r="E39" s="82">
        <f>COUNTIFS('Match Log'!$D$4:$D$311,E$29,'Match Log'!$C$4:$C$311,$A39,'Match Log'!$E$4:$E$311,"Win")</f>
        <v>0</v>
      </c>
      <c r="F39" s="82">
        <f>COUNTIFS('Match Log'!$D$4:$D$311,F$29,'Match Log'!$C$4:$C$311,$A39,'Match Log'!$E$4:$E$311,"Win")</f>
        <v>0</v>
      </c>
      <c r="G39" s="82">
        <f>COUNTIFS('Match Log'!$D$4:$D$311,G$29,'Match Log'!$C$4:$C$311,$A39,'Match Log'!$E$4:$E$311,"Win")</f>
        <v>0</v>
      </c>
      <c r="H39" s="82">
        <f>COUNTIFS('Match Log'!$D$4:$D$311,H$29,'Match Log'!$C$4:$C$311,$A39,'Match Log'!$E$4:$E$311,"Win")</f>
        <v>0</v>
      </c>
      <c r="I39" s="82">
        <f>COUNTIFS('Match Log'!$D$4:$D$311,I$29,'Match Log'!$C$4:$C$311,$A39,'Match Log'!$E$4:$E$311,"Win")</f>
        <v>0</v>
      </c>
      <c r="J39" s="82">
        <f>COUNTIFS('Match Log'!$D$4:$D$311,J$29,'Match Log'!$C$4:$C$311,$A39,'Match Log'!$E$4:$E$311,"Win")</f>
        <v>0</v>
      </c>
      <c r="K39" s="82">
        <f>COUNTIFS('Match Log'!$D$4:$D$311,K$29,'Match Log'!$C$4:$C$311,$A39,'Match Log'!$E$4:$E$311,"Win")</f>
        <v>0</v>
      </c>
      <c r="L39" s="82">
        <f>COUNTIFS('Match Log'!$D$4:$D$311,L$29,'Match Log'!$C$4:$C$311,$A39,'Match Log'!$E$4:$E$311,"Win")</f>
        <v>0</v>
      </c>
      <c r="M39" s="82">
        <f>COUNTIFS('Match Log'!$D$4:$D$311,M$29,'Match Log'!$C$4:$C$311,$A39,'Match Log'!$E$4:$E$311,"Win")</f>
        <v>0</v>
      </c>
      <c r="N39" s="82">
        <f>COUNTIFS('Match Log'!$D$4:$D$311,N$29,'Match Log'!$C$4:$C$311,$A39,'Match Log'!$E$4:$E$311,"Win")</f>
        <v>0</v>
      </c>
      <c r="O39" s="82">
        <f>COUNTIFS('Match Log'!$D$4:$D$311,O$29,'Match Log'!$C$4:$C$311,$A39,'Match Log'!$E$4:$E$311,"Win")</f>
        <v>0</v>
      </c>
    </row>
    <row r="40" spans="1:15" ht="15" customHeight="1" x14ac:dyDescent="0.2">
      <c r="A40" s="81" t="s">
        <v>202</v>
      </c>
      <c r="B40" s="82">
        <f>COUNTIFS('Match Log'!$D$4:$D$311,B$29,'Match Log'!$C$4:$C$311,$A40,'Match Log'!$E$4:$E$311,"Win")</f>
        <v>0</v>
      </c>
      <c r="C40" s="82">
        <f>COUNTIFS('Match Log'!$D$4:$D$311,C$29,'Match Log'!$C$4:$C$311,$A40,'Match Log'!$E$4:$E$311,"Win")</f>
        <v>0</v>
      </c>
      <c r="D40" s="82">
        <f>COUNTIFS('Match Log'!$D$4:$D$311,D$29,'Match Log'!$C$4:$C$311,$A40,'Match Log'!$E$4:$E$311,"Win")</f>
        <v>0</v>
      </c>
      <c r="E40" s="82">
        <f>COUNTIFS('Match Log'!$D$4:$D$311,E$29,'Match Log'!$C$4:$C$311,$A40,'Match Log'!$E$4:$E$311,"Win")</f>
        <v>0</v>
      </c>
      <c r="F40" s="82">
        <f>COUNTIFS('Match Log'!$D$4:$D$311,F$29,'Match Log'!$C$4:$C$311,$A40,'Match Log'!$E$4:$E$311,"Win")</f>
        <v>0</v>
      </c>
      <c r="G40" s="82">
        <f>COUNTIFS('Match Log'!$D$4:$D$311,G$29,'Match Log'!$C$4:$C$311,$A40,'Match Log'!$E$4:$E$311,"Win")</f>
        <v>0</v>
      </c>
      <c r="H40" s="82">
        <f>COUNTIFS('Match Log'!$D$4:$D$311,H$29,'Match Log'!$C$4:$C$311,$A40,'Match Log'!$E$4:$E$311,"Win")</f>
        <v>0</v>
      </c>
      <c r="I40" s="82">
        <f>COUNTIFS('Match Log'!$D$4:$D$311,I$29,'Match Log'!$C$4:$C$311,$A40,'Match Log'!$E$4:$E$311,"Win")</f>
        <v>0</v>
      </c>
      <c r="J40" s="82">
        <f>COUNTIFS('Match Log'!$D$4:$D$311,J$29,'Match Log'!$C$4:$C$311,$A40,'Match Log'!$E$4:$E$311,"Win")</f>
        <v>0</v>
      </c>
      <c r="K40" s="82">
        <f>COUNTIFS('Match Log'!$D$4:$D$311,K$29,'Match Log'!$C$4:$C$311,$A40,'Match Log'!$E$4:$E$311,"Win")</f>
        <v>0</v>
      </c>
      <c r="L40" s="82">
        <f>COUNTIFS('Match Log'!$D$4:$D$311,L$29,'Match Log'!$C$4:$C$311,$A40,'Match Log'!$E$4:$E$311,"Win")</f>
        <v>0</v>
      </c>
      <c r="M40" s="82">
        <f>COUNTIFS('Match Log'!$D$4:$D$311,M$29,'Match Log'!$C$4:$C$311,$A40,'Match Log'!$E$4:$E$311,"Win")</f>
        <v>0</v>
      </c>
      <c r="N40" s="82">
        <f>COUNTIFS('Match Log'!$D$4:$D$311,N$29,'Match Log'!$C$4:$C$311,$A40,'Match Log'!$E$4:$E$311,"Win")</f>
        <v>0</v>
      </c>
      <c r="O40" s="82">
        <f>COUNTIFS('Match Log'!$D$4:$D$311,O$29,'Match Log'!$C$4:$C$311,$A40,'Match Log'!$E$4:$E$311,"Win")</f>
        <v>0</v>
      </c>
    </row>
    <row r="41" spans="1:15" ht="15" customHeight="1" x14ac:dyDescent="0.2">
      <c r="A41" s="81" t="s">
        <v>203</v>
      </c>
      <c r="B41" s="82">
        <f>COUNTIFS('Match Log'!$D$4:$D$311,B$29,'Match Log'!$C$4:$C$311,$A41,'Match Log'!$E$4:$E$311,"Win")</f>
        <v>1</v>
      </c>
      <c r="C41" s="82">
        <f>COUNTIFS('Match Log'!$D$4:$D$311,C$29,'Match Log'!$C$4:$C$311,$A41,'Match Log'!$E$4:$E$311,"Win")</f>
        <v>0</v>
      </c>
      <c r="D41" s="82">
        <f>COUNTIFS('Match Log'!$D$4:$D$311,D$29,'Match Log'!$C$4:$C$311,$A41,'Match Log'!$E$4:$E$311,"Win")</f>
        <v>0</v>
      </c>
      <c r="E41" s="82">
        <f>COUNTIFS('Match Log'!$D$4:$D$311,E$29,'Match Log'!$C$4:$C$311,$A41,'Match Log'!$E$4:$E$311,"Win")</f>
        <v>1</v>
      </c>
      <c r="F41" s="82">
        <f>COUNTIFS('Match Log'!$D$4:$D$311,F$29,'Match Log'!$C$4:$C$311,$A41,'Match Log'!$E$4:$E$311,"Win")</f>
        <v>13</v>
      </c>
      <c r="G41" s="82">
        <f>COUNTIFS('Match Log'!$D$4:$D$311,G$29,'Match Log'!$C$4:$C$311,$A41,'Match Log'!$E$4:$E$311,"Win")</f>
        <v>5</v>
      </c>
      <c r="H41" s="82">
        <f>COUNTIFS('Match Log'!$D$4:$D$311,H$29,'Match Log'!$C$4:$C$311,$A41,'Match Log'!$E$4:$E$311,"Win")</f>
        <v>0</v>
      </c>
      <c r="I41" s="82">
        <f>COUNTIFS('Match Log'!$D$4:$D$311,I$29,'Match Log'!$C$4:$C$311,$A41,'Match Log'!$E$4:$E$311,"Win")</f>
        <v>1</v>
      </c>
      <c r="J41" s="82">
        <f>COUNTIFS('Match Log'!$D$4:$D$311,J$29,'Match Log'!$C$4:$C$311,$A41,'Match Log'!$E$4:$E$311,"Win")</f>
        <v>4</v>
      </c>
      <c r="K41" s="82">
        <f>COUNTIFS('Match Log'!$D$4:$D$311,K$29,'Match Log'!$C$4:$C$311,$A41,'Match Log'!$E$4:$E$311,"Win")</f>
        <v>0</v>
      </c>
      <c r="L41" s="82">
        <f>COUNTIFS('Match Log'!$D$4:$D$311,L$29,'Match Log'!$C$4:$C$311,$A41,'Match Log'!$E$4:$E$311,"Win")</f>
        <v>6</v>
      </c>
      <c r="M41" s="82">
        <f>COUNTIFS('Match Log'!$D$4:$D$311,M$29,'Match Log'!$C$4:$C$311,$A41,'Match Log'!$E$4:$E$311,"Win")</f>
        <v>0</v>
      </c>
      <c r="N41" s="82">
        <f>COUNTIFS('Match Log'!$D$4:$D$311,N$29,'Match Log'!$C$4:$C$311,$A41,'Match Log'!$E$4:$E$311,"Win")</f>
        <v>0</v>
      </c>
      <c r="O41" s="82">
        <f>COUNTIFS('Match Log'!$D$4:$D$311,O$29,'Match Log'!$C$4:$C$311,$A41,'Match Log'!$E$4:$E$311,"Win")</f>
        <v>0</v>
      </c>
    </row>
    <row r="42" spans="1:15" ht="15" customHeight="1" x14ac:dyDescent="0.2">
      <c r="A42" s="81" t="s">
        <v>205</v>
      </c>
      <c r="B42" s="82">
        <f>COUNTIFS('Match Log'!$D$4:$D$311,B$29,'Match Log'!$C$4:$C$311,$A42,'Match Log'!$E$4:$E$311,"Win")</f>
        <v>1</v>
      </c>
      <c r="C42" s="82">
        <f>COUNTIFS('Match Log'!$D$4:$D$311,C$29,'Match Log'!$C$4:$C$311,$A42,'Match Log'!$E$4:$E$311,"Win")</f>
        <v>0</v>
      </c>
      <c r="D42" s="82">
        <f>COUNTIFS('Match Log'!$D$4:$D$311,D$29,'Match Log'!$C$4:$C$311,$A42,'Match Log'!$E$4:$E$311,"Win")</f>
        <v>0</v>
      </c>
      <c r="E42" s="82">
        <f>COUNTIFS('Match Log'!$D$4:$D$311,E$29,'Match Log'!$C$4:$C$311,$A42,'Match Log'!$E$4:$E$311,"Win")</f>
        <v>0</v>
      </c>
      <c r="F42" s="82">
        <f>COUNTIFS('Match Log'!$D$4:$D$311,F$29,'Match Log'!$C$4:$C$311,$A42,'Match Log'!$E$4:$E$311,"Win")</f>
        <v>0</v>
      </c>
      <c r="G42" s="82">
        <f>COUNTIFS('Match Log'!$D$4:$D$311,G$29,'Match Log'!$C$4:$C$311,$A42,'Match Log'!$E$4:$E$311,"Win")</f>
        <v>1</v>
      </c>
      <c r="H42" s="82">
        <f>COUNTIFS('Match Log'!$D$4:$D$311,H$29,'Match Log'!$C$4:$C$311,$A42,'Match Log'!$E$4:$E$311,"Win")</f>
        <v>0</v>
      </c>
      <c r="I42" s="82">
        <f>COUNTIFS('Match Log'!$D$4:$D$311,I$29,'Match Log'!$C$4:$C$311,$A42,'Match Log'!$E$4:$E$311,"Win")</f>
        <v>3</v>
      </c>
      <c r="J42" s="82">
        <f>COUNTIFS('Match Log'!$D$4:$D$311,J$29,'Match Log'!$C$4:$C$311,$A42,'Match Log'!$E$4:$E$311,"Win")</f>
        <v>0</v>
      </c>
      <c r="K42" s="82">
        <f>COUNTIFS('Match Log'!$D$4:$D$311,K$29,'Match Log'!$C$4:$C$311,$A42,'Match Log'!$E$4:$E$311,"Win")</f>
        <v>0</v>
      </c>
      <c r="L42" s="82">
        <f>COUNTIFS('Match Log'!$D$4:$D$311,L$29,'Match Log'!$C$4:$C$311,$A42,'Match Log'!$E$4:$E$311,"Win")</f>
        <v>1</v>
      </c>
      <c r="M42" s="82">
        <f>COUNTIFS('Match Log'!$D$4:$D$311,M$29,'Match Log'!$C$4:$C$311,$A42,'Match Log'!$E$4:$E$311,"Win")</f>
        <v>0</v>
      </c>
      <c r="N42" s="82">
        <f>COUNTIFS('Match Log'!$D$4:$D$311,N$29,'Match Log'!$C$4:$C$311,$A42,'Match Log'!$E$4:$E$311,"Win")</f>
        <v>0</v>
      </c>
      <c r="O42" s="82">
        <f>COUNTIFS('Match Log'!$D$4:$D$311,O$29,'Match Log'!$C$4:$C$311,$A42,'Match Log'!$E$4:$E$311,"Win")</f>
        <v>0</v>
      </c>
    </row>
    <row r="43" spans="1:15" ht="15" customHeight="1" x14ac:dyDescent="0.2">
      <c r="A43" s="81" t="s">
        <v>207</v>
      </c>
      <c r="B43" s="82">
        <f>COUNTIFS('Match Log'!$D$4:$D$311,B$29,'Match Log'!$C$4:$C$311,$A43,'Match Log'!$E$4:$E$311,"Win")</f>
        <v>3</v>
      </c>
      <c r="C43" s="82">
        <f>COUNTIFS('Match Log'!$D$4:$D$311,C$29,'Match Log'!$C$4:$C$311,$A43,'Match Log'!$E$4:$E$311,"Win")</f>
        <v>0</v>
      </c>
      <c r="D43" s="82">
        <f>COUNTIFS('Match Log'!$D$4:$D$311,D$29,'Match Log'!$C$4:$C$311,$A43,'Match Log'!$E$4:$E$311,"Win")</f>
        <v>4</v>
      </c>
      <c r="E43" s="82">
        <f>COUNTIFS('Match Log'!$D$4:$D$311,E$29,'Match Log'!$C$4:$C$311,$A43,'Match Log'!$E$4:$E$311,"Win")</f>
        <v>0</v>
      </c>
      <c r="F43" s="82">
        <f>COUNTIFS('Match Log'!$D$4:$D$311,F$29,'Match Log'!$C$4:$C$311,$A43,'Match Log'!$E$4:$E$311,"Win")</f>
        <v>0</v>
      </c>
      <c r="G43" s="82">
        <f>COUNTIFS('Match Log'!$D$4:$D$311,G$29,'Match Log'!$C$4:$C$311,$A43,'Match Log'!$E$4:$E$311,"Win")</f>
        <v>0</v>
      </c>
      <c r="H43" s="82">
        <f>COUNTIFS('Match Log'!$D$4:$D$311,H$29,'Match Log'!$C$4:$C$311,$A43,'Match Log'!$E$4:$E$311,"Win")</f>
        <v>0</v>
      </c>
      <c r="I43" s="82">
        <f>COUNTIFS('Match Log'!$D$4:$D$311,I$29,'Match Log'!$C$4:$C$311,$A43,'Match Log'!$E$4:$E$311,"Win")</f>
        <v>2</v>
      </c>
      <c r="J43" s="82">
        <f>COUNTIFS('Match Log'!$D$4:$D$311,J$29,'Match Log'!$C$4:$C$311,$A43,'Match Log'!$E$4:$E$311,"Win")</f>
        <v>0</v>
      </c>
      <c r="K43" s="82">
        <f>COUNTIFS('Match Log'!$D$4:$D$311,K$29,'Match Log'!$C$4:$C$311,$A43,'Match Log'!$E$4:$E$311,"Win")</f>
        <v>0</v>
      </c>
      <c r="L43" s="82">
        <f>COUNTIFS('Match Log'!$D$4:$D$311,L$29,'Match Log'!$C$4:$C$311,$A43,'Match Log'!$E$4:$E$311,"Win")</f>
        <v>5</v>
      </c>
      <c r="M43" s="82">
        <f>COUNTIFS('Match Log'!$D$4:$D$311,M$29,'Match Log'!$C$4:$C$311,$A43,'Match Log'!$E$4:$E$311,"Win")</f>
        <v>0</v>
      </c>
      <c r="N43" s="82">
        <f>COUNTIFS('Match Log'!$D$4:$D$311,N$29,'Match Log'!$C$4:$C$311,$A43,'Match Log'!$E$4:$E$311,"Win")</f>
        <v>0</v>
      </c>
      <c r="O43" s="82">
        <f>COUNTIFS('Match Log'!$D$4:$D$311,O$29,'Match Log'!$C$4:$C$311,$A43,'Match Log'!$E$4:$E$311,"Win")</f>
        <v>0</v>
      </c>
    </row>
    <row r="44" spans="1:15" ht="15" customHeight="1" x14ac:dyDescent="0.2">
      <c r="A44" s="81" t="s">
        <v>209</v>
      </c>
      <c r="B44" s="82">
        <f>COUNTIFS('Match Log'!$D$4:$D$311,B$29,'Match Log'!$C$4:$C$311,$A44,'Match Log'!$E$4:$E$311,"Win")</f>
        <v>0</v>
      </c>
      <c r="C44" s="82">
        <f>COUNTIFS('Match Log'!$D$4:$D$311,C$29,'Match Log'!$C$4:$C$311,$A44,'Match Log'!$E$4:$E$311,"Win")</f>
        <v>0</v>
      </c>
      <c r="D44" s="82">
        <f>COUNTIFS('Match Log'!$D$4:$D$311,D$29,'Match Log'!$C$4:$C$311,$A44,'Match Log'!$E$4:$E$311,"Win")</f>
        <v>0</v>
      </c>
      <c r="E44" s="82">
        <f>COUNTIFS('Match Log'!$D$4:$D$311,E$29,'Match Log'!$C$4:$C$311,$A44,'Match Log'!$E$4:$E$311,"Win")</f>
        <v>0</v>
      </c>
      <c r="F44" s="82">
        <f>COUNTIFS('Match Log'!$D$4:$D$311,F$29,'Match Log'!$C$4:$C$311,$A44,'Match Log'!$E$4:$E$311,"Win")</f>
        <v>0</v>
      </c>
      <c r="G44" s="82">
        <f>COUNTIFS('Match Log'!$D$4:$D$311,G$29,'Match Log'!$C$4:$C$311,$A44,'Match Log'!$E$4:$E$311,"Win")</f>
        <v>0</v>
      </c>
      <c r="H44" s="82">
        <f>COUNTIFS('Match Log'!$D$4:$D$311,H$29,'Match Log'!$C$4:$C$311,$A44,'Match Log'!$E$4:$E$311,"Win")</f>
        <v>0</v>
      </c>
      <c r="I44" s="82">
        <f>COUNTIFS('Match Log'!$D$4:$D$311,I$29,'Match Log'!$C$4:$C$311,$A44,'Match Log'!$E$4:$E$311,"Win")</f>
        <v>0</v>
      </c>
      <c r="J44" s="82">
        <f>COUNTIFS('Match Log'!$D$4:$D$311,J$29,'Match Log'!$C$4:$C$311,$A44,'Match Log'!$E$4:$E$311,"Win")</f>
        <v>0</v>
      </c>
      <c r="K44" s="82">
        <f>COUNTIFS('Match Log'!$D$4:$D$311,K$29,'Match Log'!$C$4:$C$311,$A44,'Match Log'!$E$4:$E$311,"Win")</f>
        <v>0</v>
      </c>
      <c r="L44" s="82">
        <f>COUNTIFS('Match Log'!$D$4:$D$311,L$29,'Match Log'!$C$4:$C$311,$A44,'Match Log'!$E$4:$E$311,"Win")</f>
        <v>0</v>
      </c>
      <c r="M44" s="82">
        <f>COUNTIFS('Match Log'!$D$4:$D$311,M$29,'Match Log'!$C$4:$C$311,$A44,'Match Log'!$E$4:$E$311,"Win")</f>
        <v>0</v>
      </c>
      <c r="N44" s="82">
        <f>COUNTIFS('Match Log'!$D$4:$D$311,N$29,'Match Log'!$C$4:$C$311,$A44,'Match Log'!$E$4:$E$311,"Win")</f>
        <v>0</v>
      </c>
      <c r="O44" s="82">
        <f>COUNTIFS('Match Log'!$D$4:$D$311,O$29,'Match Log'!$C$4:$C$311,$A44,'Match Log'!$E$4:$E$311,"Win")</f>
        <v>0</v>
      </c>
    </row>
    <row r="45" spans="1:15" ht="15" customHeight="1" x14ac:dyDescent="0.2">
      <c r="A45" s="81" t="s">
        <v>211</v>
      </c>
      <c r="B45" s="82">
        <f>COUNTIFS('Match Log'!$D$4:$D$311,B$29,'Match Log'!$C$4:$C$311,$A45,'Match Log'!$E$4:$E$311,"Win")</f>
        <v>1</v>
      </c>
      <c r="C45" s="82">
        <f>COUNTIFS('Match Log'!$D$4:$D$311,C$29,'Match Log'!$C$4:$C$311,$A45,'Match Log'!$E$4:$E$311,"Win")</f>
        <v>0</v>
      </c>
      <c r="D45" s="82">
        <f>COUNTIFS('Match Log'!$D$4:$D$311,D$29,'Match Log'!$C$4:$C$311,$A45,'Match Log'!$E$4:$E$311,"Win")</f>
        <v>0</v>
      </c>
      <c r="E45" s="82">
        <f>COUNTIFS('Match Log'!$D$4:$D$311,E$29,'Match Log'!$C$4:$C$311,$A45,'Match Log'!$E$4:$E$311,"Win")</f>
        <v>0</v>
      </c>
      <c r="F45" s="82">
        <f>COUNTIFS('Match Log'!$D$4:$D$311,F$29,'Match Log'!$C$4:$C$311,$A45,'Match Log'!$E$4:$E$311,"Win")</f>
        <v>0</v>
      </c>
      <c r="G45" s="82">
        <f>COUNTIFS('Match Log'!$D$4:$D$311,G$29,'Match Log'!$C$4:$C$311,$A45,'Match Log'!$E$4:$E$311,"Win")</f>
        <v>0</v>
      </c>
      <c r="H45" s="82">
        <f>COUNTIFS('Match Log'!$D$4:$D$311,H$29,'Match Log'!$C$4:$C$311,$A45,'Match Log'!$E$4:$E$311,"Win")</f>
        <v>0</v>
      </c>
      <c r="I45" s="82">
        <f>COUNTIFS('Match Log'!$D$4:$D$311,I$29,'Match Log'!$C$4:$C$311,$A45,'Match Log'!$E$4:$E$311,"Win")</f>
        <v>2</v>
      </c>
      <c r="J45" s="82">
        <f>COUNTIFS('Match Log'!$D$4:$D$311,J$29,'Match Log'!$C$4:$C$311,$A45,'Match Log'!$E$4:$E$311,"Win")</f>
        <v>0</v>
      </c>
      <c r="K45" s="82">
        <f>COUNTIFS('Match Log'!$D$4:$D$311,K$29,'Match Log'!$C$4:$C$311,$A45,'Match Log'!$E$4:$E$311,"Win")</f>
        <v>0</v>
      </c>
      <c r="L45" s="82">
        <f>COUNTIFS('Match Log'!$D$4:$D$311,L$29,'Match Log'!$C$4:$C$311,$A45,'Match Log'!$E$4:$E$311,"Win")</f>
        <v>0</v>
      </c>
      <c r="M45" s="82">
        <f>COUNTIFS('Match Log'!$D$4:$D$311,M$29,'Match Log'!$C$4:$C$311,$A45,'Match Log'!$E$4:$E$311,"Win")</f>
        <v>0</v>
      </c>
      <c r="N45" s="82">
        <f>COUNTIFS('Match Log'!$D$4:$D$311,N$29,'Match Log'!$C$4:$C$311,$A45,'Match Log'!$E$4:$E$311,"Win")</f>
        <v>0</v>
      </c>
      <c r="O45" s="82">
        <f>COUNTIFS('Match Log'!$D$4:$D$311,O$29,'Match Log'!$C$4:$C$311,$A45,'Match Log'!$E$4:$E$311,"Win")</f>
        <v>0</v>
      </c>
    </row>
    <row r="46" spans="1:15" ht="15" customHeight="1" x14ac:dyDescent="0.2">
      <c r="A46" s="81" t="s">
        <v>212</v>
      </c>
      <c r="B46" s="82">
        <f>COUNTIFS('Match Log'!$D$4:$D$311,B$29,'Match Log'!$C$4:$C$311,$A46,'Match Log'!$E$4:$E$311,"Win")</f>
        <v>0</v>
      </c>
      <c r="C46" s="82">
        <f>COUNTIFS('Match Log'!$D$4:$D$311,C$29,'Match Log'!$C$4:$C$311,$A46,'Match Log'!$E$4:$E$311,"Win")</f>
        <v>0</v>
      </c>
      <c r="D46" s="82">
        <f>COUNTIFS('Match Log'!$D$4:$D$311,D$29,'Match Log'!$C$4:$C$311,$A46,'Match Log'!$E$4:$E$311,"Win")</f>
        <v>0</v>
      </c>
      <c r="E46" s="82">
        <f>COUNTIFS('Match Log'!$D$4:$D$311,E$29,'Match Log'!$C$4:$C$311,$A46,'Match Log'!$E$4:$E$311,"Win")</f>
        <v>0</v>
      </c>
      <c r="F46" s="82">
        <f>COUNTIFS('Match Log'!$D$4:$D$311,F$29,'Match Log'!$C$4:$C$311,$A46,'Match Log'!$E$4:$E$311,"Win")</f>
        <v>1</v>
      </c>
      <c r="G46" s="82">
        <f>COUNTIFS('Match Log'!$D$4:$D$311,G$29,'Match Log'!$C$4:$C$311,$A46,'Match Log'!$E$4:$E$311,"Win")</f>
        <v>0</v>
      </c>
      <c r="H46" s="82">
        <f>COUNTIFS('Match Log'!$D$4:$D$311,H$29,'Match Log'!$C$4:$C$311,$A46,'Match Log'!$E$4:$E$311,"Win")</f>
        <v>0</v>
      </c>
      <c r="I46" s="82">
        <f>COUNTIFS('Match Log'!$D$4:$D$311,I$29,'Match Log'!$C$4:$C$311,$A46,'Match Log'!$E$4:$E$311,"Win")</f>
        <v>0</v>
      </c>
      <c r="J46" s="82">
        <f>COUNTIFS('Match Log'!$D$4:$D$311,J$29,'Match Log'!$C$4:$C$311,$A46,'Match Log'!$E$4:$E$311,"Win")</f>
        <v>0</v>
      </c>
      <c r="K46" s="82">
        <f>COUNTIFS('Match Log'!$D$4:$D$311,K$29,'Match Log'!$C$4:$C$311,$A46,'Match Log'!$E$4:$E$311,"Win")</f>
        <v>0</v>
      </c>
      <c r="L46" s="82">
        <f>COUNTIFS('Match Log'!$D$4:$D$311,L$29,'Match Log'!$C$4:$C$311,$A46,'Match Log'!$E$4:$E$311,"Win")</f>
        <v>0</v>
      </c>
      <c r="M46" s="82">
        <f>COUNTIFS('Match Log'!$D$4:$D$311,M$29,'Match Log'!$C$4:$C$311,$A46,'Match Log'!$E$4:$E$311,"Win")</f>
        <v>0</v>
      </c>
      <c r="N46" s="82">
        <f>COUNTIFS('Match Log'!$D$4:$D$311,N$29,'Match Log'!$C$4:$C$311,$A46,'Match Log'!$E$4:$E$311,"Win")</f>
        <v>0</v>
      </c>
      <c r="O46" s="82">
        <f>COUNTIFS('Match Log'!$D$4:$D$311,O$29,'Match Log'!$C$4:$C$311,$A46,'Match Log'!$E$4:$E$311,"Win")</f>
        <v>0</v>
      </c>
    </row>
    <row r="47" spans="1:15" ht="15" customHeight="1" x14ac:dyDescent="0.2">
      <c r="A47" s="81" t="s">
        <v>214</v>
      </c>
      <c r="B47" s="82">
        <f>COUNTIFS('Match Log'!$D$4:$D$311,B$29,'Match Log'!$C$4:$C$311,$A47,'Match Log'!$E$4:$E$311,"Win")</f>
        <v>2</v>
      </c>
      <c r="C47" s="82">
        <f>COUNTIFS('Match Log'!$D$4:$D$311,C$29,'Match Log'!$C$4:$C$311,$A47,'Match Log'!$E$4:$E$311,"Win")</f>
        <v>5</v>
      </c>
      <c r="D47" s="82">
        <f>COUNTIFS('Match Log'!$D$4:$D$311,D$29,'Match Log'!$C$4:$C$311,$A47,'Match Log'!$E$4:$E$311,"Win")</f>
        <v>1</v>
      </c>
      <c r="E47" s="82">
        <f>COUNTIFS('Match Log'!$D$4:$D$311,E$29,'Match Log'!$C$4:$C$311,$A47,'Match Log'!$E$4:$E$311,"Win")</f>
        <v>3</v>
      </c>
      <c r="F47" s="82">
        <f>COUNTIFS('Match Log'!$D$4:$D$311,F$29,'Match Log'!$C$4:$C$311,$A47,'Match Log'!$E$4:$E$311,"Win")</f>
        <v>3</v>
      </c>
      <c r="G47" s="82">
        <f>COUNTIFS('Match Log'!$D$4:$D$311,G$29,'Match Log'!$C$4:$C$311,$A47,'Match Log'!$E$4:$E$311,"Win")</f>
        <v>4</v>
      </c>
      <c r="H47" s="82">
        <f>COUNTIFS('Match Log'!$D$4:$D$311,H$29,'Match Log'!$C$4:$C$311,$A47,'Match Log'!$E$4:$E$311,"Win")</f>
        <v>8</v>
      </c>
      <c r="I47" s="82">
        <f>COUNTIFS('Match Log'!$D$4:$D$311,I$29,'Match Log'!$C$4:$C$311,$A47,'Match Log'!$E$4:$E$311,"Win")</f>
        <v>5</v>
      </c>
      <c r="J47" s="82">
        <f>COUNTIFS('Match Log'!$D$4:$D$311,J$29,'Match Log'!$C$4:$C$311,$A47,'Match Log'!$E$4:$E$311,"Win")</f>
        <v>7</v>
      </c>
      <c r="K47" s="82">
        <f>COUNTIFS('Match Log'!$D$4:$D$311,K$29,'Match Log'!$C$4:$C$311,$A47,'Match Log'!$E$4:$E$311,"Win")</f>
        <v>2</v>
      </c>
      <c r="L47" s="82">
        <f>COUNTIFS('Match Log'!$D$4:$D$311,L$29,'Match Log'!$C$4:$C$311,$A47,'Match Log'!$E$4:$E$311,"Win")</f>
        <v>5</v>
      </c>
      <c r="M47" s="82">
        <f>COUNTIFS('Match Log'!$D$4:$D$311,M$29,'Match Log'!$C$4:$C$311,$A47,'Match Log'!$E$4:$E$311,"Win")</f>
        <v>2</v>
      </c>
      <c r="N47" s="82">
        <f>COUNTIFS('Match Log'!$D$4:$D$311,N$29,'Match Log'!$C$4:$C$311,$A47,'Match Log'!$E$4:$E$311,"Win")</f>
        <v>2</v>
      </c>
      <c r="O47" s="82">
        <f>COUNTIFS('Match Log'!$D$4:$D$311,O$29,'Match Log'!$C$4:$C$311,$A47,'Match Log'!$E$4:$E$311,"Win")</f>
        <v>0</v>
      </c>
    </row>
    <row r="48" spans="1:15" ht="15" customHeight="1" x14ac:dyDescent="0.2">
      <c r="A48" s="81" t="s">
        <v>216</v>
      </c>
      <c r="B48" s="82">
        <f>COUNTIFS('Match Log'!$D$4:$D$311,B$29,'Match Log'!$C$4:$C$311,$A48,'Match Log'!$E$4:$E$311,"Win")</f>
        <v>0</v>
      </c>
      <c r="C48" s="82">
        <f>COUNTIFS('Match Log'!$D$4:$D$311,C$29,'Match Log'!$C$4:$C$311,$A48,'Match Log'!$E$4:$E$311,"Win")</f>
        <v>0</v>
      </c>
      <c r="D48" s="82">
        <f>COUNTIFS('Match Log'!$D$4:$D$311,D$29,'Match Log'!$C$4:$C$311,$A48,'Match Log'!$E$4:$E$311,"Win")</f>
        <v>0</v>
      </c>
      <c r="E48" s="82">
        <f>COUNTIFS('Match Log'!$D$4:$D$311,E$29,'Match Log'!$C$4:$C$311,$A48,'Match Log'!$E$4:$E$311,"Win")</f>
        <v>0</v>
      </c>
      <c r="F48" s="82">
        <f>COUNTIFS('Match Log'!$D$4:$D$311,F$29,'Match Log'!$C$4:$C$311,$A48,'Match Log'!$E$4:$E$311,"Win")</f>
        <v>2</v>
      </c>
      <c r="G48" s="82">
        <f>COUNTIFS('Match Log'!$D$4:$D$311,G$29,'Match Log'!$C$4:$C$311,$A48,'Match Log'!$E$4:$E$311,"Win")</f>
        <v>0</v>
      </c>
      <c r="H48" s="82">
        <f>COUNTIFS('Match Log'!$D$4:$D$311,H$29,'Match Log'!$C$4:$C$311,$A48,'Match Log'!$E$4:$E$311,"Win")</f>
        <v>0</v>
      </c>
      <c r="I48" s="82">
        <f>COUNTIFS('Match Log'!$D$4:$D$311,I$29,'Match Log'!$C$4:$C$311,$A48,'Match Log'!$E$4:$E$311,"Win")</f>
        <v>2</v>
      </c>
      <c r="J48" s="82">
        <f>COUNTIFS('Match Log'!$D$4:$D$311,J$29,'Match Log'!$C$4:$C$311,$A48,'Match Log'!$E$4:$E$311,"Win")</f>
        <v>0</v>
      </c>
      <c r="K48" s="82">
        <f>COUNTIFS('Match Log'!$D$4:$D$311,K$29,'Match Log'!$C$4:$C$311,$A48,'Match Log'!$E$4:$E$311,"Win")</f>
        <v>0</v>
      </c>
      <c r="L48" s="82">
        <f>COUNTIFS('Match Log'!$D$4:$D$311,L$29,'Match Log'!$C$4:$C$311,$A48,'Match Log'!$E$4:$E$311,"Win")</f>
        <v>0</v>
      </c>
      <c r="M48" s="82">
        <f>COUNTIFS('Match Log'!$D$4:$D$311,M$29,'Match Log'!$C$4:$C$311,$A48,'Match Log'!$E$4:$E$311,"Win")</f>
        <v>0</v>
      </c>
      <c r="N48" s="82">
        <f>COUNTIFS('Match Log'!$D$4:$D$311,N$29,'Match Log'!$C$4:$C$311,$A48,'Match Log'!$E$4:$E$311,"Win")</f>
        <v>0</v>
      </c>
      <c r="O48" s="82">
        <f>COUNTIFS('Match Log'!$D$4:$D$311,O$29,'Match Log'!$C$4:$C$311,$A48,'Match Log'!$E$4:$E$311,"Win")</f>
        <v>0</v>
      </c>
    </row>
    <row r="50" spans="1:17" ht="15" customHeight="1" x14ac:dyDescent="0.2">
      <c r="A50" s="150" t="s">
        <v>235</v>
      </c>
      <c r="B50" s="150"/>
      <c r="C50" s="150"/>
      <c r="D50" s="150"/>
      <c r="E50" s="150"/>
      <c r="F50" s="150"/>
      <c r="G50" s="150"/>
      <c r="H50" s="150"/>
      <c r="I50" s="150"/>
      <c r="J50" s="150"/>
      <c r="K50" s="150"/>
      <c r="L50" s="150"/>
      <c r="M50" s="150"/>
      <c r="N50" s="150"/>
      <c r="O50" s="150"/>
      <c r="P50" s="150"/>
      <c r="Q50" s="150"/>
    </row>
    <row r="51" spans="1:17" ht="91.5" customHeight="1" x14ac:dyDescent="0.2">
      <c r="A51" s="79" t="s">
        <v>130</v>
      </c>
      <c r="B51" s="80" t="s">
        <v>145</v>
      </c>
      <c r="C51" s="80" t="s">
        <v>142</v>
      </c>
      <c r="D51" s="80" t="s">
        <v>180</v>
      </c>
      <c r="E51" s="80" t="s">
        <v>147</v>
      </c>
      <c r="F51" s="80" t="s">
        <v>144</v>
      </c>
      <c r="G51" s="80" t="s">
        <v>141</v>
      </c>
      <c r="H51" s="80" t="s">
        <v>175</v>
      </c>
      <c r="I51" s="80" t="s">
        <v>177</v>
      </c>
      <c r="J51" s="80" t="s">
        <v>174</v>
      </c>
      <c r="K51" s="80" t="s">
        <v>182</v>
      </c>
      <c r="L51" s="80" t="s">
        <v>176</v>
      </c>
      <c r="M51" s="80" t="s">
        <v>178</v>
      </c>
      <c r="N51" s="80" t="s">
        <v>179</v>
      </c>
      <c r="O51" s="80" t="s">
        <v>181</v>
      </c>
    </row>
    <row r="52" spans="1:17" ht="15" customHeight="1" x14ac:dyDescent="0.2">
      <c r="A52" s="81" t="s">
        <v>189</v>
      </c>
      <c r="B52" s="85" t="str">
        <f t="shared" ref="B52:O52" si="2">IF(B8=0,"",B30/B8)</f>
        <v/>
      </c>
      <c r="C52" s="85" t="str">
        <f t="shared" si="2"/>
        <v/>
      </c>
      <c r="D52" s="85" t="str">
        <f t="shared" si="2"/>
        <v/>
      </c>
      <c r="E52" s="85" t="str">
        <f t="shared" si="2"/>
        <v/>
      </c>
      <c r="F52" s="85" t="str">
        <f t="shared" si="2"/>
        <v/>
      </c>
      <c r="G52" s="85">
        <f t="shared" si="2"/>
        <v>1</v>
      </c>
      <c r="H52" s="85" t="str">
        <f t="shared" si="2"/>
        <v/>
      </c>
      <c r="I52" s="85">
        <f t="shared" si="2"/>
        <v>0</v>
      </c>
      <c r="J52" s="85" t="str">
        <f t="shared" si="2"/>
        <v/>
      </c>
      <c r="K52" s="85" t="str">
        <f t="shared" si="2"/>
        <v/>
      </c>
      <c r="L52" s="85" t="str">
        <f t="shared" si="2"/>
        <v/>
      </c>
      <c r="M52" s="85" t="str">
        <f t="shared" si="2"/>
        <v/>
      </c>
      <c r="N52" s="85" t="str">
        <f t="shared" si="2"/>
        <v/>
      </c>
      <c r="O52" s="85" t="str">
        <f t="shared" si="2"/>
        <v/>
      </c>
    </row>
    <row r="53" spans="1:17" ht="15" customHeight="1" x14ac:dyDescent="0.2">
      <c r="A53" s="81" t="s">
        <v>190</v>
      </c>
      <c r="B53" s="85" t="str">
        <f t="shared" ref="B53:O53" si="3">IF(B9=0,"",B31/B9)</f>
        <v/>
      </c>
      <c r="C53" s="85" t="str">
        <f t="shared" si="3"/>
        <v/>
      </c>
      <c r="D53" s="85" t="str">
        <f t="shared" si="3"/>
        <v/>
      </c>
      <c r="E53" s="85" t="str">
        <f t="shared" si="3"/>
        <v/>
      </c>
      <c r="F53" s="85" t="str">
        <f t="shared" si="3"/>
        <v/>
      </c>
      <c r="G53" s="85" t="str">
        <f t="shared" si="3"/>
        <v/>
      </c>
      <c r="H53" s="85" t="str">
        <f t="shared" si="3"/>
        <v/>
      </c>
      <c r="I53" s="85" t="str">
        <f t="shared" si="3"/>
        <v/>
      </c>
      <c r="J53" s="85" t="str">
        <f t="shared" si="3"/>
        <v/>
      </c>
      <c r="K53" s="85" t="str">
        <f t="shared" si="3"/>
        <v/>
      </c>
      <c r="L53" s="85" t="str">
        <f t="shared" si="3"/>
        <v/>
      </c>
      <c r="M53" s="85" t="str">
        <f t="shared" si="3"/>
        <v/>
      </c>
      <c r="N53" s="85" t="str">
        <f t="shared" si="3"/>
        <v/>
      </c>
      <c r="O53" s="85" t="str">
        <f t="shared" si="3"/>
        <v/>
      </c>
    </row>
    <row r="54" spans="1:17" ht="15" customHeight="1" x14ac:dyDescent="0.2">
      <c r="A54" s="81" t="s">
        <v>191</v>
      </c>
      <c r="B54" s="85">
        <f t="shared" ref="B54:O54" si="4">IF(B10=0,"",B32/B10)</f>
        <v>0.75</v>
      </c>
      <c r="C54" s="85" t="str">
        <f t="shared" si="4"/>
        <v/>
      </c>
      <c r="D54" s="85">
        <f t="shared" si="4"/>
        <v>0</v>
      </c>
      <c r="E54" s="85" t="str">
        <f t="shared" si="4"/>
        <v/>
      </c>
      <c r="F54" s="85">
        <f t="shared" si="4"/>
        <v>0</v>
      </c>
      <c r="G54" s="85">
        <f t="shared" si="4"/>
        <v>0.46153846153846156</v>
      </c>
      <c r="H54" s="85" t="str">
        <f t="shared" si="4"/>
        <v/>
      </c>
      <c r="I54" s="85">
        <f t="shared" si="4"/>
        <v>0.44444444444444442</v>
      </c>
      <c r="J54" s="85" t="str">
        <f t="shared" si="4"/>
        <v/>
      </c>
      <c r="K54" s="85" t="str">
        <f t="shared" si="4"/>
        <v/>
      </c>
      <c r="L54" s="85" t="str">
        <f t="shared" si="4"/>
        <v/>
      </c>
      <c r="M54" s="85" t="str">
        <f t="shared" si="4"/>
        <v/>
      </c>
      <c r="N54" s="85" t="str">
        <f t="shared" si="4"/>
        <v/>
      </c>
      <c r="O54" s="85" t="str">
        <f t="shared" si="4"/>
        <v/>
      </c>
    </row>
    <row r="55" spans="1:17" ht="15" customHeight="1" x14ac:dyDescent="0.2">
      <c r="A55" s="81" t="s">
        <v>192</v>
      </c>
      <c r="B55" s="85" t="str">
        <f t="shared" ref="B55:O55" si="5">IF(B11=0,"",B33/B11)</f>
        <v/>
      </c>
      <c r="C55" s="85" t="str">
        <f t="shared" si="5"/>
        <v/>
      </c>
      <c r="D55" s="85" t="str">
        <f t="shared" si="5"/>
        <v/>
      </c>
      <c r="E55" s="85" t="str">
        <f t="shared" si="5"/>
        <v/>
      </c>
      <c r="F55" s="85" t="str">
        <f t="shared" si="5"/>
        <v/>
      </c>
      <c r="G55" s="85" t="str">
        <f t="shared" si="5"/>
        <v/>
      </c>
      <c r="H55" s="85" t="str">
        <f t="shared" si="5"/>
        <v/>
      </c>
      <c r="I55" s="85" t="str">
        <f t="shared" si="5"/>
        <v/>
      </c>
      <c r="J55" s="85" t="str">
        <f t="shared" si="5"/>
        <v/>
      </c>
      <c r="K55" s="85" t="str">
        <f t="shared" si="5"/>
        <v/>
      </c>
      <c r="L55" s="85" t="str">
        <f t="shared" si="5"/>
        <v/>
      </c>
      <c r="M55" s="85" t="str">
        <f t="shared" si="5"/>
        <v/>
      </c>
      <c r="N55" s="85" t="str">
        <f t="shared" si="5"/>
        <v/>
      </c>
      <c r="O55" s="85" t="str">
        <f t="shared" si="5"/>
        <v/>
      </c>
    </row>
    <row r="56" spans="1:17" ht="15" customHeight="1" x14ac:dyDescent="0.2">
      <c r="A56" s="81" t="s">
        <v>193</v>
      </c>
      <c r="B56" s="85" t="str">
        <f t="shared" ref="B56:O56" si="6">IF(B12=0,"",B34/B12)</f>
        <v/>
      </c>
      <c r="C56" s="85">
        <f t="shared" si="6"/>
        <v>0</v>
      </c>
      <c r="D56" s="85" t="str">
        <f t="shared" si="6"/>
        <v/>
      </c>
      <c r="E56" s="85" t="str">
        <f t="shared" si="6"/>
        <v/>
      </c>
      <c r="F56" s="85" t="str">
        <f t="shared" si="6"/>
        <v/>
      </c>
      <c r="G56" s="85" t="str">
        <f t="shared" si="6"/>
        <v/>
      </c>
      <c r="H56" s="85">
        <f t="shared" si="6"/>
        <v>1</v>
      </c>
      <c r="I56" s="85">
        <f t="shared" si="6"/>
        <v>0.5</v>
      </c>
      <c r="J56" s="85">
        <f t="shared" si="6"/>
        <v>0.5</v>
      </c>
      <c r="K56" s="85">
        <f t="shared" si="6"/>
        <v>0</v>
      </c>
      <c r="L56" s="85">
        <f t="shared" si="6"/>
        <v>0.5</v>
      </c>
      <c r="M56" s="85" t="str">
        <f t="shared" si="6"/>
        <v/>
      </c>
      <c r="N56" s="85" t="str">
        <f t="shared" si="6"/>
        <v/>
      </c>
      <c r="O56" s="85" t="str">
        <f t="shared" si="6"/>
        <v/>
      </c>
    </row>
    <row r="57" spans="1:17" ht="15" customHeight="1" x14ac:dyDescent="0.2">
      <c r="A57" s="81" t="s">
        <v>194</v>
      </c>
      <c r="B57" s="85">
        <f t="shared" ref="B57:O57" si="7">IF(B13=0,"",B35/B13)</f>
        <v>1</v>
      </c>
      <c r="C57" s="85" t="str">
        <f t="shared" si="7"/>
        <v/>
      </c>
      <c r="D57" s="85">
        <f t="shared" si="7"/>
        <v>0</v>
      </c>
      <c r="E57" s="85">
        <f t="shared" si="7"/>
        <v>0</v>
      </c>
      <c r="F57" s="85">
        <f t="shared" si="7"/>
        <v>0</v>
      </c>
      <c r="G57" s="85">
        <f t="shared" si="7"/>
        <v>0</v>
      </c>
      <c r="H57" s="85">
        <f t="shared" si="7"/>
        <v>0</v>
      </c>
      <c r="I57" s="85">
        <f t="shared" si="7"/>
        <v>0</v>
      </c>
      <c r="J57" s="85" t="str">
        <f t="shared" si="7"/>
        <v/>
      </c>
      <c r="K57" s="85" t="str">
        <f t="shared" si="7"/>
        <v/>
      </c>
      <c r="L57" s="85">
        <f t="shared" si="7"/>
        <v>0</v>
      </c>
      <c r="M57" s="85" t="str">
        <f t="shared" si="7"/>
        <v/>
      </c>
      <c r="N57" s="85" t="str">
        <f t="shared" si="7"/>
        <v/>
      </c>
      <c r="O57" s="85" t="str">
        <f t="shared" si="7"/>
        <v/>
      </c>
    </row>
    <row r="58" spans="1:17" ht="15" customHeight="1" x14ac:dyDescent="0.2">
      <c r="A58" s="81" t="s">
        <v>196</v>
      </c>
      <c r="B58" s="85" t="str">
        <f t="shared" ref="B58:O58" si="8">IF(B14=0,"",B36/B14)</f>
        <v/>
      </c>
      <c r="C58" s="85" t="str">
        <f t="shared" si="8"/>
        <v/>
      </c>
      <c r="D58" s="85" t="str">
        <f t="shared" si="8"/>
        <v/>
      </c>
      <c r="E58" s="85" t="str">
        <f t="shared" si="8"/>
        <v/>
      </c>
      <c r="F58" s="85" t="str">
        <f t="shared" si="8"/>
        <v/>
      </c>
      <c r="G58" s="85" t="str">
        <f t="shared" si="8"/>
        <v/>
      </c>
      <c r="H58" s="85" t="str">
        <f t="shared" si="8"/>
        <v/>
      </c>
      <c r="I58" s="85" t="str">
        <f t="shared" si="8"/>
        <v/>
      </c>
      <c r="J58" s="85" t="str">
        <f t="shared" si="8"/>
        <v/>
      </c>
      <c r="K58" s="85" t="str">
        <f t="shared" si="8"/>
        <v/>
      </c>
      <c r="L58" s="85" t="str">
        <f t="shared" si="8"/>
        <v/>
      </c>
      <c r="M58" s="85" t="str">
        <f t="shared" si="8"/>
        <v/>
      </c>
      <c r="N58" s="85" t="str">
        <f t="shared" si="8"/>
        <v/>
      </c>
      <c r="O58" s="85" t="str">
        <f t="shared" si="8"/>
        <v/>
      </c>
    </row>
    <row r="59" spans="1:17" ht="15" customHeight="1" x14ac:dyDescent="0.2">
      <c r="A59" s="81" t="s">
        <v>198</v>
      </c>
      <c r="B59" s="85" t="str">
        <f t="shared" ref="B59:O59" si="9">IF(B15=0,"",B37/B15)</f>
        <v/>
      </c>
      <c r="C59" s="85" t="str">
        <f t="shared" si="9"/>
        <v/>
      </c>
      <c r="D59" s="85" t="str">
        <f t="shared" si="9"/>
        <v/>
      </c>
      <c r="E59" s="85" t="str">
        <f t="shared" si="9"/>
        <v/>
      </c>
      <c r="F59" s="85" t="str">
        <f t="shared" si="9"/>
        <v/>
      </c>
      <c r="G59" s="85" t="str">
        <f t="shared" si="9"/>
        <v/>
      </c>
      <c r="H59" s="85" t="str">
        <f t="shared" si="9"/>
        <v/>
      </c>
      <c r="I59" s="85" t="str">
        <f t="shared" si="9"/>
        <v/>
      </c>
      <c r="J59" s="85" t="str">
        <f t="shared" si="9"/>
        <v/>
      </c>
      <c r="K59" s="85" t="str">
        <f t="shared" si="9"/>
        <v/>
      </c>
      <c r="L59" s="85" t="str">
        <f t="shared" si="9"/>
        <v/>
      </c>
      <c r="M59" s="85" t="str">
        <f t="shared" si="9"/>
        <v/>
      </c>
      <c r="N59" s="85" t="str">
        <f t="shared" si="9"/>
        <v/>
      </c>
      <c r="O59" s="85" t="str">
        <f t="shared" si="9"/>
        <v/>
      </c>
    </row>
    <row r="60" spans="1:17" ht="15" customHeight="1" x14ac:dyDescent="0.2">
      <c r="A60" s="81" t="s">
        <v>200</v>
      </c>
      <c r="B60" s="85" t="str">
        <f t="shared" ref="B60:O60" si="10">IF(B16=0,"",B38/B16)</f>
        <v/>
      </c>
      <c r="C60" s="85" t="str">
        <f t="shared" si="10"/>
        <v/>
      </c>
      <c r="D60" s="85" t="str">
        <f t="shared" si="10"/>
        <v/>
      </c>
      <c r="E60" s="85" t="str">
        <f t="shared" si="10"/>
        <v/>
      </c>
      <c r="F60" s="85">
        <f t="shared" si="10"/>
        <v>1</v>
      </c>
      <c r="G60" s="85">
        <f t="shared" si="10"/>
        <v>0</v>
      </c>
      <c r="H60" s="85" t="str">
        <f t="shared" si="10"/>
        <v/>
      </c>
      <c r="I60" s="85" t="str">
        <f t="shared" si="10"/>
        <v/>
      </c>
      <c r="J60" s="85" t="str">
        <f t="shared" si="10"/>
        <v/>
      </c>
      <c r="K60" s="85" t="str">
        <f t="shared" si="10"/>
        <v/>
      </c>
      <c r="L60" s="85">
        <f t="shared" si="10"/>
        <v>0</v>
      </c>
      <c r="M60" s="85" t="str">
        <f t="shared" si="10"/>
        <v/>
      </c>
      <c r="N60" s="85" t="str">
        <f t="shared" si="10"/>
        <v/>
      </c>
      <c r="O60" s="85" t="str">
        <f t="shared" si="10"/>
        <v/>
      </c>
    </row>
    <row r="61" spans="1:17" ht="15" customHeight="1" x14ac:dyDescent="0.2">
      <c r="A61" s="81" t="s">
        <v>201</v>
      </c>
      <c r="B61" s="85" t="str">
        <f t="shared" ref="B61:O61" si="11">IF(B17=0,"",B39/B17)</f>
        <v/>
      </c>
      <c r="C61" s="85" t="str">
        <f t="shared" si="11"/>
        <v/>
      </c>
      <c r="D61" s="85" t="str">
        <f t="shared" si="11"/>
        <v/>
      </c>
      <c r="E61" s="85" t="str">
        <f t="shared" si="11"/>
        <v/>
      </c>
      <c r="F61" s="85" t="str">
        <f t="shared" si="11"/>
        <v/>
      </c>
      <c r="G61" s="85" t="str">
        <f t="shared" si="11"/>
        <v/>
      </c>
      <c r="H61" s="85" t="str">
        <f t="shared" si="11"/>
        <v/>
      </c>
      <c r="I61" s="85" t="str">
        <f t="shared" si="11"/>
        <v/>
      </c>
      <c r="J61" s="85" t="str">
        <f t="shared" si="11"/>
        <v/>
      </c>
      <c r="K61" s="85" t="str">
        <f t="shared" si="11"/>
        <v/>
      </c>
      <c r="L61" s="85" t="str">
        <f t="shared" si="11"/>
        <v/>
      </c>
      <c r="M61" s="85" t="str">
        <f t="shared" si="11"/>
        <v/>
      </c>
      <c r="N61" s="85" t="str">
        <f t="shared" si="11"/>
        <v/>
      </c>
      <c r="O61" s="85" t="str">
        <f t="shared" si="11"/>
        <v/>
      </c>
    </row>
    <row r="62" spans="1:17" ht="15" customHeight="1" x14ac:dyDescent="0.2">
      <c r="A62" s="81" t="s">
        <v>202</v>
      </c>
      <c r="B62" s="85" t="str">
        <f t="shared" ref="B62:O62" si="12">IF(B18=0,"",B40/B18)</f>
        <v/>
      </c>
      <c r="C62" s="85" t="str">
        <f t="shared" si="12"/>
        <v/>
      </c>
      <c r="D62" s="85" t="str">
        <f t="shared" si="12"/>
        <v/>
      </c>
      <c r="E62" s="85" t="str">
        <f t="shared" si="12"/>
        <v/>
      </c>
      <c r="F62" s="85" t="str">
        <f t="shared" si="12"/>
        <v/>
      </c>
      <c r="G62" s="85" t="str">
        <f t="shared" si="12"/>
        <v/>
      </c>
      <c r="H62" s="85" t="str">
        <f t="shared" si="12"/>
        <v/>
      </c>
      <c r="I62" s="85" t="str">
        <f t="shared" si="12"/>
        <v/>
      </c>
      <c r="J62" s="85" t="str">
        <f t="shared" si="12"/>
        <v/>
      </c>
      <c r="K62" s="85" t="str">
        <f t="shared" si="12"/>
        <v/>
      </c>
      <c r="L62" s="85" t="str">
        <f t="shared" si="12"/>
        <v/>
      </c>
      <c r="M62" s="85" t="str">
        <f t="shared" si="12"/>
        <v/>
      </c>
      <c r="N62" s="85" t="str">
        <f t="shared" si="12"/>
        <v/>
      </c>
      <c r="O62" s="85" t="str">
        <f t="shared" si="12"/>
        <v/>
      </c>
    </row>
    <row r="63" spans="1:17" ht="15" customHeight="1" x14ac:dyDescent="0.2">
      <c r="A63" s="81" t="s">
        <v>203</v>
      </c>
      <c r="B63" s="85">
        <f t="shared" ref="B63:O63" si="13">IF(B19=0,"",B41/B19)</f>
        <v>0.5</v>
      </c>
      <c r="C63" s="85">
        <f t="shared" si="13"/>
        <v>0</v>
      </c>
      <c r="D63" s="85" t="str">
        <f t="shared" si="13"/>
        <v/>
      </c>
      <c r="E63" s="85">
        <f t="shared" si="13"/>
        <v>0.16666666666666666</v>
      </c>
      <c r="F63" s="85">
        <f t="shared" si="13"/>
        <v>0.8666666666666667</v>
      </c>
      <c r="G63" s="85">
        <f t="shared" si="13"/>
        <v>1</v>
      </c>
      <c r="H63" s="85">
        <f t="shared" si="13"/>
        <v>0</v>
      </c>
      <c r="I63" s="85">
        <f t="shared" si="13"/>
        <v>0.14285714285714285</v>
      </c>
      <c r="J63" s="85">
        <f t="shared" si="13"/>
        <v>0.8</v>
      </c>
      <c r="K63" s="85">
        <f t="shared" si="13"/>
        <v>0</v>
      </c>
      <c r="L63" s="85">
        <f t="shared" si="13"/>
        <v>0.46153846153846156</v>
      </c>
      <c r="M63" s="85" t="str">
        <f t="shared" si="13"/>
        <v/>
      </c>
      <c r="N63" s="85" t="str">
        <f t="shared" si="13"/>
        <v/>
      </c>
      <c r="O63" s="85" t="str">
        <f t="shared" si="13"/>
        <v/>
      </c>
    </row>
    <row r="64" spans="1:17" ht="15" customHeight="1" x14ac:dyDescent="0.2">
      <c r="A64" s="81" t="s">
        <v>205</v>
      </c>
      <c r="B64" s="85">
        <f t="shared" ref="B64:O64" si="14">IF(B20=0,"",B42/B20)</f>
        <v>0.5</v>
      </c>
      <c r="C64" s="85" t="str">
        <f t="shared" si="14"/>
        <v/>
      </c>
      <c r="D64" s="85" t="str">
        <f t="shared" si="14"/>
        <v/>
      </c>
      <c r="E64" s="85" t="str">
        <f t="shared" si="14"/>
        <v/>
      </c>
      <c r="F64" s="85">
        <f t="shared" si="14"/>
        <v>0</v>
      </c>
      <c r="G64" s="85">
        <f t="shared" si="14"/>
        <v>0.2</v>
      </c>
      <c r="H64" s="85" t="str">
        <f t="shared" si="14"/>
        <v/>
      </c>
      <c r="I64" s="85">
        <f t="shared" si="14"/>
        <v>1</v>
      </c>
      <c r="J64" s="85" t="str">
        <f t="shared" si="14"/>
        <v/>
      </c>
      <c r="K64" s="85" t="str">
        <f t="shared" si="14"/>
        <v/>
      </c>
      <c r="L64" s="85">
        <f t="shared" si="14"/>
        <v>0.33333333333333331</v>
      </c>
      <c r="M64" s="85" t="str">
        <f t="shared" si="14"/>
        <v/>
      </c>
      <c r="N64" s="85" t="str">
        <f t="shared" si="14"/>
        <v/>
      </c>
      <c r="O64" s="85" t="str">
        <f t="shared" si="14"/>
        <v/>
      </c>
    </row>
    <row r="65" spans="1:19" ht="15" customHeight="1" x14ac:dyDescent="0.2">
      <c r="A65" s="81" t="s">
        <v>207</v>
      </c>
      <c r="B65" s="85">
        <f t="shared" ref="B65:O65" si="15">IF(B21=0,"",B43/B21)</f>
        <v>1</v>
      </c>
      <c r="C65" s="85" t="str">
        <f t="shared" si="15"/>
        <v/>
      </c>
      <c r="D65" s="85">
        <f t="shared" si="15"/>
        <v>1</v>
      </c>
      <c r="E65" s="85" t="str">
        <f t="shared" si="15"/>
        <v/>
      </c>
      <c r="F65" s="85" t="str">
        <f t="shared" si="15"/>
        <v/>
      </c>
      <c r="G65" s="85">
        <f t="shared" si="15"/>
        <v>0</v>
      </c>
      <c r="H65" s="85" t="str">
        <f t="shared" si="15"/>
        <v/>
      </c>
      <c r="I65" s="85">
        <f t="shared" si="15"/>
        <v>0.2857142857142857</v>
      </c>
      <c r="J65" s="85" t="str">
        <f t="shared" si="15"/>
        <v/>
      </c>
      <c r="K65" s="85" t="str">
        <f t="shared" si="15"/>
        <v/>
      </c>
      <c r="L65" s="85">
        <f t="shared" si="15"/>
        <v>0.7142857142857143</v>
      </c>
      <c r="M65" s="85" t="str">
        <f t="shared" si="15"/>
        <v/>
      </c>
      <c r="N65" s="85" t="str">
        <f t="shared" si="15"/>
        <v/>
      </c>
      <c r="O65" s="85" t="str">
        <f t="shared" si="15"/>
        <v/>
      </c>
    </row>
    <row r="66" spans="1:19" ht="15" customHeight="1" x14ac:dyDescent="0.2">
      <c r="A66" s="81" t="s">
        <v>209</v>
      </c>
      <c r="B66" s="85" t="str">
        <f t="shared" ref="B66:O66" si="16">IF(B22=0,"",B44/B22)</f>
        <v/>
      </c>
      <c r="C66" s="85" t="str">
        <f t="shared" si="16"/>
        <v/>
      </c>
      <c r="D66" s="85" t="str">
        <f t="shared" si="16"/>
        <v/>
      </c>
      <c r="E66" s="85" t="str">
        <f t="shared" si="16"/>
        <v/>
      </c>
      <c r="F66" s="85" t="str">
        <f t="shared" si="16"/>
        <v/>
      </c>
      <c r="G66" s="85" t="str">
        <f t="shared" si="16"/>
        <v/>
      </c>
      <c r="H66" s="85" t="str">
        <f t="shared" si="16"/>
        <v/>
      </c>
      <c r="I66" s="85" t="str">
        <f t="shared" si="16"/>
        <v/>
      </c>
      <c r="J66" s="85" t="str">
        <f t="shared" si="16"/>
        <v/>
      </c>
      <c r="K66" s="85" t="str">
        <f t="shared" si="16"/>
        <v/>
      </c>
      <c r="L66" s="85" t="str">
        <f t="shared" si="16"/>
        <v/>
      </c>
      <c r="M66" s="85" t="str">
        <f t="shared" si="16"/>
        <v/>
      </c>
      <c r="N66" s="85" t="str">
        <f t="shared" si="16"/>
        <v/>
      </c>
      <c r="O66" s="85" t="str">
        <f t="shared" si="16"/>
        <v/>
      </c>
    </row>
    <row r="67" spans="1:19" ht="15" customHeight="1" x14ac:dyDescent="0.2">
      <c r="A67" s="81" t="s">
        <v>211</v>
      </c>
      <c r="B67" s="85">
        <f t="shared" ref="B67:O67" si="17">IF(B23=0,"",B45/B23)</f>
        <v>0.5</v>
      </c>
      <c r="C67" s="85" t="str">
        <f t="shared" si="17"/>
        <v/>
      </c>
      <c r="D67" s="85">
        <f t="shared" si="17"/>
        <v>0</v>
      </c>
      <c r="E67" s="85" t="str">
        <f t="shared" si="17"/>
        <v/>
      </c>
      <c r="F67" s="85" t="str">
        <f t="shared" si="17"/>
        <v/>
      </c>
      <c r="G67" s="85" t="str">
        <f t="shared" si="17"/>
        <v/>
      </c>
      <c r="H67" s="85" t="str">
        <f t="shared" si="17"/>
        <v/>
      </c>
      <c r="I67" s="85">
        <f t="shared" si="17"/>
        <v>1</v>
      </c>
      <c r="J67" s="85" t="str">
        <f t="shared" si="17"/>
        <v/>
      </c>
      <c r="K67" s="85" t="str">
        <f t="shared" si="17"/>
        <v/>
      </c>
      <c r="L67" s="85" t="str">
        <f t="shared" si="17"/>
        <v/>
      </c>
      <c r="M67" s="85" t="str">
        <f t="shared" si="17"/>
        <v/>
      </c>
      <c r="N67" s="85" t="str">
        <f t="shared" si="17"/>
        <v/>
      </c>
      <c r="O67" s="85" t="str">
        <f t="shared" si="17"/>
        <v/>
      </c>
    </row>
    <row r="68" spans="1:19" ht="15" customHeight="1" x14ac:dyDescent="0.2">
      <c r="A68" s="81" t="s">
        <v>212</v>
      </c>
      <c r="B68" s="85" t="str">
        <f t="shared" ref="B68:O68" si="18">IF(B24=0,"",B46/B24)</f>
        <v/>
      </c>
      <c r="C68" s="85" t="str">
        <f t="shared" si="18"/>
        <v/>
      </c>
      <c r="D68" s="85">
        <f t="shared" si="18"/>
        <v>0</v>
      </c>
      <c r="E68" s="85" t="str">
        <f t="shared" si="18"/>
        <v/>
      </c>
      <c r="F68" s="85">
        <f t="shared" si="18"/>
        <v>1</v>
      </c>
      <c r="G68" s="85" t="str">
        <f t="shared" si="18"/>
        <v/>
      </c>
      <c r="H68" s="85" t="str">
        <f t="shared" si="18"/>
        <v/>
      </c>
      <c r="I68" s="85">
        <f t="shared" si="18"/>
        <v>0</v>
      </c>
      <c r="J68" s="85" t="str">
        <f t="shared" si="18"/>
        <v/>
      </c>
      <c r="K68" s="85" t="str">
        <f t="shared" si="18"/>
        <v/>
      </c>
      <c r="L68" s="85" t="str">
        <f t="shared" si="18"/>
        <v/>
      </c>
      <c r="M68" s="85" t="str">
        <f t="shared" si="18"/>
        <v/>
      </c>
      <c r="N68" s="85" t="str">
        <f t="shared" si="18"/>
        <v/>
      </c>
      <c r="O68" s="85" t="str">
        <f t="shared" si="18"/>
        <v/>
      </c>
    </row>
    <row r="69" spans="1:19" ht="15" customHeight="1" x14ac:dyDescent="0.2">
      <c r="A69" s="81" t="s">
        <v>214</v>
      </c>
      <c r="B69" s="85">
        <f t="shared" ref="B69:O69" si="19">IF(B25=0,"",B47/B25)</f>
        <v>0.2857142857142857</v>
      </c>
      <c r="C69" s="85">
        <f t="shared" si="19"/>
        <v>0.625</v>
      </c>
      <c r="D69" s="85">
        <f t="shared" si="19"/>
        <v>1</v>
      </c>
      <c r="E69" s="85">
        <f t="shared" si="19"/>
        <v>0.42857142857142855</v>
      </c>
      <c r="F69" s="85">
        <f t="shared" si="19"/>
        <v>0.375</v>
      </c>
      <c r="G69" s="85">
        <f t="shared" si="19"/>
        <v>0.44444444444444442</v>
      </c>
      <c r="H69" s="85">
        <f t="shared" si="19"/>
        <v>0.72727272727272729</v>
      </c>
      <c r="I69" s="85">
        <f t="shared" si="19"/>
        <v>0.55555555555555558</v>
      </c>
      <c r="J69" s="85">
        <f t="shared" si="19"/>
        <v>0.7</v>
      </c>
      <c r="K69" s="85">
        <f t="shared" si="19"/>
        <v>0.2857142857142857</v>
      </c>
      <c r="L69" s="85">
        <f t="shared" si="19"/>
        <v>0.41666666666666669</v>
      </c>
      <c r="M69" s="85">
        <f t="shared" si="19"/>
        <v>0.4</v>
      </c>
      <c r="N69" s="85">
        <f t="shared" si="19"/>
        <v>0.5</v>
      </c>
      <c r="O69" s="85" t="str">
        <f t="shared" si="19"/>
        <v/>
      </c>
    </row>
    <row r="70" spans="1:19" ht="15" customHeight="1" x14ac:dyDescent="0.2">
      <c r="A70" s="81" t="s">
        <v>216</v>
      </c>
      <c r="B70" s="85" t="str">
        <f t="shared" ref="B70:O70" si="20">IF(B26=0,"",B48/B26)</f>
        <v/>
      </c>
      <c r="C70" s="85" t="str">
        <f t="shared" si="20"/>
        <v/>
      </c>
      <c r="D70" s="85" t="str">
        <f t="shared" si="20"/>
        <v/>
      </c>
      <c r="E70" s="85" t="str">
        <f t="shared" si="20"/>
        <v/>
      </c>
      <c r="F70" s="85">
        <f t="shared" si="20"/>
        <v>0.5</v>
      </c>
      <c r="G70" s="85" t="str">
        <f t="shared" si="20"/>
        <v/>
      </c>
      <c r="H70" s="85" t="str">
        <f t="shared" si="20"/>
        <v/>
      </c>
      <c r="I70" s="85">
        <f t="shared" si="20"/>
        <v>0.5</v>
      </c>
      <c r="J70" s="85" t="str">
        <f t="shared" si="20"/>
        <v/>
      </c>
      <c r="K70" s="85" t="str">
        <f t="shared" si="20"/>
        <v/>
      </c>
      <c r="L70" s="85" t="str">
        <f t="shared" si="20"/>
        <v/>
      </c>
      <c r="M70" s="85" t="str">
        <f t="shared" si="20"/>
        <v/>
      </c>
      <c r="N70" s="85" t="str">
        <f t="shared" si="20"/>
        <v/>
      </c>
      <c r="O70" s="85" t="str">
        <f t="shared" si="20"/>
        <v/>
      </c>
    </row>
    <row r="72" spans="1:19" ht="15" customHeight="1" x14ac:dyDescent="0.2">
      <c r="A72" s="150" t="s">
        <v>236</v>
      </c>
      <c r="B72" s="150"/>
      <c r="C72" s="150"/>
      <c r="D72" s="150"/>
      <c r="E72" s="150"/>
      <c r="F72" s="150"/>
      <c r="G72" s="150"/>
      <c r="H72" s="150"/>
      <c r="I72" s="150"/>
      <c r="J72" s="150"/>
      <c r="K72" s="150"/>
      <c r="L72" s="150"/>
      <c r="M72" s="150"/>
      <c r="N72" s="150"/>
      <c r="O72" s="150"/>
      <c r="P72" s="150"/>
      <c r="Q72" s="150"/>
    </row>
    <row r="73" spans="1:19" ht="15" customHeight="1" x14ac:dyDescent="0.2">
      <c r="A73" s="86" t="s">
        <v>237</v>
      </c>
      <c r="B73" s="79" t="s">
        <v>134</v>
      </c>
      <c r="C73" s="79" t="s">
        <v>195</v>
      </c>
      <c r="D73" s="79" t="s">
        <v>188</v>
      </c>
      <c r="E73" s="79" t="s">
        <v>109</v>
      </c>
      <c r="F73" s="79" t="s">
        <v>238</v>
      </c>
      <c r="G73" s="79" t="s">
        <v>107</v>
      </c>
    </row>
    <row r="74" spans="1:19" ht="15" customHeight="1" x14ac:dyDescent="0.2">
      <c r="A74" s="81" t="s">
        <v>174</v>
      </c>
      <c r="B74" s="82">
        <f>COUNTIF('Match Log'!$D$4:$D$311,$A74)</f>
        <v>23</v>
      </c>
      <c r="C74" s="82">
        <f>SUMPRODUCT(--(COUNTIFS('Match Log'!$D$4:$D$311,$A74,'Match Log'!$C$4:$C$311,Lists!$C$2:$C$20)&gt;0))</f>
        <v>3</v>
      </c>
      <c r="D74" s="82">
        <f>COUNTIFS('Match Log'!$D$4:$D$311,$A74,'Match Log'!$E$4:$E$311,"Win")</f>
        <v>15</v>
      </c>
      <c r="E74" s="85">
        <f t="shared" ref="E74:E87" si="21">IF($B74=0,"",$D74/$B74)</f>
        <v>0.65217391304347827</v>
      </c>
      <c r="F74" s="87">
        <f>IFERROR(INDEX(Engine!$B$2:$B$15,MATCH($A74,Engine!$A$2:$A$15,0)),"")</f>
        <v>1189.3765078898728</v>
      </c>
      <c r="G74" s="82" t="str">
        <f>IF($B74=0,"No games",IF(AND($B74&gt;='Guide &amp; Settings'!$C$45,$C74&gt;='Guide &amp; Settings'!$C$46),"Eligible","Provisional"))</f>
        <v>Eligible</v>
      </c>
      <c r="S74" s="88">
        <f t="shared" ref="S74:S87" si="22">IF($G74="Eligible",$F74,-1)</f>
        <v>1189.3765078898728</v>
      </c>
    </row>
    <row r="75" spans="1:19" ht="15" customHeight="1" x14ac:dyDescent="0.2">
      <c r="A75" s="81" t="s">
        <v>144</v>
      </c>
      <c r="B75" s="82">
        <f>COUNTIF('Match Log'!$D$4:$D$311,$A75)</f>
        <v>32</v>
      </c>
      <c r="C75" s="82">
        <f>SUMPRODUCT(--(COUNTIFS('Match Log'!$D$4:$D$311,$A75,'Match Log'!$C$4:$C$311,Lists!$C$2:$C$20)&gt;0))</f>
        <v>8</v>
      </c>
      <c r="D75" s="82">
        <f>COUNTIFS('Match Log'!$D$4:$D$311,$A75,'Match Log'!$E$4:$E$311,"Win")</f>
        <v>20</v>
      </c>
      <c r="E75" s="85">
        <f t="shared" si="21"/>
        <v>0.625</v>
      </c>
      <c r="F75" s="87">
        <f>IFERROR(INDEX(Engine!$B$2:$B$15,MATCH($A75,Engine!$A$2:$A$15,0)),"")</f>
        <v>1147.1945550051951</v>
      </c>
      <c r="G75" s="82" t="str">
        <f>IF($B75=0,"No games",IF(AND($B75&gt;='Guide &amp; Settings'!$C$45,$C75&gt;='Guide &amp; Settings'!$C$46),"Eligible","Provisional"))</f>
        <v>Eligible</v>
      </c>
      <c r="S75" s="88">
        <f t="shared" si="22"/>
        <v>1147.1945550051951</v>
      </c>
    </row>
    <row r="76" spans="1:19" ht="15" customHeight="1" x14ac:dyDescent="0.2">
      <c r="A76" s="81" t="s">
        <v>175</v>
      </c>
      <c r="B76" s="82">
        <f>COUNTIF('Match Log'!$D$4:$D$311,$A76)</f>
        <v>17</v>
      </c>
      <c r="C76" s="82">
        <f>SUMPRODUCT(--(COUNTIFS('Match Log'!$D$4:$D$311,$A76,'Match Log'!$C$4:$C$311,Lists!$C$2:$C$20)&gt;0))</f>
        <v>4</v>
      </c>
      <c r="D76" s="82">
        <f>COUNTIFS('Match Log'!$D$4:$D$311,$A76,'Match Log'!$E$4:$E$311,"Win")</f>
        <v>10</v>
      </c>
      <c r="E76" s="85">
        <f t="shared" si="21"/>
        <v>0.58823529411764708</v>
      </c>
      <c r="F76" s="87">
        <f>IFERROR(INDEX(Engine!$B$2:$B$15,MATCH($A76,Engine!$A$2:$A$15,0)),"")</f>
        <v>1099.9035033078371</v>
      </c>
      <c r="G76" s="82" t="str">
        <f>IF($B76=0,"No games",IF(AND($B76&gt;='Guide &amp; Settings'!$C$45,$C76&gt;='Guide &amp; Settings'!$C$46),"Eligible","Provisional"))</f>
        <v>Eligible</v>
      </c>
      <c r="S76" s="88">
        <f t="shared" si="22"/>
        <v>1099.9035033078371</v>
      </c>
    </row>
    <row r="77" spans="1:19" ht="15" customHeight="1" x14ac:dyDescent="0.2">
      <c r="A77" s="81" t="s">
        <v>176</v>
      </c>
      <c r="B77" s="82">
        <f>COUNTIF('Match Log'!$D$4:$D$311,$A77)</f>
        <v>41</v>
      </c>
      <c r="C77" s="82">
        <f>SUMPRODUCT(--(COUNTIFS('Match Log'!$D$4:$D$311,$A77,'Match Log'!$C$4:$C$311,Lists!$C$2:$C$20)&gt;0))</f>
        <v>7</v>
      </c>
      <c r="D77" s="82">
        <f>COUNTIFS('Match Log'!$D$4:$D$311,$A77,'Match Log'!$E$4:$E$311,"Win")</f>
        <v>19</v>
      </c>
      <c r="E77" s="85">
        <f t="shared" si="21"/>
        <v>0.46341463414634149</v>
      </c>
      <c r="F77" s="87">
        <f>IFERROR(INDEX(Engine!$B$2:$B$15,MATCH($A77,Engine!$A$2:$A$15,0)),"")</f>
        <v>1108.1045793188271</v>
      </c>
      <c r="G77" s="82" t="str">
        <f>IF($B77=0,"No games",IF(AND($B77&gt;='Guide &amp; Settings'!$C$45,$C77&gt;='Guide &amp; Settings'!$C$46),"Eligible","Provisional"))</f>
        <v>Eligible</v>
      </c>
      <c r="S77" s="88">
        <f t="shared" si="22"/>
        <v>1108.1045793188271</v>
      </c>
    </row>
    <row r="78" spans="1:19" ht="15" customHeight="1" x14ac:dyDescent="0.2">
      <c r="A78" s="81" t="s">
        <v>177</v>
      </c>
      <c r="B78" s="82">
        <f>COUNTIF('Match Log'!$D$4:$D$311,$A78)</f>
        <v>49</v>
      </c>
      <c r="C78" s="82">
        <f>SUMPRODUCT(--(COUNTIFS('Match Log'!$D$4:$D$311,$A78,'Match Log'!$C$4:$C$311,Lists!$C$2:$C$20)&gt;0))</f>
        <v>11</v>
      </c>
      <c r="D78" s="82">
        <f>COUNTIFS('Match Log'!$D$4:$D$311,$A78,'Match Log'!$E$4:$E$311,"Win")</f>
        <v>21</v>
      </c>
      <c r="E78" s="85">
        <f t="shared" si="21"/>
        <v>0.42857142857142855</v>
      </c>
      <c r="F78" s="87">
        <f>IFERROR(INDEX(Engine!$B$2:$B$15,MATCH($A78,Engine!$A$2:$A$15,0)),"")</f>
        <v>1069.478840506906</v>
      </c>
      <c r="G78" s="82" t="str">
        <f>IF($B78=0,"No games",IF(AND($B78&gt;='Guide &amp; Settings'!$C$45,$C78&gt;='Guide &amp; Settings'!$C$46),"Eligible","Provisional"))</f>
        <v>Eligible</v>
      </c>
      <c r="S78" s="88">
        <f t="shared" si="22"/>
        <v>1069.478840506906</v>
      </c>
    </row>
    <row r="79" spans="1:19" ht="15" customHeight="1" x14ac:dyDescent="0.2">
      <c r="A79" s="81" t="s">
        <v>145</v>
      </c>
      <c r="B79" s="82">
        <f>COUNTIF('Match Log'!$D$4:$D$311,$A79)</f>
        <v>25</v>
      </c>
      <c r="C79" s="82">
        <f>SUMPRODUCT(--(COUNTIFS('Match Log'!$D$4:$D$311,$A79,'Match Log'!$C$4:$C$311,Lists!$C$2:$C$20)&gt;0))</f>
        <v>7</v>
      </c>
      <c r="D79" s="82">
        <f>COUNTIFS('Match Log'!$D$4:$D$311,$A79,'Match Log'!$E$4:$E$311,"Win")</f>
        <v>15</v>
      </c>
      <c r="E79" s="85">
        <f t="shared" si="21"/>
        <v>0.6</v>
      </c>
      <c r="F79" s="87">
        <f>IFERROR(INDEX(Engine!$B$2:$B$15,MATCH($A79,Engine!$A$2:$A$15,0)),"")</f>
        <v>1125.1080177960646</v>
      </c>
      <c r="G79" s="82" t="str">
        <f>IF($B79=0,"No games",IF(AND($B79&gt;='Guide &amp; Settings'!$C$45,$C79&gt;='Guide &amp; Settings'!$C$46),"Eligible","Provisional"))</f>
        <v>Eligible</v>
      </c>
      <c r="S79" s="88">
        <f t="shared" si="22"/>
        <v>1125.1080177960646</v>
      </c>
    </row>
    <row r="80" spans="1:19" ht="15" customHeight="1" x14ac:dyDescent="0.2">
      <c r="A80" s="81" t="s">
        <v>141</v>
      </c>
      <c r="B80" s="82">
        <f>COUNTIF('Match Log'!$D$4:$D$311,$A80)</f>
        <v>43</v>
      </c>
      <c r="C80" s="82">
        <f>SUMPRODUCT(--(COUNTIFS('Match Log'!$D$4:$D$311,$A80,'Match Log'!$C$4:$C$311,Lists!$C$2:$C$20)&gt;0))</f>
        <v>8</v>
      </c>
      <c r="D80" s="82">
        <f>COUNTIFS('Match Log'!$D$4:$D$311,$A80,'Match Log'!$E$4:$E$311,"Win")</f>
        <v>18</v>
      </c>
      <c r="E80" s="85">
        <f t="shared" si="21"/>
        <v>0.41860465116279072</v>
      </c>
      <c r="F80" s="87">
        <f>IFERROR(INDEX(Engine!$B$2:$B$15,MATCH($A80,Engine!$A$2:$A$15,0)),"")</f>
        <v>1003.4940022422369</v>
      </c>
      <c r="G80" s="82" t="str">
        <f>IF($B80=0,"No games",IF(AND($B80&gt;='Guide &amp; Settings'!$C$45,$C80&gt;='Guide &amp; Settings'!$C$46),"Eligible","Provisional"))</f>
        <v>Eligible</v>
      </c>
      <c r="S80" s="88">
        <f t="shared" si="22"/>
        <v>1003.4940022422369</v>
      </c>
    </row>
    <row r="81" spans="1:19" ht="15" customHeight="1" x14ac:dyDescent="0.2">
      <c r="A81" s="81" t="s">
        <v>142</v>
      </c>
      <c r="B81" s="82">
        <f>COUNTIF('Match Log'!$D$4:$D$311,$A81)</f>
        <v>10</v>
      </c>
      <c r="C81" s="82">
        <f>SUMPRODUCT(--(COUNTIFS('Match Log'!$D$4:$D$311,$A81,'Match Log'!$C$4:$C$311,Lists!$C$2:$C$20)&gt;0))</f>
        <v>3</v>
      </c>
      <c r="D81" s="82">
        <f>COUNTIFS('Match Log'!$D$4:$D$311,$A81,'Match Log'!$E$4:$E$311,"Win")</f>
        <v>5</v>
      </c>
      <c r="E81" s="85">
        <f t="shared" si="21"/>
        <v>0.5</v>
      </c>
      <c r="F81" s="87">
        <f>IFERROR(INDEX(Engine!$B$2:$B$15,MATCH($A81,Engine!$A$2:$A$15,0)),"")</f>
        <v>1044.8691565259944</v>
      </c>
      <c r="G81" s="82" t="str">
        <f>IF($B81=0,"No games",IF(AND($B81&gt;='Guide &amp; Settings'!$C$45,$C81&gt;='Guide &amp; Settings'!$C$46),"Eligible","Provisional"))</f>
        <v>Eligible</v>
      </c>
      <c r="S81" s="88">
        <f t="shared" si="22"/>
        <v>1044.8691565259944</v>
      </c>
    </row>
    <row r="82" spans="1:19" ht="15" customHeight="1" x14ac:dyDescent="0.2">
      <c r="A82" s="81" t="s">
        <v>178</v>
      </c>
      <c r="B82" s="82">
        <f>COUNTIF('Match Log'!$D$4:$D$311,$A82)</f>
        <v>5</v>
      </c>
      <c r="C82" s="82">
        <f>SUMPRODUCT(--(COUNTIFS('Match Log'!$D$4:$D$311,$A82,'Match Log'!$C$4:$C$311,Lists!$C$2:$C$20)&gt;0))</f>
        <v>1</v>
      </c>
      <c r="D82" s="82">
        <f>COUNTIFS('Match Log'!$D$4:$D$311,$A82,'Match Log'!$E$4:$E$311,"Win")</f>
        <v>2</v>
      </c>
      <c r="E82" s="85">
        <f t="shared" si="21"/>
        <v>0.4</v>
      </c>
      <c r="F82" s="87">
        <f>IFERROR(INDEX(Engine!$B$2:$B$15,MATCH($A82,Engine!$A$2:$A$15,0)),"")</f>
        <v>1039.5415973556721</v>
      </c>
      <c r="G82" s="82" t="str">
        <f>IF($B82=0,"No games",IF(AND($B82&gt;='Guide &amp; Settings'!$C$45,$C82&gt;='Guide &amp; Settings'!$C$46),"Eligible","Provisional"))</f>
        <v>Provisional</v>
      </c>
      <c r="S82" s="88">
        <f t="shared" si="22"/>
        <v>-1</v>
      </c>
    </row>
    <row r="83" spans="1:19" ht="15" customHeight="1" x14ac:dyDescent="0.2">
      <c r="A83" s="81" t="s">
        <v>179</v>
      </c>
      <c r="B83" s="82">
        <f>COUNTIF('Match Log'!$D$4:$D$311,$A83)</f>
        <v>4</v>
      </c>
      <c r="C83" s="82">
        <f>SUMPRODUCT(--(COUNTIFS('Match Log'!$D$4:$D$311,$A83,'Match Log'!$C$4:$C$311,Lists!$C$2:$C$20)&gt;0))</f>
        <v>1</v>
      </c>
      <c r="D83" s="82">
        <f>COUNTIFS('Match Log'!$D$4:$D$311,$A83,'Match Log'!$E$4:$E$311,"Win")</f>
        <v>2</v>
      </c>
      <c r="E83" s="85">
        <f t="shared" si="21"/>
        <v>0.5</v>
      </c>
      <c r="F83" s="87">
        <f>IFERROR(INDEX(Engine!$B$2:$B$15,MATCH($A83,Engine!$A$2:$A$15,0)),"")</f>
        <v>1038.5016461247724</v>
      </c>
      <c r="G83" s="82" t="str">
        <f>IF($B83=0,"No games",IF(AND($B83&gt;='Guide &amp; Settings'!$C$45,$C83&gt;='Guide &amp; Settings'!$C$46),"Eligible","Provisional"))</f>
        <v>Provisional</v>
      </c>
      <c r="S83" s="88">
        <f t="shared" si="22"/>
        <v>-1</v>
      </c>
    </row>
    <row r="84" spans="1:19" ht="15" customHeight="1" x14ac:dyDescent="0.2">
      <c r="A84" s="81" t="s">
        <v>180</v>
      </c>
      <c r="B84" s="82">
        <f>COUNTIF('Match Log'!$D$4:$D$311,$A84)</f>
        <v>10</v>
      </c>
      <c r="C84" s="82">
        <f>SUMPRODUCT(--(COUNTIFS('Match Log'!$D$4:$D$311,$A84,'Match Log'!$C$4:$C$311,Lists!$C$2:$C$20)&gt;0))</f>
        <v>6</v>
      </c>
      <c r="D84" s="82">
        <f>COUNTIFS('Match Log'!$D$4:$D$311,$A84,'Match Log'!$E$4:$E$311,"Win")</f>
        <v>5</v>
      </c>
      <c r="E84" s="85">
        <f t="shared" si="21"/>
        <v>0.5</v>
      </c>
      <c r="F84" s="87">
        <f>IFERROR(INDEX(Engine!$B$2:$B$15,MATCH($A84,Engine!$A$2:$A$15,0)),"")</f>
        <v>1017.3466608720325</v>
      </c>
      <c r="G84" s="82" t="str">
        <f>IF($B84=0,"No games",IF(AND($B84&gt;='Guide &amp; Settings'!$C$45,$C84&gt;='Guide &amp; Settings'!$C$46),"Eligible","Provisional"))</f>
        <v>Eligible</v>
      </c>
      <c r="S84" s="88">
        <f t="shared" si="22"/>
        <v>1017.3466608720325</v>
      </c>
    </row>
    <row r="85" spans="1:19" ht="15" customHeight="1" x14ac:dyDescent="0.2">
      <c r="A85" s="81" t="s">
        <v>181</v>
      </c>
      <c r="B85" s="82">
        <f>COUNTIF('Match Log'!$D$4:$D$311,$A85)</f>
        <v>0</v>
      </c>
      <c r="C85" s="82">
        <f>SUMPRODUCT(--(COUNTIFS('Match Log'!$D$4:$D$311,$A85,'Match Log'!$C$4:$C$311,Lists!$C$2:$C$20)&gt;0))</f>
        <v>0</v>
      </c>
      <c r="D85" s="82">
        <f>COUNTIFS('Match Log'!$D$4:$D$311,$A85,'Match Log'!$E$4:$E$311,"Win")</f>
        <v>0</v>
      </c>
      <c r="E85" s="85" t="str">
        <f t="shared" si="21"/>
        <v/>
      </c>
      <c r="F85" s="87">
        <f>IFERROR(INDEX(Engine!$B$2:$B$15,MATCH($A85,Engine!$A$2:$A$15,0)),"")</f>
        <v>1000</v>
      </c>
      <c r="G85" s="82" t="str">
        <f>IF($B85=0,"No games",IF(AND($B85&gt;='Guide &amp; Settings'!$C$45,$C85&gt;='Guide &amp; Settings'!$C$46),"Eligible","Provisional"))</f>
        <v>No games</v>
      </c>
      <c r="S85">
        <f t="shared" si="22"/>
        <v>-1</v>
      </c>
    </row>
    <row r="86" spans="1:19" ht="15" customHeight="1" x14ac:dyDescent="0.2">
      <c r="A86" s="81" t="s">
        <v>147</v>
      </c>
      <c r="B86" s="82">
        <f>COUNTIF('Match Log'!$D$4:$D$311,$A86)</f>
        <v>14</v>
      </c>
      <c r="C86" s="82">
        <f>SUMPRODUCT(--(COUNTIFS('Match Log'!$D$4:$D$311,$A86,'Match Log'!$C$4:$C$311,Lists!$C$2:$C$20)&gt;0))</f>
        <v>3</v>
      </c>
      <c r="D86" s="82">
        <f>COUNTIFS('Match Log'!$D$4:$D$311,$A86,'Match Log'!$E$4:$E$311,"Win")</f>
        <v>4</v>
      </c>
      <c r="E86" s="85">
        <f t="shared" si="21"/>
        <v>0.2857142857142857</v>
      </c>
      <c r="F86" s="87">
        <f>IFERROR(INDEX(Engine!$B$2:$B$15,MATCH($A86,Engine!$A$2:$A$15,0)),"")</f>
        <v>990.8737469852914</v>
      </c>
      <c r="G86" s="82" t="str">
        <f>IF($B86=0,"No games",IF(AND($B86&gt;='Guide &amp; Settings'!$C$45,$C86&gt;='Guide &amp; Settings'!$C$46),"Eligible","Provisional"))</f>
        <v>Eligible</v>
      </c>
      <c r="S86" s="88">
        <f t="shared" si="22"/>
        <v>990.8737469852914</v>
      </c>
    </row>
    <row r="87" spans="1:19" ht="15" customHeight="1" x14ac:dyDescent="0.2">
      <c r="A87" s="81" t="s">
        <v>182</v>
      </c>
      <c r="B87" s="82">
        <f>COUNTIF('Match Log'!$D$4:$D$311,$A87)</f>
        <v>13</v>
      </c>
      <c r="C87" s="82">
        <f>SUMPRODUCT(--(COUNTIFS('Match Log'!$D$4:$D$311,$A87,'Match Log'!$C$4:$C$311,Lists!$C$2:$C$20)&gt;0))</f>
        <v>3</v>
      </c>
      <c r="D87" s="82">
        <f>COUNTIFS('Match Log'!$D$4:$D$311,$A87,'Match Log'!$E$4:$E$311,"Win")</f>
        <v>2</v>
      </c>
      <c r="E87" s="85">
        <f t="shared" si="21"/>
        <v>0.15384615384615385</v>
      </c>
      <c r="F87" s="87">
        <f>IFERROR(INDEX(Engine!$B$2:$B$15,MATCH($A87,Engine!$A$2:$A$15,0)),"")</f>
        <v>894.20718606929802</v>
      </c>
      <c r="G87" s="82" t="str">
        <f>IF($B87=0,"No games",IF(AND($B87&gt;='Guide &amp; Settings'!$C$45,$C87&gt;='Guide &amp; Settings'!$C$46),"Eligible","Provisional"))</f>
        <v>Eligible</v>
      </c>
      <c r="S87" s="88">
        <f t="shared" si="22"/>
        <v>894.20718606929802</v>
      </c>
    </row>
    <row r="89" spans="1:19" ht="15" customHeight="1" x14ac:dyDescent="0.2">
      <c r="A89" s="150" t="s">
        <v>239</v>
      </c>
      <c r="B89" s="150"/>
      <c r="C89" s="150"/>
      <c r="D89" s="150"/>
      <c r="E89" s="150"/>
      <c r="F89" s="150"/>
      <c r="G89" s="150"/>
      <c r="H89" s="150"/>
      <c r="I89" s="150"/>
      <c r="J89" s="150"/>
      <c r="K89" s="150"/>
      <c r="L89" s="150"/>
      <c r="M89" s="150"/>
      <c r="N89" s="150"/>
      <c r="O89" s="150"/>
      <c r="P89" s="150"/>
      <c r="Q89" s="150"/>
    </row>
    <row r="90" spans="1:19" ht="91.5" customHeight="1" x14ac:dyDescent="0.2">
      <c r="A90" s="79" t="s">
        <v>130</v>
      </c>
      <c r="B90" s="80" t="s">
        <v>145</v>
      </c>
      <c r="C90" s="80" t="s">
        <v>142</v>
      </c>
      <c r="D90" s="80" t="s">
        <v>180</v>
      </c>
      <c r="E90" s="80" t="s">
        <v>147</v>
      </c>
      <c r="F90" s="80" t="s">
        <v>144</v>
      </c>
      <c r="G90" s="80" t="s">
        <v>141</v>
      </c>
      <c r="H90" s="80" t="s">
        <v>175</v>
      </c>
      <c r="I90" s="80" t="s">
        <v>177</v>
      </c>
      <c r="J90" s="80" t="s">
        <v>174</v>
      </c>
      <c r="K90" s="80" t="s">
        <v>182</v>
      </c>
      <c r="L90" s="80" t="s">
        <v>176</v>
      </c>
      <c r="M90" s="80" t="s">
        <v>178</v>
      </c>
      <c r="N90" s="80" t="s">
        <v>179</v>
      </c>
      <c r="O90" s="80" t="s">
        <v>181</v>
      </c>
      <c r="P90" s="79" t="s">
        <v>240</v>
      </c>
    </row>
    <row r="91" spans="1:19" ht="15" customHeight="1" x14ac:dyDescent="0.2">
      <c r="A91" s="81" t="s">
        <v>189</v>
      </c>
      <c r="B91" s="87" t="str">
        <f>IFERROR(LOOKUP(2,1/(('Match Log'!$D$4:$D$311=B$90)*('Match Log'!$C$4:$C$311=$A91)),'Match Log'!$AB$4:$AB$311),"")</f>
        <v/>
      </c>
      <c r="C91" s="87" t="str">
        <f>IFERROR(LOOKUP(2,1/(('Match Log'!$D$4:$D$311=C$90)*('Match Log'!$C$4:$C$311=$A91)),'Match Log'!$AB$4:$AB$311),"")</f>
        <v/>
      </c>
      <c r="D91" s="87" t="str">
        <f>IFERROR(LOOKUP(2,1/(('Match Log'!$D$4:$D$311=D$90)*('Match Log'!$C$4:$C$311=$A91)),'Match Log'!$AB$4:$AB$311),"")</f>
        <v/>
      </c>
      <c r="E91" s="87" t="str">
        <f>IFERROR(LOOKUP(2,1/(('Match Log'!$D$4:$D$311=E$90)*('Match Log'!$C$4:$C$311=$A91)),'Match Log'!$AB$4:$AB$311),"")</f>
        <v/>
      </c>
      <c r="F91" s="87" t="str">
        <f>IFERROR(LOOKUP(2,1/(('Match Log'!$D$4:$D$311=F$90)*('Match Log'!$C$4:$C$311=$A91)),'Match Log'!$AB$4:$AB$311),"")</f>
        <v/>
      </c>
      <c r="G91" s="87">
        <f>IFERROR(LOOKUP(2,1/(('Match Log'!$D$4:$D$311=G$90)*('Match Log'!$C$4:$C$311=$A91)),'Match Log'!$AB$4:$AB$311),"")</f>
        <v>1030.5304984710244</v>
      </c>
      <c r="H91" s="87" t="str">
        <f>IFERROR(LOOKUP(2,1/(('Match Log'!$D$4:$D$311=H$90)*('Match Log'!$C$4:$C$311=$A91)),'Match Log'!$AB$4:$AB$311),"")</f>
        <v/>
      </c>
      <c r="I91" s="87">
        <f>IFERROR(LOOKUP(2,1/(('Match Log'!$D$4:$D$311=I$90)*('Match Log'!$C$4:$C$311=$A91)),'Match Log'!$AB$4:$AB$311),"")</f>
        <v>969.46950152897546</v>
      </c>
      <c r="J91" s="87" t="str">
        <f>IFERROR(LOOKUP(2,1/(('Match Log'!$D$4:$D$311=J$90)*('Match Log'!$C$4:$C$311=$A91)),'Match Log'!$AB$4:$AB$311),"")</f>
        <v/>
      </c>
      <c r="K91" s="87" t="str">
        <f>IFERROR(LOOKUP(2,1/(('Match Log'!$D$4:$D$311=K$90)*('Match Log'!$C$4:$C$311=$A91)),'Match Log'!$AB$4:$AB$311),"")</f>
        <v/>
      </c>
      <c r="L91" s="87" t="str">
        <f>IFERROR(LOOKUP(2,1/(('Match Log'!$D$4:$D$311=L$90)*('Match Log'!$C$4:$C$311=$A91)),'Match Log'!$AB$4:$AB$311),"")</f>
        <v/>
      </c>
      <c r="M91" s="87" t="str">
        <f>IFERROR(LOOKUP(2,1/(('Match Log'!$D$4:$D$311=M$90)*('Match Log'!$C$4:$C$311=$A91)),'Match Log'!$AB$4:$AB$311),"")</f>
        <v/>
      </c>
      <c r="N91" s="87" t="str">
        <f>IFERROR(LOOKUP(2,1/(('Match Log'!$D$4:$D$311=N$90)*('Match Log'!$C$4:$C$311=$A91)),'Match Log'!$AB$4:$AB$311),"")</f>
        <v/>
      </c>
      <c r="O91" s="87" t="str">
        <f>IFERROR(LOOKUP(2,1/(('Match Log'!$D$4:$D$311=O$90)*('Match Log'!$C$4:$C$311=$A91)),'Match Log'!$AB$4:$AB$311),"")</f>
        <v/>
      </c>
      <c r="P91" s="84" t="str">
        <f t="shared" ref="P91:P109" si="23">IFERROR(INDEX($B$90:$O$90,MATCH(MAX($B91:$O91),$B91:$O91,0)),"—")</f>
        <v>Shawn</v>
      </c>
    </row>
    <row r="92" spans="1:19" ht="15" customHeight="1" x14ac:dyDescent="0.2">
      <c r="A92" s="81" t="s">
        <v>190</v>
      </c>
      <c r="B92" s="87" t="str">
        <f>IFERROR(LOOKUP(2,1/(('Match Log'!$D$4:$D$311=B$90)*('Match Log'!$C$4:$C$311=$A92)),'Match Log'!$AB$4:$AB$311),"")</f>
        <v/>
      </c>
      <c r="C92" s="87" t="str">
        <f>IFERROR(LOOKUP(2,1/(('Match Log'!$D$4:$D$311=C$90)*('Match Log'!$C$4:$C$311=$A92)),'Match Log'!$AB$4:$AB$311),"")</f>
        <v/>
      </c>
      <c r="D92" s="87" t="str">
        <f>IFERROR(LOOKUP(2,1/(('Match Log'!$D$4:$D$311=D$90)*('Match Log'!$C$4:$C$311=$A92)),'Match Log'!$AB$4:$AB$311),"")</f>
        <v/>
      </c>
      <c r="E92" s="87" t="str">
        <f>IFERROR(LOOKUP(2,1/(('Match Log'!$D$4:$D$311=E$90)*('Match Log'!$C$4:$C$311=$A92)),'Match Log'!$AB$4:$AB$311),"")</f>
        <v/>
      </c>
      <c r="F92" s="87" t="str">
        <f>IFERROR(LOOKUP(2,1/(('Match Log'!$D$4:$D$311=F$90)*('Match Log'!$C$4:$C$311=$A92)),'Match Log'!$AB$4:$AB$311),"")</f>
        <v/>
      </c>
      <c r="G92" s="87" t="str">
        <f>IFERROR(LOOKUP(2,1/(('Match Log'!$D$4:$D$311=G$90)*('Match Log'!$C$4:$C$311=$A92)),'Match Log'!$AB$4:$AB$311),"")</f>
        <v/>
      </c>
      <c r="H92" s="87" t="str">
        <f>IFERROR(LOOKUP(2,1/(('Match Log'!$D$4:$D$311=H$90)*('Match Log'!$C$4:$C$311=$A92)),'Match Log'!$AB$4:$AB$311),"")</f>
        <v/>
      </c>
      <c r="I92" s="87" t="str">
        <f>IFERROR(LOOKUP(2,1/(('Match Log'!$D$4:$D$311=I$90)*('Match Log'!$C$4:$C$311=$A92)),'Match Log'!$AB$4:$AB$311),"")</f>
        <v/>
      </c>
      <c r="J92" s="87" t="str">
        <f>IFERROR(LOOKUP(2,1/(('Match Log'!$D$4:$D$311=J$90)*('Match Log'!$C$4:$C$311=$A92)),'Match Log'!$AB$4:$AB$311),"")</f>
        <v/>
      </c>
      <c r="K92" s="87" t="str">
        <f>IFERROR(LOOKUP(2,1/(('Match Log'!$D$4:$D$311=K$90)*('Match Log'!$C$4:$C$311=$A92)),'Match Log'!$AB$4:$AB$311),"")</f>
        <v/>
      </c>
      <c r="L92" s="87" t="str">
        <f>IFERROR(LOOKUP(2,1/(('Match Log'!$D$4:$D$311=L$90)*('Match Log'!$C$4:$C$311=$A92)),'Match Log'!$AB$4:$AB$311),"")</f>
        <v/>
      </c>
      <c r="M92" s="87" t="str">
        <f>IFERROR(LOOKUP(2,1/(('Match Log'!$D$4:$D$311=M$90)*('Match Log'!$C$4:$C$311=$A92)),'Match Log'!$AB$4:$AB$311),"")</f>
        <v/>
      </c>
      <c r="N92" s="87" t="str">
        <f>IFERROR(LOOKUP(2,1/(('Match Log'!$D$4:$D$311=N$90)*('Match Log'!$C$4:$C$311=$A92)),'Match Log'!$AB$4:$AB$311),"")</f>
        <v/>
      </c>
      <c r="O92" s="87" t="str">
        <f>IFERROR(LOOKUP(2,1/(('Match Log'!$D$4:$D$311=O$90)*('Match Log'!$C$4:$C$311=$A92)),'Match Log'!$AB$4:$AB$311),"")</f>
        <v/>
      </c>
      <c r="P92" s="84" t="str">
        <f t="shared" si="23"/>
        <v>—</v>
      </c>
    </row>
    <row r="93" spans="1:19" ht="15" customHeight="1" x14ac:dyDescent="0.2">
      <c r="A93" s="81" t="s">
        <v>191</v>
      </c>
      <c r="B93" s="87">
        <f>IFERROR(LOOKUP(2,1/(('Match Log'!$D$4:$D$311=B$90)*('Match Log'!$C$4:$C$311=$A93)),'Match Log'!$AB$4:$AB$311),"")</f>
        <v>1050.9933109481403</v>
      </c>
      <c r="C93" s="87" t="str">
        <f>IFERROR(LOOKUP(2,1/(('Match Log'!$D$4:$D$311=C$90)*('Match Log'!$C$4:$C$311=$A93)),'Match Log'!$AB$4:$AB$311),"")</f>
        <v/>
      </c>
      <c r="D93" s="87">
        <f>IFERROR(LOOKUP(2,1/(('Match Log'!$D$4:$D$311=D$90)*('Match Log'!$C$4:$C$311=$A93)),'Match Log'!$AB$4:$AB$311),"")</f>
        <v>984.73630679352198</v>
      </c>
      <c r="E93" s="87" t="str">
        <f>IFERROR(LOOKUP(2,1/(('Match Log'!$D$4:$D$311=E$90)*('Match Log'!$C$4:$C$311=$A93)),'Match Log'!$AB$4:$AB$311),"")</f>
        <v/>
      </c>
      <c r="F93" s="87">
        <f>IFERROR(LOOKUP(2,1/(('Match Log'!$D$4:$D$311=F$90)*('Match Log'!$C$4:$C$311=$A93)),'Match Log'!$AB$4:$AB$311),"")</f>
        <v>984</v>
      </c>
      <c r="G93" s="87">
        <f>IFERROR(LOOKUP(2,1/(('Match Log'!$D$4:$D$311=G$90)*('Match Log'!$C$4:$C$311=$A93)),'Match Log'!$AB$4:$AB$311),"")</f>
        <v>980.03504858236033</v>
      </c>
      <c r="H93" s="87" t="str">
        <f>IFERROR(LOOKUP(2,1/(('Match Log'!$D$4:$D$311=H$90)*('Match Log'!$C$4:$C$311=$A93)),'Match Log'!$AB$4:$AB$311),"")</f>
        <v/>
      </c>
      <c r="I93" s="87">
        <f>IFERROR(LOOKUP(2,1/(('Match Log'!$D$4:$D$311=I$90)*('Match Log'!$C$4:$C$311=$A93)),'Match Log'!$AB$4:$AB$311),"")</f>
        <v>1000.2353336759772</v>
      </c>
      <c r="J93" s="87" t="str">
        <f>IFERROR(LOOKUP(2,1/(('Match Log'!$D$4:$D$311=J$90)*('Match Log'!$C$4:$C$311=$A93)),'Match Log'!$AB$4:$AB$311),"")</f>
        <v/>
      </c>
      <c r="K93" s="87" t="str">
        <f>IFERROR(LOOKUP(2,1/(('Match Log'!$D$4:$D$311=K$90)*('Match Log'!$C$4:$C$311=$A93)),'Match Log'!$AB$4:$AB$311),"")</f>
        <v/>
      </c>
      <c r="L93" s="87" t="str">
        <f>IFERROR(LOOKUP(2,1/(('Match Log'!$D$4:$D$311=L$90)*('Match Log'!$C$4:$C$311=$A93)),'Match Log'!$AB$4:$AB$311),"")</f>
        <v/>
      </c>
      <c r="M93" s="87" t="str">
        <f>IFERROR(LOOKUP(2,1/(('Match Log'!$D$4:$D$311=M$90)*('Match Log'!$C$4:$C$311=$A93)),'Match Log'!$AB$4:$AB$311),"")</f>
        <v/>
      </c>
      <c r="N93" s="87" t="str">
        <f>IFERROR(LOOKUP(2,1/(('Match Log'!$D$4:$D$311=N$90)*('Match Log'!$C$4:$C$311=$A93)),'Match Log'!$AB$4:$AB$311),"")</f>
        <v/>
      </c>
      <c r="O93" s="87" t="str">
        <f>IFERROR(LOOKUP(2,1/(('Match Log'!$D$4:$D$311=O$90)*('Match Log'!$C$4:$C$311=$A93)),'Match Log'!$AB$4:$AB$311),"")</f>
        <v/>
      </c>
      <c r="P93" s="84" t="str">
        <f t="shared" si="23"/>
        <v>Aaron</v>
      </c>
    </row>
    <row r="94" spans="1:19" ht="15" customHeight="1" x14ac:dyDescent="0.2">
      <c r="A94" s="81" t="s">
        <v>192</v>
      </c>
      <c r="B94" s="87" t="str">
        <f>IFERROR(LOOKUP(2,1/(('Match Log'!$D$4:$D$311=B$90)*('Match Log'!$C$4:$C$311=$A94)),'Match Log'!$AB$4:$AB$311),"")</f>
        <v/>
      </c>
      <c r="C94" s="87" t="str">
        <f>IFERROR(LOOKUP(2,1/(('Match Log'!$D$4:$D$311=C$90)*('Match Log'!$C$4:$C$311=$A94)),'Match Log'!$AB$4:$AB$311),"")</f>
        <v/>
      </c>
      <c r="D94" s="87" t="str">
        <f>IFERROR(LOOKUP(2,1/(('Match Log'!$D$4:$D$311=D$90)*('Match Log'!$C$4:$C$311=$A94)),'Match Log'!$AB$4:$AB$311),"")</f>
        <v/>
      </c>
      <c r="E94" s="87" t="str">
        <f>IFERROR(LOOKUP(2,1/(('Match Log'!$D$4:$D$311=E$90)*('Match Log'!$C$4:$C$311=$A94)),'Match Log'!$AB$4:$AB$311),"")</f>
        <v/>
      </c>
      <c r="F94" s="87" t="str">
        <f>IFERROR(LOOKUP(2,1/(('Match Log'!$D$4:$D$311=F$90)*('Match Log'!$C$4:$C$311=$A94)),'Match Log'!$AB$4:$AB$311),"")</f>
        <v/>
      </c>
      <c r="G94" s="87" t="str">
        <f>IFERROR(LOOKUP(2,1/(('Match Log'!$D$4:$D$311=G$90)*('Match Log'!$C$4:$C$311=$A94)),'Match Log'!$AB$4:$AB$311),"")</f>
        <v/>
      </c>
      <c r="H94" s="87" t="str">
        <f>IFERROR(LOOKUP(2,1/(('Match Log'!$D$4:$D$311=H$90)*('Match Log'!$C$4:$C$311=$A94)),'Match Log'!$AB$4:$AB$311),"")</f>
        <v/>
      </c>
      <c r="I94" s="87" t="str">
        <f>IFERROR(LOOKUP(2,1/(('Match Log'!$D$4:$D$311=I$90)*('Match Log'!$C$4:$C$311=$A94)),'Match Log'!$AB$4:$AB$311),"")</f>
        <v/>
      </c>
      <c r="J94" s="87" t="str">
        <f>IFERROR(LOOKUP(2,1/(('Match Log'!$D$4:$D$311=J$90)*('Match Log'!$C$4:$C$311=$A94)),'Match Log'!$AB$4:$AB$311),"")</f>
        <v/>
      </c>
      <c r="K94" s="87" t="str">
        <f>IFERROR(LOOKUP(2,1/(('Match Log'!$D$4:$D$311=K$90)*('Match Log'!$C$4:$C$311=$A94)),'Match Log'!$AB$4:$AB$311),"")</f>
        <v/>
      </c>
      <c r="L94" s="87" t="str">
        <f>IFERROR(LOOKUP(2,1/(('Match Log'!$D$4:$D$311=L$90)*('Match Log'!$C$4:$C$311=$A94)),'Match Log'!$AB$4:$AB$311),"")</f>
        <v/>
      </c>
      <c r="M94" s="87" t="str">
        <f>IFERROR(LOOKUP(2,1/(('Match Log'!$D$4:$D$311=M$90)*('Match Log'!$C$4:$C$311=$A94)),'Match Log'!$AB$4:$AB$311),"")</f>
        <v/>
      </c>
      <c r="N94" s="87" t="str">
        <f>IFERROR(LOOKUP(2,1/(('Match Log'!$D$4:$D$311=N$90)*('Match Log'!$C$4:$C$311=$A94)),'Match Log'!$AB$4:$AB$311),"")</f>
        <v/>
      </c>
      <c r="O94" s="87" t="str">
        <f>IFERROR(LOOKUP(2,1/(('Match Log'!$D$4:$D$311=O$90)*('Match Log'!$C$4:$C$311=$A94)),'Match Log'!$AB$4:$AB$311),"")</f>
        <v/>
      </c>
      <c r="P94" s="84" t="str">
        <f t="shared" si="23"/>
        <v>—</v>
      </c>
    </row>
    <row r="95" spans="1:19" ht="15" customHeight="1" x14ac:dyDescent="0.2">
      <c r="A95" s="81" t="s">
        <v>193</v>
      </c>
      <c r="B95" s="87" t="str">
        <f>IFERROR(LOOKUP(2,1/(('Match Log'!$D$4:$D$311=B$90)*('Match Log'!$C$4:$C$311=$A95)),'Match Log'!$AB$4:$AB$311),"")</f>
        <v/>
      </c>
      <c r="C95" s="87">
        <f>IFERROR(LOOKUP(2,1/(('Match Log'!$D$4:$D$311=C$90)*('Match Log'!$C$4:$C$311=$A95)),'Match Log'!$AB$4:$AB$311),"")</f>
        <v>983.42320102843655</v>
      </c>
      <c r="D95" s="87" t="str">
        <f>IFERROR(LOOKUP(2,1/(('Match Log'!$D$4:$D$311=D$90)*('Match Log'!$C$4:$C$311=$A95)),'Match Log'!$AB$4:$AB$311),"")</f>
        <v/>
      </c>
      <c r="E95" s="87" t="str">
        <f>IFERROR(LOOKUP(2,1/(('Match Log'!$D$4:$D$311=E$90)*('Match Log'!$C$4:$C$311=$A95)),'Match Log'!$AB$4:$AB$311),"")</f>
        <v/>
      </c>
      <c r="F95" s="87" t="str">
        <f>IFERROR(LOOKUP(2,1/(('Match Log'!$D$4:$D$311=F$90)*('Match Log'!$C$4:$C$311=$A95)),'Match Log'!$AB$4:$AB$311),"")</f>
        <v/>
      </c>
      <c r="G95" s="87" t="str">
        <f>IFERROR(LOOKUP(2,1/(('Match Log'!$D$4:$D$311=G$90)*('Match Log'!$C$4:$C$311=$A95)),'Match Log'!$AB$4:$AB$311),"")</f>
        <v/>
      </c>
      <c r="H95" s="87">
        <f>IFERROR(LOOKUP(2,1/(('Match Log'!$D$4:$D$311=H$90)*('Match Log'!$C$4:$C$311=$A95)),'Match Log'!$AB$4:$AB$311),"")</f>
        <v>1030.1044213761372</v>
      </c>
      <c r="I95" s="87">
        <f>IFERROR(LOOKUP(2,1/(('Match Log'!$D$4:$D$311=I$90)*('Match Log'!$C$4:$C$311=$A95)),'Match Log'!$AB$4:$AB$311),"")</f>
        <v>996.17609348029987</v>
      </c>
      <c r="J95" s="87">
        <f>IFERROR(LOOKUP(2,1/(('Match Log'!$D$4:$D$311=J$90)*('Match Log'!$C$4:$C$311=$A95)),'Match Log'!$AB$4:$AB$311),"")</f>
        <v>1001.4492063389166</v>
      </c>
      <c r="K95" s="87">
        <f>IFERROR(LOOKUP(2,1/(('Match Log'!$D$4:$D$311=K$90)*('Match Log'!$C$4:$C$311=$A95)),'Match Log'!$AB$4:$AB$311),"")</f>
        <v>984.80073939960539</v>
      </c>
      <c r="L95" s="87">
        <f>IFERROR(LOOKUP(2,1/(('Match Log'!$D$4:$D$311=L$90)*('Match Log'!$C$4:$C$311=$A95)),'Match Log'!$AB$4:$AB$311),"")</f>
        <v>1004.0463383766044</v>
      </c>
      <c r="M95" s="87" t="str">
        <f>IFERROR(LOOKUP(2,1/(('Match Log'!$D$4:$D$311=M$90)*('Match Log'!$C$4:$C$311=$A95)),'Match Log'!$AB$4:$AB$311),"")</f>
        <v/>
      </c>
      <c r="N95" s="87" t="str">
        <f>IFERROR(LOOKUP(2,1/(('Match Log'!$D$4:$D$311=N$90)*('Match Log'!$C$4:$C$311=$A95)),'Match Log'!$AB$4:$AB$311),"")</f>
        <v/>
      </c>
      <c r="O95" s="87" t="str">
        <f>IFERROR(LOOKUP(2,1/(('Match Log'!$D$4:$D$311=O$90)*('Match Log'!$C$4:$C$311=$A95)),'Match Log'!$AB$4:$AB$311),"")</f>
        <v/>
      </c>
      <c r="P95" s="84" t="str">
        <f t="shared" si="23"/>
        <v>Simon</v>
      </c>
    </row>
    <row r="96" spans="1:19" ht="15" customHeight="1" x14ac:dyDescent="0.2">
      <c r="A96" s="81" t="s">
        <v>194</v>
      </c>
      <c r="B96" s="87">
        <f>IFERROR(LOOKUP(2,1/(('Match Log'!$D$4:$D$311=B$90)*('Match Log'!$C$4:$C$311=$A96)),'Match Log'!$AB$4:$AB$311),"")</f>
        <v>1016</v>
      </c>
      <c r="C96" s="87" t="str">
        <f>IFERROR(LOOKUP(2,1/(('Match Log'!$D$4:$D$311=C$90)*('Match Log'!$C$4:$C$311=$A96)),'Match Log'!$AB$4:$AB$311),"")</f>
        <v/>
      </c>
      <c r="D96" s="87">
        <f>IFERROR(LOOKUP(2,1/(('Match Log'!$D$4:$D$311=D$90)*('Match Log'!$C$4:$C$311=$A96)),'Match Log'!$AB$4:$AB$311),"")</f>
        <v>997.71428571428567</v>
      </c>
      <c r="E96" s="87">
        <f>IFERROR(LOOKUP(2,1/(('Match Log'!$D$4:$D$311=E$90)*('Match Log'!$C$4:$C$311=$A96)),'Match Log'!$AB$4:$AB$311),"")</f>
        <v>997.71428571428567</v>
      </c>
      <c r="F96" s="87">
        <f>IFERROR(LOOKUP(2,1/(('Match Log'!$D$4:$D$311=F$90)*('Match Log'!$C$4:$C$311=$A96)),'Match Log'!$AB$4:$AB$311),"")</f>
        <v>997.71428571428567</v>
      </c>
      <c r="G96" s="87">
        <f>IFERROR(LOOKUP(2,1/(('Match Log'!$D$4:$D$311=G$90)*('Match Log'!$C$4:$C$311=$A96)),'Match Log'!$AB$4:$AB$311),"")</f>
        <v>997.71428571428567</v>
      </c>
      <c r="H96" s="87">
        <f>IFERROR(LOOKUP(2,1/(('Match Log'!$D$4:$D$311=H$90)*('Match Log'!$C$4:$C$311=$A96)),'Match Log'!$AB$4:$AB$311),"")</f>
        <v>997.71428571428567</v>
      </c>
      <c r="I96" s="87">
        <f>IFERROR(LOOKUP(2,1/(('Match Log'!$D$4:$D$311=I$90)*('Match Log'!$C$4:$C$311=$A96)),'Match Log'!$AB$4:$AB$311),"")</f>
        <v>997.71428571428567</v>
      </c>
      <c r="J96" s="87" t="str">
        <f>IFERROR(LOOKUP(2,1/(('Match Log'!$D$4:$D$311=J$90)*('Match Log'!$C$4:$C$311=$A96)),'Match Log'!$AB$4:$AB$311),"")</f>
        <v/>
      </c>
      <c r="K96" s="87" t="str">
        <f>IFERROR(LOOKUP(2,1/(('Match Log'!$D$4:$D$311=K$90)*('Match Log'!$C$4:$C$311=$A96)),'Match Log'!$AB$4:$AB$311),"")</f>
        <v/>
      </c>
      <c r="L96" s="87">
        <f>IFERROR(LOOKUP(2,1/(('Match Log'!$D$4:$D$311=L$90)*('Match Log'!$C$4:$C$311=$A96)),'Match Log'!$AB$4:$AB$311),"")</f>
        <v>997.71428571428567</v>
      </c>
      <c r="M96" s="87" t="str">
        <f>IFERROR(LOOKUP(2,1/(('Match Log'!$D$4:$D$311=M$90)*('Match Log'!$C$4:$C$311=$A96)),'Match Log'!$AB$4:$AB$311),"")</f>
        <v/>
      </c>
      <c r="N96" s="87" t="str">
        <f>IFERROR(LOOKUP(2,1/(('Match Log'!$D$4:$D$311=N$90)*('Match Log'!$C$4:$C$311=$A96)),'Match Log'!$AB$4:$AB$311),"")</f>
        <v/>
      </c>
      <c r="O96" s="87" t="str">
        <f>IFERROR(LOOKUP(2,1/(('Match Log'!$D$4:$D$311=O$90)*('Match Log'!$C$4:$C$311=$A96)),'Match Log'!$AB$4:$AB$311),"")</f>
        <v/>
      </c>
      <c r="P96" s="84" t="str">
        <f t="shared" si="23"/>
        <v>Aaron</v>
      </c>
    </row>
    <row r="97" spans="1:16" ht="15" customHeight="1" x14ac:dyDescent="0.2">
      <c r="A97" s="81" t="s">
        <v>196</v>
      </c>
      <c r="B97" s="87" t="str">
        <f>IFERROR(LOOKUP(2,1/(('Match Log'!$D$4:$D$311=B$90)*('Match Log'!$C$4:$C$311=$A97)),'Match Log'!$AB$4:$AB$311),"")</f>
        <v/>
      </c>
      <c r="C97" s="87" t="str">
        <f>IFERROR(LOOKUP(2,1/(('Match Log'!$D$4:$D$311=C$90)*('Match Log'!$C$4:$C$311=$A97)),'Match Log'!$AB$4:$AB$311),"")</f>
        <v/>
      </c>
      <c r="D97" s="87" t="str">
        <f>IFERROR(LOOKUP(2,1/(('Match Log'!$D$4:$D$311=D$90)*('Match Log'!$C$4:$C$311=$A97)),'Match Log'!$AB$4:$AB$311),"")</f>
        <v/>
      </c>
      <c r="E97" s="87" t="str">
        <f>IFERROR(LOOKUP(2,1/(('Match Log'!$D$4:$D$311=E$90)*('Match Log'!$C$4:$C$311=$A97)),'Match Log'!$AB$4:$AB$311),"")</f>
        <v/>
      </c>
      <c r="F97" s="87" t="str">
        <f>IFERROR(LOOKUP(2,1/(('Match Log'!$D$4:$D$311=F$90)*('Match Log'!$C$4:$C$311=$A97)),'Match Log'!$AB$4:$AB$311),"")</f>
        <v/>
      </c>
      <c r="G97" s="87" t="str">
        <f>IFERROR(LOOKUP(2,1/(('Match Log'!$D$4:$D$311=G$90)*('Match Log'!$C$4:$C$311=$A97)),'Match Log'!$AB$4:$AB$311),"")</f>
        <v/>
      </c>
      <c r="H97" s="87" t="str">
        <f>IFERROR(LOOKUP(2,1/(('Match Log'!$D$4:$D$311=H$90)*('Match Log'!$C$4:$C$311=$A97)),'Match Log'!$AB$4:$AB$311),"")</f>
        <v/>
      </c>
      <c r="I97" s="87" t="str">
        <f>IFERROR(LOOKUP(2,1/(('Match Log'!$D$4:$D$311=I$90)*('Match Log'!$C$4:$C$311=$A97)),'Match Log'!$AB$4:$AB$311),"")</f>
        <v/>
      </c>
      <c r="J97" s="87" t="str">
        <f>IFERROR(LOOKUP(2,1/(('Match Log'!$D$4:$D$311=J$90)*('Match Log'!$C$4:$C$311=$A97)),'Match Log'!$AB$4:$AB$311),"")</f>
        <v/>
      </c>
      <c r="K97" s="87" t="str">
        <f>IFERROR(LOOKUP(2,1/(('Match Log'!$D$4:$D$311=K$90)*('Match Log'!$C$4:$C$311=$A97)),'Match Log'!$AB$4:$AB$311),"")</f>
        <v/>
      </c>
      <c r="L97" s="87" t="str">
        <f>IFERROR(LOOKUP(2,1/(('Match Log'!$D$4:$D$311=L$90)*('Match Log'!$C$4:$C$311=$A97)),'Match Log'!$AB$4:$AB$311),"")</f>
        <v/>
      </c>
      <c r="M97" s="87" t="str">
        <f>IFERROR(LOOKUP(2,1/(('Match Log'!$D$4:$D$311=M$90)*('Match Log'!$C$4:$C$311=$A97)),'Match Log'!$AB$4:$AB$311),"")</f>
        <v/>
      </c>
      <c r="N97" s="87" t="str">
        <f>IFERROR(LOOKUP(2,1/(('Match Log'!$D$4:$D$311=N$90)*('Match Log'!$C$4:$C$311=$A97)),'Match Log'!$AB$4:$AB$311),"")</f>
        <v/>
      </c>
      <c r="O97" s="87" t="str">
        <f>IFERROR(LOOKUP(2,1/(('Match Log'!$D$4:$D$311=O$90)*('Match Log'!$C$4:$C$311=$A97)),'Match Log'!$AB$4:$AB$311),"")</f>
        <v/>
      </c>
      <c r="P97" s="84" t="str">
        <f t="shared" si="23"/>
        <v>—</v>
      </c>
    </row>
    <row r="98" spans="1:16" ht="15" customHeight="1" x14ac:dyDescent="0.2">
      <c r="A98" s="81" t="s">
        <v>198</v>
      </c>
      <c r="B98" s="87" t="str">
        <f>IFERROR(LOOKUP(2,1/(('Match Log'!$D$4:$D$311=B$90)*('Match Log'!$C$4:$C$311=$A98)),'Match Log'!$AB$4:$AB$311),"")</f>
        <v/>
      </c>
      <c r="C98" s="87" t="str">
        <f>IFERROR(LOOKUP(2,1/(('Match Log'!$D$4:$D$311=C$90)*('Match Log'!$C$4:$C$311=$A98)),'Match Log'!$AB$4:$AB$311),"")</f>
        <v/>
      </c>
      <c r="D98" s="87" t="str">
        <f>IFERROR(LOOKUP(2,1/(('Match Log'!$D$4:$D$311=D$90)*('Match Log'!$C$4:$C$311=$A98)),'Match Log'!$AB$4:$AB$311),"")</f>
        <v/>
      </c>
      <c r="E98" s="87" t="str">
        <f>IFERROR(LOOKUP(2,1/(('Match Log'!$D$4:$D$311=E$90)*('Match Log'!$C$4:$C$311=$A98)),'Match Log'!$AB$4:$AB$311),"")</f>
        <v/>
      </c>
      <c r="F98" s="87" t="str">
        <f>IFERROR(LOOKUP(2,1/(('Match Log'!$D$4:$D$311=F$90)*('Match Log'!$C$4:$C$311=$A98)),'Match Log'!$AB$4:$AB$311),"")</f>
        <v/>
      </c>
      <c r="G98" s="87" t="str">
        <f>IFERROR(LOOKUP(2,1/(('Match Log'!$D$4:$D$311=G$90)*('Match Log'!$C$4:$C$311=$A98)),'Match Log'!$AB$4:$AB$311),"")</f>
        <v/>
      </c>
      <c r="H98" s="87" t="str">
        <f>IFERROR(LOOKUP(2,1/(('Match Log'!$D$4:$D$311=H$90)*('Match Log'!$C$4:$C$311=$A98)),'Match Log'!$AB$4:$AB$311),"")</f>
        <v/>
      </c>
      <c r="I98" s="87" t="str">
        <f>IFERROR(LOOKUP(2,1/(('Match Log'!$D$4:$D$311=I$90)*('Match Log'!$C$4:$C$311=$A98)),'Match Log'!$AB$4:$AB$311),"")</f>
        <v/>
      </c>
      <c r="J98" s="87" t="str">
        <f>IFERROR(LOOKUP(2,1/(('Match Log'!$D$4:$D$311=J$90)*('Match Log'!$C$4:$C$311=$A98)),'Match Log'!$AB$4:$AB$311),"")</f>
        <v/>
      </c>
      <c r="K98" s="87" t="str">
        <f>IFERROR(LOOKUP(2,1/(('Match Log'!$D$4:$D$311=K$90)*('Match Log'!$C$4:$C$311=$A98)),'Match Log'!$AB$4:$AB$311),"")</f>
        <v/>
      </c>
      <c r="L98" s="87" t="str">
        <f>IFERROR(LOOKUP(2,1/(('Match Log'!$D$4:$D$311=L$90)*('Match Log'!$C$4:$C$311=$A98)),'Match Log'!$AB$4:$AB$311),"")</f>
        <v/>
      </c>
      <c r="M98" s="87" t="str">
        <f>IFERROR(LOOKUP(2,1/(('Match Log'!$D$4:$D$311=M$90)*('Match Log'!$C$4:$C$311=$A98)),'Match Log'!$AB$4:$AB$311),"")</f>
        <v/>
      </c>
      <c r="N98" s="87" t="str">
        <f>IFERROR(LOOKUP(2,1/(('Match Log'!$D$4:$D$311=N$90)*('Match Log'!$C$4:$C$311=$A98)),'Match Log'!$AB$4:$AB$311),"")</f>
        <v/>
      </c>
      <c r="O98" s="87" t="str">
        <f>IFERROR(LOOKUP(2,1/(('Match Log'!$D$4:$D$311=O$90)*('Match Log'!$C$4:$C$311=$A98)),'Match Log'!$AB$4:$AB$311),"")</f>
        <v/>
      </c>
      <c r="P98" s="84" t="str">
        <f t="shared" si="23"/>
        <v>—</v>
      </c>
    </row>
    <row r="99" spans="1:16" ht="15" customHeight="1" x14ac:dyDescent="0.2">
      <c r="A99" s="81" t="s">
        <v>200</v>
      </c>
      <c r="B99" s="87" t="str">
        <f>IFERROR(LOOKUP(2,1/(('Match Log'!$D$4:$D$311=B$90)*('Match Log'!$C$4:$C$311=$A99)),'Match Log'!$AB$4:$AB$311),"")</f>
        <v/>
      </c>
      <c r="C99" s="87" t="str">
        <f>IFERROR(LOOKUP(2,1/(('Match Log'!$D$4:$D$311=C$90)*('Match Log'!$C$4:$C$311=$A99)),'Match Log'!$AB$4:$AB$311),"")</f>
        <v/>
      </c>
      <c r="D99" s="87" t="str">
        <f>IFERROR(LOOKUP(2,1/(('Match Log'!$D$4:$D$311=D$90)*('Match Log'!$C$4:$C$311=$A99)),'Match Log'!$AB$4:$AB$311),"")</f>
        <v/>
      </c>
      <c r="E99" s="87" t="str">
        <f>IFERROR(LOOKUP(2,1/(('Match Log'!$D$4:$D$311=E$90)*('Match Log'!$C$4:$C$311=$A99)),'Match Log'!$AB$4:$AB$311),"")</f>
        <v/>
      </c>
      <c r="F99" s="87">
        <f>IFERROR(LOOKUP(2,1/(('Match Log'!$D$4:$D$311=F$90)*('Match Log'!$C$4:$C$311=$A99)),'Match Log'!$AB$4:$AB$311),"")</f>
        <v>1016</v>
      </c>
      <c r="G99" s="87">
        <f>IFERROR(LOOKUP(2,1/(('Match Log'!$D$4:$D$311=G$90)*('Match Log'!$C$4:$C$311=$A99)),'Match Log'!$AB$4:$AB$311),"")</f>
        <v>992</v>
      </c>
      <c r="H99" s="87" t="str">
        <f>IFERROR(LOOKUP(2,1/(('Match Log'!$D$4:$D$311=H$90)*('Match Log'!$C$4:$C$311=$A99)),'Match Log'!$AB$4:$AB$311),"")</f>
        <v/>
      </c>
      <c r="I99" s="87" t="str">
        <f>IFERROR(LOOKUP(2,1/(('Match Log'!$D$4:$D$311=I$90)*('Match Log'!$C$4:$C$311=$A99)),'Match Log'!$AB$4:$AB$311),"")</f>
        <v/>
      </c>
      <c r="J99" s="87" t="str">
        <f>IFERROR(LOOKUP(2,1/(('Match Log'!$D$4:$D$311=J$90)*('Match Log'!$C$4:$C$311=$A99)),'Match Log'!$AB$4:$AB$311),"")</f>
        <v/>
      </c>
      <c r="K99" s="87" t="str">
        <f>IFERROR(LOOKUP(2,1/(('Match Log'!$D$4:$D$311=K$90)*('Match Log'!$C$4:$C$311=$A99)),'Match Log'!$AB$4:$AB$311),"")</f>
        <v/>
      </c>
      <c r="L99" s="87">
        <f>IFERROR(LOOKUP(2,1/(('Match Log'!$D$4:$D$311=L$90)*('Match Log'!$C$4:$C$311=$A99)),'Match Log'!$AB$4:$AB$311),"")</f>
        <v>992</v>
      </c>
      <c r="M99" s="87" t="str">
        <f>IFERROR(LOOKUP(2,1/(('Match Log'!$D$4:$D$311=M$90)*('Match Log'!$C$4:$C$311=$A99)),'Match Log'!$AB$4:$AB$311),"")</f>
        <v/>
      </c>
      <c r="N99" s="87" t="str">
        <f>IFERROR(LOOKUP(2,1/(('Match Log'!$D$4:$D$311=N$90)*('Match Log'!$C$4:$C$311=$A99)),'Match Log'!$AB$4:$AB$311),"")</f>
        <v/>
      </c>
      <c r="O99" s="87" t="str">
        <f>IFERROR(LOOKUP(2,1/(('Match Log'!$D$4:$D$311=O$90)*('Match Log'!$C$4:$C$311=$A99)),'Match Log'!$AB$4:$AB$311),"")</f>
        <v/>
      </c>
      <c r="P99" s="84" t="str">
        <f t="shared" si="23"/>
        <v>Josh</v>
      </c>
    </row>
    <row r="100" spans="1:16" ht="15" customHeight="1" x14ac:dyDescent="0.2">
      <c r="A100" s="81" t="s">
        <v>201</v>
      </c>
      <c r="B100" s="87" t="str">
        <f>IFERROR(LOOKUP(2,1/(('Match Log'!$D$4:$D$311=B$90)*('Match Log'!$C$4:$C$311=$A100)),'Match Log'!$AB$4:$AB$311),"")</f>
        <v/>
      </c>
      <c r="C100" s="87" t="str">
        <f>IFERROR(LOOKUP(2,1/(('Match Log'!$D$4:$D$311=C$90)*('Match Log'!$C$4:$C$311=$A100)),'Match Log'!$AB$4:$AB$311),"")</f>
        <v/>
      </c>
      <c r="D100" s="87" t="str">
        <f>IFERROR(LOOKUP(2,1/(('Match Log'!$D$4:$D$311=D$90)*('Match Log'!$C$4:$C$311=$A100)),'Match Log'!$AB$4:$AB$311),"")</f>
        <v/>
      </c>
      <c r="E100" s="87" t="str">
        <f>IFERROR(LOOKUP(2,1/(('Match Log'!$D$4:$D$311=E$90)*('Match Log'!$C$4:$C$311=$A100)),'Match Log'!$AB$4:$AB$311),"")</f>
        <v/>
      </c>
      <c r="F100" s="87" t="str">
        <f>IFERROR(LOOKUP(2,1/(('Match Log'!$D$4:$D$311=F$90)*('Match Log'!$C$4:$C$311=$A100)),'Match Log'!$AB$4:$AB$311),"")</f>
        <v/>
      </c>
      <c r="G100" s="87" t="str">
        <f>IFERROR(LOOKUP(2,1/(('Match Log'!$D$4:$D$311=G$90)*('Match Log'!$C$4:$C$311=$A100)),'Match Log'!$AB$4:$AB$311),"")</f>
        <v/>
      </c>
      <c r="H100" s="87" t="str">
        <f>IFERROR(LOOKUP(2,1/(('Match Log'!$D$4:$D$311=H$90)*('Match Log'!$C$4:$C$311=$A100)),'Match Log'!$AB$4:$AB$311),"")</f>
        <v/>
      </c>
      <c r="I100" s="87" t="str">
        <f>IFERROR(LOOKUP(2,1/(('Match Log'!$D$4:$D$311=I$90)*('Match Log'!$C$4:$C$311=$A100)),'Match Log'!$AB$4:$AB$311),"")</f>
        <v/>
      </c>
      <c r="J100" s="87" t="str">
        <f>IFERROR(LOOKUP(2,1/(('Match Log'!$D$4:$D$311=J$90)*('Match Log'!$C$4:$C$311=$A100)),'Match Log'!$AB$4:$AB$311),"")</f>
        <v/>
      </c>
      <c r="K100" s="87" t="str">
        <f>IFERROR(LOOKUP(2,1/(('Match Log'!$D$4:$D$311=K$90)*('Match Log'!$C$4:$C$311=$A100)),'Match Log'!$AB$4:$AB$311),"")</f>
        <v/>
      </c>
      <c r="L100" s="87" t="str">
        <f>IFERROR(LOOKUP(2,1/(('Match Log'!$D$4:$D$311=L$90)*('Match Log'!$C$4:$C$311=$A100)),'Match Log'!$AB$4:$AB$311),"")</f>
        <v/>
      </c>
      <c r="M100" s="87" t="str">
        <f>IFERROR(LOOKUP(2,1/(('Match Log'!$D$4:$D$311=M$90)*('Match Log'!$C$4:$C$311=$A100)),'Match Log'!$AB$4:$AB$311),"")</f>
        <v/>
      </c>
      <c r="N100" s="87" t="str">
        <f>IFERROR(LOOKUP(2,1/(('Match Log'!$D$4:$D$311=N$90)*('Match Log'!$C$4:$C$311=$A100)),'Match Log'!$AB$4:$AB$311),"")</f>
        <v/>
      </c>
      <c r="O100" s="87" t="str">
        <f>IFERROR(LOOKUP(2,1/(('Match Log'!$D$4:$D$311=O$90)*('Match Log'!$C$4:$C$311=$A100)),'Match Log'!$AB$4:$AB$311),"")</f>
        <v/>
      </c>
      <c r="P100" s="84" t="str">
        <f t="shared" si="23"/>
        <v>—</v>
      </c>
    </row>
    <row r="101" spans="1:16" ht="15" customHeight="1" x14ac:dyDescent="0.2">
      <c r="A101" s="81" t="s">
        <v>202</v>
      </c>
      <c r="B101" s="87" t="str">
        <f>IFERROR(LOOKUP(2,1/(('Match Log'!$D$4:$D$311=B$90)*('Match Log'!$C$4:$C$311=$A101)),'Match Log'!$AB$4:$AB$311),"")</f>
        <v/>
      </c>
      <c r="C101" s="87" t="str">
        <f>IFERROR(LOOKUP(2,1/(('Match Log'!$D$4:$D$311=C$90)*('Match Log'!$C$4:$C$311=$A101)),'Match Log'!$AB$4:$AB$311),"")</f>
        <v/>
      </c>
      <c r="D101" s="87" t="str">
        <f>IFERROR(LOOKUP(2,1/(('Match Log'!$D$4:$D$311=D$90)*('Match Log'!$C$4:$C$311=$A101)),'Match Log'!$AB$4:$AB$311),"")</f>
        <v/>
      </c>
      <c r="E101" s="87" t="str">
        <f>IFERROR(LOOKUP(2,1/(('Match Log'!$D$4:$D$311=E$90)*('Match Log'!$C$4:$C$311=$A101)),'Match Log'!$AB$4:$AB$311),"")</f>
        <v/>
      </c>
      <c r="F101" s="87" t="str">
        <f>IFERROR(LOOKUP(2,1/(('Match Log'!$D$4:$D$311=F$90)*('Match Log'!$C$4:$C$311=$A101)),'Match Log'!$AB$4:$AB$311),"")</f>
        <v/>
      </c>
      <c r="G101" s="87" t="str">
        <f>IFERROR(LOOKUP(2,1/(('Match Log'!$D$4:$D$311=G$90)*('Match Log'!$C$4:$C$311=$A101)),'Match Log'!$AB$4:$AB$311),"")</f>
        <v/>
      </c>
      <c r="H101" s="87" t="str">
        <f>IFERROR(LOOKUP(2,1/(('Match Log'!$D$4:$D$311=H$90)*('Match Log'!$C$4:$C$311=$A101)),'Match Log'!$AB$4:$AB$311),"")</f>
        <v/>
      </c>
      <c r="I101" s="87" t="str">
        <f>IFERROR(LOOKUP(2,1/(('Match Log'!$D$4:$D$311=I$90)*('Match Log'!$C$4:$C$311=$A101)),'Match Log'!$AB$4:$AB$311),"")</f>
        <v/>
      </c>
      <c r="J101" s="87" t="str">
        <f>IFERROR(LOOKUP(2,1/(('Match Log'!$D$4:$D$311=J$90)*('Match Log'!$C$4:$C$311=$A101)),'Match Log'!$AB$4:$AB$311),"")</f>
        <v/>
      </c>
      <c r="K101" s="87" t="str">
        <f>IFERROR(LOOKUP(2,1/(('Match Log'!$D$4:$D$311=K$90)*('Match Log'!$C$4:$C$311=$A101)),'Match Log'!$AB$4:$AB$311),"")</f>
        <v/>
      </c>
      <c r="L101" s="87" t="str">
        <f>IFERROR(LOOKUP(2,1/(('Match Log'!$D$4:$D$311=L$90)*('Match Log'!$C$4:$C$311=$A101)),'Match Log'!$AB$4:$AB$311),"")</f>
        <v/>
      </c>
      <c r="M101" s="87" t="str">
        <f>IFERROR(LOOKUP(2,1/(('Match Log'!$D$4:$D$311=M$90)*('Match Log'!$C$4:$C$311=$A101)),'Match Log'!$AB$4:$AB$311),"")</f>
        <v/>
      </c>
      <c r="N101" s="87" t="str">
        <f>IFERROR(LOOKUP(2,1/(('Match Log'!$D$4:$D$311=N$90)*('Match Log'!$C$4:$C$311=$A101)),'Match Log'!$AB$4:$AB$311),"")</f>
        <v/>
      </c>
      <c r="O101" s="87" t="str">
        <f>IFERROR(LOOKUP(2,1/(('Match Log'!$D$4:$D$311=O$90)*('Match Log'!$C$4:$C$311=$A101)),'Match Log'!$AB$4:$AB$311),"")</f>
        <v/>
      </c>
      <c r="P101" s="84" t="str">
        <f t="shared" si="23"/>
        <v>—</v>
      </c>
    </row>
    <row r="102" spans="1:16" ht="15" customHeight="1" x14ac:dyDescent="0.2">
      <c r="A102" s="81" t="s">
        <v>203</v>
      </c>
      <c r="B102" s="87">
        <f>IFERROR(LOOKUP(2,1/(('Match Log'!$D$4:$D$311=B$90)*('Match Log'!$C$4:$C$311=$A102)),'Match Log'!$AB$4:$AB$311),"")</f>
        <v>998.78601149183976</v>
      </c>
      <c r="C102" s="87">
        <f>IFERROR(LOOKUP(2,1/(('Match Log'!$D$4:$D$311=C$90)*('Match Log'!$C$4:$C$311=$A102)),'Match Log'!$AB$4:$AB$311),"")</f>
        <v>984.84959931593869</v>
      </c>
      <c r="D102" s="87" t="str">
        <f>IFERROR(LOOKUP(2,1/(('Match Log'!$D$4:$D$311=D$90)*('Match Log'!$C$4:$C$311=$A102)),'Match Log'!$AB$4:$AB$311),"")</f>
        <v/>
      </c>
      <c r="E102" s="87">
        <f>IFERROR(LOOKUP(2,1/(('Match Log'!$D$4:$D$311=E$90)*('Match Log'!$C$4:$C$311=$A102)),'Match Log'!$AB$4:$AB$311),"")</f>
        <v>949.22600883289385</v>
      </c>
      <c r="F102" s="87">
        <f>IFERROR(LOOKUP(2,1/(('Match Log'!$D$4:$D$311=F$90)*('Match Log'!$C$4:$C$311=$A102)),'Match Log'!$AB$4:$AB$311),"")</f>
        <v>1109.0218511200758</v>
      </c>
      <c r="G102" s="87">
        <f>IFERROR(LOOKUP(2,1/(('Match Log'!$D$4:$D$311=G$90)*('Match Log'!$C$4:$C$311=$A102)),'Match Log'!$AB$4:$AB$311),"")</f>
        <v>1073.39235221687</v>
      </c>
      <c r="H102" s="87">
        <f>IFERROR(LOOKUP(2,1/(('Match Log'!$D$4:$D$311=H$90)*('Match Log'!$C$4:$C$311=$A102)),'Match Log'!$AB$4:$AB$311),"")</f>
        <v>952.64656852410087</v>
      </c>
      <c r="I102" s="87">
        <f>IFERROR(LOOKUP(2,1/(('Match Log'!$D$4:$D$311=I$90)*('Match Log'!$C$4:$C$311=$A102)),'Match Log'!$AB$4:$AB$311),"")</f>
        <v>941.80241083787075</v>
      </c>
      <c r="J102" s="87">
        <f>IFERROR(LOOKUP(2,1/(('Match Log'!$D$4:$D$311=J$90)*('Match Log'!$C$4:$C$311=$A102)),'Match Log'!$AB$4:$AB$311),"")</f>
        <v>1055.7052432790952</v>
      </c>
      <c r="K102" s="87">
        <f>IFERROR(LOOKUP(2,1/(('Match Log'!$D$4:$D$311=K$90)*('Match Log'!$C$4:$C$311=$A102)),'Match Log'!$AB$4:$AB$311),"")</f>
        <v>930.59858869041068</v>
      </c>
      <c r="L102" s="87">
        <f>IFERROR(LOOKUP(2,1/(('Match Log'!$D$4:$D$311=L$90)*('Match Log'!$C$4:$C$311=$A102)),'Match Log'!$AB$4:$AB$311),"")</f>
        <v>1003.9713656909046</v>
      </c>
      <c r="M102" s="87" t="str">
        <f>IFERROR(LOOKUP(2,1/(('Match Log'!$D$4:$D$311=M$90)*('Match Log'!$C$4:$C$311=$A102)),'Match Log'!$AB$4:$AB$311),"")</f>
        <v/>
      </c>
      <c r="N102" s="87" t="str">
        <f>IFERROR(LOOKUP(2,1/(('Match Log'!$D$4:$D$311=N$90)*('Match Log'!$C$4:$C$311=$A102)),'Match Log'!$AB$4:$AB$311),"")</f>
        <v/>
      </c>
      <c r="O102" s="87" t="str">
        <f>IFERROR(LOOKUP(2,1/(('Match Log'!$D$4:$D$311=O$90)*('Match Log'!$C$4:$C$311=$A102)),'Match Log'!$AB$4:$AB$311),"")</f>
        <v/>
      </c>
      <c r="P102" s="84" t="str">
        <f t="shared" si="23"/>
        <v>Josh</v>
      </c>
    </row>
    <row r="103" spans="1:16" ht="15" customHeight="1" x14ac:dyDescent="0.2">
      <c r="A103" s="81" t="s">
        <v>205</v>
      </c>
      <c r="B103" s="87">
        <f>IFERROR(LOOKUP(2,1/(('Match Log'!$D$4:$D$311=B$90)*('Match Log'!$C$4:$C$311=$A103)),'Match Log'!$AB$4:$AB$311),"")</f>
        <v>1000.1160292001913</v>
      </c>
      <c r="C103" s="87" t="str">
        <f>IFERROR(LOOKUP(2,1/(('Match Log'!$D$4:$D$311=C$90)*('Match Log'!$C$4:$C$311=$A103)),'Match Log'!$AB$4:$AB$311),"")</f>
        <v/>
      </c>
      <c r="D103" s="87" t="str">
        <f>IFERROR(LOOKUP(2,1/(('Match Log'!$D$4:$D$311=D$90)*('Match Log'!$C$4:$C$311=$A103)),'Match Log'!$AB$4:$AB$311),"")</f>
        <v/>
      </c>
      <c r="E103" s="87" t="str">
        <f>IFERROR(LOOKUP(2,1/(('Match Log'!$D$4:$D$311=E$90)*('Match Log'!$C$4:$C$311=$A103)),'Match Log'!$AB$4:$AB$311),"")</f>
        <v/>
      </c>
      <c r="F103" s="87">
        <f>IFERROR(LOOKUP(2,1/(('Match Log'!$D$4:$D$311=F$90)*('Match Log'!$C$4:$C$311=$A103)),'Match Log'!$AB$4:$AB$311),"")</f>
        <v>985.41909823644232</v>
      </c>
      <c r="G103" s="87">
        <f>IFERROR(LOOKUP(2,1/(('Match Log'!$D$4:$D$311=G$90)*('Match Log'!$C$4:$C$311=$A103)),'Match Log'!$AB$4:$AB$311),"")</f>
        <v>968.44105725737359</v>
      </c>
      <c r="H103" s="87" t="str">
        <f>IFERROR(LOOKUP(2,1/(('Match Log'!$D$4:$D$311=H$90)*('Match Log'!$C$4:$C$311=$A103)),'Match Log'!$AB$4:$AB$311),"")</f>
        <v/>
      </c>
      <c r="I103" s="87">
        <f>IFERROR(LOOKUP(2,1/(('Match Log'!$D$4:$D$311=I$90)*('Match Log'!$C$4:$C$311=$A103)),'Match Log'!$AB$4:$AB$311),"")</f>
        <v>1045.4774155322991</v>
      </c>
      <c r="J103" s="87" t="str">
        <f>IFERROR(LOOKUP(2,1/(('Match Log'!$D$4:$D$311=J$90)*('Match Log'!$C$4:$C$311=$A103)),'Match Log'!$AB$4:$AB$311),"")</f>
        <v/>
      </c>
      <c r="K103" s="87" t="str">
        <f>IFERROR(LOOKUP(2,1/(('Match Log'!$D$4:$D$311=K$90)*('Match Log'!$C$4:$C$311=$A103)),'Match Log'!$AB$4:$AB$311),"")</f>
        <v/>
      </c>
      <c r="L103" s="87">
        <f>IFERROR(LOOKUP(2,1/(('Match Log'!$D$4:$D$311=L$90)*('Match Log'!$C$4:$C$311=$A103)),'Match Log'!$AB$4:$AB$311),"")</f>
        <v>1000.5463997736937</v>
      </c>
      <c r="M103" s="87" t="str">
        <f>IFERROR(LOOKUP(2,1/(('Match Log'!$D$4:$D$311=M$90)*('Match Log'!$C$4:$C$311=$A103)),'Match Log'!$AB$4:$AB$311),"")</f>
        <v/>
      </c>
      <c r="N103" s="87" t="str">
        <f>IFERROR(LOOKUP(2,1/(('Match Log'!$D$4:$D$311=N$90)*('Match Log'!$C$4:$C$311=$A103)),'Match Log'!$AB$4:$AB$311),"")</f>
        <v/>
      </c>
      <c r="O103" s="87" t="str">
        <f>IFERROR(LOOKUP(2,1/(('Match Log'!$D$4:$D$311=O$90)*('Match Log'!$C$4:$C$311=$A103)),'Match Log'!$AB$4:$AB$311),"")</f>
        <v/>
      </c>
      <c r="P103" s="84" t="str">
        <f t="shared" si="23"/>
        <v>Daniel (Ferret)</v>
      </c>
    </row>
    <row r="104" spans="1:16" ht="15" customHeight="1" x14ac:dyDescent="0.2">
      <c r="A104" s="81" t="s">
        <v>207</v>
      </c>
      <c r="B104" s="87">
        <f>IFERROR(LOOKUP(2,1/(('Match Log'!$D$4:$D$311=B$90)*('Match Log'!$C$4:$C$311=$A104)),'Match Log'!$AB$4:$AB$311),"")</f>
        <v>1041.6585373017128</v>
      </c>
      <c r="C104" s="87" t="str">
        <f>IFERROR(LOOKUP(2,1/(('Match Log'!$D$4:$D$311=C$90)*('Match Log'!$C$4:$C$311=$A104)),'Match Log'!$AB$4:$AB$311),"")</f>
        <v/>
      </c>
      <c r="D104" s="87">
        <f>IFERROR(LOOKUP(2,1/(('Match Log'!$D$4:$D$311=D$90)*('Match Log'!$C$4:$C$311=$A104)),'Match Log'!$AB$4:$AB$311),"")</f>
        <v>1055.8009426289977</v>
      </c>
      <c r="E104" s="87" t="str">
        <f>IFERROR(LOOKUP(2,1/(('Match Log'!$D$4:$D$311=E$90)*('Match Log'!$C$4:$C$311=$A104)),'Match Log'!$AB$4:$AB$311),"")</f>
        <v/>
      </c>
      <c r="F104" s="87" t="str">
        <f>IFERROR(LOOKUP(2,1/(('Match Log'!$D$4:$D$311=F$90)*('Match Log'!$C$4:$C$311=$A104)),'Match Log'!$AB$4:$AB$311),"")</f>
        <v/>
      </c>
      <c r="G104" s="87">
        <f>IFERROR(LOOKUP(2,1/(('Match Log'!$D$4:$D$311=G$90)*('Match Log'!$C$4:$C$311=$A104)),'Match Log'!$AB$4:$AB$311),"")</f>
        <v>904.65647514018167</v>
      </c>
      <c r="H104" s="87" t="str">
        <f>IFERROR(LOOKUP(2,1/(('Match Log'!$D$4:$D$311=H$90)*('Match Log'!$C$4:$C$311=$A104)),'Match Log'!$AB$4:$AB$311),"")</f>
        <v/>
      </c>
      <c r="I104" s="87">
        <f>IFERROR(LOOKUP(2,1/(('Match Log'!$D$4:$D$311=I$90)*('Match Log'!$C$4:$C$311=$A104)),'Match Log'!$AB$4:$AB$311),"")</f>
        <v>962.91641343501885</v>
      </c>
      <c r="J104" s="87" t="str">
        <f>IFERROR(LOOKUP(2,1/(('Match Log'!$D$4:$D$311=J$90)*('Match Log'!$C$4:$C$311=$A104)),'Match Log'!$AB$4:$AB$311),"")</f>
        <v/>
      </c>
      <c r="K104" s="87" t="str">
        <f>IFERROR(LOOKUP(2,1/(('Match Log'!$D$4:$D$311=K$90)*('Match Log'!$C$4:$C$311=$A104)),'Match Log'!$AB$4:$AB$311),"")</f>
        <v/>
      </c>
      <c r="L104" s="87">
        <f>IFERROR(LOOKUP(2,1/(('Match Log'!$D$4:$D$311=L$90)*('Match Log'!$C$4:$C$311=$A104)),'Match Log'!$AB$4:$AB$311),"")</f>
        <v>1034.9676314940889</v>
      </c>
      <c r="M104" s="87" t="str">
        <f>IFERROR(LOOKUP(2,1/(('Match Log'!$D$4:$D$311=M$90)*('Match Log'!$C$4:$C$311=$A104)),'Match Log'!$AB$4:$AB$311),"")</f>
        <v/>
      </c>
      <c r="N104" s="87" t="str">
        <f>IFERROR(LOOKUP(2,1/(('Match Log'!$D$4:$D$311=N$90)*('Match Log'!$C$4:$C$311=$A104)),'Match Log'!$AB$4:$AB$311),"")</f>
        <v/>
      </c>
      <c r="O104" s="87" t="str">
        <f>IFERROR(LOOKUP(2,1/(('Match Log'!$D$4:$D$311=O$90)*('Match Log'!$C$4:$C$311=$A104)),'Match Log'!$AB$4:$AB$311),"")</f>
        <v/>
      </c>
      <c r="P104" s="84" t="str">
        <f t="shared" si="23"/>
        <v>Chase</v>
      </c>
    </row>
    <row r="105" spans="1:16" ht="15" customHeight="1" x14ac:dyDescent="0.2">
      <c r="A105" s="81" t="s">
        <v>209</v>
      </c>
      <c r="B105" s="87" t="str">
        <f>IFERROR(LOOKUP(2,1/(('Match Log'!$D$4:$D$311=B$90)*('Match Log'!$C$4:$C$311=$A105)),'Match Log'!$AB$4:$AB$311),"")</f>
        <v/>
      </c>
      <c r="C105" s="87" t="str">
        <f>IFERROR(LOOKUP(2,1/(('Match Log'!$D$4:$D$311=C$90)*('Match Log'!$C$4:$C$311=$A105)),'Match Log'!$AB$4:$AB$311),"")</f>
        <v/>
      </c>
      <c r="D105" s="87" t="str">
        <f>IFERROR(LOOKUP(2,1/(('Match Log'!$D$4:$D$311=D$90)*('Match Log'!$C$4:$C$311=$A105)),'Match Log'!$AB$4:$AB$311),"")</f>
        <v/>
      </c>
      <c r="E105" s="87" t="str">
        <f>IFERROR(LOOKUP(2,1/(('Match Log'!$D$4:$D$311=E$90)*('Match Log'!$C$4:$C$311=$A105)),'Match Log'!$AB$4:$AB$311),"")</f>
        <v/>
      </c>
      <c r="F105" s="87" t="str">
        <f>IFERROR(LOOKUP(2,1/(('Match Log'!$D$4:$D$311=F$90)*('Match Log'!$C$4:$C$311=$A105)),'Match Log'!$AB$4:$AB$311),"")</f>
        <v/>
      </c>
      <c r="G105" s="87" t="str">
        <f>IFERROR(LOOKUP(2,1/(('Match Log'!$D$4:$D$311=G$90)*('Match Log'!$C$4:$C$311=$A105)),'Match Log'!$AB$4:$AB$311),"")</f>
        <v/>
      </c>
      <c r="H105" s="87" t="str">
        <f>IFERROR(LOOKUP(2,1/(('Match Log'!$D$4:$D$311=H$90)*('Match Log'!$C$4:$C$311=$A105)),'Match Log'!$AB$4:$AB$311),"")</f>
        <v/>
      </c>
      <c r="I105" s="87" t="str">
        <f>IFERROR(LOOKUP(2,1/(('Match Log'!$D$4:$D$311=I$90)*('Match Log'!$C$4:$C$311=$A105)),'Match Log'!$AB$4:$AB$311),"")</f>
        <v/>
      </c>
      <c r="J105" s="87" t="str">
        <f>IFERROR(LOOKUP(2,1/(('Match Log'!$D$4:$D$311=J$90)*('Match Log'!$C$4:$C$311=$A105)),'Match Log'!$AB$4:$AB$311),"")</f>
        <v/>
      </c>
      <c r="K105" s="87" t="str">
        <f>IFERROR(LOOKUP(2,1/(('Match Log'!$D$4:$D$311=K$90)*('Match Log'!$C$4:$C$311=$A105)),'Match Log'!$AB$4:$AB$311),"")</f>
        <v/>
      </c>
      <c r="L105" s="87" t="str">
        <f>IFERROR(LOOKUP(2,1/(('Match Log'!$D$4:$D$311=L$90)*('Match Log'!$C$4:$C$311=$A105)),'Match Log'!$AB$4:$AB$311),"")</f>
        <v/>
      </c>
      <c r="M105" s="87" t="str">
        <f>IFERROR(LOOKUP(2,1/(('Match Log'!$D$4:$D$311=M$90)*('Match Log'!$C$4:$C$311=$A105)),'Match Log'!$AB$4:$AB$311),"")</f>
        <v/>
      </c>
      <c r="N105" s="87" t="str">
        <f>IFERROR(LOOKUP(2,1/(('Match Log'!$D$4:$D$311=N$90)*('Match Log'!$C$4:$C$311=$A105)),'Match Log'!$AB$4:$AB$311),"")</f>
        <v/>
      </c>
      <c r="O105" s="87" t="str">
        <f>IFERROR(LOOKUP(2,1/(('Match Log'!$D$4:$D$311=O$90)*('Match Log'!$C$4:$C$311=$A105)),'Match Log'!$AB$4:$AB$311),"")</f>
        <v/>
      </c>
      <c r="P105" s="84" t="str">
        <f t="shared" si="23"/>
        <v>—</v>
      </c>
    </row>
    <row r="106" spans="1:16" ht="15" customHeight="1" x14ac:dyDescent="0.2">
      <c r="A106" s="81" t="s">
        <v>211</v>
      </c>
      <c r="B106" s="87">
        <f>IFERROR(LOOKUP(2,1/(('Match Log'!$D$4:$D$311=B$90)*('Match Log'!$C$4:$C$311=$A106)),'Match Log'!$AB$4:$AB$311),"")</f>
        <v>1000.0339081301692</v>
      </c>
      <c r="C106" s="87" t="str">
        <f>IFERROR(LOOKUP(2,1/(('Match Log'!$D$4:$D$311=C$90)*('Match Log'!$C$4:$C$311=$A106)),'Match Log'!$AB$4:$AB$311),"")</f>
        <v/>
      </c>
      <c r="D106" s="87">
        <f>IFERROR(LOOKUP(2,1/(('Match Log'!$D$4:$D$311=D$90)*('Match Log'!$C$4:$C$311=$A106)),'Match Log'!$AB$4:$AB$311),"")</f>
        <v>968.70239866335282</v>
      </c>
      <c r="E106" s="87" t="str">
        <f>IFERROR(LOOKUP(2,1/(('Match Log'!$D$4:$D$311=E$90)*('Match Log'!$C$4:$C$311=$A106)),'Match Log'!$AB$4:$AB$311),"")</f>
        <v/>
      </c>
      <c r="F106" s="87" t="str">
        <f>IFERROR(LOOKUP(2,1/(('Match Log'!$D$4:$D$311=F$90)*('Match Log'!$C$4:$C$311=$A106)),'Match Log'!$AB$4:$AB$311),"")</f>
        <v/>
      </c>
      <c r="G106" s="87" t="str">
        <f>IFERROR(LOOKUP(2,1/(('Match Log'!$D$4:$D$311=G$90)*('Match Log'!$C$4:$C$311=$A106)),'Match Log'!$AB$4:$AB$311),"")</f>
        <v/>
      </c>
      <c r="H106" s="87" t="str">
        <f>IFERROR(LOOKUP(2,1/(('Match Log'!$D$4:$D$311=H$90)*('Match Log'!$C$4:$C$311=$A106)),'Match Log'!$AB$4:$AB$311),"")</f>
        <v/>
      </c>
      <c r="I106" s="87">
        <f>IFERROR(LOOKUP(2,1/(('Match Log'!$D$4:$D$311=I$90)*('Match Log'!$C$4:$C$311=$A106)),'Match Log'!$AB$4:$AB$311),"")</f>
        <v>1031.2636932064779</v>
      </c>
      <c r="J106" s="87" t="str">
        <f>IFERROR(LOOKUP(2,1/(('Match Log'!$D$4:$D$311=J$90)*('Match Log'!$C$4:$C$311=$A106)),'Match Log'!$AB$4:$AB$311),"")</f>
        <v/>
      </c>
      <c r="K106" s="87" t="str">
        <f>IFERROR(LOOKUP(2,1/(('Match Log'!$D$4:$D$311=K$90)*('Match Log'!$C$4:$C$311=$A106)),'Match Log'!$AB$4:$AB$311),"")</f>
        <v/>
      </c>
      <c r="L106" s="87" t="str">
        <f>IFERROR(LOOKUP(2,1/(('Match Log'!$D$4:$D$311=L$90)*('Match Log'!$C$4:$C$311=$A106)),'Match Log'!$AB$4:$AB$311),"")</f>
        <v/>
      </c>
      <c r="M106" s="87" t="str">
        <f>IFERROR(LOOKUP(2,1/(('Match Log'!$D$4:$D$311=M$90)*('Match Log'!$C$4:$C$311=$A106)),'Match Log'!$AB$4:$AB$311),"")</f>
        <v/>
      </c>
      <c r="N106" s="87" t="str">
        <f>IFERROR(LOOKUP(2,1/(('Match Log'!$D$4:$D$311=N$90)*('Match Log'!$C$4:$C$311=$A106)),'Match Log'!$AB$4:$AB$311),"")</f>
        <v/>
      </c>
      <c r="O106" s="87" t="str">
        <f>IFERROR(LOOKUP(2,1/(('Match Log'!$D$4:$D$311=O$90)*('Match Log'!$C$4:$C$311=$A106)),'Match Log'!$AB$4:$AB$311),"")</f>
        <v/>
      </c>
      <c r="P106" s="84" t="str">
        <f t="shared" si="23"/>
        <v>Daniel (Ferret)</v>
      </c>
    </row>
    <row r="107" spans="1:16" ht="15" customHeight="1" x14ac:dyDescent="0.2">
      <c r="A107" s="81" t="s">
        <v>212</v>
      </c>
      <c r="B107" s="87" t="str">
        <f>IFERROR(LOOKUP(2,1/(('Match Log'!$D$4:$D$311=B$90)*('Match Log'!$C$4:$C$311=$A107)),'Match Log'!$AB$4:$AB$311),"")</f>
        <v/>
      </c>
      <c r="C107" s="87" t="str">
        <f>IFERROR(LOOKUP(2,1/(('Match Log'!$D$4:$D$311=C$90)*('Match Log'!$C$4:$C$311=$A107)),'Match Log'!$AB$4:$AB$311),"")</f>
        <v/>
      </c>
      <c r="D107" s="87">
        <f>IFERROR(LOOKUP(2,1/(('Match Log'!$D$4:$D$311=D$90)*('Match Log'!$C$4:$C$311=$A107)),'Match Log'!$AB$4:$AB$311),"")</f>
        <v>992</v>
      </c>
      <c r="E107" s="87" t="str">
        <f>IFERROR(LOOKUP(2,1/(('Match Log'!$D$4:$D$311=E$90)*('Match Log'!$C$4:$C$311=$A107)),'Match Log'!$AB$4:$AB$311),"")</f>
        <v/>
      </c>
      <c r="F107" s="87">
        <f>IFERROR(LOOKUP(2,1/(('Match Log'!$D$4:$D$311=F$90)*('Match Log'!$C$4:$C$311=$A107)),'Match Log'!$AB$4:$AB$311),"")</f>
        <v>1016</v>
      </c>
      <c r="G107" s="87" t="str">
        <f>IFERROR(LOOKUP(2,1/(('Match Log'!$D$4:$D$311=G$90)*('Match Log'!$C$4:$C$311=$A107)),'Match Log'!$AB$4:$AB$311),"")</f>
        <v/>
      </c>
      <c r="H107" s="87" t="str">
        <f>IFERROR(LOOKUP(2,1/(('Match Log'!$D$4:$D$311=H$90)*('Match Log'!$C$4:$C$311=$A107)),'Match Log'!$AB$4:$AB$311),"")</f>
        <v/>
      </c>
      <c r="I107" s="87">
        <f>IFERROR(LOOKUP(2,1/(('Match Log'!$D$4:$D$311=I$90)*('Match Log'!$C$4:$C$311=$A107)),'Match Log'!$AB$4:$AB$311),"")</f>
        <v>992</v>
      </c>
      <c r="J107" s="87" t="str">
        <f>IFERROR(LOOKUP(2,1/(('Match Log'!$D$4:$D$311=J$90)*('Match Log'!$C$4:$C$311=$A107)),'Match Log'!$AB$4:$AB$311),"")</f>
        <v/>
      </c>
      <c r="K107" s="87" t="str">
        <f>IFERROR(LOOKUP(2,1/(('Match Log'!$D$4:$D$311=K$90)*('Match Log'!$C$4:$C$311=$A107)),'Match Log'!$AB$4:$AB$311),"")</f>
        <v/>
      </c>
      <c r="L107" s="87" t="str">
        <f>IFERROR(LOOKUP(2,1/(('Match Log'!$D$4:$D$311=L$90)*('Match Log'!$C$4:$C$311=$A107)),'Match Log'!$AB$4:$AB$311),"")</f>
        <v/>
      </c>
      <c r="M107" s="87" t="str">
        <f>IFERROR(LOOKUP(2,1/(('Match Log'!$D$4:$D$311=M$90)*('Match Log'!$C$4:$C$311=$A107)),'Match Log'!$AB$4:$AB$311),"")</f>
        <v/>
      </c>
      <c r="N107" s="87" t="str">
        <f>IFERROR(LOOKUP(2,1/(('Match Log'!$D$4:$D$311=N$90)*('Match Log'!$C$4:$C$311=$A107)),'Match Log'!$AB$4:$AB$311),"")</f>
        <v/>
      </c>
      <c r="O107" s="87" t="str">
        <f>IFERROR(LOOKUP(2,1/(('Match Log'!$D$4:$D$311=O$90)*('Match Log'!$C$4:$C$311=$A107)),'Match Log'!$AB$4:$AB$311),"")</f>
        <v/>
      </c>
      <c r="P107" s="84" t="str">
        <f t="shared" si="23"/>
        <v>Josh</v>
      </c>
    </row>
    <row r="108" spans="1:16" ht="15" customHeight="1" x14ac:dyDescent="0.2">
      <c r="A108" s="81" t="s">
        <v>214</v>
      </c>
      <c r="B108" s="87">
        <f>IFERROR(LOOKUP(2,1/(('Match Log'!$D$4:$D$311=B$90)*('Match Log'!$C$4:$C$311=$A108)),'Match Log'!$AB$4:$AB$311),"")</f>
        <v>965.94883287862285</v>
      </c>
      <c r="C108" s="87">
        <f>IFERROR(LOOKUP(2,1/(('Match Log'!$D$4:$D$311=C$90)*('Match Log'!$C$4:$C$311=$A108)),'Match Log'!$AB$4:$AB$311),"")</f>
        <v>1021.3645876209866</v>
      </c>
      <c r="D108" s="87">
        <f>IFERROR(LOOKUP(2,1/(('Match Log'!$D$4:$D$311=D$90)*('Match Log'!$C$4:$C$311=$A108)),'Match Log'!$AB$4:$AB$311),"")</f>
        <v>1015.263693206478</v>
      </c>
      <c r="E108" s="87">
        <f>IFERROR(LOOKUP(2,1/(('Match Log'!$D$4:$D$311=E$90)*('Match Log'!$C$4:$C$311=$A108)),'Match Log'!$AB$4:$AB$311),"")</f>
        <v>995.72748489903177</v>
      </c>
      <c r="F108" s="87">
        <f>IFERROR(LOOKUP(2,1/(('Match Log'!$D$4:$D$311=F$90)*('Match Log'!$C$4:$C$311=$A108)),'Match Log'!$AB$4:$AB$311),"")</f>
        <v>980.52721563547436</v>
      </c>
      <c r="G108" s="87">
        <f>IFERROR(LOOKUP(2,1/(('Match Log'!$D$4:$D$311=G$90)*('Match Log'!$C$4:$C$311=$A108)),'Match Log'!$AB$4:$AB$311),"")</f>
        <v>994.87575697010811</v>
      </c>
      <c r="H108" s="87">
        <f>IFERROR(LOOKUP(2,1/(('Match Log'!$D$4:$D$311=H$90)*('Match Log'!$C$4:$C$311=$A108)),'Match Log'!$AB$4:$AB$311),"")</f>
        <v>1060.1693378874229</v>
      </c>
      <c r="I108" s="87">
        <f>IFERROR(LOOKUP(2,1/(('Match Log'!$D$4:$D$311=I$90)*('Match Log'!$C$4:$C$311=$A108)),'Match Log'!$AB$4:$AB$311),"")</f>
        <v>993.32139176969508</v>
      </c>
      <c r="J108" s="87">
        <f>IFERROR(LOOKUP(2,1/(('Match Log'!$D$4:$D$311=J$90)*('Match Log'!$C$4:$C$311=$A108)),'Match Log'!$AB$4:$AB$311),"")</f>
        <v>1039.1570131462133</v>
      </c>
      <c r="K108" s="87">
        <f>IFERROR(LOOKUP(2,1/(('Match Log'!$D$4:$D$311=K$90)*('Match Log'!$C$4:$C$311=$A108)),'Match Log'!$AB$4:$AB$311),"")</f>
        <v>977.68101586373621</v>
      </c>
      <c r="L108" s="87">
        <f>IFERROR(LOOKUP(2,1/(('Match Log'!$D$4:$D$311=L$90)*('Match Log'!$C$4:$C$311=$A108)),'Match Log'!$AB$4:$AB$311),"")</f>
        <v>959.92547606336859</v>
      </c>
      <c r="M108" s="87">
        <f>IFERROR(LOOKUP(2,1/(('Match Log'!$D$4:$D$311=M$90)*('Match Log'!$C$4:$C$311=$A108)),'Match Log'!$AB$4:$AB$311),"")</f>
        <v>995.72748489903177</v>
      </c>
      <c r="N108" s="87">
        <f>IFERROR(LOOKUP(2,1/(('Match Log'!$D$4:$D$311=N$90)*('Match Log'!$C$4:$C$311=$A108)),'Match Log'!$AB$4:$AB$311),"")</f>
        <v>1000.3107091598305</v>
      </c>
      <c r="O108" s="87" t="str">
        <f>IFERROR(LOOKUP(2,1/(('Match Log'!$D$4:$D$311=O$90)*('Match Log'!$C$4:$C$311=$A108)),'Match Log'!$AB$4:$AB$311),"")</f>
        <v/>
      </c>
      <c r="P108" s="84" t="str">
        <f t="shared" si="23"/>
        <v>Simon</v>
      </c>
    </row>
    <row r="109" spans="1:16" ht="15" customHeight="1" x14ac:dyDescent="0.2">
      <c r="A109" s="81" t="s">
        <v>216</v>
      </c>
      <c r="B109" s="87" t="str">
        <f>IFERROR(LOOKUP(2,1/(('Match Log'!$D$4:$D$311=B$90)*('Match Log'!$C$4:$C$311=$A109)),'Match Log'!$AB$4:$AB$311),"")</f>
        <v/>
      </c>
      <c r="C109" s="87" t="str">
        <f>IFERROR(LOOKUP(2,1/(('Match Log'!$D$4:$D$311=C$90)*('Match Log'!$C$4:$C$311=$A109)),'Match Log'!$AB$4:$AB$311),"")</f>
        <v/>
      </c>
      <c r="D109" s="87" t="str">
        <f>IFERROR(LOOKUP(2,1/(('Match Log'!$D$4:$D$311=D$90)*('Match Log'!$C$4:$C$311=$A109)),'Match Log'!$AB$4:$AB$311),"")</f>
        <v/>
      </c>
      <c r="E109" s="87" t="str">
        <f>IFERROR(LOOKUP(2,1/(('Match Log'!$D$4:$D$311=E$90)*('Match Log'!$C$4:$C$311=$A109)),'Match Log'!$AB$4:$AB$311),"")</f>
        <v/>
      </c>
      <c r="F109" s="87">
        <f>IFERROR(LOOKUP(2,1/(('Match Log'!$D$4:$D$311=F$90)*('Match Log'!$C$4:$C$311=$A109)),'Match Log'!$AB$4:$AB$311),"")</f>
        <v>1005.3331712136038</v>
      </c>
      <c r="G109" s="87" t="str">
        <f>IFERROR(LOOKUP(2,1/(('Match Log'!$D$4:$D$311=G$90)*('Match Log'!$C$4:$C$311=$A109)),'Match Log'!$AB$4:$AB$311),"")</f>
        <v/>
      </c>
      <c r="H109" s="87" t="str">
        <f>IFERROR(LOOKUP(2,1/(('Match Log'!$D$4:$D$311=H$90)*('Match Log'!$C$4:$C$311=$A109)),'Match Log'!$AB$4:$AB$311),"")</f>
        <v/>
      </c>
      <c r="I109" s="87">
        <f>IFERROR(LOOKUP(2,1/(('Match Log'!$D$4:$D$311=I$90)*('Match Log'!$C$4:$C$311=$A109)),'Match Log'!$AB$4:$AB$311),"")</f>
        <v>994.66682878639608</v>
      </c>
      <c r="J109" s="87" t="str">
        <f>IFERROR(LOOKUP(2,1/(('Match Log'!$D$4:$D$311=J$90)*('Match Log'!$C$4:$C$311=$A109)),'Match Log'!$AB$4:$AB$311),"")</f>
        <v/>
      </c>
      <c r="K109" s="87" t="str">
        <f>IFERROR(LOOKUP(2,1/(('Match Log'!$D$4:$D$311=K$90)*('Match Log'!$C$4:$C$311=$A109)),'Match Log'!$AB$4:$AB$311),"")</f>
        <v/>
      </c>
      <c r="L109" s="87" t="str">
        <f>IFERROR(LOOKUP(2,1/(('Match Log'!$D$4:$D$311=L$90)*('Match Log'!$C$4:$C$311=$A109)),'Match Log'!$AB$4:$AB$311),"")</f>
        <v/>
      </c>
      <c r="M109" s="87" t="str">
        <f>IFERROR(LOOKUP(2,1/(('Match Log'!$D$4:$D$311=M$90)*('Match Log'!$C$4:$C$311=$A109)),'Match Log'!$AB$4:$AB$311),"")</f>
        <v/>
      </c>
      <c r="N109" s="87" t="str">
        <f>IFERROR(LOOKUP(2,1/(('Match Log'!$D$4:$D$311=N$90)*('Match Log'!$C$4:$C$311=$A109)),'Match Log'!$AB$4:$AB$311),"")</f>
        <v/>
      </c>
      <c r="O109" s="87" t="str">
        <f>IFERROR(LOOKUP(2,1/(('Match Log'!$D$4:$D$311=O$90)*('Match Log'!$C$4:$C$311=$A109)),'Match Log'!$AB$4:$AB$311),"")</f>
        <v/>
      </c>
      <c r="P109" s="84" t="str">
        <f t="shared" si="23"/>
        <v>Josh</v>
      </c>
    </row>
  </sheetData>
  <autoFilter ref="A73:G87" xr:uid="{00000000-0009-0000-0000-000005000000}">
    <sortState xmlns:xlrd2="http://schemas.microsoft.com/office/spreadsheetml/2017/richdata2" ref="A74:G87">
      <sortCondition descending="1" ref="A74:A87"/>
    </sortState>
  </autoFilter>
  <mergeCells count="7">
    <mergeCell ref="A72:Q72"/>
    <mergeCell ref="A89:Q89"/>
    <mergeCell ref="A2:Q2"/>
    <mergeCell ref="C4:G4"/>
    <mergeCell ref="A6:Q6"/>
    <mergeCell ref="A28:Q28"/>
    <mergeCell ref="A50:Q50"/>
  </mergeCells>
  <conditionalFormatting sqref="B50:O70">
    <cfRule type="colorScale" priority="6">
      <colorScale>
        <cfvo type="num" val="0"/>
        <cfvo type="num" val="0.5"/>
        <cfvo type="num" val="1"/>
        <color rgb="FFF8696B"/>
        <color rgb="FFFFEB84"/>
        <color rgb="FF63BE7B"/>
      </colorScale>
    </cfRule>
  </conditionalFormatting>
  <conditionalFormatting sqref="B52:O69">
    <cfRule type="colorScale" priority="2">
      <colorScale>
        <cfvo type="num" val="0"/>
        <cfvo type="num" val="0.5"/>
        <cfvo type="num" val="1"/>
        <color rgb="FFF2A29B"/>
        <color rgb="FFFCE7A1"/>
        <color rgb="FF8FCFA3"/>
      </colorScale>
    </cfRule>
  </conditionalFormatting>
  <conditionalFormatting sqref="B70:O70">
    <cfRule type="colorScale" priority="5">
      <colorScale>
        <cfvo type="num" val="0"/>
        <cfvo type="num" val="0.5"/>
        <cfvo type="num" val="1"/>
        <color rgb="FFF2A29B"/>
        <color rgb="FFFCE7A1"/>
        <color rgb="FF8FCFA3"/>
      </colorScale>
    </cfRule>
  </conditionalFormatting>
  <conditionalFormatting sqref="B91:O108">
    <cfRule type="colorScale" priority="3">
      <colorScale>
        <cfvo type="num" val="880"/>
        <cfvo type="num" val="1000"/>
        <cfvo type="num" val="1140"/>
        <color rgb="FFF2A29B"/>
        <color rgb="FFFCF3DD"/>
        <color rgb="FF8FCFA3"/>
      </colorScale>
    </cfRule>
  </conditionalFormatting>
  <conditionalFormatting sqref="B109:O109">
    <cfRule type="colorScale" priority="4">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B07F-9B15-0D42-AC58-D3D72CF7E105}">
  <dimension ref="A1:H33"/>
  <sheetViews>
    <sheetView topLeftCell="A6" zoomScale="150" zoomScaleNormal="150" workbookViewId="0"/>
  </sheetViews>
  <sheetFormatPr baseColWidth="10" defaultColWidth="8.6640625" defaultRowHeight="15" x14ac:dyDescent="0.2"/>
  <cols>
    <col min="1" max="1" width="30"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7" t="s">
        <v>241</v>
      </c>
    </row>
    <row r="2" spans="1:6" ht="30" customHeight="1" x14ac:dyDescent="0.2">
      <c r="A2" s="153" t="s">
        <v>242</v>
      </c>
      <c r="B2" s="153"/>
      <c r="C2" s="153"/>
      <c r="D2" s="153"/>
      <c r="E2" s="153"/>
      <c r="F2" s="153"/>
    </row>
    <row r="3" spans="1:6" ht="5" customHeight="1" x14ac:dyDescent="0.2"/>
    <row r="4" spans="1:6" ht="15" customHeight="1" x14ac:dyDescent="0.2">
      <c r="A4" s="12" t="s">
        <v>243</v>
      </c>
    </row>
    <row r="5" spans="1:6" ht="15" customHeight="1" x14ac:dyDescent="0.2">
      <c r="A5" s="33" t="s">
        <v>244</v>
      </c>
      <c r="B5" s="33" t="s">
        <v>245</v>
      </c>
      <c r="C5" s="33" t="s">
        <v>246</v>
      </c>
      <c r="D5" s="33" t="s">
        <v>130</v>
      </c>
      <c r="E5" s="33" t="s">
        <v>247</v>
      </c>
      <c r="F5" s="33" t="s">
        <v>248</v>
      </c>
    </row>
    <row r="6" spans="1:6" ht="15" customHeight="1" x14ac:dyDescent="0.2">
      <c r="A6" s="89">
        <v>1</v>
      </c>
      <c r="B6" s="90" t="str">
        <f>IFERROR(INDEX(Calcs!$D$25:$D$144,MATCH(LARGE(Calcs!$I$25:$I$144,1),Calcs!$I$25:$I$144,0)),"")</f>
        <v>Daniel (Ferret)</v>
      </c>
      <c r="C6" s="90" t="str">
        <f>IFERROR(INDEX(Calcs!$H$25:$H$144,MATCH(LARGE(Calcs!$I$25:$I$144,1),Calcs!$I$25:$I$144,0)),"")</f>
        <v>Shawn</v>
      </c>
      <c r="D6" s="90" t="str">
        <f>IFERROR(INDEX(Calcs!$C$25:$C$144,MATCH(LARGE(Calcs!$I$25:$I$144,1),Calcs!$I$25:$I$144,0)),"")</f>
        <v>FIFA</v>
      </c>
      <c r="E6" s="90" t="str">
        <f>IFERROR(TEXT(INDEX(Calcs!$F$25:$F$144,MATCH(LARGE(Calcs!$I$25:$I$144,1),Calcs!$I$25:$I$144,0)),"0%"),"")</f>
        <v>20%</v>
      </c>
      <c r="F6" s="90" t="str">
        <f>IFERROR(TEXT(INDEX(Calcs!$B$25:$B$144,MATCH(LARGE(Calcs!$I$25:$I$144,1),Calcs!$I$25:$I$144,0)),"d mmm"),"")</f>
        <v>30 May</v>
      </c>
    </row>
    <row r="7" spans="1:6" ht="15" customHeight="1" x14ac:dyDescent="0.2">
      <c r="A7" s="65">
        <v>2</v>
      </c>
      <c r="B7" s="39" t="str">
        <f>IFERROR(INDEX(Calcs!$D$25:$D$144,MATCH(LARGE(Calcs!$I$25:$I$144,2),Calcs!$I$25:$I$144,0)),"")</f>
        <v>Daniel (Ferret)</v>
      </c>
      <c r="C7" s="39" t="str">
        <f>IFERROR(INDEX(Calcs!$H$25:$H$144,MATCH(LARGE(Calcs!$I$25:$I$144,2),Calcs!$I$25:$I$144,0)),"")</f>
        <v>Oscar</v>
      </c>
      <c r="D7" s="39" t="str">
        <f>IFERROR(INDEX(Calcs!$C$25:$C$144,MATCH(LARGE(Calcs!$I$25:$I$144,2),Calcs!$I$25:$I$144,0)),"")</f>
        <v>Mario Kart</v>
      </c>
      <c r="E7" s="39" t="str">
        <f>IFERROR(TEXT(INDEX(Calcs!$F$25:$F$144,MATCH(LARGE(Calcs!$I$25:$I$144,2),Calcs!$I$25:$I$144,0)),"0%"),"")</f>
        <v>25%</v>
      </c>
      <c r="F7" s="39" t="str">
        <f>IFERROR(TEXT(INDEX(Calcs!$B$25:$B$144,MATCH(LARGE(Calcs!$I$25:$I$144,2),Calcs!$I$25:$I$144,0)),"d mmm"),"")</f>
        <v>3 Jun</v>
      </c>
    </row>
    <row r="8" spans="1:6" ht="15" customHeight="1" x14ac:dyDescent="0.2">
      <c r="A8" s="61">
        <v>3</v>
      </c>
      <c r="B8" s="36" t="str">
        <f>IFERROR(INDEX(Calcs!$D$25:$D$144,MATCH(LARGE(Calcs!$I$25:$I$144,3),Calcs!$I$25:$I$144,0)),"")</f>
        <v>Josh</v>
      </c>
      <c r="C8" s="36" t="str">
        <f>IFERROR(INDEX(Calcs!$H$25:$H$144,MATCH(LARGE(Calcs!$I$25:$I$144,3),Calcs!$I$25:$I$144,0)),"")</f>
        <v>Daniel (Ferret)</v>
      </c>
      <c r="D8" s="36" t="str">
        <f>IFERROR(INDEX(Calcs!$C$25:$C$144,MATCH(LARGE(Calcs!$I$25:$I$144,3),Calcs!$I$25:$I$144,0)),"")</f>
        <v>Mario Golf</v>
      </c>
      <c r="E8" s="36" t="str">
        <f>IFERROR(TEXT(INDEX(Calcs!$F$25:$F$144,MATCH(LARGE(Calcs!$I$25:$I$144,3),Calcs!$I$25:$I$144,0)),"0%"),"")</f>
        <v>25%</v>
      </c>
      <c r="F8" s="36" t="str">
        <f>IFERROR(TEXT(INDEX(Calcs!$B$25:$B$144,MATCH(LARGE(Calcs!$I$25:$I$144,3),Calcs!$I$25:$I$144,0)),"d mmm"),"")</f>
        <v>26 Jun</v>
      </c>
    </row>
    <row r="9" spans="1:6" ht="15" customHeight="1" x14ac:dyDescent="0.2">
      <c r="A9" s="65">
        <v>4</v>
      </c>
      <c r="B9" s="39" t="str">
        <f>IFERROR(INDEX(Calcs!$D$25:$D$144,MATCH(LARGE(Calcs!$I$25:$I$144,4),Calcs!$I$25:$I$144,0)),"")</f>
        <v>Dean B</v>
      </c>
      <c r="C9" s="39" t="str">
        <f>IFERROR(INDEX(Calcs!$H$25:$H$144,MATCH(LARGE(Calcs!$I$25:$I$144,4),Calcs!$I$25:$I$144,0)),"")</f>
        <v>Josh</v>
      </c>
      <c r="D9" s="39" t="str">
        <f>IFERROR(INDEX(Calcs!$C$25:$C$144,MATCH(LARGE(Calcs!$I$25:$I$144,4),Calcs!$I$25:$I$144,0)),"")</f>
        <v>Table Tennis</v>
      </c>
      <c r="E9" s="39" t="str">
        <f>IFERROR(TEXT(INDEX(Calcs!$F$25:$F$144,MATCH(LARGE(Calcs!$I$25:$I$144,4),Calcs!$I$25:$I$144,0)),"0%"),"")</f>
        <v>27%</v>
      </c>
      <c r="F9" s="39" t="str">
        <f>IFERROR(TEXT(INDEX(Calcs!$B$25:$B$144,MATCH(LARGE(Calcs!$I$25:$I$144,4),Calcs!$I$25:$I$144,0)),"d mmm"),"")</f>
        <v>3 Jun</v>
      </c>
    </row>
    <row r="10" spans="1:6" ht="15" customHeight="1" x14ac:dyDescent="0.2">
      <c r="A10" s="61">
        <v>5</v>
      </c>
      <c r="B10" s="36" t="str">
        <f>IFERROR(INDEX(Calcs!$D$25:$D$144,MATCH(LARGE(Calcs!$I$25:$I$144,5),Calcs!$I$25:$I$144,0)),"")</f>
        <v>Daniel (Ferret)</v>
      </c>
      <c r="C10" s="36" t="str">
        <f>IFERROR(INDEX(Calcs!$H$25:$H$144,MATCH(LARGE(Calcs!$I$25:$I$144,5),Calcs!$I$25:$I$144,0)),"")</f>
        <v>Shawn</v>
      </c>
      <c r="D10" s="36" t="str">
        <f>IFERROR(INDEX(Calcs!$C$25:$C$144,MATCH(LARGE(Calcs!$I$25:$I$144,5),Calcs!$I$25:$I$144,0)),"")</f>
        <v>FIFA</v>
      </c>
      <c r="E10" s="36" t="str">
        <f>IFERROR(TEXT(INDEX(Calcs!$F$25:$F$144,MATCH(LARGE(Calcs!$I$25:$I$144,5),Calcs!$I$25:$I$144,0)),"0%"),"")</f>
        <v>29%</v>
      </c>
      <c r="F10" s="36" t="str">
        <f>IFERROR(TEXT(INDEX(Calcs!$B$25:$B$144,MATCH(LARGE(Calcs!$I$25:$I$144,5),Calcs!$I$25:$I$144,0)),"d mmm"),"")</f>
        <v>31 May</v>
      </c>
    </row>
    <row r="11" spans="1:6" ht="15" customHeight="1" x14ac:dyDescent="0.2">
      <c r="A11" s="65">
        <v>6</v>
      </c>
      <c r="B11" s="39" t="str">
        <f>IFERROR(INDEX(Calcs!$D$25:$D$144,MATCH(LARGE(Calcs!$I$25:$I$144,6),Calcs!$I$25:$I$144,0)),"")</f>
        <v>Oscar</v>
      </c>
      <c r="C11" s="39" t="str">
        <f>IFERROR(INDEX(Calcs!$H$25:$H$144,MATCH(LARGE(Calcs!$I$25:$I$144,6),Calcs!$I$25:$I$144,0)),"")</f>
        <v>Dean B</v>
      </c>
      <c r="D11" s="39" t="str">
        <f>IFERROR(INDEX(Calcs!$C$25:$C$144,MATCH(LARGE(Calcs!$I$25:$I$144,6),Calcs!$I$25:$I$144,0)),"")</f>
        <v>Pool</v>
      </c>
      <c r="E11" s="39" t="str">
        <f>IFERROR(TEXT(INDEX(Calcs!$F$25:$F$144,MATCH(LARGE(Calcs!$I$25:$I$144,6),Calcs!$I$25:$I$144,0)),"0%"),"")</f>
        <v>29%</v>
      </c>
      <c r="F11" s="39" t="str">
        <f>IFERROR(TEXT(INDEX(Calcs!$B$25:$B$144,MATCH(LARGE(Calcs!$I$25:$I$144,6),Calcs!$I$25:$I$144,0)),"d mmm"),"")</f>
        <v>4 Jun</v>
      </c>
    </row>
    <row r="12" spans="1:6" ht="15" customHeight="1" x14ac:dyDescent="0.2">
      <c r="A12" s="61">
        <v>7</v>
      </c>
      <c r="B12" s="36" t="str">
        <f>IFERROR(INDEX(Calcs!$D$25:$D$144,MATCH(LARGE(Calcs!$I$25:$I$144,7),Calcs!$I$25:$I$144,0)),"")</f>
        <v>Oscar</v>
      </c>
      <c r="C12" s="36" t="str">
        <f>IFERROR(INDEX(Calcs!$H$25:$H$144,MATCH(LARGE(Calcs!$I$25:$I$144,7),Calcs!$I$25:$I$144,0)),"")</f>
        <v>Josh</v>
      </c>
      <c r="D12" s="36" t="str">
        <f>IFERROR(INDEX(Calcs!$C$25:$C$144,MATCH(LARGE(Calcs!$I$25:$I$144,7),Calcs!$I$25:$I$144,0)),"")</f>
        <v>Table Tennis</v>
      </c>
      <c r="E12" s="36" t="str">
        <f>IFERROR(TEXT(INDEX(Calcs!$F$25:$F$144,MATCH(LARGE(Calcs!$I$25:$I$144,7),Calcs!$I$25:$I$144,0)),"0%"),"")</f>
        <v>31%</v>
      </c>
      <c r="F12" s="36" t="str">
        <f>IFERROR(TEXT(INDEX(Calcs!$B$25:$B$144,MATCH(LARGE(Calcs!$I$25:$I$144,7),Calcs!$I$25:$I$144,0)),"d mmm"),"")</f>
        <v>3 Jun</v>
      </c>
    </row>
    <row r="13" spans="1:6" ht="15" customHeight="1" x14ac:dyDescent="0.2">
      <c r="A13" s="65">
        <v>8</v>
      </c>
      <c r="B13" s="39" t="str">
        <f>IFERROR(INDEX(Calcs!$D$25:$D$144,MATCH(LARGE(Calcs!$I$25:$I$144,8),Calcs!$I$25:$I$144,0)),"")</f>
        <v>Daniel (Ferret)</v>
      </c>
      <c r="C13" s="39" t="str">
        <f>IFERROR(INDEX(Calcs!$H$25:$H$144,MATCH(LARGE(Calcs!$I$25:$I$144,8),Calcs!$I$25:$I$144,0)),"")</f>
        <v>David</v>
      </c>
      <c r="D13" s="39" t="str">
        <f>IFERROR(INDEX(Calcs!$C$25:$C$144,MATCH(LARGE(Calcs!$I$25:$I$144,8),Calcs!$I$25:$I$144,0)),"")</f>
        <v>Table Tennis</v>
      </c>
      <c r="E13" s="39" t="str">
        <f>IFERROR(TEXT(INDEX(Calcs!$F$25:$F$144,MATCH(LARGE(Calcs!$I$25:$I$144,8),Calcs!$I$25:$I$144,0)),"0%"),"")</f>
        <v>33%</v>
      </c>
      <c r="F13" s="39" t="str">
        <f>IFERROR(TEXT(INDEX(Calcs!$B$25:$B$144,MATCH(LARGE(Calcs!$I$25:$I$144,8),Calcs!$I$25:$I$144,0)),"d mmm"),"")</f>
        <v>2 Jun</v>
      </c>
    </row>
    <row r="15" spans="1:6" ht="15" customHeight="1" x14ac:dyDescent="0.2">
      <c r="A15" s="12" t="s">
        <v>249</v>
      </c>
    </row>
    <row r="16" spans="1:6" ht="15" customHeight="1" x14ac:dyDescent="0.2">
      <c r="A16" s="33" t="s">
        <v>250</v>
      </c>
      <c r="B16" s="33" t="s">
        <v>251</v>
      </c>
      <c r="C16" s="33" t="s">
        <v>252</v>
      </c>
      <c r="D16" s="33" t="s">
        <v>130</v>
      </c>
      <c r="E16" s="33" t="s">
        <v>253</v>
      </c>
      <c r="F16" s="33" t="s">
        <v>254</v>
      </c>
    </row>
    <row r="17" spans="1:8" ht="15" customHeight="1" x14ac:dyDescent="0.2">
      <c r="A17" s="91" t="s">
        <v>255</v>
      </c>
      <c r="B17" s="36" t="str">
        <f>TEXT(MAX('Match Log'!$N$4:$N$311),"0")</f>
        <v>1191</v>
      </c>
      <c r="C17" s="36" t="str">
        <f>INDEX('Match Log'!$D$4:$D$311,$H17)</f>
        <v>Josh</v>
      </c>
      <c r="D17" s="36" t="str">
        <f>INDEX('Match Log'!$C$4:$C$311,$H17)</f>
        <v>Table Tennis</v>
      </c>
      <c r="E17" s="36" t="str">
        <f>TEXT(INDEX('Match Log'!$B$4:$B$311,$H17),"d mmm yyyy")</f>
        <v>3 Jun 2026</v>
      </c>
      <c r="F17" s="36" t="str">
        <f>IFERROR(IF(INDEX('Match Log'!$F$4:$F$311,$H17)=2,"vs "&amp;LOOKUP(2,1/(('Match Log'!$A$4:$A$311=INDEX('Match Log'!$A$4:$A$311,$H17))*('Match Log'!$D$4:$D$311&lt;&gt;$C17)),'Match Log'!$D$4:$D$311),INDEX('Match Log'!$F$4:$F$311,$H17)&amp;"-player game"),"")</f>
        <v>vs Dean B</v>
      </c>
      <c r="H17">
        <f>MATCH(MAX('Match Log'!$N$4:$N$311),'Match Log'!$N$4:$N$311,0)</f>
        <v>91</v>
      </c>
    </row>
    <row r="18" spans="1:8" ht="15" customHeight="1" x14ac:dyDescent="0.2">
      <c r="A18" s="92" t="s">
        <v>256</v>
      </c>
      <c r="B18" s="39" t="str">
        <f>TEXT(MAX('Match Log'!$M$4:$M$311),"+0")</f>
        <v>+43</v>
      </c>
      <c r="C18" s="39" t="str">
        <f>INDEX('Match Log'!$D$4:$D$311,$H18)</f>
        <v>Aaron</v>
      </c>
      <c r="D18" s="39" t="str">
        <f>INDEX('Match Log'!$C$4:$C$311,$H18)</f>
        <v>Kelly Pool</v>
      </c>
      <c r="E18" s="39" t="str">
        <f>TEXT(INDEX('Match Log'!$B$4:$B$311,$H18),"d mmm yyyy")</f>
        <v>2 Jun 2026</v>
      </c>
      <c r="F18" s="39" t="str">
        <f>IFERROR(IF(INDEX('Match Log'!$F$4:$F$311,$H18)=2,"beat "&amp;LOOKUP(2,1/(('Match Log'!$A$4:$A$311=INDEX('Match Log'!$A$4:$A$311,$H18))*('Match Log'!$D$4:$D$311&lt;&gt;$C18)),'Match Log'!$D$4:$D$311),"won "&amp;INDEX('Match Log'!$F$4:$F$311,$H18)&amp;"-player game"),"")</f>
        <v>won 8-player game</v>
      </c>
      <c r="H18">
        <f>MATCH(MAX('Match Log'!$M$4:$M$311),'Match Log'!$M$4:$M$311,0)</f>
        <v>4</v>
      </c>
    </row>
    <row r="19" spans="1:8" ht="15" customHeight="1" x14ac:dyDescent="0.2">
      <c r="A19" s="91" t="s">
        <v>257</v>
      </c>
      <c r="B19" s="36" t="str">
        <f>TEXT(MIN('Match Log'!$M$4:$M$311),"0")</f>
        <v>-32</v>
      </c>
      <c r="C19" s="36" t="str">
        <f>INDEX('Match Log'!$D$4:$D$311,$H19)</f>
        <v>Josh</v>
      </c>
      <c r="D19" s="36" t="str">
        <f>INDEX('Match Log'!$C$4:$C$311,$H19)</f>
        <v>Table Tennis</v>
      </c>
      <c r="E19" s="36" t="str">
        <f>TEXT(INDEX('Match Log'!$B$4:$B$311,$H19),"d mmm yyyy")</f>
        <v>3 Jun 2026</v>
      </c>
      <c r="F19" s="36" t="str">
        <f>IFERROR("lost to "&amp;INDEX('Match Log'!$G$4:$G$311,$H19),"")</f>
        <v>lost to Oscar</v>
      </c>
      <c r="H19">
        <f>MATCH(MIN('Match Log'!$M$4:$M$311),'Match Log'!$M$4:$M$311,0)</f>
        <v>99</v>
      </c>
    </row>
    <row r="20" spans="1:8" ht="15" customHeight="1" x14ac:dyDescent="0.2">
      <c r="A20" s="92" t="s">
        <v>258</v>
      </c>
      <c r="B20" s="39" t="str">
        <f>$E$6</f>
        <v>20%</v>
      </c>
      <c r="C20" s="39" t="str">
        <f>$B$6</f>
        <v>Daniel (Ferret)</v>
      </c>
      <c r="D20" s="39" t="str">
        <f>$D$6</f>
        <v>FIFA</v>
      </c>
      <c r="E20" s="39" t="str">
        <f>$F$6</f>
        <v>30 May</v>
      </c>
      <c r="F20" s="39" t="str">
        <f>"beat "&amp;$C$6</f>
        <v>beat Shawn</v>
      </c>
    </row>
    <row r="21" spans="1:8" ht="15" customHeight="1" x14ac:dyDescent="0.2">
      <c r="A21" s="91" t="s">
        <v>259</v>
      </c>
      <c r="B21" s="36" t="str">
        <f>TEXT(MAX(Dashboard!$D$5:$D$18),"0")</f>
        <v>49</v>
      </c>
      <c r="C21" s="36" t="str">
        <f>INDEX(Dashboard!$B$5:$B$18,MATCH(MAX(Dashboard!$D$5:$D$18),Dashboard!$D$5:$D$18,0))</f>
        <v>Daniel (Ferret)</v>
      </c>
      <c r="D21" s="36" t="s">
        <v>260</v>
      </c>
      <c r="E21" s="36" t="s">
        <v>260</v>
      </c>
      <c r="F21" s="36" t="str">
        <f>"across "&amp;INDEX(Dashboard!$K$5:$K$18,MATCH($C21,Dashboard!$B$5:$B$18,0))&amp;" sports"</f>
        <v>across 11 sports</v>
      </c>
    </row>
    <row r="22" spans="1:8" ht="15" customHeight="1" x14ac:dyDescent="0.2">
      <c r="A22" s="92" t="s">
        <v>261</v>
      </c>
      <c r="B22" s="39" t="str">
        <f>TEXT(MAX(Dashboard!$K$5:$K$18),"0")</f>
        <v>11</v>
      </c>
      <c r="C22" s="39" t="str">
        <f>INDEX(Dashboard!$B$5:$B$18,MATCH(MAX(Dashboard!$K$5:$K$18),Dashboard!$K$5:$K$18,0))</f>
        <v>Daniel (Ferret)</v>
      </c>
      <c r="D22" s="39" t="s">
        <v>260</v>
      </c>
      <c r="E22" s="39" t="s">
        <v>260</v>
      </c>
      <c r="F22" s="39" t="str">
        <f>"of "&amp;COUNTA(Lists!$C$2:$C$20)&amp;" sports available"</f>
        <v>of 19 sports available</v>
      </c>
    </row>
    <row r="23" spans="1:8" ht="15" customHeight="1" x14ac:dyDescent="0.2">
      <c r="A23" s="91" t="s">
        <v>262</v>
      </c>
      <c r="B23" s="36" t="str">
        <f>TEXT(MAX('Sport Records'!$P$8:$P$26),"0")&amp;" games"</f>
        <v>31 games</v>
      </c>
      <c r="C23" s="36" t="str">
        <f>INDEX('Sport Records'!$A$8:$A$26,MATCH(MAX('Sport Records'!$P$8:$P$26),'Sport Records'!$P$8:$P$26,0))</f>
        <v>Table Tennis</v>
      </c>
      <c r="D23" s="36" t="s">
        <v>260</v>
      </c>
      <c r="E23" s="36" t="s">
        <v>260</v>
      </c>
      <c r="F23" s="36" t="s">
        <v>263</v>
      </c>
    </row>
    <row r="24" spans="1:8" ht="15" customHeight="1" x14ac:dyDescent="0.2">
      <c r="A24" s="92" t="s">
        <v>264</v>
      </c>
      <c r="B24" s="39" t="str">
        <f>MAX(Calcs!$O$7:$O$20)&amp;" wins"</f>
        <v>5 wins</v>
      </c>
      <c r="C24" s="39" t="str">
        <f>INDEX(Calcs!$A$7:$A$20,MATCH(MAX(Calcs!$O$7:$O$20),Calcs!$O$7:$O$20,0))</f>
        <v>Aaron</v>
      </c>
      <c r="D24" s="39" t="s">
        <v>260</v>
      </c>
      <c r="E24" s="39" t="s">
        <v>260</v>
      </c>
      <c r="F24" s="39" t="s">
        <v>265</v>
      </c>
    </row>
    <row r="25" spans="1:8" ht="15" customHeight="1" x14ac:dyDescent="0.2">
      <c r="A25" s="12"/>
    </row>
    <row r="26" spans="1:8" ht="15" customHeight="1" x14ac:dyDescent="0.2">
      <c r="A26" s="93" t="s">
        <v>266</v>
      </c>
      <c r="B26" s="33"/>
      <c r="C26" s="33"/>
    </row>
    <row r="27" spans="1:8" ht="15" customHeight="1" x14ac:dyDescent="0.2">
      <c r="A27" s="33" t="s">
        <v>267</v>
      </c>
      <c r="B27" s="33" t="s">
        <v>252</v>
      </c>
      <c r="C27" s="33" t="s">
        <v>268</v>
      </c>
    </row>
    <row r="28" spans="1:8" ht="15" customHeight="1" x14ac:dyDescent="0.2">
      <c r="A28" s="94" t="s">
        <v>269</v>
      </c>
      <c r="B28" s="37" t="str">
        <f>Leaders!$A$5</f>
        <v>Dean B</v>
      </c>
      <c r="C28" s="39" t="s">
        <v>270</v>
      </c>
    </row>
    <row r="29" spans="1:8" ht="15" customHeight="1" x14ac:dyDescent="0.2">
      <c r="A29" s="94" t="s">
        <v>271</v>
      </c>
      <c r="B29" s="37" t="str">
        <f>INDEX(Calcs!$A$7:$A$20,MATCH(MAX(Calcs!$M$7:$M$20),Calcs!$M$7:$M$20,0))</f>
        <v>Daniel (Ferret)</v>
      </c>
      <c r="C29" s="39" t="s">
        <v>272</v>
      </c>
    </row>
    <row r="30" spans="1:8" ht="15" customHeight="1" x14ac:dyDescent="0.2">
      <c r="A30" s="94" t="s">
        <v>273</v>
      </c>
      <c r="B30" s="37" t="str">
        <f>INDEX(Dashboard!$B$5:$B$18,MATCH(MAX(Dashboard!$D$5:$D$18),Dashboard!$D$5:$D$18,0))</f>
        <v>Daniel (Ferret)</v>
      </c>
      <c r="C30" s="39" t="s">
        <v>274</v>
      </c>
    </row>
    <row r="31" spans="1:8" ht="15" customHeight="1" x14ac:dyDescent="0.2">
      <c r="A31" s="94" t="s">
        <v>275</v>
      </c>
      <c r="B31" s="37" t="str">
        <f>INDEX(Dashboard!$B$5:$B$18,MATCH(MAX(Dashboard!$K$5:$K$18),Dashboard!$K$5:$K$18,0))</f>
        <v>Daniel (Ferret)</v>
      </c>
      <c r="C31" s="39" t="s">
        <v>276</v>
      </c>
    </row>
    <row r="32" spans="1:8" ht="15" customHeight="1" x14ac:dyDescent="0.2">
      <c r="A32" s="94" t="s">
        <v>277</v>
      </c>
      <c r="B32" s="37" t="str">
        <f>INDEX(Calcs!$A$7:$A$20,MATCH(MAX(Calcs!$N$7:$N$20),Calcs!$N$7:$N$20,0))</f>
        <v>Aaron</v>
      </c>
      <c r="C32" s="39" t="s">
        <v>278</v>
      </c>
    </row>
    <row r="33" spans="1:3" ht="15" customHeight="1" x14ac:dyDescent="0.2">
      <c r="A33" s="94" t="s">
        <v>279</v>
      </c>
      <c r="B33" s="37" t="str">
        <f>INDEX(Dashboard!$B$5:$B$18,MATCH(MIN(Dashboard!$C$5:$C$18),Dashboard!$C$5:$C$18,0))</f>
        <v>Cody</v>
      </c>
      <c r="C33" s="39" t="s">
        <v>280</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53018-FC02-614C-B748-3FB9901CBC24}">
  <dimension ref="A1:U83"/>
  <sheetViews>
    <sheetView zoomScale="122" zoomScaleNormal="122" workbookViewId="0">
      <selection activeCell="A68" sqref="A68:XFD68"/>
    </sheetView>
  </sheetViews>
  <sheetFormatPr baseColWidth="10" defaultColWidth="8.6640625" defaultRowHeight="15" x14ac:dyDescent="0.2"/>
  <cols>
    <col min="1" max="1" width="24" customWidth="1"/>
    <col min="2" max="23" width="10.83203125" customWidth="1"/>
  </cols>
  <sheetData>
    <row r="1" spans="1:6" ht="21" customHeight="1" x14ac:dyDescent="0.25">
      <c r="A1" s="57" t="s">
        <v>281</v>
      </c>
    </row>
    <row r="2" spans="1:6" ht="15" customHeight="1" x14ac:dyDescent="0.2">
      <c r="A2" s="32" t="s">
        <v>282</v>
      </c>
    </row>
    <row r="3" spans="1:6" x14ac:dyDescent="0.2">
      <c r="A3" s="26"/>
      <c r="B3" s="26"/>
      <c r="C3" s="26"/>
      <c r="D3" s="26"/>
      <c r="E3" s="26"/>
      <c r="F3" s="26"/>
    </row>
    <row r="4" spans="1:6" ht="15" customHeight="1" x14ac:dyDescent="0.2">
      <c r="A4" s="12" t="s">
        <v>283</v>
      </c>
      <c r="B4" s="26"/>
      <c r="C4" s="26"/>
      <c r="D4" s="26"/>
      <c r="E4" s="26"/>
      <c r="F4" s="26"/>
    </row>
    <row r="5" spans="1:6" ht="15" customHeight="1" x14ac:dyDescent="0.2">
      <c r="A5" s="95" t="str">
        <f>"👑  "&amp;INDEX(Calcs!$A$7:$A$20,MATCH(MAX(Calcs!$B$7:$B$20),Calcs!$B$7:$B$20,0))&amp;" leads the title race — "&amp;ROUND(MAX(Calcs!$B$7:$B$20)-LARGE(Calcs!$B$7:$B$20,2),0)&amp;" points clear of "&amp;INDEX(Calcs!$A$7:$A$20,MATCH(LARGE(Calcs!$B$7:$B$20,2),Calcs!$B$7:$B$20,0))&amp;"."</f>
        <v>👑  Dean B leads the title race — 42 points clear of Josh.</v>
      </c>
      <c r="B5" s="96"/>
      <c r="C5" s="96"/>
      <c r="D5" s="96"/>
      <c r="E5" s="96"/>
      <c r="F5" s="96"/>
    </row>
    <row r="6" spans="1:6" ht="15" customHeight="1" x14ac:dyDescent="0.2">
      <c r="A6" s="97" t="str">
        <f>IF(MAX(Calcs!$O$7:$O$20)&gt;=2,"🔥  "&amp;INDEX(Calcs!$A$7:$A$20,MATCH(MAX(Calcs!$O$7:$O$20),Calcs!$O$7:$O$20,0))&amp;" is on a heater — "&amp;MAX(Calcs!$O$7:$O$20)&amp;" wins in a row!","🔥  Wide open up top — nobody on a win streak right now.")</f>
        <v>🔥  Aaron is on a heater — 5 wins in a row!</v>
      </c>
      <c r="B6" s="98"/>
      <c r="C6" s="98"/>
      <c r="D6" s="99"/>
      <c r="E6" s="100"/>
      <c r="F6" s="98"/>
    </row>
    <row r="7" spans="1:6" ht="15" customHeight="1" x14ac:dyDescent="0.2">
      <c r="A7" s="95" t="str">
        <f>IF(MAX(Calcs!$V$7:$V$20)&gt;=2,"🥶  "&amp;INDEX(Calcs!$A$7:$A$20,MATCH(MAX(Calcs!$V$7:$V$20),Calcs!$V$7:$V$20,0))&amp;" can't take a trick — "&amp;MAX(Calcs!$V$7:$V$20)&amp;" losses on the spin, well overdue a win.","😅  Good news: nobody's on a losing skid.")</f>
        <v>🥶  Cody can't take a trick — 4 losses on the spin, well overdue a win.</v>
      </c>
      <c r="B7" s="96"/>
      <c r="C7" s="96"/>
      <c r="D7" s="101"/>
      <c r="E7" s="102"/>
      <c r="F7" s="96"/>
    </row>
    <row r="8" spans="1:6" ht="15" customHeight="1" x14ac:dyDescent="0.2">
      <c r="A8" s="97" t="str">
        <f>IF(MAX(Calcs!$L$7:$L$20)&gt;0,"📈  "&amp;INDEX(Calcs!$A$7:$A$20,MATCH(MAX(Calcs!$L$7:$L$20),Calcs!$L$7:$L$20,0))&amp;" is surging — up "&amp;MAX(Calcs!$L$7:$L$20)&amp;" place(s) since last week.","📊  Standings holding steady — no big movers this week.")</f>
        <v>📈  Shawn is surging — up 1 place(s) since last week.</v>
      </c>
      <c r="B8" s="98"/>
      <c r="C8" s="98"/>
      <c r="D8" s="99"/>
      <c r="E8" s="100"/>
      <c r="F8" s="98"/>
    </row>
    <row r="9" spans="1:6" ht="15" customHeight="1" x14ac:dyDescent="0.2">
      <c r="A9" s="95" t="str">
        <f>IF(MAX(Calcs!$M$7:$M$20)&gt;0,"🗡️  "&amp;INDEX(Calcs!$A$7:$A$20,MATCH(MAX(Calcs!$M$7:$M$20),Calcs!$M$7:$M$20,0))&amp;" is the giant-killer — "&amp;MAX(Calcs!$M$7:$M$20)&amp;" win(s) against the odds.","🎯  Favourites holding firm — no major upsets lately.")</f>
        <v>🗡️  Daniel (Ferret) is the giant-killer — 4 win(s) against the odds.</v>
      </c>
      <c r="B9" s="96"/>
      <c r="C9" s="96"/>
      <c r="D9" s="101"/>
      <c r="E9" s="102"/>
      <c r="F9" s="96"/>
    </row>
    <row r="10" spans="1:6" ht="15" customHeight="1" x14ac:dyDescent="0.2">
      <c r="A10" s="97" t="str">
        <f>"🐎  "&amp;INDEX(Dashboard!$B$5:$B$18,MATCH(MAX(Dashboard!$D$5:$D$18),Dashboard!$D$5:$D$18,0))&amp;" never misses a session — "&amp;MAX(Dashboard!$D$5:$D$18)&amp;" games, more than anyone."</f>
        <v>🐎  Daniel (Ferret) never misses a session — 49 games, more than anyone.</v>
      </c>
      <c r="B10" s="98"/>
      <c r="C10" s="98"/>
      <c r="D10" s="99"/>
      <c r="E10" s="100"/>
      <c r="F10" s="98"/>
    </row>
    <row r="11" spans="1:6" ht="15" customHeight="1" x14ac:dyDescent="0.2">
      <c r="A11" s="95" t="str">
        <f>"🎯  "&amp;INDEX('Sport Records'!$Q$8:$Q$26,MATCH(MAX('Sport Records'!$P$8:$P$26),'Sport Records'!$P$8:$P$26,0))&amp;" rules "&amp;INDEX('Sport Records'!$A$8:$A$26,MATCH(MAX('Sport Records'!$P$8:$P$26),'Sport Records'!$P$8:$P$26,0))&amp;" — the family's most-played game with "&amp;MAX('Sport Records'!$P$8:$P$26)&amp;" contests."</f>
        <v>🎯  Josh rules Table Tennis — the family's most-played game with 31 contests.</v>
      </c>
      <c r="B11" s="96"/>
      <c r="C11" s="96"/>
      <c r="D11" s="101"/>
      <c r="E11" s="102"/>
      <c r="F11" s="96"/>
    </row>
    <row r="12" spans="1:6" ht="15" customHeight="1" x14ac:dyDescent="0.2">
      <c r="A12" s="97" t="str">
        <f>"🎲  "&amp;MAX('Match Log'!$A$4:$A$311)&amp;" games played across "&amp;COUNTIF('Sport Records'!$P$8:$P$26,"&gt;0")&amp;" different sports — and counting."</f>
        <v>🎲  120 games played across 12 different sports — and counting.</v>
      </c>
      <c r="B12" s="98"/>
      <c r="C12" s="98"/>
      <c r="D12" s="99"/>
      <c r="E12" s="100"/>
      <c r="F12" s="98"/>
    </row>
    <row r="13" spans="1:6" ht="15" customHeight="1" x14ac:dyDescent="0.2">
      <c r="A13" s="26"/>
      <c r="B13" s="26"/>
      <c r="C13" s="26"/>
      <c r="D13" s="103"/>
      <c r="E13" s="104"/>
      <c r="F13" s="26"/>
    </row>
    <row r="14" spans="1:6" ht="15" customHeight="1" x14ac:dyDescent="0.2">
      <c r="A14" s="26"/>
      <c r="B14" s="26"/>
      <c r="C14" s="26"/>
      <c r="D14" s="103"/>
      <c r="E14" s="104"/>
      <c r="F14" s="26"/>
    </row>
    <row r="15" spans="1:6" ht="15" customHeight="1" x14ac:dyDescent="0.2">
      <c r="A15" s="12" t="s">
        <v>284</v>
      </c>
      <c r="B15" s="26"/>
      <c r="C15" s="26"/>
      <c r="D15" s="103"/>
      <c r="E15" s="104"/>
      <c r="F15" s="26"/>
    </row>
    <row r="16" spans="1:6" ht="15" customHeight="1" x14ac:dyDescent="0.2">
      <c r="A16" s="33" t="s">
        <v>285</v>
      </c>
      <c r="B16" s="33" t="s">
        <v>163</v>
      </c>
      <c r="C16" s="33" t="s">
        <v>238</v>
      </c>
      <c r="D16" s="105" t="s">
        <v>286</v>
      </c>
      <c r="E16" s="104"/>
      <c r="F16" s="26"/>
    </row>
    <row r="17" spans="1:6" ht="15" customHeight="1" x14ac:dyDescent="0.2">
      <c r="A17" s="106">
        <v>1</v>
      </c>
      <c r="B17" s="107" t="str">
        <f>INDEX(Calcs!$A$7:$A$20,MATCH(LARGE(Calcs!$B$7:$B$20,1),Calcs!$B$7:$B$20,0))</f>
        <v>Dean B</v>
      </c>
      <c r="C17" s="106">
        <f>ROUND(LARGE(Calcs!$B$7:$B$20,1),0)</f>
        <v>1189</v>
      </c>
      <c r="D17" s="108" t="str">
        <f>IF(1=1,"— leader —",ROUND(MAX(Calcs!$B$7:$B$20)-LARGE(Calcs!$B$7:$B$20,1),0)&amp;" behind")</f>
        <v>— leader —</v>
      </c>
      <c r="E17" s="104"/>
      <c r="F17" s="26"/>
    </row>
    <row r="18" spans="1:6" ht="15" customHeight="1" x14ac:dyDescent="0.2">
      <c r="A18" s="109">
        <v>2</v>
      </c>
      <c r="B18" s="60" t="str">
        <f>INDEX(Calcs!$A$7:$A$20,MATCH(LARGE(Calcs!$B$7:$B$20,2),Calcs!$B$7:$B$20,0))</f>
        <v>Josh</v>
      </c>
      <c r="C18" s="109">
        <f>ROUND(LARGE(Calcs!$B$7:$B$20,2),0)</f>
        <v>1147</v>
      </c>
      <c r="D18" s="110" t="str">
        <f>IF(2=1,"— leader —",ROUND(MAX(Calcs!$B$7:$B$20)-LARGE(Calcs!$B$7:$B$20,2),0)&amp;" behind")</f>
        <v>42 behind</v>
      </c>
      <c r="E18" s="104"/>
      <c r="F18" s="26"/>
    </row>
    <row r="19" spans="1:6" ht="15" customHeight="1" x14ac:dyDescent="0.2">
      <c r="A19" s="109">
        <v>3</v>
      </c>
      <c r="B19" s="60" t="str">
        <f>INDEX(Calcs!$A$7:$A$20,MATCH(LARGE(Calcs!$B$7:$B$20,3),Calcs!$B$7:$B$20,0))</f>
        <v>Aaron</v>
      </c>
      <c r="C19" s="109">
        <f>ROUND(LARGE(Calcs!$B$7:$B$20,3),0)</f>
        <v>1125</v>
      </c>
      <c r="D19" s="110" t="str">
        <f>IF(3=1,"— leader —",ROUND(MAX(Calcs!$B$7:$B$20)-LARGE(Calcs!$B$7:$B$20,3),0)&amp;" behind")</f>
        <v>64 behind</v>
      </c>
      <c r="E19" s="104"/>
      <c r="F19" s="26"/>
    </row>
    <row r="20" spans="1:6" x14ac:dyDescent="0.2">
      <c r="A20" s="26"/>
      <c r="B20" s="26"/>
      <c r="C20" s="26"/>
      <c r="D20" s="26"/>
      <c r="E20" s="26"/>
      <c r="F20" s="26"/>
    </row>
    <row r="21" spans="1:6" ht="15.75" customHeight="1" x14ac:dyDescent="0.2">
      <c r="A21" s="12" t="s">
        <v>287</v>
      </c>
      <c r="B21" s="26"/>
      <c r="C21" s="26"/>
      <c r="D21" s="58" t="s">
        <v>207</v>
      </c>
      <c r="E21" s="26"/>
      <c r="F21" s="26"/>
    </row>
    <row r="22" spans="1:6" x14ac:dyDescent="0.2">
      <c r="A22" s="33" t="s">
        <v>163</v>
      </c>
      <c r="B22" s="33" t="s">
        <v>134</v>
      </c>
      <c r="C22" s="33" t="s">
        <v>188</v>
      </c>
      <c r="D22" s="33" t="s">
        <v>109</v>
      </c>
      <c r="E22" s="33" t="s">
        <v>132</v>
      </c>
      <c r="F22" s="33" t="s">
        <v>121</v>
      </c>
    </row>
    <row r="23" spans="1:6" x14ac:dyDescent="0.2">
      <c r="A23" s="61" t="s">
        <v>145</v>
      </c>
      <c r="B23" s="36">
        <f>COUNTIFS('Match Log'!$D$4:$D$311,$A23,'Match Log'!$C$4:$C$311,$D$21)</f>
        <v>3</v>
      </c>
      <c r="C23" s="36">
        <f>COUNTIFS('Match Log'!$D$4:$D$311,$A23,'Match Log'!$C$4:$C$311,$D$21,'Match Log'!$E$4:$E$311,"Win")</f>
        <v>3</v>
      </c>
      <c r="D23" s="62">
        <f t="shared" ref="D23:D36" si="0">IF($B23=0,"",$C23/$B23)</f>
        <v>1</v>
      </c>
      <c r="E23" s="63">
        <f>IFERROR(IF($B23=0,"",INDEX('Sport Records'!$B$91:$O$109,MATCH($D$21,'Sport Records'!$A$91:$A$109,0),MATCH($A23,'Sport Records'!$B$90:$O$90,0))),"")</f>
        <v>1041.6585373017128</v>
      </c>
      <c r="F23" s="36">
        <f t="shared" ref="F23:F36" si="1">IF($E23="","",RANK($E23,$E$23:$E$36))</f>
        <v>2</v>
      </c>
    </row>
    <row r="24" spans="1:6" x14ac:dyDescent="0.2">
      <c r="A24" s="65" t="s">
        <v>142</v>
      </c>
      <c r="B24" s="39">
        <f>COUNTIFS('Match Log'!$D$4:$D$311,$A24,'Match Log'!$C$4:$C$311,$D$21)</f>
        <v>0</v>
      </c>
      <c r="C24" s="39">
        <f>COUNTIFS('Match Log'!$D$4:$D$311,$A24,'Match Log'!$C$4:$C$311,$D$21,'Match Log'!$E$4:$E$311,"Win")</f>
        <v>0</v>
      </c>
      <c r="D24" s="66" t="str">
        <f t="shared" si="0"/>
        <v/>
      </c>
      <c r="E24" s="67" t="str">
        <f>IFERROR(IF($B24=0,"",INDEX('Sport Records'!$B$91:$O$109,MATCH($D$21,'Sport Records'!$A$91:$A$109,0),MATCH($A24,'Sport Records'!$B$90:$O$90,0))),"")</f>
        <v/>
      </c>
      <c r="F24" s="39" t="str">
        <f t="shared" si="1"/>
        <v/>
      </c>
    </row>
    <row r="25" spans="1:6" x14ac:dyDescent="0.2">
      <c r="A25" s="61" t="s">
        <v>180</v>
      </c>
      <c r="B25" s="36">
        <f>COUNTIFS('Match Log'!$D$4:$D$311,$A25,'Match Log'!$C$4:$C$311,$D$21)</f>
        <v>4</v>
      </c>
      <c r="C25" s="36">
        <f>COUNTIFS('Match Log'!$D$4:$D$311,$A25,'Match Log'!$C$4:$C$311,$D$21,'Match Log'!$E$4:$E$311,"Win")</f>
        <v>4</v>
      </c>
      <c r="D25" s="62">
        <f t="shared" si="0"/>
        <v>1</v>
      </c>
      <c r="E25" s="63">
        <f>IFERROR(IF($B25=0,"",INDEX('Sport Records'!$B$91:$O$109,MATCH($D$21,'Sport Records'!$A$91:$A$109,0),MATCH($A25,'Sport Records'!$B$90:$O$90,0))),"")</f>
        <v>1055.8009426289977</v>
      </c>
      <c r="F25" s="36">
        <f t="shared" si="1"/>
        <v>1</v>
      </c>
    </row>
    <row r="26" spans="1:6" x14ac:dyDescent="0.2">
      <c r="A26" s="65" t="s">
        <v>147</v>
      </c>
      <c r="B26" s="39">
        <f>COUNTIFS('Match Log'!$D$4:$D$311,$A26,'Match Log'!$C$4:$C$311,$D$21)</f>
        <v>0</v>
      </c>
      <c r="C26" s="39">
        <f>COUNTIFS('Match Log'!$D$4:$D$311,$A26,'Match Log'!$C$4:$C$311,$D$21,'Match Log'!$E$4:$E$311,"Win")</f>
        <v>0</v>
      </c>
      <c r="D26" s="66" t="str">
        <f t="shared" si="0"/>
        <v/>
      </c>
      <c r="E26" s="67" t="str">
        <f>IFERROR(IF($B26=0,"",INDEX('Sport Records'!$B$91:$O$109,MATCH($D$21,'Sport Records'!$A$91:$A$109,0),MATCH($A26,'Sport Records'!$B$90:$O$90,0))),"")</f>
        <v/>
      </c>
      <c r="F26" s="39" t="str">
        <f t="shared" si="1"/>
        <v/>
      </c>
    </row>
    <row r="27" spans="1:6" x14ac:dyDescent="0.2">
      <c r="A27" s="61" t="s">
        <v>144</v>
      </c>
      <c r="B27" s="36">
        <f>COUNTIFS('Match Log'!$D$4:$D$311,$A27,'Match Log'!$C$4:$C$311,$D$21)</f>
        <v>0</v>
      </c>
      <c r="C27" s="36">
        <f>COUNTIFS('Match Log'!$D$4:$D$311,$A27,'Match Log'!$C$4:$C$311,$D$21,'Match Log'!$E$4:$E$311,"Win")</f>
        <v>0</v>
      </c>
      <c r="D27" s="62" t="str">
        <f t="shared" si="0"/>
        <v/>
      </c>
      <c r="E27" s="63" t="str">
        <f>IFERROR(IF($B27=0,"",INDEX('Sport Records'!$B$91:$O$109,MATCH($D$21,'Sport Records'!$A$91:$A$109,0),MATCH($A27,'Sport Records'!$B$90:$O$90,0))),"")</f>
        <v/>
      </c>
      <c r="F27" s="36" t="str">
        <f t="shared" si="1"/>
        <v/>
      </c>
    </row>
    <row r="28" spans="1:6" x14ac:dyDescent="0.2">
      <c r="A28" s="65" t="s">
        <v>141</v>
      </c>
      <c r="B28" s="39">
        <f>COUNTIFS('Match Log'!$D$4:$D$311,$A28,'Match Log'!$C$4:$C$311,$D$21)</f>
        <v>7</v>
      </c>
      <c r="C28" s="39">
        <f>COUNTIFS('Match Log'!$D$4:$D$311,$A28,'Match Log'!$C$4:$C$311,$D$21,'Match Log'!$E$4:$E$311,"Win")</f>
        <v>0</v>
      </c>
      <c r="D28" s="66">
        <f t="shared" si="0"/>
        <v>0</v>
      </c>
      <c r="E28" s="67">
        <f>IFERROR(IF($B28=0,"",INDEX('Sport Records'!$B$91:$O$109,MATCH($D$21,'Sport Records'!$A$91:$A$109,0),MATCH($A28,'Sport Records'!$B$90:$O$90,0))),"")</f>
        <v>904.65647514018167</v>
      </c>
      <c r="F28" s="39">
        <f t="shared" si="1"/>
        <v>5</v>
      </c>
    </row>
    <row r="29" spans="1:6" x14ac:dyDescent="0.2">
      <c r="A29" s="61" t="s">
        <v>175</v>
      </c>
      <c r="B29" s="36">
        <f>COUNTIFS('Match Log'!$D$4:$D$311,$A29,'Match Log'!$C$4:$C$311,$D$21)</f>
        <v>0</v>
      </c>
      <c r="C29" s="36">
        <f>COUNTIFS('Match Log'!$D$4:$D$311,$A29,'Match Log'!$C$4:$C$311,$D$21,'Match Log'!$E$4:$E$311,"Win")</f>
        <v>0</v>
      </c>
      <c r="D29" s="62" t="str">
        <f t="shared" si="0"/>
        <v/>
      </c>
      <c r="E29" s="63" t="str">
        <f>IFERROR(IF($B29=0,"",INDEX('Sport Records'!$B$91:$O$109,MATCH($D$21,'Sport Records'!$A$91:$A$109,0),MATCH($A29,'Sport Records'!$B$90:$O$90,0))),"")</f>
        <v/>
      </c>
      <c r="F29" s="36" t="str">
        <f t="shared" si="1"/>
        <v/>
      </c>
    </row>
    <row r="30" spans="1:6" x14ac:dyDescent="0.2">
      <c r="A30" s="65" t="s">
        <v>177</v>
      </c>
      <c r="B30" s="39">
        <f>COUNTIFS('Match Log'!$D$4:$D$311,$A30,'Match Log'!$C$4:$C$311,$D$21)</f>
        <v>7</v>
      </c>
      <c r="C30" s="39">
        <f>COUNTIFS('Match Log'!$D$4:$D$311,$A30,'Match Log'!$C$4:$C$311,$D$21,'Match Log'!$E$4:$E$311,"Win")</f>
        <v>2</v>
      </c>
      <c r="D30" s="66">
        <f t="shared" si="0"/>
        <v>0.2857142857142857</v>
      </c>
      <c r="E30" s="67">
        <f>IFERROR(IF($B30=0,"",INDEX('Sport Records'!$B$91:$O$109,MATCH($D$21,'Sport Records'!$A$91:$A$109,0),MATCH($A30,'Sport Records'!$B$90:$O$90,0))),"")</f>
        <v>962.91641343501885</v>
      </c>
      <c r="F30" s="39">
        <f t="shared" si="1"/>
        <v>4</v>
      </c>
    </row>
    <row r="31" spans="1:6" x14ac:dyDescent="0.2">
      <c r="A31" s="61" t="s">
        <v>174</v>
      </c>
      <c r="B31" s="36">
        <f>COUNTIFS('Match Log'!$D$4:$D$311,$A31,'Match Log'!$C$4:$C$311,$D$21)</f>
        <v>0</v>
      </c>
      <c r="C31" s="36">
        <f>COUNTIFS('Match Log'!$D$4:$D$311,$A31,'Match Log'!$C$4:$C$311,$D$21,'Match Log'!$E$4:$E$311,"Win")</f>
        <v>0</v>
      </c>
      <c r="D31" s="62" t="str">
        <f t="shared" si="0"/>
        <v/>
      </c>
      <c r="E31" s="63" t="str">
        <f>IFERROR(IF($B31=0,"",INDEX('Sport Records'!$B$91:$O$109,MATCH($D$21,'Sport Records'!$A$91:$A$109,0),MATCH($A31,'Sport Records'!$B$90:$O$90,0))),"")</f>
        <v/>
      </c>
      <c r="F31" s="36" t="str">
        <f t="shared" si="1"/>
        <v/>
      </c>
    </row>
    <row r="32" spans="1:6" x14ac:dyDescent="0.2">
      <c r="A32" s="65" t="s">
        <v>182</v>
      </c>
      <c r="B32" s="39">
        <f>COUNTIFS('Match Log'!$D$4:$D$311,$A32,'Match Log'!$C$4:$C$311,$D$21)</f>
        <v>0</v>
      </c>
      <c r="C32" s="39">
        <f>COUNTIFS('Match Log'!$D$4:$D$311,$A32,'Match Log'!$C$4:$C$311,$D$21,'Match Log'!$E$4:$E$311,"Win")</f>
        <v>0</v>
      </c>
      <c r="D32" s="66" t="str">
        <f t="shared" si="0"/>
        <v/>
      </c>
      <c r="E32" s="67" t="str">
        <f>IFERROR(IF($B32=0,"",INDEX('Sport Records'!$B$91:$O$109,MATCH($D$21,'Sport Records'!$A$91:$A$109,0),MATCH($A32,'Sport Records'!$B$90:$O$90,0))),"")</f>
        <v/>
      </c>
      <c r="F32" s="39" t="str">
        <f t="shared" si="1"/>
        <v/>
      </c>
    </row>
    <row r="33" spans="1:21" x14ac:dyDescent="0.2">
      <c r="A33" s="61" t="s">
        <v>176</v>
      </c>
      <c r="B33" s="36">
        <f>COUNTIFS('Match Log'!$D$4:$D$311,$A33,'Match Log'!$C$4:$C$311,$D$21)</f>
        <v>7</v>
      </c>
      <c r="C33" s="36">
        <f>COUNTIFS('Match Log'!$D$4:$D$311,$A33,'Match Log'!$C$4:$C$311,$D$21,'Match Log'!$E$4:$E$311,"Win")</f>
        <v>5</v>
      </c>
      <c r="D33" s="62">
        <f t="shared" si="0"/>
        <v>0.7142857142857143</v>
      </c>
      <c r="E33" s="63">
        <f>IFERROR(IF($B33=0,"",INDEX('Sport Records'!$B$91:$O$109,MATCH($D$21,'Sport Records'!$A$91:$A$109,0),MATCH($A33,'Sport Records'!$B$90:$O$90,0))),"")</f>
        <v>1034.9676314940889</v>
      </c>
      <c r="F33" s="36">
        <f t="shared" si="1"/>
        <v>3</v>
      </c>
    </row>
    <row r="34" spans="1:21" x14ac:dyDescent="0.2">
      <c r="A34" s="65" t="s">
        <v>178</v>
      </c>
      <c r="B34" s="39">
        <f>COUNTIFS('Match Log'!$D$4:$D$311,$A34,'Match Log'!$C$4:$C$311,$D$21)</f>
        <v>0</v>
      </c>
      <c r="C34" s="39">
        <f>COUNTIFS('Match Log'!$D$4:$D$311,$A34,'Match Log'!$C$4:$C$311,$D$21,'Match Log'!$E$4:$E$311,"Win")</f>
        <v>0</v>
      </c>
      <c r="D34" s="66" t="str">
        <f t="shared" si="0"/>
        <v/>
      </c>
      <c r="E34" s="67" t="str">
        <f>IFERROR(IF($B34=0,"",INDEX('Sport Records'!$B$91:$O$109,MATCH($D$21,'Sport Records'!$A$91:$A$109,0),MATCH($A34,'Sport Records'!$B$90:$O$90,0))),"")</f>
        <v/>
      </c>
      <c r="F34" s="39" t="str">
        <f t="shared" si="1"/>
        <v/>
      </c>
    </row>
    <row r="35" spans="1:21" x14ac:dyDescent="0.2">
      <c r="A35" s="61" t="s">
        <v>179</v>
      </c>
      <c r="B35" s="36">
        <f>COUNTIFS('Match Log'!$D$4:$D$311,$A35,'Match Log'!$C$4:$C$311,$D$21)</f>
        <v>0</v>
      </c>
      <c r="C35" s="36">
        <f>COUNTIFS('Match Log'!$D$4:$D$311,$A35,'Match Log'!$C$4:$C$311,$D$21,'Match Log'!$E$4:$E$311,"Win")</f>
        <v>0</v>
      </c>
      <c r="D35" s="62" t="str">
        <f t="shared" si="0"/>
        <v/>
      </c>
      <c r="E35" s="63" t="str">
        <f>IFERROR(IF($B35=0,"",INDEX('Sport Records'!$B$91:$O$109,MATCH($D$21,'Sport Records'!$A$91:$A$109,0),MATCH($A35,'Sport Records'!$B$90:$O$90,0))),"")</f>
        <v/>
      </c>
      <c r="F35" s="36" t="str">
        <f t="shared" si="1"/>
        <v/>
      </c>
    </row>
    <row r="36" spans="1:21" x14ac:dyDescent="0.2">
      <c r="A36" s="65" t="s">
        <v>181</v>
      </c>
      <c r="B36" s="39">
        <f>COUNTIFS('Match Log'!$D$4:$D$311,$A36,'Match Log'!$C$4:$C$311,$D$21)</f>
        <v>0</v>
      </c>
      <c r="C36" s="39">
        <f>COUNTIFS('Match Log'!$D$4:$D$311,$A36,'Match Log'!$C$4:$C$311,$D$21,'Match Log'!$E$4:$E$311,"Win")</f>
        <v>0</v>
      </c>
      <c r="D36" s="66" t="str">
        <f t="shared" si="0"/>
        <v/>
      </c>
      <c r="E36" s="67" t="str">
        <f>IFERROR(IF($B36=0,"",INDEX('Sport Records'!$B$91:$O$109,MATCH($D$21,'Sport Records'!$A$91:$A$109,0),MATCH($A36,'Sport Records'!$B$90:$O$90,0))),"")</f>
        <v/>
      </c>
      <c r="F36" s="39" t="str">
        <f t="shared" si="1"/>
        <v/>
      </c>
    </row>
    <row r="37" spans="1:21" x14ac:dyDescent="0.2">
      <c r="A37" s="26"/>
      <c r="B37" s="26"/>
      <c r="C37" s="26"/>
      <c r="D37" s="26"/>
      <c r="E37" s="26"/>
      <c r="F37" s="26"/>
    </row>
    <row r="38" spans="1:21" ht="15.75" customHeight="1" x14ac:dyDescent="0.2">
      <c r="A38" s="12" t="s">
        <v>288</v>
      </c>
      <c r="B38" s="26"/>
      <c r="C38" s="26"/>
      <c r="D38" s="26"/>
      <c r="E38" s="26"/>
      <c r="F38" s="26"/>
    </row>
    <row r="39" spans="1:21" x14ac:dyDescent="0.2">
      <c r="A39" s="111" t="s">
        <v>289</v>
      </c>
      <c r="B39" s="26"/>
      <c r="C39" s="26"/>
      <c r="D39" s="26"/>
      <c r="E39" s="26"/>
      <c r="F39" s="26"/>
    </row>
    <row r="40" spans="1:21" x14ac:dyDescent="0.2">
      <c r="A40" s="91" t="s">
        <v>145</v>
      </c>
      <c r="B40" s="112" t="str">
        <f>IFERROR(IF(INDEX('Match Log'!$E$1:$E$311,_xlfn.AGGREGATE(14,6,ROW('Match Log'!$A$4:$A$311)/('Match Log'!$D$4:$D$311=$A40),10))="Win","W","L"),"")</f>
        <v>L</v>
      </c>
      <c r="C40" s="112" t="str">
        <f>IFERROR(IF(INDEX('Match Log'!$E$1:$E$311,_xlfn.AGGREGATE(14,6,ROW('Match Log'!$A$4:$A$311)/('Match Log'!$D$4:$D$311=$A40),9))="Win","W","L"),"")</f>
        <v>W</v>
      </c>
      <c r="D40" s="112" t="str">
        <f>IFERROR(IF(INDEX('Match Log'!$E$1:$E$311,_xlfn.AGGREGATE(14,6,ROW('Match Log'!$A$4:$A$311)/('Match Log'!$D$4:$D$311=$A40),8))="Win","W","L"),"")</f>
        <v>W</v>
      </c>
      <c r="E40" s="112" t="str">
        <f>IFERROR(IF(INDEX('Match Log'!$E$1:$E$311,_xlfn.AGGREGATE(14,6,ROW('Match Log'!$A$4:$A$311)/('Match Log'!$D$4:$D$311=$A40),7))="Win","W","L"),"")</f>
        <v>L</v>
      </c>
      <c r="F40" s="112" t="str">
        <f>IFERROR(IF(INDEX('Match Log'!$E$1:$E$311,_xlfn.AGGREGATE(14,6,ROW('Match Log'!$A$4:$A$311)/('Match Log'!$D$4:$D$311=$A40),6))="Win","W","L"),"")</f>
        <v>L</v>
      </c>
      <c r="G40" s="112" t="str">
        <f>IFERROR(IF(INDEX('Match Log'!$E$1:$E$311,_xlfn.AGGREGATE(14,6,ROW('Match Log'!$A$4:$A$311)/('Match Log'!$D$4:$D$311=$A40),5))="Win","W","L"),"")</f>
        <v>W</v>
      </c>
      <c r="H40" s="112" t="str">
        <f>IFERROR(IF(INDEX('Match Log'!$E$1:$E$311,_xlfn.AGGREGATE(14,6,ROW('Match Log'!$A$4:$A$311)/('Match Log'!$D$4:$D$311=$A40),4))="Win","W","L"),"")</f>
        <v>W</v>
      </c>
      <c r="I40" s="112" t="str">
        <f>IFERROR(IF(INDEX('Match Log'!$E$1:$E$311,_xlfn.AGGREGATE(14,6,ROW('Match Log'!$A$4:$A$311)/('Match Log'!$D$4:$D$311=$A40),3))="Win","W","L"),"")</f>
        <v>W</v>
      </c>
      <c r="J40" s="112" t="str">
        <f>IFERROR(IF(INDEX('Match Log'!$E$1:$E$311,_xlfn.AGGREGATE(14,6,ROW('Match Log'!$A$4:$A$311)/('Match Log'!$D$4:$D$311=$A40),2))="Win","W","L"),"")</f>
        <v>W</v>
      </c>
      <c r="K40" s="112" t="str">
        <f>IFERROR(IF(INDEX('Match Log'!$E$1:$E$311,_xlfn.AGGREGATE(14,6,ROW('Match Log'!$A$4:$A$311)/('Match Log'!$D$4:$D$311=$A40),1))="Win","W","L"),"")</f>
        <v>W</v>
      </c>
    </row>
    <row r="41" spans="1:21" x14ac:dyDescent="0.2">
      <c r="A41" s="91" t="s">
        <v>142</v>
      </c>
      <c r="B41" s="112" t="str">
        <f>IFERROR(IF(INDEX('Match Log'!$E$1:$E$311,_xlfn.AGGREGATE(14,6,ROW('Match Log'!$A$4:$A$311)/('Match Log'!$D$4:$D$311=$A41),10))="Win","W","L"),"")</f>
        <v>L</v>
      </c>
      <c r="C41" s="112" t="str">
        <f>IFERROR(IF(INDEX('Match Log'!$E$1:$E$311,_xlfn.AGGREGATE(14,6,ROW('Match Log'!$A$4:$A$311)/('Match Log'!$D$4:$D$311=$A41),9))="Win","W","L"),"")</f>
        <v>W</v>
      </c>
      <c r="D41" s="112" t="str">
        <f>IFERROR(IF(INDEX('Match Log'!$E$1:$E$311,_xlfn.AGGREGATE(14,6,ROW('Match Log'!$A$4:$A$311)/('Match Log'!$D$4:$D$311=$A41),8))="Win","W","L"),"")</f>
        <v>W</v>
      </c>
      <c r="E41" s="112" t="str">
        <f>IFERROR(IF(INDEX('Match Log'!$E$1:$E$311,_xlfn.AGGREGATE(14,6,ROW('Match Log'!$A$4:$A$311)/('Match Log'!$D$4:$D$311=$A41),7))="Win","W","L"),"")</f>
        <v>L</v>
      </c>
      <c r="F41" s="112" t="str">
        <f>IFERROR(IF(INDEX('Match Log'!$E$1:$E$311,_xlfn.AGGREGATE(14,6,ROW('Match Log'!$A$4:$A$311)/('Match Log'!$D$4:$D$311=$A41),6))="Win","W","L"),"")</f>
        <v>W</v>
      </c>
      <c r="G41" s="112" t="str">
        <f>IFERROR(IF(INDEX('Match Log'!$E$1:$E$311,_xlfn.AGGREGATE(14,6,ROW('Match Log'!$A$4:$A$311)/('Match Log'!$D$4:$D$311=$A41),5))="Win","W","L"),"")</f>
        <v>L</v>
      </c>
      <c r="H41" s="112" t="str">
        <f>IFERROR(IF(INDEX('Match Log'!$E$1:$E$311,_xlfn.AGGREGATE(14,6,ROW('Match Log'!$A$4:$A$311)/('Match Log'!$D$4:$D$311=$A41),4))="Win","W","L"),"")</f>
        <v>W</v>
      </c>
      <c r="I41" s="112" t="str">
        <f>IFERROR(IF(INDEX('Match Log'!$E$1:$E$311,_xlfn.AGGREGATE(14,6,ROW('Match Log'!$A$4:$A$311)/('Match Log'!$D$4:$D$311=$A41),3))="Win","W","L"),"")</f>
        <v>W</v>
      </c>
      <c r="J41" s="112" t="str">
        <f>IFERROR(IF(INDEX('Match Log'!$E$1:$E$311,_xlfn.AGGREGATE(14,6,ROW('Match Log'!$A$4:$A$311)/('Match Log'!$D$4:$D$311=$A41),2))="Win","W","L"),"")</f>
        <v>L</v>
      </c>
      <c r="K41" s="112" t="str">
        <f>IFERROR(IF(INDEX('Match Log'!$E$1:$E$311,_xlfn.AGGREGATE(14,6,ROW('Match Log'!$A$4:$A$311)/('Match Log'!$D$4:$D$311=$A41),1))="Win","W","L"),"")</f>
        <v>L</v>
      </c>
    </row>
    <row r="42" spans="1:21" x14ac:dyDescent="0.2">
      <c r="A42" s="91" t="s">
        <v>180</v>
      </c>
      <c r="B42" s="112" t="str">
        <f>IFERROR(IF(INDEX('Match Log'!$E$1:$E$311,_xlfn.AGGREGATE(14,6,ROW('Match Log'!$A$4:$A$311)/('Match Log'!$D$4:$D$311=$A42),10))="Win","W","L"),"")</f>
        <v>L</v>
      </c>
      <c r="C42" s="112" t="str">
        <f>IFERROR(IF(INDEX('Match Log'!$E$1:$E$311,_xlfn.AGGREGATE(14,6,ROW('Match Log'!$A$4:$A$311)/('Match Log'!$D$4:$D$311=$A42),9))="Win","W","L"),"")</f>
        <v>L</v>
      </c>
      <c r="D42" s="112" t="str">
        <f>IFERROR(IF(INDEX('Match Log'!$E$1:$E$311,_xlfn.AGGREGATE(14,6,ROW('Match Log'!$A$4:$A$311)/('Match Log'!$D$4:$D$311=$A42),8))="Win","W","L"),"")</f>
        <v>W</v>
      </c>
      <c r="E42" s="112" t="str">
        <f>IFERROR(IF(INDEX('Match Log'!$E$1:$E$311,_xlfn.AGGREGATE(14,6,ROW('Match Log'!$A$4:$A$311)/('Match Log'!$D$4:$D$311=$A42),7))="Win","W","L"),"")</f>
        <v>W</v>
      </c>
      <c r="F42" s="112" t="str">
        <f>IFERROR(IF(INDEX('Match Log'!$E$1:$E$311,_xlfn.AGGREGATE(14,6,ROW('Match Log'!$A$4:$A$311)/('Match Log'!$D$4:$D$311=$A42),6))="Win","W","L"),"")</f>
        <v>W</v>
      </c>
      <c r="G42" s="112" t="str">
        <f>IFERROR(IF(INDEX('Match Log'!$E$1:$E$311,_xlfn.AGGREGATE(14,6,ROW('Match Log'!$A$4:$A$311)/('Match Log'!$D$4:$D$311=$A42),5))="Win","W","L"),"")</f>
        <v>W</v>
      </c>
      <c r="H42" s="112" t="str">
        <f>IFERROR(IF(INDEX('Match Log'!$E$1:$E$311,_xlfn.AGGREGATE(14,6,ROW('Match Log'!$A$4:$A$311)/('Match Log'!$D$4:$D$311=$A42),4))="Win","W","L"),"")</f>
        <v>L</v>
      </c>
      <c r="I42" s="112" t="str">
        <f>IFERROR(IF(INDEX('Match Log'!$E$1:$E$311,_xlfn.AGGREGATE(14,6,ROW('Match Log'!$A$4:$A$311)/('Match Log'!$D$4:$D$311=$A42),3))="Win","W","L"),"")</f>
        <v>L</v>
      </c>
      <c r="J42" s="112" t="str">
        <f>IFERROR(IF(INDEX('Match Log'!$E$1:$E$311,_xlfn.AGGREGATE(14,6,ROW('Match Log'!$A$4:$A$311)/('Match Log'!$D$4:$D$311=$A42),2))="Win","W","L"),"")</f>
        <v>L</v>
      </c>
      <c r="K42" s="112" t="str">
        <f>IFERROR(IF(INDEX('Match Log'!$E$1:$E$311,_xlfn.AGGREGATE(14,6,ROW('Match Log'!$A$4:$A$311)/('Match Log'!$D$4:$D$311=$A42),1))="Win","W","L"),"")</f>
        <v>W</v>
      </c>
    </row>
    <row r="43" spans="1:21" x14ac:dyDescent="0.2">
      <c r="A43" s="91" t="s">
        <v>147</v>
      </c>
      <c r="B43" s="112" t="str">
        <f>IFERROR(IF(INDEX('Match Log'!$E$1:$E$311,_xlfn.AGGREGATE(14,6,ROW('Match Log'!$A$4:$A$311)/('Match Log'!$D$4:$D$311=$A43),10))="Win","W","L"),"")</f>
        <v>L</v>
      </c>
      <c r="C43" s="112" t="str">
        <f>IFERROR(IF(INDEX('Match Log'!$E$1:$E$311,_xlfn.AGGREGATE(14,6,ROW('Match Log'!$A$4:$A$311)/('Match Log'!$D$4:$D$311=$A43),9))="Win","W","L"),"")</f>
        <v>W</v>
      </c>
      <c r="D43" s="112" t="str">
        <f>IFERROR(IF(INDEX('Match Log'!$E$1:$E$311,_xlfn.AGGREGATE(14,6,ROW('Match Log'!$A$4:$A$311)/('Match Log'!$D$4:$D$311=$A43),8))="Win","W","L"),"")</f>
        <v>L</v>
      </c>
      <c r="E43" s="112" t="str">
        <f>IFERROR(IF(INDEX('Match Log'!$E$1:$E$311,_xlfn.AGGREGATE(14,6,ROW('Match Log'!$A$4:$A$311)/('Match Log'!$D$4:$D$311=$A43),7))="Win","W","L"),"")</f>
        <v>W</v>
      </c>
      <c r="F43" s="112" t="str">
        <f>IFERROR(IF(INDEX('Match Log'!$E$1:$E$311,_xlfn.AGGREGATE(14,6,ROW('Match Log'!$A$4:$A$311)/('Match Log'!$D$4:$D$311=$A43),6))="Win","W","L"),"")</f>
        <v>L</v>
      </c>
      <c r="G43" s="112" t="str">
        <f>IFERROR(IF(INDEX('Match Log'!$E$1:$E$311,_xlfn.AGGREGATE(14,6,ROW('Match Log'!$A$4:$A$311)/('Match Log'!$D$4:$D$311=$A43),5))="Win","W","L"),"")</f>
        <v>L</v>
      </c>
      <c r="H43" s="112" t="str">
        <f>IFERROR(IF(INDEX('Match Log'!$E$1:$E$311,_xlfn.AGGREGATE(14,6,ROW('Match Log'!$A$4:$A$311)/('Match Log'!$D$4:$D$311=$A43),4))="Win","W","L"),"")</f>
        <v>L</v>
      </c>
      <c r="I43" s="112" t="str">
        <f>IFERROR(IF(INDEX('Match Log'!$E$1:$E$311,_xlfn.AGGREGATE(14,6,ROW('Match Log'!$A$4:$A$311)/('Match Log'!$D$4:$D$311=$A43),3))="Win","W","L"),"")</f>
        <v>L</v>
      </c>
      <c r="J43" s="112" t="str">
        <f>IFERROR(IF(INDEX('Match Log'!$E$1:$E$311,_xlfn.AGGREGATE(14,6,ROW('Match Log'!$A$4:$A$311)/('Match Log'!$D$4:$D$311=$A43),2))="Win","W","L"),"")</f>
        <v>W</v>
      </c>
      <c r="K43" s="112" t="str">
        <f>IFERROR(IF(INDEX('Match Log'!$E$1:$E$311,_xlfn.AGGREGATE(14,6,ROW('Match Log'!$A$4:$A$311)/('Match Log'!$D$4:$D$311=$A43),1))="Win","W","L"),"")</f>
        <v>W</v>
      </c>
    </row>
    <row r="44" spans="1:21" x14ac:dyDescent="0.2">
      <c r="A44" s="91" t="s">
        <v>144</v>
      </c>
      <c r="B44" s="112" t="str">
        <f>IFERROR(IF(INDEX('Match Log'!$E$1:$E$311,_xlfn.AGGREGATE(14,6,ROW('Match Log'!$A$4:$A$311)/('Match Log'!$D$4:$D$311=$A44),10))="Win","W","L"),"")</f>
        <v>W</v>
      </c>
      <c r="C44" s="112" t="str">
        <f>IFERROR(IF(INDEX('Match Log'!$E$1:$E$311,_xlfn.AGGREGATE(14,6,ROW('Match Log'!$A$4:$A$311)/('Match Log'!$D$4:$D$311=$A44),9))="Win","W","L"),"")</f>
        <v>L</v>
      </c>
      <c r="D44" s="112" t="str">
        <f>IFERROR(IF(INDEX('Match Log'!$E$1:$E$311,_xlfn.AGGREGATE(14,6,ROW('Match Log'!$A$4:$A$311)/('Match Log'!$D$4:$D$311=$A44),8))="Win","W","L"),"")</f>
        <v>W</v>
      </c>
      <c r="E44" s="112" t="str">
        <f>IFERROR(IF(INDEX('Match Log'!$E$1:$E$311,_xlfn.AGGREGATE(14,6,ROW('Match Log'!$A$4:$A$311)/('Match Log'!$D$4:$D$311=$A44),7))="Win","W","L"),"")</f>
        <v>L</v>
      </c>
      <c r="F44" s="112" t="str">
        <f>IFERROR(IF(INDEX('Match Log'!$E$1:$E$311,_xlfn.AGGREGATE(14,6,ROW('Match Log'!$A$4:$A$311)/('Match Log'!$D$4:$D$311=$A44),6))="Win","W","L"),"")</f>
        <v>L</v>
      </c>
      <c r="G44" s="112" t="str">
        <f>IFERROR(IF(INDEX('Match Log'!$E$1:$E$311,_xlfn.AGGREGATE(14,6,ROW('Match Log'!$A$4:$A$311)/('Match Log'!$D$4:$D$311=$A44),5))="Win","W","L"),"")</f>
        <v>L</v>
      </c>
      <c r="H44" s="112" t="str">
        <f>IFERROR(IF(INDEX('Match Log'!$E$1:$E$311,_xlfn.AGGREGATE(14,6,ROW('Match Log'!$A$4:$A$311)/('Match Log'!$D$4:$D$311=$A44),4))="Win","W","L"),"")</f>
        <v>L</v>
      </c>
      <c r="I44" s="112" t="str">
        <f>IFERROR(IF(INDEX('Match Log'!$E$1:$E$311,_xlfn.AGGREGATE(14,6,ROW('Match Log'!$A$4:$A$311)/('Match Log'!$D$4:$D$311=$A44),3))="Win","W","L"),"")</f>
        <v>W</v>
      </c>
      <c r="J44" s="112" t="str">
        <f>IFERROR(IF(INDEX('Match Log'!$E$1:$E$311,_xlfn.AGGREGATE(14,6,ROW('Match Log'!$A$4:$A$311)/('Match Log'!$D$4:$D$311=$A44),2))="Win","W","L"),"")</f>
        <v>W</v>
      </c>
      <c r="K44" s="112" t="str">
        <f>IFERROR(IF(INDEX('Match Log'!$E$1:$E$311,_xlfn.AGGREGATE(14,6,ROW('Match Log'!$A$4:$A$311)/('Match Log'!$D$4:$D$311=$A44),1))="Win","W","L"),"")</f>
        <v>L</v>
      </c>
    </row>
    <row r="45" spans="1:21" x14ac:dyDescent="0.2">
      <c r="A45" s="91" t="s">
        <v>141</v>
      </c>
      <c r="B45" s="112" t="str">
        <f>IFERROR(IF(INDEX('Match Log'!$E$1:$E$311,_xlfn.AGGREGATE(14,6,ROW('Match Log'!$A$4:$A$311)/('Match Log'!$D$4:$D$311=$A45),10))="Win","W","L"),"")</f>
        <v>L</v>
      </c>
      <c r="C45" s="112" t="str">
        <f>IFERROR(IF(INDEX('Match Log'!$E$1:$E$311,_xlfn.AGGREGATE(14,6,ROW('Match Log'!$A$4:$A$311)/('Match Log'!$D$4:$D$311=$A45),9))="Win","W","L"),"")</f>
        <v>L</v>
      </c>
      <c r="D45" s="112" t="str">
        <f>IFERROR(IF(INDEX('Match Log'!$E$1:$E$311,_xlfn.AGGREGATE(14,6,ROW('Match Log'!$A$4:$A$311)/('Match Log'!$D$4:$D$311=$A45),8))="Win","W","L"),"")</f>
        <v>L</v>
      </c>
      <c r="E45" s="112" t="str">
        <f>IFERROR(IF(INDEX('Match Log'!$E$1:$E$311,_xlfn.AGGREGATE(14,6,ROW('Match Log'!$A$4:$A$311)/('Match Log'!$D$4:$D$311=$A45),7))="Win","W","L"),"")</f>
        <v>W</v>
      </c>
      <c r="F45" s="112" t="str">
        <f>IFERROR(IF(INDEX('Match Log'!$E$1:$E$311,_xlfn.AGGREGATE(14,6,ROW('Match Log'!$A$4:$A$311)/('Match Log'!$D$4:$D$311=$A45),6))="Win","W","L"),"")</f>
        <v>L</v>
      </c>
      <c r="G45" s="112" t="str">
        <f>IFERROR(IF(INDEX('Match Log'!$E$1:$E$311,_xlfn.AGGREGATE(14,6,ROW('Match Log'!$A$4:$A$311)/('Match Log'!$D$4:$D$311=$A45),5))="Win","W","L"),"")</f>
        <v>L</v>
      </c>
      <c r="H45" s="112" t="str">
        <f>IFERROR(IF(INDEX('Match Log'!$E$1:$E$311,_xlfn.AGGREGATE(14,6,ROW('Match Log'!$A$4:$A$311)/('Match Log'!$D$4:$D$311=$A45),4))="Win","W","L"),"")</f>
        <v>L</v>
      </c>
      <c r="I45" s="112" t="str">
        <f>IFERROR(IF(INDEX('Match Log'!$E$1:$E$311,_xlfn.AGGREGATE(14,6,ROW('Match Log'!$A$4:$A$311)/('Match Log'!$D$4:$D$311=$A45),3))="Win","W","L"),"")</f>
        <v>L</v>
      </c>
      <c r="J45" s="112" t="str">
        <f>IFERROR(IF(INDEX('Match Log'!$E$1:$E$311,_xlfn.AGGREGATE(14,6,ROW('Match Log'!$A$4:$A$311)/('Match Log'!$D$4:$D$311=$A45),2))="Win","W","L"),"")</f>
        <v>W</v>
      </c>
      <c r="K45" s="112" t="str">
        <f>IFERROR(IF(INDEX('Match Log'!$E$1:$E$311,_xlfn.AGGREGATE(14,6,ROW('Match Log'!$A$4:$A$311)/('Match Log'!$D$4:$D$311=$A45),1))="Win","W","L"),"")</f>
        <v>W</v>
      </c>
    </row>
    <row r="46" spans="1:21" x14ac:dyDescent="0.2">
      <c r="A46" s="91" t="s">
        <v>175</v>
      </c>
      <c r="B46" s="112" t="str">
        <f>IFERROR(IF(INDEX('Match Log'!$E$1:$E$311,_xlfn.AGGREGATE(14,6,ROW('Match Log'!$A$4:$A$311)/('Match Log'!$D$4:$D$311=$A46),10))="Win","W","L"),"")</f>
        <v>W</v>
      </c>
      <c r="C46" s="112" t="str">
        <f>IFERROR(IF(INDEX('Match Log'!$E$1:$E$311,_xlfn.AGGREGATE(14,6,ROW('Match Log'!$A$4:$A$311)/('Match Log'!$D$4:$D$311=$A46),9))="Win","W","L"),"")</f>
        <v>L</v>
      </c>
      <c r="D46" s="112" t="str">
        <f>IFERROR(IF(INDEX('Match Log'!$E$1:$E$311,_xlfn.AGGREGATE(14,6,ROW('Match Log'!$A$4:$A$311)/('Match Log'!$D$4:$D$311=$A46),8))="Win","W","L"),"")</f>
        <v>W</v>
      </c>
      <c r="E46" s="112" t="str">
        <f>IFERROR(IF(INDEX('Match Log'!$E$1:$E$311,_xlfn.AGGREGATE(14,6,ROW('Match Log'!$A$4:$A$311)/('Match Log'!$D$4:$D$311=$A46),7))="Win","W","L"),"")</f>
        <v>L</v>
      </c>
      <c r="F46" s="112" t="str">
        <f>IFERROR(IF(INDEX('Match Log'!$E$1:$E$311,_xlfn.AGGREGATE(14,6,ROW('Match Log'!$A$4:$A$311)/('Match Log'!$D$4:$D$311=$A46),6))="Win","W","L"),"")</f>
        <v>L</v>
      </c>
      <c r="G46" s="112" t="str">
        <f>IFERROR(IF(INDEX('Match Log'!$E$1:$E$311,_xlfn.AGGREGATE(14,6,ROW('Match Log'!$A$4:$A$311)/('Match Log'!$D$4:$D$311=$A46),5))="Win","W","L"),"")</f>
        <v>W</v>
      </c>
      <c r="H46" s="112" t="str">
        <f>IFERROR(IF(INDEX('Match Log'!$E$1:$E$311,_xlfn.AGGREGATE(14,6,ROW('Match Log'!$A$4:$A$311)/('Match Log'!$D$4:$D$311=$A46),4))="Win","W","L"),"")</f>
        <v>W</v>
      </c>
      <c r="I46" s="112" t="str">
        <f>IFERROR(IF(INDEX('Match Log'!$E$1:$E$311,_xlfn.AGGREGATE(14,6,ROW('Match Log'!$A$4:$A$311)/('Match Log'!$D$4:$D$311=$A46),3))="Win","W","L"),"")</f>
        <v>L</v>
      </c>
      <c r="J46" s="112" t="str">
        <f>IFERROR(IF(INDEX('Match Log'!$E$1:$E$311,_xlfn.AGGREGATE(14,6,ROW('Match Log'!$A$4:$A$311)/('Match Log'!$D$4:$D$311=$A46),2))="Win","W","L"),"")</f>
        <v>L</v>
      </c>
      <c r="K46" s="112" t="str">
        <f>IFERROR(IF(INDEX('Match Log'!$E$1:$E$311,_xlfn.AGGREGATE(14,6,ROW('Match Log'!$A$4:$A$311)/('Match Log'!$D$4:$D$311=$A46),1))="Win","W","L"),"")</f>
        <v>L</v>
      </c>
      <c r="L46" s="26"/>
      <c r="M46" s="26"/>
      <c r="N46" s="26"/>
      <c r="O46" s="26"/>
      <c r="P46" s="26"/>
      <c r="Q46" s="26"/>
      <c r="R46" s="26"/>
      <c r="S46" s="26"/>
      <c r="T46" s="26"/>
      <c r="U46" s="26"/>
    </row>
    <row r="47" spans="1:21" x14ac:dyDescent="0.2">
      <c r="A47" s="91" t="s">
        <v>177</v>
      </c>
      <c r="B47" s="112" t="str">
        <f>IFERROR(IF(INDEX('Match Log'!$E$1:$E$311,_xlfn.AGGREGATE(14,6,ROW('Match Log'!$A$4:$A$311)/('Match Log'!$D$4:$D$311=$A47),10))="Win","W","L"),"")</f>
        <v>W</v>
      </c>
      <c r="C47" s="112" t="str">
        <f>IFERROR(IF(INDEX('Match Log'!$E$1:$E$311,_xlfn.AGGREGATE(14,6,ROW('Match Log'!$A$4:$A$311)/('Match Log'!$D$4:$D$311=$A47),9))="Win","W","L"),"")</f>
        <v>L</v>
      </c>
      <c r="D47" s="112" t="str">
        <f>IFERROR(IF(INDEX('Match Log'!$E$1:$E$311,_xlfn.AGGREGATE(14,6,ROW('Match Log'!$A$4:$A$311)/('Match Log'!$D$4:$D$311=$A47),8))="Win","W","L"),"")</f>
        <v>L</v>
      </c>
      <c r="E47" s="112" t="str">
        <f>IFERROR(IF(INDEX('Match Log'!$E$1:$E$311,_xlfn.AGGREGATE(14,6,ROW('Match Log'!$A$4:$A$311)/('Match Log'!$D$4:$D$311=$A47),7))="Win","W","L"),"")</f>
        <v>L</v>
      </c>
      <c r="F47" s="112" t="str">
        <f>IFERROR(IF(INDEX('Match Log'!$E$1:$E$311,_xlfn.AGGREGATE(14,6,ROW('Match Log'!$A$4:$A$311)/('Match Log'!$D$4:$D$311=$A47),6))="Win","W","L"),"")</f>
        <v>W</v>
      </c>
      <c r="G47" s="112" t="str">
        <f>IFERROR(IF(INDEX('Match Log'!$E$1:$E$311,_xlfn.AGGREGATE(14,6,ROW('Match Log'!$A$4:$A$311)/('Match Log'!$D$4:$D$311=$A47),5))="Win","W","L"),"")</f>
        <v>W</v>
      </c>
      <c r="H47" s="112" t="str">
        <f>IFERROR(IF(INDEX('Match Log'!$E$1:$E$311,_xlfn.AGGREGATE(14,6,ROW('Match Log'!$A$4:$A$311)/('Match Log'!$D$4:$D$311=$A47),4))="Win","W","L"),"")</f>
        <v>L</v>
      </c>
      <c r="I47" s="112" t="str">
        <f>IFERROR(IF(INDEX('Match Log'!$E$1:$E$311,_xlfn.AGGREGATE(14,6,ROW('Match Log'!$A$4:$A$311)/('Match Log'!$D$4:$D$311=$A47),3))="Win","W","L"),"")</f>
        <v>L</v>
      </c>
      <c r="J47" s="112" t="str">
        <f>IFERROR(IF(INDEX('Match Log'!$E$1:$E$311,_xlfn.AGGREGATE(14,6,ROW('Match Log'!$A$4:$A$311)/('Match Log'!$D$4:$D$311=$A47),2))="Win","W","L"),"")</f>
        <v>W</v>
      </c>
      <c r="K47" s="112" t="str">
        <f>IFERROR(IF(INDEX('Match Log'!$E$1:$E$311,_xlfn.AGGREGATE(14,6,ROW('Match Log'!$A$4:$A$311)/('Match Log'!$D$4:$D$311=$A47),1))="Win","W","L"),"")</f>
        <v>L</v>
      </c>
      <c r="L47" s="26"/>
      <c r="M47" s="26"/>
      <c r="N47" s="26"/>
      <c r="O47" s="26"/>
      <c r="P47" s="26"/>
      <c r="Q47" s="26"/>
      <c r="R47" s="26"/>
      <c r="S47" s="26"/>
      <c r="T47" s="26"/>
      <c r="U47" s="26"/>
    </row>
    <row r="48" spans="1:21" ht="15.75" customHeight="1" x14ac:dyDescent="0.2">
      <c r="A48" s="91" t="s">
        <v>174</v>
      </c>
      <c r="B48" s="112" t="str">
        <f>IFERROR(IF(INDEX('Match Log'!$E$1:$E$311,_xlfn.AGGREGATE(14,6,ROW('Match Log'!$A$4:$A$311)/('Match Log'!$D$4:$D$311=$A48),10))="Win","W","L"),"")</f>
        <v>W</v>
      </c>
      <c r="C48" s="112" t="str">
        <f>IFERROR(IF(INDEX('Match Log'!$E$1:$E$311,_xlfn.AGGREGATE(14,6,ROW('Match Log'!$A$4:$A$311)/('Match Log'!$D$4:$D$311=$A48),9))="Win","W","L"),"")</f>
        <v>W</v>
      </c>
      <c r="D48" s="112" t="str">
        <f>IFERROR(IF(INDEX('Match Log'!$E$1:$E$311,_xlfn.AGGREGATE(14,6,ROW('Match Log'!$A$4:$A$311)/('Match Log'!$D$4:$D$311=$A48),8))="Win","W","L"),"")</f>
        <v>L</v>
      </c>
      <c r="E48" s="112" t="str">
        <f>IFERROR(IF(INDEX('Match Log'!$E$1:$E$311,_xlfn.AGGREGATE(14,6,ROW('Match Log'!$A$4:$A$311)/('Match Log'!$D$4:$D$311=$A48),7))="Win","W","L"),"")</f>
        <v>W</v>
      </c>
      <c r="F48" s="112" t="str">
        <f>IFERROR(IF(INDEX('Match Log'!$E$1:$E$311,_xlfn.AGGREGATE(14,6,ROW('Match Log'!$A$4:$A$311)/('Match Log'!$D$4:$D$311=$A48),6))="Win","W","L"),"")</f>
        <v>W</v>
      </c>
      <c r="G48" s="112" t="str">
        <f>IFERROR(IF(INDEX('Match Log'!$E$1:$E$311,_xlfn.AGGREGATE(14,6,ROW('Match Log'!$A$4:$A$311)/('Match Log'!$D$4:$D$311=$A48),5))="Win","W","L"),"")</f>
        <v>L</v>
      </c>
      <c r="H48" s="112" t="str">
        <f>IFERROR(IF(INDEX('Match Log'!$E$1:$E$311,_xlfn.AGGREGATE(14,6,ROW('Match Log'!$A$4:$A$311)/('Match Log'!$D$4:$D$311=$A48),4))="Win","W","L"),"")</f>
        <v>L</v>
      </c>
      <c r="I48" s="112" t="str">
        <f>IFERROR(IF(INDEX('Match Log'!$E$1:$E$311,_xlfn.AGGREGATE(14,6,ROW('Match Log'!$A$4:$A$311)/('Match Log'!$D$4:$D$311=$A48),3))="Win","W","L"),"")</f>
        <v>L</v>
      </c>
      <c r="J48" s="112" t="str">
        <f>IFERROR(IF(INDEX('Match Log'!$E$1:$E$311,_xlfn.AGGREGATE(14,6,ROW('Match Log'!$A$4:$A$311)/('Match Log'!$D$4:$D$311=$A48),2))="Win","W","L"),"")</f>
        <v>W</v>
      </c>
      <c r="K48" s="112" t="str">
        <f>IFERROR(IF(INDEX('Match Log'!$E$1:$E$311,_xlfn.AGGREGATE(14,6,ROW('Match Log'!$A$4:$A$311)/('Match Log'!$D$4:$D$311=$A48),1))="Win","W","L"),"")</f>
        <v>W</v>
      </c>
      <c r="L48" s="26"/>
      <c r="M48" s="26"/>
      <c r="N48" s="26"/>
      <c r="O48" s="26"/>
      <c r="P48" s="26"/>
      <c r="Q48" s="26"/>
      <c r="R48" s="26"/>
      <c r="S48" s="26"/>
      <c r="T48" s="26"/>
      <c r="U48" s="26"/>
    </row>
    <row r="49" spans="1:21" x14ac:dyDescent="0.2">
      <c r="A49" s="91" t="s">
        <v>182</v>
      </c>
      <c r="B49" s="112" t="str">
        <f>IFERROR(IF(INDEX('Match Log'!$E$1:$E$311,_xlfn.AGGREGATE(14,6,ROW('Match Log'!$A$4:$A$311)/('Match Log'!$D$4:$D$311=$A49),10))="Win","W","L"),"")</f>
        <v>L</v>
      </c>
      <c r="C49" s="112" t="str">
        <f>IFERROR(IF(INDEX('Match Log'!$E$1:$E$311,_xlfn.AGGREGATE(14,6,ROW('Match Log'!$A$4:$A$311)/('Match Log'!$D$4:$D$311=$A49),9))="Win","W","L"),"")</f>
        <v>L</v>
      </c>
      <c r="D49" s="112" t="str">
        <f>IFERROR(IF(INDEX('Match Log'!$E$1:$E$311,_xlfn.AGGREGATE(14,6,ROW('Match Log'!$A$4:$A$311)/('Match Log'!$D$4:$D$311=$A49),8))="Win","W","L"),"")</f>
        <v>L</v>
      </c>
      <c r="E49" s="112" t="str">
        <f>IFERROR(IF(INDEX('Match Log'!$E$1:$E$311,_xlfn.AGGREGATE(14,6,ROW('Match Log'!$A$4:$A$311)/('Match Log'!$D$4:$D$311=$A49),7))="Win","W","L"),"")</f>
        <v>L</v>
      </c>
      <c r="F49" s="112" t="str">
        <f>IFERROR(IF(INDEX('Match Log'!$E$1:$E$311,_xlfn.AGGREGATE(14,6,ROW('Match Log'!$A$4:$A$311)/('Match Log'!$D$4:$D$311=$A49),6))="Win","W","L"),"")</f>
        <v>W</v>
      </c>
      <c r="G49" s="112" t="str">
        <f>IFERROR(IF(INDEX('Match Log'!$E$1:$E$311,_xlfn.AGGREGATE(14,6,ROW('Match Log'!$A$4:$A$311)/('Match Log'!$D$4:$D$311=$A49),5))="Win","W","L"),"")</f>
        <v>W</v>
      </c>
      <c r="H49" s="112" t="str">
        <f>IFERROR(IF(INDEX('Match Log'!$E$1:$E$311,_xlfn.AGGREGATE(14,6,ROW('Match Log'!$A$4:$A$311)/('Match Log'!$D$4:$D$311=$A49),4))="Win","W","L"),"")</f>
        <v>L</v>
      </c>
      <c r="I49" s="112" t="str">
        <f>IFERROR(IF(INDEX('Match Log'!$E$1:$E$311,_xlfn.AGGREGATE(14,6,ROW('Match Log'!$A$4:$A$311)/('Match Log'!$D$4:$D$311=$A49),3))="Win","W","L"),"")</f>
        <v>L</v>
      </c>
      <c r="J49" s="112" t="str">
        <f>IFERROR(IF(INDEX('Match Log'!$E$1:$E$311,_xlfn.AGGREGATE(14,6,ROW('Match Log'!$A$4:$A$311)/('Match Log'!$D$4:$D$311=$A49),2))="Win","W","L"),"")</f>
        <v>L</v>
      </c>
      <c r="K49" s="112" t="str">
        <f>IFERROR(IF(INDEX('Match Log'!$E$1:$E$311,_xlfn.AGGREGATE(14,6,ROW('Match Log'!$A$4:$A$311)/('Match Log'!$D$4:$D$311=$A49),1))="Win","W","L"),"")</f>
        <v>L</v>
      </c>
      <c r="L49" s="26"/>
      <c r="M49" s="26"/>
      <c r="N49" s="26"/>
      <c r="O49" s="26"/>
      <c r="P49" s="26"/>
      <c r="Q49" s="26"/>
      <c r="R49" s="26"/>
      <c r="S49" s="26"/>
      <c r="T49" s="26"/>
      <c r="U49" s="26"/>
    </row>
    <row r="50" spans="1:21" x14ac:dyDescent="0.2">
      <c r="A50" s="91" t="s">
        <v>176</v>
      </c>
      <c r="B50" s="112" t="str">
        <f>IFERROR(IF(INDEX('Match Log'!$E$1:$E$311,_xlfn.AGGREGATE(14,6,ROW('Match Log'!$A$4:$A$311)/('Match Log'!$D$4:$D$311=$A50),10))="Win","W","L"),"")</f>
        <v>W</v>
      </c>
      <c r="C50" s="112" t="str">
        <f>IFERROR(IF(INDEX('Match Log'!$E$1:$E$311,_xlfn.AGGREGATE(14,6,ROW('Match Log'!$A$4:$A$311)/('Match Log'!$D$4:$D$311=$A50),9))="Win","W","L"),"")</f>
        <v>W</v>
      </c>
      <c r="D50" s="112" t="str">
        <f>IFERROR(IF(INDEX('Match Log'!$E$1:$E$311,_xlfn.AGGREGATE(14,6,ROW('Match Log'!$A$4:$A$311)/('Match Log'!$D$4:$D$311=$A50),8))="Win","W","L"),"")</f>
        <v>W</v>
      </c>
      <c r="E50" s="112" t="str">
        <f>IFERROR(IF(INDEX('Match Log'!$E$1:$E$311,_xlfn.AGGREGATE(14,6,ROW('Match Log'!$A$4:$A$311)/('Match Log'!$D$4:$D$311=$A50),7))="Win","W","L"),"")</f>
        <v>L</v>
      </c>
      <c r="F50" s="112" t="str">
        <f>IFERROR(IF(INDEX('Match Log'!$E$1:$E$311,_xlfn.AGGREGATE(14,6,ROW('Match Log'!$A$4:$A$311)/('Match Log'!$D$4:$D$311=$A50),6))="Win","W","L"),"")</f>
        <v>W</v>
      </c>
      <c r="G50" s="112" t="str">
        <f>IFERROR(IF(INDEX('Match Log'!$E$1:$E$311,_xlfn.AGGREGATE(14,6,ROW('Match Log'!$A$4:$A$311)/('Match Log'!$D$4:$D$311=$A50),5))="Win","W","L"),"")</f>
        <v>W</v>
      </c>
      <c r="H50" s="112" t="str">
        <f>IFERROR(IF(INDEX('Match Log'!$E$1:$E$311,_xlfn.AGGREGATE(14,6,ROW('Match Log'!$A$4:$A$311)/('Match Log'!$D$4:$D$311=$A50),4))="Win","W","L"),"")</f>
        <v>W</v>
      </c>
      <c r="I50" s="112" t="str">
        <f>IFERROR(IF(INDEX('Match Log'!$E$1:$E$311,_xlfn.AGGREGATE(14,6,ROW('Match Log'!$A$4:$A$311)/('Match Log'!$D$4:$D$311=$A50),3))="Win","W","L"),"")</f>
        <v>W</v>
      </c>
      <c r="J50" s="112" t="str">
        <f>IFERROR(IF(INDEX('Match Log'!$E$1:$E$311,_xlfn.AGGREGATE(14,6,ROW('Match Log'!$A$4:$A$311)/('Match Log'!$D$4:$D$311=$A50),2))="Win","W","L"),"")</f>
        <v>L</v>
      </c>
      <c r="K50" s="112" t="str">
        <f>IFERROR(IF(INDEX('Match Log'!$E$1:$E$311,_xlfn.AGGREGATE(14,6,ROW('Match Log'!$A$4:$A$311)/('Match Log'!$D$4:$D$311=$A50),1))="Win","W","L"),"")</f>
        <v>L</v>
      </c>
      <c r="L50" s="26"/>
      <c r="M50" s="26"/>
      <c r="N50" s="26"/>
      <c r="O50" s="26"/>
      <c r="P50" s="26"/>
      <c r="Q50" s="26"/>
      <c r="R50" s="26"/>
      <c r="S50" s="26"/>
      <c r="T50" s="26"/>
      <c r="U50" s="26"/>
    </row>
    <row r="51" spans="1:21" x14ac:dyDescent="0.2">
      <c r="A51" s="91" t="s">
        <v>178</v>
      </c>
      <c r="B51" s="112" t="str">
        <f>IFERROR(IF(INDEX('Match Log'!$E$1:$E$311,_xlfn.AGGREGATE(14,6,ROW('Match Log'!$A$4:$A$311)/('Match Log'!$D$4:$D$311=$A51),10))="Win","W","L"),"")</f>
        <v/>
      </c>
      <c r="C51" s="112" t="str">
        <f>IFERROR(IF(INDEX('Match Log'!$E$1:$E$311,_xlfn.AGGREGATE(14,6,ROW('Match Log'!$A$4:$A$311)/('Match Log'!$D$4:$D$311=$A51),9))="Win","W","L"),"")</f>
        <v/>
      </c>
      <c r="D51" s="112" t="str">
        <f>IFERROR(IF(INDEX('Match Log'!$E$1:$E$311,_xlfn.AGGREGATE(14,6,ROW('Match Log'!$A$4:$A$311)/('Match Log'!$D$4:$D$311=$A51),8))="Win","W","L"),"")</f>
        <v/>
      </c>
      <c r="E51" s="112" t="str">
        <f>IFERROR(IF(INDEX('Match Log'!$E$1:$E$311,_xlfn.AGGREGATE(14,6,ROW('Match Log'!$A$4:$A$311)/('Match Log'!$D$4:$D$311=$A51),7))="Win","W","L"),"")</f>
        <v/>
      </c>
      <c r="F51" s="112" t="str">
        <f>IFERROR(IF(INDEX('Match Log'!$E$1:$E$311,_xlfn.AGGREGATE(14,6,ROW('Match Log'!$A$4:$A$311)/('Match Log'!$D$4:$D$311=$A51),6))="Win","W","L"),"")</f>
        <v/>
      </c>
      <c r="G51" s="112" t="str">
        <f>IFERROR(IF(INDEX('Match Log'!$E$1:$E$311,_xlfn.AGGREGATE(14,6,ROW('Match Log'!$A$4:$A$311)/('Match Log'!$D$4:$D$311=$A51),5))="Win","W","L"),"")</f>
        <v>L</v>
      </c>
      <c r="H51" s="112" t="str">
        <f>IFERROR(IF(INDEX('Match Log'!$E$1:$E$311,_xlfn.AGGREGATE(14,6,ROW('Match Log'!$A$4:$A$311)/('Match Log'!$D$4:$D$311=$A51),4))="Win","W","L"),"")</f>
        <v>L</v>
      </c>
      <c r="I51" s="112" t="str">
        <f>IFERROR(IF(INDEX('Match Log'!$E$1:$E$311,_xlfn.AGGREGATE(14,6,ROW('Match Log'!$A$4:$A$311)/('Match Log'!$D$4:$D$311=$A51),3))="Win","W","L"),"")</f>
        <v>L</v>
      </c>
      <c r="J51" s="112" t="str">
        <f>IFERROR(IF(INDEX('Match Log'!$E$1:$E$311,_xlfn.AGGREGATE(14,6,ROW('Match Log'!$A$4:$A$311)/('Match Log'!$D$4:$D$311=$A51),2))="Win","W","L"),"")</f>
        <v>W</v>
      </c>
      <c r="K51" s="112" t="str">
        <f>IFERROR(IF(INDEX('Match Log'!$E$1:$E$311,_xlfn.AGGREGATE(14,6,ROW('Match Log'!$A$4:$A$311)/('Match Log'!$D$4:$D$311=$A51),1))="Win","W","L"),"")</f>
        <v>W</v>
      </c>
      <c r="L51" s="26"/>
      <c r="M51" s="26"/>
      <c r="N51" s="26"/>
      <c r="O51" s="26"/>
      <c r="P51" s="26"/>
      <c r="Q51" s="26"/>
      <c r="R51" s="26"/>
      <c r="S51" s="26"/>
      <c r="T51" s="26"/>
      <c r="U51" s="26"/>
    </row>
    <row r="52" spans="1:21" x14ac:dyDescent="0.2">
      <c r="A52" s="91" t="s">
        <v>179</v>
      </c>
      <c r="B52" s="112" t="str">
        <f>IFERROR(IF(INDEX('Match Log'!$E$1:$E$311,_xlfn.AGGREGATE(14,6,ROW('Match Log'!$A$4:$A$311)/('Match Log'!$D$4:$D$311=$A52),10))="Win","W","L"),"")</f>
        <v/>
      </c>
      <c r="C52" s="112" t="str">
        <f>IFERROR(IF(INDEX('Match Log'!$E$1:$E$311,_xlfn.AGGREGATE(14,6,ROW('Match Log'!$A$4:$A$311)/('Match Log'!$D$4:$D$311=$A52),9))="Win","W","L"),"")</f>
        <v/>
      </c>
      <c r="D52" s="112" t="str">
        <f>IFERROR(IF(INDEX('Match Log'!$E$1:$E$311,_xlfn.AGGREGATE(14,6,ROW('Match Log'!$A$4:$A$311)/('Match Log'!$D$4:$D$311=$A52),8))="Win","W","L"),"")</f>
        <v/>
      </c>
      <c r="E52" s="112" t="str">
        <f>IFERROR(IF(INDEX('Match Log'!$E$1:$E$311,_xlfn.AGGREGATE(14,6,ROW('Match Log'!$A$4:$A$311)/('Match Log'!$D$4:$D$311=$A52),7))="Win","W","L"),"")</f>
        <v/>
      </c>
      <c r="F52" s="112" t="str">
        <f>IFERROR(IF(INDEX('Match Log'!$E$1:$E$311,_xlfn.AGGREGATE(14,6,ROW('Match Log'!$A$4:$A$311)/('Match Log'!$D$4:$D$311=$A52),6))="Win","W","L"),"")</f>
        <v/>
      </c>
      <c r="G52" s="112" t="str">
        <f>IFERROR(IF(INDEX('Match Log'!$E$1:$E$311,_xlfn.AGGREGATE(14,6,ROW('Match Log'!$A$4:$A$311)/('Match Log'!$D$4:$D$311=$A52),5))="Win","W","L"),"")</f>
        <v/>
      </c>
      <c r="H52" s="112" t="str">
        <f>IFERROR(IF(INDEX('Match Log'!$E$1:$E$311,_xlfn.AGGREGATE(14,6,ROW('Match Log'!$A$4:$A$311)/('Match Log'!$D$4:$D$311=$A52),4))="Win","W","L"),"")</f>
        <v>W</v>
      </c>
      <c r="I52" s="112" t="str">
        <f>IFERROR(IF(INDEX('Match Log'!$E$1:$E$311,_xlfn.AGGREGATE(14,6,ROW('Match Log'!$A$4:$A$311)/('Match Log'!$D$4:$D$311=$A52),3))="Win","W","L"),"")</f>
        <v>L</v>
      </c>
      <c r="J52" s="112" t="str">
        <f>IFERROR(IF(INDEX('Match Log'!$E$1:$E$311,_xlfn.AGGREGATE(14,6,ROW('Match Log'!$A$4:$A$311)/('Match Log'!$D$4:$D$311=$A52),2))="Win","W","L"),"")</f>
        <v>W</v>
      </c>
      <c r="K52" s="112" t="str">
        <f>IFERROR(IF(INDEX('Match Log'!$E$1:$E$311,_xlfn.AGGREGATE(14,6,ROW('Match Log'!$A$4:$A$311)/('Match Log'!$D$4:$D$311=$A52),1))="Win","W","L"),"")</f>
        <v>L</v>
      </c>
      <c r="L52" s="26"/>
      <c r="M52" s="26"/>
      <c r="N52" s="26"/>
      <c r="O52" s="26"/>
      <c r="P52" s="26"/>
      <c r="Q52" s="26"/>
      <c r="R52" s="26"/>
      <c r="S52" s="26"/>
      <c r="T52" s="26"/>
      <c r="U52" s="26"/>
    </row>
    <row r="53" spans="1:21" x14ac:dyDescent="0.2">
      <c r="A53" s="91" t="s">
        <v>181</v>
      </c>
      <c r="B53" s="112" t="str">
        <f>IFERROR(IF(INDEX('Match Log'!$E$1:$E$311,_xlfn.AGGREGATE(14,6,ROW('Match Log'!$A$4:$A$311)/('Match Log'!$D$4:$D$311=$A53),10))="Win","W","L"),"")</f>
        <v/>
      </c>
      <c r="C53" s="112" t="str">
        <f>IFERROR(IF(INDEX('Match Log'!$E$1:$E$311,_xlfn.AGGREGATE(14,6,ROW('Match Log'!$A$4:$A$311)/('Match Log'!$D$4:$D$311=$A53),9))="Win","W","L"),"")</f>
        <v/>
      </c>
      <c r="D53" s="112" t="str">
        <f>IFERROR(IF(INDEX('Match Log'!$E$1:$E$311,_xlfn.AGGREGATE(14,6,ROW('Match Log'!$A$4:$A$311)/('Match Log'!$D$4:$D$311=$A53),8))="Win","W","L"),"")</f>
        <v/>
      </c>
      <c r="E53" s="112" t="str">
        <f>IFERROR(IF(INDEX('Match Log'!$E$1:$E$311,_xlfn.AGGREGATE(14,6,ROW('Match Log'!$A$4:$A$311)/('Match Log'!$D$4:$D$311=$A53),7))="Win","W","L"),"")</f>
        <v/>
      </c>
      <c r="F53" s="112" t="str">
        <f>IFERROR(IF(INDEX('Match Log'!$E$1:$E$311,_xlfn.AGGREGATE(14,6,ROW('Match Log'!$A$4:$A$311)/('Match Log'!$D$4:$D$311=$A53),6))="Win","W","L"),"")</f>
        <v/>
      </c>
      <c r="G53" s="112" t="str">
        <f>IFERROR(IF(INDEX('Match Log'!$E$1:$E$311,_xlfn.AGGREGATE(14,6,ROW('Match Log'!$A$4:$A$311)/('Match Log'!$D$4:$D$311=$A53),5))="Win","W","L"),"")</f>
        <v/>
      </c>
      <c r="H53" s="112" t="str">
        <f>IFERROR(IF(INDEX('Match Log'!$E$1:$E$311,_xlfn.AGGREGATE(14,6,ROW('Match Log'!$A$4:$A$311)/('Match Log'!$D$4:$D$311=$A53),4))="Win","W","L"),"")</f>
        <v/>
      </c>
      <c r="I53" s="112" t="str">
        <f>IFERROR(IF(INDEX('Match Log'!$E$1:$E$311,_xlfn.AGGREGATE(14,6,ROW('Match Log'!$A$4:$A$311)/('Match Log'!$D$4:$D$311=$A53),3))="Win","W","L"),"")</f>
        <v/>
      </c>
      <c r="J53" s="112" t="str">
        <f>IFERROR(IF(INDEX('Match Log'!$E$1:$E$311,_xlfn.AGGREGATE(14,6,ROW('Match Log'!$A$4:$A$311)/('Match Log'!$D$4:$D$311=$A53),2))="Win","W","L"),"")</f>
        <v/>
      </c>
      <c r="K53" s="112" t="str">
        <f>IFERROR(IF(INDEX('Match Log'!$E$1:$E$311,_xlfn.AGGREGATE(14,6,ROW('Match Log'!$A$4:$A$311)/('Match Log'!$D$4:$D$311=$A53),1))="Win","W","L"),"")</f>
        <v/>
      </c>
      <c r="L53" s="26"/>
      <c r="M53" s="26"/>
      <c r="N53" s="26"/>
      <c r="O53" s="26"/>
      <c r="P53" s="26"/>
      <c r="Q53" s="26"/>
      <c r="R53" s="26"/>
      <c r="S53" s="26"/>
      <c r="T53" s="26"/>
      <c r="U53" s="26"/>
    </row>
    <row r="54" spans="1:21" x14ac:dyDescent="0.2">
      <c r="A54" s="26"/>
      <c r="B54" s="26"/>
      <c r="C54" s="26"/>
      <c r="D54" s="26"/>
      <c r="E54" s="26"/>
      <c r="F54" s="26"/>
      <c r="G54" s="26"/>
      <c r="H54" s="26"/>
      <c r="I54" s="26"/>
      <c r="J54" s="26"/>
      <c r="K54" s="26"/>
      <c r="L54" s="26"/>
      <c r="M54" s="26"/>
      <c r="N54" s="26"/>
      <c r="O54" s="26"/>
      <c r="P54" s="26"/>
      <c r="Q54" s="26"/>
      <c r="R54" s="26"/>
      <c r="S54" s="26"/>
      <c r="T54" s="26"/>
      <c r="U54" s="26"/>
    </row>
    <row r="55" spans="1:21" ht="15.75" customHeight="1" x14ac:dyDescent="0.2">
      <c r="A55" s="12" t="s">
        <v>290</v>
      </c>
      <c r="B55" s="26"/>
      <c r="C55" s="26"/>
      <c r="D55" s="26"/>
      <c r="E55" s="26"/>
      <c r="F55" s="26"/>
      <c r="G55" s="26"/>
      <c r="H55" s="26"/>
      <c r="I55" s="26"/>
      <c r="J55" s="26"/>
      <c r="K55" s="26"/>
      <c r="L55" s="26"/>
      <c r="M55" s="26"/>
      <c r="N55" s="26"/>
      <c r="O55" s="26"/>
      <c r="P55" s="26"/>
      <c r="Q55" s="26"/>
      <c r="R55" s="26"/>
      <c r="S55" s="26"/>
      <c r="T55" s="26"/>
      <c r="U55" s="26"/>
    </row>
    <row r="56" spans="1:21" x14ac:dyDescent="0.2">
      <c r="A56" s="111" t="s">
        <v>291</v>
      </c>
      <c r="B56" s="26"/>
      <c r="C56" s="26"/>
      <c r="D56" s="26"/>
      <c r="E56" s="26"/>
      <c r="F56" s="26"/>
      <c r="G56" s="26"/>
      <c r="H56" s="26"/>
      <c r="I56" s="26"/>
      <c r="J56" s="26"/>
      <c r="K56" s="26"/>
      <c r="L56" s="26"/>
      <c r="M56" s="26"/>
      <c r="N56" s="26"/>
      <c r="O56" s="26"/>
      <c r="P56" s="26"/>
      <c r="Q56" s="26"/>
      <c r="R56" s="26"/>
      <c r="S56" s="26"/>
      <c r="T56" s="26"/>
      <c r="U56" s="26"/>
    </row>
    <row r="57" spans="1:21" ht="69" customHeight="1" x14ac:dyDescent="0.2">
      <c r="A57" s="113" t="s">
        <v>163</v>
      </c>
      <c r="B57" s="114" t="s">
        <v>189</v>
      </c>
      <c r="C57" s="114" t="s">
        <v>190</v>
      </c>
      <c r="D57" s="114" t="s">
        <v>191</v>
      </c>
      <c r="E57" s="114" t="s">
        <v>192</v>
      </c>
      <c r="F57" s="114" t="s">
        <v>193</v>
      </c>
      <c r="G57" s="114" t="s">
        <v>194</v>
      </c>
      <c r="H57" s="114" t="s">
        <v>196</v>
      </c>
      <c r="I57" s="114" t="s">
        <v>198</v>
      </c>
      <c r="J57" s="114" t="s">
        <v>200</v>
      </c>
      <c r="K57" s="114" t="s">
        <v>201</v>
      </c>
      <c r="L57" s="114" t="s">
        <v>202</v>
      </c>
      <c r="M57" s="114" t="s">
        <v>203</v>
      </c>
      <c r="N57" s="114" t="s">
        <v>205</v>
      </c>
      <c r="O57" s="114" t="s">
        <v>207</v>
      </c>
      <c r="P57" s="114" t="s">
        <v>209</v>
      </c>
      <c r="Q57" s="114" t="s">
        <v>211</v>
      </c>
      <c r="R57" s="114" t="s">
        <v>212</v>
      </c>
      <c r="S57" s="114" t="s">
        <v>214</v>
      </c>
      <c r="T57" s="114" t="s">
        <v>216</v>
      </c>
      <c r="U57" s="26"/>
    </row>
    <row r="58" spans="1:21" x14ac:dyDescent="0.2">
      <c r="A58" s="91" t="s">
        <v>145</v>
      </c>
      <c r="B58" s="115" t="str">
        <f>IFERROR(INDEX('Sport Records'!$B$52:$O$70,MATCH($B$57,'Sport Records'!$A$52:$A$70,0),MATCH($A58,'Sport Records'!$B$51:$O$51,0)),"")</f>
        <v/>
      </c>
      <c r="C58" s="115" t="str">
        <f>IFERROR(INDEX('Sport Records'!$B$52:$O$70,MATCH($C$57,'Sport Records'!$A$52:$A$70,0),MATCH($A58,'Sport Records'!$B$51:$O$51,0)),"")</f>
        <v/>
      </c>
      <c r="D58" s="115">
        <f>IFERROR(INDEX('Sport Records'!$B$52:$O$70,MATCH($D$57,'Sport Records'!$A$52:$A$70,0),MATCH($A58,'Sport Records'!$B$51:$O$51,0)),"")</f>
        <v>0.75</v>
      </c>
      <c r="E58" s="115" t="str">
        <f>IFERROR(INDEX('Sport Records'!$B$52:$O$70,MATCH($E$57,'Sport Records'!$A$52:$A$70,0),MATCH($A58,'Sport Records'!$B$51:$O$51,0)),"")</f>
        <v/>
      </c>
      <c r="F58" s="115" t="str">
        <f>IFERROR(INDEX('Sport Records'!$B$52:$O$70,MATCH($F$57,'Sport Records'!$A$52:$A$70,0),MATCH($A58,'Sport Records'!$B$51:$O$51,0)),"")</f>
        <v/>
      </c>
      <c r="G58" s="115">
        <f>IFERROR(INDEX('Sport Records'!$B$52:$O$70,MATCH($G$57,'Sport Records'!$A$52:$A$70,0),MATCH($A58,'Sport Records'!$B$51:$O$51,0)),"")</f>
        <v>1</v>
      </c>
      <c r="H58" s="115" t="str">
        <f>IFERROR(INDEX('Sport Records'!$B$52:$O$70,MATCH($H$57,'Sport Records'!$A$52:$A$70,0),MATCH($A58,'Sport Records'!$B$51:$O$51,0)),"")</f>
        <v/>
      </c>
      <c r="I58" s="115" t="str">
        <f>IFERROR(INDEX('Sport Records'!$B$52:$O$70,MATCH($I$57,'Sport Records'!$A$52:$A$70,0),MATCH($A58,'Sport Records'!$B$51:$O$51,0)),"")</f>
        <v/>
      </c>
      <c r="J58" s="115" t="str">
        <f>IFERROR(INDEX('Sport Records'!$B$52:$O$70,MATCH($J$57,'Sport Records'!$A$52:$A$70,0),MATCH($A58,'Sport Records'!$B$51:$O$51,0)),"")</f>
        <v/>
      </c>
      <c r="K58" s="115" t="str">
        <f>IFERROR(INDEX('Sport Records'!$B$52:$O$70,MATCH($K$57,'Sport Records'!$A$52:$A$70,0),MATCH($A58,'Sport Records'!$B$51:$O$51,0)),"")</f>
        <v/>
      </c>
      <c r="L58" s="115" t="str">
        <f>IFERROR(INDEX('Sport Records'!$B$52:$O$70,MATCH($L$57,'Sport Records'!$A$52:$A$70,0),MATCH($A58,'Sport Records'!$B$51:$O$51,0)),"")</f>
        <v/>
      </c>
      <c r="M58" s="115">
        <f>IFERROR(INDEX('Sport Records'!$B$52:$O$70,MATCH($M$57,'Sport Records'!$A$52:$A$70,0),MATCH($A58,'Sport Records'!$B$51:$O$51,0)),"")</f>
        <v>0.5</v>
      </c>
      <c r="N58" s="115">
        <f>IFERROR(INDEX('Sport Records'!$B$52:$O$70,MATCH($N$57,'Sport Records'!$A$52:$A$70,0),MATCH($A58,'Sport Records'!$B$51:$O$51,0)),"")</f>
        <v>0.5</v>
      </c>
      <c r="O58" s="115">
        <f>IFERROR(INDEX('Sport Records'!$B$52:$O$70,MATCH($O$57,'Sport Records'!$A$52:$A$70,0),MATCH($A58,'Sport Records'!$B$51:$O$51,0)),"")</f>
        <v>1</v>
      </c>
      <c r="P58" s="115" t="str">
        <f>IFERROR(INDEX('Sport Records'!$B$52:$O$70,MATCH($P$57,'Sport Records'!$A$52:$A$70,0),MATCH($A58,'Sport Records'!$B$51:$O$51,0)),"")</f>
        <v/>
      </c>
      <c r="Q58" s="115">
        <f>IFERROR(INDEX('Sport Records'!$B$52:$O$70,MATCH($Q$57,'Sport Records'!$A$52:$A$70,0),MATCH($A58,'Sport Records'!$B$51:$O$51,0)),"")</f>
        <v>0.5</v>
      </c>
      <c r="R58" s="115" t="str">
        <f>IFERROR(INDEX('Sport Records'!$B$52:$O$70,MATCH($R$57,'Sport Records'!$A$52:$A$70,0),MATCH($A58,'Sport Records'!$B$51:$O$51,0)),"")</f>
        <v/>
      </c>
      <c r="S58" s="115">
        <f>IFERROR(INDEX('Sport Records'!$B$52:$O$70,MATCH($S$57,'Sport Records'!$A$52:$A$70,0),MATCH($A58,'Sport Records'!$B$51:$O$51,0)),"")</f>
        <v>0.2857142857142857</v>
      </c>
      <c r="T58" s="115" t="str">
        <f>IFERROR(INDEX('Sport Records'!$B$52:$O$70,MATCH($T$57,'Sport Records'!$A$52:$A$70,0),MATCH($A58,'Sport Records'!$B$51:$O$51,0)),"")</f>
        <v/>
      </c>
      <c r="U58" s="26"/>
    </row>
    <row r="59" spans="1:21" x14ac:dyDescent="0.2">
      <c r="A59" s="91" t="s">
        <v>142</v>
      </c>
      <c r="B59" s="115" t="str">
        <f>IFERROR(INDEX('Sport Records'!$B$52:$O$70,MATCH($B$57,'Sport Records'!$A$52:$A$70,0),MATCH($A59,'Sport Records'!$B$51:$O$51,0)),"")</f>
        <v/>
      </c>
      <c r="C59" s="115" t="str">
        <f>IFERROR(INDEX('Sport Records'!$B$52:$O$70,MATCH($C$57,'Sport Records'!$A$52:$A$70,0),MATCH($A59,'Sport Records'!$B$51:$O$51,0)),"")</f>
        <v/>
      </c>
      <c r="D59" s="115" t="str">
        <f>IFERROR(INDEX('Sport Records'!$B$52:$O$70,MATCH($D$57,'Sport Records'!$A$52:$A$70,0),MATCH($A59,'Sport Records'!$B$51:$O$51,0)),"")</f>
        <v/>
      </c>
      <c r="E59" s="115" t="str">
        <f>IFERROR(INDEX('Sport Records'!$B$52:$O$70,MATCH($E$57,'Sport Records'!$A$52:$A$70,0),MATCH($A59,'Sport Records'!$B$51:$O$51,0)),"")</f>
        <v/>
      </c>
      <c r="F59" s="115">
        <f>IFERROR(INDEX('Sport Records'!$B$52:$O$70,MATCH($F$57,'Sport Records'!$A$52:$A$70,0),MATCH($A59,'Sport Records'!$B$51:$O$51,0)),"")</f>
        <v>0</v>
      </c>
      <c r="G59" s="115" t="str">
        <f>IFERROR(INDEX('Sport Records'!$B$52:$O$70,MATCH($G$57,'Sport Records'!$A$52:$A$70,0),MATCH($A59,'Sport Records'!$B$51:$O$51,0)),"")</f>
        <v/>
      </c>
      <c r="H59" s="115" t="str">
        <f>IFERROR(INDEX('Sport Records'!$B$52:$O$70,MATCH($H$57,'Sport Records'!$A$52:$A$70,0),MATCH($A59,'Sport Records'!$B$51:$O$51,0)),"")</f>
        <v/>
      </c>
      <c r="I59" s="115" t="str">
        <f>IFERROR(INDEX('Sport Records'!$B$52:$O$70,MATCH($I$57,'Sport Records'!$A$52:$A$70,0),MATCH($A59,'Sport Records'!$B$51:$O$51,0)),"")</f>
        <v/>
      </c>
      <c r="J59" s="115" t="str">
        <f>IFERROR(INDEX('Sport Records'!$B$52:$O$70,MATCH($J$57,'Sport Records'!$A$52:$A$70,0),MATCH($A59,'Sport Records'!$B$51:$O$51,0)),"")</f>
        <v/>
      </c>
      <c r="K59" s="115" t="str">
        <f>IFERROR(INDEX('Sport Records'!$B$52:$O$70,MATCH($K$57,'Sport Records'!$A$52:$A$70,0),MATCH($A59,'Sport Records'!$B$51:$O$51,0)),"")</f>
        <v/>
      </c>
      <c r="L59" s="115" t="str">
        <f>IFERROR(INDEX('Sport Records'!$B$52:$O$70,MATCH($L$57,'Sport Records'!$A$52:$A$70,0),MATCH($A59,'Sport Records'!$B$51:$O$51,0)),"")</f>
        <v/>
      </c>
      <c r="M59" s="115">
        <f>IFERROR(INDEX('Sport Records'!$B$52:$O$70,MATCH($M$57,'Sport Records'!$A$52:$A$70,0),MATCH($A59,'Sport Records'!$B$51:$O$51,0)),"")</f>
        <v>0</v>
      </c>
      <c r="N59" s="115" t="str">
        <f>IFERROR(INDEX('Sport Records'!$B$52:$O$70,MATCH($N$57,'Sport Records'!$A$52:$A$70,0),MATCH($A59,'Sport Records'!$B$51:$O$51,0)),"")</f>
        <v/>
      </c>
      <c r="O59" s="115" t="str">
        <f>IFERROR(INDEX('Sport Records'!$B$52:$O$70,MATCH($O$57,'Sport Records'!$A$52:$A$70,0),MATCH($A59,'Sport Records'!$B$51:$O$51,0)),"")</f>
        <v/>
      </c>
      <c r="P59" s="115" t="str">
        <f>IFERROR(INDEX('Sport Records'!$B$52:$O$70,MATCH($P$57,'Sport Records'!$A$52:$A$70,0),MATCH($A59,'Sport Records'!$B$51:$O$51,0)),"")</f>
        <v/>
      </c>
      <c r="Q59" s="115" t="str">
        <f>IFERROR(INDEX('Sport Records'!$B$52:$O$70,MATCH($Q$57,'Sport Records'!$A$52:$A$70,0),MATCH($A59,'Sport Records'!$B$51:$O$51,0)),"")</f>
        <v/>
      </c>
      <c r="R59" s="115" t="str">
        <f>IFERROR(INDEX('Sport Records'!$B$52:$O$70,MATCH($R$57,'Sport Records'!$A$52:$A$70,0),MATCH($A59,'Sport Records'!$B$51:$O$51,0)),"")</f>
        <v/>
      </c>
      <c r="S59" s="115">
        <f>IFERROR(INDEX('Sport Records'!$B$52:$O$70,MATCH($S$57,'Sport Records'!$A$52:$A$70,0),MATCH($A59,'Sport Records'!$B$51:$O$51,0)),"")</f>
        <v>0.625</v>
      </c>
      <c r="T59" s="115" t="str">
        <f>IFERROR(INDEX('Sport Records'!$B$52:$O$70,MATCH($T$57,'Sport Records'!$A$52:$A$70,0),MATCH($A59,'Sport Records'!$B$51:$O$51,0)),"")</f>
        <v/>
      </c>
      <c r="U59" s="26"/>
    </row>
    <row r="60" spans="1:21" x14ac:dyDescent="0.2">
      <c r="A60" s="91" t="s">
        <v>180</v>
      </c>
      <c r="B60" s="115" t="str">
        <f>IFERROR(INDEX('Sport Records'!$B$52:$O$70,MATCH($B$57,'Sport Records'!$A$52:$A$70,0),MATCH($A60,'Sport Records'!$B$51:$O$51,0)),"")</f>
        <v/>
      </c>
      <c r="C60" s="115" t="str">
        <f>IFERROR(INDEX('Sport Records'!$B$52:$O$70,MATCH($C$57,'Sport Records'!$A$52:$A$70,0),MATCH($A60,'Sport Records'!$B$51:$O$51,0)),"")</f>
        <v/>
      </c>
      <c r="D60" s="115">
        <f>IFERROR(INDEX('Sport Records'!$B$52:$O$70,MATCH($D$57,'Sport Records'!$A$52:$A$70,0),MATCH($A60,'Sport Records'!$B$51:$O$51,0)),"")</f>
        <v>0</v>
      </c>
      <c r="E60" s="115" t="str">
        <f>IFERROR(INDEX('Sport Records'!$B$52:$O$70,MATCH($E$57,'Sport Records'!$A$52:$A$70,0),MATCH($A60,'Sport Records'!$B$51:$O$51,0)),"")</f>
        <v/>
      </c>
      <c r="F60" s="115" t="str">
        <f>IFERROR(INDEX('Sport Records'!$B$52:$O$70,MATCH($F$57,'Sport Records'!$A$52:$A$70,0),MATCH($A60,'Sport Records'!$B$51:$O$51,0)),"")</f>
        <v/>
      </c>
      <c r="G60" s="115">
        <f>IFERROR(INDEX('Sport Records'!$B$52:$O$70,MATCH($G$57,'Sport Records'!$A$52:$A$70,0),MATCH($A60,'Sport Records'!$B$51:$O$51,0)),"")</f>
        <v>0</v>
      </c>
      <c r="H60" s="115" t="str">
        <f>IFERROR(INDEX('Sport Records'!$B$52:$O$70,MATCH($H$57,'Sport Records'!$A$52:$A$70,0),MATCH($A60,'Sport Records'!$B$51:$O$51,0)),"")</f>
        <v/>
      </c>
      <c r="I60" s="115" t="str">
        <f>IFERROR(INDEX('Sport Records'!$B$52:$O$70,MATCH($I$57,'Sport Records'!$A$52:$A$70,0),MATCH($A60,'Sport Records'!$B$51:$O$51,0)),"")</f>
        <v/>
      </c>
      <c r="J60" s="115" t="str">
        <f>IFERROR(INDEX('Sport Records'!$B$52:$O$70,MATCH($J$57,'Sport Records'!$A$52:$A$70,0),MATCH($A60,'Sport Records'!$B$51:$O$51,0)),"")</f>
        <v/>
      </c>
      <c r="K60" s="115" t="str">
        <f>IFERROR(INDEX('Sport Records'!$B$52:$O$70,MATCH($K$57,'Sport Records'!$A$52:$A$70,0),MATCH($A60,'Sport Records'!$B$51:$O$51,0)),"")</f>
        <v/>
      </c>
      <c r="L60" s="115" t="str">
        <f>IFERROR(INDEX('Sport Records'!$B$52:$O$70,MATCH($L$57,'Sport Records'!$A$52:$A$70,0),MATCH($A60,'Sport Records'!$B$51:$O$51,0)),"")</f>
        <v/>
      </c>
      <c r="M60" s="115" t="str">
        <f>IFERROR(INDEX('Sport Records'!$B$52:$O$70,MATCH($M$57,'Sport Records'!$A$52:$A$70,0),MATCH($A60,'Sport Records'!$B$51:$O$51,0)),"")</f>
        <v/>
      </c>
      <c r="N60" s="115" t="str">
        <f>IFERROR(INDEX('Sport Records'!$B$52:$O$70,MATCH($N$57,'Sport Records'!$A$52:$A$70,0),MATCH($A60,'Sport Records'!$B$51:$O$51,0)),"")</f>
        <v/>
      </c>
      <c r="O60" s="115">
        <f>IFERROR(INDEX('Sport Records'!$B$52:$O$70,MATCH($O$57,'Sport Records'!$A$52:$A$70,0),MATCH($A60,'Sport Records'!$B$51:$O$51,0)),"")</f>
        <v>1</v>
      </c>
      <c r="P60" s="115" t="str">
        <f>IFERROR(INDEX('Sport Records'!$B$52:$O$70,MATCH($P$57,'Sport Records'!$A$52:$A$70,0),MATCH($A60,'Sport Records'!$B$51:$O$51,0)),"")</f>
        <v/>
      </c>
      <c r="Q60" s="115">
        <f>IFERROR(INDEX('Sport Records'!$B$52:$O$70,MATCH($Q$57,'Sport Records'!$A$52:$A$70,0),MATCH($A60,'Sport Records'!$B$51:$O$51,0)),"")</f>
        <v>0</v>
      </c>
      <c r="R60" s="115">
        <f>IFERROR(INDEX('Sport Records'!$B$52:$O$70,MATCH($R$57,'Sport Records'!$A$52:$A$70,0),MATCH($A60,'Sport Records'!$B$51:$O$51,0)),"")</f>
        <v>0</v>
      </c>
      <c r="S60" s="115">
        <f>IFERROR(INDEX('Sport Records'!$B$52:$O$70,MATCH($S$57,'Sport Records'!$A$52:$A$70,0),MATCH($A60,'Sport Records'!$B$51:$O$51,0)),"")</f>
        <v>1</v>
      </c>
      <c r="T60" s="115" t="str">
        <f>IFERROR(INDEX('Sport Records'!$B$52:$O$70,MATCH($T$57,'Sport Records'!$A$52:$A$70,0),MATCH($A60,'Sport Records'!$B$51:$O$51,0)),"")</f>
        <v/>
      </c>
      <c r="U60" s="26"/>
    </row>
    <row r="61" spans="1:21" x14ac:dyDescent="0.2">
      <c r="A61" s="91" t="s">
        <v>147</v>
      </c>
      <c r="B61" s="115" t="str">
        <f>IFERROR(INDEX('Sport Records'!$B$52:$O$70,MATCH($B$57,'Sport Records'!$A$52:$A$70,0),MATCH($A61,'Sport Records'!$B$51:$O$51,0)),"")</f>
        <v/>
      </c>
      <c r="C61" s="115" t="str">
        <f>IFERROR(INDEX('Sport Records'!$B$52:$O$70,MATCH($C$57,'Sport Records'!$A$52:$A$70,0),MATCH($A61,'Sport Records'!$B$51:$O$51,0)),"")</f>
        <v/>
      </c>
      <c r="D61" s="115" t="str">
        <f>IFERROR(INDEX('Sport Records'!$B$52:$O$70,MATCH($D$57,'Sport Records'!$A$52:$A$70,0),MATCH($A61,'Sport Records'!$B$51:$O$51,0)),"")</f>
        <v/>
      </c>
      <c r="E61" s="115" t="str">
        <f>IFERROR(INDEX('Sport Records'!$B$52:$O$70,MATCH($E$57,'Sport Records'!$A$52:$A$70,0),MATCH($A61,'Sport Records'!$B$51:$O$51,0)),"")</f>
        <v/>
      </c>
      <c r="F61" s="115" t="str">
        <f>IFERROR(INDEX('Sport Records'!$B$52:$O$70,MATCH($F$57,'Sport Records'!$A$52:$A$70,0),MATCH($A61,'Sport Records'!$B$51:$O$51,0)),"")</f>
        <v/>
      </c>
      <c r="G61" s="115">
        <f>IFERROR(INDEX('Sport Records'!$B$52:$O$70,MATCH($G$57,'Sport Records'!$A$52:$A$70,0),MATCH($A61,'Sport Records'!$B$51:$O$51,0)),"")</f>
        <v>0</v>
      </c>
      <c r="H61" s="115" t="str">
        <f>IFERROR(INDEX('Sport Records'!$B$52:$O$70,MATCH($H$57,'Sport Records'!$A$52:$A$70,0),MATCH($A61,'Sport Records'!$B$51:$O$51,0)),"")</f>
        <v/>
      </c>
      <c r="I61" s="115" t="str">
        <f>IFERROR(INDEX('Sport Records'!$B$52:$O$70,MATCH($I$57,'Sport Records'!$A$52:$A$70,0),MATCH($A61,'Sport Records'!$B$51:$O$51,0)),"")</f>
        <v/>
      </c>
      <c r="J61" s="115" t="str">
        <f>IFERROR(INDEX('Sport Records'!$B$52:$O$70,MATCH($J$57,'Sport Records'!$A$52:$A$70,0),MATCH($A61,'Sport Records'!$B$51:$O$51,0)),"")</f>
        <v/>
      </c>
      <c r="K61" s="115" t="str">
        <f>IFERROR(INDEX('Sport Records'!$B$52:$O$70,MATCH($K$57,'Sport Records'!$A$52:$A$70,0),MATCH($A61,'Sport Records'!$B$51:$O$51,0)),"")</f>
        <v/>
      </c>
      <c r="L61" s="115" t="str">
        <f>IFERROR(INDEX('Sport Records'!$B$52:$O$70,MATCH($L$57,'Sport Records'!$A$52:$A$70,0),MATCH($A61,'Sport Records'!$B$51:$O$51,0)),"")</f>
        <v/>
      </c>
      <c r="M61" s="115">
        <f>IFERROR(INDEX('Sport Records'!$B$52:$O$70,MATCH($M$57,'Sport Records'!$A$52:$A$70,0),MATCH($A61,'Sport Records'!$B$51:$O$51,0)),"")</f>
        <v>0.16666666666666666</v>
      </c>
      <c r="N61" s="115" t="str">
        <f>IFERROR(INDEX('Sport Records'!$B$52:$O$70,MATCH($N$57,'Sport Records'!$A$52:$A$70,0),MATCH($A61,'Sport Records'!$B$51:$O$51,0)),"")</f>
        <v/>
      </c>
      <c r="O61" s="115" t="str">
        <f>IFERROR(INDEX('Sport Records'!$B$52:$O$70,MATCH($O$57,'Sport Records'!$A$52:$A$70,0),MATCH($A61,'Sport Records'!$B$51:$O$51,0)),"")</f>
        <v/>
      </c>
      <c r="P61" s="115" t="str">
        <f>IFERROR(INDEX('Sport Records'!$B$52:$O$70,MATCH($P$57,'Sport Records'!$A$52:$A$70,0),MATCH($A61,'Sport Records'!$B$51:$O$51,0)),"")</f>
        <v/>
      </c>
      <c r="Q61" s="115" t="str">
        <f>IFERROR(INDEX('Sport Records'!$B$52:$O$70,MATCH($Q$57,'Sport Records'!$A$52:$A$70,0),MATCH($A61,'Sport Records'!$B$51:$O$51,0)),"")</f>
        <v/>
      </c>
      <c r="R61" s="115" t="str">
        <f>IFERROR(INDEX('Sport Records'!$B$52:$O$70,MATCH($R$57,'Sport Records'!$A$52:$A$70,0),MATCH($A61,'Sport Records'!$B$51:$O$51,0)),"")</f>
        <v/>
      </c>
      <c r="S61" s="115">
        <f>IFERROR(INDEX('Sport Records'!$B$52:$O$70,MATCH($S$57,'Sport Records'!$A$52:$A$70,0),MATCH($A61,'Sport Records'!$B$51:$O$51,0)),"")</f>
        <v>0.42857142857142855</v>
      </c>
      <c r="T61" s="115" t="str">
        <f>IFERROR(INDEX('Sport Records'!$B$52:$O$70,MATCH($T$57,'Sport Records'!$A$52:$A$70,0),MATCH($A61,'Sport Records'!$B$51:$O$51,0)),"")</f>
        <v/>
      </c>
      <c r="U61" s="26"/>
    </row>
    <row r="62" spans="1:21" x14ac:dyDescent="0.2">
      <c r="A62" s="91" t="s">
        <v>144</v>
      </c>
      <c r="B62" s="115" t="str">
        <f>IFERROR(INDEX('Sport Records'!$B$52:$O$70,MATCH($B$57,'Sport Records'!$A$52:$A$70,0),MATCH($A62,'Sport Records'!$B$51:$O$51,0)),"")</f>
        <v/>
      </c>
      <c r="C62" s="115" t="str">
        <f>IFERROR(INDEX('Sport Records'!$B$52:$O$70,MATCH($C$57,'Sport Records'!$A$52:$A$70,0),MATCH($A62,'Sport Records'!$B$51:$O$51,0)),"")</f>
        <v/>
      </c>
      <c r="D62" s="115">
        <f>IFERROR(INDEX('Sport Records'!$B$52:$O$70,MATCH($D$57,'Sport Records'!$A$52:$A$70,0),MATCH($A62,'Sport Records'!$B$51:$O$51,0)),"")</f>
        <v>0</v>
      </c>
      <c r="E62" s="115" t="str">
        <f>IFERROR(INDEX('Sport Records'!$B$52:$O$70,MATCH($E$57,'Sport Records'!$A$52:$A$70,0),MATCH($A62,'Sport Records'!$B$51:$O$51,0)),"")</f>
        <v/>
      </c>
      <c r="F62" s="115" t="str">
        <f>IFERROR(INDEX('Sport Records'!$B$52:$O$70,MATCH($F$57,'Sport Records'!$A$52:$A$70,0),MATCH($A62,'Sport Records'!$B$51:$O$51,0)),"")</f>
        <v/>
      </c>
      <c r="G62" s="115">
        <f>IFERROR(INDEX('Sport Records'!$B$52:$O$70,MATCH($G$57,'Sport Records'!$A$52:$A$70,0),MATCH($A62,'Sport Records'!$B$51:$O$51,0)),"")</f>
        <v>0</v>
      </c>
      <c r="H62" s="115" t="str">
        <f>IFERROR(INDEX('Sport Records'!$B$52:$O$70,MATCH($H$57,'Sport Records'!$A$52:$A$70,0),MATCH($A62,'Sport Records'!$B$51:$O$51,0)),"")</f>
        <v/>
      </c>
      <c r="I62" s="115" t="str">
        <f>IFERROR(INDEX('Sport Records'!$B$52:$O$70,MATCH($I$57,'Sport Records'!$A$52:$A$70,0),MATCH($A62,'Sport Records'!$B$51:$O$51,0)),"")</f>
        <v/>
      </c>
      <c r="J62" s="115">
        <f>IFERROR(INDEX('Sport Records'!$B$52:$O$70,MATCH($J$57,'Sport Records'!$A$52:$A$70,0),MATCH($A62,'Sport Records'!$B$51:$O$51,0)),"")</f>
        <v>1</v>
      </c>
      <c r="K62" s="115" t="str">
        <f>IFERROR(INDEX('Sport Records'!$B$52:$O$70,MATCH($K$57,'Sport Records'!$A$52:$A$70,0),MATCH($A62,'Sport Records'!$B$51:$O$51,0)),"")</f>
        <v/>
      </c>
      <c r="L62" s="115" t="str">
        <f>IFERROR(INDEX('Sport Records'!$B$52:$O$70,MATCH($L$57,'Sport Records'!$A$52:$A$70,0),MATCH($A62,'Sport Records'!$B$51:$O$51,0)),"")</f>
        <v/>
      </c>
      <c r="M62" s="115">
        <f>IFERROR(INDEX('Sport Records'!$B$52:$O$70,MATCH($M$57,'Sport Records'!$A$52:$A$70,0),MATCH($A62,'Sport Records'!$B$51:$O$51,0)),"")</f>
        <v>0.8666666666666667</v>
      </c>
      <c r="N62" s="115">
        <f>IFERROR(INDEX('Sport Records'!$B$52:$O$70,MATCH($N$57,'Sport Records'!$A$52:$A$70,0),MATCH($A62,'Sport Records'!$B$51:$O$51,0)),"")</f>
        <v>0</v>
      </c>
      <c r="O62" s="115" t="str">
        <f>IFERROR(INDEX('Sport Records'!$B$52:$O$70,MATCH($O$57,'Sport Records'!$A$52:$A$70,0),MATCH($A62,'Sport Records'!$B$51:$O$51,0)),"")</f>
        <v/>
      </c>
      <c r="P62" s="115" t="str">
        <f>IFERROR(INDEX('Sport Records'!$B$52:$O$70,MATCH($P$57,'Sport Records'!$A$52:$A$70,0),MATCH($A62,'Sport Records'!$B$51:$O$51,0)),"")</f>
        <v/>
      </c>
      <c r="Q62" s="115" t="str">
        <f>IFERROR(INDEX('Sport Records'!$B$52:$O$70,MATCH($Q$57,'Sport Records'!$A$52:$A$70,0),MATCH($A62,'Sport Records'!$B$51:$O$51,0)),"")</f>
        <v/>
      </c>
      <c r="R62" s="115">
        <f>IFERROR(INDEX('Sport Records'!$B$52:$O$70,MATCH($R$57,'Sport Records'!$A$52:$A$70,0),MATCH($A62,'Sport Records'!$B$51:$O$51,0)),"")</f>
        <v>1</v>
      </c>
      <c r="S62" s="115">
        <f>IFERROR(INDEX('Sport Records'!$B$52:$O$70,MATCH($S$57,'Sport Records'!$A$52:$A$70,0),MATCH($A62,'Sport Records'!$B$51:$O$51,0)),"")</f>
        <v>0.375</v>
      </c>
      <c r="T62" s="115">
        <f>IFERROR(INDEX('Sport Records'!$B$52:$O$70,MATCH($T$57,'Sport Records'!$A$52:$A$70,0),MATCH($A62,'Sport Records'!$B$51:$O$51,0)),"")</f>
        <v>0.5</v>
      </c>
      <c r="U62" s="26"/>
    </row>
    <row r="63" spans="1:21" x14ac:dyDescent="0.2">
      <c r="A63" s="91" t="s">
        <v>141</v>
      </c>
      <c r="B63" s="115">
        <f>IFERROR(INDEX('Sport Records'!$B$52:$O$70,MATCH($B$57,'Sport Records'!$A$52:$A$70,0),MATCH($A63,'Sport Records'!$B$51:$O$51,0)),"")</f>
        <v>1</v>
      </c>
      <c r="C63" s="115" t="str">
        <f>IFERROR(INDEX('Sport Records'!$B$52:$O$70,MATCH($C$57,'Sport Records'!$A$52:$A$70,0),MATCH($A63,'Sport Records'!$B$51:$O$51,0)),"")</f>
        <v/>
      </c>
      <c r="D63" s="115">
        <f>IFERROR(INDEX('Sport Records'!$B$52:$O$70,MATCH($D$57,'Sport Records'!$A$52:$A$70,0),MATCH($A63,'Sport Records'!$B$51:$O$51,0)),"")</f>
        <v>0.46153846153846156</v>
      </c>
      <c r="E63" s="115" t="str">
        <f>IFERROR(INDEX('Sport Records'!$B$52:$O$70,MATCH($E$57,'Sport Records'!$A$52:$A$70,0),MATCH($A63,'Sport Records'!$B$51:$O$51,0)),"")</f>
        <v/>
      </c>
      <c r="F63" s="115" t="str">
        <f>IFERROR(INDEX('Sport Records'!$B$52:$O$70,MATCH($F$57,'Sport Records'!$A$52:$A$70,0),MATCH($A63,'Sport Records'!$B$51:$O$51,0)),"")</f>
        <v/>
      </c>
      <c r="G63" s="115">
        <f>IFERROR(INDEX('Sport Records'!$B$52:$O$70,MATCH($G$57,'Sport Records'!$A$52:$A$70,0),MATCH($A63,'Sport Records'!$B$51:$O$51,0)),"")</f>
        <v>0</v>
      </c>
      <c r="H63" s="115" t="str">
        <f>IFERROR(INDEX('Sport Records'!$B$52:$O$70,MATCH($H$57,'Sport Records'!$A$52:$A$70,0),MATCH($A63,'Sport Records'!$B$51:$O$51,0)),"")</f>
        <v/>
      </c>
      <c r="I63" s="115" t="str">
        <f>IFERROR(INDEX('Sport Records'!$B$52:$O$70,MATCH($I$57,'Sport Records'!$A$52:$A$70,0),MATCH($A63,'Sport Records'!$B$51:$O$51,0)),"")</f>
        <v/>
      </c>
      <c r="J63" s="115">
        <f>IFERROR(INDEX('Sport Records'!$B$52:$O$70,MATCH($J$57,'Sport Records'!$A$52:$A$70,0),MATCH($A63,'Sport Records'!$B$51:$O$51,0)),"")</f>
        <v>0</v>
      </c>
      <c r="K63" s="115" t="str">
        <f>IFERROR(INDEX('Sport Records'!$B$52:$O$70,MATCH($K$57,'Sport Records'!$A$52:$A$70,0),MATCH($A63,'Sport Records'!$B$51:$O$51,0)),"")</f>
        <v/>
      </c>
      <c r="L63" s="115" t="str">
        <f>IFERROR(INDEX('Sport Records'!$B$52:$O$70,MATCH($L$57,'Sport Records'!$A$52:$A$70,0),MATCH($A63,'Sport Records'!$B$51:$O$51,0)),"")</f>
        <v/>
      </c>
      <c r="M63" s="115">
        <f>IFERROR(INDEX('Sport Records'!$B$52:$O$70,MATCH($M$57,'Sport Records'!$A$52:$A$70,0),MATCH($A63,'Sport Records'!$B$51:$O$51,0)),"")</f>
        <v>1</v>
      </c>
      <c r="N63" s="115">
        <f>IFERROR(INDEX('Sport Records'!$B$52:$O$70,MATCH($N$57,'Sport Records'!$A$52:$A$70,0),MATCH($A63,'Sport Records'!$B$51:$O$51,0)),"")</f>
        <v>0.2</v>
      </c>
      <c r="O63" s="115">
        <f>IFERROR(INDEX('Sport Records'!$B$52:$O$70,MATCH($O$57,'Sport Records'!$A$52:$A$70,0),MATCH($A63,'Sport Records'!$B$51:$O$51,0)),"")</f>
        <v>0</v>
      </c>
      <c r="P63" s="115" t="str">
        <f>IFERROR(INDEX('Sport Records'!$B$52:$O$70,MATCH($P$57,'Sport Records'!$A$52:$A$70,0),MATCH($A63,'Sport Records'!$B$51:$O$51,0)),"")</f>
        <v/>
      </c>
      <c r="Q63" s="115" t="str">
        <f>IFERROR(INDEX('Sport Records'!$B$52:$O$70,MATCH($Q$57,'Sport Records'!$A$52:$A$70,0),MATCH($A63,'Sport Records'!$B$51:$O$51,0)),"")</f>
        <v/>
      </c>
      <c r="R63" s="115" t="str">
        <f>IFERROR(INDEX('Sport Records'!$B$52:$O$70,MATCH($R$57,'Sport Records'!$A$52:$A$70,0),MATCH($A63,'Sport Records'!$B$51:$O$51,0)),"")</f>
        <v/>
      </c>
      <c r="S63" s="115">
        <f>IFERROR(INDEX('Sport Records'!$B$52:$O$70,MATCH($S$57,'Sport Records'!$A$52:$A$70,0),MATCH($A63,'Sport Records'!$B$51:$O$51,0)),"")</f>
        <v>0.44444444444444442</v>
      </c>
      <c r="T63" s="115" t="str">
        <f>IFERROR(INDEX('Sport Records'!$B$52:$O$70,MATCH($T$57,'Sport Records'!$A$52:$A$70,0),MATCH($A63,'Sport Records'!$B$51:$O$51,0)),"")</f>
        <v/>
      </c>
      <c r="U63" s="26"/>
    </row>
    <row r="64" spans="1:21" x14ac:dyDescent="0.2">
      <c r="A64" s="91" t="s">
        <v>175</v>
      </c>
      <c r="B64" s="115" t="str">
        <f>IFERROR(INDEX('Sport Records'!$B$52:$O$70,MATCH($B$57,'Sport Records'!$A$52:$A$70,0),MATCH($A64,'Sport Records'!$B$51:$O$51,0)),"")</f>
        <v/>
      </c>
      <c r="C64" s="115" t="str">
        <f>IFERROR(INDEX('Sport Records'!$B$52:$O$70,MATCH($C$57,'Sport Records'!$A$52:$A$70,0),MATCH($A64,'Sport Records'!$B$51:$O$51,0)),"")</f>
        <v/>
      </c>
      <c r="D64" s="115" t="str">
        <f>IFERROR(INDEX('Sport Records'!$B$52:$O$70,MATCH($D$57,'Sport Records'!$A$52:$A$70,0),MATCH($A64,'Sport Records'!$B$51:$O$51,0)),"")</f>
        <v/>
      </c>
      <c r="E64" s="115" t="str">
        <f>IFERROR(INDEX('Sport Records'!$B$52:$O$70,MATCH($E$57,'Sport Records'!$A$52:$A$70,0),MATCH($A64,'Sport Records'!$B$51:$O$51,0)),"")</f>
        <v/>
      </c>
      <c r="F64" s="115">
        <f>IFERROR(INDEX('Sport Records'!$B$52:$O$70,MATCH($F$57,'Sport Records'!$A$52:$A$70,0),MATCH($A64,'Sport Records'!$B$51:$O$51,0)),"")</f>
        <v>1</v>
      </c>
      <c r="G64" s="115">
        <f>IFERROR(INDEX('Sport Records'!$B$52:$O$70,MATCH($G$57,'Sport Records'!$A$52:$A$70,0),MATCH($A64,'Sport Records'!$B$51:$O$51,0)),"")</f>
        <v>0</v>
      </c>
      <c r="H64" s="115" t="str">
        <f>IFERROR(INDEX('Sport Records'!$B$52:$O$70,MATCH($H$57,'Sport Records'!$A$52:$A$70,0),MATCH($A64,'Sport Records'!$B$51:$O$51,0)),"")</f>
        <v/>
      </c>
      <c r="I64" s="115" t="str">
        <f>IFERROR(INDEX('Sport Records'!$B$52:$O$70,MATCH($I$57,'Sport Records'!$A$52:$A$70,0),MATCH($A64,'Sport Records'!$B$51:$O$51,0)),"")</f>
        <v/>
      </c>
      <c r="J64" s="115" t="str">
        <f>IFERROR(INDEX('Sport Records'!$B$52:$O$70,MATCH($J$57,'Sport Records'!$A$52:$A$70,0),MATCH($A64,'Sport Records'!$B$51:$O$51,0)),"")</f>
        <v/>
      </c>
      <c r="K64" s="115" t="str">
        <f>IFERROR(INDEX('Sport Records'!$B$52:$O$70,MATCH($K$57,'Sport Records'!$A$52:$A$70,0),MATCH($A64,'Sport Records'!$B$51:$O$51,0)),"")</f>
        <v/>
      </c>
      <c r="L64" s="115" t="str">
        <f>IFERROR(INDEX('Sport Records'!$B$52:$O$70,MATCH($L$57,'Sport Records'!$A$52:$A$70,0),MATCH($A64,'Sport Records'!$B$51:$O$51,0)),"")</f>
        <v/>
      </c>
      <c r="M64" s="115">
        <f>IFERROR(INDEX('Sport Records'!$B$52:$O$70,MATCH($M$57,'Sport Records'!$A$52:$A$70,0),MATCH($A64,'Sport Records'!$B$51:$O$51,0)),"")</f>
        <v>0</v>
      </c>
      <c r="N64" s="115" t="str">
        <f>IFERROR(INDEX('Sport Records'!$B$52:$O$70,MATCH($N$57,'Sport Records'!$A$52:$A$70,0),MATCH($A64,'Sport Records'!$B$51:$O$51,0)),"")</f>
        <v/>
      </c>
      <c r="O64" s="115" t="str">
        <f>IFERROR(INDEX('Sport Records'!$B$52:$O$70,MATCH($O$57,'Sport Records'!$A$52:$A$70,0),MATCH($A64,'Sport Records'!$B$51:$O$51,0)),"")</f>
        <v/>
      </c>
      <c r="P64" s="115" t="str">
        <f>IFERROR(INDEX('Sport Records'!$B$52:$O$70,MATCH($P$57,'Sport Records'!$A$52:$A$70,0),MATCH($A64,'Sport Records'!$B$51:$O$51,0)),"")</f>
        <v/>
      </c>
      <c r="Q64" s="115" t="str">
        <f>IFERROR(INDEX('Sport Records'!$B$52:$O$70,MATCH($Q$57,'Sport Records'!$A$52:$A$70,0),MATCH($A64,'Sport Records'!$B$51:$O$51,0)),"")</f>
        <v/>
      </c>
      <c r="R64" s="115" t="str">
        <f>IFERROR(INDEX('Sport Records'!$B$52:$O$70,MATCH($R$57,'Sport Records'!$A$52:$A$70,0),MATCH($A64,'Sport Records'!$B$51:$O$51,0)),"")</f>
        <v/>
      </c>
      <c r="S64" s="115">
        <f>IFERROR(INDEX('Sport Records'!$B$52:$O$70,MATCH($S$57,'Sport Records'!$A$52:$A$70,0),MATCH($A64,'Sport Records'!$B$51:$O$51,0)),"")</f>
        <v>0.72727272727272729</v>
      </c>
      <c r="T64" s="115" t="str">
        <f>IFERROR(INDEX('Sport Records'!$B$52:$O$70,MATCH($T$57,'Sport Records'!$A$52:$A$70,0),MATCH($A64,'Sport Records'!$B$51:$O$51,0)),"")</f>
        <v/>
      </c>
      <c r="U64" s="26"/>
    </row>
    <row r="65" spans="1:21" ht="15.75" customHeight="1" x14ac:dyDescent="0.2">
      <c r="A65" s="91" t="s">
        <v>177</v>
      </c>
      <c r="B65" s="115">
        <f>IFERROR(INDEX('Sport Records'!$B$52:$O$70,MATCH($B$57,'Sport Records'!$A$52:$A$70,0),MATCH($A65,'Sport Records'!$B$51:$O$51,0)),"")</f>
        <v>0</v>
      </c>
      <c r="C65" s="115" t="str">
        <f>IFERROR(INDEX('Sport Records'!$B$52:$O$70,MATCH($C$57,'Sport Records'!$A$52:$A$70,0),MATCH($A65,'Sport Records'!$B$51:$O$51,0)),"")</f>
        <v/>
      </c>
      <c r="D65" s="115">
        <f>IFERROR(INDEX('Sport Records'!$B$52:$O$70,MATCH($D$57,'Sport Records'!$A$52:$A$70,0),MATCH($A65,'Sport Records'!$B$51:$O$51,0)),"")</f>
        <v>0.44444444444444442</v>
      </c>
      <c r="E65" s="115" t="str">
        <f>IFERROR(INDEX('Sport Records'!$B$52:$O$70,MATCH($E$57,'Sport Records'!$A$52:$A$70,0),MATCH($A65,'Sport Records'!$B$51:$O$51,0)),"")</f>
        <v/>
      </c>
      <c r="F65" s="115">
        <f>IFERROR(INDEX('Sport Records'!$B$52:$O$70,MATCH($F$57,'Sport Records'!$A$52:$A$70,0),MATCH($A65,'Sport Records'!$B$51:$O$51,0)),"")</f>
        <v>0.5</v>
      </c>
      <c r="G65" s="115">
        <f>IFERROR(INDEX('Sport Records'!$B$52:$O$70,MATCH($G$57,'Sport Records'!$A$52:$A$70,0),MATCH($A65,'Sport Records'!$B$51:$O$51,0)),"")</f>
        <v>0</v>
      </c>
      <c r="H65" s="115" t="str">
        <f>IFERROR(INDEX('Sport Records'!$B$52:$O$70,MATCH($H$57,'Sport Records'!$A$52:$A$70,0),MATCH($A65,'Sport Records'!$B$51:$O$51,0)),"")</f>
        <v/>
      </c>
      <c r="I65" s="115" t="str">
        <f>IFERROR(INDEX('Sport Records'!$B$52:$O$70,MATCH($I$57,'Sport Records'!$A$52:$A$70,0),MATCH($A65,'Sport Records'!$B$51:$O$51,0)),"")</f>
        <v/>
      </c>
      <c r="J65" s="115" t="str">
        <f>IFERROR(INDEX('Sport Records'!$B$52:$O$70,MATCH($J$57,'Sport Records'!$A$52:$A$70,0),MATCH($A65,'Sport Records'!$B$51:$O$51,0)),"")</f>
        <v/>
      </c>
      <c r="K65" s="115" t="str">
        <f>IFERROR(INDEX('Sport Records'!$B$52:$O$70,MATCH($K$57,'Sport Records'!$A$52:$A$70,0),MATCH($A65,'Sport Records'!$B$51:$O$51,0)),"")</f>
        <v/>
      </c>
      <c r="L65" s="115" t="str">
        <f>IFERROR(INDEX('Sport Records'!$B$52:$O$70,MATCH($L$57,'Sport Records'!$A$52:$A$70,0),MATCH($A65,'Sport Records'!$B$51:$O$51,0)),"")</f>
        <v/>
      </c>
      <c r="M65" s="115">
        <f>IFERROR(INDEX('Sport Records'!$B$52:$O$70,MATCH($M$57,'Sport Records'!$A$52:$A$70,0),MATCH($A65,'Sport Records'!$B$51:$O$51,0)),"")</f>
        <v>0.14285714285714285</v>
      </c>
      <c r="N65" s="115">
        <f>IFERROR(INDEX('Sport Records'!$B$52:$O$70,MATCH($N$57,'Sport Records'!$A$52:$A$70,0),MATCH($A65,'Sport Records'!$B$51:$O$51,0)),"")</f>
        <v>1</v>
      </c>
      <c r="O65" s="115">
        <f>IFERROR(INDEX('Sport Records'!$B$52:$O$70,MATCH($O$57,'Sport Records'!$A$52:$A$70,0),MATCH($A65,'Sport Records'!$B$51:$O$51,0)),"")</f>
        <v>0.2857142857142857</v>
      </c>
      <c r="P65" s="115" t="str">
        <f>IFERROR(INDEX('Sport Records'!$B$52:$O$70,MATCH($P$57,'Sport Records'!$A$52:$A$70,0),MATCH($A65,'Sport Records'!$B$51:$O$51,0)),"")</f>
        <v/>
      </c>
      <c r="Q65" s="115">
        <f>IFERROR(INDEX('Sport Records'!$B$52:$O$70,MATCH($Q$57,'Sport Records'!$A$52:$A$70,0),MATCH($A65,'Sport Records'!$B$51:$O$51,0)),"")</f>
        <v>1</v>
      </c>
      <c r="R65" s="115">
        <f>IFERROR(INDEX('Sport Records'!$B$52:$O$70,MATCH($R$57,'Sport Records'!$A$52:$A$70,0),MATCH($A65,'Sport Records'!$B$51:$O$51,0)),"")</f>
        <v>0</v>
      </c>
      <c r="S65" s="115">
        <f>IFERROR(INDEX('Sport Records'!$B$52:$O$70,MATCH($S$57,'Sport Records'!$A$52:$A$70,0),MATCH($A65,'Sport Records'!$B$51:$O$51,0)),"")</f>
        <v>0.55555555555555558</v>
      </c>
      <c r="T65" s="115">
        <f>IFERROR(INDEX('Sport Records'!$B$52:$O$70,MATCH($T$57,'Sport Records'!$A$52:$A$70,0),MATCH($A65,'Sport Records'!$B$51:$O$51,0)),"")</f>
        <v>0.5</v>
      </c>
      <c r="U65" s="26"/>
    </row>
    <row r="66" spans="1:21" x14ac:dyDescent="0.2">
      <c r="A66" s="91" t="s">
        <v>174</v>
      </c>
      <c r="B66" s="115" t="str">
        <f>IFERROR(INDEX('Sport Records'!$B$52:$O$70,MATCH($B$57,'Sport Records'!$A$52:$A$70,0),MATCH($A66,'Sport Records'!$B$51:$O$51,0)),"")</f>
        <v/>
      </c>
      <c r="C66" s="115" t="str">
        <f>IFERROR(INDEX('Sport Records'!$B$52:$O$70,MATCH($C$57,'Sport Records'!$A$52:$A$70,0),MATCH($A66,'Sport Records'!$B$51:$O$51,0)),"")</f>
        <v/>
      </c>
      <c r="D66" s="115" t="str">
        <f>IFERROR(INDEX('Sport Records'!$B$52:$O$70,MATCH($D$57,'Sport Records'!$A$52:$A$70,0),MATCH($A66,'Sport Records'!$B$51:$O$51,0)),"")</f>
        <v/>
      </c>
      <c r="E66" s="115" t="str">
        <f>IFERROR(INDEX('Sport Records'!$B$52:$O$70,MATCH($E$57,'Sport Records'!$A$52:$A$70,0),MATCH($A66,'Sport Records'!$B$51:$O$51,0)),"")</f>
        <v/>
      </c>
      <c r="F66" s="115">
        <f>IFERROR(INDEX('Sport Records'!$B$52:$O$70,MATCH($F$57,'Sport Records'!$A$52:$A$70,0),MATCH($A66,'Sport Records'!$B$51:$O$51,0)),"")</f>
        <v>0.5</v>
      </c>
      <c r="G66" s="115" t="str">
        <f>IFERROR(INDEX('Sport Records'!$B$52:$O$70,MATCH($G$57,'Sport Records'!$A$52:$A$70,0),MATCH($A66,'Sport Records'!$B$51:$O$51,0)),"")</f>
        <v/>
      </c>
      <c r="H66" s="115" t="str">
        <f>IFERROR(INDEX('Sport Records'!$B$52:$O$70,MATCH($H$57,'Sport Records'!$A$52:$A$70,0),MATCH($A66,'Sport Records'!$B$51:$O$51,0)),"")</f>
        <v/>
      </c>
      <c r="I66" s="115" t="str">
        <f>IFERROR(INDEX('Sport Records'!$B$52:$O$70,MATCH($I$57,'Sport Records'!$A$52:$A$70,0),MATCH($A66,'Sport Records'!$B$51:$O$51,0)),"")</f>
        <v/>
      </c>
      <c r="J66" s="115" t="str">
        <f>IFERROR(INDEX('Sport Records'!$B$52:$O$70,MATCH($J$57,'Sport Records'!$A$52:$A$70,0),MATCH($A66,'Sport Records'!$B$51:$O$51,0)),"")</f>
        <v/>
      </c>
      <c r="K66" s="115" t="str">
        <f>IFERROR(INDEX('Sport Records'!$B$52:$O$70,MATCH($K$57,'Sport Records'!$A$52:$A$70,0),MATCH($A66,'Sport Records'!$B$51:$O$51,0)),"")</f>
        <v/>
      </c>
      <c r="L66" s="115" t="str">
        <f>IFERROR(INDEX('Sport Records'!$B$52:$O$70,MATCH($L$57,'Sport Records'!$A$52:$A$70,0),MATCH($A66,'Sport Records'!$B$51:$O$51,0)),"")</f>
        <v/>
      </c>
      <c r="M66" s="115">
        <f>IFERROR(INDEX('Sport Records'!$B$52:$O$70,MATCH($M$57,'Sport Records'!$A$52:$A$70,0),MATCH($A66,'Sport Records'!$B$51:$O$51,0)),"")</f>
        <v>0.8</v>
      </c>
      <c r="N66" s="115" t="str">
        <f>IFERROR(INDEX('Sport Records'!$B$52:$O$70,MATCH($N$57,'Sport Records'!$A$52:$A$70,0),MATCH($A66,'Sport Records'!$B$51:$O$51,0)),"")</f>
        <v/>
      </c>
      <c r="O66" s="115" t="str">
        <f>IFERROR(INDEX('Sport Records'!$B$52:$O$70,MATCH($O$57,'Sport Records'!$A$52:$A$70,0),MATCH($A66,'Sport Records'!$B$51:$O$51,0)),"")</f>
        <v/>
      </c>
      <c r="P66" s="115" t="str">
        <f>IFERROR(INDEX('Sport Records'!$B$52:$O$70,MATCH($P$57,'Sport Records'!$A$52:$A$70,0),MATCH($A66,'Sport Records'!$B$51:$O$51,0)),"")</f>
        <v/>
      </c>
      <c r="Q66" s="115" t="str">
        <f>IFERROR(INDEX('Sport Records'!$B$52:$O$70,MATCH($Q$57,'Sport Records'!$A$52:$A$70,0),MATCH($A66,'Sport Records'!$B$51:$O$51,0)),"")</f>
        <v/>
      </c>
      <c r="R66" s="115" t="str">
        <f>IFERROR(INDEX('Sport Records'!$B$52:$O$70,MATCH($R$57,'Sport Records'!$A$52:$A$70,0),MATCH($A66,'Sport Records'!$B$51:$O$51,0)),"")</f>
        <v/>
      </c>
      <c r="S66" s="115">
        <f>IFERROR(INDEX('Sport Records'!$B$52:$O$70,MATCH($S$57,'Sport Records'!$A$52:$A$70,0),MATCH($A66,'Sport Records'!$B$51:$O$51,0)),"")</f>
        <v>0.7</v>
      </c>
      <c r="T66" s="115" t="str">
        <f>IFERROR(INDEX('Sport Records'!$B$52:$O$70,MATCH($T$57,'Sport Records'!$A$52:$A$70,0),MATCH($A66,'Sport Records'!$B$51:$O$51,0)),"")</f>
        <v/>
      </c>
      <c r="U66" s="26"/>
    </row>
    <row r="67" spans="1:21" x14ac:dyDescent="0.2">
      <c r="A67" s="91" t="s">
        <v>182</v>
      </c>
      <c r="B67" s="115" t="str">
        <f>IFERROR(INDEX('Sport Records'!$B$52:$O$70,MATCH($B$57,'Sport Records'!$A$52:$A$70,0),MATCH($A67,'Sport Records'!$B$51:$O$51,0)),"")</f>
        <v/>
      </c>
      <c r="C67" s="115" t="str">
        <f>IFERROR(INDEX('Sport Records'!$B$52:$O$70,MATCH($C$57,'Sport Records'!$A$52:$A$70,0),MATCH($A67,'Sport Records'!$B$51:$O$51,0)),"")</f>
        <v/>
      </c>
      <c r="D67" s="115" t="str">
        <f>IFERROR(INDEX('Sport Records'!$B$52:$O$70,MATCH($D$57,'Sport Records'!$A$52:$A$70,0),MATCH($A67,'Sport Records'!$B$51:$O$51,0)),"")</f>
        <v/>
      </c>
      <c r="E67" s="115" t="str">
        <f>IFERROR(INDEX('Sport Records'!$B$52:$O$70,MATCH($E$57,'Sport Records'!$A$52:$A$70,0),MATCH($A67,'Sport Records'!$B$51:$O$51,0)),"")</f>
        <v/>
      </c>
      <c r="F67" s="115">
        <f>IFERROR(INDEX('Sport Records'!$B$52:$O$70,MATCH($F$57,'Sport Records'!$A$52:$A$70,0),MATCH($A67,'Sport Records'!$B$51:$O$51,0)),"")</f>
        <v>0</v>
      </c>
      <c r="G67" s="115" t="str">
        <f>IFERROR(INDEX('Sport Records'!$B$52:$O$70,MATCH($G$57,'Sport Records'!$A$52:$A$70,0),MATCH($A67,'Sport Records'!$B$51:$O$51,0)),"")</f>
        <v/>
      </c>
      <c r="H67" s="115" t="str">
        <f>IFERROR(INDEX('Sport Records'!$B$52:$O$70,MATCH($H$57,'Sport Records'!$A$52:$A$70,0),MATCH($A67,'Sport Records'!$B$51:$O$51,0)),"")</f>
        <v/>
      </c>
      <c r="I67" s="115" t="str">
        <f>IFERROR(INDEX('Sport Records'!$B$52:$O$70,MATCH($I$57,'Sport Records'!$A$52:$A$70,0),MATCH($A67,'Sport Records'!$B$51:$O$51,0)),"")</f>
        <v/>
      </c>
      <c r="J67" s="115" t="str">
        <f>IFERROR(INDEX('Sport Records'!$B$52:$O$70,MATCH($J$57,'Sport Records'!$A$52:$A$70,0),MATCH($A67,'Sport Records'!$B$51:$O$51,0)),"")</f>
        <v/>
      </c>
      <c r="K67" s="115" t="str">
        <f>IFERROR(INDEX('Sport Records'!$B$52:$O$70,MATCH($K$57,'Sport Records'!$A$52:$A$70,0),MATCH($A67,'Sport Records'!$B$51:$O$51,0)),"")</f>
        <v/>
      </c>
      <c r="L67" s="115" t="str">
        <f>IFERROR(INDEX('Sport Records'!$B$52:$O$70,MATCH($L$57,'Sport Records'!$A$52:$A$70,0),MATCH($A67,'Sport Records'!$B$51:$O$51,0)),"")</f>
        <v/>
      </c>
      <c r="M67" s="115">
        <f>IFERROR(INDEX('Sport Records'!$B$52:$O$70,MATCH($M$57,'Sport Records'!$A$52:$A$70,0),MATCH($A67,'Sport Records'!$B$51:$O$51,0)),"")</f>
        <v>0</v>
      </c>
      <c r="N67" s="115" t="str">
        <f>IFERROR(INDEX('Sport Records'!$B$52:$O$70,MATCH($N$57,'Sport Records'!$A$52:$A$70,0),MATCH($A67,'Sport Records'!$B$51:$O$51,0)),"")</f>
        <v/>
      </c>
      <c r="O67" s="115" t="str">
        <f>IFERROR(INDEX('Sport Records'!$B$52:$O$70,MATCH($O$57,'Sport Records'!$A$52:$A$70,0),MATCH($A67,'Sport Records'!$B$51:$O$51,0)),"")</f>
        <v/>
      </c>
      <c r="P67" s="115" t="str">
        <f>IFERROR(INDEX('Sport Records'!$B$52:$O$70,MATCH($P$57,'Sport Records'!$A$52:$A$70,0),MATCH($A67,'Sport Records'!$B$51:$O$51,0)),"")</f>
        <v/>
      </c>
      <c r="Q67" s="115" t="str">
        <f>IFERROR(INDEX('Sport Records'!$B$52:$O$70,MATCH($Q$57,'Sport Records'!$A$52:$A$70,0),MATCH($A67,'Sport Records'!$B$51:$O$51,0)),"")</f>
        <v/>
      </c>
      <c r="R67" s="115" t="str">
        <f>IFERROR(INDEX('Sport Records'!$B$52:$O$70,MATCH($R$57,'Sport Records'!$A$52:$A$70,0),MATCH($A67,'Sport Records'!$B$51:$O$51,0)),"")</f>
        <v/>
      </c>
      <c r="S67" s="115">
        <f>IFERROR(INDEX('Sport Records'!$B$52:$O$70,MATCH($S$57,'Sport Records'!$A$52:$A$70,0),MATCH($A67,'Sport Records'!$B$51:$O$51,0)),"")</f>
        <v>0.2857142857142857</v>
      </c>
      <c r="T67" s="115" t="str">
        <f>IFERROR(INDEX('Sport Records'!$B$52:$O$70,MATCH($T$57,'Sport Records'!$A$52:$A$70,0),MATCH($A67,'Sport Records'!$B$51:$O$51,0)),"")</f>
        <v/>
      </c>
      <c r="U67" s="26"/>
    </row>
    <row r="68" spans="1:21" x14ac:dyDescent="0.2">
      <c r="A68" s="91" t="s">
        <v>176</v>
      </c>
      <c r="B68" s="115" t="str">
        <f>IFERROR(INDEX('Sport Records'!$B$52:$O$70,MATCH($B$57,'Sport Records'!$A$52:$A$70,0),MATCH($A68,'Sport Records'!$B$51:$O$51,0)),"")</f>
        <v/>
      </c>
      <c r="C68" s="115" t="str">
        <f>IFERROR(INDEX('Sport Records'!$B$52:$O$70,MATCH($C$57,'Sport Records'!$A$52:$A$70,0),MATCH($A68,'Sport Records'!$B$51:$O$51,0)),"")</f>
        <v/>
      </c>
      <c r="D68" s="115" t="str">
        <f>IFERROR(INDEX('Sport Records'!$B$52:$O$70,MATCH($D$57,'Sport Records'!$A$52:$A$70,0),MATCH($A68,'Sport Records'!$B$51:$O$51,0)),"")</f>
        <v/>
      </c>
      <c r="E68" s="115" t="str">
        <f>IFERROR(INDEX('Sport Records'!$B$52:$O$70,MATCH($E$57,'Sport Records'!$A$52:$A$70,0),MATCH($A68,'Sport Records'!$B$51:$O$51,0)),"")</f>
        <v/>
      </c>
      <c r="F68" s="115">
        <f>IFERROR(INDEX('Sport Records'!$B$52:$O$70,MATCH($F$57,'Sport Records'!$A$52:$A$70,0),MATCH($A68,'Sport Records'!$B$51:$O$51,0)),"")</f>
        <v>0.5</v>
      </c>
      <c r="G68" s="115">
        <f>IFERROR(INDEX('Sport Records'!$B$52:$O$70,MATCH($G$57,'Sport Records'!$A$52:$A$70,0),MATCH($A68,'Sport Records'!$B$51:$O$51,0)),"")</f>
        <v>0</v>
      </c>
      <c r="H68" s="115" t="str">
        <f>IFERROR(INDEX('Sport Records'!$B$52:$O$70,MATCH($H$57,'Sport Records'!$A$52:$A$70,0),MATCH($A68,'Sport Records'!$B$51:$O$51,0)),"")</f>
        <v/>
      </c>
      <c r="I68" s="115" t="str">
        <f>IFERROR(INDEX('Sport Records'!$B$52:$O$70,MATCH($I$57,'Sport Records'!$A$52:$A$70,0),MATCH($A68,'Sport Records'!$B$51:$O$51,0)),"")</f>
        <v/>
      </c>
      <c r="J68" s="115">
        <f>IFERROR(INDEX('Sport Records'!$B$52:$O$70,MATCH($J$57,'Sport Records'!$A$52:$A$70,0),MATCH($A68,'Sport Records'!$B$51:$O$51,0)),"")</f>
        <v>0</v>
      </c>
      <c r="K68" s="115" t="str">
        <f>IFERROR(INDEX('Sport Records'!$B$52:$O$70,MATCH($K$57,'Sport Records'!$A$52:$A$70,0),MATCH($A68,'Sport Records'!$B$51:$O$51,0)),"")</f>
        <v/>
      </c>
      <c r="L68" s="115" t="str">
        <f>IFERROR(INDEX('Sport Records'!$B$52:$O$70,MATCH($L$57,'Sport Records'!$A$52:$A$70,0),MATCH($A68,'Sport Records'!$B$51:$O$51,0)),"")</f>
        <v/>
      </c>
      <c r="M68" s="115">
        <f>IFERROR(INDEX('Sport Records'!$B$52:$O$70,MATCH($M$57,'Sport Records'!$A$52:$A$70,0),MATCH($A68,'Sport Records'!$B$51:$O$51,0)),"")</f>
        <v>0.46153846153846156</v>
      </c>
      <c r="N68" s="115">
        <f>IFERROR(INDEX('Sport Records'!$B$52:$O$70,MATCH($N$57,'Sport Records'!$A$52:$A$70,0),MATCH($A68,'Sport Records'!$B$51:$O$51,0)),"")</f>
        <v>0.33333333333333331</v>
      </c>
      <c r="O68" s="115">
        <f>IFERROR(INDEX('Sport Records'!$B$52:$O$70,MATCH($O$57,'Sport Records'!$A$52:$A$70,0),MATCH($A68,'Sport Records'!$B$51:$O$51,0)),"")</f>
        <v>0.7142857142857143</v>
      </c>
      <c r="P68" s="115" t="str">
        <f>IFERROR(INDEX('Sport Records'!$B$52:$O$70,MATCH($P$57,'Sport Records'!$A$52:$A$70,0),MATCH($A68,'Sport Records'!$B$51:$O$51,0)),"")</f>
        <v/>
      </c>
      <c r="Q68" s="115" t="str">
        <f>IFERROR(INDEX('Sport Records'!$B$52:$O$70,MATCH($Q$57,'Sport Records'!$A$52:$A$70,0),MATCH($A68,'Sport Records'!$B$51:$O$51,0)),"")</f>
        <v/>
      </c>
      <c r="R68" s="115" t="str">
        <f>IFERROR(INDEX('Sport Records'!$B$52:$O$70,MATCH($R$57,'Sport Records'!$A$52:$A$70,0),MATCH($A68,'Sport Records'!$B$51:$O$51,0)),"")</f>
        <v/>
      </c>
      <c r="S68" s="115">
        <f>IFERROR(INDEX('Sport Records'!$B$52:$O$70,MATCH($S$57,'Sport Records'!$A$52:$A$70,0),MATCH($A68,'Sport Records'!$B$51:$O$51,0)),"")</f>
        <v>0.41666666666666669</v>
      </c>
      <c r="T68" s="115" t="str">
        <f>IFERROR(INDEX('Sport Records'!$B$52:$O$70,MATCH($T$57,'Sport Records'!$A$52:$A$70,0),MATCH($A68,'Sport Records'!$B$51:$O$51,0)),"")</f>
        <v/>
      </c>
      <c r="U68" s="26"/>
    </row>
    <row r="69" spans="1:21" x14ac:dyDescent="0.2">
      <c r="A69" s="91" t="s">
        <v>178</v>
      </c>
      <c r="B69" s="115" t="str">
        <f>IFERROR(INDEX('Sport Records'!$B$52:$O$70,MATCH($B$57,'Sport Records'!$A$52:$A$70,0),MATCH($A69,'Sport Records'!$B$51:$O$51,0)),"")</f>
        <v/>
      </c>
      <c r="C69" s="115" t="str">
        <f>IFERROR(INDEX('Sport Records'!$B$52:$O$70,MATCH($C$57,'Sport Records'!$A$52:$A$70,0),MATCH($A69,'Sport Records'!$B$51:$O$51,0)),"")</f>
        <v/>
      </c>
      <c r="D69" s="115" t="str">
        <f>IFERROR(INDEX('Sport Records'!$B$52:$O$70,MATCH($D$57,'Sport Records'!$A$52:$A$70,0),MATCH($A69,'Sport Records'!$B$51:$O$51,0)),"")</f>
        <v/>
      </c>
      <c r="E69" s="115" t="str">
        <f>IFERROR(INDEX('Sport Records'!$B$52:$O$70,MATCH($E$57,'Sport Records'!$A$52:$A$70,0),MATCH($A69,'Sport Records'!$B$51:$O$51,0)),"")</f>
        <v/>
      </c>
      <c r="F69" s="115" t="str">
        <f>IFERROR(INDEX('Sport Records'!$B$52:$O$70,MATCH($F$57,'Sport Records'!$A$52:$A$70,0),MATCH($A69,'Sport Records'!$B$51:$O$51,0)),"")</f>
        <v/>
      </c>
      <c r="G69" s="115" t="str">
        <f>IFERROR(INDEX('Sport Records'!$B$52:$O$70,MATCH($G$57,'Sport Records'!$A$52:$A$70,0),MATCH($A69,'Sport Records'!$B$51:$O$51,0)),"")</f>
        <v/>
      </c>
      <c r="H69" s="115" t="str">
        <f>IFERROR(INDEX('Sport Records'!$B$52:$O$70,MATCH($H$57,'Sport Records'!$A$52:$A$70,0),MATCH($A69,'Sport Records'!$B$51:$O$51,0)),"")</f>
        <v/>
      </c>
      <c r="I69" s="115" t="str">
        <f>IFERROR(INDEX('Sport Records'!$B$52:$O$70,MATCH($I$57,'Sport Records'!$A$52:$A$70,0),MATCH($A69,'Sport Records'!$B$51:$O$51,0)),"")</f>
        <v/>
      </c>
      <c r="J69" s="115" t="str">
        <f>IFERROR(INDEX('Sport Records'!$B$52:$O$70,MATCH($J$57,'Sport Records'!$A$52:$A$70,0),MATCH($A69,'Sport Records'!$B$51:$O$51,0)),"")</f>
        <v/>
      </c>
      <c r="K69" s="115" t="str">
        <f>IFERROR(INDEX('Sport Records'!$B$52:$O$70,MATCH($K$57,'Sport Records'!$A$52:$A$70,0),MATCH($A69,'Sport Records'!$B$51:$O$51,0)),"")</f>
        <v/>
      </c>
      <c r="L69" s="115" t="str">
        <f>IFERROR(INDEX('Sport Records'!$B$52:$O$70,MATCH($L$57,'Sport Records'!$A$52:$A$70,0),MATCH($A69,'Sport Records'!$B$51:$O$51,0)),"")</f>
        <v/>
      </c>
      <c r="M69" s="115" t="str">
        <f>IFERROR(INDEX('Sport Records'!$B$52:$O$70,MATCH($M$57,'Sport Records'!$A$52:$A$70,0),MATCH($A69,'Sport Records'!$B$51:$O$51,0)),"")</f>
        <v/>
      </c>
      <c r="N69" s="115" t="str">
        <f>IFERROR(INDEX('Sport Records'!$B$52:$O$70,MATCH($N$57,'Sport Records'!$A$52:$A$70,0),MATCH($A69,'Sport Records'!$B$51:$O$51,0)),"")</f>
        <v/>
      </c>
      <c r="O69" s="115" t="str">
        <f>IFERROR(INDEX('Sport Records'!$B$52:$O$70,MATCH($O$57,'Sport Records'!$A$52:$A$70,0),MATCH($A69,'Sport Records'!$B$51:$O$51,0)),"")</f>
        <v/>
      </c>
      <c r="P69" s="115" t="str">
        <f>IFERROR(INDEX('Sport Records'!$B$52:$O$70,MATCH($P$57,'Sport Records'!$A$52:$A$70,0),MATCH($A69,'Sport Records'!$B$51:$O$51,0)),"")</f>
        <v/>
      </c>
      <c r="Q69" s="115" t="str">
        <f>IFERROR(INDEX('Sport Records'!$B$52:$O$70,MATCH($Q$57,'Sport Records'!$A$52:$A$70,0),MATCH($A69,'Sport Records'!$B$51:$O$51,0)),"")</f>
        <v/>
      </c>
      <c r="R69" s="115" t="str">
        <f>IFERROR(INDEX('Sport Records'!$B$52:$O$70,MATCH($R$57,'Sport Records'!$A$52:$A$70,0),MATCH($A69,'Sport Records'!$B$51:$O$51,0)),"")</f>
        <v/>
      </c>
      <c r="S69" s="115">
        <f>IFERROR(INDEX('Sport Records'!$B$52:$O$70,MATCH($S$57,'Sport Records'!$A$52:$A$70,0),MATCH($A69,'Sport Records'!$B$51:$O$51,0)),"")</f>
        <v>0.4</v>
      </c>
      <c r="T69" s="115" t="str">
        <f>IFERROR(INDEX('Sport Records'!$B$52:$O$70,MATCH($T$57,'Sport Records'!$A$52:$A$70,0),MATCH($A69,'Sport Records'!$B$51:$O$51,0)),"")</f>
        <v/>
      </c>
      <c r="U69" s="26"/>
    </row>
    <row r="70" spans="1:21" x14ac:dyDescent="0.2">
      <c r="A70" s="91" t="s">
        <v>179</v>
      </c>
      <c r="B70" s="115" t="str">
        <f>IFERROR(INDEX('Sport Records'!$B$52:$O$70,MATCH($B$57,'Sport Records'!$A$52:$A$70,0),MATCH($A70,'Sport Records'!$B$51:$O$51,0)),"")</f>
        <v/>
      </c>
      <c r="C70" s="115" t="str">
        <f>IFERROR(INDEX('Sport Records'!$B$52:$O$70,MATCH($C$57,'Sport Records'!$A$52:$A$70,0),MATCH($A70,'Sport Records'!$B$51:$O$51,0)),"")</f>
        <v/>
      </c>
      <c r="D70" s="115" t="str">
        <f>IFERROR(INDEX('Sport Records'!$B$52:$O$70,MATCH($D$57,'Sport Records'!$A$52:$A$70,0),MATCH($A70,'Sport Records'!$B$51:$O$51,0)),"")</f>
        <v/>
      </c>
      <c r="E70" s="115" t="str">
        <f>IFERROR(INDEX('Sport Records'!$B$52:$O$70,MATCH($E$57,'Sport Records'!$A$52:$A$70,0),MATCH($A70,'Sport Records'!$B$51:$O$51,0)),"")</f>
        <v/>
      </c>
      <c r="F70" s="115" t="str">
        <f>IFERROR(INDEX('Sport Records'!$B$52:$O$70,MATCH($F$57,'Sport Records'!$A$52:$A$70,0),MATCH($A70,'Sport Records'!$B$51:$O$51,0)),"")</f>
        <v/>
      </c>
      <c r="G70" s="115" t="str">
        <f>IFERROR(INDEX('Sport Records'!$B$52:$O$70,MATCH($G$57,'Sport Records'!$A$52:$A$70,0),MATCH($A70,'Sport Records'!$B$51:$O$51,0)),"")</f>
        <v/>
      </c>
      <c r="H70" s="115" t="str">
        <f>IFERROR(INDEX('Sport Records'!$B$52:$O$70,MATCH($H$57,'Sport Records'!$A$52:$A$70,0),MATCH($A70,'Sport Records'!$B$51:$O$51,0)),"")</f>
        <v/>
      </c>
      <c r="I70" s="115" t="str">
        <f>IFERROR(INDEX('Sport Records'!$B$52:$O$70,MATCH($I$57,'Sport Records'!$A$52:$A$70,0),MATCH($A70,'Sport Records'!$B$51:$O$51,0)),"")</f>
        <v/>
      </c>
      <c r="J70" s="115" t="str">
        <f>IFERROR(INDEX('Sport Records'!$B$52:$O$70,MATCH($J$57,'Sport Records'!$A$52:$A$70,0),MATCH($A70,'Sport Records'!$B$51:$O$51,0)),"")</f>
        <v/>
      </c>
      <c r="K70" s="115" t="str">
        <f>IFERROR(INDEX('Sport Records'!$B$52:$O$70,MATCH($K$57,'Sport Records'!$A$52:$A$70,0),MATCH($A70,'Sport Records'!$B$51:$O$51,0)),"")</f>
        <v/>
      </c>
      <c r="L70" s="115" t="str">
        <f>IFERROR(INDEX('Sport Records'!$B$52:$O$70,MATCH($L$57,'Sport Records'!$A$52:$A$70,0),MATCH($A70,'Sport Records'!$B$51:$O$51,0)),"")</f>
        <v/>
      </c>
      <c r="M70" s="115" t="str">
        <f>IFERROR(INDEX('Sport Records'!$B$52:$O$70,MATCH($M$57,'Sport Records'!$A$52:$A$70,0),MATCH($A70,'Sport Records'!$B$51:$O$51,0)),"")</f>
        <v/>
      </c>
      <c r="N70" s="115" t="str">
        <f>IFERROR(INDEX('Sport Records'!$B$52:$O$70,MATCH($N$57,'Sport Records'!$A$52:$A$70,0),MATCH($A70,'Sport Records'!$B$51:$O$51,0)),"")</f>
        <v/>
      </c>
      <c r="O70" s="115" t="str">
        <f>IFERROR(INDEX('Sport Records'!$B$52:$O$70,MATCH($O$57,'Sport Records'!$A$52:$A$70,0),MATCH($A70,'Sport Records'!$B$51:$O$51,0)),"")</f>
        <v/>
      </c>
      <c r="P70" s="115" t="str">
        <f>IFERROR(INDEX('Sport Records'!$B$52:$O$70,MATCH($P$57,'Sport Records'!$A$52:$A$70,0),MATCH($A70,'Sport Records'!$B$51:$O$51,0)),"")</f>
        <v/>
      </c>
      <c r="Q70" s="115" t="str">
        <f>IFERROR(INDEX('Sport Records'!$B$52:$O$70,MATCH($Q$57,'Sport Records'!$A$52:$A$70,0),MATCH($A70,'Sport Records'!$B$51:$O$51,0)),"")</f>
        <v/>
      </c>
      <c r="R70" s="115" t="str">
        <f>IFERROR(INDEX('Sport Records'!$B$52:$O$70,MATCH($R$57,'Sport Records'!$A$52:$A$70,0),MATCH($A70,'Sport Records'!$B$51:$O$51,0)),"")</f>
        <v/>
      </c>
      <c r="S70" s="115">
        <f>IFERROR(INDEX('Sport Records'!$B$52:$O$70,MATCH($S$57,'Sport Records'!$A$52:$A$70,0),MATCH($A70,'Sport Records'!$B$51:$O$51,0)),"")</f>
        <v>0.5</v>
      </c>
      <c r="T70" s="115" t="str">
        <f>IFERROR(INDEX('Sport Records'!$B$52:$O$70,MATCH($T$57,'Sport Records'!$A$52:$A$70,0),MATCH($A70,'Sport Records'!$B$51:$O$51,0)),"")</f>
        <v/>
      </c>
      <c r="U70" s="26"/>
    </row>
    <row r="71" spans="1:21" x14ac:dyDescent="0.2">
      <c r="A71" s="91" t="s">
        <v>181</v>
      </c>
      <c r="B71" s="115" t="str">
        <f>IFERROR(INDEX('Sport Records'!$B$52:$O$70,MATCH($B$57,'Sport Records'!$A$52:$A$70,0),MATCH($A71,'Sport Records'!$B$51:$O$51,0)),"")</f>
        <v/>
      </c>
      <c r="C71" s="115" t="str">
        <f>IFERROR(INDEX('Sport Records'!$B$52:$O$70,MATCH($C$57,'Sport Records'!$A$52:$A$70,0),MATCH($A71,'Sport Records'!$B$51:$O$51,0)),"")</f>
        <v/>
      </c>
      <c r="D71" s="115" t="str">
        <f>IFERROR(INDEX('Sport Records'!$B$52:$O$70,MATCH($D$57,'Sport Records'!$A$52:$A$70,0),MATCH($A71,'Sport Records'!$B$51:$O$51,0)),"")</f>
        <v/>
      </c>
      <c r="E71" s="115" t="str">
        <f>IFERROR(INDEX('Sport Records'!$B$52:$O$70,MATCH($E$57,'Sport Records'!$A$52:$A$70,0),MATCH($A71,'Sport Records'!$B$51:$O$51,0)),"")</f>
        <v/>
      </c>
      <c r="F71" s="115" t="str">
        <f>IFERROR(INDEX('Sport Records'!$B$52:$O$70,MATCH($F$57,'Sport Records'!$A$52:$A$70,0),MATCH($A71,'Sport Records'!$B$51:$O$51,0)),"")</f>
        <v/>
      </c>
      <c r="G71" s="115" t="str">
        <f>IFERROR(INDEX('Sport Records'!$B$52:$O$70,MATCH($G$57,'Sport Records'!$A$52:$A$70,0),MATCH($A71,'Sport Records'!$B$51:$O$51,0)),"")</f>
        <v/>
      </c>
      <c r="H71" s="115" t="str">
        <f>IFERROR(INDEX('Sport Records'!$B$52:$O$70,MATCH($H$57,'Sport Records'!$A$52:$A$70,0),MATCH($A71,'Sport Records'!$B$51:$O$51,0)),"")</f>
        <v/>
      </c>
      <c r="I71" s="115" t="str">
        <f>IFERROR(INDEX('Sport Records'!$B$52:$O$70,MATCH($I$57,'Sport Records'!$A$52:$A$70,0),MATCH($A71,'Sport Records'!$B$51:$O$51,0)),"")</f>
        <v/>
      </c>
      <c r="J71" s="115" t="str">
        <f>IFERROR(INDEX('Sport Records'!$B$52:$O$70,MATCH($J$57,'Sport Records'!$A$52:$A$70,0),MATCH($A71,'Sport Records'!$B$51:$O$51,0)),"")</f>
        <v/>
      </c>
      <c r="K71" s="115" t="str">
        <f>IFERROR(INDEX('Sport Records'!$B$52:$O$70,MATCH($K$57,'Sport Records'!$A$52:$A$70,0),MATCH($A71,'Sport Records'!$B$51:$O$51,0)),"")</f>
        <v/>
      </c>
      <c r="L71" s="115" t="str">
        <f>IFERROR(INDEX('Sport Records'!$B$52:$O$70,MATCH($L$57,'Sport Records'!$A$52:$A$70,0),MATCH($A71,'Sport Records'!$B$51:$O$51,0)),"")</f>
        <v/>
      </c>
      <c r="M71" s="115" t="str">
        <f>IFERROR(INDEX('Sport Records'!$B$52:$O$70,MATCH($M$57,'Sport Records'!$A$52:$A$70,0),MATCH($A71,'Sport Records'!$B$51:$O$51,0)),"")</f>
        <v/>
      </c>
      <c r="N71" s="115" t="str">
        <f>IFERROR(INDEX('Sport Records'!$B$52:$O$70,MATCH($N$57,'Sport Records'!$A$52:$A$70,0),MATCH($A71,'Sport Records'!$B$51:$O$51,0)),"")</f>
        <v/>
      </c>
      <c r="O71" s="115" t="str">
        <f>IFERROR(INDEX('Sport Records'!$B$52:$O$70,MATCH($O$57,'Sport Records'!$A$52:$A$70,0),MATCH($A71,'Sport Records'!$B$51:$O$51,0)),"")</f>
        <v/>
      </c>
      <c r="P71" s="115" t="str">
        <f>IFERROR(INDEX('Sport Records'!$B$52:$O$70,MATCH($P$57,'Sport Records'!$A$52:$A$70,0),MATCH($A71,'Sport Records'!$B$51:$O$51,0)),"")</f>
        <v/>
      </c>
      <c r="Q71" s="115" t="str">
        <f>IFERROR(INDEX('Sport Records'!$B$52:$O$70,MATCH($Q$57,'Sport Records'!$A$52:$A$70,0),MATCH($A71,'Sport Records'!$B$51:$O$51,0)),"")</f>
        <v/>
      </c>
      <c r="R71" s="115" t="str">
        <f>IFERROR(INDEX('Sport Records'!$B$52:$O$70,MATCH($R$57,'Sport Records'!$A$52:$A$70,0),MATCH($A71,'Sport Records'!$B$51:$O$51,0)),"")</f>
        <v/>
      </c>
      <c r="S71" s="115" t="str">
        <f>IFERROR(INDEX('Sport Records'!$B$52:$O$70,MATCH($S$57,'Sport Records'!$A$52:$A$70,0),MATCH($A71,'Sport Records'!$B$51:$O$51,0)),"")</f>
        <v/>
      </c>
      <c r="T71" s="115" t="str">
        <f>IFERROR(INDEX('Sport Records'!$B$52:$O$70,MATCH($T$57,'Sport Records'!$A$52:$A$70,0),MATCH($A71,'Sport Records'!$B$51:$O$51,0)),"")</f>
        <v/>
      </c>
      <c r="U71" s="26"/>
    </row>
    <row r="72" spans="1:21" x14ac:dyDescent="0.2">
      <c r="A72" s="26"/>
      <c r="B72" s="103"/>
      <c r="C72" s="103"/>
      <c r="D72" s="103"/>
      <c r="E72" s="103"/>
      <c r="F72" s="103"/>
      <c r="G72" s="103"/>
      <c r="H72" s="103"/>
      <c r="I72" s="103"/>
      <c r="J72" s="103"/>
      <c r="K72" s="103"/>
      <c r="L72" s="103"/>
      <c r="M72" s="103"/>
      <c r="N72" s="103"/>
      <c r="O72" s="103"/>
      <c r="P72" s="103"/>
      <c r="Q72" s="103"/>
      <c r="R72" s="103"/>
      <c r="S72" s="103"/>
      <c r="T72" s="103"/>
      <c r="U72" s="26"/>
    </row>
    <row r="73" spans="1:21" x14ac:dyDescent="0.2">
      <c r="A73" s="26"/>
      <c r="B73" s="103"/>
      <c r="C73" s="103"/>
      <c r="D73" s="103"/>
      <c r="E73" s="103"/>
      <c r="F73" s="103"/>
      <c r="G73" s="103"/>
      <c r="H73" s="103"/>
      <c r="I73" s="103"/>
      <c r="J73" s="103"/>
      <c r="K73" s="103"/>
      <c r="L73" s="103"/>
      <c r="M73" s="103"/>
      <c r="N73" s="103"/>
      <c r="O73" s="103"/>
      <c r="P73" s="103"/>
      <c r="Q73" s="103"/>
      <c r="R73" s="103"/>
      <c r="S73" s="103"/>
      <c r="T73" s="103"/>
      <c r="U73" s="26"/>
    </row>
    <row r="74" spans="1:21" x14ac:dyDescent="0.2">
      <c r="A74" s="26"/>
      <c r="B74" s="103"/>
      <c r="C74" s="103"/>
      <c r="D74" s="103"/>
      <c r="E74" s="103"/>
      <c r="F74" s="103"/>
      <c r="G74" s="103"/>
      <c r="H74" s="103"/>
      <c r="I74" s="103"/>
      <c r="J74" s="103"/>
      <c r="K74" s="103"/>
      <c r="L74" s="103"/>
      <c r="M74" s="103"/>
      <c r="N74" s="103"/>
      <c r="O74" s="103"/>
      <c r="P74" s="103"/>
      <c r="Q74" s="103"/>
      <c r="R74" s="103"/>
      <c r="S74" s="103"/>
      <c r="T74" s="103"/>
      <c r="U74" s="26"/>
    </row>
    <row r="75" spans="1:21" x14ac:dyDescent="0.2">
      <c r="A75" s="26"/>
      <c r="B75" s="103"/>
      <c r="C75" s="103"/>
      <c r="D75" s="103"/>
      <c r="E75" s="103"/>
      <c r="F75" s="103"/>
      <c r="G75" s="103"/>
      <c r="H75" s="103"/>
      <c r="I75" s="103"/>
      <c r="J75" s="103"/>
      <c r="K75" s="103"/>
      <c r="L75" s="103"/>
      <c r="M75" s="103"/>
      <c r="N75" s="103"/>
      <c r="O75" s="103"/>
      <c r="P75" s="103"/>
      <c r="Q75" s="103"/>
      <c r="R75" s="103"/>
      <c r="S75" s="103"/>
      <c r="T75" s="103"/>
      <c r="U75" s="26"/>
    </row>
    <row r="76" spans="1:21" x14ac:dyDescent="0.2">
      <c r="A76" s="26"/>
      <c r="B76" s="103"/>
      <c r="C76" s="103"/>
      <c r="D76" s="103"/>
      <c r="E76" s="103"/>
      <c r="F76" s="103"/>
      <c r="G76" s="103"/>
      <c r="H76" s="103"/>
      <c r="I76" s="103"/>
      <c r="J76" s="103"/>
      <c r="K76" s="103"/>
      <c r="L76" s="103"/>
      <c r="M76" s="103"/>
      <c r="N76" s="103"/>
      <c r="O76" s="103"/>
      <c r="P76" s="103"/>
      <c r="Q76" s="103"/>
      <c r="R76" s="103"/>
      <c r="S76" s="103"/>
      <c r="T76" s="103"/>
      <c r="U76" s="26"/>
    </row>
    <row r="77" spans="1:21" x14ac:dyDescent="0.2">
      <c r="A77" s="26"/>
      <c r="B77" s="103"/>
      <c r="C77" s="103"/>
      <c r="D77" s="103"/>
      <c r="E77" s="103"/>
      <c r="F77" s="103"/>
      <c r="G77" s="103"/>
      <c r="H77" s="103"/>
      <c r="I77" s="103"/>
      <c r="J77" s="103"/>
      <c r="K77" s="103"/>
      <c r="L77" s="103"/>
      <c r="M77" s="103"/>
      <c r="N77" s="103"/>
      <c r="O77" s="103"/>
      <c r="P77" s="103"/>
      <c r="Q77" s="103"/>
      <c r="R77" s="103"/>
      <c r="S77" s="103"/>
      <c r="T77" s="103"/>
      <c r="U77" s="26"/>
    </row>
    <row r="78" spans="1:21" x14ac:dyDescent="0.2">
      <c r="A78" s="26"/>
      <c r="B78" s="103"/>
      <c r="C78" s="103"/>
      <c r="D78" s="103"/>
      <c r="E78" s="103"/>
      <c r="F78" s="103"/>
      <c r="G78" s="103"/>
      <c r="H78" s="103"/>
      <c r="I78" s="103"/>
      <c r="J78" s="103"/>
      <c r="K78" s="103"/>
      <c r="L78" s="103"/>
      <c r="M78" s="103"/>
      <c r="N78" s="103"/>
      <c r="O78" s="103"/>
      <c r="P78" s="103"/>
      <c r="Q78" s="103"/>
      <c r="R78" s="103"/>
      <c r="S78" s="103"/>
      <c r="T78" s="103"/>
      <c r="U78" s="26"/>
    </row>
    <row r="79" spans="1:21" x14ac:dyDescent="0.2">
      <c r="A79" s="26"/>
      <c r="B79" s="103"/>
      <c r="C79" s="103"/>
      <c r="D79" s="103"/>
      <c r="E79" s="103"/>
      <c r="F79" s="103"/>
      <c r="G79" s="103"/>
      <c r="H79" s="103"/>
      <c r="I79" s="103"/>
      <c r="J79" s="103"/>
      <c r="K79" s="103"/>
      <c r="L79" s="103"/>
      <c r="M79" s="103"/>
      <c r="N79" s="103"/>
      <c r="O79" s="103"/>
      <c r="P79" s="103"/>
      <c r="Q79" s="103"/>
      <c r="R79" s="103"/>
      <c r="S79" s="103"/>
      <c r="T79" s="103"/>
      <c r="U79" s="26"/>
    </row>
    <row r="80" spans="1:21" x14ac:dyDescent="0.2">
      <c r="A80" s="26"/>
      <c r="B80" s="103"/>
      <c r="C80" s="103"/>
      <c r="D80" s="103"/>
      <c r="E80" s="103"/>
      <c r="F80" s="103"/>
      <c r="G80" s="103"/>
      <c r="H80" s="103"/>
      <c r="I80" s="103"/>
      <c r="J80" s="103"/>
      <c r="K80" s="103"/>
      <c r="L80" s="103"/>
      <c r="M80" s="103"/>
      <c r="N80" s="103"/>
      <c r="O80" s="103"/>
      <c r="P80" s="103"/>
      <c r="Q80" s="103"/>
      <c r="R80" s="103"/>
      <c r="S80" s="103"/>
      <c r="T80" s="103"/>
      <c r="U80" s="26"/>
    </row>
    <row r="81" spans="1:21" x14ac:dyDescent="0.2">
      <c r="A81" s="26"/>
      <c r="B81" s="103"/>
      <c r="C81" s="103"/>
      <c r="D81" s="103"/>
      <c r="E81" s="103"/>
      <c r="F81" s="103"/>
      <c r="G81" s="103"/>
      <c r="H81" s="103"/>
      <c r="I81" s="103"/>
      <c r="J81" s="103"/>
      <c r="K81" s="103"/>
      <c r="L81" s="103"/>
      <c r="M81" s="103"/>
      <c r="N81" s="103"/>
      <c r="O81" s="103"/>
      <c r="P81" s="103"/>
      <c r="Q81" s="103"/>
      <c r="R81" s="103"/>
      <c r="S81" s="103"/>
      <c r="T81" s="103"/>
      <c r="U81" s="26"/>
    </row>
    <row r="82" spans="1:21" x14ac:dyDescent="0.2">
      <c r="A82" s="26"/>
      <c r="B82" s="26"/>
      <c r="C82" s="26"/>
      <c r="D82" s="26"/>
      <c r="E82" s="26"/>
      <c r="F82" s="26"/>
      <c r="G82" s="26"/>
      <c r="H82" s="26"/>
      <c r="I82" s="26"/>
      <c r="J82" s="26"/>
      <c r="K82" s="26"/>
      <c r="L82" s="26"/>
      <c r="M82" s="26"/>
      <c r="N82" s="26"/>
      <c r="O82" s="26"/>
      <c r="P82" s="26"/>
      <c r="Q82" s="26"/>
      <c r="R82" s="26"/>
      <c r="S82" s="26"/>
      <c r="T82" s="26"/>
      <c r="U82" s="26"/>
    </row>
    <row r="83" spans="1:21" x14ac:dyDescent="0.2">
      <c r="A83" s="26"/>
      <c r="B83" s="26"/>
      <c r="C83" s="26"/>
      <c r="D83" s="26"/>
      <c r="E83" s="26"/>
      <c r="F83" s="26"/>
      <c r="G83" s="26"/>
      <c r="H83" s="26"/>
      <c r="I83" s="26"/>
      <c r="J83" s="26"/>
      <c r="K83" s="26"/>
      <c r="L83" s="26"/>
      <c r="M83" s="26"/>
      <c r="N83" s="26"/>
      <c r="O83" s="26"/>
      <c r="P83" s="26"/>
      <c r="Q83" s="26"/>
      <c r="R83" s="26"/>
      <c r="S83" s="26"/>
      <c r="T83" s="26"/>
      <c r="U83" s="26"/>
    </row>
  </sheetData>
  <conditionalFormatting sqref="B40:K53">
    <cfRule type="cellIs" dxfId="7" priority="3" operator="equal">
      <formula>"W"</formula>
    </cfRule>
    <cfRule type="cellIs" dxfId="6" priority="4" operator="equal">
      <formula>"L"</formula>
    </cfRule>
  </conditionalFormatting>
  <conditionalFormatting sqref="B58:T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Lists!$C$2:$C$20</xm:f>
          </x14:formula1>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581FC-FAE7-3841-BBA1-FAA941E43E1C}">
  <dimension ref="A1:AC311"/>
  <sheetViews>
    <sheetView zoomScale="118" zoomScaleNormal="118" workbookViewId="0">
      <pane xSplit="5" ySplit="3" topLeftCell="F251" activePane="bottomRight" state="frozen"/>
      <selection pane="topRight" activeCell="F1" sqref="F1"/>
      <selection pane="bottomLeft" activeCell="A244" sqref="A244"/>
      <selection pane="bottomRight" activeCell="E290" sqref="E290"/>
    </sheetView>
  </sheetViews>
  <sheetFormatPr baseColWidth="10" defaultColWidth="8.6640625" defaultRowHeight="15" x14ac:dyDescent="0.2"/>
  <cols>
    <col min="1" max="1" width="12.1640625" customWidth="1"/>
    <col min="2"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54" t="s">
        <v>292</v>
      </c>
      <c r="B1" s="154"/>
      <c r="C1" s="154"/>
      <c r="D1" s="154"/>
      <c r="E1" s="154"/>
      <c r="F1" s="154"/>
      <c r="G1" s="154"/>
      <c r="H1" s="154"/>
      <c r="I1" s="154"/>
      <c r="J1" s="154"/>
      <c r="K1" s="154"/>
      <c r="L1" s="154"/>
      <c r="M1" s="154"/>
      <c r="N1" s="154"/>
      <c r="O1" s="154"/>
    </row>
    <row r="2" spans="1:29" ht="15" customHeight="1" x14ac:dyDescent="0.2">
      <c r="A2" s="155" t="s">
        <v>293</v>
      </c>
      <c r="B2" s="155"/>
      <c r="C2" s="155"/>
      <c r="D2" s="155"/>
      <c r="E2" s="155"/>
      <c r="F2" s="155"/>
      <c r="G2" s="155"/>
      <c r="H2" s="155"/>
      <c r="I2" s="155"/>
      <c r="J2" s="155"/>
      <c r="K2" s="155"/>
      <c r="L2" s="155"/>
      <c r="M2" s="155"/>
      <c r="N2" s="155"/>
      <c r="O2" s="155"/>
    </row>
    <row r="3" spans="1:29" ht="15" customHeight="1" x14ac:dyDescent="0.2">
      <c r="A3" s="49" t="s">
        <v>294</v>
      </c>
      <c r="B3" s="49" t="s">
        <v>253</v>
      </c>
      <c r="C3" s="49" t="s">
        <v>130</v>
      </c>
      <c r="D3" s="49" t="s">
        <v>163</v>
      </c>
      <c r="E3" s="49" t="s">
        <v>295</v>
      </c>
      <c r="F3" s="49" t="s">
        <v>296</v>
      </c>
      <c r="G3" s="49" t="s">
        <v>297</v>
      </c>
      <c r="H3" s="49" t="s">
        <v>298</v>
      </c>
      <c r="I3" s="49" t="s">
        <v>83</v>
      </c>
      <c r="J3" s="49" t="s">
        <v>85</v>
      </c>
      <c r="K3" s="49" t="s">
        <v>87</v>
      </c>
      <c r="L3" s="49" t="s">
        <v>89</v>
      </c>
      <c r="M3" s="49" t="s">
        <v>299</v>
      </c>
      <c r="N3" s="49" t="s">
        <v>300</v>
      </c>
      <c r="O3" s="49" t="s">
        <v>301</v>
      </c>
      <c r="P3" s="49" t="s">
        <v>302</v>
      </c>
      <c r="Q3" s="49" t="s">
        <v>303</v>
      </c>
      <c r="R3" s="49" t="s">
        <v>304</v>
      </c>
      <c r="S3" s="49" t="s">
        <v>305</v>
      </c>
      <c r="T3" s="49" t="s">
        <v>306</v>
      </c>
      <c r="U3" s="49" t="s">
        <v>307</v>
      </c>
      <c r="V3" s="49" t="s">
        <v>308</v>
      </c>
      <c r="W3" s="49" t="s">
        <v>309</v>
      </c>
      <c r="X3" s="49" t="s">
        <v>310</v>
      </c>
      <c r="Y3" s="49" t="s">
        <v>311</v>
      </c>
      <c r="Z3" s="49" t="s">
        <v>312</v>
      </c>
      <c r="AA3" s="49" t="s">
        <v>313</v>
      </c>
      <c r="AB3" s="49" t="s">
        <v>314</v>
      </c>
      <c r="AC3" t="s">
        <v>315</v>
      </c>
    </row>
    <row r="4" spans="1:29" ht="15" customHeight="1" x14ac:dyDescent="0.2">
      <c r="A4" s="116">
        <v>1</v>
      </c>
      <c r="B4" s="117">
        <v>46145</v>
      </c>
      <c r="C4" s="118" t="s">
        <v>200</v>
      </c>
      <c r="D4" s="118" t="s">
        <v>144</v>
      </c>
      <c r="E4" s="116" t="s">
        <v>316</v>
      </c>
      <c r="F4" s="119">
        <f t="shared" ref="F4:F67" si="0">IF($D4="",0,COUNTIF($A$4:$A$311,$A4))</f>
        <v>3</v>
      </c>
      <c r="G4" s="120" t="str">
        <f t="shared" ref="G4:G67" si="1">IF($D4="","",IFERROR(LOOKUP(2,1/(($A$4:$A$311=$A4)*($E$4:$E$311="Win")),$D$4:$D$311),"(no winner)"))</f>
        <v>Josh</v>
      </c>
      <c r="H4" s="121">
        <f>IF($D4="",0,IFERROR(LOOKUP(2,1/(($D$3:D3=$D4)*($A$3:A3&lt;$A4)),$N$3:N3),'Guide &amp; Settings'!$C$41))</f>
        <v>1000</v>
      </c>
      <c r="I4" s="122">
        <f t="shared" ref="I4:I67" si="2">IF($D4="",0,IF($S4=0,0,$R4/$S4))</f>
        <v>0.33333333333333331</v>
      </c>
      <c r="J4" s="123">
        <f>IF($D4="",0,IF($F4&lt;2,0,IF($E4="Win",('Guide &amp; Settings'!$C$42/(($F4-1)*COUNTIFS($A$4:$A$311,$A4,$E$4:$E$311,"Win")))*SUMIFS($X$4:$X$311,$A$4:$A$311,$A4,$E$4:$E$311,"Loss"),-('Guide &amp; Settings'!$C$42/($F4-1))*$X4)))</f>
        <v>16</v>
      </c>
      <c r="K4" s="123">
        <f>IF($D4="",0,'Guide &amp; Settings'!$C$43*(IF($E4="Win",1,0)-$I4))</f>
        <v>8</v>
      </c>
      <c r="L4" s="124">
        <f>IF($D4="",0,'Guide &amp; Settings'!$C$44*IF($F4&gt;=3,$F4+IF($E4="Win",$F4,0),0))</f>
        <v>6</v>
      </c>
      <c r="M4" s="123">
        <f t="shared" ref="M4:M67" si="3">IF($D4="",0,$J4+$K4+$L4)</f>
        <v>30</v>
      </c>
      <c r="N4" s="121">
        <f t="shared" ref="N4:N67" si="4">IF($D4="",0,$H4+$M4)</f>
        <v>1030</v>
      </c>
      <c r="O4" s="120" t="str">
        <f t="shared" ref="O4:O67" si="5">IF($D4="","",IF(COUNTIFS($A$4:$A$311,$A4,$E$4:$E$311,"Win")=0,"need a winner",IF(COUNTIFS($A$4:$A$311,$A4,$E$4:$E$311,"Loss")=0,"need a loser",IF(COUNTIFS($A$4:$A$311,$A4,$D$4:$D$311,$D4)&gt;1,"duplicate player","OK"))))</f>
        <v>OK</v>
      </c>
      <c r="P4">
        <f t="shared" ref="P4:P67" si="6">IF($D4="",0,IFERROR(SUMIFS($H$4:$H$311,$A$4:$A$311,$A4,$E$4:$E$311,"Win")/COUNTIFS($A$4:$A$311,$A4,$E$4:$E$311,"Win"),0))</f>
        <v>1000</v>
      </c>
      <c r="Q4">
        <f t="shared" ref="Q4:Q67" si="7">IF($D4="",0,1/(1+10^(($P4-$H4)/400)))</f>
        <v>0.5</v>
      </c>
      <c r="R4">
        <f t="shared" ref="R4:R67" si="8">IF($D4="",0,(COUNTIFS($D$4:$D$311,$D4,$C$4:$C$311,$C4,$E$4:$E$311,"Win",$A$4:$A$311,"&lt;"&amp;$A4)+1)/(COUNTIFS($D$4:$D$311,$D4,$C$4:$C$311,$C4,$A$4:$A$311,"&lt;"&amp;$A4)+2))</f>
        <v>0.5</v>
      </c>
      <c r="S4">
        <f t="shared" ref="S4:S67" si="9">IF($D4="",0,SUMIFS($R$4:$R$311,$A$4:$A$311,$A4))</f>
        <v>1.5</v>
      </c>
      <c r="T4" s="88">
        <f t="shared" ref="T4:T67" si="10">IF($D4="",0,COUNTIFS($D$4:$D$311,$D4,$C$4:$C$311,$C4,$A$4:$A$311,"&lt;"&amp;$A4))</f>
        <v>0</v>
      </c>
      <c r="U4" s="125">
        <f>IF($D4="",0,IFERROR(LOOKUP(2,1/(($D$3:D3=$D4)*($C$3:C3=$C4)*($A$3:A3&lt;$A4)),$AB$3:AB3),1000))</f>
        <v>1000</v>
      </c>
      <c r="V4" s="125">
        <f t="shared" ref="V4:V67" si="11">IF($D4="",0,$U4*($T4/($T4+5))+$H4*(1-$T4/($T4+5)))</f>
        <v>1000</v>
      </c>
      <c r="W4">
        <f t="shared" ref="W4:W67" si="12">IF($D4="",0,IFERROR(SUMIFS($V$4:$V$311,$A$4:$A$311,$A4,$E$4:$E$311,"Win")/COUNTIFS($A$4:$A$311,$A4,$E$4:$E$311,"Win"),0))</f>
        <v>1000</v>
      </c>
      <c r="X4">
        <f t="shared" ref="X4:X67" si="13">IF($D4="",0,1/(1+10^(($W4-$V4)/400)))</f>
        <v>0.5</v>
      </c>
      <c r="Y4">
        <f t="shared" ref="Y4:Y67" si="14">IF($D4="",0,IFERROR(SUMIFS($U$4:$U$311,$A$4:$A$311,$A4,$E$4:$E$311,"Win")/COUNTIFS($A$4:$A$311,$A4,$E$4:$E$311,"Win"),0))</f>
        <v>1000</v>
      </c>
      <c r="Z4">
        <f t="shared" ref="Z4:Z67" si="15">IF($D4="",0,1/(1+10^(($Y4-$U4)/400)))</f>
        <v>0.5</v>
      </c>
      <c r="AA4">
        <f>IF($D4="",0,IF($F4&lt;2,0,IF($E4="Win",('Guide &amp; Settings'!$C$42/(($F4-1)*COUNTIFS($A$4:$A$311,$A4,$E$4:$E$311,"Win")))*SUMIFS($Z$4:$Z$311,$A$4:$A$311,$A4,$E$4:$E$311,"Loss"),-('Guide &amp; Settings'!$C$42/($F4-1))*$Z4)))</f>
        <v>16</v>
      </c>
      <c r="AB4" s="125">
        <f t="shared" ref="AB4:AB67" si="16">IF($D4="",0,$U4+$AA4)</f>
        <v>1016</v>
      </c>
      <c r="AC4" s="125">
        <f>IF($D4="","",IF(SUMPRODUCT(MAX(($D$4:$D$311=$D4)*($B$4:$B$311&lt;$B4)*$B$4:$B$311))=0,0,MAX(($B4-SUMPRODUCT(MAX(($D$4:$D$311=$D4)*($B$4:$B$311&lt;$B4)*$B$4:$B$311)))/7-'Guide &amp; Settings'!$C$48,0)*'Guide &amp; Settings'!$C$49))</f>
        <v>0</v>
      </c>
    </row>
    <row r="5" spans="1:29" ht="15" customHeight="1" x14ac:dyDescent="0.2">
      <c r="A5" s="116">
        <v>1</v>
      </c>
      <c r="B5" s="117">
        <v>46145</v>
      </c>
      <c r="C5" s="118" t="s">
        <v>200</v>
      </c>
      <c r="D5" s="118" t="s">
        <v>141</v>
      </c>
      <c r="E5" s="116" t="s">
        <v>317</v>
      </c>
      <c r="F5" s="119">
        <f t="shared" si="0"/>
        <v>3</v>
      </c>
      <c r="G5" s="120" t="str">
        <f t="shared" si="1"/>
        <v>Josh</v>
      </c>
      <c r="H5" s="121">
        <f>IF($D5="",0,IFERROR(LOOKUP(2,1/(($D$3:D4=$D5)*($A$3:A4&lt;$A5)),$N$3:N4),'Guide &amp; Settings'!$C$41))</f>
        <v>1000</v>
      </c>
      <c r="I5" s="122">
        <f t="shared" si="2"/>
        <v>0.33333333333333331</v>
      </c>
      <c r="J5" s="123">
        <f>IF($D5="",0,IF($F5&lt;2,0,IF($E5="Win",('Guide &amp; Settings'!$C$42/(($F5-1)*COUNTIFS($A$4:$A$311,$A5,$E$4:$E$311,"Win")))*SUMIFS($X$4:$X$311,$A$4:$A$311,$A5,$E$4:$E$311,"Loss"),-('Guide &amp; Settings'!$C$42/($F5-1))*$X5)))</f>
        <v>-8</v>
      </c>
      <c r="K5" s="123">
        <f>IF($D5="",0,'Guide &amp; Settings'!$C$43*(IF($E5="Win",1,0)-$I5))</f>
        <v>-4</v>
      </c>
      <c r="L5" s="124">
        <f>IF($D5="",0,'Guide &amp; Settings'!$C$44*IF($F5&gt;=3,$F5+IF($E5="Win",$F5,0),0))</f>
        <v>3</v>
      </c>
      <c r="M5" s="123">
        <f t="shared" si="3"/>
        <v>-9</v>
      </c>
      <c r="N5" s="121">
        <f t="shared" si="4"/>
        <v>991</v>
      </c>
      <c r="O5" s="120" t="str">
        <f t="shared" si="5"/>
        <v>OK</v>
      </c>
      <c r="P5">
        <f t="shared" si="6"/>
        <v>1000</v>
      </c>
      <c r="Q5">
        <f t="shared" si="7"/>
        <v>0.5</v>
      </c>
      <c r="R5">
        <f t="shared" si="8"/>
        <v>0.5</v>
      </c>
      <c r="S5">
        <f t="shared" si="9"/>
        <v>1.5</v>
      </c>
      <c r="T5" s="88">
        <f t="shared" si="10"/>
        <v>0</v>
      </c>
      <c r="U5" s="125">
        <f>IF($D5="",0,IFERROR(LOOKUP(2,1/(($D$3:D4=$D5)*($C$3:C4=$C5)*($A$3:A4&lt;$A5)),$AB$3:AB4),1000))</f>
        <v>1000</v>
      </c>
      <c r="V5" s="125">
        <f t="shared" si="11"/>
        <v>1000</v>
      </c>
      <c r="W5">
        <f t="shared" si="12"/>
        <v>1000</v>
      </c>
      <c r="X5">
        <f t="shared" si="13"/>
        <v>0.5</v>
      </c>
      <c r="Y5">
        <f t="shared" si="14"/>
        <v>1000</v>
      </c>
      <c r="Z5">
        <f t="shared" si="15"/>
        <v>0.5</v>
      </c>
      <c r="AA5">
        <f>IF($D5="",0,IF($F5&lt;2,0,IF($E5="Win",('Guide &amp; Settings'!$C$42/(($F5-1)*COUNTIFS($A$4:$A$311,$A5,$E$4:$E$311,"Win")))*SUMIFS($Z$4:$Z$311,$A$4:$A$311,$A5,$E$4:$E$311,"Loss"),-('Guide &amp; Settings'!$C$42/($F5-1))*$Z5)))</f>
        <v>-8</v>
      </c>
      <c r="AB5" s="125">
        <f t="shared" si="16"/>
        <v>992</v>
      </c>
      <c r="AC5" s="125">
        <f>IF($D5="","",IF(SUMPRODUCT(MAX(($D$4:$D$311=$D5)*($B$4:$B$311&lt;$B5)*$B$4:$B$311))=0,0,MAX(($B5-SUMPRODUCT(MAX(($D$4:$D$311=$D5)*($B$4:$B$311&lt;$B5)*$B$4:$B$311)))/7-'Guide &amp; Settings'!$C$48,0)*'Guide &amp; Settings'!$C$49))</f>
        <v>0</v>
      </c>
    </row>
    <row r="6" spans="1:29" ht="15" customHeight="1" x14ac:dyDescent="0.2">
      <c r="A6" s="116">
        <v>1</v>
      </c>
      <c r="B6" s="117">
        <v>46145</v>
      </c>
      <c r="C6" s="118" t="s">
        <v>200</v>
      </c>
      <c r="D6" s="118" t="s">
        <v>176</v>
      </c>
      <c r="E6" s="116" t="s">
        <v>317</v>
      </c>
      <c r="F6" s="119">
        <f t="shared" si="0"/>
        <v>3</v>
      </c>
      <c r="G6" s="120" t="str">
        <f t="shared" si="1"/>
        <v>Josh</v>
      </c>
      <c r="H6" s="121">
        <f>IF($D6="",0,IFERROR(LOOKUP(2,1/(($D$3:D5=$D6)*($A$3:A5&lt;$A6)),$N$3:N5),'Guide &amp; Settings'!$C$41))</f>
        <v>1000</v>
      </c>
      <c r="I6" s="122">
        <f t="shared" si="2"/>
        <v>0.33333333333333331</v>
      </c>
      <c r="J6" s="123">
        <f>IF($D6="",0,IF($F6&lt;2,0,IF($E6="Win",('Guide &amp; Settings'!$C$42/(($F6-1)*COUNTIFS($A$4:$A$311,$A6,$E$4:$E$311,"Win")))*SUMIFS($X$4:$X$311,$A$4:$A$311,$A6,$E$4:$E$311,"Loss"),-('Guide &amp; Settings'!$C$42/($F6-1))*$X6)))</f>
        <v>-8</v>
      </c>
      <c r="K6" s="123">
        <f>IF($D6="",0,'Guide &amp; Settings'!$C$43*(IF($E6="Win",1,0)-$I6))</f>
        <v>-4</v>
      </c>
      <c r="L6" s="124">
        <f>IF($D6="",0,'Guide &amp; Settings'!$C$44*IF($F6&gt;=3,$F6+IF($E6="Win",$F6,0),0))</f>
        <v>3</v>
      </c>
      <c r="M6" s="123">
        <f t="shared" si="3"/>
        <v>-9</v>
      </c>
      <c r="N6" s="121">
        <f t="shared" si="4"/>
        <v>991</v>
      </c>
      <c r="O6" s="120" t="str">
        <f t="shared" si="5"/>
        <v>OK</v>
      </c>
      <c r="P6">
        <f t="shared" si="6"/>
        <v>1000</v>
      </c>
      <c r="Q6">
        <f t="shared" si="7"/>
        <v>0.5</v>
      </c>
      <c r="R6">
        <f t="shared" si="8"/>
        <v>0.5</v>
      </c>
      <c r="S6">
        <f t="shared" si="9"/>
        <v>1.5</v>
      </c>
      <c r="T6" s="88">
        <f t="shared" si="10"/>
        <v>0</v>
      </c>
      <c r="U6" s="125">
        <f>IF($D6="",0,IFERROR(LOOKUP(2,1/(($D$3:D5=$D6)*($C$3:C5=$C6)*($A$3:A5&lt;$A6)),$AB$3:AB5),1000))</f>
        <v>1000</v>
      </c>
      <c r="V6" s="125">
        <f t="shared" si="11"/>
        <v>1000</v>
      </c>
      <c r="W6">
        <f t="shared" si="12"/>
        <v>1000</v>
      </c>
      <c r="X6">
        <f t="shared" si="13"/>
        <v>0.5</v>
      </c>
      <c r="Y6">
        <f t="shared" si="14"/>
        <v>1000</v>
      </c>
      <c r="Z6">
        <f t="shared" si="15"/>
        <v>0.5</v>
      </c>
      <c r="AA6">
        <f>IF($D6="",0,IF($F6&lt;2,0,IF($E6="Win",('Guide &amp; Settings'!$C$42/(($F6-1)*COUNTIFS($A$4:$A$311,$A6,$E$4:$E$311,"Win")))*SUMIFS($Z$4:$Z$311,$A$4:$A$311,$A6,$E$4:$E$311,"Loss"),-('Guide &amp; Settings'!$C$42/($F6-1))*$Z6)))</f>
        <v>-8</v>
      </c>
      <c r="AB6" s="125">
        <f t="shared" si="16"/>
        <v>992</v>
      </c>
      <c r="AC6" s="125">
        <f>IF($D6="","",IF(SUMPRODUCT(MAX(($D$4:$D$311=$D6)*($B$4:$B$311&lt;$B6)*$B$4:$B$311))=0,0,MAX(($B6-SUMPRODUCT(MAX(($D$4:$D$311=$D6)*($B$4:$B$311&lt;$B6)*$B$4:$B$311)))/7-'Guide &amp; Settings'!$C$48,0)*'Guide &amp; Settings'!$C$49))</f>
        <v>0</v>
      </c>
    </row>
    <row r="7" spans="1:29" ht="15" customHeight="1" x14ac:dyDescent="0.2">
      <c r="A7" s="116">
        <v>2</v>
      </c>
      <c r="B7" s="117">
        <v>46175</v>
      </c>
      <c r="C7" s="118" t="s">
        <v>194</v>
      </c>
      <c r="D7" s="118" t="s">
        <v>145</v>
      </c>
      <c r="E7" s="116" t="s">
        <v>316</v>
      </c>
      <c r="F7" s="119">
        <f t="shared" si="0"/>
        <v>8</v>
      </c>
      <c r="G7" s="120" t="str">
        <f t="shared" si="1"/>
        <v>Aaron</v>
      </c>
      <c r="H7" s="121">
        <f>IF($D7="",0,IFERROR(LOOKUP(2,1/(($D$3:D6=$D7)*($A$3:A6&lt;$A7)),$N$3:N6),'Guide &amp; Settings'!$C$41))</f>
        <v>1000</v>
      </c>
      <c r="I7" s="122">
        <f t="shared" si="2"/>
        <v>0.125</v>
      </c>
      <c r="J7" s="123">
        <f>IF($D7="",0,IF($F7&lt;2,0,IF($E7="Win",('Guide &amp; Settings'!$C$42/(($F7-1)*COUNTIFS($A$4:$A$311,$A7,$E$4:$E$311,"Win")))*SUMIFS($X$4:$X$311,$A$4:$A$311,$A7,$E$4:$E$311,"Loss"),-('Guide &amp; Settings'!$C$42/($F7-1))*$X7)))</f>
        <v>16.078483210223926</v>
      </c>
      <c r="K7" s="123">
        <f>IF($D7="",0,'Guide &amp; Settings'!$C$43*(IF($E7="Win",1,0)-$I7))</f>
        <v>10.5</v>
      </c>
      <c r="L7" s="124">
        <f>IF($D7="",0,'Guide &amp; Settings'!$C$44*IF($F7&gt;=3,$F7+IF($E7="Win",$F7,0),0))</f>
        <v>16</v>
      </c>
      <c r="M7" s="123">
        <f t="shared" si="3"/>
        <v>42.578483210223922</v>
      </c>
      <c r="N7" s="121">
        <f t="shared" si="4"/>
        <v>1042.578483210224</v>
      </c>
      <c r="O7" s="120" t="str">
        <f t="shared" si="5"/>
        <v>OK</v>
      </c>
      <c r="P7">
        <f t="shared" si="6"/>
        <v>1000</v>
      </c>
      <c r="Q7">
        <f t="shared" si="7"/>
        <v>0.5</v>
      </c>
      <c r="R7">
        <f t="shared" si="8"/>
        <v>0.5</v>
      </c>
      <c r="S7">
        <f t="shared" si="9"/>
        <v>4</v>
      </c>
      <c r="T7" s="88">
        <f t="shared" si="10"/>
        <v>0</v>
      </c>
      <c r="U7" s="125">
        <f>IF($D7="",0,IFERROR(LOOKUP(2,1/(($D$3:D6=$D7)*($C$3:C6=$C7)*($A$3:A6&lt;$A7)),$AB$3:AB6),1000))</f>
        <v>1000</v>
      </c>
      <c r="V7" s="125">
        <f t="shared" si="11"/>
        <v>1000</v>
      </c>
      <c r="W7">
        <f t="shared" si="12"/>
        <v>1000</v>
      </c>
      <c r="X7">
        <f t="shared" si="13"/>
        <v>0.5</v>
      </c>
      <c r="Y7">
        <f t="shared" si="14"/>
        <v>1000</v>
      </c>
      <c r="Z7">
        <f t="shared" si="15"/>
        <v>0.5</v>
      </c>
      <c r="AA7">
        <f>IF($D7="",0,IF($F7&lt;2,0,IF($E7="Win",('Guide &amp; Settings'!$C$42/(($F7-1)*COUNTIFS($A$4:$A$311,$A7,$E$4:$E$311,"Win")))*SUMIFS($Z$4:$Z$311,$A$4:$A$311,$A7,$E$4:$E$311,"Loss"),-('Guide &amp; Settings'!$C$42/($F7-1))*$Z7)))</f>
        <v>16</v>
      </c>
      <c r="AB7" s="125">
        <f t="shared" si="16"/>
        <v>1016</v>
      </c>
      <c r="AC7" s="125">
        <f>IF($D7="","",IF(SUMPRODUCT(MAX(($D$4:$D$311=$D7)*($B$4:$B$311&lt;$B7)*$B$4:$B$311))=0,0,MAX(($B7-SUMPRODUCT(MAX(($D$4:$D$311=$D7)*($B$4:$B$311&lt;$B7)*$B$4:$B$311)))/7-'Guide &amp; Settings'!$C$48,0)*'Guide &amp; Settings'!$C$49))</f>
        <v>0</v>
      </c>
    </row>
    <row r="8" spans="1:29" ht="15" customHeight="1" x14ac:dyDescent="0.2">
      <c r="A8" s="116">
        <v>2</v>
      </c>
      <c r="B8" s="117">
        <v>46175</v>
      </c>
      <c r="C8" s="118" t="s">
        <v>194</v>
      </c>
      <c r="D8" s="118" t="s">
        <v>141</v>
      </c>
      <c r="E8" s="116" t="s">
        <v>317</v>
      </c>
      <c r="F8" s="119">
        <f t="shared" si="0"/>
        <v>8</v>
      </c>
      <c r="G8" s="120" t="str">
        <f t="shared" si="1"/>
        <v>Aaron</v>
      </c>
      <c r="H8" s="121">
        <f>IF($D8="",0,IFERROR(LOOKUP(2,1/(($D$3:D7=$D8)*($A$3:A7&lt;$A8)),$N$3:N7),'Guide &amp; Settings'!$C$41))</f>
        <v>991</v>
      </c>
      <c r="I8" s="122">
        <f t="shared" si="2"/>
        <v>0.125</v>
      </c>
      <c r="J8" s="123">
        <f>IF($D8="",0,IF($F8&lt;2,0,IF($E8="Win",('Guide &amp; Settings'!$C$42/(($F8-1)*COUNTIFS($A$4:$A$311,$A8,$E$4:$E$311,"Win")))*SUMIFS($X$4:$X$311,$A$4:$A$311,$A8,$E$4:$E$311,"Loss"),-('Guide &amp; Settings'!$C$42/($F8-1))*$X8)))</f>
        <v>-2.2265181947754797</v>
      </c>
      <c r="K8" s="123">
        <f>IF($D8="",0,'Guide &amp; Settings'!$C$43*(IF($E8="Win",1,0)-$I8))</f>
        <v>-1.5</v>
      </c>
      <c r="L8" s="124">
        <f>IF($D8="",0,'Guide &amp; Settings'!$C$44*IF($F8&gt;=3,$F8+IF($E8="Win",$F8,0),0))</f>
        <v>8</v>
      </c>
      <c r="M8" s="123">
        <f t="shared" si="3"/>
        <v>4.2734818052245203</v>
      </c>
      <c r="N8" s="121">
        <f t="shared" si="4"/>
        <v>995.27348180522449</v>
      </c>
      <c r="O8" s="120" t="str">
        <f t="shared" si="5"/>
        <v>OK</v>
      </c>
      <c r="P8">
        <f t="shared" si="6"/>
        <v>1000</v>
      </c>
      <c r="Q8">
        <f t="shared" si="7"/>
        <v>0.48705085510713625</v>
      </c>
      <c r="R8">
        <f t="shared" si="8"/>
        <v>0.5</v>
      </c>
      <c r="S8">
        <f t="shared" si="9"/>
        <v>4</v>
      </c>
      <c r="T8" s="88">
        <f t="shared" si="10"/>
        <v>0</v>
      </c>
      <c r="U8" s="125">
        <f>IF($D8="",0,IFERROR(LOOKUP(2,1/(($D$3:D7=$D8)*($C$3:C7=$C8)*($A$3:A7&lt;$A8)),$AB$3:AB7),1000))</f>
        <v>1000</v>
      </c>
      <c r="V8" s="125">
        <f t="shared" si="11"/>
        <v>991</v>
      </c>
      <c r="W8">
        <f t="shared" si="12"/>
        <v>1000</v>
      </c>
      <c r="X8">
        <f t="shared" si="13"/>
        <v>0.48705085510713625</v>
      </c>
      <c r="Y8">
        <f t="shared" si="14"/>
        <v>1000</v>
      </c>
      <c r="Z8">
        <f t="shared" si="15"/>
        <v>0.5</v>
      </c>
      <c r="AA8">
        <f>IF($D8="",0,IF($F8&lt;2,0,IF($E8="Win",('Guide &amp; Settings'!$C$42/(($F8-1)*COUNTIFS($A$4:$A$311,$A8,$E$4:$E$311,"Win")))*SUMIFS($Z$4:$Z$311,$A$4:$A$311,$A8,$E$4:$E$311,"Loss"),-('Guide &amp; Settings'!$C$42/($F8-1))*$Z8)))</f>
        <v>-2.2857142857142856</v>
      </c>
      <c r="AB8" s="125">
        <f t="shared" si="16"/>
        <v>997.71428571428567</v>
      </c>
      <c r="AC8" s="125">
        <f>IF($D8="","",IF(SUMPRODUCT(MAX(($D$4:$D$311=$D8)*($B$4:$B$311&lt;$B8)*$B$4:$B$311))=0,0,MAX(($B8-SUMPRODUCT(MAX(($D$4:$D$311=$D8)*($B$4:$B$311&lt;$B8)*$B$4:$B$311)))/7-'Guide &amp; Settings'!$C$48,0)*'Guide &amp; Settings'!$C$49))</f>
        <v>0</v>
      </c>
    </row>
    <row r="9" spans="1:29" ht="15" customHeight="1" x14ac:dyDescent="0.2">
      <c r="A9" s="116">
        <v>2</v>
      </c>
      <c r="B9" s="117">
        <v>46175</v>
      </c>
      <c r="C9" s="118" t="s">
        <v>194</v>
      </c>
      <c r="D9" s="118" t="s">
        <v>177</v>
      </c>
      <c r="E9" s="116" t="s">
        <v>317</v>
      </c>
      <c r="F9" s="119">
        <f t="shared" si="0"/>
        <v>8</v>
      </c>
      <c r="G9" s="120" t="str">
        <f t="shared" si="1"/>
        <v>Aaron</v>
      </c>
      <c r="H9" s="121">
        <f>IF($D9="",0,IFERROR(LOOKUP(2,1/(($D$3:D8=$D9)*($A$3:A8&lt;$A9)),$N$3:N8),'Guide &amp; Settings'!$C$41))</f>
        <v>1000</v>
      </c>
      <c r="I9" s="122">
        <f t="shared" si="2"/>
        <v>0.125</v>
      </c>
      <c r="J9" s="123">
        <f>IF($D9="",0,IF($F9&lt;2,0,IF($E9="Win",('Guide &amp; Settings'!$C$42/(($F9-1)*COUNTIFS($A$4:$A$311,$A9,$E$4:$E$311,"Win")))*SUMIFS($X$4:$X$311,$A$4:$A$311,$A9,$E$4:$E$311,"Loss"),-('Guide &amp; Settings'!$C$42/($F9-1))*$X9)))</f>
        <v>-2.2857142857142856</v>
      </c>
      <c r="K9" s="123">
        <f>IF($D9="",0,'Guide &amp; Settings'!$C$43*(IF($E9="Win",1,0)-$I9))</f>
        <v>-1.5</v>
      </c>
      <c r="L9" s="124">
        <f>IF($D9="",0,'Guide &amp; Settings'!$C$44*IF($F9&gt;=3,$F9+IF($E9="Win",$F9,0),0))</f>
        <v>8</v>
      </c>
      <c r="M9" s="123">
        <f t="shared" si="3"/>
        <v>4.2142857142857144</v>
      </c>
      <c r="N9" s="121">
        <f t="shared" si="4"/>
        <v>1004.2142857142857</v>
      </c>
      <c r="O9" s="120" t="str">
        <f t="shared" si="5"/>
        <v>OK</v>
      </c>
      <c r="P9">
        <f t="shared" si="6"/>
        <v>1000</v>
      </c>
      <c r="Q9">
        <f t="shared" si="7"/>
        <v>0.5</v>
      </c>
      <c r="R9">
        <f t="shared" si="8"/>
        <v>0.5</v>
      </c>
      <c r="S9">
        <f t="shared" si="9"/>
        <v>4</v>
      </c>
      <c r="T9" s="88">
        <f t="shared" si="10"/>
        <v>0</v>
      </c>
      <c r="U9" s="125">
        <f>IF($D9="",0,IFERROR(LOOKUP(2,1/(($D$3:D8=$D9)*($C$3:C8=$C9)*($A$3:A8&lt;$A9)),$AB$3:AB8),1000))</f>
        <v>1000</v>
      </c>
      <c r="V9" s="125">
        <f t="shared" si="11"/>
        <v>1000</v>
      </c>
      <c r="W9">
        <f t="shared" si="12"/>
        <v>1000</v>
      </c>
      <c r="X9">
        <f t="shared" si="13"/>
        <v>0.5</v>
      </c>
      <c r="Y9">
        <f t="shared" si="14"/>
        <v>1000</v>
      </c>
      <c r="Z9">
        <f t="shared" si="15"/>
        <v>0.5</v>
      </c>
      <c r="AA9">
        <f>IF($D9="",0,IF($F9&lt;2,0,IF($E9="Win",('Guide &amp; Settings'!$C$42/(($F9-1)*COUNTIFS($A$4:$A$311,$A9,$E$4:$E$311,"Win")))*SUMIFS($Z$4:$Z$311,$A$4:$A$311,$A9,$E$4:$E$311,"Loss"),-('Guide &amp; Settings'!$C$42/($F9-1))*$Z9)))</f>
        <v>-2.2857142857142856</v>
      </c>
      <c r="AB9" s="125">
        <f t="shared" si="16"/>
        <v>997.71428571428567</v>
      </c>
      <c r="AC9" s="125">
        <f>IF($D9="","",IF(SUMPRODUCT(MAX(($D$4:$D$311=$D9)*($B$4:$B$311&lt;$B9)*$B$4:$B$311))=0,0,MAX(($B9-SUMPRODUCT(MAX(($D$4:$D$311=$D9)*($B$4:$B$311&lt;$B9)*$B$4:$B$311)))/7-'Guide &amp; Settings'!$C$48,0)*'Guide &amp; Settings'!$C$49))</f>
        <v>0</v>
      </c>
    </row>
    <row r="10" spans="1:29" ht="15" customHeight="1" x14ac:dyDescent="0.2">
      <c r="A10" s="116">
        <v>2</v>
      </c>
      <c r="B10" s="117">
        <v>46175</v>
      </c>
      <c r="C10" s="118" t="s">
        <v>194</v>
      </c>
      <c r="D10" s="118" t="s">
        <v>144</v>
      </c>
      <c r="E10" s="116" t="s">
        <v>317</v>
      </c>
      <c r="F10" s="119">
        <f t="shared" si="0"/>
        <v>8</v>
      </c>
      <c r="G10" s="120" t="str">
        <f t="shared" si="1"/>
        <v>Aaron</v>
      </c>
      <c r="H10" s="121">
        <f>IF($D10="",0,IFERROR(LOOKUP(2,1/(($D$3:D9=$D10)*($A$3:A9&lt;$A10)),$N$3:N9),'Guide &amp; Settings'!$C$41))</f>
        <v>1030</v>
      </c>
      <c r="I10" s="122">
        <f t="shared" si="2"/>
        <v>0.125</v>
      </c>
      <c r="J10" s="123">
        <f>IF($D10="",0,IF($F10&lt;2,0,IF($E10="Win",('Guide &amp; Settings'!$C$42/(($F10-1)*COUNTIFS($A$4:$A$311,$A10,$E$4:$E$311,"Win")))*SUMIFS($X$4:$X$311,$A$4:$A$311,$A10,$E$4:$E$311,"Loss"),-('Guide &amp; Settings'!$C$42/($F10-1))*$X10)))</f>
        <v>-2.4825896778158256</v>
      </c>
      <c r="K10" s="123">
        <f>IF($D10="",0,'Guide &amp; Settings'!$C$43*(IF($E10="Win",1,0)-$I10))</f>
        <v>-1.5</v>
      </c>
      <c r="L10" s="124">
        <f>IF($D10="",0,'Guide &amp; Settings'!$C$44*IF($F10&gt;=3,$F10+IF($E10="Win",$F10,0),0))</f>
        <v>8</v>
      </c>
      <c r="M10" s="123">
        <f t="shared" si="3"/>
        <v>4.0174103221841744</v>
      </c>
      <c r="N10" s="121">
        <f t="shared" si="4"/>
        <v>1034.0174103221841</v>
      </c>
      <c r="O10" s="120" t="str">
        <f t="shared" si="5"/>
        <v>OK</v>
      </c>
      <c r="P10">
        <f t="shared" si="6"/>
        <v>1000</v>
      </c>
      <c r="Q10">
        <f t="shared" si="7"/>
        <v>0.54306649202221191</v>
      </c>
      <c r="R10">
        <f t="shared" si="8"/>
        <v>0.5</v>
      </c>
      <c r="S10">
        <f t="shared" si="9"/>
        <v>4</v>
      </c>
      <c r="T10" s="88">
        <f t="shared" si="10"/>
        <v>0</v>
      </c>
      <c r="U10" s="125">
        <f>IF($D10="",0,IFERROR(LOOKUP(2,1/(($D$3:D9=$D10)*($C$3:C9=$C10)*($A$3:A9&lt;$A10)),$AB$3:AB9),1000))</f>
        <v>1000</v>
      </c>
      <c r="V10" s="125">
        <f t="shared" si="11"/>
        <v>1030</v>
      </c>
      <c r="W10">
        <f t="shared" si="12"/>
        <v>1000</v>
      </c>
      <c r="X10">
        <f t="shared" si="13"/>
        <v>0.54306649202221191</v>
      </c>
      <c r="Y10">
        <f t="shared" si="14"/>
        <v>1000</v>
      </c>
      <c r="Z10">
        <f t="shared" si="15"/>
        <v>0.5</v>
      </c>
      <c r="AA10">
        <f>IF($D10="",0,IF($F10&lt;2,0,IF($E10="Win",('Guide &amp; Settings'!$C$42/(($F10-1)*COUNTIFS($A$4:$A$311,$A10,$E$4:$E$311,"Win")))*SUMIFS($Z$4:$Z$311,$A$4:$A$311,$A10,$E$4:$E$311,"Loss"),-('Guide &amp; Settings'!$C$42/($F10-1))*$Z10)))</f>
        <v>-2.2857142857142856</v>
      </c>
      <c r="AB10" s="125">
        <f t="shared" si="16"/>
        <v>997.71428571428567</v>
      </c>
      <c r="AC10" s="125">
        <f>IF($D10="","",IF(SUMPRODUCT(MAX(($D$4:$D$311=$D10)*($B$4:$B$311&lt;$B10)*$B$4:$B$311))=0,0,MAX(($B10-SUMPRODUCT(MAX(($D$4:$D$311=$D10)*($B$4:$B$311&lt;$B10)*$B$4:$B$311)))/7-'Guide &amp; Settings'!$C$48,0)*'Guide &amp; Settings'!$C$49))</f>
        <v>0</v>
      </c>
    </row>
    <row r="11" spans="1:29" ht="15" customHeight="1" x14ac:dyDescent="0.2">
      <c r="A11" s="116">
        <v>2</v>
      </c>
      <c r="B11" s="117">
        <v>46175</v>
      </c>
      <c r="C11" s="118" t="s">
        <v>194</v>
      </c>
      <c r="D11" s="118" t="s">
        <v>175</v>
      </c>
      <c r="E11" s="116" t="s">
        <v>317</v>
      </c>
      <c r="F11" s="119">
        <f t="shared" si="0"/>
        <v>8</v>
      </c>
      <c r="G11" s="120" t="str">
        <f t="shared" si="1"/>
        <v>Aaron</v>
      </c>
      <c r="H11" s="121">
        <f>IF($D11="",0,IFERROR(LOOKUP(2,1/(($D$3:D10=$D11)*($A$3:A10&lt;$A11)),$N$3:N10),'Guide &amp; Settings'!$C$41))</f>
        <v>1000</v>
      </c>
      <c r="I11" s="122">
        <f t="shared" si="2"/>
        <v>0.125</v>
      </c>
      <c r="J11" s="123">
        <f>IF($D11="",0,IF($F11&lt;2,0,IF($E11="Win",('Guide &amp; Settings'!$C$42/(($F11-1)*COUNTIFS($A$4:$A$311,$A11,$E$4:$E$311,"Win")))*SUMIFS($X$4:$X$311,$A$4:$A$311,$A11,$E$4:$E$311,"Loss"),-('Guide &amp; Settings'!$C$42/($F11-1))*$X11)))</f>
        <v>-2.2857142857142856</v>
      </c>
      <c r="K11" s="123">
        <f>IF($D11="",0,'Guide &amp; Settings'!$C$43*(IF($E11="Win",1,0)-$I11))</f>
        <v>-1.5</v>
      </c>
      <c r="L11" s="124">
        <f>IF($D11="",0,'Guide &amp; Settings'!$C$44*IF($F11&gt;=3,$F11+IF($E11="Win",$F11,0),0))</f>
        <v>8</v>
      </c>
      <c r="M11" s="123">
        <f t="shared" si="3"/>
        <v>4.2142857142857144</v>
      </c>
      <c r="N11" s="121">
        <f t="shared" si="4"/>
        <v>1004.2142857142857</v>
      </c>
      <c r="O11" s="120" t="str">
        <f t="shared" si="5"/>
        <v>OK</v>
      </c>
      <c r="P11">
        <f t="shared" si="6"/>
        <v>1000</v>
      </c>
      <c r="Q11">
        <f t="shared" si="7"/>
        <v>0.5</v>
      </c>
      <c r="R11">
        <f t="shared" si="8"/>
        <v>0.5</v>
      </c>
      <c r="S11">
        <f t="shared" si="9"/>
        <v>4</v>
      </c>
      <c r="T11" s="88">
        <f t="shared" si="10"/>
        <v>0</v>
      </c>
      <c r="U11" s="125">
        <f>IF($D11="",0,IFERROR(LOOKUP(2,1/(($D$3:D10=$D11)*($C$3:C10=$C11)*($A$3:A10&lt;$A11)),$AB$3:AB10),1000))</f>
        <v>1000</v>
      </c>
      <c r="V11" s="125">
        <f t="shared" si="11"/>
        <v>1000</v>
      </c>
      <c r="W11">
        <f t="shared" si="12"/>
        <v>1000</v>
      </c>
      <c r="X11">
        <f t="shared" si="13"/>
        <v>0.5</v>
      </c>
      <c r="Y11">
        <f t="shared" si="14"/>
        <v>1000</v>
      </c>
      <c r="Z11">
        <f t="shared" si="15"/>
        <v>0.5</v>
      </c>
      <c r="AA11">
        <f>IF($D11="",0,IF($F11&lt;2,0,IF($E11="Win",('Guide &amp; Settings'!$C$42/(($F11-1)*COUNTIFS($A$4:$A$311,$A11,$E$4:$E$311,"Win")))*SUMIFS($Z$4:$Z$311,$A$4:$A$311,$A11,$E$4:$E$311,"Loss"),-('Guide &amp; Settings'!$C$42/($F11-1))*$Z11)))</f>
        <v>-2.2857142857142856</v>
      </c>
      <c r="AB11" s="125">
        <f t="shared" si="16"/>
        <v>997.71428571428567</v>
      </c>
      <c r="AC11" s="125">
        <f>IF($D11="","",IF(SUMPRODUCT(MAX(($D$4:$D$311=$D11)*($B$4:$B$311&lt;$B11)*$B$4:$B$311))=0,0,MAX(($B11-SUMPRODUCT(MAX(($D$4:$D$311=$D11)*($B$4:$B$311&lt;$B11)*$B$4:$B$311)))/7-'Guide &amp; Settings'!$C$48,0)*'Guide &amp; Settings'!$C$49))</f>
        <v>0</v>
      </c>
    </row>
    <row r="12" spans="1:29" ht="15" customHeight="1" x14ac:dyDescent="0.2">
      <c r="A12" s="116">
        <v>2</v>
      </c>
      <c r="B12" s="117">
        <v>46175</v>
      </c>
      <c r="C12" s="118" t="s">
        <v>194</v>
      </c>
      <c r="D12" s="118" t="s">
        <v>147</v>
      </c>
      <c r="E12" s="116" t="s">
        <v>317</v>
      </c>
      <c r="F12" s="119">
        <f t="shared" si="0"/>
        <v>8</v>
      </c>
      <c r="G12" s="120" t="str">
        <f t="shared" si="1"/>
        <v>Aaron</v>
      </c>
      <c r="H12" s="121">
        <f>IF($D12="",0,IFERROR(LOOKUP(2,1/(($D$3:D11=$D12)*($A$3:A11&lt;$A12)),$N$3:N11),'Guide &amp; Settings'!$C$41))</f>
        <v>1000</v>
      </c>
      <c r="I12" s="122">
        <f t="shared" si="2"/>
        <v>0.125</v>
      </c>
      <c r="J12" s="123">
        <f>IF($D12="",0,IF($F12&lt;2,0,IF($E12="Win",('Guide &amp; Settings'!$C$42/(($F12-1)*COUNTIFS($A$4:$A$311,$A12,$E$4:$E$311,"Win")))*SUMIFS($X$4:$X$311,$A$4:$A$311,$A12,$E$4:$E$311,"Loss"),-('Guide &amp; Settings'!$C$42/($F12-1))*$X12)))</f>
        <v>-2.2857142857142856</v>
      </c>
      <c r="K12" s="123">
        <f>IF($D12="",0,'Guide &amp; Settings'!$C$43*(IF($E12="Win",1,0)-$I12))</f>
        <v>-1.5</v>
      </c>
      <c r="L12" s="124">
        <f>IF($D12="",0,'Guide &amp; Settings'!$C$44*IF($F12&gt;=3,$F12+IF($E12="Win",$F12,0),0))</f>
        <v>8</v>
      </c>
      <c r="M12" s="123">
        <f t="shared" si="3"/>
        <v>4.2142857142857144</v>
      </c>
      <c r="N12" s="121">
        <f t="shared" si="4"/>
        <v>1004.2142857142857</v>
      </c>
      <c r="O12" s="120" t="str">
        <f t="shared" si="5"/>
        <v>OK</v>
      </c>
      <c r="P12">
        <f t="shared" si="6"/>
        <v>1000</v>
      </c>
      <c r="Q12">
        <f t="shared" si="7"/>
        <v>0.5</v>
      </c>
      <c r="R12">
        <f t="shared" si="8"/>
        <v>0.5</v>
      </c>
      <c r="S12">
        <f t="shared" si="9"/>
        <v>4</v>
      </c>
      <c r="T12" s="88">
        <f t="shared" si="10"/>
        <v>0</v>
      </c>
      <c r="U12" s="125">
        <f>IF($D12="",0,IFERROR(LOOKUP(2,1/(($D$3:D11=$D12)*($C$3:C11=$C12)*($A$3:A11&lt;$A12)),$AB$3:AB11),1000))</f>
        <v>1000</v>
      </c>
      <c r="V12" s="125">
        <f t="shared" si="11"/>
        <v>1000</v>
      </c>
      <c r="W12">
        <f t="shared" si="12"/>
        <v>1000</v>
      </c>
      <c r="X12">
        <f t="shared" si="13"/>
        <v>0.5</v>
      </c>
      <c r="Y12">
        <f t="shared" si="14"/>
        <v>1000</v>
      </c>
      <c r="Z12">
        <f t="shared" si="15"/>
        <v>0.5</v>
      </c>
      <c r="AA12">
        <f>IF($D12="",0,IF($F12&lt;2,0,IF($E12="Win",('Guide &amp; Settings'!$C$42/(($F12-1)*COUNTIFS($A$4:$A$311,$A12,$E$4:$E$311,"Win")))*SUMIFS($Z$4:$Z$311,$A$4:$A$311,$A12,$E$4:$E$311,"Loss"),-('Guide &amp; Settings'!$C$42/($F12-1))*$Z12)))</f>
        <v>-2.2857142857142856</v>
      </c>
      <c r="AB12" s="125">
        <f t="shared" si="16"/>
        <v>997.71428571428567</v>
      </c>
      <c r="AC12" s="125">
        <f>IF($D12="","",IF(SUMPRODUCT(MAX(($D$4:$D$311=$D12)*($B$4:$B$311&lt;$B12)*$B$4:$B$311))=0,0,MAX(($B12-SUMPRODUCT(MAX(($D$4:$D$311=$D12)*($B$4:$B$311&lt;$B12)*$B$4:$B$311)))/7-'Guide &amp; Settings'!$C$48,0)*'Guide &amp; Settings'!$C$49))</f>
        <v>0</v>
      </c>
    </row>
    <row r="13" spans="1:29" ht="15" customHeight="1" x14ac:dyDescent="0.2">
      <c r="A13" s="116">
        <v>2</v>
      </c>
      <c r="B13" s="117">
        <v>46175</v>
      </c>
      <c r="C13" s="118" t="s">
        <v>194</v>
      </c>
      <c r="D13" s="118" t="s">
        <v>176</v>
      </c>
      <c r="E13" s="116" t="s">
        <v>317</v>
      </c>
      <c r="F13" s="119">
        <f t="shared" si="0"/>
        <v>8</v>
      </c>
      <c r="G13" s="120" t="str">
        <f t="shared" si="1"/>
        <v>Aaron</v>
      </c>
      <c r="H13" s="121">
        <f>IF($D13="",0,IFERROR(LOOKUP(2,1/(($D$3:D12=$D13)*($A$3:A12&lt;$A13)),$N$3:N12),'Guide &amp; Settings'!$C$41))</f>
        <v>991</v>
      </c>
      <c r="I13" s="122">
        <f t="shared" si="2"/>
        <v>0.125</v>
      </c>
      <c r="J13" s="123">
        <f>IF($D13="",0,IF($F13&lt;2,0,IF($E13="Win",('Guide &amp; Settings'!$C$42/(($F13-1)*COUNTIFS($A$4:$A$311,$A13,$E$4:$E$311,"Win")))*SUMIFS($X$4:$X$311,$A$4:$A$311,$A13,$E$4:$E$311,"Loss"),-('Guide &amp; Settings'!$C$42/($F13-1))*$X13)))</f>
        <v>-2.2265181947754797</v>
      </c>
      <c r="K13" s="123">
        <f>IF($D13="",0,'Guide &amp; Settings'!$C$43*(IF($E13="Win",1,0)-$I13))</f>
        <v>-1.5</v>
      </c>
      <c r="L13" s="124">
        <f>IF($D13="",0,'Guide &amp; Settings'!$C$44*IF($F13&gt;=3,$F13+IF($E13="Win",$F13,0),0))</f>
        <v>8</v>
      </c>
      <c r="M13" s="123">
        <f t="shared" si="3"/>
        <v>4.2734818052245203</v>
      </c>
      <c r="N13" s="121">
        <f t="shared" si="4"/>
        <v>995.27348180522449</v>
      </c>
      <c r="O13" s="120" t="str">
        <f t="shared" si="5"/>
        <v>OK</v>
      </c>
      <c r="P13">
        <f t="shared" si="6"/>
        <v>1000</v>
      </c>
      <c r="Q13">
        <f t="shared" si="7"/>
        <v>0.48705085510713625</v>
      </c>
      <c r="R13">
        <f t="shared" si="8"/>
        <v>0.5</v>
      </c>
      <c r="S13">
        <f t="shared" si="9"/>
        <v>4</v>
      </c>
      <c r="T13" s="88">
        <f t="shared" si="10"/>
        <v>0</v>
      </c>
      <c r="U13" s="125">
        <f>IF($D13="",0,IFERROR(LOOKUP(2,1/(($D$3:D12=$D13)*($C$3:C12=$C13)*($A$3:A12&lt;$A13)),$AB$3:AB12),1000))</f>
        <v>1000</v>
      </c>
      <c r="V13" s="125">
        <f t="shared" si="11"/>
        <v>991</v>
      </c>
      <c r="W13">
        <f t="shared" si="12"/>
        <v>1000</v>
      </c>
      <c r="X13">
        <f t="shared" si="13"/>
        <v>0.48705085510713625</v>
      </c>
      <c r="Y13">
        <f t="shared" si="14"/>
        <v>1000</v>
      </c>
      <c r="Z13">
        <f t="shared" si="15"/>
        <v>0.5</v>
      </c>
      <c r="AA13">
        <f>IF($D13="",0,IF($F13&lt;2,0,IF($E13="Win",('Guide &amp; Settings'!$C$42/(($F13-1)*COUNTIFS($A$4:$A$311,$A13,$E$4:$E$311,"Win")))*SUMIFS($Z$4:$Z$311,$A$4:$A$311,$A13,$E$4:$E$311,"Loss"),-('Guide &amp; Settings'!$C$42/($F13-1))*$Z13)))</f>
        <v>-2.2857142857142856</v>
      </c>
      <c r="AB13" s="125">
        <f t="shared" si="16"/>
        <v>997.71428571428567</v>
      </c>
      <c r="AC13" s="125">
        <f>IF($D13="","",IF(SUMPRODUCT(MAX(($D$4:$D$311=$D13)*($B$4:$B$311&lt;$B13)*$B$4:$B$311))=0,0,MAX(($B13-SUMPRODUCT(MAX(($D$4:$D$311=$D13)*($B$4:$B$311&lt;$B13)*$B$4:$B$311)))/7-'Guide &amp; Settings'!$C$48,0)*'Guide &amp; Settings'!$C$49))</f>
        <v>0</v>
      </c>
    </row>
    <row r="14" spans="1:29" ht="15" customHeight="1" x14ac:dyDescent="0.2">
      <c r="A14" s="116">
        <v>2</v>
      </c>
      <c r="B14" s="117">
        <v>46175</v>
      </c>
      <c r="C14" s="118" t="s">
        <v>194</v>
      </c>
      <c r="D14" s="118" t="s">
        <v>180</v>
      </c>
      <c r="E14" s="116" t="s">
        <v>317</v>
      </c>
      <c r="F14" s="119">
        <f t="shared" si="0"/>
        <v>8</v>
      </c>
      <c r="G14" s="120" t="str">
        <f t="shared" si="1"/>
        <v>Aaron</v>
      </c>
      <c r="H14" s="121">
        <f>IF($D14="",0,IFERROR(LOOKUP(2,1/(($D$3:D13=$D14)*($A$3:A13&lt;$A14)),$N$3:N13),'Guide &amp; Settings'!$C$41))</f>
        <v>1000</v>
      </c>
      <c r="I14" s="122">
        <f t="shared" si="2"/>
        <v>0.125</v>
      </c>
      <c r="J14" s="123">
        <f>IF($D14="",0,IF($F14&lt;2,0,IF($E14="Win",('Guide &amp; Settings'!$C$42/(($F14-1)*COUNTIFS($A$4:$A$311,$A14,$E$4:$E$311,"Win")))*SUMIFS($X$4:$X$311,$A$4:$A$311,$A14,$E$4:$E$311,"Loss"),-('Guide &amp; Settings'!$C$42/($F14-1))*$X14)))</f>
        <v>-2.2857142857142856</v>
      </c>
      <c r="K14" s="123">
        <f>IF($D14="",0,'Guide &amp; Settings'!$C$43*(IF($E14="Win",1,0)-$I14))</f>
        <v>-1.5</v>
      </c>
      <c r="L14" s="124">
        <f>IF($D14="",0,'Guide &amp; Settings'!$C$44*IF($F14&gt;=3,$F14+IF($E14="Win",$F14,0),0))</f>
        <v>8</v>
      </c>
      <c r="M14" s="123">
        <f t="shared" si="3"/>
        <v>4.2142857142857144</v>
      </c>
      <c r="N14" s="121">
        <f t="shared" si="4"/>
        <v>1004.2142857142857</v>
      </c>
      <c r="O14" s="120" t="str">
        <f t="shared" si="5"/>
        <v>OK</v>
      </c>
      <c r="P14">
        <f t="shared" si="6"/>
        <v>1000</v>
      </c>
      <c r="Q14">
        <f t="shared" si="7"/>
        <v>0.5</v>
      </c>
      <c r="R14">
        <f t="shared" si="8"/>
        <v>0.5</v>
      </c>
      <c r="S14">
        <f t="shared" si="9"/>
        <v>4</v>
      </c>
      <c r="T14" s="88">
        <f t="shared" si="10"/>
        <v>0</v>
      </c>
      <c r="U14" s="125">
        <f>IF($D14="",0,IFERROR(LOOKUP(2,1/(($D$3:D13=$D14)*($C$3:C13=$C14)*($A$3:A13&lt;$A14)),$AB$3:AB13),1000))</f>
        <v>1000</v>
      </c>
      <c r="V14" s="125">
        <f t="shared" si="11"/>
        <v>1000</v>
      </c>
      <c r="W14">
        <f t="shared" si="12"/>
        <v>1000</v>
      </c>
      <c r="X14">
        <f t="shared" si="13"/>
        <v>0.5</v>
      </c>
      <c r="Y14">
        <f t="shared" si="14"/>
        <v>1000</v>
      </c>
      <c r="Z14">
        <f t="shared" si="15"/>
        <v>0.5</v>
      </c>
      <c r="AA14">
        <f>IF($D14="",0,IF($F14&lt;2,0,IF($E14="Win",('Guide &amp; Settings'!$C$42/(($F14-1)*COUNTIFS($A$4:$A$311,$A14,$E$4:$E$311,"Win")))*SUMIFS($Z$4:$Z$311,$A$4:$A$311,$A14,$E$4:$E$311,"Loss"),-('Guide &amp; Settings'!$C$42/($F14-1))*$Z14)))</f>
        <v>-2.2857142857142856</v>
      </c>
      <c r="AB14" s="125">
        <f t="shared" si="16"/>
        <v>997.71428571428567</v>
      </c>
      <c r="AC14" s="125">
        <f>IF($D14="","",IF(SUMPRODUCT(MAX(($D$4:$D$311=$D14)*($B$4:$B$311&lt;$B14)*$B$4:$B$311))=0,0,MAX(($B14-SUMPRODUCT(MAX(($D$4:$D$311=$D14)*($B$4:$B$311&lt;$B14)*$B$4:$B$311)))/7-'Guide &amp; Settings'!$C$48,0)*'Guide &amp; Settings'!$C$49))</f>
        <v>0</v>
      </c>
    </row>
    <row r="15" spans="1:29" ht="15" customHeight="1" x14ac:dyDescent="0.2">
      <c r="A15" s="116">
        <v>3</v>
      </c>
      <c r="B15" s="117">
        <v>46172</v>
      </c>
      <c r="C15" s="118" t="s">
        <v>191</v>
      </c>
      <c r="D15" s="118" t="s">
        <v>177</v>
      </c>
      <c r="E15" s="116" t="s">
        <v>317</v>
      </c>
      <c r="F15" s="119">
        <f t="shared" si="0"/>
        <v>2</v>
      </c>
      <c r="G15" s="120" t="str">
        <f t="shared" si="1"/>
        <v>Shawn</v>
      </c>
      <c r="H15" s="121">
        <f>IF($D15="",0,IFERROR(LOOKUP(2,1/(($D$3:D14=$D15)*($A$3:A14&lt;$A15)),$N$3:N14),'Guide &amp; Settings'!$C$41))</f>
        <v>1004.2142857142857</v>
      </c>
      <c r="I15" s="122">
        <f t="shared" si="2"/>
        <v>0.5</v>
      </c>
      <c r="J15" s="123">
        <f>IF($D15="",0,IF($F15&lt;2,0,IF($E15="Win",('Guide &amp; Settings'!$C$42/(($F15-1)*COUNTIFS($A$4:$A$311,$A15,$E$4:$E$311,"Win")))*SUMIFS($X$4:$X$311,$A$4:$A$311,$A15,$E$4:$E$311,"Loss"),-('Guide &amp; Settings'!$C$42/($F15-1))*$X15)))</f>
        <v>-16.411648372286582</v>
      </c>
      <c r="K15" s="123">
        <f>IF($D15="",0,'Guide &amp; Settings'!$C$43*(IF($E15="Win",1,0)-$I15))</f>
        <v>-6</v>
      </c>
      <c r="L15" s="124">
        <f>IF($D15="",0,'Guide &amp; Settings'!$C$44*IF($F15&gt;=3,$F15+IF($E15="Win",$F15,0),0))</f>
        <v>0</v>
      </c>
      <c r="M15" s="123">
        <f t="shared" si="3"/>
        <v>-22.411648372286582</v>
      </c>
      <c r="N15" s="121">
        <f t="shared" si="4"/>
        <v>981.80263734199912</v>
      </c>
      <c r="O15" s="120" t="str">
        <f t="shared" si="5"/>
        <v>OK</v>
      </c>
      <c r="P15">
        <f t="shared" si="6"/>
        <v>995.27348180522449</v>
      </c>
      <c r="Q15">
        <f t="shared" si="7"/>
        <v>0.51286401163395567</v>
      </c>
      <c r="R15">
        <f t="shared" si="8"/>
        <v>0.5</v>
      </c>
      <c r="S15">
        <f t="shared" si="9"/>
        <v>1</v>
      </c>
      <c r="T15" s="88">
        <f t="shared" si="10"/>
        <v>0</v>
      </c>
      <c r="U15" s="125">
        <f>IF($D15="",0,IFERROR(LOOKUP(2,1/(($D$3:D14=$D15)*($C$3:C14=$C15)*($A$3:A14&lt;$A15)),$AB$3:AB14),1000))</f>
        <v>1000</v>
      </c>
      <c r="V15" s="125">
        <f t="shared" si="11"/>
        <v>1004.2142857142857</v>
      </c>
      <c r="W15">
        <f t="shared" si="12"/>
        <v>995.27348180522449</v>
      </c>
      <c r="X15">
        <f t="shared" si="13"/>
        <v>0.51286401163395567</v>
      </c>
      <c r="Y15">
        <f t="shared" si="14"/>
        <v>1000</v>
      </c>
      <c r="Z15">
        <f t="shared" si="15"/>
        <v>0.5</v>
      </c>
      <c r="AA15">
        <f>IF($D15="",0,IF($F15&lt;2,0,IF($E15="Win",('Guide &amp; Settings'!$C$42/(($F15-1)*COUNTIFS($A$4:$A$311,$A15,$E$4:$E$311,"Win")))*SUMIFS($Z$4:$Z$311,$A$4:$A$311,$A15,$E$4:$E$311,"Loss"),-('Guide &amp; Settings'!$C$42/($F15-1))*$Z15)))</f>
        <v>-16</v>
      </c>
      <c r="AB15" s="125">
        <f t="shared" si="16"/>
        <v>984</v>
      </c>
      <c r="AC15" s="125">
        <f>IF($D15="","",IF(SUMPRODUCT(MAX(($D$4:$D$311=$D15)*($B$4:$B$311&lt;$B15)*$B$4:$B$311))=0,0,MAX(($B15-SUMPRODUCT(MAX(($D$4:$D$311=$D15)*($B$4:$B$311&lt;$B15)*$B$4:$B$311)))/7-'Guide &amp; Settings'!$C$48,0)*'Guide &amp; Settings'!$C$49))</f>
        <v>0</v>
      </c>
    </row>
    <row r="16" spans="1:29" ht="15" customHeight="1" x14ac:dyDescent="0.2">
      <c r="A16" s="116">
        <v>3</v>
      </c>
      <c r="B16" s="117">
        <v>46172</v>
      </c>
      <c r="C16" s="118" t="s">
        <v>191</v>
      </c>
      <c r="D16" s="118" t="s">
        <v>141</v>
      </c>
      <c r="E16" s="116" t="s">
        <v>316</v>
      </c>
      <c r="F16" s="119">
        <f t="shared" si="0"/>
        <v>2</v>
      </c>
      <c r="G16" s="120" t="str">
        <f t="shared" si="1"/>
        <v>Shawn</v>
      </c>
      <c r="H16" s="121">
        <f>IF($D16="",0,IFERROR(LOOKUP(2,1/(($D$3:D15=$D16)*($A$3:A15&lt;$A16)),$N$3:N15),'Guide &amp; Settings'!$C$41))</f>
        <v>995.27348180522449</v>
      </c>
      <c r="I16" s="122">
        <f t="shared" si="2"/>
        <v>0.5</v>
      </c>
      <c r="J16" s="123">
        <f>IF($D16="",0,IF($F16&lt;2,0,IF($E16="Win",('Guide &amp; Settings'!$C$42/(($F16-1)*COUNTIFS($A$4:$A$311,$A16,$E$4:$E$311,"Win")))*SUMIFS($X$4:$X$311,$A$4:$A$311,$A16,$E$4:$E$311,"Loss"),-('Guide &amp; Settings'!$C$42/($F16-1))*$X16)))</f>
        <v>16.411648372286582</v>
      </c>
      <c r="K16" s="123">
        <f>IF($D16="",0,'Guide &amp; Settings'!$C$43*(IF($E16="Win",1,0)-$I16))</f>
        <v>6</v>
      </c>
      <c r="L16" s="124">
        <f>IF($D16="",0,'Guide &amp; Settings'!$C$44*IF($F16&gt;=3,$F16+IF($E16="Win",$F16,0),0))</f>
        <v>0</v>
      </c>
      <c r="M16" s="123">
        <f t="shared" si="3"/>
        <v>22.411648372286582</v>
      </c>
      <c r="N16" s="121">
        <f t="shared" si="4"/>
        <v>1017.685130177511</v>
      </c>
      <c r="O16" s="120" t="str">
        <f t="shared" si="5"/>
        <v>OK</v>
      </c>
      <c r="P16">
        <f t="shared" si="6"/>
        <v>995.27348180522449</v>
      </c>
      <c r="Q16">
        <f t="shared" si="7"/>
        <v>0.5</v>
      </c>
      <c r="R16">
        <f t="shared" si="8"/>
        <v>0.5</v>
      </c>
      <c r="S16">
        <f t="shared" si="9"/>
        <v>1</v>
      </c>
      <c r="T16" s="88">
        <f t="shared" si="10"/>
        <v>0</v>
      </c>
      <c r="U16" s="125">
        <f>IF($D16="",0,IFERROR(LOOKUP(2,1/(($D$3:D15=$D16)*($C$3:C15=$C16)*($A$3:A15&lt;$A16)),$AB$3:AB15),1000))</f>
        <v>1000</v>
      </c>
      <c r="V16" s="125">
        <f t="shared" si="11"/>
        <v>995.27348180522449</v>
      </c>
      <c r="W16">
        <f t="shared" si="12"/>
        <v>995.27348180522449</v>
      </c>
      <c r="X16">
        <f t="shared" si="13"/>
        <v>0.5</v>
      </c>
      <c r="Y16">
        <f t="shared" si="14"/>
        <v>1000</v>
      </c>
      <c r="Z16">
        <f t="shared" si="15"/>
        <v>0.5</v>
      </c>
      <c r="AA16">
        <f>IF($D16="",0,IF($F16&lt;2,0,IF($E16="Win",('Guide &amp; Settings'!$C$42/(($F16-1)*COUNTIFS($A$4:$A$311,$A16,$E$4:$E$311,"Win")))*SUMIFS($Z$4:$Z$311,$A$4:$A$311,$A16,$E$4:$E$311,"Loss"),-('Guide &amp; Settings'!$C$42/($F16-1))*$Z16)))</f>
        <v>16</v>
      </c>
      <c r="AB16" s="125">
        <f t="shared" si="16"/>
        <v>1016</v>
      </c>
      <c r="AC16" s="125">
        <f>IF($D16="","",IF(SUMPRODUCT(MAX(($D$4:$D$311=$D16)*($B$4:$B$311&lt;$B16)*$B$4:$B$311))=0,0,MAX(($B16-SUMPRODUCT(MAX(($D$4:$D$311=$D16)*($B$4:$B$311&lt;$B16)*$B$4:$B$311)))/7-'Guide &amp; Settings'!$C$48,0)*'Guide &amp; Settings'!$C$49))</f>
        <v>0</v>
      </c>
    </row>
    <row r="17" spans="1:29" ht="15" customHeight="1" x14ac:dyDescent="0.2">
      <c r="A17" s="116">
        <v>4</v>
      </c>
      <c r="B17" s="117">
        <v>46172</v>
      </c>
      <c r="C17" s="118" t="s">
        <v>191</v>
      </c>
      <c r="D17" s="118" t="s">
        <v>177</v>
      </c>
      <c r="E17" s="116" t="s">
        <v>317</v>
      </c>
      <c r="F17" s="119">
        <f t="shared" si="0"/>
        <v>2</v>
      </c>
      <c r="G17" s="120" t="str">
        <f t="shared" si="1"/>
        <v>Shawn</v>
      </c>
      <c r="H17" s="121">
        <f>IF($D17="",0,IFERROR(LOOKUP(2,1/(($D$3:D16=$D17)*($A$3:A16&lt;$A17)),$N$3:N16),'Guide &amp; Settings'!$C$41))</f>
        <v>981.80263734199912</v>
      </c>
      <c r="I17" s="122">
        <f t="shared" si="2"/>
        <v>0.33333333333333331</v>
      </c>
      <c r="J17" s="123">
        <f>IF($D17="",0,IF($F17&lt;2,0,IF($E17="Win",('Guide &amp; Settings'!$C$42/(($F17-1)*COUNTIFS($A$4:$A$311,$A17,$E$4:$E$311,"Win")))*SUMIFS($X$4:$X$311,$A$4:$A$311,$A17,$E$4:$E$311,"Loss"),-('Guide &amp; Settings'!$C$42/($F17-1))*$X17)))</f>
        <v>-14.382889641165336</v>
      </c>
      <c r="K17" s="123">
        <f>IF($D17="",0,'Guide &amp; Settings'!$C$43*(IF($E17="Win",1,0)-$I17))</f>
        <v>-4</v>
      </c>
      <c r="L17" s="124">
        <f>IF($D17="",0,'Guide &amp; Settings'!$C$44*IF($F17&gt;=3,$F17+IF($E17="Win",$F17,0),0))</f>
        <v>0</v>
      </c>
      <c r="M17" s="123">
        <f t="shared" si="3"/>
        <v>-18.382889641165335</v>
      </c>
      <c r="N17" s="121">
        <f t="shared" si="4"/>
        <v>963.4197477008338</v>
      </c>
      <c r="O17" s="120" t="str">
        <f t="shared" si="5"/>
        <v>OK</v>
      </c>
      <c r="P17">
        <f t="shared" si="6"/>
        <v>1017.685130177511</v>
      </c>
      <c r="Q17">
        <f t="shared" si="7"/>
        <v>0.44854376226039305</v>
      </c>
      <c r="R17">
        <f t="shared" si="8"/>
        <v>0.33333333333333331</v>
      </c>
      <c r="S17">
        <f t="shared" si="9"/>
        <v>1</v>
      </c>
      <c r="T17" s="88">
        <f t="shared" si="10"/>
        <v>1</v>
      </c>
      <c r="U17" s="125">
        <f>IF($D17="",0,IFERROR(LOOKUP(2,1/(($D$3:D16=$D17)*($C$3:C16=$C17)*($A$3:A16&lt;$A17)),$AB$3:AB16),1000))</f>
        <v>984</v>
      </c>
      <c r="V17" s="125">
        <f t="shared" si="11"/>
        <v>982.16886445166597</v>
      </c>
      <c r="W17">
        <f t="shared" si="12"/>
        <v>1017.4042751479258</v>
      </c>
      <c r="X17">
        <f t="shared" si="13"/>
        <v>0.44946530128641676</v>
      </c>
      <c r="Y17">
        <f t="shared" si="14"/>
        <v>1016</v>
      </c>
      <c r="Z17">
        <f t="shared" si="15"/>
        <v>0.45407807721951632</v>
      </c>
      <c r="AA17">
        <f>IF($D17="",0,IF($F17&lt;2,0,IF($E17="Win",('Guide &amp; Settings'!$C$42/(($F17-1)*COUNTIFS($A$4:$A$311,$A17,$E$4:$E$311,"Win")))*SUMIFS($Z$4:$Z$311,$A$4:$A$311,$A17,$E$4:$E$311,"Loss"),-('Guide &amp; Settings'!$C$42/($F17-1))*$Z17)))</f>
        <v>-14.530498471024522</v>
      </c>
      <c r="AB17" s="125">
        <f t="shared" si="16"/>
        <v>969.46950152897546</v>
      </c>
      <c r="AC17" s="125">
        <f>IF($D17="","",IF(SUMPRODUCT(MAX(($D$4:$D$311=$D17)*($B$4:$B$311&lt;$B17)*$B$4:$B$311))=0,0,MAX(($B17-SUMPRODUCT(MAX(($D$4:$D$311=$D17)*($B$4:$B$311&lt;$B17)*$B$4:$B$311)))/7-'Guide &amp; Settings'!$C$48,0)*'Guide &amp; Settings'!$C$49))</f>
        <v>0</v>
      </c>
    </row>
    <row r="18" spans="1:29" ht="15" customHeight="1" x14ac:dyDescent="0.2">
      <c r="A18" s="116">
        <v>4</v>
      </c>
      <c r="B18" s="117">
        <v>46172</v>
      </c>
      <c r="C18" s="118" t="s">
        <v>191</v>
      </c>
      <c r="D18" s="118" t="s">
        <v>141</v>
      </c>
      <c r="E18" s="116" t="s">
        <v>316</v>
      </c>
      <c r="F18" s="119">
        <f t="shared" si="0"/>
        <v>2</v>
      </c>
      <c r="G18" s="120" t="str">
        <f t="shared" si="1"/>
        <v>Shawn</v>
      </c>
      <c r="H18" s="121">
        <f>IF($D18="",0,IFERROR(LOOKUP(2,1/(($D$3:D17=$D18)*($A$3:A17&lt;$A18)),$N$3:N17),'Guide &amp; Settings'!$C$41))</f>
        <v>1017.685130177511</v>
      </c>
      <c r="I18" s="122">
        <f t="shared" si="2"/>
        <v>0.66666666666666663</v>
      </c>
      <c r="J18" s="123">
        <f>IF($D18="",0,IF($F18&lt;2,0,IF($E18="Win",('Guide &amp; Settings'!$C$42/(($F18-1)*COUNTIFS($A$4:$A$311,$A18,$E$4:$E$311,"Win")))*SUMIFS($X$4:$X$311,$A$4:$A$311,$A18,$E$4:$E$311,"Loss"),-('Guide &amp; Settings'!$C$42/($F18-1))*$X18)))</f>
        <v>14.382889641165336</v>
      </c>
      <c r="K18" s="123">
        <f>IF($D18="",0,'Guide &amp; Settings'!$C$43*(IF($E18="Win",1,0)-$I18))</f>
        <v>4</v>
      </c>
      <c r="L18" s="124">
        <f>IF($D18="",0,'Guide &amp; Settings'!$C$44*IF($F18&gt;=3,$F18+IF($E18="Win",$F18,0),0))</f>
        <v>0</v>
      </c>
      <c r="M18" s="123">
        <f t="shared" si="3"/>
        <v>18.382889641165335</v>
      </c>
      <c r="N18" s="121">
        <f t="shared" si="4"/>
        <v>1036.0680198186765</v>
      </c>
      <c r="O18" s="120" t="str">
        <f t="shared" si="5"/>
        <v>OK</v>
      </c>
      <c r="P18">
        <f t="shared" si="6"/>
        <v>1017.685130177511</v>
      </c>
      <c r="Q18">
        <f t="shared" si="7"/>
        <v>0.5</v>
      </c>
      <c r="R18">
        <f t="shared" si="8"/>
        <v>0.66666666666666663</v>
      </c>
      <c r="S18">
        <f t="shared" si="9"/>
        <v>1</v>
      </c>
      <c r="T18" s="88">
        <f t="shared" si="10"/>
        <v>1</v>
      </c>
      <c r="U18" s="125">
        <f>IF($D18="",0,IFERROR(LOOKUP(2,1/(($D$3:D17=$D18)*($C$3:C17=$C18)*($A$3:A17&lt;$A18)),$AB$3:AB17),1000))</f>
        <v>1016</v>
      </c>
      <c r="V18" s="125">
        <f t="shared" si="11"/>
        <v>1017.4042751479258</v>
      </c>
      <c r="W18">
        <f t="shared" si="12"/>
        <v>1017.4042751479258</v>
      </c>
      <c r="X18">
        <f t="shared" si="13"/>
        <v>0.5</v>
      </c>
      <c r="Y18">
        <f t="shared" si="14"/>
        <v>1016</v>
      </c>
      <c r="Z18">
        <f t="shared" si="15"/>
        <v>0.5</v>
      </c>
      <c r="AA18">
        <f>IF($D18="",0,IF($F18&lt;2,0,IF($E18="Win",('Guide &amp; Settings'!$C$42/(($F18-1)*COUNTIFS($A$4:$A$311,$A18,$E$4:$E$311,"Win")))*SUMIFS($Z$4:$Z$311,$A$4:$A$311,$A18,$E$4:$E$311,"Loss"),-('Guide &amp; Settings'!$C$42/($F18-1))*$Z18)))</f>
        <v>14.530498471024522</v>
      </c>
      <c r="AB18" s="125">
        <f t="shared" si="16"/>
        <v>1030.5304984710244</v>
      </c>
      <c r="AC18" s="125">
        <f>IF($D18="","",IF(SUMPRODUCT(MAX(($D$4:$D$311=$D18)*($B$4:$B$311&lt;$B18)*$B$4:$B$311))=0,0,MAX(($B18-SUMPRODUCT(MAX(($D$4:$D$311=$D18)*($B$4:$B$311&lt;$B18)*$B$4:$B$311)))/7-'Guide &amp; Settings'!$C$48,0)*'Guide &amp; Settings'!$C$49))</f>
        <v>0</v>
      </c>
    </row>
    <row r="19" spans="1:29" ht="15" customHeight="1" x14ac:dyDescent="0.2">
      <c r="A19" s="116">
        <v>5</v>
      </c>
      <c r="B19" s="117">
        <v>46172</v>
      </c>
      <c r="C19" s="118" t="s">
        <v>191</v>
      </c>
      <c r="D19" s="118" t="s">
        <v>177</v>
      </c>
      <c r="E19" s="116" t="s">
        <v>317</v>
      </c>
      <c r="F19" s="119">
        <f t="shared" si="0"/>
        <v>2</v>
      </c>
      <c r="G19" s="120" t="str">
        <f t="shared" si="1"/>
        <v>Shawn</v>
      </c>
      <c r="H19" s="121">
        <f>IF($D19="",0,IFERROR(LOOKUP(2,1/(($D$3:D18=$D19)*($A$3:A18&lt;$A19)),$N$3:N18),'Guide &amp; Settings'!$C$41))</f>
        <v>963.4197477008338</v>
      </c>
      <c r="I19" s="122">
        <f t="shared" si="2"/>
        <v>0.25</v>
      </c>
      <c r="J19" s="123">
        <f>IF($D19="",0,IF($F19&lt;2,0,IF($E19="Win",('Guide &amp; Settings'!$C$42/(($F19-1)*COUNTIFS($A$4:$A$311,$A19,$E$4:$E$311,"Win")))*SUMIFS($X$4:$X$311,$A$4:$A$311,$A19,$E$4:$E$311,"Loss"),-('Guide &amp; Settings'!$C$42/($F19-1))*$X19)))</f>
        <v>-12.84861173919432</v>
      </c>
      <c r="K19" s="123">
        <f>IF($D19="",0,'Guide &amp; Settings'!$C$43*(IF($E19="Win",1,0)-$I19))</f>
        <v>-3</v>
      </c>
      <c r="L19" s="124">
        <f>IF($D19="",0,'Guide &amp; Settings'!$C$44*IF($F19&gt;=3,$F19+IF($E19="Win",$F19,0),0))</f>
        <v>0</v>
      </c>
      <c r="M19" s="123">
        <f t="shared" si="3"/>
        <v>-15.84861173919432</v>
      </c>
      <c r="N19" s="121">
        <f t="shared" si="4"/>
        <v>947.57113596163947</v>
      </c>
      <c r="O19" s="120" t="str">
        <f t="shared" si="5"/>
        <v>OK</v>
      </c>
      <c r="P19">
        <f t="shared" si="6"/>
        <v>1036.0680198186765</v>
      </c>
      <c r="Q19">
        <f t="shared" si="7"/>
        <v>0.39694825559403052</v>
      </c>
      <c r="R19">
        <f t="shared" si="8"/>
        <v>0.25</v>
      </c>
      <c r="S19">
        <f t="shared" si="9"/>
        <v>1</v>
      </c>
      <c r="T19" s="88">
        <f t="shared" si="10"/>
        <v>2</v>
      </c>
      <c r="U19" s="125">
        <f>IF($D19="",0,IFERROR(LOOKUP(2,1/(($D$3:D18=$D19)*($C$3:C18=$C19)*($A$3:A18&lt;$A19)),$AB$3:AB18),1000))</f>
        <v>969.46950152897546</v>
      </c>
      <c r="V19" s="125">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Settings'!$C$42/(($F19-1)*COUNTIFS($A$4:$A$311,$A19,$E$4:$E$311,"Win")))*SUMIFS($Z$4:$Z$311,$A$4:$A$311,$A19,$E$4:$E$311,"Loss"),-('Guide &amp; Settings'!$C$42/($F19-1))*$Z19)))</f>
        <v>-13.21663516258643</v>
      </c>
      <c r="AB19" s="125">
        <f t="shared" si="16"/>
        <v>956.25286636638907</v>
      </c>
      <c r="AC19" s="125">
        <f>IF($D19="","",IF(SUMPRODUCT(MAX(($D$4:$D$311=$D19)*($B$4:$B$311&lt;$B19)*$B$4:$B$311))=0,0,MAX(($B19-SUMPRODUCT(MAX(($D$4:$D$311=$D19)*($B$4:$B$311&lt;$B19)*$B$4:$B$311)))/7-'Guide &amp; Settings'!$C$48,0)*'Guide &amp; Settings'!$C$49))</f>
        <v>0</v>
      </c>
    </row>
    <row r="20" spans="1:29" ht="15" customHeight="1" x14ac:dyDescent="0.2">
      <c r="A20" s="116">
        <v>5</v>
      </c>
      <c r="B20" s="117">
        <v>46172</v>
      </c>
      <c r="C20" s="118" t="s">
        <v>191</v>
      </c>
      <c r="D20" s="118" t="s">
        <v>141</v>
      </c>
      <c r="E20" s="116" t="s">
        <v>316</v>
      </c>
      <c r="F20" s="119">
        <f t="shared" si="0"/>
        <v>2</v>
      </c>
      <c r="G20" s="120" t="str">
        <f t="shared" si="1"/>
        <v>Shawn</v>
      </c>
      <c r="H20" s="121">
        <f>IF($D20="",0,IFERROR(LOOKUP(2,1/(($D$3:D19=$D20)*($A$3:A19&lt;$A20)),$N$3:N19),'Guide &amp; Settings'!$C$41))</f>
        <v>1036.0680198186765</v>
      </c>
      <c r="I20" s="122">
        <f t="shared" si="2"/>
        <v>0.75</v>
      </c>
      <c r="J20" s="123">
        <f>IF($D20="",0,IF($F20&lt;2,0,IF($E20="Win",('Guide &amp; Settings'!$C$42/(($F20-1)*COUNTIFS($A$4:$A$311,$A20,$E$4:$E$311,"Win")))*SUMIFS($X$4:$X$311,$A$4:$A$311,$A20,$E$4:$E$311,"Loss"),-('Guide &amp; Settings'!$C$42/($F20-1))*$X20)))</f>
        <v>12.84861173919432</v>
      </c>
      <c r="K20" s="123">
        <f>IF($D20="",0,'Guide &amp; Settings'!$C$43*(IF($E20="Win",1,0)-$I20))</f>
        <v>3</v>
      </c>
      <c r="L20" s="124">
        <f>IF($D20="",0,'Guide &amp; Settings'!$C$44*IF($F20&gt;=3,$F20+IF($E20="Win",$F20,0),0))</f>
        <v>0</v>
      </c>
      <c r="M20" s="123">
        <f t="shared" si="3"/>
        <v>15.84861173919432</v>
      </c>
      <c r="N20" s="121">
        <f t="shared" si="4"/>
        <v>1051.9166315578707</v>
      </c>
      <c r="O20" s="120" t="str">
        <f t="shared" si="5"/>
        <v>OK</v>
      </c>
      <c r="P20">
        <f t="shared" si="6"/>
        <v>1036.0680198186765</v>
      </c>
      <c r="Q20">
        <f t="shared" si="7"/>
        <v>0.5</v>
      </c>
      <c r="R20">
        <f t="shared" si="8"/>
        <v>0.75</v>
      </c>
      <c r="S20">
        <f t="shared" si="9"/>
        <v>1</v>
      </c>
      <c r="T20" s="88">
        <f t="shared" si="10"/>
        <v>2</v>
      </c>
      <c r="U20" s="125">
        <f>IF($D20="",0,IFERROR(LOOKUP(2,1/(($D$3:D19=$D20)*($C$3:C19=$C20)*($A$3:A19&lt;$A20)),$AB$3:AB19),1000))</f>
        <v>1030.5304984710244</v>
      </c>
      <c r="V20" s="125">
        <f t="shared" si="11"/>
        <v>1034.4858708622046</v>
      </c>
      <c r="W20">
        <f t="shared" si="12"/>
        <v>1034.4858708622046</v>
      </c>
      <c r="X20">
        <f t="shared" si="13"/>
        <v>0.5</v>
      </c>
      <c r="Y20">
        <f t="shared" si="14"/>
        <v>1030.5304984710244</v>
      </c>
      <c r="Z20">
        <f t="shared" si="15"/>
        <v>0.5</v>
      </c>
      <c r="AA20">
        <f>IF($D20="",0,IF($F20&lt;2,0,IF($E20="Win",('Guide &amp; Settings'!$C$42/(($F20-1)*COUNTIFS($A$4:$A$311,$A20,$E$4:$E$311,"Win")))*SUMIFS($Z$4:$Z$311,$A$4:$A$311,$A20,$E$4:$E$311,"Loss"),-('Guide &amp; Settings'!$C$42/($F20-1))*$Z20)))</f>
        <v>13.21663516258643</v>
      </c>
      <c r="AB20" s="125">
        <f t="shared" si="16"/>
        <v>1043.7471336336109</v>
      </c>
      <c r="AC20" s="125">
        <f>IF($D20="","",IF(SUMPRODUCT(MAX(($D$4:$D$311=$D20)*($B$4:$B$311&lt;$B20)*$B$4:$B$311))=0,0,MAX(($B20-SUMPRODUCT(MAX(($D$4:$D$311=$D20)*($B$4:$B$311&lt;$B20)*$B$4:$B$311)))/7-'Guide &amp; Settings'!$C$48,0)*'Guide &amp; Settings'!$C$49))</f>
        <v>0</v>
      </c>
    </row>
    <row r="21" spans="1:29" ht="15" customHeight="1" x14ac:dyDescent="0.2">
      <c r="A21" s="116">
        <v>6</v>
      </c>
      <c r="B21" s="117">
        <v>46172</v>
      </c>
      <c r="C21" s="118" t="s">
        <v>191</v>
      </c>
      <c r="D21" s="118" t="s">
        <v>177</v>
      </c>
      <c r="E21" s="116" t="s">
        <v>316</v>
      </c>
      <c r="F21" s="119">
        <f t="shared" si="0"/>
        <v>2</v>
      </c>
      <c r="G21" s="120" t="str">
        <f t="shared" si="1"/>
        <v>Daniel (Ferret)</v>
      </c>
      <c r="H21" s="121">
        <f>IF($D21="",0,IFERROR(LOOKUP(2,1/(($D$3:D20=$D21)*($A$3:A20&lt;$A21)),$N$3:N20),'Guide &amp; Settings'!$C$41))</f>
        <v>947.57113596163947</v>
      </c>
      <c r="I21" s="122">
        <f t="shared" si="2"/>
        <v>0.2</v>
      </c>
      <c r="J21" s="123">
        <f>IF($D21="",0,IF($F21&lt;2,0,IF($E21="Win",('Guide &amp; Settings'!$C$42/(($F21-1)*COUNTIFS($A$4:$A$311,$A21,$E$4:$E$311,"Win")))*SUMIFS($X$4:$X$311,$A$4:$A$311,$A21,$E$4:$E$311,"Loss"),-('Guide &amp; Settings'!$C$42/($F21-1))*$X21)))</f>
        <v>20.3981870806236</v>
      </c>
      <c r="K21" s="123">
        <f>IF($D21="",0,'Guide &amp; Settings'!$C$43*(IF($E21="Win",1,0)-$I21))</f>
        <v>9.6000000000000014</v>
      </c>
      <c r="L21" s="124">
        <f>IF($D21="",0,'Guide &amp; Settings'!$C$44*IF($F21&gt;=3,$F21+IF($E21="Win",$F21,0),0))</f>
        <v>0</v>
      </c>
      <c r="M21" s="123">
        <f t="shared" si="3"/>
        <v>29.998187080623602</v>
      </c>
      <c r="N21" s="121">
        <f t="shared" si="4"/>
        <v>977.56932304226302</v>
      </c>
      <c r="O21" s="120" t="str">
        <f t="shared" si="5"/>
        <v>OK</v>
      </c>
      <c r="P21">
        <f t="shared" si="6"/>
        <v>947.57113596163947</v>
      </c>
      <c r="Q21">
        <f t="shared" si="7"/>
        <v>0.5</v>
      </c>
      <c r="R21">
        <f t="shared" si="8"/>
        <v>0.2</v>
      </c>
      <c r="S21">
        <f t="shared" si="9"/>
        <v>1</v>
      </c>
      <c r="T21" s="88">
        <f t="shared" si="10"/>
        <v>3</v>
      </c>
      <c r="U21" s="125">
        <f>IF($D21="",0,IFERROR(LOOKUP(2,1/(($D$3:D20=$D21)*($C$3:C20=$C21)*($A$3:A20&lt;$A21)),$AB$3:AB20),1000))</f>
        <v>956.25286636638907</v>
      </c>
      <c r="V21" s="125">
        <f t="shared" si="11"/>
        <v>950.82678486342058</v>
      </c>
      <c r="W21">
        <f t="shared" si="12"/>
        <v>950.82678486342058</v>
      </c>
      <c r="X21">
        <f t="shared" si="13"/>
        <v>0.5</v>
      </c>
      <c r="Y21">
        <f t="shared" si="14"/>
        <v>956.25286636638907</v>
      </c>
      <c r="Z21">
        <f t="shared" si="15"/>
        <v>0.5</v>
      </c>
      <c r="AA21">
        <f>IF($D21="",0,IF($F21&lt;2,0,IF($E21="Win",('Guide &amp; Settings'!$C$42/(($F21-1)*COUNTIFS($A$4:$A$311,$A21,$E$4:$E$311,"Win")))*SUMIFS($Z$4:$Z$311,$A$4:$A$311,$A21,$E$4:$E$311,"Loss"),-('Guide &amp; Settings'!$C$42/($F21-1))*$Z21)))</f>
        <v>19.94619100461318</v>
      </c>
      <c r="AB21" s="125">
        <f t="shared" si="16"/>
        <v>976.19905737100225</v>
      </c>
      <c r="AC21" s="125">
        <f>IF($D21="","",IF(SUMPRODUCT(MAX(($D$4:$D$311=$D21)*($B$4:$B$311&lt;$B21)*$B$4:$B$311))=0,0,MAX(($B21-SUMPRODUCT(MAX(($D$4:$D$311=$D21)*($B$4:$B$311&lt;$B21)*$B$4:$B$311)))/7-'Guide &amp; Settings'!$C$48,0)*'Guide &amp; Settings'!$C$49))</f>
        <v>0</v>
      </c>
    </row>
    <row r="22" spans="1:29" ht="15" customHeight="1" x14ac:dyDescent="0.2">
      <c r="A22" s="116">
        <v>6</v>
      </c>
      <c r="B22" s="117">
        <v>46172</v>
      </c>
      <c r="C22" s="118" t="s">
        <v>191</v>
      </c>
      <c r="D22" s="118" t="s">
        <v>141</v>
      </c>
      <c r="E22" s="116" t="s">
        <v>317</v>
      </c>
      <c r="F22" s="119">
        <f t="shared" si="0"/>
        <v>2</v>
      </c>
      <c r="G22" s="120" t="str">
        <f t="shared" si="1"/>
        <v>Daniel (Ferret)</v>
      </c>
      <c r="H22" s="121">
        <f>IF($D22="",0,IFERROR(LOOKUP(2,1/(($D$3:D21=$D22)*($A$3:A21&lt;$A22)),$N$3:N21),'Guide &amp; Settings'!$C$41))</f>
        <v>1051.9166315578707</v>
      </c>
      <c r="I22" s="122">
        <f t="shared" si="2"/>
        <v>0.8</v>
      </c>
      <c r="J22" s="123">
        <f>IF($D22="",0,IF($F22&lt;2,0,IF($E22="Win",('Guide &amp; Settings'!$C$42/(($F22-1)*COUNTIFS($A$4:$A$311,$A22,$E$4:$E$311,"Win")))*SUMIFS($X$4:$X$311,$A$4:$A$311,$A22,$E$4:$E$311,"Loss"),-('Guide &amp; Settings'!$C$42/($F22-1))*$X22)))</f>
        <v>-20.3981870806236</v>
      </c>
      <c r="K22" s="123">
        <f>IF($D22="",0,'Guide &amp; Settings'!$C$43*(IF($E22="Win",1,0)-$I22))</f>
        <v>-9.6000000000000014</v>
      </c>
      <c r="L22" s="124">
        <f>IF($D22="",0,'Guide &amp; Settings'!$C$44*IF($F22&gt;=3,$F22+IF($E22="Win",$F22,0),0))</f>
        <v>0</v>
      </c>
      <c r="M22" s="123">
        <f t="shared" si="3"/>
        <v>-29.998187080623602</v>
      </c>
      <c r="N22" s="121">
        <f t="shared" si="4"/>
        <v>1021.9184444772471</v>
      </c>
      <c r="O22" s="120" t="str">
        <f t="shared" si="5"/>
        <v>OK</v>
      </c>
      <c r="P22">
        <f t="shared" si="6"/>
        <v>947.57113596163947</v>
      </c>
      <c r="Q22">
        <f t="shared" si="7"/>
        <v>0.64580750814083487</v>
      </c>
      <c r="R22">
        <f t="shared" si="8"/>
        <v>0.8</v>
      </c>
      <c r="S22">
        <f t="shared" si="9"/>
        <v>1</v>
      </c>
      <c r="T22" s="88">
        <f t="shared" si="10"/>
        <v>3</v>
      </c>
      <c r="U22" s="125">
        <f>IF($D22="",0,IFERROR(LOOKUP(2,1/(($D$3:D21=$D22)*($C$3:C21=$C22)*($A$3:A21&lt;$A22)),$AB$3:AB21),1000))</f>
        <v>1043.7471336336109</v>
      </c>
      <c r="V22" s="125">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Settings'!$C$42/(($F22-1)*COUNTIFS($A$4:$A$311,$A22,$E$4:$E$311,"Win")))*SUMIFS($Z$4:$Z$311,$A$4:$A$311,$A22,$E$4:$E$311,"Loss"),-('Guide &amp; Settings'!$C$42/($F22-1))*$Z22)))</f>
        <v>-19.94619100461318</v>
      </c>
      <c r="AB22" s="125">
        <f t="shared" si="16"/>
        <v>1023.8009426289977</v>
      </c>
      <c r="AC22" s="125">
        <f>IF($D22="","",IF(SUMPRODUCT(MAX(($D$4:$D$311=$D22)*($B$4:$B$311&lt;$B22)*$B$4:$B$311))=0,0,MAX(($B22-SUMPRODUCT(MAX(($D$4:$D$311=$D22)*($B$4:$B$311&lt;$B22)*$B$4:$B$311)))/7-'Guide &amp; Settings'!$C$48,0)*'Guide &amp; Settings'!$C$49))</f>
        <v>0</v>
      </c>
    </row>
    <row r="23" spans="1:29" ht="15" customHeight="1" x14ac:dyDescent="0.2">
      <c r="A23" s="116">
        <v>7</v>
      </c>
      <c r="B23" s="117">
        <v>46172</v>
      </c>
      <c r="C23" s="118" t="s">
        <v>203</v>
      </c>
      <c r="D23" s="118" t="s">
        <v>177</v>
      </c>
      <c r="E23" s="116" t="s">
        <v>317</v>
      </c>
      <c r="F23" s="119">
        <f t="shared" si="0"/>
        <v>2</v>
      </c>
      <c r="G23" s="120" t="str">
        <f t="shared" si="1"/>
        <v>Shawn</v>
      </c>
      <c r="H23" s="121">
        <f>IF($D23="",0,IFERROR(LOOKUP(2,1/(($D$3:D22=$D23)*($A$3:A22&lt;$A23)),$N$3:N22),'Guide &amp; Settings'!$C$41))</f>
        <v>977.56932304226302</v>
      </c>
      <c r="I23" s="122">
        <f t="shared" si="2"/>
        <v>0.5</v>
      </c>
      <c r="J23" s="123">
        <f>IF($D23="",0,IF($F23&lt;2,0,IF($E23="Win",('Guide &amp; Settings'!$C$42/(($F23-1)*COUNTIFS($A$4:$A$311,$A23,$E$4:$E$311,"Win")))*SUMIFS($X$4:$X$311,$A$4:$A$311,$A23,$E$4:$E$311,"Loss"),-('Guide &amp; Settings'!$C$42/($F23-1))*$X23)))</f>
        <v>-13.968668197161014</v>
      </c>
      <c r="K23" s="123">
        <f>IF($D23="",0,'Guide &amp; Settings'!$C$43*(IF($E23="Win",1,0)-$I23))</f>
        <v>-6</v>
      </c>
      <c r="L23" s="124">
        <f>IF($D23="",0,'Guide &amp; Settings'!$C$44*IF($F23&gt;=3,$F23+IF($E23="Win",$F23,0),0))</f>
        <v>0</v>
      </c>
      <c r="M23" s="123">
        <f t="shared" si="3"/>
        <v>-19.968668197161016</v>
      </c>
      <c r="N23" s="121">
        <f t="shared" si="4"/>
        <v>957.60065484510199</v>
      </c>
      <c r="O23" s="120" t="str">
        <f t="shared" si="5"/>
        <v>OK</v>
      </c>
      <c r="P23">
        <f t="shared" si="6"/>
        <v>1021.9184444772471</v>
      </c>
      <c r="Q23">
        <f t="shared" si="7"/>
        <v>0.43652088116128168</v>
      </c>
      <c r="R23">
        <f t="shared" si="8"/>
        <v>0.5</v>
      </c>
      <c r="S23">
        <f t="shared" si="9"/>
        <v>1</v>
      </c>
      <c r="T23" s="88">
        <f t="shared" si="10"/>
        <v>0</v>
      </c>
      <c r="U23" s="125">
        <f>IF($D23="",0,IFERROR(LOOKUP(2,1/(($D$3:D22=$D23)*($C$3:C22=$C23)*($A$3:A22&lt;$A23)),$AB$3:AB22),1000))</f>
        <v>1000</v>
      </c>
      <c r="V23" s="125">
        <f t="shared" si="11"/>
        <v>977.56932304226302</v>
      </c>
      <c r="W23">
        <f t="shared" si="12"/>
        <v>1021.9184444772471</v>
      </c>
      <c r="X23">
        <f t="shared" si="13"/>
        <v>0.43652088116128168</v>
      </c>
      <c r="Y23">
        <f t="shared" si="14"/>
        <v>1000</v>
      </c>
      <c r="Z23">
        <f t="shared" si="15"/>
        <v>0.5</v>
      </c>
      <c r="AA23">
        <f>IF($D23="",0,IF($F23&lt;2,0,IF($E23="Win",('Guide &amp; Settings'!$C$42/(($F23-1)*COUNTIFS($A$4:$A$311,$A23,$E$4:$E$311,"Win")))*SUMIFS($Z$4:$Z$311,$A$4:$A$311,$A23,$E$4:$E$311,"Loss"),-('Guide &amp; Settings'!$C$42/($F23-1))*$Z23)))</f>
        <v>-16</v>
      </c>
      <c r="AB23" s="125">
        <f t="shared" si="16"/>
        <v>984</v>
      </c>
      <c r="AC23" s="125">
        <f>IF($D23="","",IF(SUMPRODUCT(MAX(($D$4:$D$311=$D23)*($B$4:$B$311&lt;$B23)*$B$4:$B$311))=0,0,MAX(($B23-SUMPRODUCT(MAX(($D$4:$D$311=$D23)*($B$4:$B$311&lt;$B23)*$B$4:$B$311)))/7-'Guide &amp; Settings'!$C$48,0)*'Guide &amp; Settings'!$C$49))</f>
        <v>0</v>
      </c>
    </row>
    <row r="24" spans="1:29" ht="15" customHeight="1" x14ac:dyDescent="0.2">
      <c r="A24" s="116">
        <v>7</v>
      </c>
      <c r="B24" s="117">
        <v>46172</v>
      </c>
      <c r="C24" s="118" t="s">
        <v>203</v>
      </c>
      <c r="D24" s="118" t="s">
        <v>141</v>
      </c>
      <c r="E24" s="116" t="s">
        <v>316</v>
      </c>
      <c r="F24" s="119">
        <f t="shared" si="0"/>
        <v>2</v>
      </c>
      <c r="G24" s="120" t="str">
        <f t="shared" si="1"/>
        <v>Shawn</v>
      </c>
      <c r="H24" s="121">
        <f>IF($D24="",0,IFERROR(LOOKUP(2,1/(($D$3:D23=$D24)*($A$3:A23&lt;$A24)),$N$3:N23),'Guide &amp; Settings'!$C$41))</f>
        <v>1021.9184444772471</v>
      </c>
      <c r="I24" s="122">
        <f t="shared" si="2"/>
        <v>0.5</v>
      </c>
      <c r="J24" s="123">
        <f>IF($D24="",0,IF($F24&lt;2,0,IF($E24="Win",('Guide &amp; Settings'!$C$42/(($F24-1)*COUNTIFS($A$4:$A$311,$A24,$E$4:$E$311,"Win")))*SUMIFS($X$4:$X$311,$A$4:$A$311,$A24,$E$4:$E$311,"Loss"),-('Guide &amp; Settings'!$C$42/($F24-1))*$X24)))</f>
        <v>13.968668197161014</v>
      </c>
      <c r="K24" s="123">
        <f>IF($D24="",0,'Guide &amp; Settings'!$C$43*(IF($E24="Win",1,0)-$I24))</f>
        <v>6</v>
      </c>
      <c r="L24" s="124">
        <f>IF($D24="",0,'Guide &amp; Settings'!$C$44*IF($F24&gt;=3,$F24+IF($E24="Win",$F24,0),0))</f>
        <v>0</v>
      </c>
      <c r="M24" s="123">
        <f t="shared" si="3"/>
        <v>19.968668197161016</v>
      </c>
      <c r="N24" s="121">
        <f t="shared" si="4"/>
        <v>1041.8871126744082</v>
      </c>
      <c r="O24" s="120" t="str">
        <f t="shared" si="5"/>
        <v>OK</v>
      </c>
      <c r="P24">
        <f t="shared" si="6"/>
        <v>1021.9184444772471</v>
      </c>
      <c r="Q24">
        <f t="shared" si="7"/>
        <v>0.5</v>
      </c>
      <c r="R24">
        <f t="shared" si="8"/>
        <v>0.5</v>
      </c>
      <c r="S24">
        <f t="shared" si="9"/>
        <v>1</v>
      </c>
      <c r="T24" s="88">
        <f t="shared" si="10"/>
        <v>0</v>
      </c>
      <c r="U24" s="125">
        <f>IF($D24="",0,IFERROR(LOOKUP(2,1/(($D$3:D23=$D24)*($C$3:C23=$C24)*($A$3:A23&lt;$A24)),$AB$3:AB23),1000))</f>
        <v>1000</v>
      </c>
      <c r="V24" s="125">
        <f t="shared" si="11"/>
        <v>1021.9184444772471</v>
      </c>
      <c r="W24">
        <f t="shared" si="12"/>
        <v>1021.9184444772471</v>
      </c>
      <c r="X24">
        <f t="shared" si="13"/>
        <v>0.5</v>
      </c>
      <c r="Y24">
        <f t="shared" si="14"/>
        <v>1000</v>
      </c>
      <c r="Z24">
        <f t="shared" si="15"/>
        <v>0.5</v>
      </c>
      <c r="AA24">
        <f>IF($D24="",0,IF($F24&lt;2,0,IF($E24="Win",('Guide &amp; Settings'!$C$42/(($F24-1)*COUNTIFS($A$4:$A$311,$A24,$E$4:$E$311,"Win")))*SUMIFS($Z$4:$Z$311,$A$4:$A$311,$A24,$E$4:$E$311,"Loss"),-('Guide &amp; Settings'!$C$42/($F24-1))*$Z24)))</f>
        <v>16</v>
      </c>
      <c r="AB24" s="125">
        <f t="shared" si="16"/>
        <v>1016</v>
      </c>
      <c r="AC24" s="125">
        <f>IF($D24="","",IF(SUMPRODUCT(MAX(($D$4:$D$311=$D24)*($B$4:$B$311&lt;$B24)*$B$4:$B$311))=0,0,MAX(($B24-SUMPRODUCT(MAX(($D$4:$D$311=$D24)*($B$4:$B$311&lt;$B24)*$B$4:$B$311)))/7-'Guide &amp; Settings'!$C$48,0)*'Guide &amp; Settings'!$C$49))</f>
        <v>0</v>
      </c>
    </row>
    <row r="25" spans="1:29" ht="15" customHeight="1" x14ac:dyDescent="0.2">
      <c r="A25" s="116">
        <v>8</v>
      </c>
      <c r="B25" s="117">
        <v>46172</v>
      </c>
      <c r="C25" s="118" t="s">
        <v>203</v>
      </c>
      <c r="D25" s="118" t="s">
        <v>177</v>
      </c>
      <c r="E25" s="116" t="s">
        <v>317</v>
      </c>
      <c r="F25" s="119">
        <f t="shared" si="0"/>
        <v>2</v>
      </c>
      <c r="G25" s="120" t="str">
        <f t="shared" si="1"/>
        <v>Shawn</v>
      </c>
      <c r="H25" s="121">
        <f>IF($D25="",0,IFERROR(LOOKUP(2,1/(($D$3:D24=$D25)*($A$3:A24&lt;$A25)),$N$3:N24),'Guide &amp; Settings'!$C$41))</f>
        <v>957.60065484510199</v>
      </c>
      <c r="I25" s="122">
        <f t="shared" si="2"/>
        <v>0.33333333333333331</v>
      </c>
      <c r="J25" s="123">
        <f>IF($D25="",0,IF($F25&lt;2,0,IF($E25="Win",('Guide &amp; Settings'!$C$42/(($F25-1)*COUNTIFS($A$4:$A$311,$A25,$E$4:$E$311,"Win")))*SUMIFS($X$4:$X$311,$A$4:$A$311,$A25,$E$4:$E$311,"Loss"),-('Guide &amp; Settings'!$C$42/($F25-1))*$X25)))</f>
        <v>-12.573645103507065</v>
      </c>
      <c r="K25" s="123">
        <f>IF($D25="",0,'Guide &amp; Settings'!$C$43*(IF($E25="Win",1,0)-$I25))</f>
        <v>-4</v>
      </c>
      <c r="L25" s="124">
        <f>IF($D25="",0,'Guide &amp; Settings'!$C$44*IF($F25&gt;=3,$F25+IF($E25="Win",$F25,0),0))</f>
        <v>0</v>
      </c>
      <c r="M25" s="123">
        <f t="shared" si="3"/>
        <v>-16.573645103507065</v>
      </c>
      <c r="N25" s="121">
        <f t="shared" si="4"/>
        <v>941.02700974159495</v>
      </c>
      <c r="O25" s="120" t="str">
        <f t="shared" si="5"/>
        <v>OK</v>
      </c>
      <c r="P25">
        <f t="shared" si="6"/>
        <v>1041.8871126744082</v>
      </c>
      <c r="Q25">
        <f t="shared" si="7"/>
        <v>0.38102689643750615</v>
      </c>
      <c r="R25">
        <f t="shared" si="8"/>
        <v>0.33333333333333331</v>
      </c>
      <c r="S25">
        <f t="shared" si="9"/>
        <v>1</v>
      </c>
      <c r="T25" s="88">
        <f t="shared" si="10"/>
        <v>1</v>
      </c>
      <c r="U25" s="125">
        <f>IF($D25="",0,IFERROR(LOOKUP(2,1/(($D$3:D24=$D25)*($C$3:C24=$C25)*($A$3:A24&lt;$A25)),$AB$3:AB24),1000))</f>
        <v>984</v>
      </c>
      <c r="V25" s="125">
        <f t="shared" si="11"/>
        <v>962.00054570425164</v>
      </c>
      <c r="W25">
        <f t="shared" si="12"/>
        <v>1037.5725938953401</v>
      </c>
      <c r="X25">
        <f t="shared" si="13"/>
        <v>0.39292640948459578</v>
      </c>
      <c r="Y25">
        <f t="shared" si="14"/>
        <v>1016</v>
      </c>
      <c r="Z25">
        <f t="shared" si="15"/>
        <v>0.45407807721951632</v>
      </c>
      <c r="AA25">
        <f>IF($D25="",0,IF($F25&lt;2,0,IF($E25="Win",('Guide &amp; Settings'!$C$42/(($F25-1)*COUNTIFS($A$4:$A$311,$A25,$E$4:$E$311,"Win")))*SUMIFS($Z$4:$Z$311,$A$4:$A$311,$A25,$E$4:$E$311,"Loss"),-('Guide &amp; Settings'!$C$42/($F25-1))*$Z25)))</f>
        <v>-14.530498471024522</v>
      </c>
      <c r="AB25" s="125">
        <f t="shared" si="16"/>
        <v>969.46950152897546</v>
      </c>
      <c r="AC25" s="125">
        <f>IF($D25="","",IF(SUMPRODUCT(MAX(($D$4:$D$311=$D25)*($B$4:$B$311&lt;$B25)*$B$4:$B$311))=0,0,MAX(($B25-SUMPRODUCT(MAX(($D$4:$D$311=$D25)*($B$4:$B$311&lt;$B25)*$B$4:$B$311)))/7-'Guide &amp; Settings'!$C$48,0)*'Guide &amp; Settings'!$C$49))</f>
        <v>0</v>
      </c>
    </row>
    <row r="26" spans="1:29" ht="15" customHeight="1" x14ac:dyDescent="0.2">
      <c r="A26" s="116">
        <v>8</v>
      </c>
      <c r="B26" s="117">
        <v>46172</v>
      </c>
      <c r="C26" s="118" t="s">
        <v>203</v>
      </c>
      <c r="D26" s="118" t="s">
        <v>141</v>
      </c>
      <c r="E26" s="116" t="s">
        <v>316</v>
      </c>
      <c r="F26" s="119">
        <f t="shared" si="0"/>
        <v>2</v>
      </c>
      <c r="G26" s="120" t="str">
        <f t="shared" si="1"/>
        <v>Shawn</v>
      </c>
      <c r="H26" s="121">
        <f>IF($D26="",0,IFERROR(LOOKUP(2,1/(($D$3:D25=$D26)*($A$3:A25&lt;$A26)),$N$3:N25),'Guide &amp; Settings'!$C$41))</f>
        <v>1041.8871126744082</v>
      </c>
      <c r="I26" s="122">
        <f t="shared" si="2"/>
        <v>0.66666666666666663</v>
      </c>
      <c r="J26" s="123">
        <f>IF($D26="",0,IF($F26&lt;2,0,IF($E26="Win",('Guide &amp; Settings'!$C$42/(($F26-1)*COUNTIFS($A$4:$A$311,$A26,$E$4:$E$311,"Win")))*SUMIFS($X$4:$X$311,$A$4:$A$311,$A26,$E$4:$E$311,"Loss"),-('Guide &amp; Settings'!$C$42/($F26-1))*$X26)))</f>
        <v>12.573645103507065</v>
      </c>
      <c r="K26" s="123">
        <f>IF($D26="",0,'Guide &amp; Settings'!$C$43*(IF($E26="Win",1,0)-$I26))</f>
        <v>4</v>
      </c>
      <c r="L26" s="124">
        <f>IF($D26="",0,'Guide &amp; Settings'!$C$44*IF($F26&gt;=3,$F26+IF($E26="Win",$F26,0),0))</f>
        <v>0</v>
      </c>
      <c r="M26" s="123">
        <f t="shared" si="3"/>
        <v>16.573645103507065</v>
      </c>
      <c r="N26" s="121">
        <f t="shared" si="4"/>
        <v>1058.4607577779152</v>
      </c>
      <c r="O26" s="120" t="str">
        <f t="shared" si="5"/>
        <v>OK</v>
      </c>
      <c r="P26">
        <f t="shared" si="6"/>
        <v>1041.8871126744082</v>
      </c>
      <c r="Q26">
        <f t="shared" si="7"/>
        <v>0.5</v>
      </c>
      <c r="R26">
        <f t="shared" si="8"/>
        <v>0.66666666666666663</v>
      </c>
      <c r="S26">
        <f t="shared" si="9"/>
        <v>1</v>
      </c>
      <c r="T26" s="88">
        <f t="shared" si="10"/>
        <v>1</v>
      </c>
      <c r="U26" s="125">
        <f>IF($D26="",0,IFERROR(LOOKUP(2,1/(($D$3:D25=$D26)*($C$3:C25=$C26)*($A$3:A25&lt;$A26)),$AB$3:AB25),1000))</f>
        <v>1016</v>
      </c>
      <c r="V26" s="125">
        <f t="shared" si="11"/>
        <v>1037.5725938953401</v>
      </c>
      <c r="W26">
        <f t="shared" si="12"/>
        <v>1037.5725938953401</v>
      </c>
      <c r="X26">
        <f t="shared" si="13"/>
        <v>0.5</v>
      </c>
      <c r="Y26">
        <f t="shared" si="14"/>
        <v>1016</v>
      </c>
      <c r="Z26">
        <f t="shared" si="15"/>
        <v>0.5</v>
      </c>
      <c r="AA26">
        <f>IF($D26="",0,IF($F26&lt;2,0,IF($E26="Win",('Guide &amp; Settings'!$C$42/(($F26-1)*COUNTIFS($A$4:$A$311,$A26,$E$4:$E$311,"Win")))*SUMIFS($Z$4:$Z$311,$A$4:$A$311,$A26,$E$4:$E$311,"Loss"),-('Guide &amp; Settings'!$C$42/($F26-1))*$Z26)))</f>
        <v>14.530498471024522</v>
      </c>
      <c r="AB26" s="125">
        <f t="shared" si="16"/>
        <v>1030.5304984710244</v>
      </c>
      <c r="AC26" s="125">
        <f>IF($D26="","",IF(SUMPRODUCT(MAX(($D$4:$D$311=$D26)*($B$4:$B$311&lt;$B26)*$B$4:$B$311))=0,0,MAX(($B26-SUMPRODUCT(MAX(($D$4:$D$311=$D26)*($B$4:$B$311&lt;$B26)*$B$4:$B$311)))/7-'Guide &amp; Settings'!$C$48,0)*'Guide &amp; Settings'!$C$49))</f>
        <v>0</v>
      </c>
    </row>
    <row r="27" spans="1:29" ht="15" customHeight="1" x14ac:dyDescent="0.2">
      <c r="A27" s="116">
        <v>9</v>
      </c>
      <c r="B27" s="117">
        <v>46172</v>
      </c>
      <c r="C27" s="118" t="s">
        <v>203</v>
      </c>
      <c r="D27" s="118" t="s">
        <v>177</v>
      </c>
      <c r="E27" s="116" t="s">
        <v>317</v>
      </c>
      <c r="F27" s="119">
        <f t="shared" si="0"/>
        <v>2</v>
      </c>
      <c r="G27" s="120" t="str">
        <f t="shared" si="1"/>
        <v>Shawn</v>
      </c>
      <c r="H27" s="121">
        <f>IF($D27="",0,IFERROR(LOOKUP(2,1/(($D$3:D26=$D27)*($A$3:A26&lt;$A27)),$N$3:N26),'Guide &amp; Settings'!$C$41))</f>
        <v>941.02700974159495</v>
      </c>
      <c r="I27" s="122">
        <f t="shared" si="2"/>
        <v>0.25</v>
      </c>
      <c r="J27" s="123">
        <f>IF($D27="",0,IF($F27&lt;2,0,IF($E27="Win",('Guide &amp; Settings'!$C$42/(($F27-1)*COUNTIFS($A$4:$A$311,$A27,$E$4:$E$311,"Win")))*SUMIFS($X$4:$X$311,$A$4:$A$311,$A27,$E$4:$E$311,"Loss"),-('Guide &amp; Settings'!$C$42/($F27-1))*$X27)))</f>
        <v>-11.46165489142933</v>
      </c>
      <c r="K27" s="123">
        <f>IF($D27="",0,'Guide &amp; Settings'!$C$43*(IF($E27="Win",1,0)-$I27))</f>
        <v>-3</v>
      </c>
      <c r="L27" s="124">
        <f>IF($D27="",0,'Guide &amp; Settings'!$C$44*IF($F27&gt;=3,$F27+IF($E27="Win",$F27,0),0))</f>
        <v>0</v>
      </c>
      <c r="M27" s="123">
        <f t="shared" si="3"/>
        <v>-14.46165489142933</v>
      </c>
      <c r="N27" s="121">
        <f t="shared" si="4"/>
        <v>926.56535485016559</v>
      </c>
      <c r="O27" s="120" t="str">
        <f t="shared" si="5"/>
        <v>OK</v>
      </c>
      <c r="P27">
        <f t="shared" si="6"/>
        <v>1058.4607577779152</v>
      </c>
      <c r="Q27">
        <f t="shared" si="7"/>
        <v>0.33715397593244212</v>
      </c>
      <c r="R27">
        <f t="shared" si="8"/>
        <v>0.25</v>
      </c>
      <c r="S27">
        <f t="shared" si="9"/>
        <v>1</v>
      </c>
      <c r="T27" s="88">
        <f t="shared" si="10"/>
        <v>2</v>
      </c>
      <c r="U27" s="125">
        <f>IF($D27="",0,IFERROR(LOOKUP(2,1/(($D$3:D26=$D27)*($C$3:C26=$C27)*($A$3:A26&lt;$A27)),$AB$3:AB26),1000))</f>
        <v>969.46950152897546</v>
      </c>
      <c r="V27" s="125">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Settings'!$C$42/(($F27-1)*COUNTIFS($A$4:$A$311,$A27,$E$4:$E$311,"Win")))*SUMIFS($Z$4:$Z$311,$A$4:$A$311,$A27,$E$4:$E$311,"Loss"),-('Guide &amp; Settings'!$C$42/($F27-1))*$Z27)))</f>
        <v>-13.21663516258643</v>
      </c>
      <c r="AB27" s="125">
        <f t="shared" si="16"/>
        <v>956.25286636638907</v>
      </c>
      <c r="AC27" s="125">
        <f>IF($D27="","",IF(SUMPRODUCT(MAX(($D$4:$D$311=$D27)*($B$4:$B$311&lt;$B27)*$B$4:$B$311))=0,0,MAX(($B27-SUMPRODUCT(MAX(($D$4:$D$311=$D27)*($B$4:$B$311&lt;$B27)*$B$4:$B$311)))/7-'Guide &amp; Settings'!$C$48,0)*'Guide &amp; Settings'!$C$49))</f>
        <v>0</v>
      </c>
    </row>
    <row r="28" spans="1:29" ht="15" customHeight="1" x14ac:dyDescent="0.2">
      <c r="A28" s="116">
        <v>9</v>
      </c>
      <c r="B28" s="117">
        <v>46172</v>
      </c>
      <c r="C28" s="118" t="s">
        <v>203</v>
      </c>
      <c r="D28" s="118" t="s">
        <v>141</v>
      </c>
      <c r="E28" s="116" t="s">
        <v>316</v>
      </c>
      <c r="F28" s="119">
        <f t="shared" si="0"/>
        <v>2</v>
      </c>
      <c r="G28" s="120" t="str">
        <f t="shared" si="1"/>
        <v>Shawn</v>
      </c>
      <c r="H28" s="121">
        <f>IF($D28="",0,IFERROR(LOOKUP(2,1/(($D$3:D27=$D28)*($A$3:A27&lt;$A28)),$N$3:N27),'Guide &amp; Settings'!$C$41))</f>
        <v>1058.4607577779152</v>
      </c>
      <c r="I28" s="122">
        <f t="shared" si="2"/>
        <v>0.75</v>
      </c>
      <c r="J28" s="123">
        <f>IF($D28="",0,IF($F28&lt;2,0,IF($E28="Win",('Guide &amp; Settings'!$C$42/(($F28-1)*COUNTIFS($A$4:$A$311,$A28,$E$4:$E$311,"Win")))*SUMIFS($X$4:$X$311,$A$4:$A$311,$A28,$E$4:$E$311,"Loss"),-('Guide &amp; Settings'!$C$42/($F28-1))*$X28)))</f>
        <v>11.46165489142933</v>
      </c>
      <c r="K28" s="123">
        <f>IF($D28="",0,'Guide &amp; Settings'!$C$43*(IF($E28="Win",1,0)-$I28))</f>
        <v>3</v>
      </c>
      <c r="L28" s="124">
        <f>IF($D28="",0,'Guide &amp; Settings'!$C$44*IF($F28&gt;=3,$F28+IF($E28="Win",$F28,0),0))</f>
        <v>0</v>
      </c>
      <c r="M28" s="123">
        <f t="shared" si="3"/>
        <v>14.46165489142933</v>
      </c>
      <c r="N28" s="121">
        <f t="shared" si="4"/>
        <v>1072.9224126693446</v>
      </c>
      <c r="O28" s="120" t="str">
        <f t="shared" si="5"/>
        <v>OK</v>
      </c>
      <c r="P28">
        <f t="shared" si="6"/>
        <v>1058.4607577779152</v>
      </c>
      <c r="Q28">
        <f t="shared" si="7"/>
        <v>0.5</v>
      </c>
      <c r="R28">
        <f t="shared" si="8"/>
        <v>0.75</v>
      </c>
      <c r="S28">
        <f t="shared" si="9"/>
        <v>1</v>
      </c>
      <c r="T28" s="88">
        <f t="shared" si="10"/>
        <v>2</v>
      </c>
      <c r="U28" s="125">
        <f>IF($D28="",0,IFERROR(LOOKUP(2,1/(($D$3:D27=$D28)*($C$3:C27=$C28)*($A$3:A27&lt;$A28)),$AB$3:AB27),1000))</f>
        <v>1030.5304984710244</v>
      </c>
      <c r="V28" s="125">
        <f t="shared" si="11"/>
        <v>1050.4806836902321</v>
      </c>
      <c r="W28">
        <f t="shared" si="12"/>
        <v>1050.4806836902321</v>
      </c>
      <c r="X28">
        <f t="shared" si="13"/>
        <v>0.5</v>
      </c>
      <c r="Y28">
        <f t="shared" si="14"/>
        <v>1030.5304984710244</v>
      </c>
      <c r="Z28">
        <f t="shared" si="15"/>
        <v>0.5</v>
      </c>
      <c r="AA28">
        <f>IF($D28="",0,IF($F28&lt;2,0,IF($E28="Win",('Guide &amp; Settings'!$C$42/(($F28-1)*COUNTIFS($A$4:$A$311,$A28,$E$4:$E$311,"Win")))*SUMIFS($Z$4:$Z$311,$A$4:$A$311,$A28,$E$4:$E$311,"Loss"),-('Guide &amp; Settings'!$C$42/($F28-1))*$Z28)))</f>
        <v>13.21663516258643</v>
      </c>
      <c r="AB28" s="125">
        <f t="shared" si="16"/>
        <v>1043.7471336336109</v>
      </c>
      <c r="AC28" s="125">
        <f>IF($D28="","",IF(SUMPRODUCT(MAX(($D$4:$D$311=$D28)*($B$4:$B$311&lt;$B28)*$B$4:$B$311))=0,0,MAX(($B28-SUMPRODUCT(MAX(($D$4:$D$311=$D28)*($B$4:$B$311&lt;$B28)*$B$4:$B$311)))/7-'Guide &amp; Settings'!$C$48,0)*'Guide &amp; Settings'!$C$49))</f>
        <v>0</v>
      </c>
    </row>
    <row r="29" spans="1:29" ht="15" customHeight="1" x14ac:dyDescent="0.2">
      <c r="A29" s="116">
        <v>10</v>
      </c>
      <c r="B29" s="117">
        <v>46172</v>
      </c>
      <c r="C29" s="118" t="s">
        <v>203</v>
      </c>
      <c r="D29" s="118" t="s">
        <v>144</v>
      </c>
      <c r="E29" s="116" t="s">
        <v>316</v>
      </c>
      <c r="F29" s="119">
        <f t="shared" si="0"/>
        <v>2</v>
      </c>
      <c r="G29" s="120" t="str">
        <f t="shared" si="1"/>
        <v>Josh</v>
      </c>
      <c r="H29" s="121">
        <f>IF($D29="",0,IFERROR(LOOKUP(2,1/(($D$3:D28=$D29)*($A$3:A28&lt;$A29)),$N$3:N28),'Guide &amp; Settings'!$C$41))</f>
        <v>1034.0174103221841</v>
      </c>
      <c r="I29" s="122">
        <f t="shared" si="2"/>
        <v>0.5</v>
      </c>
      <c r="J29" s="123">
        <f>IF($D29="",0,IF($F29&lt;2,0,IF($E29="Win",('Guide &amp; Settings'!$C$42/(($F29-1)*COUNTIFS($A$4:$A$311,$A29,$E$4:$E$311,"Win")))*SUMIFS($X$4:$X$311,$A$4:$A$311,$A29,$E$4:$E$311,"Loss"),-('Guide &amp; Settings'!$C$42/($F29-1))*$X29)))</f>
        <v>14.438427110889194</v>
      </c>
      <c r="K29" s="123">
        <f>IF($D29="",0,'Guide &amp; Settings'!$C$43*(IF($E29="Win",1,0)-$I29))</f>
        <v>6</v>
      </c>
      <c r="L29" s="124">
        <f>IF($D29="",0,'Guide &amp; Settings'!$C$44*IF($F29&gt;=3,$F29+IF($E29="Win",$F29,0),0))</f>
        <v>0</v>
      </c>
      <c r="M29" s="123">
        <f t="shared" si="3"/>
        <v>20.438427110889194</v>
      </c>
      <c r="N29" s="121">
        <f t="shared" si="4"/>
        <v>1054.4558374330734</v>
      </c>
      <c r="O29" s="120" t="str">
        <f t="shared" si="5"/>
        <v>OK</v>
      </c>
      <c r="P29">
        <f t="shared" si="6"/>
        <v>1034.0174103221841</v>
      </c>
      <c r="Q29">
        <f t="shared" si="7"/>
        <v>0.5</v>
      </c>
      <c r="R29">
        <f t="shared" si="8"/>
        <v>0.5</v>
      </c>
      <c r="S29">
        <f t="shared" si="9"/>
        <v>1</v>
      </c>
      <c r="T29" s="88">
        <f t="shared" si="10"/>
        <v>0</v>
      </c>
      <c r="U29" s="125">
        <f>IF($D29="",0,IFERROR(LOOKUP(2,1/(($D$3:D28=$D29)*($C$3:C28=$C29)*($A$3:A28&lt;$A29)),$AB$3:AB28),1000))</f>
        <v>1000</v>
      </c>
      <c r="V29" s="125">
        <f t="shared" si="11"/>
        <v>1034.0174103221841</v>
      </c>
      <c r="W29">
        <f t="shared" si="12"/>
        <v>1034.0174103221841</v>
      </c>
      <c r="X29">
        <f t="shared" si="13"/>
        <v>0.5</v>
      </c>
      <c r="Y29">
        <f t="shared" si="14"/>
        <v>1000</v>
      </c>
      <c r="Z29">
        <f t="shared" si="15"/>
        <v>0.5</v>
      </c>
      <c r="AA29">
        <f>IF($D29="",0,IF($F29&lt;2,0,IF($E29="Win",('Guide &amp; Settings'!$C$42/(($F29-1)*COUNTIFS($A$4:$A$311,$A29,$E$4:$E$311,"Win")))*SUMIFS($Z$4:$Z$311,$A$4:$A$311,$A29,$E$4:$E$311,"Loss"),-('Guide &amp; Settings'!$C$42/($F29-1))*$Z29)))</f>
        <v>16</v>
      </c>
      <c r="AB29" s="125">
        <f t="shared" si="16"/>
        <v>1016</v>
      </c>
      <c r="AC29" s="125">
        <f>IF($D29="","",IF(SUMPRODUCT(MAX(($D$4:$D$311=$D29)*($B$4:$B$311&lt;$B29)*$B$4:$B$311))=0,0,MAX(($B29-SUMPRODUCT(MAX(($D$4:$D$311=$D29)*($B$4:$B$311&lt;$B29)*$B$4:$B$311)))/7-'Guide &amp; Settings'!$C$48,0)*'Guide &amp; Settings'!$C$49))</f>
        <v>0</v>
      </c>
    </row>
    <row r="30" spans="1:29" ht="15" customHeight="1" x14ac:dyDescent="0.2">
      <c r="A30" s="116">
        <v>10</v>
      </c>
      <c r="B30" s="117">
        <v>46172</v>
      </c>
      <c r="C30" s="118" t="s">
        <v>203</v>
      </c>
      <c r="D30" s="118" t="s">
        <v>182</v>
      </c>
      <c r="E30" s="116" t="s">
        <v>317</v>
      </c>
      <c r="F30" s="119">
        <f t="shared" si="0"/>
        <v>2</v>
      </c>
      <c r="G30" s="120" t="str">
        <f t="shared" si="1"/>
        <v>Josh</v>
      </c>
      <c r="H30" s="121">
        <f>IF($D30="",0,IFERROR(LOOKUP(2,1/(($D$3:D29=$D30)*($A$3:A29&lt;$A30)),$N$3:N29),'Guide &amp; Settings'!$C$41))</f>
        <v>1000</v>
      </c>
      <c r="I30" s="122">
        <f t="shared" si="2"/>
        <v>0.5</v>
      </c>
      <c r="J30" s="123">
        <f>IF($D30="",0,IF($F30&lt;2,0,IF($E30="Win",('Guide &amp; Settings'!$C$42/(($F30-1)*COUNTIFS($A$4:$A$311,$A30,$E$4:$E$311,"Win")))*SUMIFS($X$4:$X$311,$A$4:$A$311,$A30,$E$4:$E$311,"Loss"),-('Guide &amp; Settings'!$C$42/($F30-1))*$X30)))</f>
        <v>-14.438427110889194</v>
      </c>
      <c r="K30" s="123">
        <f>IF($D30="",0,'Guide &amp; Settings'!$C$43*(IF($E30="Win",1,0)-$I30))</f>
        <v>-6</v>
      </c>
      <c r="L30" s="124">
        <f>IF($D30="",0,'Guide &amp; Settings'!$C$44*IF($F30&gt;=3,$F30+IF($E30="Win",$F30,0),0))</f>
        <v>0</v>
      </c>
      <c r="M30" s="123">
        <f t="shared" si="3"/>
        <v>-20.438427110889194</v>
      </c>
      <c r="N30" s="121">
        <f t="shared" si="4"/>
        <v>979.56157288911083</v>
      </c>
      <c r="O30" s="120" t="str">
        <f t="shared" si="5"/>
        <v>OK</v>
      </c>
      <c r="P30">
        <f t="shared" si="6"/>
        <v>1034.0174103221841</v>
      </c>
      <c r="Q30">
        <f t="shared" si="7"/>
        <v>0.4512008472152873</v>
      </c>
      <c r="R30">
        <f t="shared" si="8"/>
        <v>0.5</v>
      </c>
      <c r="S30">
        <f t="shared" si="9"/>
        <v>1</v>
      </c>
      <c r="T30" s="88">
        <f t="shared" si="10"/>
        <v>0</v>
      </c>
      <c r="U30" s="125">
        <f>IF($D30="",0,IFERROR(LOOKUP(2,1/(($D$3:D29=$D30)*($C$3:C29=$C30)*($A$3:A29&lt;$A30)),$AB$3:AB29),1000))</f>
        <v>1000</v>
      </c>
      <c r="V30" s="125">
        <f t="shared" si="11"/>
        <v>1000</v>
      </c>
      <c r="W30">
        <f t="shared" si="12"/>
        <v>1034.0174103221841</v>
      </c>
      <c r="X30">
        <f t="shared" si="13"/>
        <v>0.4512008472152873</v>
      </c>
      <c r="Y30">
        <f t="shared" si="14"/>
        <v>1000</v>
      </c>
      <c r="Z30">
        <f t="shared" si="15"/>
        <v>0.5</v>
      </c>
      <c r="AA30">
        <f>IF($D30="",0,IF($F30&lt;2,0,IF($E30="Win",('Guide &amp; Settings'!$C$42/(($F30-1)*COUNTIFS($A$4:$A$311,$A30,$E$4:$E$311,"Win")))*SUMIFS($Z$4:$Z$311,$A$4:$A$311,$A30,$E$4:$E$311,"Loss"),-('Guide &amp; Settings'!$C$42/($F30-1))*$Z30)))</f>
        <v>-16</v>
      </c>
      <c r="AB30" s="125">
        <f t="shared" si="16"/>
        <v>984</v>
      </c>
      <c r="AC30" s="125">
        <f>IF($D30="","",IF(SUMPRODUCT(MAX(($D$4:$D$311=$D30)*($B$4:$B$311&lt;$B30)*$B$4:$B$311))=0,0,MAX(($B30-SUMPRODUCT(MAX(($D$4:$D$311=$D30)*($B$4:$B$311&lt;$B30)*$B$4:$B$311)))/7-'Guide &amp; Settings'!$C$48,0)*'Guide &amp; Settings'!$C$49))</f>
        <v>0</v>
      </c>
    </row>
    <row r="31" spans="1:29" ht="15" customHeight="1" x14ac:dyDescent="0.2">
      <c r="A31" s="116">
        <v>11</v>
      </c>
      <c r="B31" s="117">
        <v>46172</v>
      </c>
      <c r="C31" s="118" t="s">
        <v>203</v>
      </c>
      <c r="D31" s="118" t="s">
        <v>144</v>
      </c>
      <c r="E31" s="116" t="s">
        <v>316</v>
      </c>
      <c r="F31" s="119">
        <f t="shared" si="0"/>
        <v>2</v>
      </c>
      <c r="G31" s="120" t="str">
        <f t="shared" si="1"/>
        <v>Josh</v>
      </c>
      <c r="H31" s="121">
        <f>IF($D31="",0,IFERROR(LOOKUP(2,1/(($D$3:D30=$D31)*($A$3:A30&lt;$A31)),$N$3:N30),'Guide &amp; Settings'!$C$41))</f>
        <v>1054.4558374330734</v>
      </c>
      <c r="I31" s="122">
        <f t="shared" si="2"/>
        <v>0.66666666666666663</v>
      </c>
      <c r="J31" s="123">
        <f>IF($D31="",0,IF($F31&lt;2,0,IF($E31="Win",('Guide &amp; Settings'!$C$42/(($F31-1)*COUNTIFS($A$4:$A$311,$A31,$E$4:$E$311,"Win")))*SUMIFS($X$4:$X$311,$A$4:$A$311,$A31,$E$4:$E$311,"Loss"),-('Guide &amp; Settings'!$C$42/($F31-1))*$X31)))</f>
        <v>12.919162870312547</v>
      </c>
      <c r="K31" s="123">
        <f>IF($D31="",0,'Guide &amp; Settings'!$C$43*(IF($E31="Win",1,0)-$I31))</f>
        <v>4</v>
      </c>
      <c r="L31" s="124">
        <f>IF($D31="",0,'Guide &amp; Settings'!$C$44*IF($F31&gt;=3,$F31+IF($E31="Win",$F31,0),0))</f>
        <v>0</v>
      </c>
      <c r="M31" s="123">
        <f t="shared" si="3"/>
        <v>16.919162870312547</v>
      </c>
      <c r="N31" s="121">
        <f t="shared" si="4"/>
        <v>1071.3750003033858</v>
      </c>
      <c r="O31" s="120" t="str">
        <f t="shared" si="5"/>
        <v>OK</v>
      </c>
      <c r="P31">
        <f t="shared" si="6"/>
        <v>1054.4558374330734</v>
      </c>
      <c r="Q31">
        <f t="shared" si="7"/>
        <v>0.5</v>
      </c>
      <c r="R31">
        <f t="shared" si="8"/>
        <v>0.66666666666666663</v>
      </c>
      <c r="S31">
        <f t="shared" si="9"/>
        <v>1</v>
      </c>
      <c r="T31" s="88">
        <f t="shared" si="10"/>
        <v>1</v>
      </c>
      <c r="U31" s="125">
        <f>IF($D31="",0,IFERROR(LOOKUP(2,1/(($D$3:D30=$D31)*($C$3:C30=$C31)*($A$3:A30&lt;$A31)),$AB$3:AB30),1000))</f>
        <v>1016</v>
      </c>
      <c r="V31" s="125">
        <f t="shared" si="11"/>
        <v>1048.0465311942278</v>
      </c>
      <c r="W31">
        <f t="shared" si="12"/>
        <v>1048.0465311942278</v>
      </c>
      <c r="X31">
        <f t="shared" si="13"/>
        <v>0.5</v>
      </c>
      <c r="Y31">
        <f t="shared" si="14"/>
        <v>1016</v>
      </c>
      <c r="Z31">
        <f t="shared" si="15"/>
        <v>0.5</v>
      </c>
      <c r="AA31">
        <f>IF($D31="",0,IF($F31&lt;2,0,IF($E31="Win",('Guide &amp; Settings'!$C$42/(($F31-1)*COUNTIFS($A$4:$A$311,$A31,$E$4:$E$311,"Win")))*SUMIFS($Z$4:$Z$311,$A$4:$A$311,$A31,$E$4:$E$311,"Loss"),-('Guide &amp; Settings'!$C$42/($F31-1))*$Z31)))</f>
        <v>14.530498471024522</v>
      </c>
      <c r="AB31" s="125">
        <f t="shared" si="16"/>
        <v>1030.5304984710244</v>
      </c>
      <c r="AC31" s="125">
        <f>IF($D31="","",IF(SUMPRODUCT(MAX(($D$4:$D$311=$D31)*($B$4:$B$311&lt;$B31)*$B$4:$B$311))=0,0,MAX(($B31-SUMPRODUCT(MAX(($D$4:$D$311=$D31)*($B$4:$B$311&lt;$B31)*$B$4:$B$311)))/7-'Guide &amp; Settings'!$C$48,0)*'Guide &amp; Settings'!$C$49))</f>
        <v>0</v>
      </c>
    </row>
    <row r="32" spans="1:29" ht="15" customHeight="1" x14ac:dyDescent="0.2">
      <c r="A32" s="116">
        <v>11</v>
      </c>
      <c r="B32" s="117">
        <v>46172</v>
      </c>
      <c r="C32" s="118" t="s">
        <v>203</v>
      </c>
      <c r="D32" s="118" t="s">
        <v>182</v>
      </c>
      <c r="E32" s="116" t="s">
        <v>317</v>
      </c>
      <c r="F32" s="119">
        <f t="shared" si="0"/>
        <v>2</v>
      </c>
      <c r="G32" s="120" t="str">
        <f t="shared" si="1"/>
        <v>Josh</v>
      </c>
      <c r="H32" s="121">
        <f>IF($D32="",0,IFERROR(LOOKUP(2,1/(($D$3:D31=$D32)*($A$3:A31&lt;$A32)),$N$3:N31),'Guide &amp; Settings'!$C$41))</f>
        <v>979.56157288911083</v>
      </c>
      <c r="I32" s="122">
        <f t="shared" si="2"/>
        <v>0.33333333333333331</v>
      </c>
      <c r="J32" s="123">
        <f>IF($D32="",0,IF($F32&lt;2,0,IF($E32="Win",('Guide &amp; Settings'!$C$42/(($F32-1)*COUNTIFS($A$4:$A$311,$A32,$E$4:$E$311,"Win")))*SUMIFS($X$4:$X$311,$A$4:$A$311,$A32,$E$4:$E$311,"Loss"),-('Guide &amp; Settings'!$C$42/($F32-1))*$X32)))</f>
        <v>-12.919162870312547</v>
      </c>
      <c r="K32" s="123">
        <f>IF($D32="",0,'Guide &amp; Settings'!$C$43*(IF($E32="Win",1,0)-$I32))</f>
        <v>-4</v>
      </c>
      <c r="L32" s="124">
        <f>IF($D32="",0,'Guide &amp; Settings'!$C$44*IF($F32&gt;=3,$F32+IF($E32="Win",$F32,0),0))</f>
        <v>0</v>
      </c>
      <c r="M32" s="123">
        <f t="shared" si="3"/>
        <v>-16.919162870312547</v>
      </c>
      <c r="N32" s="121">
        <f t="shared" si="4"/>
        <v>962.64241001879827</v>
      </c>
      <c r="O32" s="120" t="str">
        <f t="shared" si="5"/>
        <v>OK</v>
      </c>
      <c r="P32">
        <f t="shared" si="6"/>
        <v>1054.4558374330734</v>
      </c>
      <c r="Q32">
        <f t="shared" si="7"/>
        <v>0.39385747504422308</v>
      </c>
      <c r="R32">
        <f t="shared" si="8"/>
        <v>0.33333333333333331</v>
      </c>
      <c r="S32">
        <f t="shared" si="9"/>
        <v>1</v>
      </c>
      <c r="T32" s="88">
        <f t="shared" si="10"/>
        <v>1</v>
      </c>
      <c r="U32" s="125">
        <f>IF($D32="",0,IFERROR(LOOKUP(2,1/(($D$3:D31=$D32)*($C$3:C31=$C32)*($A$3:A31&lt;$A32)),$AB$3:AB31),1000))</f>
        <v>984</v>
      </c>
      <c r="V32" s="125">
        <f t="shared" si="11"/>
        <v>980.30131074092571</v>
      </c>
      <c r="W32">
        <f t="shared" si="12"/>
        <v>1048.0465311942278</v>
      </c>
      <c r="X32">
        <f t="shared" si="13"/>
        <v>0.40372383969726711</v>
      </c>
      <c r="Y32">
        <f t="shared" si="14"/>
        <v>1016</v>
      </c>
      <c r="Z32">
        <f t="shared" si="15"/>
        <v>0.45407807721951632</v>
      </c>
      <c r="AA32">
        <f>IF($D32="",0,IF($F32&lt;2,0,IF($E32="Win",('Guide &amp; Settings'!$C$42/(($F32-1)*COUNTIFS($A$4:$A$311,$A32,$E$4:$E$311,"Win")))*SUMIFS($Z$4:$Z$311,$A$4:$A$311,$A32,$E$4:$E$311,"Loss"),-('Guide &amp; Settings'!$C$42/($F32-1))*$Z32)))</f>
        <v>-14.530498471024522</v>
      </c>
      <c r="AB32" s="125">
        <f t="shared" si="16"/>
        <v>969.46950152897546</v>
      </c>
      <c r="AC32" s="125">
        <f>IF($D32="","",IF(SUMPRODUCT(MAX(($D$4:$D$311=$D32)*($B$4:$B$311&lt;$B32)*$B$4:$B$311))=0,0,MAX(($B32-SUMPRODUCT(MAX(($D$4:$D$311=$D32)*($B$4:$B$311&lt;$B32)*$B$4:$B$311)))/7-'Guide &amp; Settings'!$C$48,0)*'Guide &amp; Settings'!$C$49))</f>
        <v>0</v>
      </c>
    </row>
    <row r="33" spans="1:29" ht="15" customHeight="1" x14ac:dyDescent="0.2">
      <c r="A33" s="116">
        <v>12</v>
      </c>
      <c r="B33" s="117">
        <v>46172</v>
      </c>
      <c r="C33" s="118" t="s">
        <v>203</v>
      </c>
      <c r="D33" s="118" t="s">
        <v>144</v>
      </c>
      <c r="E33" s="116" t="s">
        <v>316</v>
      </c>
      <c r="F33" s="119">
        <f t="shared" si="0"/>
        <v>2</v>
      </c>
      <c r="G33" s="120" t="str">
        <f t="shared" si="1"/>
        <v>Josh</v>
      </c>
      <c r="H33" s="121">
        <f>IF($D33="",0,IFERROR(LOOKUP(2,1/(($D$3:D32=$D33)*($A$3:A32&lt;$A33)),$N$3:N32),'Guide &amp; Settings'!$C$41))</f>
        <v>1071.3750003033858</v>
      </c>
      <c r="I33" s="122">
        <f t="shared" si="2"/>
        <v>0.75</v>
      </c>
      <c r="J33" s="123">
        <f>IF($D33="",0,IF($F33&lt;2,0,IF($E33="Win",('Guide &amp; Settings'!$C$42/(($F33-1)*COUNTIFS($A$4:$A$311,$A33,$E$4:$E$311,"Win")))*SUMIFS($X$4:$X$311,$A$4:$A$311,$A33,$E$4:$E$311,"Loss"),-('Guide &amp; Settings'!$C$42/($F33-1))*$X33)))</f>
        <v>11.726157629493009</v>
      </c>
      <c r="K33" s="123">
        <f>IF($D33="",0,'Guide &amp; Settings'!$C$43*(IF($E33="Win",1,0)-$I33))</f>
        <v>3</v>
      </c>
      <c r="L33" s="124">
        <f>IF($D33="",0,'Guide &amp; Settings'!$C$44*IF($F33&gt;=3,$F33+IF($E33="Win",$F33,0),0))</f>
        <v>0</v>
      </c>
      <c r="M33" s="123">
        <f t="shared" si="3"/>
        <v>14.726157629493009</v>
      </c>
      <c r="N33" s="121">
        <f t="shared" si="4"/>
        <v>1086.1011579328788</v>
      </c>
      <c r="O33" s="120" t="str">
        <f t="shared" si="5"/>
        <v>OK</v>
      </c>
      <c r="P33">
        <f t="shared" si="6"/>
        <v>1071.3750003033858</v>
      </c>
      <c r="Q33">
        <f t="shared" si="7"/>
        <v>0.5</v>
      </c>
      <c r="R33">
        <f t="shared" si="8"/>
        <v>0.75</v>
      </c>
      <c r="S33">
        <f t="shared" si="9"/>
        <v>1</v>
      </c>
      <c r="T33" s="88">
        <f t="shared" si="10"/>
        <v>2</v>
      </c>
      <c r="U33" s="125">
        <f>IF($D33="",0,IFERROR(LOOKUP(2,1/(($D$3:D32=$D33)*($C$3:C32=$C33)*($A$3:A32&lt;$A33)),$AB$3:AB32),1000))</f>
        <v>1030.5304984710244</v>
      </c>
      <c r="V33" s="125">
        <f t="shared" si="11"/>
        <v>1059.7051426369967</v>
      </c>
      <c r="W33">
        <f t="shared" si="12"/>
        <v>1059.7051426369967</v>
      </c>
      <c r="X33">
        <f t="shared" si="13"/>
        <v>0.5</v>
      </c>
      <c r="Y33">
        <f t="shared" si="14"/>
        <v>1030.5304984710244</v>
      </c>
      <c r="Z33">
        <f t="shared" si="15"/>
        <v>0.5</v>
      </c>
      <c r="AA33">
        <f>IF($D33="",0,IF($F33&lt;2,0,IF($E33="Win",('Guide &amp; Settings'!$C$42/(($F33-1)*COUNTIFS($A$4:$A$311,$A33,$E$4:$E$311,"Win")))*SUMIFS($Z$4:$Z$311,$A$4:$A$311,$A33,$E$4:$E$311,"Loss"),-('Guide &amp; Settings'!$C$42/($F33-1))*$Z33)))</f>
        <v>13.21663516258643</v>
      </c>
      <c r="AB33" s="125">
        <f t="shared" si="16"/>
        <v>1043.7471336336109</v>
      </c>
      <c r="AC33" s="125">
        <f>IF($D33="","",IF(SUMPRODUCT(MAX(($D$4:$D$311=$D33)*($B$4:$B$311&lt;$B33)*$B$4:$B$311))=0,0,MAX(($B33-SUMPRODUCT(MAX(($D$4:$D$311=$D33)*($B$4:$B$311&lt;$B33)*$B$4:$B$311)))/7-'Guide &amp; Settings'!$C$48,0)*'Guide &amp; Settings'!$C$49))</f>
        <v>0</v>
      </c>
    </row>
    <row r="34" spans="1:29" ht="15" customHeight="1" x14ac:dyDescent="0.2">
      <c r="A34" s="116">
        <v>12</v>
      </c>
      <c r="B34" s="117">
        <v>46172</v>
      </c>
      <c r="C34" s="118" t="s">
        <v>203</v>
      </c>
      <c r="D34" s="118" t="s">
        <v>182</v>
      </c>
      <c r="E34" s="116" t="s">
        <v>317</v>
      </c>
      <c r="F34" s="119">
        <f t="shared" si="0"/>
        <v>2</v>
      </c>
      <c r="G34" s="120" t="str">
        <f t="shared" si="1"/>
        <v>Josh</v>
      </c>
      <c r="H34" s="121">
        <f>IF($D34="",0,IFERROR(LOOKUP(2,1/(($D$3:D33=$D34)*($A$3:A33&lt;$A34)),$N$3:N33),'Guide &amp; Settings'!$C$41))</f>
        <v>962.64241001879827</v>
      </c>
      <c r="I34" s="122">
        <f t="shared" si="2"/>
        <v>0.25</v>
      </c>
      <c r="J34" s="123">
        <f>IF($D34="",0,IF($F34&lt;2,0,IF($E34="Win",('Guide &amp; Settings'!$C$42/(($F34-1)*COUNTIFS($A$4:$A$311,$A34,$E$4:$E$311,"Win")))*SUMIFS($X$4:$X$311,$A$4:$A$311,$A34,$E$4:$E$311,"Loss"),-('Guide &amp; Settings'!$C$42/($F34-1))*$X34)))</f>
        <v>-11.726157629493009</v>
      </c>
      <c r="K34" s="123">
        <f>IF($D34="",0,'Guide &amp; Settings'!$C$43*(IF($E34="Win",1,0)-$I34))</f>
        <v>-3</v>
      </c>
      <c r="L34" s="124">
        <f>IF($D34="",0,'Guide &amp; Settings'!$C$44*IF($F34&gt;=3,$F34+IF($E34="Win",$F34,0),0))</f>
        <v>0</v>
      </c>
      <c r="M34" s="123">
        <f t="shared" si="3"/>
        <v>-14.726157629493009</v>
      </c>
      <c r="N34" s="121">
        <f t="shared" si="4"/>
        <v>947.91625238930521</v>
      </c>
      <c r="O34" s="120" t="str">
        <f t="shared" si="5"/>
        <v>OK</v>
      </c>
      <c r="P34">
        <f t="shared" si="6"/>
        <v>1071.3750003033858</v>
      </c>
      <c r="Q34">
        <f t="shared" si="7"/>
        <v>0.34843735165005607</v>
      </c>
      <c r="R34">
        <f t="shared" si="8"/>
        <v>0.25</v>
      </c>
      <c r="S34">
        <f t="shared" si="9"/>
        <v>1</v>
      </c>
      <c r="T34" s="88">
        <f t="shared" si="10"/>
        <v>2</v>
      </c>
      <c r="U34" s="125">
        <f>IF($D34="",0,IFERROR(LOOKUP(2,1/(($D$3:D33=$D34)*($C$3:C33=$C34)*($A$3:A33&lt;$A34)),$AB$3:AB33),1000))</f>
        <v>969.46950152897546</v>
      </c>
      <c r="V34" s="125">
        <f t="shared" si="11"/>
        <v>964.59300759313464</v>
      </c>
      <c r="W34">
        <f t="shared" si="12"/>
        <v>1059.7051426369967</v>
      </c>
      <c r="X34">
        <f t="shared" si="13"/>
        <v>0.36644242592165654</v>
      </c>
      <c r="Y34">
        <f t="shared" si="14"/>
        <v>1030.5304984710244</v>
      </c>
      <c r="Z34">
        <f t="shared" si="15"/>
        <v>0.41301984883082593</v>
      </c>
      <c r="AA34">
        <f>IF($D34="",0,IF($F34&lt;2,0,IF($E34="Win",('Guide &amp; Settings'!$C$42/(($F34-1)*COUNTIFS($A$4:$A$311,$A34,$E$4:$E$311,"Win")))*SUMIFS($Z$4:$Z$311,$A$4:$A$311,$A34,$E$4:$E$311,"Loss"),-('Guide &amp; Settings'!$C$42/($F34-1))*$Z34)))</f>
        <v>-13.21663516258643</v>
      </c>
      <c r="AB34" s="125">
        <f t="shared" si="16"/>
        <v>956.25286636638907</v>
      </c>
      <c r="AC34" s="125">
        <f>IF($D34="","",IF(SUMPRODUCT(MAX(($D$4:$D$311=$D34)*($B$4:$B$311&lt;$B34)*$B$4:$B$311))=0,0,MAX(($B34-SUMPRODUCT(MAX(($D$4:$D$311=$D34)*($B$4:$B$311&lt;$B34)*$B$4:$B$311)))/7-'Guide &amp; Settings'!$C$48,0)*'Guide &amp; Settings'!$C$49))</f>
        <v>0</v>
      </c>
    </row>
    <row r="35" spans="1:29" ht="15" customHeight="1" x14ac:dyDescent="0.2">
      <c r="A35" s="116">
        <v>13</v>
      </c>
      <c r="B35" s="117">
        <v>46173</v>
      </c>
      <c r="C35" s="118" t="s">
        <v>191</v>
      </c>
      <c r="D35" s="118" t="s">
        <v>141</v>
      </c>
      <c r="E35" s="116" t="s">
        <v>316</v>
      </c>
      <c r="F35" s="119">
        <f t="shared" si="0"/>
        <v>2</v>
      </c>
      <c r="G35" s="120" t="str">
        <f t="shared" si="1"/>
        <v>Shawn</v>
      </c>
      <c r="H35" s="121">
        <f>IF($D35="",0,IFERROR(LOOKUP(2,1/(($D$3:D34=$D35)*($A$3:A34&lt;$A35)),$N$3:N34),'Guide &amp; Settings'!$C$41))</f>
        <v>1072.9224126693446</v>
      </c>
      <c r="I35" s="122">
        <f t="shared" si="2"/>
        <v>0.66666666666666663</v>
      </c>
      <c r="J35" s="123">
        <f>IF($D35="",0,IF($F35&lt;2,0,IF($E35="Win",('Guide &amp; Settings'!$C$42/(($F35-1)*COUNTIFS($A$4:$A$311,$A35,$E$4:$E$311,"Win")))*SUMIFS($X$4:$X$311,$A$4:$A$311,$A35,$E$4:$E$311,"Loss"),-('Guide &amp; Settings'!$C$42/($F35-1))*$X35)))</f>
        <v>11.413483066220147</v>
      </c>
      <c r="K35" s="123">
        <f>IF($D35="",0,'Guide &amp; Settings'!$C$43*(IF($E35="Win",1,0)-$I35))</f>
        <v>4</v>
      </c>
      <c r="L35" s="124">
        <f>IF($D35="",0,'Guide &amp; Settings'!$C$44*IF($F35&gt;=3,$F35+IF($E35="Win",$F35,0),0))</f>
        <v>0</v>
      </c>
      <c r="M35" s="123">
        <f t="shared" si="3"/>
        <v>15.413483066220147</v>
      </c>
      <c r="N35" s="121">
        <f t="shared" si="4"/>
        <v>1088.3358957355647</v>
      </c>
      <c r="O35" s="120" t="str">
        <f t="shared" si="5"/>
        <v>OK</v>
      </c>
      <c r="P35">
        <f t="shared" si="6"/>
        <v>1072.9224126693446</v>
      </c>
      <c r="Q35">
        <f t="shared" si="7"/>
        <v>0.5</v>
      </c>
      <c r="R35">
        <f t="shared" si="8"/>
        <v>0.66666666666666663</v>
      </c>
      <c r="S35">
        <f t="shared" si="9"/>
        <v>1</v>
      </c>
      <c r="T35" s="88">
        <f t="shared" si="10"/>
        <v>4</v>
      </c>
      <c r="U35" s="125">
        <f>IF($D35="",0,IFERROR(LOOKUP(2,1/(($D$3:D34=$D35)*($C$3:C34=$C35)*($A$3:A34&lt;$A35)),$AB$3:AB34),1000))</f>
        <v>1023.8009426289977</v>
      </c>
      <c r="V35" s="125">
        <f t="shared" si="11"/>
        <v>1051.0906482069681</v>
      </c>
      <c r="W35">
        <f t="shared" si="12"/>
        <v>1051.0906482069681</v>
      </c>
      <c r="X35">
        <f t="shared" si="13"/>
        <v>0.5</v>
      </c>
      <c r="Y35">
        <f t="shared" si="14"/>
        <v>1023.8009426289977</v>
      </c>
      <c r="Z35">
        <f t="shared" si="15"/>
        <v>0.5</v>
      </c>
      <c r="AA35">
        <f>IF($D35="",0,IF($F35&lt;2,0,IF($E35="Win",('Guide &amp; Settings'!$C$42/(($F35-1)*COUNTIFS($A$4:$A$311,$A35,$E$4:$E$311,"Win")))*SUMIFS($Z$4:$Z$311,$A$4:$A$311,$A35,$E$4:$E$311,"Loss"),-('Guide &amp; Settings'!$C$42/($F35-1))*$Z35)))</f>
        <v>13.821466613131754</v>
      </c>
      <c r="AB35" s="125">
        <f t="shared" si="16"/>
        <v>1037.6224092421296</v>
      </c>
      <c r="AC35" s="125">
        <f>IF($D35="","",IF(SUMPRODUCT(MAX(($D$4:$D$311=$D35)*($B$4:$B$311&lt;$B35)*$B$4:$B$311))=0,0,MAX(($B35-SUMPRODUCT(MAX(($D$4:$D$311=$D35)*($B$4:$B$311&lt;$B35)*$B$4:$B$311)))/7-'Guide &amp; Settings'!$C$48,0)*'Guide &amp; Settings'!$C$49))</f>
        <v>0</v>
      </c>
    </row>
    <row r="36" spans="1:29" ht="15" customHeight="1" x14ac:dyDescent="0.2">
      <c r="A36" s="116">
        <v>13</v>
      </c>
      <c r="B36" s="117">
        <v>46173</v>
      </c>
      <c r="C36" s="118" t="s">
        <v>191</v>
      </c>
      <c r="D36" s="118" t="s">
        <v>177</v>
      </c>
      <c r="E36" s="116" t="s">
        <v>317</v>
      </c>
      <c r="F36" s="119">
        <f t="shared" si="0"/>
        <v>2</v>
      </c>
      <c r="G36" s="120" t="str">
        <f t="shared" si="1"/>
        <v>Shawn</v>
      </c>
      <c r="H36" s="121">
        <f>IF($D36="",0,IFERROR(LOOKUP(2,1/(($D$3:D35=$D36)*($A$3:A35&lt;$A36)),$N$3:N35),'Guide &amp; Settings'!$C$41))</f>
        <v>926.56535485016559</v>
      </c>
      <c r="I36" s="122">
        <f t="shared" si="2"/>
        <v>0.33333333333333331</v>
      </c>
      <c r="J36" s="123">
        <f>IF($D36="",0,IF($F36&lt;2,0,IF($E36="Win",('Guide &amp; Settings'!$C$42/(($F36-1)*COUNTIFS($A$4:$A$311,$A36,$E$4:$E$311,"Win")))*SUMIFS($X$4:$X$311,$A$4:$A$311,$A36,$E$4:$E$311,"Loss"),-('Guide &amp; Settings'!$C$42/($F36-1))*$X36)))</f>
        <v>-11.413483066220147</v>
      </c>
      <c r="K36" s="123">
        <f>IF($D36="",0,'Guide &amp; Settings'!$C$43*(IF($E36="Win",1,0)-$I36))</f>
        <v>-4</v>
      </c>
      <c r="L36" s="124">
        <f>IF($D36="",0,'Guide &amp; Settings'!$C$44*IF($F36&gt;=3,$F36+IF($E36="Win",$F36,0),0))</f>
        <v>0</v>
      </c>
      <c r="M36" s="123">
        <f t="shared" si="3"/>
        <v>-15.413483066220147</v>
      </c>
      <c r="N36" s="121">
        <f t="shared" si="4"/>
        <v>911.15187178394547</v>
      </c>
      <c r="O36" s="120" t="str">
        <f t="shared" si="5"/>
        <v>OK</v>
      </c>
      <c r="P36">
        <f t="shared" si="6"/>
        <v>1072.9224126693446</v>
      </c>
      <c r="Q36">
        <f t="shared" si="7"/>
        <v>0.30100873762974351</v>
      </c>
      <c r="R36">
        <f t="shared" si="8"/>
        <v>0.33333333333333331</v>
      </c>
      <c r="S36">
        <f t="shared" si="9"/>
        <v>1</v>
      </c>
      <c r="T36" s="88">
        <f t="shared" si="10"/>
        <v>4</v>
      </c>
      <c r="U36" s="125">
        <f>IF($D36="",0,IFERROR(LOOKUP(2,1/(($D$3:D35=$D36)*($C$3:C35=$C36)*($A$3:A35&lt;$A36)),$AB$3:AB35),1000))</f>
        <v>976.19905737100225</v>
      </c>
      <c r="V36" s="125">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Settings'!$C$42/(($F36-1)*COUNTIFS($A$4:$A$311,$A36,$E$4:$E$311,"Win")))*SUMIFS($Z$4:$Z$311,$A$4:$A$311,$A36,$E$4:$E$311,"Loss"),-('Guide &amp; Settings'!$C$42/($F36-1))*$Z36)))</f>
        <v>-13.821466613131754</v>
      </c>
      <c r="AB36" s="125">
        <f t="shared" si="16"/>
        <v>962.37759075787051</v>
      </c>
      <c r="AC36" s="125">
        <f>IF($D36="","",IF(SUMPRODUCT(MAX(($D$4:$D$311=$D36)*($B$4:$B$311&lt;$B36)*$B$4:$B$311))=0,0,MAX(($B36-SUMPRODUCT(MAX(($D$4:$D$311=$D36)*($B$4:$B$311&lt;$B36)*$B$4:$B$311)))/7-'Guide &amp; Settings'!$C$48,0)*'Guide &amp; Settings'!$C$49))</f>
        <v>0</v>
      </c>
    </row>
    <row r="37" spans="1:29" ht="15" customHeight="1" x14ac:dyDescent="0.2">
      <c r="A37" s="116">
        <v>14</v>
      </c>
      <c r="B37" s="117">
        <v>46173</v>
      </c>
      <c r="C37" s="118" t="s">
        <v>191</v>
      </c>
      <c r="D37" s="118" t="s">
        <v>141</v>
      </c>
      <c r="E37" s="116" t="s">
        <v>317</v>
      </c>
      <c r="F37" s="119">
        <f t="shared" si="0"/>
        <v>2</v>
      </c>
      <c r="G37" s="120" t="str">
        <f t="shared" si="1"/>
        <v>Daniel (Ferret)</v>
      </c>
      <c r="H37" s="121">
        <f>IF($D37="",0,IFERROR(LOOKUP(2,1/(($D$3:D36=$D37)*($A$3:A36&lt;$A37)),$N$3:N36),'Guide &amp; Settings'!$C$41))</f>
        <v>1088.3358957355647</v>
      </c>
      <c r="I37" s="122">
        <f t="shared" si="2"/>
        <v>0.7142857142857143</v>
      </c>
      <c r="J37" s="123">
        <f>IF($D37="",0,IF($F37&lt;2,0,IF($E37="Win",('Guide &amp; Settings'!$C$42/(($F37-1)*COUNTIFS($A$4:$A$311,$A37,$E$4:$E$311,"Win")))*SUMIFS($X$4:$X$311,$A$4:$A$311,$A37,$E$4:$E$311,"Loss"),-('Guide &amp; Settings'!$C$42/($F37-1))*$X37)))</f>
        <v>-21.569517849087507</v>
      </c>
      <c r="K37" s="123">
        <f>IF($D37="",0,'Guide &amp; Settings'!$C$43*(IF($E37="Win",1,0)-$I37))</f>
        <v>-8.5714285714285712</v>
      </c>
      <c r="L37" s="124">
        <f>IF($D37="",0,'Guide &amp; Settings'!$C$44*IF($F37&gt;=3,$F37+IF($E37="Win",$F37,0),0))</f>
        <v>0</v>
      </c>
      <c r="M37" s="123">
        <f t="shared" si="3"/>
        <v>-30.14094642051608</v>
      </c>
      <c r="N37" s="121">
        <f t="shared" si="4"/>
        <v>1058.1949493150487</v>
      </c>
      <c r="O37" s="120" t="str">
        <f t="shared" si="5"/>
        <v>OK</v>
      </c>
      <c r="P37">
        <f t="shared" si="6"/>
        <v>911.15187178394547</v>
      </c>
      <c r="Q37">
        <f t="shared" si="7"/>
        <v>0.73496348926773425</v>
      </c>
      <c r="R37">
        <f t="shared" si="8"/>
        <v>0.7142857142857143</v>
      </c>
      <c r="S37">
        <f t="shared" si="9"/>
        <v>1</v>
      </c>
      <c r="T37" s="88">
        <f t="shared" si="10"/>
        <v>5</v>
      </c>
      <c r="U37" s="125">
        <f>IF($D37="",0,IFERROR(LOOKUP(2,1/(($D$3:D36=$D37)*($C$3:C36=$C37)*($A$3:A36&lt;$A37)),$AB$3:AB36),1000))</f>
        <v>1037.6224092421296</v>
      </c>
      <c r="V37" s="125">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Settings'!$C$42/(($F37-1)*COUNTIFS($A$4:$A$311,$A37,$E$4:$E$311,"Win")))*SUMIFS($Z$4:$Z$311,$A$4:$A$311,$A37,$E$4:$E$311,"Loss"),-('Guide &amp; Settings'!$C$42/($F37-1))*$Z37)))</f>
        <v>-19.411973586973698</v>
      </c>
      <c r="AB37" s="125">
        <f t="shared" si="16"/>
        <v>1018.2104356551559</v>
      </c>
      <c r="AC37" s="125">
        <f>IF($D37="","",IF(SUMPRODUCT(MAX(($D$4:$D$311=$D37)*($B$4:$B$311&lt;$B37)*$B$4:$B$311))=0,0,MAX(($B37-SUMPRODUCT(MAX(($D$4:$D$311=$D37)*($B$4:$B$311&lt;$B37)*$B$4:$B$311)))/7-'Guide &amp; Settings'!$C$48,0)*'Guide &amp; Settings'!$C$49))</f>
        <v>0</v>
      </c>
    </row>
    <row r="38" spans="1:29" ht="15" customHeight="1" x14ac:dyDescent="0.2">
      <c r="A38" s="116">
        <v>14</v>
      </c>
      <c r="B38" s="117">
        <v>46173</v>
      </c>
      <c r="C38" s="118" t="s">
        <v>191</v>
      </c>
      <c r="D38" s="118" t="s">
        <v>177</v>
      </c>
      <c r="E38" s="116" t="s">
        <v>316</v>
      </c>
      <c r="F38" s="119">
        <f t="shared" si="0"/>
        <v>2</v>
      </c>
      <c r="G38" s="120" t="str">
        <f t="shared" si="1"/>
        <v>Daniel (Ferret)</v>
      </c>
      <c r="H38" s="121">
        <f>IF($D38="",0,IFERROR(LOOKUP(2,1/(($D$3:D37=$D38)*($A$3:A37&lt;$A38)),$N$3:N37),'Guide &amp; Settings'!$C$41))</f>
        <v>911.15187178394547</v>
      </c>
      <c r="I38" s="122">
        <f t="shared" si="2"/>
        <v>0.2857142857142857</v>
      </c>
      <c r="J38" s="123">
        <f>IF($D38="",0,IF($F38&lt;2,0,IF($E38="Win",('Guide &amp; Settings'!$C$42/(($F38-1)*COUNTIFS($A$4:$A$311,$A38,$E$4:$E$311,"Win")))*SUMIFS($X$4:$X$311,$A$4:$A$311,$A38,$E$4:$E$311,"Loss"),-('Guide &amp; Settings'!$C$42/($F38-1))*$X38)))</f>
        <v>21.569517849087507</v>
      </c>
      <c r="K38" s="123">
        <f>IF($D38="",0,'Guide &amp; Settings'!$C$43*(IF($E38="Win",1,0)-$I38))</f>
        <v>8.5714285714285712</v>
      </c>
      <c r="L38" s="124">
        <f>IF($D38="",0,'Guide &amp; Settings'!$C$44*IF($F38&gt;=3,$F38+IF($E38="Win",$F38,0),0))</f>
        <v>0</v>
      </c>
      <c r="M38" s="123">
        <f t="shared" si="3"/>
        <v>30.14094642051608</v>
      </c>
      <c r="N38" s="121">
        <f t="shared" si="4"/>
        <v>941.29281820446158</v>
      </c>
      <c r="O38" s="120" t="str">
        <f t="shared" si="5"/>
        <v>OK</v>
      </c>
      <c r="P38">
        <f t="shared" si="6"/>
        <v>911.15187178394547</v>
      </c>
      <c r="Q38">
        <f t="shared" si="7"/>
        <v>0.5</v>
      </c>
      <c r="R38">
        <f t="shared" si="8"/>
        <v>0.2857142857142857</v>
      </c>
      <c r="S38">
        <f t="shared" si="9"/>
        <v>1</v>
      </c>
      <c r="T38" s="88">
        <f t="shared" si="10"/>
        <v>5</v>
      </c>
      <c r="U38" s="125">
        <f>IF($D38="",0,IFERROR(LOOKUP(2,1/(($D$3:D37=$D38)*($C$3:C37=$C38)*($A$3:A37&lt;$A38)),$AB$3:AB37),1000))</f>
        <v>962.37759075787051</v>
      </c>
      <c r="V38" s="125">
        <f t="shared" si="11"/>
        <v>936.76473127090799</v>
      </c>
      <c r="W38">
        <f t="shared" si="12"/>
        <v>936.76473127090799</v>
      </c>
      <c r="X38">
        <f t="shared" si="13"/>
        <v>0.5</v>
      </c>
      <c r="Y38">
        <f t="shared" si="14"/>
        <v>962.37759075787051</v>
      </c>
      <c r="Z38">
        <f t="shared" si="15"/>
        <v>0.5</v>
      </c>
      <c r="AA38">
        <f>IF($D38="",0,IF($F38&lt;2,0,IF($E38="Win",('Guide &amp; Settings'!$C$42/(($F38-1)*COUNTIFS($A$4:$A$311,$A38,$E$4:$E$311,"Win")))*SUMIFS($Z$4:$Z$311,$A$4:$A$311,$A38,$E$4:$E$311,"Loss"),-('Guide &amp; Settings'!$C$42/($F38-1))*$Z38)))</f>
        <v>19.411973586973698</v>
      </c>
      <c r="AB38" s="125">
        <f t="shared" si="16"/>
        <v>981.78956434484417</v>
      </c>
      <c r="AC38" s="125">
        <f>IF($D38="","",IF(SUMPRODUCT(MAX(($D$4:$D$311=$D38)*($B$4:$B$311&lt;$B38)*$B$4:$B$311))=0,0,MAX(($B38-SUMPRODUCT(MAX(($D$4:$D$311=$D38)*($B$4:$B$311&lt;$B38)*$B$4:$B$311)))/7-'Guide &amp; Settings'!$C$48,0)*'Guide &amp; Settings'!$C$49))</f>
        <v>0</v>
      </c>
    </row>
    <row r="39" spans="1:29" ht="15" customHeight="1" x14ac:dyDescent="0.2">
      <c r="A39" s="116">
        <v>15</v>
      </c>
      <c r="B39" s="117">
        <v>46173</v>
      </c>
      <c r="C39" s="118" t="s">
        <v>191</v>
      </c>
      <c r="D39" s="118" t="s">
        <v>141</v>
      </c>
      <c r="E39" s="116" t="s">
        <v>317</v>
      </c>
      <c r="F39" s="119">
        <f t="shared" si="0"/>
        <v>2</v>
      </c>
      <c r="G39" s="120" t="str">
        <f t="shared" si="1"/>
        <v>Daniel (Ferret)</v>
      </c>
      <c r="H39" s="121">
        <f>IF($D39="",0,IFERROR(LOOKUP(2,1/(($D$3:D38=$D39)*($A$3:A38&lt;$A39)),$N$3:N38),'Guide &amp; Settings'!$C$41))</f>
        <v>1058.1949493150487</v>
      </c>
      <c r="I39" s="122">
        <f t="shared" si="2"/>
        <v>0.625</v>
      </c>
      <c r="J39" s="123">
        <f>IF($D39="",0,IF($F39&lt;2,0,IF($E39="Win",('Guide &amp; Settings'!$C$42/(($F39-1)*COUNTIFS($A$4:$A$311,$A39,$E$4:$E$311,"Win")))*SUMIFS($X$4:$X$311,$A$4:$A$311,$A39,$E$4:$E$311,"Loss"),-('Guide &amp; Settings'!$C$42/($F39-1))*$X39)))</f>
        <v>-19.313305977555867</v>
      </c>
      <c r="K39" s="123">
        <f>IF($D39="",0,'Guide &amp; Settings'!$C$43*(IF($E39="Win",1,0)-$I39))</f>
        <v>-7.5</v>
      </c>
      <c r="L39" s="124">
        <f>IF($D39="",0,'Guide &amp; Settings'!$C$44*IF($F39&gt;=3,$F39+IF($E39="Win",$F39,0),0))</f>
        <v>0</v>
      </c>
      <c r="M39" s="123">
        <f t="shared" si="3"/>
        <v>-26.813305977555867</v>
      </c>
      <c r="N39" s="121">
        <f t="shared" si="4"/>
        <v>1031.3816433374927</v>
      </c>
      <c r="O39" s="120" t="str">
        <f t="shared" si="5"/>
        <v>OK</v>
      </c>
      <c r="P39">
        <f t="shared" si="6"/>
        <v>941.29281820446158</v>
      </c>
      <c r="Q39">
        <f t="shared" si="7"/>
        <v>0.66216177914682628</v>
      </c>
      <c r="R39">
        <f t="shared" si="8"/>
        <v>0.625</v>
      </c>
      <c r="S39">
        <f t="shared" si="9"/>
        <v>1</v>
      </c>
      <c r="T39" s="88">
        <f t="shared" si="10"/>
        <v>6</v>
      </c>
      <c r="U39" s="125">
        <f>IF($D39="",0,IFERROR(LOOKUP(2,1/(($D$3:D38=$D39)*($C$3:C38=$C39)*($A$3:A38&lt;$A39)),$AB$3:AB38),1000))</f>
        <v>1018.2104356551559</v>
      </c>
      <c r="V39" s="125">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Settings'!$C$42/(($F39-1)*COUNTIFS($A$4:$A$311,$A39,$E$4:$E$311,"Win")))*SUMIFS($Z$4:$Z$311,$A$4:$A$311,$A39,$E$4:$E$311,"Loss"),-('Guide &amp; Settings'!$C$42/($F39-1))*$Z39)))</f>
        <v>-17.671126337043475</v>
      </c>
      <c r="AB39" s="125">
        <f t="shared" si="16"/>
        <v>1000.5393093181125</v>
      </c>
      <c r="AC39" s="125">
        <f>IF($D39="","",IF(SUMPRODUCT(MAX(($D$4:$D$311=$D39)*($B$4:$B$311&lt;$B39)*$B$4:$B$311))=0,0,MAX(($B39-SUMPRODUCT(MAX(($D$4:$D$311=$D39)*($B$4:$B$311&lt;$B39)*$B$4:$B$311)))/7-'Guide &amp; Settings'!$C$48,0)*'Guide &amp; Settings'!$C$49))</f>
        <v>0</v>
      </c>
    </row>
    <row r="40" spans="1:29" ht="15" customHeight="1" x14ac:dyDescent="0.2">
      <c r="A40" s="116">
        <v>15</v>
      </c>
      <c r="B40" s="117">
        <v>46173</v>
      </c>
      <c r="C40" s="118" t="s">
        <v>191</v>
      </c>
      <c r="D40" s="118" t="s">
        <v>177</v>
      </c>
      <c r="E40" s="116" t="s">
        <v>316</v>
      </c>
      <c r="F40" s="119">
        <f t="shared" si="0"/>
        <v>2</v>
      </c>
      <c r="G40" s="120" t="str">
        <f t="shared" si="1"/>
        <v>Daniel (Ferret)</v>
      </c>
      <c r="H40" s="121">
        <f>IF($D40="",0,IFERROR(LOOKUP(2,1/(($D$3:D39=$D40)*($A$3:A39&lt;$A40)),$N$3:N39),'Guide &amp; Settings'!$C$41))</f>
        <v>941.29281820446158</v>
      </c>
      <c r="I40" s="122">
        <f t="shared" si="2"/>
        <v>0.375</v>
      </c>
      <c r="J40" s="123">
        <f>IF($D40="",0,IF($F40&lt;2,0,IF($E40="Win",('Guide &amp; Settings'!$C$42/(($F40-1)*COUNTIFS($A$4:$A$311,$A40,$E$4:$E$311,"Win")))*SUMIFS($X$4:$X$311,$A$4:$A$311,$A40,$E$4:$E$311,"Loss"),-('Guide &amp; Settings'!$C$42/($F40-1))*$X40)))</f>
        <v>19.313305977555867</v>
      </c>
      <c r="K40" s="123">
        <f>IF($D40="",0,'Guide &amp; Settings'!$C$43*(IF($E40="Win",1,0)-$I40))</f>
        <v>7.5</v>
      </c>
      <c r="L40" s="124">
        <f>IF($D40="",0,'Guide &amp; Settings'!$C$44*IF($F40&gt;=3,$F40+IF($E40="Win",$F40,0),0))</f>
        <v>0</v>
      </c>
      <c r="M40" s="123">
        <f t="shared" si="3"/>
        <v>26.813305977555867</v>
      </c>
      <c r="N40" s="121">
        <f t="shared" si="4"/>
        <v>968.10612418201742</v>
      </c>
      <c r="O40" s="120" t="str">
        <f t="shared" si="5"/>
        <v>OK</v>
      </c>
      <c r="P40">
        <f t="shared" si="6"/>
        <v>941.29281820446158</v>
      </c>
      <c r="Q40">
        <f t="shared" si="7"/>
        <v>0.5</v>
      </c>
      <c r="R40">
        <f t="shared" si="8"/>
        <v>0.375</v>
      </c>
      <c r="S40">
        <f t="shared" si="9"/>
        <v>1</v>
      </c>
      <c r="T40" s="88">
        <f t="shared" si="10"/>
        <v>6</v>
      </c>
      <c r="U40" s="125">
        <f>IF($D40="",0,IFERROR(LOOKUP(2,1/(($D$3:D39=$D40)*($C$3:C39=$C40)*($A$3:A39&lt;$A40)),$AB$3:AB39),1000))</f>
        <v>981.78956434484417</v>
      </c>
      <c r="V40" s="125">
        <f t="shared" si="11"/>
        <v>963.38195246285204</v>
      </c>
      <c r="W40">
        <f t="shared" si="12"/>
        <v>963.38195246285204</v>
      </c>
      <c r="X40">
        <f t="shared" si="13"/>
        <v>0.5</v>
      </c>
      <c r="Y40">
        <f t="shared" si="14"/>
        <v>981.78956434484417</v>
      </c>
      <c r="Z40">
        <f t="shared" si="15"/>
        <v>0.5</v>
      </c>
      <c r="AA40">
        <f>IF($D40="",0,IF($F40&lt;2,0,IF($E40="Win",('Guide &amp; Settings'!$C$42/(($F40-1)*COUNTIFS($A$4:$A$311,$A40,$E$4:$E$311,"Win")))*SUMIFS($Z$4:$Z$311,$A$4:$A$311,$A40,$E$4:$E$311,"Loss"),-('Guide &amp; Settings'!$C$42/($F40-1))*$Z40)))</f>
        <v>17.671126337043475</v>
      </c>
      <c r="AB40" s="125">
        <f t="shared" si="16"/>
        <v>999.46069068188763</v>
      </c>
      <c r="AC40" s="125">
        <f>IF($D40="","",IF(SUMPRODUCT(MAX(($D$4:$D$311=$D40)*($B$4:$B$311&lt;$B40)*$B$4:$B$311))=0,0,MAX(($B40-SUMPRODUCT(MAX(($D$4:$D$311=$D40)*($B$4:$B$311&lt;$B40)*$B$4:$B$311)))/7-'Guide &amp; Settings'!$C$48,0)*'Guide &amp; Settings'!$C$49))</f>
        <v>0</v>
      </c>
    </row>
    <row r="41" spans="1:29" ht="15" customHeight="1" x14ac:dyDescent="0.2">
      <c r="A41" s="116">
        <v>16</v>
      </c>
      <c r="B41" s="117">
        <v>46173</v>
      </c>
      <c r="C41" s="118" t="s">
        <v>191</v>
      </c>
      <c r="D41" s="118" t="s">
        <v>141</v>
      </c>
      <c r="E41" s="116" t="s">
        <v>317</v>
      </c>
      <c r="F41" s="119">
        <f t="shared" si="0"/>
        <v>2</v>
      </c>
      <c r="G41" s="120" t="str">
        <f t="shared" si="1"/>
        <v>Daniel (Ferret)</v>
      </c>
      <c r="H41" s="121">
        <f>IF($D41="",0,IFERROR(LOOKUP(2,1/(($D$3:D40=$D41)*($A$3:A40&lt;$A41)),$N$3:N40),'Guide &amp; Settings'!$C$41))</f>
        <v>1031.3816433374927</v>
      </c>
      <c r="I41" s="122">
        <f t="shared" si="2"/>
        <v>0.55555555555555558</v>
      </c>
      <c r="J41" s="123">
        <f>IF($D41="",0,IF($F41&lt;2,0,IF($E41="Win",('Guide &amp; Settings'!$C$42/(($F41-1)*COUNTIFS($A$4:$A$311,$A41,$E$4:$E$311,"Win")))*SUMIFS($X$4:$X$311,$A$4:$A$311,$A41,$E$4:$E$311,"Loss"),-('Guide &amp; Settings'!$C$42/($F41-1))*$X41)))</f>
        <v>-17.240624015848731</v>
      </c>
      <c r="K41" s="123">
        <f>IF($D41="",0,'Guide &amp; Settings'!$C$43*(IF($E41="Win",1,0)-$I41))</f>
        <v>-6.666666666666667</v>
      </c>
      <c r="L41" s="124">
        <f>IF($D41="",0,'Guide &amp; Settings'!$C$44*IF($F41&gt;=3,$F41+IF($E41="Win",$F41,0),0))</f>
        <v>0</v>
      </c>
      <c r="M41" s="123">
        <f t="shared" si="3"/>
        <v>-23.907290682515399</v>
      </c>
      <c r="N41" s="121">
        <f t="shared" si="4"/>
        <v>1007.4743526549773</v>
      </c>
      <c r="O41" s="120" t="str">
        <f t="shared" si="5"/>
        <v>OK</v>
      </c>
      <c r="P41">
        <f t="shared" si="6"/>
        <v>968.10612418201742</v>
      </c>
      <c r="Q41">
        <f t="shared" si="7"/>
        <v>0.59006719588888956</v>
      </c>
      <c r="R41">
        <f t="shared" si="8"/>
        <v>0.55555555555555558</v>
      </c>
      <c r="S41">
        <f t="shared" si="9"/>
        <v>1</v>
      </c>
      <c r="T41" s="88">
        <f t="shared" si="10"/>
        <v>7</v>
      </c>
      <c r="U41" s="125">
        <f>IF($D41="",0,IFERROR(LOOKUP(2,1/(($D$3:D40=$D41)*($C$3:C40=$C41)*($A$3:A40&lt;$A41)),$AB$3:AB40),1000))</f>
        <v>1000.5393093181125</v>
      </c>
      <c r="V41" s="125">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Settings'!$C$42/(($F41-1)*COUNTIFS($A$4:$A$311,$A41,$E$4:$E$311,"Win")))*SUMIFS($Z$4:$Z$311,$A$4:$A$311,$A41,$E$4:$E$311,"Loss"),-('Guide &amp; Settings'!$C$42/($F41-1))*$Z41)))</f>
        <v>-16.049672064276137</v>
      </c>
      <c r="AB41" s="125">
        <f t="shared" si="16"/>
        <v>984.48963725383635</v>
      </c>
      <c r="AC41" s="125">
        <f>IF($D41="","",IF(SUMPRODUCT(MAX(($D$4:$D$311=$D41)*($B$4:$B$311&lt;$B41)*$B$4:$B$311))=0,0,MAX(($B41-SUMPRODUCT(MAX(($D$4:$D$311=$D41)*($B$4:$B$311&lt;$B41)*$B$4:$B$311)))/7-'Guide &amp; Settings'!$C$48,0)*'Guide &amp; Settings'!$C$49))</f>
        <v>0</v>
      </c>
    </row>
    <row r="42" spans="1:29" ht="15" customHeight="1" x14ac:dyDescent="0.2">
      <c r="A42" s="116">
        <v>16</v>
      </c>
      <c r="B42" s="117">
        <v>46173</v>
      </c>
      <c r="C42" s="118" t="s">
        <v>191</v>
      </c>
      <c r="D42" s="118" t="s">
        <v>177</v>
      </c>
      <c r="E42" s="116" t="s">
        <v>316</v>
      </c>
      <c r="F42" s="119">
        <f t="shared" si="0"/>
        <v>2</v>
      </c>
      <c r="G42" s="120" t="str">
        <f t="shared" si="1"/>
        <v>Daniel (Ferret)</v>
      </c>
      <c r="H42" s="121">
        <f>IF($D42="",0,IFERROR(LOOKUP(2,1/(($D$3:D41=$D42)*($A$3:A41&lt;$A42)),$N$3:N41),'Guide &amp; Settings'!$C$41))</f>
        <v>968.10612418201742</v>
      </c>
      <c r="I42" s="122">
        <f t="shared" si="2"/>
        <v>0.44444444444444442</v>
      </c>
      <c r="J42" s="123">
        <f>IF($D42="",0,IF($F42&lt;2,0,IF($E42="Win",('Guide &amp; Settings'!$C$42/(($F42-1)*COUNTIFS($A$4:$A$311,$A42,$E$4:$E$311,"Win")))*SUMIFS($X$4:$X$311,$A$4:$A$311,$A42,$E$4:$E$311,"Loss"),-('Guide &amp; Settings'!$C$42/($F42-1))*$X42)))</f>
        <v>17.240624015848731</v>
      </c>
      <c r="K42" s="123">
        <f>IF($D42="",0,'Guide &amp; Settings'!$C$43*(IF($E42="Win",1,0)-$I42))</f>
        <v>6.666666666666667</v>
      </c>
      <c r="L42" s="124">
        <f>IF($D42="",0,'Guide &amp; Settings'!$C$44*IF($F42&gt;=3,$F42+IF($E42="Win",$F42,0),0))</f>
        <v>0</v>
      </c>
      <c r="M42" s="123">
        <f t="shared" si="3"/>
        <v>23.907290682515399</v>
      </c>
      <c r="N42" s="121">
        <f t="shared" si="4"/>
        <v>992.01341486453282</v>
      </c>
      <c r="O42" s="120" t="str">
        <f t="shared" si="5"/>
        <v>OK</v>
      </c>
      <c r="P42">
        <f t="shared" si="6"/>
        <v>968.10612418201742</v>
      </c>
      <c r="Q42">
        <f t="shared" si="7"/>
        <v>0.5</v>
      </c>
      <c r="R42">
        <f t="shared" si="8"/>
        <v>0.44444444444444442</v>
      </c>
      <c r="S42">
        <f t="shared" si="9"/>
        <v>1</v>
      </c>
      <c r="T42" s="88">
        <f t="shared" si="10"/>
        <v>7</v>
      </c>
      <c r="U42" s="125">
        <f>IF($D42="",0,IFERROR(LOOKUP(2,1/(($D$3:D41=$D42)*($C$3:C41=$C42)*($A$3:A41&lt;$A42)),$AB$3:AB41),1000))</f>
        <v>999.46069068188763</v>
      </c>
      <c r="V42" s="125">
        <f t="shared" si="11"/>
        <v>986.39628797360842</v>
      </c>
      <c r="W42">
        <f t="shared" si="12"/>
        <v>986.39628797360842</v>
      </c>
      <c r="X42">
        <f t="shared" si="13"/>
        <v>0.5</v>
      </c>
      <c r="Y42">
        <f t="shared" si="14"/>
        <v>999.46069068188763</v>
      </c>
      <c r="Z42">
        <f t="shared" si="15"/>
        <v>0.5</v>
      </c>
      <c r="AA42">
        <f>IF($D42="",0,IF($F42&lt;2,0,IF($E42="Win",('Guide &amp; Settings'!$C$42/(($F42-1)*COUNTIFS($A$4:$A$311,$A42,$E$4:$E$311,"Win")))*SUMIFS($Z$4:$Z$311,$A$4:$A$311,$A42,$E$4:$E$311,"Loss"),-('Guide &amp; Settings'!$C$42/($F42-1))*$Z42)))</f>
        <v>16.049672064276137</v>
      </c>
      <c r="AB42" s="125">
        <f t="shared" si="16"/>
        <v>1015.5103627461638</v>
      </c>
      <c r="AC42" s="125">
        <f>IF($D42="","",IF(SUMPRODUCT(MAX(($D$4:$D$311=$D42)*($B$4:$B$311&lt;$B42)*$B$4:$B$311))=0,0,MAX(($B42-SUMPRODUCT(MAX(($D$4:$D$311=$D42)*($B$4:$B$311&lt;$B42)*$B$4:$B$311)))/7-'Guide &amp; Settings'!$C$48,0)*'Guide &amp; Settings'!$C$49))</f>
        <v>0</v>
      </c>
    </row>
    <row r="43" spans="1:29" ht="15" customHeight="1" x14ac:dyDescent="0.2">
      <c r="A43" s="116">
        <v>17</v>
      </c>
      <c r="B43" s="117">
        <v>46175</v>
      </c>
      <c r="C43" s="118" t="s">
        <v>191</v>
      </c>
      <c r="D43" s="118" t="s">
        <v>145</v>
      </c>
      <c r="E43" s="116" t="s">
        <v>316</v>
      </c>
      <c r="F43" s="119">
        <f t="shared" si="0"/>
        <v>2</v>
      </c>
      <c r="G43" s="120" t="str">
        <f t="shared" si="1"/>
        <v>Aaron</v>
      </c>
      <c r="H43" s="121">
        <f>IF($D43="",0,IFERROR(LOOKUP(2,1/(($D$3:D42=$D43)*($A$3:A42&lt;$A43)),$N$3:N42),'Guide &amp; Settings'!$C$41))</f>
        <v>1042.578483210224</v>
      </c>
      <c r="I43" s="122">
        <f t="shared" si="2"/>
        <v>0.5</v>
      </c>
      <c r="J43" s="123">
        <f>IF($D43="",0,IF($F43&lt;2,0,IF($E43="Win",('Guide &amp; Settings'!$C$42/(($F43-1)*COUNTIFS($A$4:$A$311,$A43,$E$4:$E$311,"Win")))*SUMIFS($X$4:$X$311,$A$4:$A$311,$A43,$E$4:$E$311,"Loss"),-('Guide &amp; Settings'!$C$42/($F43-1))*$X43)))</f>
        <v>17.99387473843251</v>
      </c>
      <c r="K43" s="123">
        <f>IF($D43="",0,'Guide &amp; Settings'!$C$43*(IF($E43="Win",1,0)-$I43))</f>
        <v>6</v>
      </c>
      <c r="L43" s="124">
        <f>IF($D43="",0,'Guide &amp; Settings'!$C$44*IF($F43&gt;=3,$F43+IF($E43="Win",$F43,0),0))</f>
        <v>0</v>
      </c>
      <c r="M43" s="123">
        <f t="shared" si="3"/>
        <v>23.99387473843251</v>
      </c>
      <c r="N43" s="121">
        <f t="shared" si="4"/>
        <v>1066.5723579486566</v>
      </c>
      <c r="O43" s="120" t="str">
        <f t="shared" si="5"/>
        <v>OK</v>
      </c>
      <c r="P43">
        <f t="shared" si="6"/>
        <v>1042.578483210224</v>
      </c>
      <c r="Q43">
        <f t="shared" si="7"/>
        <v>0.5</v>
      </c>
      <c r="R43">
        <f t="shared" si="8"/>
        <v>0.5</v>
      </c>
      <c r="S43">
        <f t="shared" si="9"/>
        <v>1</v>
      </c>
      <c r="T43" s="88">
        <f t="shared" si="10"/>
        <v>0</v>
      </c>
      <c r="U43" s="125">
        <f>IF($D43="",0,IFERROR(LOOKUP(2,1/(($D$3:D42=$D43)*($C$3:C42=$C43)*($A$3:A42&lt;$A43)),$AB$3:AB42),1000))</f>
        <v>1000</v>
      </c>
      <c r="V43" s="125">
        <f t="shared" si="11"/>
        <v>1042.578483210224</v>
      </c>
      <c r="W43">
        <f t="shared" si="12"/>
        <v>1042.578483210224</v>
      </c>
      <c r="X43">
        <f t="shared" si="13"/>
        <v>0.5</v>
      </c>
      <c r="Y43">
        <f t="shared" si="14"/>
        <v>1000</v>
      </c>
      <c r="Z43">
        <f t="shared" si="15"/>
        <v>0.5</v>
      </c>
      <c r="AA43">
        <f>IF($D43="",0,IF($F43&lt;2,0,IF($E43="Win",('Guide &amp; Settings'!$C$42/(($F43-1)*COUNTIFS($A$4:$A$311,$A43,$E$4:$E$311,"Win")))*SUMIFS($Z$4:$Z$311,$A$4:$A$311,$A43,$E$4:$E$311,"Loss"),-('Guide &amp; Settings'!$C$42/($F43-1))*$Z43)))</f>
        <v>16</v>
      </c>
      <c r="AB43" s="125">
        <f t="shared" si="16"/>
        <v>1016</v>
      </c>
      <c r="AC43" s="125">
        <f>IF($D43="","",IF(SUMPRODUCT(MAX(($D$4:$D$311=$D43)*($B$4:$B$311&lt;$B43)*$B$4:$B$311))=0,0,MAX(($B43-SUMPRODUCT(MAX(($D$4:$D$311=$D43)*($B$4:$B$311&lt;$B43)*$B$4:$B$311)))/7-'Guide &amp; Settings'!$C$48,0)*'Guide &amp; Settings'!$C$49))</f>
        <v>0</v>
      </c>
    </row>
    <row r="44" spans="1:29" ht="15" customHeight="1" x14ac:dyDescent="0.2">
      <c r="A44" s="116">
        <v>17</v>
      </c>
      <c r="B44" s="117">
        <v>46175</v>
      </c>
      <c r="C44" s="118" t="s">
        <v>191</v>
      </c>
      <c r="D44" s="118" t="s">
        <v>144</v>
      </c>
      <c r="E44" s="116" t="s">
        <v>317</v>
      </c>
      <c r="F44" s="119">
        <f t="shared" si="0"/>
        <v>2</v>
      </c>
      <c r="G44" s="120" t="str">
        <f t="shared" si="1"/>
        <v>Aaron</v>
      </c>
      <c r="H44" s="121">
        <f>IF($D44="",0,IFERROR(LOOKUP(2,1/(($D$3:D43=$D44)*($A$3:A43&lt;$A44)),$N$3:N43),'Guide &amp; Settings'!$C$41))</f>
        <v>1086.1011579328788</v>
      </c>
      <c r="I44" s="122">
        <f t="shared" si="2"/>
        <v>0.5</v>
      </c>
      <c r="J44" s="123">
        <f>IF($D44="",0,IF($F44&lt;2,0,IF($E44="Win",('Guide &amp; Settings'!$C$42/(($F44-1)*COUNTIFS($A$4:$A$311,$A44,$E$4:$E$311,"Win")))*SUMIFS($X$4:$X$311,$A$4:$A$311,$A44,$E$4:$E$311,"Loss"),-('Guide &amp; Settings'!$C$42/($F44-1))*$X44)))</f>
        <v>-17.99387473843251</v>
      </c>
      <c r="K44" s="123">
        <f>IF($D44="",0,'Guide &amp; Settings'!$C$43*(IF($E44="Win",1,0)-$I44))</f>
        <v>-6</v>
      </c>
      <c r="L44" s="124">
        <f>IF($D44="",0,'Guide &amp; Settings'!$C$44*IF($F44&gt;=3,$F44+IF($E44="Win",$F44,0),0))</f>
        <v>0</v>
      </c>
      <c r="M44" s="123">
        <f t="shared" si="3"/>
        <v>-23.99387473843251</v>
      </c>
      <c r="N44" s="121">
        <f t="shared" si="4"/>
        <v>1062.1072831944462</v>
      </c>
      <c r="O44" s="120" t="str">
        <f t="shared" si="5"/>
        <v>OK</v>
      </c>
      <c r="P44">
        <f t="shared" si="6"/>
        <v>1042.578483210224</v>
      </c>
      <c r="Q44">
        <f t="shared" si="7"/>
        <v>0.56230858557601593</v>
      </c>
      <c r="R44">
        <f t="shared" si="8"/>
        <v>0.5</v>
      </c>
      <c r="S44">
        <f t="shared" si="9"/>
        <v>1</v>
      </c>
      <c r="T44" s="88">
        <f t="shared" si="10"/>
        <v>0</v>
      </c>
      <c r="U44" s="125">
        <f>IF($D44="",0,IFERROR(LOOKUP(2,1/(($D$3:D43=$D44)*($C$3:C43=$C44)*($A$3:A43&lt;$A44)),$AB$3:AB43),1000))</f>
        <v>1000</v>
      </c>
      <c r="V44" s="125">
        <f t="shared" si="11"/>
        <v>1086.1011579328788</v>
      </c>
      <c r="W44">
        <f t="shared" si="12"/>
        <v>1042.578483210224</v>
      </c>
      <c r="X44">
        <f t="shared" si="13"/>
        <v>0.56230858557601593</v>
      </c>
      <c r="Y44">
        <f t="shared" si="14"/>
        <v>1000</v>
      </c>
      <c r="Z44">
        <f t="shared" si="15"/>
        <v>0.5</v>
      </c>
      <c r="AA44">
        <f>IF($D44="",0,IF($F44&lt;2,0,IF($E44="Win",('Guide &amp; Settings'!$C$42/(($F44-1)*COUNTIFS($A$4:$A$311,$A44,$E$4:$E$311,"Win")))*SUMIFS($Z$4:$Z$311,$A$4:$A$311,$A44,$E$4:$E$311,"Loss"),-('Guide &amp; Settings'!$C$42/($F44-1))*$Z44)))</f>
        <v>-16</v>
      </c>
      <c r="AB44" s="125">
        <f t="shared" si="16"/>
        <v>984</v>
      </c>
      <c r="AC44" s="125">
        <f>IF($D44="","",IF(SUMPRODUCT(MAX(($D$4:$D$311=$D44)*($B$4:$B$311&lt;$B44)*$B$4:$B$311))=0,0,MAX(($B44-SUMPRODUCT(MAX(($D$4:$D$311=$D44)*($B$4:$B$311&lt;$B44)*$B$4:$B$311)))/7-'Guide &amp; Settings'!$C$48,0)*'Guide &amp; Settings'!$C$49))</f>
        <v>0</v>
      </c>
    </row>
    <row r="45" spans="1:29" ht="15" customHeight="1" x14ac:dyDescent="0.2">
      <c r="A45" s="116">
        <v>18</v>
      </c>
      <c r="B45" s="117">
        <v>46175</v>
      </c>
      <c r="C45" s="118" t="s">
        <v>191</v>
      </c>
      <c r="D45" s="118" t="s">
        <v>145</v>
      </c>
      <c r="E45" s="116" t="s">
        <v>316</v>
      </c>
      <c r="F45" s="119">
        <f t="shared" si="0"/>
        <v>2</v>
      </c>
      <c r="G45" s="120" t="str">
        <f t="shared" si="1"/>
        <v>Aaron</v>
      </c>
      <c r="H45" s="121">
        <f>IF($D45="",0,IFERROR(LOOKUP(2,1/(($D$3:D44=$D45)*($A$3:A44&lt;$A45)),$N$3:N44),'Guide &amp; Settings'!$C$41))</f>
        <v>1066.5723579486566</v>
      </c>
      <c r="I45" s="122">
        <f t="shared" si="2"/>
        <v>0.57142857142857151</v>
      </c>
      <c r="J45" s="123">
        <f>IF($D45="",0,IF($F45&lt;2,0,IF($E45="Win",('Guide &amp; Settings'!$C$42/(($F45-1)*COUNTIFS($A$4:$A$311,$A45,$E$4:$E$311,"Win")))*SUMIFS($X$4:$X$311,$A$4:$A$311,$A45,$E$4:$E$311,"Loss"),-('Guide &amp; Settings'!$C$42/($F45-1))*$X45)))</f>
        <v>13.53621726306552</v>
      </c>
      <c r="K45" s="123">
        <f>IF($D45="",0,'Guide &amp; Settings'!$C$43*(IF($E45="Win",1,0)-$I45))</f>
        <v>5.1428571428571423</v>
      </c>
      <c r="L45" s="124">
        <f>IF($D45="",0,'Guide &amp; Settings'!$C$44*IF($F45&gt;=3,$F45+IF($E45="Win",$F45,0),0))</f>
        <v>0</v>
      </c>
      <c r="M45" s="123">
        <f t="shared" si="3"/>
        <v>18.679074405922663</v>
      </c>
      <c r="N45" s="121">
        <f t="shared" si="4"/>
        <v>1085.2514323545793</v>
      </c>
      <c r="O45" s="120" t="str">
        <f t="shared" si="5"/>
        <v>OK</v>
      </c>
      <c r="P45">
        <f t="shared" si="6"/>
        <v>1066.5723579486566</v>
      </c>
      <c r="Q45">
        <f t="shared" si="7"/>
        <v>0.5</v>
      </c>
      <c r="R45">
        <f t="shared" si="8"/>
        <v>0.66666666666666663</v>
      </c>
      <c r="S45">
        <f t="shared" si="9"/>
        <v>1.1666666666666665</v>
      </c>
      <c r="T45" s="88">
        <f t="shared" si="10"/>
        <v>1</v>
      </c>
      <c r="U45" s="125">
        <f>IF($D45="",0,IFERROR(LOOKUP(2,1/(($D$3:D44=$D45)*($C$3:C44=$C45)*($A$3:A44&lt;$A45)),$AB$3:AB44),1000))</f>
        <v>1016</v>
      </c>
      <c r="V45" s="125">
        <f t="shared" si="11"/>
        <v>1058.1436316238805</v>
      </c>
      <c r="W45">
        <f t="shared" si="12"/>
        <v>1058.1436316238805</v>
      </c>
      <c r="X45">
        <f t="shared" si="13"/>
        <v>0.5</v>
      </c>
      <c r="Y45">
        <f t="shared" si="14"/>
        <v>1016</v>
      </c>
      <c r="Z45">
        <f t="shared" si="15"/>
        <v>0.5</v>
      </c>
      <c r="AA45">
        <f>IF($D45="",0,IF($F45&lt;2,0,IF($E45="Win",('Guide &amp; Settings'!$C$42/(($F45-1)*COUNTIFS($A$4:$A$311,$A45,$E$4:$E$311,"Win")))*SUMIFS($Z$4:$Z$311,$A$4:$A$311,$A45,$E$4:$E$311,"Loss"),-('Guide &amp; Settings'!$C$42/($F45-1))*$Z45)))</f>
        <v>15.263693206478006</v>
      </c>
      <c r="AB45" s="125">
        <f t="shared" si="16"/>
        <v>1031.2636932064779</v>
      </c>
      <c r="AC45" s="125">
        <f>IF($D45="","",IF(SUMPRODUCT(MAX(($D$4:$D$311=$D45)*($B$4:$B$311&lt;$B45)*$B$4:$B$311))=0,0,MAX(($B45-SUMPRODUCT(MAX(($D$4:$D$311=$D45)*($B$4:$B$311&lt;$B45)*$B$4:$B$311)))/7-'Guide &amp; Settings'!$C$48,0)*'Guide &amp; Settings'!$C$49))</f>
        <v>0</v>
      </c>
    </row>
    <row r="46" spans="1:29" ht="15" customHeight="1" x14ac:dyDescent="0.2">
      <c r="A46" s="116">
        <v>18</v>
      </c>
      <c r="B46" s="117">
        <v>46175</v>
      </c>
      <c r="C46" s="118" t="s">
        <v>191</v>
      </c>
      <c r="D46" s="118" t="s">
        <v>180</v>
      </c>
      <c r="E46" s="116" t="s">
        <v>317</v>
      </c>
      <c r="F46" s="119">
        <f t="shared" si="0"/>
        <v>2</v>
      </c>
      <c r="G46" s="120" t="str">
        <f t="shared" si="1"/>
        <v>Aaron</v>
      </c>
      <c r="H46" s="121">
        <f>IF($D46="",0,IFERROR(LOOKUP(2,1/(($D$3:D45=$D46)*($A$3:A45&lt;$A46)),$N$3:N45),'Guide &amp; Settings'!$C$41))</f>
        <v>1004.2142857142857</v>
      </c>
      <c r="I46" s="122">
        <f t="shared" si="2"/>
        <v>0.4285714285714286</v>
      </c>
      <c r="J46" s="123">
        <f>IF($D46="",0,IF($F46&lt;2,0,IF($E46="Win",('Guide &amp; Settings'!$C$42/(($F46-1)*COUNTIFS($A$4:$A$311,$A46,$E$4:$E$311,"Win")))*SUMIFS($X$4:$X$311,$A$4:$A$311,$A46,$E$4:$E$311,"Loss"),-('Guide &amp; Settings'!$C$42/($F46-1))*$X46)))</f>
        <v>-13.53621726306552</v>
      </c>
      <c r="K46" s="123">
        <f>IF($D46="",0,'Guide &amp; Settings'!$C$43*(IF($E46="Win",1,0)-$I46))</f>
        <v>-5.1428571428571432</v>
      </c>
      <c r="L46" s="124">
        <f>IF($D46="",0,'Guide &amp; Settings'!$C$44*IF($F46&gt;=3,$F46+IF($E46="Win",$F46,0),0))</f>
        <v>0</v>
      </c>
      <c r="M46" s="123">
        <f t="shared" si="3"/>
        <v>-18.679074405922663</v>
      </c>
      <c r="N46" s="121">
        <f t="shared" si="4"/>
        <v>985.53521130836305</v>
      </c>
      <c r="O46" s="120" t="str">
        <f t="shared" si="5"/>
        <v>OK</v>
      </c>
      <c r="P46">
        <f t="shared" si="6"/>
        <v>1066.5723579486566</v>
      </c>
      <c r="Q46">
        <f t="shared" si="7"/>
        <v>0.41121087931273137</v>
      </c>
      <c r="R46">
        <f t="shared" si="8"/>
        <v>0.5</v>
      </c>
      <c r="S46">
        <f t="shared" si="9"/>
        <v>1.1666666666666665</v>
      </c>
      <c r="T46" s="88">
        <f t="shared" si="10"/>
        <v>0</v>
      </c>
      <c r="U46" s="125">
        <f>IF($D46="",0,IFERROR(LOOKUP(2,1/(($D$3:D45=$D46)*($C$3:C45=$C46)*($A$3:A45&lt;$A46)),$AB$3:AB45),1000))</f>
        <v>1000</v>
      </c>
      <c r="V46" s="125">
        <f t="shared" si="11"/>
        <v>1004.2142857142857</v>
      </c>
      <c r="W46">
        <f t="shared" si="12"/>
        <v>1058.1436316238805</v>
      </c>
      <c r="X46">
        <f t="shared" si="13"/>
        <v>0.42300678947079751</v>
      </c>
      <c r="Y46">
        <f t="shared" si="14"/>
        <v>1016</v>
      </c>
      <c r="Z46">
        <f t="shared" si="15"/>
        <v>0.47699041270243769</v>
      </c>
      <c r="AA46">
        <f>IF($D46="",0,IF($F46&lt;2,0,IF($E46="Win",('Guide &amp; Settings'!$C$42/(($F46-1)*COUNTIFS($A$4:$A$311,$A46,$E$4:$E$311,"Win")))*SUMIFS($Z$4:$Z$311,$A$4:$A$311,$A46,$E$4:$E$311,"Loss"),-('Guide &amp; Settings'!$C$42/($F46-1))*$Z46)))</f>
        <v>-15.263693206478006</v>
      </c>
      <c r="AB46" s="125">
        <f t="shared" si="16"/>
        <v>984.73630679352198</v>
      </c>
      <c r="AC46" s="125">
        <f>IF($D46="","",IF(SUMPRODUCT(MAX(($D$4:$D$311=$D46)*($B$4:$B$311&lt;$B46)*$B$4:$B$311))=0,0,MAX(($B46-SUMPRODUCT(MAX(($D$4:$D$311=$D46)*($B$4:$B$311&lt;$B46)*$B$4:$B$311)))/7-'Guide &amp; Settings'!$C$48,0)*'Guide &amp; Settings'!$C$49))</f>
        <v>0</v>
      </c>
    </row>
    <row r="47" spans="1:29" ht="15" customHeight="1" x14ac:dyDescent="0.2">
      <c r="A47" s="116">
        <v>19</v>
      </c>
      <c r="B47" s="117">
        <v>46175</v>
      </c>
      <c r="C47" s="118" t="s">
        <v>191</v>
      </c>
      <c r="D47" s="118" t="s">
        <v>145</v>
      </c>
      <c r="E47" s="116" t="s">
        <v>316</v>
      </c>
      <c r="F47" s="119">
        <f t="shared" si="0"/>
        <v>2</v>
      </c>
      <c r="G47" s="120" t="str">
        <f t="shared" si="1"/>
        <v>Aaron</v>
      </c>
      <c r="H47" s="121">
        <f>IF($D47="",0,IFERROR(LOOKUP(2,1/(($D$3:D46=$D47)*($A$3:A46&lt;$A47)),$N$3:N46),'Guide &amp; Settings'!$C$41))</f>
        <v>1085.2514323545793</v>
      </c>
      <c r="I47" s="122">
        <f t="shared" si="2"/>
        <v>0.6</v>
      </c>
      <c r="J47" s="123">
        <f>IF($D47="",0,IF($F47&lt;2,0,IF($E47="Win",('Guide &amp; Settings'!$C$42/(($F47-1)*COUNTIFS($A$4:$A$311,$A47,$E$4:$E$311,"Win")))*SUMIFS($X$4:$X$311,$A$4:$A$311,$A47,$E$4:$E$311,"Loss"),-('Guide &amp; Settings'!$C$42/($F47-1))*$X47)))</f>
        <v>13.114384652670781</v>
      </c>
      <c r="K47" s="123">
        <f>IF($D47="",0,'Guide &amp; Settings'!$C$43*(IF($E47="Win",1,0)-$I47))</f>
        <v>4.8000000000000007</v>
      </c>
      <c r="L47" s="124">
        <f>IF($D47="",0,'Guide &amp; Settings'!$C$44*IF($F47&gt;=3,$F47+IF($E47="Win",$F47,0),0))</f>
        <v>0</v>
      </c>
      <c r="M47" s="123">
        <f t="shared" si="3"/>
        <v>17.914384652670783</v>
      </c>
      <c r="N47" s="121">
        <f t="shared" si="4"/>
        <v>1103.1658170072501</v>
      </c>
      <c r="O47" s="120" t="str">
        <f t="shared" si="5"/>
        <v>OK</v>
      </c>
      <c r="P47">
        <f t="shared" si="6"/>
        <v>1085.2514323545793</v>
      </c>
      <c r="Q47">
        <f t="shared" si="7"/>
        <v>0.5</v>
      </c>
      <c r="R47">
        <f t="shared" si="8"/>
        <v>0.75</v>
      </c>
      <c r="S47">
        <f t="shared" si="9"/>
        <v>1.25</v>
      </c>
      <c r="T47" s="88">
        <f t="shared" si="10"/>
        <v>2</v>
      </c>
      <c r="U47" s="125">
        <f>IF($D47="",0,IFERROR(LOOKUP(2,1/(($D$3:D46=$D47)*($C$3:C46=$C47)*($A$3:A46&lt;$A47)),$AB$3:AB46),1000))</f>
        <v>1031.2636932064779</v>
      </c>
      <c r="V47" s="125">
        <f t="shared" si="11"/>
        <v>1069.8263640265502</v>
      </c>
      <c r="W47">
        <f t="shared" si="12"/>
        <v>1069.8263640265502</v>
      </c>
      <c r="X47">
        <f t="shared" si="13"/>
        <v>0.5</v>
      </c>
      <c r="Y47">
        <f t="shared" si="14"/>
        <v>1031.2636932064779</v>
      </c>
      <c r="Z47">
        <f t="shared" si="15"/>
        <v>0.5</v>
      </c>
      <c r="AA47">
        <f>IF($D47="",0,IF($F47&lt;2,0,IF($E47="Win",('Guide &amp; Settings'!$C$42/(($F47-1)*COUNTIFS($A$4:$A$311,$A47,$E$4:$E$311,"Win")))*SUMIFS($Z$4:$Z$311,$A$4:$A$311,$A47,$E$4:$E$311,"Loss"),-('Guide &amp; Settings'!$C$42/($F47-1))*$Z47)))</f>
        <v>15.275029070186529</v>
      </c>
      <c r="AB47" s="125">
        <f t="shared" si="16"/>
        <v>1046.5387222766644</v>
      </c>
      <c r="AC47" s="125">
        <f>IF($D47="","",IF(SUMPRODUCT(MAX(($D$4:$D$311=$D47)*($B$4:$B$311&lt;$B47)*$B$4:$B$311))=0,0,MAX(($B47-SUMPRODUCT(MAX(($D$4:$D$311=$D47)*($B$4:$B$311&lt;$B47)*$B$4:$B$311)))/7-'Guide &amp; Settings'!$C$48,0)*'Guide &amp; Settings'!$C$49))</f>
        <v>0</v>
      </c>
    </row>
    <row r="48" spans="1:29" ht="15" customHeight="1" x14ac:dyDescent="0.2">
      <c r="A48" s="116">
        <v>19</v>
      </c>
      <c r="B48" s="117">
        <v>46175</v>
      </c>
      <c r="C48" s="118" t="s">
        <v>191</v>
      </c>
      <c r="D48" s="118" t="s">
        <v>177</v>
      </c>
      <c r="E48" s="116" t="s">
        <v>317</v>
      </c>
      <c r="F48" s="119">
        <f t="shared" si="0"/>
        <v>2</v>
      </c>
      <c r="G48" s="120" t="str">
        <f t="shared" si="1"/>
        <v>Aaron</v>
      </c>
      <c r="H48" s="121">
        <f>IF($D48="",0,IFERROR(LOOKUP(2,1/(($D$3:D47=$D48)*($A$3:A47&lt;$A48)),$N$3:N47),'Guide &amp; Settings'!$C$41))</f>
        <v>992.01341486453282</v>
      </c>
      <c r="I48" s="122">
        <f t="shared" si="2"/>
        <v>0.4</v>
      </c>
      <c r="J48" s="123">
        <f>IF($D48="",0,IF($F48&lt;2,0,IF($E48="Win",('Guide &amp; Settings'!$C$42/(($F48-1)*COUNTIFS($A$4:$A$311,$A48,$E$4:$E$311,"Win")))*SUMIFS($X$4:$X$311,$A$4:$A$311,$A48,$E$4:$E$311,"Loss"),-('Guide &amp; Settings'!$C$42/($F48-1))*$X48)))</f>
        <v>-13.114384652670781</v>
      </c>
      <c r="K48" s="123">
        <f>IF($D48="",0,'Guide &amp; Settings'!$C$43*(IF($E48="Win",1,0)-$I48))</f>
        <v>-4.8000000000000007</v>
      </c>
      <c r="L48" s="124">
        <f>IF($D48="",0,'Guide &amp; Settings'!$C$44*IF($F48&gt;=3,$F48+IF($E48="Win",$F48,0),0))</f>
        <v>0</v>
      </c>
      <c r="M48" s="123">
        <f t="shared" si="3"/>
        <v>-17.914384652670783</v>
      </c>
      <c r="N48" s="121">
        <f t="shared" si="4"/>
        <v>974.09903021186199</v>
      </c>
      <c r="O48" s="120" t="str">
        <f t="shared" si="5"/>
        <v>OK</v>
      </c>
      <c r="P48">
        <f t="shared" si="6"/>
        <v>1085.2514323545793</v>
      </c>
      <c r="Q48">
        <f t="shared" si="7"/>
        <v>0.36895065011254485</v>
      </c>
      <c r="R48">
        <f t="shared" si="8"/>
        <v>0.5</v>
      </c>
      <c r="S48">
        <f t="shared" si="9"/>
        <v>1.25</v>
      </c>
      <c r="T48" s="88">
        <f t="shared" si="10"/>
        <v>8</v>
      </c>
      <c r="U48" s="125">
        <f>IF($D48="",0,IFERROR(LOOKUP(2,1/(($D$3:D47=$D48)*($C$3:C47=$C48)*($A$3:A47&lt;$A48)),$AB$3:AB47),1000))</f>
        <v>1015.5103627461638</v>
      </c>
      <c r="V48" s="125">
        <f t="shared" si="11"/>
        <v>1006.4730750993826</v>
      </c>
      <c r="W48">
        <f t="shared" si="12"/>
        <v>1069.8263640265502</v>
      </c>
      <c r="X48">
        <f t="shared" si="13"/>
        <v>0.4098245203959619</v>
      </c>
      <c r="Y48">
        <f t="shared" si="14"/>
        <v>1031.2636932064779</v>
      </c>
      <c r="Z48">
        <f t="shared" si="15"/>
        <v>0.47734465844332902</v>
      </c>
      <c r="AA48">
        <f>IF($D48="",0,IF($F48&lt;2,0,IF($E48="Win",('Guide &amp; Settings'!$C$42/(($F48-1)*COUNTIFS($A$4:$A$311,$A48,$E$4:$E$311,"Win")))*SUMIFS($Z$4:$Z$311,$A$4:$A$311,$A48,$E$4:$E$311,"Loss"),-('Guide &amp; Settings'!$C$42/($F48-1))*$Z48)))</f>
        <v>-15.275029070186529</v>
      </c>
      <c r="AB48" s="125">
        <f t="shared" si="16"/>
        <v>1000.2353336759772</v>
      </c>
      <c r="AC48" s="125">
        <f>IF($D48="","",IF(SUMPRODUCT(MAX(($D$4:$D$311=$D48)*($B$4:$B$311&lt;$B48)*$B$4:$B$311))=0,0,MAX(($B48-SUMPRODUCT(MAX(($D$4:$D$311=$D48)*($B$4:$B$311&lt;$B48)*$B$4:$B$311)))/7-'Guide &amp; Settings'!$C$48,0)*'Guide &amp; Settings'!$C$49))</f>
        <v>0</v>
      </c>
    </row>
    <row r="49" spans="1:29" ht="15" customHeight="1" x14ac:dyDescent="0.2">
      <c r="A49" s="116">
        <v>20</v>
      </c>
      <c r="B49" s="117">
        <v>46175</v>
      </c>
      <c r="C49" s="118" t="s">
        <v>207</v>
      </c>
      <c r="D49" s="118" t="s">
        <v>180</v>
      </c>
      <c r="E49" s="116" t="s">
        <v>316</v>
      </c>
      <c r="F49" s="119">
        <f t="shared" si="0"/>
        <v>2</v>
      </c>
      <c r="G49" s="120" t="str">
        <f t="shared" si="1"/>
        <v>Chase</v>
      </c>
      <c r="H49" s="121">
        <f>IF($D49="",0,IFERROR(LOOKUP(2,1/(($D$3:D48=$D49)*($A$3:A48&lt;$A49)),$N$3:N48),'Guide &amp; Settings'!$C$41))</f>
        <v>985.53521130836305</v>
      </c>
      <c r="I49" s="122">
        <f t="shared" si="2"/>
        <v>0.5</v>
      </c>
      <c r="J49" s="123">
        <f>IF($D49="",0,IF($F49&lt;2,0,IF($E49="Win",('Guide &amp; Settings'!$C$42/(($F49-1)*COUNTIFS($A$4:$A$311,$A49,$E$4:$E$311,"Win")))*SUMIFS($X$4:$X$311,$A$4:$A$311,$A49,$E$4:$E$311,"Loss"),-('Guide &amp; Settings'!$C$42/($F49-1))*$X49)))</f>
        <v>15.473534519008609</v>
      </c>
      <c r="K49" s="123">
        <f>IF($D49="",0,'Guide &amp; Settings'!$C$43*(IF($E49="Win",1,0)-$I49))</f>
        <v>6</v>
      </c>
      <c r="L49" s="124">
        <f>IF($D49="",0,'Guide &amp; Settings'!$C$44*IF($F49&gt;=3,$F49+IF($E49="Win",$F49,0),0))</f>
        <v>0</v>
      </c>
      <c r="M49" s="123">
        <f t="shared" si="3"/>
        <v>21.473534519008609</v>
      </c>
      <c r="N49" s="121">
        <f t="shared" si="4"/>
        <v>1007.0087458273716</v>
      </c>
      <c r="O49" s="120" t="str">
        <f t="shared" si="5"/>
        <v>OK</v>
      </c>
      <c r="P49">
        <f t="shared" si="6"/>
        <v>985.53521130836305</v>
      </c>
      <c r="Q49">
        <f t="shared" si="7"/>
        <v>0.5</v>
      </c>
      <c r="R49">
        <f t="shared" si="8"/>
        <v>0.5</v>
      </c>
      <c r="S49">
        <f t="shared" si="9"/>
        <v>1</v>
      </c>
      <c r="T49" s="88">
        <f t="shared" si="10"/>
        <v>0</v>
      </c>
      <c r="U49" s="125">
        <f>IF($D49="",0,IFERROR(LOOKUP(2,1/(($D$3:D48=$D49)*($C$3:C48=$C49)*($A$3:A48&lt;$A49)),$AB$3:AB48),1000))</f>
        <v>1000</v>
      </c>
      <c r="V49" s="125">
        <f t="shared" si="11"/>
        <v>985.53521130836305</v>
      </c>
      <c r="W49">
        <f t="shared" si="12"/>
        <v>985.53521130836305</v>
      </c>
      <c r="X49">
        <f t="shared" si="13"/>
        <v>0.5</v>
      </c>
      <c r="Y49">
        <f t="shared" si="14"/>
        <v>1000</v>
      </c>
      <c r="Z49">
        <f t="shared" si="15"/>
        <v>0.5</v>
      </c>
      <c r="AA49">
        <f>IF($D49="",0,IF($F49&lt;2,0,IF($E49="Win",('Guide &amp; Settings'!$C$42/(($F49-1)*COUNTIFS($A$4:$A$311,$A49,$E$4:$E$311,"Win")))*SUMIFS($Z$4:$Z$311,$A$4:$A$311,$A49,$E$4:$E$311,"Loss"),-('Guide &amp; Settings'!$C$42/($F49-1))*$Z49)))</f>
        <v>16</v>
      </c>
      <c r="AB49" s="125">
        <f t="shared" si="16"/>
        <v>1016</v>
      </c>
      <c r="AC49" s="125">
        <f>IF($D49="","",IF(SUMPRODUCT(MAX(($D$4:$D$311=$D49)*($B$4:$B$311&lt;$B49)*$B$4:$B$311))=0,0,MAX(($B49-SUMPRODUCT(MAX(($D$4:$D$311=$D49)*($B$4:$B$311&lt;$B49)*$B$4:$B$311)))/7-'Guide &amp; Settings'!$C$48,0)*'Guide &amp; Settings'!$C$49))</f>
        <v>0</v>
      </c>
    </row>
    <row r="50" spans="1:29" ht="15" customHeight="1" x14ac:dyDescent="0.2">
      <c r="A50" s="116">
        <v>20</v>
      </c>
      <c r="B50" s="117">
        <v>46175</v>
      </c>
      <c r="C50" s="118" t="s">
        <v>207</v>
      </c>
      <c r="D50" s="118" t="s">
        <v>177</v>
      </c>
      <c r="E50" s="116" t="s">
        <v>317</v>
      </c>
      <c r="F50" s="119">
        <f t="shared" si="0"/>
        <v>2</v>
      </c>
      <c r="G50" s="120" t="str">
        <f t="shared" si="1"/>
        <v>Chase</v>
      </c>
      <c r="H50" s="121">
        <f>IF($D50="",0,IFERROR(LOOKUP(2,1/(($D$3:D49=$D50)*($A$3:A49&lt;$A50)),$N$3:N49),'Guide &amp; Settings'!$C$41))</f>
        <v>974.09903021186199</v>
      </c>
      <c r="I50" s="122">
        <f t="shared" si="2"/>
        <v>0.5</v>
      </c>
      <c r="J50" s="123">
        <f>IF($D50="",0,IF($F50&lt;2,0,IF($E50="Win",('Guide &amp; Settings'!$C$42/(($F50-1)*COUNTIFS($A$4:$A$311,$A50,$E$4:$E$311,"Win")))*SUMIFS($X$4:$X$311,$A$4:$A$311,$A50,$E$4:$E$311,"Loss"),-('Guide &amp; Settings'!$C$42/($F50-1))*$X50)))</f>
        <v>-15.473534519008609</v>
      </c>
      <c r="K50" s="123">
        <f>IF($D50="",0,'Guide &amp; Settings'!$C$43*(IF($E50="Win",1,0)-$I50))</f>
        <v>-6</v>
      </c>
      <c r="L50" s="124">
        <f>IF($D50="",0,'Guide &amp; Settings'!$C$44*IF($F50&gt;=3,$F50+IF($E50="Win",$F50,0),0))</f>
        <v>0</v>
      </c>
      <c r="M50" s="123">
        <f t="shared" si="3"/>
        <v>-21.473534519008609</v>
      </c>
      <c r="N50" s="121">
        <f t="shared" si="4"/>
        <v>952.62549569285341</v>
      </c>
      <c r="O50" s="120" t="str">
        <f t="shared" si="5"/>
        <v>OK</v>
      </c>
      <c r="P50">
        <f t="shared" si="6"/>
        <v>985.53521130836305</v>
      </c>
      <c r="Q50">
        <f t="shared" si="7"/>
        <v>0.48354795371901904</v>
      </c>
      <c r="R50">
        <f t="shared" si="8"/>
        <v>0.5</v>
      </c>
      <c r="S50">
        <f t="shared" si="9"/>
        <v>1</v>
      </c>
      <c r="T50" s="88">
        <f t="shared" si="10"/>
        <v>0</v>
      </c>
      <c r="U50" s="125">
        <f>IF($D50="",0,IFERROR(LOOKUP(2,1/(($D$3:D49=$D50)*($C$3:C49=$C50)*($A$3:A49&lt;$A50)),$AB$3:AB49),1000))</f>
        <v>1000</v>
      </c>
      <c r="V50" s="125">
        <f t="shared" si="11"/>
        <v>974.09903021186199</v>
      </c>
      <c r="W50">
        <f t="shared" si="12"/>
        <v>985.53521130836305</v>
      </c>
      <c r="X50">
        <f t="shared" si="13"/>
        <v>0.48354795371901904</v>
      </c>
      <c r="Y50">
        <f t="shared" si="14"/>
        <v>1000</v>
      </c>
      <c r="Z50">
        <f t="shared" si="15"/>
        <v>0.5</v>
      </c>
      <c r="AA50">
        <f>IF($D50="",0,IF($F50&lt;2,0,IF($E50="Win",('Guide &amp; Settings'!$C$42/(($F50-1)*COUNTIFS($A$4:$A$311,$A50,$E$4:$E$311,"Win")))*SUMIFS($Z$4:$Z$311,$A$4:$A$311,$A50,$E$4:$E$311,"Loss"),-('Guide &amp; Settings'!$C$42/($F50-1))*$Z50)))</f>
        <v>-16</v>
      </c>
      <c r="AB50" s="125">
        <f t="shared" si="16"/>
        <v>984</v>
      </c>
      <c r="AC50" s="125">
        <f>IF($D50="","",IF(SUMPRODUCT(MAX(($D$4:$D$311=$D50)*($B$4:$B$311&lt;$B50)*$B$4:$B$311))=0,0,MAX(($B50-SUMPRODUCT(MAX(($D$4:$D$311=$D50)*($B$4:$B$311&lt;$B50)*$B$4:$B$311)))/7-'Guide &amp; Settings'!$C$48,0)*'Guide &amp; Settings'!$C$49))</f>
        <v>0</v>
      </c>
    </row>
    <row r="51" spans="1:29" ht="15" customHeight="1" x14ac:dyDescent="0.2">
      <c r="A51" s="116">
        <v>21</v>
      </c>
      <c r="B51" s="117">
        <v>46175</v>
      </c>
      <c r="C51" s="118" t="s">
        <v>207</v>
      </c>
      <c r="D51" s="118" t="s">
        <v>180</v>
      </c>
      <c r="E51" s="116" t="s">
        <v>316</v>
      </c>
      <c r="F51" s="119">
        <f t="shared" si="0"/>
        <v>2</v>
      </c>
      <c r="G51" s="120" t="str">
        <f t="shared" si="1"/>
        <v>Chase</v>
      </c>
      <c r="H51" s="121">
        <f>IF($D51="",0,IFERROR(LOOKUP(2,1/(($D$3:D50=$D51)*($A$3:A50&lt;$A51)),$N$3:N50),'Guide &amp; Settings'!$C$41))</f>
        <v>1007.0087458273716</v>
      </c>
      <c r="I51" s="122">
        <f t="shared" si="2"/>
        <v>0.66666666666666663</v>
      </c>
      <c r="J51" s="123">
        <f>IF($D51="",0,IF($F51&lt;2,0,IF($E51="Win",('Guide &amp; Settings'!$C$42/(($F51-1)*COUNTIFS($A$4:$A$311,$A51,$E$4:$E$311,"Win")))*SUMIFS($X$4:$X$311,$A$4:$A$311,$A51,$E$4:$E$311,"Loss"),-('Guide &amp; Settings'!$C$42/($F51-1))*$X51)))</f>
        <v>13.683743875639731</v>
      </c>
      <c r="K51" s="123">
        <f>IF($D51="",0,'Guide &amp; Settings'!$C$43*(IF($E51="Win",1,0)-$I51))</f>
        <v>4</v>
      </c>
      <c r="L51" s="124">
        <f>IF($D51="",0,'Guide &amp; Settings'!$C$44*IF($F51&gt;=3,$F51+IF($E51="Win",$F51,0),0))</f>
        <v>0</v>
      </c>
      <c r="M51" s="123">
        <f t="shared" si="3"/>
        <v>17.683743875639731</v>
      </c>
      <c r="N51" s="121">
        <f t="shared" si="4"/>
        <v>1024.6924897030115</v>
      </c>
      <c r="O51" s="120" t="str">
        <f t="shared" si="5"/>
        <v>OK</v>
      </c>
      <c r="P51">
        <f t="shared" si="6"/>
        <v>1007.0087458273716</v>
      </c>
      <c r="Q51">
        <f t="shared" si="7"/>
        <v>0.5</v>
      </c>
      <c r="R51">
        <f t="shared" si="8"/>
        <v>0.66666666666666663</v>
      </c>
      <c r="S51">
        <f t="shared" si="9"/>
        <v>1</v>
      </c>
      <c r="T51" s="88">
        <f t="shared" si="10"/>
        <v>1</v>
      </c>
      <c r="U51" s="125">
        <f>IF($D51="",0,IFERROR(LOOKUP(2,1/(($D$3:D50=$D51)*($C$3:C50=$C51)*($A$3:A50&lt;$A51)),$AB$3:AB50),1000))</f>
        <v>1016</v>
      </c>
      <c r="V51" s="125">
        <f t="shared" si="11"/>
        <v>1008.5072881894764</v>
      </c>
      <c r="W51">
        <f t="shared" si="12"/>
        <v>1008.5072881894764</v>
      </c>
      <c r="X51">
        <f t="shared" si="13"/>
        <v>0.5</v>
      </c>
      <c r="Y51">
        <f t="shared" si="14"/>
        <v>1016</v>
      </c>
      <c r="Z51">
        <f t="shared" si="15"/>
        <v>0.5</v>
      </c>
      <c r="AA51">
        <f>IF($D51="",0,IF($F51&lt;2,0,IF($E51="Win",('Guide &amp; Settings'!$C$42/(($F51-1)*COUNTIFS($A$4:$A$311,$A51,$E$4:$E$311,"Win")))*SUMIFS($Z$4:$Z$311,$A$4:$A$311,$A51,$E$4:$E$311,"Loss"),-('Guide &amp; Settings'!$C$42/($F51-1))*$Z51)))</f>
        <v>14.530498471024522</v>
      </c>
      <c r="AB51" s="125">
        <f t="shared" si="16"/>
        <v>1030.5304984710244</v>
      </c>
      <c r="AC51" s="125">
        <f>IF($D51="","",IF(SUMPRODUCT(MAX(($D$4:$D$311=$D51)*($B$4:$B$311&lt;$B51)*$B$4:$B$311))=0,0,MAX(($B51-SUMPRODUCT(MAX(($D$4:$D$311=$D51)*($B$4:$B$311&lt;$B51)*$B$4:$B$311)))/7-'Guide &amp; Settings'!$C$48,0)*'Guide &amp; Settings'!$C$49))</f>
        <v>0</v>
      </c>
    </row>
    <row r="52" spans="1:29" ht="15" customHeight="1" x14ac:dyDescent="0.2">
      <c r="A52" s="116">
        <v>21</v>
      </c>
      <c r="B52" s="117">
        <v>46175</v>
      </c>
      <c r="C52" s="118" t="s">
        <v>207</v>
      </c>
      <c r="D52" s="118" t="s">
        <v>177</v>
      </c>
      <c r="E52" s="116" t="s">
        <v>317</v>
      </c>
      <c r="F52" s="119">
        <f t="shared" si="0"/>
        <v>2</v>
      </c>
      <c r="G52" s="120" t="str">
        <f t="shared" si="1"/>
        <v>Chase</v>
      </c>
      <c r="H52" s="121">
        <f>IF($D52="",0,IFERROR(LOOKUP(2,1/(($D$3:D51=$D52)*($A$3:A51&lt;$A52)),$N$3:N51),'Guide &amp; Settings'!$C$41))</f>
        <v>952.62549569285341</v>
      </c>
      <c r="I52" s="122">
        <f t="shared" si="2"/>
        <v>0.33333333333333331</v>
      </c>
      <c r="J52" s="123">
        <f>IF($D52="",0,IF($F52&lt;2,0,IF($E52="Win",('Guide &amp; Settings'!$C$42/(($F52-1)*COUNTIFS($A$4:$A$311,$A52,$E$4:$E$311,"Win")))*SUMIFS($X$4:$X$311,$A$4:$A$311,$A52,$E$4:$E$311,"Loss"),-('Guide &amp; Settings'!$C$42/($F52-1))*$X52)))</f>
        <v>-13.683743875639731</v>
      </c>
      <c r="K52" s="123">
        <f>IF($D52="",0,'Guide &amp; Settings'!$C$43*(IF($E52="Win",1,0)-$I52))</f>
        <v>-4</v>
      </c>
      <c r="L52" s="124">
        <f>IF($D52="",0,'Guide &amp; Settings'!$C$44*IF($F52&gt;=3,$F52+IF($E52="Win",$F52,0),0))</f>
        <v>0</v>
      </c>
      <c r="M52" s="123">
        <f t="shared" si="3"/>
        <v>-17.683743875639731</v>
      </c>
      <c r="N52" s="121">
        <f t="shared" si="4"/>
        <v>934.94175181721369</v>
      </c>
      <c r="O52" s="120" t="str">
        <f t="shared" si="5"/>
        <v>OK</v>
      </c>
      <c r="P52">
        <f t="shared" si="6"/>
        <v>1007.0087458273716</v>
      </c>
      <c r="Q52">
        <f t="shared" si="7"/>
        <v>0.42236918646412186</v>
      </c>
      <c r="R52">
        <f t="shared" si="8"/>
        <v>0.33333333333333331</v>
      </c>
      <c r="S52">
        <f t="shared" si="9"/>
        <v>1</v>
      </c>
      <c r="T52" s="88">
        <f t="shared" si="10"/>
        <v>1</v>
      </c>
      <c r="U52" s="125">
        <f>IF($D52="",0,IFERROR(LOOKUP(2,1/(($D$3:D51=$D52)*($C$3:C51=$C52)*($A$3:A51&lt;$A52)),$AB$3:AB51),1000))</f>
        <v>984</v>
      </c>
      <c r="V52" s="125">
        <f t="shared" si="11"/>
        <v>957.85457974404449</v>
      </c>
      <c r="W52">
        <f t="shared" si="12"/>
        <v>1008.5072881894764</v>
      </c>
      <c r="X52">
        <f t="shared" si="13"/>
        <v>0.4276169961137416</v>
      </c>
      <c r="Y52">
        <f t="shared" si="14"/>
        <v>1016</v>
      </c>
      <c r="Z52">
        <f t="shared" si="15"/>
        <v>0.45407807721951632</v>
      </c>
      <c r="AA52">
        <f>IF($D52="",0,IF($F52&lt;2,0,IF($E52="Win",('Guide &amp; Settings'!$C$42/(($F52-1)*COUNTIFS($A$4:$A$311,$A52,$E$4:$E$311,"Win")))*SUMIFS($Z$4:$Z$311,$A$4:$A$311,$A52,$E$4:$E$311,"Loss"),-('Guide &amp; Settings'!$C$42/($F52-1))*$Z52)))</f>
        <v>-14.530498471024522</v>
      </c>
      <c r="AB52" s="125">
        <f t="shared" si="16"/>
        <v>969.46950152897546</v>
      </c>
      <c r="AC52" s="125">
        <f>IF($D52="","",IF(SUMPRODUCT(MAX(($D$4:$D$311=$D52)*($B$4:$B$311&lt;$B52)*$B$4:$B$311))=0,0,MAX(($B52-SUMPRODUCT(MAX(($D$4:$D$311=$D52)*($B$4:$B$311&lt;$B52)*$B$4:$B$311)))/7-'Guide &amp; Settings'!$C$48,0)*'Guide &amp; Settings'!$C$49))</f>
        <v>0</v>
      </c>
    </row>
    <row r="53" spans="1:29" ht="15" customHeight="1" x14ac:dyDescent="0.2">
      <c r="A53" s="116">
        <v>22</v>
      </c>
      <c r="B53" s="117">
        <v>46175</v>
      </c>
      <c r="C53" s="118" t="s">
        <v>207</v>
      </c>
      <c r="D53" s="118" t="s">
        <v>180</v>
      </c>
      <c r="E53" s="116" t="s">
        <v>316</v>
      </c>
      <c r="F53" s="119">
        <f t="shared" si="0"/>
        <v>2</v>
      </c>
      <c r="G53" s="120" t="str">
        <f t="shared" si="1"/>
        <v>Chase</v>
      </c>
      <c r="H53" s="121">
        <f>IF($D53="",0,IFERROR(LOOKUP(2,1/(($D$3:D52=$D53)*($A$3:A52&lt;$A53)),$N$3:N52),'Guide &amp; Settings'!$C$41))</f>
        <v>1024.6924897030115</v>
      </c>
      <c r="I53" s="122">
        <f t="shared" si="2"/>
        <v>0.75</v>
      </c>
      <c r="J53" s="123">
        <f>IF($D53="",0,IF($F53&lt;2,0,IF($E53="Win",('Guide &amp; Settings'!$C$42/(($F53-1)*COUNTIFS($A$4:$A$311,$A53,$E$4:$E$311,"Win")))*SUMIFS($X$4:$X$311,$A$4:$A$311,$A53,$E$4:$E$311,"Loss"),-('Guide &amp; Settings'!$C$42/($F53-1))*$X53)))</f>
        <v>12.311805021150274</v>
      </c>
      <c r="K53" s="123">
        <f>IF($D53="",0,'Guide &amp; Settings'!$C$43*(IF($E53="Win",1,0)-$I53))</f>
        <v>3</v>
      </c>
      <c r="L53" s="124">
        <f>IF($D53="",0,'Guide &amp; Settings'!$C$44*IF($F53&gt;=3,$F53+IF($E53="Win",$F53,0),0))</f>
        <v>0</v>
      </c>
      <c r="M53" s="123">
        <f t="shared" si="3"/>
        <v>15.311805021150274</v>
      </c>
      <c r="N53" s="121">
        <f t="shared" si="4"/>
        <v>1040.0042947241618</v>
      </c>
      <c r="O53" s="120" t="str">
        <f t="shared" si="5"/>
        <v>OK</v>
      </c>
      <c r="P53">
        <f t="shared" si="6"/>
        <v>1024.6924897030115</v>
      </c>
      <c r="Q53">
        <f t="shared" si="7"/>
        <v>0.5</v>
      </c>
      <c r="R53">
        <f t="shared" si="8"/>
        <v>0.75</v>
      </c>
      <c r="S53">
        <f t="shared" si="9"/>
        <v>1</v>
      </c>
      <c r="T53" s="88">
        <f t="shared" si="10"/>
        <v>2</v>
      </c>
      <c r="U53" s="125">
        <f>IF($D53="",0,IFERROR(LOOKUP(2,1/(($D$3:D52=$D53)*($C$3:C52=$C53)*($A$3:A52&lt;$A53)),$AB$3:AB52),1000))</f>
        <v>1030.5304984710244</v>
      </c>
      <c r="V53" s="125">
        <f t="shared" si="11"/>
        <v>1026.3604922081581</v>
      </c>
      <c r="W53">
        <f t="shared" si="12"/>
        <v>1026.3604922081581</v>
      </c>
      <c r="X53">
        <f t="shared" si="13"/>
        <v>0.5</v>
      </c>
      <c r="Y53">
        <f t="shared" si="14"/>
        <v>1030.5304984710244</v>
      </c>
      <c r="Z53">
        <f t="shared" si="15"/>
        <v>0.5</v>
      </c>
      <c r="AA53">
        <f>IF($D53="",0,IF($F53&lt;2,0,IF($E53="Win",('Guide &amp; Settings'!$C$42/(($F53-1)*COUNTIFS($A$4:$A$311,$A53,$E$4:$E$311,"Win")))*SUMIFS($Z$4:$Z$311,$A$4:$A$311,$A53,$E$4:$E$311,"Loss"),-('Guide &amp; Settings'!$C$42/($F53-1))*$Z53)))</f>
        <v>13.21663516258643</v>
      </c>
      <c r="AB53" s="125">
        <f t="shared" si="16"/>
        <v>1043.7471336336109</v>
      </c>
      <c r="AC53" s="125">
        <f>IF($D53="","",IF(SUMPRODUCT(MAX(($D$4:$D$311=$D53)*($B$4:$B$311&lt;$B53)*$B$4:$B$311))=0,0,MAX(($B53-SUMPRODUCT(MAX(($D$4:$D$311=$D53)*($B$4:$B$311&lt;$B53)*$B$4:$B$311)))/7-'Guide &amp; Settings'!$C$48,0)*'Guide &amp; Settings'!$C$49))</f>
        <v>0</v>
      </c>
    </row>
    <row r="54" spans="1:29" ht="15" customHeight="1" x14ac:dyDescent="0.2">
      <c r="A54" s="116">
        <v>22</v>
      </c>
      <c r="B54" s="117">
        <v>46175</v>
      </c>
      <c r="C54" s="118" t="s">
        <v>207</v>
      </c>
      <c r="D54" s="118" t="s">
        <v>177</v>
      </c>
      <c r="E54" s="116" t="s">
        <v>317</v>
      </c>
      <c r="F54" s="119">
        <f t="shared" si="0"/>
        <v>2</v>
      </c>
      <c r="G54" s="120" t="str">
        <f t="shared" si="1"/>
        <v>Chase</v>
      </c>
      <c r="H54" s="121">
        <f>IF($D54="",0,IFERROR(LOOKUP(2,1/(($D$3:D53=$D54)*($A$3:A53&lt;$A54)),$N$3:N53),'Guide &amp; Settings'!$C$41))</f>
        <v>934.94175181721369</v>
      </c>
      <c r="I54" s="122">
        <f t="shared" si="2"/>
        <v>0.25</v>
      </c>
      <c r="J54" s="123">
        <f>IF($D54="",0,IF($F54&lt;2,0,IF($E54="Win",('Guide &amp; Settings'!$C$42/(($F54-1)*COUNTIFS($A$4:$A$311,$A54,$E$4:$E$311,"Win")))*SUMIFS($X$4:$X$311,$A$4:$A$311,$A54,$E$4:$E$311,"Loss"),-('Guide &amp; Settings'!$C$42/($F54-1))*$X54)))</f>
        <v>-12.311805021150274</v>
      </c>
      <c r="K54" s="123">
        <f>IF($D54="",0,'Guide &amp; Settings'!$C$43*(IF($E54="Win",1,0)-$I54))</f>
        <v>-3</v>
      </c>
      <c r="L54" s="124">
        <f>IF($D54="",0,'Guide &amp; Settings'!$C$44*IF($F54&gt;=3,$F54+IF($E54="Win",$F54,0),0))</f>
        <v>0</v>
      </c>
      <c r="M54" s="123">
        <f t="shared" si="3"/>
        <v>-15.311805021150274</v>
      </c>
      <c r="N54" s="121">
        <f t="shared" si="4"/>
        <v>919.62994679606345</v>
      </c>
      <c r="O54" s="120" t="str">
        <f t="shared" si="5"/>
        <v>OK</v>
      </c>
      <c r="P54">
        <f t="shared" si="6"/>
        <v>1024.6924897030115</v>
      </c>
      <c r="Q54">
        <f t="shared" si="7"/>
        <v>0.37363666288518582</v>
      </c>
      <c r="R54">
        <f t="shared" si="8"/>
        <v>0.25</v>
      </c>
      <c r="S54">
        <f t="shared" si="9"/>
        <v>1</v>
      </c>
      <c r="T54" s="88">
        <f t="shared" si="10"/>
        <v>2</v>
      </c>
      <c r="U54" s="125">
        <f>IF($D54="",0,IFERROR(LOOKUP(2,1/(($D$3:D53=$D54)*($C$3:C53=$C54)*($A$3:A53&lt;$A54)),$AB$3:AB53),1000))</f>
        <v>969.46950152897546</v>
      </c>
      <c r="V54" s="125">
        <f t="shared" si="11"/>
        <v>944.80682316343132</v>
      </c>
      <c r="W54">
        <f t="shared" si="12"/>
        <v>1026.3604922081581</v>
      </c>
      <c r="X54">
        <f t="shared" si="13"/>
        <v>0.38474390691094607</v>
      </c>
      <c r="Y54">
        <f t="shared" si="14"/>
        <v>1030.5304984710244</v>
      </c>
      <c r="Z54">
        <f t="shared" si="15"/>
        <v>0.41301984883082593</v>
      </c>
      <c r="AA54">
        <f>IF($D54="",0,IF($F54&lt;2,0,IF($E54="Win",('Guide &amp; Settings'!$C$42/(($F54-1)*COUNTIFS($A$4:$A$311,$A54,$E$4:$E$311,"Win")))*SUMIFS($Z$4:$Z$311,$A$4:$A$311,$A54,$E$4:$E$311,"Loss"),-('Guide &amp; Settings'!$C$42/($F54-1))*$Z54)))</f>
        <v>-13.21663516258643</v>
      </c>
      <c r="AB54" s="125">
        <f t="shared" si="16"/>
        <v>956.25286636638907</v>
      </c>
      <c r="AC54" s="125">
        <f>IF($D54="","",IF(SUMPRODUCT(MAX(($D$4:$D$311=$D54)*($B$4:$B$311&lt;$B54)*$B$4:$B$311))=0,0,MAX(($B54-SUMPRODUCT(MAX(($D$4:$D$311=$D54)*($B$4:$B$311&lt;$B54)*$B$4:$B$311)))/7-'Guide &amp; Settings'!$C$48,0)*'Guide &amp; Settings'!$C$49))</f>
        <v>0</v>
      </c>
    </row>
    <row r="55" spans="1:29" ht="15" customHeight="1" x14ac:dyDescent="0.2">
      <c r="A55" s="116">
        <v>23</v>
      </c>
      <c r="B55" s="117">
        <v>46175</v>
      </c>
      <c r="C55" s="118" t="s">
        <v>207</v>
      </c>
      <c r="D55" s="118" t="s">
        <v>180</v>
      </c>
      <c r="E55" s="116" t="s">
        <v>316</v>
      </c>
      <c r="F55" s="119">
        <f t="shared" si="0"/>
        <v>2</v>
      </c>
      <c r="G55" s="120" t="str">
        <f t="shared" si="1"/>
        <v>Chase</v>
      </c>
      <c r="H55" s="121">
        <f>IF($D55="",0,IFERROR(LOOKUP(2,1/(($D$3:D54=$D55)*($A$3:A54&lt;$A55)),$N$3:N54),'Guide &amp; Settings'!$C$41))</f>
        <v>1040.0042947241618</v>
      </c>
      <c r="I55" s="122">
        <f t="shared" si="2"/>
        <v>0.8</v>
      </c>
      <c r="J55" s="123">
        <f>IF($D55="",0,IF($F55&lt;2,0,IF($E55="Win",('Guide &amp; Settings'!$C$42/(($F55-1)*COUNTIFS($A$4:$A$311,$A55,$E$4:$E$311,"Win")))*SUMIFS($X$4:$X$311,$A$4:$A$311,$A55,$E$4:$E$311,"Loss"),-('Guide &amp; Settings'!$C$42/($F55-1))*$X55)))</f>
        <v>11.178796238008086</v>
      </c>
      <c r="K55" s="123">
        <f>IF($D55="",0,'Guide &amp; Settings'!$C$43*(IF($E55="Win",1,0)-$I55))</f>
        <v>2.3999999999999995</v>
      </c>
      <c r="L55" s="124">
        <f>IF($D55="",0,'Guide &amp; Settings'!$C$44*IF($F55&gt;=3,$F55+IF($E55="Win",$F55,0),0))</f>
        <v>0</v>
      </c>
      <c r="M55" s="123">
        <f t="shared" si="3"/>
        <v>13.578796238008085</v>
      </c>
      <c r="N55" s="121">
        <f t="shared" si="4"/>
        <v>1053.58309096217</v>
      </c>
      <c r="O55" s="120" t="str">
        <f t="shared" si="5"/>
        <v>OK</v>
      </c>
      <c r="P55">
        <f t="shared" si="6"/>
        <v>1040.0042947241618</v>
      </c>
      <c r="Q55">
        <f t="shared" si="7"/>
        <v>0.5</v>
      </c>
      <c r="R55">
        <f t="shared" si="8"/>
        <v>0.8</v>
      </c>
      <c r="S55">
        <f t="shared" si="9"/>
        <v>1</v>
      </c>
      <c r="T55" s="88">
        <f t="shared" si="10"/>
        <v>3</v>
      </c>
      <c r="U55" s="125">
        <f>IF($D55="",0,IFERROR(LOOKUP(2,1/(($D$3:D54=$D55)*($C$3:C54=$C55)*($A$3:A54&lt;$A55)),$AB$3:AB54),1000))</f>
        <v>1043.7471336336109</v>
      </c>
      <c r="V55" s="125">
        <f t="shared" si="11"/>
        <v>1041.4078593152053</v>
      </c>
      <c r="W55">
        <f t="shared" si="12"/>
        <v>1041.4078593152053</v>
      </c>
      <c r="X55">
        <f t="shared" si="13"/>
        <v>0.5</v>
      </c>
      <c r="Y55">
        <f t="shared" si="14"/>
        <v>1043.7471336336109</v>
      </c>
      <c r="Z55">
        <f t="shared" si="15"/>
        <v>0.5</v>
      </c>
      <c r="AA55">
        <f>IF($D55="",0,IF($F55&lt;2,0,IF($E55="Win",('Guide &amp; Settings'!$C$42/(($F55-1)*COUNTIFS($A$4:$A$311,$A55,$E$4:$E$311,"Win")))*SUMIFS($Z$4:$Z$311,$A$4:$A$311,$A55,$E$4:$E$311,"Loss"),-('Guide &amp; Settings'!$C$42/($F55-1))*$Z55)))</f>
        <v>12.05380899538682</v>
      </c>
      <c r="AB55" s="125">
        <f t="shared" si="16"/>
        <v>1055.8009426289977</v>
      </c>
      <c r="AC55" s="125">
        <f>IF($D55="","",IF(SUMPRODUCT(MAX(($D$4:$D$311=$D55)*($B$4:$B$311&lt;$B55)*$B$4:$B$311))=0,0,MAX(($B55-SUMPRODUCT(MAX(($D$4:$D$311=$D55)*($B$4:$B$311&lt;$B55)*$B$4:$B$311)))/7-'Guide &amp; Settings'!$C$48,0)*'Guide &amp; Settings'!$C$49))</f>
        <v>0</v>
      </c>
    </row>
    <row r="56" spans="1:29" ht="15" customHeight="1" x14ac:dyDescent="0.2">
      <c r="A56" s="116">
        <v>23</v>
      </c>
      <c r="B56" s="117">
        <v>46175</v>
      </c>
      <c r="C56" s="118" t="s">
        <v>207</v>
      </c>
      <c r="D56" s="118" t="s">
        <v>177</v>
      </c>
      <c r="E56" s="116" t="s">
        <v>317</v>
      </c>
      <c r="F56" s="119">
        <f t="shared" si="0"/>
        <v>2</v>
      </c>
      <c r="G56" s="120" t="str">
        <f t="shared" si="1"/>
        <v>Chase</v>
      </c>
      <c r="H56" s="121">
        <f>IF($D56="",0,IFERROR(LOOKUP(2,1/(($D$3:D55=$D56)*($A$3:A55&lt;$A56)),$N$3:N55),'Guide &amp; Settings'!$C$41))</f>
        <v>919.62994679606345</v>
      </c>
      <c r="I56" s="122">
        <f t="shared" si="2"/>
        <v>0.2</v>
      </c>
      <c r="J56" s="123">
        <f>IF($D56="",0,IF($F56&lt;2,0,IF($E56="Win",('Guide &amp; Settings'!$C$42/(($F56-1)*COUNTIFS($A$4:$A$311,$A56,$E$4:$E$311,"Win")))*SUMIFS($X$4:$X$311,$A$4:$A$311,$A56,$E$4:$E$311,"Loss"),-('Guide &amp; Settings'!$C$42/($F56-1))*$X56)))</f>
        <v>-11.178796238008086</v>
      </c>
      <c r="K56" s="123">
        <f>IF($D56="",0,'Guide &amp; Settings'!$C$43*(IF($E56="Win",1,0)-$I56))</f>
        <v>-2.4000000000000004</v>
      </c>
      <c r="L56" s="124">
        <f>IF($D56="",0,'Guide &amp; Settings'!$C$44*IF($F56&gt;=3,$F56+IF($E56="Win",$F56,0),0))</f>
        <v>0</v>
      </c>
      <c r="M56" s="123">
        <f t="shared" si="3"/>
        <v>-13.578796238008087</v>
      </c>
      <c r="N56" s="121">
        <f t="shared" si="4"/>
        <v>906.05115055805538</v>
      </c>
      <c r="O56" s="120" t="str">
        <f t="shared" si="5"/>
        <v>OK</v>
      </c>
      <c r="P56">
        <f t="shared" si="6"/>
        <v>1040.0042947241618</v>
      </c>
      <c r="Q56">
        <f t="shared" si="7"/>
        <v>0.33338149790954069</v>
      </c>
      <c r="R56">
        <f t="shared" si="8"/>
        <v>0.2</v>
      </c>
      <c r="S56">
        <f t="shared" si="9"/>
        <v>1</v>
      </c>
      <c r="T56" s="88">
        <f t="shared" si="10"/>
        <v>3</v>
      </c>
      <c r="U56" s="125">
        <f>IF($D56="",0,IFERROR(LOOKUP(2,1/(($D$3:D55=$D56)*($C$3:C55=$C56)*($A$3:A55&lt;$A56)),$AB$3:AB55),1000))</f>
        <v>956.25286636638907</v>
      </c>
      <c r="V56" s="125">
        <f t="shared" si="11"/>
        <v>933.36354163493559</v>
      </c>
      <c r="W56">
        <f t="shared" si="12"/>
        <v>1041.4078593152053</v>
      </c>
      <c r="X56">
        <f t="shared" si="13"/>
        <v>0.3493373824377527</v>
      </c>
      <c r="Y56">
        <f t="shared" si="14"/>
        <v>1043.7471336336109</v>
      </c>
      <c r="Z56">
        <f t="shared" si="15"/>
        <v>0.37668153110583813</v>
      </c>
      <c r="AA56">
        <f>IF($D56="",0,IF($F56&lt;2,0,IF($E56="Win",('Guide &amp; Settings'!$C$42/(($F56-1)*COUNTIFS($A$4:$A$311,$A56,$E$4:$E$311,"Win")))*SUMIFS($Z$4:$Z$311,$A$4:$A$311,$A56,$E$4:$E$311,"Loss"),-('Guide &amp; Settings'!$C$42/($F56-1))*$Z56)))</f>
        <v>-12.05380899538682</v>
      </c>
      <c r="AB56" s="125">
        <f t="shared" si="16"/>
        <v>944.19905737100225</v>
      </c>
      <c r="AC56" s="125">
        <f>IF($D56="","",IF(SUMPRODUCT(MAX(($D$4:$D$311=$D56)*($B$4:$B$311&lt;$B56)*$B$4:$B$311))=0,0,MAX(($B56-SUMPRODUCT(MAX(($D$4:$D$311=$D56)*($B$4:$B$311&lt;$B56)*$B$4:$B$311)))/7-'Guide &amp; Settings'!$C$48,0)*'Guide &amp; Settings'!$C$49))</f>
        <v>0</v>
      </c>
    </row>
    <row r="57" spans="1:29" ht="15" customHeight="1" x14ac:dyDescent="0.2">
      <c r="A57" s="116">
        <v>24</v>
      </c>
      <c r="B57" s="117">
        <v>46175</v>
      </c>
      <c r="C57" s="118" t="s">
        <v>203</v>
      </c>
      <c r="D57" s="118" t="s">
        <v>144</v>
      </c>
      <c r="E57" s="116" t="s">
        <v>316</v>
      </c>
      <c r="F57" s="119">
        <f t="shared" si="0"/>
        <v>2</v>
      </c>
      <c r="G57" s="120" t="str">
        <f t="shared" si="1"/>
        <v>Josh</v>
      </c>
      <c r="H57" s="121">
        <f>IF($D57="",0,IFERROR(LOOKUP(2,1/(($D$3:D56=$D57)*($A$3:A56&lt;$A57)),$N$3:N56),'Guide &amp; Settings'!$C$41))</f>
        <v>1062.1072831944462</v>
      </c>
      <c r="I57" s="122">
        <f t="shared" si="2"/>
        <v>0.8</v>
      </c>
      <c r="J57" s="123">
        <f>IF($D57="",0,IF($F57&lt;2,0,IF($E57="Win",('Guide &amp; Settings'!$C$42/(($F57-1)*COUNTIFS($A$4:$A$311,$A57,$E$4:$E$311,"Win")))*SUMIFS($X$4:$X$311,$A$4:$A$311,$A57,$E$4:$E$311,"Loss"),-('Guide &amp; Settings'!$C$42/($F57-1))*$X57)))</f>
        <v>10.263990355802978</v>
      </c>
      <c r="K57" s="123">
        <f>IF($D57="",0,'Guide &amp; Settings'!$C$43*(IF($E57="Win",1,0)-$I57))</f>
        <v>2.3999999999999995</v>
      </c>
      <c r="L57" s="124">
        <f>IF($D57="",0,'Guide &amp; Settings'!$C$44*IF($F57&gt;=3,$F57+IF($E57="Win",$F57,0),0))</f>
        <v>0</v>
      </c>
      <c r="M57" s="123">
        <f t="shared" si="3"/>
        <v>12.663990355802976</v>
      </c>
      <c r="N57" s="121">
        <f t="shared" si="4"/>
        <v>1074.7712735502491</v>
      </c>
      <c r="O57" s="120" t="str">
        <f t="shared" si="5"/>
        <v>OK</v>
      </c>
      <c r="P57">
        <f t="shared" si="6"/>
        <v>1062.1072831944462</v>
      </c>
      <c r="Q57">
        <f t="shared" si="7"/>
        <v>0.5</v>
      </c>
      <c r="R57">
        <f t="shared" si="8"/>
        <v>0.8</v>
      </c>
      <c r="S57">
        <f t="shared" si="9"/>
        <v>1</v>
      </c>
      <c r="T57" s="88">
        <f t="shared" si="10"/>
        <v>3</v>
      </c>
      <c r="U57" s="125">
        <f>IF($D57="",0,IFERROR(LOOKUP(2,1/(($D$3:D56=$D57)*($C$3:C56=$C57)*($A$3:A56&lt;$A57)),$AB$3:AB56),1000))</f>
        <v>1043.7471336336109</v>
      </c>
      <c r="V57" s="125">
        <f t="shared" si="11"/>
        <v>1055.2222271091327</v>
      </c>
      <c r="W57">
        <f t="shared" si="12"/>
        <v>1055.2222271091327</v>
      </c>
      <c r="X57">
        <f t="shared" si="13"/>
        <v>0.5</v>
      </c>
      <c r="Y57">
        <f t="shared" si="14"/>
        <v>1043.7471336336109</v>
      </c>
      <c r="Z57">
        <f t="shared" si="15"/>
        <v>0.5</v>
      </c>
      <c r="AA57">
        <f>IF($D57="",0,IF($F57&lt;2,0,IF($E57="Win",('Guide &amp; Settings'!$C$42/(($F57-1)*COUNTIFS($A$4:$A$311,$A57,$E$4:$E$311,"Win")))*SUMIFS($Z$4:$Z$311,$A$4:$A$311,$A57,$E$4:$E$311,"Loss"),-('Guide &amp; Settings'!$C$42/($F57-1))*$Z57)))</f>
        <v>12.05380899538682</v>
      </c>
      <c r="AB57" s="125">
        <f t="shared" si="16"/>
        <v>1055.8009426289977</v>
      </c>
      <c r="AC57" s="125">
        <f>IF($D57="","",IF(SUMPRODUCT(MAX(($D$4:$D$311=$D57)*($B$4:$B$311&lt;$B57)*$B$4:$B$311))=0,0,MAX(($B57-SUMPRODUCT(MAX(($D$4:$D$311=$D57)*($B$4:$B$311&lt;$B57)*$B$4:$B$311)))/7-'Guide &amp; Settings'!$C$48,0)*'Guide &amp; Settings'!$C$49))</f>
        <v>0</v>
      </c>
    </row>
    <row r="58" spans="1:29" ht="15" customHeight="1" x14ac:dyDescent="0.2">
      <c r="A58" s="116">
        <v>24</v>
      </c>
      <c r="B58" s="117">
        <v>46175</v>
      </c>
      <c r="C58" s="118" t="s">
        <v>203</v>
      </c>
      <c r="D58" s="118" t="s">
        <v>177</v>
      </c>
      <c r="E58" s="116" t="s">
        <v>317</v>
      </c>
      <c r="F58" s="119">
        <f t="shared" si="0"/>
        <v>2</v>
      </c>
      <c r="G58" s="120" t="str">
        <f t="shared" si="1"/>
        <v>Josh</v>
      </c>
      <c r="H58" s="121">
        <f>IF($D58="",0,IFERROR(LOOKUP(2,1/(($D$3:D57=$D58)*($A$3:A57&lt;$A58)),$N$3:N57),'Guide &amp; Settings'!$C$41))</f>
        <v>906.05115055805538</v>
      </c>
      <c r="I58" s="122">
        <f t="shared" si="2"/>
        <v>0.2</v>
      </c>
      <c r="J58" s="123">
        <f>IF($D58="",0,IF($F58&lt;2,0,IF($E58="Win",('Guide &amp; Settings'!$C$42/(($F58-1)*COUNTIFS($A$4:$A$311,$A58,$E$4:$E$311,"Win")))*SUMIFS($X$4:$X$311,$A$4:$A$311,$A58,$E$4:$E$311,"Loss"),-('Guide &amp; Settings'!$C$42/($F58-1))*$X58)))</f>
        <v>-10.263990355802978</v>
      </c>
      <c r="K58" s="123">
        <f>IF($D58="",0,'Guide &amp; Settings'!$C$43*(IF($E58="Win",1,0)-$I58))</f>
        <v>-2.4000000000000004</v>
      </c>
      <c r="L58" s="124">
        <f>IF($D58="",0,'Guide &amp; Settings'!$C$44*IF($F58&gt;=3,$F58+IF($E58="Win",$F58,0),0))</f>
        <v>0</v>
      </c>
      <c r="M58" s="123">
        <f t="shared" si="3"/>
        <v>-12.663990355802978</v>
      </c>
      <c r="N58" s="121">
        <f t="shared" si="4"/>
        <v>893.3871602022524</v>
      </c>
      <c r="O58" s="120" t="str">
        <f t="shared" si="5"/>
        <v>OK</v>
      </c>
      <c r="P58">
        <f t="shared" si="6"/>
        <v>1062.1072831944462</v>
      </c>
      <c r="Q58">
        <f t="shared" si="7"/>
        <v>0.28939353400646378</v>
      </c>
      <c r="R58">
        <f t="shared" si="8"/>
        <v>0.2</v>
      </c>
      <c r="S58">
        <f t="shared" si="9"/>
        <v>1</v>
      </c>
      <c r="T58" s="88">
        <f t="shared" si="10"/>
        <v>3</v>
      </c>
      <c r="U58" s="125">
        <f>IF($D58="",0,IFERROR(LOOKUP(2,1/(($D$3:D57=$D58)*($C$3:C57=$C58)*($A$3:A57&lt;$A58)),$AB$3:AB57),1000))</f>
        <v>956.25286636638907</v>
      </c>
      <c r="V58" s="125">
        <f t="shared" si="11"/>
        <v>924.87679398618059</v>
      </c>
      <c r="W58">
        <f t="shared" si="12"/>
        <v>1055.2222271091327</v>
      </c>
      <c r="X58">
        <f t="shared" si="13"/>
        <v>0.32074969861884306</v>
      </c>
      <c r="Y58">
        <f t="shared" si="14"/>
        <v>1043.7471336336109</v>
      </c>
      <c r="Z58">
        <f t="shared" si="15"/>
        <v>0.37668153110583813</v>
      </c>
      <c r="AA58">
        <f>IF($D58="",0,IF($F58&lt;2,0,IF($E58="Win",('Guide &amp; Settings'!$C$42/(($F58-1)*COUNTIFS($A$4:$A$311,$A58,$E$4:$E$311,"Win")))*SUMIFS($Z$4:$Z$311,$A$4:$A$311,$A58,$E$4:$E$311,"Loss"),-('Guide &amp; Settings'!$C$42/($F58-1))*$Z58)))</f>
        <v>-12.05380899538682</v>
      </c>
      <c r="AB58" s="125">
        <f t="shared" si="16"/>
        <v>944.19905737100225</v>
      </c>
      <c r="AC58" s="125">
        <f>IF($D58="","",IF(SUMPRODUCT(MAX(($D$4:$D$311=$D58)*($B$4:$B$311&lt;$B58)*$B$4:$B$311))=0,0,MAX(($B58-SUMPRODUCT(MAX(($D$4:$D$311=$D58)*($B$4:$B$311&lt;$B58)*$B$4:$B$311)))/7-'Guide &amp; Settings'!$C$48,0)*'Guide &amp; Settings'!$C$49))</f>
        <v>0</v>
      </c>
    </row>
    <row r="59" spans="1:29" ht="15" customHeight="1" x14ac:dyDescent="0.2">
      <c r="A59" s="116">
        <v>25</v>
      </c>
      <c r="B59" s="117">
        <v>46175</v>
      </c>
      <c r="C59" s="118" t="s">
        <v>203</v>
      </c>
      <c r="D59" s="118" t="s">
        <v>144</v>
      </c>
      <c r="E59" s="116" t="s">
        <v>316</v>
      </c>
      <c r="F59" s="119">
        <f t="shared" si="0"/>
        <v>2</v>
      </c>
      <c r="G59" s="120" t="str">
        <f t="shared" si="1"/>
        <v>Josh</v>
      </c>
      <c r="H59" s="121">
        <f>IF($D59="",0,IFERROR(LOOKUP(2,1/(($D$3:D58=$D59)*($A$3:A58&lt;$A59)),$N$3:N58),'Guide &amp; Settings'!$C$41))</f>
        <v>1074.7712735502491</v>
      </c>
      <c r="I59" s="122">
        <f t="shared" si="2"/>
        <v>0.625</v>
      </c>
      <c r="J59" s="123">
        <f>IF($D59="",0,IF($F59&lt;2,0,IF($E59="Win",('Guide &amp; Settings'!$C$42/(($F59-1)*COUNTIFS($A$4:$A$311,$A59,$E$4:$E$311,"Win")))*SUMIFS($X$4:$X$311,$A$4:$A$311,$A59,$E$4:$E$311,"Loss"),-('Guide &amp; Settings'!$C$42/($F59-1))*$X59)))</f>
        <v>13.169111731717953</v>
      </c>
      <c r="K59" s="123">
        <f>IF($D59="",0,'Guide &amp; Settings'!$C$43*(IF($E59="Win",1,0)-$I59))</f>
        <v>4.5</v>
      </c>
      <c r="L59" s="124">
        <f>IF($D59="",0,'Guide &amp; Settings'!$C$44*IF($F59&gt;=3,$F59+IF($E59="Win",$F59,0),0))</f>
        <v>0</v>
      </c>
      <c r="M59" s="123">
        <f t="shared" si="3"/>
        <v>17.669111731717955</v>
      </c>
      <c r="N59" s="121">
        <f t="shared" si="4"/>
        <v>1092.4403852819671</v>
      </c>
      <c r="O59" s="120" t="str">
        <f t="shared" si="5"/>
        <v>OK</v>
      </c>
      <c r="P59">
        <f t="shared" si="6"/>
        <v>1074.7712735502491</v>
      </c>
      <c r="Q59">
        <f t="shared" si="7"/>
        <v>0.5</v>
      </c>
      <c r="R59">
        <f t="shared" si="8"/>
        <v>0.83333333333333337</v>
      </c>
      <c r="S59">
        <f t="shared" si="9"/>
        <v>1.3333333333333335</v>
      </c>
      <c r="T59" s="88">
        <f t="shared" si="10"/>
        <v>4</v>
      </c>
      <c r="U59" s="125">
        <f>IF($D59="",0,IFERROR(LOOKUP(2,1/(($D$3:D58=$D59)*($C$3:C58=$C59)*($A$3:A58&lt;$A59)),$AB$3:AB58),1000))</f>
        <v>1055.8009426289977</v>
      </c>
      <c r="V59" s="125">
        <f t="shared" si="11"/>
        <v>1066.3400153630264</v>
      </c>
      <c r="W59">
        <f t="shared" si="12"/>
        <v>1066.3400153630264</v>
      </c>
      <c r="X59">
        <f t="shared" si="13"/>
        <v>0.5</v>
      </c>
      <c r="Y59">
        <f t="shared" si="14"/>
        <v>1055.8009426289977</v>
      </c>
      <c r="Z59">
        <f t="shared" si="15"/>
        <v>0.5</v>
      </c>
      <c r="AA59">
        <f>IF($D59="",0,IF($F59&lt;2,0,IF($E59="Win",('Guide &amp; Settings'!$C$42/(($F59-1)*COUNTIFS($A$4:$A$311,$A59,$E$4:$E$311,"Win")))*SUMIFS($Z$4:$Z$311,$A$4:$A$311,$A59,$E$4:$E$311,"Loss"),-('Guide &amp; Settings'!$C$42/($F59-1))*$Z59)))</f>
        <v>13.452141330484256</v>
      </c>
      <c r="AB59" s="125">
        <f t="shared" si="16"/>
        <v>1069.253083959482</v>
      </c>
      <c r="AC59" s="125">
        <f>IF($D59="","",IF(SUMPRODUCT(MAX(($D$4:$D$311=$D59)*($B$4:$B$311&lt;$B59)*$B$4:$B$311))=0,0,MAX(($B59-SUMPRODUCT(MAX(($D$4:$D$311=$D59)*($B$4:$B$311&lt;$B59)*$B$4:$B$311)))/7-'Guide &amp; Settings'!$C$48,0)*'Guide &amp; Settings'!$C$49))</f>
        <v>0</v>
      </c>
    </row>
    <row r="60" spans="1:29" ht="15" customHeight="1" x14ac:dyDescent="0.2">
      <c r="A60" s="116">
        <v>25</v>
      </c>
      <c r="B60" s="117">
        <v>46175</v>
      </c>
      <c r="C60" s="118" t="s">
        <v>203</v>
      </c>
      <c r="D60" s="118" t="s">
        <v>147</v>
      </c>
      <c r="E60" s="116" t="s">
        <v>317</v>
      </c>
      <c r="F60" s="119">
        <f t="shared" si="0"/>
        <v>2</v>
      </c>
      <c r="G60" s="120" t="str">
        <f t="shared" si="1"/>
        <v>Josh</v>
      </c>
      <c r="H60" s="121">
        <f>IF($D60="",0,IFERROR(LOOKUP(2,1/(($D$3:D59=$D60)*($A$3:A59&lt;$A60)),$N$3:N59),'Guide &amp; Settings'!$C$41))</f>
        <v>1004.2142857142857</v>
      </c>
      <c r="I60" s="122">
        <f t="shared" si="2"/>
        <v>0.37499999999999994</v>
      </c>
      <c r="J60" s="123">
        <f>IF($D60="",0,IF($F60&lt;2,0,IF($E60="Win",('Guide &amp; Settings'!$C$42/(($F60-1)*COUNTIFS($A$4:$A$311,$A60,$E$4:$E$311,"Win")))*SUMIFS($X$4:$X$311,$A$4:$A$311,$A60,$E$4:$E$311,"Loss"),-('Guide &amp; Settings'!$C$42/($F60-1))*$X60)))</f>
        <v>-13.169111731717953</v>
      </c>
      <c r="K60" s="123">
        <f>IF($D60="",0,'Guide &amp; Settings'!$C$43*(IF($E60="Win",1,0)-$I60))</f>
        <v>-4.4999999999999991</v>
      </c>
      <c r="L60" s="124">
        <f>IF($D60="",0,'Guide &amp; Settings'!$C$44*IF($F60&gt;=3,$F60+IF($E60="Win",$F60,0),0))</f>
        <v>0</v>
      </c>
      <c r="M60" s="123">
        <f t="shared" si="3"/>
        <v>-17.669111731717951</v>
      </c>
      <c r="N60" s="121">
        <f t="shared" si="4"/>
        <v>986.54517398256769</v>
      </c>
      <c r="O60" s="120" t="str">
        <f t="shared" si="5"/>
        <v>OK</v>
      </c>
      <c r="P60">
        <f t="shared" si="6"/>
        <v>1074.7712735502491</v>
      </c>
      <c r="Q60">
        <f t="shared" si="7"/>
        <v>0.39983355645794677</v>
      </c>
      <c r="R60">
        <f t="shared" si="8"/>
        <v>0.5</v>
      </c>
      <c r="S60">
        <f t="shared" si="9"/>
        <v>1.3333333333333335</v>
      </c>
      <c r="T60" s="88">
        <f t="shared" si="10"/>
        <v>0</v>
      </c>
      <c r="U60" s="125">
        <f>IF($D60="",0,IFERROR(LOOKUP(2,1/(($D$3:D59=$D60)*($C$3:C59=$C60)*($A$3:A59&lt;$A60)),$AB$3:AB59),1000))</f>
        <v>1000</v>
      </c>
      <c r="V60" s="125">
        <f t="shared" si="11"/>
        <v>1004.2142857142857</v>
      </c>
      <c r="W60">
        <f t="shared" si="12"/>
        <v>1066.3400153630264</v>
      </c>
      <c r="X60">
        <f t="shared" si="13"/>
        <v>0.41153474161618603</v>
      </c>
      <c r="Y60">
        <f t="shared" si="14"/>
        <v>1055.8009426289977</v>
      </c>
      <c r="Z60">
        <f t="shared" si="15"/>
        <v>0.420379416577633</v>
      </c>
      <c r="AA60">
        <f>IF($D60="",0,IF($F60&lt;2,0,IF($E60="Win",('Guide &amp; Settings'!$C$42/(($F60-1)*COUNTIFS($A$4:$A$311,$A60,$E$4:$E$311,"Win")))*SUMIFS($Z$4:$Z$311,$A$4:$A$311,$A60,$E$4:$E$311,"Loss"),-('Guide &amp; Settings'!$C$42/($F60-1))*$Z60)))</f>
        <v>-13.452141330484256</v>
      </c>
      <c r="AB60" s="125">
        <f t="shared" si="16"/>
        <v>986.54785866951579</v>
      </c>
      <c r="AC60" s="125">
        <f>IF($D60="","",IF(SUMPRODUCT(MAX(($D$4:$D$311=$D60)*($B$4:$B$311&lt;$B60)*$B$4:$B$311))=0,0,MAX(($B60-SUMPRODUCT(MAX(($D$4:$D$311=$D60)*($B$4:$B$311&lt;$B60)*$B$4:$B$311)))/7-'Guide &amp; Settings'!$C$48,0)*'Guide &amp; Settings'!$C$49))</f>
        <v>0</v>
      </c>
    </row>
    <row r="61" spans="1:29" ht="15" customHeight="1" x14ac:dyDescent="0.2">
      <c r="A61" s="116">
        <v>26</v>
      </c>
      <c r="B61" s="117">
        <v>46175</v>
      </c>
      <c r="C61" s="118" t="s">
        <v>203</v>
      </c>
      <c r="D61" s="118" t="s">
        <v>147</v>
      </c>
      <c r="E61" s="116" t="s">
        <v>317</v>
      </c>
      <c r="F61" s="119">
        <f t="shared" si="0"/>
        <v>2</v>
      </c>
      <c r="G61" s="120" t="str">
        <f t="shared" si="1"/>
        <v>Daniel (Ferret)</v>
      </c>
      <c r="H61" s="121">
        <f>IF($D61="",0,IFERROR(LOOKUP(2,1/(($D$3:D60=$D61)*($A$3:A60&lt;$A61)),$N$3:N60),'Guide &amp; Settings'!$C$41))</f>
        <v>986.54517398256769</v>
      </c>
      <c r="I61" s="122">
        <f t="shared" si="2"/>
        <v>0.66666666666666663</v>
      </c>
      <c r="J61" s="123">
        <f>IF($D61="",0,IF($F61&lt;2,0,IF($E61="Win",('Guide &amp; Settings'!$C$42/(($F61-1)*COUNTIFS($A$4:$A$311,$A61,$E$4:$E$311,"Win")))*SUMIFS($X$4:$X$311,$A$4:$A$311,$A61,$E$4:$E$311,"Loss"),-('Guide &amp; Settings'!$C$42/($F61-1))*$X61)))</f>
        <v>-19.206139881960972</v>
      </c>
      <c r="K61" s="123">
        <f>IF($D61="",0,'Guide &amp; Settings'!$C$43*(IF($E61="Win",1,0)-$I61))</f>
        <v>-8</v>
      </c>
      <c r="L61" s="124">
        <f>IF($D61="",0,'Guide &amp; Settings'!$C$44*IF($F61&gt;=3,$F61+IF($E61="Win",$F61,0),0))</f>
        <v>0</v>
      </c>
      <c r="M61" s="123">
        <f t="shared" si="3"/>
        <v>-27.206139881960972</v>
      </c>
      <c r="N61" s="121">
        <f t="shared" si="4"/>
        <v>959.33903410060668</v>
      </c>
      <c r="O61" s="120" t="str">
        <f t="shared" si="5"/>
        <v>OK</v>
      </c>
      <c r="P61">
        <f t="shared" si="6"/>
        <v>893.3871602022524</v>
      </c>
      <c r="Q61">
        <f t="shared" si="7"/>
        <v>0.63094211807893896</v>
      </c>
      <c r="R61">
        <f t="shared" si="8"/>
        <v>0.33333333333333331</v>
      </c>
      <c r="S61">
        <f t="shared" si="9"/>
        <v>0.5</v>
      </c>
      <c r="T61" s="88">
        <f t="shared" si="10"/>
        <v>1</v>
      </c>
      <c r="U61" s="125">
        <f>IF($D61="",0,IFERROR(LOOKUP(2,1/(($D$3:D60=$D61)*($C$3:C60=$C61)*($A$3:A60&lt;$A61)),$AB$3:AB60),1000))</f>
        <v>986.54785866951579</v>
      </c>
      <c r="V61" s="125">
        <f t="shared" si="11"/>
        <v>986.54562143039243</v>
      </c>
      <c r="W61">
        <f t="shared" si="12"/>
        <v>915.97022561058566</v>
      </c>
      <c r="X61">
        <f t="shared" si="13"/>
        <v>0.60019187131128038</v>
      </c>
      <c r="Y61">
        <f t="shared" si="14"/>
        <v>944.19905737100225</v>
      </c>
      <c r="Z61">
        <f t="shared" si="15"/>
        <v>0.56064478622154601</v>
      </c>
      <c r="AA61">
        <f>IF($D61="",0,IF($F61&lt;2,0,IF($E61="Win",('Guide &amp; Settings'!$C$42/(($F61-1)*COUNTIFS($A$4:$A$311,$A61,$E$4:$E$311,"Win")))*SUMIFS($Z$4:$Z$311,$A$4:$A$311,$A61,$E$4:$E$311,"Loss"),-('Guide &amp; Settings'!$C$42/($F61-1))*$Z61)))</f>
        <v>-17.940633159089472</v>
      </c>
      <c r="AB61" s="125">
        <f t="shared" si="16"/>
        <v>968.60722551042636</v>
      </c>
      <c r="AC61" s="125">
        <f>IF($D61="","",IF(SUMPRODUCT(MAX(($D$4:$D$311=$D61)*($B$4:$B$311&lt;$B61)*$B$4:$B$311))=0,0,MAX(($B61-SUMPRODUCT(MAX(($D$4:$D$311=$D61)*($B$4:$B$311&lt;$B61)*$B$4:$B$311)))/7-'Guide &amp; Settings'!$C$48,0)*'Guide &amp; Settings'!$C$49))</f>
        <v>0</v>
      </c>
    </row>
    <row r="62" spans="1:29" ht="15" customHeight="1" x14ac:dyDescent="0.2">
      <c r="A62" s="116">
        <v>26</v>
      </c>
      <c r="B62" s="117">
        <v>46175</v>
      </c>
      <c r="C62" s="118" t="s">
        <v>203</v>
      </c>
      <c r="D62" s="118" t="s">
        <v>177</v>
      </c>
      <c r="E62" s="116" t="s">
        <v>316</v>
      </c>
      <c r="F62" s="119">
        <f t="shared" si="0"/>
        <v>2</v>
      </c>
      <c r="G62" s="120" t="str">
        <f t="shared" si="1"/>
        <v>Daniel (Ferret)</v>
      </c>
      <c r="H62" s="121">
        <f>IF($D62="",0,IFERROR(LOOKUP(2,1/(($D$3:D61=$D62)*($A$3:A61&lt;$A62)),$N$3:N61),'Guide &amp; Settings'!$C$41))</f>
        <v>893.3871602022524</v>
      </c>
      <c r="I62" s="122">
        <f t="shared" si="2"/>
        <v>0.33333333333333331</v>
      </c>
      <c r="J62" s="123">
        <f>IF($D62="",0,IF($F62&lt;2,0,IF($E62="Win",('Guide &amp; Settings'!$C$42/(($F62-1)*COUNTIFS($A$4:$A$311,$A62,$E$4:$E$311,"Win")))*SUMIFS($X$4:$X$311,$A$4:$A$311,$A62,$E$4:$E$311,"Loss"),-('Guide &amp; Settings'!$C$42/($F62-1))*$X62)))</f>
        <v>19.206139881960972</v>
      </c>
      <c r="K62" s="123">
        <f>IF($D62="",0,'Guide &amp; Settings'!$C$43*(IF($E62="Win",1,0)-$I62))</f>
        <v>8</v>
      </c>
      <c r="L62" s="124">
        <f>IF($D62="",0,'Guide &amp; Settings'!$C$44*IF($F62&gt;=3,$F62+IF($E62="Win",$F62,0),0))</f>
        <v>0</v>
      </c>
      <c r="M62" s="123">
        <f t="shared" si="3"/>
        <v>27.206139881960972</v>
      </c>
      <c r="N62" s="121">
        <f t="shared" si="4"/>
        <v>920.59330008421341</v>
      </c>
      <c r="O62" s="120" t="str">
        <f t="shared" si="5"/>
        <v>OK</v>
      </c>
      <c r="P62">
        <f t="shared" si="6"/>
        <v>893.3871602022524</v>
      </c>
      <c r="Q62">
        <f t="shared" si="7"/>
        <v>0.5</v>
      </c>
      <c r="R62">
        <f t="shared" si="8"/>
        <v>0.16666666666666666</v>
      </c>
      <c r="S62">
        <f t="shared" si="9"/>
        <v>0.5</v>
      </c>
      <c r="T62" s="88">
        <f t="shared" si="10"/>
        <v>4</v>
      </c>
      <c r="U62" s="125">
        <f>IF($D62="",0,IFERROR(LOOKUP(2,1/(($D$3:D61=$D62)*($C$3:C61=$C62)*($A$3:A61&lt;$A62)),$AB$3:AB61),1000))</f>
        <v>944.19905737100225</v>
      </c>
      <c r="V62" s="125">
        <f t="shared" si="11"/>
        <v>915.97022561058566</v>
      </c>
      <c r="W62">
        <f t="shared" si="12"/>
        <v>915.97022561058566</v>
      </c>
      <c r="X62">
        <f t="shared" si="13"/>
        <v>0.5</v>
      </c>
      <c r="Y62">
        <f t="shared" si="14"/>
        <v>944.19905737100225</v>
      </c>
      <c r="Z62">
        <f t="shared" si="15"/>
        <v>0.5</v>
      </c>
      <c r="AA62">
        <f>IF($D62="",0,IF($F62&lt;2,0,IF($E62="Win",('Guide &amp; Settings'!$C$42/(($F62-1)*COUNTIFS($A$4:$A$311,$A62,$E$4:$E$311,"Win")))*SUMIFS($Z$4:$Z$311,$A$4:$A$311,$A62,$E$4:$E$311,"Loss"),-('Guide &amp; Settings'!$C$42/($F62-1))*$Z62)))</f>
        <v>17.940633159089472</v>
      </c>
      <c r="AB62" s="125">
        <f t="shared" si="16"/>
        <v>962.13969053009168</v>
      </c>
      <c r="AC62" s="125">
        <f>IF($D62="","",IF(SUMPRODUCT(MAX(($D$4:$D$311=$D62)*($B$4:$B$311&lt;$B62)*$B$4:$B$311))=0,0,MAX(($B62-SUMPRODUCT(MAX(($D$4:$D$311=$D62)*($B$4:$B$311&lt;$B62)*$B$4:$B$311)))/7-'Guide &amp; Settings'!$C$48,0)*'Guide &amp; Settings'!$C$49))</f>
        <v>0</v>
      </c>
    </row>
    <row r="63" spans="1:29" ht="15" customHeight="1" x14ac:dyDescent="0.2">
      <c r="A63" s="116">
        <v>27</v>
      </c>
      <c r="B63" s="117">
        <v>46175</v>
      </c>
      <c r="C63" s="118" t="s">
        <v>203</v>
      </c>
      <c r="D63" s="118" t="s">
        <v>144</v>
      </c>
      <c r="E63" s="116" t="s">
        <v>316</v>
      </c>
      <c r="F63" s="119">
        <f t="shared" si="0"/>
        <v>2</v>
      </c>
      <c r="G63" s="120" t="str">
        <f t="shared" si="1"/>
        <v>Josh</v>
      </c>
      <c r="H63" s="121">
        <f>IF($D63="",0,IFERROR(LOOKUP(2,1/(($D$3:D62=$D63)*($A$3:A62&lt;$A63)),$N$3:N62),'Guide &amp; Settings'!$C$41))</f>
        <v>1092.4403852819671</v>
      </c>
      <c r="I63" s="122">
        <f t="shared" si="2"/>
        <v>0.75</v>
      </c>
      <c r="J63" s="123">
        <f>IF($D63="",0,IF($F63&lt;2,0,IF($E63="Win",('Guide &amp; Settings'!$C$42/(($F63-1)*COUNTIFS($A$4:$A$311,$A63,$E$4:$E$311,"Win")))*SUMIFS($X$4:$X$311,$A$4:$A$311,$A63,$E$4:$E$311,"Loss"),-('Guide &amp; Settings'!$C$42/($F63-1))*$X63)))</f>
        <v>9.9008892109707798</v>
      </c>
      <c r="K63" s="123">
        <f>IF($D63="",0,'Guide &amp; Settings'!$C$43*(IF($E63="Win",1,0)-$I63))</f>
        <v>3</v>
      </c>
      <c r="L63" s="124">
        <f>IF($D63="",0,'Guide &amp; Settings'!$C$44*IF($F63&gt;=3,$F63+IF($E63="Win",$F63,0),0))</f>
        <v>0</v>
      </c>
      <c r="M63" s="123">
        <f t="shared" si="3"/>
        <v>12.90088921097078</v>
      </c>
      <c r="N63" s="121">
        <f t="shared" si="4"/>
        <v>1105.3412744929378</v>
      </c>
      <c r="O63" s="120" t="str">
        <f t="shared" si="5"/>
        <v>OK</v>
      </c>
      <c r="P63">
        <f t="shared" si="6"/>
        <v>1092.4403852819671</v>
      </c>
      <c r="Q63">
        <f t="shared" si="7"/>
        <v>0.5</v>
      </c>
      <c r="R63">
        <f t="shared" si="8"/>
        <v>0.8571428571428571</v>
      </c>
      <c r="S63">
        <f t="shared" si="9"/>
        <v>1.1428571428571428</v>
      </c>
      <c r="T63" s="88">
        <f t="shared" si="10"/>
        <v>5</v>
      </c>
      <c r="U63" s="125">
        <f>IF($D63="",0,IFERROR(LOOKUP(2,1/(($D$3:D62=$D63)*($C$3:C62=$C63)*($A$3:A62&lt;$A63)),$AB$3:AB62),1000))</f>
        <v>1069.253083959482</v>
      </c>
      <c r="V63" s="125">
        <f t="shared" si="11"/>
        <v>1080.8467346207244</v>
      </c>
      <c r="W63">
        <f t="shared" si="12"/>
        <v>1080.8467346207244</v>
      </c>
      <c r="X63">
        <f t="shared" si="13"/>
        <v>0.5</v>
      </c>
      <c r="Y63">
        <f t="shared" si="14"/>
        <v>1069.253083959482</v>
      </c>
      <c r="Z63">
        <f t="shared" si="15"/>
        <v>0.5</v>
      </c>
      <c r="AA63">
        <f>IF($D63="",0,IF($F63&lt;2,0,IF($E63="Win",('Guide &amp; Settings'!$C$42/(($F63-1)*COUNTIFS($A$4:$A$311,$A63,$E$4:$E$311,"Win")))*SUMIFS($Z$4:$Z$311,$A$4:$A$311,$A63,$E$4:$E$311,"Loss"),-('Guide &amp; Settings'!$C$42/($F63-1))*$Z63)))</f>
        <v>11.217805764397081</v>
      </c>
      <c r="AB63" s="125">
        <f t="shared" si="16"/>
        <v>1080.4708897238791</v>
      </c>
      <c r="AC63" s="125">
        <f>IF($D63="","",IF(SUMPRODUCT(MAX(($D$4:$D$311=$D63)*($B$4:$B$311&lt;$B63)*$B$4:$B$311))=0,0,MAX(($B63-SUMPRODUCT(MAX(($D$4:$D$311=$D63)*($B$4:$B$311&lt;$B63)*$B$4:$B$311)))/7-'Guide &amp; Settings'!$C$48,0)*'Guide &amp; Settings'!$C$49))</f>
        <v>0</v>
      </c>
    </row>
    <row r="64" spans="1:29" ht="15" customHeight="1" x14ac:dyDescent="0.2">
      <c r="A64" s="116">
        <v>27</v>
      </c>
      <c r="B64" s="117">
        <v>46175</v>
      </c>
      <c r="C64" s="118" t="s">
        <v>203</v>
      </c>
      <c r="D64" s="118" t="s">
        <v>177</v>
      </c>
      <c r="E64" s="116" t="s">
        <v>317</v>
      </c>
      <c r="F64" s="119">
        <f t="shared" si="0"/>
        <v>2</v>
      </c>
      <c r="G64" s="120" t="str">
        <f t="shared" si="1"/>
        <v>Josh</v>
      </c>
      <c r="H64" s="121">
        <f>IF($D64="",0,IFERROR(LOOKUP(2,1/(($D$3:D63=$D64)*($A$3:A63&lt;$A64)),$N$3:N63),'Guide &amp; Settings'!$C$41))</f>
        <v>920.59330008421341</v>
      </c>
      <c r="I64" s="122">
        <f t="shared" si="2"/>
        <v>0.25</v>
      </c>
      <c r="J64" s="123">
        <f>IF($D64="",0,IF($F64&lt;2,0,IF($E64="Win",('Guide &amp; Settings'!$C$42/(($F64-1)*COUNTIFS($A$4:$A$311,$A64,$E$4:$E$311,"Win")))*SUMIFS($X$4:$X$311,$A$4:$A$311,$A64,$E$4:$E$311,"Loss"),-('Guide &amp; Settings'!$C$42/($F64-1))*$X64)))</f>
        <v>-9.9008892109707798</v>
      </c>
      <c r="K64" s="123">
        <f>IF($D64="",0,'Guide &amp; Settings'!$C$43*(IF($E64="Win",1,0)-$I64))</f>
        <v>-3</v>
      </c>
      <c r="L64" s="124">
        <f>IF($D64="",0,'Guide &amp; Settings'!$C$44*IF($F64&gt;=3,$F64+IF($E64="Win",$F64,0),0))</f>
        <v>0</v>
      </c>
      <c r="M64" s="123">
        <f t="shared" si="3"/>
        <v>-12.90088921097078</v>
      </c>
      <c r="N64" s="121">
        <f t="shared" si="4"/>
        <v>907.69241087324258</v>
      </c>
      <c r="O64" s="120" t="str">
        <f t="shared" si="5"/>
        <v>OK</v>
      </c>
      <c r="P64">
        <f t="shared" si="6"/>
        <v>1092.4403852819671</v>
      </c>
      <c r="Q64">
        <f t="shared" si="7"/>
        <v>0.27106392880362601</v>
      </c>
      <c r="R64">
        <f t="shared" si="8"/>
        <v>0.2857142857142857</v>
      </c>
      <c r="S64">
        <f t="shared" si="9"/>
        <v>1.1428571428571428</v>
      </c>
      <c r="T64" s="88">
        <f t="shared" si="10"/>
        <v>5</v>
      </c>
      <c r="U64" s="125">
        <f>IF($D64="",0,IFERROR(LOOKUP(2,1/(($D$3:D63=$D64)*($C$3:C63=$C64)*($A$3:A63&lt;$A64)),$AB$3:AB63),1000))</f>
        <v>962.13969053009168</v>
      </c>
      <c r="V64" s="125">
        <f t="shared" si="11"/>
        <v>941.36649530715249</v>
      </c>
      <c r="W64">
        <f t="shared" si="12"/>
        <v>1080.8467346207244</v>
      </c>
      <c r="X64">
        <f t="shared" si="13"/>
        <v>0.30940278784283687</v>
      </c>
      <c r="Y64">
        <f t="shared" si="14"/>
        <v>1069.253083959482</v>
      </c>
      <c r="Z64">
        <f t="shared" si="15"/>
        <v>0.35055643013740878</v>
      </c>
      <c r="AA64">
        <f>IF($D64="",0,IF($F64&lt;2,0,IF($E64="Win",('Guide &amp; Settings'!$C$42/(($F64-1)*COUNTIFS($A$4:$A$311,$A64,$E$4:$E$311,"Win")))*SUMIFS($Z$4:$Z$311,$A$4:$A$311,$A64,$E$4:$E$311,"Loss"),-('Guide &amp; Settings'!$C$42/($F64-1))*$Z64)))</f>
        <v>-11.217805764397081</v>
      </c>
      <c r="AB64" s="125">
        <f t="shared" si="16"/>
        <v>950.92188476569459</v>
      </c>
      <c r="AC64" s="125">
        <f>IF($D64="","",IF(SUMPRODUCT(MAX(($D$4:$D$311=$D64)*($B$4:$B$311&lt;$B64)*$B$4:$B$311))=0,0,MAX(($B64-SUMPRODUCT(MAX(($D$4:$D$311=$D64)*($B$4:$B$311&lt;$B64)*$B$4:$B$311)))/7-'Guide &amp; Settings'!$C$48,0)*'Guide &amp; Settings'!$C$49))</f>
        <v>0</v>
      </c>
    </row>
    <row r="65" spans="1:29" ht="15" customHeight="1" x14ac:dyDescent="0.2">
      <c r="A65" s="116">
        <v>28</v>
      </c>
      <c r="B65" s="117">
        <v>46175</v>
      </c>
      <c r="C65" s="118" t="s">
        <v>203</v>
      </c>
      <c r="D65" s="118" t="s">
        <v>144</v>
      </c>
      <c r="E65" s="116" t="s">
        <v>316</v>
      </c>
      <c r="F65" s="119">
        <f t="shared" si="0"/>
        <v>2</v>
      </c>
      <c r="G65" s="120" t="str">
        <f t="shared" si="1"/>
        <v>Josh</v>
      </c>
      <c r="H65" s="121">
        <f>IF($D65="",0,IFERROR(LOOKUP(2,1/(($D$3:D64=$D65)*($A$3:A64&lt;$A65)),$N$3:N64),'Guide &amp; Settings'!$C$41))</f>
        <v>1105.3412744929378</v>
      </c>
      <c r="I65" s="122">
        <f t="shared" si="2"/>
        <v>0.77777777777777779</v>
      </c>
      <c r="J65" s="123">
        <f>IF($D65="",0,IF($F65&lt;2,0,IF($E65="Win",('Guide &amp; Settings'!$C$42/(($F65-1)*COUNTIFS($A$4:$A$311,$A65,$E$4:$E$311,"Win")))*SUMIFS($X$4:$X$311,$A$4:$A$311,$A65,$E$4:$E$311,"Loss"),-('Guide &amp; Settings'!$C$42/($F65-1))*$X65)))</f>
        <v>10.286353738130543</v>
      </c>
      <c r="K65" s="123">
        <f>IF($D65="",0,'Guide &amp; Settings'!$C$43*(IF($E65="Win",1,0)-$I65))</f>
        <v>2.6666666666666665</v>
      </c>
      <c r="L65" s="124">
        <f>IF($D65="",0,'Guide &amp; Settings'!$C$44*IF($F65&gt;=3,$F65+IF($E65="Win",$F65,0),0))</f>
        <v>0</v>
      </c>
      <c r="M65" s="123">
        <f t="shared" si="3"/>
        <v>12.95302040479721</v>
      </c>
      <c r="N65" s="121">
        <f t="shared" si="4"/>
        <v>1118.294294897735</v>
      </c>
      <c r="O65" s="120" t="str">
        <f t="shared" si="5"/>
        <v>OK</v>
      </c>
      <c r="P65">
        <f t="shared" si="6"/>
        <v>1105.3412744929378</v>
      </c>
      <c r="Q65">
        <f t="shared" si="7"/>
        <v>0.5</v>
      </c>
      <c r="R65">
        <f t="shared" si="8"/>
        <v>0.875</v>
      </c>
      <c r="S65">
        <f t="shared" si="9"/>
        <v>1.125</v>
      </c>
      <c r="T65" s="88">
        <f t="shared" si="10"/>
        <v>6</v>
      </c>
      <c r="U65" s="125">
        <f>IF($D65="",0,IFERROR(LOOKUP(2,1/(($D$3:D64=$D65)*($C$3:C64=$C65)*($A$3:A64&lt;$A65)),$AB$3:AB64),1000))</f>
        <v>1080.4708897238791</v>
      </c>
      <c r="V65" s="125">
        <f t="shared" si="11"/>
        <v>1091.7756100734512</v>
      </c>
      <c r="W65">
        <f t="shared" si="12"/>
        <v>1091.7756100734512</v>
      </c>
      <c r="X65">
        <f t="shared" si="13"/>
        <v>0.5</v>
      </c>
      <c r="Y65">
        <f t="shared" si="14"/>
        <v>1080.4708897238791</v>
      </c>
      <c r="Z65">
        <f t="shared" si="15"/>
        <v>0.5</v>
      </c>
      <c r="AA65">
        <f>IF($D65="",0,IF($F65&lt;2,0,IF($E65="Win",('Guide &amp; Settings'!$C$42/(($F65-1)*COUNTIFS($A$4:$A$311,$A65,$E$4:$E$311,"Win")))*SUMIFS($Z$4:$Z$311,$A$4:$A$311,$A65,$E$4:$E$311,"Loss"),-('Guide &amp; Settings'!$C$42/($F65-1))*$Z65)))</f>
        <v>11.019413230630493</v>
      </c>
      <c r="AB65" s="125">
        <f t="shared" si="16"/>
        <v>1091.4903029545096</v>
      </c>
      <c r="AC65" s="125">
        <f>IF($D65="","",IF(SUMPRODUCT(MAX(($D$4:$D$311=$D65)*($B$4:$B$311&lt;$B65)*$B$4:$B$311))=0,0,MAX(($B65-SUMPRODUCT(MAX(($D$4:$D$311=$D65)*($B$4:$B$311&lt;$B65)*$B$4:$B$311)))/7-'Guide &amp; Settings'!$C$48,0)*'Guide &amp; Settings'!$C$49))</f>
        <v>0</v>
      </c>
    </row>
    <row r="66" spans="1:29" ht="15" customHeight="1" x14ac:dyDescent="0.2">
      <c r="A66" s="116">
        <v>28</v>
      </c>
      <c r="B66" s="117">
        <v>46175</v>
      </c>
      <c r="C66" s="118" t="s">
        <v>203</v>
      </c>
      <c r="D66" s="118" t="s">
        <v>147</v>
      </c>
      <c r="E66" s="116" t="s">
        <v>317</v>
      </c>
      <c r="F66" s="119">
        <f t="shared" si="0"/>
        <v>2</v>
      </c>
      <c r="G66" s="120" t="str">
        <f t="shared" si="1"/>
        <v>Josh</v>
      </c>
      <c r="H66" s="121">
        <f>IF($D66="",0,IFERROR(LOOKUP(2,1/(($D$3:D65=$D66)*($A$3:A65&lt;$A66)),$N$3:N65),'Guide &amp; Settings'!$C$41))</f>
        <v>959.33903410060668</v>
      </c>
      <c r="I66" s="122">
        <f t="shared" si="2"/>
        <v>0.22222222222222221</v>
      </c>
      <c r="J66" s="123">
        <f>IF($D66="",0,IF($F66&lt;2,0,IF($E66="Win",('Guide &amp; Settings'!$C$42/(($F66-1)*COUNTIFS($A$4:$A$311,$A66,$E$4:$E$311,"Win")))*SUMIFS($X$4:$X$311,$A$4:$A$311,$A66,$E$4:$E$311,"Loss"),-('Guide &amp; Settings'!$C$42/($F66-1))*$X66)))</f>
        <v>-10.286353738130543</v>
      </c>
      <c r="K66" s="123">
        <f>IF($D66="",0,'Guide &amp; Settings'!$C$43*(IF($E66="Win",1,0)-$I66))</f>
        <v>-2.6666666666666665</v>
      </c>
      <c r="L66" s="124">
        <f>IF($D66="",0,'Guide &amp; Settings'!$C$44*IF($F66&gt;=3,$F66+IF($E66="Win",$F66,0),0))</f>
        <v>0</v>
      </c>
      <c r="M66" s="123">
        <f t="shared" si="3"/>
        <v>-12.95302040479721</v>
      </c>
      <c r="N66" s="121">
        <f t="shared" si="4"/>
        <v>946.38601369580942</v>
      </c>
      <c r="O66" s="120" t="str">
        <f t="shared" si="5"/>
        <v>OK</v>
      </c>
      <c r="P66">
        <f t="shared" si="6"/>
        <v>1105.3412744929378</v>
      </c>
      <c r="Q66">
        <f t="shared" si="7"/>
        <v>0.30143865786577811</v>
      </c>
      <c r="R66">
        <f t="shared" si="8"/>
        <v>0.25</v>
      </c>
      <c r="S66">
        <f t="shared" si="9"/>
        <v>1.125</v>
      </c>
      <c r="T66" s="88">
        <f t="shared" si="10"/>
        <v>2</v>
      </c>
      <c r="U66" s="125">
        <f>IF($D66="",0,IFERROR(LOOKUP(2,1/(($D$3:D65=$D66)*($C$3:C65=$C66)*($A$3:A65&lt;$A66)),$AB$3:AB65),1000))</f>
        <v>968.60722551042636</v>
      </c>
      <c r="V66" s="125">
        <f t="shared" si="11"/>
        <v>961.98708878912657</v>
      </c>
      <c r="W66">
        <f t="shared" si="12"/>
        <v>1091.7756100734512</v>
      </c>
      <c r="X66">
        <f t="shared" si="13"/>
        <v>0.32144855431657948</v>
      </c>
      <c r="Y66">
        <f t="shared" si="14"/>
        <v>1080.4708897238791</v>
      </c>
      <c r="Z66">
        <f t="shared" si="15"/>
        <v>0.34435666345720289</v>
      </c>
      <c r="AA66">
        <f>IF($D66="",0,IF($F66&lt;2,0,IF($E66="Win",('Guide &amp; Settings'!$C$42/(($F66-1)*COUNTIFS($A$4:$A$311,$A66,$E$4:$E$311,"Win")))*SUMIFS($Z$4:$Z$311,$A$4:$A$311,$A66,$E$4:$E$311,"Loss"),-('Guide &amp; Settings'!$C$42/($F66-1))*$Z66)))</f>
        <v>-11.019413230630493</v>
      </c>
      <c r="AB66" s="125">
        <f t="shared" si="16"/>
        <v>957.58781227979591</v>
      </c>
      <c r="AC66" s="125">
        <f>IF($D66="","",IF(SUMPRODUCT(MAX(($D$4:$D$311=$D66)*($B$4:$B$311&lt;$B66)*$B$4:$B$311))=0,0,MAX(($B66-SUMPRODUCT(MAX(($D$4:$D$311=$D66)*($B$4:$B$311&lt;$B66)*$B$4:$B$311)))/7-'Guide &amp; Settings'!$C$48,0)*'Guide &amp; Settings'!$C$49))</f>
        <v>0</v>
      </c>
    </row>
    <row r="67" spans="1:29" ht="15" customHeight="1" x14ac:dyDescent="0.2">
      <c r="A67" s="116">
        <v>29</v>
      </c>
      <c r="B67" s="117">
        <v>46175</v>
      </c>
      <c r="C67" s="118" t="s">
        <v>203</v>
      </c>
      <c r="D67" s="118" t="s">
        <v>145</v>
      </c>
      <c r="E67" s="116" t="s">
        <v>317</v>
      </c>
      <c r="F67" s="119">
        <f t="shared" si="0"/>
        <v>2</v>
      </c>
      <c r="G67" s="120" t="str">
        <f t="shared" si="1"/>
        <v>Oscar</v>
      </c>
      <c r="H67" s="121">
        <f>IF($D67="",0,IFERROR(LOOKUP(2,1/(($D$3:D66=$D67)*($A$3:A66&lt;$A67)),$N$3:N66),'Guide &amp; Settings'!$C$41))</f>
        <v>1103.1658170072501</v>
      </c>
      <c r="I67" s="122">
        <f t="shared" si="2"/>
        <v>0.5</v>
      </c>
      <c r="J67" s="123">
        <f>IF($D67="",0,IF($F67&lt;2,0,IF($E67="Win",('Guide &amp; Settings'!$C$42/(($F67-1)*COUNTIFS($A$4:$A$311,$A67,$E$4:$E$311,"Win")))*SUMIFS($X$4:$X$311,$A$4:$A$311,$A67,$E$4:$E$311,"Loss"),-('Guide &amp; Settings'!$C$42/($F67-1))*$X67)))</f>
        <v>-20.814839363903694</v>
      </c>
      <c r="K67" s="123">
        <f>IF($D67="",0,'Guide &amp; Settings'!$C$43*(IF($E67="Win",1,0)-$I67))</f>
        <v>-6</v>
      </c>
      <c r="L67" s="124">
        <f>IF($D67="",0,'Guide &amp; Settings'!$C$44*IF($F67&gt;=3,$F67+IF($E67="Win",$F67,0),0))</f>
        <v>0</v>
      </c>
      <c r="M67" s="123">
        <f t="shared" si="3"/>
        <v>-26.814839363903694</v>
      </c>
      <c r="N67" s="121">
        <f t="shared" si="4"/>
        <v>1076.3509776433464</v>
      </c>
      <c r="O67" s="120" t="str">
        <f t="shared" si="5"/>
        <v>OK</v>
      </c>
      <c r="P67">
        <f t="shared" si="6"/>
        <v>995.27348180522449</v>
      </c>
      <c r="Q67">
        <f t="shared" si="7"/>
        <v>0.65046373012199044</v>
      </c>
      <c r="R67">
        <f t="shared" si="8"/>
        <v>0.5</v>
      </c>
      <c r="S67">
        <f t="shared" si="9"/>
        <v>1</v>
      </c>
      <c r="T67" s="88">
        <f t="shared" si="10"/>
        <v>0</v>
      </c>
      <c r="U67" s="125">
        <f>IF($D67="",0,IFERROR(LOOKUP(2,1/(($D$3:D66=$D67)*($C$3:C66=$C67)*($A$3:A66&lt;$A67)),$AB$3:AB66),1000))</f>
        <v>1000</v>
      </c>
      <c r="V67" s="125">
        <f t="shared" si="11"/>
        <v>1103.1658170072501</v>
      </c>
      <c r="W67">
        <f t="shared" si="12"/>
        <v>995.27348180522449</v>
      </c>
      <c r="X67">
        <f t="shared" si="13"/>
        <v>0.65046373012199044</v>
      </c>
      <c r="Y67">
        <f t="shared" si="14"/>
        <v>1000</v>
      </c>
      <c r="Z67">
        <f t="shared" si="15"/>
        <v>0.5</v>
      </c>
      <c r="AA67">
        <f>IF($D67="",0,IF($F67&lt;2,0,IF($E67="Win",('Guide &amp; Settings'!$C$42/(($F67-1)*COUNTIFS($A$4:$A$311,$A67,$E$4:$E$311,"Win")))*SUMIFS($Z$4:$Z$311,$A$4:$A$311,$A67,$E$4:$E$311,"Loss"),-('Guide &amp; Settings'!$C$42/($F67-1))*$Z67)))</f>
        <v>-16</v>
      </c>
      <c r="AB67" s="125">
        <f t="shared" si="16"/>
        <v>984</v>
      </c>
      <c r="AC67" s="125">
        <f>IF($D67="","",IF(SUMPRODUCT(MAX(($D$4:$D$311=$D67)*($B$4:$B$311&lt;$B67)*$B$4:$B$311))=0,0,MAX(($B67-SUMPRODUCT(MAX(($D$4:$D$311=$D67)*($B$4:$B$311&lt;$B67)*$B$4:$B$311)))/7-'Guide &amp; Settings'!$C$48,0)*'Guide &amp; Settings'!$C$49))</f>
        <v>0</v>
      </c>
    </row>
    <row r="68" spans="1:29" ht="15" customHeight="1" x14ac:dyDescent="0.2">
      <c r="A68" s="116">
        <v>29</v>
      </c>
      <c r="B68" s="117">
        <v>46175</v>
      </c>
      <c r="C68" s="118" t="s">
        <v>203</v>
      </c>
      <c r="D68" s="118" t="s">
        <v>176</v>
      </c>
      <c r="E68" s="116" t="s">
        <v>316</v>
      </c>
      <c r="F68" s="119">
        <f t="shared" ref="F68:F131" si="17">IF($D68="",0,COUNTIF($A$4:$A$311,$A68))</f>
        <v>2</v>
      </c>
      <c r="G68" s="120" t="str">
        <f t="shared" ref="G68:G131" si="18">IF($D68="","",IFERROR(LOOKUP(2,1/(($A$4:$A$311=$A68)*($E$4:$E$311="Win")),$D$4:$D$311),"(no winner)"))</f>
        <v>Oscar</v>
      </c>
      <c r="H68" s="121">
        <f>IF($D68="",0,IFERROR(LOOKUP(2,1/(($D$3:D67=$D68)*($A$3:A67&lt;$A68)),$N$3:N67),'Guide &amp; Settings'!$C$41))</f>
        <v>995.27348180522449</v>
      </c>
      <c r="I68" s="122">
        <f t="shared" ref="I68:I131" si="19">IF($D68="",0,IF($S68=0,0,$R68/$S68))</f>
        <v>0.5</v>
      </c>
      <c r="J68" s="123">
        <f>IF($D68="",0,IF($F68&lt;2,0,IF($E68="Win",('Guide &amp; Settings'!$C$42/(($F68-1)*COUNTIFS($A$4:$A$311,$A68,$E$4:$E$311,"Win")))*SUMIFS($X$4:$X$311,$A$4:$A$311,$A68,$E$4:$E$311,"Loss"),-('Guide &amp; Settings'!$C$42/($F68-1))*$X68)))</f>
        <v>20.814839363903694</v>
      </c>
      <c r="K68" s="123">
        <f>IF($D68="",0,'Guide &amp; Settings'!$C$43*(IF($E68="Win",1,0)-$I68))</f>
        <v>6</v>
      </c>
      <c r="L68" s="124">
        <f>IF($D68="",0,'Guide &amp; Settings'!$C$44*IF($F68&gt;=3,$F68+IF($E68="Win",$F68,0),0))</f>
        <v>0</v>
      </c>
      <c r="M68" s="123">
        <f t="shared" ref="M68:M131" si="20">IF($D68="",0,$J68+$K68+$L68)</f>
        <v>26.814839363903694</v>
      </c>
      <c r="N68" s="121">
        <f t="shared" ref="N68:N131" si="21">IF($D68="",0,$H68+$M68)</f>
        <v>1022.0883211691282</v>
      </c>
      <c r="O68" s="120" t="str">
        <f t="shared" ref="O68:O131" si="22">IF($D68="","",IF(COUNTIFS($A$4:$A$311,$A68,$E$4:$E$311,"Win")=0,"need a winner",IF(COUNTIFS($A$4:$A$311,$A68,$E$4:$E$311,"Loss")=0,"need a loser",IF(COUNTIFS($A$4:$A$311,$A68,$D$4:$D$311,$D68)&gt;1,"duplicate player","OK"))))</f>
        <v>OK</v>
      </c>
      <c r="P68">
        <f t="shared" ref="P68:P131" si="23">IF($D68="",0,IFERROR(SUMIFS($H$4:$H$311,$A$4:$A$311,$A68,$E$4:$E$311,"Win")/COUNTIFS($A$4:$A$311,$A68,$E$4:$E$311,"Win"),0))</f>
        <v>995.27348180522449</v>
      </c>
      <c r="Q68">
        <f t="shared" ref="Q68:Q131" si="24">IF($D68="",0,1/(1+10^(($P68-$H68)/400)))</f>
        <v>0.5</v>
      </c>
      <c r="R68">
        <f t="shared" ref="R68:R131" si="25">IF($D68="",0,(COUNTIFS($D$4:$D$311,$D68,$C$4:$C$311,$C68,$E$4:$E$311,"Win",$A$4:$A$311,"&lt;"&amp;$A68)+1)/(COUNTIFS($D$4:$D$311,$D68,$C$4:$C$311,$C68,$A$4:$A$311,"&lt;"&amp;$A68)+2))</f>
        <v>0.5</v>
      </c>
      <c r="S68">
        <f t="shared" ref="S68:S131" si="26">IF($D68="",0,SUMIFS($R$4:$R$311,$A$4:$A$311,$A68))</f>
        <v>1</v>
      </c>
      <c r="T68" s="88">
        <f t="shared" ref="T68:T131" si="27">IF($D68="",0,COUNTIFS($D$4:$D$311,$D68,$C$4:$C$311,$C68,$A$4:$A$311,"&lt;"&amp;$A68))</f>
        <v>0</v>
      </c>
      <c r="U68" s="125">
        <f>IF($D68="",0,IFERROR(LOOKUP(2,1/(($D$3:D67=$D68)*($C$3:C67=$C68)*($A$3:A67&lt;$A68)),$AB$3:AB67),1000))</f>
        <v>1000</v>
      </c>
      <c r="V68" s="125">
        <f t="shared" ref="V68:V131" si="28">IF($D68="",0,$U68*($T68/($T68+5))+$H68*(1-$T68/($T68+5)))</f>
        <v>995.27348180522449</v>
      </c>
      <c r="W68">
        <f t="shared" ref="W68:W131" si="29">IF($D68="",0,IFERROR(SUMIFS($V$4:$V$311,$A$4:$A$311,$A68,$E$4:$E$311,"Win")/COUNTIFS($A$4:$A$311,$A68,$E$4:$E$311,"Win"),0))</f>
        <v>995.27348180522449</v>
      </c>
      <c r="X68">
        <f t="shared" ref="X68:X131" si="30">IF($D68="",0,1/(1+10^(($W68-$V68)/400)))</f>
        <v>0.5</v>
      </c>
      <c r="Y68">
        <f t="shared" ref="Y68:Y131" si="31">IF($D68="",0,IFERROR(SUMIFS($U$4:$U$311,$A$4:$A$311,$A68,$E$4:$E$311,"Win")/COUNTIFS($A$4:$A$311,$A68,$E$4:$E$311,"Win"),0))</f>
        <v>1000</v>
      </c>
      <c r="Z68">
        <f t="shared" ref="Z68:Z131" si="32">IF($D68="",0,1/(1+10^(($Y68-$U68)/400)))</f>
        <v>0.5</v>
      </c>
      <c r="AA68">
        <f>IF($D68="",0,IF($F68&lt;2,0,IF($E68="Win",('Guide &amp; Settings'!$C$42/(($F68-1)*COUNTIFS($A$4:$A$311,$A68,$E$4:$E$311,"Win")))*SUMIFS($Z$4:$Z$311,$A$4:$A$311,$A68,$E$4:$E$311,"Loss"),-('Guide &amp; Settings'!$C$42/($F68-1))*$Z68)))</f>
        <v>16</v>
      </c>
      <c r="AB68" s="125">
        <f t="shared" ref="AB68:AB131" si="33">IF($D68="",0,$U68+$AA68)</f>
        <v>1016</v>
      </c>
      <c r="AC68" s="125">
        <f>IF($D68="","",IF(SUMPRODUCT(MAX(($D$4:$D$311=$D68)*($B$4:$B$311&lt;$B68)*$B$4:$B$311))=0,0,MAX(($B68-SUMPRODUCT(MAX(($D$4:$D$311=$D68)*($B$4:$B$311&lt;$B68)*$B$4:$B$311)))/7-'Guide &amp; Settings'!$C$48,0)*'Guide &amp; Settings'!$C$49))</f>
        <v>0</v>
      </c>
    </row>
    <row r="69" spans="1:29" ht="15" customHeight="1" x14ac:dyDescent="0.2">
      <c r="A69" s="116">
        <v>30</v>
      </c>
      <c r="B69" s="117">
        <v>46175</v>
      </c>
      <c r="C69" s="118" t="s">
        <v>203</v>
      </c>
      <c r="D69" s="118" t="s">
        <v>145</v>
      </c>
      <c r="E69" s="116" t="s">
        <v>316</v>
      </c>
      <c r="F69" s="119">
        <f t="shared" si="17"/>
        <v>2</v>
      </c>
      <c r="G69" s="120" t="str">
        <f t="shared" si="18"/>
        <v>Aaron</v>
      </c>
      <c r="H69" s="121">
        <f>IF($D69="",0,IFERROR(LOOKUP(2,1/(($D$3:D68=$D69)*($A$3:A68&lt;$A69)),$N$3:N68),'Guide &amp; Settings'!$C$41))</f>
        <v>1076.3509776433464</v>
      </c>
      <c r="I69" s="122">
        <f t="shared" si="19"/>
        <v>0.625</v>
      </c>
      <c r="J69" s="123">
        <f>IF($D69="",0,IF($F69&lt;2,0,IF($E69="Win",('Guide &amp; Settings'!$C$42/(($F69-1)*COUNTIFS($A$4:$A$311,$A69,$E$4:$E$311,"Win")))*SUMIFS($X$4:$X$311,$A$4:$A$311,$A69,$E$4:$E$311,"Loss"),-('Guide &amp; Settings'!$C$42/($F69-1))*$X69)))</f>
        <v>11.081513993591242</v>
      </c>
      <c r="K69" s="123">
        <f>IF($D69="",0,'Guide &amp; Settings'!$C$43*(IF($E69="Win",1,0)-$I69))</f>
        <v>4.5</v>
      </c>
      <c r="L69" s="124">
        <f>IF($D69="",0,'Guide &amp; Settings'!$C$44*IF($F69&gt;=3,$F69+IF($E69="Win",$F69,0),0))</f>
        <v>0</v>
      </c>
      <c r="M69" s="123">
        <f t="shared" si="20"/>
        <v>15.581513993591242</v>
      </c>
      <c r="N69" s="121">
        <f t="shared" si="21"/>
        <v>1091.9324916369376</v>
      </c>
      <c r="O69" s="120" t="str">
        <f t="shared" si="22"/>
        <v>OK</v>
      </c>
      <c r="P69">
        <f t="shared" si="23"/>
        <v>1076.3509776433464</v>
      </c>
      <c r="Q69">
        <f t="shared" si="24"/>
        <v>0.5</v>
      </c>
      <c r="R69">
        <f t="shared" si="25"/>
        <v>0.33333333333333331</v>
      </c>
      <c r="S69">
        <f t="shared" si="26"/>
        <v>0.53333333333333333</v>
      </c>
      <c r="T69" s="88">
        <f t="shared" si="27"/>
        <v>1</v>
      </c>
      <c r="U69" s="125">
        <f>IF($D69="",0,IFERROR(LOOKUP(2,1/(($D$3:D68=$D69)*($C$3:C68=$C69)*($A$3:A68&lt;$A69)),$AB$3:AB68),1000))</f>
        <v>984</v>
      </c>
      <c r="V69" s="125">
        <f t="shared" si="28"/>
        <v>1060.9591480361219</v>
      </c>
      <c r="W69">
        <f t="shared" si="29"/>
        <v>1060.9591480361219</v>
      </c>
      <c r="X69">
        <f t="shared" si="30"/>
        <v>0.5</v>
      </c>
      <c r="Y69">
        <f t="shared" si="31"/>
        <v>984</v>
      </c>
      <c r="Z69">
        <f t="shared" si="32"/>
        <v>0.5</v>
      </c>
      <c r="AA69">
        <f>IF($D69="",0,IF($F69&lt;2,0,IF($E69="Win",('Guide &amp; Settings'!$C$42/(($F69-1)*COUNTIFS($A$4:$A$311,$A69,$E$4:$E$311,"Win")))*SUMIFS($Z$4:$Z$311,$A$4:$A$311,$A69,$E$4:$E$311,"Loss"),-('Guide &amp; Settings'!$C$42/($F69-1))*$Z69)))</f>
        <v>14.786011491839799</v>
      </c>
      <c r="AB69" s="125">
        <f t="shared" si="33"/>
        <v>998.78601149183976</v>
      </c>
      <c r="AC69" s="125">
        <f>IF($D69="","",IF(SUMPRODUCT(MAX(($D$4:$D$311=$D69)*($B$4:$B$311&lt;$B69)*$B$4:$B$311))=0,0,MAX(($B69-SUMPRODUCT(MAX(($D$4:$D$311=$D69)*($B$4:$B$311&lt;$B69)*$B$4:$B$311)))/7-'Guide &amp; Settings'!$C$48,0)*'Guide &amp; Settings'!$C$49))</f>
        <v>0</v>
      </c>
    </row>
    <row r="70" spans="1:29" ht="15" customHeight="1" x14ac:dyDescent="0.2">
      <c r="A70" s="116">
        <v>30</v>
      </c>
      <c r="B70" s="117">
        <v>46175</v>
      </c>
      <c r="C70" s="118" t="s">
        <v>203</v>
      </c>
      <c r="D70" s="118" t="s">
        <v>147</v>
      </c>
      <c r="E70" s="116" t="s">
        <v>317</v>
      </c>
      <c r="F70" s="119">
        <f t="shared" si="17"/>
        <v>2</v>
      </c>
      <c r="G70" s="120" t="str">
        <f t="shared" si="18"/>
        <v>Aaron</v>
      </c>
      <c r="H70" s="121">
        <f>IF($D70="",0,IFERROR(LOOKUP(2,1/(($D$3:D69=$D70)*($A$3:A69&lt;$A70)),$N$3:N69),'Guide &amp; Settings'!$C$41))</f>
        <v>946.38601369580942</v>
      </c>
      <c r="I70" s="122">
        <f t="shared" si="19"/>
        <v>0.375</v>
      </c>
      <c r="J70" s="123">
        <f>IF($D70="",0,IF($F70&lt;2,0,IF($E70="Win",('Guide &amp; Settings'!$C$42/(($F70-1)*COUNTIFS($A$4:$A$311,$A70,$E$4:$E$311,"Win")))*SUMIFS($X$4:$X$311,$A$4:$A$311,$A70,$E$4:$E$311,"Loss"),-('Guide &amp; Settings'!$C$42/($F70-1))*$X70)))</f>
        <v>-11.081513993591242</v>
      </c>
      <c r="K70" s="123">
        <f>IF($D70="",0,'Guide &amp; Settings'!$C$43*(IF($E70="Win",1,0)-$I70))</f>
        <v>-4.5</v>
      </c>
      <c r="L70" s="124">
        <f>IF($D70="",0,'Guide &amp; Settings'!$C$44*IF($F70&gt;=3,$F70+IF($E70="Win",$F70,0),0))</f>
        <v>0</v>
      </c>
      <c r="M70" s="123">
        <f t="shared" si="20"/>
        <v>-15.581513993591242</v>
      </c>
      <c r="N70" s="121">
        <f t="shared" si="21"/>
        <v>930.80449970221821</v>
      </c>
      <c r="O70" s="120" t="str">
        <f t="shared" si="22"/>
        <v>OK</v>
      </c>
      <c r="P70">
        <f t="shared" si="23"/>
        <v>1076.3509776433464</v>
      </c>
      <c r="Q70">
        <f t="shared" si="24"/>
        <v>0.32122705378728861</v>
      </c>
      <c r="R70">
        <f t="shared" si="25"/>
        <v>0.2</v>
      </c>
      <c r="S70">
        <f t="shared" si="26"/>
        <v>0.53333333333333333</v>
      </c>
      <c r="T70" s="88">
        <f t="shared" si="27"/>
        <v>3</v>
      </c>
      <c r="U70" s="125">
        <f>IF($D70="",0,IFERROR(LOOKUP(2,1/(($D$3:D69=$D70)*($C$3:C69=$C70)*($A$3:A69&lt;$A70)),$AB$3:AB69),1000))</f>
        <v>957.58781227979591</v>
      </c>
      <c r="V70" s="125">
        <f t="shared" si="28"/>
        <v>950.5866881648044</v>
      </c>
      <c r="W70">
        <f t="shared" si="29"/>
        <v>1060.9591480361219</v>
      </c>
      <c r="X70">
        <f t="shared" si="30"/>
        <v>0.34629731229972632</v>
      </c>
      <c r="Y70">
        <f t="shared" si="31"/>
        <v>984</v>
      </c>
      <c r="Z70">
        <f t="shared" si="32"/>
        <v>0.46206285911999373</v>
      </c>
      <c r="AA70">
        <f>IF($D70="",0,IF($F70&lt;2,0,IF($E70="Win",('Guide &amp; Settings'!$C$42/(($F70-1)*COUNTIFS($A$4:$A$311,$A70,$E$4:$E$311,"Win")))*SUMIFS($Z$4:$Z$311,$A$4:$A$311,$A70,$E$4:$E$311,"Loss"),-('Guide &amp; Settings'!$C$42/($F70-1))*$Z70)))</f>
        <v>-14.786011491839799</v>
      </c>
      <c r="AB70" s="125">
        <f t="shared" si="33"/>
        <v>942.80180078795615</v>
      </c>
      <c r="AC70" s="125">
        <f>IF($D70="","",IF(SUMPRODUCT(MAX(($D$4:$D$311=$D70)*($B$4:$B$311&lt;$B70)*$B$4:$B$311))=0,0,MAX(($B70-SUMPRODUCT(MAX(($D$4:$D$311=$D70)*($B$4:$B$311&lt;$B70)*$B$4:$B$311)))/7-'Guide &amp; Settings'!$C$48,0)*'Guide &amp; Settings'!$C$49))</f>
        <v>0</v>
      </c>
    </row>
    <row r="71" spans="1:29" ht="15" customHeight="1" x14ac:dyDescent="0.2">
      <c r="A71" s="116">
        <v>31</v>
      </c>
      <c r="B71" s="117">
        <v>46175</v>
      </c>
      <c r="C71" s="118" t="s">
        <v>211</v>
      </c>
      <c r="D71" s="118" t="s">
        <v>177</v>
      </c>
      <c r="E71" s="116" t="s">
        <v>316</v>
      </c>
      <c r="F71" s="119">
        <f t="shared" si="17"/>
        <v>2</v>
      </c>
      <c r="G71" s="120" t="str">
        <f t="shared" si="18"/>
        <v>Daniel (Ferret)</v>
      </c>
      <c r="H71" s="121">
        <f>IF($D71="",0,IFERROR(LOOKUP(2,1/(($D$3:D70=$D71)*($A$3:A70&lt;$A71)),$N$3:N70),'Guide &amp; Settings'!$C$41))</f>
        <v>907.69241087324258</v>
      </c>
      <c r="I71" s="122">
        <f t="shared" si="19"/>
        <v>0.5</v>
      </c>
      <c r="J71" s="123">
        <f>IF($D71="",0,IF($F71&lt;2,0,IF($E71="Win",('Guide &amp; Settings'!$C$42/(($F71-1)*COUNTIFS($A$4:$A$311,$A71,$E$4:$E$311,"Win")))*SUMIFS($X$4:$X$311,$A$4:$A$311,$A71,$E$4:$E$311,"Loss"),-('Guide &amp; Settings'!$C$42/($F71-1))*$X71)))</f>
        <v>23.769589739218972</v>
      </c>
      <c r="K71" s="123">
        <f>IF($D71="",0,'Guide &amp; Settings'!$C$43*(IF($E71="Win",1,0)-$I71))</f>
        <v>6</v>
      </c>
      <c r="L71" s="124">
        <f>IF($D71="",0,'Guide &amp; Settings'!$C$44*IF($F71&gt;=3,$F71+IF($E71="Win",$F71,0),0))</f>
        <v>0</v>
      </c>
      <c r="M71" s="123">
        <f t="shared" si="20"/>
        <v>29.769589739218972</v>
      </c>
      <c r="N71" s="121">
        <f t="shared" si="21"/>
        <v>937.46200061246157</v>
      </c>
      <c r="O71" s="120" t="str">
        <f t="shared" si="22"/>
        <v>OK</v>
      </c>
      <c r="P71">
        <f t="shared" si="23"/>
        <v>907.69241087324258</v>
      </c>
      <c r="Q71">
        <f t="shared" si="24"/>
        <v>0.5</v>
      </c>
      <c r="R71">
        <f t="shared" si="25"/>
        <v>0.5</v>
      </c>
      <c r="S71">
        <f t="shared" si="26"/>
        <v>1</v>
      </c>
      <c r="T71" s="88">
        <f t="shared" si="27"/>
        <v>0</v>
      </c>
      <c r="U71" s="125">
        <f>IF($D71="",0,IFERROR(LOOKUP(2,1/(($D$3:D70=$D71)*($C$3:C70=$C71)*($A$3:A70&lt;$A71)),$AB$3:AB70),1000))</f>
        <v>1000</v>
      </c>
      <c r="V71" s="125">
        <f t="shared" si="28"/>
        <v>907.69241087324258</v>
      </c>
      <c r="W71">
        <f t="shared" si="29"/>
        <v>907.69241087324258</v>
      </c>
      <c r="X71">
        <f t="shared" si="30"/>
        <v>0.5</v>
      </c>
      <c r="Y71">
        <f t="shared" si="31"/>
        <v>1000</v>
      </c>
      <c r="Z71">
        <f t="shared" si="32"/>
        <v>0.5</v>
      </c>
      <c r="AA71">
        <f>IF($D71="",0,IF($F71&lt;2,0,IF($E71="Win",('Guide &amp; Settings'!$C$42/(($F71-1)*COUNTIFS($A$4:$A$311,$A71,$E$4:$E$311,"Win")))*SUMIFS($Z$4:$Z$311,$A$4:$A$311,$A71,$E$4:$E$311,"Loss"),-('Guide &amp; Settings'!$C$42/($F71-1))*$Z71)))</f>
        <v>16</v>
      </c>
      <c r="AB71" s="125">
        <f t="shared" si="33"/>
        <v>1016</v>
      </c>
      <c r="AC71" s="125">
        <f>IF($D71="","",IF(SUMPRODUCT(MAX(($D$4:$D$311=$D71)*($B$4:$B$311&lt;$B71)*$B$4:$B$311))=0,0,MAX(($B71-SUMPRODUCT(MAX(($D$4:$D$311=$D71)*($B$4:$B$311&lt;$B71)*$B$4:$B$311)))/7-'Guide &amp; Settings'!$C$48,0)*'Guide &amp; Settings'!$C$49))</f>
        <v>0</v>
      </c>
    </row>
    <row r="72" spans="1:29" ht="15" customHeight="1" x14ac:dyDescent="0.2">
      <c r="A72" s="116">
        <v>31</v>
      </c>
      <c r="B72" s="117">
        <v>46175</v>
      </c>
      <c r="C72" s="118" t="s">
        <v>211</v>
      </c>
      <c r="D72" s="118" t="s">
        <v>145</v>
      </c>
      <c r="E72" s="116" t="s">
        <v>317</v>
      </c>
      <c r="F72" s="119">
        <f t="shared" si="17"/>
        <v>2</v>
      </c>
      <c r="G72" s="120" t="str">
        <f t="shared" si="18"/>
        <v>Daniel (Ferret)</v>
      </c>
      <c r="H72" s="121">
        <f>IF($D72="",0,IFERROR(LOOKUP(2,1/(($D$3:D71=$D72)*($A$3:A71&lt;$A72)),$N$3:N71),'Guide &amp; Settings'!$C$41))</f>
        <v>1091.9324916369376</v>
      </c>
      <c r="I72" s="122">
        <f t="shared" si="19"/>
        <v>0.5</v>
      </c>
      <c r="J72" s="123">
        <f>IF($D72="",0,IF($F72&lt;2,0,IF($E72="Win",('Guide &amp; Settings'!$C$42/(($F72-1)*COUNTIFS($A$4:$A$311,$A72,$E$4:$E$311,"Win")))*SUMIFS($X$4:$X$311,$A$4:$A$311,$A72,$E$4:$E$311,"Loss"),-('Guide &amp; Settings'!$C$42/($F72-1))*$X72)))</f>
        <v>-23.769589739218972</v>
      </c>
      <c r="K72" s="123">
        <f>IF($D72="",0,'Guide &amp; Settings'!$C$43*(IF($E72="Win",1,0)-$I72))</f>
        <v>-6</v>
      </c>
      <c r="L72" s="124">
        <f>IF($D72="",0,'Guide &amp; Settings'!$C$44*IF($F72&gt;=3,$F72+IF($E72="Win",$F72,0),0))</f>
        <v>0</v>
      </c>
      <c r="M72" s="123">
        <f t="shared" si="20"/>
        <v>-29.769589739218972</v>
      </c>
      <c r="N72" s="121">
        <f t="shared" si="21"/>
        <v>1062.1629018977187</v>
      </c>
      <c r="O72" s="120" t="str">
        <f t="shared" si="22"/>
        <v>OK</v>
      </c>
      <c r="P72">
        <f t="shared" si="23"/>
        <v>907.69241087324258</v>
      </c>
      <c r="Q72">
        <f t="shared" si="24"/>
        <v>0.74279967935059288</v>
      </c>
      <c r="R72">
        <f t="shared" si="25"/>
        <v>0.5</v>
      </c>
      <c r="S72">
        <f t="shared" si="26"/>
        <v>1</v>
      </c>
      <c r="T72" s="88">
        <f t="shared" si="27"/>
        <v>0</v>
      </c>
      <c r="U72" s="125">
        <f>IF($D72="",0,IFERROR(LOOKUP(2,1/(($D$3:D71=$D72)*($C$3:C71=$C72)*($A$3:A71&lt;$A72)),$AB$3:AB71),1000))</f>
        <v>1000</v>
      </c>
      <c r="V72" s="125">
        <f t="shared" si="28"/>
        <v>1091.9324916369376</v>
      </c>
      <c r="W72">
        <f t="shared" si="29"/>
        <v>907.69241087324258</v>
      </c>
      <c r="X72">
        <f t="shared" si="30"/>
        <v>0.74279967935059288</v>
      </c>
      <c r="Y72">
        <f t="shared" si="31"/>
        <v>1000</v>
      </c>
      <c r="Z72">
        <f t="shared" si="32"/>
        <v>0.5</v>
      </c>
      <c r="AA72">
        <f>IF($D72="",0,IF($F72&lt;2,0,IF($E72="Win",('Guide &amp; Settings'!$C$42/(($F72-1)*COUNTIFS($A$4:$A$311,$A72,$E$4:$E$311,"Win")))*SUMIFS($Z$4:$Z$311,$A$4:$A$311,$A72,$E$4:$E$311,"Loss"),-('Guide &amp; Settings'!$C$42/($F72-1))*$Z72)))</f>
        <v>-16</v>
      </c>
      <c r="AB72" s="125">
        <f t="shared" si="33"/>
        <v>984</v>
      </c>
      <c r="AC72" s="125">
        <f>IF($D72="","",IF(SUMPRODUCT(MAX(($D$4:$D$311=$D72)*($B$4:$B$311&lt;$B72)*$B$4:$B$311))=0,0,MAX(($B72-SUMPRODUCT(MAX(($D$4:$D$311=$D72)*($B$4:$B$311&lt;$B72)*$B$4:$B$311)))/7-'Guide &amp; Settings'!$C$48,0)*'Guide &amp; Settings'!$C$49))</f>
        <v>0</v>
      </c>
    </row>
    <row r="73" spans="1:29" ht="15" customHeight="1" x14ac:dyDescent="0.2">
      <c r="A73" s="116">
        <v>32</v>
      </c>
      <c r="B73" s="117">
        <v>46175</v>
      </c>
      <c r="C73" s="118" t="s">
        <v>211</v>
      </c>
      <c r="D73" s="118" t="s">
        <v>177</v>
      </c>
      <c r="E73" s="116" t="s">
        <v>316</v>
      </c>
      <c r="F73" s="119">
        <f t="shared" si="17"/>
        <v>2</v>
      </c>
      <c r="G73" s="120" t="str">
        <f t="shared" si="18"/>
        <v>Daniel (Ferret)</v>
      </c>
      <c r="H73" s="121">
        <f>IF($D73="",0,IFERROR(LOOKUP(2,1/(($D$3:D72=$D73)*($A$3:A72&lt;$A73)),$N$3:N72),'Guide &amp; Settings'!$C$41))</f>
        <v>937.46200061246157</v>
      </c>
      <c r="I73" s="122">
        <f t="shared" si="19"/>
        <v>0.57142857142857151</v>
      </c>
      <c r="J73" s="123">
        <f>IF($D73="",0,IF($F73&lt;2,0,IF($E73="Win",('Guide &amp; Settings'!$C$42/(($F73-1)*COUNTIFS($A$4:$A$311,$A73,$E$4:$E$311,"Win")))*SUMIFS($X$4:$X$311,$A$4:$A$311,$A73,$E$4:$E$311,"Loss"),-('Guide &amp; Settings'!$C$42/($F73-1))*$X73)))</f>
        <v>20.610410320255308</v>
      </c>
      <c r="K73" s="123">
        <f>IF($D73="",0,'Guide &amp; Settings'!$C$43*(IF($E73="Win",1,0)-$I73))</f>
        <v>5.1428571428571423</v>
      </c>
      <c r="L73" s="124">
        <f>IF($D73="",0,'Guide &amp; Settings'!$C$44*IF($F73&gt;=3,$F73+IF($E73="Win",$F73,0),0))</f>
        <v>0</v>
      </c>
      <c r="M73" s="123">
        <f t="shared" si="20"/>
        <v>25.753267463112451</v>
      </c>
      <c r="N73" s="121">
        <f t="shared" si="21"/>
        <v>963.21526807557404</v>
      </c>
      <c r="O73" s="120" t="str">
        <f t="shared" si="22"/>
        <v>OK</v>
      </c>
      <c r="P73">
        <f t="shared" si="23"/>
        <v>937.46200061246157</v>
      </c>
      <c r="Q73">
        <f t="shared" si="24"/>
        <v>0.5</v>
      </c>
      <c r="R73">
        <f t="shared" si="25"/>
        <v>0.66666666666666663</v>
      </c>
      <c r="S73">
        <f t="shared" si="26"/>
        <v>1.1666666666666665</v>
      </c>
      <c r="T73" s="88">
        <f t="shared" si="27"/>
        <v>1</v>
      </c>
      <c r="U73" s="125">
        <f>IF($D73="",0,IFERROR(LOOKUP(2,1/(($D$3:D72=$D73)*($C$3:C72=$C73)*($A$3:A72&lt;$A73)),$AB$3:AB72),1000))</f>
        <v>1016</v>
      </c>
      <c r="V73" s="125">
        <f t="shared" si="28"/>
        <v>950.55166717705129</v>
      </c>
      <c r="W73">
        <f t="shared" si="29"/>
        <v>950.55166717705129</v>
      </c>
      <c r="X73">
        <f t="shared" si="30"/>
        <v>0.5</v>
      </c>
      <c r="Y73">
        <f t="shared" si="31"/>
        <v>1016</v>
      </c>
      <c r="Z73">
        <f t="shared" si="32"/>
        <v>0.5</v>
      </c>
      <c r="AA73">
        <f>IF($D73="",0,IF($F73&lt;2,0,IF($E73="Win",('Guide &amp; Settings'!$C$42/(($F73-1)*COUNTIFS($A$4:$A$311,$A73,$E$4:$E$311,"Win")))*SUMIFS($Z$4:$Z$311,$A$4:$A$311,$A73,$E$4:$E$311,"Loss"),-('Guide &amp; Settings'!$C$42/($F73-1))*$Z73)))</f>
        <v>15.263693206478006</v>
      </c>
      <c r="AB73" s="125">
        <f t="shared" si="33"/>
        <v>1031.2636932064779</v>
      </c>
      <c r="AC73" s="125">
        <f>IF($D73="","",IF(SUMPRODUCT(MAX(($D$4:$D$311=$D73)*($B$4:$B$311&lt;$B73)*$B$4:$B$311))=0,0,MAX(($B73-SUMPRODUCT(MAX(($D$4:$D$311=$D73)*($B$4:$B$311&lt;$B73)*$B$4:$B$311)))/7-'Guide &amp; Settings'!$C$48,0)*'Guide &amp; Settings'!$C$49))</f>
        <v>0</v>
      </c>
    </row>
    <row r="74" spans="1:29" ht="15" customHeight="1" x14ac:dyDescent="0.2">
      <c r="A74" s="116">
        <v>32</v>
      </c>
      <c r="B74" s="117">
        <v>46175</v>
      </c>
      <c r="C74" s="118" t="s">
        <v>211</v>
      </c>
      <c r="D74" s="118" t="s">
        <v>180</v>
      </c>
      <c r="E74" s="116" t="s">
        <v>317</v>
      </c>
      <c r="F74" s="119">
        <f t="shared" si="17"/>
        <v>2</v>
      </c>
      <c r="G74" s="120" t="str">
        <f t="shared" si="18"/>
        <v>Daniel (Ferret)</v>
      </c>
      <c r="H74" s="121">
        <f>IF($D74="",0,IFERROR(LOOKUP(2,1/(($D$3:D73=$D74)*($A$3:A73&lt;$A74)),$N$3:N73),'Guide &amp; Settings'!$C$41))</f>
        <v>1053.58309096217</v>
      </c>
      <c r="I74" s="122">
        <f t="shared" si="19"/>
        <v>0.4285714285714286</v>
      </c>
      <c r="J74" s="123">
        <f>IF($D74="",0,IF($F74&lt;2,0,IF($E74="Win",('Guide &amp; Settings'!$C$42/(($F74-1)*COUNTIFS($A$4:$A$311,$A74,$E$4:$E$311,"Win")))*SUMIFS($X$4:$X$311,$A$4:$A$311,$A74,$E$4:$E$311,"Loss"),-('Guide &amp; Settings'!$C$42/($F74-1))*$X74)))</f>
        <v>-20.610410320255308</v>
      </c>
      <c r="K74" s="123">
        <f>IF($D74="",0,'Guide &amp; Settings'!$C$43*(IF($E74="Win",1,0)-$I74))</f>
        <v>-5.1428571428571432</v>
      </c>
      <c r="L74" s="124">
        <f>IF($D74="",0,'Guide &amp; Settings'!$C$44*IF($F74&gt;=3,$F74+IF($E74="Win",$F74,0),0))</f>
        <v>0</v>
      </c>
      <c r="M74" s="123">
        <f t="shared" si="20"/>
        <v>-25.753267463112451</v>
      </c>
      <c r="N74" s="121">
        <f t="shared" si="21"/>
        <v>1027.8298234990575</v>
      </c>
      <c r="O74" s="120" t="str">
        <f t="shared" si="22"/>
        <v>OK</v>
      </c>
      <c r="P74">
        <f t="shared" si="23"/>
        <v>937.46200061246157</v>
      </c>
      <c r="Q74">
        <f t="shared" si="24"/>
        <v>0.66115526865126939</v>
      </c>
      <c r="R74">
        <f t="shared" si="25"/>
        <v>0.5</v>
      </c>
      <c r="S74">
        <f t="shared" si="26"/>
        <v>1.1666666666666665</v>
      </c>
      <c r="T74" s="88">
        <f t="shared" si="27"/>
        <v>0</v>
      </c>
      <c r="U74" s="125">
        <f>IF($D74="",0,IFERROR(LOOKUP(2,1/(($D$3:D73=$D74)*($C$3:C73=$C74)*($A$3:A73&lt;$A74)),$AB$3:AB73),1000))</f>
        <v>1000</v>
      </c>
      <c r="V74" s="125">
        <f t="shared" si="28"/>
        <v>1053.58309096217</v>
      </c>
      <c r="W74">
        <f t="shared" si="29"/>
        <v>950.55166717705129</v>
      </c>
      <c r="X74">
        <f t="shared" si="30"/>
        <v>0.64407532250797839</v>
      </c>
      <c r="Y74">
        <f t="shared" si="31"/>
        <v>1016</v>
      </c>
      <c r="Z74">
        <f t="shared" si="32"/>
        <v>0.47699041270243769</v>
      </c>
      <c r="AA74">
        <f>IF($D74="",0,IF($F74&lt;2,0,IF($E74="Win",('Guide &amp; Settings'!$C$42/(($F74-1)*COUNTIFS($A$4:$A$311,$A74,$E$4:$E$311,"Win")))*SUMIFS($Z$4:$Z$311,$A$4:$A$311,$A74,$E$4:$E$311,"Loss"),-('Guide &amp; Settings'!$C$42/($F74-1))*$Z74)))</f>
        <v>-15.263693206478006</v>
      </c>
      <c r="AB74" s="125">
        <f t="shared" si="33"/>
        <v>984.73630679352198</v>
      </c>
      <c r="AC74" s="125">
        <f>IF($D74="","",IF(SUMPRODUCT(MAX(($D$4:$D$311=$D74)*($B$4:$B$311&lt;$B74)*$B$4:$B$311))=0,0,MAX(($B74-SUMPRODUCT(MAX(($D$4:$D$311=$D74)*($B$4:$B$311&lt;$B74)*$B$4:$B$311)))/7-'Guide &amp; Settings'!$C$48,0)*'Guide &amp; Settings'!$C$49))</f>
        <v>0</v>
      </c>
    </row>
    <row r="75" spans="1:29" ht="15" customHeight="1" x14ac:dyDescent="0.2">
      <c r="A75" s="116">
        <v>33</v>
      </c>
      <c r="B75" s="117">
        <v>46175</v>
      </c>
      <c r="C75" s="118" t="s">
        <v>211</v>
      </c>
      <c r="D75" s="118" t="s">
        <v>145</v>
      </c>
      <c r="E75" s="116" t="s">
        <v>316</v>
      </c>
      <c r="F75" s="119">
        <f t="shared" si="17"/>
        <v>2</v>
      </c>
      <c r="G75" s="120" t="str">
        <f t="shared" si="18"/>
        <v>Aaron</v>
      </c>
      <c r="H75" s="121">
        <f>IF($D75="",0,IFERROR(LOOKUP(2,1/(($D$3:D74=$D75)*($A$3:A74&lt;$A75)),$N$3:N74),'Guide &amp; Settings'!$C$41))</f>
        <v>1062.1629018977187</v>
      </c>
      <c r="I75" s="122">
        <f t="shared" si="19"/>
        <v>0.5</v>
      </c>
      <c r="J75" s="123">
        <f>IF($D75="",0,IF($F75&lt;2,0,IF($E75="Win",('Guide &amp; Settings'!$C$42/(($F75-1)*COUNTIFS($A$4:$A$311,$A75,$E$4:$E$311,"Win")))*SUMIFS($X$4:$X$311,$A$4:$A$311,$A75,$E$4:$E$311,"Loss"),-('Guide &amp; Settings'!$C$42/($F75-1))*$X75)))</f>
        <v>14.691003056054509</v>
      </c>
      <c r="K75" s="123">
        <f>IF($D75="",0,'Guide &amp; Settings'!$C$43*(IF($E75="Win",1,0)-$I75))</f>
        <v>6</v>
      </c>
      <c r="L75" s="124">
        <f>IF($D75="",0,'Guide &amp; Settings'!$C$44*IF($F75&gt;=3,$F75+IF($E75="Win",$F75,0),0))</f>
        <v>0</v>
      </c>
      <c r="M75" s="123">
        <f t="shared" si="20"/>
        <v>20.691003056054509</v>
      </c>
      <c r="N75" s="121">
        <f t="shared" si="21"/>
        <v>1082.8539049537733</v>
      </c>
      <c r="O75" s="120" t="str">
        <f t="shared" si="22"/>
        <v>OK</v>
      </c>
      <c r="P75">
        <f t="shared" si="23"/>
        <v>1062.1629018977187</v>
      </c>
      <c r="Q75">
        <f t="shared" si="24"/>
        <v>0.5</v>
      </c>
      <c r="R75">
        <f t="shared" si="25"/>
        <v>0.33333333333333331</v>
      </c>
      <c r="S75">
        <f t="shared" si="26"/>
        <v>0.66666666666666663</v>
      </c>
      <c r="T75" s="88">
        <f t="shared" si="27"/>
        <v>1</v>
      </c>
      <c r="U75" s="125">
        <f>IF($D75="",0,IFERROR(LOOKUP(2,1/(($D$3:D74=$D75)*($C$3:C74=$C75)*($A$3:A74&lt;$A75)),$AB$3:AB74),1000))</f>
        <v>984</v>
      </c>
      <c r="V75" s="125">
        <f t="shared" si="28"/>
        <v>1049.1357515814323</v>
      </c>
      <c r="W75">
        <f t="shared" si="29"/>
        <v>1049.1357515814323</v>
      </c>
      <c r="X75">
        <f t="shared" si="30"/>
        <v>0.5</v>
      </c>
      <c r="Y75">
        <f t="shared" si="31"/>
        <v>984</v>
      </c>
      <c r="Z75">
        <f t="shared" si="32"/>
        <v>0.5</v>
      </c>
      <c r="AA75">
        <f>IF($D75="",0,IF($F75&lt;2,0,IF($E75="Win",('Guide &amp; Settings'!$C$42/(($F75-1)*COUNTIFS($A$4:$A$311,$A75,$E$4:$E$311,"Win")))*SUMIFS($Z$4:$Z$311,$A$4:$A$311,$A75,$E$4:$E$311,"Loss"),-('Guide &amp; Settings'!$C$42/($F75-1))*$Z75)))</f>
        <v>16.033908130169188</v>
      </c>
      <c r="AB75" s="125">
        <f t="shared" si="33"/>
        <v>1000.0339081301692</v>
      </c>
      <c r="AC75" s="125">
        <f>IF($D75="","",IF(SUMPRODUCT(MAX(($D$4:$D$311=$D75)*($B$4:$B$311&lt;$B75)*$B$4:$B$311))=0,0,MAX(($B75-SUMPRODUCT(MAX(($D$4:$D$311=$D75)*($B$4:$B$311&lt;$B75)*$B$4:$B$311)))/7-'Guide &amp; Settings'!$C$48,0)*'Guide &amp; Settings'!$C$49))</f>
        <v>0</v>
      </c>
    </row>
    <row r="76" spans="1:29" ht="15" customHeight="1" x14ac:dyDescent="0.2">
      <c r="A76" s="116">
        <v>33</v>
      </c>
      <c r="B76" s="117">
        <v>46175</v>
      </c>
      <c r="C76" s="118" t="s">
        <v>211</v>
      </c>
      <c r="D76" s="118" t="s">
        <v>180</v>
      </c>
      <c r="E76" s="116" t="s">
        <v>317</v>
      </c>
      <c r="F76" s="119">
        <f t="shared" si="17"/>
        <v>2</v>
      </c>
      <c r="G76" s="120" t="str">
        <f t="shared" si="18"/>
        <v>Aaron</v>
      </c>
      <c r="H76" s="121">
        <f>IF($D76="",0,IFERROR(LOOKUP(2,1/(($D$3:D75=$D76)*($A$3:A75&lt;$A76)),$N$3:N75),'Guide &amp; Settings'!$C$41))</f>
        <v>1027.8298234990575</v>
      </c>
      <c r="I76" s="122">
        <f t="shared" si="19"/>
        <v>0.5</v>
      </c>
      <c r="J76" s="123">
        <f>IF($D76="",0,IF($F76&lt;2,0,IF($E76="Win",('Guide &amp; Settings'!$C$42/(($F76-1)*COUNTIFS($A$4:$A$311,$A76,$E$4:$E$311,"Win")))*SUMIFS($X$4:$X$311,$A$4:$A$311,$A76,$E$4:$E$311,"Loss"),-('Guide &amp; Settings'!$C$42/($F76-1))*$X76)))</f>
        <v>-14.691003056054509</v>
      </c>
      <c r="K76" s="123">
        <f>IF($D76="",0,'Guide &amp; Settings'!$C$43*(IF($E76="Win",1,0)-$I76))</f>
        <v>-6</v>
      </c>
      <c r="L76" s="124">
        <f>IF($D76="",0,'Guide &amp; Settings'!$C$44*IF($F76&gt;=3,$F76+IF($E76="Win",$F76,0),0))</f>
        <v>0</v>
      </c>
      <c r="M76" s="123">
        <f t="shared" si="20"/>
        <v>-20.691003056054509</v>
      </c>
      <c r="N76" s="121">
        <f t="shared" si="21"/>
        <v>1007.1388204430031</v>
      </c>
      <c r="O76" s="120" t="str">
        <f t="shared" si="22"/>
        <v>OK</v>
      </c>
      <c r="P76">
        <f t="shared" si="23"/>
        <v>1062.1629018977187</v>
      </c>
      <c r="Q76">
        <f t="shared" si="24"/>
        <v>0.45075093159503038</v>
      </c>
      <c r="R76">
        <f t="shared" si="25"/>
        <v>0.33333333333333331</v>
      </c>
      <c r="S76">
        <f t="shared" si="26"/>
        <v>0.66666666666666663</v>
      </c>
      <c r="T76" s="88">
        <f t="shared" si="27"/>
        <v>1</v>
      </c>
      <c r="U76" s="125">
        <f>IF($D76="",0,IFERROR(LOOKUP(2,1/(($D$3:D75=$D76)*($C$3:C75=$C76)*($A$3:A75&lt;$A76)),$AB$3:AB75),1000))</f>
        <v>984.73630679352198</v>
      </c>
      <c r="V76" s="125">
        <f t="shared" si="28"/>
        <v>1020.6475707148016</v>
      </c>
      <c r="W76">
        <f t="shared" si="29"/>
        <v>1049.1357515814323</v>
      </c>
      <c r="X76">
        <f t="shared" si="30"/>
        <v>0.4590938455017034</v>
      </c>
      <c r="Y76">
        <f t="shared" si="31"/>
        <v>984</v>
      </c>
      <c r="Z76">
        <f t="shared" si="32"/>
        <v>0.50105962906778712</v>
      </c>
      <c r="AA76">
        <f>IF($D76="",0,IF($F76&lt;2,0,IF($E76="Win",('Guide &amp; Settings'!$C$42/(($F76-1)*COUNTIFS($A$4:$A$311,$A76,$E$4:$E$311,"Win")))*SUMIFS($Z$4:$Z$311,$A$4:$A$311,$A76,$E$4:$E$311,"Loss"),-('Guide &amp; Settings'!$C$42/($F76-1))*$Z76)))</f>
        <v>-16.033908130169188</v>
      </c>
      <c r="AB76" s="125">
        <f t="shared" si="33"/>
        <v>968.70239866335282</v>
      </c>
      <c r="AC76" s="125">
        <f>IF($D76="","",IF(SUMPRODUCT(MAX(($D$4:$D$311=$D76)*($B$4:$B$311&lt;$B76)*$B$4:$B$311))=0,0,MAX(($B76-SUMPRODUCT(MAX(($D$4:$D$311=$D76)*($B$4:$B$311&lt;$B76)*$B$4:$B$311)))/7-'Guide &amp; Settings'!$C$48,0)*'Guide &amp; Settings'!$C$49))</f>
        <v>0</v>
      </c>
    </row>
    <row r="77" spans="1:29" ht="15" customHeight="1" x14ac:dyDescent="0.2">
      <c r="A77" s="116">
        <v>34</v>
      </c>
      <c r="B77" s="117">
        <v>46175</v>
      </c>
      <c r="C77" s="118" t="s">
        <v>212</v>
      </c>
      <c r="D77" s="118" t="s">
        <v>144</v>
      </c>
      <c r="E77" s="116" t="s">
        <v>316</v>
      </c>
      <c r="F77" s="119">
        <f t="shared" si="17"/>
        <v>3</v>
      </c>
      <c r="G77" s="120" t="str">
        <f t="shared" si="18"/>
        <v>Josh</v>
      </c>
      <c r="H77" s="121">
        <f>IF($D77="",0,IFERROR(LOOKUP(2,1/(($D$3:D76=$D77)*($A$3:A76&lt;$A77)),$N$3:N76),'Guide &amp; Settings'!$C$41))</f>
        <v>1118.294294897735</v>
      </c>
      <c r="I77" s="122">
        <f t="shared" si="19"/>
        <v>0.33333333333333331</v>
      </c>
      <c r="J77" s="123">
        <f>IF($D77="",0,IF($F77&lt;2,0,IF($E77="Win",('Guide &amp; Settings'!$C$42/(($F77-1)*COUNTIFS($A$4:$A$311,$A77,$E$4:$E$311,"Win")))*SUMIFS($X$4:$X$311,$A$4:$A$311,$A77,$E$4:$E$311,"Loss"),-('Guide &amp; Settings'!$C$42/($F77-1))*$X77)))</f>
        <v>10.173267921776763</v>
      </c>
      <c r="K77" s="123">
        <f>IF($D77="",0,'Guide &amp; Settings'!$C$43*(IF($E77="Win",1,0)-$I77))</f>
        <v>8</v>
      </c>
      <c r="L77" s="124">
        <f>IF($D77="",0,'Guide &amp; Settings'!$C$44*IF($F77&gt;=3,$F77+IF($E77="Win",$F77,0),0))</f>
        <v>6</v>
      </c>
      <c r="M77" s="123">
        <f t="shared" si="20"/>
        <v>24.173267921776763</v>
      </c>
      <c r="N77" s="121">
        <f t="shared" si="21"/>
        <v>1142.4675628195118</v>
      </c>
      <c r="O77" s="120" t="str">
        <f t="shared" si="22"/>
        <v>OK</v>
      </c>
      <c r="P77">
        <f t="shared" si="23"/>
        <v>1118.294294897735</v>
      </c>
      <c r="Q77">
        <f t="shared" si="24"/>
        <v>0.5</v>
      </c>
      <c r="R77">
        <f t="shared" si="25"/>
        <v>0.5</v>
      </c>
      <c r="S77">
        <f t="shared" si="26"/>
        <v>1.5</v>
      </c>
      <c r="T77" s="88">
        <f t="shared" si="27"/>
        <v>0</v>
      </c>
      <c r="U77" s="125">
        <f>IF($D77="",0,IFERROR(LOOKUP(2,1/(($D$3:D76=$D77)*($C$3:C76=$C77)*($A$3:A76&lt;$A77)),$AB$3:AB76),1000))</f>
        <v>1000</v>
      </c>
      <c r="V77" s="125">
        <f t="shared" si="28"/>
        <v>1118.294294897735</v>
      </c>
      <c r="W77">
        <f t="shared" si="29"/>
        <v>1118.294294897735</v>
      </c>
      <c r="X77">
        <f t="shared" si="30"/>
        <v>0.5</v>
      </c>
      <c r="Y77">
        <f t="shared" si="31"/>
        <v>1000</v>
      </c>
      <c r="Z77">
        <f t="shared" si="32"/>
        <v>0.5</v>
      </c>
      <c r="AA77">
        <f>IF($D77="",0,IF($F77&lt;2,0,IF($E77="Win",('Guide &amp; Settings'!$C$42/(($F77-1)*COUNTIFS($A$4:$A$311,$A77,$E$4:$E$311,"Win")))*SUMIFS($Z$4:$Z$311,$A$4:$A$311,$A77,$E$4:$E$311,"Loss"),-('Guide &amp; Settings'!$C$42/($F77-1))*$Z77)))</f>
        <v>16</v>
      </c>
      <c r="AB77" s="125">
        <f t="shared" si="33"/>
        <v>1016</v>
      </c>
      <c r="AC77" s="125">
        <f>IF($D77="","",IF(SUMPRODUCT(MAX(($D$4:$D$311=$D77)*($B$4:$B$311&lt;$B77)*$B$4:$B$311))=0,0,MAX(($B77-SUMPRODUCT(MAX(($D$4:$D$311=$D77)*($B$4:$B$311&lt;$B77)*$B$4:$B$311)))/7-'Guide &amp; Settings'!$C$48,0)*'Guide &amp; Settings'!$C$49))</f>
        <v>0</v>
      </c>
    </row>
    <row r="78" spans="1:29" ht="15" customHeight="1" x14ac:dyDescent="0.2">
      <c r="A78" s="116">
        <v>34</v>
      </c>
      <c r="B78" s="117">
        <v>46175</v>
      </c>
      <c r="C78" s="118" t="s">
        <v>212</v>
      </c>
      <c r="D78" s="118" t="s">
        <v>177</v>
      </c>
      <c r="E78" s="116" t="s">
        <v>317</v>
      </c>
      <c r="F78" s="119">
        <f t="shared" si="17"/>
        <v>3</v>
      </c>
      <c r="G78" s="120" t="str">
        <f t="shared" si="18"/>
        <v>Josh</v>
      </c>
      <c r="H78" s="121">
        <f>IF($D78="",0,IFERROR(LOOKUP(2,1/(($D$3:D77=$D78)*($A$3:A77&lt;$A78)),$N$3:N77),'Guide &amp; Settings'!$C$41))</f>
        <v>963.21526807557404</v>
      </c>
      <c r="I78" s="122">
        <f t="shared" si="19"/>
        <v>0.33333333333333331</v>
      </c>
      <c r="J78" s="123">
        <f>IF($D78="",0,IF($F78&lt;2,0,IF($E78="Win",('Guide &amp; Settings'!$C$42/(($F78-1)*COUNTIFS($A$4:$A$311,$A78,$E$4:$E$311,"Win")))*SUMIFS($X$4:$X$311,$A$4:$A$311,$A78,$E$4:$E$311,"Loss"),-('Guide &amp; Settings'!$C$42/($F78-1))*$X78)))</f>
        <v>-4.6488254116367616</v>
      </c>
      <c r="K78" s="123">
        <f>IF($D78="",0,'Guide &amp; Settings'!$C$43*(IF($E78="Win",1,0)-$I78))</f>
        <v>-4</v>
      </c>
      <c r="L78" s="124">
        <f>IF($D78="",0,'Guide &amp; Settings'!$C$44*IF($F78&gt;=3,$F78+IF($E78="Win",$F78,0),0))</f>
        <v>3</v>
      </c>
      <c r="M78" s="123">
        <f t="shared" si="20"/>
        <v>-5.6488254116367607</v>
      </c>
      <c r="N78" s="121">
        <f t="shared" si="21"/>
        <v>957.56644266393732</v>
      </c>
      <c r="O78" s="120" t="str">
        <f t="shared" si="22"/>
        <v>OK</v>
      </c>
      <c r="P78">
        <f t="shared" si="23"/>
        <v>1118.294294897735</v>
      </c>
      <c r="Q78">
        <f t="shared" si="24"/>
        <v>0.2905515882272976</v>
      </c>
      <c r="R78">
        <f t="shared" si="25"/>
        <v>0.5</v>
      </c>
      <c r="S78">
        <f t="shared" si="26"/>
        <v>1.5</v>
      </c>
      <c r="T78" s="88">
        <f t="shared" si="27"/>
        <v>0</v>
      </c>
      <c r="U78" s="125">
        <f>IF($D78="",0,IFERROR(LOOKUP(2,1/(($D$3:D77=$D78)*($C$3:C77=$C78)*($A$3:A77&lt;$A78)),$AB$3:AB77),1000))</f>
        <v>1000</v>
      </c>
      <c r="V78" s="125">
        <f t="shared" si="28"/>
        <v>963.21526807557404</v>
      </c>
      <c r="W78">
        <f t="shared" si="29"/>
        <v>1118.294294897735</v>
      </c>
      <c r="X78">
        <f t="shared" si="30"/>
        <v>0.2905515882272976</v>
      </c>
      <c r="Y78">
        <f t="shared" si="31"/>
        <v>1000</v>
      </c>
      <c r="Z78">
        <f t="shared" si="32"/>
        <v>0.5</v>
      </c>
      <c r="AA78">
        <f>IF($D78="",0,IF($F78&lt;2,0,IF($E78="Win",('Guide &amp; Settings'!$C$42/(($F78-1)*COUNTIFS($A$4:$A$311,$A78,$E$4:$E$311,"Win")))*SUMIFS($Z$4:$Z$311,$A$4:$A$311,$A78,$E$4:$E$311,"Loss"),-('Guide &amp; Settings'!$C$42/($F78-1))*$Z78)))</f>
        <v>-8</v>
      </c>
      <c r="AB78" s="125">
        <f t="shared" si="33"/>
        <v>992</v>
      </c>
      <c r="AC78" s="125">
        <f>IF($D78="","",IF(SUMPRODUCT(MAX(($D$4:$D$311=$D78)*($B$4:$B$311&lt;$B78)*$B$4:$B$311))=0,0,MAX(($B78-SUMPRODUCT(MAX(($D$4:$D$311=$D78)*($B$4:$B$311&lt;$B78)*$B$4:$B$311)))/7-'Guide &amp; Settings'!$C$48,0)*'Guide &amp; Settings'!$C$49))</f>
        <v>0</v>
      </c>
    </row>
    <row r="79" spans="1:29" ht="15" customHeight="1" x14ac:dyDescent="0.2">
      <c r="A79" s="116">
        <v>34</v>
      </c>
      <c r="B79" s="117">
        <v>46175</v>
      </c>
      <c r="C79" s="118" t="s">
        <v>212</v>
      </c>
      <c r="D79" s="118" t="s">
        <v>180</v>
      </c>
      <c r="E79" s="116" t="s">
        <v>317</v>
      </c>
      <c r="F79" s="119">
        <f t="shared" si="17"/>
        <v>3</v>
      </c>
      <c r="G79" s="120" t="str">
        <f t="shared" si="18"/>
        <v>Josh</v>
      </c>
      <c r="H79" s="121">
        <f>IF($D79="",0,IFERROR(LOOKUP(2,1/(($D$3:D78=$D79)*($A$3:A78&lt;$A79)),$N$3:N78),'Guide &amp; Settings'!$C$41))</f>
        <v>1007.1388204430031</v>
      </c>
      <c r="I79" s="122">
        <f t="shared" si="19"/>
        <v>0.33333333333333331</v>
      </c>
      <c r="J79" s="123">
        <f>IF($D79="",0,IF($F79&lt;2,0,IF($E79="Win",('Guide &amp; Settings'!$C$42/(($F79-1)*COUNTIFS($A$4:$A$311,$A79,$E$4:$E$311,"Win")))*SUMIFS($X$4:$X$311,$A$4:$A$311,$A79,$E$4:$E$311,"Loss"),-('Guide &amp; Settings'!$C$42/($F79-1))*$X79)))</f>
        <v>-5.5244425101400019</v>
      </c>
      <c r="K79" s="123">
        <f>IF($D79="",0,'Guide &amp; Settings'!$C$43*(IF($E79="Win",1,0)-$I79))</f>
        <v>-4</v>
      </c>
      <c r="L79" s="124">
        <f>IF($D79="",0,'Guide &amp; Settings'!$C$44*IF($F79&gt;=3,$F79+IF($E79="Win",$F79,0),0))</f>
        <v>3</v>
      </c>
      <c r="M79" s="123">
        <f t="shared" si="20"/>
        <v>-6.5244425101400019</v>
      </c>
      <c r="N79" s="121">
        <f t="shared" si="21"/>
        <v>1000.614377932863</v>
      </c>
      <c r="O79" s="120" t="str">
        <f t="shared" si="22"/>
        <v>OK</v>
      </c>
      <c r="P79">
        <f t="shared" si="23"/>
        <v>1118.294294897735</v>
      </c>
      <c r="Q79">
        <f t="shared" si="24"/>
        <v>0.34527765688375012</v>
      </c>
      <c r="R79">
        <f t="shared" si="25"/>
        <v>0.5</v>
      </c>
      <c r="S79">
        <f t="shared" si="26"/>
        <v>1.5</v>
      </c>
      <c r="T79" s="88">
        <f t="shared" si="27"/>
        <v>0</v>
      </c>
      <c r="U79" s="125">
        <f>IF($D79="",0,IFERROR(LOOKUP(2,1/(($D$3:D78=$D79)*($C$3:C78=$C79)*($A$3:A78&lt;$A79)),$AB$3:AB78),1000))</f>
        <v>1000</v>
      </c>
      <c r="V79" s="125">
        <f t="shared" si="28"/>
        <v>1007.1388204430031</v>
      </c>
      <c r="W79">
        <f t="shared" si="29"/>
        <v>1118.294294897735</v>
      </c>
      <c r="X79">
        <f t="shared" si="30"/>
        <v>0.34527765688375012</v>
      </c>
      <c r="Y79">
        <f t="shared" si="31"/>
        <v>1000</v>
      </c>
      <c r="Z79">
        <f t="shared" si="32"/>
        <v>0.5</v>
      </c>
      <c r="AA79">
        <f>IF($D79="",0,IF($F79&lt;2,0,IF($E79="Win",('Guide &amp; Settings'!$C$42/(($F79-1)*COUNTIFS($A$4:$A$311,$A79,$E$4:$E$311,"Win")))*SUMIFS($Z$4:$Z$311,$A$4:$A$311,$A79,$E$4:$E$311,"Loss"),-('Guide &amp; Settings'!$C$42/($F79-1))*$Z79)))</f>
        <v>-8</v>
      </c>
      <c r="AB79" s="125">
        <f t="shared" si="33"/>
        <v>992</v>
      </c>
      <c r="AC79" s="125">
        <f>IF($D79="","",IF(SUMPRODUCT(MAX(($D$4:$D$311=$D79)*($B$4:$B$311&lt;$B79)*$B$4:$B$311))=0,0,MAX(($B79-SUMPRODUCT(MAX(($D$4:$D$311=$D79)*($B$4:$B$311&lt;$B79)*$B$4:$B$311)))/7-'Guide &amp; Settings'!$C$48,0)*'Guide &amp; Settings'!$C$49))</f>
        <v>0</v>
      </c>
    </row>
    <row r="80" spans="1:29" ht="15" customHeight="1" x14ac:dyDescent="0.2">
      <c r="A80" s="116">
        <v>35</v>
      </c>
      <c r="B80" s="117">
        <v>46175</v>
      </c>
      <c r="C80" s="118" t="s">
        <v>203</v>
      </c>
      <c r="D80" s="118" t="s">
        <v>147</v>
      </c>
      <c r="E80" s="116" t="s">
        <v>316</v>
      </c>
      <c r="F80" s="119">
        <f t="shared" si="17"/>
        <v>2</v>
      </c>
      <c r="G80" s="120" t="str">
        <f t="shared" si="18"/>
        <v>David</v>
      </c>
      <c r="H80" s="121">
        <f>IF($D80="",0,IFERROR(LOOKUP(2,1/(($D$3:D79=$D80)*($A$3:A79&lt;$A80)),$N$3:N79),'Guide &amp; Settings'!$C$41))</f>
        <v>930.80449970221821</v>
      </c>
      <c r="I80" s="122">
        <f t="shared" si="19"/>
        <v>0.45454545454545447</v>
      </c>
      <c r="J80" s="123">
        <f>IF($D80="",0,IF($F80&lt;2,0,IF($E80="Win",('Guide &amp; Settings'!$C$42/(($F80-1)*COUNTIFS($A$4:$A$311,$A80,$E$4:$E$311,"Win")))*SUMIFS($X$4:$X$311,$A$4:$A$311,$A80,$E$4:$E$311,"Loss"),-('Guide &amp; Settings'!$C$42/($F80-1))*$X80)))</f>
        <v>16.686018870237326</v>
      </c>
      <c r="K80" s="123">
        <f>IF($D80="",0,'Guide &amp; Settings'!$C$43*(IF($E80="Win",1,0)-$I80))</f>
        <v>6.5454545454545467</v>
      </c>
      <c r="L80" s="124">
        <f>IF($D80="",0,'Guide &amp; Settings'!$C$44*IF($F80&gt;=3,$F80+IF($E80="Win",$F80,0),0))</f>
        <v>0</v>
      </c>
      <c r="M80" s="123">
        <f t="shared" si="20"/>
        <v>23.231473415691873</v>
      </c>
      <c r="N80" s="121">
        <f t="shared" si="21"/>
        <v>954.03597311791009</v>
      </c>
      <c r="O80" s="120" t="str">
        <f t="shared" si="22"/>
        <v>OK</v>
      </c>
      <c r="P80">
        <f t="shared" si="23"/>
        <v>930.80449970221821</v>
      </c>
      <c r="Q80">
        <f t="shared" si="24"/>
        <v>0.5</v>
      </c>
      <c r="R80">
        <f t="shared" si="25"/>
        <v>0.16666666666666666</v>
      </c>
      <c r="S80">
        <f t="shared" si="26"/>
        <v>0.3666666666666667</v>
      </c>
      <c r="T80" s="88">
        <f t="shared" si="27"/>
        <v>4</v>
      </c>
      <c r="U80" s="125">
        <f>IF($D80="",0,IFERROR(LOOKUP(2,1/(($D$3:D79=$D80)*($C$3:C79=$C80)*($A$3:A79&lt;$A80)),$AB$3:AB79),1000))</f>
        <v>942.80180078795615</v>
      </c>
      <c r="V80" s="125">
        <f t="shared" si="28"/>
        <v>936.13663351810169</v>
      </c>
      <c r="W80">
        <f t="shared" si="29"/>
        <v>936.13663351810169</v>
      </c>
      <c r="X80">
        <f t="shared" si="30"/>
        <v>0.5</v>
      </c>
      <c r="Y80">
        <f t="shared" si="31"/>
        <v>942.80180078795615</v>
      </c>
      <c r="Z80">
        <f t="shared" si="32"/>
        <v>0.5</v>
      </c>
      <c r="AA80">
        <f>IF($D80="",0,IF($F80&lt;2,0,IF($E80="Win",('Guide &amp; Settings'!$C$42/(($F80-1)*COUNTIFS($A$4:$A$311,$A80,$E$4:$E$311,"Win")))*SUMIFS($Z$4:$Z$311,$A$4:$A$311,$A80,$E$4:$E$311,"Loss"),-('Guide &amp; Settings'!$C$42/($F80-1))*$Z80)))</f>
        <v>16.619135157668911</v>
      </c>
      <c r="AB80" s="125">
        <f t="shared" si="33"/>
        <v>959.42093594562505</v>
      </c>
      <c r="AC80" s="125">
        <f>IF($D80="","",IF(SUMPRODUCT(MAX(($D$4:$D$311=$D80)*($B$4:$B$311&lt;$B80)*$B$4:$B$311))=0,0,MAX(($B80-SUMPRODUCT(MAX(($D$4:$D$311=$D80)*($B$4:$B$311&lt;$B80)*$B$4:$B$311)))/7-'Guide &amp; Settings'!$C$48,0)*'Guide &amp; Settings'!$C$49))</f>
        <v>0</v>
      </c>
    </row>
    <row r="81" spans="1:29" ht="15" customHeight="1" x14ac:dyDescent="0.2">
      <c r="A81" s="116">
        <v>35</v>
      </c>
      <c r="B81" s="117">
        <v>46175</v>
      </c>
      <c r="C81" s="118" t="s">
        <v>203</v>
      </c>
      <c r="D81" s="118" t="s">
        <v>182</v>
      </c>
      <c r="E81" s="116" t="s">
        <v>317</v>
      </c>
      <c r="F81" s="119">
        <f t="shared" si="17"/>
        <v>2</v>
      </c>
      <c r="G81" s="120" t="str">
        <f t="shared" si="18"/>
        <v>David</v>
      </c>
      <c r="H81" s="121">
        <f>IF($D81="",0,IFERROR(LOOKUP(2,1/(($D$3:D80=$D81)*($A$3:A80&lt;$A81)),$N$3:N80),'Guide &amp; Settings'!$C$41))</f>
        <v>947.91625238930521</v>
      </c>
      <c r="I81" s="122">
        <f t="shared" si="19"/>
        <v>0.54545454545454541</v>
      </c>
      <c r="J81" s="123">
        <f>IF($D81="",0,IF($F81&lt;2,0,IF($E81="Win",('Guide &amp; Settings'!$C$42/(($F81-1)*COUNTIFS($A$4:$A$311,$A81,$E$4:$E$311,"Win")))*SUMIFS($X$4:$X$311,$A$4:$A$311,$A81,$E$4:$E$311,"Loss"),-('Guide &amp; Settings'!$C$42/($F81-1))*$X81)))</f>
        <v>-16.686018870237326</v>
      </c>
      <c r="K81" s="123">
        <f>IF($D81="",0,'Guide &amp; Settings'!$C$43*(IF($E81="Win",1,0)-$I81))</f>
        <v>-6.545454545454545</v>
      </c>
      <c r="L81" s="124">
        <f>IF($D81="",0,'Guide &amp; Settings'!$C$44*IF($F81&gt;=3,$F81+IF($E81="Win",$F81,0),0))</f>
        <v>0</v>
      </c>
      <c r="M81" s="123">
        <f t="shared" si="20"/>
        <v>-23.231473415691873</v>
      </c>
      <c r="N81" s="121">
        <f t="shared" si="21"/>
        <v>924.68477897361333</v>
      </c>
      <c r="O81" s="120" t="str">
        <f t="shared" si="22"/>
        <v>OK</v>
      </c>
      <c r="P81">
        <f t="shared" si="23"/>
        <v>930.80449970221821</v>
      </c>
      <c r="Q81">
        <f t="shared" si="24"/>
        <v>0.52460589921304701</v>
      </c>
      <c r="R81">
        <f t="shared" si="25"/>
        <v>0.2</v>
      </c>
      <c r="S81">
        <f t="shared" si="26"/>
        <v>0.3666666666666667</v>
      </c>
      <c r="T81" s="88">
        <f t="shared" si="27"/>
        <v>3</v>
      </c>
      <c r="U81" s="125">
        <f>IF($D81="",0,IFERROR(LOOKUP(2,1/(($D$3:D80=$D81)*($C$3:C80=$C81)*($A$3:A80&lt;$A81)),$AB$3:AB80),1000))</f>
        <v>956.25286636638907</v>
      </c>
      <c r="V81" s="125">
        <f t="shared" si="28"/>
        <v>951.04248263071167</v>
      </c>
      <c r="W81">
        <f t="shared" si="29"/>
        <v>936.13663351810169</v>
      </c>
      <c r="X81">
        <f t="shared" si="30"/>
        <v>0.52143808969491645</v>
      </c>
      <c r="Y81">
        <f t="shared" si="31"/>
        <v>942.80180078795615</v>
      </c>
      <c r="Z81">
        <f t="shared" si="32"/>
        <v>0.51934797367715346</v>
      </c>
      <c r="AA81">
        <f>IF($D81="",0,IF($F81&lt;2,0,IF($E81="Win",('Guide &amp; Settings'!$C$42/(($F81-1)*COUNTIFS($A$4:$A$311,$A81,$E$4:$E$311,"Win")))*SUMIFS($Z$4:$Z$311,$A$4:$A$311,$A81,$E$4:$E$311,"Loss"),-('Guide &amp; Settings'!$C$42/($F81-1))*$Z81)))</f>
        <v>-16.619135157668911</v>
      </c>
      <c r="AB81" s="125">
        <f t="shared" si="33"/>
        <v>939.63373120872018</v>
      </c>
      <c r="AC81" s="125">
        <f>IF($D81="","",IF(SUMPRODUCT(MAX(($D$4:$D$311=$D81)*($B$4:$B$311&lt;$B81)*$B$4:$B$311))=0,0,MAX(($B81-SUMPRODUCT(MAX(($D$4:$D$311=$D81)*($B$4:$B$311&lt;$B81)*$B$4:$B$311)))/7-'Guide &amp; Settings'!$C$48,0)*'Guide &amp; Settings'!$C$49))</f>
        <v>0</v>
      </c>
    </row>
    <row r="82" spans="1:29" ht="15" customHeight="1" x14ac:dyDescent="0.2">
      <c r="A82" s="116">
        <v>36</v>
      </c>
      <c r="B82" s="117">
        <v>46175</v>
      </c>
      <c r="C82" s="118" t="s">
        <v>203</v>
      </c>
      <c r="D82" s="118" t="s">
        <v>144</v>
      </c>
      <c r="E82" s="116" t="s">
        <v>316</v>
      </c>
      <c r="F82" s="119">
        <f t="shared" si="17"/>
        <v>2</v>
      </c>
      <c r="G82" s="120" t="str">
        <f t="shared" si="18"/>
        <v>Josh</v>
      </c>
      <c r="H82" s="121">
        <f>IF($D82="",0,IFERROR(LOOKUP(2,1/(($D$3:D81=$D82)*($A$3:A81&lt;$A82)),$N$3:N81),'Guide &amp; Settings'!$C$41))</f>
        <v>1142.4675628195118</v>
      </c>
      <c r="I82" s="122">
        <f t="shared" si="19"/>
        <v>0.7567567567567568</v>
      </c>
      <c r="J82" s="123">
        <f>IF($D82="",0,IF($F82&lt;2,0,IF($E82="Win",('Guide &amp; Settings'!$C$42/(($F82-1)*COUNTIFS($A$4:$A$311,$A82,$E$4:$E$311,"Win")))*SUMIFS($X$4:$X$311,$A$4:$A$311,$A82,$E$4:$E$311,"Loss"),-('Guide &amp; Settings'!$C$42/($F82-1))*$X82)))</f>
        <v>9.2626296862328772</v>
      </c>
      <c r="K82" s="123">
        <f>IF($D82="",0,'Guide &amp; Settings'!$C$43*(IF($E82="Win",1,0)-$I82))</f>
        <v>2.9189189189189184</v>
      </c>
      <c r="L82" s="124">
        <f>IF($D82="",0,'Guide &amp; Settings'!$C$44*IF($F82&gt;=3,$F82+IF($E82="Win",$F82,0),0))</f>
        <v>0</v>
      </c>
      <c r="M82" s="123">
        <f t="shared" si="20"/>
        <v>12.181548605151796</v>
      </c>
      <c r="N82" s="121">
        <f t="shared" si="21"/>
        <v>1154.6491114246637</v>
      </c>
      <c r="O82" s="120" t="str">
        <f t="shared" si="22"/>
        <v>OK</v>
      </c>
      <c r="P82">
        <f t="shared" si="23"/>
        <v>1142.4675628195118</v>
      </c>
      <c r="Q82">
        <f t="shared" si="24"/>
        <v>0.5</v>
      </c>
      <c r="R82">
        <f t="shared" si="25"/>
        <v>0.88888888888888884</v>
      </c>
      <c r="S82">
        <f t="shared" si="26"/>
        <v>1.1746031746031744</v>
      </c>
      <c r="T82" s="88">
        <f t="shared" si="27"/>
        <v>7</v>
      </c>
      <c r="U82" s="125">
        <f>IF($D82="",0,IFERROR(LOOKUP(2,1/(($D$3:D81=$D82)*($C$3:C81=$C82)*($A$3:A81&lt;$A82)),$AB$3:AB81),1000))</f>
        <v>1091.4903029545096</v>
      </c>
      <c r="V82" s="125">
        <f t="shared" si="28"/>
        <v>1112.7308278982605</v>
      </c>
      <c r="W82">
        <f t="shared" si="29"/>
        <v>1112.7308278982605</v>
      </c>
      <c r="X82">
        <f t="shared" si="30"/>
        <v>0.5</v>
      </c>
      <c r="Y82">
        <f t="shared" si="31"/>
        <v>1091.4903029545096</v>
      </c>
      <c r="Z82">
        <f t="shared" si="32"/>
        <v>0.5</v>
      </c>
      <c r="AA82">
        <f>IF($D82="",0,IF($F82&lt;2,0,IF($E82="Win",('Guide &amp; Settings'!$C$42/(($F82-1)*COUNTIFS($A$4:$A$311,$A82,$E$4:$E$311,"Win")))*SUMIFS($Z$4:$Z$311,$A$4:$A$311,$A82,$E$4:$E$311,"Loss"),-('Guide &amp; Settings'!$C$42/($F82-1))*$Z82)))</f>
        <v>10.194927112731179</v>
      </c>
      <c r="AB82" s="125">
        <f t="shared" si="33"/>
        <v>1101.6852300672408</v>
      </c>
      <c r="AC82" s="125">
        <f>IF($D82="","",IF(SUMPRODUCT(MAX(($D$4:$D$311=$D82)*($B$4:$B$311&lt;$B82)*$B$4:$B$311))=0,0,MAX(($B82-SUMPRODUCT(MAX(($D$4:$D$311=$D82)*($B$4:$B$311&lt;$B82)*$B$4:$B$311)))/7-'Guide &amp; Settings'!$C$48,0)*'Guide &amp; Settings'!$C$49))</f>
        <v>0</v>
      </c>
    </row>
    <row r="83" spans="1:29" ht="15" customHeight="1" x14ac:dyDescent="0.2">
      <c r="A83" s="116">
        <v>36</v>
      </c>
      <c r="B83" s="117">
        <v>46175</v>
      </c>
      <c r="C83" s="118" t="s">
        <v>203</v>
      </c>
      <c r="D83" s="118" t="s">
        <v>147</v>
      </c>
      <c r="E83" s="116" t="s">
        <v>317</v>
      </c>
      <c r="F83" s="119">
        <f t="shared" si="17"/>
        <v>2</v>
      </c>
      <c r="G83" s="120" t="str">
        <f t="shared" si="18"/>
        <v>Josh</v>
      </c>
      <c r="H83" s="121">
        <f>IF($D83="",0,IFERROR(LOOKUP(2,1/(($D$3:D82=$D83)*($A$3:A82&lt;$A83)),$N$3:N82),'Guide &amp; Settings'!$C$41))</f>
        <v>954.03597311791009</v>
      </c>
      <c r="I83" s="122">
        <f t="shared" si="19"/>
        <v>0.24324324324324326</v>
      </c>
      <c r="J83" s="123">
        <f>IF($D83="",0,IF($F83&lt;2,0,IF($E83="Win",('Guide &amp; Settings'!$C$42/(($F83-1)*COUNTIFS($A$4:$A$311,$A83,$E$4:$E$311,"Win")))*SUMIFS($X$4:$X$311,$A$4:$A$311,$A83,$E$4:$E$311,"Loss"),-('Guide &amp; Settings'!$C$42/($F83-1))*$X83)))</f>
        <v>-9.2626296862328772</v>
      </c>
      <c r="K83" s="123">
        <f>IF($D83="",0,'Guide &amp; Settings'!$C$43*(IF($E83="Win",1,0)-$I83))</f>
        <v>-2.9189189189189193</v>
      </c>
      <c r="L83" s="124">
        <f>IF($D83="",0,'Guide &amp; Settings'!$C$44*IF($F83&gt;=3,$F83+IF($E83="Win",$F83,0),0))</f>
        <v>0</v>
      </c>
      <c r="M83" s="123">
        <f t="shared" si="20"/>
        <v>-12.181548605151796</v>
      </c>
      <c r="N83" s="121">
        <f t="shared" si="21"/>
        <v>941.85442451275833</v>
      </c>
      <c r="O83" s="120" t="str">
        <f t="shared" si="22"/>
        <v>OK</v>
      </c>
      <c r="P83">
        <f t="shared" si="23"/>
        <v>1142.4675628195118</v>
      </c>
      <c r="Q83">
        <f t="shared" si="24"/>
        <v>0.25261772496196611</v>
      </c>
      <c r="R83">
        <f t="shared" si="25"/>
        <v>0.2857142857142857</v>
      </c>
      <c r="S83">
        <f t="shared" si="26"/>
        <v>1.1746031746031744</v>
      </c>
      <c r="T83" s="88">
        <f t="shared" si="27"/>
        <v>5</v>
      </c>
      <c r="U83" s="125">
        <f>IF($D83="",0,IFERROR(LOOKUP(2,1/(($D$3:D82=$D83)*($C$3:C82=$C83)*($A$3:A82&lt;$A83)),$AB$3:AB82),1000))</f>
        <v>959.42093594562505</v>
      </c>
      <c r="V83" s="125">
        <f t="shared" si="28"/>
        <v>956.72845453176751</v>
      </c>
      <c r="W83">
        <f t="shared" si="29"/>
        <v>1112.7308278982605</v>
      </c>
      <c r="X83">
        <f t="shared" si="30"/>
        <v>0.28945717769477741</v>
      </c>
      <c r="Y83">
        <f t="shared" si="31"/>
        <v>1091.4903029545096</v>
      </c>
      <c r="Z83">
        <f t="shared" si="32"/>
        <v>0.31859147227284934</v>
      </c>
      <c r="AA83">
        <f>IF($D83="",0,IF($F83&lt;2,0,IF($E83="Win",('Guide &amp; Settings'!$C$42/(($F83-1)*COUNTIFS($A$4:$A$311,$A83,$E$4:$E$311,"Win")))*SUMIFS($Z$4:$Z$311,$A$4:$A$311,$A83,$E$4:$E$311,"Loss"),-('Guide &amp; Settings'!$C$42/($F83-1))*$Z83)))</f>
        <v>-10.194927112731179</v>
      </c>
      <c r="AB83" s="125">
        <f t="shared" si="33"/>
        <v>949.22600883289385</v>
      </c>
      <c r="AC83" s="125">
        <f>IF($D83="","",IF(SUMPRODUCT(MAX(($D$4:$D$311=$D83)*($B$4:$B$311&lt;$B83)*$B$4:$B$311))=0,0,MAX(($B83-SUMPRODUCT(MAX(($D$4:$D$311=$D83)*($B$4:$B$311&lt;$B83)*$B$4:$B$311)))/7-'Guide &amp; Settings'!$C$48,0)*'Guide &amp; Settings'!$C$49))</f>
        <v>0</v>
      </c>
    </row>
    <row r="84" spans="1:29" ht="15" customHeight="1" x14ac:dyDescent="0.2">
      <c r="A84" s="116">
        <v>37</v>
      </c>
      <c r="B84" s="117">
        <v>46175</v>
      </c>
      <c r="C84" s="118" t="s">
        <v>203</v>
      </c>
      <c r="D84" s="118" t="s">
        <v>144</v>
      </c>
      <c r="E84" s="116" t="s">
        <v>316</v>
      </c>
      <c r="F84" s="119">
        <f t="shared" si="17"/>
        <v>2</v>
      </c>
      <c r="G84" s="120" t="str">
        <f t="shared" si="18"/>
        <v>Josh</v>
      </c>
      <c r="H84" s="121">
        <f>IF($D84="",0,IFERROR(LOOKUP(2,1/(($D$3:D83=$D84)*($A$3:A83&lt;$A84)),$N$3:N83),'Guide &amp; Settings'!$C$41))</f>
        <v>1154.6491114246637</v>
      </c>
      <c r="I84" s="122">
        <f t="shared" si="19"/>
        <v>0.84375</v>
      </c>
      <c r="J84" s="123">
        <f>IF($D84="",0,IF($F84&lt;2,0,IF($E84="Win",('Guide &amp; Settings'!$C$42/(($F84-1)*COUNTIFS($A$4:$A$311,$A84,$E$4:$E$311,"Win")))*SUMIFS($X$4:$X$311,$A$4:$A$311,$A84,$E$4:$E$311,"Loss"),-('Guide &amp; Settings'!$C$42/($F84-1))*$X84)))</f>
        <v>8.0041904910260691</v>
      </c>
      <c r="K84" s="123">
        <f>IF($D84="",0,'Guide &amp; Settings'!$C$43*(IF($E84="Win",1,0)-$I84))</f>
        <v>1.875</v>
      </c>
      <c r="L84" s="124">
        <f>IF($D84="",0,'Guide &amp; Settings'!$C$44*IF($F84&gt;=3,$F84+IF($E84="Win",$F84,0),0))</f>
        <v>0</v>
      </c>
      <c r="M84" s="123">
        <f t="shared" si="20"/>
        <v>9.8791904910260691</v>
      </c>
      <c r="N84" s="121">
        <f t="shared" si="21"/>
        <v>1164.5283019156898</v>
      </c>
      <c r="O84" s="120" t="str">
        <f t="shared" si="22"/>
        <v>OK</v>
      </c>
      <c r="P84">
        <f t="shared" si="23"/>
        <v>1154.6491114246637</v>
      </c>
      <c r="Q84">
        <f t="shared" si="24"/>
        <v>0.5</v>
      </c>
      <c r="R84">
        <f t="shared" si="25"/>
        <v>0.9</v>
      </c>
      <c r="S84">
        <f t="shared" si="26"/>
        <v>1.0666666666666667</v>
      </c>
      <c r="T84" s="88">
        <f t="shared" si="27"/>
        <v>8</v>
      </c>
      <c r="U84" s="125">
        <f>IF($D84="",0,IFERROR(LOOKUP(2,1/(($D$3:D83=$D84)*($C$3:C83=$C84)*($A$3:A83&lt;$A84)),$AB$3:AB83),1000))</f>
        <v>1101.6852300672408</v>
      </c>
      <c r="V84" s="125">
        <f t="shared" si="28"/>
        <v>1122.0559536662495</v>
      </c>
      <c r="W84">
        <f t="shared" si="29"/>
        <v>1122.0559536662495</v>
      </c>
      <c r="X84">
        <f t="shared" si="30"/>
        <v>0.5</v>
      </c>
      <c r="Y84">
        <f t="shared" si="31"/>
        <v>1101.6852300672408</v>
      </c>
      <c r="Z84">
        <f t="shared" si="32"/>
        <v>0.5</v>
      </c>
      <c r="AA84">
        <f>IF($D84="",0,IF($F84&lt;2,0,IF($E84="Win",('Guide &amp; Settings'!$C$42/(($F84-1)*COUNTIFS($A$4:$A$311,$A84,$E$4:$E$311,"Win")))*SUMIFS($Z$4:$Z$311,$A$4:$A$311,$A84,$E$4:$E$311,"Loss"),-('Guide &amp; Settings'!$C$42/($F84-1))*$Z84)))</f>
        <v>9.0351425183095415</v>
      </c>
      <c r="AB84" s="125">
        <f t="shared" si="33"/>
        <v>1110.7203725855504</v>
      </c>
      <c r="AC84" s="125">
        <f>IF($D84="","",IF(SUMPRODUCT(MAX(($D$4:$D$311=$D84)*($B$4:$B$311&lt;$B84)*$B$4:$B$311))=0,0,MAX(($B84-SUMPRODUCT(MAX(($D$4:$D$311=$D84)*($B$4:$B$311&lt;$B84)*$B$4:$B$311)))/7-'Guide &amp; Settings'!$C$48,0)*'Guide &amp; Settings'!$C$49))</f>
        <v>0</v>
      </c>
    </row>
    <row r="85" spans="1:29" ht="15" customHeight="1" x14ac:dyDescent="0.2">
      <c r="A85" s="116">
        <v>37</v>
      </c>
      <c r="B85" s="117">
        <v>46175</v>
      </c>
      <c r="C85" s="118" t="s">
        <v>203</v>
      </c>
      <c r="D85" s="118" t="s">
        <v>182</v>
      </c>
      <c r="E85" s="116" t="s">
        <v>317</v>
      </c>
      <c r="F85" s="119">
        <f t="shared" si="17"/>
        <v>2</v>
      </c>
      <c r="G85" s="120" t="str">
        <f t="shared" si="18"/>
        <v>Josh</v>
      </c>
      <c r="H85" s="121">
        <f>IF($D85="",0,IFERROR(LOOKUP(2,1/(($D$3:D84=$D85)*($A$3:A84&lt;$A85)),$N$3:N84),'Guide &amp; Settings'!$C$41))</f>
        <v>924.68477897361333</v>
      </c>
      <c r="I85" s="122">
        <f t="shared" si="19"/>
        <v>0.15625</v>
      </c>
      <c r="J85" s="123">
        <f>IF($D85="",0,IF($F85&lt;2,0,IF($E85="Win",('Guide &amp; Settings'!$C$42/(($F85-1)*COUNTIFS($A$4:$A$311,$A85,$E$4:$E$311,"Win")))*SUMIFS($X$4:$X$311,$A$4:$A$311,$A85,$E$4:$E$311,"Loss"),-('Guide &amp; Settings'!$C$42/($F85-1))*$X85)))</f>
        <v>-8.0041904910260691</v>
      </c>
      <c r="K85" s="123">
        <f>IF($D85="",0,'Guide &amp; Settings'!$C$43*(IF($E85="Win",1,0)-$I85))</f>
        <v>-1.875</v>
      </c>
      <c r="L85" s="124">
        <f>IF($D85="",0,'Guide &amp; Settings'!$C$44*IF($F85&gt;=3,$F85+IF($E85="Win",$F85,0),0))</f>
        <v>0</v>
      </c>
      <c r="M85" s="123">
        <f t="shared" si="20"/>
        <v>-9.8791904910260691</v>
      </c>
      <c r="N85" s="121">
        <f t="shared" si="21"/>
        <v>914.80558848258727</v>
      </c>
      <c r="O85" s="120" t="str">
        <f t="shared" si="22"/>
        <v>OK</v>
      </c>
      <c r="P85">
        <f t="shared" si="23"/>
        <v>1154.6491114246637</v>
      </c>
      <c r="Q85">
        <f t="shared" si="24"/>
        <v>0.21018990322912101</v>
      </c>
      <c r="R85">
        <f t="shared" si="25"/>
        <v>0.16666666666666666</v>
      </c>
      <c r="S85">
        <f t="shared" si="26"/>
        <v>1.0666666666666667</v>
      </c>
      <c r="T85" s="88">
        <f t="shared" si="27"/>
        <v>4</v>
      </c>
      <c r="U85" s="125">
        <f>IF($D85="",0,IFERROR(LOOKUP(2,1/(($D$3:D84=$D85)*($C$3:C84=$C85)*($A$3:A84&lt;$A85)),$AB$3:AB84),1000))</f>
        <v>939.63373120872018</v>
      </c>
      <c r="V85" s="125">
        <f t="shared" si="28"/>
        <v>931.32875774477191</v>
      </c>
      <c r="W85">
        <f t="shared" si="29"/>
        <v>1122.0559536662495</v>
      </c>
      <c r="X85">
        <f t="shared" si="30"/>
        <v>0.25013095284456466</v>
      </c>
      <c r="Y85">
        <f t="shared" si="31"/>
        <v>1101.6852300672408</v>
      </c>
      <c r="Z85">
        <f t="shared" si="32"/>
        <v>0.28234820369717317</v>
      </c>
      <c r="AA85">
        <f>IF($D85="",0,IF($F85&lt;2,0,IF($E85="Win",('Guide &amp; Settings'!$C$42/(($F85-1)*COUNTIFS($A$4:$A$311,$A85,$E$4:$E$311,"Win")))*SUMIFS($Z$4:$Z$311,$A$4:$A$311,$A85,$E$4:$E$311,"Loss"),-('Guide &amp; Settings'!$C$42/($F85-1))*$Z85)))</f>
        <v>-9.0351425183095415</v>
      </c>
      <c r="AB85" s="125">
        <f t="shared" si="33"/>
        <v>930.59858869041068</v>
      </c>
      <c r="AC85" s="125">
        <f>IF($D85="","",IF(SUMPRODUCT(MAX(($D$4:$D$311=$D85)*($B$4:$B$311&lt;$B85)*$B$4:$B$311))=0,0,MAX(($B85-SUMPRODUCT(MAX(($D$4:$D$311=$D85)*($B$4:$B$311&lt;$B85)*$B$4:$B$311)))/7-'Guide &amp; Settings'!$C$48,0)*'Guide &amp; Settings'!$C$49))</f>
        <v>0</v>
      </c>
    </row>
    <row r="86" spans="1:29" ht="15" customHeight="1" x14ac:dyDescent="0.2">
      <c r="A86" s="116">
        <v>38</v>
      </c>
      <c r="B86" s="117">
        <v>46176</v>
      </c>
      <c r="C86" s="118" t="s">
        <v>193</v>
      </c>
      <c r="D86" s="118" t="s">
        <v>174</v>
      </c>
      <c r="E86" s="116" t="s">
        <v>316</v>
      </c>
      <c r="F86" s="119">
        <f t="shared" si="17"/>
        <v>2</v>
      </c>
      <c r="G86" s="120" t="str">
        <f t="shared" si="18"/>
        <v>Dean B</v>
      </c>
      <c r="H86" s="121">
        <f>IF($D86="",0,IFERROR(LOOKUP(2,1/(($D$3:D85=$D86)*($A$3:A85&lt;$A86)),$N$3:N85),'Guide &amp; Settings'!$C$41))</f>
        <v>1000</v>
      </c>
      <c r="I86" s="122">
        <f t="shared" si="19"/>
        <v>0.5</v>
      </c>
      <c r="J86" s="123">
        <f>IF($D86="",0,IF($F86&lt;2,0,IF($E86="Win",('Guide &amp; Settings'!$C$42/(($F86-1)*COUNTIFS($A$4:$A$311,$A86,$E$4:$E$311,"Win")))*SUMIFS($X$4:$X$311,$A$4:$A$311,$A86,$E$4:$E$311,"Loss"),-('Guide &amp; Settings'!$C$42/($F86-1))*$X86)))</f>
        <v>17.015836540687172</v>
      </c>
      <c r="K86" s="123">
        <f>IF($D86="",0,'Guide &amp; Settings'!$C$43*(IF($E86="Win",1,0)-$I86))</f>
        <v>6</v>
      </c>
      <c r="L86" s="124">
        <f>IF($D86="",0,'Guide &amp; Settings'!$C$44*IF($F86&gt;=3,$F86+IF($E86="Win",$F86,0),0))</f>
        <v>0</v>
      </c>
      <c r="M86" s="123">
        <f t="shared" si="20"/>
        <v>23.015836540687172</v>
      </c>
      <c r="N86" s="121">
        <f t="shared" si="21"/>
        <v>1023.0158365406871</v>
      </c>
      <c r="O86" s="120" t="str">
        <f t="shared" si="22"/>
        <v>OK</v>
      </c>
      <c r="P86">
        <f t="shared" si="23"/>
        <v>1000</v>
      </c>
      <c r="Q86">
        <f t="shared" si="24"/>
        <v>0.5</v>
      </c>
      <c r="R86">
        <f t="shared" si="25"/>
        <v>0.5</v>
      </c>
      <c r="S86">
        <f t="shared" si="26"/>
        <v>1</v>
      </c>
      <c r="T86" s="88">
        <f t="shared" si="27"/>
        <v>0</v>
      </c>
      <c r="U86" s="125">
        <f>IF($D86="",0,IFERROR(LOOKUP(2,1/(($D$3:D85=$D86)*($C$3:C85=$C86)*($A$3:A85&lt;$A86)),$AB$3:AB85),1000))</f>
        <v>1000</v>
      </c>
      <c r="V86" s="125">
        <f t="shared" si="28"/>
        <v>1000</v>
      </c>
      <c r="W86">
        <f t="shared" si="29"/>
        <v>1000</v>
      </c>
      <c r="X86">
        <f t="shared" si="30"/>
        <v>0.5</v>
      </c>
      <c r="Y86">
        <f t="shared" si="31"/>
        <v>1000</v>
      </c>
      <c r="Z86">
        <f t="shared" si="32"/>
        <v>0.5</v>
      </c>
      <c r="AA86">
        <f>IF($D86="",0,IF($F86&lt;2,0,IF($E86="Win",('Guide &amp; Settings'!$C$42/(($F86-1)*COUNTIFS($A$4:$A$311,$A86,$E$4:$E$311,"Win")))*SUMIFS($Z$4:$Z$311,$A$4:$A$311,$A86,$E$4:$E$311,"Loss"),-('Guide &amp; Settings'!$C$42/($F86-1))*$Z86)))</f>
        <v>16</v>
      </c>
      <c r="AB86" s="125">
        <f t="shared" si="33"/>
        <v>1016</v>
      </c>
      <c r="AC86" s="125">
        <f>IF($D86="","",IF(SUMPRODUCT(MAX(($D$4:$D$311=$D86)*($B$4:$B$311&lt;$B86)*$B$4:$B$311))=0,0,MAX(($B86-SUMPRODUCT(MAX(($D$4:$D$311=$D86)*($B$4:$B$311&lt;$B86)*$B$4:$B$311)))/7-'Guide &amp; Settings'!$C$48,0)*'Guide &amp; Settings'!$C$49))</f>
        <v>0</v>
      </c>
    </row>
    <row r="87" spans="1:29" ht="15" customHeight="1" x14ac:dyDescent="0.2">
      <c r="A87" s="116">
        <v>38</v>
      </c>
      <c r="B87" s="117">
        <v>46176</v>
      </c>
      <c r="C87" s="118" t="s">
        <v>193</v>
      </c>
      <c r="D87" s="118" t="s">
        <v>176</v>
      </c>
      <c r="E87" s="116" t="s">
        <v>317</v>
      </c>
      <c r="F87" s="119">
        <f t="shared" si="17"/>
        <v>2</v>
      </c>
      <c r="G87" s="120" t="str">
        <f t="shared" si="18"/>
        <v>Dean B</v>
      </c>
      <c r="H87" s="121">
        <f>IF($D87="",0,IFERROR(LOOKUP(2,1/(($D$3:D86=$D87)*($A$3:A86&lt;$A87)),$N$3:N86),'Guide &amp; Settings'!$C$41))</f>
        <v>1022.0883211691282</v>
      </c>
      <c r="I87" s="122">
        <f t="shared" si="19"/>
        <v>0.5</v>
      </c>
      <c r="J87" s="123">
        <f>IF($D87="",0,IF($F87&lt;2,0,IF($E87="Win",('Guide &amp; Settings'!$C$42/(($F87-1)*COUNTIFS($A$4:$A$311,$A87,$E$4:$E$311,"Win")))*SUMIFS($X$4:$X$311,$A$4:$A$311,$A87,$E$4:$E$311,"Loss"),-('Guide &amp; Settings'!$C$42/($F87-1))*$X87)))</f>
        <v>-17.015836540687172</v>
      </c>
      <c r="K87" s="123">
        <f>IF($D87="",0,'Guide &amp; Settings'!$C$43*(IF($E87="Win",1,0)-$I87))</f>
        <v>-6</v>
      </c>
      <c r="L87" s="124">
        <f>IF($D87="",0,'Guide &amp; Settings'!$C$44*IF($F87&gt;=3,$F87+IF($E87="Win",$F87,0),0))</f>
        <v>0</v>
      </c>
      <c r="M87" s="123">
        <f t="shared" si="20"/>
        <v>-23.015836540687172</v>
      </c>
      <c r="N87" s="121">
        <f t="shared" si="21"/>
        <v>999.07248462844109</v>
      </c>
      <c r="O87" s="120" t="str">
        <f t="shared" si="22"/>
        <v>OK</v>
      </c>
      <c r="P87">
        <f t="shared" si="23"/>
        <v>1000</v>
      </c>
      <c r="Q87">
        <f t="shared" si="24"/>
        <v>0.53174489189647411</v>
      </c>
      <c r="R87">
        <f t="shared" si="25"/>
        <v>0.5</v>
      </c>
      <c r="S87">
        <f t="shared" si="26"/>
        <v>1</v>
      </c>
      <c r="T87" s="88">
        <f t="shared" si="27"/>
        <v>0</v>
      </c>
      <c r="U87" s="125">
        <f>IF($D87="",0,IFERROR(LOOKUP(2,1/(($D$3:D86=$D87)*($C$3:C86=$C87)*($A$3:A86&lt;$A87)),$AB$3:AB86),1000))</f>
        <v>1000</v>
      </c>
      <c r="V87" s="125">
        <f t="shared" si="28"/>
        <v>1022.0883211691282</v>
      </c>
      <c r="W87">
        <f t="shared" si="29"/>
        <v>1000</v>
      </c>
      <c r="X87">
        <f t="shared" si="30"/>
        <v>0.53174489189647411</v>
      </c>
      <c r="Y87">
        <f t="shared" si="31"/>
        <v>1000</v>
      </c>
      <c r="Z87">
        <f t="shared" si="32"/>
        <v>0.5</v>
      </c>
      <c r="AA87">
        <f>IF($D87="",0,IF($F87&lt;2,0,IF($E87="Win",('Guide &amp; Settings'!$C$42/(($F87-1)*COUNTIFS($A$4:$A$311,$A87,$E$4:$E$311,"Win")))*SUMIFS($Z$4:$Z$311,$A$4:$A$311,$A87,$E$4:$E$311,"Loss"),-('Guide &amp; Settings'!$C$42/($F87-1))*$Z87)))</f>
        <v>-16</v>
      </c>
      <c r="AB87" s="125">
        <f t="shared" si="33"/>
        <v>984</v>
      </c>
      <c r="AC87" s="125">
        <f>IF($D87="","",IF(SUMPRODUCT(MAX(($D$4:$D$311=$D87)*($B$4:$B$311&lt;$B87)*$B$4:$B$311))=0,0,MAX(($B87-SUMPRODUCT(MAX(($D$4:$D$311=$D87)*($B$4:$B$311&lt;$B87)*$B$4:$B$311)))/7-'Guide &amp; Settings'!$C$48,0)*'Guide &amp; Settings'!$C$49))</f>
        <v>0</v>
      </c>
    </row>
    <row r="88" spans="1:29" ht="15" customHeight="1" x14ac:dyDescent="0.2">
      <c r="A88" s="116">
        <v>39</v>
      </c>
      <c r="B88" s="117">
        <v>46176</v>
      </c>
      <c r="C88" s="118" t="s">
        <v>193</v>
      </c>
      <c r="D88" s="118" t="s">
        <v>174</v>
      </c>
      <c r="E88" s="116" t="s">
        <v>316</v>
      </c>
      <c r="F88" s="119">
        <f t="shared" si="17"/>
        <v>2</v>
      </c>
      <c r="G88" s="120" t="str">
        <f t="shared" si="18"/>
        <v>Dean B</v>
      </c>
      <c r="H88" s="121">
        <f>IF($D88="",0,IFERROR(LOOKUP(2,1/(($D$3:D87=$D88)*($A$3:A87&lt;$A88)),$N$3:N87),'Guide &amp; Settings'!$C$41))</f>
        <v>1023.0158365406871</v>
      </c>
      <c r="I88" s="122">
        <f t="shared" si="19"/>
        <v>0.66666666666666663</v>
      </c>
      <c r="J88" s="123">
        <f>IF($D88="",0,IF($F88&lt;2,0,IF($E88="Win",('Guide &amp; Settings'!$C$42/(($F88-1)*COUNTIFS($A$4:$A$311,$A88,$E$4:$E$311,"Win")))*SUMIFS($X$4:$X$311,$A$4:$A$311,$A88,$E$4:$E$311,"Loss"),-('Guide &amp; Settings'!$C$42/($F88-1))*$X88)))</f>
        <v>14.837582488459052</v>
      </c>
      <c r="K88" s="123">
        <f>IF($D88="",0,'Guide &amp; Settings'!$C$43*(IF($E88="Win",1,0)-$I88))</f>
        <v>4</v>
      </c>
      <c r="L88" s="124">
        <f>IF($D88="",0,'Guide &amp; Settings'!$C$44*IF($F88&gt;=3,$F88+IF($E88="Win",$F88,0),0))</f>
        <v>0</v>
      </c>
      <c r="M88" s="123">
        <f t="shared" si="20"/>
        <v>18.837582488459052</v>
      </c>
      <c r="N88" s="121">
        <f t="shared" si="21"/>
        <v>1041.8534190291462</v>
      </c>
      <c r="O88" s="120" t="str">
        <f t="shared" si="22"/>
        <v>OK</v>
      </c>
      <c r="P88">
        <f t="shared" si="23"/>
        <v>1023.0158365406871</v>
      </c>
      <c r="Q88">
        <f t="shared" si="24"/>
        <v>0.5</v>
      </c>
      <c r="R88">
        <f t="shared" si="25"/>
        <v>0.66666666666666663</v>
      </c>
      <c r="S88">
        <f t="shared" si="26"/>
        <v>1</v>
      </c>
      <c r="T88" s="88">
        <f t="shared" si="27"/>
        <v>1</v>
      </c>
      <c r="U88" s="125">
        <f>IF($D88="",0,IFERROR(LOOKUP(2,1/(($D$3:D87=$D88)*($C$3:C87=$C88)*($A$3:A87&lt;$A88)),$AB$3:AB87),1000))</f>
        <v>1016</v>
      </c>
      <c r="V88" s="125">
        <f t="shared" si="28"/>
        <v>1021.8465304505726</v>
      </c>
      <c r="W88">
        <f t="shared" si="29"/>
        <v>1021.8465304505726</v>
      </c>
      <c r="X88">
        <f t="shared" si="30"/>
        <v>0.5</v>
      </c>
      <c r="Y88">
        <f t="shared" si="31"/>
        <v>1016</v>
      </c>
      <c r="Z88">
        <f t="shared" si="32"/>
        <v>0.5</v>
      </c>
      <c r="AA88">
        <f>IF($D88="",0,IF($F88&lt;2,0,IF($E88="Win",('Guide &amp; Settings'!$C$42/(($F88-1)*COUNTIFS($A$4:$A$311,$A88,$E$4:$E$311,"Win")))*SUMIFS($Z$4:$Z$311,$A$4:$A$311,$A88,$E$4:$E$311,"Loss"),-('Guide &amp; Settings'!$C$42/($F88-1))*$Z88)))</f>
        <v>14.530498471024522</v>
      </c>
      <c r="AB88" s="125">
        <f t="shared" si="33"/>
        <v>1030.5304984710244</v>
      </c>
      <c r="AC88" s="125">
        <f>IF($D88="","",IF(SUMPRODUCT(MAX(($D$4:$D$311=$D88)*($B$4:$B$311&lt;$B88)*$B$4:$B$311))=0,0,MAX(($B88-SUMPRODUCT(MAX(($D$4:$D$311=$D88)*($B$4:$B$311&lt;$B88)*$B$4:$B$311)))/7-'Guide &amp; Settings'!$C$48,0)*'Guide &amp; Settings'!$C$49))</f>
        <v>0</v>
      </c>
    </row>
    <row r="89" spans="1:29" ht="15" customHeight="1" x14ac:dyDescent="0.2">
      <c r="A89" s="116">
        <v>39</v>
      </c>
      <c r="B89" s="117">
        <v>46176</v>
      </c>
      <c r="C89" s="118" t="s">
        <v>193</v>
      </c>
      <c r="D89" s="118" t="s">
        <v>176</v>
      </c>
      <c r="E89" s="116" t="s">
        <v>317</v>
      </c>
      <c r="F89" s="119">
        <f t="shared" si="17"/>
        <v>2</v>
      </c>
      <c r="G89" s="120" t="str">
        <f t="shared" si="18"/>
        <v>Dean B</v>
      </c>
      <c r="H89" s="121">
        <f>IF($D89="",0,IFERROR(LOOKUP(2,1/(($D$3:D88=$D89)*($A$3:A88&lt;$A89)),$N$3:N88),'Guide &amp; Settings'!$C$41))</f>
        <v>999.07248462844109</v>
      </c>
      <c r="I89" s="122">
        <f t="shared" si="19"/>
        <v>0.33333333333333331</v>
      </c>
      <c r="J89" s="123">
        <f>IF($D89="",0,IF($F89&lt;2,0,IF($E89="Win",('Guide &amp; Settings'!$C$42/(($F89-1)*COUNTIFS($A$4:$A$311,$A89,$E$4:$E$311,"Win")))*SUMIFS($X$4:$X$311,$A$4:$A$311,$A89,$E$4:$E$311,"Loss"),-('Guide &amp; Settings'!$C$42/($F89-1))*$X89)))</f>
        <v>-14.837582488459052</v>
      </c>
      <c r="K89" s="123">
        <f>IF($D89="",0,'Guide &amp; Settings'!$C$43*(IF($E89="Win",1,0)-$I89))</f>
        <v>-4</v>
      </c>
      <c r="L89" s="124">
        <f>IF($D89="",0,'Guide &amp; Settings'!$C$44*IF($F89&gt;=3,$F89+IF($E89="Win",$F89,0),0))</f>
        <v>0</v>
      </c>
      <c r="M89" s="123">
        <f t="shared" si="20"/>
        <v>-18.837582488459052</v>
      </c>
      <c r="N89" s="121">
        <f t="shared" si="21"/>
        <v>980.23490213998207</v>
      </c>
      <c r="O89" s="120" t="str">
        <f t="shared" si="22"/>
        <v>OK</v>
      </c>
      <c r="P89">
        <f t="shared" si="23"/>
        <v>1023.0158365406871</v>
      </c>
      <c r="Q89">
        <f t="shared" si="24"/>
        <v>0.46559719156577095</v>
      </c>
      <c r="R89">
        <f t="shared" si="25"/>
        <v>0.33333333333333331</v>
      </c>
      <c r="S89">
        <f t="shared" si="26"/>
        <v>1</v>
      </c>
      <c r="T89" s="88">
        <f t="shared" si="27"/>
        <v>1</v>
      </c>
      <c r="U89" s="125">
        <f>IF($D89="",0,IFERROR(LOOKUP(2,1/(($D$3:D88=$D89)*($C$3:C88=$C89)*($A$3:A88&lt;$A89)),$AB$3:AB88),1000))</f>
        <v>984</v>
      </c>
      <c r="V89" s="125">
        <f t="shared" si="28"/>
        <v>996.56040385703432</v>
      </c>
      <c r="W89">
        <f t="shared" si="29"/>
        <v>1021.8465304505726</v>
      </c>
      <c r="X89">
        <f t="shared" si="30"/>
        <v>0.46367445276434538</v>
      </c>
      <c r="Y89">
        <f t="shared" si="31"/>
        <v>1016</v>
      </c>
      <c r="Z89">
        <f t="shared" si="32"/>
        <v>0.45407807721951632</v>
      </c>
      <c r="AA89">
        <f>IF($D89="",0,IF($F89&lt;2,0,IF($E89="Win",('Guide &amp; Settings'!$C$42/(($F89-1)*COUNTIFS($A$4:$A$311,$A89,$E$4:$E$311,"Win")))*SUMIFS($Z$4:$Z$311,$A$4:$A$311,$A89,$E$4:$E$311,"Loss"),-('Guide &amp; Settings'!$C$42/($F89-1))*$Z89)))</f>
        <v>-14.530498471024522</v>
      </c>
      <c r="AB89" s="125">
        <f t="shared" si="33"/>
        <v>969.46950152897546</v>
      </c>
      <c r="AC89" s="125">
        <f>IF($D89="","",IF(SUMPRODUCT(MAX(($D$4:$D$311=$D89)*($B$4:$B$311&lt;$B89)*$B$4:$B$311))=0,0,MAX(($B89-SUMPRODUCT(MAX(($D$4:$D$311=$D89)*($B$4:$B$311&lt;$B89)*$B$4:$B$311)))/7-'Guide &amp; Settings'!$C$48,0)*'Guide &amp; Settings'!$C$49))</f>
        <v>0</v>
      </c>
    </row>
    <row r="90" spans="1:29" ht="15" customHeight="1" x14ac:dyDescent="0.2">
      <c r="A90" s="116">
        <v>40</v>
      </c>
      <c r="B90" s="117">
        <v>46176</v>
      </c>
      <c r="C90" s="118" t="s">
        <v>193</v>
      </c>
      <c r="D90" s="118" t="s">
        <v>177</v>
      </c>
      <c r="E90" s="116" t="s">
        <v>316</v>
      </c>
      <c r="F90" s="119">
        <f t="shared" si="17"/>
        <v>2</v>
      </c>
      <c r="G90" s="120" t="str">
        <f t="shared" si="18"/>
        <v>Daniel (Ferret)</v>
      </c>
      <c r="H90" s="121">
        <f>IF($D90="",0,IFERROR(LOOKUP(2,1/(($D$3:D89=$D90)*($A$3:A89&lt;$A90)),$N$3:N89),'Guide &amp; Settings'!$C$41))</f>
        <v>957.56644266393732</v>
      </c>
      <c r="I90" s="122">
        <f t="shared" si="19"/>
        <v>0.4</v>
      </c>
      <c r="J90" s="123">
        <f>IF($D90="",0,IF($F90&lt;2,0,IF($E90="Win",('Guide &amp; Settings'!$C$42/(($F90-1)*COUNTIFS($A$4:$A$311,$A90,$E$4:$E$311,"Win")))*SUMIFS($X$4:$X$311,$A$4:$A$311,$A90,$E$4:$E$311,"Loss"),-('Guide &amp; Settings'!$C$42/($F90-1))*$X90)))</f>
        <v>19.666306305869689</v>
      </c>
      <c r="K90" s="123">
        <f>IF($D90="",0,'Guide &amp; Settings'!$C$43*(IF($E90="Win",1,0)-$I90))</f>
        <v>7.1999999999999993</v>
      </c>
      <c r="L90" s="124">
        <f>IF($D90="",0,'Guide &amp; Settings'!$C$44*IF($F90&gt;=3,$F90+IF($E90="Win",$F90,0),0))</f>
        <v>0</v>
      </c>
      <c r="M90" s="123">
        <f t="shared" si="20"/>
        <v>26.866306305869688</v>
      </c>
      <c r="N90" s="121">
        <f t="shared" si="21"/>
        <v>984.43274896980699</v>
      </c>
      <c r="O90" s="120" t="str">
        <f t="shared" si="22"/>
        <v>OK</v>
      </c>
      <c r="P90">
        <f t="shared" si="23"/>
        <v>957.56644266393732</v>
      </c>
      <c r="Q90">
        <f t="shared" si="24"/>
        <v>0.5</v>
      </c>
      <c r="R90">
        <f t="shared" si="25"/>
        <v>0.5</v>
      </c>
      <c r="S90">
        <f t="shared" si="26"/>
        <v>1.25</v>
      </c>
      <c r="T90" s="88">
        <f t="shared" si="27"/>
        <v>0</v>
      </c>
      <c r="U90" s="125">
        <f>IF($D90="",0,IFERROR(LOOKUP(2,1/(($D$3:D89=$D90)*($C$3:C89=$C90)*($A$3:A89&lt;$A90)),$AB$3:AB89),1000))</f>
        <v>1000</v>
      </c>
      <c r="V90" s="125">
        <f t="shared" si="28"/>
        <v>957.56644266393732</v>
      </c>
      <c r="W90">
        <f t="shared" si="29"/>
        <v>957.56644266393732</v>
      </c>
      <c r="X90">
        <f t="shared" si="30"/>
        <v>0.5</v>
      </c>
      <c r="Y90">
        <f t="shared" si="31"/>
        <v>1000</v>
      </c>
      <c r="Z90">
        <f t="shared" si="32"/>
        <v>0.5</v>
      </c>
      <c r="AA90">
        <f>IF($D90="",0,IF($F90&lt;2,0,IF($E90="Win",('Guide &amp; Settings'!$C$42/(($F90-1)*COUNTIFS($A$4:$A$311,$A90,$E$4:$E$311,"Win")))*SUMIFS($Z$4:$Z$311,$A$4:$A$311,$A90,$E$4:$E$311,"Loss"),-('Guide &amp; Settings'!$C$42/($F90-1))*$Z90)))</f>
        <v>17.402373648406023</v>
      </c>
      <c r="AB90" s="125">
        <f t="shared" si="33"/>
        <v>1017.4023736484061</v>
      </c>
      <c r="AC90" s="125">
        <f>IF($D90="","",IF(SUMPRODUCT(MAX(($D$4:$D$311=$D90)*($B$4:$B$311&lt;$B90)*$B$4:$B$311))=0,0,MAX(($B90-SUMPRODUCT(MAX(($D$4:$D$311=$D90)*($B$4:$B$311&lt;$B90)*$B$4:$B$311)))/7-'Guide &amp; Settings'!$C$48,0)*'Guide &amp; Settings'!$C$49))</f>
        <v>0</v>
      </c>
    </row>
    <row r="91" spans="1:29" ht="15" customHeight="1" x14ac:dyDescent="0.2">
      <c r="A91" s="116">
        <v>40</v>
      </c>
      <c r="B91" s="117">
        <v>46176</v>
      </c>
      <c r="C91" s="118" t="s">
        <v>193</v>
      </c>
      <c r="D91" s="118" t="s">
        <v>174</v>
      </c>
      <c r="E91" s="116" t="s">
        <v>317</v>
      </c>
      <c r="F91" s="119">
        <f t="shared" si="17"/>
        <v>2</v>
      </c>
      <c r="G91" s="120" t="str">
        <f t="shared" si="18"/>
        <v>Daniel (Ferret)</v>
      </c>
      <c r="H91" s="121">
        <f>IF($D91="",0,IFERROR(LOOKUP(2,1/(($D$3:D90=$D91)*($A$3:A90&lt;$A91)),$N$3:N90),'Guide &amp; Settings'!$C$41))</f>
        <v>1041.8534190291462</v>
      </c>
      <c r="I91" s="122">
        <f t="shared" si="19"/>
        <v>0.6</v>
      </c>
      <c r="J91" s="123">
        <f>IF($D91="",0,IF($F91&lt;2,0,IF($E91="Win",('Guide &amp; Settings'!$C$42/(($F91-1)*COUNTIFS($A$4:$A$311,$A91,$E$4:$E$311,"Win")))*SUMIFS($X$4:$X$311,$A$4:$A$311,$A91,$E$4:$E$311,"Loss"),-('Guide &amp; Settings'!$C$42/($F91-1))*$X91)))</f>
        <v>-19.666306305869689</v>
      </c>
      <c r="K91" s="123">
        <f>IF($D91="",0,'Guide &amp; Settings'!$C$43*(IF($E91="Win",1,0)-$I91))</f>
        <v>-7.1999999999999993</v>
      </c>
      <c r="L91" s="124">
        <f>IF($D91="",0,'Guide &amp; Settings'!$C$44*IF($F91&gt;=3,$F91+IF($E91="Win",$F91,0),0))</f>
        <v>0</v>
      </c>
      <c r="M91" s="123">
        <f t="shared" si="20"/>
        <v>-26.866306305869688</v>
      </c>
      <c r="N91" s="121">
        <f t="shared" si="21"/>
        <v>1014.9871127232765</v>
      </c>
      <c r="O91" s="120" t="str">
        <f t="shared" si="22"/>
        <v>OK</v>
      </c>
      <c r="P91">
        <f t="shared" si="23"/>
        <v>957.56644266393732</v>
      </c>
      <c r="Q91">
        <f t="shared" si="24"/>
        <v>0.61897380754486864</v>
      </c>
      <c r="R91">
        <f t="shared" si="25"/>
        <v>0.75</v>
      </c>
      <c r="S91">
        <f t="shared" si="26"/>
        <v>1.25</v>
      </c>
      <c r="T91" s="88">
        <f t="shared" si="27"/>
        <v>2</v>
      </c>
      <c r="U91" s="125">
        <f>IF($D91="",0,IFERROR(LOOKUP(2,1/(($D$3:D90=$D91)*($C$3:C90=$C91)*($A$3:A90&lt;$A91)),$AB$3:AB90),1000))</f>
        <v>1030.5304984710244</v>
      </c>
      <c r="V91" s="125">
        <f t="shared" si="28"/>
        <v>1038.6182988696828</v>
      </c>
      <c r="W91">
        <f t="shared" si="29"/>
        <v>957.56644266393732</v>
      </c>
      <c r="X91">
        <f t="shared" si="30"/>
        <v>0.61457207205842779</v>
      </c>
      <c r="Y91">
        <f t="shared" si="31"/>
        <v>1000</v>
      </c>
      <c r="Z91">
        <f t="shared" si="32"/>
        <v>0.54382417651268822</v>
      </c>
      <c r="AA91">
        <f>IF($D91="",0,IF($F91&lt;2,0,IF($E91="Win",('Guide &amp; Settings'!$C$42/(($F91-1)*COUNTIFS($A$4:$A$311,$A91,$E$4:$E$311,"Win")))*SUMIFS($Z$4:$Z$311,$A$4:$A$311,$A91,$E$4:$E$311,"Loss"),-('Guide &amp; Settings'!$C$42/($F91-1))*$Z91)))</f>
        <v>-17.402373648406023</v>
      </c>
      <c r="AB91" s="125">
        <f t="shared" si="33"/>
        <v>1013.1281248226184</v>
      </c>
      <c r="AC91" s="125">
        <f>IF($D91="","",IF(SUMPRODUCT(MAX(($D$4:$D$311=$D91)*($B$4:$B$311&lt;$B91)*$B$4:$B$311))=0,0,MAX(($B91-SUMPRODUCT(MAX(($D$4:$D$311=$D91)*($B$4:$B$311&lt;$B91)*$B$4:$B$311)))/7-'Guide &amp; Settings'!$C$48,0)*'Guide &amp; Settings'!$C$49))</f>
        <v>0</v>
      </c>
    </row>
    <row r="92" spans="1:29" ht="15" customHeight="1" x14ac:dyDescent="0.2">
      <c r="A92" s="116">
        <v>41</v>
      </c>
      <c r="B92" s="117">
        <v>46176</v>
      </c>
      <c r="C92" s="118" t="s">
        <v>203</v>
      </c>
      <c r="D92" s="118" t="s">
        <v>177</v>
      </c>
      <c r="E92" s="116" t="s">
        <v>317</v>
      </c>
      <c r="F92" s="119">
        <f t="shared" si="17"/>
        <v>2</v>
      </c>
      <c r="G92" s="120" t="str">
        <f t="shared" si="18"/>
        <v>Josh</v>
      </c>
      <c r="H92" s="121">
        <f>IF($D92="",0,IFERROR(LOOKUP(2,1/(($D$3:D91=$D92)*($A$3:A91&lt;$A92)),$N$3:N91),'Guide &amp; Settings'!$C$41))</f>
        <v>984.43274896980699</v>
      </c>
      <c r="I92" s="122">
        <f t="shared" si="19"/>
        <v>0.2156862745098039</v>
      </c>
      <c r="J92" s="123">
        <f>IF($D92="",0,IF($F92&lt;2,0,IF($E92="Win",('Guide &amp; Settings'!$C$42/(($F92-1)*COUNTIFS($A$4:$A$311,$A92,$E$4:$E$311,"Win")))*SUMIFS($X$4:$X$311,$A$4:$A$311,$A92,$E$4:$E$311,"Loss"),-('Guide &amp; Settings'!$C$42/($F92-1))*$X92)))</f>
        <v>-8.9706393212972575</v>
      </c>
      <c r="K92" s="123">
        <f>IF($D92="",0,'Guide &amp; Settings'!$C$43*(IF($E92="Win",1,0)-$I92))</f>
        <v>-2.5882352941176467</v>
      </c>
      <c r="L92" s="124">
        <f>IF($D92="",0,'Guide &amp; Settings'!$C$44*IF($F92&gt;=3,$F92+IF($E92="Win",$F92,0),0))</f>
        <v>0</v>
      </c>
      <c r="M92" s="123">
        <f t="shared" si="20"/>
        <v>-11.558874615414904</v>
      </c>
      <c r="N92" s="121">
        <f t="shared" si="21"/>
        <v>972.87387435439211</v>
      </c>
      <c r="O92" s="120" t="str">
        <f t="shared" si="22"/>
        <v>OK</v>
      </c>
      <c r="P92">
        <f t="shared" si="23"/>
        <v>1164.5283019156898</v>
      </c>
      <c r="Q92">
        <f t="shared" si="24"/>
        <v>0.26178465505750642</v>
      </c>
      <c r="R92">
        <f t="shared" si="25"/>
        <v>0.25</v>
      </c>
      <c r="S92">
        <f t="shared" si="26"/>
        <v>1.1590909090909092</v>
      </c>
      <c r="T92" s="88">
        <f t="shared" si="27"/>
        <v>6</v>
      </c>
      <c r="U92" s="125">
        <f>IF($D92="",0,IFERROR(LOOKUP(2,1/(($D$3:D91=$D92)*($C$3:C91=$C92)*($A$3:A91&lt;$A92)),$AB$3:AB91),1000))</f>
        <v>950.92188476569459</v>
      </c>
      <c r="V92" s="125">
        <f t="shared" si="28"/>
        <v>966.15409576756383</v>
      </c>
      <c r="W92">
        <f t="shared" si="29"/>
        <v>1129.9374902034574</v>
      </c>
      <c r="X92">
        <f t="shared" si="30"/>
        <v>0.2803324787905393</v>
      </c>
      <c r="Y92">
        <f t="shared" si="31"/>
        <v>1110.7203725855504</v>
      </c>
      <c r="Z92">
        <f t="shared" si="32"/>
        <v>0.28498356024449356</v>
      </c>
      <c r="AA92">
        <f>IF($D92="",0,IF($F92&lt;2,0,IF($E92="Win",('Guide &amp; Settings'!$C$42/(($F92-1)*COUNTIFS($A$4:$A$311,$A92,$E$4:$E$311,"Win")))*SUMIFS($Z$4:$Z$311,$A$4:$A$311,$A92,$E$4:$E$311,"Loss"),-('Guide &amp; Settings'!$C$42/($F92-1))*$Z92)))</f>
        <v>-9.119473927823794</v>
      </c>
      <c r="AB92" s="125">
        <f t="shared" si="33"/>
        <v>941.80241083787075</v>
      </c>
      <c r="AC92" s="125">
        <f>IF($D92="","",IF(SUMPRODUCT(MAX(($D$4:$D$311=$D92)*($B$4:$B$311&lt;$B92)*$B$4:$B$311))=0,0,MAX(($B92-SUMPRODUCT(MAX(($D$4:$D$311=$D92)*($B$4:$B$311&lt;$B92)*$B$4:$B$311)))/7-'Guide &amp; Settings'!$C$48,0)*'Guide &amp; Settings'!$C$49))</f>
        <v>0</v>
      </c>
    </row>
    <row r="93" spans="1:29" ht="15" customHeight="1" x14ac:dyDescent="0.2">
      <c r="A93" s="116">
        <v>41</v>
      </c>
      <c r="B93" s="117">
        <v>46176</v>
      </c>
      <c r="C93" s="118" t="s">
        <v>203</v>
      </c>
      <c r="D93" s="118" t="s">
        <v>144</v>
      </c>
      <c r="E93" s="116" t="s">
        <v>316</v>
      </c>
      <c r="F93" s="119">
        <f t="shared" si="17"/>
        <v>2</v>
      </c>
      <c r="G93" s="120" t="str">
        <f t="shared" si="18"/>
        <v>Josh</v>
      </c>
      <c r="H93" s="121">
        <f>IF($D93="",0,IFERROR(LOOKUP(2,1/(($D$3:D92=$D93)*($A$3:A92&lt;$A93)),$N$3:N92),'Guide &amp; Settings'!$C$41))</f>
        <v>1164.5283019156898</v>
      </c>
      <c r="I93" s="122">
        <f t="shared" si="19"/>
        <v>0.78431372549019596</v>
      </c>
      <c r="J93" s="123">
        <f>IF($D93="",0,IF($F93&lt;2,0,IF($E93="Win",('Guide &amp; Settings'!$C$42/(($F93-1)*COUNTIFS($A$4:$A$311,$A93,$E$4:$E$311,"Win")))*SUMIFS($X$4:$X$311,$A$4:$A$311,$A93,$E$4:$E$311,"Loss"),-('Guide &amp; Settings'!$C$42/($F93-1))*$X93)))</f>
        <v>8.9706393212972575</v>
      </c>
      <c r="K93" s="123">
        <f>IF($D93="",0,'Guide &amp; Settings'!$C$43*(IF($E93="Win",1,0)-$I93))</f>
        <v>2.5882352941176485</v>
      </c>
      <c r="L93" s="124">
        <f>IF($D93="",0,'Guide &amp; Settings'!$C$44*IF($F93&gt;=3,$F93+IF($E93="Win",$F93,0),0))</f>
        <v>0</v>
      </c>
      <c r="M93" s="123">
        <f t="shared" si="20"/>
        <v>11.558874615414906</v>
      </c>
      <c r="N93" s="121">
        <f t="shared" si="21"/>
        <v>1176.0871765311047</v>
      </c>
      <c r="O93" s="120" t="str">
        <f t="shared" si="22"/>
        <v>OK</v>
      </c>
      <c r="P93">
        <f t="shared" si="23"/>
        <v>1164.5283019156898</v>
      </c>
      <c r="Q93">
        <f t="shared" si="24"/>
        <v>0.5</v>
      </c>
      <c r="R93">
        <f t="shared" si="25"/>
        <v>0.90909090909090906</v>
      </c>
      <c r="S93">
        <f t="shared" si="26"/>
        <v>1.1590909090909092</v>
      </c>
      <c r="T93" s="88">
        <f t="shared" si="27"/>
        <v>9</v>
      </c>
      <c r="U93" s="125">
        <f>IF($D93="",0,IFERROR(LOOKUP(2,1/(($D$3:D92=$D93)*($C$3:C92=$C93)*($A$3:A92&lt;$A93)),$AB$3:AB92),1000))</f>
        <v>1110.7203725855504</v>
      </c>
      <c r="V93" s="125">
        <f t="shared" si="28"/>
        <v>1129.9374902034574</v>
      </c>
      <c r="W93">
        <f t="shared" si="29"/>
        <v>1129.9374902034574</v>
      </c>
      <c r="X93">
        <f t="shared" si="30"/>
        <v>0.5</v>
      </c>
      <c r="Y93">
        <f t="shared" si="31"/>
        <v>1110.7203725855504</v>
      </c>
      <c r="Z93">
        <f t="shared" si="32"/>
        <v>0.5</v>
      </c>
      <c r="AA93">
        <f>IF($D93="",0,IF($F93&lt;2,0,IF($E93="Win",('Guide &amp; Settings'!$C$42/(($F93-1)*COUNTIFS($A$4:$A$311,$A93,$E$4:$E$311,"Win")))*SUMIFS($Z$4:$Z$311,$A$4:$A$311,$A93,$E$4:$E$311,"Loss"),-('Guide &amp; Settings'!$C$42/($F93-1))*$Z93)))</f>
        <v>9.119473927823794</v>
      </c>
      <c r="AB93" s="125">
        <f t="shared" si="33"/>
        <v>1119.8398465133741</v>
      </c>
      <c r="AC93" s="125">
        <f>IF($D93="","",IF(SUMPRODUCT(MAX(($D$4:$D$311=$D93)*($B$4:$B$311&lt;$B93)*$B$4:$B$311))=0,0,MAX(($B93-SUMPRODUCT(MAX(($D$4:$D$311=$D93)*($B$4:$B$311&lt;$B93)*$B$4:$B$311)))/7-'Guide &amp; Settings'!$C$48,0)*'Guide &amp; Settings'!$C$49))</f>
        <v>0</v>
      </c>
    </row>
    <row r="94" spans="1:29" ht="15" customHeight="1" x14ac:dyDescent="0.2">
      <c r="A94" s="116">
        <v>42</v>
      </c>
      <c r="B94" s="117">
        <v>46176</v>
      </c>
      <c r="C94" s="118" t="s">
        <v>203</v>
      </c>
      <c r="D94" s="118" t="s">
        <v>144</v>
      </c>
      <c r="E94" s="116" t="s">
        <v>316</v>
      </c>
      <c r="F94" s="119">
        <f t="shared" si="17"/>
        <v>2</v>
      </c>
      <c r="G94" s="120" t="str">
        <f t="shared" si="18"/>
        <v>Josh</v>
      </c>
      <c r="H94" s="121">
        <f>IF($D94="",0,IFERROR(LOOKUP(2,1/(($D$3:D93=$D94)*($A$3:A93&lt;$A94)),$N$3:N93),'Guide &amp; Settings'!$C$41))</f>
        <v>1176.0871765311047</v>
      </c>
      <c r="I94" s="122">
        <f t="shared" si="19"/>
        <v>0.6470588235294118</v>
      </c>
      <c r="J94" s="123">
        <f>IF($D94="",0,IF($F94&lt;2,0,IF($E94="Win",('Guide &amp; Settings'!$C$42/(($F94-1)*COUNTIFS($A$4:$A$311,$A94,$E$4:$E$311,"Win")))*SUMIFS($X$4:$X$311,$A$4:$A$311,$A94,$E$4:$E$311,"Loss"),-('Guide &amp; Settings'!$C$42/($F94-1))*$X94)))</f>
        <v>10.536492868493262</v>
      </c>
      <c r="K94" s="123">
        <f>IF($D94="",0,'Guide &amp; Settings'!$C$43*(IF($E94="Win",1,0)-$I94))</f>
        <v>4.235294117647058</v>
      </c>
      <c r="L94" s="124">
        <f>IF($D94="",0,'Guide &amp; Settings'!$C$44*IF($F94&gt;=3,$F94+IF($E94="Win",$F94,0),0))</f>
        <v>0</v>
      </c>
      <c r="M94" s="123">
        <f t="shared" si="20"/>
        <v>14.77178698614032</v>
      </c>
      <c r="N94" s="121">
        <f t="shared" si="21"/>
        <v>1190.858963517245</v>
      </c>
      <c r="O94" s="120" t="str">
        <f t="shared" si="22"/>
        <v>OK</v>
      </c>
      <c r="P94">
        <f t="shared" si="23"/>
        <v>1176.0871765311047</v>
      </c>
      <c r="Q94">
        <f t="shared" si="24"/>
        <v>0.5</v>
      </c>
      <c r="R94">
        <f t="shared" si="25"/>
        <v>0.91666666666666663</v>
      </c>
      <c r="S94">
        <f t="shared" si="26"/>
        <v>1.4166666666666665</v>
      </c>
      <c r="T94" s="88">
        <f t="shared" si="27"/>
        <v>10</v>
      </c>
      <c r="U94" s="125">
        <f>IF($D94="",0,IFERROR(LOOKUP(2,1/(($D$3:D93=$D94)*($C$3:C93=$C94)*($A$3:A93&lt;$A94)),$AB$3:AB93),1000))</f>
        <v>1119.8398465133741</v>
      </c>
      <c r="V94" s="125">
        <f t="shared" si="28"/>
        <v>1138.5889565192842</v>
      </c>
      <c r="W94">
        <f t="shared" si="29"/>
        <v>1138.5889565192842</v>
      </c>
      <c r="X94">
        <f t="shared" si="30"/>
        <v>0.5</v>
      </c>
      <c r="Y94">
        <f t="shared" si="31"/>
        <v>1119.8398465133741</v>
      </c>
      <c r="Z94">
        <f t="shared" si="32"/>
        <v>0.5</v>
      </c>
      <c r="AA94">
        <f>IF($D94="",0,IF($F94&lt;2,0,IF($E94="Win",('Guide &amp; Settings'!$C$42/(($F94-1)*COUNTIFS($A$4:$A$311,$A94,$E$4:$E$311,"Win")))*SUMIFS($Z$4:$Z$311,$A$4:$A$311,$A94,$E$4:$E$311,"Loss"),-('Guide &amp; Settings'!$C$42/($F94-1))*$Z94)))</f>
        <v>10.690100452875011</v>
      </c>
      <c r="AB94" s="125">
        <f t="shared" si="33"/>
        <v>1130.5299469662491</v>
      </c>
      <c r="AC94" s="125">
        <f>IF($D94="","",IF(SUMPRODUCT(MAX(($D$4:$D$311=$D94)*($B$4:$B$311&lt;$B94)*$B$4:$B$311))=0,0,MAX(($B94-SUMPRODUCT(MAX(($D$4:$D$311=$D94)*($B$4:$B$311&lt;$B94)*$B$4:$B$311)))/7-'Guide &amp; Settings'!$C$48,0)*'Guide &amp; Settings'!$C$49))</f>
        <v>0</v>
      </c>
    </row>
    <row r="95" spans="1:29" ht="15" customHeight="1" x14ac:dyDescent="0.2">
      <c r="A95" s="116">
        <v>42</v>
      </c>
      <c r="B95" s="117">
        <v>46176</v>
      </c>
      <c r="C95" s="118" t="s">
        <v>203</v>
      </c>
      <c r="D95" s="118" t="s">
        <v>174</v>
      </c>
      <c r="E95" s="116" t="s">
        <v>317</v>
      </c>
      <c r="F95" s="119">
        <f t="shared" si="17"/>
        <v>2</v>
      </c>
      <c r="G95" s="120" t="str">
        <f t="shared" si="18"/>
        <v>Josh</v>
      </c>
      <c r="H95" s="121">
        <f>IF($D95="",0,IFERROR(LOOKUP(2,1/(($D$3:D94=$D95)*($A$3:A94&lt;$A95)),$N$3:N94),'Guide &amp; Settings'!$C$41))</f>
        <v>1014.9871127232765</v>
      </c>
      <c r="I95" s="122">
        <f t="shared" si="19"/>
        <v>0.35294117647058826</v>
      </c>
      <c r="J95" s="123">
        <f>IF($D95="",0,IF($F95&lt;2,0,IF($E95="Win",('Guide &amp; Settings'!$C$42/(($F95-1)*COUNTIFS($A$4:$A$311,$A95,$E$4:$E$311,"Win")))*SUMIFS($X$4:$X$311,$A$4:$A$311,$A95,$E$4:$E$311,"Loss"),-('Guide &amp; Settings'!$C$42/($F95-1))*$X95)))</f>
        <v>-10.536492868493262</v>
      </c>
      <c r="K95" s="123">
        <f>IF($D95="",0,'Guide &amp; Settings'!$C$43*(IF($E95="Win",1,0)-$I95))</f>
        <v>-4.2352941176470589</v>
      </c>
      <c r="L95" s="124">
        <f>IF($D95="",0,'Guide &amp; Settings'!$C$44*IF($F95&gt;=3,$F95+IF($E95="Win",$F95,0),0))</f>
        <v>0</v>
      </c>
      <c r="M95" s="123">
        <f t="shared" si="20"/>
        <v>-14.77178698614032</v>
      </c>
      <c r="N95" s="121">
        <f t="shared" si="21"/>
        <v>1000.2153257371361</v>
      </c>
      <c r="O95" s="120" t="str">
        <f t="shared" si="22"/>
        <v>OK</v>
      </c>
      <c r="P95">
        <f t="shared" si="23"/>
        <v>1176.0871765311047</v>
      </c>
      <c r="Q95">
        <f t="shared" si="24"/>
        <v>0.28345929711596107</v>
      </c>
      <c r="R95">
        <f t="shared" si="25"/>
        <v>0.5</v>
      </c>
      <c r="S95">
        <f t="shared" si="26"/>
        <v>1.4166666666666665</v>
      </c>
      <c r="T95" s="88">
        <f t="shared" si="27"/>
        <v>0</v>
      </c>
      <c r="U95" s="125">
        <f>IF($D95="",0,IFERROR(LOOKUP(2,1/(($D$3:D94=$D95)*($C$3:C94=$C95)*($A$3:A94&lt;$A95)),$AB$3:AB94),1000))</f>
        <v>1000</v>
      </c>
      <c r="V95" s="125">
        <f t="shared" si="28"/>
        <v>1014.9871127232765</v>
      </c>
      <c r="W95">
        <f t="shared" si="29"/>
        <v>1138.5889565192842</v>
      </c>
      <c r="X95">
        <f t="shared" si="30"/>
        <v>0.32926540214041444</v>
      </c>
      <c r="Y95">
        <f t="shared" si="31"/>
        <v>1119.8398465133741</v>
      </c>
      <c r="Z95">
        <f t="shared" si="32"/>
        <v>0.33406563915234411</v>
      </c>
      <c r="AA95">
        <f>IF($D95="",0,IF($F95&lt;2,0,IF($E95="Win",('Guide &amp; Settings'!$C$42/(($F95-1)*COUNTIFS($A$4:$A$311,$A95,$E$4:$E$311,"Win")))*SUMIFS($Z$4:$Z$311,$A$4:$A$311,$A95,$E$4:$E$311,"Loss"),-('Guide &amp; Settings'!$C$42/($F95-1))*$Z95)))</f>
        <v>-10.690100452875011</v>
      </c>
      <c r="AB95" s="125">
        <f t="shared" si="33"/>
        <v>989.30989954712504</v>
      </c>
      <c r="AC95" s="125">
        <f>IF($D95="","",IF(SUMPRODUCT(MAX(($D$4:$D$311=$D95)*($B$4:$B$311&lt;$B95)*$B$4:$B$311))=0,0,MAX(($B95-SUMPRODUCT(MAX(($D$4:$D$311=$D95)*($B$4:$B$311&lt;$B95)*$B$4:$B$311)))/7-'Guide &amp; Settings'!$C$48,0)*'Guide &amp; Settings'!$C$49))</f>
        <v>0</v>
      </c>
    </row>
    <row r="96" spans="1:29" ht="15" customHeight="1" x14ac:dyDescent="0.2">
      <c r="A96" s="116">
        <v>43</v>
      </c>
      <c r="B96" s="117">
        <v>46176</v>
      </c>
      <c r="C96" s="118" t="s">
        <v>203</v>
      </c>
      <c r="D96" s="118" t="s">
        <v>144</v>
      </c>
      <c r="E96" s="116" t="s">
        <v>317</v>
      </c>
      <c r="F96" s="119">
        <f t="shared" si="17"/>
        <v>2</v>
      </c>
      <c r="G96" s="120" t="str">
        <f t="shared" si="18"/>
        <v>Dean B</v>
      </c>
      <c r="H96" s="121">
        <f>IF($D96="",0,IFERROR(LOOKUP(2,1/(($D$3:D95=$D96)*($A$3:A95&lt;$A96)),$N$3:N95),'Guide &amp; Settings'!$C$41))</f>
        <v>1190.858963517245</v>
      </c>
      <c r="I96" s="122">
        <f t="shared" si="19"/>
        <v>0.73469387755102045</v>
      </c>
      <c r="J96" s="123">
        <f>IF($D96="",0,IF($F96&lt;2,0,IF($E96="Win",('Guide &amp; Settings'!$C$42/(($F96-1)*COUNTIFS($A$4:$A$311,$A96,$E$4:$E$311,"Win")))*SUMIFS($X$4:$X$311,$A$4:$A$311,$A96,$E$4:$E$311,"Loss"),-('Guide &amp; Settings'!$C$42/($F96-1))*$X96)))</f>
        <v>-22.5461322096202</v>
      </c>
      <c r="K96" s="123">
        <f>IF($D96="",0,'Guide &amp; Settings'!$C$43*(IF($E96="Win",1,0)-$I96))</f>
        <v>-8.8163265306122458</v>
      </c>
      <c r="L96" s="124">
        <f>IF($D96="",0,'Guide &amp; Settings'!$C$44*IF($F96&gt;=3,$F96+IF($E96="Win",$F96,0),0))</f>
        <v>0</v>
      </c>
      <c r="M96" s="123">
        <f t="shared" si="20"/>
        <v>-31.362458740232448</v>
      </c>
      <c r="N96" s="121">
        <f t="shared" si="21"/>
        <v>1159.4965047770127</v>
      </c>
      <c r="O96" s="120" t="str">
        <f t="shared" si="22"/>
        <v>OK</v>
      </c>
      <c r="P96">
        <f t="shared" si="23"/>
        <v>1000.2153257371361</v>
      </c>
      <c r="Q96">
        <f t="shared" si="24"/>
        <v>0.74977881745311314</v>
      </c>
      <c r="R96">
        <f t="shared" si="25"/>
        <v>0.92307692307692313</v>
      </c>
      <c r="S96">
        <f t="shared" si="26"/>
        <v>1.2564102564102564</v>
      </c>
      <c r="T96" s="88">
        <f t="shared" si="27"/>
        <v>11</v>
      </c>
      <c r="U96" s="125">
        <f>IF($D96="",0,IFERROR(LOOKUP(2,1/(($D$3:D95=$D96)*($C$3:C95=$C96)*($A$3:A95&lt;$A96)),$AB$3:AB95),1000))</f>
        <v>1130.5299469662491</v>
      </c>
      <c r="V96" s="125">
        <f t="shared" si="28"/>
        <v>1149.3827646384352</v>
      </c>
      <c r="W96">
        <f t="shared" si="29"/>
        <v>998.39775470546761</v>
      </c>
      <c r="X96">
        <f t="shared" si="30"/>
        <v>0.70456663155063126</v>
      </c>
      <c r="Y96">
        <f t="shared" si="31"/>
        <v>989.30989954712504</v>
      </c>
      <c r="Z96">
        <f t="shared" si="32"/>
        <v>0.69273307938070139</v>
      </c>
      <c r="AA96">
        <f>IF($D96="",0,IF($F96&lt;2,0,IF($E96="Win",('Guide &amp; Settings'!$C$42/(($F96-1)*COUNTIFS($A$4:$A$311,$A96,$E$4:$E$311,"Win")))*SUMIFS($Z$4:$Z$311,$A$4:$A$311,$A96,$E$4:$E$311,"Loss"),-('Guide &amp; Settings'!$C$42/($F96-1))*$Z96)))</f>
        <v>-22.167458540182444</v>
      </c>
      <c r="AB96" s="125">
        <f t="shared" si="33"/>
        <v>1108.3624884260666</v>
      </c>
      <c r="AC96" s="125">
        <f>IF($D96="","",IF(SUMPRODUCT(MAX(($D$4:$D$311=$D96)*($B$4:$B$311&lt;$B96)*$B$4:$B$311))=0,0,MAX(($B96-SUMPRODUCT(MAX(($D$4:$D$311=$D96)*($B$4:$B$311&lt;$B96)*$B$4:$B$311)))/7-'Guide &amp; Settings'!$C$48,0)*'Guide &amp; Settings'!$C$49))</f>
        <v>0</v>
      </c>
    </row>
    <row r="97" spans="1:29" ht="15" customHeight="1" x14ac:dyDescent="0.2">
      <c r="A97" s="116">
        <v>43</v>
      </c>
      <c r="B97" s="117">
        <v>46176</v>
      </c>
      <c r="C97" s="118" t="s">
        <v>203</v>
      </c>
      <c r="D97" s="118" t="s">
        <v>174</v>
      </c>
      <c r="E97" s="116" t="s">
        <v>316</v>
      </c>
      <c r="F97" s="119">
        <f t="shared" si="17"/>
        <v>2</v>
      </c>
      <c r="G97" s="120" t="str">
        <f t="shared" si="18"/>
        <v>Dean B</v>
      </c>
      <c r="H97" s="121">
        <f>IF($D97="",0,IFERROR(LOOKUP(2,1/(($D$3:D96=$D97)*($A$3:A96&lt;$A97)),$N$3:N96),'Guide &amp; Settings'!$C$41))</f>
        <v>1000.2153257371361</v>
      </c>
      <c r="I97" s="122">
        <f t="shared" si="19"/>
        <v>0.26530612244897961</v>
      </c>
      <c r="J97" s="123">
        <f>IF($D97="",0,IF($F97&lt;2,0,IF($E97="Win",('Guide &amp; Settings'!$C$42/(($F97-1)*COUNTIFS($A$4:$A$311,$A97,$E$4:$E$311,"Win")))*SUMIFS($X$4:$X$311,$A$4:$A$311,$A97,$E$4:$E$311,"Loss"),-('Guide &amp; Settings'!$C$42/($F97-1))*$X97)))</f>
        <v>22.5461322096202</v>
      </c>
      <c r="K97" s="123">
        <f>IF($D97="",0,'Guide &amp; Settings'!$C$43*(IF($E97="Win",1,0)-$I97))</f>
        <v>8.816326530612244</v>
      </c>
      <c r="L97" s="124">
        <f>IF($D97="",0,'Guide &amp; Settings'!$C$44*IF($F97&gt;=3,$F97+IF($E97="Win",$F97,0),0))</f>
        <v>0</v>
      </c>
      <c r="M97" s="123">
        <f t="shared" si="20"/>
        <v>31.362458740232444</v>
      </c>
      <c r="N97" s="121">
        <f t="shared" si="21"/>
        <v>1031.5777844773686</v>
      </c>
      <c r="O97" s="120" t="str">
        <f t="shared" si="22"/>
        <v>OK</v>
      </c>
      <c r="P97">
        <f t="shared" si="23"/>
        <v>1000.2153257371361</v>
      </c>
      <c r="Q97">
        <f t="shared" si="24"/>
        <v>0.5</v>
      </c>
      <c r="R97">
        <f t="shared" si="25"/>
        <v>0.33333333333333331</v>
      </c>
      <c r="S97">
        <f t="shared" si="26"/>
        <v>1.2564102564102564</v>
      </c>
      <c r="T97" s="88">
        <f t="shared" si="27"/>
        <v>1</v>
      </c>
      <c r="U97" s="125">
        <f>IF($D97="",0,IFERROR(LOOKUP(2,1/(($D$3:D96=$D97)*($C$3:C96=$C97)*($A$3:A96&lt;$A97)),$AB$3:AB96),1000))</f>
        <v>989.30989954712504</v>
      </c>
      <c r="V97" s="125">
        <f t="shared" si="28"/>
        <v>998.39775470546761</v>
      </c>
      <c r="W97">
        <f t="shared" si="29"/>
        <v>998.39775470546761</v>
      </c>
      <c r="X97">
        <f t="shared" si="30"/>
        <v>0.5</v>
      </c>
      <c r="Y97">
        <f t="shared" si="31"/>
        <v>989.30989954712504</v>
      </c>
      <c r="Z97">
        <f t="shared" si="32"/>
        <v>0.5</v>
      </c>
      <c r="AA97">
        <f>IF($D97="",0,IF($F97&lt;2,0,IF($E97="Win",('Guide &amp; Settings'!$C$42/(($F97-1)*COUNTIFS($A$4:$A$311,$A97,$E$4:$E$311,"Win")))*SUMIFS($Z$4:$Z$311,$A$4:$A$311,$A97,$E$4:$E$311,"Loss"),-('Guide &amp; Settings'!$C$42/($F97-1))*$Z97)))</f>
        <v>22.167458540182444</v>
      </c>
      <c r="AB97" s="125">
        <f t="shared" si="33"/>
        <v>1011.4773580873075</v>
      </c>
      <c r="AC97" s="125">
        <f>IF($D97="","",IF(SUMPRODUCT(MAX(($D$4:$D$311=$D97)*($B$4:$B$311&lt;$B97)*$B$4:$B$311))=0,0,MAX(($B97-SUMPRODUCT(MAX(($D$4:$D$311=$D97)*($B$4:$B$311&lt;$B97)*$B$4:$B$311)))/7-'Guide &amp; Settings'!$C$48,0)*'Guide &amp; Settings'!$C$49))</f>
        <v>0</v>
      </c>
    </row>
    <row r="98" spans="1:29" ht="15" customHeight="1" x14ac:dyDescent="0.2">
      <c r="A98" s="116">
        <v>44</v>
      </c>
      <c r="B98" s="117">
        <v>46176</v>
      </c>
      <c r="C98" s="118" t="s">
        <v>203</v>
      </c>
      <c r="D98" s="118" t="s">
        <v>144</v>
      </c>
      <c r="E98" s="116" t="s">
        <v>316</v>
      </c>
      <c r="F98" s="119">
        <f t="shared" si="17"/>
        <v>2</v>
      </c>
      <c r="G98" s="120" t="str">
        <f t="shared" si="18"/>
        <v>Josh</v>
      </c>
      <c r="H98" s="121">
        <f>IF($D98="",0,IFERROR(LOOKUP(2,1/(($D$3:D97=$D98)*($A$3:A97&lt;$A98)),$N$3:N97),'Guide &amp; Settings'!$C$41))</f>
        <v>1159.4965047770127</v>
      </c>
      <c r="I98" s="122">
        <f t="shared" si="19"/>
        <v>0.5625</v>
      </c>
      <c r="J98" s="123">
        <f>IF($D98="",0,IF($F98&lt;2,0,IF($E98="Win",('Guide &amp; Settings'!$C$42/(($F98-1)*COUNTIFS($A$4:$A$311,$A98,$E$4:$E$311,"Win")))*SUMIFS($X$4:$X$311,$A$4:$A$311,$A98,$E$4:$E$311,"Loss"),-('Guide &amp; Settings'!$C$42/($F98-1))*$X98)))</f>
        <v>9.9906197641160599</v>
      </c>
      <c r="K98" s="123">
        <f>IF($D98="",0,'Guide &amp; Settings'!$C$43*(IF($E98="Win",1,0)-$I98))</f>
        <v>5.25</v>
      </c>
      <c r="L98" s="124">
        <f>IF($D98="",0,'Guide &amp; Settings'!$C$44*IF($F98&gt;=3,$F98+IF($E98="Win",$F98,0),0))</f>
        <v>0</v>
      </c>
      <c r="M98" s="123">
        <f t="shared" si="20"/>
        <v>15.24061976411606</v>
      </c>
      <c r="N98" s="121">
        <f t="shared" si="21"/>
        <v>1174.7371245411287</v>
      </c>
      <c r="O98" s="120" t="str">
        <f t="shared" si="22"/>
        <v>OK</v>
      </c>
      <c r="P98">
        <f t="shared" si="23"/>
        <v>1159.4965047770127</v>
      </c>
      <c r="Q98">
        <f t="shared" si="24"/>
        <v>0.5</v>
      </c>
      <c r="R98">
        <f t="shared" si="25"/>
        <v>0.8571428571428571</v>
      </c>
      <c r="S98">
        <f t="shared" si="26"/>
        <v>1.5238095238095237</v>
      </c>
      <c r="T98" s="88">
        <f t="shared" si="27"/>
        <v>12</v>
      </c>
      <c r="U98" s="125">
        <f>IF($D98="",0,IFERROR(LOOKUP(2,1/(($D$3:D97=$D98)*($C$3:C97=$C98)*($A$3:A97&lt;$A98)),$AB$3:AB97),1000))</f>
        <v>1108.3624884260666</v>
      </c>
      <c r="V98" s="125">
        <f t="shared" si="28"/>
        <v>1123.4019049998742</v>
      </c>
      <c r="W98">
        <f t="shared" si="29"/>
        <v>1123.4019049998742</v>
      </c>
      <c r="X98">
        <f t="shared" si="30"/>
        <v>0.5</v>
      </c>
      <c r="Y98">
        <f t="shared" si="31"/>
        <v>1108.3624884260666</v>
      </c>
      <c r="Z98">
        <f t="shared" si="32"/>
        <v>0.5</v>
      </c>
      <c r="AA98">
        <f>IF($D98="",0,IF($F98&lt;2,0,IF($E98="Win",('Guide &amp; Settings'!$C$42/(($F98-1)*COUNTIFS($A$4:$A$311,$A98,$E$4:$E$311,"Win")))*SUMIFS($Z$4:$Z$311,$A$4:$A$311,$A98,$E$4:$E$311,"Loss"),-('Guide &amp; Settings'!$C$42/($F98-1))*$Z98)))</f>
        <v>11.843995360289181</v>
      </c>
      <c r="AB98" s="125">
        <f t="shared" si="33"/>
        <v>1120.2064837863559</v>
      </c>
      <c r="AC98" s="125">
        <f>IF($D98="","",IF(SUMPRODUCT(MAX(($D$4:$D$311=$D98)*($B$4:$B$311&lt;$B98)*$B$4:$B$311))=0,0,MAX(($B98-SUMPRODUCT(MAX(($D$4:$D$311=$D98)*($B$4:$B$311&lt;$B98)*$B$4:$B$311)))/7-'Guide &amp; Settings'!$C$48,0)*'Guide &amp; Settings'!$C$49))</f>
        <v>0</v>
      </c>
    </row>
    <row r="99" spans="1:29" ht="15" customHeight="1" x14ac:dyDescent="0.2">
      <c r="A99" s="116">
        <v>44</v>
      </c>
      <c r="B99" s="117">
        <v>46176</v>
      </c>
      <c r="C99" s="118" t="s">
        <v>203</v>
      </c>
      <c r="D99" s="118" t="s">
        <v>176</v>
      </c>
      <c r="E99" s="116" t="s">
        <v>317</v>
      </c>
      <c r="F99" s="119">
        <f t="shared" si="17"/>
        <v>2</v>
      </c>
      <c r="G99" s="120" t="str">
        <f t="shared" si="18"/>
        <v>Josh</v>
      </c>
      <c r="H99" s="121">
        <f>IF($D99="",0,IFERROR(LOOKUP(2,1/(($D$3:D98=$D99)*($A$3:A98&lt;$A99)),$N$3:N98),'Guide &amp; Settings'!$C$41))</f>
        <v>980.23490213998207</v>
      </c>
      <c r="I99" s="122">
        <f t="shared" si="19"/>
        <v>0.4375</v>
      </c>
      <c r="J99" s="123">
        <f>IF($D99="",0,IF($F99&lt;2,0,IF($E99="Win",('Guide &amp; Settings'!$C$42/(($F99-1)*COUNTIFS($A$4:$A$311,$A99,$E$4:$E$311,"Win")))*SUMIFS($X$4:$X$311,$A$4:$A$311,$A99,$E$4:$E$311,"Loss"),-('Guide &amp; Settings'!$C$42/($F99-1))*$X99)))</f>
        <v>-9.9906197641160599</v>
      </c>
      <c r="K99" s="123">
        <f>IF($D99="",0,'Guide &amp; Settings'!$C$43*(IF($E99="Win",1,0)-$I99))</f>
        <v>-5.25</v>
      </c>
      <c r="L99" s="124">
        <f>IF($D99="",0,'Guide &amp; Settings'!$C$44*IF($F99&gt;=3,$F99+IF($E99="Win",$F99,0),0))</f>
        <v>0</v>
      </c>
      <c r="M99" s="123">
        <f t="shared" si="20"/>
        <v>-15.24061976411606</v>
      </c>
      <c r="N99" s="121">
        <f t="shared" si="21"/>
        <v>964.99428237586596</v>
      </c>
      <c r="O99" s="120" t="str">
        <f t="shared" si="22"/>
        <v>OK</v>
      </c>
      <c r="P99">
        <f t="shared" si="23"/>
        <v>1159.4965047770127</v>
      </c>
      <c r="Q99">
        <f t="shared" si="24"/>
        <v>0.26271344867921886</v>
      </c>
      <c r="R99">
        <f t="shared" si="25"/>
        <v>0.66666666666666663</v>
      </c>
      <c r="S99">
        <f t="shared" si="26"/>
        <v>1.5238095238095237</v>
      </c>
      <c r="T99" s="88">
        <f t="shared" si="27"/>
        <v>1</v>
      </c>
      <c r="U99" s="125">
        <f>IF($D99="",0,IFERROR(LOOKUP(2,1/(($D$3:D98=$D99)*($C$3:C98=$C99)*($A$3:A98&lt;$A99)),$AB$3:AB98),1000))</f>
        <v>1016</v>
      </c>
      <c r="V99" s="125">
        <f t="shared" si="28"/>
        <v>986.19575178331843</v>
      </c>
      <c r="W99">
        <f t="shared" si="29"/>
        <v>1123.4019049998742</v>
      </c>
      <c r="X99">
        <f t="shared" si="30"/>
        <v>0.31220686762862687</v>
      </c>
      <c r="Y99">
        <f t="shared" si="31"/>
        <v>1108.3624884260666</v>
      </c>
      <c r="Z99">
        <f t="shared" si="32"/>
        <v>0.37012485500903691</v>
      </c>
      <c r="AA99">
        <f>IF($D99="",0,IF($F99&lt;2,0,IF($E99="Win",('Guide &amp; Settings'!$C$42/(($F99-1)*COUNTIFS($A$4:$A$311,$A99,$E$4:$E$311,"Win")))*SUMIFS($Z$4:$Z$311,$A$4:$A$311,$A99,$E$4:$E$311,"Loss"),-('Guide &amp; Settings'!$C$42/($F99-1))*$Z99)))</f>
        <v>-11.843995360289181</v>
      </c>
      <c r="AB99" s="125">
        <f t="shared" si="33"/>
        <v>1004.1560046397108</v>
      </c>
      <c r="AC99" s="125">
        <f>IF($D99="","",IF(SUMPRODUCT(MAX(($D$4:$D$311=$D99)*($B$4:$B$311&lt;$B99)*$B$4:$B$311))=0,0,MAX(($B99-SUMPRODUCT(MAX(($D$4:$D$311=$D99)*($B$4:$B$311&lt;$B99)*$B$4:$B$311)))/7-'Guide &amp; Settings'!$C$48,0)*'Guide &amp; Settings'!$C$49))</f>
        <v>0</v>
      </c>
    </row>
    <row r="100" spans="1:29" ht="15" customHeight="1" x14ac:dyDescent="0.2">
      <c r="A100" s="116">
        <v>45</v>
      </c>
      <c r="B100" s="117">
        <v>46176</v>
      </c>
      <c r="C100" s="118" t="s">
        <v>203</v>
      </c>
      <c r="D100" s="118" t="s">
        <v>144</v>
      </c>
      <c r="E100" s="116" t="s">
        <v>316</v>
      </c>
      <c r="F100" s="119">
        <f t="shared" si="17"/>
        <v>2</v>
      </c>
      <c r="G100" s="120" t="str">
        <f t="shared" si="18"/>
        <v>Josh</v>
      </c>
      <c r="H100" s="121">
        <f>IF($D100="",0,IFERROR(LOOKUP(2,1/(($D$3:D99=$D100)*($A$3:A99&lt;$A100)),$N$3:N99),'Guide &amp; Settings'!$C$41))</f>
        <v>1174.7371245411287</v>
      </c>
      <c r="I100" s="122">
        <f t="shared" si="19"/>
        <v>0.63414634146341464</v>
      </c>
      <c r="J100" s="123">
        <f>IF($D100="",0,IF($F100&lt;2,0,IF($E100="Win",('Guide &amp; Settings'!$C$42/(($F100-1)*COUNTIFS($A$4:$A$311,$A100,$E$4:$E$311,"Win")))*SUMIFS($X$4:$X$311,$A$4:$A$311,$A100,$E$4:$E$311,"Loss"),-('Guide &amp; Settings'!$C$42/($F100-1))*$X100)))</f>
        <v>9.1430626044786028</v>
      </c>
      <c r="K100" s="123">
        <f>IF($D100="",0,'Guide &amp; Settings'!$C$43*(IF($E100="Win",1,0)-$I100))</f>
        <v>4.3902439024390247</v>
      </c>
      <c r="L100" s="124">
        <f>IF($D100="",0,'Guide &amp; Settings'!$C$44*IF($F100&gt;=3,$F100+IF($E100="Win",$F100,0),0))</f>
        <v>0</v>
      </c>
      <c r="M100" s="123">
        <f t="shared" si="20"/>
        <v>13.533306506917627</v>
      </c>
      <c r="N100" s="121">
        <f t="shared" si="21"/>
        <v>1188.2704310480462</v>
      </c>
      <c r="O100" s="120" t="str">
        <f t="shared" si="22"/>
        <v>OK</v>
      </c>
      <c r="P100">
        <f t="shared" si="23"/>
        <v>1174.7371245411287</v>
      </c>
      <c r="Q100">
        <f t="shared" si="24"/>
        <v>0.5</v>
      </c>
      <c r="R100">
        <f t="shared" si="25"/>
        <v>0.8666666666666667</v>
      </c>
      <c r="S100">
        <f t="shared" si="26"/>
        <v>1.3666666666666667</v>
      </c>
      <c r="T100" s="88">
        <f t="shared" si="27"/>
        <v>13</v>
      </c>
      <c r="U100" s="125">
        <f>IF($D100="",0,IFERROR(LOOKUP(2,1/(($D$3:D99=$D100)*($C$3:C99=$C100)*($A$3:A99&lt;$A100)),$AB$3:AB99),1000))</f>
        <v>1120.2064837863559</v>
      </c>
      <c r="V100" s="125">
        <f t="shared" si="28"/>
        <v>1135.3538839960149</v>
      </c>
      <c r="W100">
        <f t="shared" si="29"/>
        <v>1135.3538839960149</v>
      </c>
      <c r="X100">
        <f t="shared" si="30"/>
        <v>0.5</v>
      </c>
      <c r="Y100">
        <f t="shared" si="31"/>
        <v>1120.2064837863559</v>
      </c>
      <c r="Z100">
        <f t="shared" si="32"/>
        <v>0.5</v>
      </c>
      <c r="AA100">
        <f>IF($D100="",0,IF($F100&lt;2,0,IF($E100="Win",('Guide &amp; Settings'!$C$42/(($F100-1)*COUNTIFS($A$4:$A$311,$A100,$E$4:$E$311,"Win")))*SUMIFS($Z$4:$Z$311,$A$4:$A$311,$A100,$E$4:$E$311,"Loss"),-('Guide &amp; Settings'!$C$42/($F100-1))*$Z100)))</f>
        <v>10.845945553347134</v>
      </c>
      <c r="AB100" s="125">
        <f t="shared" si="33"/>
        <v>1131.0524293397029</v>
      </c>
      <c r="AC100" s="125">
        <f>IF($D100="","",IF(SUMPRODUCT(MAX(($D$4:$D$311=$D100)*($B$4:$B$311&lt;$B100)*$B$4:$B$311))=0,0,MAX(($B100-SUMPRODUCT(MAX(($D$4:$D$311=$D100)*($B$4:$B$311&lt;$B100)*$B$4:$B$311)))/7-'Guide &amp; Settings'!$C$48,0)*'Guide &amp; Settings'!$C$49))</f>
        <v>0</v>
      </c>
    </row>
    <row r="101" spans="1:29" ht="15" customHeight="1" x14ac:dyDescent="0.2">
      <c r="A101" s="116">
        <v>45</v>
      </c>
      <c r="B101" s="117">
        <v>46176</v>
      </c>
      <c r="C101" s="118" t="s">
        <v>203</v>
      </c>
      <c r="D101" s="118" t="s">
        <v>176</v>
      </c>
      <c r="E101" s="116" t="s">
        <v>317</v>
      </c>
      <c r="F101" s="119">
        <f t="shared" si="17"/>
        <v>2</v>
      </c>
      <c r="G101" s="120" t="str">
        <f t="shared" si="18"/>
        <v>Josh</v>
      </c>
      <c r="H101" s="121">
        <f>IF($D101="",0,IFERROR(LOOKUP(2,1/(($D$3:D100=$D101)*($A$3:A100&lt;$A101)),$N$3:N100),'Guide &amp; Settings'!$C$41))</f>
        <v>964.99428237586596</v>
      </c>
      <c r="I101" s="122">
        <f t="shared" si="19"/>
        <v>0.36585365853658536</v>
      </c>
      <c r="J101" s="123">
        <f>IF($D101="",0,IF($F101&lt;2,0,IF($E101="Win",('Guide &amp; Settings'!$C$42/(($F101-1)*COUNTIFS($A$4:$A$311,$A101,$E$4:$E$311,"Win")))*SUMIFS($X$4:$X$311,$A$4:$A$311,$A101,$E$4:$E$311,"Loss"),-('Guide &amp; Settings'!$C$42/($F101-1))*$X101)))</f>
        <v>-9.1430626044786028</v>
      </c>
      <c r="K101" s="123">
        <f>IF($D101="",0,'Guide &amp; Settings'!$C$43*(IF($E101="Win",1,0)-$I101))</f>
        <v>-4.3902439024390247</v>
      </c>
      <c r="L101" s="124">
        <f>IF($D101="",0,'Guide &amp; Settings'!$C$44*IF($F101&gt;=3,$F101+IF($E101="Win",$F101,0),0))</f>
        <v>0</v>
      </c>
      <c r="M101" s="123">
        <f t="shared" si="20"/>
        <v>-13.533306506917627</v>
      </c>
      <c r="N101" s="121">
        <f t="shared" si="21"/>
        <v>951.46097586894837</v>
      </c>
      <c r="O101" s="120" t="str">
        <f t="shared" si="22"/>
        <v>OK</v>
      </c>
      <c r="P101">
        <f t="shared" si="23"/>
        <v>1174.7371245411287</v>
      </c>
      <c r="Q101">
        <f t="shared" si="24"/>
        <v>0.23016551541076727</v>
      </c>
      <c r="R101">
        <f t="shared" si="25"/>
        <v>0.5</v>
      </c>
      <c r="S101">
        <f t="shared" si="26"/>
        <v>1.3666666666666667</v>
      </c>
      <c r="T101" s="88">
        <f t="shared" si="27"/>
        <v>2</v>
      </c>
      <c r="U101" s="125">
        <f>IF($D101="",0,IFERROR(LOOKUP(2,1/(($D$3:D100=$D101)*($C$3:C100=$C101)*($A$3:A100&lt;$A101)),$AB$3:AB100),1000))</f>
        <v>1004.1560046397108</v>
      </c>
      <c r="V101" s="125">
        <f t="shared" si="28"/>
        <v>976.18334587982167</v>
      </c>
      <c r="W101">
        <f t="shared" si="29"/>
        <v>1135.3538839960149</v>
      </c>
      <c r="X101">
        <f t="shared" si="30"/>
        <v>0.28572070638995634</v>
      </c>
      <c r="Y101">
        <f t="shared" si="31"/>
        <v>1120.2064837863559</v>
      </c>
      <c r="Z101">
        <f t="shared" si="32"/>
        <v>0.33893579854209793</v>
      </c>
      <c r="AA101">
        <f>IF($D101="",0,IF($F101&lt;2,0,IF($E101="Win",('Guide &amp; Settings'!$C$42/(($F101-1)*COUNTIFS($A$4:$A$311,$A101,$E$4:$E$311,"Win")))*SUMIFS($Z$4:$Z$311,$A$4:$A$311,$A101,$E$4:$E$311,"Loss"),-('Guide &amp; Settings'!$C$42/($F101-1))*$Z101)))</f>
        <v>-10.845945553347134</v>
      </c>
      <c r="AB101" s="125">
        <f t="shared" si="33"/>
        <v>993.31005908636359</v>
      </c>
      <c r="AC101" s="125">
        <f>IF($D101="","",IF(SUMPRODUCT(MAX(($D$4:$D$311=$D101)*($B$4:$B$311&lt;$B101)*$B$4:$B$311))=0,0,MAX(($B101-SUMPRODUCT(MAX(($D$4:$D$311=$D101)*($B$4:$B$311&lt;$B101)*$B$4:$B$311)))/7-'Guide &amp; Settings'!$C$48,0)*'Guide &amp; Settings'!$C$49))</f>
        <v>0</v>
      </c>
    </row>
    <row r="102" spans="1:29" ht="15" customHeight="1" x14ac:dyDescent="0.2">
      <c r="A102" s="116">
        <v>46</v>
      </c>
      <c r="B102" s="117">
        <v>46176</v>
      </c>
      <c r="C102" s="118" t="s">
        <v>203</v>
      </c>
      <c r="D102" s="118" t="s">
        <v>144</v>
      </c>
      <c r="E102" s="116" t="s">
        <v>317</v>
      </c>
      <c r="F102" s="119">
        <f t="shared" si="17"/>
        <v>2</v>
      </c>
      <c r="G102" s="120" t="str">
        <f t="shared" si="18"/>
        <v>Oscar</v>
      </c>
      <c r="H102" s="121">
        <f>IF($D102="",0,IFERROR(LOOKUP(2,1/(($D$3:D101=$D102)*($A$3:A101&lt;$A102)),$N$3:N101),'Guide &amp; Settings'!$C$41))</f>
        <v>1188.2704310480462</v>
      </c>
      <c r="I102" s="122">
        <f t="shared" si="19"/>
        <v>0.68627450980392157</v>
      </c>
      <c r="J102" s="123">
        <f>IF($D102="",0,IF($F102&lt;2,0,IF($E102="Win",('Guide &amp; Settings'!$C$42/(($F102-1)*COUNTIFS($A$4:$A$311,$A102,$E$4:$E$311,"Win")))*SUMIFS($X$4:$X$311,$A$4:$A$311,$A102,$E$4:$E$311,"Loss"),-('Guide &amp; Settings'!$C$42/($F102-1))*$X102)))</f>
        <v>-23.582240353638706</v>
      </c>
      <c r="K102" s="123">
        <f>IF($D102="",0,'Guide &amp; Settings'!$C$43*(IF($E102="Win",1,0)-$I102))</f>
        <v>-8.235294117647058</v>
      </c>
      <c r="L102" s="124">
        <f>IF($D102="",0,'Guide &amp; Settings'!$C$44*IF($F102&gt;=3,$F102+IF($E102="Win",$F102,0),0))</f>
        <v>0</v>
      </c>
      <c r="M102" s="123">
        <f t="shared" si="20"/>
        <v>-31.817534471285764</v>
      </c>
      <c r="N102" s="121">
        <f t="shared" si="21"/>
        <v>1156.4528965767604</v>
      </c>
      <c r="O102" s="120" t="str">
        <f t="shared" si="22"/>
        <v>OK</v>
      </c>
      <c r="P102">
        <f t="shared" si="23"/>
        <v>951.46097586894837</v>
      </c>
      <c r="Q102">
        <f t="shared" si="24"/>
        <v>0.79627682418297629</v>
      </c>
      <c r="R102">
        <f t="shared" si="25"/>
        <v>0.875</v>
      </c>
      <c r="S102">
        <f t="shared" si="26"/>
        <v>1.2749999999999999</v>
      </c>
      <c r="T102" s="88">
        <f t="shared" si="27"/>
        <v>14</v>
      </c>
      <c r="U102" s="125">
        <f>IF($D102="",0,IFERROR(LOOKUP(2,1/(($D$3:D101=$D102)*($C$3:C101=$C102)*($A$3:A101&lt;$A102)),$AB$3:AB101),1000))</f>
        <v>1131.0524293397029</v>
      </c>
      <c r="V102" s="125">
        <f t="shared" si="28"/>
        <v>1146.1097982103197</v>
      </c>
      <c r="W102">
        <f t="shared" si="29"/>
        <v>967.15438207547902</v>
      </c>
      <c r="X102">
        <f t="shared" si="30"/>
        <v>0.73694501105120958</v>
      </c>
      <c r="Y102">
        <f t="shared" si="31"/>
        <v>993.31005908636359</v>
      </c>
      <c r="Z102">
        <f t="shared" si="32"/>
        <v>0.68845556936334529</v>
      </c>
      <c r="AA102">
        <f>IF($D102="",0,IF($F102&lt;2,0,IF($E102="Win",('Guide &amp; Settings'!$C$42/(($F102-1)*COUNTIFS($A$4:$A$311,$A102,$E$4:$E$311,"Win")))*SUMIFS($Z$4:$Z$311,$A$4:$A$311,$A102,$E$4:$E$311,"Loss"),-('Guide &amp; Settings'!$C$42/($F102-1))*$Z102)))</f>
        <v>-22.030578219627049</v>
      </c>
      <c r="AB102" s="125">
        <f t="shared" si="33"/>
        <v>1109.0218511200758</v>
      </c>
      <c r="AC102" s="125">
        <f>IF($D102="","",IF(SUMPRODUCT(MAX(($D$4:$D$311=$D102)*($B$4:$B$311&lt;$B102)*$B$4:$B$311))=0,0,MAX(($B102-SUMPRODUCT(MAX(($D$4:$D$311=$D102)*($B$4:$B$311&lt;$B102)*$B$4:$B$311)))/7-'Guide &amp; Settings'!$C$48,0)*'Guide &amp; Settings'!$C$49))</f>
        <v>0</v>
      </c>
    </row>
    <row r="103" spans="1:29" ht="15" customHeight="1" x14ac:dyDescent="0.2">
      <c r="A103" s="116">
        <v>46</v>
      </c>
      <c r="B103" s="117">
        <v>46176</v>
      </c>
      <c r="C103" s="118" t="s">
        <v>203</v>
      </c>
      <c r="D103" s="118" t="s">
        <v>176</v>
      </c>
      <c r="E103" s="116" t="s">
        <v>316</v>
      </c>
      <c r="F103" s="119">
        <f t="shared" si="17"/>
        <v>2</v>
      </c>
      <c r="G103" s="120" t="str">
        <f t="shared" si="18"/>
        <v>Oscar</v>
      </c>
      <c r="H103" s="121">
        <f>IF($D103="",0,IFERROR(LOOKUP(2,1/(($D$3:D102=$D103)*($A$3:A102&lt;$A103)),$N$3:N102),'Guide &amp; Settings'!$C$41))</f>
        <v>951.46097586894837</v>
      </c>
      <c r="I103" s="122">
        <f t="shared" si="19"/>
        <v>0.31372549019607848</v>
      </c>
      <c r="J103" s="123">
        <f>IF($D103="",0,IF($F103&lt;2,0,IF($E103="Win",('Guide &amp; Settings'!$C$42/(($F103-1)*COUNTIFS($A$4:$A$311,$A103,$E$4:$E$311,"Win")))*SUMIFS($X$4:$X$311,$A$4:$A$311,$A103,$E$4:$E$311,"Loss"),-('Guide &amp; Settings'!$C$42/($F103-1))*$X103)))</f>
        <v>23.582240353638706</v>
      </c>
      <c r="K103" s="123">
        <f>IF($D103="",0,'Guide &amp; Settings'!$C$43*(IF($E103="Win",1,0)-$I103))</f>
        <v>8.235294117647058</v>
      </c>
      <c r="L103" s="124">
        <f>IF($D103="",0,'Guide &amp; Settings'!$C$44*IF($F103&gt;=3,$F103+IF($E103="Win",$F103,0),0))</f>
        <v>0</v>
      </c>
      <c r="M103" s="123">
        <f t="shared" si="20"/>
        <v>31.817534471285764</v>
      </c>
      <c r="N103" s="121">
        <f t="shared" si="21"/>
        <v>983.27851034023411</v>
      </c>
      <c r="O103" s="120" t="str">
        <f t="shared" si="22"/>
        <v>OK</v>
      </c>
      <c r="P103">
        <f t="shared" si="23"/>
        <v>951.46097586894837</v>
      </c>
      <c r="Q103">
        <f t="shared" si="24"/>
        <v>0.5</v>
      </c>
      <c r="R103">
        <f t="shared" si="25"/>
        <v>0.4</v>
      </c>
      <c r="S103">
        <f t="shared" si="26"/>
        <v>1.2749999999999999</v>
      </c>
      <c r="T103" s="88">
        <f t="shared" si="27"/>
        <v>3</v>
      </c>
      <c r="U103" s="125">
        <f>IF($D103="",0,IFERROR(LOOKUP(2,1/(($D$3:D102=$D103)*($C$3:C102=$C103)*($A$3:A102&lt;$A103)),$AB$3:AB102),1000))</f>
        <v>993.31005908636359</v>
      </c>
      <c r="V103" s="125">
        <f t="shared" si="28"/>
        <v>967.15438207547902</v>
      </c>
      <c r="W103">
        <f t="shared" si="29"/>
        <v>967.15438207547902</v>
      </c>
      <c r="X103">
        <f t="shared" si="30"/>
        <v>0.5</v>
      </c>
      <c r="Y103">
        <f t="shared" si="31"/>
        <v>993.31005908636359</v>
      </c>
      <c r="Z103">
        <f t="shared" si="32"/>
        <v>0.5</v>
      </c>
      <c r="AA103">
        <f>IF($D103="",0,IF($F103&lt;2,0,IF($E103="Win",('Guide &amp; Settings'!$C$42/(($F103-1)*COUNTIFS($A$4:$A$311,$A103,$E$4:$E$311,"Win")))*SUMIFS($Z$4:$Z$311,$A$4:$A$311,$A103,$E$4:$E$311,"Loss"),-('Guide &amp; Settings'!$C$42/($F103-1))*$Z103)))</f>
        <v>22.030578219627049</v>
      </c>
      <c r="AB103" s="125">
        <f t="shared" si="33"/>
        <v>1015.3406373059906</v>
      </c>
      <c r="AC103" s="125">
        <f>IF($D103="","",IF(SUMPRODUCT(MAX(($D$4:$D$311=$D103)*($B$4:$B$311&lt;$B103)*$B$4:$B$311))=0,0,MAX(($B103-SUMPRODUCT(MAX(($D$4:$D$311=$D103)*($B$4:$B$311&lt;$B103)*$B$4:$B$311)))/7-'Guide &amp; Settings'!$C$48,0)*'Guide &amp; Settings'!$C$49))</f>
        <v>0</v>
      </c>
    </row>
    <row r="104" spans="1:29" ht="15" customHeight="1" x14ac:dyDescent="0.2">
      <c r="A104" s="116">
        <v>47</v>
      </c>
      <c r="B104" s="117">
        <v>46176</v>
      </c>
      <c r="C104" s="118" t="s">
        <v>207</v>
      </c>
      <c r="D104" s="118" t="s">
        <v>177</v>
      </c>
      <c r="E104" s="116" t="s">
        <v>316</v>
      </c>
      <c r="F104" s="119">
        <f t="shared" si="17"/>
        <v>2</v>
      </c>
      <c r="G104" s="120" t="str">
        <f t="shared" si="18"/>
        <v>Daniel (Ferret)</v>
      </c>
      <c r="H104" s="121">
        <f>IF($D104="",0,IFERROR(LOOKUP(2,1/(($D$3:D103=$D104)*($A$3:A103&lt;$A104)),$N$3:N103),'Guide &amp; Settings'!$C$41))</f>
        <v>972.87387435439211</v>
      </c>
      <c r="I104" s="122">
        <f t="shared" si="19"/>
        <v>0.25</v>
      </c>
      <c r="J104" s="123">
        <f>IF($D104="",0,IF($F104&lt;2,0,IF($E104="Win",('Guide &amp; Settings'!$C$42/(($F104-1)*COUNTIFS($A$4:$A$311,$A104,$E$4:$E$311,"Win")))*SUMIFS($X$4:$X$311,$A$4:$A$311,$A104,$E$4:$E$311,"Loss"),-('Guide &amp; Settings'!$C$42/($F104-1))*$X104)))</f>
        <v>17.064476089302136</v>
      </c>
      <c r="K104" s="123">
        <f>IF($D104="",0,'Guide &amp; Settings'!$C$43*(IF($E104="Win",1,0)-$I104))</f>
        <v>9</v>
      </c>
      <c r="L104" s="124">
        <f>IF($D104="",0,'Guide &amp; Settings'!$C$44*IF($F104&gt;=3,$F104+IF($E104="Win",$F104,0),0))</f>
        <v>0</v>
      </c>
      <c r="M104" s="123">
        <f t="shared" si="20"/>
        <v>26.064476089302136</v>
      </c>
      <c r="N104" s="121">
        <f t="shared" si="21"/>
        <v>998.93835044369428</v>
      </c>
      <c r="O104" s="120" t="str">
        <f t="shared" si="22"/>
        <v>OK</v>
      </c>
      <c r="P104">
        <f t="shared" si="23"/>
        <v>972.87387435439211</v>
      </c>
      <c r="Q104">
        <f t="shared" si="24"/>
        <v>0.5</v>
      </c>
      <c r="R104">
        <f t="shared" si="25"/>
        <v>0.16666666666666666</v>
      </c>
      <c r="S104">
        <f t="shared" si="26"/>
        <v>0.66666666666666663</v>
      </c>
      <c r="T104" s="88">
        <f t="shared" si="27"/>
        <v>4</v>
      </c>
      <c r="U104" s="125">
        <f>IF($D104="",0,IFERROR(LOOKUP(2,1/(($D$3:D103=$D104)*($C$3:C103=$C104)*($A$3:A103&lt;$A104)),$AB$3:AB103),1000))</f>
        <v>944.19905737100225</v>
      </c>
      <c r="V104" s="125">
        <f t="shared" si="28"/>
        <v>960.12951125066331</v>
      </c>
      <c r="W104">
        <f t="shared" si="29"/>
        <v>960.12951125066331</v>
      </c>
      <c r="X104">
        <f t="shared" si="30"/>
        <v>0.5</v>
      </c>
      <c r="Y104">
        <f t="shared" si="31"/>
        <v>944.19905737100225</v>
      </c>
      <c r="Z104">
        <f t="shared" si="32"/>
        <v>0.5</v>
      </c>
      <c r="AA104">
        <f>IF($D104="",0,IF($F104&lt;2,0,IF($E104="Win",('Guide &amp; Settings'!$C$42/(($F104-1)*COUNTIFS($A$4:$A$311,$A104,$E$4:$E$311,"Win")))*SUMIFS($Z$4:$Z$311,$A$4:$A$311,$A104,$E$4:$E$311,"Loss"),-('Guide &amp; Settings'!$C$42/($F104-1))*$Z104)))</f>
        <v>18.547858669515744</v>
      </c>
      <c r="AB104" s="125">
        <f t="shared" si="33"/>
        <v>962.74691604051804</v>
      </c>
      <c r="AC104" s="125">
        <f>IF($D104="","",IF(SUMPRODUCT(MAX(($D$4:$D$311=$D104)*($B$4:$B$311&lt;$B104)*$B$4:$B$311))=0,0,MAX(($B104-SUMPRODUCT(MAX(($D$4:$D$311=$D104)*($B$4:$B$311&lt;$B104)*$B$4:$B$311)))/7-'Guide &amp; Settings'!$C$48,0)*'Guide &amp; Settings'!$C$49))</f>
        <v>0</v>
      </c>
    </row>
    <row r="105" spans="1:29" ht="15" customHeight="1" x14ac:dyDescent="0.2">
      <c r="A105" s="116">
        <v>47</v>
      </c>
      <c r="B105" s="117">
        <v>46176</v>
      </c>
      <c r="C105" s="118" t="s">
        <v>207</v>
      </c>
      <c r="D105" s="118" t="s">
        <v>176</v>
      </c>
      <c r="E105" s="116" t="s">
        <v>317</v>
      </c>
      <c r="F105" s="119">
        <f t="shared" si="17"/>
        <v>2</v>
      </c>
      <c r="G105" s="120" t="str">
        <f t="shared" si="18"/>
        <v>Daniel (Ferret)</v>
      </c>
      <c r="H105" s="121">
        <f>IF($D105="",0,IFERROR(LOOKUP(2,1/(($D$3:D104=$D105)*($A$3:A104&lt;$A105)),$N$3:N104),'Guide &amp; Settings'!$C$41))</f>
        <v>983.27851034023411</v>
      </c>
      <c r="I105" s="122">
        <f t="shared" si="19"/>
        <v>0.75</v>
      </c>
      <c r="J105" s="123">
        <f>IF($D105="",0,IF($F105&lt;2,0,IF($E105="Win",('Guide &amp; Settings'!$C$42/(($F105-1)*COUNTIFS($A$4:$A$311,$A105,$E$4:$E$311,"Win")))*SUMIFS($X$4:$X$311,$A$4:$A$311,$A105,$E$4:$E$311,"Loss"),-('Guide &amp; Settings'!$C$42/($F105-1))*$X105)))</f>
        <v>-17.064476089302136</v>
      </c>
      <c r="K105" s="123">
        <f>IF($D105="",0,'Guide &amp; Settings'!$C$43*(IF($E105="Win",1,0)-$I105))</f>
        <v>-9</v>
      </c>
      <c r="L105" s="124">
        <f>IF($D105="",0,'Guide &amp; Settings'!$C$44*IF($F105&gt;=3,$F105+IF($E105="Win",$F105,0),0))</f>
        <v>0</v>
      </c>
      <c r="M105" s="123">
        <f t="shared" si="20"/>
        <v>-26.064476089302136</v>
      </c>
      <c r="N105" s="121">
        <f t="shared" si="21"/>
        <v>957.21403425093195</v>
      </c>
      <c r="O105" s="120" t="str">
        <f t="shared" si="22"/>
        <v>OK</v>
      </c>
      <c r="P105">
        <f t="shared" si="23"/>
        <v>972.87387435439211</v>
      </c>
      <c r="Q105">
        <f t="shared" si="24"/>
        <v>0.51496900026000536</v>
      </c>
      <c r="R105">
        <f t="shared" si="25"/>
        <v>0.5</v>
      </c>
      <c r="S105">
        <f t="shared" si="26"/>
        <v>0.66666666666666663</v>
      </c>
      <c r="T105" s="88">
        <f t="shared" si="27"/>
        <v>0</v>
      </c>
      <c r="U105" s="125">
        <f>IF($D105="",0,IFERROR(LOOKUP(2,1/(($D$3:D104=$D105)*($C$3:C104=$C105)*($A$3:A104&lt;$A105)),$AB$3:AB104),1000))</f>
        <v>1000</v>
      </c>
      <c r="V105" s="125">
        <f t="shared" si="28"/>
        <v>983.27851034023411</v>
      </c>
      <c r="W105">
        <f t="shared" si="29"/>
        <v>960.12951125066331</v>
      </c>
      <c r="X105">
        <f t="shared" si="30"/>
        <v>0.53326487779069176</v>
      </c>
      <c r="Y105">
        <f t="shared" si="31"/>
        <v>944.19905737100225</v>
      </c>
      <c r="Z105">
        <f t="shared" si="32"/>
        <v>0.579620583422367</v>
      </c>
      <c r="AA105">
        <f>IF($D105="",0,IF($F105&lt;2,0,IF($E105="Win",('Guide &amp; Settings'!$C$42/(($F105-1)*COUNTIFS($A$4:$A$311,$A105,$E$4:$E$311,"Win")))*SUMIFS($Z$4:$Z$311,$A$4:$A$311,$A105,$E$4:$E$311,"Loss"),-('Guide &amp; Settings'!$C$42/($F105-1))*$Z105)))</f>
        <v>-18.547858669515744</v>
      </c>
      <c r="AB105" s="125">
        <f t="shared" si="33"/>
        <v>981.45214133048421</v>
      </c>
      <c r="AC105" s="125">
        <f>IF($D105="","",IF(SUMPRODUCT(MAX(($D$4:$D$311=$D105)*($B$4:$B$311&lt;$B105)*$B$4:$B$311))=0,0,MAX(($B105-SUMPRODUCT(MAX(($D$4:$D$311=$D105)*($B$4:$B$311&lt;$B105)*$B$4:$B$311)))/7-'Guide &amp; Settings'!$C$48,0)*'Guide &amp; Settings'!$C$49))</f>
        <v>0</v>
      </c>
    </row>
    <row r="106" spans="1:29" ht="15" customHeight="1" x14ac:dyDescent="0.2">
      <c r="A106" s="116">
        <v>48</v>
      </c>
      <c r="B106" s="117">
        <v>46176</v>
      </c>
      <c r="C106" s="118" t="s">
        <v>207</v>
      </c>
      <c r="D106" s="118" t="s">
        <v>177</v>
      </c>
      <c r="E106" s="116" t="s">
        <v>316</v>
      </c>
      <c r="F106" s="119">
        <f t="shared" si="17"/>
        <v>2</v>
      </c>
      <c r="G106" s="120" t="str">
        <f t="shared" si="18"/>
        <v>Daniel (Ferret)</v>
      </c>
      <c r="H106" s="121">
        <f>IF($D106="",0,IFERROR(LOOKUP(2,1/(($D$3:D105=$D106)*($A$3:A105&lt;$A106)),$N$3:N105),'Guide &amp; Settings'!$C$41))</f>
        <v>998.93835044369428</v>
      </c>
      <c r="I106" s="122">
        <f t="shared" si="19"/>
        <v>0.46153846153846151</v>
      </c>
      <c r="J106" s="123">
        <f>IF($D106="",0,IF($F106&lt;2,0,IF($E106="Win",('Guide &amp; Settings'!$C$42/(($F106-1)*COUNTIFS($A$4:$A$311,$A106,$E$4:$E$311,"Win")))*SUMIFS($X$4:$X$311,$A$4:$A$311,$A106,$E$4:$E$311,"Loss"),-('Guide &amp; Settings'!$C$42/($F106-1))*$X106)))</f>
        <v>15.098851824665401</v>
      </c>
      <c r="K106" s="123">
        <f>IF($D106="",0,'Guide &amp; Settings'!$C$43*(IF($E106="Win",1,0)-$I106))</f>
        <v>6.4615384615384626</v>
      </c>
      <c r="L106" s="124">
        <f>IF($D106="",0,'Guide &amp; Settings'!$C$44*IF($F106&gt;=3,$F106+IF($E106="Win",$F106,0),0))</f>
        <v>0</v>
      </c>
      <c r="M106" s="123">
        <f t="shared" si="20"/>
        <v>21.560390286203862</v>
      </c>
      <c r="N106" s="121">
        <f t="shared" si="21"/>
        <v>1020.4987407298981</v>
      </c>
      <c r="O106" s="120" t="str">
        <f t="shared" si="22"/>
        <v>OK</v>
      </c>
      <c r="P106">
        <f t="shared" si="23"/>
        <v>998.93835044369428</v>
      </c>
      <c r="Q106">
        <f t="shared" si="24"/>
        <v>0.5</v>
      </c>
      <c r="R106">
        <f t="shared" si="25"/>
        <v>0.2857142857142857</v>
      </c>
      <c r="S106">
        <f t="shared" si="26"/>
        <v>0.61904761904761907</v>
      </c>
      <c r="T106" s="88">
        <f t="shared" si="27"/>
        <v>5</v>
      </c>
      <c r="U106" s="125">
        <f>IF($D106="",0,IFERROR(LOOKUP(2,1/(($D$3:D105=$D106)*($C$3:C105=$C106)*($A$3:A105&lt;$A106)),$AB$3:AB105),1000))</f>
        <v>962.74691604051804</v>
      </c>
      <c r="V106" s="125">
        <f t="shared" si="28"/>
        <v>980.8426332421061</v>
      </c>
      <c r="W106">
        <f t="shared" si="29"/>
        <v>980.8426332421061</v>
      </c>
      <c r="X106">
        <f t="shared" si="30"/>
        <v>0.5</v>
      </c>
      <c r="Y106">
        <f t="shared" si="31"/>
        <v>962.74691604051804</v>
      </c>
      <c r="Z106">
        <f t="shared" si="32"/>
        <v>0.5</v>
      </c>
      <c r="AA106">
        <f>IF($D106="",0,IF($F106&lt;2,0,IF($E106="Win",('Guide &amp; Settings'!$C$42/(($F106-1)*COUNTIFS($A$4:$A$311,$A106,$E$4:$E$311,"Win")))*SUMIFS($Z$4:$Z$311,$A$4:$A$311,$A106,$E$4:$E$311,"Loss"),-('Guide &amp; Settings'!$C$42/($F106-1))*$Z106)))</f>
        <v>16.860576151278366</v>
      </c>
      <c r="AB106" s="125">
        <f t="shared" si="33"/>
        <v>979.60749219179638</v>
      </c>
      <c r="AC106" s="125">
        <f>IF($D106="","",IF(SUMPRODUCT(MAX(($D$4:$D$311=$D106)*($B$4:$B$311&lt;$B106)*$B$4:$B$311))=0,0,MAX(($B106-SUMPRODUCT(MAX(($D$4:$D$311=$D106)*($B$4:$B$311&lt;$B106)*$B$4:$B$311)))/7-'Guide &amp; Settings'!$C$48,0)*'Guide &amp; Settings'!$C$49))</f>
        <v>0</v>
      </c>
    </row>
    <row r="107" spans="1:29" ht="15" customHeight="1" x14ac:dyDescent="0.2">
      <c r="A107" s="116">
        <v>48</v>
      </c>
      <c r="B107" s="117">
        <v>46176</v>
      </c>
      <c r="C107" s="118" t="s">
        <v>207</v>
      </c>
      <c r="D107" s="118" t="s">
        <v>176</v>
      </c>
      <c r="E107" s="116" t="s">
        <v>317</v>
      </c>
      <c r="F107" s="119">
        <f t="shared" si="17"/>
        <v>2</v>
      </c>
      <c r="G107" s="120" t="str">
        <f t="shared" si="18"/>
        <v>Daniel (Ferret)</v>
      </c>
      <c r="H107" s="121">
        <f>IF($D107="",0,IFERROR(LOOKUP(2,1/(($D$3:D106=$D107)*($A$3:A106&lt;$A107)),$N$3:N106),'Guide &amp; Settings'!$C$41))</f>
        <v>957.21403425093195</v>
      </c>
      <c r="I107" s="122">
        <f t="shared" si="19"/>
        <v>0.53846153846153844</v>
      </c>
      <c r="J107" s="123">
        <f>IF($D107="",0,IF($F107&lt;2,0,IF($E107="Win",('Guide &amp; Settings'!$C$42/(($F107-1)*COUNTIFS($A$4:$A$311,$A107,$E$4:$E$311,"Win")))*SUMIFS($X$4:$X$311,$A$4:$A$311,$A107,$E$4:$E$311,"Loss"),-('Guide &amp; Settings'!$C$42/($F107-1))*$X107)))</f>
        <v>-15.098851824665401</v>
      </c>
      <c r="K107" s="123">
        <f>IF($D107="",0,'Guide &amp; Settings'!$C$43*(IF($E107="Win",1,0)-$I107))</f>
        <v>-6.4615384615384617</v>
      </c>
      <c r="L107" s="124">
        <f>IF($D107="",0,'Guide &amp; Settings'!$C$44*IF($F107&gt;=3,$F107+IF($E107="Win",$F107,0),0))</f>
        <v>0</v>
      </c>
      <c r="M107" s="123">
        <f t="shared" si="20"/>
        <v>-21.560390286203862</v>
      </c>
      <c r="N107" s="121">
        <f t="shared" si="21"/>
        <v>935.65364396472808</v>
      </c>
      <c r="O107" s="120" t="str">
        <f t="shared" si="22"/>
        <v>OK</v>
      </c>
      <c r="P107">
        <f t="shared" si="23"/>
        <v>998.93835044369428</v>
      </c>
      <c r="Q107">
        <f t="shared" si="24"/>
        <v>0.44024089120581544</v>
      </c>
      <c r="R107">
        <f t="shared" si="25"/>
        <v>0.33333333333333331</v>
      </c>
      <c r="S107">
        <f t="shared" si="26"/>
        <v>0.61904761904761907</v>
      </c>
      <c r="T107" s="88">
        <f t="shared" si="27"/>
        <v>1</v>
      </c>
      <c r="U107" s="125">
        <f>IF($D107="",0,IFERROR(LOOKUP(2,1/(($D$3:D106=$D107)*($C$3:C106=$C107)*($A$3:A106&lt;$A107)),$AB$3:AB106),1000))</f>
        <v>981.45214133048421</v>
      </c>
      <c r="V107" s="125">
        <f t="shared" si="28"/>
        <v>961.25371876419069</v>
      </c>
      <c r="W107">
        <f t="shared" si="29"/>
        <v>980.8426332421061</v>
      </c>
      <c r="X107">
        <f t="shared" si="30"/>
        <v>0.47183911952079377</v>
      </c>
      <c r="Y107">
        <f t="shared" si="31"/>
        <v>962.74691604051804</v>
      </c>
      <c r="Z107">
        <f t="shared" si="32"/>
        <v>0.52689300472744893</v>
      </c>
      <c r="AA107">
        <f>IF($D107="",0,IF($F107&lt;2,0,IF($E107="Win",('Guide &amp; Settings'!$C$42/(($F107-1)*COUNTIFS($A$4:$A$311,$A107,$E$4:$E$311,"Win")))*SUMIFS($Z$4:$Z$311,$A$4:$A$311,$A107,$E$4:$E$311,"Loss"),-('Guide &amp; Settings'!$C$42/($F107-1))*$Z107)))</f>
        <v>-16.860576151278366</v>
      </c>
      <c r="AB107" s="125">
        <f t="shared" si="33"/>
        <v>964.59156517920587</v>
      </c>
      <c r="AC107" s="125">
        <f>IF($D107="","",IF(SUMPRODUCT(MAX(($D$4:$D$311=$D107)*($B$4:$B$311&lt;$B107)*$B$4:$B$311))=0,0,MAX(($B107-SUMPRODUCT(MAX(($D$4:$D$311=$D107)*($B$4:$B$311&lt;$B107)*$B$4:$B$311)))/7-'Guide &amp; Settings'!$C$48,0)*'Guide &amp; Settings'!$C$49))</f>
        <v>0</v>
      </c>
    </row>
    <row r="108" spans="1:29" ht="15" customHeight="1" x14ac:dyDescent="0.2">
      <c r="A108" s="116">
        <v>49</v>
      </c>
      <c r="B108" s="117">
        <v>46176</v>
      </c>
      <c r="C108" s="118" t="s">
        <v>207</v>
      </c>
      <c r="D108" s="118" t="s">
        <v>177</v>
      </c>
      <c r="E108" s="116" t="s">
        <v>317</v>
      </c>
      <c r="F108" s="119">
        <f t="shared" si="17"/>
        <v>2</v>
      </c>
      <c r="G108" s="120" t="str">
        <f t="shared" si="18"/>
        <v>Oscar</v>
      </c>
      <c r="H108" s="121">
        <f>IF($D108="",0,IFERROR(LOOKUP(2,1/(($D$3:D107=$D108)*($A$3:A107&lt;$A108)),$N$3:N107),'Guide &amp; Settings'!$C$41))</f>
        <v>1020.4987407298981</v>
      </c>
      <c r="I108" s="122">
        <f t="shared" si="19"/>
        <v>0.6</v>
      </c>
      <c r="J108" s="123">
        <f>IF($D108="",0,IF($F108&lt;2,0,IF($E108="Win",('Guide &amp; Settings'!$C$42/(($F108-1)*COUNTIFS($A$4:$A$311,$A108,$E$4:$E$311,"Win")))*SUMIFS($X$4:$X$311,$A$4:$A$311,$A108,$E$4:$E$311,"Loss"),-('Guide &amp; Settings'!$C$42/($F108-1))*$X108)))</f>
        <v>-18.479222070663155</v>
      </c>
      <c r="K108" s="123">
        <f>IF($D108="",0,'Guide &amp; Settings'!$C$43*(IF($E108="Win",1,0)-$I108))</f>
        <v>-7.1999999999999993</v>
      </c>
      <c r="L108" s="124">
        <f>IF($D108="",0,'Guide &amp; Settings'!$C$44*IF($F108&gt;=3,$F108+IF($E108="Win",$F108,0),0))</f>
        <v>0</v>
      </c>
      <c r="M108" s="123">
        <f t="shared" si="20"/>
        <v>-25.679222070663155</v>
      </c>
      <c r="N108" s="121">
        <f t="shared" si="21"/>
        <v>994.81951865923497</v>
      </c>
      <c r="O108" s="120" t="str">
        <f t="shared" si="22"/>
        <v>OK</v>
      </c>
      <c r="P108">
        <f t="shared" si="23"/>
        <v>935.65364396472808</v>
      </c>
      <c r="Q108">
        <f t="shared" si="24"/>
        <v>0.6197312407686254</v>
      </c>
      <c r="R108">
        <f t="shared" si="25"/>
        <v>0.375</v>
      </c>
      <c r="S108">
        <f t="shared" si="26"/>
        <v>0.625</v>
      </c>
      <c r="T108" s="88">
        <f t="shared" si="27"/>
        <v>6</v>
      </c>
      <c r="U108" s="125">
        <f>IF($D108="",0,IFERROR(LOOKUP(2,1/(($D$3:D107=$D108)*($C$3:C107=$C108)*($A$3:A107&lt;$A108)),$AB$3:AB107),1000))</f>
        <v>979.60749219179638</v>
      </c>
      <c r="V108" s="125">
        <f t="shared" si="28"/>
        <v>998.19442334547898</v>
      </c>
      <c r="W108">
        <f t="shared" si="29"/>
        <v>943.92162145457894</v>
      </c>
      <c r="X108">
        <f t="shared" si="30"/>
        <v>0.57747568970822361</v>
      </c>
      <c r="Y108">
        <f t="shared" si="31"/>
        <v>964.59156517920587</v>
      </c>
      <c r="Z108">
        <f t="shared" si="32"/>
        <v>0.52159621114929866</v>
      </c>
      <c r="AA108">
        <f>IF($D108="",0,IF($F108&lt;2,0,IF($E108="Win",('Guide &amp; Settings'!$C$42/(($F108-1)*COUNTIFS($A$4:$A$311,$A108,$E$4:$E$311,"Win")))*SUMIFS($Z$4:$Z$311,$A$4:$A$311,$A108,$E$4:$E$311,"Loss"),-('Guide &amp; Settings'!$C$42/($F108-1))*$Z108)))</f>
        <v>-16.691078756777557</v>
      </c>
      <c r="AB108" s="125">
        <f t="shared" si="33"/>
        <v>962.91641343501885</v>
      </c>
      <c r="AC108" s="125">
        <f>IF($D108="","",IF(SUMPRODUCT(MAX(($D$4:$D$311=$D108)*($B$4:$B$311&lt;$B108)*$B$4:$B$311))=0,0,MAX(($B108-SUMPRODUCT(MAX(($D$4:$D$311=$D108)*($B$4:$B$311&lt;$B108)*$B$4:$B$311)))/7-'Guide &amp; Settings'!$C$48,0)*'Guide &amp; Settings'!$C$49))</f>
        <v>0</v>
      </c>
    </row>
    <row r="109" spans="1:29" ht="15" customHeight="1" x14ac:dyDescent="0.2">
      <c r="A109" s="116">
        <v>49</v>
      </c>
      <c r="B109" s="117">
        <v>46176</v>
      </c>
      <c r="C109" s="118" t="s">
        <v>207</v>
      </c>
      <c r="D109" s="118" t="s">
        <v>176</v>
      </c>
      <c r="E109" s="116" t="s">
        <v>316</v>
      </c>
      <c r="F109" s="119">
        <f t="shared" si="17"/>
        <v>2</v>
      </c>
      <c r="G109" s="120" t="str">
        <f t="shared" si="18"/>
        <v>Oscar</v>
      </c>
      <c r="H109" s="121">
        <f>IF($D109="",0,IFERROR(LOOKUP(2,1/(($D$3:D108=$D109)*($A$3:A108&lt;$A109)),$N$3:N108),'Guide &amp; Settings'!$C$41))</f>
        <v>935.65364396472808</v>
      </c>
      <c r="I109" s="122">
        <f t="shared" si="19"/>
        <v>0.4</v>
      </c>
      <c r="J109" s="123">
        <f>IF($D109="",0,IF($F109&lt;2,0,IF($E109="Win",('Guide &amp; Settings'!$C$42/(($F109-1)*COUNTIFS($A$4:$A$311,$A109,$E$4:$E$311,"Win")))*SUMIFS($X$4:$X$311,$A$4:$A$311,$A109,$E$4:$E$311,"Loss"),-('Guide &amp; Settings'!$C$42/($F109-1))*$X109)))</f>
        <v>18.479222070663155</v>
      </c>
      <c r="K109" s="123">
        <f>IF($D109="",0,'Guide &amp; Settings'!$C$43*(IF($E109="Win",1,0)-$I109))</f>
        <v>7.1999999999999993</v>
      </c>
      <c r="L109" s="124">
        <f>IF($D109="",0,'Guide &amp; Settings'!$C$44*IF($F109&gt;=3,$F109+IF($E109="Win",$F109,0),0))</f>
        <v>0</v>
      </c>
      <c r="M109" s="123">
        <f t="shared" si="20"/>
        <v>25.679222070663155</v>
      </c>
      <c r="N109" s="121">
        <f t="shared" si="21"/>
        <v>961.33286603539125</v>
      </c>
      <c r="O109" s="120" t="str">
        <f t="shared" si="22"/>
        <v>OK</v>
      </c>
      <c r="P109">
        <f t="shared" si="23"/>
        <v>935.65364396472808</v>
      </c>
      <c r="Q109">
        <f t="shared" si="24"/>
        <v>0.5</v>
      </c>
      <c r="R109">
        <f t="shared" si="25"/>
        <v>0.25</v>
      </c>
      <c r="S109">
        <f t="shared" si="26"/>
        <v>0.625</v>
      </c>
      <c r="T109" s="88">
        <f t="shared" si="27"/>
        <v>2</v>
      </c>
      <c r="U109" s="125">
        <f>IF($D109="",0,IFERROR(LOOKUP(2,1/(($D$3:D108=$D109)*($C$3:C108=$C109)*($A$3:A108&lt;$A109)),$AB$3:AB108),1000))</f>
        <v>964.59156517920587</v>
      </c>
      <c r="V109" s="125">
        <f t="shared" si="28"/>
        <v>943.92162145457894</v>
      </c>
      <c r="W109">
        <f t="shared" si="29"/>
        <v>943.92162145457894</v>
      </c>
      <c r="X109">
        <f t="shared" si="30"/>
        <v>0.5</v>
      </c>
      <c r="Y109">
        <f t="shared" si="31"/>
        <v>964.59156517920587</v>
      </c>
      <c r="Z109">
        <f t="shared" si="32"/>
        <v>0.5</v>
      </c>
      <c r="AA109">
        <f>IF($D109="",0,IF($F109&lt;2,0,IF($E109="Win",('Guide &amp; Settings'!$C$42/(($F109-1)*COUNTIFS($A$4:$A$311,$A109,$E$4:$E$311,"Win")))*SUMIFS($Z$4:$Z$311,$A$4:$A$311,$A109,$E$4:$E$311,"Loss"),-('Guide &amp; Settings'!$C$42/($F109-1))*$Z109)))</f>
        <v>16.691078756777557</v>
      </c>
      <c r="AB109" s="125">
        <f t="shared" si="33"/>
        <v>981.2826439359834</v>
      </c>
      <c r="AC109" s="125">
        <f>IF($D109="","",IF(SUMPRODUCT(MAX(($D$4:$D$311=$D109)*($B$4:$B$311&lt;$B109)*$B$4:$B$311))=0,0,MAX(($B109-SUMPRODUCT(MAX(($D$4:$D$311=$D109)*($B$4:$B$311&lt;$B109)*$B$4:$B$311)))/7-'Guide &amp; Settings'!$C$48,0)*'Guide &amp; Settings'!$C$49))</f>
        <v>0</v>
      </c>
    </row>
    <row r="110" spans="1:29" ht="15" customHeight="1" x14ac:dyDescent="0.2">
      <c r="A110" s="116">
        <v>50</v>
      </c>
      <c r="B110" s="117">
        <v>46177</v>
      </c>
      <c r="C110" s="118" t="s">
        <v>203</v>
      </c>
      <c r="D110" s="118" t="s">
        <v>174</v>
      </c>
      <c r="E110" s="116" t="s">
        <v>316</v>
      </c>
      <c r="F110" s="119">
        <f t="shared" si="17"/>
        <v>2</v>
      </c>
      <c r="G110" s="120" t="str">
        <f t="shared" si="18"/>
        <v>Dean B</v>
      </c>
      <c r="H110" s="121">
        <f>IF($D110="",0,IFERROR(LOOKUP(2,1/(($D$3:D109=$D110)*($A$3:A109&lt;$A110)),$N$3:N109),'Guide &amp; Settings'!$C$41))</f>
        <v>1031.5777844773686</v>
      </c>
      <c r="I110" s="122">
        <f t="shared" si="19"/>
        <v>0.5</v>
      </c>
      <c r="J110" s="123">
        <f>IF($D110="",0,IF($F110&lt;2,0,IF($E110="Win",('Guide &amp; Settings'!$C$42/(($F110-1)*COUNTIFS($A$4:$A$311,$A110,$E$4:$E$311,"Win")))*SUMIFS($X$4:$X$311,$A$4:$A$311,$A110,$E$4:$E$311,"Loss"),-('Guide &amp; Settings'!$C$42/($F110-1))*$X110)))</f>
        <v>14.143376959806025</v>
      </c>
      <c r="K110" s="123">
        <f>IF($D110="",0,'Guide &amp; Settings'!$C$43*(IF($E110="Win",1,0)-$I110))</f>
        <v>6</v>
      </c>
      <c r="L110" s="124">
        <f>IF($D110="",0,'Guide &amp; Settings'!$C$44*IF($F110&gt;=3,$F110+IF($E110="Win",$F110,0),0))</f>
        <v>0</v>
      </c>
      <c r="M110" s="123">
        <f t="shared" si="20"/>
        <v>20.143376959806027</v>
      </c>
      <c r="N110" s="121">
        <f t="shared" si="21"/>
        <v>1051.7211614371747</v>
      </c>
      <c r="O110" s="120" t="str">
        <f t="shared" si="22"/>
        <v>OK</v>
      </c>
      <c r="P110">
        <f t="shared" si="23"/>
        <v>1031.5777844773686</v>
      </c>
      <c r="Q110">
        <f t="shared" si="24"/>
        <v>0.5</v>
      </c>
      <c r="R110">
        <f t="shared" si="25"/>
        <v>0.5</v>
      </c>
      <c r="S110">
        <f t="shared" si="26"/>
        <v>1</v>
      </c>
      <c r="T110" s="88">
        <f t="shared" si="27"/>
        <v>2</v>
      </c>
      <c r="U110" s="125">
        <f>IF($D110="",0,IFERROR(LOOKUP(2,1/(($D$3:D109=$D110)*($C$3:C109=$C110)*($A$3:A109&lt;$A110)),$AB$3:AB109),1000))</f>
        <v>1011.4773580873075</v>
      </c>
      <c r="V110" s="125">
        <f t="shared" si="28"/>
        <v>1025.8348055087797</v>
      </c>
      <c r="W110">
        <f t="shared" si="29"/>
        <v>1025.8348055087797</v>
      </c>
      <c r="X110">
        <f t="shared" si="30"/>
        <v>0.5</v>
      </c>
      <c r="Y110">
        <f t="shared" si="31"/>
        <v>1011.4773580873075</v>
      </c>
      <c r="Z110">
        <f t="shared" si="32"/>
        <v>0.5</v>
      </c>
      <c r="AA110">
        <f>IF($D110="",0,IF($F110&lt;2,0,IF($E110="Win",('Guide &amp; Settings'!$C$42/(($F110-1)*COUNTIFS($A$4:$A$311,$A110,$E$4:$E$311,"Win")))*SUMIFS($Z$4:$Z$311,$A$4:$A$311,$A110,$E$4:$E$311,"Loss"),-('Guide &amp; Settings'!$C$42/($F110-1))*$Z110)))</f>
        <v>16.177903250777021</v>
      </c>
      <c r="AB110" s="125">
        <f t="shared" si="33"/>
        <v>1027.6552613380845</v>
      </c>
      <c r="AC110" s="125">
        <f>IF($D110="","",IF(SUMPRODUCT(MAX(($D$4:$D$311=$D110)*($B$4:$B$311&lt;$B110)*$B$4:$B$311))=0,0,MAX(($B110-SUMPRODUCT(MAX(($D$4:$D$311=$D110)*($B$4:$B$311&lt;$B110)*$B$4:$B$311)))/7-'Guide &amp; Settings'!$C$48,0)*'Guide &amp; Settings'!$C$49))</f>
        <v>0</v>
      </c>
    </row>
    <row r="111" spans="1:29" ht="15" customHeight="1" x14ac:dyDescent="0.2">
      <c r="A111" s="116">
        <v>50</v>
      </c>
      <c r="B111" s="117">
        <v>46177</v>
      </c>
      <c r="C111" s="118" t="s">
        <v>203</v>
      </c>
      <c r="D111" s="118" t="s">
        <v>176</v>
      </c>
      <c r="E111" s="116" t="s">
        <v>317</v>
      </c>
      <c r="F111" s="119">
        <f t="shared" si="17"/>
        <v>2</v>
      </c>
      <c r="G111" s="120" t="str">
        <f t="shared" si="18"/>
        <v>Dean B</v>
      </c>
      <c r="H111" s="121">
        <f>IF($D111="",0,IFERROR(LOOKUP(2,1/(($D$3:D110=$D111)*($A$3:A110&lt;$A111)),$N$3:N110),'Guide &amp; Settings'!$C$41))</f>
        <v>961.33286603539125</v>
      </c>
      <c r="I111" s="122">
        <f t="shared" si="19"/>
        <v>0.5</v>
      </c>
      <c r="J111" s="123">
        <f>IF($D111="",0,IF($F111&lt;2,0,IF($E111="Win",('Guide &amp; Settings'!$C$42/(($F111-1)*COUNTIFS($A$4:$A$311,$A111,$E$4:$E$311,"Win")))*SUMIFS($X$4:$X$311,$A$4:$A$311,$A111,$E$4:$E$311,"Loss"),-('Guide &amp; Settings'!$C$42/($F111-1))*$X111)))</f>
        <v>-14.143376959806025</v>
      </c>
      <c r="K111" s="123">
        <f>IF($D111="",0,'Guide &amp; Settings'!$C$43*(IF($E111="Win",1,0)-$I111))</f>
        <v>-6</v>
      </c>
      <c r="L111" s="124">
        <f>IF($D111="",0,'Guide &amp; Settings'!$C$44*IF($F111&gt;=3,$F111+IF($E111="Win",$F111,0),0))</f>
        <v>0</v>
      </c>
      <c r="M111" s="123">
        <f t="shared" si="20"/>
        <v>-20.143376959806027</v>
      </c>
      <c r="N111" s="121">
        <f t="shared" si="21"/>
        <v>941.18948907558524</v>
      </c>
      <c r="O111" s="120" t="str">
        <f t="shared" si="22"/>
        <v>OK</v>
      </c>
      <c r="P111">
        <f t="shared" si="23"/>
        <v>1031.5777844773686</v>
      </c>
      <c r="Q111">
        <f t="shared" si="24"/>
        <v>0.40026471387532897</v>
      </c>
      <c r="R111">
        <f t="shared" si="25"/>
        <v>0.5</v>
      </c>
      <c r="S111">
        <f t="shared" si="26"/>
        <v>1</v>
      </c>
      <c r="T111" s="88">
        <f t="shared" si="27"/>
        <v>4</v>
      </c>
      <c r="U111" s="125">
        <f>IF($D111="",0,IFERROR(LOOKUP(2,1/(($D$3:D110=$D111)*($C$3:C110=$C111)*($A$3:A110&lt;$A111)),$AB$3:AB110),1000))</f>
        <v>1015.3406373059906</v>
      </c>
      <c r="V111" s="125">
        <f t="shared" si="28"/>
        <v>985.33631993343533</v>
      </c>
      <c r="W111">
        <f t="shared" si="29"/>
        <v>1025.8348055087797</v>
      </c>
      <c r="X111">
        <f t="shared" si="30"/>
        <v>0.44198052999393828</v>
      </c>
      <c r="Y111">
        <f t="shared" si="31"/>
        <v>1011.4773580873075</v>
      </c>
      <c r="Z111">
        <f t="shared" si="32"/>
        <v>0.50555947658678191</v>
      </c>
      <c r="AA111">
        <f>IF($D111="",0,IF($F111&lt;2,0,IF($E111="Win",('Guide &amp; Settings'!$C$42/(($F111-1)*COUNTIFS($A$4:$A$311,$A111,$E$4:$E$311,"Win")))*SUMIFS($Z$4:$Z$311,$A$4:$A$311,$A111,$E$4:$E$311,"Loss"),-('Guide &amp; Settings'!$C$42/($F111-1))*$Z111)))</f>
        <v>-16.177903250777021</v>
      </c>
      <c r="AB111" s="125">
        <f t="shared" si="33"/>
        <v>999.1627340552136</v>
      </c>
      <c r="AC111" s="125">
        <f>IF($D111="","",IF(SUMPRODUCT(MAX(($D$4:$D$311=$D111)*($B$4:$B$311&lt;$B111)*$B$4:$B$311))=0,0,MAX(($B111-SUMPRODUCT(MAX(($D$4:$D$311=$D111)*($B$4:$B$311&lt;$B111)*$B$4:$B$311)))/7-'Guide &amp; Settings'!$C$48,0)*'Guide &amp; Settings'!$C$49))</f>
        <v>0</v>
      </c>
    </row>
    <row r="112" spans="1:29" ht="15" customHeight="1" x14ac:dyDescent="0.2">
      <c r="A112" s="116">
        <v>51</v>
      </c>
      <c r="B112" s="117">
        <v>46177</v>
      </c>
      <c r="C112" s="118" t="s">
        <v>203</v>
      </c>
      <c r="D112" s="118" t="s">
        <v>174</v>
      </c>
      <c r="E112" s="116" t="s">
        <v>316</v>
      </c>
      <c r="F112" s="119">
        <f t="shared" si="17"/>
        <v>2</v>
      </c>
      <c r="G112" s="120" t="str">
        <f t="shared" si="18"/>
        <v>Dean B</v>
      </c>
      <c r="H112" s="121">
        <f>IF($D112="",0,IFERROR(LOOKUP(2,1/(($D$3:D111=$D112)*($A$3:A111&lt;$A112)),$N$3:N111),'Guide &amp; Settings'!$C$41))</f>
        <v>1051.7211614371747</v>
      </c>
      <c r="I112" s="122">
        <f t="shared" si="19"/>
        <v>0.58333333333333337</v>
      </c>
      <c r="J112" s="123">
        <f>IF($D112="",0,IF($F112&lt;2,0,IF($E112="Win",('Guide &amp; Settings'!$C$42/(($F112-1)*COUNTIFS($A$4:$A$311,$A112,$E$4:$E$311,"Win")))*SUMIFS($X$4:$X$311,$A$4:$A$311,$A112,$E$4:$E$311,"Loss"),-('Guide &amp; Settings'!$C$42/($F112-1))*$X112)))</f>
        <v>12.707985953598955</v>
      </c>
      <c r="K112" s="123">
        <f>IF($D112="",0,'Guide &amp; Settings'!$C$43*(IF($E112="Win",1,0)-$I112))</f>
        <v>5</v>
      </c>
      <c r="L112" s="124">
        <f>IF($D112="",0,'Guide &amp; Settings'!$C$44*IF($F112&gt;=3,$F112+IF($E112="Win",$F112,0),0))</f>
        <v>0</v>
      </c>
      <c r="M112" s="123">
        <f t="shared" si="20"/>
        <v>17.707985953598957</v>
      </c>
      <c r="N112" s="121">
        <f t="shared" si="21"/>
        <v>1069.4291473907738</v>
      </c>
      <c r="O112" s="120" t="str">
        <f t="shared" si="22"/>
        <v>OK</v>
      </c>
      <c r="P112">
        <f t="shared" si="23"/>
        <v>1051.7211614371747</v>
      </c>
      <c r="Q112">
        <f t="shared" si="24"/>
        <v>0.5</v>
      </c>
      <c r="R112">
        <f t="shared" si="25"/>
        <v>0.6</v>
      </c>
      <c r="S112">
        <f t="shared" si="26"/>
        <v>1.0285714285714285</v>
      </c>
      <c r="T112" s="88">
        <f t="shared" si="27"/>
        <v>3</v>
      </c>
      <c r="U112" s="125">
        <f>IF($D112="",0,IFERROR(LOOKUP(2,1/(($D$3:D111=$D112)*($C$3:C111=$C112)*($A$3:A111&lt;$A112)),$AB$3:AB111),1000))</f>
        <v>1027.6552613380845</v>
      </c>
      <c r="V112" s="125">
        <f t="shared" si="28"/>
        <v>1042.6964489000159</v>
      </c>
      <c r="W112">
        <f t="shared" si="29"/>
        <v>1042.6964489000159</v>
      </c>
      <c r="X112">
        <f t="shared" si="30"/>
        <v>0.5</v>
      </c>
      <c r="Y112">
        <f t="shared" si="31"/>
        <v>1027.6552613380845</v>
      </c>
      <c r="Z112">
        <f t="shared" si="32"/>
        <v>0.5</v>
      </c>
      <c r="AA112">
        <f>IF($D112="",0,IF($F112&lt;2,0,IF($E112="Win",('Guide &amp; Settings'!$C$42/(($F112-1)*COUNTIFS($A$4:$A$311,$A112,$E$4:$E$311,"Win")))*SUMIFS($Z$4:$Z$311,$A$4:$A$311,$A112,$E$4:$E$311,"Loss"),-('Guide &amp; Settings'!$C$42/($F112-1))*$Z112)))</f>
        <v>14.690804236113944</v>
      </c>
      <c r="AB112" s="125">
        <f t="shared" si="33"/>
        <v>1042.3460655741985</v>
      </c>
      <c r="AC112" s="125">
        <f>IF($D112="","",IF(SUMPRODUCT(MAX(($D$4:$D$311=$D112)*($B$4:$B$311&lt;$B112)*$B$4:$B$311))=0,0,MAX(($B112-SUMPRODUCT(MAX(($D$4:$D$311=$D112)*($B$4:$B$311&lt;$B112)*$B$4:$B$311)))/7-'Guide &amp; Settings'!$C$48,0)*'Guide &amp; Settings'!$C$49))</f>
        <v>0</v>
      </c>
    </row>
    <row r="113" spans="1:29" ht="15" customHeight="1" x14ac:dyDescent="0.2">
      <c r="A113" s="116">
        <v>51</v>
      </c>
      <c r="B113" s="117">
        <v>46177</v>
      </c>
      <c r="C113" s="118" t="s">
        <v>203</v>
      </c>
      <c r="D113" s="118" t="s">
        <v>176</v>
      </c>
      <c r="E113" s="116" t="s">
        <v>317</v>
      </c>
      <c r="F113" s="119">
        <f t="shared" si="17"/>
        <v>2</v>
      </c>
      <c r="G113" s="120" t="str">
        <f t="shared" si="18"/>
        <v>Dean B</v>
      </c>
      <c r="H113" s="121">
        <f>IF($D113="",0,IFERROR(LOOKUP(2,1/(($D$3:D112=$D113)*($A$3:A112&lt;$A113)),$N$3:N112),'Guide &amp; Settings'!$C$41))</f>
        <v>941.18948907558524</v>
      </c>
      <c r="I113" s="122">
        <f t="shared" si="19"/>
        <v>0.41666666666666669</v>
      </c>
      <c r="J113" s="123">
        <f>IF($D113="",0,IF($F113&lt;2,0,IF($E113="Win",('Guide &amp; Settings'!$C$42/(($F113-1)*COUNTIFS($A$4:$A$311,$A113,$E$4:$E$311,"Win")))*SUMIFS($X$4:$X$311,$A$4:$A$311,$A113,$E$4:$E$311,"Loss"),-('Guide &amp; Settings'!$C$42/($F113-1))*$X113)))</f>
        <v>-12.707985953598955</v>
      </c>
      <c r="K113" s="123">
        <f>IF($D113="",0,'Guide &amp; Settings'!$C$43*(IF($E113="Win",1,0)-$I113))</f>
        <v>-5</v>
      </c>
      <c r="L113" s="124">
        <f>IF($D113="",0,'Guide &amp; Settings'!$C$44*IF($F113&gt;=3,$F113+IF($E113="Win",$F113,0),0))</f>
        <v>0</v>
      </c>
      <c r="M113" s="123">
        <f t="shared" si="20"/>
        <v>-17.707985953598957</v>
      </c>
      <c r="N113" s="121">
        <f t="shared" si="21"/>
        <v>923.48150312198629</v>
      </c>
      <c r="O113" s="120" t="str">
        <f t="shared" si="22"/>
        <v>OK</v>
      </c>
      <c r="P113">
        <f t="shared" si="23"/>
        <v>1051.7211614371747</v>
      </c>
      <c r="Q113">
        <f t="shared" si="24"/>
        <v>0.34608986823212784</v>
      </c>
      <c r="R113">
        <f t="shared" si="25"/>
        <v>0.42857142857142855</v>
      </c>
      <c r="S113">
        <f t="shared" si="26"/>
        <v>1.0285714285714285</v>
      </c>
      <c r="T113" s="88">
        <f t="shared" si="27"/>
        <v>5</v>
      </c>
      <c r="U113" s="125">
        <f>IF($D113="",0,IFERROR(LOOKUP(2,1/(($D$3:D112=$D113)*($C$3:C112=$C113)*($A$3:A112&lt;$A113)),$AB$3:AB112),1000))</f>
        <v>999.1627340552136</v>
      </c>
      <c r="V113" s="125">
        <f t="shared" si="28"/>
        <v>970.17611156539942</v>
      </c>
      <c r="W113">
        <f t="shared" si="29"/>
        <v>1042.6964489000159</v>
      </c>
      <c r="X113">
        <f t="shared" si="30"/>
        <v>0.39712456104996735</v>
      </c>
      <c r="Y113">
        <f t="shared" si="31"/>
        <v>1027.6552613380845</v>
      </c>
      <c r="Z113">
        <f t="shared" si="32"/>
        <v>0.45908763237856076</v>
      </c>
      <c r="AA113">
        <f>IF($D113="",0,IF($F113&lt;2,0,IF($E113="Win",('Guide &amp; Settings'!$C$42/(($F113-1)*COUNTIFS($A$4:$A$311,$A113,$E$4:$E$311,"Win")))*SUMIFS($Z$4:$Z$311,$A$4:$A$311,$A113,$E$4:$E$311,"Loss"),-('Guide &amp; Settings'!$C$42/($F113-1))*$Z113)))</f>
        <v>-14.690804236113944</v>
      </c>
      <c r="AB113" s="125">
        <f t="shared" si="33"/>
        <v>984.47192981909961</v>
      </c>
      <c r="AC113" s="125">
        <f>IF($D113="","",IF(SUMPRODUCT(MAX(($D$4:$D$311=$D113)*($B$4:$B$311&lt;$B113)*$B$4:$B$311))=0,0,MAX(($B113-SUMPRODUCT(MAX(($D$4:$D$311=$D113)*($B$4:$B$311&lt;$B113)*$B$4:$B$311)))/7-'Guide &amp; Settings'!$C$48,0)*'Guide &amp; Settings'!$C$49))</f>
        <v>0</v>
      </c>
    </row>
    <row r="114" spans="1:29" ht="15" customHeight="1" x14ac:dyDescent="0.2">
      <c r="A114" s="116">
        <v>52</v>
      </c>
      <c r="B114" s="117">
        <v>46177</v>
      </c>
      <c r="C114" s="118" t="s">
        <v>203</v>
      </c>
      <c r="D114" s="118" t="s">
        <v>174</v>
      </c>
      <c r="E114" s="116" t="s">
        <v>316</v>
      </c>
      <c r="F114" s="119">
        <f t="shared" si="17"/>
        <v>2</v>
      </c>
      <c r="G114" s="120" t="str">
        <f t="shared" si="18"/>
        <v>Dean B</v>
      </c>
      <c r="H114" s="121">
        <f>IF($D114="",0,IFERROR(LOOKUP(2,1/(($D$3:D113=$D114)*($A$3:A113&lt;$A114)),$N$3:N113),'Guide &amp; Settings'!$C$41))</f>
        <v>1069.4291473907738</v>
      </c>
      <c r="I114" s="122">
        <f t="shared" si="19"/>
        <v>0.64</v>
      </c>
      <c r="J114" s="123">
        <f>IF($D114="",0,IF($F114&lt;2,0,IF($E114="Win",('Guide &amp; Settings'!$C$42/(($F114-1)*COUNTIFS($A$4:$A$311,$A114,$E$4:$E$311,"Win")))*SUMIFS($X$4:$X$311,$A$4:$A$311,$A114,$E$4:$E$311,"Loss"),-('Guide &amp; Settings'!$C$42/($F114-1))*$X114)))</f>
        <v>11.490637557429206</v>
      </c>
      <c r="K114" s="123">
        <f>IF($D114="",0,'Guide &amp; Settings'!$C$43*(IF($E114="Win",1,0)-$I114))</f>
        <v>4.32</v>
      </c>
      <c r="L114" s="124">
        <f>IF($D114="",0,'Guide &amp; Settings'!$C$44*IF($F114&gt;=3,$F114+IF($E114="Win",$F114,0),0))</f>
        <v>0</v>
      </c>
      <c r="M114" s="123">
        <f t="shared" si="20"/>
        <v>15.810637557429207</v>
      </c>
      <c r="N114" s="121">
        <f t="shared" si="21"/>
        <v>1085.2397849482029</v>
      </c>
      <c r="O114" s="120" t="str">
        <f t="shared" si="22"/>
        <v>OK</v>
      </c>
      <c r="P114">
        <f t="shared" si="23"/>
        <v>1069.4291473907738</v>
      </c>
      <c r="Q114">
        <f t="shared" si="24"/>
        <v>0.5</v>
      </c>
      <c r="R114">
        <f t="shared" si="25"/>
        <v>0.66666666666666663</v>
      </c>
      <c r="S114">
        <f t="shared" si="26"/>
        <v>1.0416666666666665</v>
      </c>
      <c r="T114" s="88">
        <f t="shared" si="27"/>
        <v>4</v>
      </c>
      <c r="U114" s="125">
        <f>IF($D114="",0,IFERROR(LOOKUP(2,1/(($D$3:D113=$D114)*($C$3:C113=$C114)*($A$3:A113&lt;$A114)),$AB$3:AB113),1000))</f>
        <v>1042.3460655741985</v>
      </c>
      <c r="V114" s="125">
        <f t="shared" si="28"/>
        <v>1057.3922221389626</v>
      </c>
      <c r="W114">
        <f t="shared" si="29"/>
        <v>1057.3922221389626</v>
      </c>
      <c r="X114">
        <f t="shared" si="30"/>
        <v>0.5</v>
      </c>
      <c r="Y114">
        <f t="shared" si="31"/>
        <v>1042.3460655741985</v>
      </c>
      <c r="Z114">
        <f t="shared" si="32"/>
        <v>0.5</v>
      </c>
      <c r="AA114">
        <f>IF($D114="",0,IF($F114&lt;2,0,IF($E114="Win",('Guide &amp; Settings'!$C$42/(($F114-1)*COUNTIFS($A$4:$A$311,$A114,$E$4:$E$311,"Win")))*SUMIFS($Z$4:$Z$311,$A$4:$A$311,$A114,$E$4:$E$311,"Loss"),-('Guide &amp; Settings'!$C$42/($F114-1))*$Z114)))</f>
        <v>13.359177704896565</v>
      </c>
      <c r="AB114" s="125">
        <f t="shared" si="33"/>
        <v>1055.7052432790952</v>
      </c>
      <c r="AC114" s="125">
        <f>IF($D114="","",IF(SUMPRODUCT(MAX(($D$4:$D$311=$D114)*($B$4:$B$311&lt;$B114)*$B$4:$B$311))=0,0,MAX(($B114-SUMPRODUCT(MAX(($D$4:$D$311=$D114)*($B$4:$B$311&lt;$B114)*$B$4:$B$311)))/7-'Guide &amp; Settings'!$C$48,0)*'Guide &amp; Settings'!$C$49))</f>
        <v>0</v>
      </c>
    </row>
    <row r="115" spans="1:29" ht="15" customHeight="1" x14ac:dyDescent="0.2">
      <c r="A115" s="116">
        <v>52</v>
      </c>
      <c r="B115" s="117">
        <v>46177</v>
      </c>
      <c r="C115" s="118" t="s">
        <v>203</v>
      </c>
      <c r="D115" s="118" t="s">
        <v>176</v>
      </c>
      <c r="E115" s="116" t="s">
        <v>317</v>
      </c>
      <c r="F115" s="119">
        <f t="shared" si="17"/>
        <v>2</v>
      </c>
      <c r="G115" s="120" t="str">
        <f t="shared" si="18"/>
        <v>Dean B</v>
      </c>
      <c r="H115" s="121">
        <f>IF($D115="",0,IFERROR(LOOKUP(2,1/(($D$3:D114=$D115)*($A$3:A114&lt;$A115)),$N$3:N114),'Guide &amp; Settings'!$C$41))</f>
        <v>923.48150312198629</v>
      </c>
      <c r="I115" s="122">
        <f t="shared" si="19"/>
        <v>0.36000000000000004</v>
      </c>
      <c r="J115" s="123">
        <f>IF($D115="",0,IF($F115&lt;2,0,IF($E115="Win",('Guide &amp; Settings'!$C$42/(($F115-1)*COUNTIFS($A$4:$A$311,$A115,$E$4:$E$311,"Win")))*SUMIFS($X$4:$X$311,$A$4:$A$311,$A115,$E$4:$E$311,"Loss"),-('Guide &amp; Settings'!$C$42/($F115-1))*$X115)))</f>
        <v>-11.490637557429206</v>
      </c>
      <c r="K115" s="123">
        <f>IF($D115="",0,'Guide &amp; Settings'!$C$43*(IF($E115="Win",1,0)-$I115))</f>
        <v>-4.32</v>
      </c>
      <c r="L115" s="124">
        <f>IF($D115="",0,'Guide &amp; Settings'!$C$44*IF($F115&gt;=3,$F115+IF($E115="Win",$F115,0),0))</f>
        <v>0</v>
      </c>
      <c r="M115" s="123">
        <f t="shared" si="20"/>
        <v>-15.810637557429207</v>
      </c>
      <c r="N115" s="121">
        <f t="shared" si="21"/>
        <v>907.67086556455706</v>
      </c>
      <c r="O115" s="120" t="str">
        <f t="shared" si="22"/>
        <v>OK</v>
      </c>
      <c r="P115">
        <f t="shared" si="23"/>
        <v>1069.4291473907738</v>
      </c>
      <c r="Q115">
        <f t="shared" si="24"/>
        <v>0.301504841117336</v>
      </c>
      <c r="R115">
        <f t="shared" si="25"/>
        <v>0.375</v>
      </c>
      <c r="S115">
        <f t="shared" si="26"/>
        <v>1.0416666666666665</v>
      </c>
      <c r="T115" s="88">
        <f t="shared" si="27"/>
        <v>6</v>
      </c>
      <c r="U115" s="125">
        <f>IF($D115="",0,IFERROR(LOOKUP(2,1/(($D$3:D114=$D115)*($C$3:C114=$C115)*($A$3:A114&lt;$A115)),$AB$3:AB114),1000))</f>
        <v>984.47192981909961</v>
      </c>
      <c r="V115" s="125">
        <f t="shared" si="28"/>
        <v>956.74900859313902</v>
      </c>
      <c r="W115">
        <f t="shared" si="29"/>
        <v>1057.3922221389626</v>
      </c>
      <c r="X115">
        <f t="shared" si="30"/>
        <v>0.3590824236696627</v>
      </c>
      <c r="Y115">
        <f t="shared" si="31"/>
        <v>1042.3460655741985</v>
      </c>
      <c r="Z115">
        <f t="shared" si="32"/>
        <v>0.41747430327801766</v>
      </c>
      <c r="AA115">
        <f>IF($D115="",0,IF($F115&lt;2,0,IF($E115="Win",('Guide &amp; Settings'!$C$42/(($F115-1)*COUNTIFS($A$4:$A$311,$A115,$E$4:$E$311,"Win")))*SUMIFS($Z$4:$Z$311,$A$4:$A$311,$A115,$E$4:$E$311,"Loss"),-('Guide &amp; Settings'!$C$42/($F115-1))*$Z115)))</f>
        <v>-13.359177704896565</v>
      </c>
      <c r="AB115" s="125">
        <f t="shared" si="33"/>
        <v>971.11275211420309</v>
      </c>
      <c r="AC115" s="125">
        <f>IF($D115="","",IF(SUMPRODUCT(MAX(($D$4:$D$311=$D115)*($B$4:$B$311&lt;$B115)*$B$4:$B$311))=0,0,MAX(($B115-SUMPRODUCT(MAX(($D$4:$D$311=$D115)*($B$4:$B$311&lt;$B115)*$B$4:$B$311)))/7-'Guide &amp; Settings'!$C$48,0)*'Guide &amp; Settings'!$C$49))</f>
        <v>0</v>
      </c>
    </row>
    <row r="116" spans="1:29" ht="15" customHeight="1" x14ac:dyDescent="0.2">
      <c r="A116" s="116">
        <v>53</v>
      </c>
      <c r="B116" s="117">
        <v>46177</v>
      </c>
      <c r="C116" s="118" t="s">
        <v>193</v>
      </c>
      <c r="D116" s="118" t="s">
        <v>176</v>
      </c>
      <c r="E116" s="116" t="s">
        <v>316</v>
      </c>
      <c r="F116" s="119">
        <f t="shared" si="17"/>
        <v>2</v>
      </c>
      <c r="G116" s="120" t="str">
        <f t="shared" si="18"/>
        <v>Oscar</v>
      </c>
      <c r="H116" s="121">
        <f>IF($D116="",0,IFERROR(LOOKUP(2,1/(($D$3:D115=$D116)*($A$3:A115&lt;$A116)),$N$3:N115),'Guide &amp; Settings'!$C$41))</f>
        <v>907.67086556455706</v>
      </c>
      <c r="I116" s="122">
        <f t="shared" si="19"/>
        <v>0.29411764705882354</v>
      </c>
      <c r="J116" s="123">
        <f>IF($D116="",0,IF($F116&lt;2,0,IF($E116="Win",('Guide &amp; Settings'!$C$42/(($F116-1)*COUNTIFS($A$4:$A$311,$A116,$E$4:$E$311,"Win")))*SUMIFS($X$4:$X$311,$A$4:$A$311,$A116,$E$4:$E$311,"Loss"),-('Guide &amp; Settings'!$C$42/($F116-1))*$X116)))</f>
        <v>21.837074826911437</v>
      </c>
      <c r="K116" s="123">
        <f>IF($D116="",0,'Guide &amp; Settings'!$C$43*(IF($E116="Win",1,0)-$I116))</f>
        <v>8.470588235294116</v>
      </c>
      <c r="L116" s="124">
        <f>IF($D116="",0,'Guide &amp; Settings'!$C$44*IF($F116&gt;=3,$F116+IF($E116="Win",$F116,0),0))</f>
        <v>0</v>
      </c>
      <c r="M116" s="123">
        <f t="shared" si="20"/>
        <v>30.307663062205553</v>
      </c>
      <c r="N116" s="121">
        <f t="shared" si="21"/>
        <v>937.97852862676257</v>
      </c>
      <c r="O116" s="120" t="str">
        <f t="shared" si="22"/>
        <v>OK</v>
      </c>
      <c r="P116">
        <f t="shared" si="23"/>
        <v>907.67086556455706</v>
      </c>
      <c r="Q116">
        <f t="shared" si="24"/>
        <v>0.5</v>
      </c>
      <c r="R116">
        <f t="shared" si="25"/>
        <v>0.25</v>
      </c>
      <c r="S116">
        <f t="shared" si="26"/>
        <v>0.85</v>
      </c>
      <c r="T116" s="88">
        <f t="shared" si="27"/>
        <v>2</v>
      </c>
      <c r="U116" s="125">
        <f>IF($D116="",0,IFERROR(LOOKUP(2,1/(($D$3:D115=$D116)*($C$3:C115=$C116)*($A$3:A115&lt;$A116)),$AB$3:AB115),1000))</f>
        <v>969.46950152897546</v>
      </c>
      <c r="V116" s="125">
        <f t="shared" si="28"/>
        <v>925.327618697248</v>
      </c>
      <c r="W116">
        <f t="shared" si="29"/>
        <v>925.327618697248</v>
      </c>
      <c r="X116">
        <f t="shared" si="30"/>
        <v>0.5</v>
      </c>
      <c r="Y116">
        <f t="shared" si="31"/>
        <v>969.46950152897546</v>
      </c>
      <c r="Z116">
        <f t="shared" si="32"/>
        <v>0.5</v>
      </c>
      <c r="AA116">
        <f>IF($D116="",0,IF($F116&lt;2,0,IF($E116="Win",('Guide &amp; Settings'!$C$42/(($F116-1)*COUNTIFS($A$4:$A$311,$A116,$E$4:$E$311,"Win")))*SUMIFS($Z$4:$Z$311,$A$4:$A$311,$A116,$E$4:$E$311,"Loss"),-('Guide &amp; Settings'!$C$42/($F116-1))*$Z116)))</f>
        <v>18.000037876065491</v>
      </c>
      <c r="AB116" s="125">
        <f t="shared" si="33"/>
        <v>987.4695394050409</v>
      </c>
      <c r="AC116" s="125">
        <f>IF($D116="","",IF(SUMPRODUCT(MAX(($D$4:$D$311=$D116)*($B$4:$B$311&lt;$B116)*$B$4:$B$311))=0,0,MAX(($B116-SUMPRODUCT(MAX(($D$4:$D$311=$D116)*($B$4:$B$311&lt;$B116)*$B$4:$B$311)))/7-'Guide &amp; Settings'!$C$48,0)*'Guide &amp; Settings'!$C$49))</f>
        <v>0</v>
      </c>
    </row>
    <row r="117" spans="1:29" ht="15" customHeight="1" x14ac:dyDescent="0.2">
      <c r="A117" s="116">
        <v>53</v>
      </c>
      <c r="B117" s="117">
        <v>46177</v>
      </c>
      <c r="C117" s="118" t="s">
        <v>193</v>
      </c>
      <c r="D117" s="118" t="s">
        <v>174</v>
      </c>
      <c r="E117" s="116" t="s">
        <v>317</v>
      </c>
      <c r="F117" s="119">
        <f t="shared" si="17"/>
        <v>2</v>
      </c>
      <c r="G117" s="120" t="str">
        <f t="shared" si="18"/>
        <v>Oscar</v>
      </c>
      <c r="H117" s="121">
        <f>IF($D117="",0,IFERROR(LOOKUP(2,1/(($D$3:D116=$D117)*($A$3:A116&lt;$A117)),$N$3:N116),'Guide &amp; Settings'!$C$41))</f>
        <v>1085.2397849482029</v>
      </c>
      <c r="I117" s="122">
        <f t="shared" si="19"/>
        <v>0.70588235294117652</v>
      </c>
      <c r="J117" s="123">
        <f>IF($D117="",0,IF($F117&lt;2,0,IF($E117="Win",('Guide &amp; Settings'!$C$42/(($F117-1)*COUNTIFS($A$4:$A$311,$A117,$E$4:$E$311,"Win")))*SUMIFS($X$4:$X$311,$A$4:$A$311,$A117,$E$4:$E$311,"Loss"),-('Guide &amp; Settings'!$C$42/($F117-1))*$X117)))</f>
        <v>-21.837074826911437</v>
      </c>
      <c r="K117" s="123">
        <f>IF($D117="",0,'Guide &amp; Settings'!$C$43*(IF($E117="Win",1,0)-$I117))</f>
        <v>-8.4705882352941178</v>
      </c>
      <c r="L117" s="124">
        <f>IF($D117="",0,'Guide &amp; Settings'!$C$44*IF($F117&gt;=3,$F117+IF($E117="Win",$F117,0),0))</f>
        <v>0</v>
      </c>
      <c r="M117" s="123">
        <f t="shared" si="20"/>
        <v>-30.307663062205556</v>
      </c>
      <c r="N117" s="121">
        <f t="shared" si="21"/>
        <v>1054.9321218859973</v>
      </c>
      <c r="O117" s="120" t="str">
        <f t="shared" si="22"/>
        <v>OK</v>
      </c>
      <c r="P117">
        <f t="shared" si="23"/>
        <v>907.67086556455706</v>
      </c>
      <c r="Q117">
        <f t="shared" si="24"/>
        <v>0.73539485308635477</v>
      </c>
      <c r="R117">
        <f t="shared" si="25"/>
        <v>0.6</v>
      </c>
      <c r="S117">
        <f t="shared" si="26"/>
        <v>0.85</v>
      </c>
      <c r="T117" s="88">
        <f t="shared" si="27"/>
        <v>3</v>
      </c>
      <c r="U117" s="125">
        <f>IF($D117="",0,IFERROR(LOOKUP(2,1/(($D$3:D116=$D117)*($C$3:C116=$C117)*($A$3:A116&lt;$A117)),$AB$3:AB116),1000))</f>
        <v>1013.1281248226184</v>
      </c>
      <c r="V117" s="125">
        <f t="shared" si="28"/>
        <v>1058.1979124011086</v>
      </c>
      <c r="W117">
        <f t="shared" si="29"/>
        <v>925.327618697248</v>
      </c>
      <c r="X117">
        <f t="shared" si="30"/>
        <v>0.68240858834098239</v>
      </c>
      <c r="Y117">
        <f t="shared" si="31"/>
        <v>969.46950152897546</v>
      </c>
      <c r="Z117">
        <f t="shared" si="32"/>
        <v>0.5625011836270466</v>
      </c>
      <c r="AA117">
        <f>IF($D117="",0,IF($F117&lt;2,0,IF($E117="Win",('Guide &amp; Settings'!$C$42/(($F117-1)*COUNTIFS($A$4:$A$311,$A117,$E$4:$E$311,"Win")))*SUMIFS($Z$4:$Z$311,$A$4:$A$311,$A117,$E$4:$E$311,"Loss"),-('Guide &amp; Settings'!$C$42/($F117-1))*$Z117)))</f>
        <v>-18.000037876065491</v>
      </c>
      <c r="AB117" s="125">
        <f t="shared" si="33"/>
        <v>995.12808694655291</v>
      </c>
      <c r="AC117" s="125">
        <f>IF($D117="","",IF(SUMPRODUCT(MAX(($D$4:$D$311=$D117)*($B$4:$B$311&lt;$B117)*$B$4:$B$311))=0,0,MAX(($B117-SUMPRODUCT(MAX(($D$4:$D$311=$D117)*($B$4:$B$311&lt;$B117)*$B$4:$B$311)))/7-'Guide &amp; Settings'!$C$48,0)*'Guide &amp; Settings'!$C$49))</f>
        <v>0</v>
      </c>
    </row>
    <row r="118" spans="1:29" ht="15" customHeight="1" x14ac:dyDescent="0.2">
      <c r="A118" s="116">
        <v>54</v>
      </c>
      <c r="B118" s="117">
        <v>46177</v>
      </c>
      <c r="C118" s="118" t="s">
        <v>193</v>
      </c>
      <c r="D118" s="118" t="s">
        <v>176</v>
      </c>
      <c r="E118" s="116" t="s">
        <v>316</v>
      </c>
      <c r="F118" s="119">
        <f t="shared" si="17"/>
        <v>2</v>
      </c>
      <c r="G118" s="120" t="str">
        <f t="shared" si="18"/>
        <v>Oscar</v>
      </c>
      <c r="H118" s="121">
        <f>IF($D118="",0,IFERROR(LOOKUP(2,1/(($D$3:D117=$D118)*($A$3:A117&lt;$A118)),$N$3:N117),'Guide &amp; Settings'!$C$41))</f>
        <v>937.97852862676257</v>
      </c>
      <c r="I118" s="122">
        <f t="shared" si="19"/>
        <v>0.44444444444444448</v>
      </c>
      <c r="J118" s="123">
        <f>IF($D118="",0,IF($F118&lt;2,0,IF($E118="Win",('Guide &amp; Settings'!$C$42/(($F118-1)*COUNTIFS($A$4:$A$311,$A118,$E$4:$E$311,"Win")))*SUMIFS($X$4:$X$311,$A$4:$A$311,$A118,$E$4:$E$311,"Loss"),-('Guide &amp; Settings'!$C$42/($F118-1))*$X118)))</f>
        <v>17.99113941711137</v>
      </c>
      <c r="K118" s="123">
        <f>IF($D118="",0,'Guide &amp; Settings'!$C$43*(IF($E118="Win",1,0)-$I118))</f>
        <v>6.666666666666667</v>
      </c>
      <c r="L118" s="124">
        <f>IF($D118="",0,'Guide &amp; Settings'!$C$44*IF($F118&gt;=3,$F118+IF($E118="Win",$F118,0),0))</f>
        <v>0</v>
      </c>
      <c r="M118" s="123">
        <f t="shared" si="20"/>
        <v>24.657806083778038</v>
      </c>
      <c r="N118" s="121">
        <f t="shared" si="21"/>
        <v>962.63633471054061</v>
      </c>
      <c r="O118" s="120" t="str">
        <f t="shared" si="22"/>
        <v>OK</v>
      </c>
      <c r="P118">
        <f t="shared" si="23"/>
        <v>937.97852862676257</v>
      </c>
      <c r="Q118">
        <f t="shared" si="24"/>
        <v>0.5</v>
      </c>
      <c r="R118">
        <f t="shared" si="25"/>
        <v>0.4</v>
      </c>
      <c r="S118">
        <f t="shared" si="26"/>
        <v>0.9</v>
      </c>
      <c r="T118" s="88">
        <f t="shared" si="27"/>
        <v>3</v>
      </c>
      <c r="U118" s="125">
        <f>IF($D118="",0,IFERROR(LOOKUP(2,1/(($D$3:D117=$D118)*($C$3:C117=$C118)*($A$3:A117&lt;$A118)),$AB$3:AB117),1000))</f>
        <v>987.4695394050409</v>
      </c>
      <c r="V118" s="125">
        <f t="shared" si="28"/>
        <v>956.53765766861693</v>
      </c>
      <c r="W118">
        <f t="shared" si="29"/>
        <v>956.53765766861693</v>
      </c>
      <c r="X118">
        <f t="shared" si="30"/>
        <v>0.5</v>
      </c>
      <c r="Y118">
        <f t="shared" si="31"/>
        <v>987.4695394050409</v>
      </c>
      <c r="Z118">
        <f t="shared" si="32"/>
        <v>0.5</v>
      </c>
      <c r="AA118">
        <f>IF($D118="",0,IF($F118&lt;2,0,IF($E118="Win",('Guide &amp; Settings'!$C$42/(($F118-1)*COUNTIFS($A$4:$A$311,$A118,$E$4:$E$311,"Win")))*SUMIFS($Z$4:$Z$311,$A$4:$A$311,$A118,$E$4:$E$311,"Loss"),-('Guide &amp; Settings'!$C$42/($F118-1))*$Z118)))</f>
        <v>16.576798971563427</v>
      </c>
      <c r="AB118" s="125">
        <f t="shared" si="33"/>
        <v>1004.0463383766044</v>
      </c>
      <c r="AC118" s="125">
        <f>IF($D118="","",IF(SUMPRODUCT(MAX(($D$4:$D$311=$D118)*($B$4:$B$311&lt;$B118)*$B$4:$B$311))=0,0,MAX(($B118-SUMPRODUCT(MAX(($D$4:$D$311=$D118)*($B$4:$B$311&lt;$B118)*$B$4:$B$311)))/7-'Guide &amp; Settings'!$C$48,0)*'Guide &amp; Settings'!$C$49))</f>
        <v>0</v>
      </c>
    </row>
    <row r="119" spans="1:29" ht="15" customHeight="1" x14ac:dyDescent="0.2">
      <c r="A119" s="116">
        <v>54</v>
      </c>
      <c r="B119" s="117">
        <v>46177</v>
      </c>
      <c r="C119" s="118" t="s">
        <v>193</v>
      </c>
      <c r="D119" s="118" t="s">
        <v>142</v>
      </c>
      <c r="E119" s="116" t="s">
        <v>317</v>
      </c>
      <c r="F119" s="119">
        <f t="shared" si="17"/>
        <v>2</v>
      </c>
      <c r="G119" s="120" t="str">
        <f t="shared" si="18"/>
        <v>Oscar</v>
      </c>
      <c r="H119" s="121">
        <f>IF($D119="",0,IFERROR(LOOKUP(2,1/(($D$3:D118=$D119)*($A$3:A118&lt;$A119)),$N$3:N118),'Guide &amp; Settings'!$C$41))</f>
        <v>1000</v>
      </c>
      <c r="I119" s="122">
        <f t="shared" si="19"/>
        <v>0.55555555555555558</v>
      </c>
      <c r="J119" s="123">
        <f>IF($D119="",0,IF($F119&lt;2,0,IF($E119="Win",('Guide &amp; Settings'!$C$42/(($F119-1)*COUNTIFS($A$4:$A$311,$A119,$E$4:$E$311,"Win")))*SUMIFS($X$4:$X$311,$A$4:$A$311,$A119,$E$4:$E$311,"Loss"),-('Guide &amp; Settings'!$C$42/($F119-1))*$X119)))</f>
        <v>-17.99113941711137</v>
      </c>
      <c r="K119" s="123">
        <f>IF($D119="",0,'Guide &amp; Settings'!$C$43*(IF($E119="Win",1,0)-$I119))</f>
        <v>-6.666666666666667</v>
      </c>
      <c r="L119" s="124">
        <f>IF($D119="",0,'Guide &amp; Settings'!$C$44*IF($F119&gt;=3,$F119+IF($E119="Win",$F119,0),0))</f>
        <v>0</v>
      </c>
      <c r="M119" s="123">
        <f t="shared" si="20"/>
        <v>-24.657806083778038</v>
      </c>
      <c r="N119" s="121">
        <f t="shared" si="21"/>
        <v>975.34219391622196</v>
      </c>
      <c r="O119" s="120" t="str">
        <f t="shared" si="22"/>
        <v>OK</v>
      </c>
      <c r="P119">
        <f t="shared" si="23"/>
        <v>937.97852862676257</v>
      </c>
      <c r="Q119">
        <f t="shared" si="24"/>
        <v>0.58831990785623467</v>
      </c>
      <c r="R119">
        <f t="shared" si="25"/>
        <v>0.5</v>
      </c>
      <c r="S119">
        <f t="shared" si="26"/>
        <v>0.9</v>
      </c>
      <c r="T119" s="88">
        <f t="shared" si="27"/>
        <v>0</v>
      </c>
      <c r="U119" s="125">
        <f>IF($D119="",0,IFERROR(LOOKUP(2,1/(($D$3:D118=$D119)*($C$3:C118=$C119)*($A$3:A118&lt;$A119)),$AB$3:AB118),1000))</f>
        <v>1000</v>
      </c>
      <c r="V119" s="125">
        <f t="shared" si="28"/>
        <v>1000</v>
      </c>
      <c r="W119">
        <f t="shared" si="29"/>
        <v>956.53765766861693</v>
      </c>
      <c r="X119">
        <f t="shared" si="30"/>
        <v>0.56222310678473031</v>
      </c>
      <c r="Y119">
        <f t="shared" si="31"/>
        <v>987.4695394050409</v>
      </c>
      <c r="Z119">
        <f t="shared" si="32"/>
        <v>0.5180249678613571</v>
      </c>
      <c r="AA119">
        <f>IF($D119="",0,IF($F119&lt;2,0,IF($E119="Win",('Guide &amp; Settings'!$C$42/(($F119-1)*COUNTIFS($A$4:$A$311,$A119,$E$4:$E$311,"Win")))*SUMIFS($Z$4:$Z$311,$A$4:$A$311,$A119,$E$4:$E$311,"Loss"),-('Guide &amp; Settings'!$C$42/($F119-1))*$Z119)))</f>
        <v>-16.576798971563427</v>
      </c>
      <c r="AB119" s="125">
        <f t="shared" si="33"/>
        <v>983.42320102843655</v>
      </c>
      <c r="AC119" s="125">
        <f>IF($D119="","",IF(SUMPRODUCT(MAX(($D$4:$D$311=$D119)*($B$4:$B$311&lt;$B119)*$B$4:$B$311))=0,0,MAX(($B119-SUMPRODUCT(MAX(($D$4:$D$311=$D119)*($B$4:$B$311&lt;$B119)*$B$4:$B$311)))/7-'Guide &amp; Settings'!$C$48,0)*'Guide &amp; Settings'!$C$49))</f>
        <v>0</v>
      </c>
    </row>
    <row r="120" spans="1:29" ht="15" customHeight="1" x14ac:dyDescent="0.2">
      <c r="A120" s="116">
        <v>55</v>
      </c>
      <c r="B120" s="117">
        <v>46177</v>
      </c>
      <c r="C120" s="118" t="s">
        <v>207</v>
      </c>
      <c r="D120" s="118" t="s">
        <v>141</v>
      </c>
      <c r="E120" s="116" t="s">
        <v>317</v>
      </c>
      <c r="F120" s="119">
        <f t="shared" si="17"/>
        <v>2</v>
      </c>
      <c r="G120" s="120" t="str">
        <f t="shared" si="18"/>
        <v>Oscar</v>
      </c>
      <c r="H120" s="121">
        <f>IF($D120="",0,IFERROR(LOOKUP(2,1/(($D$3:D119=$D120)*($A$3:A119&lt;$A120)),$N$3:N119),'Guide &amp; Settings'!$C$41))</f>
        <v>1007.4743526549773</v>
      </c>
      <c r="I120" s="122">
        <f t="shared" si="19"/>
        <v>0.55555555555555558</v>
      </c>
      <c r="J120" s="123">
        <f>IF($D120="",0,IF($F120&lt;2,0,IF($E120="Win",('Guide &amp; Settings'!$C$42/(($F120-1)*COUNTIFS($A$4:$A$311,$A120,$E$4:$E$311,"Win")))*SUMIFS($X$4:$X$311,$A$4:$A$311,$A120,$E$4:$E$311,"Loss"),-('Guide &amp; Settings'!$C$42/($F120-1))*$X120)))</f>
        <v>-17.735995995578371</v>
      </c>
      <c r="K120" s="123">
        <f>IF($D120="",0,'Guide &amp; Settings'!$C$43*(IF($E120="Win",1,0)-$I120))</f>
        <v>-6.666666666666667</v>
      </c>
      <c r="L120" s="124">
        <f>IF($D120="",0,'Guide &amp; Settings'!$C$44*IF($F120&gt;=3,$F120+IF($E120="Win",$F120,0),0))</f>
        <v>0</v>
      </c>
      <c r="M120" s="123">
        <f t="shared" si="20"/>
        <v>-24.402662662245039</v>
      </c>
      <c r="N120" s="121">
        <f t="shared" si="21"/>
        <v>983.07168999273233</v>
      </c>
      <c r="O120" s="120" t="str">
        <f t="shared" si="22"/>
        <v>OK</v>
      </c>
      <c r="P120">
        <f t="shared" si="23"/>
        <v>962.63633471054061</v>
      </c>
      <c r="Q120">
        <f t="shared" si="24"/>
        <v>0.56417123281205805</v>
      </c>
      <c r="R120">
        <f t="shared" si="25"/>
        <v>0.5</v>
      </c>
      <c r="S120">
        <f t="shared" si="26"/>
        <v>0.9</v>
      </c>
      <c r="T120" s="88">
        <f t="shared" si="27"/>
        <v>0</v>
      </c>
      <c r="U120" s="125">
        <f>IF($D120="",0,IFERROR(LOOKUP(2,1/(($D$3:D119=$D120)*($C$3:C119=$C120)*($A$3:A119&lt;$A120)),$AB$3:AB119),1000))</f>
        <v>1000</v>
      </c>
      <c r="V120" s="125">
        <f t="shared" si="28"/>
        <v>1007.4743526549773</v>
      </c>
      <c r="W120">
        <f t="shared" si="29"/>
        <v>969.62870067008157</v>
      </c>
      <c r="X120">
        <f t="shared" si="30"/>
        <v>0.55424987486182409</v>
      </c>
      <c r="Y120">
        <f t="shared" si="31"/>
        <v>981.2826439359834</v>
      </c>
      <c r="Z120">
        <f t="shared" si="32"/>
        <v>0.52691041177827491</v>
      </c>
      <c r="AA120">
        <f>IF($D120="",0,IF($F120&lt;2,0,IF($E120="Win",('Guide &amp; Settings'!$C$42/(($F120-1)*COUNTIFS($A$4:$A$311,$A120,$E$4:$E$311,"Win")))*SUMIFS($Z$4:$Z$311,$A$4:$A$311,$A120,$E$4:$E$311,"Loss"),-('Guide &amp; Settings'!$C$42/($F120-1))*$Z120)))</f>
        <v>-16.861133176904797</v>
      </c>
      <c r="AB120" s="125">
        <f t="shared" si="33"/>
        <v>983.13886682309521</v>
      </c>
      <c r="AC120" s="125">
        <f>IF($D120="","",IF(SUMPRODUCT(MAX(($D$4:$D$311=$D120)*($B$4:$B$311&lt;$B120)*$B$4:$B$311))=0,0,MAX(($B120-SUMPRODUCT(MAX(($D$4:$D$311=$D120)*($B$4:$B$311&lt;$B120)*$B$4:$B$311)))/7-'Guide &amp; Settings'!$C$48,0)*'Guide &amp; Settings'!$C$49))</f>
        <v>0</v>
      </c>
    </row>
    <row r="121" spans="1:29" ht="15" customHeight="1" x14ac:dyDescent="0.2">
      <c r="A121" s="116">
        <v>55</v>
      </c>
      <c r="B121" s="117">
        <v>46177</v>
      </c>
      <c r="C121" s="118" t="s">
        <v>207</v>
      </c>
      <c r="D121" s="118" t="s">
        <v>176</v>
      </c>
      <c r="E121" s="116" t="s">
        <v>316</v>
      </c>
      <c r="F121" s="119">
        <f t="shared" si="17"/>
        <v>2</v>
      </c>
      <c r="G121" s="120" t="str">
        <f t="shared" si="18"/>
        <v>Oscar</v>
      </c>
      <c r="H121" s="121">
        <f>IF($D121="",0,IFERROR(LOOKUP(2,1/(($D$3:D120=$D121)*($A$3:A120&lt;$A121)),$N$3:N120),'Guide &amp; Settings'!$C$41))</f>
        <v>962.63633471054061</v>
      </c>
      <c r="I121" s="122">
        <f t="shared" si="19"/>
        <v>0.44444444444444448</v>
      </c>
      <c r="J121" s="123">
        <f>IF($D121="",0,IF($F121&lt;2,0,IF($E121="Win",('Guide &amp; Settings'!$C$42/(($F121-1)*COUNTIFS($A$4:$A$311,$A121,$E$4:$E$311,"Win")))*SUMIFS($X$4:$X$311,$A$4:$A$311,$A121,$E$4:$E$311,"Loss"),-('Guide &amp; Settings'!$C$42/($F121-1))*$X121)))</f>
        <v>17.735995995578371</v>
      </c>
      <c r="K121" s="123">
        <f>IF($D121="",0,'Guide &amp; Settings'!$C$43*(IF($E121="Win",1,0)-$I121))</f>
        <v>6.666666666666667</v>
      </c>
      <c r="L121" s="124">
        <f>IF($D121="",0,'Guide &amp; Settings'!$C$44*IF($F121&gt;=3,$F121+IF($E121="Win",$F121,0),0))</f>
        <v>0</v>
      </c>
      <c r="M121" s="123">
        <f t="shared" si="20"/>
        <v>24.402662662245039</v>
      </c>
      <c r="N121" s="121">
        <f t="shared" si="21"/>
        <v>987.03899737278562</v>
      </c>
      <c r="O121" s="120" t="str">
        <f t="shared" si="22"/>
        <v>OK</v>
      </c>
      <c r="P121">
        <f t="shared" si="23"/>
        <v>962.63633471054061</v>
      </c>
      <c r="Q121">
        <f t="shared" si="24"/>
        <v>0.5</v>
      </c>
      <c r="R121">
        <f t="shared" si="25"/>
        <v>0.4</v>
      </c>
      <c r="S121">
        <f t="shared" si="26"/>
        <v>0.9</v>
      </c>
      <c r="T121" s="88">
        <f t="shared" si="27"/>
        <v>3</v>
      </c>
      <c r="U121" s="125">
        <f>IF($D121="",0,IFERROR(LOOKUP(2,1/(($D$3:D120=$D121)*($C$3:C120=$C121)*($A$3:A120&lt;$A121)),$AB$3:AB120),1000))</f>
        <v>981.2826439359834</v>
      </c>
      <c r="V121" s="125">
        <f t="shared" si="28"/>
        <v>969.62870067008157</v>
      </c>
      <c r="W121">
        <f t="shared" si="29"/>
        <v>969.62870067008157</v>
      </c>
      <c r="X121">
        <f t="shared" si="30"/>
        <v>0.5</v>
      </c>
      <c r="Y121">
        <f t="shared" si="31"/>
        <v>981.2826439359834</v>
      </c>
      <c r="Z121">
        <f t="shared" si="32"/>
        <v>0.5</v>
      </c>
      <c r="AA121">
        <f>IF($D121="",0,IF($F121&lt;2,0,IF($E121="Win",('Guide &amp; Settings'!$C$42/(($F121-1)*COUNTIFS($A$4:$A$311,$A121,$E$4:$E$311,"Win")))*SUMIFS($Z$4:$Z$311,$A$4:$A$311,$A121,$E$4:$E$311,"Loss"),-('Guide &amp; Settings'!$C$42/($F121-1))*$Z121)))</f>
        <v>16.861133176904797</v>
      </c>
      <c r="AB121" s="125">
        <f t="shared" si="33"/>
        <v>998.14377711288819</v>
      </c>
      <c r="AC121" s="125">
        <f>IF($D121="","",IF(SUMPRODUCT(MAX(($D$4:$D$311=$D121)*($B$4:$B$311&lt;$B121)*$B$4:$B$311))=0,0,MAX(($B121-SUMPRODUCT(MAX(($D$4:$D$311=$D121)*($B$4:$B$311&lt;$B121)*$B$4:$B$311)))/7-'Guide &amp; Settings'!$C$48,0)*'Guide &amp; Settings'!$C$49))</f>
        <v>0</v>
      </c>
    </row>
    <row r="122" spans="1:29" ht="15" customHeight="1" x14ac:dyDescent="0.2">
      <c r="A122" s="116">
        <v>56</v>
      </c>
      <c r="B122" s="117">
        <v>46188</v>
      </c>
      <c r="C122" s="118" t="s">
        <v>214</v>
      </c>
      <c r="D122" s="118" t="s">
        <v>141</v>
      </c>
      <c r="E122" s="116" t="s">
        <v>316</v>
      </c>
      <c r="F122" s="119">
        <f t="shared" si="17"/>
        <v>2</v>
      </c>
      <c r="G122" s="120" t="str">
        <f t="shared" si="18"/>
        <v>Shawn</v>
      </c>
      <c r="H122" s="121">
        <f>IF($D122="",0,IFERROR(LOOKUP(2,1/(($D$3:D121=$D122)*($A$3:A121&lt;$A122)),$N$3:N121),'Guide &amp; Settings'!$C$41))</f>
        <v>983.07168999273233</v>
      </c>
      <c r="I122" s="122">
        <f t="shared" si="19"/>
        <v>0.5</v>
      </c>
      <c r="J122" s="123">
        <f>IF($D122="",0,IF($F122&lt;2,0,IF($E122="Win",('Guide &amp; Settings'!$C$42/(($F122-1)*COUNTIFS($A$4:$A$311,$A122,$E$4:$E$311,"Win")))*SUMIFS($X$4:$X$311,$A$4:$A$311,$A122,$E$4:$E$311,"Loss"),-('Guide &amp; Settings'!$C$42/($F122-1))*$X122)))</f>
        <v>23.381678832205775</v>
      </c>
      <c r="K122" s="123">
        <f>IF($D122="",0,'Guide &amp; Settings'!$C$43*(IF($E122="Win",1,0)-$I122))</f>
        <v>6</v>
      </c>
      <c r="L122" s="124">
        <f>IF($D122="",0,'Guide &amp; Settings'!$C$44*IF($F122&gt;=3,$F122+IF($E122="Win",$F122,0),0))</f>
        <v>0</v>
      </c>
      <c r="M122" s="123">
        <f t="shared" si="20"/>
        <v>29.381678832205775</v>
      </c>
      <c r="N122" s="121">
        <f t="shared" si="21"/>
        <v>1012.4533688249381</v>
      </c>
      <c r="O122" s="120" t="str">
        <f t="shared" si="22"/>
        <v>OK</v>
      </c>
      <c r="P122">
        <f t="shared" si="23"/>
        <v>983.07168999273233</v>
      </c>
      <c r="Q122">
        <f t="shared" si="24"/>
        <v>0.5</v>
      </c>
      <c r="R122">
        <f t="shared" si="25"/>
        <v>0.5</v>
      </c>
      <c r="S122">
        <f t="shared" si="26"/>
        <v>1</v>
      </c>
      <c r="T122" s="88">
        <f t="shared" si="27"/>
        <v>0</v>
      </c>
      <c r="U122" s="125">
        <f>IF($D122="",0,IFERROR(LOOKUP(2,1/(($D$3:D121=$D122)*($C$3:C121=$C122)*($A$3:A121&lt;$A122)),$AB$3:AB121),1000))</f>
        <v>1000</v>
      </c>
      <c r="V122" s="125">
        <f t="shared" si="28"/>
        <v>983.07168999273233</v>
      </c>
      <c r="W122">
        <f t="shared" si="29"/>
        <v>983.07168999273233</v>
      </c>
      <c r="X122">
        <f t="shared" si="30"/>
        <v>0.5</v>
      </c>
      <c r="Y122">
        <f t="shared" si="31"/>
        <v>1000</v>
      </c>
      <c r="Z122">
        <f t="shared" si="32"/>
        <v>0.5</v>
      </c>
      <c r="AA122">
        <f>IF($D122="",0,IF($F122&lt;2,0,IF($E122="Win",('Guide &amp; Settings'!$C$42/(($F122-1)*COUNTIFS($A$4:$A$311,$A122,$E$4:$E$311,"Win")))*SUMIFS($Z$4:$Z$311,$A$4:$A$311,$A122,$E$4:$E$311,"Loss"),-('Guide &amp; Settings'!$C$42/($F122-1))*$Z122)))</f>
        <v>16</v>
      </c>
      <c r="AB122" s="125">
        <f t="shared" si="33"/>
        <v>1016</v>
      </c>
      <c r="AC122" s="125">
        <f>IF($D122="","",IF(SUMPRODUCT(MAX(($D$4:$D$311=$D122)*($B$4:$B$311&lt;$B122)*$B$4:$B$311))=0,0,MAX(($B122-SUMPRODUCT(MAX(($D$4:$D$311=$D122)*($B$4:$B$311&lt;$B122)*$B$4:$B$311)))/7-'Guide &amp; Settings'!$C$48,0)*'Guide &amp; Settings'!$C$49))</f>
        <v>0</v>
      </c>
    </row>
    <row r="123" spans="1:29" ht="15" customHeight="1" x14ac:dyDescent="0.2">
      <c r="A123" s="116">
        <v>56</v>
      </c>
      <c r="B123" s="117">
        <v>46188</v>
      </c>
      <c r="C123" s="118" t="s">
        <v>214</v>
      </c>
      <c r="D123" s="118" t="s">
        <v>144</v>
      </c>
      <c r="E123" s="116" t="s">
        <v>317</v>
      </c>
      <c r="F123" s="119">
        <f t="shared" si="17"/>
        <v>2</v>
      </c>
      <c r="G123" s="120" t="str">
        <f t="shared" si="18"/>
        <v>Shawn</v>
      </c>
      <c r="H123" s="121">
        <f>IF($D123="",0,IFERROR(LOOKUP(2,1/(($D$3:D122=$D123)*($A$3:A122&lt;$A123)),$N$3:N122),'Guide &amp; Settings'!$C$41))</f>
        <v>1156.4528965767604</v>
      </c>
      <c r="I123" s="122">
        <f t="shared" si="19"/>
        <v>0.5</v>
      </c>
      <c r="J123" s="123">
        <f>IF($D123="",0,IF($F123&lt;2,0,IF($E123="Win",('Guide &amp; Settings'!$C$42/(($F123-1)*COUNTIFS($A$4:$A$311,$A123,$E$4:$E$311,"Win")))*SUMIFS($X$4:$X$311,$A$4:$A$311,$A123,$E$4:$E$311,"Loss"),-('Guide &amp; Settings'!$C$42/($F123-1))*$X123)))</f>
        <v>-23.381678832205775</v>
      </c>
      <c r="K123" s="123">
        <f>IF($D123="",0,'Guide &amp; Settings'!$C$43*(IF($E123="Win",1,0)-$I123))</f>
        <v>-6</v>
      </c>
      <c r="L123" s="124">
        <f>IF($D123="",0,'Guide &amp; Settings'!$C$44*IF($F123&gt;=3,$F123+IF($E123="Win",$F123,0),0))</f>
        <v>0</v>
      </c>
      <c r="M123" s="123">
        <f t="shared" si="20"/>
        <v>-29.381678832205775</v>
      </c>
      <c r="N123" s="121">
        <f t="shared" si="21"/>
        <v>1127.0712177445546</v>
      </c>
      <c r="O123" s="120" t="str">
        <f t="shared" si="22"/>
        <v>OK</v>
      </c>
      <c r="P123">
        <f t="shared" si="23"/>
        <v>983.07168999273233</v>
      </c>
      <c r="Q123">
        <f t="shared" si="24"/>
        <v>0.73067746350643048</v>
      </c>
      <c r="R123">
        <f t="shared" si="25"/>
        <v>0.5</v>
      </c>
      <c r="S123">
        <f t="shared" si="26"/>
        <v>1</v>
      </c>
      <c r="T123" s="88">
        <f t="shared" si="27"/>
        <v>0</v>
      </c>
      <c r="U123" s="125">
        <f>IF($D123="",0,IFERROR(LOOKUP(2,1/(($D$3:D122=$D123)*($C$3:C122=$C123)*($A$3:A122&lt;$A123)),$AB$3:AB122),1000))</f>
        <v>1000</v>
      </c>
      <c r="V123" s="125">
        <f t="shared" si="28"/>
        <v>1156.4528965767604</v>
      </c>
      <c r="W123">
        <f t="shared" si="29"/>
        <v>983.07168999273233</v>
      </c>
      <c r="X123">
        <f t="shared" si="30"/>
        <v>0.73067746350643048</v>
      </c>
      <c r="Y123">
        <f t="shared" si="31"/>
        <v>1000</v>
      </c>
      <c r="Z123">
        <f t="shared" si="32"/>
        <v>0.5</v>
      </c>
      <c r="AA123">
        <f>IF($D123="",0,IF($F123&lt;2,0,IF($E123="Win",('Guide &amp; Settings'!$C$42/(($F123-1)*COUNTIFS($A$4:$A$311,$A123,$E$4:$E$311,"Win")))*SUMIFS($Z$4:$Z$311,$A$4:$A$311,$A123,$E$4:$E$311,"Loss"),-('Guide &amp; Settings'!$C$42/($F123-1))*$Z123)))</f>
        <v>-16</v>
      </c>
      <c r="AB123" s="125">
        <f t="shared" si="33"/>
        <v>984</v>
      </c>
      <c r="AC123" s="125">
        <f>IF($D123="","",IF(SUMPRODUCT(MAX(($D$4:$D$311=$D123)*($B$4:$B$311&lt;$B123)*$B$4:$B$311))=0,0,MAX(($B123-SUMPRODUCT(MAX(($D$4:$D$311=$D123)*($B$4:$B$311&lt;$B123)*$B$4:$B$311)))/7-'Guide &amp; Settings'!$C$48,0)*'Guide &amp; Settings'!$C$49))</f>
        <v>0</v>
      </c>
    </row>
    <row r="124" spans="1:29" ht="15" customHeight="1" x14ac:dyDescent="0.2">
      <c r="A124" s="116">
        <v>57</v>
      </c>
      <c r="B124" s="117">
        <v>46188</v>
      </c>
      <c r="C124" s="118" t="s">
        <v>214</v>
      </c>
      <c r="D124" s="118" t="s">
        <v>147</v>
      </c>
      <c r="E124" s="116" t="s">
        <v>316</v>
      </c>
      <c r="F124" s="119">
        <f t="shared" si="17"/>
        <v>2</v>
      </c>
      <c r="G124" s="120" t="str">
        <f t="shared" si="18"/>
        <v>David</v>
      </c>
      <c r="H124" s="121">
        <f>IF($D124="",0,IFERROR(LOOKUP(2,1/(($D$3:D123=$D124)*($A$3:A123&lt;$A124)),$N$3:N123),'Guide &amp; Settings'!$C$41))</f>
        <v>941.85442451275833</v>
      </c>
      <c r="I124" s="122">
        <f t="shared" si="19"/>
        <v>0.5</v>
      </c>
      <c r="J124" s="123">
        <f>IF($D124="",0,IF($F124&lt;2,0,IF($E124="Win",('Guide &amp; Settings'!$C$42/(($F124-1)*COUNTIFS($A$4:$A$311,$A124,$E$4:$E$311,"Win")))*SUMIFS($X$4:$X$311,$A$4:$A$311,$A124,$E$4:$E$311,"Loss"),-('Guide &amp; Settings'!$C$42/($F124-1))*$X124)))</f>
        <v>22.158808181125263</v>
      </c>
      <c r="K124" s="123">
        <f>IF($D124="",0,'Guide &amp; Settings'!$C$43*(IF($E124="Win",1,0)-$I124))</f>
        <v>6</v>
      </c>
      <c r="L124" s="124">
        <f>IF($D124="",0,'Guide &amp; Settings'!$C$44*IF($F124&gt;=3,$F124+IF($E124="Win",$F124,0),0))</f>
        <v>0</v>
      </c>
      <c r="M124" s="123">
        <f t="shared" si="20"/>
        <v>28.158808181125263</v>
      </c>
      <c r="N124" s="121">
        <f t="shared" si="21"/>
        <v>970.01323269388354</v>
      </c>
      <c r="O124" s="120" t="str">
        <f t="shared" si="22"/>
        <v>OK</v>
      </c>
      <c r="P124">
        <f t="shared" si="23"/>
        <v>941.85442451275833</v>
      </c>
      <c r="Q124">
        <f t="shared" si="24"/>
        <v>0.5</v>
      </c>
      <c r="R124">
        <f t="shared" si="25"/>
        <v>0.5</v>
      </c>
      <c r="S124">
        <f t="shared" si="26"/>
        <v>1</v>
      </c>
      <c r="T124" s="88">
        <f t="shared" si="27"/>
        <v>0</v>
      </c>
      <c r="U124" s="125">
        <f>IF($D124="",0,IFERROR(LOOKUP(2,1/(($D$3:D123=$D124)*($C$3:C123=$C124)*($A$3:A123&lt;$A124)),$AB$3:AB123),1000))</f>
        <v>1000</v>
      </c>
      <c r="V124" s="125">
        <f t="shared" si="28"/>
        <v>941.85442451275833</v>
      </c>
      <c r="W124">
        <f t="shared" si="29"/>
        <v>941.85442451275833</v>
      </c>
      <c r="X124">
        <f t="shared" si="30"/>
        <v>0.5</v>
      </c>
      <c r="Y124">
        <f t="shared" si="31"/>
        <v>1000</v>
      </c>
      <c r="Z124">
        <f t="shared" si="32"/>
        <v>0.5</v>
      </c>
      <c r="AA124">
        <f>IF($D124="",0,IF($F124&lt;2,0,IF($E124="Win",('Guide &amp; Settings'!$C$42/(($F124-1)*COUNTIFS($A$4:$A$311,$A124,$E$4:$E$311,"Win")))*SUMIFS($Z$4:$Z$311,$A$4:$A$311,$A124,$E$4:$E$311,"Loss"),-('Guide &amp; Settings'!$C$42/($F124-1))*$Z124)))</f>
        <v>16</v>
      </c>
      <c r="AB124" s="125">
        <f t="shared" si="33"/>
        <v>1016</v>
      </c>
      <c r="AC124" s="125">
        <f>IF($D124="","",IF(SUMPRODUCT(MAX(($D$4:$D$311=$D124)*($B$4:$B$311&lt;$B124)*$B$4:$B$311))=0,0,MAX(($B124-SUMPRODUCT(MAX(($D$4:$D$311=$D124)*($B$4:$B$311&lt;$B124)*$B$4:$B$311)))/7-'Guide &amp; Settings'!$C$48,0)*'Guide &amp; Settings'!$C$49))</f>
        <v>0</v>
      </c>
    </row>
    <row r="125" spans="1:29" ht="15" customHeight="1" x14ac:dyDescent="0.2">
      <c r="A125" s="116">
        <v>57</v>
      </c>
      <c r="B125" s="117">
        <v>46188</v>
      </c>
      <c r="C125" s="118" t="s">
        <v>214</v>
      </c>
      <c r="D125" s="118" t="s">
        <v>145</v>
      </c>
      <c r="E125" s="116" t="s">
        <v>317</v>
      </c>
      <c r="F125" s="119">
        <f t="shared" si="17"/>
        <v>2</v>
      </c>
      <c r="G125" s="120" t="str">
        <f t="shared" si="18"/>
        <v>David</v>
      </c>
      <c r="H125" s="121">
        <f>IF($D125="",0,IFERROR(LOOKUP(2,1/(($D$3:D124=$D125)*($A$3:A124&lt;$A125)),$N$3:N124),'Guide &amp; Settings'!$C$41))</f>
        <v>1082.8539049537733</v>
      </c>
      <c r="I125" s="122">
        <f t="shared" si="19"/>
        <v>0.5</v>
      </c>
      <c r="J125" s="123">
        <f>IF($D125="",0,IF($F125&lt;2,0,IF($E125="Win",('Guide &amp; Settings'!$C$42/(($F125-1)*COUNTIFS($A$4:$A$311,$A125,$E$4:$E$311,"Win")))*SUMIFS($X$4:$X$311,$A$4:$A$311,$A125,$E$4:$E$311,"Loss"),-('Guide &amp; Settings'!$C$42/($F125-1))*$X125)))</f>
        <v>-22.158808181125263</v>
      </c>
      <c r="K125" s="123">
        <f>IF($D125="",0,'Guide &amp; Settings'!$C$43*(IF($E125="Win",1,0)-$I125))</f>
        <v>-6</v>
      </c>
      <c r="L125" s="124">
        <f>IF($D125="",0,'Guide &amp; Settings'!$C$44*IF($F125&gt;=3,$F125+IF($E125="Win",$F125,0),0))</f>
        <v>0</v>
      </c>
      <c r="M125" s="123">
        <f t="shared" si="20"/>
        <v>-28.158808181125263</v>
      </c>
      <c r="N125" s="121">
        <f t="shared" si="21"/>
        <v>1054.695096772648</v>
      </c>
      <c r="O125" s="120" t="str">
        <f t="shared" si="22"/>
        <v>OK</v>
      </c>
      <c r="P125">
        <f t="shared" si="23"/>
        <v>941.85442451275833</v>
      </c>
      <c r="Q125">
        <f t="shared" si="24"/>
        <v>0.69246275566016446</v>
      </c>
      <c r="R125">
        <f t="shared" si="25"/>
        <v>0.5</v>
      </c>
      <c r="S125">
        <f t="shared" si="26"/>
        <v>1</v>
      </c>
      <c r="T125" s="88">
        <f t="shared" si="27"/>
        <v>0</v>
      </c>
      <c r="U125" s="125">
        <f>IF($D125="",0,IFERROR(LOOKUP(2,1/(($D$3:D124=$D125)*($C$3:C124=$C125)*($A$3:A124&lt;$A125)),$AB$3:AB124),1000))</f>
        <v>1000</v>
      </c>
      <c r="V125" s="125">
        <f t="shared" si="28"/>
        <v>1082.8539049537733</v>
      </c>
      <c r="W125">
        <f t="shared" si="29"/>
        <v>941.85442451275833</v>
      </c>
      <c r="X125">
        <f t="shared" si="30"/>
        <v>0.69246275566016446</v>
      </c>
      <c r="Y125">
        <f t="shared" si="31"/>
        <v>1000</v>
      </c>
      <c r="Z125">
        <f t="shared" si="32"/>
        <v>0.5</v>
      </c>
      <c r="AA125">
        <f>IF($D125="",0,IF($F125&lt;2,0,IF($E125="Win",('Guide &amp; Settings'!$C$42/(($F125-1)*COUNTIFS($A$4:$A$311,$A125,$E$4:$E$311,"Win")))*SUMIFS($Z$4:$Z$311,$A$4:$A$311,$A125,$E$4:$E$311,"Loss"),-('Guide &amp; Settings'!$C$42/($F125-1))*$Z125)))</f>
        <v>-16</v>
      </c>
      <c r="AB125" s="125">
        <f t="shared" si="33"/>
        <v>984</v>
      </c>
      <c r="AC125" s="125">
        <f>IF($D125="","",IF(SUMPRODUCT(MAX(($D$4:$D$311=$D125)*($B$4:$B$311&lt;$B125)*$B$4:$B$311))=0,0,MAX(($B125-SUMPRODUCT(MAX(($D$4:$D$311=$D125)*($B$4:$B$311&lt;$B125)*$B$4:$B$311)))/7-'Guide &amp; Settings'!$C$48,0)*'Guide &amp; Settings'!$C$49))</f>
        <v>0</v>
      </c>
    </row>
    <row r="126" spans="1:29" ht="15" customHeight="1" x14ac:dyDescent="0.2">
      <c r="A126" s="116">
        <v>58</v>
      </c>
      <c r="B126" s="117">
        <v>46188</v>
      </c>
      <c r="C126" s="118" t="s">
        <v>214</v>
      </c>
      <c r="D126" s="118" t="s">
        <v>174</v>
      </c>
      <c r="E126" s="116" t="s">
        <v>316</v>
      </c>
      <c r="F126" s="119">
        <f t="shared" si="17"/>
        <v>2</v>
      </c>
      <c r="G126" s="120" t="str">
        <f t="shared" si="18"/>
        <v>Dean B</v>
      </c>
      <c r="H126" s="121">
        <f>IF($D126="",0,IFERROR(LOOKUP(2,1/(($D$3:D125=$D126)*($A$3:A125&lt;$A126)),$N$3:N125),'Guide &amp; Settings'!$C$41))</f>
        <v>1054.9321218859973</v>
      </c>
      <c r="I126" s="122">
        <f t="shared" si="19"/>
        <v>0.5</v>
      </c>
      <c r="J126" s="123">
        <f>IF($D126="",0,IF($F126&lt;2,0,IF($E126="Win",('Guide &amp; Settings'!$C$42/(($F126-1)*COUNTIFS($A$4:$A$311,$A126,$E$4:$E$311,"Win")))*SUMIFS($X$4:$X$311,$A$4:$A$311,$A126,$E$4:$E$311,"Loss"),-('Guide &amp; Settings'!$C$42/($F126-1))*$X126)))</f>
        <v>13.259008617988728</v>
      </c>
      <c r="K126" s="123">
        <f>IF($D126="",0,'Guide &amp; Settings'!$C$43*(IF($E126="Win",1,0)-$I126))</f>
        <v>6</v>
      </c>
      <c r="L126" s="124">
        <f>IF($D126="",0,'Guide &amp; Settings'!$C$44*IF($F126&gt;=3,$F126+IF($E126="Win",$F126,0),0))</f>
        <v>0</v>
      </c>
      <c r="M126" s="123">
        <f t="shared" si="20"/>
        <v>19.259008617988727</v>
      </c>
      <c r="N126" s="121">
        <f t="shared" si="21"/>
        <v>1074.191130503986</v>
      </c>
      <c r="O126" s="120" t="str">
        <f t="shared" si="22"/>
        <v>OK</v>
      </c>
      <c r="P126">
        <f t="shared" si="23"/>
        <v>1054.9321218859973</v>
      </c>
      <c r="Q126">
        <f t="shared" si="24"/>
        <v>0.5</v>
      </c>
      <c r="R126">
        <f t="shared" si="25"/>
        <v>0.5</v>
      </c>
      <c r="S126">
        <f t="shared" si="26"/>
        <v>1</v>
      </c>
      <c r="T126" s="88">
        <f t="shared" si="27"/>
        <v>0</v>
      </c>
      <c r="U126" s="125">
        <f>IF($D126="",0,IFERROR(LOOKUP(2,1/(($D$3:D125=$D126)*($C$3:C125=$C126)*($A$3:A125&lt;$A126)),$AB$3:AB125),1000))</f>
        <v>1000</v>
      </c>
      <c r="V126" s="125">
        <f t="shared" si="28"/>
        <v>1054.9321218859973</v>
      </c>
      <c r="W126">
        <f t="shared" si="29"/>
        <v>1054.9321218859973</v>
      </c>
      <c r="X126">
        <f t="shared" si="30"/>
        <v>0.5</v>
      </c>
      <c r="Y126">
        <f t="shared" si="31"/>
        <v>1000</v>
      </c>
      <c r="Z126">
        <f t="shared" si="32"/>
        <v>0.5</v>
      </c>
      <c r="AA126">
        <f>IF($D126="",0,IF($F126&lt;2,0,IF($E126="Win",('Guide &amp; Settings'!$C$42/(($F126-1)*COUNTIFS($A$4:$A$311,$A126,$E$4:$E$311,"Win")))*SUMIFS($Z$4:$Z$311,$A$4:$A$311,$A126,$E$4:$E$311,"Loss"),-('Guide &amp; Settings'!$C$42/($F126-1))*$Z126)))</f>
        <v>16</v>
      </c>
      <c r="AB126" s="125">
        <f t="shared" si="33"/>
        <v>1016</v>
      </c>
      <c r="AC126" s="125">
        <f>IF($D126="","",IF(SUMPRODUCT(MAX(($D$4:$D$311=$D126)*($B$4:$B$311&lt;$B126)*$B$4:$B$311))=0,0,MAX(($B126-SUMPRODUCT(MAX(($D$4:$D$311=$D126)*($B$4:$B$311&lt;$B126)*$B$4:$B$311)))/7-'Guide &amp; Settings'!$C$48,0)*'Guide &amp; Settings'!$C$49))</f>
        <v>0</v>
      </c>
    </row>
    <row r="127" spans="1:29" ht="15" customHeight="1" x14ac:dyDescent="0.2">
      <c r="A127" s="116">
        <v>58</v>
      </c>
      <c r="B127" s="117">
        <v>46188</v>
      </c>
      <c r="C127" s="118" t="s">
        <v>214</v>
      </c>
      <c r="D127" s="118" t="s">
        <v>177</v>
      </c>
      <c r="E127" s="116" t="s">
        <v>317</v>
      </c>
      <c r="F127" s="119">
        <f t="shared" si="17"/>
        <v>2</v>
      </c>
      <c r="G127" s="120" t="str">
        <f t="shared" si="18"/>
        <v>Dean B</v>
      </c>
      <c r="H127" s="121">
        <f>IF($D127="",0,IFERROR(LOOKUP(2,1/(($D$3:D126=$D127)*($A$3:A126&lt;$A127)),$N$3:N126),'Guide &amp; Settings'!$C$41))</f>
        <v>994.81951865923497</v>
      </c>
      <c r="I127" s="122">
        <f t="shared" si="19"/>
        <v>0.5</v>
      </c>
      <c r="J127" s="123">
        <f>IF($D127="",0,IF($F127&lt;2,0,IF($E127="Win",('Guide &amp; Settings'!$C$42/(($F127-1)*COUNTIFS($A$4:$A$311,$A127,$E$4:$E$311,"Win")))*SUMIFS($X$4:$X$311,$A$4:$A$311,$A127,$E$4:$E$311,"Loss"),-('Guide &amp; Settings'!$C$42/($F127-1))*$X127)))</f>
        <v>-13.259008617988728</v>
      </c>
      <c r="K127" s="123">
        <f>IF($D127="",0,'Guide &amp; Settings'!$C$43*(IF($E127="Win",1,0)-$I127))</f>
        <v>-6</v>
      </c>
      <c r="L127" s="124">
        <f>IF($D127="",0,'Guide &amp; Settings'!$C$44*IF($F127&gt;=3,$F127+IF($E127="Win",$F127,0),0))</f>
        <v>0</v>
      </c>
      <c r="M127" s="123">
        <f t="shared" si="20"/>
        <v>-19.259008617988727</v>
      </c>
      <c r="N127" s="121">
        <f t="shared" si="21"/>
        <v>975.56051004124629</v>
      </c>
      <c r="O127" s="120" t="str">
        <f t="shared" si="22"/>
        <v>OK</v>
      </c>
      <c r="P127">
        <f t="shared" si="23"/>
        <v>1054.9321218859973</v>
      </c>
      <c r="Q127">
        <f t="shared" si="24"/>
        <v>0.41434401931214776</v>
      </c>
      <c r="R127">
        <f t="shared" si="25"/>
        <v>0.5</v>
      </c>
      <c r="S127">
        <f t="shared" si="26"/>
        <v>1</v>
      </c>
      <c r="T127" s="88">
        <f t="shared" si="27"/>
        <v>0</v>
      </c>
      <c r="U127" s="125">
        <f>IF($D127="",0,IFERROR(LOOKUP(2,1/(($D$3:D126=$D127)*($C$3:C126=$C127)*($A$3:A126&lt;$A127)),$AB$3:AB126),1000))</f>
        <v>1000</v>
      </c>
      <c r="V127" s="125">
        <f t="shared" si="28"/>
        <v>994.81951865923497</v>
      </c>
      <c r="W127">
        <f t="shared" si="29"/>
        <v>1054.9321218859973</v>
      </c>
      <c r="X127">
        <f t="shared" si="30"/>
        <v>0.41434401931214776</v>
      </c>
      <c r="Y127">
        <f t="shared" si="31"/>
        <v>1000</v>
      </c>
      <c r="Z127">
        <f t="shared" si="32"/>
        <v>0.5</v>
      </c>
      <c r="AA127">
        <f>IF($D127="",0,IF($F127&lt;2,0,IF($E127="Win",('Guide &amp; Settings'!$C$42/(($F127-1)*COUNTIFS($A$4:$A$311,$A127,$E$4:$E$311,"Win")))*SUMIFS($Z$4:$Z$311,$A$4:$A$311,$A127,$E$4:$E$311,"Loss"),-('Guide &amp; Settings'!$C$42/($F127-1))*$Z127)))</f>
        <v>-16</v>
      </c>
      <c r="AB127" s="125">
        <f t="shared" si="33"/>
        <v>984</v>
      </c>
      <c r="AC127" s="125">
        <f>IF($D127="","",IF(SUMPRODUCT(MAX(($D$4:$D$311=$D127)*($B$4:$B$311&lt;$B127)*$B$4:$B$311))=0,0,MAX(($B127-SUMPRODUCT(MAX(($D$4:$D$311=$D127)*($B$4:$B$311&lt;$B127)*$B$4:$B$311)))/7-'Guide &amp; Settings'!$C$48,0)*'Guide &amp; Settings'!$C$49))</f>
        <v>0</v>
      </c>
    </row>
    <row r="128" spans="1:29" ht="15" customHeight="1" x14ac:dyDescent="0.2">
      <c r="A128" s="116">
        <v>59</v>
      </c>
      <c r="B128" s="117">
        <v>46188</v>
      </c>
      <c r="C128" s="118" t="s">
        <v>214</v>
      </c>
      <c r="D128" s="118" t="s">
        <v>175</v>
      </c>
      <c r="E128" s="116" t="s">
        <v>316</v>
      </c>
      <c r="F128" s="119">
        <f t="shared" si="17"/>
        <v>2</v>
      </c>
      <c r="G128" s="120" t="str">
        <f t="shared" si="18"/>
        <v>Simon</v>
      </c>
      <c r="H128" s="121">
        <f>IF($D128="",0,IFERROR(LOOKUP(2,1/(($D$3:D127=$D128)*($A$3:A127&lt;$A128)),$N$3:N127),'Guide &amp; Settings'!$C$41))</f>
        <v>1004.2142857142857</v>
      </c>
      <c r="I128" s="122">
        <f t="shared" si="19"/>
        <v>0.60000000000000009</v>
      </c>
      <c r="J128" s="123">
        <f>IF($D128="",0,IF($F128&lt;2,0,IF($E128="Win",('Guide &amp; Settings'!$C$42/(($F128-1)*COUNTIFS($A$4:$A$311,$A128,$E$4:$E$311,"Win")))*SUMIFS($X$4:$X$311,$A$4:$A$311,$A128,$E$4:$E$311,"Loss"),-('Guide &amp; Settings'!$C$42/($F128-1))*$X128)))</f>
        <v>17.774789003963665</v>
      </c>
      <c r="K128" s="123">
        <f>IF($D128="",0,'Guide &amp; Settings'!$C$43*(IF($E128="Win",1,0)-$I128))</f>
        <v>4.7999999999999989</v>
      </c>
      <c r="L128" s="124">
        <f>IF($D128="",0,'Guide &amp; Settings'!$C$44*IF($F128&gt;=3,$F128+IF($E128="Win",$F128,0),0))</f>
        <v>0</v>
      </c>
      <c r="M128" s="123">
        <f t="shared" si="20"/>
        <v>22.574789003963666</v>
      </c>
      <c r="N128" s="121">
        <f t="shared" si="21"/>
        <v>1026.7890747182494</v>
      </c>
      <c r="O128" s="120" t="str">
        <f t="shared" si="22"/>
        <v>OK</v>
      </c>
      <c r="P128">
        <f t="shared" si="23"/>
        <v>1004.2142857142857</v>
      </c>
      <c r="Q128">
        <f t="shared" si="24"/>
        <v>0.5</v>
      </c>
      <c r="R128">
        <f t="shared" si="25"/>
        <v>0.5</v>
      </c>
      <c r="S128">
        <f t="shared" si="26"/>
        <v>0.83333333333333326</v>
      </c>
      <c r="T128" s="88">
        <f t="shared" si="27"/>
        <v>0</v>
      </c>
      <c r="U128" s="125">
        <f>IF($D128="",0,IFERROR(LOOKUP(2,1/(($D$3:D127=$D128)*($C$3:C127=$C128)*($A$3:A127&lt;$A128)),$AB$3:AB127),1000))</f>
        <v>1000</v>
      </c>
      <c r="V128" s="125">
        <f t="shared" si="28"/>
        <v>1004.2142857142857</v>
      </c>
      <c r="W128">
        <f t="shared" si="29"/>
        <v>1004.2142857142857</v>
      </c>
      <c r="X128">
        <f t="shared" si="30"/>
        <v>0.5</v>
      </c>
      <c r="Y128">
        <f t="shared" si="31"/>
        <v>1000</v>
      </c>
      <c r="Z128">
        <f t="shared" si="32"/>
        <v>0.5</v>
      </c>
      <c r="AA128">
        <f>IF($D128="",0,IF($F128&lt;2,0,IF($E128="Win",('Guide &amp; Settings'!$C$42/(($F128-1)*COUNTIFS($A$4:$A$311,$A128,$E$4:$E$311,"Win")))*SUMIFS($Z$4:$Z$311,$A$4:$A$311,$A128,$E$4:$E$311,"Loss"),-('Guide &amp; Settings'!$C$42/($F128-1))*$Z128)))</f>
        <v>15.263693206478006</v>
      </c>
      <c r="AB128" s="125">
        <f t="shared" si="33"/>
        <v>1015.263693206478</v>
      </c>
      <c r="AC128" s="125">
        <f>IF($D128="","",IF(SUMPRODUCT(MAX(($D$4:$D$311=$D128)*($B$4:$B$311&lt;$B128)*$B$4:$B$311))=0,0,MAX(($B128-SUMPRODUCT(MAX(($D$4:$D$311=$D128)*($B$4:$B$311&lt;$B128)*$B$4:$B$311)))/7-'Guide &amp; Settings'!$C$48,0)*'Guide &amp; Settings'!$C$49))</f>
        <v>0</v>
      </c>
    </row>
    <row r="129" spans="1:29" ht="15" customHeight="1" x14ac:dyDescent="0.2">
      <c r="A129" s="116">
        <v>59</v>
      </c>
      <c r="B129" s="117">
        <v>46188</v>
      </c>
      <c r="C129" s="118" t="s">
        <v>214</v>
      </c>
      <c r="D129" s="118" t="s">
        <v>145</v>
      </c>
      <c r="E129" s="116" t="s">
        <v>317</v>
      </c>
      <c r="F129" s="119">
        <f t="shared" si="17"/>
        <v>2</v>
      </c>
      <c r="G129" s="120" t="str">
        <f t="shared" si="18"/>
        <v>Simon</v>
      </c>
      <c r="H129" s="121">
        <f>IF($D129="",0,IFERROR(LOOKUP(2,1/(($D$3:D128=$D129)*($A$3:A128&lt;$A129)),$N$3:N128),'Guide &amp; Settings'!$C$41))</f>
        <v>1054.695096772648</v>
      </c>
      <c r="I129" s="122">
        <f t="shared" si="19"/>
        <v>0.4</v>
      </c>
      <c r="J129" s="123">
        <f>IF($D129="",0,IF($F129&lt;2,0,IF($E129="Win",('Guide &amp; Settings'!$C$42/(($F129-1)*COUNTIFS($A$4:$A$311,$A129,$E$4:$E$311,"Win")))*SUMIFS($X$4:$X$311,$A$4:$A$311,$A129,$E$4:$E$311,"Loss"),-('Guide &amp; Settings'!$C$42/($F129-1))*$X129)))</f>
        <v>-17.774789003963665</v>
      </c>
      <c r="K129" s="123">
        <f>IF($D129="",0,'Guide &amp; Settings'!$C$43*(IF($E129="Win",1,0)-$I129))</f>
        <v>-4.8000000000000007</v>
      </c>
      <c r="L129" s="124">
        <f>IF($D129="",0,'Guide &amp; Settings'!$C$44*IF($F129&gt;=3,$F129+IF($E129="Win",$F129,0),0))</f>
        <v>0</v>
      </c>
      <c r="M129" s="123">
        <f t="shared" si="20"/>
        <v>-22.574789003963666</v>
      </c>
      <c r="N129" s="121">
        <f t="shared" si="21"/>
        <v>1032.1203077686844</v>
      </c>
      <c r="O129" s="120" t="str">
        <f t="shared" si="22"/>
        <v>OK</v>
      </c>
      <c r="P129">
        <f t="shared" si="23"/>
        <v>1004.2142857142857</v>
      </c>
      <c r="Q129">
        <f t="shared" si="24"/>
        <v>0.57214079072813107</v>
      </c>
      <c r="R129">
        <f t="shared" si="25"/>
        <v>0.33333333333333331</v>
      </c>
      <c r="S129">
        <f t="shared" si="26"/>
        <v>0.83333333333333326</v>
      </c>
      <c r="T129" s="88">
        <f t="shared" si="27"/>
        <v>1</v>
      </c>
      <c r="U129" s="125">
        <f>IF($D129="",0,IFERROR(LOOKUP(2,1/(($D$3:D128=$D129)*($C$3:C128=$C129)*($A$3:A128&lt;$A129)),$AB$3:AB128),1000))</f>
        <v>984</v>
      </c>
      <c r="V129" s="125">
        <f t="shared" si="28"/>
        <v>1042.9125806438733</v>
      </c>
      <c r="W129">
        <f t="shared" si="29"/>
        <v>1004.2142857142857</v>
      </c>
      <c r="X129">
        <f t="shared" si="30"/>
        <v>0.55546215637386454</v>
      </c>
      <c r="Y129">
        <f t="shared" si="31"/>
        <v>1000</v>
      </c>
      <c r="Z129">
        <f t="shared" si="32"/>
        <v>0.47699041270243769</v>
      </c>
      <c r="AA129">
        <f>IF($D129="",0,IF($F129&lt;2,0,IF($E129="Win",('Guide &amp; Settings'!$C$42/(($F129-1)*COUNTIFS($A$4:$A$311,$A129,$E$4:$E$311,"Win")))*SUMIFS($Z$4:$Z$311,$A$4:$A$311,$A129,$E$4:$E$311,"Loss"),-('Guide &amp; Settings'!$C$42/($F129-1))*$Z129)))</f>
        <v>-15.263693206478006</v>
      </c>
      <c r="AB129" s="125">
        <f t="shared" si="33"/>
        <v>968.73630679352198</v>
      </c>
      <c r="AC129" s="125">
        <f>IF($D129="","",IF(SUMPRODUCT(MAX(($D$4:$D$311=$D129)*($B$4:$B$311&lt;$B129)*$B$4:$B$311))=0,0,MAX(($B129-SUMPRODUCT(MAX(($D$4:$D$311=$D129)*($B$4:$B$311&lt;$B129)*$B$4:$B$311)))/7-'Guide &amp; Settings'!$C$48,0)*'Guide &amp; Settings'!$C$49))</f>
        <v>0</v>
      </c>
    </row>
    <row r="130" spans="1:29" ht="15" customHeight="1" x14ac:dyDescent="0.2">
      <c r="A130" s="116">
        <v>60</v>
      </c>
      <c r="B130" s="117">
        <v>46188</v>
      </c>
      <c r="C130" s="118" t="s">
        <v>214</v>
      </c>
      <c r="D130" s="118" t="s">
        <v>142</v>
      </c>
      <c r="E130" s="116" t="s">
        <v>316</v>
      </c>
      <c r="F130" s="119">
        <f t="shared" si="17"/>
        <v>2</v>
      </c>
      <c r="G130" s="120" t="str">
        <f t="shared" si="18"/>
        <v>Beau</v>
      </c>
      <c r="H130" s="121">
        <f>IF($D130="",0,IFERROR(LOOKUP(2,1/(($D$3:D129=$D130)*($A$3:A129&lt;$A130)),$N$3:N129),'Guide &amp; Settings'!$C$41))</f>
        <v>975.34219391622196</v>
      </c>
      <c r="I130" s="122">
        <f t="shared" si="19"/>
        <v>0.5</v>
      </c>
      <c r="J130" s="123">
        <f>IF($D130="",0,IF($F130&lt;2,0,IF($E130="Win",('Guide &amp; Settings'!$C$42/(($F130-1)*COUNTIFS($A$4:$A$311,$A130,$E$4:$E$311,"Win")))*SUMIFS($X$4:$X$311,$A$4:$A$311,$A130,$E$4:$E$311,"Loss"),-('Guide &amp; Settings'!$C$42/($F130-1))*$X130)))</f>
        <v>13.240059611344664</v>
      </c>
      <c r="K130" s="123">
        <f>IF($D130="",0,'Guide &amp; Settings'!$C$43*(IF($E130="Win",1,0)-$I130))</f>
        <v>6</v>
      </c>
      <c r="L130" s="124">
        <f>IF($D130="",0,'Guide &amp; Settings'!$C$44*IF($F130&gt;=3,$F130+IF($E130="Win",$F130,0),0))</f>
        <v>0</v>
      </c>
      <c r="M130" s="123">
        <f t="shared" si="20"/>
        <v>19.240059611344662</v>
      </c>
      <c r="N130" s="121">
        <f t="shared" si="21"/>
        <v>994.58225352756665</v>
      </c>
      <c r="O130" s="120" t="str">
        <f t="shared" si="22"/>
        <v>OK</v>
      </c>
      <c r="P130">
        <f t="shared" si="23"/>
        <v>975.34219391622196</v>
      </c>
      <c r="Q130">
        <f t="shared" si="24"/>
        <v>0.5</v>
      </c>
      <c r="R130">
        <f t="shared" si="25"/>
        <v>0.5</v>
      </c>
      <c r="S130">
        <f t="shared" si="26"/>
        <v>1</v>
      </c>
      <c r="T130" s="88">
        <f t="shared" si="27"/>
        <v>0</v>
      </c>
      <c r="U130" s="125">
        <f>IF($D130="",0,IFERROR(LOOKUP(2,1/(($D$3:D129=$D130)*($C$3:C129=$C130)*($A$3:A129&lt;$A130)),$AB$3:AB129),1000))</f>
        <v>1000</v>
      </c>
      <c r="V130" s="125">
        <f t="shared" si="28"/>
        <v>975.34219391622196</v>
      </c>
      <c r="W130">
        <f t="shared" si="29"/>
        <v>975.34219391622196</v>
      </c>
      <c r="X130">
        <f t="shared" si="30"/>
        <v>0.5</v>
      </c>
      <c r="Y130">
        <f t="shared" si="31"/>
        <v>1000</v>
      </c>
      <c r="Z130">
        <f t="shared" si="32"/>
        <v>0.5</v>
      </c>
      <c r="AA130">
        <f>IF($D130="",0,IF($F130&lt;2,0,IF($E130="Win",('Guide &amp; Settings'!$C$42/(($F130-1)*COUNTIFS($A$4:$A$311,$A130,$E$4:$E$311,"Win")))*SUMIFS($Z$4:$Z$311,$A$4:$A$311,$A130,$E$4:$E$311,"Loss"),-('Guide &amp; Settings'!$C$42/($F130-1))*$Z130)))</f>
        <v>16</v>
      </c>
      <c r="AB130" s="125">
        <f t="shared" si="33"/>
        <v>1016</v>
      </c>
      <c r="AC130" s="125">
        <f>IF($D130="","",IF(SUMPRODUCT(MAX(($D$4:$D$311=$D130)*($B$4:$B$311&lt;$B130)*$B$4:$B$311))=0,0,MAX(($B130-SUMPRODUCT(MAX(($D$4:$D$311=$D130)*($B$4:$B$311&lt;$B130)*$B$4:$B$311)))/7-'Guide &amp; Settings'!$C$48,0)*'Guide &amp; Settings'!$C$49))</f>
        <v>0</v>
      </c>
    </row>
    <row r="131" spans="1:29" ht="15" customHeight="1" x14ac:dyDescent="0.2">
      <c r="A131" s="116">
        <v>60</v>
      </c>
      <c r="B131" s="117">
        <v>46188</v>
      </c>
      <c r="C131" s="118" t="s">
        <v>214</v>
      </c>
      <c r="D131" s="118" t="s">
        <v>182</v>
      </c>
      <c r="E131" s="116" t="s">
        <v>317</v>
      </c>
      <c r="F131" s="119">
        <f t="shared" si="17"/>
        <v>2</v>
      </c>
      <c r="G131" s="120" t="str">
        <f t="shared" si="18"/>
        <v>Beau</v>
      </c>
      <c r="H131" s="121">
        <f>IF($D131="",0,IFERROR(LOOKUP(2,1/(($D$3:D130=$D131)*($A$3:A130&lt;$A131)),$N$3:N130),'Guide &amp; Settings'!$C$41))</f>
        <v>914.80558848258727</v>
      </c>
      <c r="I131" s="122">
        <f t="shared" si="19"/>
        <v>0.5</v>
      </c>
      <c r="J131" s="123">
        <f>IF($D131="",0,IF($F131&lt;2,0,IF($E131="Win",('Guide &amp; Settings'!$C$42/(($F131-1)*COUNTIFS($A$4:$A$311,$A131,$E$4:$E$311,"Win")))*SUMIFS($X$4:$X$311,$A$4:$A$311,$A131,$E$4:$E$311,"Loss"),-('Guide &amp; Settings'!$C$42/($F131-1))*$X131)))</f>
        <v>-13.240059611344664</v>
      </c>
      <c r="K131" s="123">
        <f>IF($D131="",0,'Guide &amp; Settings'!$C$43*(IF($E131="Win",1,0)-$I131))</f>
        <v>-6</v>
      </c>
      <c r="L131" s="124">
        <f>IF($D131="",0,'Guide &amp; Settings'!$C$44*IF($F131&gt;=3,$F131+IF($E131="Win",$F131,0),0))</f>
        <v>0</v>
      </c>
      <c r="M131" s="123">
        <f t="shared" si="20"/>
        <v>-19.240059611344662</v>
      </c>
      <c r="N131" s="121">
        <f t="shared" si="21"/>
        <v>895.56552887124258</v>
      </c>
      <c r="O131" s="120" t="str">
        <f t="shared" si="22"/>
        <v>OK</v>
      </c>
      <c r="P131">
        <f t="shared" si="23"/>
        <v>975.34219391622196</v>
      </c>
      <c r="Q131">
        <f t="shared" si="24"/>
        <v>0.41375186285452076</v>
      </c>
      <c r="R131">
        <f t="shared" si="25"/>
        <v>0.5</v>
      </c>
      <c r="S131">
        <f t="shared" si="26"/>
        <v>1</v>
      </c>
      <c r="T131" s="88">
        <f t="shared" si="27"/>
        <v>0</v>
      </c>
      <c r="U131" s="125">
        <f>IF($D131="",0,IFERROR(LOOKUP(2,1/(($D$3:D130=$D131)*($C$3:C130=$C131)*($A$3:A130&lt;$A131)),$AB$3:AB130),1000))</f>
        <v>1000</v>
      </c>
      <c r="V131" s="125">
        <f t="shared" si="28"/>
        <v>914.80558848258727</v>
      </c>
      <c r="W131">
        <f t="shared" si="29"/>
        <v>975.34219391622196</v>
      </c>
      <c r="X131">
        <f t="shared" si="30"/>
        <v>0.41375186285452076</v>
      </c>
      <c r="Y131">
        <f t="shared" si="31"/>
        <v>1000</v>
      </c>
      <c r="Z131">
        <f t="shared" si="32"/>
        <v>0.5</v>
      </c>
      <c r="AA131">
        <f>IF($D131="",0,IF($F131&lt;2,0,IF($E131="Win",('Guide &amp; Settings'!$C$42/(($F131-1)*COUNTIFS($A$4:$A$311,$A131,$E$4:$E$311,"Win")))*SUMIFS($Z$4:$Z$311,$A$4:$A$311,$A131,$E$4:$E$311,"Loss"),-('Guide &amp; Settings'!$C$42/($F131-1))*$Z131)))</f>
        <v>-16</v>
      </c>
      <c r="AB131" s="125">
        <f t="shared" si="33"/>
        <v>984</v>
      </c>
      <c r="AC131" s="125">
        <f>IF($D131="","",IF(SUMPRODUCT(MAX(($D$4:$D$311=$D131)*($B$4:$B$311&lt;$B131)*$B$4:$B$311))=0,0,MAX(($B131-SUMPRODUCT(MAX(($D$4:$D$311=$D131)*($B$4:$B$311&lt;$B131)*$B$4:$B$311)))/7-'Guide &amp; Settings'!$C$48,0)*'Guide &amp; Settings'!$C$49))</f>
        <v>0</v>
      </c>
    </row>
    <row r="132" spans="1:29" ht="15" customHeight="1" x14ac:dyDescent="0.2">
      <c r="A132" s="116">
        <v>61</v>
      </c>
      <c r="B132" s="117">
        <v>46188</v>
      </c>
      <c r="C132" s="118" t="s">
        <v>214</v>
      </c>
      <c r="D132" s="118" t="s">
        <v>176</v>
      </c>
      <c r="E132" s="116" t="s">
        <v>316</v>
      </c>
      <c r="F132" s="119">
        <f t="shared" ref="F132:F195" si="34">IF($D132="",0,COUNTIF($A$4:$A$311,$A132))</f>
        <v>2</v>
      </c>
      <c r="G132" s="120" t="str">
        <f t="shared" ref="G132:G195" si="35">IF($D132="","",IFERROR(LOOKUP(2,1/(($A$4:$A$311=$A132)*($E$4:$E$311="Win")),$D$4:$D$311),"(no winner)"))</f>
        <v>Oscar</v>
      </c>
      <c r="H132" s="121">
        <f>IF($D132="",0,IFERROR(LOOKUP(2,1/(($D$3:D131=$D132)*($A$3:A131&lt;$A132)),$N$3:N131),'Guide &amp; Settings'!$C$41))</f>
        <v>987.03899737278562</v>
      </c>
      <c r="I132" s="122">
        <f t="shared" ref="I132:I195" si="36">IF($D132="",0,IF($S132=0,0,$R132/$S132))</f>
        <v>0.4285714285714286</v>
      </c>
      <c r="J132" s="123">
        <f>IF($D132="",0,IF($F132&lt;2,0,IF($E132="Win",('Guide &amp; Settings'!$C$42/(($F132-1)*COUNTIFS($A$4:$A$311,$A132,$E$4:$E$311,"Win")))*SUMIFS($X$4:$X$311,$A$4:$A$311,$A132,$E$4:$E$311,"Loss"),-('Guide &amp; Settings'!$C$42/($F132-1))*$X132)))</f>
        <v>17.195364950846631</v>
      </c>
      <c r="K132" s="123">
        <f>IF($D132="",0,'Guide &amp; Settings'!$C$43*(IF($E132="Win",1,0)-$I132))</f>
        <v>6.8571428571428568</v>
      </c>
      <c r="L132" s="124">
        <f>IF($D132="",0,'Guide &amp; Settings'!$C$44*IF($F132&gt;=3,$F132+IF($E132="Win",$F132,0),0))</f>
        <v>0</v>
      </c>
      <c r="M132" s="123">
        <f t="shared" ref="M132:M195" si="37">IF($D132="",0,$J132+$K132+$L132)</f>
        <v>24.052507807989489</v>
      </c>
      <c r="N132" s="121">
        <f t="shared" ref="N132:N195" si="38">IF($D132="",0,$H132+$M132)</f>
        <v>1011.0915051807751</v>
      </c>
      <c r="O132" s="120" t="str">
        <f t="shared" ref="O132:O195" si="39">IF($D132="","",IF(COUNTIFS($A$4:$A$311,$A132,$E$4:$E$311,"Win")=0,"need a winner",IF(COUNTIFS($A$4:$A$311,$A132,$E$4:$E$311,"Loss")=0,"need a loser",IF(COUNTIFS($A$4:$A$311,$A132,$D$4:$D$311,$D132)&gt;1,"duplicate player","OK"))))</f>
        <v>OK</v>
      </c>
      <c r="P132">
        <f t="shared" ref="P132:P195" si="40">IF($D132="",0,IFERROR(SUMIFS($H$4:$H$311,$A$4:$A$311,$A132,$E$4:$E$311,"Win")/COUNTIFS($A$4:$A$311,$A132,$E$4:$E$311,"Win"),0))</f>
        <v>987.03899737278562</v>
      </c>
      <c r="Q132">
        <f t="shared" ref="Q132:Q195" si="41">IF($D132="",0,1/(1+10^(($P132-$H132)/400)))</f>
        <v>0.5</v>
      </c>
      <c r="R132">
        <f t="shared" ref="R132:R195" si="42">IF($D132="",0,(COUNTIFS($D$4:$D$311,$D132,$C$4:$C$311,$C132,$E$4:$E$311,"Win",$A$4:$A$311,"&lt;"&amp;$A132)+1)/(COUNTIFS($D$4:$D$311,$D132,$C$4:$C$311,$C132,$A$4:$A$311,"&lt;"&amp;$A132)+2))</f>
        <v>0.5</v>
      </c>
      <c r="S132">
        <f t="shared" ref="S132:S195" si="43">IF($D132="",0,SUMIFS($R$4:$R$311,$A$4:$A$311,$A132))</f>
        <v>1.1666666666666665</v>
      </c>
      <c r="T132" s="88">
        <f t="shared" ref="T132:T195" si="44">IF($D132="",0,COUNTIFS($D$4:$D$311,$D132,$C$4:$C$311,$C132,$A$4:$A$311,"&lt;"&amp;$A132))</f>
        <v>0</v>
      </c>
      <c r="U132" s="125">
        <f>IF($D132="",0,IFERROR(LOOKUP(2,1/(($D$3:D131=$D132)*($C$3:C131=$C132)*($A$3:A131&lt;$A132)),$AB$3:AB131),1000))</f>
        <v>1000</v>
      </c>
      <c r="V132" s="125">
        <f t="shared" ref="V132:V195" si="45">IF($D132="",0,$U132*($T132/($T132+5))+$H132*(1-$T132/($T132+5)))</f>
        <v>987.03899737278562</v>
      </c>
      <c r="W132">
        <f t="shared" ref="W132:W195" si="46">IF($D132="",0,IFERROR(SUMIFS($V$4:$V$311,$A$4:$A$311,$A132,$E$4:$E$311,"Win")/COUNTIFS($A$4:$A$311,$A132,$E$4:$E$311,"Win"),0))</f>
        <v>987.03899737278562</v>
      </c>
      <c r="X132">
        <f t="shared" ref="X132:X195" si="47">IF($D132="",0,1/(1+10^(($W132-$V132)/400)))</f>
        <v>0.5</v>
      </c>
      <c r="Y132">
        <f t="shared" ref="Y132:Y195" si="48">IF($D132="",0,IFERROR(SUMIFS($U$4:$U$311,$A$4:$A$311,$A132,$E$4:$E$311,"Win")/COUNTIFS($A$4:$A$311,$A132,$E$4:$E$311,"Win"),0))</f>
        <v>1000</v>
      </c>
      <c r="Z132">
        <f t="shared" ref="Z132:Z195" si="49">IF($D132="",0,1/(1+10^(($Y132-$U132)/400)))</f>
        <v>0.5</v>
      </c>
      <c r="AA132">
        <f>IF($D132="",0,IF($F132&lt;2,0,IF($E132="Win",('Guide &amp; Settings'!$C$42/(($F132-1)*COUNTIFS($A$4:$A$311,$A132,$E$4:$E$311,"Win")))*SUMIFS($Z$4:$Z$311,$A$4:$A$311,$A132,$E$4:$E$311,"Loss"),-('Guide &amp; Settings'!$C$42/($F132-1))*$Z132)))</f>
        <v>16.736306793521994</v>
      </c>
      <c r="AB132" s="125">
        <f t="shared" ref="AB132:AB195" si="50">IF($D132="",0,$U132+$AA132)</f>
        <v>1016.736306793522</v>
      </c>
      <c r="AC132" s="125">
        <f>IF($D132="","",IF(SUMPRODUCT(MAX(($D$4:$D$311=$D132)*($B$4:$B$311&lt;$B132)*$B$4:$B$311))=0,0,MAX(($B132-SUMPRODUCT(MAX(($D$4:$D$311=$D132)*($B$4:$B$311&lt;$B132)*$B$4:$B$311)))/7-'Guide &amp; Settings'!$C$48,0)*'Guide &amp; Settings'!$C$49))</f>
        <v>0</v>
      </c>
    </row>
    <row r="133" spans="1:29" ht="15" customHeight="1" x14ac:dyDescent="0.2">
      <c r="A133" s="116">
        <v>61</v>
      </c>
      <c r="B133" s="117">
        <v>46188</v>
      </c>
      <c r="C133" s="118" t="s">
        <v>214</v>
      </c>
      <c r="D133" s="118" t="s">
        <v>141</v>
      </c>
      <c r="E133" s="116" t="s">
        <v>317</v>
      </c>
      <c r="F133" s="119">
        <f t="shared" si="34"/>
        <v>2</v>
      </c>
      <c r="G133" s="120" t="str">
        <f t="shared" si="35"/>
        <v>Oscar</v>
      </c>
      <c r="H133" s="121">
        <f>IF($D133="",0,IFERROR(LOOKUP(2,1/(($D$3:D132=$D133)*($A$3:A132&lt;$A133)),$N$3:N132),'Guide &amp; Settings'!$C$41))</f>
        <v>1012.4533688249381</v>
      </c>
      <c r="I133" s="122">
        <f t="shared" si="36"/>
        <v>0.57142857142857151</v>
      </c>
      <c r="J133" s="123">
        <f>IF($D133="",0,IF($F133&lt;2,0,IF($E133="Win",('Guide &amp; Settings'!$C$42/(($F133-1)*COUNTIFS($A$4:$A$311,$A133,$E$4:$E$311,"Win")))*SUMIFS($X$4:$X$311,$A$4:$A$311,$A133,$E$4:$E$311,"Loss"),-('Guide &amp; Settings'!$C$42/($F133-1))*$X133)))</f>
        <v>-17.195364950846631</v>
      </c>
      <c r="K133" s="123">
        <f>IF($D133="",0,'Guide &amp; Settings'!$C$43*(IF($E133="Win",1,0)-$I133))</f>
        <v>-6.8571428571428577</v>
      </c>
      <c r="L133" s="124">
        <f>IF($D133="",0,'Guide &amp; Settings'!$C$44*IF($F133&gt;=3,$F133+IF($E133="Win",$F133,0),0))</f>
        <v>0</v>
      </c>
      <c r="M133" s="123">
        <f t="shared" si="37"/>
        <v>-24.052507807989489</v>
      </c>
      <c r="N133" s="121">
        <f t="shared" si="38"/>
        <v>988.40086101694862</v>
      </c>
      <c r="O133" s="120" t="str">
        <f t="shared" si="39"/>
        <v>OK</v>
      </c>
      <c r="P133">
        <f t="shared" si="40"/>
        <v>987.03899737278562</v>
      </c>
      <c r="Q133">
        <f t="shared" si="41"/>
        <v>0.53650912735469414</v>
      </c>
      <c r="R133">
        <f t="shared" si="42"/>
        <v>0.66666666666666663</v>
      </c>
      <c r="S133">
        <f t="shared" si="43"/>
        <v>1.1666666666666665</v>
      </c>
      <c r="T133" s="88">
        <f t="shared" si="44"/>
        <v>1</v>
      </c>
      <c r="U133" s="125">
        <f>IF($D133="",0,IFERROR(LOOKUP(2,1/(($D$3:D132=$D133)*($C$3:C132=$C133)*($A$3:A132&lt;$A133)),$AB$3:AB132),1000))</f>
        <v>1016</v>
      </c>
      <c r="V133" s="125">
        <f t="shared" si="45"/>
        <v>1013.0444740207818</v>
      </c>
      <c r="W133">
        <f t="shared" si="46"/>
        <v>987.03899737278562</v>
      </c>
      <c r="X133">
        <f t="shared" si="47"/>
        <v>0.53735515471395723</v>
      </c>
      <c r="Y133">
        <f t="shared" si="48"/>
        <v>1000</v>
      </c>
      <c r="Z133">
        <f t="shared" si="49"/>
        <v>0.52300958729756231</v>
      </c>
      <c r="AA133">
        <f>IF($D133="",0,IF($F133&lt;2,0,IF($E133="Win",('Guide &amp; Settings'!$C$42/(($F133-1)*COUNTIFS($A$4:$A$311,$A133,$E$4:$E$311,"Win")))*SUMIFS($Z$4:$Z$311,$A$4:$A$311,$A133,$E$4:$E$311,"Loss"),-('Guide &amp; Settings'!$C$42/($F133-1))*$Z133)))</f>
        <v>-16.736306793521994</v>
      </c>
      <c r="AB133" s="125">
        <f t="shared" si="50"/>
        <v>999.26369320647802</v>
      </c>
      <c r="AC133" s="125">
        <f>IF($D133="","",IF(SUMPRODUCT(MAX(($D$4:$D$311=$D133)*($B$4:$B$311&lt;$B133)*$B$4:$B$311))=0,0,MAX(($B133-SUMPRODUCT(MAX(($D$4:$D$311=$D133)*($B$4:$B$311&lt;$B133)*$B$4:$B$311)))/7-'Guide &amp; Settings'!$C$48,0)*'Guide &amp; Settings'!$C$49))</f>
        <v>0</v>
      </c>
    </row>
    <row r="134" spans="1:29" ht="15" customHeight="1" x14ac:dyDescent="0.2">
      <c r="A134" s="116">
        <v>62</v>
      </c>
      <c r="B134" s="117">
        <v>46188</v>
      </c>
      <c r="C134" s="118" t="s">
        <v>214</v>
      </c>
      <c r="D134" s="118" t="s">
        <v>174</v>
      </c>
      <c r="E134" s="116" t="s">
        <v>316</v>
      </c>
      <c r="F134" s="119">
        <f t="shared" si="34"/>
        <v>2</v>
      </c>
      <c r="G134" s="120" t="str">
        <f t="shared" si="35"/>
        <v>Dean B</v>
      </c>
      <c r="H134" s="121">
        <f>IF($D134="",0,IFERROR(LOOKUP(2,1/(($D$3:D133=$D134)*($A$3:A133&lt;$A134)),$N$3:N133),'Guide &amp; Settings'!$C$41))</f>
        <v>1074.191130503986</v>
      </c>
      <c r="I134" s="122">
        <f t="shared" si="36"/>
        <v>0.5</v>
      </c>
      <c r="J134" s="123">
        <f>IF($D134="",0,IF($F134&lt;2,0,IF($E134="Win",('Guide &amp; Settings'!$C$42/(($F134-1)*COUNTIFS($A$4:$A$311,$A134,$E$4:$E$311,"Win")))*SUMIFS($X$4:$X$311,$A$4:$A$311,$A134,$E$4:$E$311,"Loss"),-('Guide &amp; Settings'!$C$42/($F134-1))*$X134)))</f>
        <v>12.08320538987059</v>
      </c>
      <c r="K134" s="123">
        <f>IF($D134="",0,'Guide &amp; Settings'!$C$43*(IF($E134="Win",1,0)-$I134))</f>
        <v>6</v>
      </c>
      <c r="L134" s="124">
        <f>IF($D134="",0,'Guide &amp; Settings'!$C$44*IF($F134&gt;=3,$F134+IF($E134="Win",$F134,0),0))</f>
        <v>0</v>
      </c>
      <c r="M134" s="123">
        <f t="shared" si="37"/>
        <v>18.083205389870592</v>
      </c>
      <c r="N134" s="121">
        <f t="shared" si="38"/>
        <v>1092.2743358938565</v>
      </c>
      <c r="O134" s="120" t="str">
        <f t="shared" si="39"/>
        <v>OK</v>
      </c>
      <c r="P134">
        <f t="shared" si="40"/>
        <v>1074.191130503986</v>
      </c>
      <c r="Q134">
        <f t="shared" si="41"/>
        <v>0.5</v>
      </c>
      <c r="R134">
        <f t="shared" si="42"/>
        <v>0.66666666666666663</v>
      </c>
      <c r="S134">
        <f t="shared" si="43"/>
        <v>1.3333333333333333</v>
      </c>
      <c r="T134" s="88">
        <f t="shared" si="44"/>
        <v>1</v>
      </c>
      <c r="U134" s="125">
        <f>IF($D134="",0,IFERROR(LOOKUP(2,1/(($D$3:D133=$D134)*($C$3:C133=$C134)*($A$3:A133&lt;$A134)),$AB$3:AB133),1000))</f>
        <v>1016</v>
      </c>
      <c r="V134" s="125">
        <f t="shared" si="45"/>
        <v>1064.4926087533217</v>
      </c>
      <c r="W134">
        <f t="shared" si="46"/>
        <v>1064.4926087533217</v>
      </c>
      <c r="X134">
        <f t="shared" si="47"/>
        <v>0.5</v>
      </c>
      <c r="Y134">
        <f t="shared" si="48"/>
        <v>1016</v>
      </c>
      <c r="Z134">
        <f t="shared" si="49"/>
        <v>0.5</v>
      </c>
      <c r="AA134">
        <f>IF($D134="",0,IF($F134&lt;2,0,IF($E134="Win",('Guide &amp; Settings'!$C$42/(($F134-1)*COUNTIFS($A$4:$A$311,$A134,$E$4:$E$311,"Win")))*SUMIFS($Z$4:$Z$311,$A$4:$A$311,$A134,$E$4:$E$311,"Loss"),-('Guide &amp; Settings'!$C$42/($F134-1))*$Z134)))</f>
        <v>16</v>
      </c>
      <c r="AB134" s="125">
        <f t="shared" si="50"/>
        <v>1032</v>
      </c>
      <c r="AC134" s="125">
        <f>IF($D134="","",IF(SUMPRODUCT(MAX(($D$4:$D$311=$D134)*($B$4:$B$311&lt;$B134)*$B$4:$B$311))=0,0,MAX(($B134-SUMPRODUCT(MAX(($D$4:$D$311=$D134)*($B$4:$B$311&lt;$B134)*$B$4:$B$311)))/7-'Guide &amp; Settings'!$C$48,0)*'Guide &amp; Settings'!$C$49))</f>
        <v>0</v>
      </c>
    </row>
    <row r="135" spans="1:29" ht="15" customHeight="1" x14ac:dyDescent="0.2">
      <c r="A135" s="116">
        <v>62</v>
      </c>
      <c r="B135" s="117">
        <v>46188</v>
      </c>
      <c r="C135" s="118" t="s">
        <v>214</v>
      </c>
      <c r="D135" s="118" t="s">
        <v>147</v>
      </c>
      <c r="E135" s="116" t="s">
        <v>317</v>
      </c>
      <c r="F135" s="119">
        <f t="shared" si="34"/>
        <v>2</v>
      </c>
      <c r="G135" s="120" t="str">
        <f t="shared" si="35"/>
        <v>Dean B</v>
      </c>
      <c r="H135" s="121">
        <f>IF($D135="",0,IFERROR(LOOKUP(2,1/(($D$3:D134=$D135)*($A$3:A134&lt;$A135)),$N$3:N134),'Guide &amp; Settings'!$C$41))</f>
        <v>970.01323269388354</v>
      </c>
      <c r="I135" s="122">
        <f t="shared" si="36"/>
        <v>0.5</v>
      </c>
      <c r="J135" s="123">
        <f>IF($D135="",0,IF($F135&lt;2,0,IF($E135="Win",('Guide &amp; Settings'!$C$42/(($F135-1)*COUNTIFS($A$4:$A$311,$A135,$E$4:$E$311,"Win")))*SUMIFS($X$4:$X$311,$A$4:$A$311,$A135,$E$4:$E$311,"Loss"),-('Guide &amp; Settings'!$C$42/($F135-1))*$X135)))</f>
        <v>-12.08320538987059</v>
      </c>
      <c r="K135" s="123">
        <f>IF($D135="",0,'Guide &amp; Settings'!$C$43*(IF($E135="Win",1,0)-$I135))</f>
        <v>-6</v>
      </c>
      <c r="L135" s="124">
        <f>IF($D135="",0,'Guide &amp; Settings'!$C$44*IF($F135&gt;=3,$F135+IF($E135="Win",$F135,0),0))</f>
        <v>0</v>
      </c>
      <c r="M135" s="123">
        <f t="shared" si="37"/>
        <v>-18.083205389870592</v>
      </c>
      <c r="N135" s="121">
        <f t="shared" si="38"/>
        <v>951.93002730401292</v>
      </c>
      <c r="O135" s="120" t="str">
        <f t="shared" si="39"/>
        <v>OK</v>
      </c>
      <c r="P135">
        <f t="shared" si="40"/>
        <v>1074.191130503986</v>
      </c>
      <c r="Q135">
        <f t="shared" si="41"/>
        <v>0.35441320463800252</v>
      </c>
      <c r="R135">
        <f t="shared" si="42"/>
        <v>0.66666666666666663</v>
      </c>
      <c r="S135">
        <f t="shared" si="43"/>
        <v>1.3333333333333333</v>
      </c>
      <c r="T135" s="88">
        <f t="shared" si="44"/>
        <v>1</v>
      </c>
      <c r="U135" s="125">
        <f>IF($D135="",0,IFERROR(LOOKUP(2,1/(($D$3:D134=$D135)*($C$3:C134=$C135)*($A$3:A134&lt;$A135)),$AB$3:AB134),1000))</f>
        <v>1016</v>
      </c>
      <c r="V135" s="125">
        <f t="shared" si="45"/>
        <v>977.67769391156958</v>
      </c>
      <c r="W135">
        <f t="shared" si="46"/>
        <v>1064.4926087533217</v>
      </c>
      <c r="X135">
        <f t="shared" si="47"/>
        <v>0.37760016843345595</v>
      </c>
      <c r="Y135">
        <f t="shared" si="48"/>
        <v>1016</v>
      </c>
      <c r="Z135">
        <f t="shared" si="49"/>
        <v>0.5</v>
      </c>
      <c r="AA135">
        <f>IF($D135="",0,IF($F135&lt;2,0,IF($E135="Win",('Guide &amp; Settings'!$C$42/(($F135-1)*COUNTIFS($A$4:$A$311,$A135,$E$4:$E$311,"Win")))*SUMIFS($Z$4:$Z$311,$A$4:$A$311,$A135,$E$4:$E$311,"Loss"),-('Guide &amp; Settings'!$C$42/($F135-1))*$Z135)))</f>
        <v>-16</v>
      </c>
      <c r="AB135" s="125">
        <f t="shared" si="50"/>
        <v>1000</v>
      </c>
      <c r="AC135" s="125">
        <f>IF($D135="","",IF(SUMPRODUCT(MAX(($D$4:$D$311=$D135)*($B$4:$B$311&lt;$B135)*$B$4:$B$311))=0,0,MAX(($B135-SUMPRODUCT(MAX(($D$4:$D$311=$D135)*($B$4:$B$311&lt;$B135)*$B$4:$B$311)))/7-'Guide &amp; Settings'!$C$48,0)*'Guide &amp; Settings'!$C$49))</f>
        <v>0</v>
      </c>
    </row>
    <row r="136" spans="1:29" ht="15" customHeight="1" x14ac:dyDescent="0.2">
      <c r="A136" s="116">
        <v>63</v>
      </c>
      <c r="B136" s="117">
        <v>46188</v>
      </c>
      <c r="C136" s="118" t="s">
        <v>214</v>
      </c>
      <c r="D136" s="118" t="s">
        <v>175</v>
      </c>
      <c r="E136" s="116" t="s">
        <v>316</v>
      </c>
      <c r="F136" s="119">
        <f t="shared" si="34"/>
        <v>2</v>
      </c>
      <c r="G136" s="120" t="str">
        <f t="shared" si="35"/>
        <v>Simon</v>
      </c>
      <c r="H136" s="121">
        <f>IF($D136="",0,IFERROR(LOOKUP(2,1/(($D$3:D135=$D136)*($A$3:A135&lt;$A136)),$N$3:N135),'Guide &amp; Settings'!$C$41))</f>
        <v>1026.7890747182494</v>
      </c>
      <c r="I136" s="122">
        <f t="shared" si="36"/>
        <v>0.5</v>
      </c>
      <c r="J136" s="123">
        <f>IF($D136="",0,IF($F136&lt;2,0,IF($E136="Win",('Guide &amp; Settings'!$C$42/(($F136-1)*COUNTIFS($A$4:$A$311,$A136,$E$4:$E$311,"Win")))*SUMIFS($X$4:$X$311,$A$4:$A$311,$A136,$E$4:$E$311,"Loss"),-('Guide &amp; Settings'!$C$42/($F136-1))*$X136)))</f>
        <v>15.40915502457022</v>
      </c>
      <c r="K136" s="123">
        <f>IF($D136="",0,'Guide &amp; Settings'!$C$43*(IF($E136="Win",1,0)-$I136))</f>
        <v>6</v>
      </c>
      <c r="L136" s="124">
        <f>IF($D136="",0,'Guide &amp; Settings'!$C$44*IF($F136&gt;=3,$F136+IF($E136="Win",$F136,0),0))</f>
        <v>0</v>
      </c>
      <c r="M136" s="123">
        <f t="shared" si="37"/>
        <v>21.409155024570218</v>
      </c>
      <c r="N136" s="121">
        <f t="shared" si="38"/>
        <v>1048.1982297428196</v>
      </c>
      <c r="O136" s="120" t="str">
        <f t="shared" si="39"/>
        <v>OK</v>
      </c>
      <c r="P136">
        <f t="shared" si="40"/>
        <v>1026.7890747182494</v>
      </c>
      <c r="Q136">
        <f t="shared" si="41"/>
        <v>0.5</v>
      </c>
      <c r="R136">
        <f t="shared" si="42"/>
        <v>0.66666666666666663</v>
      </c>
      <c r="S136">
        <f t="shared" si="43"/>
        <v>1.3333333333333333</v>
      </c>
      <c r="T136" s="88">
        <f t="shared" si="44"/>
        <v>1</v>
      </c>
      <c r="U136" s="125">
        <f>IF($D136="",0,IFERROR(LOOKUP(2,1/(($D$3:D135=$D136)*($C$3:C135=$C136)*($A$3:A135&lt;$A136)),$AB$3:AB135),1000))</f>
        <v>1015.263693206478</v>
      </c>
      <c r="V136" s="125">
        <f t="shared" si="45"/>
        <v>1024.8681777996208</v>
      </c>
      <c r="W136">
        <f t="shared" si="46"/>
        <v>1024.8681777996208</v>
      </c>
      <c r="X136">
        <f t="shared" si="47"/>
        <v>0.5</v>
      </c>
      <c r="Y136">
        <f t="shared" si="48"/>
        <v>1015.263693206478</v>
      </c>
      <c r="Z136">
        <f t="shared" si="49"/>
        <v>0.5</v>
      </c>
      <c r="AA136">
        <f>IF($D136="",0,IF($F136&lt;2,0,IF($E136="Win",('Guide &amp; Settings'!$C$42/(($F136-1)*COUNTIFS($A$4:$A$311,$A136,$E$4:$E$311,"Win")))*SUMIFS($Z$4:$Z$311,$A$4:$A$311,$A136,$E$4:$E$311,"Loss"),-('Guide &amp; Settings'!$C$42/($F136-1))*$Z136)))</f>
        <v>16.067815955759624</v>
      </c>
      <c r="AB136" s="125">
        <f t="shared" si="50"/>
        <v>1031.3315091622376</v>
      </c>
      <c r="AC136" s="125">
        <f>IF($D136="","",IF(SUMPRODUCT(MAX(($D$4:$D$311=$D136)*($B$4:$B$311&lt;$B136)*$B$4:$B$311))=0,0,MAX(($B136-SUMPRODUCT(MAX(($D$4:$D$311=$D136)*($B$4:$B$311&lt;$B136)*$B$4:$B$311)))/7-'Guide &amp; Settings'!$C$48,0)*'Guide &amp; Settings'!$C$49))</f>
        <v>0</v>
      </c>
    </row>
    <row r="137" spans="1:29" ht="15" customHeight="1" x14ac:dyDescent="0.2">
      <c r="A137" s="116">
        <v>63</v>
      </c>
      <c r="B137" s="117">
        <v>46188</v>
      </c>
      <c r="C137" s="118" t="s">
        <v>214</v>
      </c>
      <c r="D137" s="118" t="s">
        <v>176</v>
      </c>
      <c r="E137" s="116" t="s">
        <v>317</v>
      </c>
      <c r="F137" s="119">
        <f t="shared" si="34"/>
        <v>2</v>
      </c>
      <c r="G137" s="120" t="str">
        <f t="shared" si="35"/>
        <v>Simon</v>
      </c>
      <c r="H137" s="121">
        <f>IF($D137="",0,IFERROR(LOOKUP(2,1/(($D$3:D136=$D137)*($A$3:A136&lt;$A137)),$N$3:N136),'Guide &amp; Settings'!$C$41))</f>
        <v>1011.0915051807751</v>
      </c>
      <c r="I137" s="122">
        <f t="shared" si="36"/>
        <v>0.5</v>
      </c>
      <c r="J137" s="123">
        <f>IF($D137="",0,IF($F137&lt;2,0,IF($E137="Win",('Guide &amp; Settings'!$C$42/(($F137-1)*COUNTIFS($A$4:$A$311,$A137,$E$4:$E$311,"Win")))*SUMIFS($X$4:$X$311,$A$4:$A$311,$A137,$E$4:$E$311,"Loss"),-('Guide &amp; Settings'!$C$42/($F137-1))*$X137)))</f>
        <v>-15.40915502457022</v>
      </c>
      <c r="K137" s="123">
        <f>IF($D137="",0,'Guide &amp; Settings'!$C$43*(IF($E137="Win",1,0)-$I137))</f>
        <v>-6</v>
      </c>
      <c r="L137" s="124">
        <f>IF($D137="",0,'Guide &amp; Settings'!$C$44*IF($F137&gt;=3,$F137+IF($E137="Win",$F137,0),0))</f>
        <v>0</v>
      </c>
      <c r="M137" s="123">
        <f t="shared" si="37"/>
        <v>-21.409155024570218</v>
      </c>
      <c r="N137" s="121">
        <f t="shared" si="38"/>
        <v>989.68235015620496</v>
      </c>
      <c r="O137" s="120" t="str">
        <f t="shared" si="39"/>
        <v>OK</v>
      </c>
      <c r="P137">
        <f t="shared" si="40"/>
        <v>1026.7890747182494</v>
      </c>
      <c r="Q137">
        <f t="shared" si="41"/>
        <v>0.47742474069301516</v>
      </c>
      <c r="R137">
        <f t="shared" si="42"/>
        <v>0.66666666666666663</v>
      </c>
      <c r="S137">
        <f t="shared" si="43"/>
        <v>1.3333333333333333</v>
      </c>
      <c r="T137" s="88">
        <f t="shared" si="44"/>
        <v>1</v>
      </c>
      <c r="U137" s="125">
        <f>IF($D137="",0,IFERROR(LOOKUP(2,1/(($D$3:D136=$D137)*($C$3:C136=$C137)*($A$3:A136&lt;$A137)),$AB$3:AB136),1000))</f>
        <v>1016.736306793522</v>
      </c>
      <c r="V137" s="125">
        <f t="shared" si="45"/>
        <v>1012.0323054495664</v>
      </c>
      <c r="W137">
        <f t="shared" si="46"/>
        <v>1024.8681777996208</v>
      </c>
      <c r="X137">
        <f t="shared" si="47"/>
        <v>0.48153609451781937</v>
      </c>
      <c r="Y137">
        <f t="shared" si="48"/>
        <v>1015.263693206478</v>
      </c>
      <c r="Z137">
        <f t="shared" si="49"/>
        <v>0.50211924861748825</v>
      </c>
      <c r="AA137">
        <f>IF($D137="",0,IF($F137&lt;2,0,IF($E137="Win",('Guide &amp; Settings'!$C$42/(($F137-1)*COUNTIFS($A$4:$A$311,$A137,$E$4:$E$311,"Win")))*SUMIFS($Z$4:$Z$311,$A$4:$A$311,$A137,$E$4:$E$311,"Loss"),-('Guide &amp; Settings'!$C$42/($F137-1))*$Z137)))</f>
        <v>-16.067815955759624</v>
      </c>
      <c r="AB137" s="125">
        <f t="shared" si="50"/>
        <v>1000.6684908377623</v>
      </c>
      <c r="AC137" s="125">
        <f>IF($D137="","",IF(SUMPRODUCT(MAX(($D$4:$D$311=$D137)*($B$4:$B$311&lt;$B137)*$B$4:$B$311))=0,0,MAX(($B137-SUMPRODUCT(MAX(($D$4:$D$311=$D137)*($B$4:$B$311&lt;$B137)*$B$4:$B$311)))/7-'Guide &amp; Settings'!$C$48,0)*'Guide &amp; Settings'!$C$49))</f>
        <v>0</v>
      </c>
    </row>
    <row r="138" spans="1:29" ht="15" customHeight="1" x14ac:dyDescent="0.2">
      <c r="A138" s="116">
        <v>64</v>
      </c>
      <c r="B138" s="117">
        <v>46188</v>
      </c>
      <c r="C138" s="118" t="s">
        <v>214</v>
      </c>
      <c r="D138" s="118" t="s">
        <v>180</v>
      </c>
      <c r="E138" s="116" t="s">
        <v>316</v>
      </c>
      <c r="F138" s="119">
        <f t="shared" si="34"/>
        <v>2</v>
      </c>
      <c r="G138" s="120" t="str">
        <f t="shared" si="35"/>
        <v>Chase</v>
      </c>
      <c r="H138" s="121">
        <f>IF($D138="",0,IFERROR(LOOKUP(2,1/(($D$3:D137=$D138)*($A$3:A137&lt;$A138)),$N$3:N137),'Guide &amp; Settings'!$C$41))</f>
        <v>1000.614377932863</v>
      </c>
      <c r="I138" s="122">
        <f t="shared" si="36"/>
        <v>0.60000000000000009</v>
      </c>
      <c r="J138" s="123">
        <f>IF($D138="",0,IF($F138&lt;2,0,IF($E138="Win",('Guide &amp; Settings'!$C$42/(($F138-1)*COUNTIFS($A$4:$A$311,$A138,$E$4:$E$311,"Win")))*SUMIFS($X$4:$X$311,$A$4:$A$311,$A138,$E$4:$E$311,"Loss"),-('Guide &amp; Settings'!$C$42/($F138-1))*$X138)))</f>
        <v>11.932282939169546</v>
      </c>
      <c r="K138" s="123">
        <f>IF($D138="",0,'Guide &amp; Settings'!$C$43*(IF($E138="Win",1,0)-$I138))</f>
        <v>4.7999999999999989</v>
      </c>
      <c r="L138" s="124">
        <f>IF($D138="",0,'Guide &amp; Settings'!$C$44*IF($F138&gt;=3,$F138+IF($E138="Win",$F138,0),0))</f>
        <v>0</v>
      </c>
      <c r="M138" s="123">
        <f t="shared" si="37"/>
        <v>16.732282939169544</v>
      </c>
      <c r="N138" s="121">
        <f t="shared" si="38"/>
        <v>1017.3466608720325</v>
      </c>
      <c r="O138" s="120" t="str">
        <f t="shared" si="39"/>
        <v>OK</v>
      </c>
      <c r="P138">
        <f t="shared" si="40"/>
        <v>1000.614377932863</v>
      </c>
      <c r="Q138">
        <f t="shared" si="41"/>
        <v>0.5</v>
      </c>
      <c r="R138">
        <f t="shared" si="42"/>
        <v>0.5</v>
      </c>
      <c r="S138">
        <f t="shared" si="43"/>
        <v>0.83333333333333326</v>
      </c>
      <c r="T138" s="88">
        <f t="shared" si="44"/>
        <v>0</v>
      </c>
      <c r="U138" s="125">
        <f>IF($D138="",0,IFERROR(LOOKUP(2,1/(($D$3:D137=$D138)*($C$3:C137=$C138)*($A$3:A137&lt;$A138)),$AB$3:AB137),1000))</f>
        <v>1000</v>
      </c>
      <c r="V138" s="125">
        <f t="shared" si="45"/>
        <v>1000.614377932863</v>
      </c>
      <c r="W138">
        <f t="shared" si="46"/>
        <v>1000.614377932863</v>
      </c>
      <c r="X138">
        <f t="shared" si="47"/>
        <v>0.5</v>
      </c>
      <c r="Y138">
        <f t="shared" si="48"/>
        <v>1000</v>
      </c>
      <c r="Z138">
        <f t="shared" si="49"/>
        <v>0.5</v>
      </c>
      <c r="AA138">
        <f>IF($D138="",0,IF($F138&lt;2,0,IF($E138="Win",('Guide &amp; Settings'!$C$42/(($F138-1)*COUNTIFS($A$4:$A$311,$A138,$E$4:$E$311,"Win")))*SUMIFS($Z$4:$Z$311,$A$4:$A$311,$A138,$E$4:$E$311,"Loss"),-('Guide &amp; Settings'!$C$42/($F138-1))*$Z138)))</f>
        <v>15.263693206478006</v>
      </c>
      <c r="AB138" s="125">
        <f t="shared" si="50"/>
        <v>1015.263693206478</v>
      </c>
      <c r="AC138" s="125">
        <f>IF($D138="","",IF(SUMPRODUCT(MAX(($D$4:$D$311=$D138)*($B$4:$B$311&lt;$B138)*$B$4:$B$311))=0,0,MAX(($B138-SUMPRODUCT(MAX(($D$4:$D$311=$D138)*($B$4:$B$311&lt;$B138)*$B$4:$B$311)))/7-'Guide &amp; Settings'!$C$48,0)*'Guide &amp; Settings'!$C$49))</f>
        <v>0</v>
      </c>
    </row>
    <row r="139" spans="1:29" ht="15" customHeight="1" x14ac:dyDescent="0.2">
      <c r="A139" s="116">
        <v>64</v>
      </c>
      <c r="B139" s="117">
        <v>46188</v>
      </c>
      <c r="C139" s="118" t="s">
        <v>214</v>
      </c>
      <c r="D139" s="118" t="s">
        <v>182</v>
      </c>
      <c r="E139" s="116" t="s">
        <v>317</v>
      </c>
      <c r="F139" s="119">
        <f t="shared" si="34"/>
        <v>2</v>
      </c>
      <c r="G139" s="120" t="str">
        <f t="shared" si="35"/>
        <v>Chase</v>
      </c>
      <c r="H139" s="121">
        <f>IF($D139="",0,IFERROR(LOOKUP(2,1/(($D$3:D138=$D139)*($A$3:A138&lt;$A139)),$N$3:N138),'Guide &amp; Settings'!$C$41))</f>
        <v>895.56552887124258</v>
      </c>
      <c r="I139" s="122">
        <f t="shared" si="36"/>
        <v>0.4</v>
      </c>
      <c r="J139" s="123">
        <f>IF($D139="",0,IF($F139&lt;2,0,IF($E139="Win",('Guide &amp; Settings'!$C$42/(($F139-1)*COUNTIFS($A$4:$A$311,$A139,$E$4:$E$311,"Win")))*SUMIFS($X$4:$X$311,$A$4:$A$311,$A139,$E$4:$E$311,"Loss"),-('Guide &amp; Settings'!$C$42/($F139-1))*$X139)))</f>
        <v>-11.932282939169546</v>
      </c>
      <c r="K139" s="123">
        <f>IF($D139="",0,'Guide &amp; Settings'!$C$43*(IF($E139="Win",1,0)-$I139))</f>
        <v>-4.8000000000000007</v>
      </c>
      <c r="L139" s="124">
        <f>IF($D139="",0,'Guide &amp; Settings'!$C$44*IF($F139&gt;=3,$F139+IF($E139="Win",$F139,0),0))</f>
        <v>0</v>
      </c>
      <c r="M139" s="123">
        <f t="shared" si="37"/>
        <v>-16.732282939169547</v>
      </c>
      <c r="N139" s="121">
        <f t="shared" si="38"/>
        <v>878.83324593207305</v>
      </c>
      <c r="O139" s="120" t="str">
        <f t="shared" si="39"/>
        <v>OK</v>
      </c>
      <c r="P139">
        <f t="shared" si="40"/>
        <v>1000.614377932863</v>
      </c>
      <c r="Q139">
        <f t="shared" si="41"/>
        <v>0.35326690993053056</v>
      </c>
      <c r="R139">
        <f t="shared" si="42"/>
        <v>0.33333333333333331</v>
      </c>
      <c r="S139">
        <f t="shared" si="43"/>
        <v>0.83333333333333326</v>
      </c>
      <c r="T139" s="88">
        <f t="shared" si="44"/>
        <v>1</v>
      </c>
      <c r="U139" s="125">
        <f>IF($D139="",0,IFERROR(LOOKUP(2,1/(($D$3:D138=$D139)*($C$3:C138=$C139)*($A$3:A138&lt;$A139)),$AB$3:AB138),1000))</f>
        <v>984</v>
      </c>
      <c r="V139" s="125">
        <f t="shared" si="45"/>
        <v>910.30460739270222</v>
      </c>
      <c r="W139">
        <f t="shared" si="46"/>
        <v>1000.614377932863</v>
      </c>
      <c r="X139">
        <f t="shared" si="47"/>
        <v>0.37288384184904833</v>
      </c>
      <c r="Y139">
        <f t="shared" si="48"/>
        <v>1000</v>
      </c>
      <c r="Z139">
        <f t="shared" si="49"/>
        <v>0.47699041270243769</v>
      </c>
      <c r="AA139">
        <f>IF($D139="",0,IF($F139&lt;2,0,IF($E139="Win",('Guide &amp; Settings'!$C$42/(($F139-1)*COUNTIFS($A$4:$A$311,$A139,$E$4:$E$311,"Win")))*SUMIFS($Z$4:$Z$311,$A$4:$A$311,$A139,$E$4:$E$311,"Loss"),-('Guide &amp; Settings'!$C$42/($F139-1))*$Z139)))</f>
        <v>-15.263693206478006</v>
      </c>
      <c r="AB139" s="125">
        <f t="shared" si="50"/>
        <v>968.73630679352198</v>
      </c>
      <c r="AC139" s="125">
        <f>IF($D139="","",IF(SUMPRODUCT(MAX(($D$4:$D$311=$D139)*($B$4:$B$311&lt;$B139)*$B$4:$B$311))=0,0,MAX(($B139-SUMPRODUCT(MAX(($D$4:$D$311=$D139)*($B$4:$B$311&lt;$B139)*$B$4:$B$311)))/7-'Guide &amp; Settings'!$C$48,0)*'Guide &amp; Settings'!$C$49))</f>
        <v>0</v>
      </c>
    </row>
    <row r="140" spans="1:29" ht="15" customHeight="1" x14ac:dyDescent="0.2">
      <c r="A140" s="116">
        <v>65</v>
      </c>
      <c r="B140" s="117">
        <v>46188</v>
      </c>
      <c r="C140" s="118" t="s">
        <v>214</v>
      </c>
      <c r="D140" s="118" t="s">
        <v>182</v>
      </c>
      <c r="E140" s="116" t="s">
        <v>316</v>
      </c>
      <c r="F140" s="119">
        <f t="shared" si="34"/>
        <v>2</v>
      </c>
      <c r="G140" s="120" t="str">
        <f t="shared" si="35"/>
        <v>Cody</v>
      </c>
      <c r="H140" s="121">
        <f>IF($D140="",0,IFERROR(LOOKUP(2,1/(($D$3:D139=$D140)*($A$3:A139&lt;$A140)),$N$3:N139),'Guide &amp; Settings'!$C$41))</f>
        <v>878.83324593207305</v>
      </c>
      <c r="I140" s="122">
        <f t="shared" si="36"/>
        <v>0.33333333333333331</v>
      </c>
      <c r="J140" s="123">
        <f>IF($D140="",0,IF($F140&lt;2,0,IF($E140="Win",('Guide &amp; Settings'!$C$42/(($F140-1)*COUNTIFS($A$4:$A$311,$A140,$E$4:$E$311,"Win")))*SUMIFS($X$4:$X$311,$A$4:$A$311,$A140,$E$4:$E$311,"Loss"),-('Guide &amp; Settings'!$C$42/($F140-1))*$X140)))</f>
        <v>19.981080305402035</v>
      </c>
      <c r="K140" s="123">
        <f>IF($D140="",0,'Guide &amp; Settings'!$C$43*(IF($E140="Win",1,0)-$I140))</f>
        <v>8</v>
      </c>
      <c r="L140" s="124">
        <f>IF($D140="",0,'Guide &amp; Settings'!$C$44*IF($F140&gt;=3,$F140+IF($E140="Win",$F140,0),0))</f>
        <v>0</v>
      </c>
      <c r="M140" s="123">
        <f t="shared" si="37"/>
        <v>27.981080305402035</v>
      </c>
      <c r="N140" s="121">
        <f t="shared" si="38"/>
        <v>906.81432623747514</v>
      </c>
      <c r="O140" s="120" t="str">
        <f t="shared" si="39"/>
        <v>OK</v>
      </c>
      <c r="P140">
        <f t="shared" si="40"/>
        <v>878.83324593207305</v>
      </c>
      <c r="Q140">
        <f t="shared" si="41"/>
        <v>0.5</v>
      </c>
      <c r="R140">
        <f t="shared" si="42"/>
        <v>0.25</v>
      </c>
      <c r="S140">
        <f t="shared" si="43"/>
        <v>0.75</v>
      </c>
      <c r="T140" s="88">
        <f t="shared" si="44"/>
        <v>2</v>
      </c>
      <c r="U140" s="125">
        <f>IF($D140="",0,IFERROR(LOOKUP(2,1/(($D$3:D139=$D140)*($C$3:C139=$C140)*($A$3:A139&lt;$A140)),$AB$3:AB139),1000))</f>
        <v>968.73630679352198</v>
      </c>
      <c r="V140" s="125">
        <f t="shared" si="45"/>
        <v>904.51983474962992</v>
      </c>
      <c r="W140">
        <f t="shared" si="46"/>
        <v>904.51983474962992</v>
      </c>
      <c r="X140">
        <f t="shared" si="47"/>
        <v>0.5</v>
      </c>
      <c r="Y140">
        <f t="shared" si="48"/>
        <v>968.73630679352198</v>
      </c>
      <c r="Z140">
        <f t="shared" si="49"/>
        <v>0.5</v>
      </c>
      <c r="AA140">
        <f>IF($D140="",0,IF($F140&lt;2,0,IF($E140="Win",('Guide &amp; Settings'!$C$42/(($F140-1)*COUNTIFS($A$4:$A$311,$A140,$E$4:$E$311,"Win")))*SUMIFS($Z$4:$Z$311,$A$4:$A$311,$A140,$E$4:$E$311,"Loss"),-('Guide &amp; Settings'!$C$42/($F140-1))*$Z140)))</f>
        <v>17.466404777079056</v>
      </c>
      <c r="AB140" s="125">
        <f t="shared" si="50"/>
        <v>986.20271157060108</v>
      </c>
      <c r="AC140" s="125">
        <f>IF($D140="","",IF(SUMPRODUCT(MAX(($D$4:$D$311=$D140)*($B$4:$B$311&lt;$B140)*$B$4:$B$311))=0,0,MAX(($B140-SUMPRODUCT(MAX(($D$4:$D$311=$D140)*($B$4:$B$311&lt;$B140)*$B$4:$B$311)))/7-'Guide &amp; Settings'!$C$48,0)*'Guide &amp; Settings'!$C$49))</f>
        <v>0</v>
      </c>
    </row>
    <row r="141" spans="1:29" ht="15" customHeight="1" x14ac:dyDescent="0.2">
      <c r="A141" s="116">
        <v>65</v>
      </c>
      <c r="B141" s="117">
        <v>46188</v>
      </c>
      <c r="C141" s="118" t="s">
        <v>214</v>
      </c>
      <c r="D141" s="118" t="s">
        <v>176</v>
      </c>
      <c r="E141" s="116" t="s">
        <v>317</v>
      </c>
      <c r="F141" s="119">
        <f t="shared" si="34"/>
        <v>2</v>
      </c>
      <c r="G141" s="120" t="str">
        <f t="shared" si="35"/>
        <v>Cody</v>
      </c>
      <c r="H141" s="121">
        <f>IF($D141="",0,IFERROR(LOOKUP(2,1/(($D$3:D140=$D141)*($A$3:A140&lt;$A141)),$N$3:N140),'Guide &amp; Settings'!$C$41))</f>
        <v>989.68235015620496</v>
      </c>
      <c r="I141" s="122">
        <f t="shared" si="36"/>
        <v>0.66666666666666663</v>
      </c>
      <c r="J141" s="123">
        <f>IF($D141="",0,IF($F141&lt;2,0,IF($E141="Win",('Guide &amp; Settings'!$C$42/(($F141-1)*COUNTIFS($A$4:$A$311,$A141,$E$4:$E$311,"Win")))*SUMIFS($X$4:$X$311,$A$4:$A$311,$A141,$E$4:$E$311,"Loss"),-('Guide &amp; Settings'!$C$42/($F141-1))*$X141)))</f>
        <v>-19.981080305402035</v>
      </c>
      <c r="K141" s="123">
        <f>IF($D141="",0,'Guide &amp; Settings'!$C$43*(IF($E141="Win",1,0)-$I141))</f>
        <v>-8</v>
      </c>
      <c r="L141" s="124">
        <f>IF($D141="",0,'Guide &amp; Settings'!$C$44*IF($F141&gt;=3,$F141+IF($E141="Win",$F141,0),0))</f>
        <v>0</v>
      </c>
      <c r="M141" s="123">
        <f t="shared" si="37"/>
        <v>-27.981080305402035</v>
      </c>
      <c r="N141" s="121">
        <f t="shared" si="38"/>
        <v>961.70126985080287</v>
      </c>
      <c r="O141" s="120" t="str">
        <f t="shared" si="39"/>
        <v>OK</v>
      </c>
      <c r="P141">
        <f t="shared" si="40"/>
        <v>878.83324593207305</v>
      </c>
      <c r="Q141">
        <f t="shared" si="41"/>
        <v>0.65432355123521801</v>
      </c>
      <c r="R141">
        <f t="shared" si="42"/>
        <v>0.5</v>
      </c>
      <c r="S141">
        <f t="shared" si="43"/>
        <v>0.75</v>
      </c>
      <c r="T141" s="88">
        <f t="shared" si="44"/>
        <v>2</v>
      </c>
      <c r="U141" s="125">
        <f>IF($D141="",0,IFERROR(LOOKUP(2,1/(($D$3:D140=$D141)*($C$3:C140=$C141)*($A$3:A140&lt;$A141)),$AB$3:AB140),1000))</f>
        <v>1000.6684908377623</v>
      </c>
      <c r="V141" s="125">
        <f t="shared" si="45"/>
        <v>992.82124749379273</v>
      </c>
      <c r="W141">
        <f t="shared" si="46"/>
        <v>904.51983474962992</v>
      </c>
      <c r="X141">
        <f t="shared" si="47"/>
        <v>0.62440875954381359</v>
      </c>
      <c r="Y141">
        <f t="shared" si="48"/>
        <v>968.73630679352198</v>
      </c>
      <c r="Z141">
        <f t="shared" si="49"/>
        <v>0.5458251492837205</v>
      </c>
      <c r="AA141">
        <f>IF($D141="",0,IF($F141&lt;2,0,IF($E141="Win",('Guide &amp; Settings'!$C$42/(($F141-1)*COUNTIFS($A$4:$A$311,$A141,$E$4:$E$311,"Win")))*SUMIFS($Z$4:$Z$311,$A$4:$A$311,$A141,$E$4:$E$311,"Loss"),-('Guide &amp; Settings'!$C$42/($F141-1))*$Z141)))</f>
        <v>-17.466404777079056</v>
      </c>
      <c r="AB141" s="125">
        <f t="shared" si="50"/>
        <v>983.2020860606832</v>
      </c>
      <c r="AC141" s="125">
        <f>IF($D141="","",IF(SUMPRODUCT(MAX(($D$4:$D$311=$D141)*($B$4:$B$311&lt;$B141)*$B$4:$B$311))=0,0,MAX(($B141-SUMPRODUCT(MAX(($D$4:$D$311=$D141)*($B$4:$B$311&lt;$B141)*$B$4:$B$311)))/7-'Guide &amp; Settings'!$C$48,0)*'Guide &amp; Settings'!$C$49))</f>
        <v>0</v>
      </c>
    </row>
    <row r="142" spans="1:29" ht="15" customHeight="1" x14ac:dyDescent="0.2">
      <c r="A142" s="116">
        <v>66</v>
      </c>
      <c r="B142" s="117">
        <v>46188</v>
      </c>
      <c r="C142" s="118" t="s">
        <v>214</v>
      </c>
      <c r="D142" s="118" t="s">
        <v>175</v>
      </c>
      <c r="E142" s="116" t="s">
        <v>316</v>
      </c>
      <c r="F142" s="119">
        <f t="shared" si="34"/>
        <v>2</v>
      </c>
      <c r="G142" s="120" t="str">
        <f t="shared" si="35"/>
        <v>Simon</v>
      </c>
      <c r="H142" s="121">
        <f>IF($D142="",0,IFERROR(LOOKUP(2,1/(($D$3:D141=$D142)*($A$3:A141&lt;$A142)),$N$3:N141),'Guide &amp; Settings'!$C$41))</f>
        <v>1048.1982297428196</v>
      </c>
      <c r="I142" s="122">
        <f t="shared" si="36"/>
        <v>0.65217391304347827</v>
      </c>
      <c r="J142" s="123">
        <f>IF($D142="",0,IF($F142&lt;2,0,IF($E142="Win",('Guide &amp; Settings'!$C$42/(($F142-1)*COUNTIFS($A$4:$A$311,$A142,$E$4:$E$311,"Win")))*SUMIFS($X$4:$X$311,$A$4:$A$311,$A142,$E$4:$E$311,"Loss"),-('Guide &amp; Settings'!$C$42/($F142-1))*$X142)))</f>
        <v>12.659736384835258</v>
      </c>
      <c r="K142" s="123">
        <f>IF($D142="",0,'Guide &amp; Settings'!$C$43*(IF($E142="Win",1,0)-$I142))</f>
        <v>4.1739130434782608</v>
      </c>
      <c r="L142" s="124">
        <f>IF($D142="",0,'Guide &amp; Settings'!$C$44*IF($F142&gt;=3,$F142+IF($E142="Win",$F142,0),0))</f>
        <v>0</v>
      </c>
      <c r="M142" s="123">
        <f t="shared" si="37"/>
        <v>16.833649428313517</v>
      </c>
      <c r="N142" s="121">
        <f t="shared" si="38"/>
        <v>1065.0318791711331</v>
      </c>
      <c r="O142" s="120" t="str">
        <f t="shared" si="39"/>
        <v>OK</v>
      </c>
      <c r="P142">
        <f t="shared" si="40"/>
        <v>1048.1982297428196</v>
      </c>
      <c r="Q142">
        <f t="shared" si="41"/>
        <v>0.5</v>
      </c>
      <c r="R142">
        <f t="shared" si="42"/>
        <v>0.75</v>
      </c>
      <c r="S142">
        <f t="shared" si="43"/>
        <v>1.1499999999999999</v>
      </c>
      <c r="T142" s="88">
        <f t="shared" si="44"/>
        <v>2</v>
      </c>
      <c r="U142" s="125">
        <f>IF($D142="",0,IFERROR(LOOKUP(2,1/(($D$3:D141=$D142)*($C$3:C141=$C142)*($A$3:A141&lt;$A142)),$AB$3:AB141),1000))</f>
        <v>1031.3315091622376</v>
      </c>
      <c r="V142" s="125">
        <f t="shared" si="45"/>
        <v>1043.3791667197963</v>
      </c>
      <c r="W142">
        <f t="shared" si="46"/>
        <v>1043.3791667197963</v>
      </c>
      <c r="X142">
        <f t="shared" si="47"/>
        <v>0.5</v>
      </c>
      <c r="Y142">
        <f t="shared" si="48"/>
        <v>1031.3315091622376</v>
      </c>
      <c r="Z142">
        <f t="shared" si="49"/>
        <v>0.5</v>
      </c>
      <c r="AA142">
        <f>IF($D142="",0,IF($F142&lt;2,0,IF($E142="Win",('Guide &amp; Settings'!$C$42/(($F142-1)*COUNTIFS($A$4:$A$311,$A142,$E$4:$E$311,"Win")))*SUMIFS($Z$4:$Z$311,$A$4:$A$311,$A142,$E$4:$E$311,"Loss"),-('Guide &amp; Settings'!$C$42/($F142-1))*$Z142)))</f>
        <v>13.797627933361934</v>
      </c>
      <c r="AB142" s="125">
        <f t="shared" si="50"/>
        <v>1045.1291370955996</v>
      </c>
      <c r="AC142" s="125">
        <f>IF($D142="","",IF(SUMPRODUCT(MAX(($D$4:$D$311=$D142)*($B$4:$B$311&lt;$B142)*$B$4:$B$311))=0,0,MAX(($B142-SUMPRODUCT(MAX(($D$4:$D$311=$D142)*($B$4:$B$311&lt;$B142)*$B$4:$B$311)))/7-'Guide &amp; Settings'!$C$48,0)*'Guide &amp; Settings'!$C$49))</f>
        <v>0</v>
      </c>
    </row>
    <row r="143" spans="1:29" ht="15" customHeight="1" x14ac:dyDescent="0.2">
      <c r="A143" s="116">
        <v>66</v>
      </c>
      <c r="B143" s="117">
        <v>46188</v>
      </c>
      <c r="C143" s="118" t="s">
        <v>214</v>
      </c>
      <c r="D143" s="118" t="s">
        <v>176</v>
      </c>
      <c r="E143" s="116" t="s">
        <v>317</v>
      </c>
      <c r="F143" s="119">
        <f t="shared" si="34"/>
        <v>2</v>
      </c>
      <c r="G143" s="120" t="str">
        <f t="shared" si="35"/>
        <v>Simon</v>
      </c>
      <c r="H143" s="121">
        <f>IF($D143="",0,IFERROR(LOOKUP(2,1/(($D$3:D142=$D143)*($A$3:A142&lt;$A143)),$N$3:N142),'Guide &amp; Settings'!$C$41))</f>
        <v>961.70126985080287</v>
      </c>
      <c r="I143" s="122">
        <f t="shared" si="36"/>
        <v>0.34782608695652178</v>
      </c>
      <c r="J143" s="123">
        <f>IF($D143="",0,IF($F143&lt;2,0,IF($E143="Win",('Guide &amp; Settings'!$C$42/(($F143-1)*COUNTIFS($A$4:$A$311,$A143,$E$4:$E$311,"Win")))*SUMIFS($X$4:$X$311,$A$4:$A$311,$A143,$E$4:$E$311,"Loss"),-('Guide &amp; Settings'!$C$42/($F143-1))*$X143)))</f>
        <v>-12.659736384835258</v>
      </c>
      <c r="K143" s="123">
        <f>IF($D143="",0,'Guide &amp; Settings'!$C$43*(IF($E143="Win",1,0)-$I143))</f>
        <v>-4.1739130434782616</v>
      </c>
      <c r="L143" s="124">
        <f>IF($D143="",0,'Guide &amp; Settings'!$C$44*IF($F143&gt;=3,$F143+IF($E143="Win",$F143,0),0))</f>
        <v>0</v>
      </c>
      <c r="M143" s="123">
        <f t="shared" si="37"/>
        <v>-16.833649428313521</v>
      </c>
      <c r="N143" s="121">
        <f t="shared" si="38"/>
        <v>944.86762042248938</v>
      </c>
      <c r="O143" s="120" t="str">
        <f t="shared" si="39"/>
        <v>OK</v>
      </c>
      <c r="P143">
        <f t="shared" si="40"/>
        <v>1048.1982297428196</v>
      </c>
      <c r="Q143">
        <f t="shared" si="41"/>
        <v>0.37803041767865242</v>
      </c>
      <c r="R143">
        <f t="shared" si="42"/>
        <v>0.4</v>
      </c>
      <c r="S143">
        <f t="shared" si="43"/>
        <v>1.1499999999999999</v>
      </c>
      <c r="T143" s="88">
        <f t="shared" si="44"/>
        <v>3</v>
      </c>
      <c r="U143" s="125">
        <f>IF($D143="",0,IFERROR(LOOKUP(2,1/(($D$3:D142=$D143)*($C$3:C142=$C143)*($A$3:A142&lt;$A143)),$AB$3:AB142),1000))</f>
        <v>983.2020860606832</v>
      </c>
      <c r="V143" s="125">
        <f t="shared" si="45"/>
        <v>969.76407592950795</v>
      </c>
      <c r="W143">
        <f t="shared" si="46"/>
        <v>1043.3791667197963</v>
      </c>
      <c r="X143">
        <f t="shared" si="47"/>
        <v>0.3956167620261018</v>
      </c>
      <c r="Y143">
        <f t="shared" si="48"/>
        <v>1031.3315091622376</v>
      </c>
      <c r="Z143">
        <f t="shared" si="49"/>
        <v>0.43117587291756043</v>
      </c>
      <c r="AA143">
        <f>IF($D143="",0,IF($F143&lt;2,0,IF($E143="Win",('Guide &amp; Settings'!$C$42/(($F143-1)*COUNTIFS($A$4:$A$311,$A143,$E$4:$E$311,"Win")))*SUMIFS($Z$4:$Z$311,$A$4:$A$311,$A143,$E$4:$E$311,"Loss"),-('Guide &amp; Settings'!$C$42/($F143-1))*$Z143)))</f>
        <v>-13.797627933361934</v>
      </c>
      <c r="AB143" s="125">
        <f t="shared" si="50"/>
        <v>969.40445812732128</v>
      </c>
      <c r="AC143" s="125">
        <f>IF($D143="","",IF(SUMPRODUCT(MAX(($D$4:$D$311=$D143)*($B$4:$B$311&lt;$B143)*$B$4:$B$311))=0,0,MAX(($B143-SUMPRODUCT(MAX(($D$4:$D$311=$D143)*($B$4:$B$311&lt;$B143)*$B$4:$B$311)))/7-'Guide &amp; Settings'!$C$48,0)*'Guide &amp; Settings'!$C$49))</f>
        <v>0</v>
      </c>
    </row>
    <row r="144" spans="1:29" ht="15" customHeight="1" x14ac:dyDescent="0.2">
      <c r="A144" s="116">
        <v>67</v>
      </c>
      <c r="B144" s="117">
        <v>46188</v>
      </c>
      <c r="C144" s="118" t="s">
        <v>214</v>
      </c>
      <c r="D144" s="118" t="s">
        <v>182</v>
      </c>
      <c r="E144" s="116" t="s">
        <v>316</v>
      </c>
      <c r="F144" s="119">
        <f t="shared" si="34"/>
        <v>2</v>
      </c>
      <c r="G144" s="120" t="str">
        <f t="shared" si="35"/>
        <v>Cody</v>
      </c>
      <c r="H144" s="121">
        <f>IF($D144="",0,IFERROR(LOOKUP(2,1/(($D$3:D143=$D144)*($A$3:A143&lt;$A144)),$N$3:N143),'Guide &amp; Settings'!$C$41))</f>
        <v>906.81432623747514</v>
      </c>
      <c r="I144" s="122">
        <f t="shared" si="36"/>
        <v>0.54545454545454541</v>
      </c>
      <c r="J144" s="123">
        <f>IF($D144="",0,IF($F144&lt;2,0,IF($E144="Win",('Guide &amp; Settings'!$C$42/(($F144-1)*COUNTIFS($A$4:$A$311,$A144,$E$4:$E$311,"Win")))*SUMIFS($X$4:$X$311,$A$4:$A$311,$A144,$E$4:$E$311,"Loss"),-('Guide &amp; Settings'!$C$42/($F144-1))*$X144)))</f>
        <v>16.882738668586455</v>
      </c>
      <c r="K144" s="123">
        <f>IF($D144="",0,'Guide &amp; Settings'!$C$43*(IF($E144="Win",1,0)-$I144))</f>
        <v>5.454545454545455</v>
      </c>
      <c r="L144" s="124">
        <f>IF($D144="",0,'Guide &amp; Settings'!$C$44*IF($F144&gt;=3,$F144+IF($E144="Win",$F144,0),0))</f>
        <v>0</v>
      </c>
      <c r="M144" s="123">
        <f t="shared" si="37"/>
        <v>22.337284123131909</v>
      </c>
      <c r="N144" s="121">
        <f t="shared" si="38"/>
        <v>929.15161036060704</v>
      </c>
      <c r="O144" s="120" t="str">
        <f t="shared" si="39"/>
        <v>OK</v>
      </c>
      <c r="P144">
        <f t="shared" si="40"/>
        <v>906.81432623747514</v>
      </c>
      <c r="Q144">
        <f t="shared" si="41"/>
        <v>0.5</v>
      </c>
      <c r="R144">
        <f t="shared" si="42"/>
        <v>0.4</v>
      </c>
      <c r="S144">
        <f t="shared" si="43"/>
        <v>0.73333333333333339</v>
      </c>
      <c r="T144" s="88">
        <f t="shared" si="44"/>
        <v>3</v>
      </c>
      <c r="U144" s="125">
        <f>IF($D144="",0,IFERROR(LOOKUP(2,1/(($D$3:D143=$D144)*($C$3:C143=$C144)*($A$3:A143&lt;$A144)),$AB$3:AB143),1000))</f>
        <v>986.20271157060108</v>
      </c>
      <c r="V144" s="125">
        <f t="shared" si="45"/>
        <v>936.58497073739738</v>
      </c>
      <c r="W144">
        <f t="shared" si="46"/>
        <v>936.58497073739738</v>
      </c>
      <c r="X144">
        <f t="shared" si="47"/>
        <v>0.5</v>
      </c>
      <c r="Y144">
        <f t="shared" si="48"/>
        <v>986.20271157060108</v>
      </c>
      <c r="Z144">
        <f t="shared" si="49"/>
        <v>0.5</v>
      </c>
      <c r="AA144">
        <f>IF($D144="",0,IF($F144&lt;2,0,IF($E144="Win",('Guide &amp; Settings'!$C$42/(($F144-1)*COUNTIFS($A$4:$A$311,$A144,$E$4:$E$311,"Win")))*SUMIFS($Z$4:$Z$311,$A$4:$A$311,$A144,$E$4:$E$311,"Loss"),-('Guide &amp; Settings'!$C$42/($F144-1))*$Z144)))</f>
        <v>15.227014070577207</v>
      </c>
      <c r="AB144" s="125">
        <f t="shared" si="50"/>
        <v>1001.4297256411783</v>
      </c>
      <c r="AC144" s="125">
        <f>IF($D144="","",IF(SUMPRODUCT(MAX(($D$4:$D$311=$D144)*($B$4:$B$311&lt;$B144)*$B$4:$B$311))=0,0,MAX(($B144-SUMPRODUCT(MAX(($D$4:$D$311=$D144)*($B$4:$B$311&lt;$B144)*$B$4:$B$311)))/7-'Guide &amp; Settings'!$C$48,0)*'Guide &amp; Settings'!$C$49))</f>
        <v>0</v>
      </c>
    </row>
    <row r="145" spans="1:29" ht="15" customHeight="1" x14ac:dyDescent="0.2">
      <c r="A145" s="116">
        <v>67</v>
      </c>
      <c r="B145" s="117">
        <v>46188</v>
      </c>
      <c r="C145" s="118" t="s">
        <v>214</v>
      </c>
      <c r="D145" s="118" t="s">
        <v>176</v>
      </c>
      <c r="E145" s="116" t="s">
        <v>317</v>
      </c>
      <c r="F145" s="119">
        <f t="shared" si="34"/>
        <v>2</v>
      </c>
      <c r="G145" s="120" t="str">
        <f t="shared" si="35"/>
        <v>Cody</v>
      </c>
      <c r="H145" s="121">
        <f>IF($D145="",0,IFERROR(LOOKUP(2,1/(($D$3:D144=$D145)*($A$3:A144&lt;$A145)),$N$3:N144),'Guide &amp; Settings'!$C$41))</f>
        <v>944.86762042248938</v>
      </c>
      <c r="I145" s="122">
        <f t="shared" si="36"/>
        <v>0.45454545454545447</v>
      </c>
      <c r="J145" s="123">
        <f>IF($D145="",0,IF($F145&lt;2,0,IF($E145="Win",('Guide &amp; Settings'!$C$42/(($F145-1)*COUNTIFS($A$4:$A$311,$A145,$E$4:$E$311,"Win")))*SUMIFS($X$4:$X$311,$A$4:$A$311,$A145,$E$4:$E$311,"Loss"),-('Guide &amp; Settings'!$C$42/($F145-1))*$X145)))</f>
        <v>-16.882738668586455</v>
      </c>
      <c r="K145" s="123">
        <f>IF($D145="",0,'Guide &amp; Settings'!$C$43*(IF($E145="Win",1,0)-$I145))</f>
        <v>-5.4545454545454533</v>
      </c>
      <c r="L145" s="124">
        <f>IF($D145="",0,'Guide &amp; Settings'!$C$44*IF($F145&gt;=3,$F145+IF($E145="Win",$F145,0),0))</f>
        <v>0</v>
      </c>
      <c r="M145" s="123">
        <f t="shared" si="37"/>
        <v>-22.337284123131909</v>
      </c>
      <c r="N145" s="121">
        <f t="shared" si="38"/>
        <v>922.53033629935749</v>
      </c>
      <c r="O145" s="120" t="str">
        <f t="shared" si="39"/>
        <v>OK</v>
      </c>
      <c r="P145">
        <f t="shared" si="40"/>
        <v>906.81432623747514</v>
      </c>
      <c r="Q145">
        <f t="shared" si="41"/>
        <v>0.55454515904490209</v>
      </c>
      <c r="R145">
        <f t="shared" si="42"/>
        <v>0.33333333333333331</v>
      </c>
      <c r="S145">
        <f t="shared" si="43"/>
        <v>0.73333333333333339</v>
      </c>
      <c r="T145" s="88">
        <f t="shared" si="44"/>
        <v>4</v>
      </c>
      <c r="U145" s="125">
        <f>IF($D145="",0,IFERROR(LOOKUP(2,1/(($D$3:D144=$D145)*($C$3:C144=$C145)*($A$3:A144&lt;$A145)),$AB$3:AB144),1000))</f>
        <v>969.40445812732128</v>
      </c>
      <c r="V145" s="125">
        <f t="shared" si="45"/>
        <v>955.77288162463697</v>
      </c>
      <c r="W145">
        <f t="shared" si="46"/>
        <v>936.58497073739738</v>
      </c>
      <c r="X145">
        <f t="shared" si="47"/>
        <v>0.52758558339332673</v>
      </c>
      <c r="Y145">
        <f t="shared" si="48"/>
        <v>986.20271157060108</v>
      </c>
      <c r="Z145">
        <f t="shared" si="49"/>
        <v>0.47584418970553771</v>
      </c>
      <c r="AA145">
        <f>IF($D145="",0,IF($F145&lt;2,0,IF($E145="Win",('Guide &amp; Settings'!$C$42/(($F145-1)*COUNTIFS($A$4:$A$311,$A145,$E$4:$E$311,"Win")))*SUMIFS($Z$4:$Z$311,$A$4:$A$311,$A145,$E$4:$E$311,"Loss"),-('Guide &amp; Settings'!$C$42/($F145-1))*$Z145)))</f>
        <v>-15.227014070577207</v>
      </c>
      <c r="AB145" s="125">
        <f t="shared" si="50"/>
        <v>954.17744405674409</v>
      </c>
      <c r="AC145" s="125">
        <f>IF($D145="","",IF(SUMPRODUCT(MAX(($D$4:$D$311=$D145)*($B$4:$B$311&lt;$B145)*$B$4:$B$311))=0,0,MAX(($B145-SUMPRODUCT(MAX(($D$4:$D$311=$D145)*($B$4:$B$311&lt;$B145)*$B$4:$B$311)))/7-'Guide &amp; Settings'!$C$48,0)*'Guide &amp; Settings'!$C$49))</f>
        <v>0</v>
      </c>
    </row>
    <row r="146" spans="1:29" ht="15" customHeight="1" x14ac:dyDescent="0.2">
      <c r="A146" s="116">
        <v>68</v>
      </c>
      <c r="B146" s="117">
        <v>46188</v>
      </c>
      <c r="C146" s="118" t="s">
        <v>214</v>
      </c>
      <c r="D146" s="118" t="s">
        <v>175</v>
      </c>
      <c r="E146" s="116" t="s">
        <v>316</v>
      </c>
      <c r="F146" s="119">
        <f t="shared" si="34"/>
        <v>2</v>
      </c>
      <c r="G146" s="120" t="str">
        <f t="shared" si="35"/>
        <v>Simon</v>
      </c>
      <c r="H146" s="121">
        <f>IF($D146="",0,IFERROR(LOOKUP(2,1/(($D$3:D145=$D146)*($A$3:A145&lt;$A146)),$N$3:N145),'Guide &amp; Settings'!$C$41))</f>
        <v>1065.0318791711331</v>
      </c>
      <c r="I146" s="122">
        <f t="shared" si="36"/>
        <v>0.61538461538461542</v>
      </c>
      <c r="J146" s="123">
        <f>IF($D146="",0,IF($F146&lt;2,0,IF($E146="Win",('Guide &amp; Settings'!$C$42/(($F146-1)*COUNTIFS($A$4:$A$311,$A146,$E$4:$E$311,"Win")))*SUMIFS($X$4:$X$311,$A$4:$A$311,$A146,$E$4:$E$311,"Loss"),-('Guide &amp; Settings'!$C$42/($F146-1))*$X146)))</f>
        <v>11.675697180515177</v>
      </c>
      <c r="K146" s="123">
        <f>IF($D146="",0,'Guide &amp; Settings'!$C$43*(IF($E146="Win",1,0)-$I146))</f>
        <v>4.615384615384615</v>
      </c>
      <c r="L146" s="124">
        <f>IF($D146="",0,'Guide &amp; Settings'!$C$44*IF($F146&gt;=3,$F146+IF($E146="Win",$F146,0),0))</f>
        <v>0</v>
      </c>
      <c r="M146" s="123">
        <f t="shared" si="37"/>
        <v>16.291081795899792</v>
      </c>
      <c r="N146" s="121">
        <f t="shared" si="38"/>
        <v>1081.3229609670329</v>
      </c>
      <c r="O146" s="120" t="str">
        <f t="shared" si="39"/>
        <v>OK</v>
      </c>
      <c r="P146">
        <f t="shared" si="40"/>
        <v>1065.0318791711331</v>
      </c>
      <c r="Q146">
        <f t="shared" si="41"/>
        <v>0.5</v>
      </c>
      <c r="R146">
        <f t="shared" si="42"/>
        <v>0.8</v>
      </c>
      <c r="S146">
        <f t="shared" si="43"/>
        <v>1.3</v>
      </c>
      <c r="T146" s="88">
        <f t="shared" si="44"/>
        <v>3</v>
      </c>
      <c r="U146" s="125">
        <f>IF($D146="",0,IFERROR(LOOKUP(2,1/(($D$3:D145=$D146)*($C$3:C145=$C146)*($A$3:A145&lt;$A146)),$AB$3:AB145),1000))</f>
        <v>1045.1291370955996</v>
      </c>
      <c r="V146" s="125">
        <f t="shared" si="45"/>
        <v>1057.5683508928082</v>
      </c>
      <c r="W146">
        <f t="shared" si="46"/>
        <v>1057.5683508928082</v>
      </c>
      <c r="X146">
        <f t="shared" si="47"/>
        <v>0.5</v>
      </c>
      <c r="Y146">
        <f t="shared" si="48"/>
        <v>1045.1291370955996</v>
      </c>
      <c r="Z146">
        <f t="shared" si="49"/>
        <v>0.5</v>
      </c>
      <c r="AA146">
        <f>IF($D146="",0,IF($F146&lt;2,0,IF($E146="Win",('Guide &amp; Settings'!$C$42/(($F146-1)*COUNTIFS($A$4:$A$311,$A146,$E$4:$E$311,"Win")))*SUMIFS($Z$4:$Z$311,$A$4:$A$311,$A146,$E$4:$E$311,"Loss"),-('Guide &amp; Settings'!$C$42/($F146-1))*$Z146)))</f>
        <v>13.998113137409879</v>
      </c>
      <c r="AB146" s="125">
        <f t="shared" si="50"/>
        <v>1059.1272502330096</v>
      </c>
      <c r="AC146" s="125">
        <f>IF($D146="","",IF(SUMPRODUCT(MAX(($D$4:$D$311=$D146)*($B$4:$B$311&lt;$B146)*$B$4:$B$311))=0,0,MAX(($B146-SUMPRODUCT(MAX(($D$4:$D$311=$D146)*($B$4:$B$311&lt;$B146)*$B$4:$B$311)))/7-'Guide &amp; Settings'!$C$48,0)*'Guide &amp; Settings'!$C$49))</f>
        <v>0</v>
      </c>
    </row>
    <row r="147" spans="1:29" ht="15" customHeight="1" x14ac:dyDescent="0.2">
      <c r="A147" s="116">
        <v>68</v>
      </c>
      <c r="B147" s="117">
        <v>46188</v>
      </c>
      <c r="C147" s="118" t="s">
        <v>214</v>
      </c>
      <c r="D147" s="118" t="s">
        <v>182</v>
      </c>
      <c r="E147" s="116" t="s">
        <v>317</v>
      </c>
      <c r="F147" s="119">
        <f t="shared" si="34"/>
        <v>2</v>
      </c>
      <c r="G147" s="120" t="str">
        <f t="shared" si="35"/>
        <v>Simon</v>
      </c>
      <c r="H147" s="121">
        <f>IF($D147="",0,IFERROR(LOOKUP(2,1/(($D$3:D146=$D147)*($A$3:A146&lt;$A147)),$N$3:N146),'Guide &amp; Settings'!$C$41))</f>
        <v>929.15161036060704</v>
      </c>
      <c r="I147" s="122">
        <f t="shared" si="36"/>
        <v>0.38461538461538458</v>
      </c>
      <c r="J147" s="123">
        <f>IF($D147="",0,IF($F147&lt;2,0,IF($E147="Win",('Guide &amp; Settings'!$C$42/(($F147-1)*COUNTIFS($A$4:$A$311,$A147,$E$4:$E$311,"Win")))*SUMIFS($X$4:$X$311,$A$4:$A$311,$A147,$E$4:$E$311,"Loss"),-('Guide &amp; Settings'!$C$42/($F147-1))*$X147)))</f>
        <v>-11.675697180515177</v>
      </c>
      <c r="K147" s="123">
        <f>IF($D147="",0,'Guide &amp; Settings'!$C$43*(IF($E147="Win",1,0)-$I147))</f>
        <v>-4.615384615384615</v>
      </c>
      <c r="L147" s="124">
        <f>IF($D147="",0,'Guide &amp; Settings'!$C$44*IF($F147&gt;=3,$F147+IF($E147="Win",$F147,0),0))</f>
        <v>0</v>
      </c>
      <c r="M147" s="123">
        <f t="shared" si="37"/>
        <v>-16.291081795899792</v>
      </c>
      <c r="N147" s="121">
        <f t="shared" si="38"/>
        <v>912.86052856470724</v>
      </c>
      <c r="O147" s="120" t="str">
        <f t="shared" si="39"/>
        <v>OK</v>
      </c>
      <c r="P147">
        <f t="shared" si="40"/>
        <v>1065.0318791711331</v>
      </c>
      <c r="Q147">
        <f t="shared" si="41"/>
        <v>0.31384814681652812</v>
      </c>
      <c r="R147">
        <f t="shared" si="42"/>
        <v>0.5</v>
      </c>
      <c r="S147">
        <f t="shared" si="43"/>
        <v>1.3</v>
      </c>
      <c r="T147" s="88">
        <f t="shared" si="44"/>
        <v>4</v>
      </c>
      <c r="U147" s="125">
        <f>IF($D147="",0,IFERROR(LOOKUP(2,1/(($D$3:D146=$D147)*($C$3:C146=$C147)*($A$3:A146&lt;$A147)),$AB$3:AB146),1000))</f>
        <v>1001.4297256411783</v>
      </c>
      <c r="V147" s="125">
        <f t="shared" si="45"/>
        <v>961.27521715197213</v>
      </c>
      <c r="W147">
        <f t="shared" si="46"/>
        <v>1057.5683508928082</v>
      </c>
      <c r="X147">
        <f t="shared" si="47"/>
        <v>0.3648655368910993</v>
      </c>
      <c r="Y147">
        <f t="shared" si="48"/>
        <v>1045.1291370955996</v>
      </c>
      <c r="Z147">
        <f t="shared" si="49"/>
        <v>0.43744103554405872</v>
      </c>
      <c r="AA147">
        <f>IF($D147="",0,IF($F147&lt;2,0,IF($E147="Win",('Guide &amp; Settings'!$C$42/(($F147-1)*COUNTIFS($A$4:$A$311,$A147,$E$4:$E$311,"Win")))*SUMIFS($Z$4:$Z$311,$A$4:$A$311,$A147,$E$4:$E$311,"Loss"),-('Guide &amp; Settings'!$C$42/($F147-1))*$Z147)))</f>
        <v>-13.998113137409879</v>
      </c>
      <c r="AB147" s="125">
        <f t="shared" si="50"/>
        <v>987.43161250376841</v>
      </c>
      <c r="AC147" s="125">
        <f>IF($D147="","",IF(SUMPRODUCT(MAX(($D$4:$D$311=$D147)*($B$4:$B$311&lt;$B147)*$B$4:$B$311))=0,0,MAX(($B147-SUMPRODUCT(MAX(($D$4:$D$311=$D147)*($B$4:$B$311&lt;$B147)*$B$4:$B$311)))/7-'Guide &amp; Settings'!$C$48,0)*'Guide &amp; Settings'!$C$49))</f>
        <v>0</v>
      </c>
    </row>
    <row r="148" spans="1:29" ht="15" customHeight="1" x14ac:dyDescent="0.2">
      <c r="A148" s="116">
        <v>69</v>
      </c>
      <c r="B148" s="117">
        <v>46188</v>
      </c>
      <c r="C148" s="118" t="s">
        <v>214</v>
      </c>
      <c r="D148" s="118" t="s">
        <v>141</v>
      </c>
      <c r="E148" s="116" t="s">
        <v>316</v>
      </c>
      <c r="F148" s="119">
        <f t="shared" si="34"/>
        <v>4</v>
      </c>
      <c r="G148" s="120" t="str">
        <f t="shared" si="35"/>
        <v>Josh</v>
      </c>
      <c r="H148" s="121">
        <f>IF($D148="",0,IFERROR(LOOKUP(2,1/(($D$3:D147=$D148)*($A$3:A147&lt;$A148)),$N$3:N147),'Guide &amp; Settings'!$C$41))</f>
        <v>988.40086101694862</v>
      </c>
      <c r="I148" s="122">
        <f t="shared" si="36"/>
        <v>0.2608695652173913</v>
      </c>
      <c r="J148" s="123">
        <f>IF($D148="",0,IF($F148&lt;2,0,IF($E148="Win",('Guide &amp; Settings'!$C$42/(($F148-1)*COUNTIFS($A$4:$A$311,$A148,$E$4:$E$311,"Win")))*SUMIFS($X$4:$X$311,$A$4:$A$311,$A148,$E$4:$E$311,"Loss"),-('Guide &amp; Settings'!$C$42/($F148-1))*$X148)))</f>
        <v>5.0123455733547129</v>
      </c>
      <c r="K148" s="123">
        <f>IF($D148="",0,'Guide &amp; Settings'!$C$43*(IF($E148="Win",1,0)-$I148))</f>
        <v>8.8695652173913047</v>
      </c>
      <c r="L148" s="124">
        <f>IF($D148="",0,'Guide &amp; Settings'!$C$44*IF($F148&gt;=3,$F148+IF($E148="Win",$F148,0),0))</f>
        <v>8</v>
      </c>
      <c r="M148" s="123">
        <f t="shared" si="37"/>
        <v>21.881910790746019</v>
      </c>
      <c r="N148" s="121">
        <f t="shared" si="38"/>
        <v>1010.2827718076946</v>
      </c>
      <c r="O148" s="120" t="str">
        <f t="shared" si="39"/>
        <v>OK</v>
      </c>
      <c r="P148">
        <f t="shared" si="40"/>
        <v>1057.7360393807517</v>
      </c>
      <c r="Q148">
        <f t="shared" si="41"/>
        <v>0.40152249719753597</v>
      </c>
      <c r="R148">
        <f t="shared" si="42"/>
        <v>0.5</v>
      </c>
      <c r="S148">
        <f t="shared" si="43"/>
        <v>1.9166666666666665</v>
      </c>
      <c r="T148" s="88">
        <f t="shared" si="44"/>
        <v>2</v>
      </c>
      <c r="U148" s="125">
        <f>IF($D148="",0,IFERROR(LOOKUP(2,1/(($D$3:D147=$D148)*($C$3:C147=$C148)*($A$3:A147&lt;$A148)),$AB$3:AB147),1000))</f>
        <v>999.26369320647802</v>
      </c>
      <c r="V148" s="125">
        <f t="shared" si="45"/>
        <v>991.50452735681415</v>
      </c>
      <c r="W148">
        <f t="shared" si="46"/>
        <v>1047.3652710719716</v>
      </c>
      <c r="X148">
        <f t="shared" si="47"/>
        <v>0.42029554050160955</v>
      </c>
      <c r="Y148">
        <f t="shared" si="48"/>
        <v>991.63184660323896</v>
      </c>
      <c r="Z148">
        <f t="shared" si="49"/>
        <v>0.51098134397425776</v>
      </c>
      <c r="AA148">
        <f>IF($D148="",0,IF($F148&lt;2,0,IF($E148="Win",('Guide &amp; Settings'!$C$42/(($F148-1)*COUNTIFS($A$4:$A$311,$A148,$E$4:$E$311,"Win")))*SUMIFS($Z$4:$Z$311,$A$4:$A$311,$A148,$E$4:$E$311,"Loss"),-('Guide &amp; Settings'!$C$42/($F148-1))*$Z148)))</f>
        <v>5.583216429050422</v>
      </c>
      <c r="AB148" s="125">
        <f t="shared" si="50"/>
        <v>1004.8469096355284</v>
      </c>
      <c r="AC148" s="125">
        <f>IF($D148="","",IF(SUMPRODUCT(MAX(($D$4:$D$311=$D148)*($B$4:$B$311&lt;$B148)*$B$4:$B$311))=0,0,MAX(($B148-SUMPRODUCT(MAX(($D$4:$D$311=$D148)*($B$4:$B$311&lt;$B148)*$B$4:$B$311)))/7-'Guide &amp; Settings'!$C$48,0)*'Guide &amp; Settings'!$C$49))</f>
        <v>0</v>
      </c>
    </row>
    <row r="149" spans="1:29" ht="15" customHeight="1" x14ac:dyDescent="0.2">
      <c r="A149" s="116">
        <v>69</v>
      </c>
      <c r="B149" s="117">
        <v>46188</v>
      </c>
      <c r="C149" s="118" t="s">
        <v>214</v>
      </c>
      <c r="D149" s="118" t="s">
        <v>144</v>
      </c>
      <c r="E149" s="116" t="s">
        <v>316</v>
      </c>
      <c r="F149" s="119">
        <f t="shared" si="34"/>
        <v>4</v>
      </c>
      <c r="G149" s="120" t="str">
        <f t="shared" si="35"/>
        <v>Josh</v>
      </c>
      <c r="H149" s="121">
        <f>IF($D149="",0,IFERROR(LOOKUP(2,1/(($D$3:D148=$D149)*($A$3:A148&lt;$A149)),$N$3:N148),'Guide &amp; Settings'!$C$41))</f>
        <v>1127.0712177445546</v>
      </c>
      <c r="I149" s="122">
        <f t="shared" si="36"/>
        <v>0.17391304347826086</v>
      </c>
      <c r="J149" s="123">
        <f>IF($D149="",0,IF($F149&lt;2,0,IF($E149="Win",('Guide &amp; Settings'!$C$42/(($F149-1)*COUNTIFS($A$4:$A$311,$A149,$E$4:$E$311,"Win")))*SUMIFS($X$4:$X$311,$A$4:$A$311,$A149,$E$4:$E$311,"Loss"),-('Guide &amp; Settings'!$C$42/($F149-1))*$X149)))</f>
        <v>5.0123455733547129</v>
      </c>
      <c r="K149" s="123">
        <f>IF($D149="",0,'Guide &amp; Settings'!$C$43*(IF($E149="Win",1,0)-$I149))</f>
        <v>9.9130434782608692</v>
      </c>
      <c r="L149" s="124">
        <f>IF($D149="",0,'Guide &amp; Settings'!$C$44*IF($F149&gt;=3,$F149+IF($E149="Win",$F149,0),0))</f>
        <v>8</v>
      </c>
      <c r="M149" s="123">
        <f t="shared" si="37"/>
        <v>22.925389051615582</v>
      </c>
      <c r="N149" s="121">
        <f t="shared" si="38"/>
        <v>1149.9966067961702</v>
      </c>
      <c r="O149" s="120" t="str">
        <f t="shared" si="39"/>
        <v>OK</v>
      </c>
      <c r="P149">
        <f t="shared" si="40"/>
        <v>1057.7360393807517</v>
      </c>
      <c r="Q149">
        <f t="shared" si="41"/>
        <v>0.59847750280246392</v>
      </c>
      <c r="R149">
        <f t="shared" si="42"/>
        <v>0.33333333333333331</v>
      </c>
      <c r="S149">
        <f t="shared" si="43"/>
        <v>1.9166666666666665</v>
      </c>
      <c r="T149" s="88">
        <f t="shared" si="44"/>
        <v>1</v>
      </c>
      <c r="U149" s="125">
        <f>IF($D149="",0,IFERROR(LOOKUP(2,1/(($D$3:D148=$D149)*($C$3:C148=$C149)*($A$3:A148&lt;$A149)),$AB$3:AB148),1000))</f>
        <v>984</v>
      </c>
      <c r="V149" s="125">
        <f t="shared" si="45"/>
        <v>1103.2260147871289</v>
      </c>
      <c r="W149">
        <f t="shared" si="46"/>
        <v>1047.3652710719716</v>
      </c>
      <c r="X149">
        <f t="shared" si="47"/>
        <v>0.57970445949839</v>
      </c>
      <c r="Y149">
        <f t="shared" si="48"/>
        <v>991.63184660323896</v>
      </c>
      <c r="Z149">
        <f t="shared" si="49"/>
        <v>0.48901865602574252</v>
      </c>
      <c r="AA149">
        <f>IF($D149="",0,IF($F149&lt;2,0,IF($E149="Win",('Guide &amp; Settings'!$C$42/(($F149-1)*COUNTIFS($A$4:$A$311,$A149,$E$4:$E$311,"Win")))*SUMIFS($Z$4:$Z$311,$A$4:$A$311,$A149,$E$4:$E$311,"Loss"),-('Guide &amp; Settings'!$C$42/($F149-1))*$Z149)))</f>
        <v>5.583216429050422</v>
      </c>
      <c r="AB149" s="125">
        <f t="shared" si="50"/>
        <v>989.58321642905037</v>
      </c>
      <c r="AC149" s="125">
        <f>IF($D149="","",IF(SUMPRODUCT(MAX(($D$4:$D$311=$D149)*($B$4:$B$311&lt;$B149)*$B$4:$B$311))=0,0,MAX(($B149-SUMPRODUCT(MAX(($D$4:$D$311=$D149)*($B$4:$B$311&lt;$B149)*$B$4:$B$311)))/7-'Guide &amp; Settings'!$C$48,0)*'Guide &amp; Settings'!$C$49))</f>
        <v>0</v>
      </c>
    </row>
    <row r="150" spans="1:29" ht="15" customHeight="1" x14ac:dyDescent="0.2">
      <c r="A150" s="116">
        <v>69</v>
      </c>
      <c r="B150" s="117">
        <v>46188</v>
      </c>
      <c r="C150" s="118" t="s">
        <v>214</v>
      </c>
      <c r="D150" s="118" t="s">
        <v>174</v>
      </c>
      <c r="E150" s="116" t="s">
        <v>317</v>
      </c>
      <c r="F150" s="119">
        <f t="shared" si="34"/>
        <v>4</v>
      </c>
      <c r="G150" s="120" t="str">
        <f t="shared" si="35"/>
        <v>Josh</v>
      </c>
      <c r="H150" s="121">
        <f>IF($D150="",0,IFERROR(LOOKUP(2,1/(($D$3:D149=$D150)*($A$3:A149&lt;$A150)),$N$3:N149),'Guide &amp; Settings'!$C$41))</f>
        <v>1092.2743358938565</v>
      </c>
      <c r="I150" s="122">
        <f t="shared" si="36"/>
        <v>0.39130434782608697</v>
      </c>
      <c r="J150" s="123">
        <f>IF($D150="",0,IF($F150&lt;2,0,IF($E150="Win",('Guide &amp; Settings'!$C$42/(($F150-1)*COUNTIFS($A$4:$A$311,$A150,$E$4:$E$311,"Win")))*SUMIFS($X$4:$X$311,$A$4:$A$311,$A150,$E$4:$E$311,"Loss"),-('Guide &amp; Settings'!$C$42/($F150-1))*$X150)))</f>
        <v>-5.7574597005463888</v>
      </c>
      <c r="K150" s="123">
        <f>IF($D150="",0,'Guide &amp; Settings'!$C$43*(IF($E150="Win",1,0)-$I150))</f>
        <v>-4.6956521739130439</v>
      </c>
      <c r="L150" s="124">
        <f>IF($D150="",0,'Guide &amp; Settings'!$C$44*IF($F150&gt;=3,$F150+IF($E150="Win",$F150,0),0))</f>
        <v>4</v>
      </c>
      <c r="M150" s="123">
        <f t="shared" si="37"/>
        <v>-6.4531118744594327</v>
      </c>
      <c r="N150" s="121">
        <f t="shared" si="38"/>
        <v>1085.8212240193971</v>
      </c>
      <c r="O150" s="120" t="str">
        <f t="shared" si="39"/>
        <v>OK</v>
      </c>
      <c r="P150">
        <f t="shared" si="40"/>
        <v>1057.7360393807517</v>
      </c>
      <c r="Q150">
        <f t="shared" si="41"/>
        <v>0.5495415186809417</v>
      </c>
      <c r="R150">
        <f t="shared" si="42"/>
        <v>0.75</v>
      </c>
      <c r="S150">
        <f t="shared" si="43"/>
        <v>1.9166666666666665</v>
      </c>
      <c r="T150" s="88">
        <f t="shared" si="44"/>
        <v>2</v>
      </c>
      <c r="U150" s="125">
        <f>IF($D150="",0,IFERROR(LOOKUP(2,1/(($D$3:D149=$D150)*($C$3:C149=$C150)*($A$3:A149&lt;$A150)),$AB$3:AB149),1000))</f>
        <v>1032</v>
      </c>
      <c r="V150" s="125">
        <f t="shared" si="45"/>
        <v>1075.0530970670404</v>
      </c>
      <c r="W150">
        <f t="shared" si="46"/>
        <v>1047.3652710719716</v>
      </c>
      <c r="X150">
        <f t="shared" si="47"/>
        <v>0.53976184692622398</v>
      </c>
      <c r="Y150">
        <f t="shared" si="48"/>
        <v>991.63184660323896</v>
      </c>
      <c r="Z150">
        <f t="shared" si="49"/>
        <v>0.55783442442121178</v>
      </c>
      <c r="AA150">
        <f>IF($D150="",0,IF($F150&lt;2,0,IF($E150="Win",('Guide &amp; Settings'!$C$42/(($F150-1)*COUNTIFS($A$4:$A$311,$A150,$E$4:$E$311,"Win")))*SUMIFS($Z$4:$Z$311,$A$4:$A$311,$A150,$E$4:$E$311,"Loss"),-('Guide &amp; Settings'!$C$42/($F150-1))*$Z150)))</f>
        <v>-5.9502338604929257</v>
      </c>
      <c r="AB150" s="125">
        <f t="shared" si="50"/>
        <v>1026.049766139507</v>
      </c>
      <c r="AC150" s="125">
        <f>IF($D150="","",IF(SUMPRODUCT(MAX(($D$4:$D$311=$D150)*($B$4:$B$311&lt;$B150)*$B$4:$B$311))=0,0,MAX(($B150-SUMPRODUCT(MAX(($D$4:$D$311=$D150)*($B$4:$B$311&lt;$B150)*$B$4:$B$311)))/7-'Guide &amp; Settings'!$C$48,0)*'Guide &amp; Settings'!$C$49))</f>
        <v>0</v>
      </c>
    </row>
    <row r="151" spans="1:29" ht="15" customHeight="1" x14ac:dyDescent="0.2">
      <c r="A151" s="116">
        <v>69</v>
      </c>
      <c r="B151" s="117">
        <v>46188</v>
      </c>
      <c r="C151" s="118" t="s">
        <v>214</v>
      </c>
      <c r="D151" s="118" t="s">
        <v>177</v>
      </c>
      <c r="E151" s="116" t="s">
        <v>317</v>
      </c>
      <c r="F151" s="119">
        <f t="shared" si="34"/>
        <v>4</v>
      </c>
      <c r="G151" s="120" t="str">
        <f t="shared" si="35"/>
        <v>Josh</v>
      </c>
      <c r="H151" s="121">
        <f>IF($D151="",0,IFERROR(LOOKUP(2,1/(($D$3:D150=$D151)*($A$3:A150&lt;$A151)),$N$3:N150),'Guide &amp; Settings'!$C$41))</f>
        <v>975.56051004124629</v>
      </c>
      <c r="I151" s="122">
        <f t="shared" si="36"/>
        <v>0.17391304347826086</v>
      </c>
      <c r="J151" s="123">
        <f>IF($D151="",0,IF($F151&lt;2,0,IF($E151="Win",('Guide &amp; Settings'!$C$42/(($F151-1)*COUNTIFS($A$4:$A$311,$A151,$E$4:$E$311,"Win")))*SUMIFS($X$4:$X$311,$A$4:$A$311,$A151,$E$4:$E$311,"Loss"),-('Guide &amp; Settings'!$C$42/($F151-1))*$X151)))</f>
        <v>-4.267231446163037</v>
      </c>
      <c r="K151" s="123">
        <f>IF($D151="",0,'Guide &amp; Settings'!$C$43*(IF($E151="Win",1,0)-$I151))</f>
        <v>-2.0869565217391304</v>
      </c>
      <c r="L151" s="124">
        <f>IF($D151="",0,'Guide &amp; Settings'!$C$44*IF($F151&gt;=3,$F151+IF($E151="Win",$F151,0),0))</f>
        <v>4</v>
      </c>
      <c r="M151" s="123">
        <f t="shared" si="37"/>
        <v>-2.3541879679021669</v>
      </c>
      <c r="N151" s="121">
        <f t="shared" si="38"/>
        <v>973.20632207334415</v>
      </c>
      <c r="O151" s="120" t="str">
        <f t="shared" si="39"/>
        <v>OK</v>
      </c>
      <c r="P151">
        <f t="shared" si="40"/>
        <v>1057.7360393807517</v>
      </c>
      <c r="Q151">
        <f t="shared" si="41"/>
        <v>0.3838968812058457</v>
      </c>
      <c r="R151">
        <f t="shared" si="42"/>
        <v>0.33333333333333331</v>
      </c>
      <c r="S151">
        <f t="shared" si="43"/>
        <v>1.9166666666666665</v>
      </c>
      <c r="T151" s="88">
        <f t="shared" si="44"/>
        <v>1</v>
      </c>
      <c r="U151" s="125">
        <f>IF($D151="",0,IFERROR(LOOKUP(2,1/(($D$3:D150=$D151)*($C$3:C150=$C151)*($A$3:A150&lt;$A151)),$AB$3:AB150),1000))</f>
        <v>984</v>
      </c>
      <c r="V151" s="125">
        <f t="shared" si="45"/>
        <v>976.96709170103861</v>
      </c>
      <c r="W151">
        <f t="shared" si="46"/>
        <v>1047.3652710719716</v>
      </c>
      <c r="X151">
        <f t="shared" si="47"/>
        <v>0.40005294807778474</v>
      </c>
      <c r="Y151">
        <f t="shared" si="48"/>
        <v>991.63184660323896</v>
      </c>
      <c r="Z151">
        <f t="shared" si="49"/>
        <v>0.48901865602574252</v>
      </c>
      <c r="AA151">
        <f>IF($D151="",0,IF($F151&lt;2,0,IF($E151="Win",('Guide &amp; Settings'!$C$42/(($F151-1)*COUNTIFS($A$4:$A$311,$A151,$E$4:$E$311,"Win")))*SUMIFS($Z$4:$Z$311,$A$4:$A$311,$A151,$E$4:$E$311,"Loss"),-('Guide &amp; Settings'!$C$42/($F151-1))*$Z151)))</f>
        <v>-5.2161989976079202</v>
      </c>
      <c r="AB151" s="125">
        <f t="shared" si="50"/>
        <v>978.78380100239212</v>
      </c>
      <c r="AC151" s="125">
        <f>IF($D151="","",IF(SUMPRODUCT(MAX(($D$4:$D$311=$D151)*($B$4:$B$311&lt;$B151)*$B$4:$B$311))=0,0,MAX(($B151-SUMPRODUCT(MAX(($D$4:$D$311=$D151)*($B$4:$B$311&lt;$B151)*$B$4:$B$311)))/7-'Guide &amp; Settings'!$C$48,0)*'Guide &amp; Settings'!$C$49))</f>
        <v>0</v>
      </c>
    </row>
    <row r="152" spans="1:29" ht="15" customHeight="1" x14ac:dyDescent="0.2">
      <c r="A152" s="116">
        <v>70</v>
      </c>
      <c r="B152" s="117">
        <v>46188</v>
      </c>
      <c r="C152" s="118" t="s">
        <v>214</v>
      </c>
      <c r="D152" s="118" t="s">
        <v>176</v>
      </c>
      <c r="E152" s="116" t="s">
        <v>316</v>
      </c>
      <c r="F152" s="119">
        <f t="shared" si="34"/>
        <v>4</v>
      </c>
      <c r="G152" s="120" t="str">
        <f t="shared" si="35"/>
        <v>Simon</v>
      </c>
      <c r="H152" s="121">
        <f>IF($D152="",0,IFERROR(LOOKUP(2,1/(($D$3:D151=$D152)*($A$3:A151&lt;$A152)),$N$3:N151),'Guide &amp; Settings'!$C$41))</f>
        <v>922.53033629935749</v>
      </c>
      <c r="I152" s="122">
        <f t="shared" si="36"/>
        <v>0.12875536480686695</v>
      </c>
      <c r="J152" s="123">
        <f>IF($D152="",0,IF($F152&lt;2,0,IF($E152="Win",('Guide &amp; Settings'!$C$42/(($F152-1)*COUNTIFS($A$4:$A$311,$A152,$E$4:$E$311,"Win")))*SUMIFS($X$4:$X$311,$A$4:$A$311,$A152,$E$4:$E$311,"Loss"),-('Guide &amp; Settings'!$C$42/($F152-1))*$X152)))</f>
        <v>6.1007179839983934</v>
      </c>
      <c r="K152" s="123">
        <f>IF($D152="",0,'Guide &amp; Settings'!$C$43*(IF($E152="Win",1,0)-$I152))</f>
        <v>10.454935622317597</v>
      </c>
      <c r="L152" s="124">
        <f>IF($D152="",0,'Guide &amp; Settings'!$C$44*IF($F152&gt;=3,$F152+IF($E152="Win",$F152,0),0))</f>
        <v>8</v>
      </c>
      <c r="M152" s="123">
        <f t="shared" si="37"/>
        <v>24.555653606315992</v>
      </c>
      <c r="N152" s="121">
        <f t="shared" si="38"/>
        <v>947.0859899056735</v>
      </c>
      <c r="O152" s="120" t="str">
        <f t="shared" si="39"/>
        <v>OK</v>
      </c>
      <c r="P152">
        <f t="shared" si="40"/>
        <v>1001.9266486331952</v>
      </c>
      <c r="Q152">
        <f t="shared" si="41"/>
        <v>0.38768779847128121</v>
      </c>
      <c r="R152">
        <f t="shared" si="42"/>
        <v>0.2857142857142857</v>
      </c>
      <c r="S152">
        <f t="shared" si="43"/>
        <v>2.2190476190476192</v>
      </c>
      <c r="T152" s="88">
        <f t="shared" si="44"/>
        <v>5</v>
      </c>
      <c r="U152" s="125">
        <f>IF($D152="",0,IFERROR(LOOKUP(2,1/(($D$3:D151=$D152)*($C$3:C151=$C152)*($A$3:A151&lt;$A152)),$AB$3:AB151),1000))</f>
        <v>954.17744405674409</v>
      </c>
      <c r="V152" s="125">
        <f t="shared" si="45"/>
        <v>938.35389017805073</v>
      </c>
      <c r="W152">
        <f t="shared" si="46"/>
        <v>1004.9060454094256</v>
      </c>
      <c r="X152">
        <f t="shared" si="47"/>
        <v>0.40537822731476303</v>
      </c>
      <c r="Y152">
        <f t="shared" si="48"/>
        <v>1006.6523471448768</v>
      </c>
      <c r="Z152">
        <f t="shared" si="49"/>
        <v>0.4250515756358243</v>
      </c>
      <c r="AA152">
        <f>IF($D152="",0,IF($F152&lt;2,0,IF($E152="Win",('Guide &amp; Settings'!$C$42/(($F152-1)*COUNTIFS($A$4:$A$311,$A152,$E$4:$E$311,"Win")))*SUMIFS($Z$4:$Z$311,$A$4:$A$311,$A152,$E$4:$E$311,"Loss"),-('Guide &amp; Settings'!$C$42/($F152-1))*$Z152)))</f>
        <v>5.1885710960379354</v>
      </c>
      <c r="AB152" s="125">
        <f t="shared" si="50"/>
        <v>959.36601515278198</v>
      </c>
      <c r="AC152" s="125">
        <f>IF($D152="","",IF(SUMPRODUCT(MAX(($D$4:$D$311=$D152)*($B$4:$B$311&lt;$B152)*$B$4:$B$311))=0,0,MAX(($B152-SUMPRODUCT(MAX(($D$4:$D$311=$D152)*($B$4:$B$311&lt;$B152)*$B$4:$B$311)))/7-'Guide &amp; Settings'!$C$48,0)*'Guide &amp; Settings'!$C$49))</f>
        <v>0</v>
      </c>
    </row>
    <row r="153" spans="1:29" ht="15" customHeight="1" x14ac:dyDescent="0.2">
      <c r="A153" s="116">
        <v>70</v>
      </c>
      <c r="B153" s="117">
        <v>46188</v>
      </c>
      <c r="C153" s="118" t="s">
        <v>214</v>
      </c>
      <c r="D153" s="118" t="s">
        <v>175</v>
      </c>
      <c r="E153" s="116" t="s">
        <v>316</v>
      </c>
      <c r="F153" s="119">
        <f t="shared" si="34"/>
        <v>4</v>
      </c>
      <c r="G153" s="120" t="str">
        <f t="shared" si="35"/>
        <v>Simon</v>
      </c>
      <c r="H153" s="121">
        <f>IF($D153="",0,IFERROR(LOOKUP(2,1/(($D$3:D152=$D153)*($A$3:A152&lt;$A153)),$N$3:N152),'Guide &amp; Settings'!$C$41))</f>
        <v>1081.3229609670329</v>
      </c>
      <c r="I153" s="122">
        <f t="shared" si="36"/>
        <v>0.37553648068669526</v>
      </c>
      <c r="J153" s="123">
        <f>IF($D153="",0,IF($F153&lt;2,0,IF($E153="Win",('Guide &amp; Settings'!$C$42/(($F153-1)*COUNTIFS($A$4:$A$311,$A153,$E$4:$E$311,"Win")))*SUMIFS($X$4:$X$311,$A$4:$A$311,$A153,$E$4:$E$311,"Loss"),-('Guide &amp; Settings'!$C$42/($F153-1))*$X153)))</f>
        <v>6.1007179839983934</v>
      </c>
      <c r="K153" s="123">
        <f>IF($D153="",0,'Guide &amp; Settings'!$C$43*(IF($E153="Win",1,0)-$I153))</f>
        <v>7.4935622317596575</v>
      </c>
      <c r="L153" s="124">
        <f>IF($D153="",0,'Guide &amp; Settings'!$C$44*IF($F153&gt;=3,$F153+IF($E153="Win",$F153,0),0))</f>
        <v>8</v>
      </c>
      <c r="M153" s="123">
        <f t="shared" si="37"/>
        <v>21.594280215758051</v>
      </c>
      <c r="N153" s="121">
        <f t="shared" si="38"/>
        <v>1102.917241182791</v>
      </c>
      <c r="O153" s="120" t="str">
        <f t="shared" si="39"/>
        <v>OK</v>
      </c>
      <c r="P153">
        <f t="shared" si="40"/>
        <v>1001.9266486331952</v>
      </c>
      <c r="Q153">
        <f t="shared" si="41"/>
        <v>0.61231220152871879</v>
      </c>
      <c r="R153">
        <f t="shared" si="42"/>
        <v>0.83333333333333337</v>
      </c>
      <c r="S153">
        <f t="shared" si="43"/>
        <v>2.2190476190476192</v>
      </c>
      <c r="T153" s="88">
        <f t="shared" si="44"/>
        <v>4</v>
      </c>
      <c r="U153" s="125">
        <f>IF($D153="",0,IFERROR(LOOKUP(2,1/(($D$3:D152=$D153)*($C$3:C152=$C153)*($A$3:A152&lt;$A153)),$AB$3:AB152),1000))</f>
        <v>1059.1272502330096</v>
      </c>
      <c r="V153" s="125">
        <f t="shared" si="45"/>
        <v>1071.4582006408004</v>
      </c>
      <c r="W153">
        <f t="shared" si="46"/>
        <v>1004.9060454094256</v>
      </c>
      <c r="X153">
        <f t="shared" si="47"/>
        <v>0.59462177268523708</v>
      </c>
      <c r="Y153">
        <f t="shared" si="48"/>
        <v>1006.6523471448768</v>
      </c>
      <c r="Z153">
        <f t="shared" si="49"/>
        <v>0.57494842436417581</v>
      </c>
      <c r="AA153">
        <f>IF($D153="",0,IF($F153&lt;2,0,IF($E153="Win",('Guide &amp; Settings'!$C$42/(($F153-1)*COUNTIFS($A$4:$A$311,$A153,$E$4:$E$311,"Win")))*SUMIFS($Z$4:$Z$311,$A$4:$A$311,$A153,$E$4:$E$311,"Loss"),-('Guide &amp; Settings'!$C$42/($F153-1))*$Z153)))</f>
        <v>5.1885710960379354</v>
      </c>
      <c r="AB153" s="125">
        <f t="shared" si="50"/>
        <v>1064.3158213290476</v>
      </c>
      <c r="AC153" s="125">
        <f>IF($D153="","",IF(SUMPRODUCT(MAX(($D$4:$D$311=$D153)*($B$4:$B$311&lt;$B153)*$B$4:$B$311))=0,0,MAX(($B153-SUMPRODUCT(MAX(($D$4:$D$311=$D153)*($B$4:$B$311&lt;$B153)*$B$4:$B$311)))/7-'Guide &amp; Settings'!$C$48,0)*'Guide &amp; Settings'!$C$49))</f>
        <v>0</v>
      </c>
    </row>
    <row r="154" spans="1:29" ht="15" customHeight="1" x14ac:dyDescent="0.2">
      <c r="A154" s="116">
        <v>70</v>
      </c>
      <c r="B154" s="117">
        <v>46188</v>
      </c>
      <c r="C154" s="118" t="s">
        <v>214</v>
      </c>
      <c r="D154" s="118" t="s">
        <v>141</v>
      </c>
      <c r="E154" s="116" t="s">
        <v>317</v>
      </c>
      <c r="F154" s="119">
        <f t="shared" si="34"/>
        <v>4</v>
      </c>
      <c r="G154" s="120" t="str">
        <f t="shared" si="35"/>
        <v>Simon</v>
      </c>
      <c r="H154" s="121">
        <f>IF($D154="",0,IFERROR(LOOKUP(2,1/(($D$3:D153=$D154)*($A$3:A153&lt;$A154)),$N$3:N153),'Guide &amp; Settings'!$C$41))</f>
        <v>1010.2827718076946</v>
      </c>
      <c r="I154" s="122">
        <f t="shared" si="36"/>
        <v>0.27038626609442057</v>
      </c>
      <c r="J154" s="123">
        <f>IF($D154="",0,IF($F154&lt;2,0,IF($E154="Win",('Guide &amp; Settings'!$C$42/(($F154-1)*COUNTIFS($A$4:$A$311,$A154,$E$4:$E$311,"Win")))*SUMIFS($X$4:$X$311,$A$4:$A$311,$A154,$E$4:$E$311,"Loss"),-('Guide &amp; Settings'!$C$42/($F154-1))*$X154)))</f>
        <v>-5.3845762187717696</v>
      </c>
      <c r="K154" s="123">
        <f>IF($D154="",0,'Guide &amp; Settings'!$C$43*(IF($E154="Win",1,0)-$I154))</f>
        <v>-3.244635193133047</v>
      </c>
      <c r="L154" s="124">
        <f>IF($D154="",0,'Guide &amp; Settings'!$C$44*IF($F154&gt;=3,$F154+IF($E154="Win",$F154,0),0))</f>
        <v>4</v>
      </c>
      <c r="M154" s="123">
        <f t="shared" si="37"/>
        <v>-4.6292114119048158</v>
      </c>
      <c r="N154" s="121">
        <f t="shared" si="38"/>
        <v>1005.6535603957898</v>
      </c>
      <c r="O154" s="120" t="str">
        <f t="shared" si="39"/>
        <v>OK</v>
      </c>
      <c r="P154">
        <f t="shared" si="40"/>
        <v>1001.9266486331952</v>
      </c>
      <c r="Q154">
        <f t="shared" si="41"/>
        <v>0.5120231097693454</v>
      </c>
      <c r="R154">
        <f t="shared" si="42"/>
        <v>0.6</v>
      </c>
      <c r="S154">
        <f t="shared" si="43"/>
        <v>2.2190476190476192</v>
      </c>
      <c r="T154" s="88">
        <f t="shared" si="44"/>
        <v>3</v>
      </c>
      <c r="U154" s="125">
        <f>IF($D154="",0,IFERROR(LOOKUP(2,1/(($D$3:D153=$D154)*($C$3:C153=$C154)*($A$3:A153&lt;$A154)),$AB$3:AB153),1000))</f>
        <v>1004.8469096355284</v>
      </c>
      <c r="V154" s="125">
        <f t="shared" si="45"/>
        <v>1008.2443234931324</v>
      </c>
      <c r="W154">
        <f t="shared" si="46"/>
        <v>1004.9060454094256</v>
      </c>
      <c r="X154">
        <f t="shared" si="47"/>
        <v>0.5048040205098534</v>
      </c>
      <c r="Y154">
        <f t="shared" si="48"/>
        <v>1006.6523471448768</v>
      </c>
      <c r="Z154">
        <f t="shared" si="49"/>
        <v>0.4974017899520799</v>
      </c>
      <c r="AA154">
        <f>IF($D154="",0,IF($F154&lt;2,0,IF($E154="Win",('Guide &amp; Settings'!$C$42/(($F154-1)*COUNTIFS($A$4:$A$311,$A154,$E$4:$E$311,"Win")))*SUMIFS($Z$4:$Z$311,$A$4:$A$311,$A154,$E$4:$E$311,"Loss"),-('Guide &amp; Settings'!$C$42/($F154-1))*$Z154)))</f>
        <v>-5.3056190928221856</v>
      </c>
      <c r="AB154" s="125">
        <f t="shared" si="50"/>
        <v>999.54129054270618</v>
      </c>
      <c r="AC154" s="125">
        <f>IF($D154="","",IF(SUMPRODUCT(MAX(($D$4:$D$311=$D154)*($B$4:$B$311&lt;$B154)*$B$4:$B$311))=0,0,MAX(($B154-SUMPRODUCT(MAX(($D$4:$D$311=$D154)*($B$4:$B$311&lt;$B154)*$B$4:$B$311)))/7-'Guide &amp; Settings'!$C$48,0)*'Guide &amp; Settings'!$C$49))</f>
        <v>0</v>
      </c>
    </row>
    <row r="155" spans="1:29" ht="15" customHeight="1" x14ac:dyDescent="0.2">
      <c r="A155" s="116">
        <v>70</v>
      </c>
      <c r="B155" s="117">
        <v>46188</v>
      </c>
      <c r="C155" s="118" t="s">
        <v>214</v>
      </c>
      <c r="D155" s="118" t="s">
        <v>144</v>
      </c>
      <c r="E155" s="116" t="s">
        <v>317</v>
      </c>
      <c r="F155" s="119">
        <f t="shared" si="34"/>
        <v>4</v>
      </c>
      <c r="G155" s="120" t="str">
        <f t="shared" si="35"/>
        <v>Simon</v>
      </c>
      <c r="H155" s="121">
        <f>IF($D155="",0,IFERROR(LOOKUP(2,1/(($D$3:D154=$D155)*($A$3:A154&lt;$A155)),$N$3:N154),'Guide &amp; Settings'!$C$41))</f>
        <v>1149.9966067961702</v>
      </c>
      <c r="I155" s="122">
        <f t="shared" si="36"/>
        <v>0.22532188841201717</v>
      </c>
      <c r="J155" s="123">
        <f>IF($D155="",0,IF($F155&lt;2,0,IF($E155="Win",('Guide &amp; Settings'!$C$42/(($F155-1)*COUNTIFS($A$4:$A$311,$A155,$E$4:$E$311,"Win")))*SUMIFS($X$4:$X$311,$A$4:$A$311,$A155,$E$4:$E$311,"Loss"),-('Guide &amp; Settings'!$C$42/($F155-1))*$X155)))</f>
        <v>-6.8168597492250154</v>
      </c>
      <c r="K155" s="123">
        <f>IF($D155="",0,'Guide &amp; Settings'!$C$43*(IF($E155="Win",1,0)-$I155))</f>
        <v>-2.703862660944206</v>
      </c>
      <c r="L155" s="124">
        <f>IF($D155="",0,'Guide &amp; Settings'!$C$44*IF($F155&gt;=3,$F155+IF($E155="Win",$F155,0),0))</f>
        <v>4</v>
      </c>
      <c r="M155" s="123">
        <f t="shared" si="37"/>
        <v>-5.5207224101692205</v>
      </c>
      <c r="N155" s="121">
        <f t="shared" si="38"/>
        <v>1144.4758843860011</v>
      </c>
      <c r="O155" s="120" t="str">
        <f t="shared" si="39"/>
        <v>OK</v>
      </c>
      <c r="P155">
        <f t="shared" si="40"/>
        <v>1001.9266486331952</v>
      </c>
      <c r="Q155">
        <f t="shared" si="41"/>
        <v>0.70106180337616897</v>
      </c>
      <c r="R155">
        <f t="shared" si="42"/>
        <v>0.5</v>
      </c>
      <c r="S155">
        <f t="shared" si="43"/>
        <v>2.2190476190476192</v>
      </c>
      <c r="T155" s="88">
        <f t="shared" si="44"/>
        <v>2</v>
      </c>
      <c r="U155" s="125">
        <f>IF($D155="",0,IFERROR(LOOKUP(2,1/(($D$3:D154=$D155)*($C$3:C154=$C155)*($A$3:A154&lt;$A155)),$AB$3:AB154),1000))</f>
        <v>989.58321642905037</v>
      </c>
      <c r="V155" s="125">
        <f t="shared" si="45"/>
        <v>1104.1642095484217</v>
      </c>
      <c r="W155">
        <f t="shared" si="46"/>
        <v>1004.9060454094256</v>
      </c>
      <c r="X155">
        <f t="shared" si="47"/>
        <v>0.63908060148984525</v>
      </c>
      <c r="Y155">
        <f t="shared" si="48"/>
        <v>1006.6523471448768</v>
      </c>
      <c r="Z155">
        <f t="shared" si="49"/>
        <v>0.47545529055503305</v>
      </c>
      <c r="AA155">
        <f>IF($D155="",0,IF($F155&lt;2,0,IF($E155="Win",('Guide &amp; Settings'!$C$42/(($F155-1)*COUNTIFS($A$4:$A$311,$A155,$E$4:$E$311,"Win")))*SUMIFS($Z$4:$Z$311,$A$4:$A$311,$A155,$E$4:$E$311,"Loss"),-('Guide &amp; Settings'!$C$42/($F155-1))*$Z155)))</f>
        <v>-5.0715230992536853</v>
      </c>
      <c r="AB155" s="125">
        <f t="shared" si="50"/>
        <v>984.51169332979669</v>
      </c>
      <c r="AC155" s="125">
        <f>IF($D155="","",IF(SUMPRODUCT(MAX(($D$4:$D$311=$D155)*($B$4:$B$311&lt;$B155)*$B$4:$B$311))=0,0,MAX(($B155-SUMPRODUCT(MAX(($D$4:$D$311=$D155)*($B$4:$B$311&lt;$B155)*$B$4:$B$311)))/7-'Guide &amp; Settings'!$C$48,0)*'Guide &amp; Settings'!$C$49))</f>
        <v>0</v>
      </c>
    </row>
    <row r="156" spans="1:29" ht="15" customHeight="1" x14ac:dyDescent="0.2">
      <c r="A156" s="116">
        <v>71</v>
      </c>
      <c r="B156" s="117">
        <v>46188</v>
      </c>
      <c r="C156" s="118" t="s">
        <v>214</v>
      </c>
      <c r="D156" s="118" t="s">
        <v>175</v>
      </c>
      <c r="E156" s="116" t="s">
        <v>316</v>
      </c>
      <c r="F156" s="119">
        <f t="shared" si="34"/>
        <v>4</v>
      </c>
      <c r="G156" s="120" t="str">
        <f t="shared" si="35"/>
        <v>Oscar</v>
      </c>
      <c r="H156" s="121">
        <f>IF($D156="",0,IFERROR(LOOKUP(2,1/(($D$3:D155=$D156)*($A$3:A155&lt;$A156)),$N$3:N155),'Guide &amp; Settings'!$C$41))</f>
        <v>1102.917241182791</v>
      </c>
      <c r="I156" s="122">
        <f t="shared" si="36"/>
        <v>0.38399999999999995</v>
      </c>
      <c r="J156" s="123">
        <f>IF($D156="",0,IF($F156&lt;2,0,IF($E156="Win",('Guide &amp; Settings'!$C$42/(($F156-1)*COUNTIFS($A$4:$A$311,$A156,$E$4:$E$311,"Win")))*SUMIFS($X$4:$X$311,$A$4:$A$311,$A156,$E$4:$E$311,"Loss"),-('Guide &amp; Settings'!$C$42/($F156-1))*$X156)))</f>
        <v>4.7860071024604878</v>
      </c>
      <c r="K156" s="123">
        <f>IF($D156="",0,'Guide &amp; Settings'!$C$43*(IF($E156="Win",1,0)-$I156))</f>
        <v>7.3920000000000012</v>
      </c>
      <c r="L156" s="124">
        <f>IF($D156="",0,'Guide &amp; Settings'!$C$44*IF($F156&gt;=3,$F156+IF($E156="Win",$F156,0),0))</f>
        <v>8</v>
      </c>
      <c r="M156" s="123">
        <f t="shared" si="37"/>
        <v>20.178007102460491</v>
      </c>
      <c r="N156" s="121">
        <f t="shared" si="38"/>
        <v>1123.0952482852515</v>
      </c>
      <c r="O156" s="120" t="str">
        <f t="shared" si="39"/>
        <v>OK</v>
      </c>
      <c r="P156">
        <f t="shared" si="40"/>
        <v>1025.0016155442322</v>
      </c>
      <c r="Q156">
        <f t="shared" si="41"/>
        <v>0.61028691145929026</v>
      </c>
      <c r="R156">
        <f t="shared" si="42"/>
        <v>0.8571428571428571</v>
      </c>
      <c r="S156">
        <f t="shared" si="43"/>
        <v>2.2321428571428572</v>
      </c>
      <c r="T156" s="88">
        <f t="shared" si="44"/>
        <v>5</v>
      </c>
      <c r="U156" s="125">
        <f>IF($D156="",0,IFERROR(LOOKUP(2,1/(($D$3:D155=$D156)*($C$3:C155=$C156)*($A$3:A155&lt;$A156)),$AB$3:AB155),1000))</f>
        <v>1064.3158213290476</v>
      </c>
      <c r="V156" s="125">
        <f t="shared" si="45"/>
        <v>1083.6165312559192</v>
      </c>
      <c r="W156">
        <f t="shared" si="46"/>
        <v>1018.7003583754623</v>
      </c>
      <c r="X156">
        <f t="shared" si="47"/>
        <v>0.59234971424988148</v>
      </c>
      <c r="Y156">
        <f t="shared" si="48"/>
        <v>1011.8409182409148</v>
      </c>
      <c r="Z156">
        <f t="shared" si="49"/>
        <v>0.57494842436417581</v>
      </c>
      <c r="AA156">
        <f>IF($D156="",0,IF($F156&lt;2,0,IF($E156="Win",('Guide &amp; Settings'!$C$42/(($F156-1)*COUNTIFS($A$4:$A$311,$A156,$E$4:$E$311,"Win")))*SUMIFS($Z$4:$Z$311,$A$4:$A$311,$A156,$E$4:$E$311,"Loss"),-('Guide &amp; Settings'!$C$42/($F156-1))*$Z156)))</f>
        <v>5.1516388622153571</v>
      </c>
      <c r="AB156" s="125">
        <f t="shared" si="50"/>
        <v>1069.4674601912629</v>
      </c>
      <c r="AC156" s="125">
        <f>IF($D156="","",IF(SUMPRODUCT(MAX(($D$4:$D$311=$D156)*($B$4:$B$311&lt;$B156)*$B$4:$B$311))=0,0,MAX(($B156-SUMPRODUCT(MAX(($D$4:$D$311=$D156)*($B$4:$B$311&lt;$B156)*$B$4:$B$311)))/7-'Guide &amp; Settings'!$C$48,0)*'Guide &amp; Settings'!$C$49))</f>
        <v>0</v>
      </c>
    </row>
    <row r="157" spans="1:29" ht="15" customHeight="1" x14ac:dyDescent="0.2">
      <c r="A157" s="116">
        <v>71</v>
      </c>
      <c r="B157" s="117">
        <v>46188</v>
      </c>
      <c r="C157" s="118" t="s">
        <v>214</v>
      </c>
      <c r="D157" s="118" t="s">
        <v>176</v>
      </c>
      <c r="E157" s="116" t="s">
        <v>316</v>
      </c>
      <c r="F157" s="119">
        <f t="shared" si="34"/>
        <v>4</v>
      </c>
      <c r="G157" s="120" t="str">
        <f t="shared" si="35"/>
        <v>Oscar</v>
      </c>
      <c r="H157" s="121">
        <f>IF($D157="",0,IFERROR(LOOKUP(2,1/(($D$3:D156=$D157)*($A$3:A156&lt;$A157)),$N$3:N156),'Guide &amp; Settings'!$C$41))</f>
        <v>947.0859899056735</v>
      </c>
      <c r="I157" s="122">
        <f t="shared" si="36"/>
        <v>0.16799999999999998</v>
      </c>
      <c r="J157" s="123">
        <f>IF($D157="",0,IF($F157&lt;2,0,IF($E157="Win",('Guide &amp; Settings'!$C$42/(($F157-1)*COUNTIFS($A$4:$A$311,$A157,$E$4:$E$311,"Win")))*SUMIFS($X$4:$X$311,$A$4:$A$311,$A157,$E$4:$E$311,"Loss"),-('Guide &amp; Settings'!$C$42/($F157-1))*$X157)))</f>
        <v>4.7860071024604878</v>
      </c>
      <c r="K157" s="123">
        <f>IF($D157="",0,'Guide &amp; Settings'!$C$43*(IF($E157="Win",1,0)-$I157))</f>
        <v>9.9840000000000018</v>
      </c>
      <c r="L157" s="124">
        <f>IF($D157="",0,'Guide &amp; Settings'!$C$44*IF($F157&gt;=3,$F157+IF($E157="Win",$F157,0),0))</f>
        <v>8</v>
      </c>
      <c r="M157" s="123">
        <f t="shared" si="37"/>
        <v>22.77000710246049</v>
      </c>
      <c r="N157" s="121">
        <f t="shared" si="38"/>
        <v>969.85599700813395</v>
      </c>
      <c r="O157" s="120" t="str">
        <f t="shared" si="39"/>
        <v>OK</v>
      </c>
      <c r="P157">
        <f t="shared" si="40"/>
        <v>1025.0016155442322</v>
      </c>
      <c r="Q157">
        <f t="shared" si="41"/>
        <v>0.38971308854070991</v>
      </c>
      <c r="R157">
        <f t="shared" si="42"/>
        <v>0.375</v>
      </c>
      <c r="S157">
        <f t="shared" si="43"/>
        <v>2.2321428571428572</v>
      </c>
      <c r="T157" s="88">
        <f t="shared" si="44"/>
        <v>6</v>
      </c>
      <c r="U157" s="125">
        <f>IF($D157="",0,IFERROR(LOOKUP(2,1/(($D$3:D156=$D157)*($C$3:C156=$C157)*($A$3:A156&lt;$A157)),$AB$3:AB156),1000))</f>
        <v>959.36601515278198</v>
      </c>
      <c r="V157" s="125">
        <f t="shared" si="45"/>
        <v>953.78418549500543</v>
      </c>
      <c r="W157">
        <f t="shared" si="46"/>
        <v>1018.7003583754623</v>
      </c>
      <c r="X157">
        <f t="shared" si="47"/>
        <v>0.40765028575011847</v>
      </c>
      <c r="Y157">
        <f t="shared" si="48"/>
        <v>1011.8409182409148</v>
      </c>
      <c r="Z157">
        <f t="shared" si="49"/>
        <v>0.42505157563582413</v>
      </c>
      <c r="AA157">
        <f>IF($D157="",0,IF($F157&lt;2,0,IF($E157="Win",('Guide &amp; Settings'!$C$42/(($F157-1)*COUNTIFS($A$4:$A$311,$A157,$E$4:$E$311,"Win")))*SUMIFS($Z$4:$Z$311,$A$4:$A$311,$A157,$E$4:$E$311,"Loss"),-('Guide &amp; Settings'!$C$42/($F157-1))*$Z157)))</f>
        <v>5.1516388622153571</v>
      </c>
      <c r="AB157" s="125">
        <f t="shared" si="50"/>
        <v>964.51765401499733</v>
      </c>
      <c r="AC157" s="125">
        <f>IF($D157="","",IF(SUMPRODUCT(MAX(($D$4:$D$311=$D157)*($B$4:$B$311&lt;$B157)*$B$4:$B$311))=0,0,MAX(($B157-SUMPRODUCT(MAX(($D$4:$D$311=$D157)*($B$4:$B$311&lt;$B157)*$B$4:$B$311)))/7-'Guide &amp; Settings'!$C$48,0)*'Guide &amp; Settings'!$C$49))</f>
        <v>0</v>
      </c>
    </row>
    <row r="158" spans="1:29" ht="15" customHeight="1" x14ac:dyDescent="0.2">
      <c r="A158" s="116">
        <v>71</v>
      </c>
      <c r="B158" s="117">
        <v>46188</v>
      </c>
      <c r="C158" s="118" t="s">
        <v>214</v>
      </c>
      <c r="D158" s="118" t="s">
        <v>147</v>
      </c>
      <c r="E158" s="116" t="s">
        <v>317</v>
      </c>
      <c r="F158" s="119">
        <f t="shared" si="34"/>
        <v>4</v>
      </c>
      <c r="G158" s="120" t="str">
        <f t="shared" si="35"/>
        <v>Oscar</v>
      </c>
      <c r="H158" s="121">
        <f>IF($D158="",0,IFERROR(LOOKUP(2,1/(($D$3:D157=$D158)*($A$3:A157&lt;$A158)),$N$3:N157),'Guide &amp; Settings'!$C$41))</f>
        <v>951.93002730401292</v>
      </c>
      <c r="I158" s="122">
        <f t="shared" si="36"/>
        <v>0.224</v>
      </c>
      <c r="J158" s="123">
        <f>IF($D158="",0,IF($F158&lt;2,0,IF($E158="Win",('Guide &amp; Settings'!$C$42/(($F158-1)*COUNTIFS($A$4:$A$311,$A158,$E$4:$E$311,"Win")))*SUMIFS($X$4:$X$311,$A$4:$A$311,$A158,$E$4:$E$311,"Loss"),-('Guide &amp; Settings'!$C$42/($F158-1))*$X158)))</f>
        <v>-4.5254650948566066</v>
      </c>
      <c r="K158" s="123">
        <f>IF($D158="",0,'Guide &amp; Settings'!$C$43*(IF($E158="Win",1,0)-$I158))</f>
        <v>-2.6880000000000002</v>
      </c>
      <c r="L158" s="124">
        <f>IF($D158="",0,'Guide &amp; Settings'!$C$44*IF($F158&gt;=3,$F158+IF($E158="Win",$F158,0),0))</f>
        <v>4</v>
      </c>
      <c r="M158" s="123">
        <f t="shared" si="37"/>
        <v>-3.2134650948566073</v>
      </c>
      <c r="N158" s="121">
        <f t="shared" si="38"/>
        <v>948.71656220915634</v>
      </c>
      <c r="O158" s="120" t="str">
        <f t="shared" si="39"/>
        <v>OK</v>
      </c>
      <c r="P158">
        <f t="shared" si="40"/>
        <v>1025.0016155442322</v>
      </c>
      <c r="Q158">
        <f t="shared" si="41"/>
        <v>0.39636507948672856</v>
      </c>
      <c r="R158">
        <f t="shared" si="42"/>
        <v>0.5</v>
      </c>
      <c r="S158">
        <f t="shared" si="43"/>
        <v>2.2321428571428572</v>
      </c>
      <c r="T158" s="88">
        <f t="shared" si="44"/>
        <v>2</v>
      </c>
      <c r="U158" s="125">
        <f>IF($D158="",0,IFERROR(LOOKUP(2,1/(($D$3:D157=$D158)*($C$3:C157=$C158)*($A$3:A157&lt;$A158)),$AB$3:AB157),1000))</f>
        <v>1000</v>
      </c>
      <c r="V158" s="125">
        <f t="shared" si="45"/>
        <v>965.6643052171521</v>
      </c>
      <c r="W158">
        <f t="shared" si="46"/>
        <v>1018.7003583754623</v>
      </c>
      <c r="X158">
        <f t="shared" si="47"/>
        <v>0.42426235264280693</v>
      </c>
      <c r="Y158">
        <f t="shared" si="48"/>
        <v>1011.8409182409148</v>
      </c>
      <c r="Z158">
        <f t="shared" si="49"/>
        <v>0.48296614333268972</v>
      </c>
      <c r="AA158">
        <f>IF($D158="",0,IF($F158&lt;2,0,IF($E158="Win",('Guide &amp; Settings'!$C$42/(($F158-1)*COUNTIFS($A$4:$A$311,$A158,$E$4:$E$311,"Win")))*SUMIFS($Z$4:$Z$311,$A$4:$A$311,$A158,$E$4:$E$311,"Loss"),-('Guide &amp; Settings'!$C$42/($F158-1))*$Z158)))</f>
        <v>-5.1516388622153571</v>
      </c>
      <c r="AB158" s="125">
        <f t="shared" si="50"/>
        <v>994.84836113778465</v>
      </c>
      <c r="AC158" s="125">
        <f>IF($D158="","",IF(SUMPRODUCT(MAX(($D$4:$D$311=$D158)*($B$4:$B$311&lt;$B158)*$B$4:$B$311))=0,0,MAX(($B158-SUMPRODUCT(MAX(($D$4:$D$311=$D158)*($B$4:$B$311&lt;$B158)*$B$4:$B$311)))/7-'Guide &amp; Settings'!$C$48,0)*'Guide &amp; Settings'!$C$49))</f>
        <v>0</v>
      </c>
    </row>
    <row r="159" spans="1:29" ht="15" customHeight="1" x14ac:dyDescent="0.2">
      <c r="A159" s="116">
        <v>71</v>
      </c>
      <c r="B159" s="117">
        <v>46188</v>
      </c>
      <c r="C159" s="118" t="s">
        <v>214</v>
      </c>
      <c r="D159" s="118" t="s">
        <v>178</v>
      </c>
      <c r="E159" s="116" t="s">
        <v>317</v>
      </c>
      <c r="F159" s="119">
        <f t="shared" si="34"/>
        <v>4</v>
      </c>
      <c r="G159" s="120" t="str">
        <f t="shared" si="35"/>
        <v>Oscar</v>
      </c>
      <c r="H159" s="121">
        <f>IF($D159="",0,IFERROR(LOOKUP(2,1/(($D$3:D158=$D159)*($A$3:A158&lt;$A159)),$N$3:N158),'Guide &amp; Settings'!$C$41))</f>
        <v>1000</v>
      </c>
      <c r="I159" s="122">
        <f t="shared" si="36"/>
        <v>0.224</v>
      </c>
      <c r="J159" s="123">
        <f>IF($D159="",0,IF($F159&lt;2,0,IF($E159="Win",('Guide &amp; Settings'!$C$42/(($F159-1)*COUNTIFS($A$4:$A$311,$A159,$E$4:$E$311,"Win")))*SUMIFS($X$4:$X$311,$A$4:$A$311,$A159,$E$4:$E$311,"Loss"),-('Guide &amp; Settings'!$C$42/($F159-1))*$X159)))</f>
        <v>-5.0465491100643689</v>
      </c>
      <c r="K159" s="123">
        <f>IF($D159="",0,'Guide &amp; Settings'!$C$43*(IF($E159="Win",1,0)-$I159))</f>
        <v>-2.6880000000000002</v>
      </c>
      <c r="L159" s="124">
        <f>IF($D159="",0,'Guide &amp; Settings'!$C$44*IF($F159&gt;=3,$F159+IF($E159="Win",$F159,0),0))</f>
        <v>4</v>
      </c>
      <c r="M159" s="123">
        <f t="shared" si="37"/>
        <v>-3.7345491100643695</v>
      </c>
      <c r="N159" s="121">
        <f t="shared" si="38"/>
        <v>996.26545088993566</v>
      </c>
      <c r="O159" s="120" t="str">
        <f t="shared" si="39"/>
        <v>OK</v>
      </c>
      <c r="P159">
        <f t="shared" si="40"/>
        <v>1025.0016155442322</v>
      </c>
      <c r="Q159">
        <f t="shared" si="41"/>
        <v>0.46408176009696739</v>
      </c>
      <c r="R159">
        <f t="shared" si="42"/>
        <v>0.5</v>
      </c>
      <c r="S159">
        <f t="shared" si="43"/>
        <v>2.2321428571428572</v>
      </c>
      <c r="T159" s="88">
        <f t="shared" si="44"/>
        <v>0</v>
      </c>
      <c r="U159" s="125">
        <f>IF($D159="",0,IFERROR(LOOKUP(2,1/(($D$3:D158=$D159)*($C$3:C158=$C159)*($A$3:A158&lt;$A159)),$AB$3:AB158),1000))</f>
        <v>1000</v>
      </c>
      <c r="V159" s="125">
        <f t="shared" si="45"/>
        <v>1000</v>
      </c>
      <c r="W159">
        <f t="shared" si="46"/>
        <v>1018.7003583754623</v>
      </c>
      <c r="X159">
        <f t="shared" si="47"/>
        <v>0.47311397906853464</v>
      </c>
      <c r="Y159">
        <f t="shared" si="48"/>
        <v>1011.8409182409148</v>
      </c>
      <c r="Z159">
        <f t="shared" si="49"/>
        <v>0.48296614333268972</v>
      </c>
      <c r="AA159">
        <f>IF($D159="",0,IF($F159&lt;2,0,IF($E159="Win",('Guide &amp; Settings'!$C$42/(($F159-1)*COUNTIFS($A$4:$A$311,$A159,$E$4:$E$311,"Win")))*SUMIFS($Z$4:$Z$311,$A$4:$A$311,$A159,$E$4:$E$311,"Loss"),-('Guide &amp; Settings'!$C$42/($F159-1))*$Z159)))</f>
        <v>-5.1516388622153571</v>
      </c>
      <c r="AB159" s="125">
        <f t="shared" si="50"/>
        <v>994.84836113778465</v>
      </c>
      <c r="AC159" s="125">
        <f>IF($D159="","",IF(SUMPRODUCT(MAX(($D$4:$D$311=$D159)*($B$4:$B$311&lt;$B159)*$B$4:$B$311))=0,0,MAX(($B159-SUMPRODUCT(MAX(($D$4:$D$311=$D159)*($B$4:$B$311&lt;$B159)*$B$4:$B$311)))/7-'Guide &amp; Settings'!$C$48,0)*'Guide &amp; Settings'!$C$49))</f>
        <v>0</v>
      </c>
    </row>
    <row r="160" spans="1:29" ht="15" customHeight="1" x14ac:dyDescent="0.2">
      <c r="A160" s="116">
        <v>72</v>
      </c>
      <c r="B160" s="117">
        <v>46188</v>
      </c>
      <c r="C160" s="118" t="s">
        <v>214</v>
      </c>
      <c r="D160" s="118" t="s">
        <v>175</v>
      </c>
      <c r="E160" s="116" t="s">
        <v>316</v>
      </c>
      <c r="F160" s="119">
        <f t="shared" si="34"/>
        <v>4</v>
      </c>
      <c r="G160" s="120" t="str">
        <f t="shared" si="35"/>
        <v>Oscar</v>
      </c>
      <c r="H160" s="121">
        <f>IF($D160="",0,IFERROR(LOOKUP(2,1/(($D$3:D159=$D160)*($A$3:A159&lt;$A160)),$N$3:N159),'Guide &amp; Settings'!$C$41))</f>
        <v>1123.0952482852515</v>
      </c>
      <c r="I160" s="122">
        <f t="shared" si="36"/>
        <v>0.43793445878848064</v>
      </c>
      <c r="J160" s="123">
        <f>IF($D160="",0,IF($F160&lt;2,0,IF($E160="Win",('Guide &amp; Settings'!$C$42/(($F160-1)*COUNTIFS($A$4:$A$311,$A160,$E$4:$E$311,"Win")))*SUMIFS($X$4:$X$311,$A$4:$A$311,$A160,$E$4:$E$311,"Loss"),-('Guide &amp; Settings'!$C$42/($F160-1))*$X160)))</f>
        <v>4.603988703500919</v>
      </c>
      <c r="K160" s="123">
        <f>IF($D160="",0,'Guide &amp; Settings'!$C$43*(IF($E160="Win",1,0)-$I160))</f>
        <v>6.744786494538233</v>
      </c>
      <c r="L160" s="124">
        <f>IF($D160="",0,'Guide &amp; Settings'!$C$44*IF($F160&gt;=3,$F160+IF($E160="Win",$F160,0),0))</f>
        <v>8</v>
      </c>
      <c r="M160" s="123">
        <f t="shared" si="37"/>
        <v>19.348775198039153</v>
      </c>
      <c r="N160" s="121">
        <f t="shared" si="38"/>
        <v>1142.4440234832907</v>
      </c>
      <c r="O160" s="120" t="str">
        <f t="shared" si="39"/>
        <v>OK</v>
      </c>
      <c r="P160">
        <f t="shared" si="40"/>
        <v>1046.4756226466927</v>
      </c>
      <c r="Q160">
        <f t="shared" si="41"/>
        <v>0.6085111067334309</v>
      </c>
      <c r="R160">
        <f t="shared" si="42"/>
        <v>0.875</v>
      </c>
      <c r="S160">
        <f t="shared" si="43"/>
        <v>1.998015873015873</v>
      </c>
      <c r="T160" s="88">
        <f t="shared" si="44"/>
        <v>6</v>
      </c>
      <c r="U160" s="125">
        <f>IF($D160="",0,IFERROR(LOOKUP(2,1/(($D$3:D159=$D160)*($C$3:C159=$C160)*($A$3:A159&lt;$A160)),$AB$3:AB159),1000))</f>
        <v>1069.4674601912629</v>
      </c>
      <c r="V160" s="125">
        <f t="shared" si="45"/>
        <v>1093.8437275067122</v>
      </c>
      <c r="W160">
        <f t="shared" si="46"/>
        <v>1030.2928455510914</v>
      </c>
      <c r="X160">
        <f t="shared" si="47"/>
        <v>0.59045056138425467</v>
      </c>
      <c r="Y160">
        <f t="shared" si="48"/>
        <v>1016.9925571031301</v>
      </c>
      <c r="Z160">
        <f t="shared" si="49"/>
        <v>0.57494842436417581</v>
      </c>
      <c r="AA160">
        <f>IF($D160="",0,IF($F160&lt;2,0,IF($E160="Win",('Guide &amp; Settings'!$C$42/(($F160-1)*COUNTIFS($A$4:$A$311,$A160,$E$4:$E$311,"Win")))*SUMIFS($Z$4:$Z$311,$A$4:$A$311,$A160,$E$4:$E$311,"Loss"),-('Guide &amp; Settings'!$C$42/($F160-1))*$Z160)))</f>
        <v>4.7389736580532942</v>
      </c>
      <c r="AB160" s="125">
        <f t="shared" si="50"/>
        <v>1074.2064338493162</v>
      </c>
      <c r="AC160" s="125">
        <f>IF($D160="","",IF(SUMPRODUCT(MAX(($D$4:$D$311=$D160)*($B$4:$B$311&lt;$B160)*$B$4:$B$311))=0,0,MAX(($B160-SUMPRODUCT(MAX(($D$4:$D$311=$D160)*($B$4:$B$311&lt;$B160)*$B$4:$B$311)))/7-'Guide &amp; Settings'!$C$48,0)*'Guide &amp; Settings'!$C$49))</f>
        <v>0</v>
      </c>
    </row>
    <row r="161" spans="1:29" ht="15" customHeight="1" x14ac:dyDescent="0.2">
      <c r="A161" s="116">
        <v>72</v>
      </c>
      <c r="B161" s="117">
        <v>46188</v>
      </c>
      <c r="C161" s="118" t="s">
        <v>214</v>
      </c>
      <c r="D161" s="118" t="s">
        <v>176</v>
      </c>
      <c r="E161" s="116" t="s">
        <v>316</v>
      </c>
      <c r="F161" s="119">
        <f t="shared" si="34"/>
        <v>4</v>
      </c>
      <c r="G161" s="120" t="str">
        <f t="shared" si="35"/>
        <v>Oscar</v>
      </c>
      <c r="H161" s="121">
        <f>IF($D161="",0,IFERROR(LOOKUP(2,1/(($D$3:D160=$D161)*($A$3:A160&lt;$A161)),$N$3:N160),'Guide &amp; Settings'!$C$41))</f>
        <v>969.85599700813395</v>
      </c>
      <c r="I161" s="122">
        <f t="shared" si="36"/>
        <v>0.22244289970208539</v>
      </c>
      <c r="J161" s="123">
        <f>IF($D161="",0,IF($F161&lt;2,0,IF($E161="Win",('Guide &amp; Settings'!$C$42/(($F161-1)*COUNTIFS($A$4:$A$311,$A161,$E$4:$E$311,"Win")))*SUMIFS($X$4:$X$311,$A$4:$A$311,$A161,$E$4:$E$311,"Loss"),-('Guide &amp; Settings'!$C$42/($F161-1))*$X161)))</f>
        <v>4.603988703500919</v>
      </c>
      <c r="K161" s="123">
        <f>IF($D161="",0,'Guide &amp; Settings'!$C$43*(IF($E161="Win",1,0)-$I161))</f>
        <v>9.3306852035749746</v>
      </c>
      <c r="L161" s="124">
        <f>IF($D161="",0,'Guide &amp; Settings'!$C$44*IF($F161&gt;=3,$F161+IF($E161="Win",$F161,0),0))</f>
        <v>8</v>
      </c>
      <c r="M161" s="123">
        <f t="shared" si="37"/>
        <v>21.934673907075894</v>
      </c>
      <c r="N161" s="121">
        <f t="shared" si="38"/>
        <v>991.79067091520983</v>
      </c>
      <c r="O161" s="120" t="str">
        <f t="shared" si="39"/>
        <v>OK</v>
      </c>
      <c r="P161">
        <f t="shared" si="40"/>
        <v>1046.4756226466927</v>
      </c>
      <c r="Q161">
        <f t="shared" si="41"/>
        <v>0.39148889326656905</v>
      </c>
      <c r="R161">
        <f t="shared" si="42"/>
        <v>0.44444444444444442</v>
      </c>
      <c r="S161">
        <f t="shared" si="43"/>
        <v>1.998015873015873</v>
      </c>
      <c r="T161" s="88">
        <f t="shared" si="44"/>
        <v>7</v>
      </c>
      <c r="U161" s="125">
        <f>IF($D161="",0,IFERROR(LOOKUP(2,1/(($D$3:D160=$D161)*($C$3:C160=$C161)*($A$3:A160&lt;$A161)),$AB$3:AB160),1000))</f>
        <v>964.51765401499733</v>
      </c>
      <c r="V161" s="125">
        <f t="shared" si="45"/>
        <v>966.74196359547091</v>
      </c>
      <c r="W161">
        <f t="shared" si="46"/>
        <v>1030.2928455510914</v>
      </c>
      <c r="X161">
        <f t="shared" si="47"/>
        <v>0.40954943861574566</v>
      </c>
      <c r="Y161">
        <f t="shared" si="48"/>
        <v>1016.9925571031301</v>
      </c>
      <c r="Z161">
        <f t="shared" si="49"/>
        <v>0.42505157563582413</v>
      </c>
      <c r="AA161">
        <f>IF($D161="",0,IF($F161&lt;2,0,IF($E161="Win",('Guide &amp; Settings'!$C$42/(($F161-1)*COUNTIFS($A$4:$A$311,$A161,$E$4:$E$311,"Win")))*SUMIFS($Z$4:$Z$311,$A$4:$A$311,$A161,$E$4:$E$311,"Loss"),-('Guide &amp; Settings'!$C$42/($F161-1))*$Z161)))</f>
        <v>4.7389736580532942</v>
      </c>
      <c r="AB161" s="125">
        <f t="shared" si="50"/>
        <v>969.25662767305062</v>
      </c>
      <c r="AC161" s="125">
        <f>IF($D161="","",IF(SUMPRODUCT(MAX(($D$4:$D$311=$D161)*($B$4:$B$311&lt;$B161)*$B$4:$B$311))=0,0,MAX(($B161-SUMPRODUCT(MAX(($D$4:$D$311=$D161)*($B$4:$B$311&lt;$B161)*$B$4:$B$311)))/7-'Guide &amp; Settings'!$C$48,0)*'Guide &amp; Settings'!$C$49))</f>
        <v>0</v>
      </c>
    </row>
    <row r="162" spans="1:29" ht="15" customHeight="1" x14ac:dyDescent="0.2">
      <c r="A162" s="116">
        <v>72</v>
      </c>
      <c r="B162" s="117">
        <v>46188</v>
      </c>
      <c r="C162" s="118" t="s">
        <v>214</v>
      </c>
      <c r="D162" s="118" t="s">
        <v>182</v>
      </c>
      <c r="E162" s="116" t="s">
        <v>317</v>
      </c>
      <c r="F162" s="119">
        <f t="shared" si="34"/>
        <v>4</v>
      </c>
      <c r="G162" s="120" t="str">
        <f t="shared" si="35"/>
        <v>Oscar</v>
      </c>
      <c r="H162" s="121">
        <f>IF($D162="",0,IFERROR(LOOKUP(2,1/(($D$3:D161=$D162)*($A$3:A161&lt;$A162)),$N$3:N161),'Guide &amp; Settings'!$C$41))</f>
        <v>912.86052856470724</v>
      </c>
      <c r="I162" s="122">
        <f t="shared" si="36"/>
        <v>0.2144985104270109</v>
      </c>
      <c r="J162" s="123">
        <f>IF($D162="",0,IF($F162&lt;2,0,IF($E162="Win",('Guide &amp; Settings'!$C$42/(($F162-1)*COUNTIFS($A$4:$A$311,$A162,$E$4:$E$311,"Win")))*SUMIFS($X$4:$X$311,$A$4:$A$311,$A162,$E$4:$E$311,"Loss"),-('Guide &amp; Settings'!$C$42/($F162-1))*$X162)))</f>
        <v>-4.124403066857413</v>
      </c>
      <c r="K162" s="123">
        <f>IF($D162="",0,'Guide &amp; Settings'!$C$43*(IF($E162="Win",1,0)-$I162))</f>
        <v>-2.5739821251241306</v>
      </c>
      <c r="L162" s="124">
        <f>IF($D162="",0,'Guide &amp; Settings'!$C$44*IF($F162&gt;=3,$F162+IF($E162="Win",$F162,0),0))</f>
        <v>4</v>
      </c>
      <c r="M162" s="123">
        <f t="shared" si="37"/>
        <v>-2.6983851919815436</v>
      </c>
      <c r="N162" s="121">
        <f t="shared" si="38"/>
        <v>910.16214337272572</v>
      </c>
      <c r="O162" s="120" t="str">
        <f t="shared" si="39"/>
        <v>OK</v>
      </c>
      <c r="P162">
        <f t="shared" si="40"/>
        <v>1046.4756226466927</v>
      </c>
      <c r="Q162">
        <f t="shared" si="41"/>
        <v>0.31666294001977607</v>
      </c>
      <c r="R162">
        <f t="shared" si="42"/>
        <v>0.42857142857142855</v>
      </c>
      <c r="S162">
        <f t="shared" si="43"/>
        <v>1.998015873015873</v>
      </c>
      <c r="T162" s="88">
        <f t="shared" si="44"/>
        <v>5</v>
      </c>
      <c r="U162" s="125">
        <f>IF($D162="",0,IFERROR(LOOKUP(2,1/(($D$3:D161=$D162)*($C$3:C161=$C162)*($A$3:A161&lt;$A162)),$AB$3:AB161),1000))</f>
        <v>987.43161250376841</v>
      </c>
      <c r="V162" s="125">
        <f t="shared" si="45"/>
        <v>950.14607053423788</v>
      </c>
      <c r="W162">
        <f t="shared" si="46"/>
        <v>1030.2928455510914</v>
      </c>
      <c r="X162">
        <f t="shared" si="47"/>
        <v>0.38666278751788252</v>
      </c>
      <c r="Y162">
        <f t="shared" si="48"/>
        <v>1016.9925571031301</v>
      </c>
      <c r="Z162">
        <f t="shared" si="49"/>
        <v>0.45756073979125222</v>
      </c>
      <c r="AA162">
        <f>IF($D162="",0,IF($F162&lt;2,0,IF($E162="Win",('Guide &amp; Settings'!$C$42/(($F162-1)*COUNTIFS($A$4:$A$311,$A162,$E$4:$E$311,"Win")))*SUMIFS($Z$4:$Z$311,$A$4:$A$311,$A162,$E$4:$E$311,"Loss"),-('Guide &amp; Settings'!$C$42/($F162-1))*$Z162)))</f>
        <v>-4.8806478911066904</v>
      </c>
      <c r="AB162" s="125">
        <f t="shared" si="50"/>
        <v>982.55096461266169</v>
      </c>
      <c r="AC162" s="125">
        <f>IF($D162="","",IF(SUMPRODUCT(MAX(($D$4:$D$311=$D162)*($B$4:$B$311&lt;$B162)*$B$4:$B$311))=0,0,MAX(($B162-SUMPRODUCT(MAX(($D$4:$D$311=$D162)*($B$4:$B$311&lt;$B162)*$B$4:$B$311)))/7-'Guide &amp; Settings'!$C$48,0)*'Guide &amp; Settings'!$C$49))</f>
        <v>0</v>
      </c>
    </row>
    <row r="163" spans="1:29" ht="15" customHeight="1" x14ac:dyDescent="0.2">
      <c r="A163" s="116">
        <v>72</v>
      </c>
      <c r="B163" s="117">
        <v>46188</v>
      </c>
      <c r="C163" s="118" t="s">
        <v>214</v>
      </c>
      <c r="D163" s="118" t="s">
        <v>145</v>
      </c>
      <c r="E163" s="116" t="s">
        <v>317</v>
      </c>
      <c r="F163" s="119">
        <f t="shared" si="34"/>
        <v>4</v>
      </c>
      <c r="G163" s="120" t="str">
        <f t="shared" si="35"/>
        <v>Oscar</v>
      </c>
      <c r="H163" s="121">
        <f>IF($D163="",0,IFERROR(LOOKUP(2,1/(($D$3:D162=$D163)*($A$3:A162&lt;$A163)),$N$3:N162),'Guide &amp; Settings'!$C$41))</f>
        <v>1032.1203077686844</v>
      </c>
      <c r="I163" s="122">
        <f t="shared" si="36"/>
        <v>0.12512413108242304</v>
      </c>
      <c r="J163" s="123">
        <f>IF($D163="",0,IF($F163&lt;2,0,IF($E163="Win",('Guide &amp; Settings'!$C$42/(($F163-1)*COUNTIFS($A$4:$A$311,$A163,$E$4:$E$311,"Win")))*SUMIFS($X$4:$X$311,$A$4:$A$311,$A163,$E$4:$E$311,"Loss"),-('Guide &amp; Settings'!$C$42/($F163-1))*$X163)))</f>
        <v>-5.0835743401444251</v>
      </c>
      <c r="K163" s="123">
        <f>IF($D163="",0,'Guide &amp; Settings'!$C$43*(IF($E163="Win",1,0)-$I163))</f>
        <v>-1.5014895729890765</v>
      </c>
      <c r="L163" s="124">
        <f>IF($D163="",0,'Guide &amp; Settings'!$C$44*IF($F163&gt;=3,$F163+IF($E163="Win",$F163,0),0))</f>
        <v>4</v>
      </c>
      <c r="M163" s="123">
        <f t="shared" si="37"/>
        <v>-2.5850639131335011</v>
      </c>
      <c r="N163" s="121">
        <f t="shared" si="38"/>
        <v>1029.5352438555508</v>
      </c>
      <c r="O163" s="120" t="str">
        <f t="shared" si="39"/>
        <v>OK</v>
      </c>
      <c r="P163">
        <f t="shared" si="40"/>
        <v>1046.4756226466927</v>
      </c>
      <c r="Q163">
        <f t="shared" si="41"/>
        <v>0.47935278932093772</v>
      </c>
      <c r="R163">
        <f t="shared" si="42"/>
        <v>0.25</v>
      </c>
      <c r="S163">
        <f t="shared" si="43"/>
        <v>1.998015873015873</v>
      </c>
      <c r="T163" s="88">
        <f t="shared" si="44"/>
        <v>2</v>
      </c>
      <c r="U163" s="125">
        <f>IF($D163="",0,IFERROR(LOOKUP(2,1/(($D$3:D162=$D163)*($C$3:C162=$C163)*($A$3:A162&lt;$A163)),$AB$3:AB162),1000))</f>
        <v>968.73630679352198</v>
      </c>
      <c r="V163" s="125">
        <f t="shared" si="45"/>
        <v>1014.0105932043523</v>
      </c>
      <c r="W163">
        <f t="shared" si="46"/>
        <v>1030.2928455510914</v>
      </c>
      <c r="X163">
        <f t="shared" si="47"/>
        <v>0.47658509438853985</v>
      </c>
      <c r="Y163">
        <f t="shared" si="48"/>
        <v>1016.9925571031301</v>
      </c>
      <c r="Z163">
        <f t="shared" si="49"/>
        <v>0.43099682109374055</v>
      </c>
      <c r="AA163">
        <f>IF($D163="",0,IF($F163&lt;2,0,IF($E163="Win",('Guide &amp; Settings'!$C$42/(($F163-1)*COUNTIFS($A$4:$A$311,$A163,$E$4:$E$311,"Win")))*SUMIFS($Z$4:$Z$311,$A$4:$A$311,$A163,$E$4:$E$311,"Loss"),-('Guide &amp; Settings'!$C$42/($F163-1))*$Z163)))</f>
        <v>-4.5972994249998989</v>
      </c>
      <c r="AB163" s="125">
        <f t="shared" si="50"/>
        <v>964.13900736852213</v>
      </c>
      <c r="AC163" s="125">
        <f>IF($D163="","",IF(SUMPRODUCT(MAX(($D$4:$D$311=$D163)*($B$4:$B$311&lt;$B163)*$B$4:$B$311))=0,0,MAX(($B163-SUMPRODUCT(MAX(($D$4:$D$311=$D163)*($B$4:$B$311&lt;$B163)*$B$4:$B$311)))/7-'Guide &amp; Settings'!$C$48,0)*'Guide &amp; Settings'!$C$49))</f>
        <v>0</v>
      </c>
    </row>
    <row r="164" spans="1:29" ht="15" customHeight="1" x14ac:dyDescent="0.2">
      <c r="A164" s="116">
        <v>73</v>
      </c>
      <c r="B164" s="117">
        <v>46188</v>
      </c>
      <c r="C164" s="118" t="s">
        <v>214</v>
      </c>
      <c r="D164" s="118" t="s">
        <v>142</v>
      </c>
      <c r="E164" s="116" t="s">
        <v>316</v>
      </c>
      <c r="F164" s="119">
        <f t="shared" si="34"/>
        <v>4</v>
      </c>
      <c r="G164" s="120" t="str">
        <f t="shared" si="35"/>
        <v>Dylan A</v>
      </c>
      <c r="H164" s="121">
        <f>IF($D164="",0,IFERROR(LOOKUP(2,1/(($D$3:D163=$D164)*($A$3:A163&lt;$A164)),$N$3:N163),'Guide &amp; Settings'!$C$41))</f>
        <v>994.58225352756665</v>
      </c>
      <c r="I164" s="122">
        <f t="shared" si="36"/>
        <v>0.2608695652173913</v>
      </c>
      <c r="J164" s="123">
        <f>IF($D164="",0,IF($F164&lt;2,0,IF($E164="Win",('Guide &amp; Settings'!$C$42/(($F164-1)*COUNTIFS($A$4:$A$311,$A164,$E$4:$E$311,"Win")))*SUMIFS($X$4:$X$311,$A$4:$A$311,$A164,$E$4:$E$311,"Loss"),-('Guide &amp; Settings'!$C$42/($F164-1))*$X164)))</f>
        <v>5.9433232341025395</v>
      </c>
      <c r="K164" s="123">
        <f>IF($D164="",0,'Guide &amp; Settings'!$C$43*(IF($E164="Win",1,0)-$I164))</f>
        <v>8.8695652173913047</v>
      </c>
      <c r="L164" s="124">
        <f>IF($D164="",0,'Guide &amp; Settings'!$C$44*IF($F164&gt;=3,$F164+IF($E164="Win",$F164,0),0))</f>
        <v>8</v>
      </c>
      <c r="M164" s="123">
        <f t="shared" si="37"/>
        <v>22.812888451493844</v>
      </c>
      <c r="N164" s="121">
        <f t="shared" si="38"/>
        <v>1017.3951419790604</v>
      </c>
      <c r="O164" s="120" t="str">
        <f t="shared" si="39"/>
        <v>OK</v>
      </c>
      <c r="P164">
        <f t="shared" si="40"/>
        <v>997.29112676378327</v>
      </c>
      <c r="Q164">
        <f t="shared" si="41"/>
        <v>0.49610169703385154</v>
      </c>
      <c r="R164">
        <f t="shared" si="42"/>
        <v>0.66666666666666663</v>
      </c>
      <c r="S164">
        <f t="shared" si="43"/>
        <v>2.5555555555555554</v>
      </c>
      <c r="T164" s="88">
        <f t="shared" si="44"/>
        <v>1</v>
      </c>
      <c r="U164" s="125">
        <f>IF($D164="",0,IFERROR(LOOKUP(2,1/(($D$3:D163=$D164)*($C$3:C163=$C164)*($A$3:A163&lt;$A164)),$AB$3:AB163),1000))</f>
        <v>1016</v>
      </c>
      <c r="V164" s="125">
        <f t="shared" si="45"/>
        <v>998.15187793963878</v>
      </c>
      <c r="W164">
        <f t="shared" si="46"/>
        <v>999.07593896981939</v>
      </c>
      <c r="X164">
        <f t="shared" si="47"/>
        <v>0.49867017241494882</v>
      </c>
      <c r="Y164">
        <f t="shared" si="48"/>
        <v>1008</v>
      </c>
      <c r="Z164">
        <f t="shared" si="49"/>
        <v>0.5115108912177917</v>
      </c>
      <c r="AA164">
        <f>IF($D164="",0,IF($F164&lt;2,0,IF($E164="Win",('Guide &amp; Settings'!$C$42/(($F164-1)*COUNTIFS($A$4:$A$311,$A164,$E$4:$E$311,"Win")))*SUMIFS($Z$4:$Z$311,$A$4:$A$311,$A164,$E$4:$E$311,"Loss"),-('Guide &amp; Settings'!$C$42/($F164-1))*$Z164)))</f>
        <v>5.5392839402240961</v>
      </c>
      <c r="AB164" s="125">
        <f t="shared" si="50"/>
        <v>1021.5392839402241</v>
      </c>
      <c r="AC164" s="125">
        <f>IF($D164="","",IF(SUMPRODUCT(MAX(($D$4:$D$311=$D164)*($B$4:$B$311&lt;$B164)*$B$4:$B$311))=0,0,MAX(($B164-SUMPRODUCT(MAX(($D$4:$D$311=$D164)*($B$4:$B$311&lt;$B164)*$B$4:$B$311)))/7-'Guide &amp; Settings'!$C$48,0)*'Guide &amp; Settings'!$C$49))</f>
        <v>0</v>
      </c>
    </row>
    <row r="165" spans="1:29" ht="15" customHeight="1" x14ac:dyDescent="0.2">
      <c r="A165" s="116">
        <v>73</v>
      </c>
      <c r="B165" s="117">
        <v>46188</v>
      </c>
      <c r="C165" s="118" t="s">
        <v>214</v>
      </c>
      <c r="D165" s="118" t="s">
        <v>179</v>
      </c>
      <c r="E165" s="116" t="s">
        <v>316</v>
      </c>
      <c r="F165" s="119">
        <f t="shared" si="34"/>
        <v>4</v>
      </c>
      <c r="G165" s="120" t="str">
        <f t="shared" si="35"/>
        <v>Dylan A</v>
      </c>
      <c r="H165" s="121">
        <f>IF($D165="",0,IFERROR(LOOKUP(2,1/(($D$3:D164=$D165)*($A$3:A164&lt;$A165)),$N$3:N164),'Guide &amp; Settings'!$C$41))</f>
        <v>1000</v>
      </c>
      <c r="I165" s="122">
        <f t="shared" si="36"/>
        <v>0.19565217391304349</v>
      </c>
      <c r="J165" s="123">
        <f>IF($D165="",0,IF($F165&lt;2,0,IF($E165="Win",('Guide &amp; Settings'!$C$42/(($F165-1)*COUNTIFS($A$4:$A$311,$A165,$E$4:$E$311,"Win")))*SUMIFS($X$4:$X$311,$A$4:$A$311,$A165,$E$4:$E$311,"Loss"),-('Guide &amp; Settings'!$C$42/($F165-1))*$X165)))</f>
        <v>5.9433232341025395</v>
      </c>
      <c r="K165" s="123">
        <f>IF($D165="",0,'Guide &amp; Settings'!$C$43*(IF($E165="Win",1,0)-$I165))</f>
        <v>9.6521739130434785</v>
      </c>
      <c r="L165" s="124">
        <f>IF($D165="",0,'Guide &amp; Settings'!$C$44*IF($F165&gt;=3,$F165+IF($E165="Win",$F165,0),0))</f>
        <v>8</v>
      </c>
      <c r="M165" s="123">
        <f t="shared" si="37"/>
        <v>23.59549714714602</v>
      </c>
      <c r="N165" s="121">
        <f t="shared" si="38"/>
        <v>1023.595497147146</v>
      </c>
      <c r="O165" s="120" t="str">
        <f t="shared" si="39"/>
        <v>OK</v>
      </c>
      <c r="P165">
        <f t="shared" si="40"/>
        <v>997.29112676378327</v>
      </c>
      <c r="Q165">
        <f t="shared" si="41"/>
        <v>0.50389830296614857</v>
      </c>
      <c r="R165">
        <f t="shared" si="42"/>
        <v>0.5</v>
      </c>
      <c r="S165">
        <f t="shared" si="43"/>
        <v>2.5555555555555554</v>
      </c>
      <c r="T165" s="88">
        <f t="shared" si="44"/>
        <v>0</v>
      </c>
      <c r="U165" s="125">
        <f>IF($D165="",0,IFERROR(LOOKUP(2,1/(($D$3:D164=$D165)*($C$3:C164=$C165)*($A$3:A164&lt;$A165)),$AB$3:AB164),1000))</f>
        <v>1000</v>
      </c>
      <c r="V165" s="125">
        <f t="shared" si="45"/>
        <v>1000</v>
      </c>
      <c r="W165">
        <f t="shared" si="46"/>
        <v>999.07593896981939</v>
      </c>
      <c r="X165">
        <f t="shared" si="47"/>
        <v>0.50132982758505118</v>
      </c>
      <c r="Y165">
        <f t="shared" si="48"/>
        <v>1008</v>
      </c>
      <c r="Z165">
        <f t="shared" si="49"/>
        <v>0.4884891087822083</v>
      </c>
      <c r="AA165">
        <f>IF($D165="",0,IF($F165&lt;2,0,IF($E165="Win",('Guide &amp; Settings'!$C$42/(($F165-1)*COUNTIFS($A$4:$A$311,$A165,$E$4:$E$311,"Win")))*SUMIFS($Z$4:$Z$311,$A$4:$A$311,$A165,$E$4:$E$311,"Loss"),-('Guide &amp; Settings'!$C$42/($F165-1))*$Z165)))</f>
        <v>5.5392839402240961</v>
      </c>
      <c r="AB165" s="125">
        <f t="shared" si="50"/>
        <v>1005.5392839402241</v>
      </c>
      <c r="AC165" s="125">
        <f>IF($D165="","",IF(SUMPRODUCT(MAX(($D$4:$D$311=$D165)*($B$4:$B$311&lt;$B165)*$B$4:$B$311))=0,0,MAX(($B165-SUMPRODUCT(MAX(($D$4:$D$311=$D165)*($B$4:$B$311&lt;$B165)*$B$4:$B$311)))/7-'Guide &amp; Settings'!$C$48,0)*'Guide &amp; Settings'!$C$49))</f>
        <v>0</v>
      </c>
    </row>
    <row r="166" spans="1:29" ht="15" customHeight="1" x14ac:dyDescent="0.2">
      <c r="A166" s="116">
        <v>73</v>
      </c>
      <c r="B166" s="117">
        <v>46188</v>
      </c>
      <c r="C166" s="118" t="s">
        <v>214</v>
      </c>
      <c r="D166" s="118" t="s">
        <v>176</v>
      </c>
      <c r="E166" s="116" t="s">
        <v>317</v>
      </c>
      <c r="F166" s="119">
        <f t="shared" si="34"/>
        <v>4</v>
      </c>
      <c r="G166" s="120" t="str">
        <f t="shared" si="35"/>
        <v>Dylan A</v>
      </c>
      <c r="H166" s="121">
        <f>IF($D166="",0,IFERROR(LOOKUP(2,1/(($D$3:D165=$D166)*($A$3:A165&lt;$A166)),$N$3:N165),'Guide &amp; Settings'!$C$41))</f>
        <v>991.79067091520983</v>
      </c>
      <c r="I166" s="122">
        <f t="shared" si="36"/>
        <v>0.19565217391304349</v>
      </c>
      <c r="J166" s="123">
        <f>IF($D166="",0,IF($F166&lt;2,0,IF($E166="Win",('Guide &amp; Settings'!$C$42/(($F166-1)*COUNTIFS($A$4:$A$311,$A166,$E$4:$E$311,"Win")))*SUMIFS($X$4:$X$311,$A$4:$A$311,$A166,$E$4:$E$311,"Loss"),-('Guide &amp; Settings'!$C$42/($F166-1))*$X166)))</f>
        <v>-5.0090330091778741</v>
      </c>
      <c r="K166" s="123">
        <f>IF($D166="",0,'Guide &amp; Settings'!$C$43*(IF($E166="Win",1,0)-$I166))</f>
        <v>-2.347826086956522</v>
      </c>
      <c r="L166" s="124">
        <f>IF($D166="",0,'Guide &amp; Settings'!$C$44*IF($F166&gt;=3,$F166+IF($E166="Win",$F166,0),0))</f>
        <v>4</v>
      </c>
      <c r="M166" s="123">
        <f t="shared" si="37"/>
        <v>-3.3568590961343965</v>
      </c>
      <c r="N166" s="121">
        <f t="shared" si="38"/>
        <v>988.43381181907546</v>
      </c>
      <c r="O166" s="120" t="str">
        <f t="shared" si="39"/>
        <v>OK</v>
      </c>
      <c r="P166">
        <f t="shared" si="40"/>
        <v>997.29112676378327</v>
      </c>
      <c r="Q166">
        <f t="shared" si="41"/>
        <v>0.49208486899330917</v>
      </c>
      <c r="R166">
        <f t="shared" si="42"/>
        <v>0.5</v>
      </c>
      <c r="S166">
        <f t="shared" si="43"/>
        <v>2.5555555555555554</v>
      </c>
      <c r="T166" s="88">
        <f t="shared" si="44"/>
        <v>8</v>
      </c>
      <c r="U166" s="125">
        <f>IF($D166="",0,IFERROR(LOOKUP(2,1/(($D$3:D165=$D166)*($C$3:C165=$C166)*($A$3:A165&lt;$A166)),$AB$3:AB165),1000))</f>
        <v>969.25662767305062</v>
      </c>
      <c r="V166" s="125">
        <f t="shared" si="45"/>
        <v>977.92356738157343</v>
      </c>
      <c r="W166">
        <f t="shared" si="46"/>
        <v>999.07593896981939</v>
      </c>
      <c r="X166">
        <f t="shared" si="47"/>
        <v>0.46959684461042572</v>
      </c>
      <c r="Y166">
        <f t="shared" si="48"/>
        <v>1008</v>
      </c>
      <c r="Z166">
        <f t="shared" si="49"/>
        <v>0.44447377115232384</v>
      </c>
      <c r="AA166">
        <f>IF($D166="",0,IF($F166&lt;2,0,IF($E166="Win",('Guide &amp; Settings'!$C$42/(($F166-1)*COUNTIFS($A$4:$A$311,$A166,$E$4:$E$311,"Win")))*SUMIFS($Z$4:$Z$311,$A$4:$A$311,$A166,$E$4:$E$311,"Loss"),-('Guide &amp; Settings'!$C$42/($F166-1))*$Z166)))</f>
        <v>-4.7410535589581206</v>
      </c>
      <c r="AB166" s="125">
        <f t="shared" si="50"/>
        <v>964.51557411409249</v>
      </c>
      <c r="AC166" s="125">
        <f>IF($D166="","",IF(SUMPRODUCT(MAX(($D$4:$D$311=$D166)*($B$4:$B$311&lt;$B166)*$B$4:$B$311))=0,0,MAX(($B166-SUMPRODUCT(MAX(($D$4:$D$311=$D166)*($B$4:$B$311&lt;$B166)*$B$4:$B$311)))/7-'Guide &amp; Settings'!$C$48,0)*'Guide &amp; Settings'!$C$49))</f>
        <v>0</v>
      </c>
    </row>
    <row r="167" spans="1:29" ht="15" customHeight="1" x14ac:dyDescent="0.2">
      <c r="A167" s="116">
        <v>73</v>
      </c>
      <c r="B167" s="117">
        <v>46188</v>
      </c>
      <c r="C167" s="118" t="s">
        <v>214</v>
      </c>
      <c r="D167" s="118" t="s">
        <v>175</v>
      </c>
      <c r="E167" s="116" t="s">
        <v>317</v>
      </c>
      <c r="F167" s="119">
        <f t="shared" si="34"/>
        <v>4</v>
      </c>
      <c r="G167" s="120" t="str">
        <f t="shared" si="35"/>
        <v>Dylan A</v>
      </c>
      <c r="H167" s="121">
        <f>IF($D167="",0,IFERROR(LOOKUP(2,1/(($D$3:D166=$D167)*($A$3:A166&lt;$A167)),$N$3:N166),'Guide &amp; Settings'!$C$41))</f>
        <v>1142.4440234832907</v>
      </c>
      <c r="I167" s="122">
        <f t="shared" si="36"/>
        <v>0.34782608695652173</v>
      </c>
      <c r="J167" s="123">
        <f>IF($D167="",0,IF($F167&lt;2,0,IF($E167="Win",('Guide &amp; Settings'!$C$42/(($F167-1)*COUNTIFS($A$4:$A$311,$A167,$E$4:$E$311,"Win")))*SUMIFS($X$4:$X$311,$A$4:$A$311,$A167,$E$4:$E$311,"Loss"),-('Guide &amp; Settings'!$C$42/($F167-1))*$X167)))</f>
        <v>-6.877613459027204</v>
      </c>
      <c r="K167" s="123">
        <f>IF($D167="",0,'Guide &amp; Settings'!$C$43*(IF($E167="Win",1,0)-$I167))</f>
        <v>-4.1739130434782608</v>
      </c>
      <c r="L167" s="124">
        <f>IF($D167="",0,'Guide &amp; Settings'!$C$44*IF($F167&gt;=3,$F167+IF($E167="Win",$F167,0),0))</f>
        <v>4</v>
      </c>
      <c r="M167" s="123">
        <f t="shared" si="37"/>
        <v>-7.0515265025054639</v>
      </c>
      <c r="N167" s="121">
        <f t="shared" si="38"/>
        <v>1135.3924969807852</v>
      </c>
      <c r="O167" s="120" t="str">
        <f t="shared" si="39"/>
        <v>OK</v>
      </c>
      <c r="P167">
        <f t="shared" si="40"/>
        <v>997.29112676378327</v>
      </c>
      <c r="Q167">
        <f t="shared" si="41"/>
        <v>0.69753080509661225</v>
      </c>
      <c r="R167">
        <f t="shared" si="42"/>
        <v>0.88888888888888884</v>
      </c>
      <c r="S167">
        <f t="shared" si="43"/>
        <v>2.5555555555555554</v>
      </c>
      <c r="T167" s="88">
        <f t="shared" si="44"/>
        <v>7</v>
      </c>
      <c r="U167" s="125">
        <f>IF($D167="",0,IFERROR(LOOKUP(2,1/(($D$3:D166=$D167)*($C$3:C166=$C167)*($A$3:A166&lt;$A167)),$AB$3:AB166),1000))</f>
        <v>1074.2064338493162</v>
      </c>
      <c r="V167" s="125">
        <f t="shared" si="45"/>
        <v>1102.6387628634723</v>
      </c>
      <c r="W167">
        <f t="shared" si="46"/>
        <v>999.07593896981939</v>
      </c>
      <c r="X167">
        <f t="shared" si="47"/>
        <v>0.64477626178380043</v>
      </c>
      <c r="Y167">
        <f t="shared" si="48"/>
        <v>1008</v>
      </c>
      <c r="Z167">
        <f t="shared" si="49"/>
        <v>0.59414196763969418</v>
      </c>
      <c r="AA167">
        <f>IF($D167="",0,IF($F167&lt;2,0,IF($E167="Win",('Guide &amp; Settings'!$C$42/(($F167-1)*COUNTIFS($A$4:$A$311,$A167,$E$4:$E$311,"Win")))*SUMIFS($Z$4:$Z$311,$A$4:$A$311,$A167,$E$4:$E$311,"Loss"),-('Guide &amp; Settings'!$C$42/($F167-1))*$Z167)))</f>
        <v>-6.3375143214900707</v>
      </c>
      <c r="AB167" s="125">
        <f t="shared" si="50"/>
        <v>1067.8689195278262</v>
      </c>
      <c r="AC167" s="125">
        <f>IF($D167="","",IF(SUMPRODUCT(MAX(($D$4:$D$311=$D167)*($B$4:$B$311&lt;$B167)*$B$4:$B$311))=0,0,MAX(($B167-SUMPRODUCT(MAX(($D$4:$D$311=$D167)*($B$4:$B$311&lt;$B167)*$B$4:$B$311)))/7-'Guide &amp; Settings'!$C$48,0)*'Guide &amp; Settings'!$C$49))</f>
        <v>0</v>
      </c>
    </row>
    <row r="168" spans="1:29" ht="15" customHeight="1" x14ac:dyDescent="0.2">
      <c r="A168" s="116">
        <v>74</v>
      </c>
      <c r="B168" s="117">
        <v>46188</v>
      </c>
      <c r="C168" s="118" t="s">
        <v>214</v>
      </c>
      <c r="D168" s="118" t="s">
        <v>144</v>
      </c>
      <c r="E168" s="116" t="s">
        <v>316</v>
      </c>
      <c r="F168" s="119">
        <f t="shared" si="34"/>
        <v>4</v>
      </c>
      <c r="G168" s="120" t="str">
        <f t="shared" si="35"/>
        <v>Shawn</v>
      </c>
      <c r="H168" s="121">
        <f>IF($D168="",0,IFERROR(LOOKUP(2,1/(($D$3:D167=$D168)*($A$3:A167&lt;$A168)),$N$3:N167),'Guide &amp; Settings'!$C$41))</f>
        <v>1144.4758843860011</v>
      </c>
      <c r="I168" s="122">
        <f t="shared" si="36"/>
        <v>0.17266187050359716</v>
      </c>
      <c r="J168" s="123">
        <f>IF($D168="",0,IF($F168&lt;2,0,IF($E168="Win",('Guide &amp; Settings'!$C$42/(($F168-1)*COUNTIFS($A$4:$A$311,$A168,$E$4:$E$311,"Win")))*SUMIFS($X$4:$X$311,$A$4:$A$311,$A168,$E$4:$E$311,"Loss"),-('Guide &amp; Settings'!$C$42/($F168-1))*$X168)))</f>
        <v>4.963514006789131</v>
      </c>
      <c r="K168" s="123">
        <f>IF($D168="",0,'Guide &amp; Settings'!$C$43*(IF($E168="Win",1,0)-$I168))</f>
        <v>9.9280575539568332</v>
      </c>
      <c r="L168" s="124">
        <f>IF($D168="",0,'Guide &amp; Settings'!$C$44*IF($F168&gt;=3,$F168+IF($E168="Win",$F168,0),0))</f>
        <v>8</v>
      </c>
      <c r="M168" s="123">
        <f t="shared" si="37"/>
        <v>22.891571560745966</v>
      </c>
      <c r="N168" s="121">
        <f t="shared" si="38"/>
        <v>1167.367455946747</v>
      </c>
      <c r="O168" s="120" t="str">
        <f t="shared" si="39"/>
        <v>OK</v>
      </c>
      <c r="P168">
        <f t="shared" si="40"/>
        <v>1075.0647223908954</v>
      </c>
      <c r="Q168">
        <f t="shared" si="41"/>
        <v>0.5985826057128989</v>
      </c>
      <c r="R168">
        <f t="shared" si="42"/>
        <v>0.4</v>
      </c>
      <c r="S168">
        <f t="shared" si="43"/>
        <v>2.3166666666666664</v>
      </c>
      <c r="T168" s="88">
        <f t="shared" si="44"/>
        <v>3</v>
      </c>
      <c r="U168" s="125">
        <f>IF($D168="",0,IFERROR(LOOKUP(2,1/(($D$3:D167=$D168)*($C$3:C167=$C168)*($A$3:A167&lt;$A168)),$AB$3:AB167),1000))</f>
        <v>984.51169332979669</v>
      </c>
      <c r="V168" s="125">
        <f t="shared" si="45"/>
        <v>1084.4893127399243</v>
      </c>
      <c r="W168">
        <f t="shared" si="46"/>
        <v>1043.713154378283</v>
      </c>
      <c r="X168">
        <f t="shared" si="47"/>
        <v>0.55841365595508785</v>
      </c>
      <c r="Y168">
        <f t="shared" si="48"/>
        <v>992.02649193625143</v>
      </c>
      <c r="Z168">
        <f t="shared" si="49"/>
        <v>0.48918702162159966</v>
      </c>
      <c r="AA168">
        <f>IF($D168="",0,IF($F168&lt;2,0,IF($E168="Win",('Guide &amp; Settings'!$C$42/(($F168-1)*COUNTIFS($A$4:$A$311,$A168,$E$4:$E$311,"Win")))*SUMIFS($Z$4:$Z$311,$A$4:$A$311,$A168,$E$4:$E$311,"Loss"),-('Guide &amp; Settings'!$C$42/($F168-1))*$Z168)))</f>
        <v>5.6629713760314075</v>
      </c>
      <c r="AB168" s="125">
        <f t="shared" si="50"/>
        <v>990.17466470582804</v>
      </c>
      <c r="AC168" s="125">
        <f>IF($D168="","",IF(SUMPRODUCT(MAX(($D$4:$D$311=$D168)*($B$4:$B$311&lt;$B168)*$B$4:$B$311))=0,0,MAX(($B168-SUMPRODUCT(MAX(($D$4:$D$311=$D168)*($B$4:$B$311&lt;$B168)*$B$4:$B$311)))/7-'Guide &amp; Settings'!$C$48,0)*'Guide &amp; Settings'!$C$49))</f>
        <v>0</v>
      </c>
    </row>
    <row r="169" spans="1:29" ht="15" customHeight="1" x14ac:dyDescent="0.2">
      <c r="A169" s="116">
        <v>74</v>
      </c>
      <c r="B169" s="117">
        <v>46188</v>
      </c>
      <c r="C169" s="118" t="s">
        <v>214</v>
      </c>
      <c r="D169" s="118" t="s">
        <v>141</v>
      </c>
      <c r="E169" s="116" t="s">
        <v>316</v>
      </c>
      <c r="F169" s="119">
        <f t="shared" si="34"/>
        <v>4</v>
      </c>
      <c r="G169" s="120" t="str">
        <f t="shared" si="35"/>
        <v>Shawn</v>
      </c>
      <c r="H169" s="121">
        <f>IF($D169="",0,IFERROR(LOOKUP(2,1/(($D$3:D168=$D169)*($A$3:A168&lt;$A169)),$N$3:N168),'Guide &amp; Settings'!$C$41))</f>
        <v>1005.6535603957898</v>
      </c>
      <c r="I169" s="122">
        <f t="shared" si="36"/>
        <v>0.21582733812949642</v>
      </c>
      <c r="J169" s="123">
        <f>IF($D169="",0,IF($F169&lt;2,0,IF($E169="Win",('Guide &amp; Settings'!$C$42/(($F169-1)*COUNTIFS($A$4:$A$311,$A169,$E$4:$E$311,"Win")))*SUMIFS($X$4:$X$311,$A$4:$A$311,$A169,$E$4:$E$311,"Loss"),-('Guide &amp; Settings'!$C$42/($F169-1))*$X169)))</f>
        <v>4.963514006789131</v>
      </c>
      <c r="K169" s="123">
        <f>IF($D169="",0,'Guide &amp; Settings'!$C$43*(IF($E169="Win",1,0)-$I169))</f>
        <v>9.4100719424460433</v>
      </c>
      <c r="L169" s="124">
        <f>IF($D169="",0,'Guide &amp; Settings'!$C$44*IF($F169&gt;=3,$F169+IF($E169="Win",$F169,0),0))</f>
        <v>8</v>
      </c>
      <c r="M169" s="123">
        <f t="shared" si="37"/>
        <v>22.373585949235174</v>
      </c>
      <c r="N169" s="121">
        <f t="shared" si="38"/>
        <v>1028.0271463450249</v>
      </c>
      <c r="O169" s="120" t="str">
        <f t="shared" si="39"/>
        <v>OK</v>
      </c>
      <c r="P169">
        <f t="shared" si="40"/>
        <v>1075.0647223908954</v>
      </c>
      <c r="Q169">
        <f t="shared" si="41"/>
        <v>0.40141739428710116</v>
      </c>
      <c r="R169">
        <f t="shared" si="42"/>
        <v>0.5</v>
      </c>
      <c r="S169">
        <f t="shared" si="43"/>
        <v>2.3166666666666664</v>
      </c>
      <c r="T169" s="88">
        <f t="shared" si="44"/>
        <v>4</v>
      </c>
      <c r="U169" s="125">
        <f>IF($D169="",0,IFERROR(LOOKUP(2,1/(($D$3:D168=$D169)*($C$3:C168=$C169)*($A$3:A168&lt;$A169)),$AB$3:AB168),1000))</f>
        <v>999.54129054270618</v>
      </c>
      <c r="V169" s="125">
        <f t="shared" si="45"/>
        <v>1002.9369960166415</v>
      </c>
      <c r="W169">
        <f t="shared" si="46"/>
        <v>1043.713154378283</v>
      </c>
      <c r="X169">
        <f t="shared" si="47"/>
        <v>0.44158634404491198</v>
      </c>
      <c r="Y169">
        <f t="shared" si="48"/>
        <v>992.02649193625143</v>
      </c>
      <c r="Z169">
        <f t="shared" si="49"/>
        <v>0.51081297837840034</v>
      </c>
      <c r="AA169">
        <f>IF($D169="",0,IF($F169&lt;2,0,IF($E169="Win",('Guide &amp; Settings'!$C$42/(($F169-1)*COUNTIFS($A$4:$A$311,$A169,$E$4:$E$311,"Win")))*SUMIFS($Z$4:$Z$311,$A$4:$A$311,$A169,$E$4:$E$311,"Loss"),-('Guide &amp; Settings'!$C$42/($F169-1))*$Z169)))</f>
        <v>5.6629713760314075</v>
      </c>
      <c r="AB169" s="125">
        <f t="shared" si="50"/>
        <v>1005.2042619187375</v>
      </c>
      <c r="AC169" s="125">
        <f>IF($D169="","",IF(SUMPRODUCT(MAX(($D$4:$D$311=$D169)*($B$4:$B$311&lt;$B169)*$B$4:$B$311))=0,0,MAX(($B169-SUMPRODUCT(MAX(($D$4:$D$311=$D169)*($B$4:$B$311&lt;$B169)*$B$4:$B$311)))/7-'Guide &amp; Settings'!$C$48,0)*'Guide &amp; Settings'!$C$49))</f>
        <v>0</v>
      </c>
    </row>
    <row r="170" spans="1:29" ht="15" customHeight="1" x14ac:dyDescent="0.2">
      <c r="A170" s="116">
        <v>74</v>
      </c>
      <c r="B170" s="117">
        <v>46188</v>
      </c>
      <c r="C170" s="118" t="s">
        <v>214</v>
      </c>
      <c r="D170" s="118" t="s">
        <v>179</v>
      </c>
      <c r="E170" s="116" t="s">
        <v>317</v>
      </c>
      <c r="F170" s="119">
        <f t="shared" si="34"/>
        <v>4</v>
      </c>
      <c r="G170" s="120" t="str">
        <f t="shared" si="35"/>
        <v>Shawn</v>
      </c>
      <c r="H170" s="121">
        <f>IF($D170="",0,IFERROR(LOOKUP(2,1/(($D$3:D169=$D170)*($A$3:A169&lt;$A170)),$N$3:N169),'Guide &amp; Settings'!$C$41))</f>
        <v>1023.595497147146</v>
      </c>
      <c r="I170" s="122">
        <f t="shared" si="36"/>
        <v>0.28776978417266186</v>
      </c>
      <c r="J170" s="123">
        <f>IF($D170="",0,IF($F170&lt;2,0,IF($E170="Win",('Guide &amp; Settings'!$C$42/(($F170-1)*COUNTIFS($A$4:$A$311,$A170,$E$4:$E$311,"Win")))*SUMIFS($X$4:$X$311,$A$4:$A$311,$A170,$E$4:$E$311,"Loss"),-('Guide &amp; Settings'!$C$42/($F170-1))*$X170)))</f>
        <v>-4.9788437765653386</v>
      </c>
      <c r="K170" s="123">
        <f>IF($D170="",0,'Guide &amp; Settings'!$C$43*(IF($E170="Win",1,0)-$I170))</f>
        <v>-3.4532374100719423</v>
      </c>
      <c r="L170" s="124">
        <f>IF($D170="",0,'Guide &amp; Settings'!$C$44*IF($F170&gt;=3,$F170+IF($E170="Win",$F170,0),0))</f>
        <v>4</v>
      </c>
      <c r="M170" s="123">
        <f t="shared" si="37"/>
        <v>-4.43208118663728</v>
      </c>
      <c r="N170" s="121">
        <f t="shared" si="38"/>
        <v>1019.1634159605087</v>
      </c>
      <c r="O170" s="120" t="str">
        <f t="shared" si="39"/>
        <v>OK</v>
      </c>
      <c r="P170">
        <f t="shared" si="40"/>
        <v>1075.0647223908954</v>
      </c>
      <c r="Q170">
        <f t="shared" si="41"/>
        <v>0.42646695337492752</v>
      </c>
      <c r="R170">
        <f t="shared" si="42"/>
        <v>0.66666666666666663</v>
      </c>
      <c r="S170">
        <f t="shared" si="43"/>
        <v>2.3166666666666664</v>
      </c>
      <c r="T170" s="88">
        <f t="shared" si="44"/>
        <v>1</v>
      </c>
      <c r="U170" s="125">
        <f>IF($D170="",0,IFERROR(LOOKUP(2,1/(($D$3:D169=$D170)*($C$3:C169=$C170)*($A$3:A169&lt;$A170)),$AB$3:AB169),1000))</f>
        <v>1005.5392839402241</v>
      </c>
      <c r="V170" s="125">
        <f t="shared" si="45"/>
        <v>1020.5861282793257</v>
      </c>
      <c r="W170">
        <f t="shared" si="46"/>
        <v>1043.713154378283</v>
      </c>
      <c r="X170">
        <f t="shared" si="47"/>
        <v>0.46676660405300052</v>
      </c>
      <c r="Y170">
        <f t="shared" si="48"/>
        <v>992.02649193625143</v>
      </c>
      <c r="Z170">
        <f t="shared" si="49"/>
        <v>0.51943667151935735</v>
      </c>
      <c r="AA170">
        <f>IF($D170="",0,IF($F170&lt;2,0,IF($E170="Win",('Guide &amp; Settings'!$C$42/(($F170-1)*COUNTIFS($A$4:$A$311,$A170,$E$4:$E$311,"Win")))*SUMIFS($Z$4:$Z$311,$A$4:$A$311,$A170,$E$4:$E$311,"Loss"),-('Guide &amp; Settings'!$C$42/($F170-1))*$Z170)))</f>
        <v>-5.5406578295398115</v>
      </c>
      <c r="AB170" s="125">
        <f t="shared" si="50"/>
        <v>999.99862611068431</v>
      </c>
      <c r="AC170" s="125">
        <f>IF($D170="","",IF(SUMPRODUCT(MAX(($D$4:$D$311=$D170)*($B$4:$B$311&lt;$B170)*$B$4:$B$311))=0,0,MAX(($B170-SUMPRODUCT(MAX(($D$4:$D$311=$D170)*($B$4:$B$311&lt;$B170)*$B$4:$B$311)))/7-'Guide &amp; Settings'!$C$48,0)*'Guide &amp; Settings'!$C$49))</f>
        <v>0</v>
      </c>
    </row>
    <row r="171" spans="1:29" ht="15" customHeight="1" x14ac:dyDescent="0.2">
      <c r="A171" s="116">
        <v>74</v>
      </c>
      <c r="B171" s="117">
        <v>46188</v>
      </c>
      <c r="C171" s="118" t="s">
        <v>214</v>
      </c>
      <c r="D171" s="118" t="s">
        <v>142</v>
      </c>
      <c r="E171" s="116" t="s">
        <v>317</v>
      </c>
      <c r="F171" s="119">
        <f t="shared" si="34"/>
        <v>4</v>
      </c>
      <c r="G171" s="120" t="str">
        <f t="shared" si="35"/>
        <v>Shawn</v>
      </c>
      <c r="H171" s="121">
        <f>IF($D171="",0,IFERROR(LOOKUP(2,1/(($D$3:D170=$D171)*($A$3:A170&lt;$A171)),$N$3:N170),'Guide &amp; Settings'!$C$41))</f>
        <v>1017.3951419790604</v>
      </c>
      <c r="I171" s="122">
        <f t="shared" si="36"/>
        <v>0.32374100719424465</v>
      </c>
      <c r="J171" s="123">
        <f>IF($D171="",0,IF($F171&lt;2,0,IF($E171="Win",('Guide &amp; Settings'!$C$42/(($F171-1)*COUNTIFS($A$4:$A$311,$A171,$E$4:$E$311,"Win")))*SUMIFS($X$4:$X$311,$A$4:$A$311,$A171,$E$4:$E$311,"Loss"),-('Guide &amp; Settings'!$C$42/($F171-1))*$X171)))</f>
        <v>-4.9481842370129234</v>
      </c>
      <c r="K171" s="123">
        <f>IF($D171="",0,'Guide &amp; Settings'!$C$43*(IF($E171="Win",1,0)-$I171))</f>
        <v>-3.884892086330936</v>
      </c>
      <c r="L171" s="124">
        <f>IF($D171="",0,'Guide &amp; Settings'!$C$44*IF($F171&gt;=3,$F171+IF($E171="Win",$F171,0),0))</f>
        <v>4</v>
      </c>
      <c r="M171" s="123">
        <f t="shared" si="37"/>
        <v>-4.8330763233438603</v>
      </c>
      <c r="N171" s="121">
        <f t="shared" si="38"/>
        <v>1012.5620656557165</v>
      </c>
      <c r="O171" s="120" t="str">
        <f t="shared" si="39"/>
        <v>OK</v>
      </c>
      <c r="P171">
        <f t="shared" si="40"/>
        <v>1075.0647223908954</v>
      </c>
      <c r="Q171">
        <f t="shared" si="41"/>
        <v>0.41776069042093678</v>
      </c>
      <c r="R171">
        <f t="shared" si="42"/>
        <v>0.75</v>
      </c>
      <c r="S171">
        <f t="shared" si="43"/>
        <v>2.3166666666666664</v>
      </c>
      <c r="T171" s="88">
        <f t="shared" si="44"/>
        <v>2</v>
      </c>
      <c r="U171" s="125">
        <f>IF($D171="",0,IFERROR(LOOKUP(2,1/(($D$3:D170=$D171)*($C$3:C170=$C171)*($A$3:A170&lt;$A171)),$AB$3:AB170),1000))</f>
        <v>1021.5392839402241</v>
      </c>
      <c r="V171" s="125">
        <f t="shared" si="45"/>
        <v>1018.5791825393929</v>
      </c>
      <c r="W171">
        <f t="shared" si="46"/>
        <v>1043.713154378283</v>
      </c>
      <c r="X171">
        <f t="shared" si="47"/>
        <v>0.4638922722199616</v>
      </c>
      <c r="Y171">
        <f t="shared" si="48"/>
        <v>992.02649193625143</v>
      </c>
      <c r="Z171">
        <f t="shared" si="49"/>
        <v>0.54237046148653156</v>
      </c>
      <c r="AA171">
        <f>IF($D171="",0,IF($F171&lt;2,0,IF($E171="Win",('Guide &amp; Settings'!$C$42/(($F171-1)*COUNTIFS($A$4:$A$311,$A171,$E$4:$E$311,"Win")))*SUMIFS($Z$4:$Z$311,$A$4:$A$311,$A171,$E$4:$E$311,"Loss"),-('Guide &amp; Settings'!$C$42/($F171-1))*$Z171)))</f>
        <v>-5.7852849225230027</v>
      </c>
      <c r="AB171" s="125">
        <f t="shared" si="50"/>
        <v>1015.7539990177011</v>
      </c>
      <c r="AC171" s="125">
        <f>IF($D171="","",IF(SUMPRODUCT(MAX(($D$4:$D$311=$D171)*($B$4:$B$311&lt;$B171)*$B$4:$B$311))=0,0,MAX(($B171-SUMPRODUCT(MAX(($D$4:$D$311=$D171)*($B$4:$B$311&lt;$B171)*$B$4:$B$311)))/7-'Guide &amp; Settings'!$C$48,0)*'Guide &amp; Settings'!$C$49))</f>
        <v>0</v>
      </c>
    </row>
    <row r="172" spans="1:29" ht="15" customHeight="1" x14ac:dyDescent="0.2">
      <c r="A172" s="116">
        <v>75</v>
      </c>
      <c r="B172" s="117">
        <v>46188</v>
      </c>
      <c r="C172" s="118" t="s">
        <v>214</v>
      </c>
      <c r="D172" s="118" t="s">
        <v>174</v>
      </c>
      <c r="E172" s="116" t="s">
        <v>316</v>
      </c>
      <c r="F172" s="119">
        <f t="shared" si="34"/>
        <v>4</v>
      </c>
      <c r="G172" s="120" t="str">
        <f t="shared" si="35"/>
        <v>Daniel (Ferret)</v>
      </c>
      <c r="H172" s="121">
        <f>IF($D172="",0,IFERROR(LOOKUP(2,1/(($D$3:D171=$D172)*($A$3:A171&lt;$A172)),$N$3:N171),'Guide &amp; Settings'!$C$41))</f>
        <v>1085.8212240193971</v>
      </c>
      <c r="I172" s="122">
        <f t="shared" si="36"/>
        <v>0.31226765799256506</v>
      </c>
      <c r="J172" s="123">
        <f>IF($D172="",0,IF($F172&lt;2,0,IF($E172="Win",('Guide &amp; Settings'!$C$42/(($F172-1)*COUNTIFS($A$4:$A$311,$A172,$E$4:$E$311,"Win")))*SUMIFS($X$4:$X$311,$A$4:$A$311,$A172,$E$4:$E$311,"Loss"),-('Guide &amp; Settings'!$C$42/($F172-1))*$X172)))</f>
        <v>5.8407553234646858</v>
      </c>
      <c r="K172" s="123">
        <f>IF($D172="",0,'Guide &amp; Settings'!$C$43*(IF($E172="Win",1,0)-$I172))</f>
        <v>8.2527881040892197</v>
      </c>
      <c r="L172" s="124">
        <f>IF($D172="",0,'Guide &amp; Settings'!$C$44*IF($F172&gt;=3,$F172+IF($E172="Win",$F172,0),0))</f>
        <v>8</v>
      </c>
      <c r="M172" s="123">
        <f t="shared" si="37"/>
        <v>22.093543427553904</v>
      </c>
      <c r="N172" s="121">
        <f t="shared" si="38"/>
        <v>1107.9147674469509</v>
      </c>
      <c r="O172" s="120" t="str">
        <f t="shared" si="39"/>
        <v>OK</v>
      </c>
      <c r="P172">
        <f t="shared" si="40"/>
        <v>1029.5137730463707</v>
      </c>
      <c r="Q172">
        <f t="shared" si="41"/>
        <v>0.58033085825622621</v>
      </c>
      <c r="R172">
        <f t="shared" si="42"/>
        <v>0.6</v>
      </c>
      <c r="S172">
        <f t="shared" si="43"/>
        <v>1.9214285714285715</v>
      </c>
      <c r="T172" s="88">
        <f t="shared" si="44"/>
        <v>3</v>
      </c>
      <c r="U172" s="125">
        <f>IF($D172="",0,IFERROR(LOOKUP(2,1/(($D$3:D171=$D172)*($C$3:C171=$C172)*($A$3:A171&lt;$A172)),$AB$3:AB171),1000))</f>
        <v>1026.049766139507</v>
      </c>
      <c r="V172" s="125">
        <f t="shared" si="45"/>
        <v>1063.4069273144382</v>
      </c>
      <c r="W172">
        <f t="shared" si="46"/>
        <v>1019.1034073980409</v>
      </c>
      <c r="X172">
        <f t="shared" si="47"/>
        <v>0.56341454968605431</v>
      </c>
      <c r="Y172">
        <f t="shared" si="48"/>
        <v>1002.4167835709495</v>
      </c>
      <c r="Z172">
        <f t="shared" si="49"/>
        <v>0.53395823840807799</v>
      </c>
      <c r="AA172">
        <f>IF($D172="",0,IF($F172&lt;2,0,IF($E172="Win",('Guide &amp; Settings'!$C$42/(($F172-1)*COUNTIFS($A$4:$A$311,$A172,$E$4:$E$311,"Win")))*SUMIFS($Z$4:$Z$311,$A$4:$A$311,$A172,$E$4:$E$311,"Loss"),-('Guide &amp; Settings'!$C$42/($F172-1))*$Z172)))</f>
        <v>5.260804693375384</v>
      </c>
      <c r="AB172" s="125">
        <f t="shared" si="50"/>
        <v>1031.3105708328824</v>
      </c>
      <c r="AC172" s="125">
        <f>IF($D172="","",IF(SUMPRODUCT(MAX(($D$4:$D$311=$D172)*($B$4:$B$311&lt;$B172)*$B$4:$B$311))=0,0,MAX(($B172-SUMPRODUCT(MAX(($D$4:$D$311=$D172)*($B$4:$B$311&lt;$B172)*$B$4:$B$311)))/7-'Guide &amp; Settings'!$C$48,0)*'Guide &amp; Settings'!$C$49))</f>
        <v>0</v>
      </c>
    </row>
    <row r="173" spans="1:29" ht="15" customHeight="1" x14ac:dyDescent="0.2">
      <c r="A173" s="116">
        <v>75</v>
      </c>
      <c r="B173" s="117">
        <v>46188</v>
      </c>
      <c r="C173" s="118" t="s">
        <v>214</v>
      </c>
      <c r="D173" s="118" t="s">
        <v>177</v>
      </c>
      <c r="E173" s="116" t="s">
        <v>316</v>
      </c>
      <c r="F173" s="119">
        <f t="shared" si="34"/>
        <v>4</v>
      </c>
      <c r="G173" s="120" t="str">
        <f t="shared" si="35"/>
        <v>Daniel (Ferret)</v>
      </c>
      <c r="H173" s="121">
        <f>IF($D173="",0,IFERROR(LOOKUP(2,1/(($D$3:D172=$D173)*($A$3:A172&lt;$A173)),$N$3:N172),'Guide &amp; Settings'!$C$41))</f>
        <v>973.20632207334415</v>
      </c>
      <c r="I173" s="122">
        <f t="shared" si="36"/>
        <v>0.13011152416356878</v>
      </c>
      <c r="J173" s="123">
        <f>IF($D173="",0,IF($F173&lt;2,0,IF($E173="Win",('Guide &amp; Settings'!$C$42/(($F173-1)*COUNTIFS($A$4:$A$311,$A173,$E$4:$E$311,"Win")))*SUMIFS($X$4:$X$311,$A$4:$A$311,$A173,$E$4:$E$311,"Loss"),-('Guide &amp; Settings'!$C$42/($F173-1))*$X173)))</f>
        <v>5.8407553234646858</v>
      </c>
      <c r="K173" s="123">
        <f>IF($D173="",0,'Guide &amp; Settings'!$C$43*(IF($E173="Win",1,0)-$I173))</f>
        <v>10.438661710037175</v>
      </c>
      <c r="L173" s="124">
        <f>IF($D173="",0,'Guide &amp; Settings'!$C$44*IF($F173&gt;=3,$F173+IF($E173="Win",$F173,0),0))</f>
        <v>8</v>
      </c>
      <c r="M173" s="123">
        <f t="shared" si="37"/>
        <v>24.279417033501861</v>
      </c>
      <c r="N173" s="121">
        <f t="shared" si="38"/>
        <v>997.48573910684604</v>
      </c>
      <c r="O173" s="120" t="str">
        <f t="shared" si="39"/>
        <v>OK</v>
      </c>
      <c r="P173">
        <f t="shared" si="40"/>
        <v>1029.5137730463707</v>
      </c>
      <c r="Q173">
        <f t="shared" si="41"/>
        <v>0.41966914174377346</v>
      </c>
      <c r="R173">
        <f t="shared" si="42"/>
        <v>0.25</v>
      </c>
      <c r="S173">
        <f t="shared" si="43"/>
        <v>1.9214285714285715</v>
      </c>
      <c r="T173" s="88">
        <f t="shared" si="44"/>
        <v>2</v>
      </c>
      <c r="U173" s="125">
        <f>IF($D173="",0,IFERROR(LOOKUP(2,1/(($D$3:D172=$D173)*($C$3:C172=$C173)*($A$3:A172&lt;$A173)),$AB$3:AB172),1000))</f>
        <v>978.78380100239212</v>
      </c>
      <c r="V173" s="125">
        <f t="shared" si="45"/>
        <v>974.79988748164351</v>
      </c>
      <c r="W173">
        <f t="shared" si="46"/>
        <v>1019.1034073980409</v>
      </c>
      <c r="X173">
        <f t="shared" si="47"/>
        <v>0.43658545031394574</v>
      </c>
      <c r="Y173">
        <f t="shared" si="48"/>
        <v>1002.4167835709495</v>
      </c>
      <c r="Z173">
        <f t="shared" si="49"/>
        <v>0.46604176159192229</v>
      </c>
      <c r="AA173">
        <f>IF($D173="",0,IF($F173&lt;2,0,IF($E173="Win",('Guide &amp; Settings'!$C$42/(($F173-1)*COUNTIFS($A$4:$A$311,$A173,$E$4:$E$311,"Win")))*SUMIFS($Z$4:$Z$311,$A$4:$A$311,$A173,$E$4:$E$311,"Loss"),-('Guide &amp; Settings'!$C$42/($F173-1))*$Z173)))</f>
        <v>5.260804693375384</v>
      </c>
      <c r="AB173" s="125">
        <f t="shared" si="50"/>
        <v>984.04460569576747</v>
      </c>
      <c r="AC173" s="125">
        <f>IF($D173="","",IF(SUMPRODUCT(MAX(($D$4:$D$311=$D173)*($B$4:$B$311&lt;$B173)*$B$4:$B$311))=0,0,MAX(($B173-SUMPRODUCT(MAX(($D$4:$D$311=$D173)*($B$4:$B$311&lt;$B173)*$B$4:$B$311)))/7-'Guide &amp; Settings'!$C$48,0)*'Guide &amp; Settings'!$C$49))</f>
        <v>0</v>
      </c>
    </row>
    <row r="174" spans="1:29" ht="15" customHeight="1" x14ac:dyDescent="0.2">
      <c r="A174" s="116">
        <v>75</v>
      </c>
      <c r="B174" s="117">
        <v>46188</v>
      </c>
      <c r="C174" s="118" t="s">
        <v>214</v>
      </c>
      <c r="D174" s="118" t="s">
        <v>144</v>
      </c>
      <c r="E174" s="116" t="s">
        <v>317</v>
      </c>
      <c r="F174" s="119">
        <f t="shared" si="34"/>
        <v>4</v>
      </c>
      <c r="G174" s="120" t="str">
        <f t="shared" si="35"/>
        <v>Daniel (Ferret)</v>
      </c>
      <c r="H174" s="121">
        <f>IF($D174="",0,IFERROR(LOOKUP(2,1/(($D$3:D173=$D174)*($A$3:A173&lt;$A174)),$N$3:N173),'Guide &amp; Settings'!$C$41))</f>
        <v>1167.367455946747</v>
      </c>
      <c r="I174" s="122">
        <f t="shared" si="36"/>
        <v>0.26022304832713755</v>
      </c>
      <c r="J174" s="123">
        <f>IF($D174="",0,IF($F174&lt;2,0,IF($E174="Win",('Guide &amp; Settings'!$C$42/(($F174-1)*COUNTIFS($A$4:$A$311,$A174,$E$4:$E$311,"Win")))*SUMIFS($X$4:$X$311,$A$4:$A$311,$A174,$E$4:$E$311,"Loss"),-('Guide &amp; Settings'!$C$42/($F174-1))*$X174)))</f>
        <v>-6.3863643173809006</v>
      </c>
      <c r="K174" s="123">
        <f>IF($D174="",0,'Guide &amp; Settings'!$C$43*(IF($E174="Win",1,0)-$I174))</f>
        <v>-3.1226765799256508</v>
      </c>
      <c r="L174" s="124">
        <f>IF($D174="",0,'Guide &amp; Settings'!$C$44*IF($F174&gt;=3,$F174+IF($E174="Win",$F174,0),0))</f>
        <v>4</v>
      </c>
      <c r="M174" s="123">
        <f t="shared" si="37"/>
        <v>-5.5090408973065514</v>
      </c>
      <c r="N174" s="121">
        <f t="shared" si="38"/>
        <v>1161.8584150494405</v>
      </c>
      <c r="O174" s="120" t="str">
        <f t="shared" si="39"/>
        <v>OK</v>
      </c>
      <c r="P174">
        <f t="shared" si="40"/>
        <v>1029.5137730463707</v>
      </c>
      <c r="Q174">
        <f t="shared" si="41"/>
        <v>0.68859298737552255</v>
      </c>
      <c r="R174">
        <f t="shared" si="42"/>
        <v>0.5</v>
      </c>
      <c r="S174">
        <f t="shared" si="43"/>
        <v>1.9214285714285715</v>
      </c>
      <c r="T174" s="88">
        <f t="shared" si="44"/>
        <v>4</v>
      </c>
      <c r="U174" s="125">
        <f>IF($D174="",0,IFERROR(LOOKUP(2,1/(($D$3:D173=$D174)*($C$3:C173=$C174)*($A$3:A173&lt;$A174)),$AB$3:AB173),1000))</f>
        <v>990.17466470582804</v>
      </c>
      <c r="V174" s="125">
        <f t="shared" si="45"/>
        <v>1088.6151042841163</v>
      </c>
      <c r="W174">
        <f t="shared" si="46"/>
        <v>1019.1034073980409</v>
      </c>
      <c r="X174">
        <f t="shared" si="47"/>
        <v>0.59872165475445949</v>
      </c>
      <c r="Y174">
        <f t="shared" si="48"/>
        <v>1002.4167835709495</v>
      </c>
      <c r="Z174">
        <f t="shared" si="49"/>
        <v>0.48238946227070195</v>
      </c>
      <c r="AA174">
        <f>IF($D174="",0,IF($F174&lt;2,0,IF($E174="Win",('Guide &amp; Settings'!$C$42/(($F174-1)*COUNTIFS($A$4:$A$311,$A174,$E$4:$E$311,"Win")))*SUMIFS($Z$4:$Z$311,$A$4:$A$311,$A174,$E$4:$E$311,"Loss"),-('Guide &amp; Settings'!$C$42/($F174-1))*$Z174)))</f>
        <v>-5.1454875975541539</v>
      </c>
      <c r="AB174" s="125">
        <f t="shared" si="50"/>
        <v>985.02917710827387</v>
      </c>
      <c r="AC174" s="125">
        <f>IF($D174="","",IF(SUMPRODUCT(MAX(($D$4:$D$311=$D174)*($B$4:$B$311&lt;$B174)*$B$4:$B$311))=0,0,MAX(($B174-SUMPRODUCT(MAX(($D$4:$D$311=$D174)*($B$4:$B$311&lt;$B174)*$B$4:$B$311)))/7-'Guide &amp; Settings'!$C$48,0)*'Guide &amp; Settings'!$C$49))</f>
        <v>0</v>
      </c>
    </row>
    <row r="175" spans="1:29" ht="15" customHeight="1" x14ac:dyDescent="0.2">
      <c r="A175" s="116">
        <v>75</v>
      </c>
      <c r="B175" s="117">
        <v>46188</v>
      </c>
      <c r="C175" s="118" t="s">
        <v>214</v>
      </c>
      <c r="D175" s="118" t="s">
        <v>141</v>
      </c>
      <c r="E175" s="116" t="s">
        <v>317</v>
      </c>
      <c r="F175" s="119">
        <f t="shared" si="34"/>
        <v>4</v>
      </c>
      <c r="G175" s="120" t="str">
        <f t="shared" si="35"/>
        <v>Daniel (Ferret)</v>
      </c>
      <c r="H175" s="121">
        <f>IF($D175="",0,IFERROR(LOOKUP(2,1/(($D$3:D174=$D175)*($A$3:A174&lt;$A175)),$N$3:N174),'Guide &amp; Settings'!$C$41))</f>
        <v>1028.0271463450249</v>
      </c>
      <c r="I175" s="122">
        <f t="shared" si="36"/>
        <v>0.29739776951672858</v>
      </c>
      <c r="J175" s="123">
        <f>IF($D175="",0,IF($F175&lt;2,0,IF($E175="Win",('Guide &amp; Settings'!$C$42/(($F175-1)*COUNTIFS($A$4:$A$311,$A175,$E$4:$E$311,"Win")))*SUMIFS($X$4:$X$311,$A$4:$A$311,$A175,$E$4:$E$311,"Loss"),-('Guide &amp; Settings'!$C$42/($F175-1))*$X175)))</f>
        <v>-5.2951463295484702</v>
      </c>
      <c r="K175" s="123">
        <f>IF($D175="",0,'Guide &amp; Settings'!$C$43*(IF($E175="Win",1,0)-$I175))</f>
        <v>-3.568773234200743</v>
      </c>
      <c r="L175" s="124">
        <f>IF($D175="",0,'Guide &amp; Settings'!$C$44*IF($F175&gt;=3,$F175+IF($E175="Win",$F175,0),0))</f>
        <v>4</v>
      </c>
      <c r="M175" s="123">
        <f t="shared" si="37"/>
        <v>-4.8639195637492136</v>
      </c>
      <c r="N175" s="121">
        <f t="shared" si="38"/>
        <v>1023.1632267812757</v>
      </c>
      <c r="O175" s="120" t="str">
        <f t="shared" si="39"/>
        <v>OK</v>
      </c>
      <c r="P175">
        <f t="shared" si="40"/>
        <v>1029.5137730463707</v>
      </c>
      <c r="Q175">
        <f t="shared" si="41"/>
        <v>0.4978605852556971</v>
      </c>
      <c r="R175">
        <f t="shared" si="42"/>
        <v>0.5714285714285714</v>
      </c>
      <c r="S175">
        <f t="shared" si="43"/>
        <v>1.9214285714285715</v>
      </c>
      <c r="T175" s="88">
        <f t="shared" si="44"/>
        <v>5</v>
      </c>
      <c r="U175" s="125">
        <f>IF($D175="",0,IFERROR(LOOKUP(2,1/(($D$3:D174=$D175)*($C$3:C174=$C175)*($A$3:A174&lt;$A175)),$AB$3:AB174),1000))</f>
        <v>1005.2042619187375</v>
      </c>
      <c r="V175" s="125">
        <f t="shared" si="45"/>
        <v>1016.6157041318812</v>
      </c>
      <c r="W175">
        <f t="shared" si="46"/>
        <v>1019.1034073980409</v>
      </c>
      <c r="X175">
        <f t="shared" si="47"/>
        <v>0.49641996839516911</v>
      </c>
      <c r="Y175">
        <f t="shared" si="48"/>
        <v>1002.4167835709495</v>
      </c>
      <c r="Z175">
        <f t="shared" si="49"/>
        <v>0.5040114177371825</v>
      </c>
      <c r="AA175">
        <f>IF($D175="",0,IF($F175&lt;2,0,IF($E175="Win",('Guide &amp; Settings'!$C$42/(($F175-1)*COUNTIFS($A$4:$A$311,$A175,$E$4:$E$311,"Win")))*SUMIFS($Z$4:$Z$311,$A$4:$A$311,$A175,$E$4:$E$311,"Loss"),-('Guide &amp; Settings'!$C$42/($F175-1))*$Z175)))</f>
        <v>-5.3761217891966133</v>
      </c>
      <c r="AB175" s="125">
        <f t="shared" si="50"/>
        <v>999.82814012954088</v>
      </c>
      <c r="AC175" s="125">
        <f>IF($D175="","",IF(SUMPRODUCT(MAX(($D$4:$D$311=$D175)*($B$4:$B$311&lt;$B175)*$B$4:$B$311))=0,0,MAX(($B175-SUMPRODUCT(MAX(($D$4:$D$311=$D175)*($B$4:$B$311&lt;$B175)*$B$4:$B$311)))/7-'Guide &amp; Settings'!$C$48,0)*'Guide &amp; Settings'!$C$49))</f>
        <v>0</v>
      </c>
    </row>
    <row r="176" spans="1:29" ht="15" customHeight="1" x14ac:dyDescent="0.2">
      <c r="A176" s="116">
        <v>76</v>
      </c>
      <c r="B176" s="117">
        <v>46188</v>
      </c>
      <c r="C176" s="118" t="s">
        <v>214</v>
      </c>
      <c r="D176" s="118" t="s">
        <v>174</v>
      </c>
      <c r="E176" s="116" t="s">
        <v>316</v>
      </c>
      <c r="F176" s="119">
        <f t="shared" si="34"/>
        <v>4</v>
      </c>
      <c r="G176" s="120" t="str">
        <f t="shared" si="35"/>
        <v>Daniel (Ferret)</v>
      </c>
      <c r="H176" s="121">
        <f>IF($D176="",0,IFERROR(LOOKUP(2,1/(($D$3:D175=$D176)*($A$3:A175&lt;$A176)),$N$3:N175),'Guide &amp; Settings'!$C$41))</f>
        <v>1107.9147674469509</v>
      </c>
      <c r="I176" s="122">
        <f t="shared" si="36"/>
        <v>0.37037037037037035</v>
      </c>
      <c r="J176" s="123">
        <f>IF($D176="",0,IF($F176&lt;2,0,IF($E176="Win",('Guide &amp; Settings'!$C$42/(($F176-1)*COUNTIFS($A$4:$A$311,$A176,$E$4:$E$311,"Win")))*SUMIFS($X$4:$X$311,$A$4:$A$311,$A176,$E$4:$E$311,"Loss"),-('Guide &amp; Settings'!$C$42/($F176-1))*$X176)))</f>
        <v>4.5404431291237142</v>
      </c>
      <c r="K176" s="123">
        <f>IF($D176="",0,'Guide &amp; Settings'!$C$43*(IF($E176="Win",1,0)-$I176))</f>
        <v>7.5555555555555554</v>
      </c>
      <c r="L176" s="124">
        <f>IF($D176="",0,'Guide &amp; Settings'!$C$44*IF($F176&gt;=3,$F176+IF($E176="Win",$F176,0),0))</f>
        <v>8</v>
      </c>
      <c r="M176" s="123">
        <f t="shared" si="37"/>
        <v>20.09599868467927</v>
      </c>
      <c r="N176" s="121">
        <f t="shared" si="38"/>
        <v>1128.0107661316301</v>
      </c>
      <c r="O176" s="120" t="str">
        <f t="shared" si="39"/>
        <v>OK</v>
      </c>
      <c r="P176">
        <f t="shared" si="40"/>
        <v>1052.7002532768984</v>
      </c>
      <c r="Q176">
        <f t="shared" si="41"/>
        <v>0.57879782504894561</v>
      </c>
      <c r="R176">
        <f t="shared" si="42"/>
        <v>0.66666666666666663</v>
      </c>
      <c r="S176">
        <f t="shared" si="43"/>
        <v>1.8</v>
      </c>
      <c r="T176" s="88">
        <f t="shared" si="44"/>
        <v>4</v>
      </c>
      <c r="U176" s="125">
        <f>IF($D176="",0,IFERROR(LOOKUP(2,1/(($D$3:D175=$D176)*($C$3:C175=$C176)*($A$3:A175&lt;$A176)),$AB$3:AB175),1000))</f>
        <v>1031.3105708328824</v>
      </c>
      <c r="V176" s="125">
        <f t="shared" si="45"/>
        <v>1073.8684578406983</v>
      </c>
      <c r="W176">
        <f t="shared" si="46"/>
        <v>1033.1568859591948</v>
      </c>
      <c r="X176">
        <f t="shared" si="47"/>
        <v>0.55832197515261617</v>
      </c>
      <c r="Y176">
        <f t="shared" si="48"/>
        <v>1007.6775882643249</v>
      </c>
      <c r="Z176">
        <f t="shared" si="49"/>
        <v>0.53395823840807799</v>
      </c>
      <c r="AA176">
        <f>IF($D176="",0,IF($F176&lt;2,0,IF($E176="Win",('Guide &amp; Settings'!$C$42/(($F176-1)*COUNTIFS($A$4:$A$311,$A176,$E$4:$E$311,"Win")))*SUMIFS($Z$4:$Z$311,$A$4:$A$311,$A176,$E$4:$E$311,"Loss"),-('Guide &amp; Settings'!$C$42/($F176-1))*$Z176)))</f>
        <v>5.1364868771082088</v>
      </c>
      <c r="AB176" s="125">
        <f t="shared" si="50"/>
        <v>1036.4470577099905</v>
      </c>
      <c r="AC176" s="125">
        <f>IF($D176="","",IF(SUMPRODUCT(MAX(($D$4:$D$311=$D176)*($B$4:$B$311&lt;$B176)*$B$4:$B$311))=0,0,MAX(($B176-SUMPRODUCT(MAX(($D$4:$D$311=$D176)*($B$4:$B$311&lt;$B176)*$B$4:$B$311)))/7-'Guide &amp; Settings'!$C$48,0)*'Guide &amp; Settings'!$C$49))</f>
        <v>0</v>
      </c>
    </row>
    <row r="177" spans="1:29" ht="15" customHeight="1" x14ac:dyDescent="0.2">
      <c r="A177" s="116">
        <v>76</v>
      </c>
      <c r="B177" s="117">
        <v>46188</v>
      </c>
      <c r="C177" s="118" t="s">
        <v>214</v>
      </c>
      <c r="D177" s="118" t="s">
        <v>177</v>
      </c>
      <c r="E177" s="116" t="s">
        <v>316</v>
      </c>
      <c r="F177" s="119">
        <f t="shared" si="34"/>
        <v>4</v>
      </c>
      <c r="G177" s="120" t="str">
        <f t="shared" si="35"/>
        <v>Daniel (Ferret)</v>
      </c>
      <c r="H177" s="121">
        <f>IF($D177="",0,IFERROR(LOOKUP(2,1/(($D$3:D176=$D177)*($A$3:A176&lt;$A177)),$N$3:N176),'Guide &amp; Settings'!$C$41))</f>
        <v>997.48573910684604</v>
      </c>
      <c r="I177" s="122">
        <f t="shared" si="36"/>
        <v>0.22222222222222224</v>
      </c>
      <c r="J177" s="123">
        <f>IF($D177="",0,IF($F177&lt;2,0,IF($E177="Win",('Guide &amp; Settings'!$C$42/(($F177-1)*COUNTIFS($A$4:$A$311,$A177,$E$4:$E$311,"Win")))*SUMIFS($X$4:$X$311,$A$4:$A$311,$A177,$E$4:$E$311,"Loss"),-('Guide &amp; Settings'!$C$42/($F177-1))*$X177)))</f>
        <v>4.5404431291237142</v>
      </c>
      <c r="K177" s="123">
        <f>IF($D177="",0,'Guide &amp; Settings'!$C$43*(IF($E177="Win",1,0)-$I177))</f>
        <v>9.3333333333333339</v>
      </c>
      <c r="L177" s="124">
        <f>IF($D177="",0,'Guide &amp; Settings'!$C$44*IF($F177&gt;=3,$F177+IF($E177="Win",$F177,0),0))</f>
        <v>8</v>
      </c>
      <c r="M177" s="123">
        <f t="shared" si="37"/>
        <v>21.873776462457048</v>
      </c>
      <c r="N177" s="121">
        <f t="shared" si="38"/>
        <v>1019.3595155693031</v>
      </c>
      <c r="O177" s="120" t="str">
        <f t="shared" si="39"/>
        <v>OK</v>
      </c>
      <c r="P177">
        <f t="shared" si="40"/>
        <v>1052.7002532768984</v>
      </c>
      <c r="Q177">
        <f t="shared" si="41"/>
        <v>0.42120217495105478</v>
      </c>
      <c r="R177">
        <f t="shared" si="42"/>
        <v>0.4</v>
      </c>
      <c r="S177">
        <f t="shared" si="43"/>
        <v>1.8</v>
      </c>
      <c r="T177" s="88">
        <f t="shared" si="44"/>
        <v>3</v>
      </c>
      <c r="U177" s="125">
        <f>IF($D177="",0,IFERROR(LOOKUP(2,1/(($D$3:D176=$D177)*($C$3:C176=$C177)*($A$3:A176&lt;$A177)),$AB$3:AB176),1000))</f>
        <v>984.04460569576747</v>
      </c>
      <c r="V177" s="125">
        <f t="shared" si="45"/>
        <v>992.44531407769159</v>
      </c>
      <c r="W177">
        <f t="shared" si="46"/>
        <v>1033.1568859591948</v>
      </c>
      <c r="X177">
        <f t="shared" si="47"/>
        <v>0.44167802484738422</v>
      </c>
      <c r="Y177">
        <f t="shared" si="48"/>
        <v>1007.6775882643249</v>
      </c>
      <c r="Z177">
        <f t="shared" si="49"/>
        <v>0.46604176159192229</v>
      </c>
      <c r="AA177">
        <f>IF($D177="",0,IF($F177&lt;2,0,IF($E177="Win",('Guide &amp; Settings'!$C$42/(($F177-1)*COUNTIFS($A$4:$A$311,$A177,$E$4:$E$311,"Win")))*SUMIFS($Z$4:$Z$311,$A$4:$A$311,$A177,$E$4:$E$311,"Loss"),-('Guide &amp; Settings'!$C$42/($F177-1))*$Z177)))</f>
        <v>5.1364868771082088</v>
      </c>
      <c r="AB177" s="125">
        <f t="shared" si="50"/>
        <v>989.18109257287563</v>
      </c>
      <c r="AC177" s="125">
        <f>IF($D177="","",IF(SUMPRODUCT(MAX(($D$4:$D$311=$D177)*($B$4:$B$311&lt;$B177)*$B$4:$B$311))=0,0,MAX(($B177-SUMPRODUCT(MAX(($D$4:$D$311=$D177)*($B$4:$B$311&lt;$B177)*$B$4:$B$311)))/7-'Guide &amp; Settings'!$C$48,0)*'Guide &amp; Settings'!$C$49))</f>
        <v>0</v>
      </c>
    </row>
    <row r="178" spans="1:29" ht="15" customHeight="1" x14ac:dyDescent="0.2">
      <c r="A178" s="116">
        <v>76</v>
      </c>
      <c r="B178" s="117">
        <v>46188</v>
      </c>
      <c r="C178" s="118" t="s">
        <v>214</v>
      </c>
      <c r="D178" s="118" t="s">
        <v>147</v>
      </c>
      <c r="E178" s="116" t="s">
        <v>317</v>
      </c>
      <c r="F178" s="119">
        <f t="shared" si="34"/>
        <v>4</v>
      </c>
      <c r="G178" s="120" t="str">
        <f t="shared" si="35"/>
        <v>Daniel (Ferret)</v>
      </c>
      <c r="H178" s="121">
        <f>IF($D178="",0,IFERROR(LOOKUP(2,1/(($D$3:D177=$D178)*($A$3:A177&lt;$A178)),$N$3:N177),'Guide &amp; Settings'!$C$41))</f>
        <v>948.71656220915634</v>
      </c>
      <c r="I178" s="122">
        <f t="shared" si="36"/>
        <v>0.22222222222222224</v>
      </c>
      <c r="J178" s="123">
        <f>IF($D178="",0,IF($F178&lt;2,0,IF($E178="Win",('Guide &amp; Settings'!$C$42/(($F178-1)*COUNTIFS($A$4:$A$311,$A178,$E$4:$E$311,"Win")))*SUMIFS($X$4:$X$311,$A$4:$A$311,$A178,$E$4:$E$311,"Loss"),-('Guide &amp; Settings'!$C$42/($F178-1))*$X178)))</f>
        <v>-4.3153233363151529</v>
      </c>
      <c r="K178" s="123">
        <f>IF($D178="",0,'Guide &amp; Settings'!$C$43*(IF($E178="Win",1,0)-$I178))</f>
        <v>-2.666666666666667</v>
      </c>
      <c r="L178" s="124">
        <f>IF($D178="",0,'Guide &amp; Settings'!$C$44*IF($F178&gt;=3,$F178+IF($E178="Win",$F178,0),0))</f>
        <v>4</v>
      </c>
      <c r="M178" s="123">
        <f t="shared" si="37"/>
        <v>-2.9819900029818198</v>
      </c>
      <c r="N178" s="121">
        <f t="shared" si="38"/>
        <v>945.73457220617456</v>
      </c>
      <c r="O178" s="120" t="str">
        <f t="shared" si="39"/>
        <v>OK</v>
      </c>
      <c r="P178">
        <f t="shared" si="40"/>
        <v>1052.7002532768984</v>
      </c>
      <c r="Q178">
        <f t="shared" si="41"/>
        <v>0.35466903682260759</v>
      </c>
      <c r="R178">
        <f t="shared" si="42"/>
        <v>0.4</v>
      </c>
      <c r="S178">
        <f t="shared" si="43"/>
        <v>1.8</v>
      </c>
      <c r="T178" s="88">
        <f t="shared" si="44"/>
        <v>3</v>
      </c>
      <c r="U178" s="125">
        <f>IF($D178="",0,IFERROR(LOOKUP(2,1/(($D$3:D177=$D178)*($C$3:C177=$C178)*($A$3:A177&lt;$A178)),$AB$3:AB177),1000))</f>
        <v>994.84836113778465</v>
      </c>
      <c r="V178" s="125">
        <f t="shared" si="45"/>
        <v>966.01598680739198</v>
      </c>
      <c r="W178">
        <f t="shared" si="46"/>
        <v>1033.1568859591948</v>
      </c>
      <c r="X178">
        <f t="shared" si="47"/>
        <v>0.40456156277954558</v>
      </c>
      <c r="Y178">
        <f t="shared" si="48"/>
        <v>1007.6775882643249</v>
      </c>
      <c r="Z178">
        <f t="shared" si="49"/>
        <v>0.48154564472889461</v>
      </c>
      <c r="AA178">
        <f>IF($D178="",0,IF($F178&lt;2,0,IF($E178="Win",('Guide &amp; Settings'!$C$42/(($F178-1)*COUNTIFS($A$4:$A$311,$A178,$E$4:$E$311,"Win")))*SUMIFS($Z$4:$Z$311,$A$4:$A$311,$A178,$E$4:$E$311,"Loss"),-('Guide &amp; Settings'!$C$42/($F178-1))*$Z178)))</f>
        <v>-5.1364868771082088</v>
      </c>
      <c r="AB178" s="125">
        <f t="shared" si="50"/>
        <v>989.7118742606765</v>
      </c>
      <c r="AC178" s="125">
        <f>IF($D178="","",IF(SUMPRODUCT(MAX(($D$4:$D$311=$D178)*($B$4:$B$311&lt;$B178)*$B$4:$B$311))=0,0,MAX(($B178-SUMPRODUCT(MAX(($D$4:$D$311=$D178)*($B$4:$B$311&lt;$B178)*$B$4:$B$311)))/7-'Guide &amp; Settings'!$C$48,0)*'Guide &amp; Settings'!$C$49))</f>
        <v>0</v>
      </c>
    </row>
    <row r="179" spans="1:29" ht="15" customHeight="1" x14ac:dyDescent="0.2">
      <c r="A179" s="116">
        <v>76</v>
      </c>
      <c r="B179" s="117">
        <v>46188</v>
      </c>
      <c r="C179" s="118" t="s">
        <v>214</v>
      </c>
      <c r="D179" s="118" t="s">
        <v>178</v>
      </c>
      <c r="E179" s="116" t="s">
        <v>317</v>
      </c>
      <c r="F179" s="119">
        <f t="shared" si="34"/>
        <v>4</v>
      </c>
      <c r="G179" s="120" t="str">
        <f t="shared" si="35"/>
        <v>Daniel (Ferret)</v>
      </c>
      <c r="H179" s="121">
        <f>IF($D179="",0,IFERROR(LOOKUP(2,1/(($D$3:D178=$D179)*($A$3:A178&lt;$A179)),$N$3:N178),'Guide &amp; Settings'!$C$41))</f>
        <v>996.26545088993566</v>
      </c>
      <c r="I179" s="122">
        <f t="shared" si="36"/>
        <v>0.18518518518518517</v>
      </c>
      <c r="J179" s="123">
        <f>IF($D179="",0,IF($F179&lt;2,0,IF($E179="Win",('Guide &amp; Settings'!$C$42/(($F179-1)*COUNTIFS($A$4:$A$311,$A179,$E$4:$E$311,"Win")))*SUMIFS($X$4:$X$311,$A$4:$A$311,$A179,$E$4:$E$311,"Loss"),-('Guide &amp; Settings'!$C$42/($F179-1))*$X179)))</f>
        <v>-4.7655629219322755</v>
      </c>
      <c r="K179" s="123">
        <f>IF($D179="",0,'Guide &amp; Settings'!$C$43*(IF($E179="Win",1,0)-$I179))</f>
        <v>-2.2222222222222223</v>
      </c>
      <c r="L179" s="124">
        <f>IF($D179="",0,'Guide &amp; Settings'!$C$44*IF($F179&gt;=3,$F179+IF($E179="Win",$F179,0),0))</f>
        <v>4</v>
      </c>
      <c r="M179" s="123">
        <f t="shared" si="37"/>
        <v>-2.9877851441544978</v>
      </c>
      <c r="N179" s="121">
        <f t="shared" si="38"/>
        <v>993.27766574578118</v>
      </c>
      <c r="O179" s="120" t="str">
        <f t="shared" si="39"/>
        <v>OK</v>
      </c>
      <c r="P179">
        <f t="shared" si="40"/>
        <v>1052.7002532768984</v>
      </c>
      <c r="Q179">
        <f t="shared" si="41"/>
        <v>0.41949060953621675</v>
      </c>
      <c r="R179">
        <f t="shared" si="42"/>
        <v>0.33333333333333331</v>
      </c>
      <c r="S179">
        <f t="shared" si="43"/>
        <v>1.8</v>
      </c>
      <c r="T179" s="88">
        <f t="shared" si="44"/>
        <v>1</v>
      </c>
      <c r="U179" s="125">
        <f>IF($D179="",0,IFERROR(LOOKUP(2,1/(($D$3:D178=$D179)*($C$3:C178=$C179)*($A$3:A178&lt;$A179)),$AB$3:AB178),1000))</f>
        <v>994.84836113778465</v>
      </c>
      <c r="V179" s="125">
        <f t="shared" si="45"/>
        <v>996.02926926457712</v>
      </c>
      <c r="W179">
        <f t="shared" si="46"/>
        <v>1033.1568859591948</v>
      </c>
      <c r="X179">
        <f t="shared" si="47"/>
        <v>0.44677152393115088</v>
      </c>
      <c r="Y179">
        <f t="shared" si="48"/>
        <v>1007.6775882643249</v>
      </c>
      <c r="Z179">
        <f t="shared" si="49"/>
        <v>0.48154564472889461</v>
      </c>
      <c r="AA179">
        <f>IF($D179="",0,IF($F179&lt;2,0,IF($E179="Win",('Guide &amp; Settings'!$C$42/(($F179-1)*COUNTIFS($A$4:$A$311,$A179,$E$4:$E$311,"Win")))*SUMIFS($Z$4:$Z$311,$A$4:$A$311,$A179,$E$4:$E$311,"Loss"),-('Guide &amp; Settings'!$C$42/($F179-1))*$Z179)))</f>
        <v>-5.1364868771082088</v>
      </c>
      <c r="AB179" s="125">
        <f t="shared" si="50"/>
        <v>989.7118742606765</v>
      </c>
      <c r="AC179" s="125">
        <f>IF($D179="","",IF(SUMPRODUCT(MAX(($D$4:$D$311=$D179)*($B$4:$B$311&lt;$B179)*$B$4:$B$311))=0,0,MAX(($B179-SUMPRODUCT(MAX(($D$4:$D$311=$D179)*($B$4:$B$311&lt;$B179)*$B$4:$B$311)))/7-'Guide &amp; Settings'!$C$48,0)*'Guide &amp; Settings'!$C$49))</f>
        <v>0</v>
      </c>
    </row>
    <row r="180" spans="1:29" ht="15" customHeight="1" x14ac:dyDescent="0.2">
      <c r="A180" s="116">
        <v>77</v>
      </c>
      <c r="B180" s="117">
        <v>46188</v>
      </c>
      <c r="C180" s="118" t="s">
        <v>214</v>
      </c>
      <c r="D180" s="118" t="s">
        <v>174</v>
      </c>
      <c r="E180" s="116" t="s">
        <v>316</v>
      </c>
      <c r="F180" s="119">
        <f t="shared" si="34"/>
        <v>4</v>
      </c>
      <c r="G180" s="120" t="str">
        <f t="shared" si="35"/>
        <v>Daniel (Ferret)</v>
      </c>
      <c r="H180" s="121">
        <f>IF($D180="",0,IFERROR(LOOKUP(2,1/(($D$3:D179=$D180)*($A$3:A179&lt;$A180)),$N$3:N179),'Guide &amp; Settings'!$C$41))</f>
        <v>1128.0107661316301</v>
      </c>
      <c r="I180" s="122">
        <f t="shared" si="36"/>
        <v>0.39920159680638723</v>
      </c>
      <c r="J180" s="123">
        <f>IF($D180="",0,IF($F180&lt;2,0,IF($E180="Win",('Guide &amp; Settings'!$C$42/(($F180-1)*COUNTIFS($A$4:$A$311,$A180,$E$4:$E$311,"Win")))*SUMIFS($X$4:$X$311,$A$4:$A$311,$A180,$E$4:$E$311,"Loss"),-('Guide &amp; Settings'!$C$42/($F180-1))*$X180)))</f>
        <v>4.3271497780263957</v>
      </c>
      <c r="K180" s="123">
        <f>IF($D180="",0,'Guide &amp; Settings'!$C$43*(IF($E180="Win",1,0)-$I180))</f>
        <v>7.2095808383233528</v>
      </c>
      <c r="L180" s="124">
        <f>IF($D180="",0,'Guide &amp; Settings'!$C$44*IF($F180&gt;=3,$F180+IF($E180="Win",$F180,0),0))</f>
        <v>8</v>
      </c>
      <c r="M180" s="123">
        <f t="shared" si="37"/>
        <v>19.53673061634975</v>
      </c>
      <c r="N180" s="121">
        <f t="shared" si="38"/>
        <v>1147.5474967479799</v>
      </c>
      <c r="O180" s="120" t="str">
        <f t="shared" si="39"/>
        <v>OK</v>
      </c>
      <c r="P180">
        <f t="shared" si="40"/>
        <v>1073.6851408504667</v>
      </c>
      <c r="Q180">
        <f t="shared" si="41"/>
        <v>0.57754988171903221</v>
      </c>
      <c r="R180">
        <f t="shared" si="42"/>
        <v>0.7142857142857143</v>
      </c>
      <c r="S180">
        <f t="shared" si="43"/>
        <v>1.7892857142857144</v>
      </c>
      <c r="T180" s="88">
        <f t="shared" si="44"/>
        <v>5</v>
      </c>
      <c r="U180" s="125">
        <f>IF($D180="",0,IFERROR(LOOKUP(2,1/(($D$3:D179=$D180)*($C$3:C179=$C180)*($A$3:A179&lt;$A180)),$AB$3:AB179),1000))</f>
        <v>1036.4470577099905</v>
      </c>
      <c r="V180" s="125">
        <f t="shared" si="45"/>
        <v>1082.2289119208103</v>
      </c>
      <c r="W180">
        <f t="shared" si="46"/>
        <v>1044.0878975236283</v>
      </c>
      <c r="X180">
        <f t="shared" si="47"/>
        <v>0.55466989280126899</v>
      </c>
      <c r="Y180">
        <f t="shared" si="48"/>
        <v>1012.814075141433</v>
      </c>
      <c r="Z180">
        <f t="shared" si="49"/>
        <v>0.53395823840807799</v>
      </c>
      <c r="AA180">
        <f>IF($D180="",0,IF($F180&lt;2,0,IF($E180="Win",('Guide &amp; Settings'!$C$42/(($F180-1)*COUNTIFS($A$4:$A$311,$A180,$E$4:$E$311,"Win")))*SUMIFS($Z$4:$Z$311,$A$4:$A$311,$A180,$E$4:$E$311,"Loss"),-('Guide &amp; Settings'!$C$42/($F180-1))*$Z180)))</f>
        <v>4.730471293558141</v>
      </c>
      <c r="AB180" s="125">
        <f t="shared" si="50"/>
        <v>1041.1775290035487</v>
      </c>
      <c r="AC180" s="125">
        <f>IF($D180="","",IF(SUMPRODUCT(MAX(($D$4:$D$311=$D180)*($B$4:$B$311&lt;$B180)*$B$4:$B$311))=0,0,MAX(($B180-SUMPRODUCT(MAX(($D$4:$D$311=$D180)*($B$4:$B$311&lt;$B180)*$B$4:$B$311)))/7-'Guide &amp; Settings'!$C$48,0)*'Guide &amp; Settings'!$C$49))</f>
        <v>0</v>
      </c>
    </row>
    <row r="181" spans="1:29" ht="15" customHeight="1" x14ac:dyDescent="0.2">
      <c r="A181" s="116">
        <v>77</v>
      </c>
      <c r="B181" s="117">
        <v>46188</v>
      </c>
      <c r="C181" s="118" t="s">
        <v>214</v>
      </c>
      <c r="D181" s="118" t="s">
        <v>177</v>
      </c>
      <c r="E181" s="116" t="s">
        <v>316</v>
      </c>
      <c r="F181" s="119">
        <f t="shared" si="34"/>
        <v>4</v>
      </c>
      <c r="G181" s="120" t="str">
        <f t="shared" si="35"/>
        <v>Daniel (Ferret)</v>
      </c>
      <c r="H181" s="121">
        <f>IF($D181="",0,IFERROR(LOOKUP(2,1/(($D$3:D180=$D181)*($A$3:A180&lt;$A181)),$N$3:N180),'Guide &amp; Settings'!$C$41))</f>
        <v>1019.3595155693031</v>
      </c>
      <c r="I181" s="122">
        <f t="shared" si="36"/>
        <v>0.27944111776447106</v>
      </c>
      <c r="J181" s="123">
        <f>IF($D181="",0,IF($F181&lt;2,0,IF($E181="Win",('Guide &amp; Settings'!$C$42/(($F181-1)*COUNTIFS($A$4:$A$311,$A181,$E$4:$E$311,"Win")))*SUMIFS($X$4:$X$311,$A$4:$A$311,$A181,$E$4:$E$311,"Loss"),-('Guide &amp; Settings'!$C$42/($F181-1))*$X181)))</f>
        <v>4.3271497780263957</v>
      </c>
      <c r="K181" s="123">
        <f>IF($D181="",0,'Guide &amp; Settings'!$C$43*(IF($E181="Win",1,0)-$I181))</f>
        <v>8.6467065868263475</v>
      </c>
      <c r="L181" s="124">
        <f>IF($D181="",0,'Guide &amp; Settings'!$C$44*IF($F181&gt;=3,$F181+IF($E181="Win",$F181,0),0))</f>
        <v>8</v>
      </c>
      <c r="M181" s="123">
        <f t="shared" si="37"/>
        <v>20.973856364852743</v>
      </c>
      <c r="N181" s="121">
        <f t="shared" si="38"/>
        <v>1040.3333719341558</v>
      </c>
      <c r="O181" s="120" t="str">
        <f t="shared" si="39"/>
        <v>OK</v>
      </c>
      <c r="P181">
        <f t="shared" si="40"/>
        <v>1073.6851408504667</v>
      </c>
      <c r="Q181">
        <f t="shared" si="41"/>
        <v>0.42245011828096746</v>
      </c>
      <c r="R181">
        <f t="shared" si="42"/>
        <v>0.5</v>
      </c>
      <c r="S181">
        <f t="shared" si="43"/>
        <v>1.7892857142857144</v>
      </c>
      <c r="T181" s="88">
        <f t="shared" si="44"/>
        <v>4</v>
      </c>
      <c r="U181" s="125">
        <f>IF($D181="",0,IFERROR(LOOKUP(2,1/(($D$3:D180=$D181)*($C$3:C180=$C181)*($A$3:A180&lt;$A181)),$AB$3:AB180),1000))</f>
        <v>989.18109257287563</v>
      </c>
      <c r="V181" s="125">
        <f t="shared" si="45"/>
        <v>1005.9468831264464</v>
      </c>
      <c r="W181">
        <f t="shared" si="46"/>
        <v>1044.0878975236283</v>
      </c>
      <c r="X181">
        <f t="shared" si="47"/>
        <v>0.44533010719873128</v>
      </c>
      <c r="Y181">
        <f t="shared" si="48"/>
        <v>1012.814075141433</v>
      </c>
      <c r="Z181">
        <f t="shared" si="49"/>
        <v>0.46604176159192229</v>
      </c>
      <c r="AA181">
        <f>IF($D181="",0,IF($F181&lt;2,0,IF($E181="Win",('Guide &amp; Settings'!$C$42/(($F181-1)*COUNTIFS($A$4:$A$311,$A181,$E$4:$E$311,"Win")))*SUMIFS($Z$4:$Z$311,$A$4:$A$311,$A181,$E$4:$E$311,"Loss"),-('Guide &amp; Settings'!$C$42/($F181-1))*$Z181)))</f>
        <v>4.730471293558141</v>
      </c>
      <c r="AB181" s="125">
        <f t="shared" si="50"/>
        <v>993.91156386643377</v>
      </c>
      <c r="AC181" s="125">
        <f>IF($D181="","",IF(SUMPRODUCT(MAX(($D$4:$D$311=$D181)*($B$4:$B$311&lt;$B181)*$B$4:$B$311))=0,0,MAX(($B181-SUMPRODUCT(MAX(($D$4:$D$311=$D181)*($B$4:$B$311&lt;$B181)*$B$4:$B$311)))/7-'Guide &amp; Settings'!$C$48,0)*'Guide &amp; Settings'!$C$49))</f>
        <v>0</v>
      </c>
    </row>
    <row r="182" spans="1:29" ht="15" customHeight="1" x14ac:dyDescent="0.2">
      <c r="A182" s="116">
        <v>77</v>
      </c>
      <c r="B182" s="117">
        <v>46188</v>
      </c>
      <c r="C182" s="118" t="s">
        <v>214</v>
      </c>
      <c r="D182" s="118" t="s">
        <v>182</v>
      </c>
      <c r="E182" s="116" t="s">
        <v>317</v>
      </c>
      <c r="F182" s="119">
        <f t="shared" si="34"/>
        <v>4</v>
      </c>
      <c r="G182" s="120" t="str">
        <f t="shared" si="35"/>
        <v>Daniel (Ferret)</v>
      </c>
      <c r="H182" s="121">
        <f>IF($D182="",0,IFERROR(LOOKUP(2,1/(($D$3:D181=$D182)*($A$3:A181&lt;$A182)),$N$3:N181),'Guide &amp; Settings'!$C$41))</f>
        <v>910.16214337272572</v>
      </c>
      <c r="I182" s="122">
        <f t="shared" si="36"/>
        <v>0.20958083832335328</v>
      </c>
      <c r="J182" s="123">
        <f>IF($D182="",0,IF($F182&lt;2,0,IF($E182="Win",('Guide &amp; Settings'!$C$42/(($F182-1)*COUNTIFS($A$4:$A$311,$A182,$E$4:$E$311,"Win")))*SUMIFS($X$4:$X$311,$A$4:$A$311,$A182,$E$4:$E$311,"Loss"),-('Guide &amp; Settings'!$C$42/($F182-1))*$X182)))</f>
        <v>-3.9182921856776294</v>
      </c>
      <c r="K182" s="123">
        <f>IF($D182="",0,'Guide &amp; Settings'!$C$43*(IF($E182="Win",1,0)-$I182))</f>
        <v>-2.5149700598802394</v>
      </c>
      <c r="L182" s="124">
        <f>IF($D182="",0,'Guide &amp; Settings'!$C$44*IF($F182&gt;=3,$F182+IF($E182="Win",$F182,0),0))</f>
        <v>4</v>
      </c>
      <c r="M182" s="123">
        <f t="shared" si="37"/>
        <v>-2.4332622455578683</v>
      </c>
      <c r="N182" s="121">
        <f t="shared" si="38"/>
        <v>907.72888112716782</v>
      </c>
      <c r="O182" s="120" t="str">
        <f t="shared" si="39"/>
        <v>OK</v>
      </c>
      <c r="P182">
        <f t="shared" si="40"/>
        <v>1073.6851408504667</v>
      </c>
      <c r="Q182">
        <f t="shared" si="41"/>
        <v>0.28063498888322475</v>
      </c>
      <c r="R182">
        <f t="shared" si="42"/>
        <v>0.375</v>
      </c>
      <c r="S182">
        <f t="shared" si="43"/>
        <v>1.7892857142857144</v>
      </c>
      <c r="T182" s="88">
        <f t="shared" si="44"/>
        <v>6</v>
      </c>
      <c r="U182" s="125">
        <f>IF($D182="",0,IFERROR(LOOKUP(2,1/(($D$3:D181=$D182)*($C$3:C181=$C182)*($A$3:A181&lt;$A182)),$AB$3:AB181),1000))</f>
        <v>982.55096461266169</v>
      </c>
      <c r="V182" s="125">
        <f t="shared" si="45"/>
        <v>949.64695495814544</v>
      </c>
      <c r="W182">
        <f t="shared" si="46"/>
        <v>1044.0878975236283</v>
      </c>
      <c r="X182">
        <f t="shared" si="47"/>
        <v>0.36733989240727777</v>
      </c>
      <c r="Y182">
        <f t="shared" si="48"/>
        <v>1012.814075141433</v>
      </c>
      <c r="Z182">
        <f t="shared" si="49"/>
        <v>0.45655769521176187</v>
      </c>
      <c r="AA182">
        <f>IF($D182="",0,IF($F182&lt;2,0,IF($E182="Win",('Guide &amp; Settings'!$C$42/(($F182-1)*COUNTIFS($A$4:$A$311,$A182,$E$4:$E$311,"Win")))*SUMIFS($Z$4:$Z$311,$A$4:$A$311,$A182,$E$4:$E$311,"Loss"),-('Guide &amp; Settings'!$C$42/($F182-1))*$Z182)))</f>
        <v>-4.8699487489254594</v>
      </c>
      <c r="AB182" s="125">
        <f t="shared" si="50"/>
        <v>977.68101586373621</v>
      </c>
      <c r="AC182" s="125">
        <f>IF($D182="","",IF(SUMPRODUCT(MAX(($D$4:$D$311=$D182)*($B$4:$B$311&lt;$B182)*$B$4:$B$311))=0,0,MAX(($B182-SUMPRODUCT(MAX(($D$4:$D$311=$D182)*($B$4:$B$311&lt;$B182)*$B$4:$B$311)))/7-'Guide &amp; Settings'!$C$48,0)*'Guide &amp; Settings'!$C$49))</f>
        <v>0</v>
      </c>
    </row>
    <row r="183" spans="1:29" ht="15" customHeight="1" x14ac:dyDescent="0.2">
      <c r="A183" s="116">
        <v>77</v>
      </c>
      <c r="B183" s="117">
        <v>46188</v>
      </c>
      <c r="C183" s="118" t="s">
        <v>214</v>
      </c>
      <c r="D183" s="118" t="s">
        <v>145</v>
      </c>
      <c r="E183" s="116" t="s">
        <v>317</v>
      </c>
      <c r="F183" s="119">
        <f t="shared" si="34"/>
        <v>4</v>
      </c>
      <c r="G183" s="120" t="str">
        <f t="shared" si="35"/>
        <v>Daniel (Ferret)</v>
      </c>
      <c r="H183" s="121">
        <f>IF($D183="",0,IFERROR(LOOKUP(2,1/(($D$3:D182=$D183)*($A$3:A182&lt;$A183)),$N$3:N182),'Guide &amp; Settings'!$C$41))</f>
        <v>1029.5352438555508</v>
      </c>
      <c r="I183" s="122">
        <f t="shared" si="36"/>
        <v>0.11177644710578842</v>
      </c>
      <c r="J183" s="123">
        <f>IF($D183="",0,IF($F183&lt;2,0,IF($E183="Win",('Guide &amp; Settings'!$C$42/(($F183-1)*COUNTIFS($A$4:$A$311,$A183,$E$4:$E$311,"Win")))*SUMIFS($X$4:$X$311,$A$4:$A$311,$A183,$E$4:$E$311,"Loss"),-('Guide &amp; Settings'!$C$42/($F183-1))*$X183)))</f>
        <v>-4.7360073703751624</v>
      </c>
      <c r="K183" s="123">
        <f>IF($D183="",0,'Guide &amp; Settings'!$C$43*(IF($E183="Win",1,0)-$I183))</f>
        <v>-1.341317365269461</v>
      </c>
      <c r="L183" s="124">
        <f>IF($D183="",0,'Guide &amp; Settings'!$C$44*IF($F183&gt;=3,$F183+IF($E183="Win",$F183,0),0))</f>
        <v>4</v>
      </c>
      <c r="M183" s="123">
        <f t="shared" si="37"/>
        <v>-2.0773247356446234</v>
      </c>
      <c r="N183" s="121">
        <f t="shared" si="38"/>
        <v>1027.4579191199061</v>
      </c>
      <c r="O183" s="120" t="str">
        <f t="shared" si="39"/>
        <v>OK</v>
      </c>
      <c r="P183">
        <f t="shared" si="40"/>
        <v>1073.6851408504667</v>
      </c>
      <c r="Q183">
        <f t="shared" si="41"/>
        <v>0.43680298742707696</v>
      </c>
      <c r="R183">
        <f t="shared" si="42"/>
        <v>0.2</v>
      </c>
      <c r="S183">
        <f t="shared" si="43"/>
        <v>1.7892857142857144</v>
      </c>
      <c r="T183" s="88">
        <f t="shared" si="44"/>
        <v>3</v>
      </c>
      <c r="U183" s="125">
        <f>IF($D183="",0,IFERROR(LOOKUP(2,1/(($D$3:D182=$D183)*($C$3:C182=$C183)*($A$3:A182&lt;$A183)),$AB$3:AB182),1000))</f>
        <v>964.13900736852213</v>
      </c>
      <c r="V183" s="125">
        <f t="shared" si="45"/>
        <v>1005.0116551729151</v>
      </c>
      <c r="W183">
        <f t="shared" si="46"/>
        <v>1044.0878975236283</v>
      </c>
      <c r="X183">
        <f t="shared" si="47"/>
        <v>0.44400069097267153</v>
      </c>
      <c r="Y183">
        <f t="shared" si="48"/>
        <v>1012.814075141433</v>
      </c>
      <c r="Z183">
        <f t="shared" si="49"/>
        <v>0.43040567233038957</v>
      </c>
      <c r="AA183">
        <f>IF($D183="",0,IF($F183&lt;2,0,IF($E183="Win",('Guide &amp; Settings'!$C$42/(($F183-1)*COUNTIFS($A$4:$A$311,$A183,$E$4:$E$311,"Win")))*SUMIFS($Z$4:$Z$311,$A$4:$A$311,$A183,$E$4:$E$311,"Loss"),-('Guide &amp; Settings'!$C$42/($F183-1))*$Z183)))</f>
        <v>-4.5909938381908217</v>
      </c>
      <c r="AB183" s="125">
        <f t="shared" si="50"/>
        <v>959.54801353033133</v>
      </c>
      <c r="AC183" s="125">
        <f>IF($D183="","",IF(SUMPRODUCT(MAX(($D$4:$D$311=$D183)*($B$4:$B$311&lt;$B183)*$B$4:$B$311))=0,0,MAX(($B183-SUMPRODUCT(MAX(($D$4:$D$311=$D183)*($B$4:$B$311&lt;$B183)*$B$4:$B$311)))/7-'Guide &amp; Settings'!$C$48,0)*'Guide &amp; Settings'!$C$49))</f>
        <v>0</v>
      </c>
    </row>
    <row r="184" spans="1:29" ht="15" customHeight="1" x14ac:dyDescent="0.2">
      <c r="A184" s="116">
        <v>78</v>
      </c>
      <c r="B184" s="117">
        <v>46188</v>
      </c>
      <c r="C184" s="118" t="s">
        <v>214</v>
      </c>
      <c r="D184" s="118" t="s">
        <v>142</v>
      </c>
      <c r="E184" s="116" t="s">
        <v>316</v>
      </c>
      <c r="F184" s="119">
        <f t="shared" si="34"/>
        <v>4</v>
      </c>
      <c r="G184" s="120" t="str">
        <f t="shared" si="35"/>
        <v>Dylan A</v>
      </c>
      <c r="H184" s="121">
        <f>IF($D184="",0,IFERROR(LOOKUP(2,1/(($D$3:D183=$D184)*($A$3:A183&lt;$A184)),$N$3:N183),'Guide &amp; Settings'!$C$41))</f>
        <v>1012.5620656557165</v>
      </c>
      <c r="I184" s="122">
        <f t="shared" si="36"/>
        <v>0.247787610619469</v>
      </c>
      <c r="J184" s="123">
        <f>IF($D184="",0,IF($F184&lt;2,0,IF($E184="Win",('Guide &amp; Settings'!$C$42/(($F184-1)*COUNTIFS($A$4:$A$311,$A184,$E$4:$E$311,"Win")))*SUMIFS($X$4:$X$311,$A$4:$A$311,$A184,$E$4:$E$311,"Loss"),-('Guide &amp; Settings'!$C$42/($F184-1))*$X184)))</f>
        <v>5.9321796901747437</v>
      </c>
      <c r="K184" s="123">
        <f>IF($D184="",0,'Guide &amp; Settings'!$C$43*(IF($E184="Win",1,0)-$I184))</f>
        <v>9.0265486725663724</v>
      </c>
      <c r="L184" s="124">
        <f>IF($D184="",0,'Guide &amp; Settings'!$C$44*IF($F184&gt;=3,$F184+IF($E184="Win",$F184,0),0))</f>
        <v>8</v>
      </c>
      <c r="M184" s="123">
        <f t="shared" si="37"/>
        <v>22.958728362741116</v>
      </c>
      <c r="N184" s="121">
        <f t="shared" si="38"/>
        <v>1035.5207940184578</v>
      </c>
      <c r="O184" s="120" t="str">
        <f t="shared" si="39"/>
        <v>OK</v>
      </c>
      <c r="P184">
        <f t="shared" si="40"/>
        <v>1015.8627408081127</v>
      </c>
      <c r="Q184">
        <f t="shared" si="41"/>
        <v>0.4952500895187899</v>
      </c>
      <c r="R184">
        <f t="shared" si="42"/>
        <v>0.6</v>
      </c>
      <c r="S184">
        <f t="shared" si="43"/>
        <v>2.4214285714285717</v>
      </c>
      <c r="T184" s="88">
        <f t="shared" si="44"/>
        <v>3</v>
      </c>
      <c r="U184" s="125">
        <f>IF($D184="",0,IFERROR(LOOKUP(2,1/(($D$3:D183=$D184)*($C$3:C183=$C184)*($A$3:A183&lt;$A184)),$AB$3:AB183),1000))</f>
        <v>1015.7539990177011</v>
      </c>
      <c r="V184" s="125">
        <f t="shared" si="45"/>
        <v>1013.7590406664607</v>
      </c>
      <c r="W184">
        <f t="shared" si="46"/>
        <v>1013.7234011920812</v>
      </c>
      <c r="X184">
        <f t="shared" si="47"/>
        <v>0.50005128932633791</v>
      </c>
      <c r="Y184">
        <f t="shared" si="48"/>
        <v>1007.8763125641926</v>
      </c>
      <c r="Z184">
        <f t="shared" si="49"/>
        <v>0.51133495974897236</v>
      </c>
      <c r="AA184">
        <f>IF($D184="",0,IF($F184&lt;2,0,IF($E184="Win",('Guide &amp; Settings'!$C$42/(($F184-1)*COUNTIFS($A$4:$A$311,$A184,$E$4:$E$311,"Win")))*SUMIFS($Z$4:$Z$311,$A$4:$A$311,$A184,$E$4:$E$311,"Loss"),-('Guide &amp; Settings'!$C$42/($F184-1))*$Z184)))</f>
        <v>5.4810240387817064</v>
      </c>
      <c r="AB184" s="125">
        <f t="shared" si="50"/>
        <v>1021.2350230564828</v>
      </c>
      <c r="AC184" s="125">
        <f>IF($D184="","",IF(SUMPRODUCT(MAX(($D$4:$D$311=$D184)*($B$4:$B$311&lt;$B184)*$B$4:$B$311))=0,0,MAX(($B184-SUMPRODUCT(MAX(($D$4:$D$311=$D184)*($B$4:$B$311&lt;$B184)*$B$4:$B$311)))/7-'Guide &amp; Settings'!$C$48,0)*'Guide &amp; Settings'!$C$49))</f>
        <v>0</v>
      </c>
    </row>
    <row r="185" spans="1:29" ht="15" customHeight="1" x14ac:dyDescent="0.2">
      <c r="A185" s="116">
        <v>78</v>
      </c>
      <c r="B185" s="117">
        <v>46188</v>
      </c>
      <c r="C185" s="118" t="s">
        <v>214</v>
      </c>
      <c r="D185" s="118" t="s">
        <v>179</v>
      </c>
      <c r="E185" s="116" t="s">
        <v>316</v>
      </c>
      <c r="F185" s="119">
        <f t="shared" si="34"/>
        <v>4</v>
      </c>
      <c r="G185" s="120" t="str">
        <f t="shared" si="35"/>
        <v>Dylan A</v>
      </c>
      <c r="H185" s="121">
        <f>IF($D185="",0,IFERROR(LOOKUP(2,1/(($D$3:D184=$D185)*($A$3:A184&lt;$A185)),$N$3:N184),'Guide &amp; Settings'!$C$41))</f>
        <v>1019.1634159605087</v>
      </c>
      <c r="I185" s="122">
        <f t="shared" si="36"/>
        <v>0.20648967551622416</v>
      </c>
      <c r="J185" s="123">
        <f>IF($D185="",0,IF($F185&lt;2,0,IF($E185="Win",('Guide &amp; Settings'!$C$42/(($F185-1)*COUNTIFS($A$4:$A$311,$A185,$E$4:$E$311,"Win")))*SUMIFS($X$4:$X$311,$A$4:$A$311,$A185,$E$4:$E$311,"Loss"),-('Guide &amp; Settings'!$C$42/($F185-1))*$X185)))</f>
        <v>5.9321796901747437</v>
      </c>
      <c r="K185" s="123">
        <f>IF($D185="",0,'Guide &amp; Settings'!$C$43*(IF($E185="Win",1,0)-$I185))</f>
        <v>9.5221238938053094</v>
      </c>
      <c r="L185" s="124">
        <f>IF($D185="",0,'Guide &amp; Settings'!$C$44*IF($F185&gt;=3,$F185+IF($E185="Win",$F185,0),0))</f>
        <v>8</v>
      </c>
      <c r="M185" s="123">
        <f t="shared" si="37"/>
        <v>23.454303583980053</v>
      </c>
      <c r="N185" s="121">
        <f t="shared" si="38"/>
        <v>1042.6177195444889</v>
      </c>
      <c r="O185" s="120" t="str">
        <f t="shared" si="39"/>
        <v>OK</v>
      </c>
      <c r="P185">
        <f t="shared" si="40"/>
        <v>1015.8627408081127</v>
      </c>
      <c r="Q185">
        <f t="shared" si="41"/>
        <v>0.50474991048120987</v>
      </c>
      <c r="R185">
        <f t="shared" si="42"/>
        <v>0.5</v>
      </c>
      <c r="S185">
        <f t="shared" si="43"/>
        <v>2.4214285714285717</v>
      </c>
      <c r="T185" s="88">
        <f t="shared" si="44"/>
        <v>2</v>
      </c>
      <c r="U185" s="125">
        <f>IF($D185="",0,IFERROR(LOOKUP(2,1/(($D$3:D184=$D185)*($C$3:C184=$C185)*($A$3:A184&lt;$A185)),$AB$3:AB184),1000))</f>
        <v>999.99862611068431</v>
      </c>
      <c r="V185" s="125">
        <f t="shared" si="45"/>
        <v>1013.6877617177017</v>
      </c>
      <c r="W185">
        <f t="shared" si="46"/>
        <v>1013.7234011920812</v>
      </c>
      <c r="X185">
        <f t="shared" si="47"/>
        <v>0.4999487106736622</v>
      </c>
      <c r="Y185">
        <f t="shared" si="48"/>
        <v>1007.8763125641926</v>
      </c>
      <c r="Z185">
        <f t="shared" si="49"/>
        <v>0.4886650402510278</v>
      </c>
      <c r="AA185">
        <f>IF($D185="",0,IF($F185&lt;2,0,IF($E185="Win",('Guide &amp; Settings'!$C$42/(($F185-1)*COUNTIFS($A$4:$A$311,$A185,$E$4:$E$311,"Win")))*SUMIFS($Z$4:$Z$311,$A$4:$A$311,$A185,$E$4:$E$311,"Loss"),-('Guide &amp; Settings'!$C$42/($F185-1))*$Z185)))</f>
        <v>5.4810240387817064</v>
      </c>
      <c r="AB185" s="125">
        <f t="shared" si="50"/>
        <v>1005.479650149466</v>
      </c>
      <c r="AC185" s="125">
        <f>IF($D185="","",IF(SUMPRODUCT(MAX(($D$4:$D$311=$D185)*($B$4:$B$311&lt;$B185)*$B$4:$B$311))=0,0,MAX(($B185-SUMPRODUCT(MAX(($D$4:$D$311=$D185)*($B$4:$B$311&lt;$B185)*$B$4:$B$311)))/7-'Guide &amp; Settings'!$C$48,0)*'Guide &amp; Settings'!$C$49))</f>
        <v>0</v>
      </c>
    </row>
    <row r="186" spans="1:29" ht="15" customHeight="1" x14ac:dyDescent="0.2">
      <c r="A186" s="116">
        <v>78</v>
      </c>
      <c r="B186" s="117">
        <v>46188</v>
      </c>
      <c r="C186" s="118" t="s">
        <v>214</v>
      </c>
      <c r="D186" s="118" t="s">
        <v>174</v>
      </c>
      <c r="E186" s="116" t="s">
        <v>317</v>
      </c>
      <c r="F186" s="119">
        <f t="shared" si="34"/>
        <v>4</v>
      </c>
      <c r="G186" s="120" t="str">
        <f t="shared" si="35"/>
        <v>Dylan A</v>
      </c>
      <c r="H186" s="121">
        <f>IF($D186="",0,IFERROR(LOOKUP(2,1/(($D$3:D185=$D186)*($A$3:A185&lt;$A186)),$N$3:N185),'Guide &amp; Settings'!$C$41))</f>
        <v>1147.5474967479799</v>
      </c>
      <c r="I186" s="122">
        <f t="shared" si="36"/>
        <v>0.30973451327433627</v>
      </c>
      <c r="J186" s="123">
        <f>IF($D186="",0,IF($F186&lt;2,0,IF($E186="Win",('Guide &amp; Settings'!$C$42/(($F186-1)*COUNTIFS($A$4:$A$311,$A186,$E$4:$E$311,"Win")))*SUMIFS($X$4:$X$311,$A$4:$A$311,$A186,$E$4:$E$311,"Loss"),-('Guide &amp; Settings'!$C$42/($F186-1))*$X186)))</f>
        <v>-6.4788501094272952</v>
      </c>
      <c r="K186" s="123">
        <f>IF($D186="",0,'Guide &amp; Settings'!$C$43*(IF($E186="Win",1,0)-$I186))</f>
        <v>-3.716814159292035</v>
      </c>
      <c r="L186" s="124">
        <f>IF($D186="",0,'Guide &amp; Settings'!$C$44*IF($F186&gt;=3,$F186+IF($E186="Win",$F186,0),0))</f>
        <v>4</v>
      </c>
      <c r="M186" s="123">
        <f t="shared" si="37"/>
        <v>-6.1956642687193302</v>
      </c>
      <c r="N186" s="121">
        <f t="shared" si="38"/>
        <v>1141.3518324792606</v>
      </c>
      <c r="O186" s="120" t="str">
        <f t="shared" si="39"/>
        <v>OK</v>
      </c>
      <c r="P186">
        <f t="shared" si="40"/>
        <v>1015.8627408081127</v>
      </c>
      <c r="Q186">
        <f t="shared" si="41"/>
        <v>0.68092769560350197</v>
      </c>
      <c r="R186">
        <f t="shared" si="42"/>
        <v>0.75</v>
      </c>
      <c r="S186">
        <f t="shared" si="43"/>
        <v>2.4214285714285717</v>
      </c>
      <c r="T186" s="88">
        <f t="shared" si="44"/>
        <v>6</v>
      </c>
      <c r="U186" s="125">
        <f>IF($D186="",0,IFERROR(LOOKUP(2,1/(($D$3:D185=$D186)*($C$3:C185=$C186)*($A$3:A185&lt;$A186)),$AB$3:AB185),1000))</f>
        <v>1041.1775290035487</v>
      </c>
      <c r="V186" s="125">
        <f t="shared" si="45"/>
        <v>1089.5275143419267</v>
      </c>
      <c r="W186">
        <f t="shared" si="46"/>
        <v>1013.7234011920812</v>
      </c>
      <c r="X186">
        <f t="shared" si="47"/>
        <v>0.60739219775880893</v>
      </c>
      <c r="Y186">
        <f t="shared" si="48"/>
        <v>1007.8763125641926</v>
      </c>
      <c r="Z186">
        <f t="shared" si="49"/>
        <v>0.54777808068137135</v>
      </c>
      <c r="AA186">
        <f>IF($D186="",0,IF($F186&lt;2,0,IF($E186="Win",('Guide &amp; Settings'!$C$42/(($F186-1)*COUNTIFS($A$4:$A$311,$A186,$E$4:$E$311,"Win")))*SUMIFS($Z$4:$Z$311,$A$4:$A$311,$A186,$E$4:$E$311,"Loss"),-('Guide &amp; Settings'!$C$42/($F186-1))*$Z186)))</f>
        <v>-5.8429661939346271</v>
      </c>
      <c r="AB186" s="125">
        <f t="shared" si="50"/>
        <v>1035.334562809614</v>
      </c>
      <c r="AC186" s="125">
        <f>IF($D186="","",IF(SUMPRODUCT(MAX(($D$4:$D$311=$D186)*($B$4:$B$311&lt;$B186)*$B$4:$B$311))=0,0,MAX(($B186-SUMPRODUCT(MAX(($D$4:$D$311=$D186)*($B$4:$B$311&lt;$B186)*$B$4:$B$311)))/7-'Guide &amp; Settings'!$C$48,0)*'Guide &amp; Settings'!$C$49))</f>
        <v>0</v>
      </c>
    </row>
    <row r="187" spans="1:29" ht="15" customHeight="1" x14ac:dyDescent="0.2">
      <c r="A187" s="116">
        <v>78</v>
      </c>
      <c r="B187" s="117">
        <v>46188</v>
      </c>
      <c r="C187" s="118" t="s">
        <v>214</v>
      </c>
      <c r="D187" s="118" t="s">
        <v>177</v>
      </c>
      <c r="E187" s="116" t="s">
        <v>317</v>
      </c>
      <c r="F187" s="119">
        <f t="shared" si="34"/>
        <v>4</v>
      </c>
      <c r="G187" s="120" t="str">
        <f t="shared" si="35"/>
        <v>Dylan A</v>
      </c>
      <c r="H187" s="121">
        <f>IF($D187="",0,IFERROR(LOOKUP(2,1/(($D$3:D186=$D187)*($A$3:A186&lt;$A187)),$N$3:N186),'Guide &amp; Settings'!$C$41))</f>
        <v>1040.3333719341558</v>
      </c>
      <c r="I187" s="122">
        <f t="shared" si="36"/>
        <v>0.23598820058997047</v>
      </c>
      <c r="J187" s="123">
        <f>IF($D187="",0,IF($F187&lt;2,0,IF($E187="Win",('Guide &amp; Settings'!$C$42/(($F187-1)*COUNTIFS($A$4:$A$311,$A187,$E$4:$E$311,"Win")))*SUMIFS($X$4:$X$311,$A$4:$A$311,$A187,$E$4:$E$311,"Loss"),-('Guide &amp; Settings'!$C$42/($F187-1))*$X187)))</f>
        <v>-5.3855092709221921</v>
      </c>
      <c r="K187" s="123">
        <f>IF($D187="",0,'Guide &amp; Settings'!$C$43*(IF($E187="Win",1,0)-$I187))</f>
        <v>-2.8318584070796455</v>
      </c>
      <c r="L187" s="124">
        <f>IF($D187="",0,'Guide &amp; Settings'!$C$44*IF($F187&gt;=3,$F187+IF($E187="Win",$F187,0),0))</f>
        <v>4</v>
      </c>
      <c r="M187" s="123">
        <f t="shared" si="37"/>
        <v>-4.2173676780018372</v>
      </c>
      <c r="N187" s="121">
        <f t="shared" si="38"/>
        <v>1036.1160042561539</v>
      </c>
      <c r="O187" s="120" t="str">
        <f t="shared" si="39"/>
        <v>OK</v>
      </c>
      <c r="P187">
        <f t="shared" si="40"/>
        <v>1015.8627408081127</v>
      </c>
      <c r="Q187">
        <f t="shared" si="41"/>
        <v>0.53515795239162312</v>
      </c>
      <c r="R187">
        <f t="shared" si="42"/>
        <v>0.5714285714285714</v>
      </c>
      <c r="S187">
        <f t="shared" si="43"/>
        <v>2.4214285714285717</v>
      </c>
      <c r="T187" s="88">
        <f t="shared" si="44"/>
        <v>5</v>
      </c>
      <c r="U187" s="125">
        <f>IF($D187="",0,IFERROR(LOOKUP(2,1/(($D$3:D186=$D187)*($C$3:C186=$C187)*($A$3:A186&lt;$A187)),$AB$3:AB186),1000))</f>
        <v>993.91156386643377</v>
      </c>
      <c r="V187" s="125">
        <f t="shared" si="45"/>
        <v>1017.1224679002949</v>
      </c>
      <c r="W187">
        <f t="shared" si="46"/>
        <v>1013.7234011920812</v>
      </c>
      <c r="X187">
        <f t="shared" si="47"/>
        <v>0.50489149414895551</v>
      </c>
      <c r="Y187">
        <f t="shared" si="48"/>
        <v>1007.8763125641926</v>
      </c>
      <c r="Z187">
        <f t="shared" si="49"/>
        <v>0.47991392659019877</v>
      </c>
      <c r="AA187">
        <f>IF($D187="",0,IF($F187&lt;2,0,IF($E187="Win",('Guide &amp; Settings'!$C$42/(($F187-1)*COUNTIFS($A$4:$A$311,$A187,$E$4:$E$311,"Win")))*SUMIFS($Z$4:$Z$311,$A$4:$A$311,$A187,$E$4:$E$311,"Loss"),-('Guide &amp; Settings'!$C$42/($F187-1))*$Z187)))</f>
        <v>-5.1190818836287866</v>
      </c>
      <c r="AB187" s="125">
        <f t="shared" si="50"/>
        <v>988.79248198280493</v>
      </c>
      <c r="AC187" s="125">
        <f>IF($D187="","",IF(SUMPRODUCT(MAX(($D$4:$D$311=$D187)*($B$4:$B$311&lt;$B187)*$B$4:$B$311))=0,0,MAX(($B187-SUMPRODUCT(MAX(($D$4:$D$311=$D187)*($B$4:$B$311&lt;$B187)*$B$4:$B$311)))/7-'Guide &amp; Settings'!$C$48,0)*'Guide &amp; Settings'!$C$49))</f>
        <v>0</v>
      </c>
    </row>
    <row r="188" spans="1:29" ht="15" customHeight="1" x14ac:dyDescent="0.2">
      <c r="A188" s="116">
        <v>79</v>
      </c>
      <c r="B188" s="117">
        <v>46188</v>
      </c>
      <c r="C188" s="118" t="s">
        <v>214</v>
      </c>
      <c r="D188" s="118" t="s">
        <v>176</v>
      </c>
      <c r="E188" s="116" t="s">
        <v>316</v>
      </c>
      <c r="F188" s="119">
        <f t="shared" si="34"/>
        <v>4</v>
      </c>
      <c r="G188" s="120" t="str">
        <f t="shared" si="35"/>
        <v>Simon</v>
      </c>
      <c r="H188" s="121">
        <f>IF($D188="",0,IFERROR(LOOKUP(2,1/(($D$3:D187=$D188)*($A$3:A187&lt;$A188)),$N$3:N187),'Guide &amp; Settings'!$C$41))</f>
        <v>988.43381181907546</v>
      </c>
      <c r="I188" s="122">
        <f t="shared" si="36"/>
        <v>0.18028846153846151</v>
      </c>
      <c r="J188" s="123">
        <f>IF($D188="",0,IF($F188&lt;2,0,IF($E188="Win",('Guide &amp; Settings'!$C$42/(($F188-1)*COUNTIFS($A$4:$A$311,$A188,$E$4:$E$311,"Win")))*SUMIFS($X$4:$X$311,$A$4:$A$311,$A188,$E$4:$E$311,"Loss"),-('Guide &amp; Settings'!$C$42/($F188-1))*$X188)))</f>
        <v>5.2639924516316494</v>
      </c>
      <c r="K188" s="123">
        <f>IF($D188="",0,'Guide &amp; Settings'!$C$43*(IF($E188="Win",1,0)-$I188))</f>
        <v>9.8365384615384635</v>
      </c>
      <c r="L188" s="124">
        <f>IF($D188="",0,'Guide &amp; Settings'!$C$44*IF($F188&gt;=3,$F188+IF($E188="Win",$F188,0),0))</f>
        <v>8</v>
      </c>
      <c r="M188" s="123">
        <f t="shared" si="37"/>
        <v>23.100530913170111</v>
      </c>
      <c r="N188" s="121">
        <f t="shared" si="38"/>
        <v>1011.5343427322456</v>
      </c>
      <c r="O188" s="120" t="str">
        <f t="shared" si="39"/>
        <v>OK</v>
      </c>
      <c r="P188">
        <f t="shared" si="40"/>
        <v>1061.9131543999304</v>
      </c>
      <c r="Q188">
        <f t="shared" si="41"/>
        <v>0.39580362028861132</v>
      </c>
      <c r="R188">
        <f t="shared" si="42"/>
        <v>0.45454545454545453</v>
      </c>
      <c r="S188">
        <f t="shared" si="43"/>
        <v>2.5212121212121215</v>
      </c>
      <c r="T188" s="88">
        <f t="shared" si="44"/>
        <v>9</v>
      </c>
      <c r="U188" s="125">
        <f>IF($D188="",0,IFERROR(LOOKUP(2,1/(($D$3:D187=$D188)*($C$3:C187=$C188)*($A$3:A187&lt;$A188)),$AB$3:AB187),1000))</f>
        <v>964.51557411409249</v>
      </c>
      <c r="V188" s="125">
        <f t="shared" si="45"/>
        <v>973.05780186587219</v>
      </c>
      <c r="W188">
        <f t="shared" si="46"/>
        <v>1033.4486640531875</v>
      </c>
      <c r="X188">
        <f t="shared" si="47"/>
        <v>0.41395537811258748</v>
      </c>
      <c r="Y188">
        <f t="shared" si="48"/>
        <v>1016.1922468209593</v>
      </c>
      <c r="Z188">
        <f t="shared" si="49"/>
        <v>0.4261748951304476</v>
      </c>
      <c r="AA188">
        <f>IF($D188="",0,IF($F188&lt;2,0,IF($E188="Win",('Guide &amp; Settings'!$C$42/(($F188-1)*COUNTIFS($A$4:$A$311,$A188,$E$4:$E$311,"Win")))*SUMIFS($Z$4:$Z$311,$A$4:$A$311,$A188,$E$4:$E$311,"Loss"),-('Guide &amp; Settings'!$C$42/($F188-1))*$Z188)))</f>
        <v>5.2898391817695778</v>
      </c>
      <c r="AB188" s="125">
        <f t="shared" si="50"/>
        <v>969.80541329586208</v>
      </c>
      <c r="AC188" s="125">
        <f>IF($D188="","",IF(SUMPRODUCT(MAX(($D$4:$D$311=$D188)*($B$4:$B$311&lt;$B188)*$B$4:$B$311))=0,0,MAX(($B188-SUMPRODUCT(MAX(($D$4:$D$311=$D188)*($B$4:$B$311&lt;$B188)*$B$4:$B$311)))/7-'Guide &amp; Settings'!$C$48,0)*'Guide &amp; Settings'!$C$49))</f>
        <v>0</v>
      </c>
    </row>
    <row r="189" spans="1:29" ht="15" customHeight="1" x14ac:dyDescent="0.2">
      <c r="A189" s="116">
        <v>79</v>
      </c>
      <c r="B189" s="117">
        <v>46188</v>
      </c>
      <c r="C189" s="118" t="s">
        <v>214</v>
      </c>
      <c r="D189" s="118" t="s">
        <v>175</v>
      </c>
      <c r="E189" s="116" t="s">
        <v>316</v>
      </c>
      <c r="F189" s="119">
        <f t="shared" si="34"/>
        <v>4</v>
      </c>
      <c r="G189" s="120" t="str">
        <f t="shared" si="35"/>
        <v>Simon</v>
      </c>
      <c r="H189" s="121">
        <f>IF($D189="",0,IFERROR(LOOKUP(2,1/(($D$3:D188=$D189)*($A$3:A188&lt;$A189)),$N$3:N188),'Guide &amp; Settings'!$C$41))</f>
        <v>1135.3924969807852</v>
      </c>
      <c r="I189" s="122">
        <f t="shared" si="36"/>
        <v>0.31730769230769229</v>
      </c>
      <c r="J189" s="123">
        <f>IF($D189="",0,IF($F189&lt;2,0,IF($E189="Win",('Guide &amp; Settings'!$C$42/(($F189-1)*COUNTIFS($A$4:$A$311,$A189,$E$4:$E$311,"Win")))*SUMIFS($X$4:$X$311,$A$4:$A$311,$A189,$E$4:$E$311,"Loss"),-('Guide &amp; Settings'!$C$42/($F189-1))*$X189)))</f>
        <v>5.2639924516316494</v>
      </c>
      <c r="K189" s="123">
        <f>IF($D189="",0,'Guide &amp; Settings'!$C$43*(IF($E189="Win",1,0)-$I189))</f>
        <v>8.1923076923076934</v>
      </c>
      <c r="L189" s="124">
        <f>IF($D189="",0,'Guide &amp; Settings'!$C$44*IF($F189&gt;=3,$F189+IF($E189="Win",$F189,0),0))</f>
        <v>8</v>
      </c>
      <c r="M189" s="123">
        <f t="shared" si="37"/>
        <v>21.456300143939345</v>
      </c>
      <c r="N189" s="121">
        <f t="shared" si="38"/>
        <v>1156.8487971247246</v>
      </c>
      <c r="O189" s="120" t="str">
        <f t="shared" si="39"/>
        <v>OK</v>
      </c>
      <c r="P189">
        <f t="shared" si="40"/>
        <v>1061.9131543999304</v>
      </c>
      <c r="Q189">
        <f t="shared" si="41"/>
        <v>0.60419637971138851</v>
      </c>
      <c r="R189">
        <f t="shared" si="42"/>
        <v>0.8</v>
      </c>
      <c r="S189">
        <f t="shared" si="43"/>
        <v>2.5212121212121215</v>
      </c>
      <c r="T189" s="88">
        <f t="shared" si="44"/>
        <v>8</v>
      </c>
      <c r="U189" s="125">
        <f>IF($D189="",0,IFERROR(LOOKUP(2,1/(($D$3:D188=$D189)*($C$3:C188=$C189)*($A$3:A188&lt;$A189)),$AB$3:AB188),1000))</f>
        <v>1067.8689195278262</v>
      </c>
      <c r="V189" s="125">
        <f t="shared" si="45"/>
        <v>1093.8395262405027</v>
      </c>
      <c r="W189">
        <f t="shared" si="46"/>
        <v>1033.4486640531875</v>
      </c>
      <c r="X189">
        <f t="shared" si="47"/>
        <v>0.58604462188741246</v>
      </c>
      <c r="Y189">
        <f t="shared" si="48"/>
        <v>1016.1922468209593</v>
      </c>
      <c r="Z189">
        <f t="shared" si="49"/>
        <v>0.5738251048695524</v>
      </c>
      <c r="AA189">
        <f>IF($D189="",0,IF($F189&lt;2,0,IF($E189="Win",('Guide &amp; Settings'!$C$42/(($F189-1)*COUNTIFS($A$4:$A$311,$A189,$E$4:$E$311,"Win")))*SUMIFS($Z$4:$Z$311,$A$4:$A$311,$A189,$E$4:$E$311,"Loss"),-('Guide &amp; Settings'!$C$42/($F189-1))*$Z189)))</f>
        <v>5.2898391817695778</v>
      </c>
      <c r="AB189" s="125">
        <f t="shared" si="50"/>
        <v>1073.1587587095958</v>
      </c>
      <c r="AC189" s="125">
        <f>IF($D189="","",IF(SUMPRODUCT(MAX(($D$4:$D$311=$D189)*($B$4:$B$311&lt;$B189)*$B$4:$B$311))=0,0,MAX(($B189-SUMPRODUCT(MAX(($D$4:$D$311=$D189)*($B$4:$B$311&lt;$B189)*$B$4:$B$311)))/7-'Guide &amp; Settings'!$C$48,0)*'Guide &amp; Settings'!$C$49))</f>
        <v>0</v>
      </c>
    </row>
    <row r="190" spans="1:29" ht="15" customHeight="1" x14ac:dyDescent="0.2">
      <c r="A190" s="116">
        <v>79</v>
      </c>
      <c r="B190" s="117">
        <v>46188</v>
      </c>
      <c r="C190" s="118" t="s">
        <v>214</v>
      </c>
      <c r="D190" s="118" t="s">
        <v>142</v>
      </c>
      <c r="E190" s="116" t="s">
        <v>317</v>
      </c>
      <c r="F190" s="119">
        <f t="shared" si="34"/>
        <v>4</v>
      </c>
      <c r="G190" s="120" t="str">
        <f t="shared" si="35"/>
        <v>Simon</v>
      </c>
      <c r="H190" s="121">
        <f>IF($D190="",0,IFERROR(LOOKUP(2,1/(($D$3:D189=$D190)*($A$3:A189&lt;$A190)),$N$3:N189),'Guide &amp; Settings'!$C$41))</f>
        <v>1035.5207940184578</v>
      </c>
      <c r="I190" s="122">
        <f t="shared" si="36"/>
        <v>0.26442307692307687</v>
      </c>
      <c r="J190" s="123">
        <f>IF($D190="",0,IF($F190&lt;2,0,IF($E190="Win",('Guide &amp; Settings'!$C$42/(($F190-1)*COUNTIFS($A$4:$A$311,$A190,$E$4:$E$311,"Win")))*SUMIFS($X$4:$X$311,$A$4:$A$311,$A190,$E$4:$E$311,"Loss"),-('Guide &amp; Settings'!$C$42/($F190-1))*$X190)))</f>
        <v>-5.2676807143160023</v>
      </c>
      <c r="K190" s="123">
        <f>IF($D190="",0,'Guide &amp; Settings'!$C$43*(IF($E190="Win",1,0)-$I190))</f>
        <v>-3.1730769230769225</v>
      </c>
      <c r="L190" s="124">
        <f>IF($D190="",0,'Guide &amp; Settings'!$C$44*IF($F190&gt;=3,$F190+IF($E190="Win",$F190,0),0))</f>
        <v>4</v>
      </c>
      <c r="M190" s="123">
        <f t="shared" si="37"/>
        <v>-4.4407576373929238</v>
      </c>
      <c r="N190" s="121">
        <f t="shared" si="38"/>
        <v>1031.0800363810649</v>
      </c>
      <c r="O190" s="120" t="str">
        <f t="shared" si="39"/>
        <v>OK</v>
      </c>
      <c r="P190">
        <f t="shared" si="40"/>
        <v>1061.9131543999304</v>
      </c>
      <c r="Q190">
        <f t="shared" si="41"/>
        <v>0.4620912288103069</v>
      </c>
      <c r="R190">
        <f t="shared" si="42"/>
        <v>0.66666666666666663</v>
      </c>
      <c r="S190">
        <f t="shared" si="43"/>
        <v>2.5212121212121215</v>
      </c>
      <c r="T190" s="88">
        <f t="shared" si="44"/>
        <v>4</v>
      </c>
      <c r="U190" s="125">
        <f>IF($D190="",0,IFERROR(LOOKUP(2,1/(($D$3:D189=$D190)*($C$3:C189=$C190)*($A$3:A189&lt;$A190)),$AB$3:AB189),1000))</f>
        <v>1021.2350230564828</v>
      </c>
      <c r="V190" s="125">
        <f t="shared" si="45"/>
        <v>1029.1715624798023</v>
      </c>
      <c r="W190">
        <f t="shared" si="46"/>
        <v>1033.4486640531875</v>
      </c>
      <c r="X190">
        <f t="shared" si="47"/>
        <v>0.49384506696712527</v>
      </c>
      <c r="Y190">
        <f t="shared" si="48"/>
        <v>1016.1922468209593</v>
      </c>
      <c r="Z190">
        <f t="shared" si="49"/>
        <v>0.50725662880346523</v>
      </c>
      <c r="AA190">
        <f>IF($D190="",0,IF($F190&lt;2,0,IF($E190="Win",('Guide &amp; Settings'!$C$42/(($F190-1)*COUNTIFS($A$4:$A$311,$A190,$E$4:$E$311,"Win")))*SUMIFS($Z$4:$Z$311,$A$4:$A$311,$A190,$E$4:$E$311,"Loss"),-('Guide &amp; Settings'!$C$42/($F190-1))*$Z190)))</f>
        <v>-5.4107373739036291</v>
      </c>
      <c r="AB190" s="125">
        <f t="shared" si="50"/>
        <v>1015.8242856825791</v>
      </c>
      <c r="AC190" s="125">
        <f>IF($D190="","",IF(SUMPRODUCT(MAX(($D$4:$D$311=$D190)*($B$4:$B$311&lt;$B190)*$B$4:$B$311))=0,0,MAX(($B190-SUMPRODUCT(MAX(($D$4:$D$311=$D190)*($B$4:$B$311&lt;$B190)*$B$4:$B$311)))/7-'Guide &amp; Settings'!$C$48,0)*'Guide &amp; Settings'!$C$49))</f>
        <v>0</v>
      </c>
    </row>
    <row r="191" spans="1:29" ht="15" customHeight="1" x14ac:dyDescent="0.2">
      <c r="A191" s="116">
        <v>79</v>
      </c>
      <c r="B191" s="117">
        <v>46188</v>
      </c>
      <c r="C191" s="118" t="s">
        <v>214</v>
      </c>
      <c r="D191" s="118" t="s">
        <v>179</v>
      </c>
      <c r="E191" s="116" t="s">
        <v>317</v>
      </c>
      <c r="F191" s="119">
        <f t="shared" si="34"/>
        <v>4</v>
      </c>
      <c r="G191" s="120" t="str">
        <f t="shared" si="35"/>
        <v>Simon</v>
      </c>
      <c r="H191" s="121">
        <f>IF($D191="",0,IFERROR(LOOKUP(2,1/(($D$3:D190=$D191)*($A$3:A190&lt;$A191)),$N$3:N190),'Guide &amp; Settings'!$C$41))</f>
        <v>1042.6177195444889</v>
      </c>
      <c r="I191" s="122">
        <f t="shared" si="36"/>
        <v>0.23798076923076919</v>
      </c>
      <c r="J191" s="123">
        <f>IF($D191="",0,IF($F191&lt;2,0,IF($E191="Win",('Guide &amp; Settings'!$C$42/(($F191-1)*COUNTIFS($A$4:$A$311,$A191,$E$4:$E$311,"Win")))*SUMIFS($X$4:$X$311,$A$4:$A$311,$A191,$E$4:$E$311,"Loss"),-('Guide &amp; Settings'!$C$42/($F191-1))*$X191)))</f>
        <v>-5.2603041889472957</v>
      </c>
      <c r="K191" s="123">
        <f>IF($D191="",0,'Guide &amp; Settings'!$C$43*(IF($E191="Win",1,0)-$I191))</f>
        <v>-2.8557692307692304</v>
      </c>
      <c r="L191" s="124">
        <f>IF($D191="",0,'Guide &amp; Settings'!$C$44*IF($F191&gt;=3,$F191+IF($E191="Win",$F191,0),0))</f>
        <v>4</v>
      </c>
      <c r="M191" s="123">
        <f t="shared" si="37"/>
        <v>-4.1160734197165265</v>
      </c>
      <c r="N191" s="121">
        <f t="shared" si="38"/>
        <v>1038.5016461247724</v>
      </c>
      <c r="O191" s="120" t="str">
        <f t="shared" si="39"/>
        <v>OK</v>
      </c>
      <c r="P191">
        <f t="shared" si="40"/>
        <v>1061.9131543999304</v>
      </c>
      <c r="Q191">
        <f t="shared" si="41"/>
        <v>0.47226015082142309</v>
      </c>
      <c r="R191">
        <f t="shared" si="42"/>
        <v>0.6</v>
      </c>
      <c r="S191">
        <f t="shared" si="43"/>
        <v>2.5212121212121215</v>
      </c>
      <c r="T191" s="88">
        <f t="shared" si="44"/>
        <v>3</v>
      </c>
      <c r="U191" s="125">
        <f>IF($D191="",0,IFERROR(LOOKUP(2,1/(($D$3:D190=$D191)*($C$3:C190=$C191)*($A$3:A190&lt;$A191)),$AB$3:AB190),1000))</f>
        <v>1005.479650149466</v>
      </c>
      <c r="V191" s="125">
        <f t="shared" si="45"/>
        <v>1028.6909435213552</v>
      </c>
      <c r="W191">
        <f t="shared" si="46"/>
        <v>1033.4486640531875</v>
      </c>
      <c r="X191">
        <f t="shared" si="47"/>
        <v>0.493153517713809</v>
      </c>
      <c r="Y191">
        <f t="shared" si="48"/>
        <v>1016.1922468209593</v>
      </c>
      <c r="Z191">
        <f t="shared" si="49"/>
        <v>0.48458821777833072</v>
      </c>
      <c r="AA191">
        <f>IF($D191="",0,IF($F191&lt;2,0,IF($E191="Win",('Guide &amp; Settings'!$C$42/(($F191-1)*COUNTIFS($A$4:$A$311,$A191,$E$4:$E$311,"Win")))*SUMIFS($Z$4:$Z$311,$A$4:$A$311,$A191,$E$4:$E$311,"Loss"),-('Guide &amp; Settings'!$C$42/($F191-1))*$Z191)))</f>
        <v>-5.1689409896355274</v>
      </c>
      <c r="AB191" s="125">
        <f t="shared" si="50"/>
        <v>1000.3107091598305</v>
      </c>
      <c r="AC191" s="125">
        <f>IF($D191="","",IF(SUMPRODUCT(MAX(($D$4:$D$311=$D191)*($B$4:$B$311&lt;$B191)*$B$4:$B$311))=0,0,MAX(($B191-SUMPRODUCT(MAX(($D$4:$D$311=$D191)*($B$4:$B$311&lt;$B191)*$B$4:$B$311)))/7-'Guide &amp; Settings'!$C$48,0)*'Guide &amp; Settings'!$C$49))</f>
        <v>0</v>
      </c>
    </row>
    <row r="192" spans="1:29" ht="15" customHeight="1" x14ac:dyDescent="0.2">
      <c r="A192" s="116">
        <v>80</v>
      </c>
      <c r="B192" s="117">
        <v>46188</v>
      </c>
      <c r="C192" s="118" t="s">
        <v>214</v>
      </c>
      <c r="D192" s="118" t="s">
        <v>144</v>
      </c>
      <c r="E192" s="116" t="s">
        <v>316</v>
      </c>
      <c r="F192" s="119">
        <f t="shared" si="34"/>
        <v>4</v>
      </c>
      <c r="G192" s="120" t="str">
        <f t="shared" si="35"/>
        <v>Shawn</v>
      </c>
      <c r="H192" s="121">
        <f>IF($D192="",0,IFERROR(LOOKUP(2,1/(($D$3:D191=$D192)*($A$3:A191&lt;$A192)),$N$3:N191),'Guide &amp; Settings'!$C$41))</f>
        <v>1161.8584150494405</v>
      </c>
      <c r="I192" s="122">
        <f t="shared" si="36"/>
        <v>0.19075144508670519</v>
      </c>
      <c r="J192" s="123">
        <f>IF($D192="",0,IF($F192&lt;2,0,IF($E192="Win",('Guide &amp; Settings'!$C$42/(($F192-1)*COUNTIFS($A$4:$A$311,$A192,$E$4:$E$311,"Win")))*SUMIFS($X$4:$X$311,$A$4:$A$311,$A192,$E$4:$E$311,"Loss"),-('Guide &amp; Settings'!$C$42/($F192-1))*$X192)))</f>
        <v>5.3548309210296647</v>
      </c>
      <c r="K192" s="123">
        <f>IF($D192="",0,'Guide &amp; Settings'!$C$43*(IF($E192="Win",1,0)-$I192))</f>
        <v>9.7109826589595372</v>
      </c>
      <c r="L192" s="124">
        <f>IF($D192="",0,'Guide &amp; Settings'!$C$44*IF($F192&gt;=3,$F192+IF($E192="Win",$F192,0),0))</f>
        <v>8</v>
      </c>
      <c r="M192" s="123">
        <f t="shared" si="37"/>
        <v>23.065813579989204</v>
      </c>
      <c r="N192" s="121">
        <f t="shared" si="38"/>
        <v>1184.9242286294298</v>
      </c>
      <c r="O192" s="120" t="str">
        <f t="shared" si="39"/>
        <v>OK</v>
      </c>
      <c r="P192">
        <f t="shared" si="40"/>
        <v>1092.5108209153582</v>
      </c>
      <c r="Q192">
        <f t="shared" si="41"/>
        <v>0.59849467729930106</v>
      </c>
      <c r="R192">
        <f t="shared" si="42"/>
        <v>0.42857142857142855</v>
      </c>
      <c r="S192">
        <f t="shared" si="43"/>
        <v>2.2467532467532467</v>
      </c>
      <c r="T192" s="88">
        <f t="shared" si="44"/>
        <v>5</v>
      </c>
      <c r="U192" s="125">
        <f>IF($D192="",0,IFERROR(LOOKUP(2,1/(($D$3:D191=$D192)*($C$3:C191=$C192)*($A$3:A191&lt;$A192)),$AB$3:AB191),1000))</f>
        <v>985.02917710827387</v>
      </c>
      <c r="V192" s="125">
        <f t="shared" si="45"/>
        <v>1073.4437960788573</v>
      </c>
      <c r="W192">
        <f t="shared" si="46"/>
        <v>1041.9393968886843</v>
      </c>
      <c r="X192">
        <f t="shared" si="47"/>
        <v>0.54521461997490117</v>
      </c>
      <c r="Y192">
        <f t="shared" si="48"/>
        <v>992.42865861890732</v>
      </c>
      <c r="Z192">
        <f t="shared" si="49"/>
        <v>0.48935289983328739</v>
      </c>
      <c r="AA192">
        <f>IF($D192="",0,IF($F192&lt;2,0,IF($E192="Win",('Guide &amp; Settings'!$C$42/(($F192-1)*COUNTIFS($A$4:$A$311,$A192,$E$4:$E$311,"Win")))*SUMIFS($Z$4:$Z$311,$A$4:$A$311,$A192,$E$4:$E$311,"Loss"),-('Guide &amp; Settings'!$C$42/($F192-1))*$Z192)))</f>
        <v>5.7686491567091647</v>
      </c>
      <c r="AB192" s="125">
        <f t="shared" si="50"/>
        <v>990.79782626498309</v>
      </c>
      <c r="AC192" s="125">
        <f>IF($D192="","",IF(SUMPRODUCT(MAX(($D$4:$D$311=$D192)*($B$4:$B$311&lt;$B192)*$B$4:$B$311))=0,0,MAX(($B192-SUMPRODUCT(MAX(($D$4:$D$311=$D192)*($B$4:$B$311&lt;$B192)*$B$4:$B$311)))/7-'Guide &amp; Settings'!$C$48,0)*'Guide &amp; Settings'!$C$49))</f>
        <v>0</v>
      </c>
    </row>
    <row r="193" spans="1:29" ht="15" customHeight="1" x14ac:dyDescent="0.2">
      <c r="A193" s="116">
        <v>80</v>
      </c>
      <c r="B193" s="117">
        <v>46188</v>
      </c>
      <c r="C193" s="118" t="s">
        <v>214</v>
      </c>
      <c r="D193" s="118" t="s">
        <v>141</v>
      </c>
      <c r="E193" s="116" t="s">
        <v>316</v>
      </c>
      <c r="F193" s="119">
        <f t="shared" si="34"/>
        <v>4</v>
      </c>
      <c r="G193" s="120" t="str">
        <f t="shared" si="35"/>
        <v>Shawn</v>
      </c>
      <c r="H193" s="121">
        <f>IF($D193="",0,IFERROR(LOOKUP(2,1/(($D$3:D192=$D193)*($A$3:A192&lt;$A193)),$N$3:N192),'Guide &amp; Settings'!$C$41))</f>
        <v>1023.1632267812757</v>
      </c>
      <c r="I193" s="122">
        <f t="shared" si="36"/>
        <v>0.22254335260115607</v>
      </c>
      <c r="J193" s="123">
        <f>IF($D193="",0,IF($F193&lt;2,0,IF($E193="Win",('Guide &amp; Settings'!$C$42/(($F193-1)*COUNTIFS($A$4:$A$311,$A193,$E$4:$E$311,"Win")))*SUMIFS($X$4:$X$311,$A$4:$A$311,$A193,$E$4:$E$311,"Loss"),-('Guide &amp; Settings'!$C$42/($F193-1))*$X193)))</f>
        <v>5.3548309210296647</v>
      </c>
      <c r="K193" s="123">
        <f>IF($D193="",0,'Guide &amp; Settings'!$C$43*(IF($E193="Win",1,0)-$I193))</f>
        <v>9.3294797687861273</v>
      </c>
      <c r="L193" s="124">
        <f>IF($D193="",0,'Guide &amp; Settings'!$C$44*IF($F193&gt;=3,$F193+IF($E193="Win",$F193,0),0))</f>
        <v>8</v>
      </c>
      <c r="M193" s="123">
        <f t="shared" si="37"/>
        <v>22.684310689815792</v>
      </c>
      <c r="N193" s="121">
        <f t="shared" si="38"/>
        <v>1045.8475374710915</v>
      </c>
      <c r="O193" s="120" t="str">
        <f t="shared" si="39"/>
        <v>OK</v>
      </c>
      <c r="P193">
        <f t="shared" si="40"/>
        <v>1092.5108209153582</v>
      </c>
      <c r="Q193">
        <f t="shared" si="41"/>
        <v>0.40150532270069883</v>
      </c>
      <c r="R193">
        <f t="shared" si="42"/>
        <v>0.5</v>
      </c>
      <c r="S193">
        <f t="shared" si="43"/>
        <v>2.2467532467532467</v>
      </c>
      <c r="T193" s="88">
        <f t="shared" si="44"/>
        <v>6</v>
      </c>
      <c r="U193" s="125">
        <f>IF($D193="",0,IFERROR(LOOKUP(2,1/(($D$3:D192=$D193)*($C$3:C192=$C193)*($A$3:A192&lt;$A193)),$AB$3:AB192),1000))</f>
        <v>999.82814012954088</v>
      </c>
      <c r="V193" s="125">
        <f t="shared" si="45"/>
        <v>1010.4349976985113</v>
      </c>
      <c r="W193">
        <f t="shared" si="46"/>
        <v>1041.9393968886843</v>
      </c>
      <c r="X193">
        <f t="shared" si="47"/>
        <v>0.45478538002509894</v>
      </c>
      <c r="Y193">
        <f t="shared" si="48"/>
        <v>992.42865861890732</v>
      </c>
      <c r="Z193">
        <f t="shared" si="49"/>
        <v>0.51064710016671289</v>
      </c>
      <c r="AA193">
        <f>IF($D193="",0,IF($F193&lt;2,0,IF($E193="Win",('Guide &amp; Settings'!$C$42/(($F193-1)*COUNTIFS($A$4:$A$311,$A193,$E$4:$E$311,"Win")))*SUMIFS($Z$4:$Z$311,$A$4:$A$311,$A193,$E$4:$E$311,"Loss"),-('Guide &amp; Settings'!$C$42/($F193-1))*$Z193)))</f>
        <v>5.7686491567091647</v>
      </c>
      <c r="AB193" s="125">
        <f t="shared" si="50"/>
        <v>1005.5967892862501</v>
      </c>
      <c r="AC193" s="125">
        <f>IF($D193="","",IF(SUMPRODUCT(MAX(($D$4:$D$311=$D193)*($B$4:$B$311&lt;$B193)*$B$4:$B$311))=0,0,MAX(($B193-SUMPRODUCT(MAX(($D$4:$D$311=$D193)*($B$4:$B$311&lt;$B193)*$B$4:$B$311)))/7-'Guide &amp; Settings'!$C$48,0)*'Guide &amp; Settings'!$C$49))</f>
        <v>0</v>
      </c>
    </row>
    <row r="194" spans="1:29" ht="15" customHeight="1" x14ac:dyDescent="0.2">
      <c r="A194" s="116">
        <v>80</v>
      </c>
      <c r="B194" s="117">
        <v>46188</v>
      </c>
      <c r="C194" s="118" t="s">
        <v>214</v>
      </c>
      <c r="D194" s="118" t="s">
        <v>175</v>
      </c>
      <c r="E194" s="116" t="s">
        <v>317</v>
      </c>
      <c r="F194" s="119">
        <f t="shared" si="34"/>
        <v>4</v>
      </c>
      <c r="G194" s="120" t="str">
        <f t="shared" si="35"/>
        <v>Shawn</v>
      </c>
      <c r="H194" s="121">
        <f>IF($D194="",0,IFERROR(LOOKUP(2,1/(($D$3:D193=$D194)*($A$3:A193&lt;$A194)),$N$3:N193),'Guide &amp; Settings'!$C$41))</f>
        <v>1156.8487971247246</v>
      </c>
      <c r="I194" s="122">
        <f t="shared" si="36"/>
        <v>0.3641618497109827</v>
      </c>
      <c r="J194" s="123">
        <f>IF($D194="",0,IF($F194&lt;2,0,IF($E194="Win",('Guide &amp; Settings'!$C$42/(($F194-1)*COUNTIFS($A$4:$A$311,$A194,$E$4:$E$311,"Win")))*SUMIFS($X$4:$X$311,$A$4:$A$311,$A194,$E$4:$E$311,"Loss"),-('Guide &amp; Settings'!$C$42/($F194-1))*$X194)))</f>
        <v>-6.2618311277126715</v>
      </c>
      <c r="K194" s="123">
        <f>IF($D194="",0,'Guide &amp; Settings'!$C$43*(IF($E194="Win",1,0)-$I194))</f>
        <v>-4.3699421965317926</v>
      </c>
      <c r="L194" s="124">
        <f>IF($D194="",0,'Guide &amp; Settings'!$C$44*IF($F194&gt;=3,$F194+IF($E194="Win",$F194,0),0))</f>
        <v>4</v>
      </c>
      <c r="M194" s="123">
        <f t="shared" si="37"/>
        <v>-6.6317733242444632</v>
      </c>
      <c r="N194" s="121">
        <f t="shared" si="38"/>
        <v>1150.2170238004801</v>
      </c>
      <c r="O194" s="120" t="str">
        <f t="shared" si="39"/>
        <v>OK</v>
      </c>
      <c r="P194">
        <f t="shared" si="40"/>
        <v>1092.5108209153582</v>
      </c>
      <c r="Q194">
        <f t="shared" si="41"/>
        <v>0.59154576186308205</v>
      </c>
      <c r="R194">
        <f t="shared" si="42"/>
        <v>0.81818181818181823</v>
      </c>
      <c r="S194">
        <f t="shared" si="43"/>
        <v>2.2467532467532467</v>
      </c>
      <c r="T194" s="88">
        <f t="shared" si="44"/>
        <v>9</v>
      </c>
      <c r="U194" s="125">
        <f>IF($D194="",0,IFERROR(LOOKUP(2,1/(($D$3:D193=$D194)*($C$3:C193=$C194)*($A$3:A193&lt;$A194)),$AB$3:AB193),1000))</f>
        <v>1073.1587587095958</v>
      </c>
      <c r="V194" s="125">
        <f t="shared" si="45"/>
        <v>1103.0480581435704</v>
      </c>
      <c r="W194">
        <f t="shared" si="46"/>
        <v>1041.9393968886843</v>
      </c>
      <c r="X194">
        <f t="shared" si="47"/>
        <v>0.58704666822306295</v>
      </c>
      <c r="Y194">
        <f t="shared" si="48"/>
        <v>992.42865861890732</v>
      </c>
      <c r="Z194">
        <f t="shared" si="49"/>
        <v>0.61413324787417245</v>
      </c>
      <c r="AA194">
        <f>IF($D194="",0,IF($F194&lt;2,0,IF($E194="Win",('Guide &amp; Settings'!$C$42/(($F194-1)*COUNTIFS($A$4:$A$311,$A194,$E$4:$E$311,"Win")))*SUMIFS($Z$4:$Z$311,$A$4:$A$311,$A194,$E$4:$E$311,"Loss"),-('Guide &amp; Settings'!$C$42/($F194-1))*$Z194)))</f>
        <v>-6.5507546439911728</v>
      </c>
      <c r="AB194" s="125">
        <f t="shared" si="50"/>
        <v>1066.6080040656045</v>
      </c>
      <c r="AC194" s="125">
        <f>IF($D194="","",IF(SUMPRODUCT(MAX(($D$4:$D$311=$D194)*($B$4:$B$311&lt;$B194)*$B$4:$B$311))=0,0,MAX(($B194-SUMPRODUCT(MAX(($D$4:$D$311=$D194)*($B$4:$B$311&lt;$B194)*$B$4:$B$311)))/7-'Guide &amp; Settings'!$C$48,0)*'Guide &amp; Settings'!$C$49))</f>
        <v>0</v>
      </c>
    </row>
    <row r="195" spans="1:29" ht="15" customHeight="1" x14ac:dyDescent="0.2">
      <c r="A195" s="116">
        <v>80</v>
      </c>
      <c r="B195" s="117">
        <v>46188</v>
      </c>
      <c r="C195" s="118" t="s">
        <v>214</v>
      </c>
      <c r="D195" s="118" t="s">
        <v>176</v>
      </c>
      <c r="E195" s="116" t="s">
        <v>317</v>
      </c>
      <c r="F195" s="119">
        <f t="shared" si="34"/>
        <v>4</v>
      </c>
      <c r="G195" s="120" t="str">
        <f t="shared" si="35"/>
        <v>Shawn</v>
      </c>
      <c r="H195" s="121">
        <f>IF($D195="",0,IFERROR(LOOKUP(2,1/(($D$3:D194=$D195)*($A$3:A194&lt;$A195)),$N$3:N194),'Guide &amp; Settings'!$C$41))</f>
        <v>1011.5343427322456</v>
      </c>
      <c r="I195" s="122">
        <f t="shared" si="36"/>
        <v>0.22254335260115607</v>
      </c>
      <c r="J195" s="123">
        <f>IF($D195="",0,IF($F195&lt;2,0,IF($E195="Win",('Guide &amp; Settings'!$C$42/(($F195-1)*COUNTIFS($A$4:$A$311,$A195,$E$4:$E$311,"Win")))*SUMIFS($X$4:$X$311,$A$4:$A$311,$A195,$E$4:$E$311,"Loss"),-('Guide &amp; Settings'!$C$42/($F195-1))*$X195)))</f>
        <v>-4.4478307143466598</v>
      </c>
      <c r="K195" s="123">
        <f>IF($D195="",0,'Guide &amp; Settings'!$C$43*(IF($E195="Win",1,0)-$I195))</f>
        <v>-2.6705202312138727</v>
      </c>
      <c r="L195" s="124">
        <f>IF($D195="",0,'Guide &amp; Settings'!$C$44*IF($F195&gt;=3,$F195+IF($E195="Win",$F195,0),0))</f>
        <v>4</v>
      </c>
      <c r="M195" s="123">
        <f t="shared" si="37"/>
        <v>-3.1183509455605325</v>
      </c>
      <c r="N195" s="121">
        <f t="shared" si="38"/>
        <v>1008.415991786685</v>
      </c>
      <c r="O195" s="120" t="str">
        <f t="shared" si="39"/>
        <v>OK</v>
      </c>
      <c r="P195">
        <f t="shared" si="40"/>
        <v>1092.5108209153582</v>
      </c>
      <c r="Q195">
        <f t="shared" si="41"/>
        <v>0.38553071490193602</v>
      </c>
      <c r="R195">
        <f t="shared" si="42"/>
        <v>0.5</v>
      </c>
      <c r="S195">
        <f t="shared" si="43"/>
        <v>2.2467532467532467</v>
      </c>
      <c r="T195" s="88">
        <f t="shared" si="44"/>
        <v>10</v>
      </c>
      <c r="U195" s="125">
        <f>IF($D195="",0,IFERROR(LOOKUP(2,1/(($D$3:D194=$D195)*($C$3:C194=$C195)*($A$3:A194&lt;$A195)),$AB$3:AB194),1000))</f>
        <v>969.80541329586208</v>
      </c>
      <c r="V195" s="125">
        <f t="shared" si="45"/>
        <v>983.71505644132321</v>
      </c>
      <c r="W195">
        <f t="shared" si="46"/>
        <v>1041.9393968886843</v>
      </c>
      <c r="X195">
        <f t="shared" si="47"/>
        <v>0.41698412946999935</v>
      </c>
      <c r="Y195">
        <f t="shared" si="48"/>
        <v>992.42865861890732</v>
      </c>
      <c r="Z195">
        <f t="shared" si="49"/>
        <v>0.46748846900879604</v>
      </c>
      <c r="AA195">
        <f>IF($D195="",0,IF($F195&lt;2,0,IF($E195="Win",('Guide &amp; Settings'!$C$42/(($F195-1)*COUNTIFS($A$4:$A$311,$A195,$E$4:$E$311,"Win")))*SUMIFS($Z$4:$Z$311,$A$4:$A$311,$A195,$E$4:$E$311,"Loss"),-('Guide &amp; Settings'!$C$42/($F195-1))*$Z195)))</f>
        <v>-4.9865436694271574</v>
      </c>
      <c r="AB195" s="125">
        <f t="shared" si="50"/>
        <v>964.81886962643489</v>
      </c>
      <c r="AC195" s="125">
        <f>IF($D195="","",IF(SUMPRODUCT(MAX(($D$4:$D$311=$D195)*($B$4:$B$311&lt;$B195)*$B$4:$B$311))=0,0,MAX(($B195-SUMPRODUCT(MAX(($D$4:$D$311=$D195)*($B$4:$B$311&lt;$B195)*$B$4:$B$311)))/7-'Guide &amp; Settings'!$C$48,0)*'Guide &amp; Settings'!$C$49))</f>
        <v>0</v>
      </c>
    </row>
    <row r="196" spans="1:29" ht="15" customHeight="1" x14ac:dyDescent="0.2">
      <c r="A196" s="116">
        <v>81</v>
      </c>
      <c r="B196" s="117">
        <v>46188</v>
      </c>
      <c r="C196" s="118" t="s">
        <v>214</v>
      </c>
      <c r="D196" s="118" t="s">
        <v>174</v>
      </c>
      <c r="E196" s="116" t="s">
        <v>316</v>
      </c>
      <c r="F196" s="119">
        <f t="shared" ref="F196:F259" si="51">IF($D196="",0,COUNTIF($A$4:$A$311,$A196))</f>
        <v>4</v>
      </c>
      <c r="G196" s="120" t="str">
        <f t="shared" ref="G196:G259" si="52">IF($D196="","",IFERROR(LOOKUP(2,1/(($A$4:$A$311=$A196)*($E$4:$E$311="Win")),$D$4:$D$311),"(no winner)"))</f>
        <v>Daniel (Ferret)</v>
      </c>
      <c r="H196" s="121">
        <f>IF($D196="",0,IFERROR(LOOKUP(2,1/(($D$3:D195=$D196)*($A$3:A195&lt;$A196)),$N$3:N195),'Guide &amp; Settings'!$C$41))</f>
        <v>1141.3518324792606</v>
      </c>
      <c r="I196" s="122">
        <f t="shared" ref="I196:I259" si="53">IF($D196="",0,IF($S196=0,0,$R196/$S196))</f>
        <v>0.3</v>
      </c>
      <c r="J196" s="123">
        <f>IF($D196="",0,IF($F196&lt;2,0,IF($E196="Win",('Guide &amp; Settings'!$C$42/(($F196-1)*COUNTIFS($A$4:$A$311,$A196,$E$4:$E$311,"Win")))*SUMIFS($X$4:$X$311,$A$4:$A$311,$A196,$E$4:$E$311,"Loss"),-('Guide &amp; Settings'!$C$42/($F196-1))*$X196)))</f>
        <v>5.421718991351093</v>
      </c>
      <c r="K196" s="123">
        <f>IF($D196="",0,'Guide &amp; Settings'!$C$43*(IF($E196="Win",1,0)-$I196))</f>
        <v>8.3999999999999986</v>
      </c>
      <c r="L196" s="124">
        <f>IF($D196="",0,'Guide &amp; Settings'!$C$44*IF($F196&gt;=3,$F196+IF($E196="Win",$F196,0),0))</f>
        <v>8</v>
      </c>
      <c r="M196" s="123">
        <f t="shared" ref="M196:M259" si="54">IF($D196="",0,$J196+$K196+$L196)</f>
        <v>21.821718991351091</v>
      </c>
      <c r="N196" s="121">
        <f t="shared" ref="N196:N259" si="55">IF($D196="",0,$H196+$M196)</f>
        <v>1163.1735514706118</v>
      </c>
      <c r="O196" s="120" t="str">
        <f t="shared" ref="O196:O259" si="56">IF($D196="","",IF(COUNTIFS($A$4:$A$311,$A196,$E$4:$E$311,"Win")=0,"need a winner",IF(COUNTIFS($A$4:$A$311,$A196,$E$4:$E$311,"Loss")=0,"need a loser",IF(COUNTIFS($A$4:$A$311,$A196,$D$4:$D$311,$D196)&gt;1,"duplicate player","OK"))))</f>
        <v>OK</v>
      </c>
      <c r="P196">
        <f t="shared" ref="P196:P259" si="57">IF($D196="",0,IFERROR(SUMIFS($H$4:$H$311,$A$4:$A$311,$A196,$E$4:$E$311,"Win")/COUNTIFS($A$4:$A$311,$A196,$E$4:$E$311,"Win"),0))</f>
        <v>1088.7339183677072</v>
      </c>
      <c r="Q196">
        <f t="shared" ref="Q196:Q259" si="58">IF($D196="",0,1/(1+10^(($P196-$H196)/400)))</f>
        <v>0.57514959700206403</v>
      </c>
      <c r="R196">
        <f t="shared" ref="R196:R259" si="59">IF($D196="",0,(COUNTIFS($D$4:$D$311,$D196,$C$4:$C$311,$C196,$E$4:$E$311,"Win",$A$4:$A$311,"&lt;"&amp;$A196)+1)/(COUNTIFS($D$4:$D$311,$D196,$C$4:$C$311,$C196,$A$4:$A$311,"&lt;"&amp;$A196)+2))</f>
        <v>0.66666666666666663</v>
      </c>
      <c r="S196">
        <f t="shared" ref="S196:S259" si="60">IF($D196="",0,SUMIFS($R$4:$R$311,$A$4:$A$311,$A196))</f>
        <v>2.2222222222222223</v>
      </c>
      <c r="T196" s="88">
        <f t="shared" ref="T196:T259" si="61">IF($D196="",0,COUNTIFS($D$4:$D$311,$D196,$C$4:$C$311,$C196,$A$4:$A$311,"&lt;"&amp;$A196))</f>
        <v>7</v>
      </c>
      <c r="U196" s="125">
        <f>IF($D196="",0,IFERROR(LOOKUP(2,1/(($D$3:D195=$D196)*($C$3:C195=$C196)*($A$3:A195&lt;$A196)),$AB$3:AB195),1000))</f>
        <v>1035.334562809614</v>
      </c>
      <c r="V196" s="125">
        <f t="shared" ref="V196:V259" si="62">IF($D196="",0,$U196*($T196/($T196+5))+$H196*(1-$T196/($T196+5)))</f>
        <v>1079.5084251719668</v>
      </c>
      <c r="W196">
        <f t="shared" ref="W196:W259" si="63">IF($D196="",0,IFERROR(SUMIFS($V$4:$V$311,$A$4:$A$311,$A196,$E$4:$E$311,"Win")/COUNTIFS($A$4:$A$311,$A196,$E$4:$E$311,"Win"),0))</f>
        <v>1044.9057995486014</v>
      </c>
      <c r="X196">
        <f t="shared" ref="X196:X259" si="64">IF($D196="",0,1/(1+10^(($W196-$V196)/400)))</f>
        <v>0.54963318515945292</v>
      </c>
      <c r="Y196">
        <f t="shared" ref="Y196:Y259" si="65">IF($D196="",0,IFERROR(SUMIFS($U$4:$U$311,$A$4:$A$311,$A196,$E$4:$E$311,"Win")/COUNTIFS($A$4:$A$311,$A196,$E$4:$E$311,"Win"),0))</f>
        <v>1012.0635223962095</v>
      </c>
      <c r="Z196">
        <f t="shared" ref="Z196:Z259" si="66">IF($D196="",0,1/(1+10^(($Y196-$U196)/400)))</f>
        <v>0.5334397278984826</v>
      </c>
      <c r="AA196">
        <f>IF($D196="",0,IF($F196&lt;2,0,IF($E196="Win",('Guide &amp; Settings'!$C$42/(($F196-1)*COUNTIFS($A$4:$A$311,$A196,$E$4:$E$311,"Win")))*SUMIFS($Z$4:$Z$311,$A$4:$A$311,$A196,$E$4:$E$311,"Loss"),-('Guide &amp; Settings'!$C$42/($F196-1))*$Z196)))</f>
        <v>5.120688326447592</v>
      </c>
      <c r="AB196" s="125">
        <f t="shared" ref="AB196:AB259" si="67">IF($D196="",0,$U196+$AA196)</f>
        <v>1040.4552511360616</v>
      </c>
      <c r="AC196" s="125">
        <f>IF($D196="","",IF(SUMPRODUCT(MAX(($D$4:$D$311=$D196)*($B$4:$B$311&lt;$B196)*$B$4:$B$311))=0,0,MAX(($B196-SUMPRODUCT(MAX(($D$4:$D$311=$D196)*($B$4:$B$311&lt;$B196)*$B$4:$B$311)))/7-'Guide &amp; Settings'!$C$48,0)*'Guide &amp; Settings'!$C$49))</f>
        <v>0</v>
      </c>
    </row>
    <row r="197" spans="1:29" ht="15" customHeight="1" x14ac:dyDescent="0.2">
      <c r="A197" s="116">
        <v>81</v>
      </c>
      <c r="B197" s="117">
        <v>46188</v>
      </c>
      <c r="C197" s="118" t="s">
        <v>214</v>
      </c>
      <c r="D197" s="118" t="s">
        <v>177</v>
      </c>
      <c r="E197" s="116" t="s">
        <v>316</v>
      </c>
      <c r="F197" s="119">
        <f t="shared" si="51"/>
        <v>4</v>
      </c>
      <c r="G197" s="120" t="str">
        <f t="shared" si="52"/>
        <v>Daniel (Ferret)</v>
      </c>
      <c r="H197" s="121">
        <f>IF($D197="",0,IFERROR(LOOKUP(2,1/(($D$3:D196=$D197)*($A$3:A196&lt;$A197)),$N$3:N196),'Guide &amp; Settings'!$C$41))</f>
        <v>1036.1160042561539</v>
      </c>
      <c r="I197" s="122">
        <f t="shared" si="53"/>
        <v>0.22499999999999998</v>
      </c>
      <c r="J197" s="123">
        <f>IF($D197="",0,IF($F197&lt;2,0,IF($E197="Win",('Guide &amp; Settings'!$C$42/(($F197-1)*COUNTIFS($A$4:$A$311,$A197,$E$4:$E$311,"Win")))*SUMIFS($X$4:$X$311,$A$4:$A$311,$A197,$E$4:$E$311,"Loss"),-('Guide &amp; Settings'!$C$42/($F197-1))*$X197)))</f>
        <v>5.421718991351093</v>
      </c>
      <c r="K197" s="123">
        <f>IF($D197="",0,'Guide &amp; Settings'!$C$43*(IF($E197="Win",1,0)-$I197))</f>
        <v>9.3000000000000007</v>
      </c>
      <c r="L197" s="124">
        <f>IF($D197="",0,'Guide &amp; Settings'!$C$44*IF($F197&gt;=3,$F197+IF($E197="Win",$F197,0),0))</f>
        <v>8</v>
      </c>
      <c r="M197" s="123">
        <f t="shared" si="54"/>
        <v>22.721718991351093</v>
      </c>
      <c r="N197" s="121">
        <f t="shared" si="55"/>
        <v>1058.837723247505</v>
      </c>
      <c r="O197" s="120" t="str">
        <f t="shared" si="56"/>
        <v>OK</v>
      </c>
      <c r="P197">
        <f t="shared" si="57"/>
        <v>1088.7339183677072</v>
      </c>
      <c r="Q197">
        <f t="shared" si="58"/>
        <v>0.42485040299793597</v>
      </c>
      <c r="R197">
        <f t="shared" si="59"/>
        <v>0.5</v>
      </c>
      <c r="S197">
        <f t="shared" si="60"/>
        <v>2.2222222222222223</v>
      </c>
      <c r="T197" s="88">
        <f t="shared" si="61"/>
        <v>6</v>
      </c>
      <c r="U197" s="125">
        <f>IF($D197="",0,IFERROR(LOOKUP(2,1/(($D$3:D196=$D197)*($C$3:C196=$C197)*($A$3:A196&lt;$A197)),$AB$3:AB196),1000))</f>
        <v>988.79248198280493</v>
      </c>
      <c r="V197" s="125">
        <f t="shared" si="62"/>
        <v>1010.3031739252363</v>
      </c>
      <c r="W197">
        <f t="shared" si="63"/>
        <v>1044.9057995486014</v>
      </c>
      <c r="X197">
        <f t="shared" si="64"/>
        <v>0.45036681484054741</v>
      </c>
      <c r="Y197">
        <f t="shared" si="65"/>
        <v>1012.0635223962095</v>
      </c>
      <c r="Z197">
        <f t="shared" si="66"/>
        <v>0.4665602721015174</v>
      </c>
      <c r="AA197">
        <f>IF($D197="",0,IF($F197&lt;2,0,IF($E197="Win",('Guide &amp; Settings'!$C$42/(($F197-1)*COUNTIFS($A$4:$A$311,$A197,$E$4:$E$311,"Win")))*SUMIFS($Z$4:$Z$311,$A$4:$A$311,$A197,$E$4:$E$311,"Loss"),-('Guide &amp; Settings'!$C$42/($F197-1))*$Z197)))</f>
        <v>5.120688326447592</v>
      </c>
      <c r="AB197" s="125">
        <f t="shared" si="67"/>
        <v>993.91317030925256</v>
      </c>
      <c r="AC197" s="125">
        <f>IF($D197="","",IF(SUMPRODUCT(MAX(($D$4:$D$311=$D197)*($B$4:$B$311&lt;$B197)*$B$4:$B$311))=0,0,MAX(($B197-SUMPRODUCT(MAX(($D$4:$D$311=$D197)*($B$4:$B$311&lt;$B197)*$B$4:$B$311)))/7-'Guide &amp; Settings'!$C$48,0)*'Guide &amp; Settings'!$C$49))</f>
        <v>0</v>
      </c>
    </row>
    <row r="198" spans="1:29" ht="15" customHeight="1" x14ac:dyDescent="0.2">
      <c r="A198" s="116">
        <v>81</v>
      </c>
      <c r="B198" s="117">
        <v>46188</v>
      </c>
      <c r="C198" s="118" t="s">
        <v>214</v>
      </c>
      <c r="D198" s="118" t="s">
        <v>144</v>
      </c>
      <c r="E198" s="116" t="s">
        <v>317</v>
      </c>
      <c r="F198" s="119">
        <f t="shared" si="51"/>
        <v>4</v>
      </c>
      <c r="G198" s="120" t="str">
        <f t="shared" si="52"/>
        <v>Daniel (Ferret)</v>
      </c>
      <c r="H198" s="121">
        <f>IF($D198="",0,IFERROR(LOOKUP(2,1/(($D$3:D197=$D198)*($A$3:A197&lt;$A198)),$N$3:N197),'Guide &amp; Settings'!$C$41))</f>
        <v>1184.9242286294298</v>
      </c>
      <c r="I198" s="122">
        <f t="shared" si="53"/>
        <v>0.22499999999999998</v>
      </c>
      <c r="J198" s="123">
        <f>IF($D198="",0,IF($F198&lt;2,0,IF($E198="Win",('Guide &amp; Settings'!$C$42/(($F198-1)*COUNTIFS($A$4:$A$311,$A198,$E$4:$E$311,"Win")))*SUMIFS($X$4:$X$311,$A$4:$A$311,$A198,$E$4:$E$311,"Loss"),-('Guide &amp; Settings'!$C$42/($F198-1))*$X198)))</f>
        <v>-5.8555892002547987</v>
      </c>
      <c r="K198" s="123">
        <f>IF($D198="",0,'Guide &amp; Settings'!$C$43*(IF($E198="Win",1,0)-$I198))</f>
        <v>-2.6999999999999997</v>
      </c>
      <c r="L198" s="124">
        <f>IF($D198="",0,'Guide &amp; Settings'!$C$44*IF($F198&gt;=3,$F198+IF($E198="Win",$F198,0),0))</f>
        <v>4</v>
      </c>
      <c r="M198" s="123">
        <f t="shared" si="54"/>
        <v>-4.5555892002547989</v>
      </c>
      <c r="N198" s="121">
        <f t="shared" si="55"/>
        <v>1180.3686394291749</v>
      </c>
      <c r="O198" s="120" t="str">
        <f t="shared" si="56"/>
        <v>OK</v>
      </c>
      <c r="P198">
        <f t="shared" si="57"/>
        <v>1088.7339183677072</v>
      </c>
      <c r="Q198">
        <f t="shared" si="58"/>
        <v>0.63499728612776918</v>
      </c>
      <c r="R198">
        <f t="shared" si="59"/>
        <v>0.5</v>
      </c>
      <c r="S198">
        <f t="shared" si="60"/>
        <v>2.2222222222222223</v>
      </c>
      <c r="T198" s="88">
        <f t="shared" si="61"/>
        <v>6</v>
      </c>
      <c r="U198" s="125">
        <f>IF($D198="",0,IFERROR(LOOKUP(2,1/(($D$3:D197=$D198)*($C$3:C197=$C198)*($A$3:A197&lt;$A198)),$AB$3:AB197),1000))</f>
        <v>990.79782626498309</v>
      </c>
      <c r="V198" s="125">
        <f t="shared" si="62"/>
        <v>1079.0371000670043</v>
      </c>
      <c r="W198">
        <f t="shared" si="63"/>
        <v>1044.9057995486014</v>
      </c>
      <c r="X198">
        <f t="shared" si="64"/>
        <v>0.5489614875238874</v>
      </c>
      <c r="Y198">
        <f t="shared" si="65"/>
        <v>1012.0635223962095</v>
      </c>
      <c r="Z198">
        <f t="shared" si="66"/>
        <v>0.46943436371121494</v>
      </c>
      <c r="AA198">
        <f>IF($D198="",0,IF($F198&lt;2,0,IF($E198="Win",('Guide &amp; Settings'!$C$42/(($F198-1)*COUNTIFS($A$4:$A$311,$A198,$E$4:$E$311,"Win")))*SUMIFS($Z$4:$Z$311,$A$4:$A$311,$A198,$E$4:$E$311,"Loss"),-('Guide &amp; Settings'!$C$42/($F198-1))*$Z198)))</f>
        <v>-5.0072998795862924</v>
      </c>
      <c r="AB198" s="125">
        <f t="shared" si="67"/>
        <v>985.79052638539679</v>
      </c>
      <c r="AC198" s="125">
        <f>IF($D198="","",IF(SUMPRODUCT(MAX(($D$4:$D$311=$D198)*($B$4:$B$311&lt;$B198)*$B$4:$B$311))=0,0,MAX(($B198-SUMPRODUCT(MAX(($D$4:$D$311=$D198)*($B$4:$B$311&lt;$B198)*$B$4:$B$311)))/7-'Guide &amp; Settings'!$C$48,0)*'Guide &amp; Settings'!$C$49))</f>
        <v>0</v>
      </c>
    </row>
    <row r="199" spans="1:29" ht="15" customHeight="1" x14ac:dyDescent="0.2">
      <c r="A199" s="116">
        <v>81</v>
      </c>
      <c r="B199" s="117">
        <v>46188</v>
      </c>
      <c r="C199" s="118" t="s">
        <v>214</v>
      </c>
      <c r="D199" s="118" t="s">
        <v>141</v>
      </c>
      <c r="E199" s="116" t="s">
        <v>317</v>
      </c>
      <c r="F199" s="119">
        <f t="shared" si="51"/>
        <v>4</v>
      </c>
      <c r="G199" s="120" t="str">
        <f t="shared" si="52"/>
        <v>Daniel (Ferret)</v>
      </c>
      <c r="H199" s="121">
        <f>IF($D199="",0,IFERROR(LOOKUP(2,1/(($D$3:D198=$D199)*($A$3:A198&lt;$A199)),$N$3:N198),'Guide &amp; Settings'!$C$41))</f>
        <v>1045.8475374710915</v>
      </c>
      <c r="I199" s="122">
        <f t="shared" si="53"/>
        <v>0.25</v>
      </c>
      <c r="J199" s="123">
        <f>IF($D199="",0,IF($F199&lt;2,0,IF($E199="Win",('Guide &amp; Settings'!$C$42/(($F199-1)*COUNTIFS($A$4:$A$311,$A199,$E$4:$E$311,"Win")))*SUMIFS($X$4:$X$311,$A$4:$A$311,$A199,$E$4:$E$311,"Loss"),-('Guide &amp; Settings'!$C$42/($F199-1))*$X199)))</f>
        <v>-4.9878487824473865</v>
      </c>
      <c r="K199" s="123">
        <f>IF($D199="",0,'Guide &amp; Settings'!$C$43*(IF($E199="Win",1,0)-$I199))</f>
        <v>-3</v>
      </c>
      <c r="L199" s="124">
        <f>IF($D199="",0,'Guide &amp; Settings'!$C$44*IF($F199&gt;=3,$F199+IF($E199="Win",$F199,0),0))</f>
        <v>4</v>
      </c>
      <c r="M199" s="123">
        <f t="shared" si="54"/>
        <v>-3.9878487824473865</v>
      </c>
      <c r="N199" s="121">
        <f t="shared" si="55"/>
        <v>1041.8596886886442</v>
      </c>
      <c r="O199" s="120" t="str">
        <f t="shared" si="56"/>
        <v>OK</v>
      </c>
      <c r="P199">
        <f t="shared" si="57"/>
        <v>1088.7339183677072</v>
      </c>
      <c r="Q199">
        <f t="shared" si="58"/>
        <v>0.43859309931194784</v>
      </c>
      <c r="R199">
        <f t="shared" si="59"/>
        <v>0.55555555555555558</v>
      </c>
      <c r="S199">
        <f t="shared" si="60"/>
        <v>2.2222222222222223</v>
      </c>
      <c r="T199" s="88">
        <f t="shared" si="61"/>
        <v>7</v>
      </c>
      <c r="U199" s="125">
        <f>IF($D199="",0,IFERROR(LOOKUP(2,1/(($D$3:D198=$D199)*($C$3:C198=$C199)*($A$3:A198&lt;$A199)),$AB$3:AB198),1000))</f>
        <v>1005.5967892862501</v>
      </c>
      <c r="V199" s="125">
        <f t="shared" si="62"/>
        <v>1022.3679343632674</v>
      </c>
      <c r="W199">
        <f t="shared" si="63"/>
        <v>1044.9057995486014</v>
      </c>
      <c r="X199">
        <f t="shared" si="64"/>
        <v>0.46761082335444254</v>
      </c>
      <c r="Y199">
        <f t="shared" si="65"/>
        <v>1012.0635223962095</v>
      </c>
      <c r="Z199">
        <f t="shared" si="66"/>
        <v>0.49069469749770855</v>
      </c>
      <c r="AA199">
        <f>IF($D199="",0,IF($F199&lt;2,0,IF($E199="Win",('Guide &amp; Settings'!$C$42/(($F199-1)*COUNTIFS($A$4:$A$311,$A199,$E$4:$E$311,"Win")))*SUMIFS($Z$4:$Z$311,$A$4:$A$311,$A199,$E$4:$E$311,"Loss"),-('Guide &amp; Settings'!$C$42/($F199-1))*$Z199)))</f>
        <v>-5.2340767733088907</v>
      </c>
      <c r="AB199" s="125">
        <f t="shared" si="67"/>
        <v>1000.3627125129412</v>
      </c>
      <c r="AC199" s="125">
        <f>IF($D199="","",IF(SUMPRODUCT(MAX(($D$4:$D$311=$D199)*($B$4:$B$311&lt;$B199)*$B$4:$B$311))=0,0,MAX(($B199-SUMPRODUCT(MAX(($D$4:$D$311=$D199)*($B$4:$B$311&lt;$B199)*$B$4:$B$311)))/7-'Guide &amp; Settings'!$C$48,0)*'Guide &amp; Settings'!$C$49))</f>
        <v>0</v>
      </c>
    </row>
    <row r="200" spans="1:29" ht="15" customHeight="1" x14ac:dyDescent="0.2">
      <c r="A200" s="116">
        <v>82</v>
      </c>
      <c r="B200" s="117">
        <v>46188</v>
      </c>
      <c r="C200" s="118" t="s">
        <v>214</v>
      </c>
      <c r="D200" s="118" t="s">
        <v>174</v>
      </c>
      <c r="E200" s="116" t="s">
        <v>316</v>
      </c>
      <c r="F200" s="119">
        <f t="shared" si="51"/>
        <v>4</v>
      </c>
      <c r="G200" s="120" t="str">
        <f t="shared" si="52"/>
        <v>Daniel (Ferret)</v>
      </c>
      <c r="H200" s="121">
        <f>IF($D200="",0,IFERROR(LOOKUP(2,1/(($D$3:D199=$D200)*($A$3:A199&lt;$A200)),$N$3:N199),'Guide &amp; Settings'!$C$41))</f>
        <v>1163.1735514706118</v>
      </c>
      <c r="I200" s="122">
        <f t="shared" si="53"/>
        <v>0.38066465256797583</v>
      </c>
      <c r="J200" s="123">
        <f>IF($D200="",0,IF($F200&lt;2,0,IF($E200="Win",('Guide &amp; Settings'!$C$42/(($F200-1)*COUNTIFS($A$4:$A$311,$A200,$E$4:$E$311,"Win")))*SUMIFS($X$4:$X$311,$A$4:$A$311,$A200,$E$4:$E$311,"Loss"),-('Guide &amp; Settings'!$C$42/($F200-1))*$X200)))</f>
        <v>4.193319470847932</v>
      </c>
      <c r="K200" s="123">
        <f>IF($D200="",0,'Guide &amp; Settings'!$C$43*(IF($E200="Win",1,0)-$I200))</f>
        <v>7.4320241691842908</v>
      </c>
      <c r="L200" s="124">
        <f>IF($D200="",0,'Guide &amp; Settings'!$C$44*IF($F200&gt;=3,$F200+IF($E200="Win",$F200,0),0))</f>
        <v>8</v>
      </c>
      <c r="M200" s="123">
        <f t="shared" si="54"/>
        <v>19.625343640032224</v>
      </c>
      <c r="N200" s="121">
        <f t="shared" si="55"/>
        <v>1182.798895110644</v>
      </c>
      <c r="O200" s="120" t="str">
        <f t="shared" si="56"/>
        <v>OK</v>
      </c>
      <c r="P200">
        <f t="shared" si="57"/>
        <v>1111.0056373590583</v>
      </c>
      <c r="Q200">
        <f t="shared" si="58"/>
        <v>0.57451650128697396</v>
      </c>
      <c r="R200">
        <f t="shared" si="59"/>
        <v>0.7</v>
      </c>
      <c r="S200">
        <f t="shared" si="60"/>
        <v>1.8388888888888888</v>
      </c>
      <c r="T200" s="88">
        <f t="shared" si="61"/>
        <v>8</v>
      </c>
      <c r="U200" s="125">
        <f>IF($D200="",0,IFERROR(LOOKUP(2,1/(($D$3:D199=$D200)*($C$3:C199=$C200)*($A$3:A199&lt;$A200)),$AB$3:AB199),1000))</f>
        <v>1040.4552511360616</v>
      </c>
      <c r="V200" s="125">
        <f t="shared" si="62"/>
        <v>1087.6545974185808</v>
      </c>
      <c r="W200">
        <f t="shared" si="63"/>
        <v>1054.3098323927193</v>
      </c>
      <c r="X200">
        <f t="shared" si="64"/>
        <v>0.54784017913930316</v>
      </c>
      <c r="Y200">
        <f t="shared" si="65"/>
        <v>1017.1842107226571</v>
      </c>
      <c r="Z200">
        <f t="shared" si="66"/>
        <v>0.5334397278984826</v>
      </c>
      <c r="AA200">
        <f>IF($D200="",0,IF($F200&lt;2,0,IF($E200="Win",('Guide &amp; Settings'!$C$42/(($F200-1)*COUNTIFS($A$4:$A$311,$A200,$E$4:$E$311,"Win")))*SUMIFS($Z$4:$Z$311,$A$4:$A$311,$A200,$E$4:$E$311,"Loss"),-('Guide &amp; Settings'!$C$42/($F200-1))*$Z200)))</f>
        <v>4.9124940952728142</v>
      </c>
      <c r="AB200" s="125">
        <f t="shared" si="67"/>
        <v>1045.3677452313345</v>
      </c>
      <c r="AC200" s="125">
        <f>IF($D200="","",IF(SUMPRODUCT(MAX(($D$4:$D$311=$D200)*($B$4:$B$311&lt;$B200)*$B$4:$B$311))=0,0,MAX(($B200-SUMPRODUCT(MAX(($D$4:$D$311=$D200)*($B$4:$B$311&lt;$B200)*$B$4:$B$311)))/7-'Guide &amp; Settings'!$C$48,0)*'Guide &amp; Settings'!$C$49))</f>
        <v>0</v>
      </c>
    </row>
    <row r="201" spans="1:29" ht="15" customHeight="1" x14ac:dyDescent="0.2">
      <c r="A201" s="116">
        <v>82</v>
      </c>
      <c r="B201" s="117">
        <v>46188</v>
      </c>
      <c r="C201" s="118" t="s">
        <v>214</v>
      </c>
      <c r="D201" s="118" t="s">
        <v>177</v>
      </c>
      <c r="E201" s="116" t="s">
        <v>316</v>
      </c>
      <c r="F201" s="119">
        <f t="shared" si="51"/>
        <v>4</v>
      </c>
      <c r="G201" s="120" t="str">
        <f t="shared" si="52"/>
        <v>Daniel (Ferret)</v>
      </c>
      <c r="H201" s="121">
        <f>IF($D201="",0,IFERROR(LOOKUP(2,1/(($D$3:D200=$D201)*($A$3:A200&lt;$A201)),$N$3:N200),'Guide &amp; Settings'!$C$41))</f>
        <v>1058.837723247505</v>
      </c>
      <c r="I201" s="122">
        <f t="shared" si="53"/>
        <v>0.30211480362537768</v>
      </c>
      <c r="J201" s="123">
        <f>IF($D201="",0,IF($F201&lt;2,0,IF($E201="Win",('Guide &amp; Settings'!$C$42/(($F201-1)*COUNTIFS($A$4:$A$311,$A201,$E$4:$E$311,"Win")))*SUMIFS($X$4:$X$311,$A$4:$A$311,$A201,$E$4:$E$311,"Loss"),-('Guide &amp; Settings'!$C$42/($F201-1))*$X201)))</f>
        <v>4.193319470847932</v>
      </c>
      <c r="K201" s="123">
        <f>IF($D201="",0,'Guide &amp; Settings'!$C$43*(IF($E201="Win",1,0)-$I201))</f>
        <v>8.3746223564954683</v>
      </c>
      <c r="L201" s="124">
        <f>IF($D201="",0,'Guide &amp; Settings'!$C$44*IF($F201&gt;=3,$F201+IF($E201="Win",$F201,0),0))</f>
        <v>8</v>
      </c>
      <c r="M201" s="123">
        <f t="shared" si="54"/>
        <v>20.5679418273434</v>
      </c>
      <c r="N201" s="121">
        <f t="shared" si="55"/>
        <v>1079.4056650748485</v>
      </c>
      <c r="O201" s="120" t="str">
        <f t="shared" si="56"/>
        <v>OK</v>
      </c>
      <c r="P201">
        <f t="shared" si="57"/>
        <v>1111.0056373590583</v>
      </c>
      <c r="Q201">
        <f t="shared" si="58"/>
        <v>0.42548349871302632</v>
      </c>
      <c r="R201">
        <f t="shared" si="59"/>
        <v>0.55555555555555558</v>
      </c>
      <c r="S201">
        <f t="shared" si="60"/>
        <v>1.8388888888888888</v>
      </c>
      <c r="T201" s="88">
        <f t="shared" si="61"/>
        <v>7</v>
      </c>
      <c r="U201" s="125">
        <f>IF($D201="",0,IFERROR(LOOKUP(2,1/(($D$3:D200=$D201)*($C$3:C200=$C201)*($A$3:A200&lt;$A201)),$AB$3:AB200),1000))</f>
        <v>993.91317030925256</v>
      </c>
      <c r="V201" s="125">
        <f t="shared" si="62"/>
        <v>1020.9650673668577</v>
      </c>
      <c r="W201">
        <f t="shared" si="63"/>
        <v>1054.3098323927193</v>
      </c>
      <c r="X201">
        <f t="shared" si="64"/>
        <v>0.45215982086069684</v>
      </c>
      <c r="Y201">
        <f t="shared" si="65"/>
        <v>1017.1842107226571</v>
      </c>
      <c r="Z201">
        <f t="shared" si="66"/>
        <v>0.4665602721015174</v>
      </c>
      <c r="AA201">
        <f>IF($D201="",0,IF($F201&lt;2,0,IF($E201="Win",('Guide &amp; Settings'!$C$42/(($F201-1)*COUNTIFS($A$4:$A$311,$A201,$E$4:$E$311,"Win")))*SUMIFS($Z$4:$Z$311,$A$4:$A$311,$A201,$E$4:$E$311,"Loss"),-('Guide &amp; Settings'!$C$42/($F201-1))*$Z201)))</f>
        <v>4.9124940952728142</v>
      </c>
      <c r="AB201" s="125">
        <f t="shared" si="67"/>
        <v>998.82566440452536</v>
      </c>
      <c r="AC201" s="125">
        <f>IF($D201="","",IF(SUMPRODUCT(MAX(($D$4:$D$311=$D201)*($B$4:$B$311&lt;$B201)*$B$4:$B$311))=0,0,MAX(($B201-SUMPRODUCT(MAX(($D$4:$D$311=$D201)*($B$4:$B$311&lt;$B201)*$B$4:$B$311)))/7-'Guide &amp; Settings'!$C$48,0)*'Guide &amp; Settings'!$C$49))</f>
        <v>0</v>
      </c>
    </row>
    <row r="202" spans="1:29" ht="15" customHeight="1" x14ac:dyDescent="0.2">
      <c r="A202" s="116">
        <v>82</v>
      </c>
      <c r="B202" s="117">
        <v>46188</v>
      </c>
      <c r="C202" s="118" t="s">
        <v>214</v>
      </c>
      <c r="D202" s="118" t="s">
        <v>147</v>
      </c>
      <c r="E202" s="116" t="s">
        <v>317</v>
      </c>
      <c r="F202" s="119">
        <f t="shared" si="51"/>
        <v>4</v>
      </c>
      <c r="G202" s="120" t="str">
        <f t="shared" si="52"/>
        <v>Daniel (Ferret)</v>
      </c>
      <c r="H202" s="121">
        <f>IF($D202="",0,IFERROR(LOOKUP(2,1/(($D$3:D201=$D202)*($A$3:A201&lt;$A202)),$N$3:N201),'Guide &amp; Settings'!$C$41))</f>
        <v>945.73457220617456</v>
      </c>
      <c r="I202" s="122">
        <f t="shared" si="53"/>
        <v>0.18126888217522658</v>
      </c>
      <c r="J202" s="123">
        <f>IF($D202="",0,IF($F202&lt;2,0,IF($E202="Win",('Guide &amp; Settings'!$C$42/(($F202-1)*COUNTIFS($A$4:$A$311,$A202,$E$4:$E$311,"Win")))*SUMIFS($X$4:$X$311,$A$4:$A$311,$A202,$E$4:$E$311,"Loss"),-('Guide &amp; Settings'!$C$42/($F202-1))*$X202)))</f>
        <v>-3.9958232247875718</v>
      </c>
      <c r="K202" s="123">
        <f>IF($D202="",0,'Guide &amp; Settings'!$C$43*(IF($E202="Win",1,0)-$I202))</f>
        <v>-2.1752265861027187</v>
      </c>
      <c r="L202" s="124">
        <f>IF($D202="",0,'Guide &amp; Settings'!$C$44*IF($F202&gt;=3,$F202+IF($E202="Win",$F202,0),0))</f>
        <v>4</v>
      </c>
      <c r="M202" s="123">
        <f t="shared" si="54"/>
        <v>-2.17104981089029</v>
      </c>
      <c r="N202" s="121">
        <f t="shared" si="55"/>
        <v>943.56352239528428</v>
      </c>
      <c r="O202" s="120" t="str">
        <f t="shared" si="56"/>
        <v>OK</v>
      </c>
      <c r="P202">
        <f t="shared" si="57"/>
        <v>1111.0056373590583</v>
      </c>
      <c r="Q202">
        <f t="shared" si="58"/>
        <v>0.27860803529550698</v>
      </c>
      <c r="R202">
        <f t="shared" si="59"/>
        <v>0.33333333333333331</v>
      </c>
      <c r="S202">
        <f t="shared" si="60"/>
        <v>1.8388888888888888</v>
      </c>
      <c r="T202" s="88">
        <f t="shared" si="61"/>
        <v>4</v>
      </c>
      <c r="U202" s="125">
        <f>IF($D202="",0,IFERROR(LOOKUP(2,1/(($D$3:D201=$D202)*($C$3:C201=$C202)*($A$3:A201&lt;$A202)),$AB$3:AB201),1000))</f>
        <v>989.7118742606765</v>
      </c>
      <c r="V202" s="125">
        <f t="shared" si="62"/>
        <v>965.28003978595325</v>
      </c>
      <c r="W202">
        <f t="shared" si="63"/>
        <v>1054.3098323927193</v>
      </c>
      <c r="X202">
        <f t="shared" si="64"/>
        <v>0.37460842732383487</v>
      </c>
      <c r="Y202">
        <f t="shared" si="65"/>
        <v>1017.1842107226571</v>
      </c>
      <c r="Z202">
        <f t="shared" si="66"/>
        <v>0.46054632143182633</v>
      </c>
      <c r="AA202">
        <f>IF($D202="",0,IF($F202&lt;2,0,IF($E202="Win",('Guide &amp; Settings'!$C$42/(($F202-1)*COUNTIFS($A$4:$A$311,$A202,$E$4:$E$311,"Win")))*SUMIFS($Z$4:$Z$311,$A$4:$A$311,$A202,$E$4:$E$311,"Loss"),-('Guide &amp; Settings'!$C$42/($F202-1))*$Z202)))</f>
        <v>-4.9124940952728142</v>
      </c>
      <c r="AB202" s="125">
        <f t="shared" si="67"/>
        <v>984.7993801654037</v>
      </c>
      <c r="AC202" s="125">
        <f>IF($D202="","",IF(SUMPRODUCT(MAX(($D$4:$D$311=$D202)*($B$4:$B$311&lt;$B202)*$B$4:$B$311))=0,0,MAX(($B202-SUMPRODUCT(MAX(($D$4:$D$311=$D202)*($B$4:$B$311&lt;$B202)*$B$4:$B$311)))/7-'Guide &amp; Settings'!$C$48,0)*'Guide &amp; Settings'!$C$49))</f>
        <v>0</v>
      </c>
    </row>
    <row r="203" spans="1:29" ht="15" customHeight="1" x14ac:dyDescent="0.2">
      <c r="A203" s="116">
        <v>82</v>
      </c>
      <c r="B203" s="117">
        <v>46188</v>
      </c>
      <c r="C203" s="118" t="s">
        <v>214</v>
      </c>
      <c r="D203" s="118" t="s">
        <v>178</v>
      </c>
      <c r="E203" s="116" t="s">
        <v>317</v>
      </c>
      <c r="F203" s="119">
        <f t="shared" si="51"/>
        <v>4</v>
      </c>
      <c r="G203" s="120" t="str">
        <f t="shared" si="52"/>
        <v>Daniel (Ferret)</v>
      </c>
      <c r="H203" s="121">
        <f>IF($D203="",0,IFERROR(LOOKUP(2,1/(($D$3:D202=$D203)*($A$3:A202&lt;$A203)),$N$3:N202),'Guide &amp; Settings'!$C$41))</f>
        <v>993.27766574578118</v>
      </c>
      <c r="I203" s="122">
        <f t="shared" si="53"/>
        <v>0.13595166163141995</v>
      </c>
      <c r="J203" s="123">
        <f>IF($D203="",0,IF($F203&lt;2,0,IF($E203="Win",('Guide &amp; Settings'!$C$42/(($F203-1)*COUNTIFS($A$4:$A$311,$A203,$E$4:$E$311,"Win")))*SUMIFS($X$4:$X$311,$A$4:$A$311,$A203,$E$4:$E$311,"Loss"),-('Guide &amp; Settings'!$C$42/($F203-1))*$X203)))</f>
        <v>-4.3908157169082909</v>
      </c>
      <c r="K203" s="123">
        <f>IF($D203="",0,'Guide &amp; Settings'!$C$43*(IF($E203="Win",1,0)-$I203))</f>
        <v>-1.6314199395770395</v>
      </c>
      <c r="L203" s="124">
        <f>IF($D203="",0,'Guide &amp; Settings'!$C$44*IF($F203&gt;=3,$F203+IF($E203="Win",$F203,0),0))</f>
        <v>4</v>
      </c>
      <c r="M203" s="123">
        <f t="shared" si="54"/>
        <v>-2.0222356564853303</v>
      </c>
      <c r="N203" s="121">
        <f t="shared" si="55"/>
        <v>991.25543008929583</v>
      </c>
      <c r="O203" s="120" t="str">
        <f t="shared" si="56"/>
        <v>OK</v>
      </c>
      <c r="P203">
        <f t="shared" si="57"/>
        <v>1111.0056373590583</v>
      </c>
      <c r="Q203">
        <f t="shared" si="58"/>
        <v>0.33677557322124801</v>
      </c>
      <c r="R203">
        <f t="shared" si="59"/>
        <v>0.25</v>
      </c>
      <c r="S203">
        <f t="shared" si="60"/>
        <v>1.8388888888888888</v>
      </c>
      <c r="T203" s="88">
        <f t="shared" si="61"/>
        <v>2</v>
      </c>
      <c r="U203" s="125">
        <f>IF($D203="",0,IFERROR(LOOKUP(2,1/(($D$3:D202=$D203)*($C$3:C202=$C203)*($A$3:A202&lt;$A203)),$AB$3:AB202),1000))</f>
        <v>989.7118742606765</v>
      </c>
      <c r="V203" s="125">
        <f t="shared" si="62"/>
        <v>992.2588681786084</v>
      </c>
      <c r="W203">
        <f t="shared" si="63"/>
        <v>1054.3098323927193</v>
      </c>
      <c r="X203">
        <f t="shared" si="64"/>
        <v>0.41163897346015232</v>
      </c>
      <c r="Y203">
        <f t="shared" si="65"/>
        <v>1017.1842107226571</v>
      </c>
      <c r="Z203">
        <f t="shared" si="66"/>
        <v>0.46054632143182633</v>
      </c>
      <c r="AA203">
        <f>IF($D203="",0,IF($F203&lt;2,0,IF($E203="Win",('Guide &amp; Settings'!$C$42/(($F203-1)*COUNTIFS($A$4:$A$311,$A203,$E$4:$E$311,"Win")))*SUMIFS($Z$4:$Z$311,$A$4:$A$311,$A203,$E$4:$E$311,"Loss"),-('Guide &amp; Settings'!$C$42/($F203-1))*$Z203)))</f>
        <v>-4.9124940952728142</v>
      </c>
      <c r="AB203" s="125">
        <f t="shared" si="67"/>
        <v>984.7993801654037</v>
      </c>
      <c r="AC203" s="125">
        <f>IF($D203="","",IF(SUMPRODUCT(MAX(($D$4:$D$311=$D203)*($B$4:$B$311&lt;$B203)*$B$4:$B$311))=0,0,MAX(($B203-SUMPRODUCT(MAX(($D$4:$D$311=$D203)*($B$4:$B$311&lt;$B203)*$B$4:$B$311)))/7-'Guide &amp; Settings'!$C$48,0)*'Guide &amp; Settings'!$C$49))</f>
        <v>0</v>
      </c>
    </row>
    <row r="204" spans="1:29" ht="15" customHeight="1" x14ac:dyDescent="0.2">
      <c r="A204" s="116">
        <v>83</v>
      </c>
      <c r="B204" s="117">
        <v>46188</v>
      </c>
      <c r="C204" s="118" t="s">
        <v>214</v>
      </c>
      <c r="D204" s="118" t="s">
        <v>145</v>
      </c>
      <c r="E204" s="116" t="s">
        <v>316</v>
      </c>
      <c r="F204" s="119">
        <f t="shared" si="51"/>
        <v>4</v>
      </c>
      <c r="G204" s="120" t="str">
        <f t="shared" si="52"/>
        <v>Beau</v>
      </c>
      <c r="H204" s="121">
        <f>IF($D204="",0,IFERROR(LOOKUP(2,1/(($D$3:D203=$D204)*($A$3:A203&lt;$A204)),$N$3:N203),'Guide &amp; Settings'!$C$41))</f>
        <v>1027.4579191199061</v>
      </c>
      <c r="I204" s="122">
        <f t="shared" si="53"/>
        <v>8.0695870886606583E-2</v>
      </c>
      <c r="J204" s="123">
        <f>IF($D204="",0,IF($F204&lt;2,0,IF($E204="Win",('Guide &amp; Settings'!$C$42/(($F204-1)*COUNTIFS($A$4:$A$311,$A204,$E$4:$E$311,"Win")))*SUMIFS($X$4:$X$311,$A$4:$A$311,$A204,$E$4:$E$311,"Loss"),-('Guide &amp; Settings'!$C$42/($F204-1))*$X204)))</f>
        <v>6.115566709656691</v>
      </c>
      <c r="K204" s="123">
        <f>IF($D204="",0,'Guide &amp; Settings'!$C$43*(IF($E204="Win",1,0)-$I204))</f>
        <v>11.031649549360722</v>
      </c>
      <c r="L204" s="124">
        <f>IF($D204="",0,'Guide &amp; Settings'!$C$44*IF($F204&gt;=3,$F204+IF($E204="Win",$F204,0),0))</f>
        <v>8</v>
      </c>
      <c r="M204" s="123">
        <f t="shared" si="54"/>
        <v>25.147216259017412</v>
      </c>
      <c r="N204" s="121">
        <f t="shared" si="55"/>
        <v>1052.6051353789235</v>
      </c>
      <c r="O204" s="120" t="str">
        <f t="shared" si="56"/>
        <v>OK</v>
      </c>
      <c r="P204">
        <f t="shared" si="57"/>
        <v>1029.2689777504856</v>
      </c>
      <c r="Q204">
        <f t="shared" si="58"/>
        <v>0.49739370072747763</v>
      </c>
      <c r="R204">
        <f t="shared" si="59"/>
        <v>0.16666666666666666</v>
      </c>
      <c r="S204">
        <f t="shared" si="60"/>
        <v>2.0653679653679653</v>
      </c>
      <c r="T204" s="88">
        <f t="shared" si="61"/>
        <v>4</v>
      </c>
      <c r="U204" s="125">
        <f>IF($D204="",0,IFERROR(LOOKUP(2,1/(($D$3:D203=$D204)*($C$3:C203=$C204)*($A$3:A203&lt;$A204)),$AB$3:AB203),1000))</f>
        <v>959.54801353033133</v>
      </c>
      <c r="V204" s="125">
        <f t="shared" si="62"/>
        <v>997.27573885787285</v>
      </c>
      <c r="W204">
        <f t="shared" si="63"/>
        <v>1010.3639499448475</v>
      </c>
      <c r="X204">
        <f t="shared" si="64"/>
        <v>0.48117345488089758</v>
      </c>
      <c r="Y204">
        <f t="shared" si="65"/>
        <v>987.68614960645527</v>
      </c>
      <c r="Z204">
        <f t="shared" si="66"/>
        <v>0.45959426976874912</v>
      </c>
      <c r="AA204">
        <f>IF($D204="",0,IF($F204&lt;2,0,IF($E204="Win",('Guide &amp; Settings'!$C$42/(($F204-1)*COUNTIFS($A$4:$A$311,$A204,$E$4:$E$311,"Win")))*SUMIFS($Z$4:$Z$311,$A$4:$A$311,$A204,$E$4:$E$311,"Loss"),-('Guide &amp; Settings'!$C$42/($F204-1))*$Z204)))</f>
        <v>5.8575023599757596</v>
      </c>
      <c r="AB204" s="125">
        <f t="shared" si="67"/>
        <v>965.40551589030713</v>
      </c>
      <c r="AC204" s="125">
        <f>IF($D204="","",IF(SUMPRODUCT(MAX(($D$4:$D$311=$D204)*($B$4:$B$311&lt;$B204)*$B$4:$B$311))=0,0,MAX(($B204-SUMPRODUCT(MAX(($D$4:$D$311=$D204)*($B$4:$B$311&lt;$B204)*$B$4:$B$311)))/7-'Guide &amp; Settings'!$C$48,0)*'Guide &amp; Settings'!$C$49))</f>
        <v>0</v>
      </c>
    </row>
    <row r="205" spans="1:29" ht="15" customHeight="1" x14ac:dyDescent="0.2">
      <c r="A205" s="116">
        <v>83</v>
      </c>
      <c r="B205" s="117">
        <v>46188</v>
      </c>
      <c r="C205" s="118" t="s">
        <v>214</v>
      </c>
      <c r="D205" s="118" t="s">
        <v>142</v>
      </c>
      <c r="E205" s="116" t="s">
        <v>316</v>
      </c>
      <c r="F205" s="119">
        <f t="shared" si="51"/>
        <v>4</v>
      </c>
      <c r="G205" s="120" t="str">
        <f t="shared" si="52"/>
        <v>Beau</v>
      </c>
      <c r="H205" s="121">
        <f>IF($D205="",0,IFERROR(LOOKUP(2,1/(($D$3:D204=$D205)*($A$3:A204&lt;$A205)),$N$3:N204),'Guide &amp; Settings'!$C$41))</f>
        <v>1031.0800363810649</v>
      </c>
      <c r="I205" s="122">
        <f t="shared" si="53"/>
        <v>0.2766715573255083</v>
      </c>
      <c r="J205" s="123">
        <f>IF($D205="",0,IF($F205&lt;2,0,IF($E205="Win",('Guide &amp; Settings'!$C$42/(($F205-1)*COUNTIFS($A$4:$A$311,$A205,$E$4:$E$311,"Win")))*SUMIFS($X$4:$X$311,$A$4:$A$311,$A205,$E$4:$E$311,"Loss"),-('Guide &amp; Settings'!$C$42/($F205-1))*$X205)))</f>
        <v>6.115566709656691</v>
      </c>
      <c r="K205" s="123">
        <f>IF($D205="",0,'Guide &amp; Settings'!$C$43*(IF($E205="Win",1,0)-$I205))</f>
        <v>8.6799413120939004</v>
      </c>
      <c r="L205" s="124">
        <f>IF($D205="",0,'Guide &amp; Settings'!$C$44*IF($F205&gt;=3,$F205+IF($E205="Win",$F205,0),0))</f>
        <v>8</v>
      </c>
      <c r="M205" s="123">
        <f t="shared" si="54"/>
        <v>22.795508021750592</v>
      </c>
      <c r="N205" s="121">
        <f t="shared" si="55"/>
        <v>1053.8755444028154</v>
      </c>
      <c r="O205" s="120" t="str">
        <f t="shared" si="56"/>
        <v>OK</v>
      </c>
      <c r="P205">
        <f t="shared" si="57"/>
        <v>1029.2689777504856</v>
      </c>
      <c r="Q205">
        <f t="shared" si="58"/>
        <v>0.50260629927252198</v>
      </c>
      <c r="R205">
        <f t="shared" si="59"/>
        <v>0.5714285714285714</v>
      </c>
      <c r="S205">
        <f t="shared" si="60"/>
        <v>2.0653679653679653</v>
      </c>
      <c r="T205" s="88">
        <f t="shared" si="61"/>
        <v>5</v>
      </c>
      <c r="U205" s="125">
        <f>IF($D205="",0,IFERROR(LOOKUP(2,1/(($D$3:D204=$D205)*($C$3:C204=$C205)*($A$3:A204&lt;$A205)),$AB$3:AB204),1000))</f>
        <v>1015.8242856825791</v>
      </c>
      <c r="V205" s="125">
        <f t="shared" si="62"/>
        <v>1023.452161031822</v>
      </c>
      <c r="W205">
        <f t="shared" si="63"/>
        <v>1010.3639499448475</v>
      </c>
      <c r="X205">
        <f t="shared" si="64"/>
        <v>0.5188265451191022</v>
      </c>
      <c r="Y205">
        <f t="shared" si="65"/>
        <v>987.68614960645527</v>
      </c>
      <c r="Z205">
        <f t="shared" si="66"/>
        <v>0.54040573023125071</v>
      </c>
      <c r="AA205">
        <f>IF($D205="",0,IF($F205&lt;2,0,IF($E205="Win",('Guide &amp; Settings'!$C$42/(($F205-1)*COUNTIFS($A$4:$A$311,$A205,$E$4:$E$311,"Win")))*SUMIFS($Z$4:$Z$311,$A$4:$A$311,$A205,$E$4:$E$311,"Loss"),-('Guide &amp; Settings'!$C$42/($F205-1))*$Z205)))</f>
        <v>5.8575023599757596</v>
      </c>
      <c r="AB205" s="125">
        <f t="shared" si="67"/>
        <v>1021.6817880425549</v>
      </c>
      <c r="AC205" s="125">
        <f>IF($D205="","",IF(SUMPRODUCT(MAX(($D$4:$D$311=$D205)*($B$4:$B$311&lt;$B205)*$B$4:$B$311))=0,0,MAX(($B205-SUMPRODUCT(MAX(($D$4:$D$311=$D205)*($B$4:$B$311&lt;$B205)*$B$4:$B$311)))/7-'Guide &amp; Settings'!$C$48,0)*'Guide &amp; Settings'!$C$49))</f>
        <v>0</v>
      </c>
    </row>
    <row r="206" spans="1:29" ht="15" customHeight="1" x14ac:dyDescent="0.2">
      <c r="A206" s="116">
        <v>83</v>
      </c>
      <c r="B206" s="117">
        <v>46188</v>
      </c>
      <c r="C206" s="118" t="s">
        <v>214</v>
      </c>
      <c r="D206" s="118" t="s">
        <v>174</v>
      </c>
      <c r="E206" s="116" t="s">
        <v>317</v>
      </c>
      <c r="F206" s="119">
        <f t="shared" si="51"/>
        <v>4</v>
      </c>
      <c r="G206" s="120" t="str">
        <f t="shared" si="52"/>
        <v>Beau</v>
      </c>
      <c r="H206" s="121">
        <f>IF($D206="",0,IFERROR(LOOKUP(2,1/(($D$3:D205=$D206)*($A$3:A205&lt;$A206)),$N$3:N205),'Guide &amp; Settings'!$C$41))</f>
        <v>1182.798895110644</v>
      </c>
      <c r="I206" s="122">
        <f t="shared" si="53"/>
        <v>0.35212743659610146</v>
      </c>
      <c r="J206" s="123">
        <f>IF($D206="",0,IF($F206&lt;2,0,IF($E206="Win",('Guide &amp; Settings'!$C$42/(($F206-1)*COUNTIFS($A$4:$A$311,$A206,$E$4:$E$311,"Win")))*SUMIFS($X$4:$X$311,$A$4:$A$311,$A206,$E$4:$E$311,"Loss"),-('Guide &amp; Settings'!$C$42/($F206-1))*$X206)))</f>
        <v>-6.5994815072134383</v>
      </c>
      <c r="K206" s="123">
        <f>IF($D206="",0,'Guide &amp; Settings'!$C$43*(IF($E206="Win",1,0)-$I206))</f>
        <v>-4.225529239153218</v>
      </c>
      <c r="L206" s="124">
        <f>IF($D206="",0,'Guide &amp; Settings'!$C$44*IF($F206&gt;=3,$F206+IF($E206="Win",$F206,0),0))</f>
        <v>4</v>
      </c>
      <c r="M206" s="123">
        <f t="shared" si="54"/>
        <v>-6.8250107463666563</v>
      </c>
      <c r="N206" s="121">
        <f t="shared" si="55"/>
        <v>1175.9738843642774</v>
      </c>
      <c r="O206" s="120" t="str">
        <f t="shared" si="56"/>
        <v>OK</v>
      </c>
      <c r="P206">
        <f t="shared" si="57"/>
        <v>1029.2689777504856</v>
      </c>
      <c r="Q206">
        <f t="shared" si="58"/>
        <v>0.70760683045723638</v>
      </c>
      <c r="R206">
        <f t="shared" si="59"/>
        <v>0.72727272727272729</v>
      </c>
      <c r="S206">
        <f t="shared" si="60"/>
        <v>2.0653679653679653</v>
      </c>
      <c r="T206" s="88">
        <f t="shared" si="61"/>
        <v>9</v>
      </c>
      <c r="U206" s="125">
        <f>IF($D206="",0,IFERROR(LOOKUP(2,1/(($D$3:D205=$D206)*($C$3:C205=$C206)*($A$3:A205&lt;$A206)),$AB$3:AB205),1000))</f>
        <v>1045.3677452313345</v>
      </c>
      <c r="V206" s="125">
        <f t="shared" si="62"/>
        <v>1094.4502987596593</v>
      </c>
      <c r="W206">
        <f t="shared" si="63"/>
        <v>1010.3639499448475</v>
      </c>
      <c r="X206">
        <f t="shared" si="64"/>
        <v>0.6187013913012599</v>
      </c>
      <c r="Y206">
        <f t="shared" si="65"/>
        <v>987.68614960645527</v>
      </c>
      <c r="Z206">
        <f t="shared" si="66"/>
        <v>0.58225613298011458</v>
      </c>
      <c r="AA206">
        <f>IF($D206="",0,IF($F206&lt;2,0,IF($E206="Win",('Guide &amp; Settings'!$C$42/(($F206-1)*COUNTIFS($A$4:$A$311,$A206,$E$4:$E$311,"Win")))*SUMIFS($Z$4:$Z$311,$A$4:$A$311,$A206,$E$4:$E$311,"Loss"),-('Guide &amp; Settings'!$C$42/($F206-1))*$Z206)))</f>
        <v>-6.2107320851212222</v>
      </c>
      <c r="AB206" s="125">
        <f t="shared" si="67"/>
        <v>1039.1570131462133</v>
      </c>
      <c r="AC206" s="125">
        <f>IF($D206="","",IF(SUMPRODUCT(MAX(($D$4:$D$311=$D206)*($B$4:$B$311&lt;$B206)*$B$4:$B$311))=0,0,MAX(($B206-SUMPRODUCT(MAX(($D$4:$D$311=$D206)*($B$4:$B$311&lt;$B206)*$B$4:$B$311)))/7-'Guide &amp; Settings'!$C$48,0)*'Guide &amp; Settings'!$C$49))</f>
        <v>0</v>
      </c>
    </row>
    <row r="207" spans="1:29" ht="15" customHeight="1" x14ac:dyDescent="0.2">
      <c r="A207" s="116">
        <v>83</v>
      </c>
      <c r="B207" s="117">
        <v>46188</v>
      </c>
      <c r="C207" s="118" t="s">
        <v>214</v>
      </c>
      <c r="D207" s="118" t="s">
        <v>177</v>
      </c>
      <c r="E207" s="116" t="s">
        <v>317</v>
      </c>
      <c r="F207" s="119">
        <f t="shared" si="51"/>
        <v>4</v>
      </c>
      <c r="G207" s="120" t="str">
        <f t="shared" si="52"/>
        <v>Beau</v>
      </c>
      <c r="H207" s="121">
        <f>IF($D207="",0,IFERROR(LOOKUP(2,1/(($D$3:D206=$D207)*($A$3:A206&lt;$A207)),$N$3:N206),'Guide &amp; Settings'!$C$41))</f>
        <v>1079.4056650748485</v>
      </c>
      <c r="I207" s="122">
        <f t="shared" si="53"/>
        <v>0.29050513519178367</v>
      </c>
      <c r="J207" s="123">
        <f>IF($D207="",0,IF($F207&lt;2,0,IF($E207="Win",('Guide &amp; Settings'!$C$42/(($F207-1)*COUNTIFS($A$4:$A$311,$A207,$E$4:$E$311,"Win")))*SUMIFS($X$4:$X$311,$A$4:$A$311,$A207,$E$4:$E$311,"Loss"),-('Guide &amp; Settings'!$C$42/($F207-1))*$X207)))</f>
        <v>-5.6316519120999438</v>
      </c>
      <c r="K207" s="123">
        <f>IF($D207="",0,'Guide &amp; Settings'!$C$43*(IF($E207="Win",1,0)-$I207))</f>
        <v>-3.486061622301404</v>
      </c>
      <c r="L207" s="124">
        <f>IF($D207="",0,'Guide &amp; Settings'!$C$44*IF($F207&gt;=3,$F207+IF($E207="Win",$F207,0),0))</f>
        <v>4</v>
      </c>
      <c r="M207" s="123">
        <f t="shared" si="54"/>
        <v>-5.1177135344013482</v>
      </c>
      <c r="N207" s="121">
        <f t="shared" si="55"/>
        <v>1074.287951540447</v>
      </c>
      <c r="O207" s="120" t="str">
        <f t="shared" si="56"/>
        <v>OK</v>
      </c>
      <c r="P207">
        <f t="shared" si="57"/>
        <v>1029.2689777504856</v>
      </c>
      <c r="Q207">
        <f t="shared" si="58"/>
        <v>0.57165579708542991</v>
      </c>
      <c r="R207">
        <f t="shared" si="59"/>
        <v>0.6</v>
      </c>
      <c r="S207">
        <f t="shared" si="60"/>
        <v>2.0653679653679653</v>
      </c>
      <c r="T207" s="88">
        <f t="shared" si="61"/>
        <v>8</v>
      </c>
      <c r="U207" s="125">
        <f>IF($D207="",0,IFERROR(LOOKUP(2,1/(($D$3:D206=$D207)*($C$3:C206=$C207)*($A$3:A206&lt;$A207)),$AB$3:AB206),1000))</f>
        <v>998.82566440452536</v>
      </c>
      <c r="V207" s="125">
        <f t="shared" si="62"/>
        <v>1029.8179723546496</v>
      </c>
      <c r="W207">
        <f t="shared" si="63"/>
        <v>1010.3639499448475</v>
      </c>
      <c r="X207">
        <f t="shared" si="64"/>
        <v>0.52796736675936973</v>
      </c>
      <c r="Y207">
        <f t="shared" si="65"/>
        <v>987.68614960645527</v>
      </c>
      <c r="Z207">
        <f t="shared" si="66"/>
        <v>0.51602555951534046</v>
      </c>
      <c r="AA207">
        <f>IF($D207="",0,IF($F207&lt;2,0,IF($E207="Win",('Guide &amp; Settings'!$C$42/(($F207-1)*COUNTIFS($A$4:$A$311,$A207,$E$4:$E$311,"Win")))*SUMIFS($Z$4:$Z$311,$A$4:$A$311,$A207,$E$4:$E$311,"Loss"),-('Guide &amp; Settings'!$C$42/($F207-1))*$Z207)))</f>
        <v>-5.5042726348302979</v>
      </c>
      <c r="AB207" s="125">
        <f t="shared" si="67"/>
        <v>993.32139176969508</v>
      </c>
      <c r="AC207" s="125">
        <f>IF($D207="","",IF(SUMPRODUCT(MAX(($D$4:$D$311=$D207)*($B$4:$B$311&lt;$B207)*$B$4:$B$311))=0,0,MAX(($B207-SUMPRODUCT(MAX(($D$4:$D$311=$D207)*($B$4:$B$311&lt;$B207)*$B$4:$B$311)))/7-'Guide &amp; Settings'!$C$48,0)*'Guide &amp; Settings'!$C$49))</f>
        <v>0</v>
      </c>
    </row>
    <row r="208" spans="1:29" ht="15" customHeight="1" x14ac:dyDescent="0.2">
      <c r="A208" s="116">
        <v>84</v>
      </c>
      <c r="B208" s="117">
        <v>46188</v>
      </c>
      <c r="C208" s="118" t="s">
        <v>214</v>
      </c>
      <c r="D208" s="118" t="s">
        <v>145</v>
      </c>
      <c r="E208" s="116" t="s">
        <v>316</v>
      </c>
      <c r="F208" s="119">
        <f t="shared" si="51"/>
        <v>4</v>
      </c>
      <c r="G208" s="120" t="str">
        <f t="shared" si="52"/>
        <v>Beau</v>
      </c>
      <c r="H208" s="121">
        <f>IF($D208="",0,IFERROR(LOOKUP(2,1/(($D$3:D207=$D208)*($A$3:A207&lt;$A208)),$N$3:N207),'Guide &amp; Settings'!$C$41))</f>
        <v>1052.6051353789235</v>
      </c>
      <c r="I208" s="122">
        <f t="shared" si="53"/>
        <v>0.13462783171521034</v>
      </c>
      <c r="J208" s="123">
        <f>IF($D208="",0,IF($F208&lt;2,0,IF($E208="Win",('Guide &amp; Settings'!$C$42/(($F208-1)*COUNTIFS($A$4:$A$311,$A208,$E$4:$E$311,"Win")))*SUMIFS($X$4:$X$311,$A$4:$A$311,$A208,$E$4:$E$311,"Loss"),-('Guide &amp; Settings'!$C$42/($F208-1))*$X208)))</f>
        <v>5.5392728742296207</v>
      </c>
      <c r="K208" s="123">
        <f>IF($D208="",0,'Guide &amp; Settings'!$C$43*(IF($E208="Win",1,0)-$I208))</f>
        <v>10.384466019417477</v>
      </c>
      <c r="L208" s="124">
        <f>IF($D208="",0,'Guide &amp; Settings'!$C$44*IF($F208&gt;=3,$F208+IF($E208="Win",$F208,0),0))</f>
        <v>8</v>
      </c>
      <c r="M208" s="123">
        <f t="shared" si="54"/>
        <v>23.923738893647098</v>
      </c>
      <c r="N208" s="121">
        <f t="shared" si="55"/>
        <v>1076.5288742725706</v>
      </c>
      <c r="O208" s="120" t="str">
        <f t="shared" si="56"/>
        <v>OK</v>
      </c>
      <c r="P208">
        <f t="shared" si="57"/>
        <v>1053.2403398908696</v>
      </c>
      <c r="Q208">
        <f t="shared" si="58"/>
        <v>0.49908586824338069</v>
      </c>
      <c r="R208">
        <f t="shared" si="59"/>
        <v>0.2857142857142857</v>
      </c>
      <c r="S208">
        <f t="shared" si="60"/>
        <v>2.1222527472527473</v>
      </c>
      <c r="T208" s="88">
        <f t="shared" si="61"/>
        <v>5</v>
      </c>
      <c r="U208" s="125">
        <f>IF($D208="",0,IFERROR(LOOKUP(2,1/(($D$3:D207=$D208)*($C$3:C207=$C208)*($A$3:A207&lt;$A208)),$AB$3:AB207),1000))</f>
        <v>965.40551589030713</v>
      </c>
      <c r="V208" s="125">
        <f t="shared" si="62"/>
        <v>1009.0053256346152</v>
      </c>
      <c r="W208">
        <f t="shared" si="63"/>
        <v>1022.6603196477353</v>
      </c>
      <c r="X208">
        <f t="shared" si="64"/>
        <v>0.4803589958483519</v>
      </c>
      <c r="Y208">
        <f t="shared" si="65"/>
        <v>993.54365196643107</v>
      </c>
      <c r="Z208">
        <f t="shared" si="66"/>
        <v>0.45959426976874912</v>
      </c>
      <c r="AA208">
        <f>IF($D208="",0,IF($F208&lt;2,0,IF($E208="Win",('Guide &amp; Settings'!$C$42/(($F208-1)*COUNTIFS($A$4:$A$311,$A208,$E$4:$E$311,"Win")))*SUMIFS($Z$4:$Z$311,$A$4:$A$311,$A208,$E$4:$E$311,"Loss"),-('Guide &amp; Settings'!$C$42/($F208-1))*$Z208)))</f>
        <v>5.6660298706239702</v>
      </c>
      <c r="AB208" s="125">
        <f t="shared" si="67"/>
        <v>971.07154576093114</v>
      </c>
      <c r="AC208" s="125">
        <f>IF($D208="","",IF(SUMPRODUCT(MAX(($D$4:$D$311=$D208)*($B$4:$B$311&lt;$B208)*$B$4:$B$311))=0,0,MAX(($B208-SUMPRODUCT(MAX(($D$4:$D$311=$D208)*($B$4:$B$311&lt;$B208)*$B$4:$B$311)))/7-'Guide &amp; Settings'!$C$48,0)*'Guide &amp; Settings'!$C$49))</f>
        <v>0</v>
      </c>
    </row>
    <row r="209" spans="1:29" ht="15" customHeight="1" x14ac:dyDescent="0.2">
      <c r="A209" s="116">
        <v>84</v>
      </c>
      <c r="B209" s="117">
        <v>46188</v>
      </c>
      <c r="C209" s="118" t="s">
        <v>214</v>
      </c>
      <c r="D209" s="118" t="s">
        <v>142</v>
      </c>
      <c r="E209" s="116" t="s">
        <v>316</v>
      </c>
      <c r="F209" s="119">
        <f t="shared" si="51"/>
        <v>4</v>
      </c>
      <c r="G209" s="120" t="str">
        <f t="shared" si="52"/>
        <v>Beau</v>
      </c>
      <c r="H209" s="121">
        <f>IF($D209="",0,IFERROR(LOOKUP(2,1/(($D$3:D208=$D209)*($A$3:A208&lt;$A209)),$N$3:N208),'Guide &amp; Settings'!$C$41))</f>
        <v>1053.8755444028154</v>
      </c>
      <c r="I209" s="122">
        <f t="shared" si="53"/>
        <v>0.29449838187702265</v>
      </c>
      <c r="J209" s="123">
        <f>IF($D209="",0,IF($F209&lt;2,0,IF($E209="Win",('Guide &amp; Settings'!$C$42/(($F209-1)*COUNTIFS($A$4:$A$311,$A209,$E$4:$E$311,"Win")))*SUMIFS($X$4:$X$311,$A$4:$A$311,$A209,$E$4:$E$311,"Loss"),-('Guide &amp; Settings'!$C$42/($F209-1))*$X209)))</f>
        <v>5.5392728742296207</v>
      </c>
      <c r="K209" s="123">
        <f>IF($D209="",0,'Guide &amp; Settings'!$C$43*(IF($E209="Win",1,0)-$I209))</f>
        <v>8.4660194174757279</v>
      </c>
      <c r="L209" s="124">
        <f>IF($D209="",0,'Guide &amp; Settings'!$C$44*IF($F209&gt;=3,$F209+IF($E209="Win",$F209,0),0))</f>
        <v>8</v>
      </c>
      <c r="M209" s="123">
        <f t="shared" si="54"/>
        <v>22.005292291705349</v>
      </c>
      <c r="N209" s="121">
        <f t="shared" si="55"/>
        <v>1075.8808366945207</v>
      </c>
      <c r="O209" s="120" t="str">
        <f t="shared" si="56"/>
        <v>OK</v>
      </c>
      <c r="P209">
        <f t="shared" si="57"/>
        <v>1053.2403398908696</v>
      </c>
      <c r="Q209">
        <f t="shared" si="58"/>
        <v>0.50091413175661903</v>
      </c>
      <c r="R209">
        <f t="shared" si="59"/>
        <v>0.625</v>
      </c>
      <c r="S209">
        <f t="shared" si="60"/>
        <v>2.1222527472527473</v>
      </c>
      <c r="T209" s="88">
        <f t="shared" si="61"/>
        <v>6</v>
      </c>
      <c r="U209" s="125">
        <f>IF($D209="",0,IFERROR(LOOKUP(2,1/(($D$3:D208=$D209)*($C$3:C208=$C209)*($A$3:A208&lt;$A209)),$AB$3:AB208),1000))</f>
        <v>1021.6817880425549</v>
      </c>
      <c r="V209" s="125">
        <f t="shared" si="62"/>
        <v>1036.3153136608553</v>
      </c>
      <c r="W209">
        <f t="shared" si="63"/>
        <v>1022.6603196477353</v>
      </c>
      <c r="X209">
        <f t="shared" si="64"/>
        <v>0.51964100415164804</v>
      </c>
      <c r="Y209">
        <f t="shared" si="65"/>
        <v>993.54365196643107</v>
      </c>
      <c r="Z209">
        <f t="shared" si="66"/>
        <v>0.54040573023125071</v>
      </c>
      <c r="AA209">
        <f>IF($D209="",0,IF($F209&lt;2,0,IF($E209="Win",('Guide &amp; Settings'!$C$42/(($F209-1)*COUNTIFS($A$4:$A$311,$A209,$E$4:$E$311,"Win")))*SUMIFS($Z$4:$Z$311,$A$4:$A$311,$A209,$E$4:$E$311,"Loss"),-('Guide &amp; Settings'!$C$42/($F209-1))*$Z209)))</f>
        <v>5.6660298706239702</v>
      </c>
      <c r="AB209" s="125">
        <f t="shared" si="67"/>
        <v>1027.3478179131789</v>
      </c>
      <c r="AC209" s="125">
        <f>IF($D209="","",IF(SUMPRODUCT(MAX(($D$4:$D$311=$D209)*($B$4:$B$311&lt;$B209)*$B$4:$B$311))=0,0,MAX(($B209-SUMPRODUCT(MAX(($D$4:$D$311=$D209)*($B$4:$B$311&lt;$B209)*$B$4:$B$311)))/7-'Guide &amp; Settings'!$C$48,0)*'Guide &amp; Settings'!$C$49))</f>
        <v>0</v>
      </c>
    </row>
    <row r="210" spans="1:29" ht="15" customHeight="1" x14ac:dyDescent="0.2">
      <c r="A210" s="116">
        <v>84</v>
      </c>
      <c r="B210" s="117">
        <v>46188</v>
      </c>
      <c r="C210" s="118" t="s">
        <v>214</v>
      </c>
      <c r="D210" s="118" t="s">
        <v>175</v>
      </c>
      <c r="E210" s="116" t="s">
        <v>317</v>
      </c>
      <c r="F210" s="119">
        <f t="shared" si="51"/>
        <v>4</v>
      </c>
      <c r="G210" s="120" t="str">
        <f t="shared" si="52"/>
        <v>Beau</v>
      </c>
      <c r="H210" s="121">
        <f>IF($D210="",0,IFERROR(LOOKUP(2,1/(($D$3:D209=$D210)*($A$3:A209&lt;$A210)),$N$3:N209),'Guide &amp; Settings'!$C$41))</f>
        <v>1150.2170238004801</v>
      </c>
      <c r="I210" s="122">
        <f t="shared" si="53"/>
        <v>0.35339805825242721</v>
      </c>
      <c r="J210" s="123">
        <f>IF($D210="",0,IF($F210&lt;2,0,IF($E210="Win",('Guide &amp; Settings'!$C$42/(($F210-1)*COUNTIFS($A$4:$A$311,$A210,$E$4:$E$311,"Win")))*SUMIFS($X$4:$X$311,$A$4:$A$311,$A210,$E$4:$E$311,"Loss"),-('Guide &amp; Settings'!$C$42/($F210-1))*$X210)))</f>
        <v>-6.4203327479240393</v>
      </c>
      <c r="K210" s="123">
        <f>IF($D210="",0,'Guide &amp; Settings'!$C$43*(IF($E210="Win",1,0)-$I210))</f>
        <v>-4.2407766990291265</v>
      </c>
      <c r="L210" s="124">
        <f>IF($D210="",0,'Guide &amp; Settings'!$C$44*IF($F210&gt;=3,$F210+IF($E210="Win",$F210,0),0))</f>
        <v>4</v>
      </c>
      <c r="M210" s="123">
        <f t="shared" si="54"/>
        <v>-6.6611094469531658</v>
      </c>
      <c r="N210" s="121">
        <f t="shared" si="55"/>
        <v>1143.555914353527</v>
      </c>
      <c r="O210" s="120" t="str">
        <f t="shared" si="56"/>
        <v>OK</v>
      </c>
      <c r="P210">
        <f t="shared" si="57"/>
        <v>1053.2403398908696</v>
      </c>
      <c r="Q210">
        <f t="shared" si="58"/>
        <v>0.63604582987724578</v>
      </c>
      <c r="R210">
        <f t="shared" si="59"/>
        <v>0.75</v>
      </c>
      <c r="S210">
        <f t="shared" si="60"/>
        <v>2.1222527472527473</v>
      </c>
      <c r="T210" s="88">
        <f t="shared" si="61"/>
        <v>10</v>
      </c>
      <c r="U210" s="125">
        <f>IF($D210="",0,IFERROR(LOOKUP(2,1/(($D$3:D209=$D210)*($C$3:C209=$C210)*($A$3:A209&lt;$A210)),$AB$3:AB209),1000))</f>
        <v>1066.6080040656045</v>
      </c>
      <c r="V210" s="125">
        <f t="shared" si="62"/>
        <v>1094.4776773105632</v>
      </c>
      <c r="W210">
        <f t="shared" si="63"/>
        <v>1022.6603196477353</v>
      </c>
      <c r="X210">
        <f t="shared" si="64"/>
        <v>0.60190619511787868</v>
      </c>
      <c r="Y210">
        <f t="shared" si="65"/>
        <v>993.54365196643107</v>
      </c>
      <c r="Z210">
        <f t="shared" si="66"/>
        <v>0.60362495420452977</v>
      </c>
      <c r="AA210">
        <f>IF($D210="",0,IF($F210&lt;2,0,IF($E210="Win",('Guide &amp; Settings'!$C$42/(($F210-1)*COUNTIFS($A$4:$A$311,$A210,$E$4:$E$311,"Win")))*SUMIFS($Z$4:$Z$311,$A$4:$A$311,$A210,$E$4:$E$311,"Loss"),-('Guide &amp; Settings'!$C$42/($F210-1))*$Z210)))</f>
        <v>-6.4386661781816503</v>
      </c>
      <c r="AB210" s="125">
        <f t="shared" si="67"/>
        <v>1060.1693378874229</v>
      </c>
      <c r="AC210" s="125">
        <f>IF($D210="","",IF(SUMPRODUCT(MAX(($D$4:$D$311=$D210)*($B$4:$B$311&lt;$B210)*$B$4:$B$311))=0,0,MAX(($B210-SUMPRODUCT(MAX(($D$4:$D$311=$D210)*($B$4:$B$311&lt;$B210)*$B$4:$B$311)))/7-'Guide &amp; Settings'!$C$48,0)*'Guide &amp; Settings'!$C$49))</f>
        <v>0</v>
      </c>
    </row>
    <row r="211" spans="1:29" ht="15" customHeight="1" x14ac:dyDescent="0.2">
      <c r="A211" s="116">
        <v>84</v>
      </c>
      <c r="B211" s="117">
        <v>46188</v>
      </c>
      <c r="C211" s="118" t="s">
        <v>214</v>
      </c>
      <c r="D211" s="118" t="s">
        <v>176</v>
      </c>
      <c r="E211" s="116" t="s">
        <v>317</v>
      </c>
      <c r="F211" s="119">
        <f t="shared" si="51"/>
        <v>4</v>
      </c>
      <c r="G211" s="120" t="str">
        <f t="shared" si="52"/>
        <v>Beau</v>
      </c>
      <c r="H211" s="121">
        <f>IF($D211="",0,IFERROR(LOOKUP(2,1/(($D$3:D210=$D211)*($A$3:A210&lt;$A211)),$N$3:N210),'Guide &amp; Settings'!$C$41))</f>
        <v>1008.415991786685</v>
      </c>
      <c r="I211" s="122">
        <f t="shared" si="53"/>
        <v>0.2174757281553398</v>
      </c>
      <c r="J211" s="123">
        <f>IF($D211="",0,IF($F211&lt;2,0,IF($E211="Win",('Guide &amp; Settings'!$C$42/(($F211-1)*COUNTIFS($A$4:$A$311,$A211,$E$4:$E$311,"Win")))*SUMIFS($X$4:$X$311,$A$4:$A$311,$A211,$E$4:$E$311,"Loss"),-('Guide &amp; Settings'!$C$42/($F211-1))*$X211)))</f>
        <v>-4.658213000535202</v>
      </c>
      <c r="K211" s="123">
        <f>IF($D211="",0,'Guide &amp; Settings'!$C$43*(IF($E211="Win",1,0)-$I211))</f>
        <v>-2.6097087378640778</v>
      </c>
      <c r="L211" s="124">
        <f>IF($D211="",0,'Guide &amp; Settings'!$C$44*IF($F211&gt;=3,$F211+IF($E211="Win",$F211,0),0))</f>
        <v>4</v>
      </c>
      <c r="M211" s="123">
        <f t="shared" si="54"/>
        <v>-3.2679217383992798</v>
      </c>
      <c r="N211" s="121">
        <f t="shared" si="55"/>
        <v>1005.1480700482857</v>
      </c>
      <c r="O211" s="120" t="str">
        <f t="shared" si="56"/>
        <v>OK</v>
      </c>
      <c r="P211">
        <f t="shared" si="57"/>
        <v>1053.2403398908696</v>
      </c>
      <c r="Q211">
        <f t="shared" si="58"/>
        <v>0.4358481157261736</v>
      </c>
      <c r="R211">
        <f t="shared" si="59"/>
        <v>0.46153846153846156</v>
      </c>
      <c r="S211">
        <f t="shared" si="60"/>
        <v>2.1222527472527473</v>
      </c>
      <c r="T211" s="88">
        <f t="shared" si="61"/>
        <v>11</v>
      </c>
      <c r="U211" s="125">
        <f>IF($D211="",0,IFERROR(LOOKUP(2,1/(($D$3:D210=$D211)*($C$3:C210=$C211)*($A$3:A210&lt;$A211)),$AB$3:AB210),1000))</f>
        <v>964.81886962643489</v>
      </c>
      <c r="V211" s="125">
        <f t="shared" si="62"/>
        <v>978.44297030151313</v>
      </c>
      <c r="W211">
        <f t="shared" si="63"/>
        <v>1022.6603196477353</v>
      </c>
      <c r="X211">
        <f t="shared" si="64"/>
        <v>0.43670746880017525</v>
      </c>
      <c r="Y211">
        <f t="shared" si="65"/>
        <v>993.54365196643107</v>
      </c>
      <c r="Z211">
        <f t="shared" si="66"/>
        <v>0.45875564653746481</v>
      </c>
      <c r="AA211">
        <f>IF($D211="",0,IF($F211&lt;2,0,IF($E211="Win",('Guide &amp; Settings'!$C$42/(($F211-1)*COUNTIFS($A$4:$A$311,$A211,$E$4:$E$311,"Win")))*SUMIFS($Z$4:$Z$311,$A$4:$A$311,$A211,$E$4:$E$311,"Loss"),-('Guide &amp; Settings'!$C$42/($F211-1))*$Z211)))</f>
        <v>-4.893393563066291</v>
      </c>
      <c r="AB211" s="125">
        <f t="shared" si="67"/>
        <v>959.92547606336859</v>
      </c>
      <c r="AC211" s="125">
        <f>IF($D211="","",IF(SUMPRODUCT(MAX(($D$4:$D$311=$D211)*($B$4:$B$311&lt;$B211)*$B$4:$B$311))=0,0,MAX(($B211-SUMPRODUCT(MAX(($D$4:$D$311=$D211)*($B$4:$B$311&lt;$B211)*$B$4:$B$311)))/7-'Guide &amp; Settings'!$C$48,0)*'Guide &amp; Settings'!$C$49))</f>
        <v>0</v>
      </c>
    </row>
    <row r="212" spans="1:29" ht="15" customHeight="1" x14ac:dyDescent="0.2">
      <c r="A212" s="116">
        <v>85</v>
      </c>
      <c r="B212" s="117">
        <v>46188</v>
      </c>
      <c r="C212" s="118" t="s">
        <v>214</v>
      </c>
      <c r="D212" s="118" t="s">
        <v>178</v>
      </c>
      <c r="E212" s="116" t="s">
        <v>316</v>
      </c>
      <c r="F212" s="119">
        <f t="shared" si="51"/>
        <v>4</v>
      </c>
      <c r="G212" s="120" t="str">
        <f t="shared" si="52"/>
        <v>David</v>
      </c>
      <c r="H212" s="121">
        <f>IF($D212="",0,IFERROR(LOOKUP(2,1/(($D$3:D211=$D212)*($A$3:A211&lt;$A212)),$N$3:N211),'Guide &amp; Settings'!$C$41))</f>
        <v>991.25543008929583</v>
      </c>
      <c r="I212" s="122">
        <f t="shared" si="53"/>
        <v>0.13094310210444274</v>
      </c>
      <c r="J212" s="123">
        <f>IF($D212="",0,IF($F212&lt;2,0,IF($E212="Win",('Guide &amp; Settings'!$C$42/(($F212-1)*COUNTIFS($A$4:$A$311,$A212,$E$4:$E$311,"Win")))*SUMIFS($X$4:$X$311,$A$4:$A$311,$A212,$E$4:$E$311,"Loss"),-('Guide &amp; Settings'!$C$42/($F212-1))*$X212)))</f>
        <v>6.1958465388337487</v>
      </c>
      <c r="K212" s="123">
        <f>IF($D212="",0,'Guide &amp; Settings'!$C$43*(IF($E212="Win",1,0)-$I212))</f>
        <v>10.428682774746687</v>
      </c>
      <c r="L212" s="124">
        <f>IF($D212="",0,'Guide &amp; Settings'!$C$44*IF($F212&gt;=3,$F212+IF($E212="Win",$F212,0),0))</f>
        <v>8</v>
      </c>
      <c r="M212" s="123">
        <f t="shared" si="54"/>
        <v>24.624529313580435</v>
      </c>
      <c r="N212" s="121">
        <f t="shared" si="55"/>
        <v>1015.8799594028762</v>
      </c>
      <c r="O212" s="120" t="str">
        <f t="shared" si="56"/>
        <v>OK</v>
      </c>
      <c r="P212">
        <f t="shared" si="57"/>
        <v>967.40947624229011</v>
      </c>
      <c r="Q212">
        <f t="shared" si="58"/>
        <v>0.53426330224463137</v>
      </c>
      <c r="R212">
        <f t="shared" si="59"/>
        <v>0.2</v>
      </c>
      <c r="S212">
        <f t="shared" si="60"/>
        <v>1.5273809523809523</v>
      </c>
      <c r="T212" s="88">
        <f t="shared" si="61"/>
        <v>3</v>
      </c>
      <c r="U212" s="125">
        <f>IF($D212="",0,IFERROR(LOOKUP(2,1/(($D$3:D211=$D212)*($C$3:C211=$C212)*($A$3:A211&lt;$A212)),$AB$3:AB211),1000))</f>
        <v>984.7993801654037</v>
      </c>
      <c r="V212" s="125">
        <f t="shared" si="62"/>
        <v>988.83441136783631</v>
      </c>
      <c r="W212">
        <f t="shared" si="63"/>
        <v>976.50793132409012</v>
      </c>
      <c r="X212">
        <f t="shared" si="64"/>
        <v>0.51773179157870031</v>
      </c>
      <c r="Y212">
        <f t="shared" si="65"/>
        <v>984.7993801654037</v>
      </c>
      <c r="Z212">
        <f t="shared" si="66"/>
        <v>0.5</v>
      </c>
      <c r="AA212">
        <f>IF($D212="",0,IF($F212&lt;2,0,IF($E212="Win",('Guide &amp; Settings'!$C$42/(($F212-1)*COUNTIFS($A$4:$A$311,$A212,$E$4:$E$311,"Win")))*SUMIFS($Z$4:$Z$311,$A$4:$A$311,$A212,$E$4:$E$311,"Loss"),-('Guide &amp; Settings'!$C$42/($F212-1))*$Z212)))</f>
        <v>5.552971587250271</v>
      </c>
      <c r="AB212" s="125">
        <f t="shared" si="67"/>
        <v>990.35235175265393</v>
      </c>
      <c r="AC212" s="125">
        <f>IF($D212="","",IF(SUMPRODUCT(MAX(($D$4:$D$311=$D212)*($B$4:$B$311&lt;$B212)*$B$4:$B$311))=0,0,MAX(($B212-SUMPRODUCT(MAX(($D$4:$D$311=$D212)*($B$4:$B$311&lt;$B212)*$B$4:$B$311)))/7-'Guide &amp; Settings'!$C$48,0)*'Guide &amp; Settings'!$C$49))</f>
        <v>0</v>
      </c>
    </row>
    <row r="213" spans="1:29" ht="15" customHeight="1" x14ac:dyDescent="0.2">
      <c r="A213" s="116">
        <v>85</v>
      </c>
      <c r="B213" s="117">
        <v>46188</v>
      </c>
      <c r="C213" s="118" t="s">
        <v>214</v>
      </c>
      <c r="D213" s="118" t="s">
        <v>147</v>
      </c>
      <c r="E213" s="116" t="s">
        <v>316</v>
      </c>
      <c r="F213" s="119">
        <f t="shared" si="51"/>
        <v>4</v>
      </c>
      <c r="G213" s="120" t="str">
        <f t="shared" si="52"/>
        <v>David</v>
      </c>
      <c r="H213" s="121">
        <f>IF($D213="",0,IFERROR(LOOKUP(2,1/(($D$3:D212=$D213)*($A$3:A212&lt;$A213)),$N$3:N212),'Guide &amp; Settings'!$C$41))</f>
        <v>943.56352239528428</v>
      </c>
      <c r="I213" s="122">
        <f t="shared" si="53"/>
        <v>0.18706157443491817</v>
      </c>
      <c r="J213" s="123">
        <f>IF($D213="",0,IF($F213&lt;2,0,IF($E213="Win",('Guide &amp; Settings'!$C$42/(($F213-1)*COUNTIFS($A$4:$A$311,$A213,$E$4:$E$311,"Win")))*SUMIFS($X$4:$X$311,$A$4:$A$311,$A213,$E$4:$E$311,"Loss"),-('Guide &amp; Settings'!$C$42/($F213-1))*$X213)))</f>
        <v>6.1958465388337487</v>
      </c>
      <c r="K213" s="123">
        <f>IF($D213="",0,'Guide &amp; Settings'!$C$43*(IF($E213="Win",1,0)-$I213))</f>
        <v>9.7552611067809814</v>
      </c>
      <c r="L213" s="124">
        <f>IF($D213="",0,'Guide &amp; Settings'!$C$44*IF($F213&gt;=3,$F213+IF($E213="Win",$F213,0),0))</f>
        <v>8</v>
      </c>
      <c r="M213" s="123">
        <f t="shared" si="54"/>
        <v>23.95110764561473</v>
      </c>
      <c r="N213" s="121">
        <f t="shared" si="55"/>
        <v>967.51463004089896</v>
      </c>
      <c r="O213" s="120" t="str">
        <f t="shared" si="56"/>
        <v>OK</v>
      </c>
      <c r="P213">
        <f t="shared" si="57"/>
        <v>967.40947624229011</v>
      </c>
      <c r="Q213">
        <f t="shared" si="58"/>
        <v>0.46573669775536836</v>
      </c>
      <c r="R213">
        <f t="shared" si="59"/>
        <v>0.2857142857142857</v>
      </c>
      <c r="S213">
        <f t="shared" si="60"/>
        <v>1.5273809523809523</v>
      </c>
      <c r="T213" s="88">
        <f t="shared" si="61"/>
        <v>5</v>
      </c>
      <c r="U213" s="125">
        <f>IF($D213="",0,IFERROR(LOOKUP(2,1/(($D$3:D212=$D213)*($C$3:C212=$C213)*($A$3:A212&lt;$A213)),$AB$3:AB212),1000))</f>
        <v>984.7993801654037</v>
      </c>
      <c r="V213" s="125">
        <f t="shared" si="62"/>
        <v>964.18145128034394</v>
      </c>
      <c r="W213">
        <f t="shared" si="63"/>
        <v>976.50793132409012</v>
      </c>
      <c r="X213">
        <f t="shared" si="64"/>
        <v>0.48226820842129969</v>
      </c>
      <c r="Y213">
        <f t="shared" si="65"/>
        <v>984.7993801654037</v>
      </c>
      <c r="Z213">
        <f t="shared" si="66"/>
        <v>0.5</v>
      </c>
      <c r="AA213">
        <f>IF($D213="",0,IF($F213&lt;2,0,IF($E213="Win",('Guide &amp; Settings'!$C$42/(($F213-1)*COUNTIFS($A$4:$A$311,$A213,$E$4:$E$311,"Win")))*SUMIFS($Z$4:$Z$311,$A$4:$A$311,$A213,$E$4:$E$311,"Loss"),-('Guide &amp; Settings'!$C$42/($F213-1))*$Z213)))</f>
        <v>5.552971587250271</v>
      </c>
      <c r="AB213" s="125">
        <f t="shared" si="67"/>
        <v>990.35235175265393</v>
      </c>
      <c r="AC213" s="125">
        <f>IF($D213="","",IF(SUMPRODUCT(MAX(($D$4:$D$311=$D213)*($B$4:$B$311&lt;$B213)*$B$4:$B$311))=0,0,MAX(($B213-SUMPRODUCT(MAX(($D$4:$D$311=$D213)*($B$4:$B$311&lt;$B213)*$B$4:$B$311)))/7-'Guide &amp; Settings'!$C$48,0)*'Guide &amp; Settings'!$C$49))</f>
        <v>0</v>
      </c>
    </row>
    <row r="214" spans="1:29" ht="15" customHeight="1" x14ac:dyDescent="0.2">
      <c r="A214" s="116">
        <v>85</v>
      </c>
      <c r="B214" s="117">
        <v>46188</v>
      </c>
      <c r="C214" s="118" t="s">
        <v>214</v>
      </c>
      <c r="D214" s="118" t="s">
        <v>145</v>
      </c>
      <c r="E214" s="116" t="s">
        <v>317</v>
      </c>
      <c r="F214" s="119">
        <f t="shared" si="51"/>
        <v>4</v>
      </c>
      <c r="G214" s="120" t="str">
        <f t="shared" si="52"/>
        <v>David</v>
      </c>
      <c r="H214" s="121">
        <f>IF($D214="",0,IFERROR(LOOKUP(2,1/(($D$3:D213=$D214)*($A$3:A213&lt;$A214)),$N$3:N213),'Guide &amp; Settings'!$C$41))</f>
        <v>1076.5288742725706</v>
      </c>
      <c r="I214" s="122">
        <f t="shared" si="53"/>
        <v>0.24551831644583011</v>
      </c>
      <c r="J214" s="123">
        <f>IF($D214="",0,IF($F214&lt;2,0,IF($E214="Win",('Guide &amp; Settings'!$C$42/(($F214-1)*COUNTIFS($A$4:$A$311,$A214,$E$4:$E$311,"Win")))*SUMIFS($X$4:$X$311,$A$4:$A$311,$A214,$E$4:$E$311,"Loss"),-('Guide &amp; Settings'!$C$42/($F214-1))*$X214)))</f>
        <v>-5.9824790777925507</v>
      </c>
      <c r="K214" s="123">
        <f>IF($D214="",0,'Guide &amp; Settings'!$C$43*(IF($E214="Win",1,0)-$I214))</f>
        <v>-2.9462197973499613</v>
      </c>
      <c r="L214" s="124">
        <f>IF($D214="",0,'Guide &amp; Settings'!$C$44*IF($F214&gt;=3,$F214+IF($E214="Win",$F214,0),0))</f>
        <v>4</v>
      </c>
      <c r="M214" s="123">
        <f t="shared" si="54"/>
        <v>-4.928698875142512</v>
      </c>
      <c r="N214" s="121">
        <f t="shared" si="55"/>
        <v>1071.6001753974281</v>
      </c>
      <c r="O214" s="120" t="str">
        <f t="shared" si="56"/>
        <v>OK</v>
      </c>
      <c r="P214">
        <f t="shared" si="57"/>
        <v>967.40947624229011</v>
      </c>
      <c r="Q214">
        <f t="shared" si="58"/>
        <v>0.65206798991941595</v>
      </c>
      <c r="R214">
        <f t="shared" si="59"/>
        <v>0.375</v>
      </c>
      <c r="S214">
        <f t="shared" si="60"/>
        <v>1.5273809523809523</v>
      </c>
      <c r="T214" s="88">
        <f t="shared" si="61"/>
        <v>6</v>
      </c>
      <c r="U214" s="125">
        <f>IF($D214="",0,IFERROR(LOOKUP(2,1/(($D$3:D213=$D214)*($C$3:C213=$C214)*($A$3:A213&lt;$A214)),$AB$3:AB213),1000))</f>
        <v>971.07154576093114</v>
      </c>
      <c r="V214" s="125">
        <f t="shared" si="62"/>
        <v>1019.0066950844036</v>
      </c>
      <c r="W214">
        <f t="shared" si="63"/>
        <v>976.50793132409012</v>
      </c>
      <c r="X214">
        <f t="shared" si="64"/>
        <v>0.56085741354305163</v>
      </c>
      <c r="Y214">
        <f t="shared" si="65"/>
        <v>984.7993801654037</v>
      </c>
      <c r="Z214">
        <f t="shared" si="66"/>
        <v>0.48025433271639861</v>
      </c>
      <c r="AA214">
        <f>IF($D214="",0,IF($F214&lt;2,0,IF($E214="Win",('Guide &amp; Settings'!$C$42/(($F214-1)*COUNTIFS($A$4:$A$311,$A214,$E$4:$E$311,"Win")))*SUMIFS($Z$4:$Z$311,$A$4:$A$311,$A214,$E$4:$E$311,"Loss"),-('Guide &amp; Settings'!$C$42/($F214-1))*$Z214)))</f>
        <v>-5.1227128823082513</v>
      </c>
      <c r="AB214" s="125">
        <f t="shared" si="67"/>
        <v>965.94883287862285</v>
      </c>
      <c r="AC214" s="125">
        <f>IF($D214="","",IF(SUMPRODUCT(MAX(($D$4:$D$311=$D214)*($B$4:$B$311&lt;$B214)*$B$4:$B$311))=0,0,MAX(($B214-SUMPRODUCT(MAX(($D$4:$D$311=$D214)*($B$4:$B$311&lt;$B214)*$B$4:$B$311)))/7-'Guide &amp; Settings'!$C$48,0)*'Guide &amp; Settings'!$C$49))</f>
        <v>0</v>
      </c>
    </row>
    <row r="215" spans="1:29" ht="15" customHeight="1" x14ac:dyDescent="0.2">
      <c r="A215" s="116">
        <v>85</v>
      </c>
      <c r="B215" s="117">
        <v>46188</v>
      </c>
      <c r="C215" s="118" t="s">
        <v>214</v>
      </c>
      <c r="D215" s="118" t="s">
        <v>142</v>
      </c>
      <c r="E215" s="116" t="s">
        <v>317</v>
      </c>
      <c r="F215" s="119">
        <f t="shared" si="51"/>
        <v>4</v>
      </c>
      <c r="G215" s="120" t="str">
        <f t="shared" si="52"/>
        <v>David</v>
      </c>
      <c r="H215" s="121">
        <f>IF($D215="",0,IFERROR(LOOKUP(2,1/(($D$3:D214=$D215)*($A$3:A214&lt;$A215)),$N$3:N214),'Guide &amp; Settings'!$C$41))</f>
        <v>1075.8808366945207</v>
      </c>
      <c r="I215" s="122">
        <f t="shared" si="53"/>
        <v>0.43647700701480907</v>
      </c>
      <c r="J215" s="123">
        <f>IF($D215="",0,IF($F215&lt;2,0,IF($E215="Win",('Guide &amp; Settings'!$C$42/(($F215-1)*COUNTIFS($A$4:$A$311,$A215,$E$4:$E$311,"Win")))*SUMIFS($X$4:$X$311,$A$4:$A$311,$A215,$E$4:$E$311,"Loss"),-('Guide &amp; Settings'!$C$42/($F215-1))*$X215)))</f>
        <v>-6.4092139998749467</v>
      </c>
      <c r="K215" s="123">
        <f>IF($D215="",0,'Guide &amp; Settings'!$C$43*(IF($E215="Win",1,0)-$I215))</f>
        <v>-5.2377240841777084</v>
      </c>
      <c r="L215" s="124">
        <f>IF($D215="",0,'Guide &amp; Settings'!$C$44*IF($F215&gt;=3,$F215+IF($E215="Win",$F215,0),0))</f>
        <v>4</v>
      </c>
      <c r="M215" s="123">
        <f t="shared" si="54"/>
        <v>-7.6469380840526551</v>
      </c>
      <c r="N215" s="121">
        <f t="shared" si="55"/>
        <v>1068.233898610468</v>
      </c>
      <c r="O215" s="120" t="str">
        <f t="shared" si="56"/>
        <v>OK</v>
      </c>
      <c r="P215">
        <f t="shared" si="57"/>
        <v>967.40947624229011</v>
      </c>
      <c r="Q215">
        <f t="shared" si="58"/>
        <v>0.65122117386058564</v>
      </c>
      <c r="R215">
        <f t="shared" si="59"/>
        <v>0.66666666666666663</v>
      </c>
      <c r="S215">
        <f t="shared" si="60"/>
        <v>1.5273809523809523</v>
      </c>
      <c r="T215" s="88">
        <f t="shared" si="61"/>
        <v>7</v>
      </c>
      <c r="U215" s="125">
        <f>IF($D215="",0,IFERROR(LOOKUP(2,1/(($D$3:D214=$D215)*($C$3:C214=$C215)*($A$3:A214&lt;$A215)),$AB$3:AB214),1000))</f>
        <v>1027.3478179131789</v>
      </c>
      <c r="V215" s="125">
        <f t="shared" si="62"/>
        <v>1047.5699090720714</v>
      </c>
      <c r="W215">
        <f t="shared" si="63"/>
        <v>976.50793132409012</v>
      </c>
      <c r="X215">
        <f t="shared" si="64"/>
        <v>0.60086381248827625</v>
      </c>
      <c r="Y215">
        <f t="shared" si="65"/>
        <v>984.7993801654037</v>
      </c>
      <c r="Z215">
        <f t="shared" si="66"/>
        <v>0.56092783989302741</v>
      </c>
      <c r="AA215">
        <f>IF($D215="",0,IF($F215&lt;2,0,IF($E215="Win",('Guide &amp; Settings'!$C$42/(($F215-1)*COUNTIFS($A$4:$A$311,$A215,$E$4:$E$311,"Win")))*SUMIFS($Z$4:$Z$311,$A$4:$A$311,$A215,$E$4:$E$311,"Loss"),-('Guide &amp; Settings'!$C$42/($F215-1))*$Z215)))</f>
        <v>-5.9832302921922924</v>
      </c>
      <c r="AB215" s="125">
        <f t="shared" si="67"/>
        <v>1021.3645876209866</v>
      </c>
      <c r="AC215" s="125">
        <f>IF($D215="","",IF(SUMPRODUCT(MAX(($D$4:$D$311=$D215)*($B$4:$B$311&lt;$B215)*$B$4:$B$311))=0,0,MAX(($B215-SUMPRODUCT(MAX(($D$4:$D$311=$D215)*($B$4:$B$311&lt;$B215)*$B$4:$B$311)))/7-'Guide &amp; Settings'!$C$48,0)*'Guide &amp; Settings'!$C$49))</f>
        <v>0</v>
      </c>
    </row>
    <row r="216" spans="1:29" ht="15" customHeight="1" x14ac:dyDescent="0.2">
      <c r="A216" s="116">
        <v>86</v>
      </c>
      <c r="B216" s="117">
        <v>46188</v>
      </c>
      <c r="C216" s="118" t="s">
        <v>214</v>
      </c>
      <c r="D216" s="118" t="s">
        <v>178</v>
      </c>
      <c r="E216" s="116" t="s">
        <v>316</v>
      </c>
      <c r="F216" s="119">
        <f t="shared" si="51"/>
        <v>4</v>
      </c>
      <c r="G216" s="120" t="str">
        <f t="shared" si="52"/>
        <v>David</v>
      </c>
      <c r="H216" s="121">
        <f>IF($D216="",0,IFERROR(LOOKUP(2,1/(($D$3:D215=$D216)*($A$3:A215&lt;$A216)),$N$3:N215),'Guide &amp; Settings'!$C$41))</f>
        <v>1015.8799594028762</v>
      </c>
      <c r="I216" s="122">
        <f t="shared" si="53"/>
        <v>0.20168067226890757</v>
      </c>
      <c r="J216" s="123">
        <f>IF($D216="",0,IF($F216&lt;2,0,IF($E216="Win",('Guide &amp; Settings'!$C$42/(($F216-1)*COUNTIFS($A$4:$A$311,$A216,$E$4:$E$311,"Win")))*SUMIFS($X$4:$X$311,$A$4:$A$311,$A216,$E$4:$E$311,"Loss"),-('Guide &amp; Settings'!$C$42/($F216-1))*$X216)))</f>
        <v>6.0818060200227002</v>
      </c>
      <c r="K216" s="123">
        <f>IF($D216="",0,'Guide &amp; Settings'!$C$43*(IF($E216="Win",1,0)-$I216))</f>
        <v>9.5798319327731107</v>
      </c>
      <c r="L216" s="124">
        <f>IF($D216="",0,'Guide &amp; Settings'!$C$44*IF($F216&gt;=3,$F216+IF($E216="Win",$F216,0),0))</f>
        <v>8</v>
      </c>
      <c r="M216" s="123">
        <f t="shared" si="54"/>
        <v>23.661637952795811</v>
      </c>
      <c r="N216" s="121">
        <f t="shared" si="55"/>
        <v>1039.5415973556721</v>
      </c>
      <c r="O216" s="120" t="str">
        <f t="shared" si="56"/>
        <v>OK</v>
      </c>
      <c r="P216">
        <f t="shared" si="57"/>
        <v>991.6972947218876</v>
      </c>
      <c r="Q216">
        <f t="shared" si="58"/>
        <v>0.53474556043754895</v>
      </c>
      <c r="R216">
        <f t="shared" si="59"/>
        <v>0.33333333333333331</v>
      </c>
      <c r="S216">
        <f t="shared" si="60"/>
        <v>1.6527777777777777</v>
      </c>
      <c r="T216" s="88">
        <f t="shared" si="61"/>
        <v>4</v>
      </c>
      <c r="U216" s="125">
        <f>IF($D216="",0,IFERROR(LOOKUP(2,1/(($D$3:D215=$D216)*($C$3:C215=$C216)*($A$3:A215&lt;$A216)),$AB$3:AB215),1000))</f>
        <v>990.35235175265393</v>
      </c>
      <c r="V216" s="125">
        <f t="shared" si="62"/>
        <v>1004.5343560027775</v>
      </c>
      <c r="W216">
        <f t="shared" si="63"/>
        <v>992.25296257958962</v>
      </c>
      <c r="X216">
        <f t="shared" si="64"/>
        <v>0.51766698802155553</v>
      </c>
      <c r="Y216">
        <f t="shared" si="65"/>
        <v>990.35235175265393</v>
      </c>
      <c r="Z216">
        <f t="shared" si="66"/>
        <v>0.5</v>
      </c>
      <c r="AA216">
        <f>IF($D216="",0,IF($F216&lt;2,0,IF($E216="Win",('Guide &amp; Settings'!$C$42/(($F216-1)*COUNTIFS($A$4:$A$311,$A216,$E$4:$E$311,"Win")))*SUMIFS($Z$4:$Z$311,$A$4:$A$311,$A216,$E$4:$E$311,"Loss"),-('Guide &amp; Settings'!$C$42/($F216-1))*$Z216)))</f>
        <v>5.3751331463777881</v>
      </c>
      <c r="AB216" s="125">
        <f t="shared" si="67"/>
        <v>995.72748489903177</v>
      </c>
      <c r="AC216" s="125">
        <f>IF($D216="","",IF(SUMPRODUCT(MAX(($D$4:$D$311=$D216)*($B$4:$B$311&lt;$B216)*$B$4:$B$311))=0,0,MAX(($B216-SUMPRODUCT(MAX(($D$4:$D$311=$D216)*($B$4:$B$311&lt;$B216)*$B$4:$B$311)))/7-'Guide &amp; Settings'!$C$48,0)*'Guide &amp; Settings'!$C$49))</f>
        <v>0</v>
      </c>
    </row>
    <row r="217" spans="1:29" ht="15" customHeight="1" x14ac:dyDescent="0.2">
      <c r="A217" s="116">
        <v>86</v>
      </c>
      <c r="B217" s="117">
        <v>46188</v>
      </c>
      <c r="C217" s="118" t="s">
        <v>214</v>
      </c>
      <c r="D217" s="118" t="s">
        <v>147</v>
      </c>
      <c r="E217" s="116" t="s">
        <v>316</v>
      </c>
      <c r="F217" s="119">
        <f t="shared" si="51"/>
        <v>4</v>
      </c>
      <c r="G217" s="120" t="str">
        <f t="shared" si="52"/>
        <v>David</v>
      </c>
      <c r="H217" s="121">
        <f>IF($D217="",0,IFERROR(LOOKUP(2,1/(($D$3:D216=$D217)*($A$3:A216&lt;$A217)),$N$3:N216),'Guide &amp; Settings'!$C$41))</f>
        <v>967.51463004089896</v>
      </c>
      <c r="I217" s="122">
        <f t="shared" si="53"/>
        <v>0.22689075630252103</v>
      </c>
      <c r="J217" s="123">
        <f>IF($D217="",0,IF($F217&lt;2,0,IF($E217="Win",('Guide &amp; Settings'!$C$42/(($F217-1)*COUNTIFS($A$4:$A$311,$A217,$E$4:$E$311,"Win")))*SUMIFS($X$4:$X$311,$A$4:$A$311,$A217,$E$4:$E$311,"Loss"),-('Guide &amp; Settings'!$C$42/($F217-1))*$X217)))</f>
        <v>6.0818060200227002</v>
      </c>
      <c r="K217" s="123">
        <f>IF($D217="",0,'Guide &amp; Settings'!$C$43*(IF($E217="Win",1,0)-$I217))</f>
        <v>9.2773109243697469</v>
      </c>
      <c r="L217" s="124">
        <f>IF($D217="",0,'Guide &amp; Settings'!$C$44*IF($F217&gt;=3,$F217+IF($E217="Win",$F217,0),0))</f>
        <v>8</v>
      </c>
      <c r="M217" s="123">
        <f t="shared" si="54"/>
        <v>23.359116944392447</v>
      </c>
      <c r="N217" s="121">
        <f t="shared" si="55"/>
        <v>990.8737469852914</v>
      </c>
      <c r="O217" s="120" t="str">
        <f t="shared" si="56"/>
        <v>OK</v>
      </c>
      <c r="P217">
        <f t="shared" si="57"/>
        <v>991.6972947218876</v>
      </c>
      <c r="Q217">
        <f t="shared" si="58"/>
        <v>0.46525443956245105</v>
      </c>
      <c r="R217">
        <f t="shared" si="59"/>
        <v>0.375</v>
      </c>
      <c r="S217">
        <f t="shared" si="60"/>
        <v>1.6527777777777777</v>
      </c>
      <c r="T217" s="88">
        <f t="shared" si="61"/>
        <v>6</v>
      </c>
      <c r="U217" s="125">
        <f>IF($D217="",0,IFERROR(LOOKUP(2,1/(($D$3:D216=$D217)*($C$3:C216=$C217)*($A$3:A216&lt;$A217)),$AB$3:AB216),1000))</f>
        <v>990.35235175265393</v>
      </c>
      <c r="V217" s="125">
        <f t="shared" si="62"/>
        <v>979.97156915640176</v>
      </c>
      <c r="W217">
        <f t="shared" si="63"/>
        <v>992.25296257958962</v>
      </c>
      <c r="X217">
        <f t="shared" si="64"/>
        <v>0.48233301197844453</v>
      </c>
      <c r="Y217">
        <f t="shared" si="65"/>
        <v>990.35235175265393</v>
      </c>
      <c r="Z217">
        <f t="shared" si="66"/>
        <v>0.5</v>
      </c>
      <c r="AA217">
        <f>IF($D217="",0,IF($F217&lt;2,0,IF($E217="Win",('Guide &amp; Settings'!$C$42/(($F217-1)*COUNTIFS($A$4:$A$311,$A217,$E$4:$E$311,"Win")))*SUMIFS($Z$4:$Z$311,$A$4:$A$311,$A217,$E$4:$E$311,"Loss"),-('Guide &amp; Settings'!$C$42/($F217-1))*$Z217)))</f>
        <v>5.3751331463777881</v>
      </c>
      <c r="AB217" s="125">
        <f t="shared" si="67"/>
        <v>995.72748489903177</v>
      </c>
      <c r="AC217" s="125">
        <f>IF($D217="","",IF(SUMPRODUCT(MAX(($D$4:$D$311=$D217)*($B$4:$B$311&lt;$B217)*$B$4:$B$311))=0,0,MAX(($B217-SUMPRODUCT(MAX(($D$4:$D$311=$D217)*($B$4:$B$311&lt;$B217)*$B$4:$B$311)))/7-'Guide &amp; Settings'!$C$48,0)*'Guide &amp; Settings'!$C$49))</f>
        <v>0</v>
      </c>
    </row>
    <row r="218" spans="1:29" ht="15" customHeight="1" x14ac:dyDescent="0.2">
      <c r="A218" s="116">
        <v>86</v>
      </c>
      <c r="B218" s="117">
        <v>46188</v>
      </c>
      <c r="C218" s="118" t="s">
        <v>214</v>
      </c>
      <c r="D218" s="118" t="s">
        <v>141</v>
      </c>
      <c r="E218" s="116" t="s">
        <v>317</v>
      </c>
      <c r="F218" s="119">
        <f t="shared" si="51"/>
        <v>4</v>
      </c>
      <c r="G218" s="120" t="str">
        <f t="shared" si="52"/>
        <v>David</v>
      </c>
      <c r="H218" s="121">
        <f>IF($D218="",0,IFERROR(LOOKUP(2,1/(($D$3:D217=$D218)*($A$3:A217&lt;$A218)),$N$3:N217),'Guide &amp; Settings'!$C$41))</f>
        <v>1041.8596886886442</v>
      </c>
      <c r="I218" s="122">
        <f t="shared" si="53"/>
        <v>0.30252100840336138</v>
      </c>
      <c r="J218" s="123">
        <f>IF($D218="",0,IF($F218&lt;2,0,IF($E218="Win",('Guide &amp; Settings'!$C$42/(($F218-1)*COUNTIFS($A$4:$A$311,$A218,$E$4:$E$311,"Win")))*SUMIFS($X$4:$X$311,$A$4:$A$311,$A218,$E$4:$E$311,"Loss"),-('Guide &amp; Settings'!$C$42/($F218-1))*$X218)))</f>
        <v>-5.7022334063294986</v>
      </c>
      <c r="K218" s="123">
        <f>IF($D218="",0,'Guide &amp; Settings'!$C$43*(IF($E218="Win",1,0)-$I218))</f>
        <v>-3.6302521008403366</v>
      </c>
      <c r="L218" s="124">
        <f>IF($D218="",0,'Guide &amp; Settings'!$C$44*IF($F218&gt;=3,$F218+IF($E218="Win",$F218,0),0))</f>
        <v>4</v>
      </c>
      <c r="M218" s="123">
        <f t="shared" si="54"/>
        <v>-5.3324855071698352</v>
      </c>
      <c r="N218" s="121">
        <f t="shared" si="55"/>
        <v>1036.5272031814743</v>
      </c>
      <c r="O218" s="120" t="str">
        <f t="shared" si="56"/>
        <v>OK</v>
      </c>
      <c r="P218">
        <f t="shared" si="57"/>
        <v>991.6972947218876</v>
      </c>
      <c r="Q218">
        <f t="shared" si="58"/>
        <v>0.5716920317256311</v>
      </c>
      <c r="R218">
        <f t="shared" si="59"/>
        <v>0.5</v>
      </c>
      <c r="S218">
        <f t="shared" si="60"/>
        <v>1.6527777777777777</v>
      </c>
      <c r="T218" s="88">
        <f t="shared" si="61"/>
        <v>8</v>
      </c>
      <c r="U218" s="125">
        <f>IF($D218="",0,IFERROR(LOOKUP(2,1/(($D$3:D217=$D218)*($C$3:C217=$C218)*($A$3:A217&lt;$A218)),$AB$3:AB217),1000))</f>
        <v>1000.3627125129412</v>
      </c>
      <c r="V218" s="125">
        <f t="shared" si="62"/>
        <v>1016.3230879651346</v>
      </c>
      <c r="W218">
        <f t="shared" si="63"/>
        <v>992.25296257958962</v>
      </c>
      <c r="X218">
        <f t="shared" si="64"/>
        <v>0.53458438184339052</v>
      </c>
      <c r="Y218">
        <f t="shared" si="65"/>
        <v>990.35235175265393</v>
      </c>
      <c r="Z218">
        <f t="shared" si="66"/>
        <v>0.51440208214060656</v>
      </c>
      <c r="AA218">
        <f>IF($D218="",0,IF($F218&lt;2,0,IF($E218="Win",('Guide &amp; Settings'!$C$42/(($F218-1)*COUNTIFS($A$4:$A$311,$A218,$E$4:$E$311,"Win")))*SUMIFS($Z$4:$Z$311,$A$4:$A$311,$A218,$E$4:$E$311,"Loss"),-('Guide &amp; Settings'!$C$42/($F218-1))*$Z218)))</f>
        <v>-5.4869555428331367</v>
      </c>
      <c r="AB218" s="125">
        <f t="shared" si="67"/>
        <v>994.87575697010811</v>
      </c>
      <c r="AC218" s="125">
        <f>IF($D218="","",IF(SUMPRODUCT(MAX(($D$4:$D$311=$D218)*($B$4:$B$311&lt;$B218)*$B$4:$B$311))=0,0,MAX(($B218-SUMPRODUCT(MAX(($D$4:$D$311=$D218)*($B$4:$B$311&lt;$B218)*$B$4:$B$311)))/7-'Guide &amp; Settings'!$C$48,0)*'Guide &amp; Settings'!$C$49))</f>
        <v>0</v>
      </c>
    </row>
    <row r="219" spans="1:29" ht="15" customHeight="1" x14ac:dyDescent="0.2">
      <c r="A219" s="116">
        <v>86</v>
      </c>
      <c r="B219" s="117">
        <v>46188</v>
      </c>
      <c r="C219" s="118" t="s">
        <v>214</v>
      </c>
      <c r="D219" s="118" t="s">
        <v>144</v>
      </c>
      <c r="E219" s="116" t="s">
        <v>317</v>
      </c>
      <c r="F219" s="119">
        <f t="shared" si="51"/>
        <v>4</v>
      </c>
      <c r="G219" s="120" t="str">
        <f t="shared" si="52"/>
        <v>David</v>
      </c>
      <c r="H219" s="121">
        <f>IF($D219="",0,IFERROR(LOOKUP(2,1/(($D$3:D218=$D219)*($A$3:A218&lt;$A219)),$N$3:N218),'Guide &amp; Settings'!$C$41))</f>
        <v>1180.3686394291749</v>
      </c>
      <c r="I219" s="122">
        <f t="shared" si="53"/>
        <v>0.26890756302521007</v>
      </c>
      <c r="J219" s="123">
        <f>IF($D219="",0,IF($F219&lt;2,0,IF($E219="Win",('Guide &amp; Settings'!$C$42/(($F219-1)*COUNTIFS($A$4:$A$311,$A219,$E$4:$E$311,"Win")))*SUMIFS($X$4:$X$311,$A$4:$A$311,$A219,$E$4:$E$311,"Loss"),-('Guide &amp; Settings'!$C$42/($F219-1))*$X219)))</f>
        <v>-6.4613786337159009</v>
      </c>
      <c r="K219" s="123">
        <f>IF($D219="",0,'Guide &amp; Settings'!$C$43*(IF($E219="Win",1,0)-$I219))</f>
        <v>-3.2268907563025211</v>
      </c>
      <c r="L219" s="124">
        <f>IF($D219="",0,'Guide &amp; Settings'!$C$44*IF($F219&gt;=3,$F219+IF($E219="Win",$F219,0),0))</f>
        <v>4</v>
      </c>
      <c r="M219" s="123">
        <f t="shared" si="54"/>
        <v>-5.6882693900184229</v>
      </c>
      <c r="N219" s="121">
        <f t="shared" si="55"/>
        <v>1174.6803700391565</v>
      </c>
      <c r="O219" s="120" t="str">
        <f t="shared" si="56"/>
        <v>OK</v>
      </c>
      <c r="P219">
        <f t="shared" si="57"/>
        <v>991.6972947218876</v>
      </c>
      <c r="Q219">
        <f t="shared" si="58"/>
        <v>0.74764275941014968</v>
      </c>
      <c r="R219">
        <f t="shared" si="59"/>
        <v>0.44444444444444442</v>
      </c>
      <c r="S219">
        <f t="shared" si="60"/>
        <v>1.6527777777777777</v>
      </c>
      <c r="T219" s="88">
        <f t="shared" si="61"/>
        <v>7</v>
      </c>
      <c r="U219" s="125">
        <f>IF($D219="",0,IFERROR(LOOKUP(2,1/(($D$3:D218=$D219)*($C$3:C218=$C219)*($A$3:A218&lt;$A219)),$AB$3:AB218),1000))</f>
        <v>985.79052638539679</v>
      </c>
      <c r="V219" s="125">
        <f t="shared" si="62"/>
        <v>1066.8647401536377</v>
      </c>
      <c r="W219">
        <f t="shared" si="63"/>
        <v>992.25296257958962</v>
      </c>
      <c r="X219">
        <f t="shared" si="64"/>
        <v>0.60575424691086577</v>
      </c>
      <c r="Y219">
        <f t="shared" si="65"/>
        <v>990.35235175265393</v>
      </c>
      <c r="Z219">
        <f t="shared" si="66"/>
        <v>0.49343538280522869</v>
      </c>
      <c r="AA219">
        <f>IF($D219="",0,IF($F219&lt;2,0,IF($E219="Win",('Guide &amp; Settings'!$C$42/(($F219-1)*COUNTIFS($A$4:$A$311,$A219,$E$4:$E$311,"Win")))*SUMIFS($Z$4:$Z$311,$A$4:$A$311,$A219,$E$4:$E$311,"Loss"),-('Guide &amp; Settings'!$C$42/($F219-1))*$Z219)))</f>
        <v>-5.2633107499224394</v>
      </c>
      <c r="AB219" s="125">
        <f t="shared" si="67"/>
        <v>980.52721563547436</v>
      </c>
      <c r="AC219" s="125">
        <f>IF($D219="","",IF(SUMPRODUCT(MAX(($D$4:$D$311=$D219)*($B$4:$B$311&lt;$B219)*$B$4:$B$311))=0,0,MAX(($B219-SUMPRODUCT(MAX(($D$4:$D$311=$D219)*($B$4:$B$311&lt;$B219)*$B$4:$B$311)))/7-'Guide &amp; Settings'!$C$48,0)*'Guide &amp; Settings'!$C$49))</f>
        <v>0</v>
      </c>
    </row>
    <row r="220" spans="1:29" ht="15" customHeight="1" x14ac:dyDescent="0.2">
      <c r="A220" s="116">
        <v>87</v>
      </c>
      <c r="B220" s="117">
        <v>46188</v>
      </c>
      <c r="C220" s="118" t="s">
        <v>193</v>
      </c>
      <c r="D220" s="118" t="s">
        <v>175</v>
      </c>
      <c r="E220" s="116" t="s">
        <v>316</v>
      </c>
      <c r="F220" s="119">
        <f t="shared" si="51"/>
        <v>2</v>
      </c>
      <c r="G220" s="120" t="str">
        <f t="shared" si="52"/>
        <v>Simon</v>
      </c>
      <c r="H220" s="121">
        <f>IF($D220="",0,IFERROR(LOOKUP(2,1/(($D$3:D219=$D220)*($A$3:A219&lt;$A220)),$N$3:N219),'Guide &amp; Settings'!$C$41))</f>
        <v>1143.555914353527</v>
      </c>
      <c r="I220" s="122">
        <f t="shared" si="53"/>
        <v>0.5</v>
      </c>
      <c r="J220" s="123">
        <f>IF($D220="",0,IF($F220&lt;2,0,IF($E220="Win",('Guide &amp; Settings'!$C$42/(($F220-1)*COUNTIFS($A$4:$A$311,$A220,$E$4:$E$311,"Win")))*SUMIFS($X$4:$X$311,$A$4:$A$311,$A220,$E$4:$E$311,"Loss"),-('Guide &amp; Settings'!$C$42/($F220-1))*$X220)))</f>
        <v>13.805375923456788</v>
      </c>
      <c r="K220" s="123">
        <f>IF($D220="",0,'Guide &amp; Settings'!$C$43*(IF($E220="Win",1,0)-$I220))</f>
        <v>6</v>
      </c>
      <c r="L220" s="124">
        <f>IF($D220="",0,'Guide &amp; Settings'!$C$44*IF($F220&gt;=3,$F220+IF($E220="Win",$F220,0),0))</f>
        <v>0</v>
      </c>
      <c r="M220" s="123">
        <f t="shared" si="54"/>
        <v>19.805375923456786</v>
      </c>
      <c r="N220" s="121">
        <f t="shared" si="55"/>
        <v>1163.3612902769837</v>
      </c>
      <c r="O220" s="120" t="str">
        <f t="shared" si="56"/>
        <v>OK</v>
      </c>
      <c r="P220">
        <f t="shared" si="57"/>
        <v>1143.555914353527</v>
      </c>
      <c r="Q220">
        <f t="shared" si="58"/>
        <v>0.5</v>
      </c>
      <c r="R220">
        <f t="shared" si="59"/>
        <v>0.5</v>
      </c>
      <c r="S220">
        <f t="shared" si="60"/>
        <v>1</v>
      </c>
      <c r="T220" s="88">
        <f t="shared" si="61"/>
        <v>0</v>
      </c>
      <c r="U220" s="125">
        <f>IF($D220="",0,IFERROR(LOOKUP(2,1/(($D$3:D219=$D220)*($C$3:C219=$C220)*($A$3:A219&lt;$A220)),$AB$3:AB219),1000))</f>
        <v>1000</v>
      </c>
      <c r="V220" s="125">
        <f t="shared" si="62"/>
        <v>1143.555914353527</v>
      </c>
      <c r="W220">
        <f t="shared" si="63"/>
        <v>1143.555914353527</v>
      </c>
      <c r="X220">
        <f t="shared" si="64"/>
        <v>0.5</v>
      </c>
      <c r="Y220">
        <f t="shared" si="65"/>
        <v>1000</v>
      </c>
      <c r="Z220">
        <f t="shared" si="66"/>
        <v>0.5</v>
      </c>
      <c r="AA220">
        <f>IF($D220="",0,IF($F220&lt;2,0,IF($E220="Win",('Guide &amp; Settings'!$C$42/(($F220-1)*COUNTIFS($A$4:$A$311,$A220,$E$4:$E$311,"Win")))*SUMIFS($Z$4:$Z$311,$A$4:$A$311,$A220,$E$4:$E$311,"Loss"),-('Guide &amp; Settings'!$C$42/($F220-1))*$Z220)))</f>
        <v>15.775654816736873</v>
      </c>
      <c r="AB220" s="125">
        <f t="shared" si="67"/>
        <v>1015.7756548167368</v>
      </c>
      <c r="AC220" s="125">
        <f>IF($D220="","",IF(SUMPRODUCT(MAX(($D$4:$D$311=$D220)*($B$4:$B$311&lt;$B220)*$B$4:$B$311))=0,0,MAX(($B220-SUMPRODUCT(MAX(($D$4:$D$311=$D220)*($B$4:$B$311&lt;$B220)*$B$4:$B$311)))/7-'Guide &amp; Settings'!$C$48,0)*'Guide &amp; Settings'!$C$49))</f>
        <v>0</v>
      </c>
    </row>
    <row r="221" spans="1:29" ht="15" customHeight="1" x14ac:dyDescent="0.2">
      <c r="A221" s="116">
        <v>87</v>
      </c>
      <c r="B221" s="117">
        <v>46188</v>
      </c>
      <c r="C221" s="118" t="s">
        <v>193</v>
      </c>
      <c r="D221" s="118" t="s">
        <v>174</v>
      </c>
      <c r="E221" s="116" t="s">
        <v>317</v>
      </c>
      <c r="F221" s="119">
        <f t="shared" si="51"/>
        <v>2</v>
      </c>
      <c r="G221" s="120" t="str">
        <f t="shared" si="52"/>
        <v>Simon</v>
      </c>
      <c r="H221" s="121">
        <f>IF($D221="",0,IFERROR(LOOKUP(2,1/(($D$3:D220=$D221)*($A$3:A220&lt;$A221)),$N$3:N220),'Guide &amp; Settings'!$C$41))</f>
        <v>1175.9738843642774</v>
      </c>
      <c r="I221" s="122">
        <f t="shared" si="53"/>
        <v>0.5</v>
      </c>
      <c r="J221" s="123">
        <f>IF($D221="",0,IF($F221&lt;2,0,IF($E221="Win",('Guide &amp; Settings'!$C$42/(($F221-1)*COUNTIFS($A$4:$A$311,$A221,$E$4:$E$311,"Win")))*SUMIFS($X$4:$X$311,$A$4:$A$311,$A221,$E$4:$E$311,"Loss"),-('Guide &amp; Settings'!$C$42/($F221-1))*$X221)))</f>
        <v>-13.805375923456788</v>
      </c>
      <c r="K221" s="123">
        <f>IF($D221="",0,'Guide &amp; Settings'!$C$43*(IF($E221="Win",1,0)-$I221))</f>
        <v>-6</v>
      </c>
      <c r="L221" s="124">
        <f>IF($D221="",0,'Guide &amp; Settings'!$C$44*IF($F221&gt;=3,$F221+IF($E221="Win",$F221,0),0))</f>
        <v>0</v>
      </c>
      <c r="M221" s="123">
        <f t="shared" si="54"/>
        <v>-19.805375923456786</v>
      </c>
      <c r="N221" s="121">
        <f t="shared" si="55"/>
        <v>1156.1685084408207</v>
      </c>
      <c r="O221" s="120" t="str">
        <f t="shared" si="56"/>
        <v>OK</v>
      </c>
      <c r="P221">
        <f t="shared" si="57"/>
        <v>1143.555914353527</v>
      </c>
      <c r="Q221">
        <f t="shared" si="58"/>
        <v>0.54651828990921414</v>
      </c>
      <c r="R221">
        <f t="shared" si="59"/>
        <v>0.5</v>
      </c>
      <c r="S221">
        <f t="shared" si="60"/>
        <v>1</v>
      </c>
      <c r="T221" s="88">
        <f t="shared" si="61"/>
        <v>4</v>
      </c>
      <c r="U221" s="125">
        <f>IF($D221="",0,IFERROR(LOOKUP(2,1/(($D$3:D220=$D221)*($C$3:C220=$C221)*($A$3:A220&lt;$A221)),$AB$3:AB220),1000))</f>
        <v>995.12808694655291</v>
      </c>
      <c r="V221" s="125">
        <f t="shared" si="62"/>
        <v>1095.5979744008441</v>
      </c>
      <c r="W221">
        <f t="shared" si="63"/>
        <v>1143.555914353527</v>
      </c>
      <c r="X221">
        <f t="shared" si="64"/>
        <v>0.43141799760802463</v>
      </c>
      <c r="Y221">
        <f t="shared" si="65"/>
        <v>1000</v>
      </c>
      <c r="Z221">
        <f t="shared" si="66"/>
        <v>0.49298921302302728</v>
      </c>
      <c r="AA221">
        <f>IF($D221="",0,IF($F221&lt;2,0,IF($E221="Win",('Guide &amp; Settings'!$C$42/(($F221-1)*COUNTIFS($A$4:$A$311,$A221,$E$4:$E$311,"Win")))*SUMIFS($Z$4:$Z$311,$A$4:$A$311,$A221,$E$4:$E$311,"Loss"),-('Guide &amp; Settings'!$C$42/($F221-1))*$Z221)))</f>
        <v>-15.775654816736873</v>
      </c>
      <c r="AB221" s="125">
        <f t="shared" si="67"/>
        <v>979.35243212981607</v>
      </c>
      <c r="AC221" s="125">
        <f>IF($D221="","",IF(SUMPRODUCT(MAX(($D$4:$D$311=$D221)*($B$4:$B$311&lt;$B221)*$B$4:$B$311))=0,0,MAX(($B221-SUMPRODUCT(MAX(($D$4:$D$311=$D221)*($B$4:$B$311&lt;$B221)*$B$4:$B$311)))/7-'Guide &amp; Settings'!$C$48,0)*'Guide &amp; Settings'!$C$49))</f>
        <v>0</v>
      </c>
    </row>
    <row r="222" spans="1:29" ht="15" customHeight="1" x14ac:dyDescent="0.2">
      <c r="A222" s="116">
        <v>88</v>
      </c>
      <c r="B222" s="117">
        <v>46188</v>
      </c>
      <c r="C222" s="118" t="s">
        <v>193</v>
      </c>
      <c r="D222" s="118" t="s">
        <v>175</v>
      </c>
      <c r="E222" s="116" t="s">
        <v>316</v>
      </c>
      <c r="F222" s="119">
        <f t="shared" si="51"/>
        <v>2</v>
      </c>
      <c r="G222" s="120" t="str">
        <f t="shared" si="52"/>
        <v>Simon</v>
      </c>
      <c r="H222" s="121">
        <f>IF($D222="",0,IFERROR(LOOKUP(2,1/(($D$3:D221=$D222)*($A$3:A221&lt;$A222)),$N$3:N221),'Guide &amp; Settings'!$C$41))</f>
        <v>1163.3612902769837</v>
      </c>
      <c r="I222" s="122">
        <f t="shared" si="53"/>
        <v>0.60869565217391308</v>
      </c>
      <c r="J222" s="123">
        <f>IF($D222="",0,IF($F222&lt;2,0,IF($E222="Win",('Guide &amp; Settings'!$C$42/(($F222-1)*COUNTIFS($A$4:$A$311,$A222,$E$4:$E$311,"Win")))*SUMIFS($X$4:$X$311,$A$4:$A$311,$A222,$E$4:$E$311,"Loss"),-('Guide &amp; Settings'!$C$42/($F222-1))*$X222)))</f>
        <v>12.77495413092444</v>
      </c>
      <c r="K222" s="123">
        <f>IF($D222="",0,'Guide &amp; Settings'!$C$43*(IF($E222="Win",1,0)-$I222))</f>
        <v>4.695652173913043</v>
      </c>
      <c r="L222" s="124">
        <f>IF($D222="",0,'Guide &amp; Settings'!$C$44*IF($F222&gt;=3,$F222+IF($E222="Win",$F222,0),0))</f>
        <v>0</v>
      </c>
      <c r="M222" s="123">
        <f t="shared" si="54"/>
        <v>17.470606304837482</v>
      </c>
      <c r="N222" s="121">
        <f t="shared" si="55"/>
        <v>1180.8318965818212</v>
      </c>
      <c r="O222" s="120" t="str">
        <f t="shared" si="56"/>
        <v>OK</v>
      </c>
      <c r="P222">
        <f t="shared" si="57"/>
        <v>1163.3612902769837</v>
      </c>
      <c r="Q222">
        <f t="shared" si="58"/>
        <v>0.5</v>
      </c>
      <c r="R222">
        <f t="shared" si="59"/>
        <v>0.66666666666666663</v>
      </c>
      <c r="S222">
        <f t="shared" si="60"/>
        <v>1.0952380952380951</v>
      </c>
      <c r="T222" s="88">
        <f t="shared" si="61"/>
        <v>1</v>
      </c>
      <c r="U222" s="125">
        <f>IF($D222="",0,IFERROR(LOOKUP(2,1/(($D$3:D221=$D222)*($C$3:C221=$C222)*($A$3:A221&lt;$A222)),$AB$3:AB221),1000))</f>
        <v>1015.7756548167368</v>
      </c>
      <c r="V222" s="125">
        <f t="shared" si="62"/>
        <v>1138.7636843669425</v>
      </c>
      <c r="W222">
        <f t="shared" si="63"/>
        <v>1138.7636843669425</v>
      </c>
      <c r="X222">
        <f t="shared" si="64"/>
        <v>0.5</v>
      </c>
      <c r="Y222">
        <f t="shared" si="65"/>
        <v>1015.7756548167368</v>
      </c>
      <c r="Z222">
        <f t="shared" si="66"/>
        <v>0.5</v>
      </c>
      <c r="AA222">
        <f>IF($D222="",0,IF($F222&lt;2,0,IF($E222="Win",('Guide &amp; Settings'!$C$42/(($F222-1)*COUNTIFS($A$4:$A$311,$A222,$E$4:$E$311,"Win")))*SUMIFS($Z$4:$Z$311,$A$4:$A$311,$A222,$E$4:$E$311,"Loss"),-('Guide &amp; Settings'!$C$42/($F222-1))*$Z222)))</f>
        <v>14.328766559400348</v>
      </c>
      <c r="AB222" s="125">
        <f t="shared" si="67"/>
        <v>1030.1044213761372</v>
      </c>
      <c r="AC222" s="125">
        <f>IF($D222="","",IF(SUMPRODUCT(MAX(($D$4:$D$311=$D222)*($B$4:$B$311&lt;$B222)*$B$4:$B$311))=0,0,MAX(($B222-SUMPRODUCT(MAX(($D$4:$D$311=$D222)*($B$4:$B$311&lt;$B222)*$B$4:$B$311)))/7-'Guide &amp; Settings'!$C$48,0)*'Guide &amp; Settings'!$C$49))</f>
        <v>0</v>
      </c>
    </row>
    <row r="223" spans="1:29" ht="15" customHeight="1" x14ac:dyDescent="0.2">
      <c r="A223" s="116">
        <v>88</v>
      </c>
      <c r="B223" s="117">
        <v>46188</v>
      </c>
      <c r="C223" s="118" t="s">
        <v>193</v>
      </c>
      <c r="D223" s="118" t="s">
        <v>174</v>
      </c>
      <c r="E223" s="116" t="s">
        <v>317</v>
      </c>
      <c r="F223" s="119">
        <f t="shared" si="51"/>
        <v>2</v>
      </c>
      <c r="G223" s="120" t="str">
        <f t="shared" si="52"/>
        <v>Simon</v>
      </c>
      <c r="H223" s="121">
        <f>IF($D223="",0,IFERROR(LOOKUP(2,1/(($D$3:D222=$D223)*($A$3:A222&lt;$A223)),$N$3:N222),'Guide &amp; Settings'!$C$41))</f>
        <v>1156.1685084408207</v>
      </c>
      <c r="I223" s="122">
        <f t="shared" si="53"/>
        <v>0.39130434782608697</v>
      </c>
      <c r="J223" s="123">
        <f>IF($D223="",0,IF($F223&lt;2,0,IF($E223="Win",('Guide &amp; Settings'!$C$42/(($F223-1)*COUNTIFS($A$4:$A$311,$A223,$E$4:$E$311,"Win")))*SUMIFS($X$4:$X$311,$A$4:$A$311,$A223,$E$4:$E$311,"Loss"),-('Guide &amp; Settings'!$C$42/($F223-1))*$X223)))</f>
        <v>-12.77495413092444</v>
      </c>
      <c r="K223" s="123">
        <f>IF($D223="",0,'Guide &amp; Settings'!$C$43*(IF($E223="Win",1,0)-$I223))</f>
        <v>-4.6956521739130439</v>
      </c>
      <c r="L223" s="124">
        <f>IF($D223="",0,'Guide &amp; Settings'!$C$44*IF($F223&gt;=3,$F223+IF($E223="Win",$F223,0),0))</f>
        <v>0</v>
      </c>
      <c r="M223" s="123">
        <f t="shared" si="54"/>
        <v>-17.470606304837485</v>
      </c>
      <c r="N223" s="121">
        <f t="shared" si="55"/>
        <v>1138.6979021359832</v>
      </c>
      <c r="O223" s="120" t="str">
        <f t="shared" si="56"/>
        <v>OK</v>
      </c>
      <c r="P223">
        <f t="shared" si="57"/>
        <v>1163.3612902769837</v>
      </c>
      <c r="Q223">
        <f t="shared" si="58"/>
        <v>0.48965023342492314</v>
      </c>
      <c r="R223">
        <f t="shared" si="59"/>
        <v>0.42857142857142855</v>
      </c>
      <c r="S223">
        <f t="shared" si="60"/>
        <v>1.0952380952380951</v>
      </c>
      <c r="T223" s="88">
        <f t="shared" si="61"/>
        <v>5</v>
      </c>
      <c r="U223" s="125">
        <f>IF($D223="",0,IFERROR(LOOKUP(2,1/(($D$3:D222=$D223)*($C$3:C222=$C223)*($A$3:A222&lt;$A223)),$AB$3:AB222),1000))</f>
        <v>979.35243212981607</v>
      </c>
      <c r="V223" s="125">
        <f t="shared" si="62"/>
        <v>1067.7604702853184</v>
      </c>
      <c r="W223">
        <f t="shared" si="63"/>
        <v>1138.7636843669425</v>
      </c>
      <c r="X223">
        <f t="shared" si="64"/>
        <v>0.39921731659138876</v>
      </c>
      <c r="Y223">
        <f t="shared" si="65"/>
        <v>1015.7756548167368</v>
      </c>
      <c r="Z223">
        <f t="shared" si="66"/>
        <v>0.44777395498126088</v>
      </c>
      <c r="AA223">
        <f>IF($D223="",0,IF($F223&lt;2,0,IF($E223="Win",('Guide &amp; Settings'!$C$42/(($F223-1)*COUNTIFS($A$4:$A$311,$A223,$E$4:$E$311,"Win")))*SUMIFS($Z$4:$Z$311,$A$4:$A$311,$A223,$E$4:$E$311,"Loss"),-('Guide &amp; Settings'!$C$42/($F223-1))*$Z223)))</f>
        <v>-14.328766559400348</v>
      </c>
      <c r="AB223" s="125">
        <f t="shared" si="67"/>
        <v>965.02366557041569</v>
      </c>
      <c r="AC223" s="125">
        <f>IF($D223="","",IF(SUMPRODUCT(MAX(($D$4:$D$311=$D223)*($B$4:$B$311&lt;$B223)*$B$4:$B$311))=0,0,MAX(($B223-SUMPRODUCT(MAX(($D$4:$D$311=$D223)*($B$4:$B$311&lt;$B223)*$B$4:$B$311)))/7-'Guide &amp; Settings'!$C$48,0)*'Guide &amp; Settings'!$C$49))</f>
        <v>0</v>
      </c>
    </row>
    <row r="224" spans="1:29" ht="15" customHeight="1" x14ac:dyDescent="0.2">
      <c r="A224" s="116">
        <v>89</v>
      </c>
      <c r="B224" s="117">
        <v>46188</v>
      </c>
      <c r="C224" s="118" t="s">
        <v>205</v>
      </c>
      <c r="D224" s="118" t="s">
        <v>177</v>
      </c>
      <c r="E224" s="116" t="s">
        <v>316</v>
      </c>
      <c r="F224" s="119">
        <f t="shared" si="51"/>
        <v>3</v>
      </c>
      <c r="G224" s="120" t="str">
        <f t="shared" si="52"/>
        <v>Daniel (Ferret)</v>
      </c>
      <c r="H224" s="121">
        <f>IF($D224="",0,IFERROR(LOOKUP(2,1/(($D$3:D223=$D224)*($A$3:A223&lt;$A224)),$N$3:N223),'Guide &amp; Settings'!$C$41))</f>
        <v>1074.287951540447</v>
      </c>
      <c r="I224" s="122">
        <f t="shared" si="53"/>
        <v>0.33333333333333331</v>
      </c>
      <c r="J224" s="123">
        <f>IF($D224="",0,IF($F224&lt;2,0,IF($E224="Win",('Guide &amp; Settings'!$C$42/(($F224-1)*COUNTIFS($A$4:$A$311,$A224,$E$4:$E$311,"Win")))*SUMIFS($X$4:$X$311,$A$4:$A$311,$A224,$E$4:$E$311,"Loss"),-('Guide &amp; Settings'!$C$42/($F224-1))*$X224)))</f>
        <v>13.562616887620567</v>
      </c>
      <c r="K224" s="123">
        <f>IF($D224="",0,'Guide &amp; Settings'!$C$43*(IF($E224="Win",1,0)-$I224))</f>
        <v>8</v>
      </c>
      <c r="L224" s="124">
        <f>IF($D224="",0,'Guide &amp; Settings'!$C$44*IF($F224&gt;=3,$F224+IF($E224="Win",$F224,0),0))</f>
        <v>6</v>
      </c>
      <c r="M224" s="123">
        <f t="shared" si="54"/>
        <v>27.562616887620567</v>
      </c>
      <c r="N224" s="121">
        <f t="shared" si="55"/>
        <v>1101.8505684280676</v>
      </c>
      <c r="O224" s="120" t="str">
        <f t="shared" si="56"/>
        <v>OK</v>
      </c>
      <c r="P224">
        <f t="shared" si="57"/>
        <v>1074.287951540447</v>
      </c>
      <c r="Q224">
        <f t="shared" si="58"/>
        <v>0.5</v>
      </c>
      <c r="R224">
        <f t="shared" si="59"/>
        <v>0.5</v>
      </c>
      <c r="S224">
        <f t="shared" si="60"/>
        <v>1.5</v>
      </c>
      <c r="T224" s="88">
        <f t="shared" si="61"/>
        <v>0</v>
      </c>
      <c r="U224" s="125">
        <f>IF($D224="",0,IFERROR(LOOKUP(2,1/(($D$3:D223=$D224)*($C$3:C223=$C224)*($A$3:A223&lt;$A224)),$AB$3:AB223),1000))</f>
        <v>1000</v>
      </c>
      <c r="V224" s="125">
        <f t="shared" si="62"/>
        <v>1074.287951540447</v>
      </c>
      <c r="W224">
        <f t="shared" si="63"/>
        <v>1074.287951540447</v>
      </c>
      <c r="X224">
        <f t="shared" si="64"/>
        <v>0.5</v>
      </c>
      <c r="Y224">
        <f t="shared" si="65"/>
        <v>1000</v>
      </c>
      <c r="Z224">
        <f t="shared" si="66"/>
        <v>0.5</v>
      </c>
      <c r="AA224">
        <f>IF($D224="",0,IF($F224&lt;2,0,IF($E224="Win",('Guide &amp; Settings'!$C$42/(($F224-1)*COUNTIFS($A$4:$A$311,$A224,$E$4:$E$311,"Win")))*SUMIFS($Z$4:$Z$311,$A$4:$A$311,$A224,$E$4:$E$311,"Loss"),-('Guide &amp; Settings'!$C$42/($F224-1))*$Z224)))</f>
        <v>16</v>
      </c>
      <c r="AB224" s="125">
        <f t="shared" si="67"/>
        <v>1016</v>
      </c>
      <c r="AC224" s="125">
        <f>IF($D224="","",IF(SUMPRODUCT(MAX(($D$4:$D$311=$D224)*($B$4:$B$311&lt;$B224)*$B$4:$B$311))=0,0,MAX(($B224-SUMPRODUCT(MAX(($D$4:$D$311=$D224)*($B$4:$B$311&lt;$B224)*$B$4:$B$311)))/7-'Guide &amp; Settings'!$C$48,0)*'Guide &amp; Settings'!$C$49))</f>
        <v>0</v>
      </c>
    </row>
    <row r="225" spans="1:29" ht="15" customHeight="1" x14ac:dyDescent="0.2">
      <c r="A225" s="116">
        <v>89</v>
      </c>
      <c r="B225" s="117">
        <v>46188</v>
      </c>
      <c r="C225" s="118" t="s">
        <v>205</v>
      </c>
      <c r="D225" s="118" t="s">
        <v>176</v>
      </c>
      <c r="E225" s="116" t="s">
        <v>317</v>
      </c>
      <c r="F225" s="119">
        <f t="shared" si="51"/>
        <v>3</v>
      </c>
      <c r="G225" s="120" t="str">
        <f t="shared" si="52"/>
        <v>Daniel (Ferret)</v>
      </c>
      <c r="H225" s="121">
        <f>IF($D225="",0,IFERROR(LOOKUP(2,1/(($D$3:D224=$D225)*($A$3:A224&lt;$A225)),$N$3:N224),'Guide &amp; Settings'!$C$41))</f>
        <v>1005.1480700482857</v>
      </c>
      <c r="I225" s="122">
        <f t="shared" si="53"/>
        <v>0.33333333333333331</v>
      </c>
      <c r="J225" s="123">
        <f>IF($D225="",0,IF($F225&lt;2,0,IF($E225="Win",('Guide &amp; Settings'!$C$42/(($F225-1)*COUNTIFS($A$4:$A$311,$A225,$E$4:$E$311,"Win")))*SUMIFS($X$4:$X$311,$A$4:$A$311,$A225,$E$4:$E$311,"Loss"),-('Guide &amp; Settings'!$C$42/($F225-1))*$X225)))</f>
        <v>-6.4286828703745478</v>
      </c>
      <c r="K225" s="123">
        <f>IF($D225="",0,'Guide &amp; Settings'!$C$43*(IF($E225="Win",1,0)-$I225))</f>
        <v>-4</v>
      </c>
      <c r="L225" s="124">
        <f>IF($D225="",0,'Guide &amp; Settings'!$C$44*IF($F225&gt;=3,$F225+IF($E225="Win",$F225,0),0))</f>
        <v>3</v>
      </c>
      <c r="M225" s="123">
        <f t="shared" si="54"/>
        <v>-7.4286828703745478</v>
      </c>
      <c r="N225" s="121">
        <f t="shared" si="55"/>
        <v>997.71938717791113</v>
      </c>
      <c r="O225" s="120" t="str">
        <f t="shared" si="56"/>
        <v>OK</v>
      </c>
      <c r="P225">
        <f t="shared" si="57"/>
        <v>1074.287951540447</v>
      </c>
      <c r="Q225">
        <f t="shared" si="58"/>
        <v>0.40179267939840924</v>
      </c>
      <c r="R225">
        <f t="shared" si="59"/>
        <v>0.5</v>
      </c>
      <c r="S225">
        <f t="shared" si="60"/>
        <v>1.5</v>
      </c>
      <c r="T225" s="88">
        <f t="shared" si="61"/>
        <v>0</v>
      </c>
      <c r="U225" s="125">
        <f>IF($D225="",0,IFERROR(LOOKUP(2,1/(($D$3:D224=$D225)*($C$3:C224=$C225)*($A$3:A224&lt;$A225)),$AB$3:AB224),1000))</f>
        <v>1000</v>
      </c>
      <c r="V225" s="125">
        <f t="shared" si="62"/>
        <v>1005.1480700482857</v>
      </c>
      <c r="W225">
        <f t="shared" si="63"/>
        <v>1074.287951540447</v>
      </c>
      <c r="X225">
        <f t="shared" si="64"/>
        <v>0.40179267939840924</v>
      </c>
      <c r="Y225">
        <f t="shared" si="65"/>
        <v>1000</v>
      </c>
      <c r="Z225">
        <f t="shared" si="66"/>
        <v>0.5</v>
      </c>
      <c r="AA225">
        <f>IF($D225="",0,IF($F225&lt;2,0,IF($E225="Win",('Guide &amp; Settings'!$C$42/(($F225-1)*COUNTIFS($A$4:$A$311,$A225,$E$4:$E$311,"Win")))*SUMIFS($Z$4:$Z$311,$A$4:$A$311,$A225,$E$4:$E$311,"Loss"),-('Guide &amp; Settings'!$C$42/($F225-1))*$Z225)))</f>
        <v>-8</v>
      </c>
      <c r="AB225" s="125">
        <f t="shared" si="67"/>
        <v>992</v>
      </c>
      <c r="AC225" s="125">
        <f>IF($D225="","",IF(SUMPRODUCT(MAX(($D$4:$D$311=$D225)*($B$4:$B$311&lt;$B225)*$B$4:$B$311))=0,0,MAX(($B225-SUMPRODUCT(MAX(($D$4:$D$311=$D225)*($B$4:$B$311&lt;$B225)*$B$4:$B$311)))/7-'Guide &amp; Settings'!$C$48,0)*'Guide &amp; Settings'!$C$49))</f>
        <v>0</v>
      </c>
    </row>
    <row r="226" spans="1:29" ht="15" customHeight="1" x14ac:dyDescent="0.2">
      <c r="A226" s="116">
        <v>89</v>
      </c>
      <c r="B226" s="117">
        <v>46188</v>
      </c>
      <c r="C226" s="118" t="s">
        <v>205</v>
      </c>
      <c r="D226" s="118" t="s">
        <v>141</v>
      </c>
      <c r="E226" s="116" t="s">
        <v>317</v>
      </c>
      <c r="F226" s="119">
        <f t="shared" si="51"/>
        <v>3</v>
      </c>
      <c r="G226" s="120" t="str">
        <f t="shared" si="52"/>
        <v>Daniel (Ferret)</v>
      </c>
      <c r="H226" s="121">
        <f>IF($D226="",0,IFERROR(LOOKUP(2,1/(($D$3:D225=$D226)*($A$3:A225&lt;$A226)),$N$3:N225),'Guide &amp; Settings'!$C$41))</f>
        <v>1036.5272031814743</v>
      </c>
      <c r="I226" s="122">
        <f t="shared" si="53"/>
        <v>0.33333333333333331</v>
      </c>
      <c r="J226" s="123">
        <f>IF($D226="",0,IF($F226&lt;2,0,IF($E226="Win",('Guide &amp; Settings'!$C$42/(($F226-1)*COUNTIFS($A$4:$A$311,$A226,$E$4:$E$311,"Win")))*SUMIFS($X$4:$X$311,$A$4:$A$311,$A226,$E$4:$E$311,"Loss"),-('Guide &amp; Settings'!$C$42/($F226-1))*$X226)))</f>
        <v>-7.1339340172460197</v>
      </c>
      <c r="K226" s="123">
        <f>IF($D226="",0,'Guide &amp; Settings'!$C$43*(IF($E226="Win",1,0)-$I226))</f>
        <v>-4</v>
      </c>
      <c r="L226" s="124">
        <f>IF($D226="",0,'Guide &amp; Settings'!$C$44*IF($F226&gt;=3,$F226+IF($E226="Win",$F226,0),0))</f>
        <v>3</v>
      </c>
      <c r="M226" s="123">
        <f t="shared" si="54"/>
        <v>-8.1339340172460197</v>
      </c>
      <c r="N226" s="121">
        <f t="shared" si="55"/>
        <v>1028.3932691642283</v>
      </c>
      <c r="O226" s="120" t="str">
        <f t="shared" si="56"/>
        <v>OK</v>
      </c>
      <c r="P226">
        <f t="shared" si="57"/>
        <v>1074.287951540447</v>
      </c>
      <c r="Q226">
        <f t="shared" si="58"/>
        <v>0.44587087607787623</v>
      </c>
      <c r="R226">
        <f t="shared" si="59"/>
        <v>0.5</v>
      </c>
      <c r="S226">
        <f t="shared" si="60"/>
        <v>1.5</v>
      </c>
      <c r="T226" s="88">
        <f t="shared" si="61"/>
        <v>0</v>
      </c>
      <c r="U226" s="125">
        <f>IF($D226="",0,IFERROR(LOOKUP(2,1/(($D$3:D225=$D226)*($C$3:C225=$C226)*($A$3:A225&lt;$A226)),$AB$3:AB225),1000))</f>
        <v>1000</v>
      </c>
      <c r="V226" s="125">
        <f t="shared" si="62"/>
        <v>1036.5272031814743</v>
      </c>
      <c r="W226">
        <f t="shared" si="63"/>
        <v>1074.287951540447</v>
      </c>
      <c r="X226">
        <f t="shared" si="64"/>
        <v>0.44587087607787623</v>
      </c>
      <c r="Y226">
        <f t="shared" si="65"/>
        <v>1000</v>
      </c>
      <c r="Z226">
        <f t="shared" si="66"/>
        <v>0.5</v>
      </c>
      <c r="AA226">
        <f>IF($D226="",0,IF($F226&lt;2,0,IF($E226="Win",('Guide &amp; Settings'!$C$42/(($F226-1)*COUNTIFS($A$4:$A$311,$A226,$E$4:$E$311,"Win")))*SUMIFS($Z$4:$Z$311,$A$4:$A$311,$A226,$E$4:$E$311,"Loss"),-('Guide &amp; Settings'!$C$42/($F226-1))*$Z226)))</f>
        <v>-8</v>
      </c>
      <c r="AB226" s="125">
        <f t="shared" si="67"/>
        <v>992</v>
      </c>
      <c r="AC226" s="125">
        <f>IF($D226="","",IF(SUMPRODUCT(MAX(($D$4:$D$311=$D226)*($B$4:$B$311&lt;$B226)*$B$4:$B$311))=0,0,MAX(($B226-SUMPRODUCT(MAX(($D$4:$D$311=$D226)*($B$4:$B$311&lt;$B226)*$B$4:$B$311)))/7-'Guide &amp; Settings'!$C$48,0)*'Guide &amp; Settings'!$C$49))</f>
        <v>0</v>
      </c>
    </row>
    <row r="227" spans="1:29" ht="15" customHeight="1" x14ac:dyDescent="0.2">
      <c r="A227" s="116">
        <v>90</v>
      </c>
      <c r="B227" s="117">
        <v>46188</v>
      </c>
      <c r="C227" s="118" t="s">
        <v>203</v>
      </c>
      <c r="D227" s="118" t="s">
        <v>176</v>
      </c>
      <c r="E227" s="116" t="s">
        <v>316</v>
      </c>
      <c r="F227" s="119">
        <f t="shared" si="51"/>
        <v>2</v>
      </c>
      <c r="G227" s="120" t="str">
        <f t="shared" si="52"/>
        <v>Oscar</v>
      </c>
      <c r="H227" s="121">
        <f>IF($D227="",0,IFERROR(LOOKUP(2,1/(($D$3:D226=$D227)*($A$3:A226&lt;$A227)),$N$3:N226),'Guide &amp; Settings'!$C$41))</f>
        <v>997.71938717791113</v>
      </c>
      <c r="I227" s="122">
        <f t="shared" si="53"/>
        <v>0.4</v>
      </c>
      <c r="J227" s="123">
        <f>IF($D227="",0,IF($F227&lt;2,0,IF($E227="Win",('Guide &amp; Settings'!$C$42/(($F227-1)*COUNTIFS($A$4:$A$311,$A227,$E$4:$E$311,"Win")))*SUMIFS($X$4:$X$311,$A$4:$A$311,$A227,$E$4:$E$311,"Loss"),-('Guide &amp; Settings'!$C$42/($F227-1))*$X227)))</f>
        <v>24.265845926922491</v>
      </c>
      <c r="K227" s="123">
        <f>IF($D227="",0,'Guide &amp; Settings'!$C$43*(IF($E227="Win",1,0)-$I227))</f>
        <v>7.1999999999999993</v>
      </c>
      <c r="L227" s="124">
        <f>IF($D227="",0,'Guide &amp; Settings'!$C$44*IF($F227&gt;=3,$F227+IF($E227="Win",$F227,0),0))</f>
        <v>0</v>
      </c>
      <c r="M227" s="123">
        <f t="shared" si="54"/>
        <v>31.465845926922491</v>
      </c>
      <c r="N227" s="121">
        <f t="shared" si="55"/>
        <v>1029.1852331048335</v>
      </c>
      <c r="O227" s="120" t="str">
        <f t="shared" si="56"/>
        <v>OK</v>
      </c>
      <c r="P227">
        <f t="shared" si="57"/>
        <v>997.71938717791113</v>
      </c>
      <c r="Q227">
        <f t="shared" si="58"/>
        <v>0.5</v>
      </c>
      <c r="R227">
        <f t="shared" si="59"/>
        <v>0.33333333333333331</v>
      </c>
      <c r="S227">
        <f t="shared" si="60"/>
        <v>0.83333333333333326</v>
      </c>
      <c r="T227" s="88">
        <f t="shared" si="61"/>
        <v>7</v>
      </c>
      <c r="U227" s="125">
        <f>IF($D227="",0,IFERROR(LOOKUP(2,1/(($D$3:D226=$D227)*($C$3:C226=$C227)*($A$3:A226&lt;$A227)),$AB$3:AB226),1000))</f>
        <v>971.11275211420309</v>
      </c>
      <c r="V227" s="125">
        <f t="shared" si="62"/>
        <v>982.1988500574148</v>
      </c>
      <c r="W227">
        <f t="shared" si="63"/>
        <v>982.1988500574148</v>
      </c>
      <c r="X227">
        <f t="shared" si="64"/>
        <v>0.5</v>
      </c>
      <c r="Y227">
        <f t="shared" si="65"/>
        <v>971.11275211420309</v>
      </c>
      <c r="Z227">
        <f t="shared" si="66"/>
        <v>0.5</v>
      </c>
      <c r="AA227">
        <f>IF($D227="",0,IF($F227&lt;2,0,IF($E227="Win",('Guide &amp; Settings'!$C$42/(($F227-1)*COUNTIFS($A$4:$A$311,$A227,$E$4:$E$311,"Win")))*SUMIFS($Z$4:$Z$311,$A$4:$A$311,$A227,$E$4:$E$311,"Loss"),-('Guide &amp; Settings'!$C$42/($F227-1))*$Z227)))</f>
        <v>17.327249929355109</v>
      </c>
      <c r="AB227" s="125">
        <f t="shared" si="67"/>
        <v>988.44000204355825</v>
      </c>
      <c r="AC227" s="125">
        <f>IF($D227="","",IF(SUMPRODUCT(MAX(($D$4:$D$311=$D227)*($B$4:$B$311&lt;$B227)*$B$4:$B$311))=0,0,MAX(($B227-SUMPRODUCT(MAX(($D$4:$D$311=$D227)*($B$4:$B$311&lt;$B227)*$B$4:$B$311)))/7-'Guide &amp; Settings'!$C$48,0)*'Guide &amp; Settings'!$C$49))</f>
        <v>0</v>
      </c>
    </row>
    <row r="228" spans="1:29" ht="15" customHeight="1" x14ac:dyDescent="0.2">
      <c r="A228" s="116">
        <v>90</v>
      </c>
      <c r="B228" s="117">
        <v>46188</v>
      </c>
      <c r="C228" s="118" t="s">
        <v>203</v>
      </c>
      <c r="D228" s="118" t="s">
        <v>175</v>
      </c>
      <c r="E228" s="116" t="s">
        <v>317</v>
      </c>
      <c r="F228" s="119">
        <f t="shared" si="51"/>
        <v>2</v>
      </c>
      <c r="G228" s="120" t="str">
        <f t="shared" si="52"/>
        <v>Oscar</v>
      </c>
      <c r="H228" s="121">
        <f>IF($D228="",0,IFERROR(LOOKUP(2,1/(($D$3:D227=$D228)*($A$3:A227&lt;$A228)),$N$3:N227),'Guide &amp; Settings'!$C$41))</f>
        <v>1180.8318965818212</v>
      </c>
      <c r="I228" s="122">
        <f t="shared" si="53"/>
        <v>0.60000000000000009</v>
      </c>
      <c r="J228" s="123">
        <f>IF($D228="",0,IF($F228&lt;2,0,IF($E228="Win",('Guide &amp; Settings'!$C$42/(($F228-1)*COUNTIFS($A$4:$A$311,$A228,$E$4:$E$311,"Win")))*SUMIFS($X$4:$X$311,$A$4:$A$311,$A228,$E$4:$E$311,"Loss"),-('Guide &amp; Settings'!$C$42/($F228-1))*$X228)))</f>
        <v>-24.265845926922491</v>
      </c>
      <c r="K228" s="123">
        <f>IF($D228="",0,'Guide &amp; Settings'!$C$43*(IF($E228="Win",1,0)-$I228))</f>
        <v>-7.2000000000000011</v>
      </c>
      <c r="L228" s="124">
        <f>IF($D228="",0,'Guide &amp; Settings'!$C$44*IF($F228&gt;=3,$F228+IF($E228="Win",$F228,0),0))</f>
        <v>0</v>
      </c>
      <c r="M228" s="123">
        <f t="shared" si="54"/>
        <v>-31.465845926922491</v>
      </c>
      <c r="N228" s="121">
        <f t="shared" si="55"/>
        <v>1149.3660506548988</v>
      </c>
      <c r="O228" s="120" t="str">
        <f t="shared" si="56"/>
        <v>OK</v>
      </c>
      <c r="P228">
        <f t="shared" si="57"/>
        <v>997.71938717791113</v>
      </c>
      <c r="Q228">
        <f t="shared" si="58"/>
        <v>0.7415576656270253</v>
      </c>
      <c r="R228">
        <f t="shared" si="59"/>
        <v>0.5</v>
      </c>
      <c r="S228">
        <f t="shared" si="60"/>
        <v>0.83333333333333326</v>
      </c>
      <c r="T228" s="88">
        <f t="shared" si="61"/>
        <v>0</v>
      </c>
      <c r="U228" s="125">
        <f>IF($D228="",0,IFERROR(LOOKUP(2,1/(($D$3:D227=$D228)*($C$3:C227=$C228)*($A$3:A227&lt;$A228)),$AB$3:AB227),1000))</f>
        <v>1000</v>
      </c>
      <c r="V228" s="125">
        <f t="shared" si="62"/>
        <v>1180.8318965818212</v>
      </c>
      <c r="W228">
        <f t="shared" si="63"/>
        <v>982.1988500574148</v>
      </c>
      <c r="X228">
        <f t="shared" si="64"/>
        <v>0.75830768521632785</v>
      </c>
      <c r="Y228">
        <f t="shared" si="65"/>
        <v>971.11275211420309</v>
      </c>
      <c r="Z228">
        <f t="shared" si="66"/>
        <v>0.54147656029234714</v>
      </c>
      <c r="AA228">
        <f>IF($D228="",0,IF($F228&lt;2,0,IF($E228="Win",('Guide &amp; Settings'!$C$42/(($F228-1)*COUNTIFS($A$4:$A$311,$A228,$E$4:$E$311,"Win")))*SUMIFS($Z$4:$Z$311,$A$4:$A$311,$A228,$E$4:$E$311,"Loss"),-('Guide &amp; Settings'!$C$42/($F228-1))*$Z228)))</f>
        <v>-17.327249929355109</v>
      </c>
      <c r="AB228" s="125">
        <f t="shared" si="67"/>
        <v>982.67275007064484</v>
      </c>
      <c r="AC228" s="125">
        <f>IF($D228="","",IF(SUMPRODUCT(MAX(($D$4:$D$311=$D228)*($B$4:$B$311&lt;$B228)*$B$4:$B$311))=0,0,MAX(($B228-SUMPRODUCT(MAX(($D$4:$D$311=$D228)*($B$4:$B$311&lt;$B228)*$B$4:$B$311)))/7-'Guide &amp; Settings'!$C$48,0)*'Guide &amp; Settings'!$C$49))</f>
        <v>0</v>
      </c>
    </row>
    <row r="229" spans="1:29" ht="15" customHeight="1" x14ac:dyDescent="0.2">
      <c r="A229" s="116">
        <v>91</v>
      </c>
      <c r="B229" s="117">
        <v>46188</v>
      </c>
      <c r="C229" s="118" t="s">
        <v>203</v>
      </c>
      <c r="D229" s="118" t="s">
        <v>176</v>
      </c>
      <c r="E229" s="116" t="s">
        <v>316</v>
      </c>
      <c r="F229" s="119">
        <f t="shared" si="51"/>
        <v>2</v>
      </c>
      <c r="G229" s="120" t="str">
        <f t="shared" si="52"/>
        <v>Oscar</v>
      </c>
      <c r="H229" s="121">
        <f>IF($D229="",0,IFERROR(LOOKUP(2,1/(($D$3:D228=$D229)*($A$3:A228&lt;$A229)),$N$3:N228),'Guide &amp; Settings'!$C$41))</f>
        <v>1029.1852331048335</v>
      </c>
      <c r="I229" s="122">
        <f t="shared" si="53"/>
        <v>0.54545454545454541</v>
      </c>
      <c r="J229" s="123">
        <f>IF($D229="",0,IF($F229&lt;2,0,IF($E229="Win",('Guide &amp; Settings'!$C$42/(($F229-1)*COUNTIFS($A$4:$A$311,$A229,$E$4:$E$311,"Win")))*SUMIFS($X$4:$X$311,$A$4:$A$311,$A229,$E$4:$E$311,"Loss"),-('Guide &amp; Settings'!$C$42/($F229-1))*$X229)))</f>
        <v>21.212671673718589</v>
      </c>
      <c r="K229" s="123">
        <f>IF($D229="",0,'Guide &amp; Settings'!$C$43*(IF($E229="Win",1,0)-$I229))</f>
        <v>5.454545454545455</v>
      </c>
      <c r="L229" s="124">
        <f>IF($D229="",0,'Guide &amp; Settings'!$C$44*IF($F229&gt;=3,$F229+IF($E229="Win",$F229,0),0))</f>
        <v>0</v>
      </c>
      <c r="M229" s="123">
        <f t="shared" si="54"/>
        <v>26.667217128264042</v>
      </c>
      <c r="N229" s="121">
        <f t="shared" si="55"/>
        <v>1055.8524502330974</v>
      </c>
      <c r="O229" s="120" t="str">
        <f t="shared" si="56"/>
        <v>OK</v>
      </c>
      <c r="P229">
        <f t="shared" si="57"/>
        <v>1029.1852331048335</v>
      </c>
      <c r="Q229">
        <f t="shared" si="58"/>
        <v>0.5</v>
      </c>
      <c r="R229">
        <f t="shared" si="59"/>
        <v>0.4</v>
      </c>
      <c r="S229">
        <f t="shared" si="60"/>
        <v>0.73333333333333339</v>
      </c>
      <c r="T229" s="88">
        <f t="shared" si="61"/>
        <v>8</v>
      </c>
      <c r="U229" s="125">
        <f>IF($D229="",0,IFERROR(LOOKUP(2,1/(($D$3:D228=$D229)*($C$3:C228=$C229)*($A$3:A228&lt;$A229)),$AB$3:AB228),1000))</f>
        <v>988.44000204355825</v>
      </c>
      <c r="V229" s="125">
        <f t="shared" si="62"/>
        <v>1004.1112447594334</v>
      </c>
      <c r="W229">
        <f t="shared" si="63"/>
        <v>1004.1112447594334</v>
      </c>
      <c r="X229">
        <f t="shared" si="64"/>
        <v>0.5</v>
      </c>
      <c r="Y229">
        <f t="shared" si="65"/>
        <v>988.44000204355825</v>
      </c>
      <c r="Z229">
        <f t="shared" si="66"/>
        <v>0.5</v>
      </c>
      <c r="AA229">
        <f>IF($D229="",0,IF($F229&lt;2,0,IF($E229="Win",('Guide &amp; Settings'!$C$42/(($F229-1)*COUNTIFS($A$4:$A$311,$A229,$E$4:$E$311,"Win")))*SUMIFS($Z$4:$Z$311,$A$4:$A$311,$A229,$E$4:$E$311,"Loss"),-('Guide &amp; Settings'!$C$42/($F229-1))*$Z229)))</f>
        <v>15.73443262288135</v>
      </c>
      <c r="AB229" s="125">
        <f t="shared" si="67"/>
        <v>1004.1744346664397</v>
      </c>
      <c r="AC229" s="125">
        <f>IF($D229="","",IF(SUMPRODUCT(MAX(($D$4:$D$311=$D229)*($B$4:$B$311&lt;$B229)*$B$4:$B$311))=0,0,MAX(($B229-SUMPRODUCT(MAX(($D$4:$D$311=$D229)*($B$4:$B$311&lt;$B229)*$B$4:$B$311)))/7-'Guide &amp; Settings'!$C$48,0)*'Guide &amp; Settings'!$C$49))</f>
        <v>0</v>
      </c>
    </row>
    <row r="230" spans="1:29" ht="15" customHeight="1" x14ac:dyDescent="0.2">
      <c r="A230" s="116">
        <v>91</v>
      </c>
      <c r="B230" s="117">
        <v>46188</v>
      </c>
      <c r="C230" s="118" t="s">
        <v>203</v>
      </c>
      <c r="D230" s="118" t="s">
        <v>175</v>
      </c>
      <c r="E230" s="116" t="s">
        <v>317</v>
      </c>
      <c r="F230" s="119">
        <f t="shared" si="51"/>
        <v>2</v>
      </c>
      <c r="G230" s="120" t="str">
        <f t="shared" si="52"/>
        <v>Oscar</v>
      </c>
      <c r="H230" s="121">
        <f>IF($D230="",0,IFERROR(LOOKUP(2,1/(($D$3:D229=$D230)*($A$3:A229&lt;$A230)),$N$3:N229),'Guide &amp; Settings'!$C$41))</f>
        <v>1149.3660506548988</v>
      </c>
      <c r="I230" s="122">
        <f t="shared" si="53"/>
        <v>0.45454545454545447</v>
      </c>
      <c r="J230" s="123">
        <f>IF($D230="",0,IF($F230&lt;2,0,IF($E230="Win",('Guide &amp; Settings'!$C$42/(($F230-1)*COUNTIFS($A$4:$A$311,$A230,$E$4:$E$311,"Win")))*SUMIFS($X$4:$X$311,$A$4:$A$311,$A230,$E$4:$E$311,"Loss"),-('Guide &amp; Settings'!$C$42/($F230-1))*$X230)))</f>
        <v>-21.212671673718589</v>
      </c>
      <c r="K230" s="123">
        <f>IF($D230="",0,'Guide &amp; Settings'!$C$43*(IF($E230="Win",1,0)-$I230))</f>
        <v>-5.4545454545454533</v>
      </c>
      <c r="L230" s="124">
        <f>IF($D230="",0,'Guide &amp; Settings'!$C$44*IF($F230&gt;=3,$F230+IF($E230="Win",$F230,0),0))</f>
        <v>0</v>
      </c>
      <c r="M230" s="123">
        <f t="shared" si="54"/>
        <v>-26.667217128264042</v>
      </c>
      <c r="N230" s="121">
        <f t="shared" si="55"/>
        <v>1122.6988335266346</v>
      </c>
      <c r="O230" s="120" t="str">
        <f t="shared" si="56"/>
        <v>OK</v>
      </c>
      <c r="P230">
        <f t="shared" si="57"/>
        <v>1029.1852331048335</v>
      </c>
      <c r="Q230">
        <f t="shared" si="58"/>
        <v>0.66637087150969521</v>
      </c>
      <c r="R230">
        <f t="shared" si="59"/>
        <v>0.33333333333333331</v>
      </c>
      <c r="S230">
        <f t="shared" si="60"/>
        <v>0.73333333333333339</v>
      </c>
      <c r="T230" s="88">
        <f t="shared" si="61"/>
        <v>1</v>
      </c>
      <c r="U230" s="125">
        <f>IF($D230="",0,IFERROR(LOOKUP(2,1/(($D$3:D229=$D230)*($C$3:C229=$C230)*($A$3:A229&lt;$A230)),$AB$3:AB229),1000))</f>
        <v>982.67275007064484</v>
      </c>
      <c r="V230" s="125">
        <f t="shared" si="62"/>
        <v>1121.5838338908566</v>
      </c>
      <c r="W230">
        <f t="shared" si="63"/>
        <v>1004.1112447594334</v>
      </c>
      <c r="X230">
        <f t="shared" si="64"/>
        <v>0.6628959898037059</v>
      </c>
      <c r="Y230">
        <f t="shared" si="65"/>
        <v>988.44000204355825</v>
      </c>
      <c r="Z230">
        <f t="shared" si="66"/>
        <v>0.49170101946504219</v>
      </c>
      <c r="AA230">
        <f>IF($D230="",0,IF($F230&lt;2,0,IF($E230="Win",('Guide &amp; Settings'!$C$42/(($F230-1)*COUNTIFS($A$4:$A$311,$A230,$E$4:$E$311,"Win")))*SUMIFS($Z$4:$Z$311,$A$4:$A$311,$A230,$E$4:$E$311,"Loss"),-('Guide &amp; Settings'!$C$42/($F230-1))*$Z230)))</f>
        <v>-15.73443262288135</v>
      </c>
      <c r="AB230" s="125">
        <f t="shared" si="67"/>
        <v>966.93831744776344</v>
      </c>
      <c r="AC230" s="125">
        <f>IF($D230="","",IF(SUMPRODUCT(MAX(($D$4:$D$311=$D230)*($B$4:$B$311&lt;$B230)*$B$4:$B$311))=0,0,MAX(($B230-SUMPRODUCT(MAX(($D$4:$D$311=$D230)*($B$4:$B$311&lt;$B230)*$B$4:$B$311)))/7-'Guide &amp; Settings'!$C$48,0)*'Guide &amp; Settings'!$C$49))</f>
        <v>0</v>
      </c>
    </row>
    <row r="231" spans="1:29" ht="15" customHeight="1" x14ac:dyDescent="0.2">
      <c r="A231" s="116">
        <v>92</v>
      </c>
      <c r="B231" s="117">
        <v>46188</v>
      </c>
      <c r="C231" s="118" t="s">
        <v>203</v>
      </c>
      <c r="D231" s="118" t="s">
        <v>176</v>
      </c>
      <c r="E231" s="116" t="s">
        <v>316</v>
      </c>
      <c r="F231" s="119">
        <f t="shared" si="51"/>
        <v>2</v>
      </c>
      <c r="G231" s="120" t="str">
        <f t="shared" si="52"/>
        <v>Oscar</v>
      </c>
      <c r="H231" s="121">
        <f>IF($D231="",0,IFERROR(LOOKUP(2,1/(($D$3:D230=$D231)*($A$3:A230&lt;$A231)),$N$3:N230),'Guide &amp; Settings'!$C$41))</f>
        <v>1055.8524502330974</v>
      </c>
      <c r="I231" s="122">
        <f t="shared" si="53"/>
        <v>0.64516129032258063</v>
      </c>
      <c r="J231" s="123">
        <f>IF($D231="",0,IF($F231&lt;2,0,IF($E231="Win",('Guide &amp; Settings'!$C$42/(($F231-1)*COUNTIFS($A$4:$A$311,$A231,$E$4:$E$311,"Win")))*SUMIFS($X$4:$X$311,$A$4:$A$311,$A231,$E$4:$E$311,"Loss"),-('Guide &amp; Settings'!$C$42/($F231-1))*$X231)))</f>
        <v>18.537265702668424</v>
      </c>
      <c r="K231" s="123">
        <f>IF($D231="",0,'Guide &amp; Settings'!$C$43*(IF($E231="Win",1,0)-$I231))</f>
        <v>4.258064516129032</v>
      </c>
      <c r="L231" s="124">
        <f>IF($D231="",0,'Guide &amp; Settings'!$C$44*IF($F231&gt;=3,$F231+IF($E231="Win",$F231,0),0))</f>
        <v>0</v>
      </c>
      <c r="M231" s="123">
        <f t="shared" si="54"/>
        <v>22.795330218797456</v>
      </c>
      <c r="N231" s="121">
        <f t="shared" si="55"/>
        <v>1078.647780451895</v>
      </c>
      <c r="O231" s="120" t="str">
        <f t="shared" si="56"/>
        <v>OK</v>
      </c>
      <c r="P231">
        <f t="shared" si="57"/>
        <v>1055.8524502330974</v>
      </c>
      <c r="Q231">
        <f t="shared" si="58"/>
        <v>0.5</v>
      </c>
      <c r="R231">
        <f t="shared" si="59"/>
        <v>0.45454545454545453</v>
      </c>
      <c r="S231">
        <f t="shared" si="60"/>
        <v>0.70454545454545459</v>
      </c>
      <c r="T231" s="88">
        <f t="shared" si="61"/>
        <v>9</v>
      </c>
      <c r="U231" s="125">
        <f>IF($D231="",0,IFERROR(LOOKUP(2,1/(($D$3:D230=$D231)*($C$3:C230=$C231)*($A$3:A230&lt;$A231)),$AB$3:AB230),1000))</f>
        <v>1004.1744346664397</v>
      </c>
      <c r="V231" s="125">
        <f t="shared" si="62"/>
        <v>1022.6308687973889</v>
      </c>
      <c r="W231">
        <f t="shared" si="63"/>
        <v>1022.6308687973889</v>
      </c>
      <c r="X231">
        <f t="shared" si="64"/>
        <v>0.5</v>
      </c>
      <c r="Y231">
        <f t="shared" si="65"/>
        <v>1004.1744346664397</v>
      </c>
      <c r="Z231">
        <f t="shared" si="66"/>
        <v>0.5</v>
      </c>
      <c r="AA231">
        <f>IF($D231="",0,IF($F231&lt;2,0,IF($E231="Win",('Guide &amp; Settings'!$C$42/(($F231-1)*COUNTIFS($A$4:$A$311,$A231,$E$4:$E$311,"Win")))*SUMIFS($Z$4:$Z$311,$A$4:$A$311,$A231,$E$4:$E$311,"Loss"),-('Guide &amp; Settings'!$C$42/($F231-1))*$Z231)))</f>
        <v>14.291748923662567</v>
      </c>
      <c r="AB231" s="125">
        <f t="shared" si="67"/>
        <v>1018.4661835901022</v>
      </c>
      <c r="AC231" s="125">
        <f>IF($D231="","",IF(SUMPRODUCT(MAX(($D$4:$D$311=$D231)*($B$4:$B$311&lt;$B231)*$B$4:$B$311))=0,0,MAX(($B231-SUMPRODUCT(MAX(($D$4:$D$311=$D231)*($B$4:$B$311&lt;$B231)*$B$4:$B$311)))/7-'Guide &amp; Settings'!$C$48,0)*'Guide &amp; Settings'!$C$49))</f>
        <v>0</v>
      </c>
    </row>
    <row r="232" spans="1:29" ht="15" customHeight="1" x14ac:dyDescent="0.2">
      <c r="A232" s="116">
        <v>92</v>
      </c>
      <c r="B232" s="117">
        <v>46188</v>
      </c>
      <c r="C232" s="118" t="s">
        <v>203</v>
      </c>
      <c r="D232" s="118" t="s">
        <v>175</v>
      </c>
      <c r="E232" s="116" t="s">
        <v>317</v>
      </c>
      <c r="F232" s="119">
        <f t="shared" si="51"/>
        <v>2</v>
      </c>
      <c r="G232" s="120" t="str">
        <f t="shared" si="52"/>
        <v>Oscar</v>
      </c>
      <c r="H232" s="121">
        <f>IF($D232="",0,IFERROR(LOOKUP(2,1/(($D$3:D231=$D232)*($A$3:A231&lt;$A232)),$N$3:N231),'Guide &amp; Settings'!$C$41))</f>
        <v>1122.6988335266346</v>
      </c>
      <c r="I232" s="122">
        <f t="shared" si="53"/>
        <v>0.35483870967741932</v>
      </c>
      <c r="J232" s="123">
        <f>IF($D232="",0,IF($F232&lt;2,0,IF($E232="Win",('Guide &amp; Settings'!$C$42/(($F232-1)*COUNTIFS($A$4:$A$311,$A232,$E$4:$E$311,"Win")))*SUMIFS($X$4:$X$311,$A$4:$A$311,$A232,$E$4:$E$311,"Loss"),-('Guide &amp; Settings'!$C$42/($F232-1))*$X232)))</f>
        <v>-18.537265702668424</v>
      </c>
      <c r="K232" s="123">
        <f>IF($D232="",0,'Guide &amp; Settings'!$C$43*(IF($E232="Win",1,0)-$I232))</f>
        <v>-4.258064516129032</v>
      </c>
      <c r="L232" s="124">
        <f>IF($D232="",0,'Guide &amp; Settings'!$C$44*IF($F232&gt;=3,$F232+IF($E232="Win",$F232,0),0))</f>
        <v>0</v>
      </c>
      <c r="M232" s="123">
        <f t="shared" si="54"/>
        <v>-22.795330218797456</v>
      </c>
      <c r="N232" s="121">
        <f t="shared" si="55"/>
        <v>1099.9035033078371</v>
      </c>
      <c r="O232" s="120" t="str">
        <f t="shared" si="56"/>
        <v>OK</v>
      </c>
      <c r="P232">
        <f t="shared" si="57"/>
        <v>1055.8524502330974</v>
      </c>
      <c r="Q232">
        <f t="shared" si="58"/>
        <v>0.5950299711022059</v>
      </c>
      <c r="R232">
        <f t="shared" si="59"/>
        <v>0.25</v>
      </c>
      <c r="S232">
        <f t="shared" si="60"/>
        <v>0.70454545454545459</v>
      </c>
      <c r="T232" s="88">
        <f t="shared" si="61"/>
        <v>2</v>
      </c>
      <c r="U232" s="125">
        <f>IF($D232="",0,IFERROR(LOOKUP(2,1/(($D$3:D231=$D232)*($C$3:C231=$C232)*($A$3:A231&lt;$A232)),$AB$3:AB231),1000))</f>
        <v>966.93831744776344</v>
      </c>
      <c r="V232" s="125">
        <f t="shared" si="62"/>
        <v>1078.1958289326715</v>
      </c>
      <c r="W232">
        <f t="shared" si="63"/>
        <v>1022.6308687973889</v>
      </c>
      <c r="X232">
        <f t="shared" si="64"/>
        <v>0.57928955320838826</v>
      </c>
      <c r="Y232">
        <f t="shared" si="65"/>
        <v>1004.1744346664397</v>
      </c>
      <c r="Z232">
        <f t="shared" si="66"/>
        <v>0.44661715386445522</v>
      </c>
      <c r="AA232">
        <f>IF($D232="",0,IF($F232&lt;2,0,IF($E232="Win",('Guide &amp; Settings'!$C$42/(($F232-1)*COUNTIFS($A$4:$A$311,$A232,$E$4:$E$311,"Win")))*SUMIFS($Z$4:$Z$311,$A$4:$A$311,$A232,$E$4:$E$311,"Loss"),-('Guide &amp; Settings'!$C$42/($F232-1))*$Z232)))</f>
        <v>-14.291748923662567</v>
      </c>
      <c r="AB232" s="125">
        <f t="shared" si="67"/>
        <v>952.64656852410087</v>
      </c>
      <c r="AC232" s="125">
        <f>IF($D232="","",IF(SUMPRODUCT(MAX(($D$4:$D$311=$D232)*($B$4:$B$311&lt;$B232)*$B$4:$B$311))=0,0,MAX(($B232-SUMPRODUCT(MAX(($D$4:$D$311=$D232)*($B$4:$B$311&lt;$B232)*$B$4:$B$311)))/7-'Guide &amp; Settings'!$C$48,0)*'Guide &amp; Settings'!$C$49))</f>
        <v>0</v>
      </c>
    </row>
    <row r="233" spans="1:29" ht="15" customHeight="1" x14ac:dyDescent="0.2">
      <c r="A233" s="116">
        <v>93</v>
      </c>
      <c r="B233" s="117">
        <v>46188</v>
      </c>
      <c r="C233" s="118" t="s">
        <v>203</v>
      </c>
      <c r="D233" s="118" t="s">
        <v>142</v>
      </c>
      <c r="E233" s="116" t="s">
        <v>317</v>
      </c>
      <c r="F233" s="119">
        <f t="shared" si="51"/>
        <v>2</v>
      </c>
      <c r="G233" s="120" t="str">
        <f t="shared" si="52"/>
        <v>Oscar</v>
      </c>
      <c r="H233" s="121">
        <f>IF($D233="",0,IFERROR(LOOKUP(2,1/(($D$3:D232=$D233)*($A$3:A232&lt;$A233)),$N$3:N232),'Guide &amp; Settings'!$C$41))</f>
        <v>1068.233898610468</v>
      </c>
      <c r="I233" s="122">
        <f t="shared" si="53"/>
        <v>0.5</v>
      </c>
      <c r="J233" s="123">
        <f>IF($D233="",0,IF($F233&lt;2,0,IF($E233="Win",('Guide &amp; Settings'!$C$42/(($F233-1)*COUNTIFS($A$4:$A$311,$A233,$E$4:$E$311,"Win")))*SUMIFS($X$4:$X$311,$A$4:$A$311,$A233,$E$4:$E$311,"Loss"),-('Guide &amp; Settings'!$C$42/($F233-1))*$X233)))</f>
        <v>-17.364742084473633</v>
      </c>
      <c r="K233" s="123">
        <f>IF($D233="",0,'Guide &amp; Settings'!$C$43*(IF($E233="Win",1,0)-$I233))</f>
        <v>-6</v>
      </c>
      <c r="L233" s="124">
        <f>IF($D233="",0,'Guide &amp; Settings'!$C$44*IF($F233&gt;=3,$F233+IF($E233="Win",$F233,0),0))</f>
        <v>0</v>
      </c>
      <c r="M233" s="123">
        <f t="shared" si="54"/>
        <v>-23.364742084473633</v>
      </c>
      <c r="N233" s="121">
        <f t="shared" si="55"/>
        <v>1044.8691565259944</v>
      </c>
      <c r="O233" s="120" t="str">
        <f t="shared" si="56"/>
        <v>OK</v>
      </c>
      <c r="P233">
        <f t="shared" si="57"/>
        <v>1078.647780451895</v>
      </c>
      <c r="Q233">
        <f t="shared" si="58"/>
        <v>0.4850177058206368</v>
      </c>
      <c r="R233">
        <f t="shared" si="59"/>
        <v>0.5</v>
      </c>
      <c r="S233">
        <f t="shared" si="60"/>
        <v>1</v>
      </c>
      <c r="T233" s="88">
        <f t="shared" si="61"/>
        <v>0</v>
      </c>
      <c r="U233" s="125">
        <f>IF($D233="",0,IFERROR(LOOKUP(2,1/(($D$3:D232=$D233)*($C$3:C232=$C233)*($A$3:A232&lt;$A233)),$AB$3:AB232),1000))</f>
        <v>1000</v>
      </c>
      <c r="V233" s="125">
        <f t="shared" si="62"/>
        <v>1068.233898610468</v>
      </c>
      <c r="W233">
        <f t="shared" si="63"/>
        <v>1038.5267158773665</v>
      </c>
      <c r="X233">
        <f t="shared" si="64"/>
        <v>0.54264819013980103</v>
      </c>
      <c r="Y233">
        <f t="shared" si="65"/>
        <v>1018.4661835901022</v>
      </c>
      <c r="Z233">
        <f t="shared" si="66"/>
        <v>0.47345002137691644</v>
      </c>
      <c r="AA233">
        <f>IF($D233="",0,IF($F233&lt;2,0,IF($E233="Win",('Guide &amp; Settings'!$C$42/(($F233-1)*COUNTIFS($A$4:$A$311,$A233,$E$4:$E$311,"Win")))*SUMIFS($Z$4:$Z$311,$A$4:$A$311,$A233,$E$4:$E$311,"Loss"),-('Guide &amp; Settings'!$C$42/($F233-1))*$Z233)))</f>
        <v>-15.150400684061326</v>
      </c>
      <c r="AB233" s="125">
        <f t="shared" si="67"/>
        <v>984.84959931593869</v>
      </c>
      <c r="AC233" s="125">
        <f>IF($D233="","",IF(SUMPRODUCT(MAX(($D$4:$D$311=$D233)*($B$4:$B$311&lt;$B233)*$B$4:$B$311))=0,0,MAX(($B233-SUMPRODUCT(MAX(($D$4:$D$311=$D233)*($B$4:$B$311&lt;$B233)*$B$4:$B$311)))/7-'Guide &amp; Settings'!$C$48,0)*'Guide &amp; Settings'!$C$49))</f>
        <v>0</v>
      </c>
    </row>
    <row r="234" spans="1:29" ht="15" customHeight="1" x14ac:dyDescent="0.2">
      <c r="A234" s="116">
        <v>93</v>
      </c>
      <c r="B234" s="117">
        <v>46188</v>
      </c>
      <c r="C234" s="118" t="s">
        <v>203</v>
      </c>
      <c r="D234" s="118" t="s">
        <v>176</v>
      </c>
      <c r="E234" s="116" t="s">
        <v>316</v>
      </c>
      <c r="F234" s="119">
        <f t="shared" si="51"/>
        <v>2</v>
      </c>
      <c r="G234" s="120" t="str">
        <f t="shared" si="52"/>
        <v>Oscar</v>
      </c>
      <c r="H234" s="121">
        <f>IF($D234="",0,IFERROR(LOOKUP(2,1/(($D$3:D233=$D234)*($A$3:A233&lt;$A234)),$N$3:N233),'Guide &amp; Settings'!$C$41))</f>
        <v>1078.647780451895</v>
      </c>
      <c r="I234" s="122">
        <f t="shared" si="53"/>
        <v>0.5</v>
      </c>
      <c r="J234" s="123">
        <f>IF($D234="",0,IF($F234&lt;2,0,IF($E234="Win",('Guide &amp; Settings'!$C$42/(($F234-1)*COUNTIFS($A$4:$A$311,$A234,$E$4:$E$311,"Win")))*SUMIFS($X$4:$X$311,$A$4:$A$311,$A234,$E$4:$E$311,"Loss"),-('Guide &amp; Settings'!$C$42/($F234-1))*$X234)))</f>
        <v>17.364742084473633</v>
      </c>
      <c r="K234" s="123">
        <f>IF($D234="",0,'Guide &amp; Settings'!$C$43*(IF($E234="Win",1,0)-$I234))</f>
        <v>6</v>
      </c>
      <c r="L234" s="124">
        <f>IF($D234="",0,'Guide &amp; Settings'!$C$44*IF($F234&gt;=3,$F234+IF($E234="Win",$F234,0),0))</f>
        <v>0</v>
      </c>
      <c r="M234" s="123">
        <f t="shared" si="54"/>
        <v>23.364742084473633</v>
      </c>
      <c r="N234" s="121">
        <f t="shared" si="55"/>
        <v>1102.0125225363686</v>
      </c>
      <c r="O234" s="120" t="str">
        <f t="shared" si="56"/>
        <v>OK</v>
      </c>
      <c r="P234">
        <f t="shared" si="57"/>
        <v>1078.647780451895</v>
      </c>
      <c r="Q234">
        <f t="shared" si="58"/>
        <v>0.5</v>
      </c>
      <c r="R234">
        <f t="shared" si="59"/>
        <v>0.5</v>
      </c>
      <c r="S234">
        <f t="shared" si="60"/>
        <v>1</v>
      </c>
      <c r="T234" s="88">
        <f t="shared" si="61"/>
        <v>10</v>
      </c>
      <c r="U234" s="125">
        <f>IF($D234="",0,IFERROR(LOOKUP(2,1/(($D$3:D233=$D234)*($C$3:C233=$C234)*($A$3:A233&lt;$A234)),$AB$3:AB233),1000))</f>
        <v>1018.4661835901022</v>
      </c>
      <c r="V234" s="125">
        <f t="shared" si="62"/>
        <v>1038.5267158773665</v>
      </c>
      <c r="W234">
        <f t="shared" si="63"/>
        <v>1038.5267158773665</v>
      </c>
      <c r="X234">
        <f t="shared" si="64"/>
        <v>0.5</v>
      </c>
      <c r="Y234">
        <f t="shared" si="65"/>
        <v>1018.4661835901022</v>
      </c>
      <c r="Z234">
        <f t="shared" si="66"/>
        <v>0.5</v>
      </c>
      <c r="AA234">
        <f>IF($D234="",0,IF($F234&lt;2,0,IF($E234="Win",('Guide &amp; Settings'!$C$42/(($F234-1)*COUNTIFS($A$4:$A$311,$A234,$E$4:$E$311,"Win")))*SUMIFS($Z$4:$Z$311,$A$4:$A$311,$A234,$E$4:$E$311,"Loss"),-('Guide &amp; Settings'!$C$42/($F234-1))*$Z234)))</f>
        <v>15.150400684061326</v>
      </c>
      <c r="AB234" s="125">
        <f t="shared" si="67"/>
        <v>1033.6165842741636</v>
      </c>
      <c r="AC234" s="125">
        <f>IF($D234="","",IF(SUMPRODUCT(MAX(($D$4:$D$311=$D234)*($B$4:$B$311&lt;$B234)*$B$4:$B$311))=0,0,MAX(($B234-SUMPRODUCT(MAX(($D$4:$D$311=$D234)*($B$4:$B$311&lt;$B234)*$B$4:$B$311)))/7-'Guide &amp; Settings'!$C$48,0)*'Guide &amp; Settings'!$C$49))</f>
        <v>0</v>
      </c>
    </row>
    <row r="235" spans="1:29" ht="15" customHeight="1" x14ac:dyDescent="0.2">
      <c r="A235" s="116">
        <v>94</v>
      </c>
      <c r="B235" s="117">
        <v>46188</v>
      </c>
      <c r="C235" s="118" t="s">
        <v>193</v>
      </c>
      <c r="D235" s="118" t="s">
        <v>177</v>
      </c>
      <c r="E235" s="116" t="s">
        <v>316</v>
      </c>
      <c r="F235" s="119">
        <f t="shared" si="51"/>
        <v>2</v>
      </c>
      <c r="G235" s="120" t="str">
        <f t="shared" si="52"/>
        <v>Daniel (Ferret)</v>
      </c>
      <c r="H235" s="121">
        <f>IF($D235="",0,IFERROR(LOOKUP(2,1/(($D$3:D234=$D235)*($A$3:A234&lt;$A235)),$N$3:N234),'Guide &amp; Settings'!$C$41))</f>
        <v>1101.8505684280676</v>
      </c>
      <c r="I235" s="122">
        <f t="shared" si="53"/>
        <v>0.57142857142857151</v>
      </c>
      <c r="J235" s="123">
        <f>IF($D235="",0,IF($F235&lt;2,0,IF($E235="Win",('Guide &amp; Settings'!$C$42/(($F235-1)*COUNTIFS($A$4:$A$311,$A235,$E$4:$E$311,"Win")))*SUMIFS($X$4:$X$311,$A$4:$A$311,$A235,$E$4:$E$311,"Loss"),-('Guide &amp; Settings'!$C$42/($F235-1))*$X235)))</f>
        <v>8.378837915012646</v>
      </c>
      <c r="K235" s="123">
        <f>IF($D235="",0,'Guide &amp; Settings'!$C$43*(IF($E235="Win",1,0)-$I235))</f>
        <v>5.1428571428571423</v>
      </c>
      <c r="L235" s="124">
        <f>IF($D235="",0,'Guide &amp; Settings'!$C$44*IF($F235&gt;=3,$F235+IF($E235="Win",$F235,0),0))</f>
        <v>0</v>
      </c>
      <c r="M235" s="123">
        <f t="shared" si="54"/>
        <v>13.521695057869788</v>
      </c>
      <c r="N235" s="121">
        <f t="shared" si="55"/>
        <v>1115.3722634859373</v>
      </c>
      <c r="O235" s="120" t="str">
        <f t="shared" si="56"/>
        <v>OK</v>
      </c>
      <c r="P235">
        <f t="shared" si="57"/>
        <v>1101.8505684280676</v>
      </c>
      <c r="Q235">
        <f t="shared" si="58"/>
        <v>0.5</v>
      </c>
      <c r="R235">
        <f t="shared" si="59"/>
        <v>0.66666666666666663</v>
      </c>
      <c r="S235">
        <f t="shared" si="60"/>
        <v>1.1666666666666665</v>
      </c>
      <c r="T235" s="88">
        <f t="shared" si="61"/>
        <v>1</v>
      </c>
      <c r="U235" s="125">
        <f>IF($D235="",0,IFERROR(LOOKUP(2,1/(($D$3:D234=$D235)*($C$3:C234=$C235)*($A$3:A234&lt;$A235)),$AB$3:AB234),1000))</f>
        <v>1017.4023736484061</v>
      </c>
      <c r="V235" s="125">
        <f t="shared" si="62"/>
        <v>1087.775869298124</v>
      </c>
      <c r="W235">
        <f t="shared" si="63"/>
        <v>1087.775869298124</v>
      </c>
      <c r="X235">
        <f t="shared" si="64"/>
        <v>0.5</v>
      </c>
      <c r="Y235">
        <f t="shared" si="65"/>
        <v>1017.4023736484061</v>
      </c>
      <c r="Z235">
        <f t="shared" si="66"/>
        <v>0.5</v>
      </c>
      <c r="AA235">
        <f>IF($D235="",0,IF($F235&lt;2,0,IF($E235="Win",('Guide &amp; Settings'!$C$42/(($F235-1)*COUNTIFS($A$4:$A$311,$A235,$E$4:$E$311,"Win")))*SUMIFS($Z$4:$Z$311,$A$4:$A$311,$A235,$E$4:$E$311,"Loss"),-('Guide &amp; Settings'!$C$42/($F235-1))*$Z235)))</f>
        <v>15.199260600394643</v>
      </c>
      <c r="AB235" s="125">
        <f t="shared" si="67"/>
        <v>1032.6016342488008</v>
      </c>
      <c r="AC235" s="125">
        <f>IF($D235="","",IF(SUMPRODUCT(MAX(($D$4:$D$311=$D235)*($B$4:$B$311&lt;$B235)*$B$4:$B$311))=0,0,MAX(($B235-SUMPRODUCT(MAX(($D$4:$D$311=$D235)*($B$4:$B$311&lt;$B235)*$B$4:$B$311)))/7-'Guide &amp; Settings'!$C$48,0)*'Guide &amp; Settings'!$C$49))</f>
        <v>0</v>
      </c>
    </row>
    <row r="236" spans="1:29" ht="15" customHeight="1" x14ac:dyDescent="0.2">
      <c r="A236" s="116">
        <v>94</v>
      </c>
      <c r="B236" s="117">
        <v>46188</v>
      </c>
      <c r="C236" s="118" t="s">
        <v>193</v>
      </c>
      <c r="D236" s="118" t="s">
        <v>182</v>
      </c>
      <c r="E236" s="116" t="s">
        <v>317</v>
      </c>
      <c r="F236" s="119">
        <f t="shared" si="51"/>
        <v>2</v>
      </c>
      <c r="G236" s="120" t="str">
        <f t="shared" si="52"/>
        <v>Daniel (Ferret)</v>
      </c>
      <c r="H236" s="121">
        <f>IF($D236="",0,IFERROR(LOOKUP(2,1/(($D$3:D235=$D236)*($A$3:A235&lt;$A236)),$N$3:N235),'Guide &amp; Settings'!$C$41))</f>
        <v>907.72888112716782</v>
      </c>
      <c r="I236" s="122">
        <f t="shared" si="53"/>
        <v>0.4285714285714286</v>
      </c>
      <c r="J236" s="123">
        <f>IF($D236="",0,IF($F236&lt;2,0,IF($E236="Win",('Guide &amp; Settings'!$C$42/(($F236-1)*COUNTIFS($A$4:$A$311,$A236,$E$4:$E$311,"Win")))*SUMIFS($X$4:$X$311,$A$4:$A$311,$A236,$E$4:$E$311,"Loss"),-('Guide &amp; Settings'!$C$42/($F236-1))*$X236)))</f>
        <v>-8.378837915012646</v>
      </c>
      <c r="K236" s="123">
        <f>IF($D236="",0,'Guide &amp; Settings'!$C$43*(IF($E236="Win",1,0)-$I236))</f>
        <v>-5.1428571428571432</v>
      </c>
      <c r="L236" s="124">
        <f>IF($D236="",0,'Guide &amp; Settings'!$C$44*IF($F236&gt;=3,$F236+IF($E236="Win",$F236,0),0))</f>
        <v>0</v>
      </c>
      <c r="M236" s="123">
        <f t="shared" si="54"/>
        <v>-13.521695057869788</v>
      </c>
      <c r="N236" s="121">
        <f t="shared" si="55"/>
        <v>894.20718606929802</v>
      </c>
      <c r="O236" s="120" t="str">
        <f t="shared" si="56"/>
        <v>OK</v>
      </c>
      <c r="P236">
        <f t="shared" si="57"/>
        <v>1101.8505684280676</v>
      </c>
      <c r="Q236">
        <f t="shared" si="58"/>
        <v>0.24648379772424528</v>
      </c>
      <c r="R236">
        <f t="shared" si="59"/>
        <v>0.5</v>
      </c>
      <c r="S236">
        <f t="shared" si="60"/>
        <v>1.1666666666666665</v>
      </c>
      <c r="T236" s="88">
        <f t="shared" si="61"/>
        <v>0</v>
      </c>
      <c r="U236" s="125">
        <f>IF($D236="",0,IFERROR(LOOKUP(2,1/(($D$3:D235=$D236)*($C$3:C235=$C236)*($A$3:A235&lt;$A236)),$AB$3:AB235),1000))</f>
        <v>1000</v>
      </c>
      <c r="V236" s="125">
        <f t="shared" si="62"/>
        <v>907.72888112716782</v>
      </c>
      <c r="W236">
        <f t="shared" si="63"/>
        <v>1087.775869298124</v>
      </c>
      <c r="X236">
        <f t="shared" si="64"/>
        <v>0.26183868484414519</v>
      </c>
      <c r="Y236">
        <f t="shared" si="65"/>
        <v>1017.4023736484061</v>
      </c>
      <c r="Z236">
        <f t="shared" si="66"/>
        <v>0.4749768937623326</v>
      </c>
      <c r="AA236">
        <f>IF($D236="",0,IF($F236&lt;2,0,IF($E236="Win",('Guide &amp; Settings'!$C$42/(($F236-1)*COUNTIFS($A$4:$A$311,$A236,$E$4:$E$311,"Win")))*SUMIFS($Z$4:$Z$311,$A$4:$A$311,$A236,$E$4:$E$311,"Loss"),-('Guide &amp; Settings'!$C$42/($F236-1))*$Z236)))</f>
        <v>-15.199260600394643</v>
      </c>
      <c r="AB236" s="125">
        <f t="shared" si="67"/>
        <v>984.80073939960539</v>
      </c>
      <c r="AC236" s="125">
        <f>IF($D236="","",IF(SUMPRODUCT(MAX(($D$4:$D$311=$D236)*($B$4:$B$311&lt;$B236)*$B$4:$B$311))=0,0,MAX(($B236-SUMPRODUCT(MAX(($D$4:$D$311=$D236)*($B$4:$B$311&lt;$B236)*$B$4:$B$311)))/7-'Guide &amp; Settings'!$C$48,0)*'Guide &amp; Settings'!$C$49))</f>
        <v>0</v>
      </c>
    </row>
    <row r="237" spans="1:29" ht="15" customHeight="1" x14ac:dyDescent="0.2">
      <c r="A237" s="116">
        <v>95</v>
      </c>
      <c r="B237" s="117">
        <v>46189</v>
      </c>
      <c r="C237" s="118" t="s">
        <v>205</v>
      </c>
      <c r="D237" s="118" t="s">
        <v>177</v>
      </c>
      <c r="E237" s="116" t="s">
        <v>316</v>
      </c>
      <c r="F237" s="119">
        <f t="shared" si="51"/>
        <v>3</v>
      </c>
      <c r="G237" s="120" t="str">
        <f t="shared" si="52"/>
        <v>Daniel (Ferret)</v>
      </c>
      <c r="H237" s="121">
        <f>IF($D237="",0,IFERROR(LOOKUP(2,1/(($D$3:D236=$D237)*($A$3:A236&lt;$A237)),$N$3:N236),'Guide &amp; Settings'!$C$41))</f>
        <v>1115.3722634859373</v>
      </c>
      <c r="I237" s="122">
        <f t="shared" si="53"/>
        <v>0.5</v>
      </c>
      <c r="J237" s="123">
        <f>IF($D237="",0,IF($F237&lt;2,0,IF($E237="Win",('Guide &amp; Settings'!$C$42/(($F237-1)*COUNTIFS($A$4:$A$311,$A237,$E$4:$E$311,"Win")))*SUMIFS($X$4:$X$311,$A$4:$A$311,$A237,$E$4:$E$311,"Loss"),-('Guide &amp; Settings'!$C$42/($F237-1))*$X237)))</f>
        <v>13.918598662660141</v>
      </c>
      <c r="K237" s="123">
        <f>IF($D237="",0,'Guide &amp; Settings'!$C$43*(IF($E237="Win",1,0)-$I237))</f>
        <v>6</v>
      </c>
      <c r="L237" s="124">
        <f>IF($D237="",0,'Guide &amp; Settings'!$C$44*IF($F237&gt;=3,$F237+IF($E237="Win",$F237,0),0))</f>
        <v>6</v>
      </c>
      <c r="M237" s="123">
        <f t="shared" si="54"/>
        <v>25.918598662660141</v>
      </c>
      <c r="N237" s="121">
        <f t="shared" si="55"/>
        <v>1141.2908621485974</v>
      </c>
      <c r="O237" s="120" t="str">
        <f t="shared" si="56"/>
        <v>OK</v>
      </c>
      <c r="P237">
        <f t="shared" si="57"/>
        <v>1115.3722634859373</v>
      </c>
      <c r="Q237">
        <f t="shared" si="58"/>
        <v>0.5</v>
      </c>
      <c r="R237">
        <f t="shared" si="59"/>
        <v>0.66666666666666663</v>
      </c>
      <c r="S237">
        <f t="shared" si="60"/>
        <v>1.3333333333333333</v>
      </c>
      <c r="T237" s="88">
        <f t="shared" si="61"/>
        <v>1</v>
      </c>
      <c r="U237" s="125">
        <f>IF($D237="",0,IFERROR(LOOKUP(2,1/(($D$3:D236=$D237)*($C$3:C236=$C237)*($A$3:A236&lt;$A237)),$AB$3:AB236),1000))</f>
        <v>1016</v>
      </c>
      <c r="V237" s="125">
        <f t="shared" si="62"/>
        <v>1098.8102195716144</v>
      </c>
      <c r="W237">
        <f t="shared" si="63"/>
        <v>1098.8102195716144</v>
      </c>
      <c r="X237">
        <f t="shared" si="64"/>
        <v>0.5</v>
      </c>
      <c r="Y237">
        <f t="shared" si="65"/>
        <v>1016</v>
      </c>
      <c r="Z237">
        <f t="shared" si="66"/>
        <v>0.5</v>
      </c>
      <c r="AA237">
        <f>IF($D237="",0,IF($F237&lt;2,0,IF($E237="Win",('Guide &amp; Settings'!$C$42/(($F237-1)*COUNTIFS($A$4:$A$311,$A237,$E$4:$E$311,"Win")))*SUMIFS($Z$4:$Z$311,$A$4:$A$311,$A237,$E$4:$E$311,"Loss"),-('Guide &amp; Settings'!$C$42/($F237-1))*$Z237)))</f>
        <v>14.896513768741391</v>
      </c>
      <c r="AB237" s="125">
        <f t="shared" si="67"/>
        <v>1030.8965137687414</v>
      </c>
      <c r="AC237" s="125">
        <f>IF($D237="","",IF(SUMPRODUCT(MAX(($D$4:$D$311=$D237)*($B$4:$B$311&lt;$B237)*$B$4:$B$311))=0,0,MAX(($B237-SUMPRODUCT(MAX(($D$4:$D$311=$D237)*($B$4:$B$311&lt;$B237)*$B$4:$B$311)))/7-'Guide &amp; Settings'!$C$48,0)*'Guide &amp; Settings'!$C$49))</f>
        <v>0</v>
      </c>
    </row>
    <row r="238" spans="1:29" ht="15" customHeight="1" x14ac:dyDescent="0.2">
      <c r="A238" s="116">
        <v>95</v>
      </c>
      <c r="B238" s="117">
        <v>46189</v>
      </c>
      <c r="C238" s="118" t="s">
        <v>205</v>
      </c>
      <c r="D238" s="118" t="s">
        <v>141</v>
      </c>
      <c r="E238" s="116" t="s">
        <v>317</v>
      </c>
      <c r="F238" s="119">
        <f t="shared" si="51"/>
        <v>3</v>
      </c>
      <c r="G238" s="120" t="str">
        <f t="shared" si="52"/>
        <v>Daniel (Ferret)</v>
      </c>
      <c r="H238" s="121">
        <f>IF($D238="",0,IFERROR(LOOKUP(2,1/(($D$3:D237=$D238)*($A$3:A237&lt;$A238)),$N$3:N237),'Guide &amp; Settings'!$C$41))</f>
        <v>1028.3932691642283</v>
      </c>
      <c r="I238" s="122">
        <f t="shared" si="53"/>
        <v>0.25</v>
      </c>
      <c r="J238" s="123">
        <f>IF($D238="",0,IF($F238&lt;2,0,IF($E238="Win",('Guide &amp; Settings'!$C$42/(($F238-1)*COUNTIFS($A$4:$A$311,$A238,$E$4:$E$311,"Win")))*SUMIFS($X$4:$X$311,$A$4:$A$311,$A238,$E$4:$E$311,"Loss"),-('Guide &amp; Settings'!$C$42/($F238-1))*$X238)))</f>
        <v>-6.2668313773201216</v>
      </c>
      <c r="K238" s="123">
        <f>IF($D238="",0,'Guide &amp; Settings'!$C$43*(IF($E238="Win",1,0)-$I238))</f>
        <v>-3</v>
      </c>
      <c r="L238" s="124">
        <f>IF($D238="",0,'Guide &amp; Settings'!$C$44*IF($F238&gt;=3,$F238+IF($E238="Win",$F238,0),0))</f>
        <v>3</v>
      </c>
      <c r="M238" s="123">
        <f t="shared" si="54"/>
        <v>-6.2668313773201216</v>
      </c>
      <c r="N238" s="121">
        <f t="shared" si="55"/>
        <v>1022.1264377869081</v>
      </c>
      <c r="O238" s="120" t="str">
        <f t="shared" si="56"/>
        <v>OK</v>
      </c>
      <c r="P238">
        <f t="shared" si="57"/>
        <v>1115.3722634859373</v>
      </c>
      <c r="Q238">
        <f t="shared" si="58"/>
        <v>0.37737821525103782</v>
      </c>
      <c r="R238">
        <f t="shared" si="59"/>
        <v>0.33333333333333331</v>
      </c>
      <c r="S238">
        <f t="shared" si="60"/>
        <v>1.3333333333333333</v>
      </c>
      <c r="T238" s="88">
        <f t="shared" si="61"/>
        <v>1</v>
      </c>
      <c r="U238" s="125">
        <f>IF($D238="",0,IFERROR(LOOKUP(2,1/(($D$3:D237=$D238)*($C$3:C237=$C238)*($A$3:A237&lt;$A238)),$AB$3:AB237),1000))</f>
        <v>992</v>
      </c>
      <c r="V238" s="125">
        <f t="shared" si="62"/>
        <v>1022.3277243035236</v>
      </c>
      <c r="W238">
        <f t="shared" si="63"/>
        <v>1098.8102195716144</v>
      </c>
      <c r="X238">
        <f t="shared" si="64"/>
        <v>0.3916769610825076</v>
      </c>
      <c r="Y238">
        <f t="shared" si="65"/>
        <v>1016</v>
      </c>
      <c r="Z238">
        <f t="shared" si="66"/>
        <v>0.46551605527316847</v>
      </c>
      <c r="AA238">
        <f>IF($D238="",0,IF($F238&lt;2,0,IF($E238="Win",('Guide &amp; Settings'!$C$42/(($F238-1)*COUNTIFS($A$4:$A$311,$A238,$E$4:$E$311,"Win")))*SUMIFS($Z$4:$Z$311,$A$4:$A$311,$A238,$E$4:$E$311,"Loss"),-('Guide &amp; Settings'!$C$42/($F238-1))*$Z238)))</f>
        <v>-7.4482568843706956</v>
      </c>
      <c r="AB238" s="125">
        <f t="shared" si="67"/>
        <v>984.55174311562928</v>
      </c>
      <c r="AC238" s="125">
        <f>IF($D238="","",IF(SUMPRODUCT(MAX(($D$4:$D$311=$D238)*($B$4:$B$311&lt;$B238)*$B$4:$B$311))=0,0,MAX(($B238-SUMPRODUCT(MAX(($D$4:$D$311=$D238)*($B$4:$B$311&lt;$B238)*$B$4:$B$311)))/7-'Guide &amp; Settings'!$C$48,0)*'Guide &amp; Settings'!$C$49))</f>
        <v>0</v>
      </c>
    </row>
    <row r="239" spans="1:29" ht="15" customHeight="1" x14ac:dyDescent="0.2">
      <c r="A239" s="116">
        <v>95</v>
      </c>
      <c r="B239" s="117">
        <v>46189</v>
      </c>
      <c r="C239" s="118" t="s">
        <v>205</v>
      </c>
      <c r="D239" s="118" t="s">
        <v>176</v>
      </c>
      <c r="E239" s="116" t="s">
        <v>317</v>
      </c>
      <c r="F239" s="119">
        <f t="shared" si="51"/>
        <v>3</v>
      </c>
      <c r="G239" s="120" t="str">
        <f t="shared" si="52"/>
        <v>Daniel (Ferret)</v>
      </c>
      <c r="H239" s="121">
        <f>IF($D239="",0,IFERROR(LOOKUP(2,1/(($D$3:D238=$D239)*($A$3:A238&lt;$A239)),$N$3:N238),'Guide &amp; Settings'!$C$41))</f>
        <v>1102.0125225363686</v>
      </c>
      <c r="I239" s="122">
        <f t="shared" si="53"/>
        <v>0.25</v>
      </c>
      <c r="J239" s="123">
        <f>IF($D239="",0,IF($F239&lt;2,0,IF($E239="Win",('Guide &amp; Settings'!$C$42/(($F239-1)*COUNTIFS($A$4:$A$311,$A239,$E$4:$E$311,"Win")))*SUMIFS($X$4:$X$311,$A$4:$A$311,$A239,$E$4:$E$311,"Loss"),-('Guide &amp; Settings'!$C$42/($F239-1))*$X239)))</f>
        <v>-7.6517672853400187</v>
      </c>
      <c r="K239" s="123">
        <f>IF($D239="",0,'Guide &amp; Settings'!$C$43*(IF($E239="Win",1,0)-$I239))</f>
        <v>-3</v>
      </c>
      <c r="L239" s="124">
        <f>IF($D239="",0,'Guide &amp; Settings'!$C$44*IF($F239&gt;=3,$F239+IF($E239="Win",$F239,0),0))</f>
        <v>3</v>
      </c>
      <c r="M239" s="123">
        <f t="shared" si="54"/>
        <v>-7.6517672853400178</v>
      </c>
      <c r="N239" s="121">
        <f t="shared" si="55"/>
        <v>1094.3607552510286</v>
      </c>
      <c r="O239" s="120" t="str">
        <f t="shared" si="56"/>
        <v>OK</v>
      </c>
      <c r="P239">
        <f t="shared" si="57"/>
        <v>1115.3722634859373</v>
      </c>
      <c r="Q239">
        <f t="shared" si="58"/>
        <v>0.48078325756503854</v>
      </c>
      <c r="R239">
        <f t="shared" si="59"/>
        <v>0.33333333333333331</v>
      </c>
      <c r="S239">
        <f t="shared" si="60"/>
        <v>1.3333333333333333</v>
      </c>
      <c r="T239" s="88">
        <f t="shared" si="61"/>
        <v>1</v>
      </c>
      <c r="U239" s="125">
        <f>IF($D239="",0,IFERROR(LOOKUP(2,1/(($D$3:D238=$D239)*($C$3:C238=$C239)*($A$3:A238&lt;$A239)),$AB$3:AB238),1000))</f>
        <v>992</v>
      </c>
      <c r="V239" s="125">
        <f t="shared" si="62"/>
        <v>1083.6771021136406</v>
      </c>
      <c r="W239">
        <f t="shared" si="63"/>
        <v>1098.8102195716144</v>
      </c>
      <c r="X239">
        <f t="shared" si="64"/>
        <v>0.47823545533375117</v>
      </c>
      <c r="Y239">
        <f t="shared" si="65"/>
        <v>1016</v>
      </c>
      <c r="Z239">
        <f t="shared" si="66"/>
        <v>0.46551605527316847</v>
      </c>
      <c r="AA239">
        <f>IF($D239="",0,IF($F239&lt;2,0,IF($E239="Win",('Guide &amp; Settings'!$C$42/(($F239-1)*COUNTIFS($A$4:$A$311,$A239,$E$4:$E$311,"Win")))*SUMIFS($Z$4:$Z$311,$A$4:$A$311,$A239,$E$4:$E$311,"Loss"),-('Guide &amp; Settings'!$C$42/($F239-1))*$Z239)))</f>
        <v>-7.4482568843706956</v>
      </c>
      <c r="AB239" s="125">
        <f t="shared" si="67"/>
        <v>984.55174311562928</v>
      </c>
      <c r="AC239" s="125">
        <f>IF($D239="","",IF(SUMPRODUCT(MAX(($D$4:$D$311=$D239)*($B$4:$B$311&lt;$B239)*$B$4:$B$311))=0,0,MAX(($B239-SUMPRODUCT(MAX(($D$4:$D$311=$D239)*($B$4:$B$311&lt;$B239)*$B$4:$B$311)))/7-'Guide &amp; Settings'!$C$48,0)*'Guide &amp; Settings'!$C$49))</f>
        <v>0</v>
      </c>
    </row>
    <row r="240" spans="1:29" ht="15" customHeight="1" x14ac:dyDescent="0.2">
      <c r="A240" s="116">
        <v>96</v>
      </c>
      <c r="B240" s="117">
        <v>46189</v>
      </c>
      <c r="C240" s="118" t="s">
        <v>193</v>
      </c>
      <c r="D240" s="118" t="s">
        <v>174</v>
      </c>
      <c r="E240" s="116" t="s">
        <v>316</v>
      </c>
      <c r="F240" s="119">
        <f t="shared" si="51"/>
        <v>2</v>
      </c>
      <c r="G240" s="120" t="str">
        <f t="shared" si="52"/>
        <v>Dean B</v>
      </c>
      <c r="H240" s="121">
        <f>IF($D240="",0,IFERROR(LOOKUP(2,1/(($D$3:D239=$D240)*($A$3:A239&lt;$A240)),$N$3:N239),'Guide &amp; Settings'!$C$41))</f>
        <v>1138.6979021359832</v>
      </c>
      <c r="I240" s="122">
        <f t="shared" si="53"/>
        <v>0.33333333333333331</v>
      </c>
      <c r="J240" s="123">
        <f>IF($D240="",0,IF($F240&lt;2,0,IF($E240="Win",('Guide &amp; Settings'!$C$42/(($F240-1)*COUNTIFS($A$4:$A$311,$A240,$E$4:$E$311,"Win")))*SUMIFS($X$4:$X$311,$A$4:$A$311,$A240,$E$4:$E$311,"Loss"),-('Guide &amp; Settings'!$C$42/($F240-1))*$X240)))</f>
        <v>19.015379596840102</v>
      </c>
      <c r="K240" s="123">
        <f>IF($D240="",0,'Guide &amp; Settings'!$C$43*(IF($E240="Win",1,0)-$I240))</f>
        <v>8</v>
      </c>
      <c r="L240" s="124">
        <f>IF($D240="",0,'Guide &amp; Settings'!$C$44*IF($F240&gt;=3,$F240+IF($E240="Win",$F240,0),0))</f>
        <v>0</v>
      </c>
      <c r="M240" s="123">
        <f t="shared" si="54"/>
        <v>27.015379596840102</v>
      </c>
      <c r="N240" s="121">
        <f t="shared" si="55"/>
        <v>1165.7132817328234</v>
      </c>
      <c r="O240" s="120" t="str">
        <f t="shared" si="56"/>
        <v>OK</v>
      </c>
      <c r="P240">
        <f t="shared" si="57"/>
        <v>1138.6979021359832</v>
      </c>
      <c r="Q240">
        <f t="shared" si="58"/>
        <v>0.5</v>
      </c>
      <c r="R240">
        <f t="shared" si="59"/>
        <v>0.375</v>
      </c>
      <c r="S240">
        <f t="shared" si="60"/>
        <v>1.125</v>
      </c>
      <c r="T240" s="88">
        <f t="shared" si="61"/>
        <v>6</v>
      </c>
      <c r="U240" s="125">
        <f>IF($D240="",0,IFERROR(LOOKUP(2,1/(($D$3:D239=$D240)*($C$3:C239=$C240)*($A$3:A239&lt;$A240)),$AB$3:AB239),1000))</f>
        <v>965.02366557041569</v>
      </c>
      <c r="V240" s="125">
        <f t="shared" si="62"/>
        <v>1043.9665003729465</v>
      </c>
      <c r="W240">
        <f t="shared" si="63"/>
        <v>1043.9665003729465</v>
      </c>
      <c r="X240">
        <f t="shared" si="64"/>
        <v>0.5</v>
      </c>
      <c r="Y240">
        <f t="shared" si="65"/>
        <v>965.02366557041569</v>
      </c>
      <c r="Z240">
        <f t="shared" si="66"/>
        <v>0.5</v>
      </c>
      <c r="AA240">
        <f>IF($D240="",0,IF($F240&lt;2,0,IF($E240="Win",('Guide &amp; Settings'!$C$42/(($F240-1)*COUNTIFS($A$4:$A$311,$A240,$E$4:$E$311,"Win")))*SUMIFS($Z$4:$Z$311,$A$4:$A$311,$A240,$E$4:$E$311,"Loss"),-('Guide &amp; Settings'!$C$42/($F240-1))*$Z240)))</f>
        <v>19.073419784742327</v>
      </c>
      <c r="AB240" s="125">
        <f t="shared" si="67"/>
        <v>984.09708535515801</v>
      </c>
      <c r="AC240" s="125">
        <f>IF($D240="","",IF(SUMPRODUCT(MAX(($D$4:$D$311=$D240)*($B$4:$B$311&lt;$B240)*$B$4:$B$311))=0,0,MAX(($B240-SUMPRODUCT(MAX(($D$4:$D$311=$D240)*($B$4:$B$311&lt;$B240)*$B$4:$B$311)))/7-'Guide &amp; Settings'!$C$48,0)*'Guide &amp; Settings'!$C$49))</f>
        <v>0</v>
      </c>
    </row>
    <row r="241" spans="1:29" ht="15" customHeight="1" x14ac:dyDescent="0.2">
      <c r="A241" s="116">
        <v>96</v>
      </c>
      <c r="B241" s="117">
        <v>46189</v>
      </c>
      <c r="C241" s="118" t="s">
        <v>193</v>
      </c>
      <c r="D241" s="118" t="s">
        <v>177</v>
      </c>
      <c r="E241" s="116" t="s">
        <v>317</v>
      </c>
      <c r="F241" s="119">
        <f t="shared" si="51"/>
        <v>2</v>
      </c>
      <c r="G241" s="120" t="str">
        <f t="shared" si="52"/>
        <v>Dean B</v>
      </c>
      <c r="H241" s="121">
        <f>IF($D241="",0,IFERROR(LOOKUP(2,1/(($D$3:D240=$D241)*($A$3:A240&lt;$A241)),$N$3:N240),'Guide &amp; Settings'!$C$41))</f>
        <v>1141.2908621485974</v>
      </c>
      <c r="I241" s="122">
        <f t="shared" si="53"/>
        <v>0.66666666666666663</v>
      </c>
      <c r="J241" s="123">
        <f>IF($D241="",0,IF($F241&lt;2,0,IF($E241="Win",('Guide &amp; Settings'!$C$42/(($F241-1)*COUNTIFS($A$4:$A$311,$A241,$E$4:$E$311,"Win")))*SUMIFS($X$4:$X$311,$A$4:$A$311,$A241,$E$4:$E$311,"Loss"),-('Guide &amp; Settings'!$C$42/($F241-1))*$X241)))</f>
        <v>-19.015379596840102</v>
      </c>
      <c r="K241" s="123">
        <f>IF($D241="",0,'Guide &amp; Settings'!$C$43*(IF($E241="Win",1,0)-$I241))</f>
        <v>-8</v>
      </c>
      <c r="L241" s="124">
        <f>IF($D241="",0,'Guide &amp; Settings'!$C$44*IF($F241&gt;=3,$F241+IF($E241="Win",$F241,0),0))</f>
        <v>0</v>
      </c>
      <c r="M241" s="123">
        <f t="shared" si="54"/>
        <v>-27.015379596840102</v>
      </c>
      <c r="N241" s="121">
        <f t="shared" si="55"/>
        <v>1114.2754825517572</v>
      </c>
      <c r="O241" s="120" t="str">
        <f t="shared" si="56"/>
        <v>OK</v>
      </c>
      <c r="P241">
        <f t="shared" si="57"/>
        <v>1138.6979021359832</v>
      </c>
      <c r="Q241">
        <f t="shared" si="58"/>
        <v>0.50373150014053603</v>
      </c>
      <c r="R241">
        <f t="shared" si="59"/>
        <v>0.75</v>
      </c>
      <c r="S241">
        <f t="shared" si="60"/>
        <v>1.125</v>
      </c>
      <c r="T241" s="88">
        <f t="shared" si="61"/>
        <v>2</v>
      </c>
      <c r="U241" s="125">
        <f>IF($D241="",0,IFERROR(LOOKUP(2,1/(($D$3:D240=$D241)*($C$3:C240=$C241)*($A$3:A240&lt;$A241)),$AB$3:AB240),1000))</f>
        <v>1032.6016342488008</v>
      </c>
      <c r="V241" s="125">
        <f t="shared" si="62"/>
        <v>1110.2367970343698</v>
      </c>
      <c r="W241">
        <f t="shared" si="63"/>
        <v>1043.9665003729465</v>
      </c>
      <c r="X241">
        <f t="shared" si="64"/>
        <v>0.59423061240125319</v>
      </c>
      <c r="Y241">
        <f t="shared" si="65"/>
        <v>965.02366557041569</v>
      </c>
      <c r="Z241">
        <f t="shared" si="66"/>
        <v>0.59604436827319773</v>
      </c>
      <c r="AA241">
        <f>IF($D241="",0,IF($F241&lt;2,0,IF($E241="Win",('Guide &amp; Settings'!$C$42/(($F241-1)*COUNTIFS($A$4:$A$311,$A241,$E$4:$E$311,"Win")))*SUMIFS($Z$4:$Z$311,$A$4:$A$311,$A241,$E$4:$E$311,"Loss"),-('Guide &amp; Settings'!$C$42/($F241-1))*$Z241)))</f>
        <v>-19.073419784742327</v>
      </c>
      <c r="AB241" s="125">
        <f t="shared" si="67"/>
        <v>1013.5282144640585</v>
      </c>
      <c r="AC241" s="125">
        <f>IF($D241="","",IF(SUMPRODUCT(MAX(($D$4:$D$311=$D241)*($B$4:$B$311&lt;$B241)*$B$4:$B$311))=0,0,MAX(($B241-SUMPRODUCT(MAX(($D$4:$D$311=$D241)*($B$4:$B$311&lt;$B241)*$B$4:$B$311)))/7-'Guide &amp; Settings'!$C$48,0)*'Guide &amp; Settings'!$C$49))</f>
        <v>0</v>
      </c>
    </row>
    <row r="242" spans="1:29" ht="15" customHeight="1" x14ac:dyDescent="0.2">
      <c r="A242" s="116">
        <v>97</v>
      </c>
      <c r="B242" s="117">
        <v>46189</v>
      </c>
      <c r="C242" s="118" t="s">
        <v>193</v>
      </c>
      <c r="D242" s="118" t="s">
        <v>174</v>
      </c>
      <c r="E242" s="116" t="s">
        <v>316</v>
      </c>
      <c r="F242" s="119">
        <f t="shared" si="51"/>
        <v>2</v>
      </c>
      <c r="G242" s="120" t="str">
        <f t="shared" si="52"/>
        <v>Dean B</v>
      </c>
      <c r="H242" s="121">
        <f>IF($D242="",0,IFERROR(LOOKUP(2,1/(($D$3:D241=$D242)*($A$3:A241&lt;$A242)),$N$3:N241),'Guide &amp; Settings'!$C$41))</f>
        <v>1165.7132817328234</v>
      </c>
      <c r="I242" s="122">
        <f t="shared" si="53"/>
        <v>0.42553191489361708</v>
      </c>
      <c r="J242" s="123">
        <f>IF($D242="",0,IF($F242&lt;2,0,IF($E242="Win",('Guide &amp; Settings'!$C$42/(($F242-1)*COUNTIFS($A$4:$A$311,$A242,$E$4:$E$311,"Win")))*SUMIFS($X$4:$X$311,$A$4:$A$311,$A242,$E$4:$E$311,"Loss"),-('Guide &amp; Settings'!$C$42/($F242-1))*$X242)))</f>
        <v>16.769609135772754</v>
      </c>
      <c r="K242" s="123">
        <f>IF($D242="",0,'Guide &amp; Settings'!$C$43*(IF($E242="Win",1,0)-$I242))</f>
        <v>6.8936170212765955</v>
      </c>
      <c r="L242" s="124">
        <f>IF($D242="",0,'Guide &amp; Settings'!$C$44*IF($F242&gt;=3,$F242+IF($E242="Win",$F242,0),0))</f>
        <v>0</v>
      </c>
      <c r="M242" s="123">
        <f t="shared" si="54"/>
        <v>23.663226157049351</v>
      </c>
      <c r="N242" s="121">
        <f t="shared" si="55"/>
        <v>1189.3765078898728</v>
      </c>
      <c r="O242" s="120" t="str">
        <f t="shared" si="56"/>
        <v>OK</v>
      </c>
      <c r="P242">
        <f t="shared" si="57"/>
        <v>1165.7132817328234</v>
      </c>
      <c r="Q242">
        <f t="shared" si="58"/>
        <v>0.5</v>
      </c>
      <c r="R242">
        <f t="shared" si="59"/>
        <v>0.44444444444444442</v>
      </c>
      <c r="S242">
        <f t="shared" si="60"/>
        <v>1.0444444444444443</v>
      </c>
      <c r="T242" s="88">
        <f t="shared" si="61"/>
        <v>7</v>
      </c>
      <c r="U242" s="125">
        <f>IF($D242="",0,IFERROR(LOOKUP(2,1/(($D$3:D241=$D242)*($C$3:C241=$C242)*($A$3:A241&lt;$A242)),$AB$3:AB241),1000))</f>
        <v>984.09708535515801</v>
      </c>
      <c r="V242" s="125">
        <f t="shared" si="62"/>
        <v>1059.7705005125185</v>
      </c>
      <c r="W242">
        <f t="shared" si="63"/>
        <v>1059.7705005125185</v>
      </c>
      <c r="X242">
        <f t="shared" si="64"/>
        <v>0.5</v>
      </c>
      <c r="Y242">
        <f t="shared" si="65"/>
        <v>984.09708535515801</v>
      </c>
      <c r="Z242">
        <f t="shared" si="66"/>
        <v>0.5</v>
      </c>
      <c r="AA242">
        <f>IF($D242="",0,IF($F242&lt;2,0,IF($E242="Win",('Guide &amp; Settings'!$C$42/(($F242-1)*COUNTIFS($A$4:$A$311,$A242,$E$4:$E$311,"Win")))*SUMIFS($Z$4:$Z$311,$A$4:$A$311,$A242,$E$4:$E$311,"Loss"),-('Guide &amp; Settings'!$C$42/($F242-1))*$Z242)))</f>
        <v>17.352120983758638</v>
      </c>
      <c r="AB242" s="125">
        <f t="shared" si="67"/>
        <v>1001.4492063389166</v>
      </c>
      <c r="AC242" s="125">
        <f>IF($D242="","",IF(SUMPRODUCT(MAX(($D$4:$D$311=$D242)*($B$4:$B$311&lt;$B242)*$B$4:$B$311))=0,0,MAX(($B242-SUMPRODUCT(MAX(($D$4:$D$311=$D242)*($B$4:$B$311&lt;$B242)*$B$4:$B$311)))/7-'Guide &amp; Settings'!$C$48,0)*'Guide &amp; Settings'!$C$49))</f>
        <v>0</v>
      </c>
    </row>
    <row r="243" spans="1:29" ht="15" customHeight="1" x14ac:dyDescent="0.2">
      <c r="A243" s="116">
        <v>97</v>
      </c>
      <c r="B243" s="117">
        <v>46189</v>
      </c>
      <c r="C243" s="118" t="s">
        <v>193</v>
      </c>
      <c r="D243" s="118" t="s">
        <v>177</v>
      </c>
      <c r="E243" s="116" t="s">
        <v>317</v>
      </c>
      <c r="F243" s="119">
        <f t="shared" si="51"/>
        <v>2</v>
      </c>
      <c r="G243" s="120" t="str">
        <f t="shared" si="52"/>
        <v>Dean B</v>
      </c>
      <c r="H243" s="121">
        <f>IF($D243="",0,IFERROR(LOOKUP(2,1/(($D$3:D242=$D243)*($A$3:A242&lt;$A243)),$N$3:N242),'Guide &amp; Settings'!$C$41))</f>
        <v>1114.2754825517572</v>
      </c>
      <c r="I243" s="122">
        <f t="shared" si="53"/>
        <v>0.57446808510638303</v>
      </c>
      <c r="J243" s="123">
        <f>IF($D243="",0,IF($F243&lt;2,0,IF($E243="Win",('Guide &amp; Settings'!$C$42/(($F243-1)*COUNTIFS($A$4:$A$311,$A243,$E$4:$E$311,"Win")))*SUMIFS($X$4:$X$311,$A$4:$A$311,$A243,$E$4:$E$311,"Loss"),-('Guide &amp; Settings'!$C$42/($F243-1))*$X243)))</f>
        <v>-16.769609135772754</v>
      </c>
      <c r="K243" s="123">
        <f>IF($D243="",0,'Guide &amp; Settings'!$C$43*(IF($E243="Win",1,0)-$I243))</f>
        <v>-6.8936170212765964</v>
      </c>
      <c r="L243" s="124">
        <f>IF($D243="",0,'Guide &amp; Settings'!$C$44*IF($F243&gt;=3,$F243+IF($E243="Win",$F243,0),0))</f>
        <v>0</v>
      </c>
      <c r="M243" s="123">
        <f t="shared" si="54"/>
        <v>-23.663226157049351</v>
      </c>
      <c r="N243" s="121">
        <f t="shared" si="55"/>
        <v>1090.6122563947079</v>
      </c>
      <c r="O243" s="120" t="str">
        <f t="shared" si="56"/>
        <v>OK</v>
      </c>
      <c r="P243">
        <f t="shared" si="57"/>
        <v>1165.7132817328234</v>
      </c>
      <c r="Q243">
        <f t="shared" si="58"/>
        <v>0.42651120154107136</v>
      </c>
      <c r="R243">
        <f t="shared" si="59"/>
        <v>0.6</v>
      </c>
      <c r="S243">
        <f t="shared" si="60"/>
        <v>1.0444444444444443</v>
      </c>
      <c r="T243" s="88">
        <f t="shared" si="61"/>
        <v>3</v>
      </c>
      <c r="U243" s="125">
        <f>IF($D243="",0,IFERROR(LOOKUP(2,1/(($D$3:D242=$D243)*($C$3:C242=$C243)*($A$3:A242&lt;$A243)),$AB$3:AB242),1000))</f>
        <v>1013.5282144640585</v>
      </c>
      <c r="V243" s="125">
        <f t="shared" si="62"/>
        <v>1076.4952570188702</v>
      </c>
      <c r="W243">
        <f t="shared" si="63"/>
        <v>1059.7705005125185</v>
      </c>
      <c r="X243">
        <f t="shared" si="64"/>
        <v>0.52405028549289856</v>
      </c>
      <c r="Y243">
        <f t="shared" si="65"/>
        <v>984.09708535515801</v>
      </c>
      <c r="Z243">
        <f t="shared" si="66"/>
        <v>0.54225378074245745</v>
      </c>
      <c r="AA243">
        <f>IF($D243="",0,IF($F243&lt;2,0,IF($E243="Win",('Guide &amp; Settings'!$C$42/(($F243-1)*COUNTIFS($A$4:$A$311,$A243,$E$4:$E$311,"Win")))*SUMIFS($Z$4:$Z$311,$A$4:$A$311,$A243,$E$4:$E$311,"Loss"),-('Guide &amp; Settings'!$C$42/($F243-1))*$Z243)))</f>
        <v>-17.352120983758638</v>
      </c>
      <c r="AB243" s="125">
        <f t="shared" si="67"/>
        <v>996.17609348029987</v>
      </c>
      <c r="AC243" s="125">
        <f>IF($D243="","",IF(SUMPRODUCT(MAX(($D$4:$D$311=$D243)*($B$4:$B$311&lt;$B243)*$B$4:$B$311))=0,0,MAX(($B243-SUMPRODUCT(MAX(($D$4:$D$311=$D243)*($B$4:$B$311&lt;$B243)*$B$4:$B$311)))/7-'Guide &amp; Settings'!$C$48,0)*'Guide &amp; Settings'!$C$49))</f>
        <v>0</v>
      </c>
    </row>
    <row r="244" spans="1:29" ht="15" customHeight="1" x14ac:dyDescent="0.2">
      <c r="A244" s="116">
        <v>98</v>
      </c>
      <c r="B244" s="117">
        <v>46190</v>
      </c>
      <c r="C244" s="118" t="s">
        <v>189</v>
      </c>
      <c r="D244" s="118" t="s">
        <v>141</v>
      </c>
      <c r="E244" s="116" t="s">
        <v>316</v>
      </c>
      <c r="F244" s="119">
        <f t="shared" si="51"/>
        <v>2</v>
      </c>
      <c r="G244" s="120" t="str">
        <f t="shared" si="52"/>
        <v>Shawn</v>
      </c>
      <c r="H244" s="121">
        <f>IF($D244="",0,IFERROR(LOOKUP(2,1/(($D$3:D243=$D244)*($A$3:A243&lt;$A244)),$N$3:N243),'Guide &amp; Settings'!$C$41))</f>
        <v>1022.1264377869081</v>
      </c>
      <c r="I244" s="122">
        <f t="shared" si="53"/>
        <v>0.5</v>
      </c>
      <c r="J244" s="123">
        <f>IF($D244="",0,IF($F244&lt;2,0,IF($E244="Win",('Guide &amp; Settings'!$C$42/(($F244-1)*COUNTIFS($A$4:$A$311,$A244,$E$4:$E$311,"Win")))*SUMIFS($X$4:$X$311,$A$4:$A$311,$A244,$E$4:$E$311,"Loss"),-('Guide &amp; Settings'!$C$42/($F244-1))*$X244)))</f>
        <v>19.113664890966593</v>
      </c>
      <c r="K244" s="123">
        <f>IF($D244="",0,'Guide &amp; Settings'!$C$43*(IF($E244="Win",1,0)-$I244))</f>
        <v>6</v>
      </c>
      <c r="L244" s="124">
        <f>IF($D244="",0,'Guide &amp; Settings'!$C$44*IF($F244&gt;=3,$F244+IF($E244="Win",$F244,0),0))</f>
        <v>0</v>
      </c>
      <c r="M244" s="123">
        <f t="shared" si="54"/>
        <v>25.113664890966593</v>
      </c>
      <c r="N244" s="121">
        <f t="shared" si="55"/>
        <v>1047.2401026778748</v>
      </c>
      <c r="O244" s="120" t="str">
        <f t="shared" si="56"/>
        <v>OK</v>
      </c>
      <c r="P244">
        <f t="shared" si="57"/>
        <v>1022.1264377869081</v>
      </c>
      <c r="Q244">
        <f t="shared" si="58"/>
        <v>0.5</v>
      </c>
      <c r="R244">
        <f t="shared" si="59"/>
        <v>0.5</v>
      </c>
      <c r="S244">
        <f t="shared" si="60"/>
        <v>1</v>
      </c>
      <c r="T244" s="88">
        <f t="shared" si="61"/>
        <v>0</v>
      </c>
      <c r="U244" s="125">
        <f>IF($D244="",0,IFERROR(LOOKUP(2,1/(($D$3:D243=$D244)*($C$3:C243=$C244)*($A$3:A243&lt;$A244)),$AB$3:AB243),1000))</f>
        <v>1000</v>
      </c>
      <c r="V244" s="125">
        <f t="shared" si="62"/>
        <v>1022.1264377869081</v>
      </c>
      <c r="W244">
        <f t="shared" si="63"/>
        <v>1022.1264377869081</v>
      </c>
      <c r="X244">
        <f t="shared" si="64"/>
        <v>0.5</v>
      </c>
      <c r="Y244">
        <f t="shared" si="65"/>
        <v>1000</v>
      </c>
      <c r="Z244">
        <f t="shared" si="66"/>
        <v>0.5</v>
      </c>
      <c r="AA244">
        <f>IF($D244="",0,IF($F244&lt;2,0,IF($E244="Win",('Guide &amp; Settings'!$C$42/(($F244-1)*COUNTIFS($A$4:$A$311,$A244,$E$4:$E$311,"Win")))*SUMIFS($Z$4:$Z$311,$A$4:$A$311,$A244,$E$4:$E$311,"Loss"),-('Guide &amp; Settings'!$C$42/($F244-1))*$Z244)))</f>
        <v>16</v>
      </c>
      <c r="AB244" s="125">
        <f t="shared" si="67"/>
        <v>1016</v>
      </c>
      <c r="AC244" s="125">
        <f>IF($D244="","",IF(SUMPRODUCT(MAX(($D$4:$D$311=$D244)*($B$4:$B$311&lt;$B244)*$B$4:$B$311))=0,0,MAX(($B244-SUMPRODUCT(MAX(($D$4:$D$311=$D244)*($B$4:$B$311&lt;$B244)*$B$4:$B$311)))/7-'Guide &amp; Settings'!$C$48,0)*'Guide &amp; Settings'!$C$49))</f>
        <v>0</v>
      </c>
    </row>
    <row r="245" spans="1:29" ht="15" customHeight="1" x14ac:dyDescent="0.2">
      <c r="A245" s="116">
        <v>98</v>
      </c>
      <c r="B245" s="117">
        <v>46190</v>
      </c>
      <c r="C245" s="118" t="s">
        <v>189</v>
      </c>
      <c r="D245" s="118" t="s">
        <v>177</v>
      </c>
      <c r="E245" s="116" t="s">
        <v>317</v>
      </c>
      <c r="F245" s="119">
        <f t="shared" si="51"/>
        <v>2</v>
      </c>
      <c r="G245" s="120" t="str">
        <f t="shared" si="52"/>
        <v>Shawn</v>
      </c>
      <c r="H245" s="121">
        <f>IF($D245="",0,IFERROR(LOOKUP(2,1/(($D$3:D244=$D245)*($A$3:A244&lt;$A245)),$N$3:N244),'Guide &amp; Settings'!$C$41))</f>
        <v>1090.6122563947079</v>
      </c>
      <c r="I245" s="122">
        <f t="shared" si="53"/>
        <v>0.5</v>
      </c>
      <c r="J245" s="123">
        <f>IF($D245="",0,IF($F245&lt;2,0,IF($E245="Win",('Guide &amp; Settings'!$C$42/(($F245-1)*COUNTIFS($A$4:$A$311,$A245,$E$4:$E$311,"Win")))*SUMIFS($X$4:$X$311,$A$4:$A$311,$A245,$E$4:$E$311,"Loss"),-('Guide &amp; Settings'!$C$42/($F245-1))*$X245)))</f>
        <v>-19.113664890966593</v>
      </c>
      <c r="K245" s="123">
        <f>IF($D245="",0,'Guide &amp; Settings'!$C$43*(IF($E245="Win",1,0)-$I245))</f>
        <v>-6</v>
      </c>
      <c r="L245" s="124">
        <f>IF($D245="",0,'Guide &amp; Settings'!$C$44*IF($F245&gt;=3,$F245+IF($E245="Win",$F245,0),0))</f>
        <v>0</v>
      </c>
      <c r="M245" s="123">
        <f t="shared" si="54"/>
        <v>-25.113664890966593</v>
      </c>
      <c r="N245" s="121">
        <f t="shared" si="55"/>
        <v>1065.4985915037412</v>
      </c>
      <c r="O245" s="120" t="str">
        <f t="shared" si="56"/>
        <v>OK</v>
      </c>
      <c r="P245">
        <f t="shared" si="57"/>
        <v>1022.1264377869081</v>
      </c>
      <c r="Q245">
        <f t="shared" si="58"/>
        <v>0.59730202784270603</v>
      </c>
      <c r="R245">
        <f t="shared" si="59"/>
        <v>0.5</v>
      </c>
      <c r="S245">
        <f t="shared" si="60"/>
        <v>1</v>
      </c>
      <c r="T245" s="88">
        <f t="shared" si="61"/>
        <v>0</v>
      </c>
      <c r="U245" s="125">
        <f>IF($D245="",0,IFERROR(LOOKUP(2,1/(($D$3:D244=$D245)*($C$3:C244=$C245)*($A$3:A244&lt;$A245)),$AB$3:AB244),1000))</f>
        <v>1000</v>
      </c>
      <c r="V245" s="125">
        <f t="shared" si="62"/>
        <v>1090.6122563947079</v>
      </c>
      <c r="W245">
        <f t="shared" si="63"/>
        <v>1022.1264377869081</v>
      </c>
      <c r="X245">
        <f t="shared" si="64"/>
        <v>0.59730202784270603</v>
      </c>
      <c r="Y245">
        <f t="shared" si="65"/>
        <v>1000</v>
      </c>
      <c r="Z245">
        <f t="shared" si="66"/>
        <v>0.5</v>
      </c>
      <c r="AA245">
        <f>IF($D245="",0,IF($F245&lt;2,0,IF($E245="Win",('Guide &amp; Settings'!$C$42/(($F245-1)*COUNTIFS($A$4:$A$311,$A245,$E$4:$E$311,"Win")))*SUMIFS($Z$4:$Z$311,$A$4:$A$311,$A245,$E$4:$E$311,"Loss"),-('Guide &amp; Settings'!$C$42/($F245-1))*$Z245)))</f>
        <v>-16</v>
      </c>
      <c r="AB245" s="125">
        <f t="shared" si="67"/>
        <v>984</v>
      </c>
      <c r="AC245" s="125">
        <f>IF($D245="","",IF(SUMPRODUCT(MAX(($D$4:$D$311=$D245)*($B$4:$B$311&lt;$B245)*$B$4:$B$311))=0,0,MAX(($B245-SUMPRODUCT(MAX(($D$4:$D$311=$D245)*($B$4:$B$311&lt;$B245)*$B$4:$B$311)))/7-'Guide &amp; Settings'!$C$48,0)*'Guide &amp; Settings'!$C$49))</f>
        <v>0</v>
      </c>
    </row>
    <row r="246" spans="1:29" ht="15" customHeight="1" x14ac:dyDescent="0.2">
      <c r="A246" s="116">
        <v>99</v>
      </c>
      <c r="B246" s="117">
        <v>46199</v>
      </c>
      <c r="C246" s="118" t="s">
        <v>216</v>
      </c>
      <c r="D246" s="118" t="s">
        <v>177</v>
      </c>
      <c r="E246" s="116" t="s">
        <v>316</v>
      </c>
      <c r="F246" s="119">
        <f t="shared" si="51"/>
        <v>2</v>
      </c>
      <c r="G246" s="120" t="str">
        <f t="shared" si="52"/>
        <v>Daniel (Ferret)</v>
      </c>
      <c r="H246" s="121">
        <f>IF($D246="",0,IFERROR(LOOKUP(2,1/(($D$3:D245=$D246)*($A$3:A245&lt;$A246)),$N$3:N245),'Guide &amp; Settings'!$C$41))</f>
        <v>1065.4985915037412</v>
      </c>
      <c r="I246" s="122">
        <f t="shared" si="53"/>
        <v>0.5</v>
      </c>
      <c r="J246" s="123">
        <f>IF($D246="",0,IF($F246&lt;2,0,IF($E246="Win",('Guide &amp; Settings'!$C$42/(($F246-1)*COUNTIFS($A$4:$A$311,$A246,$E$4:$E$311,"Win")))*SUMIFS($X$4:$X$311,$A$4:$A$311,$A246,$E$4:$E$311,"Loss"),-('Guide &amp; Settings'!$C$42/($F246-1))*$X246)))</f>
        <v>20.868782539838506</v>
      </c>
      <c r="K246" s="123">
        <f>IF($D246="",0,'Guide &amp; Settings'!$C$43*(IF($E246="Win",1,0)-$I246))</f>
        <v>6</v>
      </c>
      <c r="L246" s="124">
        <f>IF($D246="",0,'Guide &amp; Settings'!$C$44*IF($F246&gt;=3,$F246+IF($E246="Win",$F246,0),0))</f>
        <v>0</v>
      </c>
      <c r="M246" s="123">
        <f t="shared" si="54"/>
        <v>26.868782539838506</v>
      </c>
      <c r="N246" s="121">
        <f t="shared" si="55"/>
        <v>1092.3673740435797</v>
      </c>
      <c r="O246" s="120" t="str">
        <f t="shared" si="56"/>
        <v>OK</v>
      </c>
      <c r="P246">
        <f t="shared" si="57"/>
        <v>1065.4985915037412</v>
      </c>
      <c r="Q246">
        <f t="shared" si="58"/>
        <v>0.5</v>
      </c>
      <c r="R246">
        <f t="shared" si="59"/>
        <v>0.5</v>
      </c>
      <c r="S246">
        <f t="shared" si="60"/>
        <v>1</v>
      </c>
      <c r="T246" s="88">
        <f t="shared" si="61"/>
        <v>0</v>
      </c>
      <c r="U246" s="125">
        <f>IF($D246="",0,IFERROR(LOOKUP(2,1/(($D$3:D245=$D246)*($C$3:C245=$C246)*($A$3:A245&lt;$A246)),$AB$3:AB245),1000))</f>
        <v>1000</v>
      </c>
      <c r="V246" s="125">
        <f t="shared" si="62"/>
        <v>1065.4985915037412</v>
      </c>
      <c r="W246">
        <f t="shared" si="63"/>
        <v>1065.4985915037412</v>
      </c>
      <c r="X246">
        <f t="shared" si="64"/>
        <v>0.5</v>
      </c>
      <c r="Y246">
        <f t="shared" si="65"/>
        <v>1000</v>
      </c>
      <c r="Z246">
        <f t="shared" si="66"/>
        <v>0.5</v>
      </c>
      <c r="AA246">
        <f>IF($D246="",0,IF($F246&lt;2,0,IF($E246="Win",('Guide &amp; Settings'!$C$42/(($F246-1)*COUNTIFS($A$4:$A$311,$A246,$E$4:$E$311,"Win")))*SUMIFS($Z$4:$Z$311,$A$4:$A$311,$A246,$E$4:$E$311,"Loss"),-('Guide &amp; Settings'!$C$42/($F246-1))*$Z246)))</f>
        <v>16</v>
      </c>
      <c r="AB246" s="125">
        <f t="shared" si="67"/>
        <v>1016</v>
      </c>
      <c r="AC246" s="125">
        <f>IF($D246="","",IF(SUMPRODUCT(MAX(($D$4:$D$311=$D246)*($B$4:$B$311&lt;$B246)*$B$4:$B$311))=0,0,MAX(($B246-SUMPRODUCT(MAX(($D$4:$D$311=$D246)*($B$4:$B$311&lt;$B246)*$B$4:$B$311)))/7-'Guide &amp; Settings'!$C$48,0)*'Guide &amp; Settings'!$C$49))</f>
        <v>0</v>
      </c>
    </row>
    <row r="247" spans="1:29" ht="15" customHeight="1" x14ac:dyDescent="0.2">
      <c r="A247" s="116">
        <v>99</v>
      </c>
      <c r="B247" s="117">
        <v>46199</v>
      </c>
      <c r="C247" s="118" t="s">
        <v>216</v>
      </c>
      <c r="D247" s="118" t="s">
        <v>144</v>
      </c>
      <c r="E247" s="116" t="s">
        <v>317</v>
      </c>
      <c r="F247" s="119">
        <f t="shared" si="51"/>
        <v>2</v>
      </c>
      <c r="G247" s="120" t="str">
        <f t="shared" si="52"/>
        <v>Daniel (Ferret)</v>
      </c>
      <c r="H247" s="121">
        <f>IF($D247="",0,IFERROR(LOOKUP(2,1/(($D$3:D246=$D247)*($A$3:A246&lt;$A247)),$N$3:N246),'Guide &amp; Settings'!$C$41))</f>
        <v>1174.6803700391565</v>
      </c>
      <c r="I247" s="122">
        <f t="shared" si="53"/>
        <v>0.5</v>
      </c>
      <c r="J247" s="123">
        <f>IF($D247="",0,IF($F247&lt;2,0,IF($E247="Win",('Guide &amp; Settings'!$C$42/(($F247-1)*COUNTIFS($A$4:$A$311,$A247,$E$4:$E$311,"Win")))*SUMIFS($X$4:$X$311,$A$4:$A$311,$A247,$E$4:$E$311,"Loss"),-('Guide &amp; Settings'!$C$42/($F247-1))*$X247)))</f>
        <v>-20.868782539838506</v>
      </c>
      <c r="K247" s="123">
        <f>IF($D247="",0,'Guide &amp; Settings'!$C$43*(IF($E247="Win",1,0)-$I247))</f>
        <v>-6</v>
      </c>
      <c r="L247" s="124">
        <f>IF($D247="",0,'Guide &amp; Settings'!$C$44*IF($F247&gt;=3,$F247+IF($E247="Win",$F247,0),0))</f>
        <v>0</v>
      </c>
      <c r="M247" s="123">
        <f t="shared" si="54"/>
        <v>-26.868782539838506</v>
      </c>
      <c r="N247" s="121">
        <f t="shared" si="55"/>
        <v>1147.811587499318</v>
      </c>
      <c r="O247" s="120" t="str">
        <f t="shared" si="56"/>
        <v>OK</v>
      </c>
      <c r="P247">
        <f t="shared" si="57"/>
        <v>1065.4985915037412</v>
      </c>
      <c r="Q247">
        <f t="shared" si="58"/>
        <v>0.65214945436995331</v>
      </c>
      <c r="R247">
        <f t="shared" si="59"/>
        <v>0.5</v>
      </c>
      <c r="S247">
        <f t="shared" si="60"/>
        <v>1</v>
      </c>
      <c r="T247" s="88">
        <f t="shared" si="61"/>
        <v>0</v>
      </c>
      <c r="U247" s="125">
        <f>IF($D247="",0,IFERROR(LOOKUP(2,1/(($D$3:D246=$D247)*($C$3:C246=$C247)*($A$3:A246&lt;$A247)),$AB$3:AB246),1000))</f>
        <v>1000</v>
      </c>
      <c r="V247" s="125">
        <f t="shared" si="62"/>
        <v>1174.6803700391565</v>
      </c>
      <c r="W247">
        <f t="shared" si="63"/>
        <v>1065.4985915037412</v>
      </c>
      <c r="X247">
        <f t="shared" si="64"/>
        <v>0.65214945436995331</v>
      </c>
      <c r="Y247">
        <f t="shared" si="65"/>
        <v>1000</v>
      </c>
      <c r="Z247">
        <f t="shared" si="66"/>
        <v>0.5</v>
      </c>
      <c r="AA247">
        <f>IF($D247="",0,IF($F247&lt;2,0,IF($E247="Win",('Guide &amp; Settings'!$C$42/(($F247-1)*COUNTIFS($A$4:$A$311,$A247,$E$4:$E$311,"Win")))*SUMIFS($Z$4:$Z$311,$A$4:$A$311,$A247,$E$4:$E$311,"Loss"),-('Guide &amp; Settings'!$C$42/($F247-1))*$Z247)))</f>
        <v>-16</v>
      </c>
      <c r="AB247" s="125">
        <f t="shared" si="67"/>
        <v>984</v>
      </c>
      <c r="AC247" s="125">
        <f>IF($D247="","",IF(SUMPRODUCT(MAX(($D$4:$D$311=$D247)*($B$4:$B$311&lt;$B247)*$B$4:$B$311))=0,0,MAX(($B247-SUMPRODUCT(MAX(($D$4:$D$311=$D247)*($B$4:$B$311&lt;$B247)*$B$4:$B$311)))/7-'Guide &amp; Settings'!$C$48,0)*'Guide &amp; Settings'!$C$49))</f>
        <v>0</v>
      </c>
    </row>
    <row r="248" spans="1:29" ht="15" customHeight="1" x14ac:dyDescent="0.2">
      <c r="A248" s="116">
        <v>100</v>
      </c>
      <c r="B248" s="117">
        <v>46199</v>
      </c>
      <c r="C248" s="118" t="s">
        <v>216</v>
      </c>
      <c r="D248" s="118" t="s">
        <v>177</v>
      </c>
      <c r="E248" s="116" t="s">
        <v>316</v>
      </c>
      <c r="F248" s="119">
        <f t="shared" si="51"/>
        <v>2</v>
      </c>
      <c r="G248" s="120" t="str">
        <f t="shared" si="52"/>
        <v>Daniel (Ferret)</v>
      </c>
      <c r="H248" s="121">
        <f>IF($D248="",0,IFERROR(LOOKUP(2,1/(($D$3:D247=$D248)*($A$3:A247&lt;$A248)),$N$3:N247),'Guide &amp; Settings'!$C$41))</f>
        <v>1092.3673740435797</v>
      </c>
      <c r="I248" s="122">
        <f t="shared" si="53"/>
        <v>0.66666666666666663</v>
      </c>
      <c r="J248" s="123">
        <f>IF($D248="",0,IF($F248&lt;2,0,IF($E248="Win",('Guide &amp; Settings'!$C$42/(($F248-1)*COUNTIFS($A$4:$A$311,$A248,$E$4:$E$311,"Win")))*SUMIFS($X$4:$X$311,$A$4:$A$311,$A248,$E$4:$E$311,"Loss"),-('Guide &amp; Settings'!$C$42/($F248-1))*$X248)))</f>
        <v>17.873507519029509</v>
      </c>
      <c r="K248" s="123">
        <f>IF($D248="",0,'Guide &amp; Settings'!$C$43*(IF($E248="Win",1,0)-$I248))</f>
        <v>4</v>
      </c>
      <c r="L248" s="124">
        <f>IF($D248="",0,'Guide &amp; Settings'!$C$44*IF($F248&gt;=3,$F248+IF($E248="Win",$F248,0),0))</f>
        <v>0</v>
      </c>
      <c r="M248" s="123">
        <f t="shared" si="54"/>
        <v>21.873507519029509</v>
      </c>
      <c r="N248" s="121">
        <f t="shared" si="55"/>
        <v>1114.2408815626093</v>
      </c>
      <c r="O248" s="120" t="str">
        <f t="shared" si="56"/>
        <v>OK</v>
      </c>
      <c r="P248">
        <f t="shared" si="57"/>
        <v>1092.3673740435797</v>
      </c>
      <c r="Q248">
        <f t="shared" si="58"/>
        <v>0.5</v>
      </c>
      <c r="R248">
        <f t="shared" si="59"/>
        <v>0.66666666666666663</v>
      </c>
      <c r="S248">
        <f t="shared" si="60"/>
        <v>1</v>
      </c>
      <c r="T248" s="88">
        <f t="shared" si="61"/>
        <v>1</v>
      </c>
      <c r="U248" s="125">
        <f>IF($D248="",0,IFERROR(LOOKUP(2,1/(($D$3:D247=$D248)*($C$3:C247=$C248)*($A$3:A247&lt;$A248)),$AB$3:AB247),1000))</f>
        <v>1016</v>
      </c>
      <c r="V248" s="125">
        <f t="shared" si="62"/>
        <v>1079.6394783696499</v>
      </c>
      <c r="W248">
        <f t="shared" si="63"/>
        <v>1079.6394783696499</v>
      </c>
      <c r="X248">
        <f t="shared" si="64"/>
        <v>0.5</v>
      </c>
      <c r="Y248">
        <f t="shared" si="65"/>
        <v>1016</v>
      </c>
      <c r="Z248">
        <f t="shared" si="66"/>
        <v>0.5</v>
      </c>
      <c r="AA248">
        <f>IF($D248="",0,IF($F248&lt;2,0,IF($E248="Win",('Guide &amp; Settings'!$C$42/(($F248-1)*COUNTIFS($A$4:$A$311,$A248,$E$4:$E$311,"Win")))*SUMIFS($Z$4:$Z$311,$A$4:$A$311,$A248,$E$4:$E$311,"Loss"),-('Guide &amp; Settings'!$C$42/($F248-1))*$Z248)))</f>
        <v>14.530498471024522</v>
      </c>
      <c r="AB248" s="125">
        <f t="shared" si="67"/>
        <v>1030.5304984710244</v>
      </c>
      <c r="AC248" s="125">
        <f>IF($D248="","",IF(SUMPRODUCT(MAX(($D$4:$D$311=$D248)*($B$4:$B$311&lt;$B248)*$B$4:$B$311))=0,0,MAX(($B248-SUMPRODUCT(MAX(($D$4:$D$311=$D248)*($B$4:$B$311&lt;$B248)*$B$4:$B$311)))/7-'Guide &amp; Settings'!$C$48,0)*'Guide &amp; Settings'!$C$49))</f>
        <v>0</v>
      </c>
    </row>
    <row r="249" spans="1:29" ht="15" customHeight="1" x14ac:dyDescent="0.2">
      <c r="A249" s="116">
        <v>100</v>
      </c>
      <c r="B249" s="117">
        <v>46199</v>
      </c>
      <c r="C249" s="118" t="s">
        <v>216</v>
      </c>
      <c r="D249" s="118" t="s">
        <v>144</v>
      </c>
      <c r="E249" s="116" t="s">
        <v>317</v>
      </c>
      <c r="F249" s="119">
        <f t="shared" si="51"/>
        <v>2</v>
      </c>
      <c r="G249" s="120" t="str">
        <f t="shared" si="52"/>
        <v>Daniel (Ferret)</v>
      </c>
      <c r="H249" s="121">
        <f>IF($D249="",0,IFERROR(LOOKUP(2,1/(($D$3:D248=$D249)*($A$3:A248&lt;$A249)),$N$3:N248),'Guide &amp; Settings'!$C$41))</f>
        <v>1147.811587499318</v>
      </c>
      <c r="I249" s="122">
        <f t="shared" si="53"/>
        <v>0.33333333333333331</v>
      </c>
      <c r="J249" s="123">
        <f>IF($D249="",0,IF($F249&lt;2,0,IF($E249="Win",('Guide &amp; Settings'!$C$42/(($F249-1)*COUNTIFS($A$4:$A$311,$A249,$E$4:$E$311,"Win")))*SUMIFS($X$4:$X$311,$A$4:$A$311,$A249,$E$4:$E$311,"Loss"),-('Guide &amp; Settings'!$C$42/($F249-1))*$X249)))</f>
        <v>-17.873507519029509</v>
      </c>
      <c r="K249" s="123">
        <f>IF($D249="",0,'Guide &amp; Settings'!$C$43*(IF($E249="Win",1,0)-$I249))</f>
        <v>-4</v>
      </c>
      <c r="L249" s="124">
        <f>IF($D249="",0,'Guide &amp; Settings'!$C$44*IF($F249&gt;=3,$F249+IF($E249="Win",$F249,0),0))</f>
        <v>0</v>
      </c>
      <c r="M249" s="123">
        <f t="shared" si="54"/>
        <v>-21.873507519029509</v>
      </c>
      <c r="N249" s="121">
        <f t="shared" si="55"/>
        <v>1125.9380799802884</v>
      </c>
      <c r="O249" s="120" t="str">
        <f t="shared" si="56"/>
        <v>OK</v>
      </c>
      <c r="P249">
        <f t="shared" si="57"/>
        <v>1092.3673740435797</v>
      </c>
      <c r="Q249">
        <f t="shared" si="58"/>
        <v>0.57912014525139488</v>
      </c>
      <c r="R249">
        <f t="shared" si="59"/>
        <v>0.33333333333333331</v>
      </c>
      <c r="S249">
        <f t="shared" si="60"/>
        <v>1</v>
      </c>
      <c r="T249" s="88">
        <f t="shared" si="61"/>
        <v>1</v>
      </c>
      <c r="U249" s="125">
        <f>IF($D249="",0,IFERROR(LOOKUP(2,1/(($D$3:D248=$D249)*($C$3:C248=$C249)*($A$3:A248&lt;$A249)),$AB$3:AB248),1000))</f>
        <v>984</v>
      </c>
      <c r="V249" s="125">
        <f t="shared" si="62"/>
        <v>1120.5096562494318</v>
      </c>
      <c r="W249">
        <f t="shared" si="63"/>
        <v>1079.6394783696499</v>
      </c>
      <c r="X249">
        <f t="shared" si="64"/>
        <v>0.55854710996967216</v>
      </c>
      <c r="Y249">
        <f t="shared" si="65"/>
        <v>1016</v>
      </c>
      <c r="Z249">
        <f t="shared" si="66"/>
        <v>0.45407807721951632</v>
      </c>
      <c r="AA249">
        <f>IF($D249="",0,IF($F249&lt;2,0,IF($E249="Win",('Guide &amp; Settings'!$C$42/(($F249-1)*COUNTIFS($A$4:$A$311,$A249,$E$4:$E$311,"Win")))*SUMIFS($Z$4:$Z$311,$A$4:$A$311,$A249,$E$4:$E$311,"Loss"),-('Guide &amp; Settings'!$C$42/($F249-1))*$Z249)))</f>
        <v>-14.530498471024522</v>
      </c>
      <c r="AB249" s="125">
        <f t="shared" si="67"/>
        <v>969.46950152897546</v>
      </c>
      <c r="AC249" s="125">
        <f>IF($D249="","",IF(SUMPRODUCT(MAX(($D$4:$D$311=$D249)*($B$4:$B$311&lt;$B249)*$B$4:$B$311))=0,0,MAX(($B249-SUMPRODUCT(MAX(($D$4:$D$311=$D249)*($B$4:$B$311&lt;$B249)*$B$4:$B$311)))/7-'Guide &amp; Settings'!$C$48,0)*'Guide &amp; Settings'!$C$49))</f>
        <v>0</v>
      </c>
    </row>
    <row r="250" spans="1:29" ht="15" customHeight="1" x14ac:dyDescent="0.2">
      <c r="A250" s="116">
        <v>101</v>
      </c>
      <c r="B250" s="117">
        <v>46199</v>
      </c>
      <c r="C250" s="118" t="s">
        <v>216</v>
      </c>
      <c r="D250" s="118" t="s">
        <v>144</v>
      </c>
      <c r="E250" s="116" t="s">
        <v>316</v>
      </c>
      <c r="F250" s="119">
        <f t="shared" si="51"/>
        <v>2</v>
      </c>
      <c r="G250" s="120" t="str">
        <f t="shared" si="52"/>
        <v>Josh</v>
      </c>
      <c r="H250" s="121">
        <f>IF($D250="",0,IFERROR(LOOKUP(2,1/(($D$3:D249=$D250)*($A$3:A249&lt;$A250)),$N$3:N249),'Guide &amp; Settings'!$C$41))</f>
        <v>1125.9380799802884</v>
      </c>
      <c r="I250" s="122">
        <f t="shared" si="53"/>
        <v>0.25</v>
      </c>
      <c r="J250" s="123">
        <f>IF($D250="",0,IF($F250&lt;2,0,IF($E250="Win",('Guide &amp; Settings'!$C$42/(($F250-1)*COUNTIFS($A$4:$A$311,$A250,$E$4:$E$311,"Win")))*SUMIFS($X$4:$X$311,$A$4:$A$311,$A250,$E$4:$E$311,"Loss"),-('Guide &amp; Settings'!$C$42/($F250-1))*$X250)))</f>
        <v>16.418553939635352</v>
      </c>
      <c r="K250" s="123">
        <f>IF($D250="",0,'Guide &amp; Settings'!$C$43*(IF($E250="Win",1,0)-$I250))</f>
        <v>9</v>
      </c>
      <c r="L250" s="124">
        <f>IF($D250="",0,'Guide &amp; Settings'!$C$44*IF($F250&gt;=3,$F250+IF($E250="Win",$F250,0),0))</f>
        <v>0</v>
      </c>
      <c r="M250" s="123">
        <f t="shared" si="54"/>
        <v>25.418553939635352</v>
      </c>
      <c r="N250" s="121">
        <f t="shared" si="55"/>
        <v>1151.3566339199238</v>
      </c>
      <c r="O250" s="120" t="str">
        <f t="shared" si="56"/>
        <v>OK</v>
      </c>
      <c r="P250">
        <f t="shared" si="57"/>
        <v>1125.9380799802884</v>
      </c>
      <c r="Q250">
        <f t="shared" si="58"/>
        <v>0.5</v>
      </c>
      <c r="R250">
        <f t="shared" si="59"/>
        <v>0.25</v>
      </c>
      <c r="S250">
        <f t="shared" si="60"/>
        <v>1</v>
      </c>
      <c r="T250" s="88">
        <f t="shared" si="61"/>
        <v>2</v>
      </c>
      <c r="U250" s="125">
        <f>IF($D250="",0,IFERROR(LOOKUP(2,1/(($D$3:D249=$D250)*($C$3:C249=$C250)*($A$3:A249&lt;$A250)),$AB$3:AB249),1000))</f>
        <v>969.46950152897546</v>
      </c>
      <c r="V250" s="125">
        <f t="shared" si="62"/>
        <v>1081.2327718513418</v>
      </c>
      <c r="W250">
        <f t="shared" si="63"/>
        <v>1081.2327718513418</v>
      </c>
      <c r="X250">
        <f t="shared" si="64"/>
        <v>0.5</v>
      </c>
      <c r="Y250">
        <f t="shared" si="65"/>
        <v>969.46950152897546</v>
      </c>
      <c r="Z250">
        <f t="shared" si="66"/>
        <v>0.5</v>
      </c>
      <c r="AA250">
        <f>IF($D250="",0,IF($F250&lt;2,0,IF($E250="Win",('Guide &amp; Settings'!$C$42/(($F250-1)*COUNTIFS($A$4:$A$311,$A250,$E$4:$E$311,"Win")))*SUMIFS($Z$4:$Z$311,$A$4:$A$311,$A250,$E$4:$E$311,"Loss"),-('Guide &amp; Settings'!$C$42/($F250-1))*$Z250)))</f>
        <v>18.783364837413572</v>
      </c>
      <c r="AB250" s="125">
        <f t="shared" si="67"/>
        <v>988.25286636638907</v>
      </c>
      <c r="AC250" s="125">
        <f>IF($D250="","",IF(SUMPRODUCT(MAX(($D$4:$D$311=$D250)*($B$4:$B$311&lt;$B250)*$B$4:$B$311))=0,0,MAX(($B250-SUMPRODUCT(MAX(($D$4:$D$311=$D250)*($B$4:$B$311&lt;$B250)*$B$4:$B$311)))/7-'Guide &amp; Settings'!$C$48,0)*'Guide &amp; Settings'!$C$49))</f>
        <v>0</v>
      </c>
    </row>
    <row r="251" spans="1:29" ht="15" customHeight="1" x14ac:dyDescent="0.2">
      <c r="A251" s="116">
        <v>101</v>
      </c>
      <c r="B251" s="117">
        <v>46199</v>
      </c>
      <c r="C251" s="118" t="s">
        <v>216</v>
      </c>
      <c r="D251" s="118" t="s">
        <v>177</v>
      </c>
      <c r="E251" s="116" t="s">
        <v>317</v>
      </c>
      <c r="F251" s="119">
        <f t="shared" si="51"/>
        <v>2</v>
      </c>
      <c r="G251" s="120" t="str">
        <f t="shared" si="52"/>
        <v>Josh</v>
      </c>
      <c r="H251" s="121">
        <f>IF($D251="",0,IFERROR(LOOKUP(2,1/(($D$3:D250=$D251)*($A$3:A250&lt;$A251)),$N$3:N250),'Guide &amp; Settings'!$C$41))</f>
        <v>1114.2408815626093</v>
      </c>
      <c r="I251" s="122">
        <f t="shared" si="53"/>
        <v>0.75</v>
      </c>
      <c r="J251" s="123">
        <f>IF($D251="",0,IF($F251&lt;2,0,IF($E251="Win",('Guide &amp; Settings'!$C$42/(($F251-1)*COUNTIFS($A$4:$A$311,$A251,$E$4:$E$311,"Win")))*SUMIFS($X$4:$X$311,$A$4:$A$311,$A251,$E$4:$E$311,"Loss"),-('Guide &amp; Settings'!$C$42/($F251-1))*$X251)))</f>
        <v>-16.418553939635352</v>
      </c>
      <c r="K251" s="123">
        <f>IF($D251="",0,'Guide &amp; Settings'!$C$43*(IF($E251="Win",1,0)-$I251))</f>
        <v>-9</v>
      </c>
      <c r="L251" s="124">
        <f>IF($D251="",0,'Guide &amp; Settings'!$C$44*IF($F251&gt;=3,$F251+IF($E251="Win",$F251,0),0))</f>
        <v>0</v>
      </c>
      <c r="M251" s="123">
        <f t="shared" si="54"/>
        <v>-25.418553939635352</v>
      </c>
      <c r="N251" s="121">
        <f t="shared" si="55"/>
        <v>1088.8223276229739</v>
      </c>
      <c r="O251" s="120" t="str">
        <f t="shared" si="56"/>
        <v>OK</v>
      </c>
      <c r="P251">
        <f t="shared" si="57"/>
        <v>1125.9380799802884</v>
      </c>
      <c r="Q251">
        <f t="shared" si="58"/>
        <v>0.48317273563574203</v>
      </c>
      <c r="R251">
        <f t="shared" si="59"/>
        <v>0.75</v>
      </c>
      <c r="S251">
        <f t="shared" si="60"/>
        <v>1</v>
      </c>
      <c r="T251" s="88">
        <f t="shared" si="61"/>
        <v>2</v>
      </c>
      <c r="U251" s="125">
        <f>IF($D251="",0,IFERROR(LOOKUP(2,1/(($D$3:D250=$D251)*($C$3:C250=$C251)*($A$3:A250&lt;$A251)),$AB$3:AB250),1000))</f>
        <v>1030.5304984710244</v>
      </c>
      <c r="V251" s="125">
        <f t="shared" si="62"/>
        <v>1090.3236292507279</v>
      </c>
      <c r="W251">
        <f t="shared" si="63"/>
        <v>1081.2327718513418</v>
      </c>
      <c r="X251">
        <f t="shared" si="64"/>
        <v>0.51307981061360475</v>
      </c>
      <c r="Y251">
        <f t="shared" si="65"/>
        <v>969.46950152897546</v>
      </c>
      <c r="Z251">
        <f t="shared" si="66"/>
        <v>0.58698015116917412</v>
      </c>
      <c r="AA251">
        <f>IF($D251="",0,IF($F251&lt;2,0,IF($E251="Win",('Guide &amp; Settings'!$C$42/(($F251-1)*COUNTIFS($A$4:$A$311,$A251,$E$4:$E$311,"Win")))*SUMIFS($Z$4:$Z$311,$A$4:$A$311,$A251,$E$4:$E$311,"Loss"),-('Guide &amp; Settings'!$C$42/($F251-1))*$Z251)))</f>
        <v>-18.783364837413572</v>
      </c>
      <c r="AB251" s="125">
        <f t="shared" si="67"/>
        <v>1011.7471336336108</v>
      </c>
      <c r="AC251" s="125">
        <f>IF($D251="","",IF(SUMPRODUCT(MAX(($D$4:$D$311=$D251)*($B$4:$B$311&lt;$B251)*$B$4:$B$311))=0,0,MAX(($B251-SUMPRODUCT(MAX(($D$4:$D$311=$D251)*($B$4:$B$311&lt;$B251)*$B$4:$B$311)))/7-'Guide &amp; Settings'!$C$48,0)*'Guide &amp; Settings'!$C$49))</f>
        <v>0</v>
      </c>
    </row>
    <row r="252" spans="1:29" ht="15" customHeight="1" x14ac:dyDescent="0.2">
      <c r="A252" s="116">
        <v>102</v>
      </c>
      <c r="B252" s="117">
        <v>46199</v>
      </c>
      <c r="C252" s="118" t="s">
        <v>216</v>
      </c>
      <c r="D252" s="118" t="s">
        <v>144</v>
      </c>
      <c r="E252" s="116" t="s">
        <v>316</v>
      </c>
      <c r="F252" s="119">
        <f t="shared" si="51"/>
        <v>2</v>
      </c>
      <c r="G252" s="120" t="str">
        <f t="shared" si="52"/>
        <v>Josh</v>
      </c>
      <c r="H252" s="121">
        <f>IF($D252="",0,IFERROR(LOOKUP(2,1/(($D$3:D251=$D252)*($A$3:A251&lt;$A252)),$N$3:N251),'Guide &amp; Settings'!$C$41))</f>
        <v>1151.3566339199238</v>
      </c>
      <c r="I252" s="122">
        <f t="shared" si="53"/>
        <v>0.4</v>
      </c>
      <c r="J252" s="123">
        <f>IF($D252="",0,IF($F252&lt;2,0,IF($E252="Win",('Guide &amp; Settings'!$C$42/(($F252-1)*COUNTIFS($A$4:$A$311,$A252,$E$4:$E$311,"Win")))*SUMIFS($X$4:$X$311,$A$4:$A$311,$A252,$E$4:$E$311,"Loss"),-('Guide &amp; Settings'!$C$42/($F252-1))*$X252)))</f>
        <v>14.609367238325014</v>
      </c>
      <c r="K252" s="123">
        <f>IF($D252="",0,'Guide &amp; Settings'!$C$43*(IF($E252="Win",1,0)-$I252))</f>
        <v>7.1999999999999993</v>
      </c>
      <c r="L252" s="124">
        <f>IF($D252="",0,'Guide &amp; Settings'!$C$44*IF($F252&gt;=3,$F252+IF($E252="Win",$F252,0),0))</f>
        <v>0</v>
      </c>
      <c r="M252" s="123">
        <f t="shared" si="54"/>
        <v>21.809367238325013</v>
      </c>
      <c r="N252" s="121">
        <f t="shared" si="55"/>
        <v>1173.1660011582487</v>
      </c>
      <c r="O252" s="120" t="str">
        <f t="shared" si="56"/>
        <v>OK</v>
      </c>
      <c r="P252">
        <f t="shared" si="57"/>
        <v>1151.3566339199238</v>
      </c>
      <c r="Q252">
        <f t="shared" si="58"/>
        <v>0.5</v>
      </c>
      <c r="R252">
        <f t="shared" si="59"/>
        <v>0.4</v>
      </c>
      <c r="S252">
        <f t="shared" si="60"/>
        <v>1</v>
      </c>
      <c r="T252" s="88">
        <f t="shared" si="61"/>
        <v>3</v>
      </c>
      <c r="U252" s="125">
        <f>IF($D252="",0,IFERROR(LOOKUP(2,1/(($D$3:D251=$D252)*($C$3:C251=$C252)*($A$3:A251&lt;$A252)),$AB$3:AB251),1000))</f>
        <v>988.25286636638907</v>
      </c>
      <c r="V252" s="125">
        <f t="shared" si="62"/>
        <v>1090.1927210873482</v>
      </c>
      <c r="W252">
        <f t="shared" si="63"/>
        <v>1090.1927210873482</v>
      </c>
      <c r="X252">
        <f t="shared" si="64"/>
        <v>0.5</v>
      </c>
      <c r="Y252">
        <f t="shared" si="65"/>
        <v>988.25286636638907</v>
      </c>
      <c r="Z252">
        <f t="shared" si="66"/>
        <v>0.5</v>
      </c>
      <c r="AA252">
        <f>IF($D252="",0,IF($F252&lt;2,0,IF($E252="Win",('Guide &amp; Settings'!$C$42/(($F252-1)*COUNTIFS($A$4:$A$311,$A252,$E$4:$E$311,"Win")))*SUMIFS($Z$4:$Z$311,$A$4:$A$311,$A252,$E$4:$E$311,"Loss"),-('Guide &amp; Settings'!$C$42/($F252-1))*$Z252)))</f>
        <v>17.080304847214755</v>
      </c>
      <c r="AB252" s="125">
        <f t="shared" si="67"/>
        <v>1005.3331712136038</v>
      </c>
      <c r="AC252" s="125">
        <f>IF($D252="","",IF(SUMPRODUCT(MAX(($D$4:$D$311=$D252)*($B$4:$B$311&lt;$B252)*$B$4:$B$311))=0,0,MAX(($B252-SUMPRODUCT(MAX(($D$4:$D$311=$D252)*($B$4:$B$311&lt;$B252)*$B$4:$B$311)))/7-'Guide &amp; Settings'!$C$48,0)*'Guide &amp; Settings'!$C$49))</f>
        <v>0</v>
      </c>
    </row>
    <row r="253" spans="1:29" ht="15" customHeight="1" x14ac:dyDescent="0.2">
      <c r="A253" s="116">
        <v>102</v>
      </c>
      <c r="B253" s="117">
        <v>46199</v>
      </c>
      <c r="C253" s="118" t="s">
        <v>216</v>
      </c>
      <c r="D253" s="118" t="s">
        <v>177</v>
      </c>
      <c r="E253" s="116" t="s">
        <v>317</v>
      </c>
      <c r="F253" s="119">
        <f t="shared" si="51"/>
        <v>2</v>
      </c>
      <c r="G253" s="120" t="str">
        <f t="shared" si="52"/>
        <v>Josh</v>
      </c>
      <c r="H253" s="121">
        <f>IF($D253="",0,IFERROR(LOOKUP(2,1/(($D$3:D252=$D253)*($A$3:A252&lt;$A253)),$N$3:N252),'Guide &amp; Settings'!$C$41))</f>
        <v>1088.8223276229739</v>
      </c>
      <c r="I253" s="122">
        <f t="shared" si="53"/>
        <v>0.6</v>
      </c>
      <c r="J253" s="123">
        <f>IF($D253="",0,IF($F253&lt;2,0,IF($E253="Win",('Guide &amp; Settings'!$C$42/(($F253-1)*COUNTIFS($A$4:$A$311,$A253,$E$4:$E$311,"Win")))*SUMIFS($X$4:$X$311,$A$4:$A$311,$A253,$E$4:$E$311,"Loss"),-('Guide &amp; Settings'!$C$42/($F253-1))*$X253)))</f>
        <v>-14.609367238325014</v>
      </c>
      <c r="K253" s="123">
        <f>IF($D253="",0,'Guide &amp; Settings'!$C$43*(IF($E253="Win",1,0)-$I253))</f>
        <v>-7.1999999999999993</v>
      </c>
      <c r="L253" s="124">
        <f>IF($D253="",0,'Guide &amp; Settings'!$C$44*IF($F253&gt;=3,$F253+IF($E253="Win",$F253,0),0))</f>
        <v>0</v>
      </c>
      <c r="M253" s="123">
        <f t="shared" si="54"/>
        <v>-21.809367238325013</v>
      </c>
      <c r="N253" s="121">
        <f t="shared" si="55"/>
        <v>1067.012960384649</v>
      </c>
      <c r="O253" s="120" t="str">
        <f t="shared" si="56"/>
        <v>OK</v>
      </c>
      <c r="P253">
        <f t="shared" si="57"/>
        <v>1151.3566339199238</v>
      </c>
      <c r="Q253">
        <f t="shared" si="58"/>
        <v>0.41096527795212745</v>
      </c>
      <c r="R253">
        <f t="shared" si="59"/>
        <v>0.6</v>
      </c>
      <c r="S253">
        <f t="shared" si="60"/>
        <v>1</v>
      </c>
      <c r="T253" s="88">
        <f t="shared" si="61"/>
        <v>3</v>
      </c>
      <c r="U253" s="125">
        <f>IF($D253="",0,IFERROR(LOOKUP(2,1/(($D$3:D252=$D253)*($C$3:C252=$C253)*($A$3:A252&lt;$A253)),$AB$3:AB252),1000))</f>
        <v>1011.7471336336108</v>
      </c>
      <c r="V253" s="125">
        <f t="shared" si="62"/>
        <v>1059.9191298769629</v>
      </c>
      <c r="W253">
        <f t="shared" si="63"/>
        <v>1090.1927210873482</v>
      </c>
      <c r="X253">
        <f t="shared" si="64"/>
        <v>0.45654272619765668</v>
      </c>
      <c r="Y253">
        <f t="shared" si="65"/>
        <v>988.25286636638907</v>
      </c>
      <c r="Z253">
        <f t="shared" si="66"/>
        <v>0.5337595264754611</v>
      </c>
      <c r="AA253">
        <f>IF($D253="",0,IF($F253&lt;2,0,IF($E253="Win",('Guide &amp; Settings'!$C$42/(($F253-1)*COUNTIFS($A$4:$A$311,$A253,$E$4:$E$311,"Win")))*SUMIFS($Z$4:$Z$311,$A$4:$A$311,$A253,$E$4:$E$311,"Loss"),-('Guide &amp; Settings'!$C$42/($F253-1))*$Z253)))</f>
        <v>-17.080304847214755</v>
      </c>
      <c r="AB253" s="125">
        <f t="shared" si="67"/>
        <v>994.66682878639608</v>
      </c>
      <c r="AC253" s="125">
        <f>IF($D253="","",IF(SUMPRODUCT(MAX(($D$4:$D$311=$D253)*($B$4:$B$311&lt;$B253)*$B$4:$B$311))=0,0,MAX(($B253-SUMPRODUCT(MAX(($D$4:$D$311=$D253)*($B$4:$B$311&lt;$B253)*$B$4:$B$311)))/7-'Guide &amp; Settings'!$C$48,0)*'Guide &amp; Settings'!$C$49))</f>
        <v>0</v>
      </c>
    </row>
    <row r="254" spans="1:29" ht="15" customHeight="1" x14ac:dyDescent="0.2">
      <c r="A254" s="116">
        <v>103</v>
      </c>
      <c r="B254" s="117">
        <v>46199</v>
      </c>
      <c r="C254" s="118" t="s">
        <v>205</v>
      </c>
      <c r="D254" s="118" t="s">
        <v>177</v>
      </c>
      <c r="E254" s="116" t="s">
        <v>316</v>
      </c>
      <c r="F254" s="119">
        <f t="shared" si="51"/>
        <v>2</v>
      </c>
      <c r="G254" s="120" t="str">
        <f t="shared" si="52"/>
        <v>Daniel (Ferret)</v>
      </c>
      <c r="H254" s="121">
        <f>IF($D254="",0,IFERROR(LOOKUP(2,1/(($D$3:D253=$D254)*($A$3:A253&lt;$A254)),$N$3:N253),'Guide &amp; Settings'!$C$41))</f>
        <v>1067.012960384649</v>
      </c>
      <c r="I254" s="122">
        <f t="shared" si="53"/>
        <v>0.6</v>
      </c>
      <c r="J254" s="123">
        <f>IF($D254="",0,IF($F254&lt;2,0,IF($E254="Win",('Guide &amp; Settings'!$C$42/(($F254-1)*COUNTIFS($A$4:$A$311,$A254,$E$4:$E$311,"Win")))*SUMIFS($X$4:$X$311,$A$4:$A$311,$A254,$E$4:$E$311,"Loss"),-('Guide &amp; Settings'!$C$42/($F254-1))*$X254)))</f>
        <v>21.171446153053758</v>
      </c>
      <c r="K254" s="123">
        <f>IF($D254="",0,'Guide &amp; Settings'!$C$43*(IF($E254="Win",1,0)-$I254))</f>
        <v>4.8000000000000007</v>
      </c>
      <c r="L254" s="124">
        <f>IF($D254="",0,'Guide &amp; Settings'!$C$44*IF($F254&gt;=3,$F254+IF($E254="Win",$F254,0),0))</f>
        <v>0</v>
      </c>
      <c r="M254" s="123">
        <f t="shared" si="54"/>
        <v>25.971446153053758</v>
      </c>
      <c r="N254" s="121">
        <f t="shared" si="55"/>
        <v>1092.9844065377026</v>
      </c>
      <c r="O254" s="120" t="str">
        <f t="shared" si="56"/>
        <v>OK</v>
      </c>
      <c r="P254">
        <f t="shared" si="57"/>
        <v>1067.012960384649</v>
      </c>
      <c r="Q254">
        <f t="shared" si="58"/>
        <v>0.5</v>
      </c>
      <c r="R254">
        <f t="shared" si="59"/>
        <v>0.75</v>
      </c>
      <c r="S254">
        <f t="shared" si="60"/>
        <v>1.25</v>
      </c>
      <c r="T254" s="88">
        <f t="shared" si="61"/>
        <v>2</v>
      </c>
      <c r="U254" s="125">
        <f>IF($D254="",0,IFERROR(LOOKUP(2,1/(($D$3:D253=$D254)*($C$3:C253=$C254)*($A$3:A253&lt;$A254)),$AB$3:AB253),1000))</f>
        <v>1030.8965137687414</v>
      </c>
      <c r="V254" s="125">
        <f t="shared" si="62"/>
        <v>1056.6939756372469</v>
      </c>
      <c r="W254">
        <f t="shared" si="63"/>
        <v>1056.6939756372469</v>
      </c>
      <c r="X254">
        <f t="shared" si="64"/>
        <v>0.5</v>
      </c>
      <c r="Y254">
        <f t="shared" si="65"/>
        <v>1030.8965137687414</v>
      </c>
      <c r="Z254">
        <f t="shared" si="66"/>
        <v>0.5</v>
      </c>
      <c r="AA254">
        <f>IF($D254="",0,IF($F254&lt;2,0,IF($E254="Win",('Guide &amp; Settings'!$C$42/(($F254-1)*COUNTIFS($A$4:$A$311,$A254,$E$4:$E$311,"Win")))*SUMIFS($Z$4:$Z$311,$A$4:$A$311,$A254,$E$4:$E$311,"Loss"),-('Guide &amp; Settings'!$C$42/($F254-1))*$Z254)))</f>
        <v>14.580901763557666</v>
      </c>
      <c r="AB254" s="125">
        <f t="shared" si="67"/>
        <v>1045.4774155322991</v>
      </c>
      <c r="AC254" s="125">
        <f>IF($D254="","",IF(SUMPRODUCT(MAX(($D$4:$D$311=$D254)*($B$4:$B$311&lt;$B254)*$B$4:$B$311))=0,0,MAX(($B254-SUMPRODUCT(MAX(($D$4:$D$311=$D254)*($B$4:$B$311&lt;$B254)*$B$4:$B$311)))/7-'Guide &amp; Settings'!$C$48,0)*'Guide &amp; Settings'!$C$49))</f>
        <v>0</v>
      </c>
    </row>
    <row r="255" spans="1:29" ht="15" customHeight="1" x14ac:dyDescent="0.2">
      <c r="A255" s="116">
        <v>103</v>
      </c>
      <c r="B255" s="117">
        <v>46199</v>
      </c>
      <c r="C255" s="118" t="s">
        <v>205</v>
      </c>
      <c r="D255" s="118" t="s">
        <v>144</v>
      </c>
      <c r="E255" s="116" t="s">
        <v>317</v>
      </c>
      <c r="F255" s="119">
        <f t="shared" si="51"/>
        <v>2</v>
      </c>
      <c r="G255" s="120" t="str">
        <f t="shared" si="52"/>
        <v>Daniel (Ferret)</v>
      </c>
      <c r="H255" s="121">
        <f>IF($D255="",0,IFERROR(LOOKUP(2,1/(($D$3:D254=$D255)*($A$3:A254&lt;$A255)),$N$3:N254),'Guide &amp; Settings'!$C$41))</f>
        <v>1173.1660011582487</v>
      </c>
      <c r="I255" s="122">
        <f t="shared" si="53"/>
        <v>0.4</v>
      </c>
      <c r="J255" s="123">
        <f>IF($D255="",0,IF($F255&lt;2,0,IF($E255="Win",('Guide &amp; Settings'!$C$42/(($F255-1)*COUNTIFS($A$4:$A$311,$A255,$E$4:$E$311,"Win")))*SUMIFS($X$4:$X$311,$A$4:$A$311,$A255,$E$4:$E$311,"Loss"),-('Guide &amp; Settings'!$C$42/($F255-1))*$X255)))</f>
        <v>-21.171446153053758</v>
      </c>
      <c r="K255" s="123">
        <f>IF($D255="",0,'Guide &amp; Settings'!$C$43*(IF($E255="Win",1,0)-$I255))</f>
        <v>-4.8000000000000007</v>
      </c>
      <c r="L255" s="124">
        <f>IF($D255="",0,'Guide &amp; Settings'!$C$44*IF($F255&gt;=3,$F255+IF($E255="Win",$F255,0),0))</f>
        <v>0</v>
      </c>
      <c r="M255" s="123">
        <f t="shared" si="54"/>
        <v>-25.971446153053758</v>
      </c>
      <c r="N255" s="121">
        <f t="shared" si="55"/>
        <v>1147.1945550051951</v>
      </c>
      <c r="O255" s="120" t="str">
        <f t="shared" si="56"/>
        <v>OK</v>
      </c>
      <c r="P255">
        <f t="shared" si="57"/>
        <v>1067.012960384649</v>
      </c>
      <c r="Q255">
        <f t="shared" si="58"/>
        <v>0.64818393800596363</v>
      </c>
      <c r="R255">
        <f t="shared" si="59"/>
        <v>0.5</v>
      </c>
      <c r="S255">
        <f t="shared" si="60"/>
        <v>1.25</v>
      </c>
      <c r="T255" s="88">
        <f t="shared" si="61"/>
        <v>0</v>
      </c>
      <c r="U255" s="125">
        <f>IF($D255="",0,IFERROR(LOOKUP(2,1/(($D$3:D254=$D255)*($C$3:C254=$C255)*($A$3:A254&lt;$A255)),$AB$3:AB254),1000))</f>
        <v>1000</v>
      </c>
      <c r="V255" s="125">
        <f t="shared" si="62"/>
        <v>1173.1660011582487</v>
      </c>
      <c r="W255">
        <f t="shared" si="63"/>
        <v>1056.6939756372469</v>
      </c>
      <c r="X255">
        <f t="shared" si="64"/>
        <v>0.66160769228292993</v>
      </c>
      <c r="Y255">
        <f t="shared" si="65"/>
        <v>1030.8965137687414</v>
      </c>
      <c r="Z255">
        <f t="shared" si="66"/>
        <v>0.45565318011117706</v>
      </c>
      <c r="AA255">
        <f>IF($D255="",0,IF($F255&lt;2,0,IF($E255="Win",('Guide &amp; Settings'!$C$42/(($F255-1)*COUNTIFS($A$4:$A$311,$A255,$E$4:$E$311,"Win")))*SUMIFS($Z$4:$Z$311,$A$4:$A$311,$A255,$E$4:$E$311,"Loss"),-('Guide &amp; Settings'!$C$42/($F255-1))*$Z255)))</f>
        <v>-14.580901763557666</v>
      </c>
      <c r="AB255" s="125">
        <f t="shared" si="67"/>
        <v>985.41909823644232</v>
      </c>
      <c r="AC255" s="125">
        <f>IF($D255="","",IF(SUMPRODUCT(MAX(($D$4:$D$311=$D255)*($B$4:$B$311&lt;$B255)*$B$4:$B$311))=0,0,MAX(($B255-SUMPRODUCT(MAX(($D$4:$D$311=$D255)*($B$4:$B$311&lt;$B255)*$B$4:$B$311)))/7-'Guide &amp; Settings'!$C$48,0)*'Guide &amp; Settings'!$C$49))</f>
        <v>0</v>
      </c>
    </row>
    <row r="256" spans="1:29" ht="15" customHeight="1" x14ac:dyDescent="0.2">
      <c r="A256" s="116">
        <v>104</v>
      </c>
      <c r="B256" s="117">
        <v>46199</v>
      </c>
      <c r="C256" s="118" t="s">
        <v>205</v>
      </c>
      <c r="D256" s="118" t="s">
        <v>145</v>
      </c>
      <c r="E256" s="116" t="s">
        <v>317</v>
      </c>
      <c r="F256" s="119">
        <f t="shared" si="51"/>
        <v>2</v>
      </c>
      <c r="G256" s="120" t="str">
        <f t="shared" si="52"/>
        <v>Shawn</v>
      </c>
      <c r="H256" s="121">
        <f>IF($D256="",0,IFERROR(LOOKUP(2,1/(($D$3:D255=$D256)*($A$3:A255&lt;$A256)),$N$3:N255),'Guide &amp; Settings'!$C$41))</f>
        <v>1071.6001753974281</v>
      </c>
      <c r="I256" s="122">
        <f t="shared" si="53"/>
        <v>0.66666666666666663</v>
      </c>
      <c r="J256" s="123">
        <f>IF($D256="",0,IF($F256&lt;2,0,IF($E256="Win",('Guide &amp; Settings'!$C$42/(($F256-1)*COUNTIFS($A$4:$A$311,$A256,$E$4:$E$311,"Win")))*SUMIFS($X$4:$X$311,$A$4:$A$311,$A256,$E$4:$E$311,"Loss"),-('Guide &amp; Settings'!$C$42/($F256-1))*$X256)))</f>
        <v>-17.93710436844589</v>
      </c>
      <c r="K256" s="123">
        <f>IF($D256="",0,'Guide &amp; Settings'!$C$43*(IF($E256="Win",1,0)-$I256))</f>
        <v>-8</v>
      </c>
      <c r="L256" s="124">
        <f>IF($D256="",0,'Guide &amp; Settings'!$C$44*IF($F256&gt;=3,$F256+IF($E256="Win",$F256,0),0))</f>
        <v>0</v>
      </c>
      <c r="M256" s="123">
        <f t="shared" si="54"/>
        <v>-25.93710436844589</v>
      </c>
      <c r="N256" s="121">
        <f t="shared" si="55"/>
        <v>1045.6630710289821</v>
      </c>
      <c r="O256" s="120" t="str">
        <f t="shared" si="56"/>
        <v>OK</v>
      </c>
      <c r="P256">
        <f t="shared" si="57"/>
        <v>1047.2401026778748</v>
      </c>
      <c r="Q256">
        <f t="shared" si="58"/>
        <v>0.53499962919141097</v>
      </c>
      <c r="R256">
        <f t="shared" si="59"/>
        <v>0.5</v>
      </c>
      <c r="S256">
        <f t="shared" si="60"/>
        <v>0.75</v>
      </c>
      <c r="T256" s="88">
        <f t="shared" si="61"/>
        <v>0</v>
      </c>
      <c r="U256" s="125">
        <f>IF($D256="",0,IFERROR(LOOKUP(2,1/(($D$3:D255=$D256)*($C$3:C255=$C256)*($A$3:A255&lt;$A256)),$AB$3:AB255),1000))</f>
        <v>1000</v>
      </c>
      <c r="V256" s="125">
        <f t="shared" si="62"/>
        <v>1071.6001753974281</v>
      </c>
      <c r="W256">
        <f t="shared" si="63"/>
        <v>1029.3291428029474</v>
      </c>
      <c r="X256">
        <f t="shared" si="64"/>
        <v>0.56053451151393408</v>
      </c>
      <c r="Y256">
        <f t="shared" si="65"/>
        <v>984.55174311562928</v>
      </c>
      <c r="Z256">
        <f t="shared" si="66"/>
        <v>0.52221718943600426</v>
      </c>
      <c r="AA256">
        <f>IF($D256="",0,IF($F256&lt;2,0,IF($E256="Win",('Guide &amp; Settings'!$C$42/(($F256-1)*COUNTIFS($A$4:$A$311,$A256,$E$4:$E$311,"Win")))*SUMIFS($Z$4:$Z$311,$A$4:$A$311,$A256,$E$4:$E$311,"Loss"),-('Guide &amp; Settings'!$C$42/($F256-1))*$Z256)))</f>
        <v>-16.710950061952136</v>
      </c>
      <c r="AB256" s="125">
        <f t="shared" si="67"/>
        <v>983.28904993804781</v>
      </c>
      <c r="AC256" s="125">
        <f>IF($D256="","",IF(SUMPRODUCT(MAX(($D$4:$D$311=$D256)*($B$4:$B$311&lt;$B256)*$B$4:$B$311))=0,0,MAX(($B256-SUMPRODUCT(MAX(($D$4:$D$311=$D256)*($B$4:$B$311&lt;$B256)*$B$4:$B$311)))/7-'Guide &amp; Settings'!$C$48,0)*'Guide &amp; Settings'!$C$49))</f>
        <v>0</v>
      </c>
    </row>
    <row r="257" spans="1:29" ht="15" customHeight="1" x14ac:dyDescent="0.2">
      <c r="A257" s="116">
        <v>104</v>
      </c>
      <c r="B257" s="117">
        <v>46199</v>
      </c>
      <c r="C257" s="118" t="s">
        <v>205</v>
      </c>
      <c r="D257" s="118" t="s">
        <v>141</v>
      </c>
      <c r="E257" s="116" t="s">
        <v>316</v>
      </c>
      <c r="F257" s="119">
        <f t="shared" si="51"/>
        <v>2</v>
      </c>
      <c r="G257" s="120" t="str">
        <f t="shared" si="52"/>
        <v>Shawn</v>
      </c>
      <c r="H257" s="121">
        <f>IF($D257="",0,IFERROR(LOOKUP(2,1/(($D$3:D256=$D257)*($A$3:A256&lt;$A257)),$N$3:N256),'Guide &amp; Settings'!$C$41))</f>
        <v>1047.2401026778748</v>
      </c>
      <c r="I257" s="122">
        <f t="shared" si="53"/>
        <v>0.33333333333333331</v>
      </c>
      <c r="J257" s="123">
        <f>IF($D257="",0,IF($F257&lt;2,0,IF($E257="Win",('Guide &amp; Settings'!$C$42/(($F257-1)*COUNTIFS($A$4:$A$311,$A257,$E$4:$E$311,"Win")))*SUMIFS($X$4:$X$311,$A$4:$A$311,$A257,$E$4:$E$311,"Loss"),-('Guide &amp; Settings'!$C$42/($F257-1))*$X257)))</f>
        <v>17.93710436844589</v>
      </c>
      <c r="K257" s="123">
        <f>IF($D257="",0,'Guide &amp; Settings'!$C$43*(IF($E257="Win",1,0)-$I257))</f>
        <v>8</v>
      </c>
      <c r="L257" s="124">
        <f>IF($D257="",0,'Guide &amp; Settings'!$C$44*IF($F257&gt;=3,$F257+IF($E257="Win",$F257,0),0))</f>
        <v>0</v>
      </c>
      <c r="M257" s="123">
        <f t="shared" si="54"/>
        <v>25.93710436844589</v>
      </c>
      <c r="N257" s="121">
        <f t="shared" si="55"/>
        <v>1073.1772070463207</v>
      </c>
      <c r="O257" s="120" t="str">
        <f t="shared" si="56"/>
        <v>OK</v>
      </c>
      <c r="P257">
        <f t="shared" si="57"/>
        <v>1047.2401026778748</v>
      </c>
      <c r="Q257">
        <f t="shared" si="58"/>
        <v>0.5</v>
      </c>
      <c r="R257">
        <f t="shared" si="59"/>
        <v>0.25</v>
      </c>
      <c r="S257">
        <f t="shared" si="60"/>
        <v>0.75</v>
      </c>
      <c r="T257" s="88">
        <f t="shared" si="61"/>
        <v>2</v>
      </c>
      <c r="U257" s="125">
        <f>IF($D257="",0,IFERROR(LOOKUP(2,1/(($D$3:D256=$D257)*($C$3:C256=$C257)*($A$3:A256&lt;$A257)),$AB$3:AB256),1000))</f>
        <v>984.55174311562928</v>
      </c>
      <c r="V257" s="125">
        <f t="shared" si="62"/>
        <v>1029.3291428029474</v>
      </c>
      <c r="W257">
        <f t="shared" si="63"/>
        <v>1029.3291428029474</v>
      </c>
      <c r="X257">
        <f t="shared" si="64"/>
        <v>0.5</v>
      </c>
      <c r="Y257">
        <f t="shared" si="65"/>
        <v>984.55174311562928</v>
      </c>
      <c r="Z257">
        <f t="shared" si="66"/>
        <v>0.5</v>
      </c>
      <c r="AA257">
        <f>IF($D257="",0,IF($F257&lt;2,0,IF($E257="Win",('Guide &amp; Settings'!$C$42/(($F257-1)*COUNTIFS($A$4:$A$311,$A257,$E$4:$E$311,"Win")))*SUMIFS($Z$4:$Z$311,$A$4:$A$311,$A257,$E$4:$E$311,"Loss"),-('Guide &amp; Settings'!$C$42/($F257-1))*$Z257)))</f>
        <v>16.710950061952136</v>
      </c>
      <c r="AB257" s="125">
        <f t="shared" si="67"/>
        <v>1001.2626931775815</v>
      </c>
      <c r="AC257" s="125">
        <f>IF($D257="","",IF(SUMPRODUCT(MAX(($D$4:$D$311=$D257)*($B$4:$B$311&lt;$B257)*$B$4:$B$311))=0,0,MAX(($B257-SUMPRODUCT(MAX(($D$4:$D$311=$D257)*($B$4:$B$311&lt;$B257)*$B$4:$B$311)))/7-'Guide &amp; Settings'!$C$48,0)*'Guide &amp; Settings'!$C$49))</f>
        <v>0</v>
      </c>
    </row>
    <row r="258" spans="1:29" ht="15" customHeight="1" x14ac:dyDescent="0.2">
      <c r="A258" s="116">
        <v>105</v>
      </c>
      <c r="B258" s="117">
        <v>46199</v>
      </c>
      <c r="C258" s="118" t="s">
        <v>205</v>
      </c>
      <c r="D258" s="118" t="s">
        <v>145</v>
      </c>
      <c r="E258" s="116" t="s">
        <v>316</v>
      </c>
      <c r="F258" s="119">
        <f t="shared" si="51"/>
        <v>2</v>
      </c>
      <c r="G258" s="120" t="str">
        <f t="shared" si="52"/>
        <v>Aaron</v>
      </c>
      <c r="H258" s="121">
        <f>IF($D258="",0,IFERROR(LOOKUP(2,1/(($D$3:D257=$D258)*($A$3:A257&lt;$A258)),$N$3:N257),'Guide &amp; Settings'!$C$41))</f>
        <v>1045.6630710289821</v>
      </c>
      <c r="I258" s="122">
        <f t="shared" si="53"/>
        <v>0.45454545454545447</v>
      </c>
      <c r="J258" s="123">
        <f>IF($D258="",0,IF($F258&lt;2,0,IF($E258="Win",('Guide &amp; Settings'!$C$42/(($F258-1)*COUNTIFS($A$4:$A$311,$A258,$E$4:$E$311,"Win")))*SUMIFS($X$4:$X$311,$A$4:$A$311,$A258,$E$4:$E$311,"Loss"),-('Guide &amp; Settings'!$C$42/($F258-1))*$X258)))</f>
        <v>16.503724911383575</v>
      </c>
      <c r="K258" s="123">
        <f>IF($D258="",0,'Guide &amp; Settings'!$C$43*(IF($E258="Win",1,0)-$I258))</f>
        <v>6.5454545454545467</v>
      </c>
      <c r="L258" s="124">
        <f>IF($D258="",0,'Guide &amp; Settings'!$C$44*IF($F258&gt;=3,$F258+IF($E258="Win",$F258,0),0))</f>
        <v>0</v>
      </c>
      <c r="M258" s="123">
        <f t="shared" si="54"/>
        <v>23.049179456838122</v>
      </c>
      <c r="N258" s="121">
        <f t="shared" si="55"/>
        <v>1068.7122504858203</v>
      </c>
      <c r="O258" s="120" t="str">
        <f t="shared" si="56"/>
        <v>OK</v>
      </c>
      <c r="P258">
        <f t="shared" si="57"/>
        <v>1045.6630710289821</v>
      </c>
      <c r="Q258">
        <f t="shared" si="58"/>
        <v>0.5</v>
      </c>
      <c r="R258">
        <f t="shared" si="59"/>
        <v>0.33333333333333331</v>
      </c>
      <c r="S258">
        <f t="shared" si="60"/>
        <v>0.73333333333333339</v>
      </c>
      <c r="T258" s="88">
        <f t="shared" si="61"/>
        <v>1</v>
      </c>
      <c r="U258" s="125">
        <f>IF($D258="",0,IFERROR(LOOKUP(2,1/(($D$3:D257=$D258)*($C$3:C257=$C258)*($A$3:A257&lt;$A258)),$AB$3:AB257),1000))</f>
        <v>983.28904993804781</v>
      </c>
      <c r="V258" s="125">
        <f t="shared" si="62"/>
        <v>1035.2674008471597</v>
      </c>
      <c r="W258">
        <f t="shared" si="63"/>
        <v>1035.2674008471597</v>
      </c>
      <c r="X258">
        <f t="shared" si="64"/>
        <v>0.5</v>
      </c>
      <c r="Y258">
        <f t="shared" si="65"/>
        <v>983.28904993804781</v>
      </c>
      <c r="Z258">
        <f t="shared" si="66"/>
        <v>0.5</v>
      </c>
      <c r="AA258">
        <f>IF($D258="",0,IF($F258&lt;2,0,IF($E258="Win",('Guide &amp; Settings'!$C$42/(($F258-1)*COUNTIFS($A$4:$A$311,$A258,$E$4:$E$311,"Win")))*SUMIFS($Z$4:$Z$311,$A$4:$A$311,$A258,$E$4:$E$311,"Loss"),-('Guide &amp; Settings'!$C$42/($F258-1))*$Z258)))</f>
        <v>16.82697926214345</v>
      </c>
      <c r="AB258" s="125">
        <f t="shared" si="67"/>
        <v>1000.1160292001913</v>
      </c>
      <c r="AC258" s="125">
        <f>IF($D258="","",IF(SUMPRODUCT(MAX(($D$4:$D$311=$D258)*($B$4:$B$311&lt;$B258)*$B$4:$B$311))=0,0,MAX(($B258-SUMPRODUCT(MAX(($D$4:$D$311=$D258)*($B$4:$B$311&lt;$B258)*$B$4:$B$311)))/7-'Guide &amp; Settings'!$C$48,0)*'Guide &amp; Settings'!$C$49))</f>
        <v>0</v>
      </c>
    </row>
    <row r="259" spans="1:29" ht="15" customHeight="1" x14ac:dyDescent="0.2">
      <c r="A259" s="116">
        <v>105</v>
      </c>
      <c r="B259" s="117">
        <v>46199</v>
      </c>
      <c r="C259" s="118" t="s">
        <v>205</v>
      </c>
      <c r="D259" s="118" t="s">
        <v>141</v>
      </c>
      <c r="E259" s="116" t="s">
        <v>317</v>
      </c>
      <c r="F259" s="119">
        <f t="shared" si="51"/>
        <v>2</v>
      </c>
      <c r="G259" s="120" t="str">
        <f t="shared" si="52"/>
        <v>Aaron</v>
      </c>
      <c r="H259" s="121">
        <f>IF($D259="",0,IFERROR(LOOKUP(2,1/(($D$3:D258=$D259)*($A$3:A258&lt;$A259)),$N$3:N258),'Guide &amp; Settings'!$C$41))</f>
        <v>1073.1772070463207</v>
      </c>
      <c r="I259" s="122">
        <f t="shared" si="53"/>
        <v>0.54545454545454541</v>
      </c>
      <c r="J259" s="123">
        <f>IF($D259="",0,IF($F259&lt;2,0,IF($E259="Win",('Guide &amp; Settings'!$C$42/(($F259-1)*COUNTIFS($A$4:$A$311,$A259,$E$4:$E$311,"Win")))*SUMIFS($X$4:$X$311,$A$4:$A$311,$A259,$E$4:$E$311,"Loss"),-('Guide &amp; Settings'!$C$42/($F259-1))*$X259)))</f>
        <v>-16.503724911383575</v>
      </c>
      <c r="K259" s="123">
        <f>IF($D259="",0,'Guide &amp; Settings'!$C$43*(IF($E259="Win",1,0)-$I259))</f>
        <v>-6.545454545454545</v>
      </c>
      <c r="L259" s="124">
        <f>IF($D259="",0,'Guide &amp; Settings'!$C$44*IF($F259&gt;=3,$F259+IF($E259="Win",$F259,0),0))</f>
        <v>0</v>
      </c>
      <c r="M259" s="123">
        <f t="shared" si="54"/>
        <v>-23.049179456838118</v>
      </c>
      <c r="N259" s="121">
        <f t="shared" si="55"/>
        <v>1050.1280275894826</v>
      </c>
      <c r="O259" s="120" t="str">
        <f t="shared" si="56"/>
        <v>OK</v>
      </c>
      <c r="P259">
        <f t="shared" si="57"/>
        <v>1045.6630710289821</v>
      </c>
      <c r="Q259">
        <f t="shared" si="58"/>
        <v>0.53951345785246363</v>
      </c>
      <c r="R259">
        <f t="shared" si="59"/>
        <v>0.4</v>
      </c>
      <c r="S259">
        <f t="shared" si="60"/>
        <v>0.73333333333333339</v>
      </c>
      <c r="T259" s="88">
        <f t="shared" si="61"/>
        <v>3</v>
      </c>
      <c r="U259" s="125">
        <f>IF($D259="",0,IFERROR(LOOKUP(2,1/(($D$3:D258=$D259)*($C$3:C258=$C259)*($A$3:A258&lt;$A259)),$AB$3:AB258),1000))</f>
        <v>1001.2626931775815</v>
      </c>
      <c r="V259" s="125">
        <f t="shared" si="62"/>
        <v>1046.2092643455435</v>
      </c>
      <c r="W259">
        <f t="shared" si="63"/>
        <v>1035.2674008471597</v>
      </c>
      <c r="X259">
        <f t="shared" si="64"/>
        <v>0.51574140348073672</v>
      </c>
      <c r="Y259">
        <f t="shared" si="65"/>
        <v>983.28904993804781</v>
      </c>
      <c r="Z259">
        <f t="shared" si="66"/>
        <v>0.5258431019419828</v>
      </c>
      <c r="AA259">
        <f>IF($D259="",0,IF($F259&lt;2,0,IF($E259="Win",('Guide &amp; Settings'!$C$42/(($F259-1)*COUNTIFS($A$4:$A$311,$A259,$E$4:$E$311,"Win")))*SUMIFS($Z$4:$Z$311,$A$4:$A$311,$A259,$E$4:$E$311,"Loss"),-('Guide &amp; Settings'!$C$42/($F259-1))*$Z259)))</f>
        <v>-16.82697926214345</v>
      </c>
      <c r="AB259" s="125">
        <f t="shared" si="67"/>
        <v>984.43571391543799</v>
      </c>
      <c r="AC259" s="125">
        <f>IF($D259="","",IF(SUMPRODUCT(MAX(($D$4:$D$311=$D259)*($B$4:$B$311&lt;$B259)*$B$4:$B$311))=0,0,MAX(($B259-SUMPRODUCT(MAX(($D$4:$D$311=$D259)*($B$4:$B$311&lt;$B259)*$B$4:$B$311)))/7-'Guide &amp; Settings'!$C$48,0)*'Guide &amp; Settings'!$C$49))</f>
        <v>0</v>
      </c>
    </row>
    <row r="260" spans="1:29" ht="15" customHeight="1" x14ac:dyDescent="0.2">
      <c r="A260" s="116">
        <v>106</v>
      </c>
      <c r="B260" s="117">
        <v>46199</v>
      </c>
      <c r="C260" s="118" t="s">
        <v>191</v>
      </c>
      <c r="D260" s="118" t="s">
        <v>145</v>
      </c>
      <c r="E260" s="116" t="s">
        <v>316</v>
      </c>
      <c r="F260" s="119">
        <f t="shared" ref="F260:F311" si="68">IF($D260="",0,COUNTIF($A$4:$A$311,$A260))</f>
        <v>2</v>
      </c>
      <c r="G260" s="120" t="str">
        <f t="shared" ref="G260:G311" si="69">IF($D260="","",IFERROR(LOOKUP(2,1/(($A$4:$A$311=$A260)*($E$4:$E$311="Win")),$D$4:$D$311),"(no winner)"))</f>
        <v>Aaron</v>
      </c>
      <c r="H260" s="121">
        <f>IF($D260="",0,IFERROR(LOOKUP(2,1/(($D$3:D259=$D260)*($A$3:A259&lt;$A260)),$N$3:N259),'Guide &amp; Settings'!$C$41))</f>
        <v>1068.7122504858203</v>
      </c>
      <c r="I260" s="122">
        <f t="shared" ref="I260:I311" si="70">IF($D260="",0,IF($S260=0,0,$R260/$S260))</f>
        <v>0.61538461538461542</v>
      </c>
      <c r="J260" s="123">
        <f>IF($D260="",0,IF($F260&lt;2,0,IF($E260="Win",('Guide &amp; Settings'!$C$42/(($F260-1)*COUNTIFS($A$4:$A$311,$A260,$E$4:$E$311,"Win")))*SUMIFS($X$4:$X$311,$A$4:$A$311,$A260,$E$4:$E$311,"Loss"),-('Guide &amp; Settings'!$C$42/($F260-1))*$X260)))</f>
        <v>13.683324708901107</v>
      </c>
      <c r="K260" s="123">
        <f>IF($D260="",0,'Guide &amp; Settings'!$C$43*(IF($E260="Win",1,0)-$I260))</f>
        <v>4.615384615384615</v>
      </c>
      <c r="L260" s="124">
        <f>IF($D260="",0,'Guide &amp; Settings'!$C$44*IF($F260&gt;=3,$F260+IF($E260="Win",$F260,0),0))</f>
        <v>0</v>
      </c>
      <c r="M260" s="123">
        <f t="shared" ref="M260:M311" si="71">IF($D260="",0,$J260+$K260+$L260)</f>
        <v>18.298709324285724</v>
      </c>
      <c r="N260" s="121">
        <f t="shared" ref="N260:N311" si="72">IF($D260="",0,$H260+$M260)</f>
        <v>1087.010959810106</v>
      </c>
      <c r="O260" s="120" t="str">
        <f t="shared" ref="O260:O311" si="73">IF($D260="","",IF(COUNTIFS($A$4:$A$311,$A260,$E$4:$E$311,"Win")=0,"need a winner",IF(COUNTIFS($A$4:$A$311,$A260,$E$4:$E$311,"Loss")=0,"need a loser",IF(COUNTIFS($A$4:$A$311,$A260,$D$4:$D$311,$D260)&gt;1,"duplicate player","OK"))))</f>
        <v>OK</v>
      </c>
      <c r="P260">
        <f t="shared" ref="P260:P311" si="74">IF($D260="",0,IFERROR(SUMIFS($H$4:$H$311,$A$4:$A$311,$A260,$E$4:$E$311,"Win")/COUNTIFS($A$4:$A$311,$A260,$E$4:$E$311,"Win"),0))</f>
        <v>1068.7122504858203</v>
      </c>
      <c r="Q260">
        <f t="shared" ref="Q260:Q311" si="75">IF($D260="",0,1/(1+10^(($P260-$H260)/400)))</f>
        <v>0.5</v>
      </c>
      <c r="R260">
        <f t="shared" ref="R260:R311" si="76">IF($D260="",0,(COUNTIFS($D$4:$D$311,$D260,$C$4:$C$311,$C260,$E$4:$E$311,"Win",$A$4:$A$311,"&lt;"&amp;$A260)+1)/(COUNTIFS($D$4:$D$311,$D260,$C$4:$C$311,$C260,$A$4:$A$311,"&lt;"&amp;$A260)+2))</f>
        <v>0.8</v>
      </c>
      <c r="S260">
        <f t="shared" ref="S260:S311" si="77">IF($D260="",0,SUMIFS($R$4:$R$311,$A$4:$A$311,$A260))</f>
        <v>1.3</v>
      </c>
      <c r="T260" s="88">
        <f t="shared" ref="T260:T311" si="78">IF($D260="",0,COUNTIFS($D$4:$D$311,$D260,$C$4:$C$311,$C260,$A$4:$A$311,"&lt;"&amp;$A260))</f>
        <v>3</v>
      </c>
      <c r="U260" s="125">
        <f>IF($D260="",0,IFERROR(LOOKUP(2,1/(($D$3:D259=$D260)*($C$3:C259=$C260)*($A$3:A259&lt;$A260)),$AB$3:AB259),1000))</f>
        <v>1046.5387222766644</v>
      </c>
      <c r="V260" s="125">
        <f t="shared" ref="V260:V311" si="79">IF($D260="",0,$U260*($T260/($T260+5))+$H260*(1-$T260/($T260+5)))</f>
        <v>1060.3971774073868</v>
      </c>
      <c r="W260">
        <f t="shared" ref="W260:W311" si="80">IF($D260="",0,IFERROR(SUMIFS($V$4:$V$311,$A$4:$A$311,$A260,$E$4:$E$311,"Win")/COUNTIFS($A$4:$A$311,$A260,$E$4:$E$311,"Win"),0))</f>
        <v>1060.3971774073868</v>
      </c>
      <c r="X260">
        <f t="shared" ref="X260:X311" si="81">IF($D260="",0,1/(1+10^(($W260-$V260)/400)))</f>
        <v>0.5</v>
      </c>
      <c r="Y260">
        <f t="shared" ref="Y260:Y311" si="82">IF($D260="",0,IFERROR(SUMIFS($U$4:$U$311,$A$4:$A$311,$A260,$E$4:$E$311,"Win")/COUNTIFS($A$4:$A$311,$A260,$E$4:$E$311,"Win"),0))</f>
        <v>1046.5387222766644</v>
      </c>
      <c r="Z260">
        <f t="shared" ref="Z260:Z311" si="83">IF($D260="",0,1/(1+10^(($Y260-$U260)/400)))</f>
        <v>0.5</v>
      </c>
      <c r="AA260">
        <f>IF($D260="",0,IF($F260&lt;2,0,IF($E260="Win",('Guide &amp; Settings'!$C$42/(($F260-1)*COUNTIFS($A$4:$A$311,$A260,$E$4:$E$311,"Win")))*SUMIFS($Z$4:$Z$311,$A$4:$A$311,$A260,$E$4:$E$311,"Loss"),-('Guide &amp; Settings'!$C$42/($F260-1))*$Z260)))</f>
        <v>13.172530988059659</v>
      </c>
      <c r="AB260" s="125">
        <f t="shared" ref="AB260:AB311" si="84">IF($D260="",0,$U260+$AA260)</f>
        <v>1059.7112532647241</v>
      </c>
      <c r="AC260" s="125">
        <f>IF($D260="","",IF(SUMPRODUCT(MAX(($D$4:$D$311=$D260)*($B$4:$B$311&lt;$B260)*$B$4:$B$311))=0,0,MAX(($B260-SUMPRODUCT(MAX(($D$4:$D$311=$D260)*($B$4:$B$311&lt;$B260)*$B$4:$B$311)))/7-'Guide &amp; Settings'!$C$48,0)*'Guide &amp; Settings'!$C$49))</f>
        <v>0</v>
      </c>
    </row>
    <row r="261" spans="1:29" ht="15" customHeight="1" x14ac:dyDescent="0.2">
      <c r="A261" s="116">
        <v>106</v>
      </c>
      <c r="B261" s="117">
        <v>46199</v>
      </c>
      <c r="C261" s="118" t="s">
        <v>191</v>
      </c>
      <c r="D261" s="118" t="s">
        <v>141</v>
      </c>
      <c r="E261" s="116" t="s">
        <v>317</v>
      </c>
      <c r="F261" s="119">
        <f t="shared" si="68"/>
        <v>2</v>
      </c>
      <c r="G261" s="120" t="str">
        <f t="shared" si="69"/>
        <v>Aaron</v>
      </c>
      <c r="H261" s="121">
        <f>IF($D261="",0,IFERROR(LOOKUP(2,1/(($D$3:D260=$D261)*($A$3:A260&lt;$A261)),$N$3:N260),'Guide &amp; Settings'!$C$41))</f>
        <v>1050.1280275894826</v>
      </c>
      <c r="I261" s="122">
        <f t="shared" si="70"/>
        <v>0.38461538461538458</v>
      </c>
      <c r="J261" s="123">
        <f>IF($D261="",0,IF($F261&lt;2,0,IF($E261="Win",('Guide &amp; Settings'!$C$42/(($F261-1)*COUNTIFS($A$4:$A$311,$A261,$E$4:$E$311,"Win")))*SUMIFS($X$4:$X$311,$A$4:$A$311,$A261,$E$4:$E$311,"Loss"),-('Guide &amp; Settings'!$C$42/($F261-1))*$X261)))</f>
        <v>-13.683324708901107</v>
      </c>
      <c r="K261" s="123">
        <f>IF($D261="",0,'Guide &amp; Settings'!$C$43*(IF($E261="Win",1,0)-$I261))</f>
        <v>-4.615384615384615</v>
      </c>
      <c r="L261" s="124">
        <f>IF($D261="",0,'Guide &amp; Settings'!$C$44*IF($F261&gt;=3,$F261+IF($E261="Win",$F261,0),0))</f>
        <v>0</v>
      </c>
      <c r="M261" s="123">
        <f t="shared" si="71"/>
        <v>-18.298709324285724</v>
      </c>
      <c r="N261" s="121">
        <f t="shared" si="72"/>
        <v>1031.8293182651969</v>
      </c>
      <c r="O261" s="120" t="str">
        <f t="shared" si="73"/>
        <v>OK</v>
      </c>
      <c r="P261">
        <f t="shared" si="74"/>
        <v>1068.7122504858203</v>
      </c>
      <c r="Q261">
        <f t="shared" si="75"/>
        <v>0.47328063119510472</v>
      </c>
      <c r="R261">
        <f t="shared" si="76"/>
        <v>0.5</v>
      </c>
      <c r="S261">
        <f t="shared" si="77"/>
        <v>1.3</v>
      </c>
      <c r="T261" s="88">
        <f t="shared" si="78"/>
        <v>8</v>
      </c>
      <c r="U261" s="125">
        <f>IF($D261="",0,IFERROR(LOOKUP(2,1/(($D$3:D260=$D261)*($C$3:C260=$C261)*($A$3:A260&lt;$A261)),$AB$3:AB260),1000))</f>
        <v>984.48963725383635</v>
      </c>
      <c r="V261" s="125">
        <f t="shared" si="79"/>
        <v>1009.7351719983158</v>
      </c>
      <c r="W261">
        <f t="shared" si="80"/>
        <v>1060.3971774073868</v>
      </c>
      <c r="X261">
        <f t="shared" si="81"/>
        <v>0.42760389715315961</v>
      </c>
      <c r="Y261">
        <f t="shared" si="82"/>
        <v>1046.5387222766644</v>
      </c>
      <c r="Z261">
        <f t="shared" si="83"/>
        <v>0.41164159337686435</v>
      </c>
      <c r="AA261">
        <f>IF($D261="",0,IF($F261&lt;2,0,IF($E261="Win",('Guide &amp; Settings'!$C$42/(($F261-1)*COUNTIFS($A$4:$A$311,$A261,$E$4:$E$311,"Win")))*SUMIFS($Z$4:$Z$311,$A$4:$A$311,$A261,$E$4:$E$311,"Loss"),-('Guide &amp; Settings'!$C$42/($F261-1))*$Z261)))</f>
        <v>-13.172530988059659</v>
      </c>
      <c r="AB261" s="125">
        <f t="shared" si="84"/>
        <v>971.31710626577672</v>
      </c>
      <c r="AC261" s="125">
        <f>IF($D261="","",IF(SUMPRODUCT(MAX(($D$4:$D$311=$D261)*($B$4:$B$311&lt;$B261)*$B$4:$B$311))=0,0,MAX(($B261-SUMPRODUCT(MAX(($D$4:$D$311=$D261)*($B$4:$B$311&lt;$B261)*$B$4:$B$311)))/7-'Guide &amp; Settings'!$C$48,0)*'Guide &amp; Settings'!$C$49))</f>
        <v>0</v>
      </c>
    </row>
    <row r="262" spans="1:29" ht="15" customHeight="1" x14ac:dyDescent="0.2">
      <c r="A262" s="116">
        <v>107</v>
      </c>
      <c r="B262" s="117">
        <v>46199</v>
      </c>
      <c r="C262" s="118" t="s">
        <v>191</v>
      </c>
      <c r="D262" s="118" t="s">
        <v>145</v>
      </c>
      <c r="E262" s="116" t="s">
        <v>317</v>
      </c>
      <c r="F262" s="119">
        <f t="shared" si="68"/>
        <v>2</v>
      </c>
      <c r="G262" s="120" t="str">
        <f t="shared" si="69"/>
        <v>Shawn</v>
      </c>
      <c r="H262" s="121">
        <f>IF($D262="",0,IFERROR(LOOKUP(2,1/(($D$3:D261=$D262)*($A$3:A261&lt;$A262)),$N$3:N261),'Guide &amp; Settings'!$C$41))</f>
        <v>1087.010959810106</v>
      </c>
      <c r="I262" s="122">
        <f t="shared" si="70"/>
        <v>0.6470588235294118</v>
      </c>
      <c r="J262" s="123">
        <f>IF($D262="",0,IF($F262&lt;2,0,IF($E262="Win",('Guide &amp; Settings'!$C$42/(($F262-1)*COUNTIFS($A$4:$A$311,$A262,$E$4:$E$311,"Win")))*SUMIFS($X$4:$X$311,$A$4:$A$311,$A262,$E$4:$E$311,"Loss"),-('Guide &amp; Settings'!$C$42/($F262-1))*$X262)))</f>
        <v>-19.705435118932822</v>
      </c>
      <c r="K262" s="123">
        <f>IF($D262="",0,'Guide &amp; Settings'!$C$43*(IF($E262="Win",1,0)-$I262))</f>
        <v>-7.764705882352942</v>
      </c>
      <c r="L262" s="124">
        <f>IF($D262="",0,'Guide &amp; Settings'!$C$44*IF($F262&gt;=3,$F262+IF($E262="Win",$F262,0),0))</f>
        <v>0</v>
      </c>
      <c r="M262" s="123">
        <f t="shared" si="71"/>
        <v>-27.470141001285764</v>
      </c>
      <c r="N262" s="121">
        <f t="shared" si="72"/>
        <v>1059.5408188088202</v>
      </c>
      <c r="O262" s="120" t="str">
        <f t="shared" si="73"/>
        <v>OK</v>
      </c>
      <c r="P262">
        <f t="shared" si="74"/>
        <v>1031.8293182651969</v>
      </c>
      <c r="Q262">
        <f t="shared" si="75"/>
        <v>0.57875169179853214</v>
      </c>
      <c r="R262">
        <f t="shared" si="76"/>
        <v>0.83333333333333337</v>
      </c>
      <c r="S262">
        <f t="shared" si="77"/>
        <v>1.2878787878787878</v>
      </c>
      <c r="T262" s="88">
        <f t="shared" si="78"/>
        <v>4</v>
      </c>
      <c r="U262" s="125">
        <f>IF($D262="",0,IFERROR(LOOKUP(2,1/(($D$3:D261=$D262)*($C$3:C261=$C262)*($A$3:A261&lt;$A262)),$AB$3:AB261),1000))</f>
        <v>1059.7112532647241</v>
      </c>
      <c r="V262" s="125">
        <f t="shared" si="79"/>
        <v>1074.8777569010474</v>
      </c>
      <c r="W262">
        <f t="shared" si="80"/>
        <v>992.92861055128401</v>
      </c>
      <c r="X262">
        <f t="shared" si="81"/>
        <v>0.6157948474666507</v>
      </c>
      <c r="Y262">
        <f t="shared" si="82"/>
        <v>971.31710626577672</v>
      </c>
      <c r="Z262">
        <f t="shared" si="83"/>
        <v>0.62453394430754061</v>
      </c>
      <c r="AA262">
        <f>IF($D262="",0,IF($F262&lt;2,0,IF($E262="Win",('Guide &amp; Settings'!$C$42/(($F262-1)*COUNTIFS($A$4:$A$311,$A262,$E$4:$E$311,"Win")))*SUMIFS($Z$4:$Z$311,$A$4:$A$311,$A262,$E$4:$E$311,"Loss"),-('Guide &amp; Settings'!$C$42/($F262-1))*$Z262)))</f>
        <v>-19.9850862178413</v>
      </c>
      <c r="AB262" s="125">
        <f t="shared" si="84"/>
        <v>1039.7261670468827</v>
      </c>
      <c r="AC262" s="125">
        <f>IF($D262="","",IF(SUMPRODUCT(MAX(($D$4:$D$311=$D262)*($B$4:$B$311&lt;$B262)*$B$4:$B$311))=0,0,MAX(($B262-SUMPRODUCT(MAX(($D$4:$D$311=$D262)*($B$4:$B$311&lt;$B262)*$B$4:$B$311)))/7-'Guide &amp; Settings'!$C$48,0)*'Guide &amp; Settings'!$C$49))</f>
        <v>0</v>
      </c>
    </row>
    <row r="263" spans="1:29" ht="15" customHeight="1" x14ac:dyDescent="0.2">
      <c r="A263" s="116">
        <v>107</v>
      </c>
      <c r="B263" s="117">
        <v>46199</v>
      </c>
      <c r="C263" s="118" t="s">
        <v>191</v>
      </c>
      <c r="D263" s="118" t="s">
        <v>141</v>
      </c>
      <c r="E263" s="116" t="s">
        <v>316</v>
      </c>
      <c r="F263" s="119">
        <f t="shared" si="68"/>
        <v>2</v>
      </c>
      <c r="G263" s="120" t="str">
        <f t="shared" si="69"/>
        <v>Shawn</v>
      </c>
      <c r="H263" s="121">
        <f>IF($D263="",0,IFERROR(LOOKUP(2,1/(($D$3:D262=$D263)*($A$3:A262&lt;$A263)),$N$3:N262),'Guide &amp; Settings'!$C$41))</f>
        <v>1031.8293182651969</v>
      </c>
      <c r="I263" s="122">
        <f t="shared" si="70"/>
        <v>0.35294117647058826</v>
      </c>
      <c r="J263" s="123">
        <f>IF($D263="",0,IF($F263&lt;2,0,IF($E263="Win",('Guide &amp; Settings'!$C$42/(($F263-1)*COUNTIFS($A$4:$A$311,$A263,$E$4:$E$311,"Win")))*SUMIFS($X$4:$X$311,$A$4:$A$311,$A263,$E$4:$E$311,"Loss"),-('Guide &amp; Settings'!$C$42/($F263-1))*$X263)))</f>
        <v>19.705435118932822</v>
      </c>
      <c r="K263" s="123">
        <f>IF($D263="",0,'Guide &amp; Settings'!$C$43*(IF($E263="Win",1,0)-$I263))</f>
        <v>7.7647058823529402</v>
      </c>
      <c r="L263" s="124">
        <f>IF($D263="",0,'Guide &amp; Settings'!$C$44*IF($F263&gt;=3,$F263+IF($E263="Win",$F263,0),0))</f>
        <v>0</v>
      </c>
      <c r="M263" s="123">
        <f t="shared" si="71"/>
        <v>27.470141001285761</v>
      </c>
      <c r="N263" s="121">
        <f t="shared" si="72"/>
        <v>1059.2994592664827</v>
      </c>
      <c r="O263" s="120" t="str">
        <f t="shared" si="73"/>
        <v>OK</v>
      </c>
      <c r="P263">
        <f t="shared" si="74"/>
        <v>1031.8293182651969</v>
      </c>
      <c r="Q263">
        <f t="shared" si="75"/>
        <v>0.5</v>
      </c>
      <c r="R263">
        <f t="shared" si="76"/>
        <v>0.45454545454545453</v>
      </c>
      <c r="S263">
        <f t="shared" si="77"/>
        <v>1.2878787878787878</v>
      </c>
      <c r="T263" s="88">
        <f t="shared" si="78"/>
        <v>9</v>
      </c>
      <c r="U263" s="125">
        <f>IF($D263="",0,IFERROR(LOOKUP(2,1/(($D$3:D262=$D263)*($C$3:C262=$C263)*($A$3:A262&lt;$A263)),$AB$3:AB262),1000))</f>
        <v>971.31710626577672</v>
      </c>
      <c r="V263" s="125">
        <f t="shared" si="79"/>
        <v>992.92861055128401</v>
      </c>
      <c r="W263">
        <f t="shared" si="80"/>
        <v>992.92861055128401</v>
      </c>
      <c r="X263">
        <f t="shared" si="81"/>
        <v>0.5</v>
      </c>
      <c r="Y263">
        <f t="shared" si="82"/>
        <v>971.31710626577672</v>
      </c>
      <c r="Z263">
        <f t="shared" si="83"/>
        <v>0.5</v>
      </c>
      <c r="AA263">
        <f>IF($D263="",0,IF($F263&lt;2,0,IF($E263="Win",('Guide &amp; Settings'!$C$42/(($F263-1)*COUNTIFS($A$4:$A$311,$A263,$E$4:$E$311,"Win")))*SUMIFS($Z$4:$Z$311,$A$4:$A$311,$A263,$E$4:$E$311,"Loss"),-('Guide &amp; Settings'!$C$42/($F263-1))*$Z263)))</f>
        <v>19.9850862178413</v>
      </c>
      <c r="AB263" s="125">
        <f t="shared" si="84"/>
        <v>991.302192483618</v>
      </c>
      <c r="AC263" s="125">
        <f>IF($D263="","",IF(SUMPRODUCT(MAX(($D$4:$D$311=$D263)*($B$4:$B$311&lt;$B263)*$B$4:$B$311))=0,0,MAX(($B263-SUMPRODUCT(MAX(($D$4:$D$311=$D263)*($B$4:$B$311&lt;$B263)*$B$4:$B$311)))/7-'Guide &amp; Settings'!$C$48,0)*'Guide &amp; Settings'!$C$49))</f>
        <v>0</v>
      </c>
    </row>
    <row r="264" spans="1:29" ht="15" customHeight="1" x14ac:dyDescent="0.2">
      <c r="A264" s="116">
        <v>108</v>
      </c>
      <c r="B264" s="117">
        <v>46200</v>
      </c>
      <c r="C264" s="118" t="s">
        <v>191</v>
      </c>
      <c r="D264" s="118" t="s">
        <v>145</v>
      </c>
      <c r="E264" s="116" t="s">
        <v>317</v>
      </c>
      <c r="F264" s="119">
        <f t="shared" si="68"/>
        <v>2</v>
      </c>
      <c r="G264" s="120" t="str">
        <f t="shared" si="69"/>
        <v>Shawn</v>
      </c>
      <c r="H264" s="121">
        <f>IF($D264="",0,IFERROR(LOOKUP(2,1/(($D$3:D263=$D264)*($A$3:A263&lt;$A264)),$N$3:N263),'Guide &amp; Settings'!$C$41))</f>
        <v>1059.5408188088202</v>
      </c>
      <c r="I264" s="122">
        <f t="shared" si="70"/>
        <v>0.58823529411764697</v>
      </c>
      <c r="J264" s="123">
        <f>IF($D264="",0,IF($F264&lt;2,0,IF($E264="Win",('Guide &amp; Settings'!$C$42/(($F264-1)*COUNTIFS($A$4:$A$311,$A264,$E$4:$E$311,"Win")))*SUMIFS($X$4:$X$311,$A$4:$A$311,$A264,$E$4:$E$311,"Loss"),-('Guide &amp; Settings'!$C$42/($F264-1))*$X264)))</f>
        <v>-17.636713962330404</v>
      </c>
      <c r="K264" s="123">
        <f>IF($D264="",0,'Guide &amp; Settings'!$C$43*(IF($E264="Win",1,0)-$I264))</f>
        <v>-7.0588235294117636</v>
      </c>
      <c r="L264" s="124">
        <f>IF($D264="",0,'Guide &amp; Settings'!$C$44*IF($F264&gt;=3,$F264+IF($E264="Win",$F264,0),0))</f>
        <v>0</v>
      </c>
      <c r="M264" s="123">
        <f t="shared" si="71"/>
        <v>-24.695537491742169</v>
      </c>
      <c r="N264" s="121">
        <f t="shared" si="72"/>
        <v>1034.8452813170779</v>
      </c>
      <c r="O264" s="120" t="str">
        <f t="shared" si="73"/>
        <v>OK</v>
      </c>
      <c r="P264">
        <f t="shared" si="74"/>
        <v>1059.2994592664827</v>
      </c>
      <c r="Q264">
        <f t="shared" si="75"/>
        <v>0.50034734424677363</v>
      </c>
      <c r="R264">
        <f t="shared" si="76"/>
        <v>0.7142857142857143</v>
      </c>
      <c r="S264">
        <f t="shared" si="77"/>
        <v>1.2142857142857144</v>
      </c>
      <c r="T264" s="88">
        <f t="shared" si="78"/>
        <v>5</v>
      </c>
      <c r="U264" s="125">
        <f>IF($D264="",0,IFERROR(LOOKUP(2,1/(($D$3:D263=$D264)*($C$3:C263=$C264)*($A$3:A263&lt;$A264)),$AB$3:AB263),1000))</f>
        <v>1039.7261670468827</v>
      </c>
      <c r="V264" s="125">
        <f t="shared" si="79"/>
        <v>1049.6334929278514</v>
      </c>
      <c r="W264">
        <f t="shared" si="80"/>
        <v>1013.9679480779062</v>
      </c>
      <c r="X264">
        <f t="shared" si="81"/>
        <v>0.55114731132282513</v>
      </c>
      <c r="Y264">
        <f t="shared" si="82"/>
        <v>991.302192483618</v>
      </c>
      <c r="Z264">
        <f t="shared" si="83"/>
        <v>0.569239940556581</v>
      </c>
      <c r="AA264">
        <f>IF($D264="",0,IF($F264&lt;2,0,IF($E264="Win",('Guide &amp; Settings'!$C$42/(($F264-1)*COUNTIFS($A$4:$A$311,$A264,$E$4:$E$311,"Win")))*SUMIFS($Z$4:$Z$311,$A$4:$A$311,$A264,$E$4:$E$311,"Loss"),-('Guide &amp; Settings'!$C$42/($F264-1))*$Z264)))</f>
        <v>-18.215678097810592</v>
      </c>
      <c r="AB264" s="125">
        <f t="shared" si="84"/>
        <v>1021.5104889490721</v>
      </c>
      <c r="AC264" s="125">
        <f>IF($D264="","",IF(SUMPRODUCT(MAX(($D$4:$D$311=$D264)*($B$4:$B$311&lt;$B264)*$B$4:$B$311))=0,0,MAX(($B264-SUMPRODUCT(MAX(($D$4:$D$311=$D264)*($B$4:$B$311&lt;$B264)*$B$4:$B$311)))/7-'Guide &amp; Settings'!$C$48,0)*'Guide &amp; Settings'!$C$49))</f>
        <v>0</v>
      </c>
    </row>
    <row r="265" spans="1:29" ht="15" customHeight="1" x14ac:dyDescent="0.2">
      <c r="A265" s="116">
        <v>108</v>
      </c>
      <c r="B265" s="117">
        <v>46200</v>
      </c>
      <c r="C265" s="118" t="s">
        <v>191</v>
      </c>
      <c r="D265" s="118" t="s">
        <v>141</v>
      </c>
      <c r="E265" s="116" t="s">
        <v>316</v>
      </c>
      <c r="F265" s="119">
        <f t="shared" si="68"/>
        <v>2</v>
      </c>
      <c r="G265" s="120" t="str">
        <f t="shared" si="69"/>
        <v>Shawn</v>
      </c>
      <c r="H265" s="121">
        <f>IF($D265="",0,IFERROR(LOOKUP(2,1/(($D$3:D264=$D265)*($A$3:A264&lt;$A265)),$N$3:N264),'Guide &amp; Settings'!$C$41))</f>
        <v>1059.2994592664827</v>
      </c>
      <c r="I265" s="122">
        <f t="shared" si="70"/>
        <v>0.41176470588235292</v>
      </c>
      <c r="J265" s="123">
        <f>IF($D265="",0,IF($F265&lt;2,0,IF($E265="Win",('Guide &amp; Settings'!$C$42/(($F265-1)*COUNTIFS($A$4:$A$311,$A265,$E$4:$E$311,"Win")))*SUMIFS($X$4:$X$311,$A$4:$A$311,$A265,$E$4:$E$311,"Loss"),-('Guide &amp; Settings'!$C$42/($F265-1))*$X265)))</f>
        <v>17.636713962330404</v>
      </c>
      <c r="K265" s="123">
        <f>IF($D265="",0,'Guide &amp; Settings'!$C$43*(IF($E265="Win",1,0)-$I265))</f>
        <v>7.0588235294117645</v>
      </c>
      <c r="L265" s="124">
        <f>IF($D265="",0,'Guide &amp; Settings'!$C$44*IF($F265&gt;=3,$F265+IF($E265="Win",$F265,0),0))</f>
        <v>0</v>
      </c>
      <c r="M265" s="123">
        <f t="shared" si="71"/>
        <v>24.695537491742169</v>
      </c>
      <c r="N265" s="121">
        <f t="shared" si="72"/>
        <v>1083.9949967582249</v>
      </c>
      <c r="O265" s="120" t="str">
        <f t="shared" si="73"/>
        <v>OK</v>
      </c>
      <c r="P265">
        <f t="shared" si="74"/>
        <v>1059.2994592664827</v>
      </c>
      <c r="Q265">
        <f t="shared" si="75"/>
        <v>0.5</v>
      </c>
      <c r="R265">
        <f t="shared" si="76"/>
        <v>0.5</v>
      </c>
      <c r="S265">
        <f t="shared" si="77"/>
        <v>1.2142857142857144</v>
      </c>
      <c r="T265" s="88">
        <f t="shared" si="78"/>
        <v>10</v>
      </c>
      <c r="U265" s="125">
        <f>IF($D265="",0,IFERROR(LOOKUP(2,1/(($D$3:D264=$D265)*($C$3:C264=$C265)*($A$3:A264&lt;$A265)),$AB$3:AB264),1000))</f>
        <v>991.302192483618</v>
      </c>
      <c r="V265" s="125">
        <f t="shared" si="79"/>
        <v>1013.9679480779062</v>
      </c>
      <c r="W265">
        <f t="shared" si="80"/>
        <v>1013.9679480779062</v>
      </c>
      <c r="X265">
        <f t="shared" si="81"/>
        <v>0.5</v>
      </c>
      <c r="Y265">
        <f t="shared" si="82"/>
        <v>991.302192483618</v>
      </c>
      <c r="Z265">
        <f t="shared" si="83"/>
        <v>0.5</v>
      </c>
      <c r="AA265">
        <f>IF($D265="",0,IF($F265&lt;2,0,IF($E265="Win",('Guide &amp; Settings'!$C$42/(($F265-1)*COUNTIFS($A$4:$A$311,$A265,$E$4:$E$311,"Win")))*SUMIFS($Z$4:$Z$311,$A$4:$A$311,$A265,$E$4:$E$311,"Loss"),-('Guide &amp; Settings'!$C$42/($F265-1))*$Z265)))</f>
        <v>18.215678097810592</v>
      </c>
      <c r="AB265" s="125">
        <f t="shared" si="84"/>
        <v>1009.5178705814286</v>
      </c>
      <c r="AC265" s="125">
        <f>IF($D265="","",IF(SUMPRODUCT(MAX(($D$4:$D$311=$D265)*($B$4:$B$311&lt;$B265)*$B$4:$B$311))=0,0,MAX(($B265-SUMPRODUCT(MAX(($D$4:$D$311=$D265)*($B$4:$B$311&lt;$B265)*$B$4:$B$311)))/7-'Guide &amp; Settings'!$C$48,0)*'Guide &amp; Settings'!$C$49))</f>
        <v>0</v>
      </c>
    </row>
    <row r="266" spans="1:29" ht="15" customHeight="1" x14ac:dyDescent="0.2">
      <c r="A266" s="116">
        <v>109</v>
      </c>
      <c r="B266" s="117">
        <v>46200</v>
      </c>
      <c r="C266" s="118" t="s">
        <v>191</v>
      </c>
      <c r="D266" s="118" t="s">
        <v>145</v>
      </c>
      <c r="E266" s="116" t="s">
        <v>316</v>
      </c>
      <c r="F266" s="119">
        <f t="shared" si="68"/>
        <v>2</v>
      </c>
      <c r="G266" s="120" t="str">
        <f t="shared" si="69"/>
        <v>Aaron</v>
      </c>
      <c r="H266" s="121">
        <f>IF($D266="",0,IFERROR(LOOKUP(2,1/(($D$3:D265=$D266)*($A$3:A265&lt;$A266)),$N$3:N265),'Guide &amp; Settings'!$C$41))</f>
        <v>1034.8452813170779</v>
      </c>
      <c r="I266" s="122">
        <f t="shared" si="70"/>
        <v>0.5371900826446282</v>
      </c>
      <c r="J266" s="123">
        <f>IF($D266="",0,IF($F266&lt;2,0,IF($E266="Win",('Guide &amp; Settings'!$C$42/(($F266-1)*COUNTIFS($A$4:$A$311,$A266,$E$4:$E$311,"Win")))*SUMIFS($X$4:$X$311,$A$4:$A$311,$A266,$E$4:$E$311,"Loss"),-('Guide &amp; Settings'!$C$42/($F266-1))*$X266)))</f>
        <v>16.240381664330982</v>
      </c>
      <c r="K266" s="123">
        <f>IF($D266="",0,'Guide &amp; Settings'!$C$43*(IF($E266="Win",1,0)-$I266))</f>
        <v>5.5537190082644621</v>
      </c>
      <c r="L266" s="124">
        <f>IF($D266="",0,'Guide &amp; Settings'!$C$44*IF($F266&gt;=3,$F266+IF($E266="Win",$F266,0),0))</f>
        <v>0</v>
      </c>
      <c r="M266" s="123">
        <f t="shared" si="71"/>
        <v>21.794100672595444</v>
      </c>
      <c r="N266" s="121">
        <f t="shared" si="72"/>
        <v>1056.6393819896734</v>
      </c>
      <c r="O266" s="120" t="str">
        <f t="shared" si="73"/>
        <v>OK</v>
      </c>
      <c r="P266">
        <f t="shared" si="74"/>
        <v>1034.8452813170779</v>
      </c>
      <c r="Q266">
        <f t="shared" si="75"/>
        <v>0.5</v>
      </c>
      <c r="R266">
        <f t="shared" si="76"/>
        <v>0.625</v>
      </c>
      <c r="S266">
        <f t="shared" si="77"/>
        <v>1.1634615384615383</v>
      </c>
      <c r="T266" s="88">
        <f t="shared" si="78"/>
        <v>6</v>
      </c>
      <c r="U266" s="125">
        <f>IF($D266="",0,IFERROR(LOOKUP(2,1/(($D$3:D265=$D266)*($C$3:C265=$C266)*($A$3:A265&lt;$A266)),$AB$3:AB265),1000))</f>
        <v>1021.5104889490721</v>
      </c>
      <c r="V266" s="125">
        <f t="shared" si="79"/>
        <v>1027.5717582072566</v>
      </c>
      <c r="W266">
        <f t="shared" si="80"/>
        <v>1027.5717582072566</v>
      </c>
      <c r="X266">
        <f t="shared" si="81"/>
        <v>0.5</v>
      </c>
      <c r="Y266">
        <f t="shared" si="82"/>
        <v>1021.5104889490721</v>
      </c>
      <c r="Z266">
        <f t="shared" si="83"/>
        <v>0.5</v>
      </c>
      <c r="AA266">
        <f>IF($D266="",0,IF($F266&lt;2,0,IF($E266="Win",('Guide &amp; Settings'!$C$42/(($F266-1)*COUNTIFS($A$4:$A$311,$A266,$E$4:$E$311,"Win")))*SUMIFS($Z$4:$Z$311,$A$4:$A$311,$A266,$E$4:$E$311,"Loss"),-('Guide &amp; Settings'!$C$42/($F266-1))*$Z266)))</f>
        <v>15.44793874994804</v>
      </c>
      <c r="AB266" s="125">
        <f t="shared" si="84"/>
        <v>1036.9584276990201</v>
      </c>
      <c r="AC266" s="125">
        <f>IF($D266="","",IF(SUMPRODUCT(MAX(($D$4:$D$311=$D266)*($B$4:$B$311&lt;$B266)*$B$4:$B$311))=0,0,MAX(($B266-SUMPRODUCT(MAX(($D$4:$D$311=$D266)*($B$4:$B$311&lt;$B266)*$B$4:$B$311)))/7-'Guide &amp; Settings'!$C$48,0)*'Guide &amp; Settings'!$C$49))</f>
        <v>0</v>
      </c>
    </row>
    <row r="267" spans="1:29" ht="15" customHeight="1" x14ac:dyDescent="0.2">
      <c r="A267" s="116">
        <v>109</v>
      </c>
      <c r="B267" s="117">
        <v>46200</v>
      </c>
      <c r="C267" s="118" t="s">
        <v>191</v>
      </c>
      <c r="D267" s="118" t="s">
        <v>141</v>
      </c>
      <c r="E267" s="116" t="s">
        <v>317</v>
      </c>
      <c r="F267" s="119">
        <f t="shared" si="68"/>
        <v>2</v>
      </c>
      <c r="G267" s="120" t="str">
        <f t="shared" si="69"/>
        <v>Aaron</v>
      </c>
      <c r="H267" s="121">
        <f>IF($D267="",0,IFERROR(LOOKUP(2,1/(($D$3:D266=$D267)*($A$3:A266&lt;$A267)),$N$3:N266),'Guide &amp; Settings'!$C$41))</f>
        <v>1083.9949967582249</v>
      </c>
      <c r="I267" s="122">
        <f t="shared" si="70"/>
        <v>0.46280991735537191</v>
      </c>
      <c r="J267" s="123">
        <f>IF($D267="",0,IF($F267&lt;2,0,IF($E267="Win",('Guide &amp; Settings'!$C$42/(($F267-1)*COUNTIFS($A$4:$A$311,$A267,$E$4:$E$311,"Win")))*SUMIFS($X$4:$X$311,$A$4:$A$311,$A267,$E$4:$E$311,"Loss"),-('Guide &amp; Settings'!$C$42/($F267-1))*$X267)))</f>
        <v>-16.240381664330982</v>
      </c>
      <c r="K267" s="123">
        <f>IF($D267="",0,'Guide &amp; Settings'!$C$43*(IF($E267="Win",1,0)-$I267))</f>
        <v>-5.553719008264463</v>
      </c>
      <c r="L267" s="124">
        <f>IF($D267="",0,'Guide &amp; Settings'!$C$44*IF($F267&gt;=3,$F267+IF($E267="Win",$F267,0),0))</f>
        <v>0</v>
      </c>
      <c r="M267" s="123">
        <f t="shared" si="71"/>
        <v>-21.794100672595444</v>
      </c>
      <c r="N267" s="121">
        <f t="shared" si="72"/>
        <v>1062.2008960856294</v>
      </c>
      <c r="O267" s="120" t="str">
        <f t="shared" si="73"/>
        <v>OK</v>
      </c>
      <c r="P267">
        <f t="shared" si="74"/>
        <v>1034.8452813170779</v>
      </c>
      <c r="Q267">
        <f t="shared" si="75"/>
        <v>0.57026403930883662</v>
      </c>
      <c r="R267">
        <f t="shared" si="76"/>
        <v>0.53846153846153844</v>
      </c>
      <c r="S267">
        <f t="shared" si="77"/>
        <v>1.1634615384615383</v>
      </c>
      <c r="T267" s="88">
        <f t="shared" si="78"/>
        <v>11</v>
      </c>
      <c r="U267" s="125">
        <f>IF($D267="",0,IFERROR(LOOKUP(2,1/(($D$3:D266=$D267)*($C$3:C266=$C267)*($A$3:A266&lt;$A267)),$AB$3:AB266),1000))</f>
        <v>1009.5178705814286</v>
      </c>
      <c r="V267" s="125">
        <f t="shared" si="79"/>
        <v>1032.7919725116774</v>
      </c>
      <c r="W267">
        <f t="shared" si="80"/>
        <v>1027.5717582072566</v>
      </c>
      <c r="X267">
        <f t="shared" si="81"/>
        <v>0.5075119270103432</v>
      </c>
      <c r="Y267">
        <f t="shared" si="82"/>
        <v>1021.5104889490721</v>
      </c>
      <c r="Z267">
        <f t="shared" si="83"/>
        <v>0.48274808593587626</v>
      </c>
      <c r="AA267">
        <f>IF($D267="",0,IF($F267&lt;2,0,IF($E267="Win",('Guide &amp; Settings'!$C$42/(($F267-1)*COUNTIFS($A$4:$A$311,$A267,$E$4:$E$311,"Win")))*SUMIFS($Z$4:$Z$311,$A$4:$A$311,$A267,$E$4:$E$311,"Loss"),-('Guide &amp; Settings'!$C$42/($F267-1))*$Z267)))</f>
        <v>-15.44793874994804</v>
      </c>
      <c r="AB267" s="125">
        <f t="shared" si="84"/>
        <v>994.06993183148052</v>
      </c>
      <c r="AC267" s="125">
        <f>IF($D267="","",IF(SUMPRODUCT(MAX(($D$4:$D$311=$D267)*($B$4:$B$311&lt;$B267)*$B$4:$B$311))=0,0,MAX(($B267-SUMPRODUCT(MAX(($D$4:$D$311=$D267)*($B$4:$B$311&lt;$B267)*$B$4:$B$311)))/7-'Guide &amp; Settings'!$C$48,0)*'Guide &amp; Settings'!$C$49))</f>
        <v>0</v>
      </c>
    </row>
    <row r="268" spans="1:29" ht="15" customHeight="1" x14ac:dyDescent="0.2">
      <c r="A268" s="116">
        <v>110</v>
      </c>
      <c r="B268" s="117">
        <v>46200</v>
      </c>
      <c r="C268" s="118" t="s">
        <v>191</v>
      </c>
      <c r="D268" s="118" t="s">
        <v>145</v>
      </c>
      <c r="E268" s="116" t="s">
        <v>316</v>
      </c>
      <c r="F268" s="119">
        <f t="shared" si="68"/>
        <v>2</v>
      </c>
      <c r="G268" s="120" t="str">
        <f t="shared" si="69"/>
        <v>Aaron</v>
      </c>
      <c r="H268" s="121">
        <f>IF($D268="",0,IFERROR(LOOKUP(2,1/(($D$3:D267=$D268)*($A$3:A267&lt;$A268)),$N$3:N267),'Guide &amp; Settings'!$C$41))</f>
        <v>1056.6393819896734</v>
      </c>
      <c r="I268" s="122">
        <f t="shared" si="70"/>
        <v>0.57142857142857151</v>
      </c>
      <c r="J268" s="123">
        <f>IF($D268="",0,IF($F268&lt;2,0,IF($E268="Win",('Guide &amp; Settings'!$C$42/(($F268-1)*COUNTIFS($A$4:$A$311,$A268,$E$4:$E$311,"Win")))*SUMIFS($X$4:$X$311,$A$4:$A$311,$A268,$E$4:$E$311,"Loss"),-('Guide &amp; Settings'!$C$42/($F268-1))*$X268)))</f>
        <v>14.573872226373624</v>
      </c>
      <c r="K268" s="123">
        <f>IF($D268="",0,'Guide &amp; Settings'!$C$43*(IF($E268="Win",1,0)-$I268))</f>
        <v>5.1428571428571423</v>
      </c>
      <c r="L268" s="124">
        <f>IF($D268="",0,'Guide &amp; Settings'!$C$44*IF($F268&gt;=3,$F268+IF($E268="Win",$F268,0),0))</f>
        <v>0</v>
      </c>
      <c r="M268" s="123">
        <f t="shared" si="71"/>
        <v>19.716729369230766</v>
      </c>
      <c r="N268" s="121">
        <f t="shared" si="72"/>
        <v>1076.3561113589042</v>
      </c>
      <c r="O268" s="120" t="str">
        <f t="shared" si="73"/>
        <v>OK</v>
      </c>
      <c r="P268">
        <f t="shared" si="74"/>
        <v>1056.6393819896734</v>
      </c>
      <c r="Q268">
        <f t="shared" si="75"/>
        <v>0.5</v>
      </c>
      <c r="R268">
        <f t="shared" si="76"/>
        <v>0.66666666666666663</v>
      </c>
      <c r="S268">
        <f t="shared" si="77"/>
        <v>1.1666666666666665</v>
      </c>
      <c r="T268" s="88">
        <f t="shared" si="78"/>
        <v>7</v>
      </c>
      <c r="U268" s="125">
        <f>IF($D268="",0,IFERROR(LOOKUP(2,1/(($D$3:D267=$D268)*($C$3:C267=$C268)*($A$3:A267&lt;$A268)),$AB$3:AB267),1000))</f>
        <v>1036.9584276990201</v>
      </c>
      <c r="V268" s="125">
        <f t="shared" si="79"/>
        <v>1045.1588253201257</v>
      </c>
      <c r="W268">
        <f t="shared" si="80"/>
        <v>1045.1588253201257</v>
      </c>
      <c r="X268">
        <f t="shared" si="81"/>
        <v>0.5</v>
      </c>
      <c r="Y268">
        <f t="shared" si="82"/>
        <v>1036.9584276990201</v>
      </c>
      <c r="Z268">
        <f t="shared" si="83"/>
        <v>0.5</v>
      </c>
      <c r="AA268">
        <f>IF($D268="",0,IF($F268&lt;2,0,IF($E268="Win",('Guide &amp; Settings'!$C$42/(($F268-1)*COUNTIFS($A$4:$A$311,$A268,$E$4:$E$311,"Win")))*SUMIFS($Z$4:$Z$311,$A$4:$A$311,$A268,$E$4:$E$311,"Loss"),-('Guide &amp; Settings'!$C$42/($F268-1))*$Z268)))</f>
        <v>14.034883249120194</v>
      </c>
      <c r="AB268" s="125">
        <f t="shared" si="84"/>
        <v>1050.9933109481403</v>
      </c>
      <c r="AC268" s="125">
        <f>IF($D268="","",IF(SUMPRODUCT(MAX(($D$4:$D$311=$D268)*($B$4:$B$311&lt;$B268)*$B$4:$B$311))=0,0,MAX(($B268-SUMPRODUCT(MAX(($D$4:$D$311=$D268)*($B$4:$B$311&lt;$B268)*$B$4:$B$311)))/7-'Guide &amp; Settings'!$C$48,0)*'Guide &amp; Settings'!$C$49))</f>
        <v>0</v>
      </c>
    </row>
    <row r="269" spans="1:29" ht="15" customHeight="1" x14ac:dyDescent="0.2">
      <c r="A269" s="116">
        <v>110</v>
      </c>
      <c r="B269" s="117">
        <v>46200</v>
      </c>
      <c r="C269" s="118" t="s">
        <v>191</v>
      </c>
      <c r="D269" s="118" t="s">
        <v>141</v>
      </c>
      <c r="E269" s="116" t="s">
        <v>317</v>
      </c>
      <c r="F269" s="119">
        <f t="shared" si="68"/>
        <v>2</v>
      </c>
      <c r="G269" s="120" t="str">
        <f t="shared" si="69"/>
        <v>Aaron</v>
      </c>
      <c r="H269" s="121">
        <f>IF($D269="",0,IFERROR(LOOKUP(2,1/(($D$3:D268=$D269)*($A$3:A268&lt;$A269)),$N$3:N268),'Guide &amp; Settings'!$C$41))</f>
        <v>1062.2008960856294</v>
      </c>
      <c r="I269" s="122">
        <f t="shared" si="70"/>
        <v>0.4285714285714286</v>
      </c>
      <c r="J269" s="123">
        <f>IF($D269="",0,IF($F269&lt;2,0,IF($E269="Win",('Guide &amp; Settings'!$C$42/(($F269-1)*COUNTIFS($A$4:$A$311,$A269,$E$4:$E$311,"Win")))*SUMIFS($X$4:$X$311,$A$4:$A$311,$A269,$E$4:$E$311,"Loss"),-('Guide &amp; Settings'!$C$42/($F269-1))*$X269)))</f>
        <v>-14.573872226373624</v>
      </c>
      <c r="K269" s="123">
        <f>IF($D269="",0,'Guide &amp; Settings'!$C$43*(IF($E269="Win",1,0)-$I269))</f>
        <v>-5.1428571428571432</v>
      </c>
      <c r="L269" s="124">
        <f>IF($D269="",0,'Guide &amp; Settings'!$C$44*IF($F269&gt;=3,$F269+IF($E269="Win",$F269,0),0))</f>
        <v>0</v>
      </c>
      <c r="M269" s="123">
        <f t="shared" si="71"/>
        <v>-19.716729369230766</v>
      </c>
      <c r="N269" s="121">
        <f t="shared" si="72"/>
        <v>1042.4841667163987</v>
      </c>
      <c r="O269" s="120" t="str">
        <f t="shared" si="73"/>
        <v>OK</v>
      </c>
      <c r="P269">
        <f t="shared" si="74"/>
        <v>1056.6393819896734</v>
      </c>
      <c r="Q269">
        <f t="shared" si="75"/>
        <v>0.50800297862284016</v>
      </c>
      <c r="R269">
        <f t="shared" si="76"/>
        <v>0.5</v>
      </c>
      <c r="S269">
        <f t="shared" si="77"/>
        <v>1.1666666666666665</v>
      </c>
      <c r="T269" s="88">
        <f t="shared" si="78"/>
        <v>12</v>
      </c>
      <c r="U269" s="125">
        <f>IF($D269="",0,IFERROR(LOOKUP(2,1/(($D$3:D268=$D269)*($C$3:C268=$C269)*($A$3:A268&lt;$A269)),$AB$3:AB268),1000))</f>
        <v>994.06993183148052</v>
      </c>
      <c r="V269" s="125">
        <f t="shared" si="79"/>
        <v>1014.1084507297596</v>
      </c>
      <c r="W269">
        <f t="shared" si="80"/>
        <v>1045.1588253201257</v>
      </c>
      <c r="X269">
        <f t="shared" si="81"/>
        <v>0.45543350707417574</v>
      </c>
      <c r="Y269">
        <f t="shared" si="82"/>
        <v>1036.9584276990201</v>
      </c>
      <c r="Z269">
        <f t="shared" si="83"/>
        <v>0.43859010153500605</v>
      </c>
      <c r="AA269">
        <f>IF($D269="",0,IF($F269&lt;2,0,IF($E269="Win",('Guide &amp; Settings'!$C$42/(($F269-1)*COUNTIFS($A$4:$A$311,$A269,$E$4:$E$311,"Win")))*SUMIFS($Z$4:$Z$311,$A$4:$A$311,$A269,$E$4:$E$311,"Loss"),-('Guide &amp; Settings'!$C$42/($F269-1))*$Z269)))</f>
        <v>-14.034883249120194</v>
      </c>
      <c r="AB269" s="125">
        <f t="shared" si="84"/>
        <v>980.03504858236033</v>
      </c>
      <c r="AC269" s="125">
        <f>IF($D269="","",IF(SUMPRODUCT(MAX(($D$4:$D$311=$D269)*($B$4:$B$311&lt;$B269)*$B$4:$B$311))=0,0,MAX(($B269-SUMPRODUCT(MAX(($D$4:$D$311=$D269)*($B$4:$B$311&lt;$B269)*$B$4:$B$311)))/7-'Guide &amp; Settings'!$C$48,0)*'Guide &amp; Settings'!$C$49))</f>
        <v>0</v>
      </c>
    </row>
    <row r="270" spans="1:29" ht="15" customHeight="1" x14ac:dyDescent="0.2">
      <c r="A270" s="116">
        <v>111</v>
      </c>
      <c r="B270" s="117">
        <v>46200</v>
      </c>
      <c r="C270" s="118" t="s">
        <v>207</v>
      </c>
      <c r="D270" s="118" t="s">
        <v>145</v>
      </c>
      <c r="E270" s="116" t="s">
        <v>316</v>
      </c>
      <c r="F270" s="119">
        <f t="shared" si="68"/>
        <v>2</v>
      </c>
      <c r="G270" s="120" t="str">
        <f t="shared" si="69"/>
        <v>Aaron</v>
      </c>
      <c r="H270" s="121">
        <f>IF($D270="",0,IFERROR(LOOKUP(2,1/(($D$3:D269=$D270)*($A$3:A269&lt;$A270)),$N$3:N269),'Guide &amp; Settings'!$C$41))</f>
        <v>1076.3561113589042</v>
      </c>
      <c r="I270" s="122">
        <f t="shared" si="70"/>
        <v>0.60000000000000009</v>
      </c>
      <c r="J270" s="123">
        <f>IF($D270="",0,IF($F270&lt;2,0,IF($E270="Win",('Guide &amp; Settings'!$C$42/(($F270-1)*COUNTIFS($A$4:$A$311,$A270,$E$4:$E$311,"Win")))*SUMIFS($X$4:$X$311,$A$4:$A$311,$A270,$E$4:$E$311,"Loss"),-('Guide &amp; Settings'!$C$42/($F270-1))*$X270)))</f>
        <v>13.995238483157292</v>
      </c>
      <c r="K270" s="123">
        <f>IF($D270="",0,'Guide &amp; Settings'!$C$43*(IF($E270="Win",1,0)-$I270))</f>
        <v>4.7999999999999989</v>
      </c>
      <c r="L270" s="124">
        <f>IF($D270="",0,'Guide &amp; Settings'!$C$44*IF($F270&gt;=3,$F270+IF($E270="Win",$F270,0),0))</f>
        <v>0</v>
      </c>
      <c r="M270" s="123">
        <f t="shared" si="71"/>
        <v>18.795238483157291</v>
      </c>
      <c r="N270" s="121">
        <f t="shared" si="72"/>
        <v>1095.1513498420616</v>
      </c>
      <c r="O270" s="120" t="str">
        <f t="shared" si="73"/>
        <v>OK</v>
      </c>
      <c r="P270">
        <f t="shared" si="74"/>
        <v>1076.3561113589042</v>
      </c>
      <c r="Q270">
        <f t="shared" si="75"/>
        <v>0.5</v>
      </c>
      <c r="R270">
        <f t="shared" si="76"/>
        <v>0.5</v>
      </c>
      <c r="S270">
        <f t="shared" si="77"/>
        <v>0.83333333333333326</v>
      </c>
      <c r="T270" s="88">
        <f t="shared" si="78"/>
        <v>0</v>
      </c>
      <c r="U270" s="125">
        <f>IF($D270="",0,IFERROR(LOOKUP(2,1/(($D$3:D269=$D270)*($C$3:C269=$C270)*($A$3:A269&lt;$A270)),$AB$3:AB269),1000))</f>
        <v>1000</v>
      </c>
      <c r="V270" s="125">
        <f t="shared" si="79"/>
        <v>1076.3561113589042</v>
      </c>
      <c r="W270">
        <f t="shared" si="80"/>
        <v>1076.3561113589042</v>
      </c>
      <c r="X270">
        <f t="shared" si="81"/>
        <v>0.5</v>
      </c>
      <c r="Y270">
        <f t="shared" si="82"/>
        <v>1000</v>
      </c>
      <c r="Z270">
        <f t="shared" si="83"/>
        <v>0.5</v>
      </c>
      <c r="AA270">
        <f>IF($D270="",0,IF($F270&lt;2,0,IF($E270="Win",('Guide &amp; Settings'!$C$42/(($F270-1)*COUNTIFS($A$4:$A$311,$A270,$E$4:$E$311,"Win")))*SUMIFS($Z$4:$Z$311,$A$4:$A$311,$A270,$E$4:$E$311,"Loss"),-('Guide &amp; Settings'!$C$42/($F270-1))*$Z270)))</f>
        <v>15.224125135766659</v>
      </c>
      <c r="AB270" s="125">
        <f t="shared" si="84"/>
        <v>1015.2241251357667</v>
      </c>
      <c r="AC270" s="125">
        <f>IF($D270="","",IF(SUMPRODUCT(MAX(($D$4:$D$311=$D270)*($B$4:$B$311&lt;$B270)*$B$4:$B$311))=0,0,MAX(($B270-SUMPRODUCT(MAX(($D$4:$D$311=$D270)*($B$4:$B$311&lt;$B270)*$B$4:$B$311)))/7-'Guide &amp; Settings'!$C$48,0)*'Guide &amp; Settings'!$C$49))</f>
        <v>0</v>
      </c>
    </row>
    <row r="271" spans="1:29" ht="15" customHeight="1" x14ac:dyDescent="0.2">
      <c r="A271" s="116">
        <v>111</v>
      </c>
      <c r="B271" s="117">
        <v>46200</v>
      </c>
      <c r="C271" s="118" t="s">
        <v>207</v>
      </c>
      <c r="D271" s="118" t="s">
        <v>141</v>
      </c>
      <c r="E271" s="116" t="s">
        <v>317</v>
      </c>
      <c r="F271" s="119">
        <f t="shared" si="68"/>
        <v>2</v>
      </c>
      <c r="G271" s="120" t="str">
        <f t="shared" si="69"/>
        <v>Aaron</v>
      </c>
      <c r="H271" s="121">
        <f>IF($D271="",0,IFERROR(LOOKUP(2,1/(($D$3:D270=$D271)*($A$3:A270&lt;$A271)),$N$3:N270),'Guide &amp; Settings'!$C$41))</f>
        <v>1042.4841667163987</v>
      </c>
      <c r="I271" s="122">
        <f t="shared" si="70"/>
        <v>0.4</v>
      </c>
      <c r="J271" s="123">
        <f>IF($D271="",0,IF($F271&lt;2,0,IF($E271="Win",('Guide &amp; Settings'!$C$42/(($F271-1)*COUNTIFS($A$4:$A$311,$A271,$E$4:$E$311,"Win")))*SUMIFS($X$4:$X$311,$A$4:$A$311,$A271,$E$4:$E$311,"Loss"),-('Guide &amp; Settings'!$C$42/($F271-1))*$X271)))</f>
        <v>-13.995238483157292</v>
      </c>
      <c r="K271" s="123">
        <f>IF($D271="",0,'Guide &amp; Settings'!$C$43*(IF($E271="Win",1,0)-$I271))</f>
        <v>-4.8000000000000007</v>
      </c>
      <c r="L271" s="124">
        <f>IF($D271="",0,'Guide &amp; Settings'!$C$44*IF($F271&gt;=3,$F271+IF($E271="Win",$F271,0),0))</f>
        <v>0</v>
      </c>
      <c r="M271" s="123">
        <f t="shared" si="71"/>
        <v>-18.795238483157291</v>
      </c>
      <c r="N271" s="121">
        <f t="shared" si="72"/>
        <v>1023.6889282332414</v>
      </c>
      <c r="O271" s="120" t="str">
        <f t="shared" si="73"/>
        <v>OK</v>
      </c>
      <c r="P271">
        <f t="shared" si="74"/>
        <v>1076.3561113589042</v>
      </c>
      <c r="Q271">
        <f t="shared" si="75"/>
        <v>0.45140820354547256</v>
      </c>
      <c r="R271">
        <f t="shared" si="76"/>
        <v>0.33333333333333331</v>
      </c>
      <c r="S271">
        <f t="shared" si="77"/>
        <v>0.83333333333333326</v>
      </c>
      <c r="T271" s="88">
        <f t="shared" si="78"/>
        <v>1</v>
      </c>
      <c r="U271" s="125">
        <f>IF($D271="",0,IFERROR(LOOKUP(2,1/(($D$3:D270=$D271)*($C$3:C270=$C271)*($A$3:A270&lt;$A271)),$AB$3:AB270),1000))</f>
        <v>983.13886682309521</v>
      </c>
      <c r="V271" s="125">
        <f t="shared" si="79"/>
        <v>1032.5932834008481</v>
      </c>
      <c r="W271">
        <f t="shared" si="80"/>
        <v>1076.3561113589042</v>
      </c>
      <c r="X271">
        <f t="shared" si="81"/>
        <v>0.43735120259866539</v>
      </c>
      <c r="Y271">
        <f t="shared" si="82"/>
        <v>1000</v>
      </c>
      <c r="Z271">
        <f t="shared" si="83"/>
        <v>0.4757539104927081</v>
      </c>
      <c r="AA271">
        <f>IF($D271="",0,IF($F271&lt;2,0,IF($E271="Win",('Guide &amp; Settings'!$C$42/(($F271-1)*COUNTIFS($A$4:$A$311,$A271,$E$4:$E$311,"Win")))*SUMIFS($Z$4:$Z$311,$A$4:$A$311,$A271,$E$4:$E$311,"Loss"),-('Guide &amp; Settings'!$C$42/($F271-1))*$Z271)))</f>
        <v>-15.224125135766659</v>
      </c>
      <c r="AB271" s="125">
        <f t="shared" si="84"/>
        <v>967.9147416873285</v>
      </c>
      <c r="AC271" s="125">
        <f>IF($D271="","",IF(SUMPRODUCT(MAX(($D$4:$D$311=$D271)*($B$4:$B$311&lt;$B271)*$B$4:$B$311))=0,0,MAX(($B271-SUMPRODUCT(MAX(($D$4:$D$311=$D271)*($B$4:$B$311&lt;$B271)*$B$4:$B$311)))/7-'Guide &amp; Settings'!$C$48,0)*'Guide &amp; Settings'!$C$49))</f>
        <v>0</v>
      </c>
    </row>
    <row r="272" spans="1:29" ht="15" customHeight="1" x14ac:dyDescent="0.2">
      <c r="A272" s="116">
        <v>112</v>
      </c>
      <c r="B272" s="117">
        <v>46200</v>
      </c>
      <c r="C272" s="118" t="s">
        <v>207</v>
      </c>
      <c r="D272" s="118" t="s">
        <v>145</v>
      </c>
      <c r="E272" s="116" t="s">
        <v>316</v>
      </c>
      <c r="F272" s="119">
        <f t="shared" si="68"/>
        <v>2</v>
      </c>
      <c r="G272" s="120" t="str">
        <f t="shared" si="69"/>
        <v>Aaron</v>
      </c>
      <c r="H272" s="121">
        <f>IF($D272="",0,IFERROR(LOOKUP(2,1/(($D$3:D271=$D272)*($A$3:A271&lt;$A272)),$N$3:N271),'Guide &amp; Settings'!$C$41))</f>
        <v>1095.1513498420616</v>
      </c>
      <c r="I272" s="122">
        <f t="shared" si="70"/>
        <v>0.72727272727272729</v>
      </c>
      <c r="J272" s="123">
        <f>IF($D272="",0,IF($F272&lt;2,0,IF($E272="Win",('Guide &amp; Settings'!$C$42/(($F272-1)*COUNTIFS($A$4:$A$311,$A272,$E$4:$E$311,"Win")))*SUMIFS($X$4:$X$311,$A$4:$A$311,$A272,$E$4:$E$311,"Loss"),-('Guide &amp; Settings'!$C$42/($F272-1))*$X272)))</f>
        <v>12.639410664969661</v>
      </c>
      <c r="K272" s="123">
        <f>IF($D272="",0,'Guide &amp; Settings'!$C$43*(IF($E272="Win",1,0)-$I272))</f>
        <v>3.2727272727272725</v>
      </c>
      <c r="L272" s="124">
        <f>IF($D272="",0,'Guide &amp; Settings'!$C$44*IF($F272&gt;=3,$F272+IF($E272="Win",$F272,0),0))</f>
        <v>0</v>
      </c>
      <c r="M272" s="123">
        <f t="shared" si="71"/>
        <v>15.912137937696933</v>
      </c>
      <c r="N272" s="121">
        <f t="shared" si="72"/>
        <v>1111.0634877797586</v>
      </c>
      <c r="O272" s="120" t="str">
        <f t="shared" si="73"/>
        <v>OK</v>
      </c>
      <c r="P272">
        <f t="shared" si="74"/>
        <v>1095.1513498420616</v>
      </c>
      <c r="Q272">
        <f t="shared" si="75"/>
        <v>0.5</v>
      </c>
      <c r="R272">
        <f t="shared" si="76"/>
        <v>0.66666666666666663</v>
      </c>
      <c r="S272">
        <f t="shared" si="77"/>
        <v>0.91666666666666663</v>
      </c>
      <c r="T272" s="88">
        <f t="shared" si="78"/>
        <v>1</v>
      </c>
      <c r="U272" s="125">
        <f>IF($D272="",0,IFERROR(LOOKUP(2,1/(($D$3:D271=$D272)*($C$3:C271=$C272)*($A$3:A271&lt;$A272)),$AB$3:AB271),1000))</f>
        <v>1015.2241251357667</v>
      </c>
      <c r="V272" s="125">
        <f t="shared" si="79"/>
        <v>1081.8301457243458</v>
      </c>
      <c r="W272">
        <f t="shared" si="80"/>
        <v>1081.8301457243458</v>
      </c>
      <c r="X272">
        <f t="shared" si="81"/>
        <v>0.5</v>
      </c>
      <c r="Y272">
        <f t="shared" si="82"/>
        <v>1015.2241251357667</v>
      </c>
      <c r="Z272">
        <f t="shared" si="83"/>
        <v>0.5</v>
      </c>
      <c r="AA272">
        <f>IF($D272="",0,IF($F272&lt;2,0,IF($E272="Win",('Guide &amp; Settings'!$C$42/(($F272-1)*COUNTIFS($A$4:$A$311,$A272,$E$4:$E$311,"Win")))*SUMIFS($Z$4:$Z$311,$A$4:$A$311,$A272,$E$4:$E$311,"Loss"),-('Guide &amp; Settings'!$C$42/($F272-1))*$Z272)))</f>
        <v>13.834688606373584</v>
      </c>
      <c r="AB272" s="125">
        <f t="shared" si="84"/>
        <v>1029.0588137421403</v>
      </c>
      <c r="AC272" s="125">
        <f>IF($D272="","",IF(SUMPRODUCT(MAX(($D$4:$D$311=$D272)*($B$4:$B$311&lt;$B272)*$B$4:$B$311))=0,0,MAX(($B272-SUMPRODUCT(MAX(($D$4:$D$311=$D272)*($B$4:$B$311&lt;$B272)*$B$4:$B$311)))/7-'Guide &amp; Settings'!$C$48,0)*'Guide &amp; Settings'!$C$49))</f>
        <v>0</v>
      </c>
    </row>
    <row r="273" spans="1:29" ht="15" customHeight="1" x14ac:dyDescent="0.2">
      <c r="A273" s="116">
        <v>112</v>
      </c>
      <c r="B273" s="117">
        <v>46200</v>
      </c>
      <c r="C273" s="118" t="s">
        <v>207</v>
      </c>
      <c r="D273" s="118" t="s">
        <v>141</v>
      </c>
      <c r="E273" s="116" t="s">
        <v>317</v>
      </c>
      <c r="F273" s="119">
        <f t="shared" si="68"/>
        <v>2</v>
      </c>
      <c r="G273" s="120" t="str">
        <f t="shared" si="69"/>
        <v>Aaron</v>
      </c>
      <c r="H273" s="121">
        <f>IF($D273="",0,IFERROR(LOOKUP(2,1/(($D$3:D272=$D273)*($A$3:A272&lt;$A273)),$N$3:N272),'Guide &amp; Settings'!$C$41))</f>
        <v>1023.6889282332414</v>
      </c>
      <c r="I273" s="122">
        <f t="shared" si="70"/>
        <v>0.27272727272727276</v>
      </c>
      <c r="J273" s="123">
        <f>IF($D273="",0,IF($F273&lt;2,0,IF($E273="Win",('Guide &amp; Settings'!$C$42/(($F273-1)*COUNTIFS($A$4:$A$311,$A273,$E$4:$E$311,"Win")))*SUMIFS($X$4:$X$311,$A$4:$A$311,$A273,$E$4:$E$311,"Loss"),-('Guide &amp; Settings'!$C$42/($F273-1))*$X273)))</f>
        <v>-12.639410664969661</v>
      </c>
      <c r="K273" s="123">
        <f>IF($D273="",0,'Guide &amp; Settings'!$C$43*(IF($E273="Win",1,0)-$I273))</f>
        <v>-3.2727272727272734</v>
      </c>
      <c r="L273" s="124">
        <f>IF($D273="",0,'Guide &amp; Settings'!$C$44*IF($F273&gt;=3,$F273+IF($E273="Win",$F273,0),0))</f>
        <v>0</v>
      </c>
      <c r="M273" s="123">
        <f t="shared" si="71"/>
        <v>-15.912137937696935</v>
      </c>
      <c r="N273" s="121">
        <f t="shared" si="72"/>
        <v>1007.7767902955445</v>
      </c>
      <c r="O273" s="120" t="str">
        <f t="shared" si="73"/>
        <v>OK</v>
      </c>
      <c r="P273">
        <f t="shared" si="74"/>
        <v>1095.1513498420616</v>
      </c>
      <c r="Q273">
        <f t="shared" si="75"/>
        <v>0.39858348258632142</v>
      </c>
      <c r="R273">
        <f t="shared" si="76"/>
        <v>0.25</v>
      </c>
      <c r="S273">
        <f t="shared" si="77"/>
        <v>0.91666666666666663</v>
      </c>
      <c r="T273" s="88">
        <f t="shared" si="78"/>
        <v>2</v>
      </c>
      <c r="U273" s="125">
        <f>IF($D273="",0,IFERROR(LOOKUP(2,1/(($D$3:D272=$D273)*($C$3:C272=$C273)*($A$3:A272&lt;$A273)),$AB$3:AB272),1000))</f>
        <v>967.9147416873285</v>
      </c>
      <c r="V273" s="125">
        <f t="shared" si="79"/>
        <v>1007.7534463629806</v>
      </c>
      <c r="W273">
        <f t="shared" si="80"/>
        <v>1081.8301457243458</v>
      </c>
      <c r="X273">
        <f t="shared" si="81"/>
        <v>0.39498158328030192</v>
      </c>
      <c r="Y273">
        <f t="shared" si="82"/>
        <v>1015.2241251357667</v>
      </c>
      <c r="Z273">
        <f t="shared" si="83"/>
        <v>0.4323340189491745</v>
      </c>
      <c r="AA273">
        <f>IF($D273="",0,IF($F273&lt;2,0,IF($E273="Win",('Guide &amp; Settings'!$C$42/(($F273-1)*COUNTIFS($A$4:$A$311,$A273,$E$4:$E$311,"Win")))*SUMIFS($Z$4:$Z$311,$A$4:$A$311,$A273,$E$4:$E$311,"Loss"),-('Guide &amp; Settings'!$C$42/($F273-1))*$Z273)))</f>
        <v>-13.834688606373584</v>
      </c>
      <c r="AB273" s="125">
        <f t="shared" si="84"/>
        <v>954.08005308095494</v>
      </c>
      <c r="AC273" s="125">
        <f>IF($D273="","",IF(SUMPRODUCT(MAX(($D$4:$D$311=$D273)*($B$4:$B$311&lt;$B273)*$B$4:$B$311))=0,0,MAX(($B273-SUMPRODUCT(MAX(($D$4:$D$311=$D273)*($B$4:$B$311&lt;$B273)*$B$4:$B$311)))/7-'Guide &amp; Settings'!$C$48,0)*'Guide &amp; Settings'!$C$49))</f>
        <v>0</v>
      </c>
    </row>
    <row r="274" spans="1:29" ht="15" customHeight="1" x14ac:dyDescent="0.2">
      <c r="A274" s="116">
        <v>113</v>
      </c>
      <c r="B274" s="117">
        <v>46200</v>
      </c>
      <c r="C274" s="118" t="s">
        <v>207</v>
      </c>
      <c r="D274" s="118" t="s">
        <v>145</v>
      </c>
      <c r="E274" s="116" t="s">
        <v>316</v>
      </c>
      <c r="F274" s="119">
        <f t="shared" si="68"/>
        <v>2</v>
      </c>
      <c r="G274" s="120" t="str">
        <f t="shared" si="69"/>
        <v>Aaron</v>
      </c>
      <c r="H274" s="121">
        <f>IF($D274="",0,IFERROR(LOOKUP(2,1/(($D$3:D273=$D274)*($A$3:A273&lt;$A274)),$N$3:N273),'Guide &amp; Settings'!$C$41))</f>
        <v>1111.0634877797586</v>
      </c>
      <c r="I274" s="122">
        <f t="shared" si="70"/>
        <v>0.78947368421052633</v>
      </c>
      <c r="J274" s="123">
        <f>IF($D274="",0,IF($F274&lt;2,0,IF($E274="Win",('Guide &amp; Settings'!$C$42/(($F274-1)*COUNTIFS($A$4:$A$311,$A274,$E$4:$E$311,"Win")))*SUMIFS($X$4:$X$311,$A$4:$A$311,$A274,$E$4:$E$311,"Loss"),-('Guide &amp; Settings'!$C$42/($F274-1))*$X274)))</f>
        <v>11.518214226832239</v>
      </c>
      <c r="K274" s="123">
        <f>IF($D274="",0,'Guide &amp; Settings'!$C$43*(IF($E274="Win",1,0)-$I274))</f>
        <v>2.5263157894736841</v>
      </c>
      <c r="L274" s="124">
        <f>IF($D274="",0,'Guide &amp; Settings'!$C$44*IF($F274&gt;=3,$F274+IF($E274="Win",$F274,0),0))</f>
        <v>0</v>
      </c>
      <c r="M274" s="123">
        <f t="shared" si="71"/>
        <v>14.044530016305924</v>
      </c>
      <c r="N274" s="121">
        <f t="shared" si="72"/>
        <v>1125.1080177960646</v>
      </c>
      <c r="O274" s="120" t="str">
        <f t="shared" si="73"/>
        <v>OK</v>
      </c>
      <c r="P274">
        <f t="shared" si="74"/>
        <v>1111.0634877797586</v>
      </c>
      <c r="Q274">
        <f t="shared" si="75"/>
        <v>0.5</v>
      </c>
      <c r="R274">
        <f t="shared" si="76"/>
        <v>0.75</v>
      </c>
      <c r="S274">
        <f t="shared" si="77"/>
        <v>0.95</v>
      </c>
      <c r="T274" s="88">
        <f t="shared" si="78"/>
        <v>2</v>
      </c>
      <c r="U274" s="125">
        <f>IF($D274="",0,IFERROR(LOOKUP(2,1/(($D$3:D273=$D274)*($C$3:C273=$C274)*($A$3:A273&lt;$A274)),$AB$3:AB273),1000))</f>
        <v>1029.0588137421403</v>
      </c>
      <c r="V274" s="125">
        <f t="shared" si="79"/>
        <v>1087.6335809118677</v>
      </c>
      <c r="W274">
        <f t="shared" si="80"/>
        <v>1087.6335809118677</v>
      </c>
      <c r="X274">
        <f t="shared" si="81"/>
        <v>0.5</v>
      </c>
      <c r="Y274">
        <f t="shared" si="82"/>
        <v>1029.0588137421403</v>
      </c>
      <c r="Z274">
        <f t="shared" si="83"/>
        <v>0.5</v>
      </c>
      <c r="AA274">
        <f>IF($D274="",0,IF($F274&lt;2,0,IF($E274="Win",('Guide &amp; Settings'!$C$42/(($F274-1)*COUNTIFS($A$4:$A$311,$A274,$E$4:$E$311,"Win")))*SUMIFS($Z$4:$Z$311,$A$4:$A$311,$A274,$E$4:$E$311,"Loss"),-('Guide &amp; Settings'!$C$42/($F274-1))*$Z274)))</f>
        <v>12.599723559572594</v>
      </c>
      <c r="AB274" s="125">
        <f t="shared" si="84"/>
        <v>1041.6585373017128</v>
      </c>
      <c r="AC274" s="125">
        <f>IF($D274="","",IF(SUMPRODUCT(MAX(($D$4:$D$311=$D274)*($B$4:$B$311&lt;$B274)*$B$4:$B$311))=0,0,MAX(($B274-SUMPRODUCT(MAX(($D$4:$D$311=$D274)*($B$4:$B$311&lt;$B274)*$B$4:$B$311)))/7-'Guide &amp; Settings'!$C$48,0)*'Guide &amp; Settings'!$C$49))</f>
        <v>0</v>
      </c>
    </row>
    <row r="275" spans="1:29" ht="15" customHeight="1" x14ac:dyDescent="0.2">
      <c r="A275" s="116">
        <v>113</v>
      </c>
      <c r="B275" s="117">
        <v>46200</v>
      </c>
      <c r="C275" s="118" t="s">
        <v>207</v>
      </c>
      <c r="D275" s="118" t="s">
        <v>141</v>
      </c>
      <c r="E275" s="116" t="s">
        <v>317</v>
      </c>
      <c r="F275" s="119">
        <f t="shared" si="68"/>
        <v>2</v>
      </c>
      <c r="G275" s="120" t="str">
        <f t="shared" si="69"/>
        <v>Aaron</v>
      </c>
      <c r="H275" s="121">
        <f>IF($D275="",0,IFERROR(LOOKUP(2,1/(($D$3:D274=$D275)*($A$3:A274&lt;$A275)),$N$3:N274),'Guide &amp; Settings'!$C$41))</f>
        <v>1007.7767902955445</v>
      </c>
      <c r="I275" s="122">
        <f t="shared" si="70"/>
        <v>0.2105263157894737</v>
      </c>
      <c r="J275" s="123">
        <f>IF($D275="",0,IF($F275&lt;2,0,IF($E275="Win",('Guide &amp; Settings'!$C$42/(($F275-1)*COUNTIFS($A$4:$A$311,$A275,$E$4:$E$311,"Win")))*SUMIFS($X$4:$X$311,$A$4:$A$311,$A275,$E$4:$E$311,"Loss"),-('Guide &amp; Settings'!$C$42/($F275-1))*$X275)))</f>
        <v>-11.518214226832239</v>
      </c>
      <c r="K275" s="123">
        <f>IF($D275="",0,'Guide &amp; Settings'!$C$43*(IF($E275="Win",1,0)-$I275))</f>
        <v>-2.5263157894736845</v>
      </c>
      <c r="L275" s="124">
        <f>IF($D275="",0,'Guide &amp; Settings'!$C$44*IF($F275&gt;=3,$F275+IF($E275="Win",$F275,0),0))</f>
        <v>0</v>
      </c>
      <c r="M275" s="123">
        <f t="shared" si="71"/>
        <v>-14.044530016305924</v>
      </c>
      <c r="N275" s="121">
        <f t="shared" si="72"/>
        <v>993.73226027923863</v>
      </c>
      <c r="O275" s="120" t="str">
        <f t="shared" si="73"/>
        <v>OK</v>
      </c>
      <c r="P275">
        <f t="shared" si="74"/>
        <v>1111.0634877797586</v>
      </c>
      <c r="Q275">
        <f t="shared" si="75"/>
        <v>0.3555878833617806</v>
      </c>
      <c r="R275">
        <f t="shared" si="76"/>
        <v>0.2</v>
      </c>
      <c r="S275">
        <f t="shared" si="77"/>
        <v>0.95</v>
      </c>
      <c r="T275" s="88">
        <f t="shared" si="78"/>
        <v>3</v>
      </c>
      <c r="U275" s="125">
        <f>IF($D275="",0,IFERROR(LOOKUP(2,1/(($D$3:D274=$D275)*($C$3:C274=$C275)*($A$3:A274&lt;$A275)),$AB$3:AB274),1000))</f>
        <v>954.08005308095494</v>
      </c>
      <c r="V275" s="125">
        <f t="shared" si="79"/>
        <v>987.64051384007348</v>
      </c>
      <c r="W275">
        <f t="shared" si="80"/>
        <v>1087.6335809118677</v>
      </c>
      <c r="X275">
        <f t="shared" si="81"/>
        <v>0.35994419458850746</v>
      </c>
      <c r="Y275">
        <f t="shared" si="82"/>
        <v>1029.0588137421403</v>
      </c>
      <c r="Z275">
        <f t="shared" si="83"/>
        <v>0.39374136123664355</v>
      </c>
      <c r="AA275">
        <f>IF($D275="",0,IF($F275&lt;2,0,IF($E275="Win",('Guide &amp; Settings'!$C$42/(($F275-1)*COUNTIFS($A$4:$A$311,$A275,$E$4:$E$311,"Win")))*SUMIFS($Z$4:$Z$311,$A$4:$A$311,$A275,$E$4:$E$311,"Loss"),-('Guide &amp; Settings'!$C$42/($F275-1))*$Z275)))</f>
        <v>-12.599723559572594</v>
      </c>
      <c r="AB275" s="125">
        <f t="shared" si="84"/>
        <v>941.48032952138237</v>
      </c>
      <c r="AC275" s="125">
        <f>IF($D275="","",IF(SUMPRODUCT(MAX(($D$4:$D$311=$D275)*($B$4:$B$311&lt;$B275)*$B$4:$B$311))=0,0,MAX(($B275-SUMPRODUCT(MAX(($D$4:$D$311=$D275)*($B$4:$B$311&lt;$B275)*$B$4:$B$311)))/7-'Guide &amp; Settings'!$C$48,0)*'Guide &amp; Settings'!$C$49))</f>
        <v>0</v>
      </c>
    </row>
    <row r="276" spans="1:29" ht="15" customHeight="1" x14ac:dyDescent="0.2">
      <c r="A276" s="116">
        <v>114</v>
      </c>
      <c r="B276" s="117">
        <v>46202</v>
      </c>
      <c r="C276" s="118" t="s">
        <v>189</v>
      </c>
      <c r="D276" s="118" t="s">
        <v>141</v>
      </c>
      <c r="E276" s="116" t="s">
        <v>316</v>
      </c>
      <c r="F276" s="119">
        <f t="shared" si="68"/>
        <v>2</v>
      </c>
      <c r="G276" s="120" t="str">
        <f t="shared" si="69"/>
        <v>Shawn</v>
      </c>
      <c r="H276" s="121">
        <f>IF($D276="",0,IFERROR(LOOKUP(2,1/(($D$3:D275=$D276)*($A$3:A275&lt;$A276)),$N$3:N275),'Guide &amp; Settings'!$C$41))</f>
        <v>993.73226027923863</v>
      </c>
      <c r="I276" s="122">
        <f t="shared" si="70"/>
        <v>0.66666666666666663</v>
      </c>
      <c r="J276" s="123">
        <f>IF($D276="",0,IF($F276&lt;2,0,IF($E276="Win",('Guide &amp; Settings'!$C$42/(($F276-1)*COUNTIFS($A$4:$A$311,$A276,$E$4:$E$311,"Win")))*SUMIFS($X$4:$X$311,$A$4:$A$311,$A276,$E$4:$E$311,"Loss"),-('Guide &amp; Settings'!$C$42/($F276-1))*$X276)))</f>
        <v>19.505566030796711</v>
      </c>
      <c r="K276" s="123">
        <f>IF($D276="",0,'Guide &amp; Settings'!$C$43*(IF($E276="Win",1,0)-$I276))</f>
        <v>4</v>
      </c>
      <c r="L276" s="124">
        <f>IF($D276="",0,'Guide &amp; Settings'!$C$44*IF($F276&gt;=3,$F276+IF($E276="Win",$F276,0),0))</f>
        <v>0</v>
      </c>
      <c r="M276" s="123">
        <f t="shared" si="71"/>
        <v>23.505566030796711</v>
      </c>
      <c r="N276" s="121">
        <f t="shared" si="72"/>
        <v>1017.2378263100353</v>
      </c>
      <c r="O276" s="120" t="str">
        <f t="shared" si="73"/>
        <v>OK</v>
      </c>
      <c r="P276">
        <f t="shared" si="74"/>
        <v>993.73226027923863</v>
      </c>
      <c r="Q276">
        <f t="shared" si="75"/>
        <v>0.5</v>
      </c>
      <c r="R276">
        <f t="shared" si="76"/>
        <v>0.66666666666666663</v>
      </c>
      <c r="S276">
        <f t="shared" si="77"/>
        <v>1</v>
      </c>
      <c r="T276" s="88">
        <f t="shared" si="78"/>
        <v>1</v>
      </c>
      <c r="U276" s="125">
        <f>IF($D276="",0,IFERROR(LOOKUP(2,1/(($D$3:D275=$D276)*($C$3:C275=$C276)*($A$3:A275&lt;$A276)),$AB$3:AB275),1000))</f>
        <v>1016</v>
      </c>
      <c r="V276" s="125">
        <f t="shared" si="79"/>
        <v>997.44355023269895</v>
      </c>
      <c r="W276">
        <f t="shared" si="80"/>
        <v>997.44355023269895</v>
      </c>
      <c r="X276">
        <f t="shared" si="81"/>
        <v>0.5</v>
      </c>
      <c r="Y276">
        <f t="shared" si="82"/>
        <v>1016</v>
      </c>
      <c r="Z276">
        <f t="shared" si="83"/>
        <v>0.5</v>
      </c>
      <c r="AA276">
        <f>IF($D276="",0,IF($F276&lt;2,0,IF($E276="Win",('Guide &amp; Settings'!$C$42/(($F276-1)*COUNTIFS($A$4:$A$311,$A276,$E$4:$E$311,"Win")))*SUMIFS($Z$4:$Z$311,$A$4:$A$311,$A276,$E$4:$E$311,"Loss"),-('Guide &amp; Settings'!$C$42/($F276-1))*$Z276)))</f>
        <v>14.530498471024522</v>
      </c>
      <c r="AB276" s="125">
        <f t="shared" si="84"/>
        <v>1030.5304984710244</v>
      </c>
      <c r="AC276" s="125">
        <f>IF($D276="","",IF(SUMPRODUCT(MAX(($D$4:$D$311=$D276)*($B$4:$B$311&lt;$B276)*$B$4:$B$311))=0,0,MAX(($B276-SUMPRODUCT(MAX(($D$4:$D$311=$D276)*($B$4:$B$311&lt;$B276)*$B$4:$B$311)))/7-'Guide &amp; Settings'!$C$48,0)*'Guide &amp; Settings'!$C$49))</f>
        <v>0</v>
      </c>
    </row>
    <row r="277" spans="1:29" ht="15" customHeight="1" x14ac:dyDescent="0.2">
      <c r="A277" s="116">
        <v>114</v>
      </c>
      <c r="B277" s="117">
        <v>46202</v>
      </c>
      <c r="C277" s="118" t="s">
        <v>189</v>
      </c>
      <c r="D277" s="118" t="s">
        <v>177</v>
      </c>
      <c r="E277" s="116" t="s">
        <v>317</v>
      </c>
      <c r="F277" s="119">
        <f t="shared" si="68"/>
        <v>2</v>
      </c>
      <c r="G277" s="120" t="str">
        <f t="shared" si="69"/>
        <v>Shawn</v>
      </c>
      <c r="H277" s="121">
        <f>IF($D277="",0,IFERROR(LOOKUP(2,1/(($D$3:D276=$D277)*($A$3:A276&lt;$A277)),$N$3:N276),'Guide &amp; Settings'!$C$41))</f>
        <v>1092.9844065377026</v>
      </c>
      <c r="I277" s="122">
        <f t="shared" si="70"/>
        <v>0.33333333333333331</v>
      </c>
      <c r="J277" s="123">
        <f>IF($D277="",0,IF($F277&lt;2,0,IF($E277="Win",('Guide &amp; Settings'!$C$42/(($F277-1)*COUNTIFS($A$4:$A$311,$A277,$E$4:$E$311,"Win")))*SUMIFS($X$4:$X$311,$A$4:$A$311,$A277,$E$4:$E$311,"Loss"),-('Guide &amp; Settings'!$C$42/($F277-1))*$X277)))</f>
        <v>-19.505566030796711</v>
      </c>
      <c r="K277" s="123">
        <f>IF($D277="",0,'Guide &amp; Settings'!$C$43*(IF($E277="Win",1,0)-$I277))</f>
        <v>-4</v>
      </c>
      <c r="L277" s="124">
        <f>IF($D277="",0,'Guide &amp; Settings'!$C$44*IF($F277&gt;=3,$F277+IF($E277="Win",$F277,0),0))</f>
        <v>0</v>
      </c>
      <c r="M277" s="123">
        <f t="shared" si="71"/>
        <v>-23.505566030796711</v>
      </c>
      <c r="N277" s="121">
        <f t="shared" si="72"/>
        <v>1069.478840506906</v>
      </c>
      <c r="O277" s="120" t="str">
        <f t="shared" si="73"/>
        <v>OK</v>
      </c>
      <c r="P277">
        <f t="shared" si="74"/>
        <v>993.73226027923863</v>
      </c>
      <c r="Q277">
        <f t="shared" si="75"/>
        <v>0.63907261111392732</v>
      </c>
      <c r="R277">
        <f t="shared" si="76"/>
        <v>0.33333333333333331</v>
      </c>
      <c r="S277">
        <f t="shared" si="77"/>
        <v>1</v>
      </c>
      <c r="T277" s="88">
        <f t="shared" si="78"/>
        <v>1</v>
      </c>
      <c r="U277" s="125">
        <f>IF($D277="",0,IFERROR(LOOKUP(2,1/(($D$3:D276=$D277)*($C$3:C276=$C277)*($A$3:A276&lt;$A277)),$AB$3:AB276),1000))</f>
        <v>984</v>
      </c>
      <c r="V277" s="125">
        <f t="shared" si="79"/>
        <v>1074.8203387814187</v>
      </c>
      <c r="W277">
        <f t="shared" si="80"/>
        <v>997.44355023269895</v>
      </c>
      <c r="X277">
        <f t="shared" si="81"/>
        <v>0.60954893846239722</v>
      </c>
      <c r="Y277">
        <f t="shared" si="82"/>
        <v>1016</v>
      </c>
      <c r="Z277">
        <f t="shared" si="83"/>
        <v>0.45407807721951632</v>
      </c>
      <c r="AA277">
        <f>IF($D277="",0,IF($F277&lt;2,0,IF($E277="Win",('Guide &amp; Settings'!$C$42/(($F277-1)*COUNTIFS($A$4:$A$311,$A277,$E$4:$E$311,"Win")))*SUMIFS($Z$4:$Z$311,$A$4:$A$311,$A277,$E$4:$E$311,"Loss"),-('Guide &amp; Settings'!$C$42/($F277-1))*$Z277)))</f>
        <v>-14.530498471024522</v>
      </c>
      <c r="AB277" s="125">
        <f t="shared" si="84"/>
        <v>969.46950152897546</v>
      </c>
      <c r="AC277" s="125">
        <f>IF($D277="","",IF(SUMPRODUCT(MAX(($D$4:$D$311=$D277)*($B$4:$B$311&lt;$B277)*$B$4:$B$311))=0,0,MAX(($B277-SUMPRODUCT(MAX(($D$4:$D$311=$D277)*($B$4:$B$311&lt;$B277)*$B$4:$B$311)))/7-'Guide &amp; Settings'!$C$48,0)*'Guide &amp; Settings'!$C$49))</f>
        <v>0</v>
      </c>
    </row>
    <row r="278" spans="1:29" ht="15" customHeight="1" x14ac:dyDescent="0.2">
      <c r="A278" s="116">
        <v>115</v>
      </c>
      <c r="B278" s="117">
        <v>46207</v>
      </c>
      <c r="C278" s="118" t="s">
        <v>207</v>
      </c>
      <c r="D278" s="118" t="s">
        <v>141</v>
      </c>
      <c r="E278" s="116" t="s">
        <v>317</v>
      </c>
      <c r="F278" s="119">
        <f t="shared" si="68"/>
        <v>2</v>
      </c>
      <c r="G278" s="120" t="str">
        <f t="shared" si="69"/>
        <v>Oscar</v>
      </c>
      <c r="H278" s="121">
        <f>IF($D278="",0,IFERROR(LOOKUP(2,1/(($D$3:D277=$D278)*($A$3:A277&lt;$A278)),$N$3:N277),'Guide &amp; Settings'!$C$41))</f>
        <v>1017.2378263100353</v>
      </c>
      <c r="I278" s="122">
        <f t="shared" si="70"/>
        <v>0.25</v>
      </c>
      <c r="J278" s="123">
        <f>IF($D278="",0,IF($F278&lt;2,0,IF($E278="Win",('Guide &amp; Settings'!$C$42/(($F278-1)*COUNTIFS($A$4:$A$311,$A278,$E$4:$E$311,"Win")))*SUMIFS($X$4:$X$311,$A$4:$A$311,$A278,$E$4:$E$311,"Loss"),-('Guide &amp; Settings'!$C$42/($F278-1))*$X278)))</f>
        <v>-12.906544232802291</v>
      </c>
      <c r="K278" s="123">
        <f>IF($D278="",0,'Guide &amp; Settings'!$C$43*(IF($E278="Win",1,0)-$I278))</f>
        <v>-3</v>
      </c>
      <c r="L278" s="124">
        <f>IF($D278="",0,'Guide &amp; Settings'!$C$44*IF($F278&gt;=3,$F278+IF($E278="Win",$F278,0),0))</f>
        <v>0</v>
      </c>
      <c r="M278" s="123">
        <f t="shared" si="71"/>
        <v>-15.906544232802291</v>
      </c>
      <c r="N278" s="121">
        <f t="shared" si="72"/>
        <v>1001.331282077233</v>
      </c>
      <c r="O278" s="120" t="str">
        <f t="shared" si="73"/>
        <v>OK</v>
      </c>
      <c r="P278">
        <f t="shared" si="74"/>
        <v>1094.3607552510286</v>
      </c>
      <c r="Q278">
        <f t="shared" si="75"/>
        <v>0.39079891308735393</v>
      </c>
      <c r="R278">
        <f t="shared" si="76"/>
        <v>0.16666666666666666</v>
      </c>
      <c r="S278">
        <f t="shared" si="77"/>
        <v>0.66666666666666663</v>
      </c>
      <c r="T278" s="88">
        <f t="shared" si="78"/>
        <v>4</v>
      </c>
      <c r="U278" s="125">
        <f>IF($D278="",0,IFERROR(LOOKUP(2,1/(($D$3:D277=$D278)*($C$3:C277=$C278)*($A$3:A277&lt;$A278)),$AB$3:AB277),1000))</f>
        <v>941.48032952138237</v>
      </c>
      <c r="V278" s="125">
        <f t="shared" si="79"/>
        <v>983.5678277373006</v>
      </c>
      <c r="W278">
        <f t="shared" si="80"/>
        <v>1051.5976538562995</v>
      </c>
      <c r="X278">
        <f t="shared" si="81"/>
        <v>0.40332950727507161</v>
      </c>
      <c r="Y278">
        <f t="shared" si="82"/>
        <v>998.14377711288819</v>
      </c>
      <c r="Z278">
        <f t="shared" si="83"/>
        <v>0.41917012785744429</v>
      </c>
      <c r="AA278">
        <f>IF($D278="",0,IF($F278&lt;2,0,IF($E278="Win",('Guide &amp; Settings'!$C$42/(($F278-1)*COUNTIFS($A$4:$A$311,$A278,$E$4:$E$311,"Win")))*SUMIFS($Z$4:$Z$311,$A$4:$A$311,$A278,$E$4:$E$311,"Loss"),-('Guide &amp; Settings'!$C$42/($F278-1))*$Z278)))</f>
        <v>-13.413444091438217</v>
      </c>
      <c r="AB278" s="125">
        <f t="shared" si="84"/>
        <v>928.06688542994414</v>
      </c>
      <c r="AC278" s="125">
        <f>IF($D278="","",IF(SUMPRODUCT(MAX(($D$4:$D$311=$D278)*($B$4:$B$311&lt;$B278)*$B$4:$B$311))=0,0,MAX(($B278-SUMPRODUCT(MAX(($D$4:$D$311=$D278)*($B$4:$B$311&lt;$B278)*$B$4:$B$311)))/7-'Guide &amp; Settings'!$C$48,0)*'Guide &amp; Settings'!$C$49))</f>
        <v>0</v>
      </c>
    </row>
    <row r="279" spans="1:29" ht="15" customHeight="1" x14ac:dyDescent="0.2">
      <c r="A279" s="116">
        <v>115</v>
      </c>
      <c r="B279" s="117">
        <v>46207</v>
      </c>
      <c r="C279" s="118" t="s">
        <v>207</v>
      </c>
      <c r="D279" s="118" t="s">
        <v>176</v>
      </c>
      <c r="E279" s="116" t="s">
        <v>316</v>
      </c>
      <c r="F279" s="119">
        <f t="shared" si="68"/>
        <v>2</v>
      </c>
      <c r="G279" s="120" t="str">
        <f t="shared" si="69"/>
        <v>Oscar</v>
      </c>
      <c r="H279" s="121">
        <f>IF($D279="",0,IFERROR(LOOKUP(2,1/(($D$3:D278=$D279)*($A$3:A278&lt;$A279)),$N$3:N278),'Guide &amp; Settings'!$C$41))</f>
        <v>1094.3607552510286</v>
      </c>
      <c r="I279" s="122">
        <f t="shared" si="70"/>
        <v>0.75</v>
      </c>
      <c r="J279" s="123">
        <f>IF($D279="",0,IF($F279&lt;2,0,IF($E279="Win",('Guide &amp; Settings'!$C$42/(($F279-1)*COUNTIFS($A$4:$A$311,$A279,$E$4:$E$311,"Win")))*SUMIFS($X$4:$X$311,$A$4:$A$311,$A279,$E$4:$E$311,"Loss"),-('Guide &amp; Settings'!$C$42/($F279-1))*$X279)))</f>
        <v>12.906544232802291</v>
      </c>
      <c r="K279" s="123">
        <f>IF($D279="",0,'Guide &amp; Settings'!$C$43*(IF($E279="Win",1,0)-$I279))</f>
        <v>3</v>
      </c>
      <c r="L279" s="124">
        <f>IF($D279="",0,'Guide &amp; Settings'!$C$44*IF($F279&gt;=3,$F279+IF($E279="Win",$F279,0),0))</f>
        <v>0</v>
      </c>
      <c r="M279" s="123">
        <f t="shared" si="71"/>
        <v>15.906544232802291</v>
      </c>
      <c r="N279" s="121">
        <f t="shared" si="72"/>
        <v>1110.267299483831</v>
      </c>
      <c r="O279" s="120" t="str">
        <f t="shared" si="73"/>
        <v>OK</v>
      </c>
      <c r="P279">
        <f t="shared" si="74"/>
        <v>1094.3607552510286</v>
      </c>
      <c r="Q279">
        <f t="shared" si="75"/>
        <v>0.5</v>
      </c>
      <c r="R279">
        <f t="shared" si="76"/>
        <v>0.5</v>
      </c>
      <c r="S279">
        <f t="shared" si="77"/>
        <v>0.66666666666666663</v>
      </c>
      <c r="T279" s="88">
        <f t="shared" si="78"/>
        <v>4</v>
      </c>
      <c r="U279" s="125">
        <f>IF($D279="",0,IFERROR(LOOKUP(2,1/(($D$3:D278=$D279)*($C$3:C278=$C279)*($A$3:A278&lt;$A279)),$AB$3:AB278),1000))</f>
        <v>998.14377711288819</v>
      </c>
      <c r="V279" s="125">
        <f t="shared" si="79"/>
        <v>1051.5976538562995</v>
      </c>
      <c r="W279">
        <f t="shared" si="80"/>
        <v>1051.5976538562995</v>
      </c>
      <c r="X279">
        <f t="shared" si="81"/>
        <v>0.5</v>
      </c>
      <c r="Y279">
        <f t="shared" si="82"/>
        <v>998.14377711288819</v>
      </c>
      <c r="Z279">
        <f t="shared" si="83"/>
        <v>0.5</v>
      </c>
      <c r="AA279">
        <f>IF($D279="",0,IF($F279&lt;2,0,IF($E279="Win",('Guide &amp; Settings'!$C$42/(($F279-1)*COUNTIFS($A$4:$A$311,$A279,$E$4:$E$311,"Win")))*SUMIFS($Z$4:$Z$311,$A$4:$A$311,$A279,$E$4:$E$311,"Loss"),-('Guide &amp; Settings'!$C$42/($F279-1))*$Z279)))</f>
        <v>13.413444091438217</v>
      </c>
      <c r="AB279" s="125">
        <f t="shared" si="84"/>
        <v>1011.5572212043264</v>
      </c>
      <c r="AC279" s="125">
        <f>IF($D279="","",IF(SUMPRODUCT(MAX(($D$4:$D$311=$D279)*($B$4:$B$311&lt;$B279)*$B$4:$B$311))=0,0,MAX(($B279-SUMPRODUCT(MAX(($D$4:$D$311=$D279)*($B$4:$B$311&lt;$B279)*$B$4:$B$311)))/7-'Guide &amp; Settings'!$C$48,0)*'Guide &amp; Settings'!$C$49))</f>
        <v>0</v>
      </c>
    </row>
    <row r="280" spans="1:29" ht="15" customHeight="1" x14ac:dyDescent="0.2">
      <c r="A280" s="116">
        <v>116</v>
      </c>
      <c r="B280" s="117">
        <v>46207</v>
      </c>
      <c r="C280" s="118" t="s">
        <v>207</v>
      </c>
      <c r="D280" s="118" t="s">
        <v>141</v>
      </c>
      <c r="E280" s="116" t="s">
        <v>317</v>
      </c>
      <c r="F280" s="119">
        <f t="shared" si="68"/>
        <v>2</v>
      </c>
      <c r="G280" s="120" t="str">
        <f t="shared" si="69"/>
        <v>Oscar</v>
      </c>
      <c r="H280" s="121">
        <f>IF($D280="",0,IFERROR(LOOKUP(2,1/(($D$3:D279=$D280)*($A$3:A279&lt;$A280)),$N$3:N279),'Guide &amp; Settings'!$C$41))</f>
        <v>1001.331282077233</v>
      </c>
      <c r="I280" s="122">
        <f t="shared" si="70"/>
        <v>0.2</v>
      </c>
      <c r="J280" s="123">
        <f>IF($D280="",0,IF($F280&lt;2,0,IF($E280="Win",('Guide &amp; Settings'!$C$42/(($F280-1)*COUNTIFS($A$4:$A$311,$A280,$E$4:$E$311,"Win")))*SUMIFS($X$4:$X$311,$A$4:$A$311,$A280,$E$4:$E$311,"Loss"),-('Guide &amp; Settings'!$C$42/($F280-1))*$X280)))</f>
        <v>-11.679110590950559</v>
      </c>
      <c r="K280" s="123">
        <f>IF($D280="",0,'Guide &amp; Settings'!$C$43*(IF($E280="Win",1,0)-$I280))</f>
        <v>-2.4000000000000004</v>
      </c>
      <c r="L280" s="124">
        <f>IF($D280="",0,'Guide &amp; Settings'!$C$44*IF($F280&gt;=3,$F280+IF($E280="Win",$F280,0),0))</f>
        <v>0</v>
      </c>
      <c r="M280" s="123">
        <f t="shared" si="71"/>
        <v>-14.07911059095056</v>
      </c>
      <c r="N280" s="121">
        <f t="shared" si="72"/>
        <v>987.25217148628246</v>
      </c>
      <c r="O280" s="120" t="str">
        <f t="shared" si="73"/>
        <v>OK</v>
      </c>
      <c r="P280">
        <f t="shared" si="74"/>
        <v>1110.267299483831</v>
      </c>
      <c r="Q280">
        <f t="shared" si="75"/>
        <v>0.34817154348727469</v>
      </c>
      <c r="R280">
        <f t="shared" si="76"/>
        <v>0.14285714285714285</v>
      </c>
      <c r="S280">
        <f t="shared" si="77"/>
        <v>0.71428571428571419</v>
      </c>
      <c r="T280" s="88">
        <f t="shared" si="78"/>
        <v>5</v>
      </c>
      <c r="U280" s="125">
        <f>IF($D280="",0,IFERROR(LOOKUP(2,1/(($D$3:D279=$D280)*($C$3:C279=$C280)*($A$3:A279&lt;$A280)),$AB$3:AB279),1000))</f>
        <v>928.06688542994414</v>
      </c>
      <c r="V280" s="125">
        <f t="shared" si="79"/>
        <v>964.69908375358864</v>
      </c>
      <c r="W280">
        <f t="shared" si="80"/>
        <v>1060.9122603440787</v>
      </c>
      <c r="X280">
        <f t="shared" si="81"/>
        <v>0.36497220596720498</v>
      </c>
      <c r="Y280">
        <f t="shared" si="82"/>
        <v>1011.5572212043264</v>
      </c>
      <c r="Z280">
        <f t="shared" si="83"/>
        <v>0.38210832755194674</v>
      </c>
      <c r="AA280">
        <f>IF($D280="",0,IF($F280&lt;2,0,IF($E280="Win",('Guide &amp; Settings'!$C$42/(($F280-1)*COUNTIFS($A$4:$A$311,$A280,$E$4:$E$311,"Win")))*SUMIFS($Z$4:$Z$311,$A$4:$A$311,$A280,$E$4:$E$311,"Loss"),-('Guide &amp; Settings'!$C$42/($F280-1))*$Z280)))</f>
        <v>-12.227466481662296</v>
      </c>
      <c r="AB280" s="125">
        <f t="shared" si="84"/>
        <v>915.83941894828183</v>
      </c>
      <c r="AC280" s="125">
        <f>IF($D280="","",IF(SUMPRODUCT(MAX(($D$4:$D$311=$D280)*($B$4:$B$311&lt;$B280)*$B$4:$B$311))=0,0,MAX(($B280-SUMPRODUCT(MAX(($D$4:$D$311=$D280)*($B$4:$B$311&lt;$B280)*$B$4:$B$311)))/7-'Guide &amp; Settings'!$C$48,0)*'Guide &amp; Settings'!$C$49))</f>
        <v>0</v>
      </c>
    </row>
    <row r="281" spans="1:29" ht="15" customHeight="1" x14ac:dyDescent="0.2">
      <c r="A281" s="116">
        <v>116</v>
      </c>
      <c r="B281" s="117">
        <v>46207</v>
      </c>
      <c r="C281" s="118" t="s">
        <v>207</v>
      </c>
      <c r="D281" s="118" t="s">
        <v>176</v>
      </c>
      <c r="E281" s="116" t="s">
        <v>316</v>
      </c>
      <c r="F281" s="119">
        <f t="shared" si="68"/>
        <v>2</v>
      </c>
      <c r="G281" s="120" t="str">
        <f t="shared" si="69"/>
        <v>Oscar</v>
      </c>
      <c r="H281" s="121">
        <f>IF($D281="",0,IFERROR(LOOKUP(2,1/(($D$3:D280=$D281)*($A$3:A280&lt;$A281)),$N$3:N280),'Guide &amp; Settings'!$C$41))</f>
        <v>1110.267299483831</v>
      </c>
      <c r="I281" s="122">
        <f t="shared" si="70"/>
        <v>0.8</v>
      </c>
      <c r="J281" s="123">
        <f>IF($D281="",0,IF($F281&lt;2,0,IF($E281="Win",('Guide &amp; Settings'!$C$42/(($F281-1)*COUNTIFS($A$4:$A$311,$A281,$E$4:$E$311,"Win")))*SUMIFS($X$4:$X$311,$A$4:$A$311,$A281,$E$4:$E$311,"Loss"),-('Guide &amp; Settings'!$C$42/($F281-1))*$X281)))</f>
        <v>11.679110590950559</v>
      </c>
      <c r="K281" s="123">
        <f>IF($D281="",0,'Guide &amp; Settings'!$C$43*(IF($E281="Win",1,0)-$I281))</f>
        <v>2.3999999999999995</v>
      </c>
      <c r="L281" s="124">
        <f>IF($D281="",0,'Guide &amp; Settings'!$C$44*IF($F281&gt;=3,$F281+IF($E281="Win",$F281,0),0))</f>
        <v>0</v>
      </c>
      <c r="M281" s="123">
        <f t="shared" si="71"/>
        <v>14.07911059095056</v>
      </c>
      <c r="N281" s="121">
        <f t="shared" si="72"/>
        <v>1124.3464100747815</v>
      </c>
      <c r="O281" s="120" t="str">
        <f t="shared" si="73"/>
        <v>OK</v>
      </c>
      <c r="P281">
        <f t="shared" si="74"/>
        <v>1110.267299483831</v>
      </c>
      <c r="Q281">
        <f t="shared" si="75"/>
        <v>0.5</v>
      </c>
      <c r="R281">
        <f t="shared" si="76"/>
        <v>0.5714285714285714</v>
      </c>
      <c r="S281">
        <f t="shared" si="77"/>
        <v>0.71428571428571419</v>
      </c>
      <c r="T281" s="88">
        <f t="shared" si="78"/>
        <v>5</v>
      </c>
      <c r="U281" s="125">
        <f>IF($D281="",0,IFERROR(LOOKUP(2,1/(($D$3:D280=$D281)*($C$3:C280=$C281)*($A$3:A280&lt;$A281)),$AB$3:AB280),1000))</f>
        <v>1011.5572212043264</v>
      </c>
      <c r="V281" s="125">
        <f t="shared" si="79"/>
        <v>1060.9122603440787</v>
      </c>
      <c r="W281">
        <f t="shared" si="80"/>
        <v>1060.9122603440787</v>
      </c>
      <c r="X281">
        <f t="shared" si="81"/>
        <v>0.5</v>
      </c>
      <c r="Y281">
        <f t="shared" si="82"/>
        <v>1011.5572212043264</v>
      </c>
      <c r="Z281">
        <f t="shared" si="83"/>
        <v>0.5</v>
      </c>
      <c r="AA281">
        <f>IF($D281="",0,IF($F281&lt;2,0,IF($E281="Win",('Guide &amp; Settings'!$C$42/(($F281-1)*COUNTIFS($A$4:$A$311,$A281,$E$4:$E$311,"Win")))*SUMIFS($Z$4:$Z$311,$A$4:$A$311,$A281,$E$4:$E$311,"Loss"),-('Guide &amp; Settings'!$C$42/($F281-1))*$Z281)))</f>
        <v>12.227466481662296</v>
      </c>
      <c r="AB281" s="125">
        <f t="shared" si="84"/>
        <v>1023.7846876859887</v>
      </c>
      <c r="AC281" s="125">
        <f>IF($D281="","",IF(SUMPRODUCT(MAX(($D$4:$D$311=$D281)*($B$4:$B$311&lt;$B281)*$B$4:$B$311))=0,0,MAX(($B281-SUMPRODUCT(MAX(($D$4:$D$311=$D281)*($B$4:$B$311&lt;$B281)*$B$4:$B$311)))/7-'Guide &amp; Settings'!$C$48,0)*'Guide &amp; Settings'!$C$49))</f>
        <v>0</v>
      </c>
    </row>
    <row r="282" spans="1:29" ht="15" customHeight="1" x14ac:dyDescent="0.2">
      <c r="A282" s="116">
        <v>117</v>
      </c>
      <c r="B282" s="117">
        <v>46207</v>
      </c>
      <c r="C282" s="118" t="s">
        <v>207</v>
      </c>
      <c r="D282" s="118" t="s">
        <v>141</v>
      </c>
      <c r="E282" s="116" t="s">
        <v>317</v>
      </c>
      <c r="F282" s="119">
        <f t="shared" si="68"/>
        <v>2</v>
      </c>
      <c r="G282" s="120" t="str">
        <f t="shared" si="69"/>
        <v>Oscar</v>
      </c>
      <c r="H282" s="121">
        <f>IF($D282="",0,IFERROR(LOOKUP(2,1/(($D$3:D281=$D282)*($A$3:A281&lt;$A282)),$N$3:N281),'Guide &amp; Settings'!$C$41))</f>
        <v>987.25217148628246</v>
      </c>
      <c r="I282" s="122">
        <f t="shared" si="70"/>
        <v>0.16666666666666666</v>
      </c>
      <c r="J282" s="123">
        <f>IF($D282="",0,IF($F282&lt;2,0,IF($E282="Win",('Guide &amp; Settings'!$C$42/(($F282-1)*COUNTIFS($A$4:$A$311,$A282,$E$4:$E$311,"Win")))*SUMIFS($X$4:$X$311,$A$4:$A$311,$A282,$E$4:$E$311,"Loss"),-('Guide &amp; Settings'!$C$42/($F282-1))*$X282)))</f>
        <v>-10.634646880123086</v>
      </c>
      <c r="K282" s="123">
        <f>IF($D282="",0,'Guide &amp; Settings'!$C$43*(IF($E282="Win",1,0)-$I282))</f>
        <v>-2</v>
      </c>
      <c r="L282" s="124">
        <f>IF($D282="",0,'Guide &amp; Settings'!$C$44*IF($F282&gt;=3,$F282+IF($E282="Win",$F282,0),0))</f>
        <v>0</v>
      </c>
      <c r="M282" s="123">
        <f t="shared" si="71"/>
        <v>-12.634646880123086</v>
      </c>
      <c r="N282" s="121">
        <f t="shared" si="72"/>
        <v>974.61752460615935</v>
      </c>
      <c r="O282" s="120" t="str">
        <f t="shared" si="73"/>
        <v>OK</v>
      </c>
      <c r="P282">
        <f t="shared" si="74"/>
        <v>1124.3464100747815</v>
      </c>
      <c r="Q282">
        <f t="shared" si="75"/>
        <v>0.31234522279161447</v>
      </c>
      <c r="R282">
        <f t="shared" si="76"/>
        <v>0.125</v>
      </c>
      <c r="S282">
        <f t="shared" si="77"/>
        <v>0.75</v>
      </c>
      <c r="T282" s="88">
        <f t="shared" si="78"/>
        <v>6</v>
      </c>
      <c r="U282" s="125">
        <f>IF($D282="",0,IFERROR(LOOKUP(2,1/(($D$3:D281=$D282)*($C$3:C281=$C282)*($A$3:A281&lt;$A282)),$AB$3:AB281),1000))</f>
        <v>915.83941894828183</v>
      </c>
      <c r="V282" s="125">
        <f t="shared" si="79"/>
        <v>948.29976101100942</v>
      </c>
      <c r="W282">
        <f t="shared" si="80"/>
        <v>1069.4945614990763</v>
      </c>
      <c r="X282">
        <f t="shared" si="81"/>
        <v>0.33233271500384642</v>
      </c>
      <c r="Y282">
        <f t="shared" si="82"/>
        <v>1023.7846876859887</v>
      </c>
      <c r="Z282">
        <f t="shared" si="83"/>
        <v>0.34946699400312992</v>
      </c>
      <c r="AA282">
        <f>IF($D282="",0,IF($F282&lt;2,0,IF($E282="Win",('Guide &amp; Settings'!$C$42/(($F282-1)*COUNTIFS($A$4:$A$311,$A282,$E$4:$E$311,"Win")))*SUMIFS($Z$4:$Z$311,$A$4:$A$311,$A282,$E$4:$E$311,"Loss"),-('Guide &amp; Settings'!$C$42/($F282-1))*$Z282)))</f>
        <v>-11.182943808100157</v>
      </c>
      <c r="AB282" s="125">
        <f t="shared" si="84"/>
        <v>904.65647514018167</v>
      </c>
      <c r="AC282" s="125">
        <f>IF($D282="","",IF(SUMPRODUCT(MAX(($D$4:$D$311=$D282)*($B$4:$B$311&lt;$B282)*$B$4:$B$311))=0,0,MAX(($B282-SUMPRODUCT(MAX(($D$4:$D$311=$D282)*($B$4:$B$311&lt;$B282)*$B$4:$B$311)))/7-'Guide &amp; Settings'!$C$48,0)*'Guide &amp; Settings'!$C$49))</f>
        <v>0</v>
      </c>
    </row>
    <row r="283" spans="1:29" ht="15" customHeight="1" x14ac:dyDescent="0.2">
      <c r="A283" s="116">
        <v>117</v>
      </c>
      <c r="B283" s="117">
        <v>46207</v>
      </c>
      <c r="C283" s="118" t="s">
        <v>207</v>
      </c>
      <c r="D283" s="118" t="s">
        <v>176</v>
      </c>
      <c r="E283" s="116" t="s">
        <v>316</v>
      </c>
      <c r="F283" s="119">
        <f t="shared" si="68"/>
        <v>2</v>
      </c>
      <c r="G283" s="120" t="str">
        <f t="shared" si="69"/>
        <v>Oscar</v>
      </c>
      <c r="H283" s="121">
        <f>IF($D283="",0,IFERROR(LOOKUP(2,1/(($D$3:D282=$D283)*($A$3:A282&lt;$A283)),$N$3:N282),'Guide &amp; Settings'!$C$41))</f>
        <v>1124.3464100747815</v>
      </c>
      <c r="I283" s="122">
        <f t="shared" si="70"/>
        <v>0.83333333333333337</v>
      </c>
      <c r="J283" s="123">
        <f>IF($D283="",0,IF($F283&lt;2,0,IF($E283="Win",('Guide &amp; Settings'!$C$42/(($F283-1)*COUNTIFS($A$4:$A$311,$A283,$E$4:$E$311,"Win")))*SUMIFS($X$4:$X$311,$A$4:$A$311,$A283,$E$4:$E$311,"Loss"),-('Guide &amp; Settings'!$C$42/($F283-1))*$X283)))</f>
        <v>10.634646880123086</v>
      </c>
      <c r="K283" s="123">
        <f>IF($D283="",0,'Guide &amp; Settings'!$C$43*(IF($E283="Win",1,0)-$I283))</f>
        <v>1.9999999999999996</v>
      </c>
      <c r="L283" s="124">
        <f>IF($D283="",0,'Guide &amp; Settings'!$C$44*IF($F283&gt;=3,$F283+IF($E283="Win",$F283,0),0))</f>
        <v>0</v>
      </c>
      <c r="M283" s="123">
        <f t="shared" si="71"/>
        <v>12.634646880123086</v>
      </c>
      <c r="N283" s="121">
        <f t="shared" si="72"/>
        <v>1136.9810569549045</v>
      </c>
      <c r="O283" s="120" t="str">
        <f t="shared" si="73"/>
        <v>OK</v>
      </c>
      <c r="P283">
        <f t="shared" si="74"/>
        <v>1124.3464100747815</v>
      </c>
      <c r="Q283">
        <f t="shared" si="75"/>
        <v>0.5</v>
      </c>
      <c r="R283">
        <f t="shared" si="76"/>
        <v>0.625</v>
      </c>
      <c r="S283">
        <f t="shared" si="77"/>
        <v>0.75</v>
      </c>
      <c r="T283" s="88">
        <f t="shared" si="78"/>
        <v>6</v>
      </c>
      <c r="U283" s="125">
        <f>IF($D283="",0,IFERROR(LOOKUP(2,1/(($D$3:D282=$D283)*($C$3:C282=$C283)*($A$3:A282&lt;$A283)),$AB$3:AB282),1000))</f>
        <v>1023.7846876859887</v>
      </c>
      <c r="V283" s="125">
        <f t="shared" si="79"/>
        <v>1069.4945614990763</v>
      </c>
      <c r="W283">
        <f t="shared" si="80"/>
        <v>1069.4945614990763</v>
      </c>
      <c r="X283">
        <f t="shared" si="81"/>
        <v>0.5</v>
      </c>
      <c r="Y283">
        <f t="shared" si="82"/>
        <v>1023.7846876859887</v>
      </c>
      <c r="Z283">
        <f t="shared" si="83"/>
        <v>0.5</v>
      </c>
      <c r="AA283">
        <f>IF($D283="",0,IF($F283&lt;2,0,IF($E283="Win",('Guide &amp; Settings'!$C$42/(($F283-1)*COUNTIFS($A$4:$A$311,$A283,$E$4:$E$311,"Win")))*SUMIFS($Z$4:$Z$311,$A$4:$A$311,$A283,$E$4:$E$311,"Loss"),-('Guide &amp; Settings'!$C$42/($F283-1))*$Z283)))</f>
        <v>11.182943808100157</v>
      </c>
      <c r="AB283" s="125">
        <f t="shared" si="84"/>
        <v>1034.9676314940889</v>
      </c>
      <c r="AC283" s="125">
        <f>IF($D283="","",IF(SUMPRODUCT(MAX(($D$4:$D$311=$D283)*($B$4:$B$311&lt;$B283)*$B$4:$B$311))=0,0,MAX(($B283-SUMPRODUCT(MAX(($D$4:$D$311=$D283)*($B$4:$B$311&lt;$B283)*$B$4:$B$311)))/7-'Guide &amp; Settings'!$C$48,0)*'Guide &amp; Settings'!$C$49))</f>
        <v>0</v>
      </c>
    </row>
    <row r="284" spans="1:29" ht="15" customHeight="1" x14ac:dyDescent="0.2">
      <c r="A284" s="116">
        <v>118</v>
      </c>
      <c r="B284" s="117">
        <v>46207</v>
      </c>
      <c r="C284" s="118" t="s">
        <v>205</v>
      </c>
      <c r="D284" s="118" t="s">
        <v>141</v>
      </c>
      <c r="E284" s="116" t="s">
        <v>317</v>
      </c>
      <c r="F284" s="119">
        <f t="shared" si="68"/>
        <v>2</v>
      </c>
      <c r="G284" s="120" t="str">
        <f t="shared" si="69"/>
        <v>Oscar</v>
      </c>
      <c r="H284" s="121">
        <f>IF($D284="",0,IFERROR(LOOKUP(2,1/(($D$3:D283=$D284)*($A$3:A283&lt;$A284)),$N$3:N283),'Guide &amp; Settings'!$C$41))</f>
        <v>974.61752460615935</v>
      </c>
      <c r="I284" s="122">
        <f t="shared" si="70"/>
        <v>0.57142857142857151</v>
      </c>
      <c r="J284" s="123">
        <f>IF($D284="",0,IF($F284&lt;2,0,IF($E284="Win",('Guide &amp; Settings'!$C$42/(($F284-1)*COUNTIFS($A$4:$A$311,$A284,$E$4:$E$311,"Win")))*SUMIFS($X$4:$X$311,$A$4:$A$311,$A284,$E$4:$E$311,"Loss"),-('Guide &amp; Settings'!$C$42/($F284-1))*$X284)))</f>
        <v>-10.912155401068036</v>
      </c>
      <c r="K284" s="123">
        <f>IF($D284="",0,'Guide &amp; Settings'!$C$43*(IF($E284="Win",1,0)-$I284))</f>
        <v>-6.8571428571428577</v>
      </c>
      <c r="L284" s="124">
        <f>IF($D284="",0,'Guide &amp; Settings'!$C$44*IF($F284&gt;=3,$F284+IF($E284="Win",$F284,0),0))</f>
        <v>0</v>
      </c>
      <c r="M284" s="123">
        <f t="shared" si="71"/>
        <v>-17.769298258210895</v>
      </c>
      <c r="N284" s="121">
        <f t="shared" si="72"/>
        <v>956.84822634794841</v>
      </c>
      <c r="O284" s="120" t="str">
        <f t="shared" si="73"/>
        <v>OK</v>
      </c>
      <c r="P284">
        <f t="shared" si="74"/>
        <v>1136.9810569549045</v>
      </c>
      <c r="Q284">
        <f t="shared" si="75"/>
        <v>0.28198438430711581</v>
      </c>
      <c r="R284">
        <f t="shared" si="76"/>
        <v>0.33333333333333331</v>
      </c>
      <c r="S284">
        <f t="shared" si="77"/>
        <v>0.58333333333333326</v>
      </c>
      <c r="T284" s="88">
        <f t="shared" si="78"/>
        <v>4</v>
      </c>
      <c r="U284" s="125">
        <f>IF($D284="",0,IFERROR(LOOKUP(2,1/(($D$3:D283=$D284)*($C$3:C283=$C284)*($A$3:A283&lt;$A284)),$AB$3:AB283),1000))</f>
        <v>984.43571391543799</v>
      </c>
      <c r="V284" s="125">
        <f t="shared" si="79"/>
        <v>978.98116429917218</v>
      </c>
      <c r="W284">
        <f t="shared" si="80"/>
        <v>1093.4298244293973</v>
      </c>
      <c r="X284">
        <f t="shared" si="81"/>
        <v>0.34100485628337612</v>
      </c>
      <c r="Y284">
        <f t="shared" si="82"/>
        <v>984.55174311562928</v>
      </c>
      <c r="Z284">
        <f t="shared" si="83"/>
        <v>0.49983302056451234</v>
      </c>
      <c r="AA284">
        <f>IF($D284="",0,IF($F284&lt;2,0,IF($E284="Win",('Guide &amp; Settings'!$C$42/(($F284-1)*COUNTIFS($A$4:$A$311,$A284,$E$4:$E$311,"Win")))*SUMIFS($Z$4:$Z$311,$A$4:$A$311,$A284,$E$4:$E$311,"Loss"),-('Guide &amp; Settings'!$C$42/($F284-1))*$Z284)))</f>
        <v>-15.994656658064395</v>
      </c>
      <c r="AB284" s="125">
        <f t="shared" si="84"/>
        <v>968.44105725737359</v>
      </c>
      <c r="AC284" s="125">
        <f>IF($D284="","",IF(SUMPRODUCT(MAX(($D$4:$D$311=$D284)*($B$4:$B$311&lt;$B284)*$B$4:$B$311))=0,0,MAX(($B284-SUMPRODUCT(MAX(($D$4:$D$311=$D284)*($B$4:$B$311&lt;$B284)*$B$4:$B$311)))/7-'Guide &amp; Settings'!$C$48,0)*'Guide &amp; Settings'!$C$49))</f>
        <v>0</v>
      </c>
    </row>
    <row r="285" spans="1:29" ht="15" customHeight="1" x14ac:dyDescent="0.2">
      <c r="A285" s="116">
        <v>118</v>
      </c>
      <c r="B285" s="117">
        <v>46207</v>
      </c>
      <c r="C285" s="118" t="s">
        <v>205</v>
      </c>
      <c r="D285" s="118" t="s">
        <v>176</v>
      </c>
      <c r="E285" s="116" t="s">
        <v>316</v>
      </c>
      <c r="F285" s="119">
        <f t="shared" si="68"/>
        <v>2</v>
      </c>
      <c r="G285" s="120" t="str">
        <f t="shared" si="69"/>
        <v>Oscar</v>
      </c>
      <c r="H285" s="121">
        <f>IF($D285="",0,IFERROR(LOOKUP(2,1/(($D$3:D284=$D285)*($A$3:A284&lt;$A285)),$N$3:N284),'Guide &amp; Settings'!$C$41))</f>
        <v>1136.9810569549045</v>
      </c>
      <c r="I285" s="122">
        <f t="shared" si="70"/>
        <v>0.4285714285714286</v>
      </c>
      <c r="J285" s="123">
        <f>IF($D285="",0,IF($F285&lt;2,0,IF($E285="Win",('Guide &amp; Settings'!$C$42/(($F285-1)*COUNTIFS($A$4:$A$311,$A285,$E$4:$E$311,"Win")))*SUMIFS($X$4:$X$311,$A$4:$A$311,$A285,$E$4:$E$311,"Loss"),-('Guide &amp; Settings'!$C$42/($F285-1))*$X285)))</f>
        <v>10.912155401068036</v>
      </c>
      <c r="K285" s="123">
        <f>IF($D285="",0,'Guide &amp; Settings'!$C$43*(IF($E285="Win",1,0)-$I285))</f>
        <v>6.8571428571428568</v>
      </c>
      <c r="L285" s="124">
        <f>IF($D285="",0,'Guide &amp; Settings'!$C$44*IF($F285&gt;=3,$F285+IF($E285="Win",$F285,0),0))</f>
        <v>0</v>
      </c>
      <c r="M285" s="123">
        <f t="shared" si="71"/>
        <v>17.769298258210892</v>
      </c>
      <c r="N285" s="121">
        <f t="shared" si="72"/>
        <v>1154.7503552131154</v>
      </c>
      <c r="O285" s="120" t="str">
        <f t="shared" si="73"/>
        <v>OK</v>
      </c>
      <c r="P285">
        <f t="shared" si="74"/>
        <v>1136.9810569549045</v>
      </c>
      <c r="Q285">
        <f t="shared" si="75"/>
        <v>0.5</v>
      </c>
      <c r="R285">
        <f t="shared" si="76"/>
        <v>0.25</v>
      </c>
      <c r="S285">
        <f t="shared" si="77"/>
        <v>0.58333333333333326</v>
      </c>
      <c r="T285" s="88">
        <f t="shared" si="78"/>
        <v>2</v>
      </c>
      <c r="U285" s="125">
        <f>IF($D285="",0,IFERROR(LOOKUP(2,1/(($D$3:D284=$D285)*($C$3:C284=$C285)*($A$3:A284&lt;$A285)),$AB$3:AB284),1000))</f>
        <v>984.55174311562928</v>
      </c>
      <c r="V285" s="125">
        <f t="shared" si="79"/>
        <v>1093.4298244293973</v>
      </c>
      <c r="W285">
        <f t="shared" si="80"/>
        <v>1093.4298244293973</v>
      </c>
      <c r="X285">
        <f t="shared" si="81"/>
        <v>0.5</v>
      </c>
      <c r="Y285">
        <f t="shared" si="82"/>
        <v>984.55174311562928</v>
      </c>
      <c r="Z285">
        <f t="shared" si="83"/>
        <v>0.5</v>
      </c>
      <c r="AA285">
        <f>IF($D285="",0,IF($F285&lt;2,0,IF($E285="Win",('Guide &amp; Settings'!$C$42/(($F285-1)*COUNTIFS($A$4:$A$311,$A285,$E$4:$E$311,"Win")))*SUMIFS($Z$4:$Z$311,$A$4:$A$311,$A285,$E$4:$E$311,"Loss"),-('Guide &amp; Settings'!$C$42/($F285-1))*$Z285)))</f>
        <v>15.994656658064395</v>
      </c>
      <c r="AB285" s="125">
        <f t="shared" si="84"/>
        <v>1000.5463997736937</v>
      </c>
      <c r="AC285" s="125">
        <f>IF($D285="","",IF(SUMPRODUCT(MAX(($D$4:$D$311=$D285)*($B$4:$B$311&lt;$B285)*$B$4:$B$311))=0,0,MAX(($B285-SUMPRODUCT(MAX(($D$4:$D$311=$D285)*($B$4:$B$311&lt;$B285)*$B$4:$B$311)))/7-'Guide &amp; Settings'!$C$48,0)*'Guide &amp; Settings'!$C$49))</f>
        <v>0</v>
      </c>
    </row>
    <row r="286" spans="1:29" ht="15" customHeight="1" x14ac:dyDescent="0.2">
      <c r="A286" s="116">
        <v>119</v>
      </c>
      <c r="B286" s="117">
        <v>46208</v>
      </c>
      <c r="C286" s="118" t="s">
        <v>203</v>
      </c>
      <c r="D286" s="118" t="s">
        <v>141</v>
      </c>
      <c r="E286" s="116" t="s">
        <v>316</v>
      </c>
      <c r="F286" s="119">
        <f t="shared" si="68"/>
        <v>2</v>
      </c>
      <c r="G286" s="120" t="str">
        <f t="shared" si="69"/>
        <v>Shawn</v>
      </c>
      <c r="H286" s="121">
        <f>IF($D286="",0,IFERROR(LOOKUP(2,1/(($D$3:D285=$D286)*($A$3:A285&lt;$A286)),$N$3:N285),'Guide &amp; Settings'!$C$41))</f>
        <v>956.84822634794841</v>
      </c>
      <c r="I286" s="122">
        <f t="shared" si="70"/>
        <v>0.59770114942528729</v>
      </c>
      <c r="J286" s="123">
        <f>IF($D286="",0,IF($F286&lt;2,0,IF($E286="Win",('Guide &amp; Settings'!$C$42/(($F286-1)*COUNTIFS($A$4:$A$311,$A286,$E$4:$E$311,"Win")))*SUMIFS($X$4:$X$311,$A$4:$A$311,$A286,$E$4:$E$311,"Loss"),-('Guide &amp; Settings'!$C$42/($F286-1))*$X286)))</f>
        <v>19.70920144642314</v>
      </c>
      <c r="K286" s="123">
        <f>IF($D286="",0,'Guide &amp; Settings'!$C$43*(IF($E286="Win",1,0)-$I286))</f>
        <v>4.8275862068965525</v>
      </c>
      <c r="L286" s="124">
        <f>IF($D286="",0,'Guide &amp; Settings'!$C$44*IF($F286&gt;=3,$F286+IF($E286="Win",$F286,0),0))</f>
        <v>0</v>
      </c>
      <c r="M286" s="123">
        <f t="shared" si="71"/>
        <v>24.536787653319692</v>
      </c>
      <c r="N286" s="121">
        <f t="shared" si="72"/>
        <v>981.38501400126813</v>
      </c>
      <c r="O286" s="120" t="str">
        <f t="shared" si="73"/>
        <v>OK</v>
      </c>
      <c r="P286">
        <f t="shared" si="74"/>
        <v>956.84822634794841</v>
      </c>
      <c r="Q286">
        <f t="shared" si="75"/>
        <v>0.5</v>
      </c>
      <c r="R286">
        <f t="shared" si="76"/>
        <v>0.8</v>
      </c>
      <c r="S286">
        <f t="shared" si="77"/>
        <v>1.3384615384615386</v>
      </c>
      <c r="T286" s="88">
        <f t="shared" si="78"/>
        <v>3</v>
      </c>
      <c r="U286" s="125">
        <f>IF($D286="",0,IFERROR(LOOKUP(2,1/(($D$3:D285=$D286)*($C$3:C285=$C286)*($A$3:A285&lt;$A286)),$AB$3:AB285),1000))</f>
        <v>1043.7471336336109</v>
      </c>
      <c r="V286" s="125">
        <f t="shared" si="79"/>
        <v>989.4353165800718</v>
      </c>
      <c r="W286">
        <f t="shared" si="80"/>
        <v>989.4353165800718</v>
      </c>
      <c r="X286">
        <f t="shared" si="81"/>
        <v>0.5</v>
      </c>
      <c r="Y286">
        <f t="shared" si="82"/>
        <v>1043.7471336336109</v>
      </c>
      <c r="Z286">
        <f t="shared" si="83"/>
        <v>0.5</v>
      </c>
      <c r="AA286">
        <f>IF($D286="",0,IF($F286&lt;2,0,IF($E286="Win",('Guide &amp; Settings'!$C$42/(($F286-1)*COUNTIFS($A$4:$A$311,$A286,$E$4:$E$311,"Win")))*SUMIFS($Z$4:$Z$311,$A$4:$A$311,$A286,$E$4:$E$311,"Loss"),-('Guide &amp; Settings'!$C$42/($F286-1))*$Z286)))</f>
        <v>15.533603129476869</v>
      </c>
      <c r="AB286" s="125">
        <f t="shared" si="84"/>
        <v>1059.2807367630878</v>
      </c>
      <c r="AC286" s="125">
        <f>IF($D286="","",IF(SUMPRODUCT(MAX(($D$4:$D$311=$D286)*($B$4:$B$311&lt;$B286)*$B$4:$B$311))=0,0,MAX(($B286-SUMPRODUCT(MAX(($D$4:$D$311=$D286)*($B$4:$B$311&lt;$B286)*$B$4:$B$311)))/7-'Guide &amp; Settings'!$C$48,0)*'Guide &amp; Settings'!$C$49))</f>
        <v>0</v>
      </c>
    </row>
    <row r="287" spans="1:29" ht="15" customHeight="1" x14ac:dyDescent="0.2">
      <c r="A287" s="116">
        <v>119</v>
      </c>
      <c r="B287" s="117">
        <v>46208</v>
      </c>
      <c r="C287" s="118" t="s">
        <v>203</v>
      </c>
      <c r="D287" s="118" t="s">
        <v>176</v>
      </c>
      <c r="E287" s="116" t="s">
        <v>317</v>
      </c>
      <c r="F287" s="119">
        <f t="shared" si="68"/>
        <v>2</v>
      </c>
      <c r="G287" s="120" t="str">
        <f t="shared" si="69"/>
        <v>Shawn</v>
      </c>
      <c r="H287" s="121">
        <f>IF($D287="",0,IFERROR(LOOKUP(2,1/(($D$3:D286=$D287)*($A$3:A286&lt;$A287)),$N$3:N286),'Guide &amp; Settings'!$C$41))</f>
        <v>1154.7503552131154</v>
      </c>
      <c r="I287" s="122">
        <f t="shared" si="70"/>
        <v>0.4022988505747126</v>
      </c>
      <c r="J287" s="123">
        <f>IF($D287="",0,IF($F287&lt;2,0,IF($E287="Win",('Guide &amp; Settings'!$C$42/(($F287-1)*COUNTIFS($A$4:$A$311,$A287,$E$4:$E$311,"Win")))*SUMIFS($X$4:$X$311,$A$4:$A$311,$A287,$E$4:$E$311,"Loss"),-('Guide &amp; Settings'!$C$42/($F287-1))*$X287)))</f>
        <v>-19.70920144642314</v>
      </c>
      <c r="K287" s="123">
        <f>IF($D287="",0,'Guide &amp; Settings'!$C$43*(IF($E287="Win",1,0)-$I287))</f>
        <v>-4.8275862068965516</v>
      </c>
      <c r="L287" s="124">
        <f>IF($D287="",0,'Guide &amp; Settings'!$C$44*IF($F287&gt;=3,$F287+IF($E287="Win",$F287,0),0))</f>
        <v>0</v>
      </c>
      <c r="M287" s="123">
        <f t="shared" si="71"/>
        <v>-24.536787653319692</v>
      </c>
      <c r="N287" s="121">
        <f t="shared" si="72"/>
        <v>1130.2135675597958</v>
      </c>
      <c r="O287" s="120" t="str">
        <f t="shared" si="73"/>
        <v>OK</v>
      </c>
      <c r="P287">
        <f t="shared" si="74"/>
        <v>956.84822634794841</v>
      </c>
      <c r="Q287">
        <f t="shared" si="75"/>
        <v>0.75753570873398546</v>
      </c>
      <c r="R287">
        <f t="shared" si="76"/>
        <v>0.53846153846153844</v>
      </c>
      <c r="S287">
        <f t="shared" si="77"/>
        <v>1.3384615384615386</v>
      </c>
      <c r="T287" s="88">
        <f t="shared" si="78"/>
        <v>11</v>
      </c>
      <c r="U287" s="125">
        <f>IF($D287="",0,IFERROR(LOOKUP(2,1/(($D$3:D286=$D287)*($C$3:C286=$C287)*($A$3:A286&lt;$A287)),$AB$3:AB286),1000))</f>
        <v>1033.6165842741636</v>
      </c>
      <c r="V287" s="125">
        <f t="shared" si="79"/>
        <v>1071.4708876925861</v>
      </c>
      <c r="W287">
        <f t="shared" si="80"/>
        <v>989.4353165800718</v>
      </c>
      <c r="X287">
        <f t="shared" si="81"/>
        <v>0.61591254520072314</v>
      </c>
      <c r="Y287">
        <f t="shared" si="82"/>
        <v>1043.7471336336109</v>
      </c>
      <c r="Z287">
        <f t="shared" si="83"/>
        <v>0.48542509779615217</v>
      </c>
      <c r="AA287">
        <f>IF($D287="",0,IF($F287&lt;2,0,IF($E287="Win",('Guide &amp; Settings'!$C$42/(($F287-1)*COUNTIFS($A$4:$A$311,$A287,$E$4:$E$311,"Win")))*SUMIFS($Z$4:$Z$311,$A$4:$A$311,$A287,$E$4:$E$311,"Loss"),-('Guide &amp; Settings'!$C$42/($F287-1))*$Z287)))</f>
        <v>-15.533603129476869</v>
      </c>
      <c r="AB287" s="125">
        <f t="shared" si="84"/>
        <v>1018.0829811446868</v>
      </c>
      <c r="AC287" s="125">
        <f>IF($D287="","",IF(SUMPRODUCT(MAX(($D$4:$D$311=$D287)*($B$4:$B$311&lt;$B287)*$B$4:$B$311))=0,0,MAX(($B287-SUMPRODUCT(MAX(($D$4:$D$311=$D287)*($B$4:$B$311&lt;$B287)*$B$4:$B$311)))/7-'Guide &amp; Settings'!$C$48,0)*'Guide &amp; Settings'!$C$49))</f>
        <v>0</v>
      </c>
    </row>
    <row r="288" spans="1:29" ht="15" customHeight="1" x14ac:dyDescent="0.2">
      <c r="A288" s="116">
        <v>120</v>
      </c>
      <c r="B288" s="117">
        <v>46208</v>
      </c>
      <c r="C288" s="118" t="s">
        <v>203</v>
      </c>
      <c r="D288" s="118" t="s">
        <v>141</v>
      </c>
      <c r="E288" s="116" t="s">
        <v>316</v>
      </c>
      <c r="F288" s="119">
        <f t="shared" si="68"/>
        <v>2</v>
      </c>
      <c r="G288" s="120" t="str">
        <f t="shared" si="69"/>
        <v>Shawn</v>
      </c>
      <c r="H288" s="121">
        <f>IF($D288="",0,IFERROR(LOOKUP(2,1/(($D$3:D287=$D288)*($A$3:A287&lt;$A288)),$N$3:N287),'Guide &amp; Settings'!$C$41))</f>
        <v>981.38501400126813</v>
      </c>
      <c r="I288" s="122">
        <f t="shared" si="70"/>
        <v>0.625</v>
      </c>
      <c r="J288" s="123">
        <f>IF($D288="",0,IF($F288&lt;2,0,IF($E288="Win",('Guide &amp; Settings'!$C$42/(($F288-1)*COUNTIFS($A$4:$A$311,$A288,$E$4:$E$311,"Win")))*SUMIFS($X$4:$X$311,$A$4:$A$311,$A288,$E$4:$E$311,"Loss"),-('Guide &amp; Settings'!$C$42/($F288-1))*$X288)))</f>
        <v>17.608988240968731</v>
      </c>
      <c r="K288" s="123">
        <f>IF($D288="",0,'Guide &amp; Settings'!$C$43*(IF($E288="Win",1,0)-$I288))</f>
        <v>4.5</v>
      </c>
      <c r="L288" s="124">
        <f>IF($D288="",0,'Guide &amp; Settings'!$C$44*IF($F288&gt;=3,$F288+IF($E288="Win",$F288,0),0))</f>
        <v>0</v>
      </c>
      <c r="M288" s="123">
        <f t="shared" si="71"/>
        <v>22.108988240968731</v>
      </c>
      <c r="N288" s="121">
        <f t="shared" si="72"/>
        <v>1003.4940022422369</v>
      </c>
      <c r="O288" s="120" t="str">
        <f t="shared" si="73"/>
        <v>OK</v>
      </c>
      <c r="P288">
        <f t="shared" si="74"/>
        <v>981.38501400126813</v>
      </c>
      <c r="Q288">
        <f t="shared" si="75"/>
        <v>0.5</v>
      </c>
      <c r="R288">
        <f t="shared" si="76"/>
        <v>0.83333333333333337</v>
      </c>
      <c r="S288">
        <f t="shared" si="77"/>
        <v>1.3333333333333335</v>
      </c>
      <c r="T288" s="88">
        <f t="shared" si="78"/>
        <v>4</v>
      </c>
      <c r="U288" s="125">
        <f>IF($D288="",0,IFERROR(LOOKUP(2,1/(($D$3:D287=$D288)*($C$3:C287=$C288)*($A$3:A287&lt;$A288)),$AB$3:AB287),1000))</f>
        <v>1059.2807367630878</v>
      </c>
      <c r="V288" s="125">
        <f t="shared" si="79"/>
        <v>1016.0053352287434</v>
      </c>
      <c r="W288">
        <f t="shared" si="80"/>
        <v>1016.0053352287434</v>
      </c>
      <c r="X288">
        <f t="shared" si="81"/>
        <v>0.5</v>
      </c>
      <c r="Y288">
        <f t="shared" si="82"/>
        <v>1059.2807367630878</v>
      </c>
      <c r="Z288">
        <f t="shared" si="83"/>
        <v>0.5</v>
      </c>
      <c r="AA288">
        <f>IF($D288="",0,IF($F288&lt;2,0,IF($E288="Win",('Guide &amp; Settings'!$C$42/(($F288-1)*COUNTIFS($A$4:$A$311,$A288,$E$4:$E$311,"Win")))*SUMIFS($Z$4:$Z$311,$A$4:$A$311,$A288,$E$4:$E$311,"Loss"),-('Guide &amp; Settings'!$C$42/($F288-1))*$Z288)))</f>
        <v>14.111615453782131</v>
      </c>
      <c r="AB288" s="125">
        <f t="shared" si="84"/>
        <v>1073.39235221687</v>
      </c>
      <c r="AC288" s="125">
        <f>IF($D288="","",IF(SUMPRODUCT(MAX(($D$4:$D$311=$D288)*($B$4:$B$311&lt;$B288)*$B$4:$B$311))=0,0,MAX(($B288-SUMPRODUCT(MAX(($D$4:$D$311=$D288)*($B$4:$B$311&lt;$B288)*$B$4:$B$311)))/7-'Guide &amp; Settings'!$C$48,0)*'Guide &amp; Settings'!$C$49))</f>
        <v>0</v>
      </c>
    </row>
    <row r="289" spans="1:29" ht="15" customHeight="1" x14ac:dyDescent="0.2">
      <c r="A289" s="116">
        <v>120</v>
      </c>
      <c r="B289" s="117">
        <v>46208</v>
      </c>
      <c r="C289" s="118" t="s">
        <v>203</v>
      </c>
      <c r="D289" s="118" t="s">
        <v>176</v>
      </c>
      <c r="E289" s="116" t="s">
        <v>317</v>
      </c>
      <c r="F289" s="119">
        <f t="shared" si="68"/>
        <v>2</v>
      </c>
      <c r="G289" s="120" t="str">
        <f t="shared" si="69"/>
        <v>Shawn</v>
      </c>
      <c r="H289" s="121">
        <f>IF($D289="",0,IFERROR(LOOKUP(2,1/(($D$3:D288=$D289)*($A$3:A288&lt;$A289)),$N$3:N288),'Guide &amp; Settings'!$C$41))</f>
        <v>1130.2135675597958</v>
      </c>
      <c r="I289" s="122">
        <f t="shared" si="70"/>
        <v>0.37499999999999994</v>
      </c>
      <c r="J289" s="123">
        <f>IF($D289="",0,IF($F289&lt;2,0,IF($E289="Win",('Guide &amp; Settings'!$C$42/(($F289-1)*COUNTIFS($A$4:$A$311,$A289,$E$4:$E$311,"Win")))*SUMIFS($X$4:$X$311,$A$4:$A$311,$A289,$E$4:$E$311,"Loss"),-('Guide &amp; Settings'!$C$42/($F289-1))*$X289)))</f>
        <v>-17.608988240968731</v>
      </c>
      <c r="K289" s="123">
        <f>IF($D289="",0,'Guide &amp; Settings'!$C$43*(IF($E289="Win",1,0)-$I289))</f>
        <v>-4.4999999999999991</v>
      </c>
      <c r="L289" s="124">
        <f>IF($D289="",0,'Guide &amp; Settings'!$C$44*IF($F289&gt;=3,$F289+IF($E289="Win",$F289,0),0))</f>
        <v>0</v>
      </c>
      <c r="M289" s="123">
        <f t="shared" si="71"/>
        <v>-22.108988240968731</v>
      </c>
      <c r="N289" s="121">
        <f t="shared" si="72"/>
        <v>1108.1045793188271</v>
      </c>
      <c r="O289" s="120" t="str">
        <f t="shared" si="73"/>
        <v>OK</v>
      </c>
      <c r="P289">
        <f t="shared" si="74"/>
        <v>981.38501400126813</v>
      </c>
      <c r="Q289">
        <f t="shared" si="75"/>
        <v>0.70197617298324089</v>
      </c>
      <c r="R289">
        <f t="shared" si="76"/>
        <v>0.5</v>
      </c>
      <c r="S289">
        <f t="shared" si="77"/>
        <v>1.3333333333333335</v>
      </c>
      <c r="T289" s="88">
        <f t="shared" si="78"/>
        <v>12</v>
      </c>
      <c r="U289" s="125">
        <f>IF($D289="",0,IFERROR(LOOKUP(2,1/(($D$3:D288=$D289)*($C$3:C288=$C289)*($A$3:A288&lt;$A289)),$AB$3:AB288),1000))</f>
        <v>1018.0829811446868</v>
      </c>
      <c r="V289" s="125">
        <f t="shared" si="79"/>
        <v>1051.0625653844247</v>
      </c>
      <c r="W289">
        <f t="shared" si="80"/>
        <v>1016.0053352287434</v>
      </c>
      <c r="X289">
        <f t="shared" si="81"/>
        <v>0.55028088253027285</v>
      </c>
      <c r="Y289">
        <f t="shared" si="82"/>
        <v>1059.2807367630878</v>
      </c>
      <c r="Z289">
        <f t="shared" si="83"/>
        <v>0.44098798293069158</v>
      </c>
      <c r="AA289">
        <f>IF($D289="",0,IF($F289&lt;2,0,IF($E289="Win",('Guide &amp; Settings'!$C$42/(($F289-1)*COUNTIFS($A$4:$A$311,$A289,$E$4:$E$311,"Win")))*SUMIFS($Z$4:$Z$311,$A$4:$A$311,$A289,$E$4:$E$311,"Loss"),-('Guide &amp; Settings'!$C$42/($F289-1))*$Z289)))</f>
        <v>-14.111615453782131</v>
      </c>
      <c r="AB289" s="125">
        <f t="shared" si="84"/>
        <v>1003.9713656909046</v>
      </c>
      <c r="AC289" s="125">
        <f>IF($D289="","",IF(SUMPRODUCT(MAX(($D$4:$D$311=$D289)*($B$4:$B$311&lt;$B289)*$B$4:$B$311))=0,0,MAX(($B289-SUMPRODUCT(MAX(($D$4:$D$311=$D289)*($B$4:$B$311&lt;$B289)*$B$4:$B$311)))/7-'Guide &amp; Settings'!$C$48,0)*'Guide &amp; Settings'!$C$49))</f>
        <v>0</v>
      </c>
    </row>
    <row r="290" spans="1:29" ht="15" customHeight="1" x14ac:dyDescent="0.2">
      <c r="A290" s="116"/>
      <c r="B290" s="117"/>
      <c r="C290" s="118"/>
      <c r="D290" s="118"/>
      <c r="E290" s="116"/>
      <c r="F290" s="119">
        <f t="shared" si="68"/>
        <v>0</v>
      </c>
      <c r="G290" s="120" t="str">
        <f t="shared" si="69"/>
        <v/>
      </c>
      <c r="H290" s="121">
        <f>IF($D290="",0,IFERROR(LOOKUP(2,1/(($D$3:D289=$D290)*($A$3:A289&lt;$A290)),$N$3:N289),'Guide &amp; Settings'!$C$41))</f>
        <v>0</v>
      </c>
      <c r="I290" s="122">
        <f t="shared" si="70"/>
        <v>0</v>
      </c>
      <c r="J290" s="123">
        <f>IF($D290="",0,IF($F290&lt;2,0,IF($E290="Win",('Guide &amp; Settings'!$C$42/(($F290-1)*COUNTIFS($A$4:$A$311,$A290,$E$4:$E$311,"Win")))*SUMIFS($X$4:$X$311,$A$4:$A$311,$A290,$E$4:$E$311,"Loss"),-('Guide &amp; Settings'!$C$42/($F290-1))*$X290)))</f>
        <v>0</v>
      </c>
      <c r="K290" s="123">
        <f>IF($D290="",0,'Guide &amp; Settings'!$C$43*(IF($E290="Win",1,0)-$I290))</f>
        <v>0</v>
      </c>
      <c r="L290" s="124">
        <f>IF($D290="",0,'Guide &amp; Settings'!$C$44*IF($F290&gt;=3,$F290+IF($E290="Win",$F290,0),0))</f>
        <v>0</v>
      </c>
      <c r="M290" s="123">
        <f t="shared" si="71"/>
        <v>0</v>
      </c>
      <c r="N290" s="121">
        <f t="shared" si="72"/>
        <v>0</v>
      </c>
      <c r="O290" s="120" t="str">
        <f t="shared" si="73"/>
        <v/>
      </c>
      <c r="P290">
        <f t="shared" si="74"/>
        <v>0</v>
      </c>
      <c r="Q290">
        <f t="shared" si="75"/>
        <v>0</v>
      </c>
      <c r="R290">
        <f t="shared" si="76"/>
        <v>0</v>
      </c>
      <c r="S290">
        <f t="shared" si="77"/>
        <v>0</v>
      </c>
      <c r="T290" s="88">
        <f t="shared" si="78"/>
        <v>0</v>
      </c>
      <c r="U290" s="125">
        <f>IF($D290="",0,IFERROR(LOOKUP(2,1/(($D$3:D289=$D290)*($C$3:C289=$C290)*($A$3:A289&lt;$A290)),$AB$3:AB289),1000))</f>
        <v>0</v>
      </c>
      <c r="V290" s="125">
        <f t="shared" si="79"/>
        <v>0</v>
      </c>
      <c r="W290">
        <f t="shared" si="80"/>
        <v>0</v>
      </c>
      <c r="X290">
        <f t="shared" si="81"/>
        <v>0</v>
      </c>
      <c r="Y290">
        <f t="shared" si="82"/>
        <v>0</v>
      </c>
      <c r="Z290">
        <f t="shared" si="83"/>
        <v>0</v>
      </c>
      <c r="AA290">
        <f>IF($D290="",0,IF($F290&lt;2,0,IF($E290="Win",('Guide &amp; Settings'!$C$42/(($F290-1)*COUNTIFS($A$4:$A$311,$A290,$E$4:$E$311,"Win")))*SUMIFS($Z$4:$Z$311,$A$4:$A$311,$A290,$E$4:$E$311,"Loss"),-('Guide &amp; Settings'!$C$42/($F290-1))*$Z290)))</f>
        <v>0</v>
      </c>
      <c r="AB290" s="125">
        <f t="shared" si="84"/>
        <v>0</v>
      </c>
      <c r="AC290" s="125" t="str">
        <f>IF($D290="","",IF(SUMPRODUCT(MAX(($D$4:$D$311=$D290)*($B$4:$B$311&lt;$B290)*$B$4:$B$311))=0,0,MAX(($B290-SUMPRODUCT(MAX(($D$4:$D$311=$D290)*($B$4:$B$311&lt;$B290)*$B$4:$B$311)))/7-'Guide &amp; Settings'!$C$48,0)*'Guide &amp; Settings'!$C$49))</f>
        <v/>
      </c>
    </row>
    <row r="291" spans="1:29" ht="15" customHeight="1" x14ac:dyDescent="0.2">
      <c r="A291" s="116"/>
      <c r="B291" s="117"/>
      <c r="C291" s="118"/>
      <c r="D291" s="118"/>
      <c r="E291" s="116"/>
      <c r="F291" s="119">
        <f t="shared" si="68"/>
        <v>0</v>
      </c>
      <c r="G291" s="120" t="str">
        <f t="shared" si="69"/>
        <v/>
      </c>
      <c r="H291" s="121">
        <f>IF($D291="",0,IFERROR(LOOKUP(2,1/(($D$3:D290=$D291)*($A$3:A290&lt;$A291)),$N$3:N290),'Guide &amp; Settings'!$C$41))</f>
        <v>0</v>
      </c>
      <c r="I291" s="122">
        <f t="shared" si="70"/>
        <v>0</v>
      </c>
      <c r="J291" s="123">
        <f>IF($D291="",0,IF($F291&lt;2,0,IF($E291="Win",('Guide &amp; Settings'!$C$42/(($F291-1)*COUNTIFS($A$4:$A$311,$A291,$E$4:$E$311,"Win")))*SUMIFS($X$4:$X$311,$A$4:$A$311,$A291,$E$4:$E$311,"Loss"),-('Guide &amp; Settings'!$C$42/($F291-1))*$X291)))</f>
        <v>0</v>
      </c>
      <c r="K291" s="123">
        <f>IF($D291="",0,'Guide &amp; Settings'!$C$43*(IF($E291="Win",1,0)-$I291))</f>
        <v>0</v>
      </c>
      <c r="L291" s="124">
        <f>IF($D291="",0,'Guide &amp; Settings'!$C$44*IF($F291&gt;=3,$F291+IF($E291="Win",$F291,0),0))</f>
        <v>0</v>
      </c>
      <c r="M291" s="123">
        <f t="shared" si="71"/>
        <v>0</v>
      </c>
      <c r="N291" s="121">
        <f t="shared" si="72"/>
        <v>0</v>
      </c>
      <c r="O291" s="120" t="str">
        <f t="shared" si="73"/>
        <v/>
      </c>
      <c r="P291">
        <f t="shared" si="74"/>
        <v>0</v>
      </c>
      <c r="Q291">
        <f t="shared" si="75"/>
        <v>0</v>
      </c>
      <c r="R291">
        <f t="shared" si="76"/>
        <v>0</v>
      </c>
      <c r="S291">
        <f t="shared" si="77"/>
        <v>0</v>
      </c>
      <c r="T291" s="88">
        <f t="shared" si="78"/>
        <v>0</v>
      </c>
      <c r="U291" s="125">
        <f>IF($D291="",0,IFERROR(LOOKUP(2,1/(($D$3:D290=$D291)*($C$3:C290=$C291)*($A$3:A290&lt;$A291)),$AB$3:AB290),1000))</f>
        <v>0</v>
      </c>
      <c r="V291" s="125">
        <f t="shared" si="79"/>
        <v>0</v>
      </c>
      <c r="W291">
        <f t="shared" si="80"/>
        <v>0</v>
      </c>
      <c r="X291">
        <f t="shared" si="81"/>
        <v>0</v>
      </c>
      <c r="Y291">
        <f t="shared" si="82"/>
        <v>0</v>
      </c>
      <c r="Z291">
        <f t="shared" si="83"/>
        <v>0</v>
      </c>
      <c r="AA291">
        <f>IF($D291="",0,IF($F291&lt;2,0,IF($E291="Win",('Guide &amp; Settings'!$C$42/(($F291-1)*COUNTIFS($A$4:$A$311,$A291,$E$4:$E$311,"Win")))*SUMIFS($Z$4:$Z$311,$A$4:$A$311,$A291,$E$4:$E$311,"Loss"),-('Guide &amp; Settings'!$C$42/($F291-1))*$Z291)))</f>
        <v>0</v>
      </c>
      <c r="AB291" s="125">
        <f t="shared" si="84"/>
        <v>0</v>
      </c>
      <c r="AC291" s="125" t="str">
        <f>IF($D291="","",IF(SUMPRODUCT(MAX(($D$4:$D$311=$D291)*($B$4:$B$311&lt;$B291)*$B$4:$B$311))=0,0,MAX(($B291-SUMPRODUCT(MAX(($D$4:$D$311=$D291)*($B$4:$B$311&lt;$B291)*$B$4:$B$311)))/7-'Guide &amp; Settings'!$C$48,0)*'Guide &amp; Settings'!$C$49))</f>
        <v/>
      </c>
    </row>
    <row r="292" spans="1:29" ht="15" customHeight="1" x14ac:dyDescent="0.2">
      <c r="A292" s="116"/>
      <c r="B292" s="117"/>
      <c r="C292" s="118"/>
      <c r="D292" s="118"/>
      <c r="E292" s="116"/>
      <c r="F292" s="119">
        <f t="shared" si="68"/>
        <v>0</v>
      </c>
      <c r="G292" s="120" t="str">
        <f t="shared" si="69"/>
        <v/>
      </c>
      <c r="H292" s="121">
        <f>IF($D292="",0,IFERROR(LOOKUP(2,1/(($D$3:D291=$D292)*($A$3:A291&lt;$A292)),$N$3:N291),'Guide &amp; Settings'!$C$41))</f>
        <v>0</v>
      </c>
      <c r="I292" s="122">
        <f t="shared" si="70"/>
        <v>0</v>
      </c>
      <c r="J292" s="123">
        <f>IF($D292="",0,IF($F292&lt;2,0,IF($E292="Win",('Guide &amp; Settings'!$C$42/(($F292-1)*COUNTIFS($A$4:$A$311,$A292,$E$4:$E$311,"Win")))*SUMIFS($X$4:$X$311,$A$4:$A$311,$A292,$E$4:$E$311,"Loss"),-('Guide &amp; Settings'!$C$42/($F292-1))*$X292)))</f>
        <v>0</v>
      </c>
      <c r="K292" s="123">
        <f>IF($D292="",0,'Guide &amp; Settings'!$C$43*(IF($E292="Win",1,0)-$I292))</f>
        <v>0</v>
      </c>
      <c r="L292" s="124">
        <f>IF($D292="",0,'Guide &amp; Settings'!$C$44*IF($F292&gt;=3,$F292+IF($E292="Win",$F292,0),0))</f>
        <v>0</v>
      </c>
      <c r="M292" s="123">
        <f t="shared" si="71"/>
        <v>0</v>
      </c>
      <c r="N292" s="121">
        <f t="shared" si="72"/>
        <v>0</v>
      </c>
      <c r="O292" s="120" t="str">
        <f t="shared" si="73"/>
        <v/>
      </c>
      <c r="P292">
        <f t="shared" si="74"/>
        <v>0</v>
      </c>
      <c r="Q292">
        <f t="shared" si="75"/>
        <v>0</v>
      </c>
      <c r="R292">
        <f t="shared" si="76"/>
        <v>0</v>
      </c>
      <c r="S292">
        <f t="shared" si="77"/>
        <v>0</v>
      </c>
      <c r="T292" s="88">
        <f t="shared" si="78"/>
        <v>0</v>
      </c>
      <c r="U292" s="125">
        <f>IF($D292="",0,IFERROR(LOOKUP(2,1/(($D$3:D291=$D292)*($C$3:C291=$C292)*($A$3:A291&lt;$A292)),$AB$3:AB291),1000))</f>
        <v>0</v>
      </c>
      <c r="V292" s="125">
        <f t="shared" si="79"/>
        <v>0</v>
      </c>
      <c r="W292">
        <f t="shared" si="80"/>
        <v>0</v>
      </c>
      <c r="X292">
        <f t="shared" si="81"/>
        <v>0</v>
      </c>
      <c r="Y292">
        <f t="shared" si="82"/>
        <v>0</v>
      </c>
      <c r="Z292">
        <f t="shared" si="83"/>
        <v>0</v>
      </c>
      <c r="AA292">
        <f>IF($D292="",0,IF($F292&lt;2,0,IF($E292="Win",('Guide &amp; Settings'!$C$42/(($F292-1)*COUNTIFS($A$4:$A$311,$A292,$E$4:$E$311,"Win")))*SUMIFS($Z$4:$Z$311,$A$4:$A$311,$A292,$E$4:$E$311,"Loss"),-('Guide &amp; Settings'!$C$42/($F292-1))*$Z292)))</f>
        <v>0</v>
      </c>
      <c r="AB292" s="125">
        <f t="shared" si="84"/>
        <v>0</v>
      </c>
      <c r="AC292" s="125" t="str">
        <f>IF($D292="","",IF(SUMPRODUCT(MAX(($D$4:$D$311=$D292)*($B$4:$B$311&lt;$B292)*$B$4:$B$311))=0,0,MAX(($B292-SUMPRODUCT(MAX(($D$4:$D$311=$D292)*($B$4:$B$311&lt;$B292)*$B$4:$B$311)))/7-'Guide &amp; Settings'!$C$48,0)*'Guide &amp; Settings'!$C$49))</f>
        <v/>
      </c>
    </row>
    <row r="293" spans="1:29" ht="15" customHeight="1" x14ac:dyDescent="0.2">
      <c r="A293" s="116"/>
      <c r="B293" s="117"/>
      <c r="C293" s="118"/>
      <c r="D293" s="118"/>
      <c r="E293" s="116"/>
      <c r="F293" s="119">
        <f t="shared" si="68"/>
        <v>0</v>
      </c>
      <c r="G293" s="120" t="str">
        <f t="shared" si="69"/>
        <v/>
      </c>
      <c r="H293" s="121">
        <f>IF($D293="",0,IFERROR(LOOKUP(2,1/(($D$3:D292=$D293)*($A$3:A292&lt;$A293)),$N$3:N292),'Guide &amp; Settings'!$C$41))</f>
        <v>0</v>
      </c>
      <c r="I293" s="122">
        <f t="shared" si="70"/>
        <v>0</v>
      </c>
      <c r="J293" s="123">
        <f>IF($D293="",0,IF($F293&lt;2,0,IF($E293="Win",('Guide &amp; Settings'!$C$42/(($F293-1)*COUNTIFS($A$4:$A$311,$A293,$E$4:$E$311,"Win")))*SUMIFS($X$4:$X$311,$A$4:$A$311,$A293,$E$4:$E$311,"Loss"),-('Guide &amp; Settings'!$C$42/($F293-1))*$X293)))</f>
        <v>0</v>
      </c>
      <c r="K293" s="123">
        <f>IF($D293="",0,'Guide &amp; Settings'!$C$43*(IF($E293="Win",1,0)-$I293))</f>
        <v>0</v>
      </c>
      <c r="L293" s="124">
        <f>IF($D293="",0,'Guide &amp; Settings'!$C$44*IF($F293&gt;=3,$F293+IF($E293="Win",$F293,0),0))</f>
        <v>0</v>
      </c>
      <c r="M293" s="123">
        <f t="shared" si="71"/>
        <v>0</v>
      </c>
      <c r="N293" s="121">
        <f t="shared" si="72"/>
        <v>0</v>
      </c>
      <c r="O293" s="120" t="str">
        <f t="shared" si="73"/>
        <v/>
      </c>
      <c r="P293">
        <f t="shared" si="74"/>
        <v>0</v>
      </c>
      <c r="Q293">
        <f t="shared" si="75"/>
        <v>0</v>
      </c>
      <c r="R293">
        <f t="shared" si="76"/>
        <v>0</v>
      </c>
      <c r="S293">
        <f t="shared" si="77"/>
        <v>0</v>
      </c>
      <c r="T293" s="88">
        <f t="shared" si="78"/>
        <v>0</v>
      </c>
      <c r="U293" s="125">
        <f>IF($D293="",0,IFERROR(LOOKUP(2,1/(($D$3:D292=$D293)*($C$3:C292=$C293)*($A$3:A292&lt;$A293)),$AB$3:AB292),1000))</f>
        <v>0</v>
      </c>
      <c r="V293" s="125">
        <f t="shared" si="79"/>
        <v>0</v>
      </c>
      <c r="W293">
        <f t="shared" si="80"/>
        <v>0</v>
      </c>
      <c r="X293">
        <f t="shared" si="81"/>
        <v>0</v>
      </c>
      <c r="Y293">
        <f t="shared" si="82"/>
        <v>0</v>
      </c>
      <c r="Z293">
        <f t="shared" si="83"/>
        <v>0</v>
      </c>
      <c r="AA293">
        <f>IF($D293="",0,IF($F293&lt;2,0,IF($E293="Win",('Guide &amp; Settings'!$C$42/(($F293-1)*COUNTIFS($A$4:$A$311,$A293,$E$4:$E$311,"Win")))*SUMIFS($Z$4:$Z$311,$A$4:$A$311,$A293,$E$4:$E$311,"Loss"),-('Guide &amp; Settings'!$C$42/($F293-1))*$Z293)))</f>
        <v>0</v>
      </c>
      <c r="AB293" s="125">
        <f t="shared" si="84"/>
        <v>0</v>
      </c>
      <c r="AC293" s="125" t="str">
        <f>IF($D293="","",IF(SUMPRODUCT(MAX(($D$4:$D$311=$D293)*($B$4:$B$311&lt;$B293)*$B$4:$B$311))=0,0,MAX(($B293-SUMPRODUCT(MAX(($D$4:$D$311=$D293)*($B$4:$B$311&lt;$B293)*$B$4:$B$311)))/7-'Guide &amp; Settings'!$C$48,0)*'Guide &amp; Settings'!$C$49))</f>
        <v/>
      </c>
    </row>
    <row r="294" spans="1:29" ht="15" customHeight="1" x14ac:dyDescent="0.2">
      <c r="A294" s="116"/>
      <c r="B294" s="117"/>
      <c r="C294" s="118"/>
      <c r="D294" s="118"/>
      <c r="E294" s="116"/>
      <c r="F294" s="119">
        <f t="shared" si="68"/>
        <v>0</v>
      </c>
      <c r="G294" s="120" t="str">
        <f t="shared" si="69"/>
        <v/>
      </c>
      <c r="H294" s="121">
        <f>IF($D294="",0,IFERROR(LOOKUP(2,1/(($D$3:D293=$D294)*($A$3:A293&lt;$A294)),$N$3:N293),'Guide &amp; Settings'!$C$41))</f>
        <v>0</v>
      </c>
      <c r="I294" s="122">
        <f t="shared" si="70"/>
        <v>0</v>
      </c>
      <c r="J294" s="123">
        <f>IF($D294="",0,IF($F294&lt;2,0,IF($E294="Win",('Guide &amp; Settings'!$C$42/(($F294-1)*COUNTIFS($A$4:$A$311,$A294,$E$4:$E$311,"Win")))*SUMIFS($X$4:$X$311,$A$4:$A$311,$A294,$E$4:$E$311,"Loss"),-('Guide &amp; Settings'!$C$42/($F294-1))*$X294)))</f>
        <v>0</v>
      </c>
      <c r="K294" s="123">
        <f>IF($D294="",0,'Guide &amp; Settings'!$C$43*(IF($E294="Win",1,0)-$I294))</f>
        <v>0</v>
      </c>
      <c r="L294" s="124">
        <f>IF($D294="",0,'Guide &amp; Settings'!$C$44*IF($F294&gt;=3,$F294+IF($E294="Win",$F294,0),0))</f>
        <v>0</v>
      </c>
      <c r="M294" s="123">
        <f t="shared" si="71"/>
        <v>0</v>
      </c>
      <c r="N294" s="121">
        <f t="shared" si="72"/>
        <v>0</v>
      </c>
      <c r="O294" s="120" t="str">
        <f t="shared" si="73"/>
        <v/>
      </c>
      <c r="P294">
        <f t="shared" si="74"/>
        <v>0</v>
      </c>
      <c r="Q294">
        <f t="shared" si="75"/>
        <v>0</v>
      </c>
      <c r="R294">
        <f t="shared" si="76"/>
        <v>0</v>
      </c>
      <c r="S294">
        <f t="shared" si="77"/>
        <v>0</v>
      </c>
      <c r="T294" s="88">
        <f t="shared" si="78"/>
        <v>0</v>
      </c>
      <c r="U294" s="125">
        <f>IF($D294="",0,IFERROR(LOOKUP(2,1/(($D$3:D293=$D294)*($C$3:C293=$C294)*($A$3:A293&lt;$A294)),$AB$3:AB293),1000))</f>
        <v>0</v>
      </c>
      <c r="V294" s="125">
        <f t="shared" si="79"/>
        <v>0</v>
      </c>
      <c r="W294">
        <f t="shared" si="80"/>
        <v>0</v>
      </c>
      <c r="X294">
        <f t="shared" si="81"/>
        <v>0</v>
      </c>
      <c r="Y294">
        <f t="shared" si="82"/>
        <v>0</v>
      </c>
      <c r="Z294">
        <f t="shared" si="83"/>
        <v>0</v>
      </c>
      <c r="AA294">
        <f>IF($D294="",0,IF($F294&lt;2,0,IF($E294="Win",('Guide &amp; Settings'!$C$42/(($F294-1)*COUNTIFS($A$4:$A$311,$A294,$E$4:$E$311,"Win")))*SUMIFS($Z$4:$Z$311,$A$4:$A$311,$A294,$E$4:$E$311,"Loss"),-('Guide &amp; Settings'!$C$42/($F294-1))*$Z294)))</f>
        <v>0</v>
      </c>
      <c r="AB294" s="125">
        <f t="shared" si="84"/>
        <v>0</v>
      </c>
      <c r="AC294" s="125" t="str">
        <f>IF($D294="","",IF(SUMPRODUCT(MAX(($D$4:$D$311=$D294)*($B$4:$B$311&lt;$B294)*$B$4:$B$311))=0,0,MAX(($B294-SUMPRODUCT(MAX(($D$4:$D$311=$D294)*($B$4:$B$311&lt;$B294)*$B$4:$B$311)))/7-'Guide &amp; Settings'!$C$48,0)*'Guide &amp; Settings'!$C$49))</f>
        <v/>
      </c>
    </row>
    <row r="295" spans="1:29" ht="15" customHeight="1" x14ac:dyDescent="0.2">
      <c r="A295" s="116"/>
      <c r="B295" s="117"/>
      <c r="C295" s="118"/>
      <c r="D295" s="118"/>
      <c r="E295" s="116"/>
      <c r="F295" s="119">
        <f t="shared" si="68"/>
        <v>0</v>
      </c>
      <c r="G295" s="120" t="str">
        <f t="shared" si="69"/>
        <v/>
      </c>
      <c r="H295" s="121">
        <f>IF($D295="",0,IFERROR(LOOKUP(2,1/(($D$3:D294=$D295)*($A$3:A294&lt;$A295)),$N$3:N294),'Guide &amp; Settings'!$C$41))</f>
        <v>0</v>
      </c>
      <c r="I295" s="122">
        <f t="shared" si="70"/>
        <v>0</v>
      </c>
      <c r="J295" s="123">
        <f>IF($D295="",0,IF($F295&lt;2,0,IF($E295="Win",('Guide &amp; Settings'!$C$42/(($F295-1)*COUNTIFS($A$4:$A$311,$A295,$E$4:$E$311,"Win")))*SUMIFS($X$4:$X$311,$A$4:$A$311,$A295,$E$4:$E$311,"Loss"),-('Guide &amp; Settings'!$C$42/($F295-1))*$X295)))</f>
        <v>0</v>
      </c>
      <c r="K295" s="123">
        <f>IF($D295="",0,'Guide &amp; Settings'!$C$43*(IF($E295="Win",1,0)-$I295))</f>
        <v>0</v>
      </c>
      <c r="L295" s="124">
        <f>IF($D295="",0,'Guide &amp; Settings'!$C$44*IF($F295&gt;=3,$F295+IF($E295="Win",$F295,0),0))</f>
        <v>0</v>
      </c>
      <c r="M295" s="123">
        <f t="shared" si="71"/>
        <v>0</v>
      </c>
      <c r="N295" s="121">
        <f t="shared" si="72"/>
        <v>0</v>
      </c>
      <c r="O295" s="120" t="str">
        <f t="shared" si="73"/>
        <v/>
      </c>
      <c r="P295">
        <f t="shared" si="74"/>
        <v>0</v>
      </c>
      <c r="Q295">
        <f t="shared" si="75"/>
        <v>0</v>
      </c>
      <c r="R295">
        <f t="shared" si="76"/>
        <v>0</v>
      </c>
      <c r="S295">
        <f t="shared" si="77"/>
        <v>0</v>
      </c>
      <c r="T295" s="88">
        <f t="shared" si="78"/>
        <v>0</v>
      </c>
      <c r="U295" s="125">
        <f>IF($D295="",0,IFERROR(LOOKUP(2,1/(($D$3:D294=$D295)*($C$3:C294=$C295)*($A$3:A294&lt;$A295)),$AB$3:AB294),1000))</f>
        <v>0</v>
      </c>
      <c r="V295" s="125">
        <f t="shared" si="79"/>
        <v>0</v>
      </c>
      <c r="W295">
        <f t="shared" si="80"/>
        <v>0</v>
      </c>
      <c r="X295">
        <f t="shared" si="81"/>
        <v>0</v>
      </c>
      <c r="Y295">
        <f t="shared" si="82"/>
        <v>0</v>
      </c>
      <c r="Z295">
        <f t="shared" si="83"/>
        <v>0</v>
      </c>
      <c r="AA295">
        <f>IF($D295="",0,IF($F295&lt;2,0,IF($E295="Win",('Guide &amp; Settings'!$C$42/(($F295-1)*COUNTIFS($A$4:$A$311,$A295,$E$4:$E$311,"Win")))*SUMIFS($Z$4:$Z$311,$A$4:$A$311,$A295,$E$4:$E$311,"Loss"),-('Guide &amp; Settings'!$C$42/($F295-1))*$Z295)))</f>
        <v>0</v>
      </c>
      <c r="AB295" s="125">
        <f t="shared" si="84"/>
        <v>0</v>
      </c>
      <c r="AC295" s="125" t="str">
        <f>IF($D295="","",IF(SUMPRODUCT(MAX(($D$4:$D$311=$D295)*($B$4:$B$311&lt;$B295)*$B$4:$B$311))=0,0,MAX(($B295-SUMPRODUCT(MAX(($D$4:$D$311=$D295)*($B$4:$B$311&lt;$B295)*$B$4:$B$311)))/7-'Guide &amp; Settings'!$C$48,0)*'Guide &amp; Settings'!$C$49))</f>
        <v/>
      </c>
    </row>
    <row r="296" spans="1:29" ht="15" customHeight="1" x14ac:dyDescent="0.2">
      <c r="A296" s="116"/>
      <c r="B296" s="117"/>
      <c r="C296" s="118"/>
      <c r="D296" s="118"/>
      <c r="E296" s="116"/>
      <c r="F296" s="119">
        <f t="shared" si="68"/>
        <v>0</v>
      </c>
      <c r="G296" s="120" t="str">
        <f t="shared" si="69"/>
        <v/>
      </c>
      <c r="H296" s="121">
        <f>IF($D296="",0,IFERROR(LOOKUP(2,1/(($D$3:D295=$D296)*($A$3:A295&lt;$A296)),$N$3:N295),'Guide &amp; Settings'!$C$41))</f>
        <v>0</v>
      </c>
      <c r="I296" s="122">
        <f t="shared" si="70"/>
        <v>0</v>
      </c>
      <c r="J296" s="123">
        <f>IF($D296="",0,IF($F296&lt;2,0,IF($E296="Win",('Guide &amp; Settings'!$C$42/(($F296-1)*COUNTIFS($A$4:$A$311,$A296,$E$4:$E$311,"Win")))*SUMIFS($X$4:$X$311,$A$4:$A$311,$A296,$E$4:$E$311,"Loss"),-('Guide &amp; Settings'!$C$42/($F296-1))*$X296)))</f>
        <v>0</v>
      </c>
      <c r="K296" s="123">
        <f>IF($D296="",0,'Guide &amp; Settings'!$C$43*(IF($E296="Win",1,0)-$I296))</f>
        <v>0</v>
      </c>
      <c r="L296" s="124">
        <f>IF($D296="",0,'Guide &amp; Settings'!$C$44*IF($F296&gt;=3,$F296+IF($E296="Win",$F296,0),0))</f>
        <v>0</v>
      </c>
      <c r="M296" s="123">
        <f t="shared" si="71"/>
        <v>0</v>
      </c>
      <c r="N296" s="121">
        <f t="shared" si="72"/>
        <v>0</v>
      </c>
      <c r="O296" s="120" t="str">
        <f t="shared" si="73"/>
        <v/>
      </c>
      <c r="P296">
        <f t="shared" si="74"/>
        <v>0</v>
      </c>
      <c r="Q296">
        <f t="shared" si="75"/>
        <v>0</v>
      </c>
      <c r="R296">
        <f t="shared" si="76"/>
        <v>0</v>
      </c>
      <c r="S296">
        <f t="shared" si="77"/>
        <v>0</v>
      </c>
      <c r="T296" s="88">
        <f t="shared" si="78"/>
        <v>0</v>
      </c>
      <c r="U296" s="125">
        <f>IF($D296="",0,IFERROR(LOOKUP(2,1/(($D$3:D295=$D296)*($C$3:C295=$C296)*($A$3:A295&lt;$A296)),$AB$3:AB295),1000))</f>
        <v>0</v>
      </c>
      <c r="V296" s="125">
        <f t="shared" si="79"/>
        <v>0</v>
      </c>
      <c r="W296">
        <f t="shared" si="80"/>
        <v>0</v>
      </c>
      <c r="X296">
        <f t="shared" si="81"/>
        <v>0</v>
      </c>
      <c r="Y296">
        <f t="shared" si="82"/>
        <v>0</v>
      </c>
      <c r="Z296">
        <f t="shared" si="83"/>
        <v>0</v>
      </c>
      <c r="AA296">
        <f>IF($D296="",0,IF($F296&lt;2,0,IF($E296="Win",('Guide &amp; Settings'!$C$42/(($F296-1)*COUNTIFS($A$4:$A$311,$A296,$E$4:$E$311,"Win")))*SUMIFS($Z$4:$Z$311,$A$4:$A$311,$A296,$E$4:$E$311,"Loss"),-('Guide &amp; Settings'!$C$42/($F296-1))*$Z296)))</f>
        <v>0</v>
      </c>
      <c r="AB296" s="125">
        <f t="shared" si="84"/>
        <v>0</v>
      </c>
      <c r="AC296" s="125" t="str">
        <f>IF($D296="","",IF(SUMPRODUCT(MAX(($D$4:$D$311=$D296)*($B$4:$B$311&lt;$B296)*$B$4:$B$311))=0,0,MAX(($B296-SUMPRODUCT(MAX(($D$4:$D$311=$D296)*($B$4:$B$311&lt;$B296)*$B$4:$B$311)))/7-'Guide &amp; Settings'!$C$48,0)*'Guide &amp; Settings'!$C$49))</f>
        <v/>
      </c>
    </row>
    <row r="297" spans="1:29" ht="15" customHeight="1" x14ac:dyDescent="0.2">
      <c r="A297" s="116"/>
      <c r="B297" s="117"/>
      <c r="C297" s="118"/>
      <c r="D297" s="118"/>
      <c r="E297" s="116"/>
      <c r="F297" s="119">
        <f t="shared" si="68"/>
        <v>0</v>
      </c>
      <c r="G297" s="120" t="str">
        <f t="shared" si="69"/>
        <v/>
      </c>
      <c r="H297" s="121">
        <f>IF($D297="",0,IFERROR(LOOKUP(2,1/(($D$3:D296=$D297)*($A$3:A296&lt;$A297)),$N$3:N296),'Guide &amp; Settings'!$C$41))</f>
        <v>0</v>
      </c>
      <c r="I297" s="122">
        <f t="shared" si="70"/>
        <v>0</v>
      </c>
      <c r="J297" s="123">
        <f>IF($D297="",0,IF($F297&lt;2,0,IF($E297="Win",('Guide &amp; Settings'!$C$42/(($F297-1)*COUNTIFS($A$4:$A$311,$A297,$E$4:$E$311,"Win")))*SUMIFS($X$4:$X$311,$A$4:$A$311,$A297,$E$4:$E$311,"Loss"),-('Guide &amp; Settings'!$C$42/($F297-1))*$X297)))</f>
        <v>0</v>
      </c>
      <c r="K297" s="123">
        <f>IF($D297="",0,'Guide &amp; Settings'!$C$43*(IF($E297="Win",1,0)-$I297))</f>
        <v>0</v>
      </c>
      <c r="L297" s="124">
        <f>IF($D297="",0,'Guide &amp; Settings'!$C$44*IF($F297&gt;=3,$F297+IF($E297="Win",$F297,0),0))</f>
        <v>0</v>
      </c>
      <c r="M297" s="123">
        <f t="shared" si="71"/>
        <v>0</v>
      </c>
      <c r="N297" s="121">
        <f t="shared" si="72"/>
        <v>0</v>
      </c>
      <c r="O297" s="120" t="str">
        <f t="shared" si="73"/>
        <v/>
      </c>
      <c r="P297">
        <f t="shared" si="74"/>
        <v>0</v>
      </c>
      <c r="Q297">
        <f t="shared" si="75"/>
        <v>0</v>
      </c>
      <c r="R297">
        <f t="shared" si="76"/>
        <v>0</v>
      </c>
      <c r="S297">
        <f t="shared" si="77"/>
        <v>0</v>
      </c>
      <c r="T297" s="88">
        <f t="shared" si="78"/>
        <v>0</v>
      </c>
      <c r="U297" s="125">
        <f>IF($D297="",0,IFERROR(LOOKUP(2,1/(($D$3:D296=$D297)*($C$3:C296=$C297)*($A$3:A296&lt;$A297)),$AB$3:AB296),1000))</f>
        <v>0</v>
      </c>
      <c r="V297" s="125">
        <f t="shared" si="79"/>
        <v>0</v>
      </c>
      <c r="W297">
        <f t="shared" si="80"/>
        <v>0</v>
      </c>
      <c r="X297">
        <f t="shared" si="81"/>
        <v>0</v>
      </c>
      <c r="Y297">
        <f t="shared" si="82"/>
        <v>0</v>
      </c>
      <c r="Z297">
        <f t="shared" si="83"/>
        <v>0</v>
      </c>
      <c r="AA297">
        <f>IF($D297="",0,IF($F297&lt;2,0,IF($E297="Win",('Guide &amp; Settings'!$C$42/(($F297-1)*COUNTIFS($A$4:$A$311,$A297,$E$4:$E$311,"Win")))*SUMIFS($Z$4:$Z$311,$A$4:$A$311,$A297,$E$4:$E$311,"Loss"),-('Guide &amp; Settings'!$C$42/($F297-1))*$Z297)))</f>
        <v>0</v>
      </c>
      <c r="AB297" s="125">
        <f t="shared" si="84"/>
        <v>0</v>
      </c>
      <c r="AC297" s="125" t="str">
        <f>IF($D297="","",IF(SUMPRODUCT(MAX(($D$4:$D$311=$D297)*($B$4:$B$311&lt;$B297)*$B$4:$B$311))=0,0,MAX(($B297-SUMPRODUCT(MAX(($D$4:$D$311=$D297)*($B$4:$B$311&lt;$B297)*$B$4:$B$311)))/7-'Guide &amp; Settings'!$C$48,0)*'Guide &amp; Settings'!$C$49))</f>
        <v/>
      </c>
    </row>
    <row r="298" spans="1:29" ht="15" customHeight="1" x14ac:dyDescent="0.2">
      <c r="A298" s="116"/>
      <c r="B298" s="117"/>
      <c r="C298" s="118"/>
      <c r="D298" s="118"/>
      <c r="E298" s="116"/>
      <c r="F298" s="119">
        <f t="shared" si="68"/>
        <v>0</v>
      </c>
      <c r="G298" s="120" t="str">
        <f t="shared" si="69"/>
        <v/>
      </c>
      <c r="H298" s="121">
        <f>IF($D298="",0,IFERROR(LOOKUP(2,1/(($D$3:D297=$D298)*($A$3:A297&lt;$A298)),$N$3:N297),'Guide &amp; Settings'!$C$41))</f>
        <v>0</v>
      </c>
      <c r="I298" s="122">
        <f t="shared" si="70"/>
        <v>0</v>
      </c>
      <c r="J298" s="123">
        <f>IF($D298="",0,IF($F298&lt;2,0,IF($E298="Win",('Guide &amp; Settings'!$C$42/(($F298-1)*COUNTIFS($A$4:$A$311,$A298,$E$4:$E$311,"Win")))*SUMIFS($X$4:$X$311,$A$4:$A$311,$A298,$E$4:$E$311,"Loss"),-('Guide &amp; Settings'!$C$42/($F298-1))*$X298)))</f>
        <v>0</v>
      </c>
      <c r="K298" s="123">
        <f>IF($D298="",0,'Guide &amp; Settings'!$C$43*(IF($E298="Win",1,0)-$I298))</f>
        <v>0</v>
      </c>
      <c r="L298" s="124">
        <f>IF($D298="",0,'Guide &amp; Settings'!$C$44*IF($F298&gt;=3,$F298+IF($E298="Win",$F298,0),0))</f>
        <v>0</v>
      </c>
      <c r="M298" s="123">
        <f t="shared" si="71"/>
        <v>0</v>
      </c>
      <c r="N298" s="121">
        <f t="shared" si="72"/>
        <v>0</v>
      </c>
      <c r="O298" s="120" t="str">
        <f t="shared" si="73"/>
        <v/>
      </c>
      <c r="P298">
        <f t="shared" si="74"/>
        <v>0</v>
      </c>
      <c r="Q298">
        <f t="shared" si="75"/>
        <v>0</v>
      </c>
      <c r="R298">
        <f t="shared" si="76"/>
        <v>0</v>
      </c>
      <c r="S298">
        <f t="shared" si="77"/>
        <v>0</v>
      </c>
      <c r="T298" s="88">
        <f t="shared" si="78"/>
        <v>0</v>
      </c>
      <c r="U298" s="125">
        <f>IF($D298="",0,IFERROR(LOOKUP(2,1/(($D$3:D297=$D298)*($C$3:C297=$C298)*($A$3:A297&lt;$A298)),$AB$3:AB297),1000))</f>
        <v>0</v>
      </c>
      <c r="V298" s="125">
        <f t="shared" si="79"/>
        <v>0</v>
      </c>
      <c r="W298">
        <f t="shared" si="80"/>
        <v>0</v>
      </c>
      <c r="X298">
        <f t="shared" si="81"/>
        <v>0</v>
      </c>
      <c r="Y298">
        <f t="shared" si="82"/>
        <v>0</v>
      </c>
      <c r="Z298">
        <f t="shared" si="83"/>
        <v>0</v>
      </c>
      <c r="AA298">
        <f>IF($D298="",0,IF($F298&lt;2,0,IF($E298="Win",('Guide &amp; Settings'!$C$42/(($F298-1)*COUNTIFS($A$4:$A$311,$A298,$E$4:$E$311,"Win")))*SUMIFS($Z$4:$Z$311,$A$4:$A$311,$A298,$E$4:$E$311,"Loss"),-('Guide &amp; Settings'!$C$42/($F298-1))*$Z298)))</f>
        <v>0</v>
      </c>
      <c r="AB298" s="125">
        <f t="shared" si="84"/>
        <v>0</v>
      </c>
      <c r="AC298" s="125" t="str">
        <f>IF($D298="","",IF(SUMPRODUCT(MAX(($D$4:$D$311=$D298)*($B$4:$B$311&lt;$B298)*$B$4:$B$311))=0,0,MAX(($B298-SUMPRODUCT(MAX(($D$4:$D$311=$D298)*($B$4:$B$311&lt;$B298)*$B$4:$B$311)))/7-'Guide &amp; Settings'!$C$48,0)*'Guide &amp; Settings'!$C$49))</f>
        <v/>
      </c>
    </row>
    <row r="299" spans="1:29" ht="15" customHeight="1" x14ac:dyDescent="0.2">
      <c r="A299" s="116"/>
      <c r="B299" s="117"/>
      <c r="C299" s="118"/>
      <c r="D299" s="118"/>
      <c r="E299" s="116"/>
      <c r="F299" s="119">
        <f t="shared" si="68"/>
        <v>0</v>
      </c>
      <c r="G299" s="120" t="str">
        <f t="shared" si="69"/>
        <v/>
      </c>
      <c r="H299" s="121">
        <f>IF($D299="",0,IFERROR(LOOKUP(2,1/(($D$3:D298=$D299)*($A$3:A298&lt;$A299)),$N$3:N298),'Guide &amp; Settings'!$C$41))</f>
        <v>0</v>
      </c>
      <c r="I299" s="122">
        <f t="shared" si="70"/>
        <v>0</v>
      </c>
      <c r="J299" s="123">
        <f>IF($D299="",0,IF($F299&lt;2,0,IF($E299="Win",('Guide &amp; Settings'!$C$42/(($F299-1)*COUNTIFS($A$4:$A$311,$A299,$E$4:$E$311,"Win")))*SUMIFS($X$4:$X$311,$A$4:$A$311,$A299,$E$4:$E$311,"Loss"),-('Guide &amp; Settings'!$C$42/($F299-1))*$X299)))</f>
        <v>0</v>
      </c>
      <c r="K299" s="123">
        <f>IF($D299="",0,'Guide &amp; Settings'!$C$43*(IF($E299="Win",1,0)-$I299))</f>
        <v>0</v>
      </c>
      <c r="L299" s="124">
        <f>IF($D299="",0,'Guide &amp; Settings'!$C$44*IF($F299&gt;=3,$F299+IF($E299="Win",$F299,0),0))</f>
        <v>0</v>
      </c>
      <c r="M299" s="123">
        <f t="shared" si="71"/>
        <v>0</v>
      </c>
      <c r="N299" s="121">
        <f t="shared" si="72"/>
        <v>0</v>
      </c>
      <c r="O299" s="120" t="str">
        <f t="shared" si="73"/>
        <v/>
      </c>
      <c r="P299">
        <f t="shared" si="74"/>
        <v>0</v>
      </c>
      <c r="Q299">
        <f t="shared" si="75"/>
        <v>0</v>
      </c>
      <c r="R299">
        <f t="shared" si="76"/>
        <v>0</v>
      </c>
      <c r="S299">
        <f t="shared" si="77"/>
        <v>0</v>
      </c>
      <c r="T299" s="88">
        <f t="shared" si="78"/>
        <v>0</v>
      </c>
      <c r="U299" s="125">
        <f>IF($D299="",0,IFERROR(LOOKUP(2,1/(($D$3:D298=$D299)*($C$3:C298=$C299)*($A$3:A298&lt;$A299)),$AB$3:AB298),1000))</f>
        <v>0</v>
      </c>
      <c r="V299" s="125">
        <f t="shared" si="79"/>
        <v>0</v>
      </c>
      <c r="W299">
        <f t="shared" si="80"/>
        <v>0</v>
      </c>
      <c r="X299">
        <f t="shared" si="81"/>
        <v>0</v>
      </c>
      <c r="Y299">
        <f t="shared" si="82"/>
        <v>0</v>
      </c>
      <c r="Z299">
        <f t="shared" si="83"/>
        <v>0</v>
      </c>
      <c r="AA299">
        <f>IF($D299="",0,IF($F299&lt;2,0,IF($E299="Win",('Guide &amp; Settings'!$C$42/(($F299-1)*COUNTIFS($A$4:$A$311,$A299,$E$4:$E$311,"Win")))*SUMIFS($Z$4:$Z$311,$A$4:$A$311,$A299,$E$4:$E$311,"Loss"),-('Guide &amp; Settings'!$C$42/($F299-1))*$Z299)))</f>
        <v>0</v>
      </c>
      <c r="AB299" s="125">
        <f t="shared" si="84"/>
        <v>0</v>
      </c>
      <c r="AC299" s="125" t="str">
        <f>IF($D299="","",IF(SUMPRODUCT(MAX(($D$4:$D$311=$D299)*($B$4:$B$311&lt;$B299)*$B$4:$B$311))=0,0,MAX(($B299-SUMPRODUCT(MAX(($D$4:$D$311=$D299)*($B$4:$B$311&lt;$B299)*$B$4:$B$311)))/7-'Guide &amp; Settings'!$C$48,0)*'Guide &amp; Settings'!$C$49))</f>
        <v/>
      </c>
    </row>
    <row r="300" spans="1:29" ht="15" customHeight="1" x14ac:dyDescent="0.2">
      <c r="A300" s="116"/>
      <c r="B300" s="117"/>
      <c r="C300" s="118"/>
      <c r="D300" s="118"/>
      <c r="E300" s="116"/>
      <c r="F300" s="119">
        <f t="shared" si="68"/>
        <v>0</v>
      </c>
      <c r="G300" s="120" t="str">
        <f t="shared" si="69"/>
        <v/>
      </c>
      <c r="H300" s="121">
        <f>IF($D300="",0,IFERROR(LOOKUP(2,1/(($D$3:D299=$D300)*($A$3:A299&lt;$A300)),$N$3:N299),'Guide &amp; Settings'!$C$41))</f>
        <v>0</v>
      </c>
      <c r="I300" s="122">
        <f t="shared" si="70"/>
        <v>0</v>
      </c>
      <c r="J300" s="123">
        <f>IF($D300="",0,IF($F300&lt;2,0,IF($E300="Win",('Guide &amp; Settings'!$C$42/(($F300-1)*COUNTIFS($A$4:$A$311,$A300,$E$4:$E$311,"Win")))*SUMIFS($X$4:$X$311,$A$4:$A$311,$A300,$E$4:$E$311,"Loss"),-('Guide &amp; Settings'!$C$42/($F300-1))*$X300)))</f>
        <v>0</v>
      </c>
      <c r="K300" s="123">
        <f>IF($D300="",0,'Guide &amp; Settings'!$C$43*(IF($E300="Win",1,0)-$I300))</f>
        <v>0</v>
      </c>
      <c r="L300" s="124">
        <f>IF($D300="",0,'Guide &amp; Settings'!$C$44*IF($F300&gt;=3,$F300+IF($E300="Win",$F300,0),0))</f>
        <v>0</v>
      </c>
      <c r="M300" s="123">
        <f t="shared" si="71"/>
        <v>0</v>
      </c>
      <c r="N300" s="121">
        <f t="shared" si="72"/>
        <v>0</v>
      </c>
      <c r="O300" s="120" t="str">
        <f t="shared" si="73"/>
        <v/>
      </c>
      <c r="P300">
        <f t="shared" si="74"/>
        <v>0</v>
      </c>
      <c r="Q300">
        <f t="shared" si="75"/>
        <v>0</v>
      </c>
      <c r="R300">
        <f t="shared" si="76"/>
        <v>0</v>
      </c>
      <c r="S300">
        <f t="shared" si="77"/>
        <v>0</v>
      </c>
      <c r="T300" s="88">
        <f t="shared" si="78"/>
        <v>0</v>
      </c>
      <c r="U300" s="125">
        <f>IF($D300="",0,IFERROR(LOOKUP(2,1/(($D$3:D299=$D300)*($C$3:C299=$C300)*($A$3:A299&lt;$A300)),$AB$3:AB299),1000))</f>
        <v>0</v>
      </c>
      <c r="V300" s="125">
        <f t="shared" si="79"/>
        <v>0</v>
      </c>
      <c r="W300">
        <f t="shared" si="80"/>
        <v>0</v>
      </c>
      <c r="X300">
        <f t="shared" si="81"/>
        <v>0</v>
      </c>
      <c r="Y300">
        <f t="shared" si="82"/>
        <v>0</v>
      </c>
      <c r="Z300">
        <f t="shared" si="83"/>
        <v>0</v>
      </c>
      <c r="AA300">
        <f>IF($D300="",0,IF($F300&lt;2,0,IF($E300="Win",('Guide &amp; Settings'!$C$42/(($F300-1)*COUNTIFS($A$4:$A$311,$A300,$E$4:$E$311,"Win")))*SUMIFS($Z$4:$Z$311,$A$4:$A$311,$A300,$E$4:$E$311,"Loss"),-('Guide &amp; Settings'!$C$42/($F300-1))*$Z300)))</f>
        <v>0</v>
      </c>
      <c r="AB300" s="125">
        <f t="shared" si="84"/>
        <v>0</v>
      </c>
      <c r="AC300" s="125" t="str">
        <f>IF($D300="","",IF(SUMPRODUCT(MAX(($D$4:$D$311=$D300)*($B$4:$B$311&lt;$B300)*$B$4:$B$311))=0,0,MAX(($B300-SUMPRODUCT(MAX(($D$4:$D$311=$D300)*($B$4:$B$311&lt;$B300)*$B$4:$B$311)))/7-'Guide &amp; Settings'!$C$48,0)*'Guide &amp; Settings'!$C$49))</f>
        <v/>
      </c>
    </row>
    <row r="301" spans="1:29" ht="15" customHeight="1" x14ac:dyDescent="0.2">
      <c r="A301" s="116"/>
      <c r="B301" s="117"/>
      <c r="C301" s="118"/>
      <c r="D301" s="118"/>
      <c r="E301" s="116"/>
      <c r="F301" s="119">
        <f t="shared" si="68"/>
        <v>0</v>
      </c>
      <c r="G301" s="120" t="str">
        <f t="shared" si="69"/>
        <v/>
      </c>
      <c r="H301" s="121">
        <f>IF($D301="",0,IFERROR(LOOKUP(2,1/(($D$3:D300=$D301)*($A$3:A300&lt;$A301)),$N$3:N300),'Guide &amp; Settings'!$C$41))</f>
        <v>0</v>
      </c>
      <c r="I301" s="122">
        <f t="shared" si="70"/>
        <v>0</v>
      </c>
      <c r="J301" s="123">
        <f>IF($D301="",0,IF($F301&lt;2,0,IF($E301="Win",('Guide &amp; Settings'!$C$42/(($F301-1)*COUNTIFS($A$4:$A$311,$A301,$E$4:$E$311,"Win")))*SUMIFS($X$4:$X$311,$A$4:$A$311,$A301,$E$4:$E$311,"Loss"),-('Guide &amp; Settings'!$C$42/($F301-1))*$X301)))</f>
        <v>0</v>
      </c>
      <c r="K301" s="123">
        <f>IF($D301="",0,'Guide &amp; Settings'!$C$43*(IF($E301="Win",1,0)-$I301))</f>
        <v>0</v>
      </c>
      <c r="L301" s="124">
        <f>IF($D301="",0,'Guide &amp; Settings'!$C$44*IF($F301&gt;=3,$F301+IF($E301="Win",$F301,0),0))</f>
        <v>0</v>
      </c>
      <c r="M301" s="123">
        <f t="shared" si="71"/>
        <v>0</v>
      </c>
      <c r="N301" s="121">
        <f t="shared" si="72"/>
        <v>0</v>
      </c>
      <c r="O301" s="120" t="str">
        <f t="shared" si="73"/>
        <v/>
      </c>
      <c r="P301">
        <f t="shared" si="74"/>
        <v>0</v>
      </c>
      <c r="Q301">
        <f t="shared" si="75"/>
        <v>0</v>
      </c>
      <c r="R301">
        <f t="shared" si="76"/>
        <v>0</v>
      </c>
      <c r="S301">
        <f t="shared" si="77"/>
        <v>0</v>
      </c>
      <c r="T301" s="88">
        <f t="shared" si="78"/>
        <v>0</v>
      </c>
      <c r="U301" s="125">
        <f>IF($D301="",0,IFERROR(LOOKUP(2,1/(($D$3:D300=$D301)*($C$3:C300=$C301)*($A$3:A300&lt;$A301)),$AB$3:AB300),1000))</f>
        <v>0</v>
      </c>
      <c r="V301" s="125">
        <f t="shared" si="79"/>
        <v>0</v>
      </c>
      <c r="W301">
        <f t="shared" si="80"/>
        <v>0</v>
      </c>
      <c r="X301">
        <f t="shared" si="81"/>
        <v>0</v>
      </c>
      <c r="Y301">
        <f t="shared" si="82"/>
        <v>0</v>
      </c>
      <c r="Z301">
        <f t="shared" si="83"/>
        <v>0</v>
      </c>
      <c r="AA301">
        <f>IF($D301="",0,IF($F301&lt;2,0,IF($E301="Win",('Guide &amp; Settings'!$C$42/(($F301-1)*COUNTIFS($A$4:$A$311,$A301,$E$4:$E$311,"Win")))*SUMIFS($Z$4:$Z$311,$A$4:$A$311,$A301,$E$4:$E$311,"Loss"),-('Guide &amp; Settings'!$C$42/($F301-1))*$Z301)))</f>
        <v>0</v>
      </c>
      <c r="AB301" s="125">
        <f t="shared" si="84"/>
        <v>0</v>
      </c>
      <c r="AC301" s="125" t="str">
        <f>IF($D301="","",IF(SUMPRODUCT(MAX(($D$4:$D$311=$D301)*($B$4:$B$311&lt;$B301)*$B$4:$B$311))=0,0,MAX(($B301-SUMPRODUCT(MAX(($D$4:$D$311=$D301)*($B$4:$B$311&lt;$B301)*$B$4:$B$311)))/7-'Guide &amp; Settings'!$C$48,0)*'Guide &amp; Settings'!$C$49))</f>
        <v/>
      </c>
    </row>
    <row r="302" spans="1:29" ht="15" customHeight="1" x14ac:dyDescent="0.2">
      <c r="A302" s="116"/>
      <c r="B302" s="117"/>
      <c r="C302" s="118"/>
      <c r="D302" s="118"/>
      <c r="E302" s="116"/>
      <c r="F302" s="119">
        <f t="shared" si="68"/>
        <v>0</v>
      </c>
      <c r="G302" s="120" t="str">
        <f t="shared" si="69"/>
        <v/>
      </c>
      <c r="H302" s="121">
        <f>IF($D302="",0,IFERROR(LOOKUP(2,1/(($D$3:D301=$D302)*($A$3:A301&lt;$A302)),$N$3:N301),'Guide &amp; Settings'!$C$41))</f>
        <v>0</v>
      </c>
      <c r="I302" s="122">
        <f t="shared" si="70"/>
        <v>0</v>
      </c>
      <c r="J302" s="123">
        <f>IF($D302="",0,IF($F302&lt;2,0,IF($E302="Win",('Guide &amp; Settings'!$C$42/(($F302-1)*COUNTIFS($A$4:$A$311,$A302,$E$4:$E$311,"Win")))*SUMIFS($X$4:$X$311,$A$4:$A$311,$A302,$E$4:$E$311,"Loss"),-('Guide &amp; Settings'!$C$42/($F302-1))*$X302)))</f>
        <v>0</v>
      </c>
      <c r="K302" s="123">
        <f>IF($D302="",0,'Guide &amp; Settings'!$C$43*(IF($E302="Win",1,0)-$I302))</f>
        <v>0</v>
      </c>
      <c r="L302" s="124">
        <f>IF($D302="",0,'Guide &amp; Settings'!$C$44*IF($F302&gt;=3,$F302+IF($E302="Win",$F302,0),0))</f>
        <v>0</v>
      </c>
      <c r="M302" s="123">
        <f t="shared" si="71"/>
        <v>0</v>
      </c>
      <c r="N302" s="121">
        <f t="shared" si="72"/>
        <v>0</v>
      </c>
      <c r="O302" s="120" t="str">
        <f t="shared" si="73"/>
        <v/>
      </c>
      <c r="P302">
        <f t="shared" si="74"/>
        <v>0</v>
      </c>
      <c r="Q302">
        <f t="shared" si="75"/>
        <v>0</v>
      </c>
      <c r="R302">
        <f t="shared" si="76"/>
        <v>0</v>
      </c>
      <c r="S302">
        <f t="shared" si="77"/>
        <v>0</v>
      </c>
      <c r="T302" s="88">
        <f t="shared" si="78"/>
        <v>0</v>
      </c>
      <c r="U302" s="125">
        <f>IF($D302="",0,IFERROR(LOOKUP(2,1/(($D$3:D301=$D302)*($C$3:C301=$C302)*($A$3:A301&lt;$A302)),$AB$3:AB301),1000))</f>
        <v>0</v>
      </c>
      <c r="V302" s="125">
        <f t="shared" si="79"/>
        <v>0</v>
      </c>
      <c r="W302">
        <f t="shared" si="80"/>
        <v>0</v>
      </c>
      <c r="X302">
        <f t="shared" si="81"/>
        <v>0</v>
      </c>
      <c r="Y302">
        <f t="shared" si="82"/>
        <v>0</v>
      </c>
      <c r="Z302">
        <f t="shared" si="83"/>
        <v>0</v>
      </c>
      <c r="AA302">
        <f>IF($D302="",0,IF($F302&lt;2,0,IF($E302="Win",('Guide &amp; Settings'!$C$42/(($F302-1)*COUNTIFS($A$4:$A$311,$A302,$E$4:$E$311,"Win")))*SUMIFS($Z$4:$Z$311,$A$4:$A$311,$A302,$E$4:$E$311,"Loss"),-('Guide &amp; Settings'!$C$42/($F302-1))*$Z302)))</f>
        <v>0</v>
      </c>
      <c r="AB302" s="125">
        <f t="shared" si="84"/>
        <v>0</v>
      </c>
      <c r="AC302" s="125" t="str">
        <f>IF($D302="","",IF(SUMPRODUCT(MAX(($D$4:$D$311=$D302)*($B$4:$B$311&lt;$B302)*$B$4:$B$311))=0,0,MAX(($B302-SUMPRODUCT(MAX(($D$4:$D$311=$D302)*($B$4:$B$311&lt;$B302)*$B$4:$B$311)))/7-'Guide &amp; Settings'!$C$48,0)*'Guide &amp; Settings'!$C$49))</f>
        <v/>
      </c>
    </row>
    <row r="303" spans="1:29" ht="15" customHeight="1" x14ac:dyDescent="0.2">
      <c r="A303" s="116"/>
      <c r="B303" s="117"/>
      <c r="C303" s="118"/>
      <c r="D303" s="118"/>
      <c r="E303" s="116"/>
      <c r="F303" s="119">
        <f t="shared" si="68"/>
        <v>0</v>
      </c>
      <c r="G303" s="120" t="str">
        <f t="shared" si="69"/>
        <v/>
      </c>
      <c r="H303" s="121">
        <f>IF($D303="",0,IFERROR(LOOKUP(2,1/(($D$3:D302=$D303)*($A$3:A302&lt;$A303)),$N$3:N302),'Guide &amp; Settings'!$C$41))</f>
        <v>0</v>
      </c>
      <c r="I303" s="122">
        <f t="shared" si="70"/>
        <v>0</v>
      </c>
      <c r="J303" s="123">
        <f>IF($D303="",0,IF($F303&lt;2,0,IF($E303="Win",('Guide &amp; Settings'!$C$42/(($F303-1)*COUNTIFS($A$4:$A$311,$A303,$E$4:$E$311,"Win")))*SUMIFS($X$4:$X$311,$A$4:$A$311,$A303,$E$4:$E$311,"Loss"),-('Guide &amp; Settings'!$C$42/($F303-1))*$X303)))</f>
        <v>0</v>
      </c>
      <c r="K303" s="123">
        <f>IF($D303="",0,'Guide &amp; Settings'!$C$43*(IF($E303="Win",1,0)-$I303))</f>
        <v>0</v>
      </c>
      <c r="L303" s="124">
        <f>IF($D303="",0,'Guide &amp; Settings'!$C$44*IF($F303&gt;=3,$F303+IF($E303="Win",$F303,0),0))</f>
        <v>0</v>
      </c>
      <c r="M303" s="123">
        <f t="shared" si="71"/>
        <v>0</v>
      </c>
      <c r="N303" s="121">
        <f t="shared" si="72"/>
        <v>0</v>
      </c>
      <c r="O303" s="120" t="str">
        <f t="shared" si="73"/>
        <v/>
      </c>
      <c r="P303">
        <f t="shared" si="74"/>
        <v>0</v>
      </c>
      <c r="Q303">
        <f t="shared" si="75"/>
        <v>0</v>
      </c>
      <c r="R303">
        <f t="shared" si="76"/>
        <v>0</v>
      </c>
      <c r="S303">
        <f t="shared" si="77"/>
        <v>0</v>
      </c>
      <c r="T303" s="88">
        <f t="shared" si="78"/>
        <v>0</v>
      </c>
      <c r="U303" s="125">
        <f>IF($D303="",0,IFERROR(LOOKUP(2,1/(($D$3:D302=$D303)*($C$3:C302=$C303)*($A$3:A302&lt;$A303)),$AB$3:AB302),1000))</f>
        <v>0</v>
      </c>
      <c r="V303" s="125">
        <f t="shared" si="79"/>
        <v>0</v>
      </c>
      <c r="W303">
        <f t="shared" si="80"/>
        <v>0</v>
      </c>
      <c r="X303">
        <f t="shared" si="81"/>
        <v>0</v>
      </c>
      <c r="Y303">
        <f t="shared" si="82"/>
        <v>0</v>
      </c>
      <c r="Z303">
        <f t="shared" si="83"/>
        <v>0</v>
      </c>
      <c r="AA303">
        <f>IF($D303="",0,IF($F303&lt;2,0,IF($E303="Win",('Guide &amp; Settings'!$C$42/(($F303-1)*COUNTIFS($A$4:$A$311,$A303,$E$4:$E$311,"Win")))*SUMIFS($Z$4:$Z$311,$A$4:$A$311,$A303,$E$4:$E$311,"Loss"),-('Guide &amp; Settings'!$C$42/($F303-1))*$Z303)))</f>
        <v>0</v>
      </c>
      <c r="AB303" s="125">
        <f t="shared" si="84"/>
        <v>0</v>
      </c>
      <c r="AC303" s="125" t="str">
        <f>IF($D303="","",IF(SUMPRODUCT(MAX(($D$4:$D$311=$D303)*($B$4:$B$311&lt;$B303)*$B$4:$B$311))=0,0,MAX(($B303-SUMPRODUCT(MAX(($D$4:$D$311=$D303)*($B$4:$B$311&lt;$B303)*$B$4:$B$311)))/7-'Guide &amp; Settings'!$C$48,0)*'Guide &amp; Settings'!$C$49))</f>
        <v/>
      </c>
    </row>
    <row r="304" spans="1:29" ht="15" customHeight="1" x14ac:dyDescent="0.2">
      <c r="A304" s="116"/>
      <c r="B304" s="117"/>
      <c r="C304" s="118"/>
      <c r="D304" s="118"/>
      <c r="E304" s="116"/>
      <c r="F304" s="119">
        <f t="shared" si="68"/>
        <v>0</v>
      </c>
      <c r="G304" s="120" t="str">
        <f t="shared" si="69"/>
        <v/>
      </c>
      <c r="H304" s="121">
        <f>IF($D304="",0,IFERROR(LOOKUP(2,1/(($D$3:D303=$D304)*($A$3:A303&lt;$A304)),$N$3:N303),'Guide &amp; Settings'!$C$41))</f>
        <v>0</v>
      </c>
      <c r="I304" s="122">
        <f t="shared" si="70"/>
        <v>0</v>
      </c>
      <c r="J304" s="123">
        <f>IF($D304="",0,IF($F304&lt;2,0,IF($E304="Win",('Guide &amp; Settings'!$C$42/(($F304-1)*COUNTIFS($A$4:$A$311,$A304,$E$4:$E$311,"Win")))*SUMIFS($X$4:$X$311,$A$4:$A$311,$A304,$E$4:$E$311,"Loss"),-('Guide &amp; Settings'!$C$42/($F304-1))*$X304)))</f>
        <v>0</v>
      </c>
      <c r="K304" s="123">
        <f>IF($D304="",0,'Guide &amp; Settings'!$C$43*(IF($E304="Win",1,0)-$I304))</f>
        <v>0</v>
      </c>
      <c r="L304" s="124">
        <f>IF($D304="",0,'Guide &amp; Settings'!$C$44*IF($F304&gt;=3,$F304+IF($E304="Win",$F304,0),0))</f>
        <v>0</v>
      </c>
      <c r="M304" s="123">
        <f t="shared" si="71"/>
        <v>0</v>
      </c>
      <c r="N304" s="121">
        <f t="shared" si="72"/>
        <v>0</v>
      </c>
      <c r="O304" s="120" t="str">
        <f t="shared" si="73"/>
        <v/>
      </c>
      <c r="P304">
        <f t="shared" si="74"/>
        <v>0</v>
      </c>
      <c r="Q304">
        <f t="shared" si="75"/>
        <v>0</v>
      </c>
      <c r="R304">
        <f t="shared" si="76"/>
        <v>0</v>
      </c>
      <c r="S304">
        <f t="shared" si="77"/>
        <v>0</v>
      </c>
      <c r="T304" s="88">
        <f t="shared" si="78"/>
        <v>0</v>
      </c>
      <c r="U304" s="125">
        <f>IF($D304="",0,IFERROR(LOOKUP(2,1/(($D$3:D303=$D304)*($C$3:C303=$C304)*($A$3:A303&lt;$A304)),$AB$3:AB303),1000))</f>
        <v>0</v>
      </c>
      <c r="V304" s="125">
        <f t="shared" si="79"/>
        <v>0</v>
      </c>
      <c r="W304">
        <f t="shared" si="80"/>
        <v>0</v>
      </c>
      <c r="X304">
        <f t="shared" si="81"/>
        <v>0</v>
      </c>
      <c r="Y304">
        <f t="shared" si="82"/>
        <v>0</v>
      </c>
      <c r="Z304">
        <f t="shared" si="83"/>
        <v>0</v>
      </c>
      <c r="AA304">
        <f>IF($D304="",0,IF($F304&lt;2,0,IF($E304="Win",('Guide &amp; Settings'!$C$42/(($F304-1)*COUNTIFS($A$4:$A$311,$A304,$E$4:$E$311,"Win")))*SUMIFS($Z$4:$Z$311,$A$4:$A$311,$A304,$E$4:$E$311,"Loss"),-('Guide &amp; Settings'!$C$42/($F304-1))*$Z304)))</f>
        <v>0</v>
      </c>
      <c r="AB304" s="125">
        <f t="shared" si="84"/>
        <v>0</v>
      </c>
      <c r="AC304" s="125" t="str">
        <f>IF($D304="","",IF(SUMPRODUCT(MAX(($D$4:$D$311=$D304)*($B$4:$B$311&lt;$B304)*$B$4:$B$311))=0,0,MAX(($B304-SUMPRODUCT(MAX(($D$4:$D$311=$D304)*($B$4:$B$311&lt;$B304)*$B$4:$B$311)))/7-'Guide &amp; Settings'!$C$48,0)*'Guide &amp; Settings'!$C$49))</f>
        <v/>
      </c>
    </row>
    <row r="305" spans="1:29" ht="15" customHeight="1" x14ac:dyDescent="0.2">
      <c r="A305" s="116"/>
      <c r="B305" s="117"/>
      <c r="C305" s="118"/>
      <c r="D305" s="118"/>
      <c r="E305" s="116"/>
      <c r="F305" s="119">
        <f t="shared" si="68"/>
        <v>0</v>
      </c>
      <c r="G305" s="120" t="str">
        <f t="shared" si="69"/>
        <v/>
      </c>
      <c r="H305" s="121">
        <f>IF($D305="",0,IFERROR(LOOKUP(2,1/(($D$3:D304=$D305)*($A$3:A304&lt;$A305)),$N$3:N304),'Guide &amp; Settings'!$C$41))</f>
        <v>0</v>
      </c>
      <c r="I305" s="122">
        <f t="shared" si="70"/>
        <v>0</v>
      </c>
      <c r="J305" s="123">
        <f>IF($D305="",0,IF($F305&lt;2,0,IF($E305="Win",('Guide &amp; Settings'!$C$42/(($F305-1)*COUNTIFS($A$4:$A$311,$A305,$E$4:$E$311,"Win")))*SUMIFS($X$4:$X$311,$A$4:$A$311,$A305,$E$4:$E$311,"Loss"),-('Guide &amp; Settings'!$C$42/($F305-1))*$X305)))</f>
        <v>0</v>
      </c>
      <c r="K305" s="123">
        <f>IF($D305="",0,'Guide &amp; Settings'!$C$43*(IF($E305="Win",1,0)-$I305))</f>
        <v>0</v>
      </c>
      <c r="L305" s="124">
        <f>IF($D305="",0,'Guide &amp; Settings'!$C$44*IF($F305&gt;=3,$F305+IF($E305="Win",$F305,0),0))</f>
        <v>0</v>
      </c>
      <c r="M305" s="123">
        <f t="shared" si="71"/>
        <v>0</v>
      </c>
      <c r="N305" s="121">
        <f t="shared" si="72"/>
        <v>0</v>
      </c>
      <c r="O305" s="120" t="str">
        <f t="shared" si="73"/>
        <v/>
      </c>
      <c r="P305">
        <f t="shared" si="74"/>
        <v>0</v>
      </c>
      <c r="Q305">
        <f t="shared" si="75"/>
        <v>0</v>
      </c>
      <c r="R305">
        <f t="shared" si="76"/>
        <v>0</v>
      </c>
      <c r="S305">
        <f t="shared" si="77"/>
        <v>0</v>
      </c>
      <c r="T305" s="88">
        <f t="shared" si="78"/>
        <v>0</v>
      </c>
      <c r="U305" s="125">
        <f>IF($D305="",0,IFERROR(LOOKUP(2,1/(($D$3:D304=$D305)*($C$3:C304=$C305)*($A$3:A304&lt;$A305)),$AB$3:AB304),1000))</f>
        <v>0</v>
      </c>
      <c r="V305" s="125">
        <f t="shared" si="79"/>
        <v>0</v>
      </c>
      <c r="W305">
        <f t="shared" si="80"/>
        <v>0</v>
      </c>
      <c r="X305">
        <f t="shared" si="81"/>
        <v>0</v>
      </c>
      <c r="Y305">
        <f t="shared" si="82"/>
        <v>0</v>
      </c>
      <c r="Z305">
        <f t="shared" si="83"/>
        <v>0</v>
      </c>
      <c r="AA305">
        <f>IF($D305="",0,IF($F305&lt;2,0,IF($E305="Win",('Guide &amp; Settings'!$C$42/(($F305-1)*COUNTIFS($A$4:$A$311,$A305,$E$4:$E$311,"Win")))*SUMIFS($Z$4:$Z$311,$A$4:$A$311,$A305,$E$4:$E$311,"Loss"),-('Guide &amp; Settings'!$C$42/($F305-1))*$Z305)))</f>
        <v>0</v>
      </c>
      <c r="AB305" s="125">
        <f t="shared" si="84"/>
        <v>0</v>
      </c>
      <c r="AC305" s="125" t="str">
        <f>IF($D305="","",IF(SUMPRODUCT(MAX(($D$4:$D$311=$D305)*($B$4:$B$311&lt;$B305)*$B$4:$B$311))=0,0,MAX(($B305-SUMPRODUCT(MAX(($D$4:$D$311=$D305)*($B$4:$B$311&lt;$B305)*$B$4:$B$311)))/7-'Guide &amp; Settings'!$C$48,0)*'Guide &amp; Settings'!$C$49))</f>
        <v/>
      </c>
    </row>
    <row r="306" spans="1:29" ht="15" customHeight="1" x14ac:dyDescent="0.2">
      <c r="A306" s="116"/>
      <c r="B306" s="117"/>
      <c r="C306" s="118"/>
      <c r="D306" s="118"/>
      <c r="E306" s="116"/>
      <c r="F306" s="119">
        <f t="shared" si="68"/>
        <v>0</v>
      </c>
      <c r="G306" s="120" t="str">
        <f t="shared" si="69"/>
        <v/>
      </c>
      <c r="H306" s="121">
        <f>IF($D306="",0,IFERROR(LOOKUP(2,1/(($D$3:D305=$D306)*($A$3:A305&lt;$A306)),$N$3:N305),'Guide &amp; Settings'!$C$41))</f>
        <v>0</v>
      </c>
      <c r="I306" s="122">
        <f t="shared" si="70"/>
        <v>0</v>
      </c>
      <c r="J306" s="123">
        <f>IF($D306="",0,IF($F306&lt;2,0,IF($E306="Win",('Guide &amp; Settings'!$C$42/(($F306-1)*COUNTIFS($A$4:$A$311,$A306,$E$4:$E$311,"Win")))*SUMIFS($X$4:$X$311,$A$4:$A$311,$A306,$E$4:$E$311,"Loss"),-('Guide &amp; Settings'!$C$42/($F306-1))*$X306)))</f>
        <v>0</v>
      </c>
      <c r="K306" s="123">
        <f>IF($D306="",0,'Guide &amp; Settings'!$C$43*(IF($E306="Win",1,0)-$I306))</f>
        <v>0</v>
      </c>
      <c r="L306" s="124">
        <f>IF($D306="",0,'Guide &amp; Settings'!$C$44*IF($F306&gt;=3,$F306+IF($E306="Win",$F306,0),0))</f>
        <v>0</v>
      </c>
      <c r="M306" s="123">
        <f t="shared" si="71"/>
        <v>0</v>
      </c>
      <c r="N306" s="121">
        <f t="shared" si="72"/>
        <v>0</v>
      </c>
      <c r="O306" s="120" t="str">
        <f t="shared" si="73"/>
        <v/>
      </c>
      <c r="P306">
        <f t="shared" si="74"/>
        <v>0</v>
      </c>
      <c r="Q306">
        <f t="shared" si="75"/>
        <v>0</v>
      </c>
      <c r="R306">
        <f t="shared" si="76"/>
        <v>0</v>
      </c>
      <c r="S306">
        <f t="shared" si="77"/>
        <v>0</v>
      </c>
      <c r="T306" s="88">
        <f t="shared" si="78"/>
        <v>0</v>
      </c>
      <c r="U306" s="125">
        <f>IF($D306="",0,IFERROR(LOOKUP(2,1/(($D$3:D305=$D306)*($C$3:C305=$C306)*($A$3:A305&lt;$A306)),$AB$3:AB305),1000))</f>
        <v>0</v>
      </c>
      <c r="V306" s="125">
        <f t="shared" si="79"/>
        <v>0</v>
      </c>
      <c r="W306">
        <f t="shared" si="80"/>
        <v>0</v>
      </c>
      <c r="X306">
        <f t="shared" si="81"/>
        <v>0</v>
      </c>
      <c r="Y306">
        <f t="shared" si="82"/>
        <v>0</v>
      </c>
      <c r="Z306">
        <f t="shared" si="83"/>
        <v>0</v>
      </c>
      <c r="AA306">
        <f>IF($D306="",0,IF($F306&lt;2,0,IF($E306="Win",('Guide &amp; Settings'!$C$42/(($F306-1)*COUNTIFS($A$4:$A$311,$A306,$E$4:$E$311,"Win")))*SUMIFS($Z$4:$Z$311,$A$4:$A$311,$A306,$E$4:$E$311,"Loss"),-('Guide &amp; Settings'!$C$42/($F306-1))*$Z306)))</f>
        <v>0</v>
      </c>
      <c r="AB306" s="125">
        <f t="shared" si="84"/>
        <v>0</v>
      </c>
      <c r="AC306" s="125" t="str">
        <f>IF($D306="","",IF(SUMPRODUCT(MAX(($D$4:$D$311=$D306)*($B$4:$B$311&lt;$B306)*$B$4:$B$311))=0,0,MAX(($B306-SUMPRODUCT(MAX(($D$4:$D$311=$D306)*($B$4:$B$311&lt;$B306)*$B$4:$B$311)))/7-'Guide &amp; Settings'!$C$48,0)*'Guide &amp; Settings'!$C$49))</f>
        <v/>
      </c>
    </row>
    <row r="307" spans="1:29" ht="15" customHeight="1" x14ac:dyDescent="0.2">
      <c r="A307" s="116"/>
      <c r="B307" s="117"/>
      <c r="C307" s="118"/>
      <c r="D307" s="118"/>
      <c r="E307" s="116"/>
      <c r="F307" s="119">
        <f t="shared" si="68"/>
        <v>0</v>
      </c>
      <c r="G307" s="120" t="str">
        <f t="shared" si="69"/>
        <v/>
      </c>
      <c r="H307" s="121">
        <f>IF($D307="",0,IFERROR(LOOKUP(2,1/(($D$3:D306=$D307)*($A$3:A306&lt;$A307)),$N$3:N306),'Guide &amp; Settings'!$C$41))</f>
        <v>0</v>
      </c>
      <c r="I307" s="122">
        <f t="shared" si="70"/>
        <v>0</v>
      </c>
      <c r="J307" s="123">
        <f>IF($D307="",0,IF($F307&lt;2,0,IF($E307="Win",('Guide &amp; Settings'!$C$42/(($F307-1)*COUNTIFS($A$4:$A$311,$A307,$E$4:$E$311,"Win")))*SUMIFS($X$4:$X$311,$A$4:$A$311,$A307,$E$4:$E$311,"Loss"),-('Guide &amp; Settings'!$C$42/($F307-1))*$X307)))</f>
        <v>0</v>
      </c>
      <c r="K307" s="123">
        <f>IF($D307="",0,'Guide &amp; Settings'!$C$43*(IF($E307="Win",1,0)-$I307))</f>
        <v>0</v>
      </c>
      <c r="L307" s="124">
        <f>IF($D307="",0,'Guide &amp; Settings'!$C$44*IF($F307&gt;=3,$F307+IF($E307="Win",$F307,0),0))</f>
        <v>0</v>
      </c>
      <c r="M307" s="123">
        <f t="shared" si="71"/>
        <v>0</v>
      </c>
      <c r="N307" s="121">
        <f t="shared" si="72"/>
        <v>0</v>
      </c>
      <c r="O307" s="120" t="str">
        <f t="shared" si="73"/>
        <v/>
      </c>
      <c r="P307">
        <f t="shared" si="74"/>
        <v>0</v>
      </c>
      <c r="Q307">
        <f t="shared" si="75"/>
        <v>0</v>
      </c>
      <c r="R307">
        <f t="shared" si="76"/>
        <v>0</v>
      </c>
      <c r="S307">
        <f t="shared" si="77"/>
        <v>0</v>
      </c>
      <c r="T307" s="88">
        <f t="shared" si="78"/>
        <v>0</v>
      </c>
      <c r="U307" s="125">
        <f>IF($D307="",0,IFERROR(LOOKUP(2,1/(($D$3:D306=$D307)*($C$3:C306=$C307)*($A$3:A306&lt;$A307)),$AB$3:AB306),1000))</f>
        <v>0</v>
      </c>
      <c r="V307" s="125">
        <f t="shared" si="79"/>
        <v>0</v>
      </c>
      <c r="W307">
        <f t="shared" si="80"/>
        <v>0</v>
      </c>
      <c r="X307">
        <f t="shared" si="81"/>
        <v>0</v>
      </c>
      <c r="Y307">
        <f t="shared" si="82"/>
        <v>0</v>
      </c>
      <c r="Z307">
        <f t="shared" si="83"/>
        <v>0</v>
      </c>
      <c r="AA307">
        <f>IF($D307="",0,IF($F307&lt;2,0,IF($E307="Win",('Guide &amp; Settings'!$C$42/(($F307-1)*COUNTIFS($A$4:$A$311,$A307,$E$4:$E$311,"Win")))*SUMIFS($Z$4:$Z$311,$A$4:$A$311,$A307,$E$4:$E$311,"Loss"),-('Guide &amp; Settings'!$C$42/($F307-1))*$Z307)))</f>
        <v>0</v>
      </c>
      <c r="AB307" s="125">
        <f t="shared" si="84"/>
        <v>0</v>
      </c>
      <c r="AC307" s="125" t="str">
        <f>IF($D307="","",IF(SUMPRODUCT(MAX(($D$4:$D$311=$D307)*($B$4:$B$311&lt;$B307)*$B$4:$B$311))=0,0,MAX(($B307-SUMPRODUCT(MAX(($D$4:$D$311=$D307)*($B$4:$B$311&lt;$B307)*$B$4:$B$311)))/7-'Guide &amp; Settings'!$C$48,0)*'Guide &amp; Settings'!$C$49))</f>
        <v/>
      </c>
    </row>
    <row r="308" spans="1:29" ht="15" customHeight="1" x14ac:dyDescent="0.2">
      <c r="A308" s="116"/>
      <c r="B308" s="117"/>
      <c r="C308" s="118"/>
      <c r="D308" s="118"/>
      <c r="E308" s="116"/>
      <c r="F308" s="119">
        <f t="shared" si="68"/>
        <v>0</v>
      </c>
      <c r="G308" s="120" t="str">
        <f t="shared" si="69"/>
        <v/>
      </c>
      <c r="H308" s="121">
        <f>IF($D308="",0,IFERROR(LOOKUP(2,1/(($D$3:D307=$D308)*($A$3:A307&lt;$A308)),$N$3:N307),'Guide &amp; Settings'!$C$41))</f>
        <v>0</v>
      </c>
      <c r="I308" s="122">
        <f t="shared" si="70"/>
        <v>0</v>
      </c>
      <c r="J308" s="123">
        <f>IF($D308="",0,IF($F308&lt;2,0,IF($E308="Win",('Guide &amp; Settings'!$C$42/(($F308-1)*COUNTIFS($A$4:$A$311,$A308,$E$4:$E$311,"Win")))*SUMIFS($X$4:$X$311,$A$4:$A$311,$A308,$E$4:$E$311,"Loss"),-('Guide &amp; Settings'!$C$42/($F308-1))*$X308)))</f>
        <v>0</v>
      </c>
      <c r="K308" s="123">
        <f>IF($D308="",0,'Guide &amp; Settings'!$C$43*(IF($E308="Win",1,0)-$I308))</f>
        <v>0</v>
      </c>
      <c r="L308" s="124">
        <f>IF($D308="",0,'Guide &amp; Settings'!$C$44*IF($F308&gt;=3,$F308+IF($E308="Win",$F308,0),0))</f>
        <v>0</v>
      </c>
      <c r="M308" s="123">
        <f t="shared" si="71"/>
        <v>0</v>
      </c>
      <c r="N308" s="121">
        <f t="shared" si="72"/>
        <v>0</v>
      </c>
      <c r="O308" s="120" t="str">
        <f t="shared" si="73"/>
        <v/>
      </c>
      <c r="P308">
        <f t="shared" si="74"/>
        <v>0</v>
      </c>
      <c r="Q308">
        <f t="shared" si="75"/>
        <v>0</v>
      </c>
      <c r="R308">
        <f t="shared" si="76"/>
        <v>0</v>
      </c>
      <c r="S308">
        <f t="shared" si="77"/>
        <v>0</v>
      </c>
      <c r="T308" s="88">
        <f t="shared" si="78"/>
        <v>0</v>
      </c>
      <c r="U308" s="125">
        <f>IF($D308="",0,IFERROR(LOOKUP(2,1/(($D$3:D307=$D308)*($C$3:C307=$C308)*($A$3:A307&lt;$A308)),$AB$3:AB307),1000))</f>
        <v>0</v>
      </c>
      <c r="V308" s="125">
        <f t="shared" si="79"/>
        <v>0</v>
      </c>
      <c r="W308">
        <f t="shared" si="80"/>
        <v>0</v>
      </c>
      <c r="X308">
        <f t="shared" si="81"/>
        <v>0</v>
      </c>
      <c r="Y308">
        <f t="shared" si="82"/>
        <v>0</v>
      </c>
      <c r="Z308">
        <f t="shared" si="83"/>
        <v>0</v>
      </c>
      <c r="AA308">
        <f>IF($D308="",0,IF($F308&lt;2,0,IF($E308="Win",('Guide &amp; Settings'!$C$42/(($F308-1)*COUNTIFS($A$4:$A$311,$A308,$E$4:$E$311,"Win")))*SUMIFS($Z$4:$Z$311,$A$4:$A$311,$A308,$E$4:$E$311,"Loss"),-('Guide &amp; Settings'!$C$42/($F308-1))*$Z308)))</f>
        <v>0</v>
      </c>
      <c r="AB308" s="125">
        <f t="shared" si="84"/>
        <v>0</v>
      </c>
      <c r="AC308" s="125" t="str">
        <f>IF($D308="","",IF(SUMPRODUCT(MAX(($D$4:$D$311=$D308)*($B$4:$B$311&lt;$B308)*$B$4:$B$311))=0,0,MAX(($B308-SUMPRODUCT(MAX(($D$4:$D$311=$D308)*($B$4:$B$311&lt;$B308)*$B$4:$B$311)))/7-'Guide &amp; Settings'!$C$48,0)*'Guide &amp; Settings'!$C$49))</f>
        <v/>
      </c>
    </row>
    <row r="309" spans="1:29" ht="15" customHeight="1" x14ac:dyDescent="0.2">
      <c r="A309" s="116"/>
      <c r="B309" s="117"/>
      <c r="C309" s="118"/>
      <c r="D309" s="118"/>
      <c r="E309" s="116"/>
      <c r="F309" s="119">
        <f t="shared" si="68"/>
        <v>0</v>
      </c>
      <c r="G309" s="120" t="str">
        <f t="shared" si="69"/>
        <v/>
      </c>
      <c r="H309" s="121">
        <f>IF($D309="",0,IFERROR(LOOKUP(2,1/(($D$3:D308=$D309)*($A$3:A308&lt;$A309)),$N$3:N308),'Guide &amp; Settings'!$C$41))</f>
        <v>0</v>
      </c>
      <c r="I309" s="122">
        <f t="shared" si="70"/>
        <v>0</v>
      </c>
      <c r="J309" s="123">
        <f>IF($D309="",0,IF($F309&lt;2,0,IF($E309="Win",('Guide &amp; Settings'!$C$42/(($F309-1)*COUNTIFS($A$4:$A$311,$A309,$E$4:$E$311,"Win")))*SUMIFS($X$4:$X$311,$A$4:$A$311,$A309,$E$4:$E$311,"Loss"),-('Guide &amp; Settings'!$C$42/($F309-1))*$X309)))</f>
        <v>0</v>
      </c>
      <c r="K309" s="123">
        <f>IF($D309="",0,'Guide &amp; Settings'!$C$43*(IF($E309="Win",1,0)-$I309))</f>
        <v>0</v>
      </c>
      <c r="L309" s="124">
        <f>IF($D309="",0,'Guide &amp; Settings'!$C$44*IF($F309&gt;=3,$F309+IF($E309="Win",$F309,0),0))</f>
        <v>0</v>
      </c>
      <c r="M309" s="123">
        <f t="shared" si="71"/>
        <v>0</v>
      </c>
      <c r="N309" s="121">
        <f t="shared" si="72"/>
        <v>0</v>
      </c>
      <c r="O309" s="120" t="str">
        <f t="shared" si="73"/>
        <v/>
      </c>
      <c r="P309">
        <f t="shared" si="74"/>
        <v>0</v>
      </c>
      <c r="Q309">
        <f t="shared" si="75"/>
        <v>0</v>
      </c>
      <c r="R309">
        <f t="shared" si="76"/>
        <v>0</v>
      </c>
      <c r="S309">
        <f t="shared" si="77"/>
        <v>0</v>
      </c>
      <c r="T309" s="88">
        <f t="shared" si="78"/>
        <v>0</v>
      </c>
      <c r="U309" s="125">
        <f>IF($D309="",0,IFERROR(LOOKUP(2,1/(($D$3:D308=$D309)*($C$3:C308=$C309)*($A$3:A308&lt;$A309)),$AB$3:AB308),1000))</f>
        <v>0</v>
      </c>
      <c r="V309" s="125">
        <f t="shared" si="79"/>
        <v>0</v>
      </c>
      <c r="W309">
        <f t="shared" si="80"/>
        <v>0</v>
      </c>
      <c r="X309">
        <f t="shared" si="81"/>
        <v>0</v>
      </c>
      <c r="Y309">
        <f t="shared" si="82"/>
        <v>0</v>
      </c>
      <c r="Z309">
        <f t="shared" si="83"/>
        <v>0</v>
      </c>
      <c r="AA309">
        <f>IF($D309="",0,IF($F309&lt;2,0,IF($E309="Win",('Guide &amp; Settings'!$C$42/(($F309-1)*COUNTIFS($A$4:$A$311,$A309,$E$4:$E$311,"Win")))*SUMIFS($Z$4:$Z$311,$A$4:$A$311,$A309,$E$4:$E$311,"Loss"),-('Guide &amp; Settings'!$C$42/($F309-1))*$Z309)))</f>
        <v>0</v>
      </c>
      <c r="AB309" s="125">
        <f t="shared" si="84"/>
        <v>0</v>
      </c>
      <c r="AC309" s="125" t="str">
        <f>IF($D309="","",IF(SUMPRODUCT(MAX(($D$4:$D$311=$D309)*($B$4:$B$311&lt;$B309)*$B$4:$B$311))=0,0,MAX(($B309-SUMPRODUCT(MAX(($D$4:$D$311=$D309)*($B$4:$B$311&lt;$B309)*$B$4:$B$311)))/7-'Guide &amp; Settings'!$C$48,0)*'Guide &amp; Settings'!$C$49))</f>
        <v/>
      </c>
    </row>
    <row r="310" spans="1:29" ht="15" customHeight="1" x14ac:dyDescent="0.2">
      <c r="A310" s="116"/>
      <c r="B310" s="117"/>
      <c r="C310" s="118"/>
      <c r="D310" s="118"/>
      <c r="E310" s="116"/>
      <c r="F310" s="119">
        <f t="shared" si="68"/>
        <v>0</v>
      </c>
      <c r="G310" s="120" t="str">
        <f t="shared" si="69"/>
        <v/>
      </c>
      <c r="H310" s="121">
        <f>IF($D310="",0,IFERROR(LOOKUP(2,1/(($D$3:D309=$D310)*($A$3:A309&lt;$A310)),$N$3:N309),'Guide &amp; Settings'!$C$41))</f>
        <v>0</v>
      </c>
      <c r="I310" s="122">
        <f t="shared" si="70"/>
        <v>0</v>
      </c>
      <c r="J310" s="123">
        <f>IF($D310="",0,IF($F310&lt;2,0,IF($E310="Win",('Guide &amp; Settings'!$C$42/(($F310-1)*COUNTIFS($A$4:$A$311,$A310,$E$4:$E$311,"Win")))*SUMIFS($X$4:$X$311,$A$4:$A$311,$A310,$E$4:$E$311,"Loss"),-('Guide &amp; Settings'!$C$42/($F310-1))*$X310)))</f>
        <v>0</v>
      </c>
      <c r="K310" s="123">
        <f>IF($D310="",0,'Guide &amp; Settings'!$C$43*(IF($E310="Win",1,0)-$I310))</f>
        <v>0</v>
      </c>
      <c r="L310" s="124">
        <f>IF($D310="",0,'Guide &amp; Settings'!$C$44*IF($F310&gt;=3,$F310+IF($E310="Win",$F310,0),0))</f>
        <v>0</v>
      </c>
      <c r="M310" s="123">
        <f t="shared" si="71"/>
        <v>0</v>
      </c>
      <c r="N310" s="121">
        <f t="shared" si="72"/>
        <v>0</v>
      </c>
      <c r="O310" s="120" t="str">
        <f t="shared" si="73"/>
        <v/>
      </c>
      <c r="P310">
        <f t="shared" si="74"/>
        <v>0</v>
      </c>
      <c r="Q310">
        <f t="shared" si="75"/>
        <v>0</v>
      </c>
      <c r="R310">
        <f t="shared" si="76"/>
        <v>0</v>
      </c>
      <c r="S310">
        <f t="shared" si="77"/>
        <v>0</v>
      </c>
      <c r="T310" s="88">
        <f t="shared" si="78"/>
        <v>0</v>
      </c>
      <c r="U310" s="125">
        <f>IF($D310="",0,IFERROR(LOOKUP(2,1/(($D$3:D309=$D310)*($C$3:C309=$C310)*($A$3:A309&lt;$A310)),$AB$3:AB309),1000))</f>
        <v>0</v>
      </c>
      <c r="V310" s="125">
        <f t="shared" si="79"/>
        <v>0</v>
      </c>
      <c r="W310">
        <f t="shared" si="80"/>
        <v>0</v>
      </c>
      <c r="X310">
        <f t="shared" si="81"/>
        <v>0</v>
      </c>
      <c r="Y310">
        <f t="shared" si="82"/>
        <v>0</v>
      </c>
      <c r="Z310">
        <f t="shared" si="83"/>
        <v>0</v>
      </c>
      <c r="AA310">
        <f>IF($D310="",0,IF($F310&lt;2,0,IF($E310="Win",('Guide &amp; Settings'!$C$42/(($F310-1)*COUNTIFS($A$4:$A$311,$A310,$E$4:$E$311,"Win")))*SUMIFS($Z$4:$Z$311,$A$4:$A$311,$A310,$E$4:$E$311,"Loss"),-('Guide &amp; Settings'!$C$42/($F310-1))*$Z310)))</f>
        <v>0</v>
      </c>
      <c r="AB310" s="125">
        <f t="shared" si="84"/>
        <v>0</v>
      </c>
      <c r="AC310" s="125" t="str">
        <f>IF($D310="","",IF(SUMPRODUCT(MAX(($D$4:$D$311=$D310)*($B$4:$B$311&lt;$B310)*$B$4:$B$311))=0,0,MAX(($B310-SUMPRODUCT(MAX(($D$4:$D$311=$D310)*($B$4:$B$311&lt;$B310)*$B$4:$B$311)))/7-'Guide &amp; Settings'!$C$48,0)*'Guide &amp; Settings'!$C$49))</f>
        <v/>
      </c>
    </row>
    <row r="311" spans="1:29" ht="15" customHeight="1" x14ac:dyDescent="0.2">
      <c r="A311" s="116"/>
      <c r="B311" s="117"/>
      <c r="C311" s="118"/>
      <c r="D311" s="118"/>
      <c r="E311" s="116"/>
      <c r="F311" s="119">
        <f t="shared" si="68"/>
        <v>0</v>
      </c>
      <c r="G311" s="120" t="str">
        <f t="shared" si="69"/>
        <v/>
      </c>
      <c r="H311" s="121">
        <f>IF($D311="",0,IFERROR(LOOKUP(2,1/(($D$3:D310=$D311)*($A$3:A310&lt;$A311)),$N$3:N310),'Guide &amp; Settings'!$C$41))</f>
        <v>0</v>
      </c>
      <c r="I311" s="122">
        <f t="shared" si="70"/>
        <v>0</v>
      </c>
      <c r="J311" s="123">
        <f>IF($D311="",0,IF($F311&lt;2,0,IF($E311="Win",('Guide &amp; Settings'!$C$42/(($F311-1)*COUNTIFS($A$4:$A$311,$A311,$E$4:$E$311,"Win")))*SUMIFS($X$4:$X$311,$A$4:$A$311,$A311,$E$4:$E$311,"Loss"),-('Guide &amp; Settings'!$C$42/($F311-1))*$X311)))</f>
        <v>0</v>
      </c>
      <c r="K311" s="123">
        <f>IF($D311="",0,'Guide &amp; Settings'!$C$43*(IF($E311="Win",1,0)-$I311))</f>
        <v>0</v>
      </c>
      <c r="L311" s="124">
        <f>IF($D311="",0,'Guide &amp; Settings'!$C$44*IF($F311&gt;=3,$F311+IF($E311="Win",$F311,0),0))</f>
        <v>0</v>
      </c>
      <c r="M311" s="123">
        <f t="shared" si="71"/>
        <v>0</v>
      </c>
      <c r="N311" s="121">
        <f t="shared" si="72"/>
        <v>0</v>
      </c>
      <c r="O311" s="120" t="str">
        <f t="shared" si="73"/>
        <v/>
      </c>
      <c r="P311">
        <f t="shared" si="74"/>
        <v>0</v>
      </c>
      <c r="Q311">
        <f t="shared" si="75"/>
        <v>0</v>
      </c>
      <c r="R311">
        <f t="shared" si="76"/>
        <v>0</v>
      </c>
      <c r="S311">
        <f t="shared" si="77"/>
        <v>0</v>
      </c>
      <c r="T311" s="88">
        <f t="shared" si="78"/>
        <v>0</v>
      </c>
      <c r="U311" s="125">
        <f>IF($D311="",0,IFERROR(LOOKUP(2,1/(($D$3:D310=$D311)*($C$3:C310=$C311)*($A$3:A310&lt;$A311)),$AB$3:AB310),1000))</f>
        <v>0</v>
      </c>
      <c r="V311" s="125">
        <f t="shared" si="79"/>
        <v>0</v>
      </c>
      <c r="W311">
        <f t="shared" si="80"/>
        <v>0</v>
      </c>
      <c r="X311">
        <f t="shared" si="81"/>
        <v>0</v>
      </c>
      <c r="Y311">
        <f t="shared" si="82"/>
        <v>0</v>
      </c>
      <c r="Z311">
        <f t="shared" si="83"/>
        <v>0</v>
      </c>
      <c r="AA311">
        <f>IF($D311="",0,IF($F311&lt;2,0,IF($E311="Win",('Guide &amp; Settings'!$C$42/(($F311-1)*COUNTIFS($A$4:$A$311,$A311,$E$4:$E$311,"Win")))*SUMIFS($Z$4:$Z$311,$A$4:$A$311,$A311,$E$4:$E$311,"Loss"),-('Guide &amp; Settings'!$C$42/($F311-1))*$Z311)))</f>
        <v>0</v>
      </c>
      <c r="AB311" s="125">
        <f t="shared" si="84"/>
        <v>0</v>
      </c>
      <c r="AC311" s="125" t="str">
        <f>IF($D311="","",IF(SUMPRODUCT(MAX(($D$4:$D$311=$D311)*($B$4:$B$311&lt;$B311)*$B$4:$B$311))=0,0,MAX(($B311-SUMPRODUCT(MAX(($D$4:$D$311=$D311)*($B$4:$B$311&lt;$B311)*$B$4:$B$311)))/7-'Guide &amp; Settings'!$C$48,0)*'Guide &amp; Settings'!$C$49))</f>
        <v/>
      </c>
    </row>
  </sheetData>
  <sheetProtection formatCells="0" formatColumns="0" formatRows="0" selectLockedCells="1" selectUnlockedCell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0000000}">
          <x14:formula1>
            <xm:f>Lists!$C$2:$C$20</xm:f>
          </x14:formula1>
          <xm:sqref>C4:C311</xm:sqref>
        </x14:dataValidation>
        <x14:dataValidation type="list" allowBlank="1" showInputMessage="1" showErrorMessage="1" xr:uid="{00000000-0002-0000-0800-000001000000}">
          <x14:formula1>
            <xm:f>Lists!$A$2:$A$15</xm:f>
          </x14:formula1>
          <xm:sqref>D4:D311</xm:sqref>
        </x14:dataValidation>
        <x14:dataValidation type="list" allowBlank="1" showInputMessage="1" showErrorMessage="1" xr:uid="{00000000-0002-0000-0800-000002000000}">
          <x14:formula1>
            <xm:f>Lists!$E$2:$E$3</xm:f>
          </x14:formula1>
          <xm:sqref>E4:E311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D16A1-E691-8C4D-9DE0-B145E821A6F0}">
  <sheetPr>
    <tabColor rgb="FF2F8F5B"/>
  </sheetPr>
  <dimension ref="A1:R49"/>
  <sheetViews>
    <sheetView showGridLines="0" zoomScale="158" zoomScaleNormal="158" workbookViewId="0">
      <pane ySplit="5" topLeftCell="A6" activePane="bottomLeft" state="frozen"/>
      <selection pane="bottomLeft" activeCell="U16" sqref="U16"/>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77" t="s">
        <v>318</v>
      </c>
    </row>
    <row r="2" spans="1:18" ht="15" customHeight="1" x14ac:dyDescent="0.2">
      <c r="A2" s="151" t="s">
        <v>319</v>
      </c>
      <c r="B2" s="151"/>
      <c r="C2" s="151"/>
      <c r="D2" s="151"/>
      <c r="E2" s="151"/>
      <c r="F2" s="151"/>
      <c r="G2" s="151"/>
      <c r="H2" s="151"/>
      <c r="I2" s="151"/>
      <c r="J2" s="151"/>
      <c r="K2" s="151"/>
      <c r="L2" s="151"/>
      <c r="M2" s="151"/>
      <c r="N2" s="151"/>
      <c r="O2" s="151"/>
      <c r="P2" s="151"/>
      <c r="Q2" s="151"/>
      <c r="R2" s="151"/>
    </row>
    <row r="3" spans="1:18" ht="15" customHeight="1" x14ac:dyDescent="0.2">
      <c r="A3" s="78" t="s">
        <v>320</v>
      </c>
      <c r="B3" s="126">
        <f>COUNTA($B$6:$O$6)</f>
        <v>14</v>
      </c>
      <c r="C3" s="78" t="s">
        <v>321</v>
      </c>
      <c r="D3" s="126">
        <f>INT($B$3/2)+1</f>
        <v>8</v>
      </c>
      <c r="E3" s="78" t="s">
        <v>322</v>
      </c>
      <c r="F3" s="126">
        <f>ROUNDUP($B$3/2,0)</f>
        <v>7</v>
      </c>
      <c r="H3" s="151" t="s">
        <v>323</v>
      </c>
      <c r="I3" s="151"/>
      <c r="J3" s="151"/>
      <c r="K3" s="151"/>
      <c r="L3" s="151"/>
      <c r="M3" s="151"/>
      <c r="N3" s="151"/>
      <c r="O3" s="151"/>
      <c r="P3" s="151"/>
      <c r="Q3" s="151"/>
      <c r="R3" s="151"/>
    </row>
    <row r="5" spans="1:18" ht="15" customHeight="1" x14ac:dyDescent="0.2">
      <c r="A5" s="150" t="s">
        <v>324</v>
      </c>
      <c r="B5" s="150"/>
      <c r="C5" s="150"/>
      <c r="D5" s="150"/>
      <c r="E5" s="150"/>
      <c r="F5" s="150"/>
      <c r="G5" s="150"/>
      <c r="H5" s="150"/>
      <c r="I5" s="150"/>
      <c r="J5" s="150"/>
      <c r="K5" s="150"/>
      <c r="L5" s="150"/>
      <c r="M5" s="150"/>
      <c r="N5" s="150"/>
      <c r="O5" s="150"/>
      <c r="P5" s="150"/>
      <c r="Q5" s="150"/>
      <c r="R5" s="150"/>
    </row>
    <row r="6" spans="1:18" ht="91.5" customHeight="1" x14ac:dyDescent="0.2">
      <c r="A6" s="79" t="s">
        <v>325</v>
      </c>
      <c r="B6" s="80" t="s">
        <v>145</v>
      </c>
      <c r="C6" s="80" t="s">
        <v>142</v>
      </c>
      <c r="D6" s="80" t="s">
        <v>180</v>
      </c>
      <c r="E6" s="80" t="s">
        <v>147</v>
      </c>
      <c r="F6" s="80" t="s">
        <v>144</v>
      </c>
      <c r="G6" s="80" t="s">
        <v>141</v>
      </c>
      <c r="H6" s="80" t="s">
        <v>175</v>
      </c>
      <c r="I6" s="80" t="s">
        <v>177</v>
      </c>
      <c r="J6" s="80" t="s">
        <v>174</v>
      </c>
      <c r="K6" s="80" t="s">
        <v>182</v>
      </c>
      <c r="L6" s="80" t="s">
        <v>176</v>
      </c>
      <c r="M6" s="80" t="s">
        <v>178</v>
      </c>
      <c r="N6" s="80" t="s">
        <v>179</v>
      </c>
      <c r="O6" s="80" t="s">
        <v>181</v>
      </c>
      <c r="P6" s="79" t="s">
        <v>326</v>
      </c>
      <c r="Q6" s="79" t="s">
        <v>327</v>
      </c>
      <c r="R6" s="79" t="s">
        <v>328</v>
      </c>
    </row>
    <row r="7" spans="1:18" ht="15" customHeight="1" x14ac:dyDescent="0.2">
      <c r="A7" s="127" t="s">
        <v>329</v>
      </c>
      <c r="B7" s="128">
        <v>1</v>
      </c>
      <c r="C7" s="128"/>
      <c r="D7" s="128"/>
      <c r="E7" s="128"/>
      <c r="F7" s="128"/>
      <c r="G7" s="128">
        <v>1</v>
      </c>
      <c r="H7" s="128"/>
      <c r="I7" s="128"/>
      <c r="J7" s="128"/>
      <c r="K7" s="128"/>
      <c r="L7" s="128"/>
      <c r="M7" s="128"/>
      <c r="N7" s="128"/>
      <c r="O7" s="128"/>
      <c r="P7" s="129">
        <f t="shared" ref="P7:P26" si="0">IF($A7="","",SUM($B7:$O7))</f>
        <v>2</v>
      </c>
      <c r="Q7" s="129">
        <f t="shared" ref="Q7:Q26" si="1">IF($A7="","",COUNT($B7:$O7))</f>
        <v>2</v>
      </c>
      <c r="R7" s="130" t="str">
        <f t="shared" ref="R7:R26" si="2">IF($A7="","",IF($P7&gt;=$D$3,"PASSED — add it",IF($Q7&lt;$F$3,"Awaiting votes ("&amp;$Q7&amp;" of "&amp;$B$3&amp;")",IF($P7+($B$3-$Q7)&lt;$D$3,"Rejected","Open ("&amp;$P7&amp;" in favour)"))))</f>
        <v>Awaiting votes (2 of 14)</v>
      </c>
    </row>
    <row r="8" spans="1:18" ht="15" customHeight="1" x14ac:dyDescent="0.2">
      <c r="A8" s="127" t="s">
        <v>330</v>
      </c>
      <c r="B8" s="128">
        <v>1</v>
      </c>
      <c r="C8" s="128"/>
      <c r="D8" s="128"/>
      <c r="E8" s="128"/>
      <c r="F8" s="128"/>
      <c r="G8" s="128">
        <v>1</v>
      </c>
      <c r="H8" s="128"/>
      <c r="I8" s="128"/>
      <c r="J8" s="128"/>
      <c r="K8" s="128"/>
      <c r="L8" s="128"/>
      <c r="M8" s="128"/>
      <c r="N8" s="128"/>
      <c r="O8" s="128"/>
      <c r="P8" s="129">
        <f t="shared" si="0"/>
        <v>2</v>
      </c>
      <c r="Q8" s="129">
        <f t="shared" si="1"/>
        <v>2</v>
      </c>
      <c r="R8" s="130" t="str">
        <f t="shared" si="2"/>
        <v>Awaiting votes (2 of 14)</v>
      </c>
    </row>
    <row r="9" spans="1:18" ht="15" customHeight="1" x14ac:dyDescent="0.2">
      <c r="A9" s="127" t="s">
        <v>331</v>
      </c>
      <c r="B9" s="128">
        <v>1</v>
      </c>
      <c r="C9" s="128"/>
      <c r="D9" s="128"/>
      <c r="E9" s="128"/>
      <c r="F9" s="128"/>
      <c r="G9" s="128">
        <v>1</v>
      </c>
      <c r="H9" s="128"/>
      <c r="I9" s="128"/>
      <c r="J9" s="128"/>
      <c r="K9" s="128"/>
      <c r="L9" s="128"/>
      <c r="M9" s="128"/>
      <c r="N9" s="128"/>
      <c r="O9" s="128"/>
      <c r="P9" s="129">
        <f t="shared" si="0"/>
        <v>2</v>
      </c>
      <c r="Q9" s="129">
        <f t="shared" si="1"/>
        <v>2</v>
      </c>
      <c r="R9" s="130" t="str">
        <f t="shared" si="2"/>
        <v>Awaiting votes (2 of 14)</v>
      </c>
    </row>
    <row r="10" spans="1:18" ht="15" customHeight="1" x14ac:dyDescent="0.2">
      <c r="A10" s="127" t="s">
        <v>332</v>
      </c>
      <c r="B10" s="128">
        <v>1</v>
      </c>
      <c r="C10" s="128"/>
      <c r="D10" s="128"/>
      <c r="E10" s="128"/>
      <c r="F10" s="128"/>
      <c r="G10" s="128">
        <v>1</v>
      </c>
      <c r="H10" s="128"/>
      <c r="I10" s="128"/>
      <c r="J10" s="128"/>
      <c r="K10" s="128"/>
      <c r="L10" s="128"/>
      <c r="M10" s="128"/>
      <c r="N10" s="128"/>
      <c r="O10" s="128"/>
      <c r="P10" s="129">
        <f t="shared" si="0"/>
        <v>2</v>
      </c>
      <c r="Q10" s="129">
        <f t="shared" si="1"/>
        <v>2</v>
      </c>
      <c r="R10" s="130" t="str">
        <f t="shared" si="2"/>
        <v>Awaiting votes (2 of 14)</v>
      </c>
    </row>
    <row r="11" spans="1:18" ht="15" customHeight="1" x14ac:dyDescent="0.2">
      <c r="A11" s="127"/>
      <c r="B11" s="128"/>
      <c r="C11" s="128"/>
      <c r="D11" s="128"/>
      <c r="E11" s="128"/>
      <c r="F11" s="128"/>
      <c r="G11" s="128"/>
      <c r="H11" s="128"/>
      <c r="I11" s="128"/>
      <c r="J11" s="128"/>
      <c r="K11" s="128"/>
      <c r="L11" s="128"/>
      <c r="M11" s="128"/>
      <c r="N11" s="128"/>
      <c r="O11" s="128"/>
      <c r="P11" s="129" t="str">
        <f t="shared" si="0"/>
        <v/>
      </c>
      <c r="Q11" s="129" t="str">
        <f t="shared" si="1"/>
        <v/>
      </c>
      <c r="R11" s="130" t="str">
        <f t="shared" si="2"/>
        <v/>
      </c>
    </row>
    <row r="12" spans="1:18" ht="15" customHeight="1" x14ac:dyDescent="0.2">
      <c r="A12" s="127"/>
      <c r="B12" s="128"/>
      <c r="C12" s="128"/>
      <c r="D12" s="128"/>
      <c r="E12" s="128"/>
      <c r="F12" s="128"/>
      <c r="G12" s="128"/>
      <c r="H12" s="128"/>
      <c r="I12" s="128"/>
      <c r="J12" s="128"/>
      <c r="K12" s="128"/>
      <c r="L12" s="128"/>
      <c r="M12" s="128"/>
      <c r="N12" s="128"/>
      <c r="O12" s="128"/>
      <c r="P12" s="129" t="str">
        <f t="shared" si="0"/>
        <v/>
      </c>
      <c r="Q12" s="129" t="str">
        <f t="shared" si="1"/>
        <v/>
      </c>
      <c r="R12" s="130" t="str">
        <f t="shared" si="2"/>
        <v/>
      </c>
    </row>
    <row r="13" spans="1:18" ht="15" customHeight="1" x14ac:dyDescent="0.2">
      <c r="A13" s="127"/>
      <c r="B13" s="128"/>
      <c r="C13" s="128"/>
      <c r="D13" s="128"/>
      <c r="E13" s="128"/>
      <c r="F13" s="128"/>
      <c r="G13" s="128"/>
      <c r="H13" s="128"/>
      <c r="I13" s="128"/>
      <c r="J13" s="128"/>
      <c r="K13" s="128"/>
      <c r="L13" s="128"/>
      <c r="M13" s="128"/>
      <c r="N13" s="128"/>
      <c r="O13" s="128"/>
      <c r="P13" s="129" t="str">
        <f t="shared" si="0"/>
        <v/>
      </c>
      <c r="Q13" s="129" t="str">
        <f t="shared" si="1"/>
        <v/>
      </c>
      <c r="R13" s="130" t="str">
        <f t="shared" si="2"/>
        <v/>
      </c>
    </row>
    <row r="14" spans="1:18" ht="15" customHeight="1" x14ac:dyDescent="0.2">
      <c r="A14" s="127"/>
      <c r="B14" s="128"/>
      <c r="C14" s="128"/>
      <c r="D14" s="128"/>
      <c r="E14" s="128"/>
      <c r="F14" s="128"/>
      <c r="G14" s="128"/>
      <c r="H14" s="128"/>
      <c r="I14" s="128"/>
      <c r="J14" s="128"/>
      <c r="K14" s="128"/>
      <c r="L14" s="128"/>
      <c r="M14" s="128"/>
      <c r="N14" s="128"/>
      <c r="O14" s="128"/>
      <c r="P14" s="129" t="str">
        <f t="shared" si="0"/>
        <v/>
      </c>
      <c r="Q14" s="129" t="str">
        <f t="shared" si="1"/>
        <v/>
      </c>
      <c r="R14" s="130" t="str">
        <f t="shared" si="2"/>
        <v/>
      </c>
    </row>
    <row r="15" spans="1:18" ht="15" customHeight="1" x14ac:dyDescent="0.2">
      <c r="A15" s="127"/>
      <c r="B15" s="128"/>
      <c r="C15" s="128"/>
      <c r="D15" s="128"/>
      <c r="E15" s="128"/>
      <c r="F15" s="128"/>
      <c r="G15" s="128"/>
      <c r="H15" s="128"/>
      <c r="I15" s="128"/>
      <c r="J15" s="128"/>
      <c r="K15" s="128"/>
      <c r="L15" s="128"/>
      <c r="M15" s="128"/>
      <c r="N15" s="128"/>
      <c r="O15" s="128"/>
      <c r="P15" s="129" t="str">
        <f t="shared" si="0"/>
        <v/>
      </c>
      <c r="Q15" s="129" t="str">
        <f t="shared" si="1"/>
        <v/>
      </c>
      <c r="R15" s="130" t="str">
        <f t="shared" si="2"/>
        <v/>
      </c>
    </row>
    <row r="16" spans="1:18" ht="15" customHeight="1" x14ac:dyDescent="0.2">
      <c r="A16" s="127"/>
      <c r="B16" s="128"/>
      <c r="C16" s="128"/>
      <c r="D16" s="128"/>
      <c r="E16" s="128"/>
      <c r="F16" s="128"/>
      <c r="G16" s="128"/>
      <c r="H16" s="128"/>
      <c r="I16" s="128"/>
      <c r="J16" s="128"/>
      <c r="K16" s="128"/>
      <c r="L16" s="128"/>
      <c r="M16" s="128"/>
      <c r="N16" s="128"/>
      <c r="O16" s="128"/>
      <c r="P16" s="129" t="str">
        <f t="shared" si="0"/>
        <v/>
      </c>
      <c r="Q16" s="129" t="str">
        <f t="shared" si="1"/>
        <v/>
      </c>
      <c r="R16" s="130" t="str">
        <f t="shared" si="2"/>
        <v/>
      </c>
    </row>
    <row r="17" spans="1:18" ht="15" customHeight="1" x14ac:dyDescent="0.2">
      <c r="A17" s="127"/>
      <c r="B17" s="128"/>
      <c r="C17" s="128"/>
      <c r="D17" s="128"/>
      <c r="E17" s="128"/>
      <c r="F17" s="128"/>
      <c r="G17" s="128"/>
      <c r="H17" s="128"/>
      <c r="I17" s="128"/>
      <c r="J17" s="128"/>
      <c r="K17" s="128"/>
      <c r="L17" s="128"/>
      <c r="M17" s="128"/>
      <c r="N17" s="128"/>
      <c r="O17" s="128"/>
      <c r="P17" s="129" t="str">
        <f t="shared" si="0"/>
        <v/>
      </c>
      <c r="Q17" s="129" t="str">
        <f t="shared" si="1"/>
        <v/>
      </c>
      <c r="R17" s="130" t="str">
        <f t="shared" si="2"/>
        <v/>
      </c>
    </row>
    <row r="18" spans="1:18" ht="15" customHeight="1" x14ac:dyDescent="0.2">
      <c r="A18" s="127"/>
      <c r="B18" s="128"/>
      <c r="C18" s="128"/>
      <c r="D18" s="128"/>
      <c r="E18" s="128"/>
      <c r="F18" s="128"/>
      <c r="G18" s="128"/>
      <c r="H18" s="128"/>
      <c r="I18" s="128"/>
      <c r="J18" s="128"/>
      <c r="K18" s="128"/>
      <c r="L18" s="128"/>
      <c r="M18" s="128"/>
      <c r="N18" s="128"/>
      <c r="O18" s="128"/>
      <c r="P18" s="129" t="str">
        <f t="shared" si="0"/>
        <v/>
      </c>
      <c r="Q18" s="129" t="str">
        <f t="shared" si="1"/>
        <v/>
      </c>
      <c r="R18" s="130" t="str">
        <f t="shared" si="2"/>
        <v/>
      </c>
    </row>
    <row r="19" spans="1:18" ht="15" customHeight="1" x14ac:dyDescent="0.2">
      <c r="A19" s="127"/>
      <c r="B19" s="128"/>
      <c r="C19" s="128"/>
      <c r="D19" s="128"/>
      <c r="E19" s="128"/>
      <c r="F19" s="128"/>
      <c r="G19" s="128"/>
      <c r="H19" s="128"/>
      <c r="I19" s="128"/>
      <c r="J19" s="128"/>
      <c r="K19" s="128"/>
      <c r="L19" s="128"/>
      <c r="M19" s="128"/>
      <c r="N19" s="128"/>
      <c r="O19" s="128"/>
      <c r="P19" s="129" t="str">
        <f t="shared" si="0"/>
        <v/>
      </c>
      <c r="Q19" s="129" t="str">
        <f t="shared" si="1"/>
        <v/>
      </c>
      <c r="R19" s="130" t="str">
        <f t="shared" si="2"/>
        <v/>
      </c>
    </row>
    <row r="20" spans="1:18" ht="15" customHeight="1" x14ac:dyDescent="0.2">
      <c r="A20" s="127"/>
      <c r="B20" s="128"/>
      <c r="C20" s="128"/>
      <c r="D20" s="128"/>
      <c r="E20" s="128"/>
      <c r="F20" s="128"/>
      <c r="G20" s="128"/>
      <c r="H20" s="128"/>
      <c r="I20" s="128"/>
      <c r="J20" s="128"/>
      <c r="K20" s="128"/>
      <c r="L20" s="128"/>
      <c r="M20" s="128"/>
      <c r="N20" s="128"/>
      <c r="O20" s="128"/>
      <c r="P20" s="129" t="str">
        <f t="shared" si="0"/>
        <v/>
      </c>
      <c r="Q20" s="129" t="str">
        <f t="shared" si="1"/>
        <v/>
      </c>
      <c r="R20" s="130" t="str">
        <f t="shared" si="2"/>
        <v/>
      </c>
    </row>
    <row r="21" spans="1:18" ht="15" customHeight="1" x14ac:dyDescent="0.2">
      <c r="A21" s="127"/>
      <c r="B21" s="128"/>
      <c r="C21" s="128"/>
      <c r="D21" s="128"/>
      <c r="E21" s="128"/>
      <c r="F21" s="128"/>
      <c r="G21" s="128"/>
      <c r="H21" s="128"/>
      <c r="I21" s="128"/>
      <c r="J21" s="128"/>
      <c r="K21" s="128"/>
      <c r="L21" s="128"/>
      <c r="M21" s="128"/>
      <c r="N21" s="128"/>
      <c r="O21" s="128"/>
      <c r="P21" s="129" t="str">
        <f t="shared" si="0"/>
        <v/>
      </c>
      <c r="Q21" s="129" t="str">
        <f t="shared" si="1"/>
        <v/>
      </c>
      <c r="R21" s="130" t="str">
        <f t="shared" si="2"/>
        <v/>
      </c>
    </row>
    <row r="22" spans="1:18" ht="15" customHeight="1" x14ac:dyDescent="0.2">
      <c r="A22" s="127"/>
      <c r="B22" s="128"/>
      <c r="C22" s="128"/>
      <c r="D22" s="128"/>
      <c r="E22" s="128"/>
      <c r="F22" s="128"/>
      <c r="G22" s="128"/>
      <c r="H22" s="128"/>
      <c r="I22" s="128"/>
      <c r="J22" s="128"/>
      <c r="K22" s="128"/>
      <c r="L22" s="128"/>
      <c r="M22" s="128"/>
      <c r="N22" s="128"/>
      <c r="O22" s="128"/>
      <c r="P22" s="129" t="str">
        <f t="shared" si="0"/>
        <v/>
      </c>
      <c r="Q22" s="129" t="str">
        <f t="shared" si="1"/>
        <v/>
      </c>
      <c r="R22" s="130" t="str">
        <f t="shared" si="2"/>
        <v/>
      </c>
    </row>
    <row r="23" spans="1:18" ht="15" customHeight="1" x14ac:dyDescent="0.2">
      <c r="A23" s="127"/>
      <c r="B23" s="128"/>
      <c r="C23" s="128"/>
      <c r="D23" s="128"/>
      <c r="E23" s="128"/>
      <c r="F23" s="128"/>
      <c r="G23" s="128"/>
      <c r="H23" s="128"/>
      <c r="I23" s="128"/>
      <c r="J23" s="128"/>
      <c r="K23" s="128"/>
      <c r="L23" s="128"/>
      <c r="M23" s="128"/>
      <c r="N23" s="128"/>
      <c r="O23" s="128"/>
      <c r="P23" s="129" t="str">
        <f t="shared" si="0"/>
        <v/>
      </c>
      <c r="Q23" s="129" t="str">
        <f t="shared" si="1"/>
        <v/>
      </c>
      <c r="R23" s="130" t="str">
        <f t="shared" si="2"/>
        <v/>
      </c>
    </row>
    <row r="24" spans="1:18" ht="15" customHeight="1" x14ac:dyDescent="0.2">
      <c r="A24" s="127"/>
      <c r="B24" s="128"/>
      <c r="C24" s="128"/>
      <c r="D24" s="128"/>
      <c r="E24" s="128"/>
      <c r="F24" s="128"/>
      <c r="G24" s="128"/>
      <c r="H24" s="128"/>
      <c r="I24" s="128"/>
      <c r="J24" s="128"/>
      <c r="K24" s="128"/>
      <c r="L24" s="128"/>
      <c r="M24" s="128"/>
      <c r="N24" s="128"/>
      <c r="O24" s="128"/>
      <c r="P24" s="129" t="str">
        <f t="shared" si="0"/>
        <v/>
      </c>
      <c r="Q24" s="129" t="str">
        <f t="shared" si="1"/>
        <v/>
      </c>
      <c r="R24" s="130" t="str">
        <f t="shared" si="2"/>
        <v/>
      </c>
    </row>
    <row r="25" spans="1:18" ht="15" customHeight="1" x14ac:dyDescent="0.2">
      <c r="A25" s="127"/>
      <c r="B25" s="128"/>
      <c r="C25" s="128"/>
      <c r="D25" s="128"/>
      <c r="E25" s="128"/>
      <c r="F25" s="128"/>
      <c r="G25" s="128"/>
      <c r="H25" s="128"/>
      <c r="I25" s="128"/>
      <c r="J25" s="128"/>
      <c r="K25" s="128"/>
      <c r="L25" s="128"/>
      <c r="M25" s="128"/>
      <c r="N25" s="128"/>
      <c r="O25" s="128"/>
      <c r="P25" s="129" t="str">
        <f t="shared" si="0"/>
        <v/>
      </c>
      <c r="Q25" s="129" t="str">
        <f t="shared" si="1"/>
        <v/>
      </c>
      <c r="R25" s="130" t="str">
        <f t="shared" si="2"/>
        <v/>
      </c>
    </row>
    <row r="26" spans="1:18" ht="15" customHeight="1" x14ac:dyDescent="0.2">
      <c r="A26" s="127"/>
      <c r="B26" s="128"/>
      <c r="C26" s="128"/>
      <c r="D26" s="128"/>
      <c r="E26" s="128"/>
      <c r="F26" s="128"/>
      <c r="G26" s="128"/>
      <c r="H26" s="128"/>
      <c r="I26" s="128"/>
      <c r="J26" s="128"/>
      <c r="K26" s="128"/>
      <c r="L26" s="128"/>
      <c r="M26" s="128"/>
      <c r="N26" s="128"/>
      <c r="O26" s="128"/>
      <c r="P26" s="129" t="str">
        <f t="shared" si="0"/>
        <v/>
      </c>
      <c r="Q26" s="129" t="str">
        <f t="shared" si="1"/>
        <v/>
      </c>
      <c r="R26" s="130" t="str">
        <f t="shared" si="2"/>
        <v/>
      </c>
    </row>
    <row r="29" spans="1:18" ht="15" customHeight="1" x14ac:dyDescent="0.2">
      <c r="A29" s="150" t="s">
        <v>333</v>
      </c>
      <c r="B29" s="150"/>
      <c r="C29" s="150"/>
      <c r="D29" s="150"/>
      <c r="E29" s="150"/>
      <c r="F29" s="150"/>
      <c r="G29" s="150"/>
      <c r="H29" s="150"/>
      <c r="I29" s="150"/>
      <c r="J29" s="150"/>
      <c r="K29" s="150"/>
      <c r="L29" s="150"/>
      <c r="M29" s="150"/>
      <c r="N29" s="150"/>
      <c r="O29" s="150"/>
      <c r="P29" s="150"/>
      <c r="Q29" s="150"/>
      <c r="R29" s="150"/>
    </row>
    <row r="30" spans="1:18" ht="91.5" customHeight="1" x14ac:dyDescent="0.2">
      <c r="A30" s="79" t="s">
        <v>334</v>
      </c>
      <c r="B30" s="80" t="s">
        <v>145</v>
      </c>
      <c r="C30" s="80" t="s">
        <v>142</v>
      </c>
      <c r="D30" s="80" t="s">
        <v>180</v>
      </c>
      <c r="E30" s="80" t="s">
        <v>147</v>
      </c>
      <c r="F30" s="80" t="s">
        <v>144</v>
      </c>
      <c r="G30" s="80" t="s">
        <v>141</v>
      </c>
      <c r="H30" s="80" t="s">
        <v>175</v>
      </c>
      <c r="I30" s="80" t="s">
        <v>177</v>
      </c>
      <c r="J30" s="80" t="s">
        <v>174</v>
      </c>
      <c r="K30" s="80" t="s">
        <v>182</v>
      </c>
      <c r="L30" s="80" t="s">
        <v>176</v>
      </c>
      <c r="M30" s="80" t="s">
        <v>178</v>
      </c>
      <c r="N30" s="80" t="s">
        <v>179</v>
      </c>
      <c r="O30" s="80" t="s">
        <v>181</v>
      </c>
      <c r="P30" s="79" t="s">
        <v>335</v>
      </c>
      <c r="Q30" s="79" t="s">
        <v>327</v>
      </c>
      <c r="R30" s="79" t="s">
        <v>328</v>
      </c>
    </row>
    <row r="31" spans="1:18" ht="15" customHeight="1" x14ac:dyDescent="0.2">
      <c r="A31" s="127" t="str">
        <f>IF(Lists!$C$2="","",Lists!$C$2)</f>
        <v>Chess</v>
      </c>
      <c r="B31" s="128">
        <v>0</v>
      </c>
      <c r="C31" s="128"/>
      <c r="D31" s="128"/>
      <c r="E31" s="128"/>
      <c r="F31" s="128"/>
      <c r="G31" s="128">
        <v>0</v>
      </c>
      <c r="H31" s="128"/>
      <c r="I31" s="128"/>
      <c r="J31" s="128"/>
      <c r="K31" s="128"/>
      <c r="L31" s="128"/>
      <c r="M31" s="128"/>
      <c r="N31" s="128"/>
      <c r="O31" s="128"/>
      <c r="P31" s="129">
        <f t="shared" ref="P31:P49" si="3">IF($A31="","",SUM($B31:$O31))</f>
        <v>0</v>
      </c>
      <c r="Q31" s="129">
        <f t="shared" ref="Q31:Q49" si="4">IF($A31="","",COUNT($B31:$O31))</f>
        <v>2</v>
      </c>
      <c r="R31" s="130" t="str">
        <f t="shared" ref="R31:R49" si="5">IF($A31="","",IF($P31&gt;=$D$3,"REMOVED — voted out",IF($Q31&lt;$F$3,"Awaiting votes ("&amp;$Q31&amp;" of "&amp;$B$3&amp;")",IF($P31+($B$3-$Q31)&lt;$D$3,"Stays","Open ("&amp;$P31&amp;" in favour)"))))</f>
        <v>Awaiting votes (2 of 14)</v>
      </c>
    </row>
    <row r="32" spans="1:18" ht="15" customHeight="1" x14ac:dyDescent="0.2">
      <c r="A32" s="127" t="str">
        <f>IF(Lists!$C$3="","",Lists!$C$3)</f>
        <v>Darts</v>
      </c>
      <c r="B32" s="128">
        <v>0</v>
      </c>
      <c r="C32" s="128"/>
      <c r="D32" s="128"/>
      <c r="E32" s="128"/>
      <c r="F32" s="128"/>
      <c r="G32" s="128">
        <v>0</v>
      </c>
      <c r="H32" s="128"/>
      <c r="I32" s="128"/>
      <c r="J32" s="128"/>
      <c r="K32" s="128"/>
      <c r="L32" s="128"/>
      <c r="M32" s="128"/>
      <c r="N32" s="128"/>
      <c r="O32" s="128"/>
      <c r="P32" s="129">
        <f t="shared" si="3"/>
        <v>0</v>
      </c>
      <c r="Q32" s="129">
        <f t="shared" si="4"/>
        <v>2</v>
      </c>
      <c r="R32" s="130" t="str">
        <f t="shared" si="5"/>
        <v>Awaiting votes (2 of 14)</v>
      </c>
    </row>
    <row r="33" spans="1:18" ht="15" customHeight="1" x14ac:dyDescent="0.2">
      <c r="A33" s="127" t="str">
        <f>IF(Lists!$C$4="","",Lists!$C$4)</f>
        <v>FIFA</v>
      </c>
      <c r="B33" s="128">
        <v>0</v>
      </c>
      <c r="C33" s="128"/>
      <c r="D33" s="128"/>
      <c r="E33" s="128"/>
      <c r="F33" s="128"/>
      <c r="G33" s="128">
        <v>0</v>
      </c>
      <c r="H33" s="128"/>
      <c r="I33" s="128"/>
      <c r="J33" s="128"/>
      <c r="K33" s="128"/>
      <c r="L33" s="128"/>
      <c r="M33" s="128"/>
      <c r="N33" s="128"/>
      <c r="O33" s="128"/>
      <c r="P33" s="129">
        <f t="shared" si="3"/>
        <v>0</v>
      </c>
      <c r="Q33" s="129">
        <f t="shared" si="4"/>
        <v>2</v>
      </c>
      <c r="R33" s="130" t="str">
        <f t="shared" si="5"/>
        <v>Awaiting votes (2 of 14)</v>
      </c>
    </row>
    <row r="34" spans="1:18" ht="15" customHeight="1" x14ac:dyDescent="0.2">
      <c r="A34" s="127" t="str">
        <f>IF(Lists!$C$5="","",Lists!$C$5)</f>
        <v>Golf</v>
      </c>
      <c r="B34" s="128">
        <v>0</v>
      </c>
      <c r="C34" s="128"/>
      <c r="D34" s="128"/>
      <c r="E34" s="128"/>
      <c r="F34" s="128"/>
      <c r="G34" s="128">
        <v>0</v>
      </c>
      <c r="H34" s="128"/>
      <c r="I34" s="128"/>
      <c r="J34" s="128"/>
      <c r="K34" s="128"/>
      <c r="L34" s="128"/>
      <c r="M34" s="128"/>
      <c r="N34" s="128"/>
      <c r="O34" s="128"/>
      <c r="P34" s="129">
        <f t="shared" si="3"/>
        <v>0</v>
      </c>
      <c r="Q34" s="129">
        <f t="shared" si="4"/>
        <v>2</v>
      </c>
      <c r="R34" s="130" t="str">
        <f t="shared" si="5"/>
        <v>Awaiting votes (2 of 14)</v>
      </c>
    </row>
    <row r="35" spans="1:18" ht="15" customHeight="1" x14ac:dyDescent="0.2">
      <c r="A35" s="127" t="str">
        <f>IF(Lists!$C$6="","",Lists!$C$6)</f>
        <v>Pool</v>
      </c>
      <c r="B35" s="128">
        <v>0</v>
      </c>
      <c r="C35" s="128"/>
      <c r="D35" s="128"/>
      <c r="E35" s="128"/>
      <c r="F35" s="128"/>
      <c r="G35" s="128">
        <v>0</v>
      </c>
      <c r="H35" s="128"/>
      <c r="I35" s="128"/>
      <c r="J35" s="128"/>
      <c r="K35" s="128"/>
      <c r="L35" s="128"/>
      <c r="M35" s="128"/>
      <c r="N35" s="128"/>
      <c r="O35" s="128"/>
      <c r="P35" s="129">
        <f t="shared" si="3"/>
        <v>0</v>
      </c>
      <c r="Q35" s="129">
        <f t="shared" si="4"/>
        <v>2</v>
      </c>
      <c r="R35" s="130" t="str">
        <f t="shared" si="5"/>
        <v>Awaiting votes (2 of 14)</v>
      </c>
    </row>
    <row r="36" spans="1:18" ht="15" customHeight="1" x14ac:dyDescent="0.2">
      <c r="A36" s="127" t="str">
        <f>IF(Lists!$C$7="","",Lists!$C$7)</f>
        <v>Kelly Pool</v>
      </c>
      <c r="B36" s="128">
        <v>0</v>
      </c>
      <c r="C36" s="128"/>
      <c r="D36" s="128"/>
      <c r="E36" s="128"/>
      <c r="F36" s="128"/>
      <c r="G36" s="128">
        <v>0</v>
      </c>
      <c r="H36" s="128"/>
      <c r="I36" s="128"/>
      <c r="J36" s="128"/>
      <c r="K36" s="128"/>
      <c r="L36" s="128"/>
      <c r="M36" s="128"/>
      <c r="N36" s="128"/>
      <c r="O36" s="128"/>
      <c r="P36" s="129">
        <f t="shared" si="3"/>
        <v>0</v>
      </c>
      <c r="Q36" s="129">
        <f t="shared" si="4"/>
        <v>2</v>
      </c>
      <c r="R36" s="130" t="str">
        <f t="shared" si="5"/>
        <v>Awaiting votes (2 of 14)</v>
      </c>
    </row>
    <row r="37" spans="1:18" ht="15" customHeight="1" x14ac:dyDescent="0.2">
      <c r="A37" s="127" t="str">
        <f>IF(Lists!$C$8="","",Lists!$C$8)</f>
        <v>Target</v>
      </c>
      <c r="B37" s="128">
        <v>0</v>
      </c>
      <c r="C37" s="128"/>
      <c r="D37" s="128"/>
      <c r="E37" s="128"/>
      <c r="F37" s="128"/>
      <c r="G37" s="128">
        <v>0</v>
      </c>
      <c r="H37" s="128"/>
      <c r="I37" s="128"/>
      <c r="J37" s="128"/>
      <c r="K37" s="128"/>
      <c r="L37" s="128"/>
      <c r="M37" s="128"/>
      <c r="N37" s="128"/>
      <c r="O37" s="128"/>
      <c r="P37" s="129">
        <f t="shared" si="3"/>
        <v>0</v>
      </c>
      <c r="Q37" s="129">
        <f t="shared" si="4"/>
        <v>2</v>
      </c>
      <c r="R37" s="130" t="str">
        <f t="shared" si="5"/>
        <v>Awaiting votes (2 of 14)</v>
      </c>
    </row>
    <row r="38" spans="1:18" ht="15" customHeight="1" x14ac:dyDescent="0.2">
      <c r="A38" s="127" t="str">
        <f>IF(Lists!$C$9="","",Lists!$C$9)</f>
        <v>Snooker</v>
      </c>
      <c r="B38" s="128">
        <v>0</v>
      </c>
      <c r="C38" s="128"/>
      <c r="D38" s="128"/>
      <c r="E38" s="128"/>
      <c r="F38" s="128"/>
      <c r="G38" s="128">
        <v>0</v>
      </c>
      <c r="H38" s="128"/>
      <c r="I38" s="128"/>
      <c r="J38" s="128"/>
      <c r="K38" s="128"/>
      <c r="L38" s="128"/>
      <c r="M38" s="128"/>
      <c r="N38" s="128"/>
      <c r="O38" s="128"/>
      <c r="P38" s="129">
        <f t="shared" si="3"/>
        <v>0</v>
      </c>
      <c r="Q38" s="129">
        <f t="shared" si="4"/>
        <v>2</v>
      </c>
      <c r="R38" s="130" t="str">
        <f t="shared" si="5"/>
        <v>Awaiting votes (2 of 14)</v>
      </c>
    </row>
    <row r="39" spans="1:18" ht="15" customHeight="1" x14ac:dyDescent="0.2">
      <c r="A39" s="127" t="str">
        <f>IF(Lists!$C$10="","",Lists!$C$10)</f>
        <v>Putt Putt</v>
      </c>
      <c r="B39" s="128">
        <v>0</v>
      </c>
      <c r="C39" s="128"/>
      <c r="D39" s="128"/>
      <c r="E39" s="128"/>
      <c r="F39" s="128"/>
      <c r="G39" s="128">
        <v>0</v>
      </c>
      <c r="H39" s="128"/>
      <c r="I39" s="128"/>
      <c r="J39" s="128"/>
      <c r="K39" s="128"/>
      <c r="L39" s="128"/>
      <c r="M39" s="128"/>
      <c r="N39" s="128"/>
      <c r="O39" s="128"/>
      <c r="P39" s="129">
        <f t="shared" si="3"/>
        <v>0</v>
      </c>
      <c r="Q39" s="129">
        <f t="shared" si="4"/>
        <v>2</v>
      </c>
      <c r="R39" s="130" t="str">
        <f t="shared" si="5"/>
        <v>Awaiting votes (2 of 14)</v>
      </c>
    </row>
    <row r="40" spans="1:18" ht="15" customHeight="1" x14ac:dyDescent="0.2">
      <c r="A40" s="127" t="str">
        <f>IF(Lists!$C$11="","",Lists!$C$11)</f>
        <v>Back Yard Putt Putt</v>
      </c>
      <c r="B40" s="128">
        <v>1</v>
      </c>
      <c r="C40" s="128"/>
      <c r="D40" s="128"/>
      <c r="E40" s="128"/>
      <c r="F40" s="128"/>
      <c r="G40" s="128">
        <v>1</v>
      </c>
      <c r="H40" s="128"/>
      <c r="I40" s="128"/>
      <c r="J40" s="128"/>
      <c r="K40" s="128"/>
      <c r="L40" s="128"/>
      <c r="M40" s="128"/>
      <c r="N40" s="128"/>
      <c r="O40" s="128"/>
      <c r="P40" s="129">
        <f t="shared" si="3"/>
        <v>2</v>
      </c>
      <c r="Q40" s="129">
        <f t="shared" si="4"/>
        <v>2</v>
      </c>
      <c r="R40" s="130" t="str">
        <f t="shared" si="5"/>
        <v>Awaiting votes (2 of 14)</v>
      </c>
    </row>
    <row r="41" spans="1:18" ht="15" customHeight="1" x14ac:dyDescent="0.2">
      <c r="A41" s="127" t="str">
        <f>IF(Lists!$C$12="","",Lists!$C$12)</f>
        <v>Sting Pong</v>
      </c>
      <c r="B41" s="128">
        <v>0</v>
      </c>
      <c r="C41" s="128"/>
      <c r="D41" s="128"/>
      <c r="E41" s="128"/>
      <c r="F41" s="128"/>
      <c r="G41" s="128">
        <v>0</v>
      </c>
      <c r="H41" s="128"/>
      <c r="I41" s="128"/>
      <c r="J41" s="128"/>
      <c r="K41" s="128"/>
      <c r="L41" s="128"/>
      <c r="M41" s="128"/>
      <c r="N41" s="128"/>
      <c r="O41" s="128"/>
      <c r="P41" s="129">
        <f t="shared" si="3"/>
        <v>0</v>
      </c>
      <c r="Q41" s="129">
        <f t="shared" si="4"/>
        <v>2</v>
      </c>
      <c r="R41" s="130" t="str">
        <f t="shared" si="5"/>
        <v>Awaiting votes (2 of 14)</v>
      </c>
    </row>
    <row r="42" spans="1:18" ht="15" customHeight="1" x14ac:dyDescent="0.2">
      <c r="A42" s="127" t="str">
        <f>IF(Lists!$C$13="","",Lists!$C$13)</f>
        <v>Table Tennis</v>
      </c>
      <c r="B42" s="128">
        <v>0</v>
      </c>
      <c r="C42" s="128"/>
      <c r="D42" s="128"/>
      <c r="E42" s="128"/>
      <c r="F42" s="128"/>
      <c r="G42" s="128">
        <v>0</v>
      </c>
      <c r="H42" s="128"/>
      <c r="I42" s="128"/>
      <c r="J42" s="128"/>
      <c r="K42" s="128"/>
      <c r="L42" s="128"/>
      <c r="M42" s="128"/>
      <c r="N42" s="128"/>
      <c r="O42" s="128"/>
      <c r="P42" s="129">
        <f t="shared" si="3"/>
        <v>0</v>
      </c>
      <c r="Q42" s="129">
        <f t="shared" si="4"/>
        <v>2</v>
      </c>
      <c r="R42" s="130" t="str">
        <f t="shared" si="5"/>
        <v>Awaiting votes (2 of 14)</v>
      </c>
    </row>
    <row r="43" spans="1:18" ht="15" customHeight="1" x14ac:dyDescent="0.2">
      <c r="A43" s="127" t="str">
        <f>IF(Lists!$C$14="","",Lists!$C$14)</f>
        <v>Mario Party</v>
      </c>
      <c r="B43" s="128">
        <v>0</v>
      </c>
      <c r="C43" s="128"/>
      <c r="D43" s="128"/>
      <c r="E43" s="128"/>
      <c r="F43" s="128"/>
      <c r="G43" s="128">
        <v>0</v>
      </c>
      <c r="H43" s="128"/>
      <c r="I43" s="128"/>
      <c r="J43" s="128"/>
      <c r="K43" s="128"/>
      <c r="L43" s="128"/>
      <c r="M43" s="128"/>
      <c r="N43" s="128"/>
      <c r="O43" s="128"/>
      <c r="P43" s="129">
        <f t="shared" si="3"/>
        <v>0</v>
      </c>
      <c r="Q43" s="129">
        <f t="shared" si="4"/>
        <v>2</v>
      </c>
      <c r="R43" s="130" t="str">
        <f t="shared" si="5"/>
        <v>Awaiting votes (2 of 14)</v>
      </c>
    </row>
    <row r="44" spans="1:18" ht="15" customHeight="1" x14ac:dyDescent="0.2">
      <c r="A44" s="127" t="str">
        <f>IF(Lists!$C$15="","",Lists!$C$15)</f>
        <v>Mario Kart</v>
      </c>
      <c r="B44" s="128">
        <v>0</v>
      </c>
      <c r="C44" s="128"/>
      <c r="D44" s="128"/>
      <c r="E44" s="128"/>
      <c r="F44" s="128"/>
      <c r="G44" s="128">
        <v>0</v>
      </c>
      <c r="H44" s="128"/>
      <c r="I44" s="128"/>
      <c r="J44" s="128"/>
      <c r="K44" s="128"/>
      <c r="L44" s="128"/>
      <c r="M44" s="128"/>
      <c r="N44" s="128"/>
      <c r="O44" s="128"/>
      <c r="P44" s="129">
        <f t="shared" si="3"/>
        <v>0</v>
      </c>
      <c r="Q44" s="129">
        <f t="shared" si="4"/>
        <v>2</v>
      </c>
      <c r="R44" s="130" t="str">
        <f t="shared" si="5"/>
        <v>Awaiting votes (2 of 14)</v>
      </c>
    </row>
    <row r="45" spans="1:18" ht="15" customHeight="1" x14ac:dyDescent="0.2">
      <c r="A45" s="127" t="str">
        <f>IF(Lists!$C$16="","",Lists!$C$16)</f>
        <v>Go Karting</v>
      </c>
      <c r="B45" s="128">
        <v>0</v>
      </c>
      <c r="C45" s="128"/>
      <c r="D45" s="128"/>
      <c r="E45" s="128"/>
      <c r="F45" s="128"/>
      <c r="G45" s="128">
        <v>0</v>
      </c>
      <c r="H45" s="128"/>
      <c r="I45" s="128"/>
      <c r="J45" s="128"/>
      <c r="K45" s="128"/>
      <c r="L45" s="128"/>
      <c r="M45" s="128"/>
      <c r="N45" s="128"/>
      <c r="O45" s="128"/>
      <c r="P45" s="129">
        <f t="shared" si="3"/>
        <v>0</v>
      </c>
      <c r="Q45" s="129">
        <f t="shared" si="4"/>
        <v>2</v>
      </c>
      <c r="R45" s="130" t="str">
        <f t="shared" si="5"/>
        <v>Awaiting votes (2 of 14)</v>
      </c>
    </row>
    <row r="46" spans="1:18" ht="15" customHeight="1" x14ac:dyDescent="0.2">
      <c r="A46" s="127" t="str">
        <f>IF(Lists!$C$17="","",Lists!$C$17)</f>
        <v>Call of Duty</v>
      </c>
      <c r="B46" s="128">
        <v>0</v>
      </c>
      <c r="C46" s="128"/>
      <c r="D46" s="128"/>
      <c r="E46" s="128"/>
      <c r="F46" s="128"/>
      <c r="G46" s="128">
        <v>1</v>
      </c>
      <c r="H46" s="128"/>
      <c r="I46" s="128"/>
      <c r="J46" s="128"/>
      <c r="K46" s="128"/>
      <c r="L46" s="128"/>
      <c r="M46" s="128"/>
      <c r="N46" s="128"/>
      <c r="O46" s="128"/>
      <c r="P46" s="129">
        <f t="shared" si="3"/>
        <v>1</v>
      </c>
      <c r="Q46" s="129">
        <f t="shared" si="4"/>
        <v>2</v>
      </c>
      <c r="R46" s="130" t="str">
        <f t="shared" si="5"/>
        <v>Awaiting votes (2 of 14)</v>
      </c>
    </row>
    <row r="47" spans="1:18" ht="15" customHeight="1" x14ac:dyDescent="0.2">
      <c r="A47" s="127" t="str">
        <f>IF(Lists!$C$18="","",Lists!$C$18)</f>
        <v>Poker</v>
      </c>
      <c r="B47" s="128">
        <v>0</v>
      </c>
      <c r="C47" s="128"/>
      <c r="D47" s="128"/>
      <c r="E47" s="128"/>
      <c r="F47" s="128"/>
      <c r="G47" s="128">
        <v>0</v>
      </c>
      <c r="H47" s="128"/>
      <c r="I47" s="128"/>
      <c r="J47" s="128"/>
      <c r="K47" s="128"/>
      <c r="L47" s="128"/>
      <c r="M47" s="128"/>
      <c r="N47" s="128"/>
      <c r="O47" s="128"/>
      <c r="P47" s="129">
        <f t="shared" si="3"/>
        <v>0</v>
      </c>
      <c r="Q47" s="129">
        <f t="shared" si="4"/>
        <v>2</v>
      </c>
      <c r="R47" s="130" t="str">
        <f t="shared" si="5"/>
        <v>Awaiting votes (2 of 14)</v>
      </c>
    </row>
    <row r="48" spans="1:18" ht="15" customHeight="1" x14ac:dyDescent="0.2">
      <c r="A48" s="127" t="str">
        <f>IF(Lists!$C$19="","",Lists!$C$19)</f>
        <v>ShuffleBoard</v>
      </c>
      <c r="B48" s="128">
        <v>0</v>
      </c>
      <c r="C48" s="128"/>
      <c r="D48" s="128"/>
      <c r="E48" s="128"/>
      <c r="F48" s="128"/>
      <c r="G48" s="128">
        <v>0</v>
      </c>
      <c r="H48" s="128"/>
      <c r="I48" s="128"/>
      <c r="J48" s="128"/>
      <c r="K48" s="128"/>
      <c r="L48" s="128"/>
      <c r="M48" s="128"/>
      <c r="N48" s="128"/>
      <c r="O48" s="128"/>
      <c r="P48" s="129">
        <f t="shared" si="3"/>
        <v>0</v>
      </c>
      <c r="Q48" s="129">
        <f t="shared" si="4"/>
        <v>2</v>
      </c>
      <c r="R48" s="130" t="str">
        <f t="shared" si="5"/>
        <v>Awaiting votes (2 of 14)</v>
      </c>
    </row>
    <row r="49" spans="1:18" ht="15" customHeight="1" x14ac:dyDescent="0.2">
      <c r="A49" s="127" t="str">
        <f>IF(Lists!$C$20="","",Lists!$C$20)</f>
        <v>Mario Golf</v>
      </c>
      <c r="B49" s="128">
        <v>0</v>
      </c>
      <c r="C49" s="128"/>
      <c r="D49" s="128"/>
      <c r="E49" s="128"/>
      <c r="F49" s="128"/>
      <c r="G49" s="128">
        <v>0</v>
      </c>
      <c r="H49" s="128"/>
      <c r="I49" s="128"/>
      <c r="J49" s="128"/>
      <c r="K49" s="128"/>
      <c r="L49" s="128"/>
      <c r="M49" s="128"/>
      <c r="N49" s="128"/>
      <c r="O49" s="128"/>
      <c r="P49" s="129">
        <f t="shared" si="3"/>
        <v>0</v>
      </c>
      <c r="Q49" s="129">
        <f t="shared" si="4"/>
        <v>2</v>
      </c>
      <c r="R49" s="130" t="str">
        <f t="shared" si="5"/>
        <v>Awaiting votes (2 of 14)</v>
      </c>
    </row>
  </sheetData>
  <mergeCells count="4">
    <mergeCell ref="A2:R2"/>
    <mergeCell ref="H3:R3"/>
    <mergeCell ref="A5:R5"/>
    <mergeCell ref="A29:R29"/>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49">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49" xr:uid="{00000000-0002-0000-09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172EA-60A1-BC43-BF62-46C0A5B5320E}">
  <dimension ref="A1:AH144"/>
  <sheetViews>
    <sheetView zoomScaleNormal="100" workbookViewId="0"/>
  </sheetViews>
  <sheetFormatPr baseColWidth="10" defaultColWidth="8.6640625" defaultRowHeight="15" x14ac:dyDescent="0.2"/>
  <sheetData>
    <row r="1" spans="1:34" ht="15" customHeight="1" x14ac:dyDescent="0.2">
      <c r="A1" t="s">
        <v>336</v>
      </c>
    </row>
    <row r="3" spans="1:34" ht="15" customHeight="1" x14ac:dyDescent="0.2">
      <c r="A3" t="s">
        <v>337</v>
      </c>
      <c r="B3" s="131">
        <f>MAX('Match Log'!$B$4:$B$311)-7</f>
        <v>46201</v>
      </c>
    </row>
    <row r="4" spans="1:34" ht="15" customHeight="1" x14ac:dyDescent="0.2">
      <c r="A4" t="s">
        <v>338</v>
      </c>
      <c r="B4" s="132">
        <f>MAX('Match Log'!$B$4:$B$311)</f>
        <v>46208</v>
      </c>
    </row>
    <row r="5" spans="1:34" x14ac:dyDescent="0.2">
      <c r="B5">
        <f ca="1">TODAY()-7</f>
        <v>46201</v>
      </c>
    </row>
    <row r="6" spans="1:34" ht="15" customHeight="1" x14ac:dyDescent="0.2">
      <c r="A6" t="s">
        <v>163</v>
      </c>
      <c r="B6" t="s">
        <v>238</v>
      </c>
      <c r="C6" t="s">
        <v>167</v>
      </c>
      <c r="D6" t="s">
        <v>121</v>
      </c>
      <c r="E6" t="s">
        <v>339</v>
      </c>
      <c r="F6" t="s">
        <v>340</v>
      </c>
      <c r="G6" t="s">
        <v>341</v>
      </c>
      <c r="H6" t="s">
        <v>95</v>
      </c>
      <c r="I6" t="s">
        <v>342</v>
      </c>
      <c r="J6" t="s">
        <v>343</v>
      </c>
      <c r="K6" t="s">
        <v>344</v>
      </c>
      <c r="L6" t="s">
        <v>170</v>
      </c>
      <c r="P6" t="s">
        <v>345</v>
      </c>
      <c r="Q6" t="s">
        <v>346</v>
      </c>
      <c r="R6" t="s">
        <v>347</v>
      </c>
      <c r="S6" t="s">
        <v>348</v>
      </c>
      <c r="T6" t="s">
        <v>103</v>
      </c>
      <c r="U6" t="s">
        <v>349</v>
      </c>
      <c r="V6" t="s">
        <v>350</v>
      </c>
      <c r="W6" t="s">
        <v>351</v>
      </c>
      <c r="X6" t="s">
        <v>352</v>
      </c>
      <c r="Y6" t="s">
        <v>353</v>
      </c>
      <c r="Z6" t="s">
        <v>354</v>
      </c>
      <c r="AA6" t="s">
        <v>355</v>
      </c>
      <c r="AB6" t="s">
        <v>356</v>
      </c>
      <c r="AC6" t="s">
        <v>357</v>
      </c>
      <c r="AD6" t="s">
        <v>358</v>
      </c>
      <c r="AE6" t="s">
        <v>359</v>
      </c>
      <c r="AF6" t="s">
        <v>105</v>
      </c>
    </row>
    <row r="7" spans="1:34" ht="15" customHeight="1" x14ac:dyDescent="0.2">
      <c r="A7" t="s">
        <v>145</v>
      </c>
      <c r="B7">
        <f>IFERROR(INDEX(Engine!$B$2:$B$15,MATCH($A7,Engine!$A$2:$A$15,0)),1000)</f>
        <v>1125.1080177960646</v>
      </c>
      <c r="C7">
        <f>IFERROR(INDEX(Engine!$C$2:$C$15,MATCH($A7,Engine!$A$2:$A$15,0)),"")</f>
        <v>1045.5878315396451</v>
      </c>
      <c r="D7">
        <f t="shared" ref="D7:D20" si="0">RANK($B7,$B$7:$B$20)</f>
        <v>3</v>
      </c>
      <c r="E7">
        <f t="shared" ref="E7:E20" si="1">MAX($B$7:$B$20)-$B7</f>
        <v>64.268490093808168</v>
      </c>
      <c r="F7" t="str">
        <f>IFERROR(LOOKUP(2,1/('Match Log'!$D$4:$D$311=$A7),'Match Log'!$E$4:$E$311),"")</f>
        <v>Win</v>
      </c>
      <c r="G7">
        <f>IF($F7="",0,SUMPRODUCT(('Match Log'!$D$4:$D$311=$A7)*(ROW('Match Log'!$A$4:$A$311)&gt;SUMPRODUCT(MAX(('Match Log'!$D$4:$D$311=$A7)*('Match Log'!$E$4:$E$311&lt;&gt;$F7)*ROW('Match Log'!$A$4:$A$311))))))</f>
        <v>5</v>
      </c>
      <c r="H7" t="str">
        <f t="shared" ref="H7:H20" si="2">IF($G7=0,"",LEFT($F7,1)&amp;$G7)</f>
        <v>W5</v>
      </c>
      <c r="I7" t="str">
        <f>IFERROR(IF(INDEX('Match Log'!$E$1:$E$311,_xlfn.AGGREGATE(14,6,ROW('Match Log'!$A$4:$A$311)/('Match Log'!$D$4:$D$311=$A7),5))="Win","W","L"),"")&amp;IFERROR(IF(INDEX('Match Log'!$E$1:$E$311,_xlfn.AGGREGATE(14,6,ROW('Match Log'!$A$4:$A$311)/('Match Log'!$D$4:$D$311=$A7),4))="Win","W","L"),"")&amp;IFERROR(IF(INDEX('Match Log'!$E$1:$E$311,_xlfn.AGGREGATE(14,6,ROW('Match Log'!$A$4:$A$311)/('Match Log'!$D$4:$D$311=$A7),3))="Win","W","L"),"")&amp;IFERROR(IF(INDEX('Match Log'!$E$1:$E$311,_xlfn.AGGREGATE(14,6,ROW('Match Log'!$A$4:$A$311)/('Match Log'!$D$4:$D$311=$A7),2))="Win","W","L"),"")&amp;IFERROR(IF(INDEX('Match Log'!$E$1:$E$311,_xlfn.AGGREGATE(14,6,ROW('Match Log'!$A$4:$A$311)/('Match Log'!$D$4:$D$311=$A7),1))="Win","W","L"),"")</f>
        <v>WWWWW</v>
      </c>
      <c r="J7">
        <f>IFERROR(LOOKUP(2,1/(('Match Log'!$D$4:$D$311=$A7)*('Match Log'!$B$4:$B$311&lt;=$B$3)),'Match Log'!$N$4:$N$311),1000)</f>
        <v>1125.1080177960646</v>
      </c>
      <c r="K7">
        <f t="shared" ref="K7:K20" si="3">RANK($J7,$J$7:$J$20)</f>
        <v>3</v>
      </c>
      <c r="L7">
        <f t="shared" ref="L7:L20" si="4">$K7-$D7</f>
        <v>0</v>
      </c>
      <c r="M7">
        <f t="shared" ref="M7:M20" si="5">SUMPRODUCT(($D$25:$D$144=$A7)*($G$25:$G$144&gt;0.25)*($D$25:$D$144&lt;&gt;""))</f>
        <v>0</v>
      </c>
      <c r="N7">
        <f t="shared" ref="N7:N20" si="6">LEN($I7)-LEN(SUBSTITUTE($I7,"W",""))</f>
        <v>5</v>
      </c>
      <c r="O7">
        <f t="shared" ref="O7:O20" si="7">IF($F7="Win",$G7,0)</f>
        <v>5</v>
      </c>
      <c r="P7">
        <f>IFERROR(SUMPRODUCT(MAX(('Match Log'!$D$4:$D$311=$A7)*'Match Log'!$B$4:$B$311)),0)</f>
        <v>46200</v>
      </c>
      <c r="Q7">
        <f t="shared" ref="Q7:Q20" si="8">IF($P7=0,"",($B$4-$P7)/7)</f>
        <v>1.1428571428571428</v>
      </c>
      <c r="R7">
        <f>IF($P7=0,0,MAX($Q7-'Guide &amp; Settings'!$C$48,0)*'Guide &amp; Settings'!$C$49)</f>
        <v>0</v>
      </c>
      <c r="S7">
        <f t="shared" ref="S7:S20" si="9">$B7-$R7-$U7</f>
        <v>1125.1080177960646</v>
      </c>
      <c r="T7" t="str">
        <f>IF($P7=0,"No games",IF($Q7&gt;='Guide &amp; Settings'!$C$48,"Inactive",IF($Q7&gt;='Guide &amp; Settings'!$C$47,"At risk","Active")))</f>
        <v>Active</v>
      </c>
      <c r="U7">
        <f>SUMIF('Match Log'!$D$4:$D$311,$A7,'Match Log'!$AC$4:$AC$311)</f>
        <v>0</v>
      </c>
      <c r="V7">
        <f t="shared" ref="V7:V20" si="10">IF($F7="Loss",$G7,0)</f>
        <v>0</v>
      </c>
      <c r="W7">
        <f t="shared" ref="W7:W20" si="11">MAX(0,MIN(100,50+($S7-1000)/4))</f>
        <v>81.277004449016147</v>
      </c>
      <c r="X7">
        <f>IFERROR(INDEX(Dashboard!$G$5:$G$18,MATCH($A7,Dashboard!$B$5:$B$18,0))*100,0)</f>
        <v>60</v>
      </c>
      <c r="Y7">
        <f>MIN(100,IFERROR(INDEX(Dashboard!$K$5:$K$18,MATCH($A7,Dashboard!$B$5:$B$18,0)),0)/5*50+$AC7/4*50)</f>
        <v>100</v>
      </c>
      <c r="Z7">
        <f t="shared" ref="Z7:Z20" si="12">IFERROR($N7/LEN($I7)*100,0)</f>
        <v>100</v>
      </c>
      <c r="AA7">
        <f t="shared" ref="AA7:AA20" si="13">IF($C7="",0,MAX(0,MIN(100,50+($C7-1000)/4)))</f>
        <v>61.396957884911274</v>
      </c>
      <c r="AB7">
        <f t="shared" ref="AB7:AB20" si="14">0.35*$W7+0.2*$X7+0.2*$Y7+0.15*$Z7+0.1*$AA7</f>
        <v>81.586647345646767</v>
      </c>
      <c r="AC7">
        <f>IFERROR(SUMPRODUCT((INDEX('Sport Records'!$B$8:$O$26,0,MATCH($A7,'Sport Records'!$B$7:$O$7,0))&gt;=2)*(INDEX('Sport Records'!$B$52:$O$70,0,MATCH($A7,'Sport Records'!$B$51:$O$51,0))&gt;=0.5)),0)</f>
        <v>5</v>
      </c>
      <c r="AD7">
        <f>IFERROR(INDEX(Dashboard!$D$5:$D$18,MATCH($A7,Dashboard!$B$5:$B$18,0)),0)</f>
        <v>25</v>
      </c>
      <c r="AE7">
        <f>IFERROR(INDEX(Dashboard!$K$5:$K$18,MATCH($A7,Dashboard!$B$5:$B$18,0)),0)</f>
        <v>7</v>
      </c>
      <c r="AF7" t="str">
        <f t="shared" ref="AF7:AF20" si="15">IF($AD7=0,"No games",IF(OR($AD7&lt;5,$AE7&lt;2),"Unranked",IF($AB7&gt;=72,IF(AND($AD7&gt;=8,$AE7&gt;=3),"Elite","Mid"),IF($AB7&gt;=58,IF(AND($AD7&gt;=8,$AE7&gt;=3),"Strong","Mid"),IF($AB7&gt;=44,"Mid","Developing")))))</f>
        <v>Elite</v>
      </c>
      <c r="AG7">
        <f ca="1">COUNTIFS('Match Log'!$D$4:$D$311,$A7,'Match Log'!$B$4:$B$311,"&gt;="&amp;$B$5)</f>
        <v>0</v>
      </c>
      <c r="AH7">
        <f ca="1">COUNTIFS('Match Log'!$D$4:$D$311,$A7,'Match Log'!$B$4:$B$311,"&gt;="&amp;$B$5,'Match Log'!$E$4:$E$311,"Win")</f>
        <v>0</v>
      </c>
    </row>
    <row r="8" spans="1:34" ht="15" customHeight="1" x14ac:dyDescent="0.2">
      <c r="A8" t="s">
        <v>142</v>
      </c>
      <c r="B8">
        <f>IFERROR(INDEX(Engine!$B$2:$B$15,MATCH($A8,Engine!$A$2:$A$15,0)),1000)</f>
        <v>1044.8691565259944</v>
      </c>
      <c r="C8">
        <f>IFERROR(INDEX(Engine!$C$2:$C$15,MATCH($A8,Engine!$A$2:$A$15,0)),"")</f>
        <v>1081.7744095356741</v>
      </c>
      <c r="D8">
        <f t="shared" si="0"/>
        <v>7</v>
      </c>
      <c r="E8">
        <f t="shared" si="1"/>
        <v>144.50735136387834</v>
      </c>
      <c r="F8" t="str">
        <f>IFERROR(LOOKUP(2,1/('Match Log'!$D$4:$D$311=$A8),'Match Log'!$E$4:$E$311),"")</f>
        <v>Loss</v>
      </c>
      <c r="G8">
        <f>IF($F8="",0,SUMPRODUCT(('Match Log'!$D$4:$D$311=$A8)*(ROW('Match Log'!$A$4:$A$311)&gt;SUMPRODUCT(MAX(('Match Log'!$D$4:$D$311=$A8)*('Match Log'!$E$4:$E$311&lt;&gt;$F8)*ROW('Match Log'!$A$4:$A$311))))))</f>
        <v>2</v>
      </c>
      <c r="H8" t="str">
        <f t="shared" si="2"/>
        <v>L2</v>
      </c>
      <c r="I8" t="str">
        <f>IFERROR(IF(INDEX('Match Log'!$E$1:$E$311,_xlfn.AGGREGATE(14,6,ROW('Match Log'!$A$4:$A$311)/('Match Log'!$D$4:$D$311=$A8),5))="Win","W","L"),"")&amp;IFERROR(IF(INDEX('Match Log'!$E$1:$E$311,_xlfn.AGGREGATE(14,6,ROW('Match Log'!$A$4:$A$311)/('Match Log'!$D$4:$D$311=$A8),4))="Win","W","L"),"")&amp;IFERROR(IF(INDEX('Match Log'!$E$1:$E$311,_xlfn.AGGREGATE(14,6,ROW('Match Log'!$A$4:$A$311)/('Match Log'!$D$4:$D$311=$A8),3))="Win","W","L"),"")&amp;IFERROR(IF(INDEX('Match Log'!$E$1:$E$311,_xlfn.AGGREGATE(14,6,ROW('Match Log'!$A$4:$A$311)/('Match Log'!$D$4:$D$311=$A8),2))="Win","W","L"),"")&amp;IFERROR(IF(INDEX('Match Log'!$E$1:$E$311,_xlfn.AGGREGATE(14,6,ROW('Match Log'!$A$4:$A$311)/('Match Log'!$D$4:$D$311=$A8),1))="Win","W","L"),"")</f>
        <v>LWWLL</v>
      </c>
      <c r="J8">
        <f>IFERROR(LOOKUP(2,1/(('Match Log'!$D$4:$D$311=$A8)*('Match Log'!$B$4:$B$311&lt;=$B$3)),'Match Log'!$N$4:$N$311),1000)</f>
        <v>1044.8691565259944</v>
      </c>
      <c r="K8">
        <f t="shared" si="3"/>
        <v>7</v>
      </c>
      <c r="L8">
        <f t="shared" si="4"/>
        <v>0</v>
      </c>
      <c r="M8">
        <f t="shared" si="5"/>
        <v>0</v>
      </c>
      <c r="N8">
        <f t="shared" si="6"/>
        <v>2</v>
      </c>
      <c r="O8">
        <f t="shared" si="7"/>
        <v>0</v>
      </c>
      <c r="P8">
        <f>IFERROR(SUMPRODUCT(MAX(('Match Log'!$D$4:$D$311=$A8)*'Match Log'!$B$4:$B$311)),0)</f>
        <v>46188</v>
      </c>
      <c r="Q8">
        <f t="shared" si="8"/>
        <v>2.8571428571428572</v>
      </c>
      <c r="R8">
        <f>IF($P8=0,0,MAX($Q8-'Guide &amp; Settings'!$C$48,0)*'Guide &amp; Settings'!$C$49)</f>
        <v>0</v>
      </c>
      <c r="S8">
        <f t="shared" si="9"/>
        <v>1044.8691565259944</v>
      </c>
      <c r="T8" t="str">
        <f>IF($P8=0,"No games",IF($Q8&gt;='Guide &amp; Settings'!$C$48,"Inactive",IF($Q8&gt;='Guide &amp; Settings'!$C$47,"At risk","Active")))</f>
        <v>Active</v>
      </c>
      <c r="U8">
        <f>SUMIF('Match Log'!$D$4:$D$311,$A8,'Match Log'!$AC$4:$AC$311)</f>
        <v>0</v>
      </c>
      <c r="V8">
        <f t="shared" si="10"/>
        <v>2</v>
      </c>
      <c r="W8">
        <f t="shared" si="11"/>
        <v>61.217289131498603</v>
      </c>
      <c r="X8">
        <f>IFERROR(INDEX(Dashboard!$G$5:$G$18,MATCH($A8,Dashboard!$B$5:$B$18,0))*100,0)</f>
        <v>50</v>
      </c>
      <c r="Y8">
        <f>MIN(100,IFERROR(INDEX(Dashboard!$K$5:$K$18,MATCH($A8,Dashboard!$B$5:$B$18,0)),0)/5*50+$AC8/4*50)</f>
        <v>42.5</v>
      </c>
      <c r="Z8">
        <f t="shared" si="12"/>
        <v>40</v>
      </c>
      <c r="AA8">
        <f t="shared" si="13"/>
        <v>70.443602383918517</v>
      </c>
      <c r="AB8">
        <f t="shared" si="14"/>
        <v>52.970411434416363</v>
      </c>
      <c r="AC8">
        <f>IFERROR(SUMPRODUCT((INDEX('Sport Records'!$B$8:$O$26,0,MATCH($A8,'Sport Records'!$B$7:$O$7,0))&gt;=2)*(INDEX('Sport Records'!$B$52:$O$70,0,MATCH($A8,'Sport Records'!$B$51:$O$51,0))&gt;=0.5)),0)</f>
        <v>1</v>
      </c>
      <c r="AD8">
        <f>IFERROR(INDEX(Dashboard!$D$5:$D$18,MATCH($A8,Dashboard!$B$5:$B$18,0)),0)</f>
        <v>10</v>
      </c>
      <c r="AE8">
        <f>IFERROR(INDEX(Dashboard!$K$5:$K$18,MATCH($A8,Dashboard!$B$5:$B$18,0)),0)</f>
        <v>3</v>
      </c>
      <c r="AF8" t="str">
        <f t="shared" si="15"/>
        <v>Mid</v>
      </c>
      <c r="AG8">
        <f ca="1">COUNTIFS('Match Log'!$D$4:$D$311,$A8,'Match Log'!$B$4:$B$311,"&gt;="&amp;$B$5)</f>
        <v>0</v>
      </c>
      <c r="AH8">
        <f ca="1">COUNTIFS('Match Log'!$D$4:$D$311,$A8,'Match Log'!$B$4:$B$311,"&gt;="&amp;$B$5,'Match Log'!$E$4:$E$311,"Win")</f>
        <v>0</v>
      </c>
    </row>
    <row r="9" spans="1:34" ht="15" customHeight="1" x14ac:dyDescent="0.2">
      <c r="A9" t="s">
        <v>180</v>
      </c>
      <c r="B9">
        <f>IFERROR(INDEX(Engine!$B$2:$B$15,MATCH($A9,Engine!$A$2:$A$15,0)),1000)</f>
        <v>1017.3466608720325</v>
      </c>
      <c r="C9">
        <f>IFERROR(INDEX(Engine!$C$2:$C$15,MATCH($A9,Engine!$A$2:$A$15,0)),"")</f>
        <v>1073.6851802864951</v>
      </c>
      <c r="D9">
        <f t="shared" si="0"/>
        <v>10</v>
      </c>
      <c r="E9">
        <f t="shared" si="1"/>
        <v>172.02984701784021</v>
      </c>
      <c r="F9" t="str">
        <f>IFERROR(LOOKUP(2,1/('Match Log'!$D$4:$D$311=$A9),'Match Log'!$E$4:$E$311),"")</f>
        <v>Win</v>
      </c>
      <c r="G9">
        <f>IF($F9="",0,SUMPRODUCT(('Match Log'!$D$4:$D$311=$A9)*(ROW('Match Log'!$A$4:$A$311)&gt;SUMPRODUCT(MAX(('Match Log'!$D$4:$D$311=$A9)*('Match Log'!$E$4:$E$311&lt;&gt;$F9)*ROW('Match Log'!$A$4:$A$311))))))</f>
        <v>1</v>
      </c>
      <c r="H9" t="str">
        <f t="shared" si="2"/>
        <v>W1</v>
      </c>
      <c r="I9" t="str">
        <f>IFERROR(IF(INDEX('Match Log'!$E$1:$E$311,_xlfn.AGGREGATE(14,6,ROW('Match Log'!$A$4:$A$311)/('Match Log'!$D$4:$D$311=$A9),5))="Win","W","L"),"")&amp;IFERROR(IF(INDEX('Match Log'!$E$1:$E$311,_xlfn.AGGREGATE(14,6,ROW('Match Log'!$A$4:$A$311)/('Match Log'!$D$4:$D$311=$A9),4))="Win","W","L"),"")&amp;IFERROR(IF(INDEX('Match Log'!$E$1:$E$311,_xlfn.AGGREGATE(14,6,ROW('Match Log'!$A$4:$A$311)/('Match Log'!$D$4:$D$311=$A9),3))="Win","W","L"),"")&amp;IFERROR(IF(INDEX('Match Log'!$E$1:$E$311,_xlfn.AGGREGATE(14,6,ROW('Match Log'!$A$4:$A$311)/('Match Log'!$D$4:$D$311=$A9),2))="Win","W","L"),"")&amp;IFERROR(IF(INDEX('Match Log'!$E$1:$E$311,_xlfn.AGGREGATE(14,6,ROW('Match Log'!$A$4:$A$311)/('Match Log'!$D$4:$D$311=$A9),1))="Win","W","L"),"")</f>
        <v>WLLLW</v>
      </c>
      <c r="J9">
        <f>IFERROR(LOOKUP(2,1/(('Match Log'!$D$4:$D$311=$A9)*('Match Log'!$B$4:$B$311&lt;=$B$3)),'Match Log'!$N$4:$N$311),1000)</f>
        <v>1017.3466608720325</v>
      </c>
      <c r="K9">
        <f t="shared" si="3"/>
        <v>10</v>
      </c>
      <c r="L9">
        <f t="shared" si="4"/>
        <v>0</v>
      </c>
      <c r="M9">
        <f t="shared" si="5"/>
        <v>0</v>
      </c>
      <c r="N9">
        <f t="shared" si="6"/>
        <v>2</v>
      </c>
      <c r="O9">
        <f t="shared" si="7"/>
        <v>1</v>
      </c>
      <c r="P9">
        <f>IFERROR(SUMPRODUCT(MAX(('Match Log'!$D$4:$D$311=$A9)*'Match Log'!$B$4:$B$311)),0)</f>
        <v>46188</v>
      </c>
      <c r="Q9">
        <f t="shared" si="8"/>
        <v>2.8571428571428572</v>
      </c>
      <c r="R9">
        <f>IF($P9=0,0,MAX($Q9-'Guide &amp; Settings'!$C$48,0)*'Guide &amp; Settings'!$C$49)</f>
        <v>0</v>
      </c>
      <c r="S9">
        <f t="shared" si="9"/>
        <v>1017.3466608720325</v>
      </c>
      <c r="T9" t="str">
        <f>IF($P9=0,"No games",IF($Q9&gt;='Guide &amp; Settings'!$C$48,"Inactive",IF($Q9&gt;='Guide &amp; Settings'!$C$47,"At risk","Active")))</f>
        <v>Active</v>
      </c>
      <c r="U9">
        <f>SUMIF('Match Log'!$D$4:$D$311,$A9,'Match Log'!$AC$4:$AC$311)</f>
        <v>0</v>
      </c>
      <c r="V9">
        <f t="shared" si="10"/>
        <v>0</v>
      </c>
      <c r="W9">
        <f t="shared" si="11"/>
        <v>54.336665218008136</v>
      </c>
      <c r="X9">
        <f>IFERROR(INDEX(Dashboard!$G$5:$G$18,MATCH($A9,Dashboard!$B$5:$B$18,0))*100,0)</f>
        <v>50</v>
      </c>
      <c r="Y9">
        <f>MIN(100,IFERROR(INDEX(Dashboard!$K$5:$K$18,MATCH($A9,Dashboard!$B$5:$B$18,0)),0)/5*50+$AC9/4*50)</f>
        <v>72.5</v>
      </c>
      <c r="Z9">
        <f t="shared" si="12"/>
        <v>40</v>
      </c>
      <c r="AA9">
        <f t="shared" si="13"/>
        <v>68.421295071623774</v>
      </c>
      <c r="AB9">
        <f t="shared" si="14"/>
        <v>56.359962333465226</v>
      </c>
      <c r="AC9">
        <f>IFERROR(SUMPRODUCT((INDEX('Sport Records'!$B$8:$O$26,0,MATCH($A9,'Sport Records'!$B$7:$O$7,0))&gt;=2)*(INDEX('Sport Records'!$B$52:$O$70,0,MATCH($A9,'Sport Records'!$B$51:$O$51,0))&gt;=0.5)),0)</f>
        <v>1</v>
      </c>
      <c r="AD9">
        <f>IFERROR(INDEX(Dashboard!$D$5:$D$18,MATCH($A9,Dashboard!$B$5:$B$18,0)),0)</f>
        <v>10</v>
      </c>
      <c r="AE9">
        <f>IFERROR(INDEX(Dashboard!$K$5:$K$18,MATCH($A9,Dashboard!$B$5:$B$18,0)),0)</f>
        <v>6</v>
      </c>
      <c r="AF9" t="str">
        <f t="shared" si="15"/>
        <v>Mid</v>
      </c>
      <c r="AG9">
        <f ca="1">COUNTIFS('Match Log'!$D$4:$D$311,$A9,'Match Log'!$B$4:$B$311,"&gt;="&amp;$B$5)</f>
        <v>0</v>
      </c>
      <c r="AH9">
        <f ca="1">COUNTIFS('Match Log'!$D$4:$D$311,$A9,'Match Log'!$B$4:$B$311,"&gt;="&amp;$B$5,'Match Log'!$E$4:$E$311,"Win")</f>
        <v>0</v>
      </c>
    </row>
    <row r="10" spans="1:34" ht="15" customHeight="1" x14ac:dyDescent="0.2">
      <c r="A10" t="s">
        <v>147</v>
      </c>
      <c r="B10">
        <f>IFERROR(INDEX(Engine!$B$2:$B$15,MATCH($A10,Engine!$A$2:$A$15,0)),1000)</f>
        <v>990.8737469852914</v>
      </c>
      <c r="C10">
        <f>IFERROR(INDEX(Engine!$C$2:$C$15,MATCH($A10,Engine!$A$2:$A$15,0)),"")</f>
        <v>1088.6528297296989</v>
      </c>
      <c r="D10">
        <f t="shared" si="0"/>
        <v>13</v>
      </c>
      <c r="E10">
        <f t="shared" si="1"/>
        <v>198.50276090458135</v>
      </c>
      <c r="F10" t="str">
        <f>IFERROR(LOOKUP(2,1/('Match Log'!$D$4:$D$311=$A10),'Match Log'!$E$4:$E$311),"")</f>
        <v>Win</v>
      </c>
      <c r="G10">
        <f>IF($F10="",0,SUMPRODUCT(('Match Log'!$D$4:$D$311=$A10)*(ROW('Match Log'!$A$4:$A$311)&gt;SUMPRODUCT(MAX(('Match Log'!$D$4:$D$311=$A10)*('Match Log'!$E$4:$E$311&lt;&gt;$F10)*ROW('Match Log'!$A$4:$A$311))))))</f>
        <v>2</v>
      </c>
      <c r="H10" t="str">
        <f t="shared" si="2"/>
        <v>W2</v>
      </c>
      <c r="I10" t="str">
        <f>IFERROR(IF(INDEX('Match Log'!$E$1:$E$311,_xlfn.AGGREGATE(14,6,ROW('Match Log'!$A$4:$A$311)/('Match Log'!$D$4:$D$311=$A10),5))="Win","W","L"),"")&amp;IFERROR(IF(INDEX('Match Log'!$E$1:$E$311,_xlfn.AGGREGATE(14,6,ROW('Match Log'!$A$4:$A$311)/('Match Log'!$D$4:$D$311=$A10),4))="Win","W","L"),"")&amp;IFERROR(IF(INDEX('Match Log'!$E$1:$E$311,_xlfn.AGGREGATE(14,6,ROW('Match Log'!$A$4:$A$311)/('Match Log'!$D$4:$D$311=$A10),3))="Win","W","L"),"")&amp;IFERROR(IF(INDEX('Match Log'!$E$1:$E$311,_xlfn.AGGREGATE(14,6,ROW('Match Log'!$A$4:$A$311)/('Match Log'!$D$4:$D$311=$A10),2))="Win","W","L"),"")&amp;IFERROR(IF(INDEX('Match Log'!$E$1:$E$311,_xlfn.AGGREGATE(14,6,ROW('Match Log'!$A$4:$A$311)/('Match Log'!$D$4:$D$311=$A10),1))="Win","W","L"),"")</f>
        <v>LLLWW</v>
      </c>
      <c r="J10">
        <f>IFERROR(LOOKUP(2,1/(('Match Log'!$D$4:$D$311=$A10)*('Match Log'!$B$4:$B$311&lt;=$B$3)),'Match Log'!$N$4:$N$311),1000)</f>
        <v>990.8737469852914</v>
      </c>
      <c r="K10">
        <f t="shared" si="3"/>
        <v>13</v>
      </c>
      <c r="L10">
        <f t="shared" si="4"/>
        <v>0</v>
      </c>
      <c r="M10">
        <f t="shared" si="5"/>
        <v>0</v>
      </c>
      <c r="N10">
        <f t="shared" si="6"/>
        <v>2</v>
      </c>
      <c r="O10">
        <f t="shared" si="7"/>
        <v>2</v>
      </c>
      <c r="P10">
        <f>IFERROR(SUMPRODUCT(MAX(('Match Log'!$D$4:$D$311=$A10)*'Match Log'!$B$4:$B$311)),0)</f>
        <v>46188</v>
      </c>
      <c r="Q10">
        <f t="shared" si="8"/>
        <v>2.8571428571428572</v>
      </c>
      <c r="R10">
        <f>IF($P10=0,0,MAX($Q10-'Guide &amp; Settings'!$C$48,0)*'Guide &amp; Settings'!$C$49)</f>
        <v>0</v>
      </c>
      <c r="S10">
        <f t="shared" si="9"/>
        <v>990.8737469852914</v>
      </c>
      <c r="T10" t="str">
        <f>IF($P10=0,"No games",IF($Q10&gt;='Guide &amp; Settings'!$C$48,"Inactive",IF($Q10&gt;='Guide &amp; Settings'!$C$47,"At risk","Active")))</f>
        <v>Active</v>
      </c>
      <c r="U10">
        <f>SUMIF('Match Log'!$D$4:$D$311,$A10,'Match Log'!$AC$4:$AC$311)</f>
        <v>0</v>
      </c>
      <c r="V10">
        <f t="shared" si="10"/>
        <v>0</v>
      </c>
      <c r="W10">
        <f t="shared" si="11"/>
        <v>47.718436746322851</v>
      </c>
      <c r="X10">
        <f>IFERROR(INDEX(Dashboard!$G$5:$G$18,MATCH($A10,Dashboard!$B$5:$B$18,0))*100,0)</f>
        <v>28.571428571428569</v>
      </c>
      <c r="Y10">
        <f>MIN(100,IFERROR(INDEX(Dashboard!$K$5:$K$18,MATCH($A10,Dashboard!$B$5:$B$18,0)),0)/5*50+$AC10/4*50)</f>
        <v>30</v>
      </c>
      <c r="Z10">
        <f t="shared" si="12"/>
        <v>40</v>
      </c>
      <c r="AA10">
        <f t="shared" si="13"/>
        <v>72.163207432424713</v>
      </c>
      <c r="AB10">
        <f t="shared" si="14"/>
        <v>41.632059318741177</v>
      </c>
      <c r="AC10">
        <f>IFERROR(SUMPRODUCT((INDEX('Sport Records'!$B$8:$O$26,0,MATCH($A10,'Sport Records'!$B$7:$O$7,0))&gt;=2)*(INDEX('Sport Records'!$B$52:$O$70,0,MATCH($A10,'Sport Records'!$B$51:$O$51,0))&gt;=0.5)),0)</f>
        <v>0</v>
      </c>
      <c r="AD10">
        <f>IFERROR(INDEX(Dashboard!$D$5:$D$18,MATCH($A10,Dashboard!$B$5:$B$18,0)),0)</f>
        <v>14</v>
      </c>
      <c r="AE10">
        <f>IFERROR(INDEX(Dashboard!$K$5:$K$18,MATCH($A10,Dashboard!$B$5:$B$18,0)),0)</f>
        <v>3</v>
      </c>
      <c r="AF10" t="str">
        <f t="shared" si="15"/>
        <v>Developing</v>
      </c>
      <c r="AG10">
        <f ca="1">COUNTIFS('Match Log'!$D$4:$D$311,$A10,'Match Log'!$B$4:$B$311,"&gt;="&amp;$B$5)</f>
        <v>0</v>
      </c>
      <c r="AH10">
        <f ca="1">COUNTIFS('Match Log'!$D$4:$D$311,$A10,'Match Log'!$B$4:$B$311,"&gt;="&amp;$B$5,'Match Log'!$E$4:$E$311,"Win")</f>
        <v>0</v>
      </c>
    </row>
    <row r="11" spans="1:34" ht="15" customHeight="1" x14ac:dyDescent="0.2">
      <c r="A11" t="s">
        <v>144</v>
      </c>
      <c r="B11">
        <f>IFERROR(INDEX(Engine!$B$2:$B$15,MATCH($A11,Engine!$A$2:$A$15,0)),1000)</f>
        <v>1147.1945550051951</v>
      </c>
      <c r="C11">
        <f>IFERROR(INDEX(Engine!$C$2:$C$15,MATCH($A11,Engine!$A$2:$A$15,0)),"")</f>
        <v>1053.34276463265</v>
      </c>
      <c r="D11">
        <f t="shared" si="0"/>
        <v>2</v>
      </c>
      <c r="E11">
        <f t="shared" si="1"/>
        <v>42.181952884677685</v>
      </c>
      <c r="F11" t="str">
        <f>IFERROR(LOOKUP(2,1/('Match Log'!$D$4:$D$311=$A11),'Match Log'!$E$4:$E$311),"")</f>
        <v>Loss</v>
      </c>
      <c r="G11">
        <f>IF($F11="",0,SUMPRODUCT(('Match Log'!$D$4:$D$311=$A11)*(ROW('Match Log'!$A$4:$A$311)&gt;SUMPRODUCT(MAX(('Match Log'!$D$4:$D$311=$A11)*('Match Log'!$E$4:$E$311&lt;&gt;$F11)*ROW('Match Log'!$A$4:$A$311))))))</f>
        <v>1</v>
      </c>
      <c r="H11" t="str">
        <f t="shared" si="2"/>
        <v>L1</v>
      </c>
      <c r="I11" t="str">
        <f>IFERROR(IF(INDEX('Match Log'!$E$1:$E$311,_xlfn.AGGREGATE(14,6,ROW('Match Log'!$A$4:$A$311)/('Match Log'!$D$4:$D$311=$A11),5))="Win","W","L"),"")&amp;IFERROR(IF(INDEX('Match Log'!$E$1:$E$311,_xlfn.AGGREGATE(14,6,ROW('Match Log'!$A$4:$A$311)/('Match Log'!$D$4:$D$311=$A11),4))="Win","W","L"),"")&amp;IFERROR(IF(INDEX('Match Log'!$E$1:$E$311,_xlfn.AGGREGATE(14,6,ROW('Match Log'!$A$4:$A$311)/('Match Log'!$D$4:$D$311=$A11),3))="Win","W","L"),"")&amp;IFERROR(IF(INDEX('Match Log'!$E$1:$E$311,_xlfn.AGGREGATE(14,6,ROW('Match Log'!$A$4:$A$311)/('Match Log'!$D$4:$D$311=$A11),2))="Win","W","L"),"")&amp;IFERROR(IF(INDEX('Match Log'!$E$1:$E$311,_xlfn.AGGREGATE(14,6,ROW('Match Log'!$A$4:$A$311)/('Match Log'!$D$4:$D$311=$A11),1))="Win","W","L"),"")</f>
        <v>LLWWL</v>
      </c>
      <c r="J11">
        <f>IFERROR(LOOKUP(2,1/(('Match Log'!$D$4:$D$311=$A11)*('Match Log'!$B$4:$B$311&lt;=$B$3)),'Match Log'!$N$4:$N$311),1000)</f>
        <v>1147.1945550051951</v>
      </c>
      <c r="K11">
        <f t="shared" si="3"/>
        <v>2</v>
      </c>
      <c r="L11">
        <f t="shared" si="4"/>
        <v>0</v>
      </c>
      <c r="M11">
        <f t="shared" si="5"/>
        <v>1</v>
      </c>
      <c r="N11">
        <f t="shared" si="6"/>
        <v>2</v>
      </c>
      <c r="O11">
        <f t="shared" si="7"/>
        <v>0</v>
      </c>
      <c r="P11">
        <f>IFERROR(SUMPRODUCT(MAX(('Match Log'!$D$4:$D$311=$A11)*'Match Log'!$B$4:$B$311)),0)</f>
        <v>46199</v>
      </c>
      <c r="Q11">
        <f t="shared" si="8"/>
        <v>1.2857142857142858</v>
      </c>
      <c r="R11">
        <f>IF($P11=0,0,MAX($Q11-'Guide &amp; Settings'!$C$48,0)*'Guide &amp; Settings'!$C$49)</f>
        <v>0</v>
      </c>
      <c r="S11">
        <f t="shared" si="9"/>
        <v>1147.1945550051951</v>
      </c>
      <c r="T11" t="str">
        <f>IF($P11=0,"No games",IF($Q11&gt;='Guide &amp; Settings'!$C$48,"Inactive",IF($Q11&gt;='Guide &amp; Settings'!$C$47,"At risk","Active")))</f>
        <v>Active</v>
      </c>
      <c r="U11">
        <f>SUMIF('Match Log'!$D$4:$D$311,$A11,'Match Log'!$AC$4:$AC$311)</f>
        <v>0</v>
      </c>
      <c r="V11">
        <f t="shared" si="10"/>
        <v>1</v>
      </c>
      <c r="W11">
        <f t="shared" si="11"/>
        <v>86.798638751298768</v>
      </c>
      <c r="X11">
        <f>IFERROR(INDEX(Dashboard!$G$5:$G$18,MATCH($A11,Dashboard!$B$5:$B$18,0))*100,0)</f>
        <v>62.5</v>
      </c>
      <c r="Y11">
        <f>MIN(100,IFERROR(INDEX(Dashboard!$K$5:$K$18,MATCH($A11,Dashboard!$B$5:$B$18,0)),0)/5*50+$AC11/4*50)</f>
        <v>100</v>
      </c>
      <c r="Z11">
        <f t="shared" si="12"/>
        <v>40</v>
      </c>
      <c r="AA11">
        <f t="shared" si="13"/>
        <v>63.33569115816249</v>
      </c>
      <c r="AB11">
        <f t="shared" si="14"/>
        <v>75.21309267877082</v>
      </c>
      <c r="AC11">
        <f>IFERROR(SUMPRODUCT((INDEX('Sport Records'!$B$8:$O$26,0,MATCH($A11,'Sport Records'!$B$7:$O$7,0))&gt;=2)*(INDEX('Sport Records'!$B$52:$O$70,0,MATCH($A11,'Sport Records'!$B$51:$O$51,0))&gt;=0.5)),0)</f>
        <v>2</v>
      </c>
      <c r="AD11">
        <f>IFERROR(INDEX(Dashboard!$D$5:$D$18,MATCH($A11,Dashboard!$B$5:$B$18,0)),0)</f>
        <v>32</v>
      </c>
      <c r="AE11">
        <f>IFERROR(INDEX(Dashboard!$K$5:$K$18,MATCH($A11,Dashboard!$B$5:$B$18,0)),0)</f>
        <v>8</v>
      </c>
      <c r="AF11" t="str">
        <f t="shared" si="15"/>
        <v>Elite</v>
      </c>
      <c r="AG11">
        <f ca="1">COUNTIFS('Match Log'!$D$4:$D$311,$A11,'Match Log'!$B$4:$B$311,"&gt;="&amp;$B$5)</f>
        <v>0</v>
      </c>
      <c r="AH11">
        <f ca="1">COUNTIFS('Match Log'!$D$4:$D$311,$A11,'Match Log'!$B$4:$B$311,"&gt;="&amp;$B$5,'Match Log'!$E$4:$E$311,"Win")</f>
        <v>0</v>
      </c>
    </row>
    <row r="12" spans="1:34" ht="15" customHeight="1" x14ac:dyDescent="0.2">
      <c r="A12" t="s">
        <v>141</v>
      </c>
      <c r="B12">
        <f>IFERROR(INDEX(Engine!$B$2:$B$15,MATCH($A12,Engine!$A$2:$A$15,0)),1000)</f>
        <v>1003.4940022422369</v>
      </c>
      <c r="C12">
        <f>IFERROR(INDEX(Engine!$C$2:$C$15,MATCH($A12,Engine!$A$2:$A$15,0)),"")</f>
        <v>1101.0839759749338</v>
      </c>
      <c r="D12">
        <f t="shared" si="0"/>
        <v>11</v>
      </c>
      <c r="E12">
        <f t="shared" si="1"/>
        <v>185.88250564763587</v>
      </c>
      <c r="F12" t="str">
        <f>IFERROR(LOOKUP(2,1/('Match Log'!$D$4:$D$311=$A12),'Match Log'!$E$4:$E$311),"")</f>
        <v>Win</v>
      </c>
      <c r="G12">
        <f>IF($F12="",0,SUMPRODUCT(('Match Log'!$D$4:$D$311=$A12)*(ROW('Match Log'!$A$4:$A$311)&gt;SUMPRODUCT(MAX(('Match Log'!$D$4:$D$311=$A12)*('Match Log'!$E$4:$E$311&lt;&gt;$F12)*ROW('Match Log'!$A$4:$A$311))))))</f>
        <v>2</v>
      </c>
      <c r="H12" t="str">
        <f t="shared" si="2"/>
        <v>W2</v>
      </c>
      <c r="I12" t="str">
        <f>IFERROR(IF(INDEX('Match Log'!$E$1:$E$311,_xlfn.AGGREGATE(14,6,ROW('Match Log'!$A$4:$A$311)/('Match Log'!$D$4:$D$311=$A12),5))="Win","W","L"),"")&amp;IFERROR(IF(INDEX('Match Log'!$E$1:$E$311,_xlfn.AGGREGATE(14,6,ROW('Match Log'!$A$4:$A$311)/('Match Log'!$D$4:$D$311=$A12),4))="Win","W","L"),"")&amp;IFERROR(IF(INDEX('Match Log'!$E$1:$E$311,_xlfn.AGGREGATE(14,6,ROW('Match Log'!$A$4:$A$311)/('Match Log'!$D$4:$D$311=$A12),3))="Win","W","L"),"")&amp;IFERROR(IF(INDEX('Match Log'!$E$1:$E$311,_xlfn.AGGREGATE(14,6,ROW('Match Log'!$A$4:$A$311)/('Match Log'!$D$4:$D$311=$A12),2))="Win","W","L"),"")&amp;IFERROR(IF(INDEX('Match Log'!$E$1:$E$311,_xlfn.AGGREGATE(14,6,ROW('Match Log'!$A$4:$A$311)/('Match Log'!$D$4:$D$311=$A12),1))="Win","W","L"),"")</f>
        <v>LLLWW</v>
      </c>
      <c r="J12">
        <f>IFERROR(LOOKUP(2,1/(('Match Log'!$D$4:$D$311=$A12)*('Match Log'!$B$4:$B$311&lt;=$B$3)),'Match Log'!$N$4:$N$311),1000)</f>
        <v>993.73226027923863</v>
      </c>
      <c r="K12">
        <f t="shared" si="3"/>
        <v>12</v>
      </c>
      <c r="L12">
        <f t="shared" si="4"/>
        <v>1</v>
      </c>
      <c r="M12">
        <f t="shared" si="5"/>
        <v>2</v>
      </c>
      <c r="N12">
        <f t="shared" si="6"/>
        <v>2</v>
      </c>
      <c r="O12">
        <f t="shared" si="7"/>
        <v>2</v>
      </c>
      <c r="P12">
        <f>IFERROR(SUMPRODUCT(MAX(('Match Log'!$D$4:$D$311=$A12)*'Match Log'!$B$4:$B$311)),0)</f>
        <v>46208</v>
      </c>
      <c r="Q12">
        <f t="shared" si="8"/>
        <v>0</v>
      </c>
      <c r="R12">
        <f>IF($P12=0,0,MAX($Q12-'Guide &amp; Settings'!$C$48,0)*'Guide &amp; Settings'!$C$49)</f>
        <v>0</v>
      </c>
      <c r="S12">
        <f t="shared" si="9"/>
        <v>1003.4940022422369</v>
      </c>
      <c r="T12" t="str">
        <f>IF($P12=0,"No games",IF($Q12&gt;='Guide &amp; Settings'!$C$48,"Inactive",IF($Q12&gt;='Guide &amp; Settings'!$C$47,"At risk","Active")))</f>
        <v>Active</v>
      </c>
      <c r="U12">
        <f>SUMIF('Match Log'!$D$4:$D$311,$A12,'Match Log'!$AC$4:$AC$311)</f>
        <v>0</v>
      </c>
      <c r="V12">
        <f t="shared" si="10"/>
        <v>0</v>
      </c>
      <c r="W12">
        <f t="shared" si="11"/>
        <v>50.873500560559222</v>
      </c>
      <c r="X12">
        <f>IFERROR(INDEX(Dashboard!$G$5:$G$18,MATCH($A12,Dashboard!$B$5:$B$18,0))*100,0)</f>
        <v>41.860465116279073</v>
      </c>
      <c r="Y12">
        <f>MIN(100,IFERROR(INDEX(Dashboard!$K$5:$K$18,MATCH($A12,Dashboard!$B$5:$B$18,0)),0)/5*50+$AC12/4*50)</f>
        <v>100</v>
      </c>
      <c r="Z12">
        <f t="shared" si="12"/>
        <v>40</v>
      </c>
      <c r="AA12">
        <f t="shared" si="13"/>
        <v>75.270993993733441</v>
      </c>
      <c r="AB12">
        <f t="shared" si="14"/>
        <v>59.704917618824879</v>
      </c>
      <c r="AC12">
        <f>IFERROR(SUMPRODUCT((INDEX('Sport Records'!$B$8:$O$26,0,MATCH($A12,'Sport Records'!$B$7:$O$7,0))&gt;=2)*(INDEX('Sport Records'!$B$52:$O$70,0,MATCH($A12,'Sport Records'!$B$51:$O$51,0))&gt;=0.5)),0)</f>
        <v>2</v>
      </c>
      <c r="AD12">
        <f>IFERROR(INDEX(Dashboard!$D$5:$D$18,MATCH($A12,Dashboard!$B$5:$B$18,0)),0)</f>
        <v>43</v>
      </c>
      <c r="AE12">
        <f>IFERROR(INDEX(Dashboard!$K$5:$K$18,MATCH($A12,Dashboard!$B$5:$B$18,0)),0)</f>
        <v>8</v>
      </c>
      <c r="AF12" t="str">
        <f t="shared" si="15"/>
        <v>Strong</v>
      </c>
      <c r="AG12">
        <f ca="1">COUNTIFS('Match Log'!$D$4:$D$311,$A12,'Match Log'!$B$4:$B$311,"&gt;="&amp;$B$5)</f>
        <v>7</v>
      </c>
      <c r="AH12">
        <f ca="1">COUNTIFS('Match Log'!$D$4:$D$311,$A12,'Match Log'!$B$4:$B$311,"&gt;="&amp;$B$5,'Match Log'!$E$4:$E$311,"Win")</f>
        <v>3</v>
      </c>
    </row>
    <row r="13" spans="1:34" ht="15" customHeight="1" x14ac:dyDescent="0.2">
      <c r="A13" t="s">
        <v>175</v>
      </c>
      <c r="B13">
        <f>IFERROR(INDEX(Engine!$B$2:$B$15,MATCH($A13,Engine!$A$2:$A$15,0)),1000)</f>
        <v>1099.9035033078371</v>
      </c>
      <c r="C13">
        <f>IFERROR(INDEX(Engine!$C$2:$C$15,MATCH($A13,Engine!$A$2:$A$15,0)),"")</f>
        <v>1076.8851355816855</v>
      </c>
      <c r="D13">
        <f t="shared" si="0"/>
        <v>5</v>
      </c>
      <c r="E13">
        <f t="shared" si="1"/>
        <v>89.473004582035628</v>
      </c>
      <c r="F13" t="str">
        <f>IFERROR(LOOKUP(2,1/('Match Log'!$D$4:$D$311=$A13),'Match Log'!$E$4:$E$311),"")</f>
        <v>Loss</v>
      </c>
      <c r="G13">
        <f>IF($F13="",0,SUMPRODUCT(('Match Log'!$D$4:$D$311=$A13)*(ROW('Match Log'!$A$4:$A$311)&gt;SUMPRODUCT(MAX(('Match Log'!$D$4:$D$311=$A13)*('Match Log'!$E$4:$E$311&lt;&gt;$F13)*ROW('Match Log'!$A$4:$A$311))))))</f>
        <v>3</v>
      </c>
      <c r="H13" t="str">
        <f t="shared" si="2"/>
        <v>L3</v>
      </c>
      <c r="I13" t="str">
        <f>IFERROR(IF(INDEX('Match Log'!$E$1:$E$311,_xlfn.AGGREGATE(14,6,ROW('Match Log'!$A$4:$A$311)/('Match Log'!$D$4:$D$311=$A13),5))="Win","W","L"),"")&amp;IFERROR(IF(INDEX('Match Log'!$E$1:$E$311,_xlfn.AGGREGATE(14,6,ROW('Match Log'!$A$4:$A$311)/('Match Log'!$D$4:$D$311=$A13),4))="Win","W","L"),"")&amp;IFERROR(IF(INDEX('Match Log'!$E$1:$E$311,_xlfn.AGGREGATE(14,6,ROW('Match Log'!$A$4:$A$311)/('Match Log'!$D$4:$D$311=$A13),3))="Win","W","L"),"")&amp;IFERROR(IF(INDEX('Match Log'!$E$1:$E$311,_xlfn.AGGREGATE(14,6,ROW('Match Log'!$A$4:$A$311)/('Match Log'!$D$4:$D$311=$A13),2))="Win","W","L"),"")&amp;IFERROR(IF(INDEX('Match Log'!$E$1:$E$311,_xlfn.AGGREGATE(14,6,ROW('Match Log'!$A$4:$A$311)/('Match Log'!$D$4:$D$311=$A13),1))="Win","W","L"),"")</f>
        <v>WWLLL</v>
      </c>
      <c r="J13">
        <f>IFERROR(LOOKUP(2,1/(('Match Log'!$D$4:$D$311=$A13)*('Match Log'!$B$4:$B$311&lt;=$B$3)),'Match Log'!$N$4:$N$311),1000)</f>
        <v>1099.9035033078371</v>
      </c>
      <c r="K13">
        <f t="shared" si="3"/>
        <v>4</v>
      </c>
      <c r="L13">
        <f t="shared" si="4"/>
        <v>-1</v>
      </c>
      <c r="M13">
        <f t="shared" si="5"/>
        <v>0</v>
      </c>
      <c r="N13">
        <f t="shared" si="6"/>
        <v>2</v>
      </c>
      <c r="O13">
        <f t="shared" si="7"/>
        <v>0</v>
      </c>
      <c r="P13">
        <f>IFERROR(SUMPRODUCT(MAX(('Match Log'!$D$4:$D$311=$A13)*'Match Log'!$B$4:$B$311)),0)</f>
        <v>46188</v>
      </c>
      <c r="Q13">
        <f t="shared" si="8"/>
        <v>2.8571428571428572</v>
      </c>
      <c r="R13">
        <f>IF($P13=0,0,MAX($Q13-'Guide &amp; Settings'!$C$48,0)*'Guide &amp; Settings'!$C$49)</f>
        <v>0</v>
      </c>
      <c r="S13">
        <f t="shared" si="9"/>
        <v>1099.9035033078371</v>
      </c>
      <c r="T13" t="str">
        <f>IF($P13=0,"No games",IF($Q13&gt;='Guide &amp; Settings'!$C$48,"Inactive",IF($Q13&gt;='Guide &amp; Settings'!$C$47,"At risk","Active")))</f>
        <v>Active</v>
      </c>
      <c r="U13">
        <f>SUMIF('Match Log'!$D$4:$D$311,$A13,'Match Log'!$AC$4:$AC$311)</f>
        <v>0</v>
      </c>
      <c r="V13">
        <f t="shared" si="10"/>
        <v>3</v>
      </c>
      <c r="W13">
        <f t="shared" si="11"/>
        <v>74.975875826959282</v>
      </c>
      <c r="X13">
        <f>IFERROR(INDEX(Dashboard!$G$5:$G$18,MATCH($A13,Dashboard!$B$5:$B$18,0))*100,0)</f>
        <v>58.82352941176471</v>
      </c>
      <c r="Y13">
        <f>MIN(100,IFERROR(INDEX(Dashboard!$K$5:$K$18,MATCH($A13,Dashboard!$B$5:$B$18,0)),0)/5*50+$AC13/4*50)</f>
        <v>65</v>
      </c>
      <c r="Z13">
        <f t="shared" si="12"/>
        <v>40</v>
      </c>
      <c r="AA13">
        <f t="shared" si="13"/>
        <v>69.221283895421379</v>
      </c>
      <c r="AB13">
        <f t="shared" si="14"/>
        <v>63.928390811330829</v>
      </c>
      <c r="AC13">
        <f>IFERROR(SUMPRODUCT((INDEX('Sport Records'!$B$8:$O$26,0,MATCH($A13,'Sport Records'!$B$7:$O$7,0))&gt;=2)*(INDEX('Sport Records'!$B$52:$O$70,0,MATCH($A13,'Sport Records'!$B$51:$O$51,0))&gt;=0.5)),0)</f>
        <v>2</v>
      </c>
      <c r="AD13">
        <f>IFERROR(INDEX(Dashboard!$D$5:$D$18,MATCH($A13,Dashboard!$B$5:$B$18,0)),0)</f>
        <v>17</v>
      </c>
      <c r="AE13">
        <f>IFERROR(INDEX(Dashboard!$K$5:$K$18,MATCH($A13,Dashboard!$B$5:$B$18,0)),0)</f>
        <v>4</v>
      </c>
      <c r="AF13" t="str">
        <f t="shared" si="15"/>
        <v>Strong</v>
      </c>
      <c r="AG13">
        <f ca="1">COUNTIFS('Match Log'!$D$4:$D$311,$A13,'Match Log'!$B$4:$B$311,"&gt;="&amp;$B$5)</f>
        <v>0</v>
      </c>
      <c r="AH13">
        <f ca="1">COUNTIFS('Match Log'!$D$4:$D$311,$A13,'Match Log'!$B$4:$B$311,"&gt;="&amp;$B$5,'Match Log'!$E$4:$E$311,"Win")</f>
        <v>0</v>
      </c>
    </row>
    <row r="14" spans="1:34" ht="15" customHeight="1" x14ac:dyDescent="0.2">
      <c r="A14" t="s">
        <v>177</v>
      </c>
      <c r="B14">
        <f>IFERROR(INDEX(Engine!$B$2:$B$15,MATCH($A14,Engine!$A$2:$A$15,0)),1000)</f>
        <v>1069.478840506906</v>
      </c>
      <c r="C14">
        <f>IFERROR(INDEX(Engine!$C$2:$C$15,MATCH($A14,Engine!$A$2:$A$15,0)),"")</f>
        <v>1077.1238319002935</v>
      </c>
      <c r="D14">
        <f t="shared" si="0"/>
        <v>6</v>
      </c>
      <c r="E14">
        <f t="shared" si="1"/>
        <v>119.8976673829668</v>
      </c>
      <c r="F14" t="str">
        <f>IFERROR(LOOKUP(2,1/('Match Log'!$D$4:$D$311=$A14),'Match Log'!$E$4:$E$311),"")</f>
        <v>Loss</v>
      </c>
      <c r="G14">
        <f>IF($F14="",0,SUMPRODUCT(('Match Log'!$D$4:$D$311=$A14)*(ROW('Match Log'!$A$4:$A$311)&gt;SUMPRODUCT(MAX(('Match Log'!$D$4:$D$311=$A14)*('Match Log'!$E$4:$E$311&lt;&gt;$F14)*ROW('Match Log'!$A$4:$A$311))))))</f>
        <v>1</v>
      </c>
      <c r="H14" t="str">
        <f t="shared" si="2"/>
        <v>L1</v>
      </c>
      <c r="I14" t="str">
        <f>IFERROR(IF(INDEX('Match Log'!$E$1:$E$311,_xlfn.AGGREGATE(14,6,ROW('Match Log'!$A$4:$A$311)/('Match Log'!$D$4:$D$311=$A14),5))="Win","W","L"),"")&amp;IFERROR(IF(INDEX('Match Log'!$E$1:$E$311,_xlfn.AGGREGATE(14,6,ROW('Match Log'!$A$4:$A$311)/('Match Log'!$D$4:$D$311=$A14),4))="Win","W","L"),"")&amp;IFERROR(IF(INDEX('Match Log'!$E$1:$E$311,_xlfn.AGGREGATE(14,6,ROW('Match Log'!$A$4:$A$311)/('Match Log'!$D$4:$D$311=$A14),3))="Win","W","L"),"")&amp;IFERROR(IF(INDEX('Match Log'!$E$1:$E$311,_xlfn.AGGREGATE(14,6,ROW('Match Log'!$A$4:$A$311)/('Match Log'!$D$4:$D$311=$A14),2))="Win","W","L"),"")&amp;IFERROR(IF(INDEX('Match Log'!$E$1:$E$311,_xlfn.AGGREGATE(14,6,ROW('Match Log'!$A$4:$A$311)/('Match Log'!$D$4:$D$311=$A14),1))="Win","W","L"),"")</f>
        <v>WLLWL</v>
      </c>
      <c r="J14">
        <f>IFERROR(LOOKUP(2,1/(('Match Log'!$D$4:$D$311=$A14)*('Match Log'!$B$4:$B$311&lt;=$B$3)),'Match Log'!$N$4:$N$311),1000)</f>
        <v>1092.9844065377026</v>
      </c>
      <c r="K14">
        <f t="shared" si="3"/>
        <v>6</v>
      </c>
      <c r="L14">
        <f t="shared" si="4"/>
        <v>0</v>
      </c>
      <c r="M14">
        <f t="shared" si="5"/>
        <v>4</v>
      </c>
      <c r="N14">
        <f t="shared" si="6"/>
        <v>2</v>
      </c>
      <c r="O14">
        <f t="shared" si="7"/>
        <v>0</v>
      </c>
      <c r="P14">
        <f>IFERROR(SUMPRODUCT(MAX(('Match Log'!$D$4:$D$311=$A14)*'Match Log'!$B$4:$B$311)),0)</f>
        <v>46202</v>
      </c>
      <c r="Q14">
        <f t="shared" si="8"/>
        <v>0.8571428571428571</v>
      </c>
      <c r="R14">
        <f>IF($P14=0,0,MAX($Q14-'Guide &amp; Settings'!$C$48,0)*'Guide &amp; Settings'!$C$49)</f>
        <v>0</v>
      </c>
      <c r="S14">
        <f t="shared" si="9"/>
        <v>1069.478840506906</v>
      </c>
      <c r="T14" t="str">
        <f>IF($P14=0,"No games",IF($Q14&gt;='Guide &amp; Settings'!$C$48,"Inactive",IF($Q14&gt;='Guide &amp; Settings'!$C$47,"At risk","Active")))</f>
        <v>Active</v>
      </c>
      <c r="U14">
        <f>SUMIF('Match Log'!$D$4:$D$311,$A14,'Match Log'!$AC$4:$AC$311)</f>
        <v>0</v>
      </c>
      <c r="V14">
        <f t="shared" si="10"/>
        <v>1</v>
      </c>
      <c r="W14">
        <f t="shared" si="11"/>
        <v>67.369710126726488</v>
      </c>
      <c r="X14">
        <f>IFERROR(INDEX(Dashboard!$G$5:$G$18,MATCH($A14,Dashboard!$B$5:$B$18,0))*100,0)</f>
        <v>42.857142857142854</v>
      </c>
      <c r="Y14">
        <f>MIN(100,IFERROR(INDEX(Dashboard!$K$5:$K$18,MATCH($A14,Dashboard!$B$5:$B$18,0)),0)/5*50+$AC14/4*50)</f>
        <v>100</v>
      </c>
      <c r="Z14">
        <f t="shared" si="12"/>
        <v>40</v>
      </c>
      <c r="AA14">
        <f t="shared" si="13"/>
        <v>69.280957975073363</v>
      </c>
      <c r="AB14">
        <f t="shared" si="14"/>
        <v>65.078922913290171</v>
      </c>
      <c r="AC14">
        <f>IFERROR(SUMPRODUCT((INDEX('Sport Records'!$B$8:$O$26,0,MATCH($A14,'Sport Records'!$B$7:$O$7,0))&gt;=2)*(INDEX('Sport Records'!$B$52:$O$70,0,MATCH($A14,'Sport Records'!$B$51:$O$51,0))&gt;=0.5)),0)</f>
        <v>5</v>
      </c>
      <c r="AD14">
        <f>IFERROR(INDEX(Dashboard!$D$5:$D$18,MATCH($A14,Dashboard!$B$5:$B$18,0)),0)</f>
        <v>49</v>
      </c>
      <c r="AE14">
        <f>IFERROR(INDEX(Dashboard!$K$5:$K$18,MATCH($A14,Dashboard!$B$5:$B$18,0)),0)</f>
        <v>11</v>
      </c>
      <c r="AF14" t="str">
        <f t="shared" si="15"/>
        <v>Strong</v>
      </c>
      <c r="AG14">
        <f ca="1">COUNTIFS('Match Log'!$D$4:$D$311,$A14,'Match Log'!$B$4:$B$311,"&gt;="&amp;$B$5)</f>
        <v>1</v>
      </c>
      <c r="AH14">
        <f ca="1">COUNTIFS('Match Log'!$D$4:$D$311,$A14,'Match Log'!$B$4:$B$311,"&gt;="&amp;$B$5,'Match Log'!$E$4:$E$311,"Win")</f>
        <v>0</v>
      </c>
    </row>
    <row r="15" spans="1:34" ht="15" customHeight="1" x14ac:dyDescent="0.2">
      <c r="A15" t="s">
        <v>174</v>
      </c>
      <c r="B15">
        <f>IFERROR(INDEX(Engine!$B$2:$B$15,MATCH($A15,Engine!$A$2:$A$15,0)),1000)</f>
        <v>1189.3765078898728</v>
      </c>
      <c r="C15">
        <f>IFERROR(INDEX(Engine!$C$2:$C$15,MATCH($A15,Engine!$A$2:$A$15,0)),"")</f>
        <v>1070.5898196633232</v>
      </c>
      <c r="D15">
        <f t="shared" si="0"/>
        <v>1</v>
      </c>
      <c r="E15">
        <f t="shared" si="1"/>
        <v>0</v>
      </c>
      <c r="F15" t="str">
        <f>IFERROR(LOOKUP(2,1/('Match Log'!$D$4:$D$311=$A15),'Match Log'!$E$4:$E$311),"")</f>
        <v>Win</v>
      </c>
      <c r="G15">
        <f>IF($F15="",0,SUMPRODUCT(('Match Log'!$D$4:$D$311=$A15)*(ROW('Match Log'!$A$4:$A$311)&gt;SUMPRODUCT(MAX(('Match Log'!$D$4:$D$311=$A15)*('Match Log'!$E$4:$E$311&lt;&gt;$F15)*ROW('Match Log'!$A$4:$A$311))))))</f>
        <v>2</v>
      </c>
      <c r="H15" t="str">
        <f t="shared" si="2"/>
        <v>W2</v>
      </c>
      <c r="I15" t="str">
        <f>IFERROR(IF(INDEX('Match Log'!$E$1:$E$311,_xlfn.AGGREGATE(14,6,ROW('Match Log'!$A$4:$A$311)/('Match Log'!$D$4:$D$311=$A15),5))="Win","W","L"),"")&amp;IFERROR(IF(INDEX('Match Log'!$E$1:$E$311,_xlfn.AGGREGATE(14,6,ROW('Match Log'!$A$4:$A$311)/('Match Log'!$D$4:$D$311=$A15),4))="Win","W","L"),"")&amp;IFERROR(IF(INDEX('Match Log'!$E$1:$E$311,_xlfn.AGGREGATE(14,6,ROW('Match Log'!$A$4:$A$311)/('Match Log'!$D$4:$D$311=$A15),3))="Win","W","L"),"")&amp;IFERROR(IF(INDEX('Match Log'!$E$1:$E$311,_xlfn.AGGREGATE(14,6,ROW('Match Log'!$A$4:$A$311)/('Match Log'!$D$4:$D$311=$A15),2))="Win","W","L"),"")&amp;IFERROR(IF(INDEX('Match Log'!$E$1:$E$311,_xlfn.AGGREGATE(14,6,ROW('Match Log'!$A$4:$A$311)/('Match Log'!$D$4:$D$311=$A15),1))="Win","W","L"),"")</f>
        <v>LLLWW</v>
      </c>
      <c r="J15">
        <f>IFERROR(LOOKUP(2,1/(('Match Log'!$D$4:$D$311=$A15)*('Match Log'!$B$4:$B$311&lt;=$B$3)),'Match Log'!$N$4:$N$311),1000)</f>
        <v>1189.3765078898728</v>
      </c>
      <c r="K15">
        <f t="shared" si="3"/>
        <v>1</v>
      </c>
      <c r="L15">
        <f t="shared" si="4"/>
        <v>0</v>
      </c>
      <c r="M15">
        <f t="shared" si="5"/>
        <v>2</v>
      </c>
      <c r="N15">
        <f t="shared" si="6"/>
        <v>2</v>
      </c>
      <c r="O15">
        <f t="shared" si="7"/>
        <v>2</v>
      </c>
      <c r="P15">
        <f>IFERROR(SUMPRODUCT(MAX(('Match Log'!$D$4:$D$311=$A15)*'Match Log'!$B$4:$B$311)),0)</f>
        <v>46189</v>
      </c>
      <c r="Q15">
        <f t="shared" si="8"/>
        <v>2.7142857142857144</v>
      </c>
      <c r="R15">
        <f>IF($P15=0,0,MAX($Q15-'Guide &amp; Settings'!$C$48,0)*'Guide &amp; Settings'!$C$49)</f>
        <v>0</v>
      </c>
      <c r="S15">
        <f t="shared" si="9"/>
        <v>1189.3765078898728</v>
      </c>
      <c r="T15" t="str">
        <f>IF($P15=0,"No games",IF($Q15&gt;='Guide &amp; Settings'!$C$48,"Inactive",IF($Q15&gt;='Guide &amp; Settings'!$C$47,"At risk","Active")))</f>
        <v>Active</v>
      </c>
      <c r="U15">
        <f>SUMIF('Match Log'!$D$4:$D$311,$A15,'Match Log'!$AC$4:$AC$311)</f>
        <v>0</v>
      </c>
      <c r="V15">
        <f t="shared" si="10"/>
        <v>0</v>
      </c>
      <c r="W15">
        <f t="shared" si="11"/>
        <v>97.344126972468189</v>
      </c>
      <c r="X15">
        <f>IFERROR(INDEX(Dashboard!$G$5:$G$18,MATCH($A15,Dashboard!$B$5:$B$18,0))*100,0)</f>
        <v>65.217391304347828</v>
      </c>
      <c r="Y15">
        <f>MIN(100,IFERROR(INDEX(Dashboard!$K$5:$K$18,MATCH($A15,Dashboard!$B$5:$B$18,0)),0)/5*50+$AC15/4*50)</f>
        <v>67.5</v>
      </c>
      <c r="Z15">
        <f t="shared" si="12"/>
        <v>40</v>
      </c>
      <c r="AA15">
        <f t="shared" si="13"/>
        <v>67.647454915830792</v>
      </c>
      <c r="AB15">
        <f t="shared" si="14"/>
        <v>73.378668192816519</v>
      </c>
      <c r="AC15">
        <f>IFERROR(SUMPRODUCT((INDEX('Sport Records'!$B$8:$O$26,0,MATCH($A15,'Sport Records'!$B$7:$O$7,0))&gt;=2)*(INDEX('Sport Records'!$B$52:$O$70,0,MATCH($A15,'Sport Records'!$B$51:$O$51,0))&gt;=0.5)),0)</f>
        <v>3</v>
      </c>
      <c r="AD15">
        <f>IFERROR(INDEX(Dashboard!$D$5:$D$18,MATCH($A15,Dashboard!$B$5:$B$18,0)),0)</f>
        <v>23</v>
      </c>
      <c r="AE15">
        <f>IFERROR(INDEX(Dashboard!$K$5:$K$18,MATCH($A15,Dashboard!$B$5:$B$18,0)),0)</f>
        <v>3</v>
      </c>
      <c r="AF15" t="str">
        <f t="shared" si="15"/>
        <v>Elite</v>
      </c>
      <c r="AG15">
        <f ca="1">COUNTIFS('Match Log'!$D$4:$D$311,$A15,'Match Log'!$B$4:$B$311,"&gt;="&amp;$B$5)</f>
        <v>0</v>
      </c>
      <c r="AH15">
        <f ca="1">COUNTIFS('Match Log'!$D$4:$D$311,$A15,'Match Log'!$B$4:$B$311,"&gt;="&amp;$B$5,'Match Log'!$E$4:$E$311,"Win")</f>
        <v>0</v>
      </c>
    </row>
    <row r="16" spans="1:34" ht="15" customHeight="1" x14ac:dyDescent="0.2">
      <c r="A16" t="s">
        <v>182</v>
      </c>
      <c r="B16">
        <f>IFERROR(INDEX(Engine!$B$2:$B$15,MATCH($A16,Engine!$A$2:$A$15,0)),1000)</f>
        <v>894.20718606929802</v>
      </c>
      <c r="C16">
        <f>IFERROR(INDEX(Engine!$C$2:$C$15,MATCH($A16,Engine!$A$2:$A$15,0)),"")</f>
        <v>1102.6199266748274</v>
      </c>
      <c r="D16">
        <f t="shared" si="0"/>
        <v>14</v>
      </c>
      <c r="E16">
        <f t="shared" si="1"/>
        <v>295.16932182057474</v>
      </c>
      <c r="F16" t="str">
        <f>IFERROR(LOOKUP(2,1/('Match Log'!$D$4:$D$311=$A16),'Match Log'!$E$4:$E$311),"")</f>
        <v>Loss</v>
      </c>
      <c r="G16">
        <f>IF($F16="",0,SUMPRODUCT(('Match Log'!$D$4:$D$311=$A16)*(ROW('Match Log'!$A$4:$A$311)&gt;SUMPRODUCT(MAX(('Match Log'!$D$4:$D$311=$A16)*('Match Log'!$E$4:$E$311&lt;&gt;$F16)*ROW('Match Log'!$A$4:$A$311))))))</f>
        <v>4</v>
      </c>
      <c r="H16" t="str">
        <f t="shared" si="2"/>
        <v>L4</v>
      </c>
      <c r="I16" t="str">
        <f>IFERROR(IF(INDEX('Match Log'!$E$1:$E$311,_xlfn.AGGREGATE(14,6,ROW('Match Log'!$A$4:$A$311)/('Match Log'!$D$4:$D$311=$A16),5))="Win","W","L"),"")&amp;IFERROR(IF(INDEX('Match Log'!$E$1:$E$311,_xlfn.AGGREGATE(14,6,ROW('Match Log'!$A$4:$A$311)/('Match Log'!$D$4:$D$311=$A16),4))="Win","W","L"),"")&amp;IFERROR(IF(INDEX('Match Log'!$E$1:$E$311,_xlfn.AGGREGATE(14,6,ROW('Match Log'!$A$4:$A$311)/('Match Log'!$D$4:$D$311=$A16),3))="Win","W","L"),"")&amp;IFERROR(IF(INDEX('Match Log'!$E$1:$E$311,_xlfn.AGGREGATE(14,6,ROW('Match Log'!$A$4:$A$311)/('Match Log'!$D$4:$D$311=$A16),2))="Win","W","L"),"")&amp;IFERROR(IF(INDEX('Match Log'!$E$1:$E$311,_xlfn.AGGREGATE(14,6,ROW('Match Log'!$A$4:$A$311)/('Match Log'!$D$4:$D$311=$A16),1))="Win","W","L"),"")</f>
        <v>WLLLL</v>
      </c>
      <c r="J16">
        <f>IFERROR(LOOKUP(2,1/(('Match Log'!$D$4:$D$311=$A16)*('Match Log'!$B$4:$B$311&lt;=$B$3)),'Match Log'!$N$4:$N$311),1000)</f>
        <v>894.20718606929802</v>
      </c>
      <c r="K16">
        <f t="shared" si="3"/>
        <v>14</v>
      </c>
      <c r="L16">
        <f t="shared" si="4"/>
        <v>0</v>
      </c>
      <c r="M16">
        <f t="shared" si="5"/>
        <v>1</v>
      </c>
      <c r="N16">
        <f t="shared" si="6"/>
        <v>1</v>
      </c>
      <c r="O16">
        <f t="shared" si="7"/>
        <v>0</v>
      </c>
      <c r="P16">
        <f>IFERROR(SUMPRODUCT(MAX(('Match Log'!$D$4:$D$311=$A16)*'Match Log'!$B$4:$B$311)),0)</f>
        <v>46188</v>
      </c>
      <c r="Q16">
        <f t="shared" si="8"/>
        <v>2.8571428571428572</v>
      </c>
      <c r="R16">
        <f>IF($P16=0,0,MAX($Q16-'Guide &amp; Settings'!$C$48,0)*'Guide &amp; Settings'!$C$49)</f>
        <v>0</v>
      </c>
      <c r="S16">
        <f t="shared" si="9"/>
        <v>894.20718606929802</v>
      </c>
      <c r="T16" t="str">
        <f>IF($P16=0,"No games",IF($Q16&gt;='Guide &amp; Settings'!$C$48,"Inactive",IF($Q16&gt;='Guide &amp; Settings'!$C$47,"At risk","Active")))</f>
        <v>Active</v>
      </c>
      <c r="U16">
        <f>SUMIF('Match Log'!$D$4:$D$311,$A16,'Match Log'!$AC$4:$AC$311)</f>
        <v>0</v>
      </c>
      <c r="V16">
        <f t="shared" si="10"/>
        <v>4</v>
      </c>
      <c r="W16">
        <f t="shared" si="11"/>
        <v>23.551796517324505</v>
      </c>
      <c r="X16">
        <f>IFERROR(INDEX(Dashboard!$G$5:$G$18,MATCH($A16,Dashboard!$B$5:$B$18,0))*100,0)</f>
        <v>15.384615384615385</v>
      </c>
      <c r="Y16">
        <f>MIN(100,IFERROR(INDEX(Dashboard!$K$5:$K$18,MATCH($A16,Dashboard!$B$5:$B$18,0)),0)/5*50+$AC16/4*50)</f>
        <v>30</v>
      </c>
      <c r="Z16">
        <f t="shared" si="12"/>
        <v>20</v>
      </c>
      <c r="AA16">
        <f t="shared" si="13"/>
        <v>75.654981668706853</v>
      </c>
      <c r="AB16">
        <f t="shared" si="14"/>
        <v>27.885550024857341</v>
      </c>
      <c r="AC16">
        <f>IFERROR(SUMPRODUCT((INDEX('Sport Records'!$B$8:$O$26,0,MATCH($A16,'Sport Records'!$B$7:$O$7,0))&gt;=2)*(INDEX('Sport Records'!$B$52:$O$70,0,MATCH($A16,'Sport Records'!$B$51:$O$51,0))&gt;=0.5)),0)</f>
        <v>0</v>
      </c>
      <c r="AD16">
        <f>IFERROR(INDEX(Dashboard!$D$5:$D$18,MATCH($A16,Dashboard!$B$5:$B$18,0)),0)</f>
        <v>13</v>
      </c>
      <c r="AE16">
        <f>IFERROR(INDEX(Dashboard!$K$5:$K$18,MATCH($A16,Dashboard!$B$5:$B$18,0)),0)</f>
        <v>3</v>
      </c>
      <c r="AF16" t="str">
        <f t="shared" si="15"/>
        <v>Developing</v>
      </c>
      <c r="AG16">
        <f ca="1">COUNTIFS('Match Log'!$D$4:$D$311,$A16,'Match Log'!$B$4:$B$311,"&gt;="&amp;$B$5)</f>
        <v>0</v>
      </c>
      <c r="AH16">
        <f ca="1">COUNTIFS('Match Log'!$D$4:$D$311,$A16,'Match Log'!$B$4:$B$311,"&gt;="&amp;$B$5,'Match Log'!$E$4:$E$311,"Win")</f>
        <v>0</v>
      </c>
    </row>
    <row r="17" spans="1:34" ht="15" customHeight="1" x14ac:dyDescent="0.2">
      <c r="A17" t="s">
        <v>176</v>
      </c>
      <c r="B17">
        <f>IFERROR(INDEX(Engine!$B$2:$B$15,MATCH($A17,Engine!$A$2:$A$15,0)),1000)</f>
        <v>1108.1045793188271</v>
      </c>
      <c r="C17">
        <f>IFERROR(INDEX(Engine!$C$2:$C$15,MATCH($A17,Engine!$A$2:$A$15,0)),"")</f>
        <v>1069.5967813481279</v>
      </c>
      <c r="D17">
        <f t="shared" si="0"/>
        <v>4</v>
      </c>
      <c r="E17">
        <f t="shared" si="1"/>
        <v>81.271928571045692</v>
      </c>
      <c r="F17" t="str">
        <f>IFERROR(LOOKUP(2,1/('Match Log'!$D$4:$D$311=$A17),'Match Log'!$E$4:$E$311),"")</f>
        <v>Loss</v>
      </c>
      <c r="G17">
        <f>IF($F17="",0,SUMPRODUCT(('Match Log'!$D$4:$D$311=$A17)*(ROW('Match Log'!$A$4:$A$311)&gt;SUMPRODUCT(MAX(('Match Log'!$D$4:$D$311=$A17)*('Match Log'!$E$4:$E$311&lt;&gt;$F17)*ROW('Match Log'!$A$4:$A$311))))))</f>
        <v>2</v>
      </c>
      <c r="H17" t="str">
        <f t="shared" si="2"/>
        <v>L2</v>
      </c>
      <c r="I17" t="str">
        <f>IFERROR(IF(INDEX('Match Log'!$E$1:$E$311,_xlfn.AGGREGATE(14,6,ROW('Match Log'!$A$4:$A$311)/('Match Log'!$D$4:$D$311=$A17),5))="Win","W","L"),"")&amp;IFERROR(IF(INDEX('Match Log'!$E$1:$E$311,_xlfn.AGGREGATE(14,6,ROW('Match Log'!$A$4:$A$311)/('Match Log'!$D$4:$D$311=$A17),4))="Win","W","L"),"")&amp;IFERROR(IF(INDEX('Match Log'!$E$1:$E$311,_xlfn.AGGREGATE(14,6,ROW('Match Log'!$A$4:$A$311)/('Match Log'!$D$4:$D$311=$A17),3))="Win","W","L"),"")&amp;IFERROR(IF(INDEX('Match Log'!$E$1:$E$311,_xlfn.AGGREGATE(14,6,ROW('Match Log'!$A$4:$A$311)/('Match Log'!$D$4:$D$311=$A17),2))="Win","W","L"),"")&amp;IFERROR(IF(INDEX('Match Log'!$E$1:$E$311,_xlfn.AGGREGATE(14,6,ROW('Match Log'!$A$4:$A$311)/('Match Log'!$D$4:$D$311=$A17),1))="Win","W","L"),"")</f>
        <v>WWWLL</v>
      </c>
      <c r="J17">
        <f>IFERROR(LOOKUP(2,1/(('Match Log'!$D$4:$D$311=$A17)*('Match Log'!$B$4:$B$311&lt;=$B$3)),'Match Log'!$N$4:$N$311),1000)</f>
        <v>1094.3607552510286</v>
      </c>
      <c r="K17">
        <f t="shared" si="3"/>
        <v>5</v>
      </c>
      <c r="L17">
        <f t="shared" si="4"/>
        <v>1</v>
      </c>
      <c r="M17">
        <f t="shared" si="5"/>
        <v>2</v>
      </c>
      <c r="N17">
        <f t="shared" si="6"/>
        <v>3</v>
      </c>
      <c r="O17">
        <f t="shared" si="7"/>
        <v>0</v>
      </c>
      <c r="P17">
        <f>IFERROR(SUMPRODUCT(MAX(('Match Log'!$D$4:$D$311=$A17)*'Match Log'!$B$4:$B$311)),0)</f>
        <v>46208</v>
      </c>
      <c r="Q17">
        <f t="shared" si="8"/>
        <v>0</v>
      </c>
      <c r="R17">
        <f>IF($P17=0,0,MAX($Q17-'Guide &amp; Settings'!$C$48,0)*'Guide &amp; Settings'!$C$49)</f>
        <v>0</v>
      </c>
      <c r="S17">
        <f t="shared" si="9"/>
        <v>1108.1045793188271</v>
      </c>
      <c r="T17" t="str">
        <f>IF($P17=0,"No games",IF($Q17&gt;='Guide &amp; Settings'!$C$48,"Inactive",IF($Q17&gt;='Guide &amp; Settings'!$C$47,"At risk","Active")))</f>
        <v>Active</v>
      </c>
      <c r="U17">
        <f>SUMIF('Match Log'!$D$4:$D$311,$A17,'Match Log'!$AC$4:$AC$311)</f>
        <v>0</v>
      </c>
      <c r="V17">
        <f t="shared" si="10"/>
        <v>2</v>
      </c>
      <c r="W17">
        <f t="shared" si="11"/>
        <v>77.026144829706766</v>
      </c>
      <c r="X17">
        <f>IFERROR(INDEX(Dashboard!$G$5:$G$18,MATCH($A17,Dashboard!$B$5:$B$18,0))*100,0)</f>
        <v>46.341463414634148</v>
      </c>
      <c r="Y17">
        <f>MIN(100,IFERROR(INDEX(Dashboard!$K$5:$K$18,MATCH($A17,Dashboard!$B$5:$B$18,0)),0)/5*50+$AC17/4*50)</f>
        <v>95</v>
      </c>
      <c r="Z17">
        <f t="shared" si="12"/>
        <v>60</v>
      </c>
      <c r="AA17">
        <f t="shared" si="13"/>
        <v>67.399195337031983</v>
      </c>
      <c r="AB17">
        <f t="shared" si="14"/>
        <v>70.967362907027393</v>
      </c>
      <c r="AC17">
        <f>IFERROR(SUMPRODUCT((INDEX('Sport Records'!$B$8:$O$26,0,MATCH($A17,'Sport Records'!$B$7:$O$7,0))&gt;=2)*(INDEX('Sport Records'!$B$52:$O$70,0,MATCH($A17,'Sport Records'!$B$51:$O$51,0))&gt;=0.5)),0)</f>
        <v>2</v>
      </c>
      <c r="AD17">
        <f>IFERROR(INDEX(Dashboard!$D$5:$D$18,MATCH($A17,Dashboard!$B$5:$B$18,0)),0)</f>
        <v>41</v>
      </c>
      <c r="AE17">
        <f>IFERROR(INDEX(Dashboard!$K$5:$K$18,MATCH($A17,Dashboard!$B$5:$B$18,0)),0)</f>
        <v>7</v>
      </c>
      <c r="AF17" t="str">
        <f t="shared" si="15"/>
        <v>Strong</v>
      </c>
      <c r="AG17">
        <f ca="1">COUNTIFS('Match Log'!$D$4:$D$311,$A17,'Match Log'!$B$4:$B$311,"&gt;="&amp;$B$5)</f>
        <v>6</v>
      </c>
      <c r="AH17">
        <f ca="1">COUNTIFS('Match Log'!$D$4:$D$311,$A17,'Match Log'!$B$4:$B$311,"&gt;="&amp;$B$5,'Match Log'!$E$4:$E$311,"Win")</f>
        <v>4</v>
      </c>
    </row>
    <row r="18" spans="1:34" ht="15" customHeight="1" x14ac:dyDescent="0.2">
      <c r="A18" t="s">
        <v>178</v>
      </c>
      <c r="B18">
        <f>IFERROR(INDEX(Engine!$B$2:$B$15,MATCH($A18,Engine!$A$2:$A$15,0)),1000)</f>
        <v>1039.5415973556721</v>
      </c>
      <c r="C18">
        <f>IFERROR(INDEX(Engine!$C$2:$C$15,MATCH($A18,Engine!$A$2:$A$15,0)),"")</f>
        <v>1066.7168830610781</v>
      </c>
      <c r="D18">
        <f t="shared" si="0"/>
        <v>8</v>
      </c>
      <c r="E18">
        <f t="shared" si="1"/>
        <v>149.83491053420062</v>
      </c>
      <c r="F18" t="str">
        <f>IFERROR(LOOKUP(2,1/('Match Log'!$D$4:$D$311=$A18),'Match Log'!$E$4:$E$311),"")</f>
        <v>Win</v>
      </c>
      <c r="G18">
        <f>IF($F18="",0,SUMPRODUCT(('Match Log'!$D$4:$D$311=$A18)*(ROW('Match Log'!$A$4:$A$311)&gt;SUMPRODUCT(MAX(('Match Log'!$D$4:$D$311=$A18)*('Match Log'!$E$4:$E$311&lt;&gt;$F18)*ROW('Match Log'!$A$4:$A$311))))))</f>
        <v>2</v>
      </c>
      <c r="H18" t="str">
        <f t="shared" si="2"/>
        <v>W2</v>
      </c>
      <c r="I18" t="str">
        <f>IFERROR(IF(INDEX('Match Log'!$E$1:$E$311,_xlfn.AGGREGATE(14,6,ROW('Match Log'!$A$4:$A$311)/('Match Log'!$D$4:$D$311=$A18),5))="Win","W","L"),"")&amp;IFERROR(IF(INDEX('Match Log'!$E$1:$E$311,_xlfn.AGGREGATE(14,6,ROW('Match Log'!$A$4:$A$311)/('Match Log'!$D$4:$D$311=$A18),4))="Win","W","L"),"")&amp;IFERROR(IF(INDEX('Match Log'!$E$1:$E$311,_xlfn.AGGREGATE(14,6,ROW('Match Log'!$A$4:$A$311)/('Match Log'!$D$4:$D$311=$A18),3))="Win","W","L"),"")&amp;IFERROR(IF(INDEX('Match Log'!$E$1:$E$311,_xlfn.AGGREGATE(14,6,ROW('Match Log'!$A$4:$A$311)/('Match Log'!$D$4:$D$311=$A18),2))="Win","W","L"),"")&amp;IFERROR(IF(INDEX('Match Log'!$E$1:$E$311,_xlfn.AGGREGATE(14,6,ROW('Match Log'!$A$4:$A$311)/('Match Log'!$D$4:$D$311=$A18),1))="Win","W","L"),"")</f>
        <v>LLLWW</v>
      </c>
      <c r="J18">
        <f>IFERROR(LOOKUP(2,1/(('Match Log'!$D$4:$D$311=$A18)*('Match Log'!$B$4:$B$311&lt;=$B$3)),'Match Log'!$N$4:$N$311),1000)</f>
        <v>1039.5415973556721</v>
      </c>
      <c r="K18">
        <f t="shared" si="3"/>
        <v>8</v>
      </c>
      <c r="L18">
        <f t="shared" si="4"/>
        <v>0</v>
      </c>
      <c r="M18">
        <f t="shared" si="5"/>
        <v>0</v>
      </c>
      <c r="N18">
        <f t="shared" si="6"/>
        <v>2</v>
      </c>
      <c r="O18">
        <f t="shared" si="7"/>
        <v>2</v>
      </c>
      <c r="P18">
        <f>IFERROR(SUMPRODUCT(MAX(('Match Log'!$D$4:$D$311=$A18)*'Match Log'!$B$4:$B$311)),0)</f>
        <v>46188</v>
      </c>
      <c r="Q18">
        <f t="shared" si="8"/>
        <v>2.8571428571428572</v>
      </c>
      <c r="R18">
        <f>IF($P18=0,0,MAX($Q18-'Guide &amp; Settings'!$C$48,0)*'Guide &amp; Settings'!$C$49)</f>
        <v>0</v>
      </c>
      <c r="S18">
        <f t="shared" si="9"/>
        <v>1039.5415973556721</v>
      </c>
      <c r="T18" t="str">
        <f>IF($P18=0,"No games",IF($Q18&gt;='Guide &amp; Settings'!$C$48,"Inactive",IF($Q18&gt;='Guide &amp; Settings'!$C$47,"At risk","Active")))</f>
        <v>Active</v>
      </c>
      <c r="U18">
        <f>SUMIF('Match Log'!$D$4:$D$311,$A18,'Match Log'!$AC$4:$AC$311)</f>
        <v>0</v>
      </c>
      <c r="V18">
        <f t="shared" si="10"/>
        <v>0</v>
      </c>
      <c r="W18">
        <f t="shared" si="11"/>
        <v>59.885399338918035</v>
      </c>
      <c r="X18">
        <f>IFERROR(INDEX(Dashboard!$G$5:$G$18,MATCH($A18,Dashboard!$B$5:$B$18,0))*100,0)</f>
        <v>40</v>
      </c>
      <c r="Y18">
        <f>MIN(100,IFERROR(INDEX(Dashboard!$K$5:$K$18,MATCH($A18,Dashboard!$B$5:$B$18,0)),0)/5*50+$AC18/4*50)</f>
        <v>10</v>
      </c>
      <c r="Z18">
        <f t="shared" si="12"/>
        <v>40</v>
      </c>
      <c r="AA18">
        <f t="shared" si="13"/>
        <v>66.67922076526952</v>
      </c>
      <c r="AB18">
        <f t="shared" si="14"/>
        <v>43.627811845148258</v>
      </c>
      <c r="AC18">
        <f>IFERROR(SUMPRODUCT((INDEX('Sport Records'!$B$8:$O$26,0,MATCH($A18,'Sport Records'!$B$7:$O$7,0))&gt;=2)*(INDEX('Sport Records'!$B$52:$O$70,0,MATCH($A18,'Sport Records'!$B$51:$O$51,0))&gt;=0.5)),0)</f>
        <v>0</v>
      </c>
      <c r="AD18">
        <f>IFERROR(INDEX(Dashboard!$D$5:$D$18,MATCH($A18,Dashboard!$B$5:$B$18,0)),0)</f>
        <v>5</v>
      </c>
      <c r="AE18">
        <f>IFERROR(INDEX(Dashboard!$K$5:$K$18,MATCH($A18,Dashboard!$B$5:$B$18,0)),0)</f>
        <v>1</v>
      </c>
      <c r="AF18" t="str">
        <f t="shared" si="15"/>
        <v>Unranked</v>
      </c>
      <c r="AG18">
        <f ca="1">COUNTIFS('Match Log'!$D$4:$D$311,$A18,'Match Log'!$B$4:$B$311,"&gt;="&amp;$B$5)</f>
        <v>0</v>
      </c>
      <c r="AH18">
        <f ca="1">COUNTIFS('Match Log'!$D$4:$D$311,$A18,'Match Log'!$B$4:$B$311,"&gt;="&amp;$B$5,'Match Log'!$E$4:$E$311,"Win")</f>
        <v>0</v>
      </c>
    </row>
    <row r="19" spans="1:34" ht="15" customHeight="1" x14ac:dyDescent="0.2">
      <c r="A19" t="s">
        <v>179</v>
      </c>
      <c r="B19">
        <f>IFERROR(INDEX(Engine!$B$2:$B$15,MATCH($A19,Engine!$A$2:$A$15,0)),1000)</f>
        <v>1038.5016461247724</v>
      </c>
      <c r="C19">
        <f>IFERROR(INDEX(Engine!$C$2:$C$15,MATCH($A19,Engine!$A$2:$A$15,0)),"")</f>
        <v>1083.7530580834598</v>
      </c>
      <c r="D19">
        <f t="shared" si="0"/>
        <v>9</v>
      </c>
      <c r="E19">
        <f t="shared" si="1"/>
        <v>150.87486176510038</v>
      </c>
      <c r="F19" t="str">
        <f>IFERROR(LOOKUP(2,1/('Match Log'!$D$4:$D$311=$A19),'Match Log'!$E$4:$E$311),"")</f>
        <v>Loss</v>
      </c>
      <c r="G19">
        <f>IF($F19="",0,SUMPRODUCT(('Match Log'!$D$4:$D$311=$A19)*(ROW('Match Log'!$A$4:$A$311)&gt;SUMPRODUCT(MAX(('Match Log'!$D$4:$D$311=$A19)*('Match Log'!$E$4:$E$311&lt;&gt;$F19)*ROW('Match Log'!$A$4:$A$311))))))</f>
        <v>1</v>
      </c>
      <c r="H19" t="str">
        <f t="shared" si="2"/>
        <v>L1</v>
      </c>
      <c r="I19" t="str">
        <f>IFERROR(IF(INDEX('Match Log'!$E$1:$E$311,_xlfn.AGGREGATE(14,6,ROW('Match Log'!$A$4:$A$311)/('Match Log'!$D$4:$D$311=$A19),5))="Win","W","L"),"")&amp;IFERROR(IF(INDEX('Match Log'!$E$1:$E$311,_xlfn.AGGREGATE(14,6,ROW('Match Log'!$A$4:$A$311)/('Match Log'!$D$4:$D$311=$A19),4))="Win","W","L"),"")&amp;IFERROR(IF(INDEX('Match Log'!$E$1:$E$311,_xlfn.AGGREGATE(14,6,ROW('Match Log'!$A$4:$A$311)/('Match Log'!$D$4:$D$311=$A19),3))="Win","W","L"),"")&amp;IFERROR(IF(INDEX('Match Log'!$E$1:$E$311,_xlfn.AGGREGATE(14,6,ROW('Match Log'!$A$4:$A$311)/('Match Log'!$D$4:$D$311=$A19),2))="Win","W","L"),"")&amp;IFERROR(IF(INDEX('Match Log'!$E$1:$E$311,_xlfn.AGGREGATE(14,6,ROW('Match Log'!$A$4:$A$311)/('Match Log'!$D$4:$D$311=$A19),1))="Win","W","L"),"")</f>
        <v>WLWL</v>
      </c>
      <c r="J19">
        <f>IFERROR(LOOKUP(2,1/(('Match Log'!$D$4:$D$311=$A19)*('Match Log'!$B$4:$B$311&lt;=$B$3)),'Match Log'!$N$4:$N$311),1000)</f>
        <v>1038.5016461247724</v>
      </c>
      <c r="K19">
        <f t="shared" si="3"/>
        <v>9</v>
      </c>
      <c r="L19">
        <f t="shared" si="4"/>
        <v>0</v>
      </c>
      <c r="M19">
        <f t="shared" si="5"/>
        <v>0</v>
      </c>
      <c r="N19">
        <f t="shared" si="6"/>
        <v>2</v>
      </c>
      <c r="O19">
        <f t="shared" si="7"/>
        <v>0</v>
      </c>
      <c r="P19">
        <f>IFERROR(SUMPRODUCT(MAX(('Match Log'!$D$4:$D$311=$A19)*'Match Log'!$B$4:$B$311)),0)</f>
        <v>46188</v>
      </c>
      <c r="Q19">
        <f t="shared" si="8"/>
        <v>2.8571428571428572</v>
      </c>
      <c r="R19">
        <f>IF($P19=0,0,MAX($Q19-'Guide &amp; Settings'!$C$48,0)*'Guide &amp; Settings'!$C$49)</f>
        <v>0</v>
      </c>
      <c r="S19">
        <f t="shared" si="9"/>
        <v>1038.5016461247724</v>
      </c>
      <c r="T19" t="str">
        <f>IF($P19=0,"No games",IF($Q19&gt;='Guide &amp; Settings'!$C$48,"Inactive",IF($Q19&gt;='Guide &amp; Settings'!$C$47,"At risk","Active")))</f>
        <v>Active</v>
      </c>
      <c r="U19">
        <f>SUMIF('Match Log'!$D$4:$D$311,$A19,'Match Log'!$AC$4:$AC$311)</f>
        <v>0</v>
      </c>
      <c r="V19">
        <f t="shared" si="10"/>
        <v>1</v>
      </c>
      <c r="W19">
        <f t="shared" si="11"/>
        <v>59.625411531193095</v>
      </c>
      <c r="X19">
        <f>IFERROR(INDEX(Dashboard!$G$5:$G$18,MATCH($A19,Dashboard!$B$5:$B$18,0))*100,0)</f>
        <v>50</v>
      </c>
      <c r="Y19">
        <f>MIN(100,IFERROR(INDEX(Dashboard!$K$5:$K$18,MATCH($A19,Dashboard!$B$5:$B$18,0)),0)/5*50+$AC19/4*50)</f>
        <v>22.5</v>
      </c>
      <c r="Z19">
        <f t="shared" si="12"/>
        <v>50</v>
      </c>
      <c r="AA19">
        <f t="shared" si="13"/>
        <v>70.938264520864948</v>
      </c>
      <c r="AB19">
        <f t="shared" si="14"/>
        <v>49.962720488004074</v>
      </c>
      <c r="AC19">
        <f>IFERROR(SUMPRODUCT((INDEX('Sport Records'!$B$8:$O$26,0,MATCH($A19,'Sport Records'!$B$7:$O$7,0))&gt;=2)*(INDEX('Sport Records'!$B$52:$O$70,0,MATCH($A19,'Sport Records'!$B$51:$O$51,0))&gt;=0.5)),0)</f>
        <v>1</v>
      </c>
      <c r="AD19">
        <f>IFERROR(INDEX(Dashboard!$D$5:$D$18,MATCH($A19,Dashboard!$B$5:$B$18,0)),0)</f>
        <v>4</v>
      </c>
      <c r="AE19">
        <f>IFERROR(INDEX(Dashboard!$K$5:$K$18,MATCH($A19,Dashboard!$B$5:$B$18,0)),0)</f>
        <v>1</v>
      </c>
      <c r="AF19" t="str">
        <f t="shared" si="15"/>
        <v>Unranked</v>
      </c>
      <c r="AG19">
        <f ca="1">COUNTIFS('Match Log'!$D$4:$D$311,$A19,'Match Log'!$B$4:$B$311,"&gt;="&amp;$B$5)</f>
        <v>0</v>
      </c>
      <c r="AH19">
        <f ca="1">COUNTIFS('Match Log'!$D$4:$D$311,$A19,'Match Log'!$B$4:$B$311,"&gt;="&amp;$B$5,'Match Log'!$E$4:$E$311,"Win")</f>
        <v>0</v>
      </c>
    </row>
    <row r="20" spans="1:34" ht="15" customHeight="1" x14ac:dyDescent="0.2">
      <c r="A20" t="s">
        <v>181</v>
      </c>
      <c r="B20">
        <f>IFERROR(INDEX(Engine!$B$2:$B$15,MATCH($A20,Engine!$A$2:$A$15,0)),1000)</f>
        <v>1000</v>
      </c>
      <c r="C20" t="str">
        <f>IFERROR(INDEX(Engine!$C$2:$C$15,MATCH($A20,Engine!$A$2:$A$15,0)),"")</f>
        <v/>
      </c>
      <c r="D20">
        <f t="shared" si="0"/>
        <v>12</v>
      </c>
      <c r="E20">
        <f t="shared" si="1"/>
        <v>189.37650788987276</v>
      </c>
      <c r="F20" t="str">
        <f>IFERROR(LOOKUP(2,1/('Match Log'!$D$4:$D$311=$A20),'Match Log'!$E$4:$E$311),"")</f>
        <v/>
      </c>
      <c r="G20">
        <f>IF($F20="",0,SUMPRODUCT(('Match Log'!$D$4:$D$311=$A20)*(ROW('Match Log'!$A$4:$A$311)&gt;SUMPRODUCT(MAX(('Match Log'!$D$4:$D$311=$A20)*('Match Log'!$E$4:$E$311&lt;&gt;$F20)*ROW('Match Log'!$A$4:$A$311))))))</f>
        <v>0</v>
      </c>
      <c r="H20" t="str">
        <f t="shared" si="2"/>
        <v/>
      </c>
      <c r="I20" t="str">
        <f>IFERROR(IF(INDEX('Match Log'!$E$1:$E$311,_xlfn.AGGREGATE(14,6,ROW('Match Log'!$A$4:$A$311)/('Match Log'!$D$4:$D$311=$A20),5))="Win","W","L"),"")&amp;IFERROR(IF(INDEX('Match Log'!$E$1:$E$311,_xlfn.AGGREGATE(14,6,ROW('Match Log'!$A$4:$A$311)/('Match Log'!$D$4:$D$311=$A20),4))="Win","W","L"),"")&amp;IFERROR(IF(INDEX('Match Log'!$E$1:$E$311,_xlfn.AGGREGATE(14,6,ROW('Match Log'!$A$4:$A$311)/('Match Log'!$D$4:$D$311=$A20),3))="Win","W","L"),"")&amp;IFERROR(IF(INDEX('Match Log'!$E$1:$E$311,_xlfn.AGGREGATE(14,6,ROW('Match Log'!$A$4:$A$311)/('Match Log'!$D$4:$D$311=$A20),2))="Win","W","L"),"")&amp;IFERROR(IF(INDEX('Match Log'!$E$1:$E$311,_xlfn.AGGREGATE(14,6,ROW('Match Log'!$A$4:$A$311)/('Match Log'!$D$4:$D$311=$A20),1))="Win","W","L"),"")</f>
        <v/>
      </c>
      <c r="J20">
        <f>IFERROR(LOOKUP(2,1/(('Match Log'!$D$4:$D$311=$A20)*('Match Log'!$B$4:$B$311&lt;=$B$3)),'Match Log'!$N$4:$N$311),1000)</f>
        <v>1000</v>
      </c>
      <c r="K20">
        <f t="shared" si="3"/>
        <v>11</v>
      </c>
      <c r="L20">
        <f t="shared" si="4"/>
        <v>-1</v>
      </c>
      <c r="M20">
        <f t="shared" si="5"/>
        <v>0</v>
      </c>
      <c r="N20">
        <f t="shared" si="6"/>
        <v>0</v>
      </c>
      <c r="O20">
        <f t="shared" si="7"/>
        <v>0</v>
      </c>
      <c r="P20">
        <f>IFERROR(SUMPRODUCT(MAX(('Match Log'!$D$4:$D$311=$A20)*'Match Log'!$B$4:$B$311)),0)</f>
        <v>0</v>
      </c>
      <c r="Q20" t="str">
        <f t="shared" si="8"/>
        <v/>
      </c>
      <c r="R20">
        <f>IF($P20=0,0,MAX($Q20-'Guide &amp; Settings'!$C$48,0)*'Guide &amp; Settings'!$C$49)</f>
        <v>0</v>
      </c>
      <c r="S20">
        <f t="shared" si="9"/>
        <v>1000</v>
      </c>
      <c r="T20" t="str">
        <f>IF($P20=0,"No games",IF($Q20&gt;='Guide &amp; Settings'!$C$48,"Inactive",IF($Q20&gt;='Guide &amp; Settings'!$C$47,"At risk","Active")))</f>
        <v>No games</v>
      </c>
      <c r="U20">
        <f>SUMIF('Match Log'!$D$4:$D$311,$A20,'Match Log'!$AC$4:$AC$311)</f>
        <v>0</v>
      </c>
      <c r="V20">
        <f t="shared" si="10"/>
        <v>0</v>
      </c>
      <c r="W20">
        <f t="shared" si="11"/>
        <v>50</v>
      </c>
      <c r="X20">
        <f>IFERROR(INDEX(Dashboard!$G$5:$G$18,MATCH($A20,Dashboard!$B$5:$B$18,0))*100,0)</f>
        <v>0</v>
      </c>
      <c r="Y20">
        <f>MIN(100,IFERROR(INDEX(Dashboard!$K$5:$K$18,MATCH($A20,Dashboard!$B$5:$B$18,0)),0)/5*50+$AC20/4*50)</f>
        <v>0</v>
      </c>
      <c r="Z20">
        <f t="shared" si="12"/>
        <v>0</v>
      </c>
      <c r="AA20">
        <f t="shared" si="13"/>
        <v>0</v>
      </c>
      <c r="AB20">
        <f t="shared" si="14"/>
        <v>17.5</v>
      </c>
      <c r="AC20">
        <f>IFERROR(SUMPRODUCT((INDEX('Sport Records'!$B$8:$O$26,0,MATCH($A20,'Sport Records'!$B$7:$O$7,0))&gt;=2)*(INDEX('Sport Records'!$B$52:$O$70,0,MATCH($A20,'Sport Records'!$B$51:$O$51,0))&gt;=0.5)),0)</f>
        <v>0</v>
      </c>
      <c r="AD20">
        <f>IFERROR(INDEX(Dashboard!$D$5:$D$18,MATCH($A20,Dashboard!$B$5:$B$18,0)),0)</f>
        <v>0</v>
      </c>
      <c r="AE20">
        <f>IFERROR(INDEX(Dashboard!$K$5:$K$18,MATCH($A20,Dashboard!$B$5:$B$18,0)),0)</f>
        <v>0</v>
      </c>
      <c r="AF20" t="str">
        <f t="shared" si="15"/>
        <v>No games</v>
      </c>
      <c r="AG20">
        <f ca="1">COUNTIFS('Match Log'!$D$4:$D$311,$A20,'Match Log'!$B$4:$B$311,"&gt;="&amp;$B$5)</f>
        <v>0</v>
      </c>
      <c r="AH20">
        <f ca="1">COUNTIFS('Match Log'!$D$4:$D$311,$A20,'Match Log'!$B$4:$B$311,"&gt;="&amp;$B$5,'Match Log'!$E$4:$E$311,"Win")</f>
        <v>0</v>
      </c>
    </row>
    <row r="24" spans="1:34" ht="15" customHeight="1" x14ac:dyDescent="0.2">
      <c r="A24" t="s">
        <v>360</v>
      </c>
      <c r="B24" t="s">
        <v>253</v>
      </c>
      <c r="C24" t="s">
        <v>130</v>
      </c>
      <c r="D24" t="s">
        <v>361</v>
      </c>
      <c r="E24" t="s">
        <v>362</v>
      </c>
      <c r="F24" t="s">
        <v>363</v>
      </c>
      <c r="G24" t="s">
        <v>364</v>
      </c>
      <c r="H24" t="s">
        <v>365</v>
      </c>
      <c r="J24" t="s">
        <v>366</v>
      </c>
      <c r="K24" t="s">
        <v>145</v>
      </c>
      <c r="L24" t="s">
        <v>142</v>
      </c>
      <c r="M24" t="s">
        <v>180</v>
      </c>
      <c r="N24" t="s">
        <v>147</v>
      </c>
      <c r="O24" t="s">
        <v>144</v>
      </c>
      <c r="P24" t="s">
        <v>141</v>
      </c>
      <c r="Q24" t="s">
        <v>175</v>
      </c>
      <c r="R24" t="s">
        <v>177</v>
      </c>
      <c r="S24" t="s">
        <v>174</v>
      </c>
      <c r="T24" t="s">
        <v>182</v>
      </c>
      <c r="U24" t="s">
        <v>176</v>
      </c>
      <c r="V24" t="s">
        <v>178</v>
      </c>
      <c r="W24" t="s">
        <v>179</v>
      </c>
      <c r="X24" t="s">
        <v>181</v>
      </c>
    </row>
    <row r="25" spans="1:34" ht="15" customHeight="1" x14ac:dyDescent="0.2">
      <c r="A25">
        <v>1</v>
      </c>
      <c r="B25" s="132">
        <f>IFERROR(INDEX('Match Log'!$B$4:$B$311,MATCH(1,'Match Log'!$A$4:$A$311,0)),"")</f>
        <v>46145</v>
      </c>
      <c r="C25" t="str">
        <f>IFERROR(INDEX('Match Log'!$C$4:$C$311,MATCH(1,'Match Log'!$A$4:$A$311,0)),"")</f>
        <v>Putt Putt</v>
      </c>
      <c r="D25" t="str">
        <f>IFERROR(INDEX('Match Log'!$G$4:$G$311,MATCH(1,'Match Log'!$A$4:$A$311,0)),"")</f>
        <v>Josh</v>
      </c>
      <c r="E25" s="133">
        <f>IFERROR(INDEX('Match Log'!$F$4:$F$311,MATCH(1,'Match Log'!$A$4:$A$311,0)),"")</f>
        <v>3</v>
      </c>
      <c r="F25">
        <f>IFERROR(SUMIFS('Match Log'!$I$4:$I$311,'Match Log'!$A$4:$A$311,1,'Match Log'!$E$4:$E$311,"Win"),"")</f>
        <v>0.33333333333333331</v>
      </c>
      <c r="G25">
        <f t="shared" ref="G25:G56" si="16">IF($D25="","",1-$F25*$E25)</f>
        <v>0</v>
      </c>
      <c r="H25" t="str">
        <f>IFERROR(IF($E25=2,LOOKUP(2,1/(('Match Log'!$A$4:$A$311=1)*('Match Log'!$E$4:$E$311="Loss")),'Match Log'!$D$4:$D$311),"the field"),"")</f>
        <v>the field</v>
      </c>
      <c r="I25">
        <f t="shared" ref="I25:I56" si="17">IF($G25="","",$G25-$A25/1000000)</f>
        <v>-9.9999999999999995E-7</v>
      </c>
      <c r="J25">
        <v>1</v>
      </c>
      <c r="K25" t="e">
        <f>IF($J25&gt;MAX('Match Log'!$A$4:$A$311),NA(),IFERROR(LOOKUP(2,1/(('Match Log'!$D$4:$D$311=$K$24)*('Match Log'!$A$4:$A$311&lt;=$J25)),'Match Log'!$N$4:$N$311),NA()))</f>
        <v>#N/A</v>
      </c>
      <c r="L25" t="e">
        <f>IF($J25&gt;MAX('Match Log'!$A$4:$A$311),NA(),IFERROR(LOOKUP(2,1/(('Match Log'!$D$4:$D$311=$L$24)*('Match Log'!$A$4:$A$311&lt;=$J25)),'Match Log'!$N$4:$N$311),NA()))</f>
        <v>#N/A</v>
      </c>
      <c r="M25" t="e">
        <f>IF($J25&gt;MAX('Match Log'!$A$4:$A$311),NA(),IFERROR(LOOKUP(2,1/(('Match Log'!$D$4:$D$311=$M$24)*('Match Log'!$A$4:$A$311&lt;=$J25)),'Match Log'!$N$4:$N$311),NA()))</f>
        <v>#N/A</v>
      </c>
      <c r="N25" t="e">
        <f>IF($J25&gt;MAX('Match Log'!$A$4:$A$311),NA(),IFERROR(LOOKUP(2,1/(('Match Log'!$D$4:$D$311=$N$24)*('Match Log'!$A$4:$A$311&lt;=$J25)),'Match Log'!$N$4:$N$311),NA()))</f>
        <v>#N/A</v>
      </c>
      <c r="O25">
        <f>IF($J25&gt;MAX('Match Log'!$A$4:$A$311),NA(),IFERROR(LOOKUP(2,1/(('Match Log'!$D$4:$D$311=$O$24)*('Match Log'!$A$4:$A$311&lt;=$J25)),'Match Log'!$N$4:$N$311),NA()))</f>
        <v>1030</v>
      </c>
      <c r="P25">
        <f>IF($J25&gt;MAX('Match Log'!$A$4:$A$311),NA(),IFERROR(LOOKUP(2,1/(('Match Log'!$D$4:$D$311=$P$24)*('Match Log'!$A$4:$A$311&lt;=$J25)),'Match Log'!$N$4:$N$311),NA()))</f>
        <v>991</v>
      </c>
      <c r="Q25" t="e">
        <f>IF($J25&gt;MAX('Match Log'!$A$4:$A$311),NA(),IFERROR(LOOKUP(2,1/(('Match Log'!$D$4:$D$311=$Q$24)*('Match Log'!$A$4:$A$311&lt;=$J25)),'Match Log'!$N$4:$N$311),NA()))</f>
        <v>#N/A</v>
      </c>
      <c r="R25" t="e">
        <f>IF($J25&gt;MAX('Match Log'!$A$4:$A$311),NA(),IFERROR(LOOKUP(2,1/(('Match Log'!$D$4:$D$311=$R$24)*('Match Log'!$A$4:$A$311&lt;=$J25)),'Match Log'!$N$4:$N$311),NA()))</f>
        <v>#N/A</v>
      </c>
      <c r="S25" t="e">
        <f>IF($J25&gt;MAX('Match Log'!$A$4:$A$311),NA(),IFERROR(LOOKUP(2,1/(('Match Log'!$D$4:$D$311=$S$24)*('Match Log'!$A$4:$A$311&lt;=$J25)),'Match Log'!$N$4:$N$311),NA()))</f>
        <v>#N/A</v>
      </c>
      <c r="T25" t="e">
        <f>IF($J25&gt;MAX('Match Log'!$A$4:$A$311),NA(),IFERROR(LOOKUP(2,1/(('Match Log'!$D$4:$D$311=$T$24)*('Match Log'!$A$4:$A$311&lt;=$J25)),'Match Log'!$N$4:$N$311),NA()))</f>
        <v>#N/A</v>
      </c>
      <c r="U25">
        <f>IF($J25&gt;MAX('Match Log'!$A$4:$A$311),NA(),IFERROR(LOOKUP(2,1/(('Match Log'!$D$4:$D$311=$U$24)*('Match Log'!$A$4:$A$311&lt;=$J25)),'Match Log'!$N$4:$N$311),NA()))</f>
        <v>991</v>
      </c>
      <c r="V25" t="e">
        <f>IF($J25&gt;MAX('Match Log'!$A$4:$A$311),NA(),IFERROR(LOOKUP(2,1/(('Match Log'!$D$4:$D$311=$V$24)*('Match Log'!$A$4:$A$311&lt;=$J25)),'Match Log'!$N$4:$N$311),NA()))</f>
        <v>#N/A</v>
      </c>
      <c r="W25" t="e">
        <f>IF($J25&gt;MAX('Match Log'!$A$4:$A$311),NA(),IFERROR(LOOKUP(2,1/(('Match Log'!$D$4:$D$311=$W$24)*('Match Log'!$A$4:$A$311&lt;=$J25)),'Match Log'!$N$4:$N$311),NA()))</f>
        <v>#N/A</v>
      </c>
      <c r="X25" t="e">
        <f>IF($J25&gt;MAX('Match Log'!$A$4:$A$311),NA(),IFERROR(LOOKUP(2,1/(('Match Log'!$D$4:$D$311=$X$24)*('Match Log'!$A$4:$A$311&lt;=$J25)),'Match Log'!$N$4:$N$311),NA()))</f>
        <v>#N/A</v>
      </c>
      <c r="Y25" t="str">
        <f t="shared" ref="Y25:Y56" ca="1" si="18">IF(AND($B25&lt;&gt;"",$B25&gt;=$B$5,$I25&lt;&gt;""),$I25,"")</f>
        <v/>
      </c>
    </row>
    <row r="26" spans="1:34" ht="15" customHeight="1" x14ac:dyDescent="0.2">
      <c r="A26">
        <v>2</v>
      </c>
      <c r="B26" s="132">
        <f>IFERROR(INDEX('Match Log'!$B$4:$B$311,MATCH(2,'Match Log'!$A$4:$A$311,0)),"")</f>
        <v>46175</v>
      </c>
      <c r="C26" t="str">
        <f>IFERROR(INDEX('Match Log'!$C$4:$C$311,MATCH(2,'Match Log'!$A$4:$A$311,0)),"")</f>
        <v>Kelly Pool</v>
      </c>
      <c r="D26" t="str">
        <f>IFERROR(INDEX('Match Log'!$G$4:$G$311,MATCH(2,'Match Log'!$A$4:$A$311,0)),"")</f>
        <v>Aaron</v>
      </c>
      <c r="E26" s="133">
        <f>IFERROR(INDEX('Match Log'!$F$4:$F$311,MATCH(2,'Match Log'!$A$4:$A$311,0)),"")</f>
        <v>8</v>
      </c>
      <c r="F26">
        <f>IFERROR(SUMIFS('Match Log'!$I$4:$I$311,'Match Log'!$A$4:$A$311,2,'Match Log'!$E$4:$E$311,"Win"),"")</f>
        <v>0.125</v>
      </c>
      <c r="G26">
        <f t="shared" si="16"/>
        <v>0</v>
      </c>
      <c r="H26" t="str">
        <f>IFERROR(IF($E26=2,LOOKUP(2,1/(('Match Log'!$A$4:$A$311=2)*('Match Log'!$E$4:$E$311="Loss")),'Match Log'!$D$4:$D$311),"the field"),"")</f>
        <v>the field</v>
      </c>
      <c r="I26">
        <f t="shared" si="17"/>
        <v>-1.9999999999999999E-6</v>
      </c>
      <c r="J26">
        <v>2</v>
      </c>
      <c r="K26">
        <f>IF($J26&gt;MAX('Match Log'!$A$4:$A$311),NA(),IFERROR(LOOKUP(2,1/(('Match Log'!$D$4:$D$311=$K$24)*('Match Log'!$A$4:$A$311&lt;=$J26)),'Match Log'!$N$4:$N$311),NA()))</f>
        <v>1042.578483210224</v>
      </c>
      <c r="L26" t="e">
        <f>IF($J26&gt;MAX('Match Log'!$A$4:$A$311),NA(),IFERROR(LOOKUP(2,1/(('Match Log'!$D$4:$D$311=$L$24)*('Match Log'!$A$4:$A$311&lt;=$J26)),'Match Log'!$N$4:$N$311),NA()))</f>
        <v>#N/A</v>
      </c>
      <c r="M26">
        <f>IF($J26&gt;MAX('Match Log'!$A$4:$A$311),NA(),IFERROR(LOOKUP(2,1/(('Match Log'!$D$4:$D$311=$M$24)*('Match Log'!$A$4:$A$311&lt;=$J26)),'Match Log'!$N$4:$N$311),NA()))</f>
        <v>1004.2142857142857</v>
      </c>
      <c r="N26">
        <f>IF($J26&gt;MAX('Match Log'!$A$4:$A$311),NA(),IFERROR(LOOKUP(2,1/(('Match Log'!$D$4:$D$311=$N$24)*('Match Log'!$A$4:$A$311&lt;=$J26)),'Match Log'!$N$4:$N$311),NA()))</f>
        <v>1004.2142857142857</v>
      </c>
      <c r="O26">
        <f>IF($J26&gt;MAX('Match Log'!$A$4:$A$311),NA(),IFERROR(LOOKUP(2,1/(('Match Log'!$D$4:$D$311=$O$24)*('Match Log'!$A$4:$A$311&lt;=$J26)),'Match Log'!$N$4:$N$311),NA()))</f>
        <v>1034.0174103221841</v>
      </c>
      <c r="P26">
        <f>IF($J26&gt;MAX('Match Log'!$A$4:$A$311),NA(),IFERROR(LOOKUP(2,1/(('Match Log'!$D$4:$D$311=$P$24)*('Match Log'!$A$4:$A$311&lt;=$J26)),'Match Log'!$N$4:$N$311),NA()))</f>
        <v>995.27348180522449</v>
      </c>
      <c r="Q26">
        <f>IF($J26&gt;MAX('Match Log'!$A$4:$A$311),NA(),IFERROR(LOOKUP(2,1/(('Match Log'!$D$4:$D$311=$Q$24)*('Match Log'!$A$4:$A$311&lt;=$J26)),'Match Log'!$N$4:$N$311),NA()))</f>
        <v>1004.2142857142857</v>
      </c>
      <c r="R26">
        <f>IF($J26&gt;MAX('Match Log'!$A$4:$A$311),NA(),IFERROR(LOOKUP(2,1/(('Match Log'!$D$4:$D$311=$R$24)*('Match Log'!$A$4:$A$311&lt;=$J26)),'Match Log'!$N$4:$N$311),NA()))</f>
        <v>1004.2142857142857</v>
      </c>
      <c r="S26" t="e">
        <f>IF($J26&gt;MAX('Match Log'!$A$4:$A$311),NA(),IFERROR(LOOKUP(2,1/(('Match Log'!$D$4:$D$311=$S$24)*('Match Log'!$A$4:$A$311&lt;=$J26)),'Match Log'!$N$4:$N$311),NA()))</f>
        <v>#N/A</v>
      </c>
      <c r="T26" t="e">
        <f>IF($J26&gt;MAX('Match Log'!$A$4:$A$311),NA(),IFERROR(LOOKUP(2,1/(('Match Log'!$D$4:$D$311=$T$24)*('Match Log'!$A$4:$A$311&lt;=$J26)),'Match Log'!$N$4:$N$311),NA()))</f>
        <v>#N/A</v>
      </c>
      <c r="U26">
        <f>IF($J26&gt;MAX('Match Log'!$A$4:$A$311),NA(),IFERROR(LOOKUP(2,1/(('Match Log'!$D$4:$D$311=$U$24)*('Match Log'!$A$4:$A$311&lt;=$J26)),'Match Log'!$N$4:$N$311),NA()))</f>
        <v>995.27348180522449</v>
      </c>
      <c r="V26" t="e">
        <f>IF($J26&gt;MAX('Match Log'!$A$4:$A$311),NA(),IFERROR(LOOKUP(2,1/(('Match Log'!$D$4:$D$311=$V$24)*('Match Log'!$A$4:$A$311&lt;=$J26)),'Match Log'!$N$4:$N$311),NA()))</f>
        <v>#N/A</v>
      </c>
      <c r="W26" t="e">
        <f>IF($J26&gt;MAX('Match Log'!$A$4:$A$311),NA(),IFERROR(LOOKUP(2,1/(('Match Log'!$D$4:$D$311=$W$24)*('Match Log'!$A$4:$A$311&lt;=$J26)),'Match Log'!$N$4:$N$311),NA()))</f>
        <v>#N/A</v>
      </c>
      <c r="X26" t="e">
        <f>IF($J26&gt;MAX('Match Log'!$A$4:$A$311),NA(),IFERROR(LOOKUP(2,1/(('Match Log'!$D$4:$D$311=$X$24)*('Match Log'!$A$4:$A$311&lt;=$J26)),'Match Log'!$N$4:$N$311),NA()))</f>
        <v>#N/A</v>
      </c>
      <c r="Y26" t="str">
        <f t="shared" ca="1" si="18"/>
        <v/>
      </c>
    </row>
    <row r="27" spans="1:34" ht="15" customHeight="1" x14ac:dyDescent="0.2">
      <c r="A27">
        <v>3</v>
      </c>
      <c r="B27" s="132">
        <f>IFERROR(INDEX('Match Log'!$B$4:$B$311,MATCH(3,'Match Log'!$A$4:$A$311,0)),"")</f>
        <v>46172</v>
      </c>
      <c r="C27" t="str">
        <f>IFERROR(INDEX('Match Log'!$C$4:$C$311,MATCH(3,'Match Log'!$A$4:$A$311,0)),"")</f>
        <v>FIFA</v>
      </c>
      <c r="D27" t="str">
        <f>IFERROR(INDEX('Match Log'!$G$4:$G$311,MATCH(3,'Match Log'!$A$4:$A$311,0)),"")</f>
        <v>Shawn</v>
      </c>
      <c r="E27" s="133">
        <f>IFERROR(INDEX('Match Log'!$F$4:$F$311,MATCH(3,'Match Log'!$A$4:$A$311,0)),"")</f>
        <v>2</v>
      </c>
      <c r="F27">
        <f>IFERROR(SUMIFS('Match Log'!$I$4:$I$311,'Match Log'!$A$4:$A$311,3,'Match Log'!$E$4:$E$311,"Win"),"")</f>
        <v>0.5</v>
      </c>
      <c r="G27">
        <f t="shared" si="16"/>
        <v>0</v>
      </c>
      <c r="H27" t="str">
        <f>IFERROR(IF($E27=2,LOOKUP(2,1/(('Match Log'!$A$4:$A$311=3)*('Match Log'!$E$4:$E$311="Loss")),'Match Log'!$D$4:$D$311),"the field"),"")</f>
        <v>Daniel (Ferret)</v>
      </c>
      <c r="I27">
        <f t="shared" si="17"/>
        <v>-3.0000000000000001E-6</v>
      </c>
      <c r="J27">
        <v>3</v>
      </c>
      <c r="K27">
        <f>IF($J27&gt;MAX('Match Log'!$A$4:$A$311),NA(),IFERROR(LOOKUP(2,1/(('Match Log'!$D$4:$D$311=$K$24)*('Match Log'!$A$4:$A$311&lt;=$J27)),'Match Log'!$N$4:$N$311),NA()))</f>
        <v>1042.578483210224</v>
      </c>
      <c r="L27" t="e">
        <f>IF($J27&gt;MAX('Match Log'!$A$4:$A$311),NA(),IFERROR(LOOKUP(2,1/(('Match Log'!$D$4:$D$311=$L$24)*('Match Log'!$A$4:$A$311&lt;=$J27)),'Match Log'!$N$4:$N$311),NA()))</f>
        <v>#N/A</v>
      </c>
      <c r="M27">
        <f>IF($J27&gt;MAX('Match Log'!$A$4:$A$311),NA(),IFERROR(LOOKUP(2,1/(('Match Log'!$D$4:$D$311=$M$24)*('Match Log'!$A$4:$A$311&lt;=$J27)),'Match Log'!$N$4:$N$311),NA()))</f>
        <v>1004.2142857142857</v>
      </c>
      <c r="N27">
        <f>IF($J27&gt;MAX('Match Log'!$A$4:$A$311),NA(),IFERROR(LOOKUP(2,1/(('Match Log'!$D$4:$D$311=$N$24)*('Match Log'!$A$4:$A$311&lt;=$J27)),'Match Log'!$N$4:$N$311),NA()))</f>
        <v>1004.2142857142857</v>
      </c>
      <c r="O27">
        <f>IF($J27&gt;MAX('Match Log'!$A$4:$A$311),NA(),IFERROR(LOOKUP(2,1/(('Match Log'!$D$4:$D$311=$O$24)*('Match Log'!$A$4:$A$311&lt;=$J27)),'Match Log'!$N$4:$N$311),NA()))</f>
        <v>1034.0174103221841</v>
      </c>
      <c r="P27">
        <f>IF($J27&gt;MAX('Match Log'!$A$4:$A$311),NA(),IFERROR(LOOKUP(2,1/(('Match Log'!$D$4:$D$311=$P$24)*('Match Log'!$A$4:$A$311&lt;=$J27)),'Match Log'!$N$4:$N$311),NA()))</f>
        <v>1017.685130177511</v>
      </c>
      <c r="Q27">
        <f>IF($J27&gt;MAX('Match Log'!$A$4:$A$311),NA(),IFERROR(LOOKUP(2,1/(('Match Log'!$D$4:$D$311=$Q$24)*('Match Log'!$A$4:$A$311&lt;=$J27)),'Match Log'!$N$4:$N$311),NA()))</f>
        <v>1004.2142857142857</v>
      </c>
      <c r="R27">
        <f>IF($J27&gt;MAX('Match Log'!$A$4:$A$311),NA(),IFERROR(LOOKUP(2,1/(('Match Log'!$D$4:$D$311=$R$24)*('Match Log'!$A$4:$A$311&lt;=$J27)),'Match Log'!$N$4:$N$311),NA()))</f>
        <v>981.80263734199912</v>
      </c>
      <c r="S27" t="e">
        <f>IF($J27&gt;MAX('Match Log'!$A$4:$A$311),NA(),IFERROR(LOOKUP(2,1/(('Match Log'!$D$4:$D$311=$S$24)*('Match Log'!$A$4:$A$311&lt;=$J27)),'Match Log'!$N$4:$N$311),NA()))</f>
        <v>#N/A</v>
      </c>
      <c r="T27" t="e">
        <f>IF($J27&gt;MAX('Match Log'!$A$4:$A$311),NA(),IFERROR(LOOKUP(2,1/(('Match Log'!$D$4:$D$311=$T$24)*('Match Log'!$A$4:$A$311&lt;=$J27)),'Match Log'!$N$4:$N$311),NA()))</f>
        <v>#N/A</v>
      </c>
      <c r="U27">
        <f>IF($J27&gt;MAX('Match Log'!$A$4:$A$311),NA(),IFERROR(LOOKUP(2,1/(('Match Log'!$D$4:$D$311=$U$24)*('Match Log'!$A$4:$A$311&lt;=$J27)),'Match Log'!$N$4:$N$311),NA()))</f>
        <v>995.27348180522449</v>
      </c>
      <c r="V27" t="e">
        <f>IF($J27&gt;MAX('Match Log'!$A$4:$A$311),NA(),IFERROR(LOOKUP(2,1/(('Match Log'!$D$4:$D$311=$V$24)*('Match Log'!$A$4:$A$311&lt;=$J27)),'Match Log'!$N$4:$N$311),NA()))</f>
        <v>#N/A</v>
      </c>
      <c r="W27" t="e">
        <f>IF($J27&gt;MAX('Match Log'!$A$4:$A$311),NA(),IFERROR(LOOKUP(2,1/(('Match Log'!$D$4:$D$311=$W$24)*('Match Log'!$A$4:$A$311&lt;=$J27)),'Match Log'!$N$4:$N$311),NA()))</f>
        <v>#N/A</v>
      </c>
      <c r="X27" t="e">
        <f>IF($J27&gt;MAX('Match Log'!$A$4:$A$311),NA(),IFERROR(LOOKUP(2,1/(('Match Log'!$D$4:$D$311=$X$24)*('Match Log'!$A$4:$A$311&lt;=$J27)),'Match Log'!$N$4:$N$311),NA()))</f>
        <v>#N/A</v>
      </c>
      <c r="Y27" t="str">
        <f t="shared" ca="1" si="18"/>
        <v/>
      </c>
    </row>
    <row r="28" spans="1:34" ht="15" customHeight="1" x14ac:dyDescent="0.2">
      <c r="A28">
        <v>4</v>
      </c>
      <c r="B28" s="132">
        <f>IFERROR(INDEX('Match Log'!$B$4:$B$311,MATCH(4,'Match Log'!$A$4:$A$311,0)),"")</f>
        <v>46172</v>
      </c>
      <c r="C28" t="str">
        <f>IFERROR(INDEX('Match Log'!$C$4:$C$311,MATCH(4,'Match Log'!$A$4:$A$311,0)),"")</f>
        <v>FIFA</v>
      </c>
      <c r="D28" t="str">
        <f>IFERROR(INDEX('Match Log'!$G$4:$G$311,MATCH(4,'Match Log'!$A$4:$A$311,0)),"")</f>
        <v>Shawn</v>
      </c>
      <c r="E28" s="133">
        <f>IFERROR(INDEX('Match Log'!$F$4:$F$311,MATCH(4,'Match Log'!$A$4:$A$311,0)),"")</f>
        <v>2</v>
      </c>
      <c r="F28">
        <f>IFERROR(SUMIFS('Match Log'!$I$4:$I$311,'Match Log'!$A$4:$A$311,4,'Match Log'!$E$4:$E$311,"Win"),"")</f>
        <v>0.66666666666666663</v>
      </c>
      <c r="G28">
        <f t="shared" si="16"/>
        <v>-0.33333333333333326</v>
      </c>
      <c r="H28" t="str">
        <f>IFERROR(IF($E28=2,LOOKUP(2,1/(('Match Log'!$A$4:$A$311=4)*('Match Log'!$E$4:$E$311="Loss")),'Match Log'!$D$4:$D$311),"the field"),"")</f>
        <v>Daniel (Ferret)</v>
      </c>
      <c r="I28">
        <f t="shared" si="17"/>
        <v>-0.33333733333333326</v>
      </c>
      <c r="J28">
        <v>4</v>
      </c>
      <c r="K28">
        <f>IF($J28&gt;MAX('Match Log'!$A$4:$A$311),NA(),IFERROR(LOOKUP(2,1/(('Match Log'!$D$4:$D$311=$K$24)*('Match Log'!$A$4:$A$311&lt;=$J28)),'Match Log'!$N$4:$N$311),NA()))</f>
        <v>1042.578483210224</v>
      </c>
      <c r="L28" t="e">
        <f>IF($J28&gt;MAX('Match Log'!$A$4:$A$311),NA(),IFERROR(LOOKUP(2,1/(('Match Log'!$D$4:$D$311=$L$24)*('Match Log'!$A$4:$A$311&lt;=$J28)),'Match Log'!$N$4:$N$311),NA()))</f>
        <v>#N/A</v>
      </c>
      <c r="M28">
        <f>IF($J28&gt;MAX('Match Log'!$A$4:$A$311),NA(),IFERROR(LOOKUP(2,1/(('Match Log'!$D$4:$D$311=$M$24)*('Match Log'!$A$4:$A$311&lt;=$J28)),'Match Log'!$N$4:$N$311),NA()))</f>
        <v>1004.2142857142857</v>
      </c>
      <c r="N28">
        <f>IF($J28&gt;MAX('Match Log'!$A$4:$A$311),NA(),IFERROR(LOOKUP(2,1/(('Match Log'!$D$4:$D$311=$N$24)*('Match Log'!$A$4:$A$311&lt;=$J28)),'Match Log'!$N$4:$N$311),NA()))</f>
        <v>1004.2142857142857</v>
      </c>
      <c r="O28">
        <f>IF($J28&gt;MAX('Match Log'!$A$4:$A$311),NA(),IFERROR(LOOKUP(2,1/(('Match Log'!$D$4:$D$311=$O$24)*('Match Log'!$A$4:$A$311&lt;=$J28)),'Match Log'!$N$4:$N$311),NA()))</f>
        <v>1034.0174103221841</v>
      </c>
      <c r="P28">
        <f>IF($J28&gt;MAX('Match Log'!$A$4:$A$311),NA(),IFERROR(LOOKUP(2,1/(('Match Log'!$D$4:$D$311=$P$24)*('Match Log'!$A$4:$A$311&lt;=$J28)),'Match Log'!$N$4:$N$311),NA()))</f>
        <v>1036.0680198186765</v>
      </c>
      <c r="Q28">
        <f>IF($J28&gt;MAX('Match Log'!$A$4:$A$311),NA(),IFERROR(LOOKUP(2,1/(('Match Log'!$D$4:$D$311=$Q$24)*('Match Log'!$A$4:$A$311&lt;=$J28)),'Match Log'!$N$4:$N$311),NA()))</f>
        <v>1004.2142857142857</v>
      </c>
      <c r="R28">
        <f>IF($J28&gt;MAX('Match Log'!$A$4:$A$311),NA(),IFERROR(LOOKUP(2,1/(('Match Log'!$D$4:$D$311=$R$24)*('Match Log'!$A$4:$A$311&lt;=$J28)),'Match Log'!$N$4:$N$311),NA()))</f>
        <v>963.4197477008338</v>
      </c>
      <c r="S28" t="e">
        <f>IF($J28&gt;MAX('Match Log'!$A$4:$A$311),NA(),IFERROR(LOOKUP(2,1/(('Match Log'!$D$4:$D$311=$S$24)*('Match Log'!$A$4:$A$311&lt;=$J28)),'Match Log'!$N$4:$N$311),NA()))</f>
        <v>#N/A</v>
      </c>
      <c r="T28" t="e">
        <f>IF($J28&gt;MAX('Match Log'!$A$4:$A$311),NA(),IFERROR(LOOKUP(2,1/(('Match Log'!$D$4:$D$311=$T$24)*('Match Log'!$A$4:$A$311&lt;=$J28)),'Match Log'!$N$4:$N$311),NA()))</f>
        <v>#N/A</v>
      </c>
      <c r="U28">
        <f>IF($J28&gt;MAX('Match Log'!$A$4:$A$311),NA(),IFERROR(LOOKUP(2,1/(('Match Log'!$D$4:$D$311=$U$24)*('Match Log'!$A$4:$A$311&lt;=$J28)),'Match Log'!$N$4:$N$311),NA()))</f>
        <v>995.27348180522449</v>
      </c>
      <c r="V28" t="e">
        <f>IF($J28&gt;MAX('Match Log'!$A$4:$A$311),NA(),IFERROR(LOOKUP(2,1/(('Match Log'!$D$4:$D$311=$V$24)*('Match Log'!$A$4:$A$311&lt;=$J28)),'Match Log'!$N$4:$N$311),NA()))</f>
        <v>#N/A</v>
      </c>
      <c r="W28" t="e">
        <f>IF($J28&gt;MAX('Match Log'!$A$4:$A$311),NA(),IFERROR(LOOKUP(2,1/(('Match Log'!$D$4:$D$311=$W$24)*('Match Log'!$A$4:$A$311&lt;=$J28)),'Match Log'!$N$4:$N$311),NA()))</f>
        <v>#N/A</v>
      </c>
      <c r="X28" t="e">
        <f>IF($J28&gt;MAX('Match Log'!$A$4:$A$311),NA(),IFERROR(LOOKUP(2,1/(('Match Log'!$D$4:$D$311=$X$24)*('Match Log'!$A$4:$A$311&lt;=$J28)),'Match Log'!$N$4:$N$311),NA()))</f>
        <v>#N/A</v>
      </c>
      <c r="Y28" t="str">
        <f t="shared" ca="1" si="18"/>
        <v/>
      </c>
    </row>
    <row r="29" spans="1:34" ht="15" customHeight="1" x14ac:dyDescent="0.2">
      <c r="A29">
        <v>5</v>
      </c>
      <c r="B29" s="132">
        <f>IFERROR(INDEX('Match Log'!$B$4:$B$311,MATCH(5,'Match Log'!$A$4:$A$311,0)),"")</f>
        <v>46172</v>
      </c>
      <c r="C29" t="str">
        <f>IFERROR(INDEX('Match Log'!$C$4:$C$311,MATCH(5,'Match Log'!$A$4:$A$311,0)),"")</f>
        <v>FIFA</v>
      </c>
      <c r="D29" t="str">
        <f>IFERROR(INDEX('Match Log'!$G$4:$G$311,MATCH(5,'Match Log'!$A$4:$A$311,0)),"")</f>
        <v>Shawn</v>
      </c>
      <c r="E29" s="133">
        <f>IFERROR(INDEX('Match Log'!$F$4:$F$311,MATCH(5,'Match Log'!$A$4:$A$311,0)),"")</f>
        <v>2</v>
      </c>
      <c r="F29">
        <f>IFERROR(SUMIFS('Match Log'!$I$4:$I$311,'Match Log'!$A$4:$A$311,5,'Match Log'!$E$4:$E$311,"Win"),"")</f>
        <v>0.75</v>
      </c>
      <c r="G29">
        <f t="shared" si="16"/>
        <v>-0.5</v>
      </c>
      <c r="H29" t="str">
        <f>IFERROR(IF($E29=2,LOOKUP(2,1/(('Match Log'!$A$4:$A$311=5)*('Match Log'!$E$4:$E$311="Loss")),'Match Log'!$D$4:$D$311),"the field"),"")</f>
        <v>Daniel (Ferret)</v>
      </c>
      <c r="I29">
        <f t="shared" si="17"/>
        <v>-0.50000500000000003</v>
      </c>
      <c r="J29">
        <v>5</v>
      </c>
      <c r="K29">
        <f>IF($J29&gt;MAX('Match Log'!$A$4:$A$311),NA(),IFERROR(LOOKUP(2,1/(('Match Log'!$D$4:$D$311=$K$24)*('Match Log'!$A$4:$A$311&lt;=$J29)),'Match Log'!$N$4:$N$311),NA()))</f>
        <v>1042.578483210224</v>
      </c>
      <c r="L29" t="e">
        <f>IF($J29&gt;MAX('Match Log'!$A$4:$A$311),NA(),IFERROR(LOOKUP(2,1/(('Match Log'!$D$4:$D$311=$L$24)*('Match Log'!$A$4:$A$311&lt;=$J29)),'Match Log'!$N$4:$N$311),NA()))</f>
        <v>#N/A</v>
      </c>
      <c r="M29">
        <f>IF($J29&gt;MAX('Match Log'!$A$4:$A$311),NA(),IFERROR(LOOKUP(2,1/(('Match Log'!$D$4:$D$311=$M$24)*('Match Log'!$A$4:$A$311&lt;=$J29)),'Match Log'!$N$4:$N$311),NA()))</f>
        <v>1004.2142857142857</v>
      </c>
      <c r="N29">
        <f>IF($J29&gt;MAX('Match Log'!$A$4:$A$311),NA(),IFERROR(LOOKUP(2,1/(('Match Log'!$D$4:$D$311=$N$24)*('Match Log'!$A$4:$A$311&lt;=$J29)),'Match Log'!$N$4:$N$311),NA()))</f>
        <v>1004.2142857142857</v>
      </c>
      <c r="O29">
        <f>IF($J29&gt;MAX('Match Log'!$A$4:$A$311),NA(),IFERROR(LOOKUP(2,1/(('Match Log'!$D$4:$D$311=$O$24)*('Match Log'!$A$4:$A$311&lt;=$J29)),'Match Log'!$N$4:$N$311),NA()))</f>
        <v>1034.0174103221841</v>
      </c>
      <c r="P29">
        <f>IF($J29&gt;MAX('Match Log'!$A$4:$A$311),NA(),IFERROR(LOOKUP(2,1/(('Match Log'!$D$4:$D$311=$P$24)*('Match Log'!$A$4:$A$311&lt;=$J29)),'Match Log'!$N$4:$N$311),NA()))</f>
        <v>1051.9166315578707</v>
      </c>
      <c r="Q29">
        <f>IF($J29&gt;MAX('Match Log'!$A$4:$A$311),NA(),IFERROR(LOOKUP(2,1/(('Match Log'!$D$4:$D$311=$Q$24)*('Match Log'!$A$4:$A$311&lt;=$J29)),'Match Log'!$N$4:$N$311),NA()))</f>
        <v>1004.2142857142857</v>
      </c>
      <c r="R29">
        <f>IF($J29&gt;MAX('Match Log'!$A$4:$A$311),NA(),IFERROR(LOOKUP(2,1/(('Match Log'!$D$4:$D$311=$R$24)*('Match Log'!$A$4:$A$311&lt;=$J29)),'Match Log'!$N$4:$N$311),NA()))</f>
        <v>947.57113596163947</v>
      </c>
      <c r="S29" t="e">
        <f>IF($J29&gt;MAX('Match Log'!$A$4:$A$311),NA(),IFERROR(LOOKUP(2,1/(('Match Log'!$D$4:$D$311=$S$24)*('Match Log'!$A$4:$A$311&lt;=$J29)),'Match Log'!$N$4:$N$311),NA()))</f>
        <v>#N/A</v>
      </c>
      <c r="T29" t="e">
        <f>IF($J29&gt;MAX('Match Log'!$A$4:$A$311),NA(),IFERROR(LOOKUP(2,1/(('Match Log'!$D$4:$D$311=$T$24)*('Match Log'!$A$4:$A$311&lt;=$J29)),'Match Log'!$N$4:$N$311),NA()))</f>
        <v>#N/A</v>
      </c>
      <c r="U29">
        <f>IF($J29&gt;MAX('Match Log'!$A$4:$A$311),NA(),IFERROR(LOOKUP(2,1/(('Match Log'!$D$4:$D$311=$U$24)*('Match Log'!$A$4:$A$311&lt;=$J29)),'Match Log'!$N$4:$N$311),NA()))</f>
        <v>995.27348180522449</v>
      </c>
      <c r="V29" t="e">
        <f>IF($J29&gt;MAX('Match Log'!$A$4:$A$311),NA(),IFERROR(LOOKUP(2,1/(('Match Log'!$D$4:$D$311=$V$24)*('Match Log'!$A$4:$A$311&lt;=$J29)),'Match Log'!$N$4:$N$311),NA()))</f>
        <v>#N/A</v>
      </c>
      <c r="W29" t="e">
        <f>IF($J29&gt;MAX('Match Log'!$A$4:$A$311),NA(),IFERROR(LOOKUP(2,1/(('Match Log'!$D$4:$D$311=$W$24)*('Match Log'!$A$4:$A$311&lt;=$J29)),'Match Log'!$N$4:$N$311),NA()))</f>
        <v>#N/A</v>
      </c>
      <c r="X29" t="e">
        <f>IF($J29&gt;MAX('Match Log'!$A$4:$A$311),NA(),IFERROR(LOOKUP(2,1/(('Match Log'!$D$4:$D$311=$X$24)*('Match Log'!$A$4:$A$311&lt;=$J29)),'Match Log'!$N$4:$N$311),NA()))</f>
        <v>#N/A</v>
      </c>
      <c r="Y29" t="str">
        <f t="shared" ca="1" si="18"/>
        <v/>
      </c>
    </row>
    <row r="30" spans="1:34" ht="15" customHeight="1" x14ac:dyDescent="0.2">
      <c r="A30">
        <v>6</v>
      </c>
      <c r="B30" s="132">
        <f>IFERROR(INDEX('Match Log'!$B$4:$B$311,MATCH(6,'Match Log'!$A$4:$A$311,0)),"")</f>
        <v>46172</v>
      </c>
      <c r="C30" t="str">
        <f>IFERROR(INDEX('Match Log'!$C$4:$C$311,MATCH(6,'Match Log'!$A$4:$A$311,0)),"")</f>
        <v>FIFA</v>
      </c>
      <c r="D30" t="str">
        <f>IFERROR(INDEX('Match Log'!$G$4:$G$311,MATCH(6,'Match Log'!$A$4:$A$311,0)),"")</f>
        <v>Daniel (Ferret)</v>
      </c>
      <c r="E30" s="133">
        <f>IFERROR(INDEX('Match Log'!$F$4:$F$311,MATCH(6,'Match Log'!$A$4:$A$311,0)),"")</f>
        <v>2</v>
      </c>
      <c r="F30">
        <f>IFERROR(SUMIFS('Match Log'!$I$4:$I$311,'Match Log'!$A$4:$A$311,6,'Match Log'!$E$4:$E$311,"Win"),"")</f>
        <v>0.2</v>
      </c>
      <c r="G30">
        <f t="shared" si="16"/>
        <v>0.6</v>
      </c>
      <c r="H30" t="str">
        <f>IFERROR(IF($E30=2,LOOKUP(2,1/(('Match Log'!$A$4:$A$311=6)*('Match Log'!$E$4:$E$311="Loss")),'Match Log'!$D$4:$D$311),"the field"),"")</f>
        <v>Shawn</v>
      </c>
      <c r="I30">
        <f t="shared" si="17"/>
        <v>0.59999400000000003</v>
      </c>
      <c r="J30">
        <v>6</v>
      </c>
      <c r="K30">
        <f>IF($J30&gt;MAX('Match Log'!$A$4:$A$311),NA(),IFERROR(LOOKUP(2,1/(('Match Log'!$D$4:$D$311=$K$24)*('Match Log'!$A$4:$A$311&lt;=$J30)),'Match Log'!$N$4:$N$311),NA()))</f>
        <v>1042.578483210224</v>
      </c>
      <c r="L30" t="e">
        <f>IF($J30&gt;MAX('Match Log'!$A$4:$A$311),NA(),IFERROR(LOOKUP(2,1/(('Match Log'!$D$4:$D$311=$L$24)*('Match Log'!$A$4:$A$311&lt;=$J30)),'Match Log'!$N$4:$N$311),NA()))</f>
        <v>#N/A</v>
      </c>
      <c r="M30">
        <f>IF($J30&gt;MAX('Match Log'!$A$4:$A$311),NA(),IFERROR(LOOKUP(2,1/(('Match Log'!$D$4:$D$311=$M$24)*('Match Log'!$A$4:$A$311&lt;=$J30)),'Match Log'!$N$4:$N$311),NA()))</f>
        <v>1004.2142857142857</v>
      </c>
      <c r="N30">
        <f>IF($J30&gt;MAX('Match Log'!$A$4:$A$311),NA(),IFERROR(LOOKUP(2,1/(('Match Log'!$D$4:$D$311=$N$24)*('Match Log'!$A$4:$A$311&lt;=$J30)),'Match Log'!$N$4:$N$311),NA()))</f>
        <v>1004.2142857142857</v>
      </c>
      <c r="O30">
        <f>IF($J30&gt;MAX('Match Log'!$A$4:$A$311),NA(),IFERROR(LOOKUP(2,1/(('Match Log'!$D$4:$D$311=$O$24)*('Match Log'!$A$4:$A$311&lt;=$J30)),'Match Log'!$N$4:$N$311),NA()))</f>
        <v>1034.0174103221841</v>
      </c>
      <c r="P30">
        <f>IF($J30&gt;MAX('Match Log'!$A$4:$A$311),NA(),IFERROR(LOOKUP(2,1/(('Match Log'!$D$4:$D$311=$P$24)*('Match Log'!$A$4:$A$311&lt;=$J30)),'Match Log'!$N$4:$N$311),NA()))</f>
        <v>1021.9184444772471</v>
      </c>
      <c r="Q30">
        <f>IF($J30&gt;MAX('Match Log'!$A$4:$A$311),NA(),IFERROR(LOOKUP(2,1/(('Match Log'!$D$4:$D$311=$Q$24)*('Match Log'!$A$4:$A$311&lt;=$J30)),'Match Log'!$N$4:$N$311),NA()))</f>
        <v>1004.2142857142857</v>
      </c>
      <c r="R30">
        <f>IF($J30&gt;MAX('Match Log'!$A$4:$A$311),NA(),IFERROR(LOOKUP(2,1/(('Match Log'!$D$4:$D$311=$R$24)*('Match Log'!$A$4:$A$311&lt;=$J30)),'Match Log'!$N$4:$N$311),NA()))</f>
        <v>977.56932304226302</v>
      </c>
      <c r="S30" t="e">
        <f>IF($J30&gt;MAX('Match Log'!$A$4:$A$311),NA(),IFERROR(LOOKUP(2,1/(('Match Log'!$D$4:$D$311=$S$24)*('Match Log'!$A$4:$A$311&lt;=$J30)),'Match Log'!$N$4:$N$311),NA()))</f>
        <v>#N/A</v>
      </c>
      <c r="T30" t="e">
        <f>IF($J30&gt;MAX('Match Log'!$A$4:$A$311),NA(),IFERROR(LOOKUP(2,1/(('Match Log'!$D$4:$D$311=$T$24)*('Match Log'!$A$4:$A$311&lt;=$J30)),'Match Log'!$N$4:$N$311),NA()))</f>
        <v>#N/A</v>
      </c>
      <c r="U30">
        <f>IF($J30&gt;MAX('Match Log'!$A$4:$A$311),NA(),IFERROR(LOOKUP(2,1/(('Match Log'!$D$4:$D$311=$U$24)*('Match Log'!$A$4:$A$311&lt;=$J30)),'Match Log'!$N$4:$N$311),NA()))</f>
        <v>995.27348180522449</v>
      </c>
      <c r="V30" t="e">
        <f>IF($J30&gt;MAX('Match Log'!$A$4:$A$311),NA(),IFERROR(LOOKUP(2,1/(('Match Log'!$D$4:$D$311=$V$24)*('Match Log'!$A$4:$A$311&lt;=$J30)),'Match Log'!$N$4:$N$311),NA()))</f>
        <v>#N/A</v>
      </c>
      <c r="W30" t="e">
        <f>IF($J30&gt;MAX('Match Log'!$A$4:$A$311),NA(),IFERROR(LOOKUP(2,1/(('Match Log'!$D$4:$D$311=$W$24)*('Match Log'!$A$4:$A$311&lt;=$J30)),'Match Log'!$N$4:$N$311),NA()))</f>
        <v>#N/A</v>
      </c>
      <c r="X30" t="e">
        <f>IF($J30&gt;MAX('Match Log'!$A$4:$A$311),NA(),IFERROR(LOOKUP(2,1/(('Match Log'!$D$4:$D$311=$X$24)*('Match Log'!$A$4:$A$311&lt;=$J30)),'Match Log'!$N$4:$N$311),NA()))</f>
        <v>#N/A</v>
      </c>
      <c r="Y30" t="str">
        <f t="shared" ca="1" si="18"/>
        <v/>
      </c>
    </row>
    <row r="31" spans="1:34" ht="15" customHeight="1" x14ac:dyDescent="0.2">
      <c r="A31">
        <v>7</v>
      </c>
      <c r="B31" s="132">
        <f>IFERROR(INDEX('Match Log'!$B$4:$B$311,MATCH(7,'Match Log'!$A$4:$A$311,0)),"")</f>
        <v>46172</v>
      </c>
      <c r="C31" t="str">
        <f>IFERROR(INDEX('Match Log'!$C$4:$C$311,MATCH(7,'Match Log'!$A$4:$A$311,0)),"")</f>
        <v>Table Tennis</v>
      </c>
      <c r="D31" t="str">
        <f>IFERROR(INDEX('Match Log'!$G$4:$G$311,MATCH(7,'Match Log'!$A$4:$A$311,0)),"")</f>
        <v>Shawn</v>
      </c>
      <c r="E31" s="133">
        <f>IFERROR(INDEX('Match Log'!$F$4:$F$311,MATCH(7,'Match Log'!$A$4:$A$311,0)),"")</f>
        <v>2</v>
      </c>
      <c r="F31">
        <f>IFERROR(SUMIFS('Match Log'!$I$4:$I$311,'Match Log'!$A$4:$A$311,7,'Match Log'!$E$4:$E$311,"Win"),"")</f>
        <v>0.5</v>
      </c>
      <c r="G31">
        <f t="shared" si="16"/>
        <v>0</v>
      </c>
      <c r="H31" t="str">
        <f>IFERROR(IF($E31=2,LOOKUP(2,1/(('Match Log'!$A$4:$A$311=7)*('Match Log'!$E$4:$E$311="Loss")),'Match Log'!$D$4:$D$311),"the field"),"")</f>
        <v>Daniel (Ferret)</v>
      </c>
      <c r="I31">
        <f t="shared" si="17"/>
        <v>-6.9999999999999999E-6</v>
      </c>
      <c r="J31">
        <v>7</v>
      </c>
      <c r="K31">
        <f>IF($J31&gt;MAX('Match Log'!$A$4:$A$311),NA(),IFERROR(LOOKUP(2,1/(('Match Log'!$D$4:$D$311=$K$24)*('Match Log'!$A$4:$A$311&lt;=$J31)),'Match Log'!$N$4:$N$311),NA()))</f>
        <v>1042.578483210224</v>
      </c>
      <c r="L31" t="e">
        <f>IF($J31&gt;MAX('Match Log'!$A$4:$A$311),NA(),IFERROR(LOOKUP(2,1/(('Match Log'!$D$4:$D$311=$L$24)*('Match Log'!$A$4:$A$311&lt;=$J31)),'Match Log'!$N$4:$N$311),NA()))</f>
        <v>#N/A</v>
      </c>
      <c r="M31">
        <f>IF($J31&gt;MAX('Match Log'!$A$4:$A$311),NA(),IFERROR(LOOKUP(2,1/(('Match Log'!$D$4:$D$311=$M$24)*('Match Log'!$A$4:$A$311&lt;=$J31)),'Match Log'!$N$4:$N$311),NA()))</f>
        <v>1004.2142857142857</v>
      </c>
      <c r="N31">
        <f>IF($J31&gt;MAX('Match Log'!$A$4:$A$311),NA(),IFERROR(LOOKUP(2,1/(('Match Log'!$D$4:$D$311=$N$24)*('Match Log'!$A$4:$A$311&lt;=$J31)),'Match Log'!$N$4:$N$311),NA()))</f>
        <v>1004.2142857142857</v>
      </c>
      <c r="O31">
        <f>IF($J31&gt;MAX('Match Log'!$A$4:$A$311),NA(),IFERROR(LOOKUP(2,1/(('Match Log'!$D$4:$D$311=$O$24)*('Match Log'!$A$4:$A$311&lt;=$J31)),'Match Log'!$N$4:$N$311),NA()))</f>
        <v>1034.0174103221841</v>
      </c>
      <c r="P31">
        <f>IF($J31&gt;MAX('Match Log'!$A$4:$A$311),NA(),IFERROR(LOOKUP(2,1/(('Match Log'!$D$4:$D$311=$P$24)*('Match Log'!$A$4:$A$311&lt;=$J31)),'Match Log'!$N$4:$N$311),NA()))</f>
        <v>1041.8871126744082</v>
      </c>
      <c r="Q31">
        <f>IF($J31&gt;MAX('Match Log'!$A$4:$A$311),NA(),IFERROR(LOOKUP(2,1/(('Match Log'!$D$4:$D$311=$Q$24)*('Match Log'!$A$4:$A$311&lt;=$J31)),'Match Log'!$N$4:$N$311),NA()))</f>
        <v>1004.2142857142857</v>
      </c>
      <c r="R31">
        <f>IF($J31&gt;MAX('Match Log'!$A$4:$A$311),NA(),IFERROR(LOOKUP(2,1/(('Match Log'!$D$4:$D$311=$R$24)*('Match Log'!$A$4:$A$311&lt;=$J31)),'Match Log'!$N$4:$N$311),NA()))</f>
        <v>957.60065484510199</v>
      </c>
      <c r="S31" t="e">
        <f>IF($J31&gt;MAX('Match Log'!$A$4:$A$311),NA(),IFERROR(LOOKUP(2,1/(('Match Log'!$D$4:$D$311=$S$24)*('Match Log'!$A$4:$A$311&lt;=$J31)),'Match Log'!$N$4:$N$311),NA()))</f>
        <v>#N/A</v>
      </c>
      <c r="T31" t="e">
        <f>IF($J31&gt;MAX('Match Log'!$A$4:$A$311),NA(),IFERROR(LOOKUP(2,1/(('Match Log'!$D$4:$D$311=$T$24)*('Match Log'!$A$4:$A$311&lt;=$J31)),'Match Log'!$N$4:$N$311),NA()))</f>
        <v>#N/A</v>
      </c>
      <c r="U31">
        <f>IF($J31&gt;MAX('Match Log'!$A$4:$A$311),NA(),IFERROR(LOOKUP(2,1/(('Match Log'!$D$4:$D$311=$U$24)*('Match Log'!$A$4:$A$311&lt;=$J31)),'Match Log'!$N$4:$N$311),NA()))</f>
        <v>995.27348180522449</v>
      </c>
      <c r="V31" t="e">
        <f>IF($J31&gt;MAX('Match Log'!$A$4:$A$311),NA(),IFERROR(LOOKUP(2,1/(('Match Log'!$D$4:$D$311=$V$24)*('Match Log'!$A$4:$A$311&lt;=$J31)),'Match Log'!$N$4:$N$311),NA()))</f>
        <v>#N/A</v>
      </c>
      <c r="W31" t="e">
        <f>IF($J31&gt;MAX('Match Log'!$A$4:$A$311),NA(),IFERROR(LOOKUP(2,1/(('Match Log'!$D$4:$D$311=$W$24)*('Match Log'!$A$4:$A$311&lt;=$J31)),'Match Log'!$N$4:$N$311),NA()))</f>
        <v>#N/A</v>
      </c>
      <c r="X31" t="e">
        <f>IF($J31&gt;MAX('Match Log'!$A$4:$A$311),NA(),IFERROR(LOOKUP(2,1/(('Match Log'!$D$4:$D$311=$X$24)*('Match Log'!$A$4:$A$311&lt;=$J31)),'Match Log'!$N$4:$N$311),NA()))</f>
        <v>#N/A</v>
      </c>
      <c r="Y31" t="str">
        <f t="shared" ca="1" si="18"/>
        <v/>
      </c>
    </row>
    <row r="32" spans="1:34" ht="15" customHeight="1" x14ac:dyDescent="0.2">
      <c r="A32">
        <v>8</v>
      </c>
      <c r="B32" s="132">
        <f>IFERROR(INDEX('Match Log'!$B$4:$B$311,MATCH(8,'Match Log'!$A$4:$A$311,0)),"")</f>
        <v>46172</v>
      </c>
      <c r="C32" t="str">
        <f>IFERROR(INDEX('Match Log'!$C$4:$C$311,MATCH(8,'Match Log'!$A$4:$A$311,0)),"")</f>
        <v>Table Tennis</v>
      </c>
      <c r="D32" t="str">
        <f>IFERROR(INDEX('Match Log'!$G$4:$G$311,MATCH(8,'Match Log'!$A$4:$A$311,0)),"")</f>
        <v>Shawn</v>
      </c>
      <c r="E32" s="133">
        <f>IFERROR(INDEX('Match Log'!$F$4:$F$311,MATCH(8,'Match Log'!$A$4:$A$311,0)),"")</f>
        <v>2</v>
      </c>
      <c r="F32">
        <f>IFERROR(SUMIFS('Match Log'!$I$4:$I$311,'Match Log'!$A$4:$A$311,8,'Match Log'!$E$4:$E$311,"Win"),"")</f>
        <v>0.66666666666666663</v>
      </c>
      <c r="G32">
        <f t="shared" si="16"/>
        <v>-0.33333333333333326</v>
      </c>
      <c r="H32" t="str">
        <f>IFERROR(IF($E32=2,LOOKUP(2,1/(('Match Log'!$A$4:$A$311=8)*('Match Log'!$E$4:$E$311="Loss")),'Match Log'!$D$4:$D$311),"the field"),"")</f>
        <v>Daniel (Ferret)</v>
      </c>
      <c r="I32">
        <f t="shared" si="17"/>
        <v>-0.33334133333333327</v>
      </c>
      <c r="J32">
        <v>8</v>
      </c>
      <c r="K32">
        <f>IF($J32&gt;MAX('Match Log'!$A$4:$A$311),NA(),IFERROR(LOOKUP(2,1/(('Match Log'!$D$4:$D$311=$K$24)*('Match Log'!$A$4:$A$311&lt;=$J32)),'Match Log'!$N$4:$N$311),NA()))</f>
        <v>1042.578483210224</v>
      </c>
      <c r="L32" t="e">
        <f>IF($J32&gt;MAX('Match Log'!$A$4:$A$311),NA(),IFERROR(LOOKUP(2,1/(('Match Log'!$D$4:$D$311=$L$24)*('Match Log'!$A$4:$A$311&lt;=$J32)),'Match Log'!$N$4:$N$311),NA()))</f>
        <v>#N/A</v>
      </c>
      <c r="M32">
        <f>IF($J32&gt;MAX('Match Log'!$A$4:$A$311),NA(),IFERROR(LOOKUP(2,1/(('Match Log'!$D$4:$D$311=$M$24)*('Match Log'!$A$4:$A$311&lt;=$J32)),'Match Log'!$N$4:$N$311),NA()))</f>
        <v>1004.2142857142857</v>
      </c>
      <c r="N32">
        <f>IF($J32&gt;MAX('Match Log'!$A$4:$A$311),NA(),IFERROR(LOOKUP(2,1/(('Match Log'!$D$4:$D$311=$N$24)*('Match Log'!$A$4:$A$311&lt;=$J32)),'Match Log'!$N$4:$N$311),NA()))</f>
        <v>1004.2142857142857</v>
      </c>
      <c r="O32">
        <f>IF($J32&gt;MAX('Match Log'!$A$4:$A$311),NA(),IFERROR(LOOKUP(2,1/(('Match Log'!$D$4:$D$311=$O$24)*('Match Log'!$A$4:$A$311&lt;=$J32)),'Match Log'!$N$4:$N$311),NA()))</f>
        <v>1034.0174103221841</v>
      </c>
      <c r="P32">
        <f>IF($J32&gt;MAX('Match Log'!$A$4:$A$311),NA(),IFERROR(LOOKUP(2,1/(('Match Log'!$D$4:$D$311=$P$24)*('Match Log'!$A$4:$A$311&lt;=$J32)),'Match Log'!$N$4:$N$311),NA()))</f>
        <v>1058.4607577779152</v>
      </c>
      <c r="Q32">
        <f>IF($J32&gt;MAX('Match Log'!$A$4:$A$311),NA(),IFERROR(LOOKUP(2,1/(('Match Log'!$D$4:$D$311=$Q$24)*('Match Log'!$A$4:$A$311&lt;=$J32)),'Match Log'!$N$4:$N$311),NA()))</f>
        <v>1004.2142857142857</v>
      </c>
      <c r="R32">
        <f>IF($J32&gt;MAX('Match Log'!$A$4:$A$311),NA(),IFERROR(LOOKUP(2,1/(('Match Log'!$D$4:$D$311=$R$24)*('Match Log'!$A$4:$A$311&lt;=$J32)),'Match Log'!$N$4:$N$311),NA()))</f>
        <v>941.02700974159495</v>
      </c>
      <c r="S32" t="e">
        <f>IF($J32&gt;MAX('Match Log'!$A$4:$A$311),NA(),IFERROR(LOOKUP(2,1/(('Match Log'!$D$4:$D$311=$S$24)*('Match Log'!$A$4:$A$311&lt;=$J32)),'Match Log'!$N$4:$N$311),NA()))</f>
        <v>#N/A</v>
      </c>
      <c r="T32" t="e">
        <f>IF($J32&gt;MAX('Match Log'!$A$4:$A$311),NA(),IFERROR(LOOKUP(2,1/(('Match Log'!$D$4:$D$311=$T$24)*('Match Log'!$A$4:$A$311&lt;=$J32)),'Match Log'!$N$4:$N$311),NA()))</f>
        <v>#N/A</v>
      </c>
      <c r="U32">
        <f>IF($J32&gt;MAX('Match Log'!$A$4:$A$311),NA(),IFERROR(LOOKUP(2,1/(('Match Log'!$D$4:$D$311=$U$24)*('Match Log'!$A$4:$A$311&lt;=$J32)),'Match Log'!$N$4:$N$311),NA()))</f>
        <v>995.27348180522449</v>
      </c>
      <c r="V32" t="e">
        <f>IF($J32&gt;MAX('Match Log'!$A$4:$A$311),NA(),IFERROR(LOOKUP(2,1/(('Match Log'!$D$4:$D$311=$V$24)*('Match Log'!$A$4:$A$311&lt;=$J32)),'Match Log'!$N$4:$N$311),NA()))</f>
        <v>#N/A</v>
      </c>
      <c r="W32" t="e">
        <f>IF($J32&gt;MAX('Match Log'!$A$4:$A$311),NA(),IFERROR(LOOKUP(2,1/(('Match Log'!$D$4:$D$311=$W$24)*('Match Log'!$A$4:$A$311&lt;=$J32)),'Match Log'!$N$4:$N$311),NA()))</f>
        <v>#N/A</v>
      </c>
      <c r="X32" t="e">
        <f>IF($J32&gt;MAX('Match Log'!$A$4:$A$311),NA(),IFERROR(LOOKUP(2,1/(('Match Log'!$D$4:$D$311=$X$24)*('Match Log'!$A$4:$A$311&lt;=$J32)),'Match Log'!$N$4:$N$311),NA()))</f>
        <v>#N/A</v>
      </c>
      <c r="Y32" t="str">
        <f t="shared" ca="1" si="18"/>
        <v/>
      </c>
    </row>
    <row r="33" spans="1:25" ht="15" customHeight="1" x14ac:dyDescent="0.2">
      <c r="A33">
        <v>9</v>
      </c>
      <c r="B33" s="132">
        <f>IFERROR(INDEX('Match Log'!$B$4:$B$311,MATCH(9,'Match Log'!$A$4:$A$311,0)),"")</f>
        <v>46172</v>
      </c>
      <c r="C33" t="str">
        <f>IFERROR(INDEX('Match Log'!$C$4:$C$311,MATCH(9,'Match Log'!$A$4:$A$311,0)),"")</f>
        <v>Table Tennis</v>
      </c>
      <c r="D33" t="str">
        <f>IFERROR(INDEX('Match Log'!$G$4:$G$311,MATCH(9,'Match Log'!$A$4:$A$311,0)),"")</f>
        <v>Shawn</v>
      </c>
      <c r="E33" s="133">
        <f>IFERROR(INDEX('Match Log'!$F$4:$F$311,MATCH(9,'Match Log'!$A$4:$A$311,0)),"")</f>
        <v>2</v>
      </c>
      <c r="F33">
        <f>IFERROR(SUMIFS('Match Log'!$I$4:$I$311,'Match Log'!$A$4:$A$311,9,'Match Log'!$E$4:$E$311,"Win"),"")</f>
        <v>0.75</v>
      </c>
      <c r="G33">
        <f t="shared" si="16"/>
        <v>-0.5</v>
      </c>
      <c r="H33" t="str">
        <f>IFERROR(IF($E33=2,LOOKUP(2,1/(('Match Log'!$A$4:$A$311=9)*('Match Log'!$E$4:$E$311="Loss")),'Match Log'!$D$4:$D$311),"the field"),"")</f>
        <v>Daniel (Ferret)</v>
      </c>
      <c r="I33">
        <f t="shared" si="17"/>
        <v>-0.50000900000000004</v>
      </c>
      <c r="J33">
        <v>9</v>
      </c>
      <c r="K33">
        <f>IF($J33&gt;MAX('Match Log'!$A$4:$A$311),NA(),IFERROR(LOOKUP(2,1/(('Match Log'!$D$4:$D$311=$K$24)*('Match Log'!$A$4:$A$311&lt;=$J33)),'Match Log'!$N$4:$N$311),NA()))</f>
        <v>1042.578483210224</v>
      </c>
      <c r="L33" t="e">
        <f>IF($J33&gt;MAX('Match Log'!$A$4:$A$311),NA(),IFERROR(LOOKUP(2,1/(('Match Log'!$D$4:$D$311=$L$24)*('Match Log'!$A$4:$A$311&lt;=$J33)),'Match Log'!$N$4:$N$311),NA()))</f>
        <v>#N/A</v>
      </c>
      <c r="M33">
        <f>IF($J33&gt;MAX('Match Log'!$A$4:$A$311),NA(),IFERROR(LOOKUP(2,1/(('Match Log'!$D$4:$D$311=$M$24)*('Match Log'!$A$4:$A$311&lt;=$J33)),'Match Log'!$N$4:$N$311),NA()))</f>
        <v>1004.2142857142857</v>
      </c>
      <c r="N33">
        <f>IF($J33&gt;MAX('Match Log'!$A$4:$A$311),NA(),IFERROR(LOOKUP(2,1/(('Match Log'!$D$4:$D$311=$N$24)*('Match Log'!$A$4:$A$311&lt;=$J33)),'Match Log'!$N$4:$N$311),NA()))</f>
        <v>1004.2142857142857</v>
      </c>
      <c r="O33">
        <f>IF($J33&gt;MAX('Match Log'!$A$4:$A$311),NA(),IFERROR(LOOKUP(2,1/(('Match Log'!$D$4:$D$311=$O$24)*('Match Log'!$A$4:$A$311&lt;=$J33)),'Match Log'!$N$4:$N$311),NA()))</f>
        <v>1034.0174103221841</v>
      </c>
      <c r="P33">
        <f>IF($J33&gt;MAX('Match Log'!$A$4:$A$311),NA(),IFERROR(LOOKUP(2,1/(('Match Log'!$D$4:$D$311=$P$24)*('Match Log'!$A$4:$A$311&lt;=$J33)),'Match Log'!$N$4:$N$311),NA()))</f>
        <v>1072.9224126693446</v>
      </c>
      <c r="Q33">
        <f>IF($J33&gt;MAX('Match Log'!$A$4:$A$311),NA(),IFERROR(LOOKUP(2,1/(('Match Log'!$D$4:$D$311=$Q$24)*('Match Log'!$A$4:$A$311&lt;=$J33)),'Match Log'!$N$4:$N$311),NA()))</f>
        <v>1004.2142857142857</v>
      </c>
      <c r="R33">
        <f>IF($J33&gt;MAX('Match Log'!$A$4:$A$311),NA(),IFERROR(LOOKUP(2,1/(('Match Log'!$D$4:$D$311=$R$24)*('Match Log'!$A$4:$A$311&lt;=$J33)),'Match Log'!$N$4:$N$311),NA()))</f>
        <v>926.56535485016559</v>
      </c>
      <c r="S33" t="e">
        <f>IF($J33&gt;MAX('Match Log'!$A$4:$A$311),NA(),IFERROR(LOOKUP(2,1/(('Match Log'!$D$4:$D$311=$S$24)*('Match Log'!$A$4:$A$311&lt;=$J33)),'Match Log'!$N$4:$N$311),NA()))</f>
        <v>#N/A</v>
      </c>
      <c r="T33" t="e">
        <f>IF($J33&gt;MAX('Match Log'!$A$4:$A$311),NA(),IFERROR(LOOKUP(2,1/(('Match Log'!$D$4:$D$311=$T$24)*('Match Log'!$A$4:$A$311&lt;=$J33)),'Match Log'!$N$4:$N$311),NA()))</f>
        <v>#N/A</v>
      </c>
      <c r="U33">
        <f>IF($J33&gt;MAX('Match Log'!$A$4:$A$311),NA(),IFERROR(LOOKUP(2,1/(('Match Log'!$D$4:$D$311=$U$24)*('Match Log'!$A$4:$A$311&lt;=$J33)),'Match Log'!$N$4:$N$311),NA()))</f>
        <v>995.27348180522449</v>
      </c>
      <c r="V33" t="e">
        <f>IF($J33&gt;MAX('Match Log'!$A$4:$A$311),NA(),IFERROR(LOOKUP(2,1/(('Match Log'!$D$4:$D$311=$V$24)*('Match Log'!$A$4:$A$311&lt;=$J33)),'Match Log'!$N$4:$N$311),NA()))</f>
        <v>#N/A</v>
      </c>
      <c r="W33" t="e">
        <f>IF($J33&gt;MAX('Match Log'!$A$4:$A$311),NA(),IFERROR(LOOKUP(2,1/(('Match Log'!$D$4:$D$311=$W$24)*('Match Log'!$A$4:$A$311&lt;=$J33)),'Match Log'!$N$4:$N$311),NA()))</f>
        <v>#N/A</v>
      </c>
      <c r="X33" t="e">
        <f>IF($J33&gt;MAX('Match Log'!$A$4:$A$311),NA(),IFERROR(LOOKUP(2,1/(('Match Log'!$D$4:$D$311=$X$24)*('Match Log'!$A$4:$A$311&lt;=$J33)),'Match Log'!$N$4:$N$311),NA()))</f>
        <v>#N/A</v>
      </c>
      <c r="Y33" t="str">
        <f t="shared" ca="1" si="18"/>
        <v/>
      </c>
    </row>
    <row r="34" spans="1:25" ht="15" customHeight="1" x14ac:dyDescent="0.2">
      <c r="A34">
        <v>10</v>
      </c>
      <c r="B34" s="132">
        <f>IFERROR(INDEX('Match Log'!$B$4:$B$311,MATCH(10,'Match Log'!$A$4:$A$311,0)),"")</f>
        <v>46172</v>
      </c>
      <c r="C34" t="str">
        <f>IFERROR(INDEX('Match Log'!$C$4:$C$311,MATCH(10,'Match Log'!$A$4:$A$311,0)),"")</f>
        <v>Table Tennis</v>
      </c>
      <c r="D34" t="str">
        <f>IFERROR(INDEX('Match Log'!$G$4:$G$311,MATCH(10,'Match Log'!$A$4:$A$311,0)),"")</f>
        <v>Josh</v>
      </c>
      <c r="E34" s="133">
        <f>IFERROR(INDEX('Match Log'!$F$4:$F$311,MATCH(10,'Match Log'!$A$4:$A$311,0)),"")</f>
        <v>2</v>
      </c>
      <c r="F34">
        <f>IFERROR(SUMIFS('Match Log'!$I$4:$I$311,'Match Log'!$A$4:$A$311,10,'Match Log'!$E$4:$E$311,"Win"),"")</f>
        <v>0.5</v>
      </c>
      <c r="G34">
        <f t="shared" si="16"/>
        <v>0</v>
      </c>
      <c r="H34" t="str">
        <f>IFERROR(IF($E34=2,LOOKUP(2,1/(('Match Log'!$A$4:$A$311=10)*('Match Log'!$E$4:$E$311="Loss")),'Match Log'!$D$4:$D$311),"the field"),"")</f>
        <v>Cody</v>
      </c>
      <c r="I34">
        <f t="shared" si="17"/>
        <v>-1.0000000000000001E-5</v>
      </c>
      <c r="J34">
        <v>10</v>
      </c>
      <c r="K34">
        <f>IF($J34&gt;MAX('Match Log'!$A$4:$A$311),NA(),IFERROR(LOOKUP(2,1/(('Match Log'!$D$4:$D$311=$K$24)*('Match Log'!$A$4:$A$311&lt;=$J34)),'Match Log'!$N$4:$N$311),NA()))</f>
        <v>1042.578483210224</v>
      </c>
      <c r="L34" t="e">
        <f>IF($J34&gt;MAX('Match Log'!$A$4:$A$311),NA(),IFERROR(LOOKUP(2,1/(('Match Log'!$D$4:$D$311=$L$24)*('Match Log'!$A$4:$A$311&lt;=$J34)),'Match Log'!$N$4:$N$311),NA()))</f>
        <v>#N/A</v>
      </c>
      <c r="M34">
        <f>IF($J34&gt;MAX('Match Log'!$A$4:$A$311),NA(),IFERROR(LOOKUP(2,1/(('Match Log'!$D$4:$D$311=$M$24)*('Match Log'!$A$4:$A$311&lt;=$J34)),'Match Log'!$N$4:$N$311),NA()))</f>
        <v>1004.2142857142857</v>
      </c>
      <c r="N34">
        <f>IF($J34&gt;MAX('Match Log'!$A$4:$A$311),NA(),IFERROR(LOOKUP(2,1/(('Match Log'!$D$4:$D$311=$N$24)*('Match Log'!$A$4:$A$311&lt;=$J34)),'Match Log'!$N$4:$N$311),NA()))</f>
        <v>1004.2142857142857</v>
      </c>
      <c r="O34">
        <f>IF($J34&gt;MAX('Match Log'!$A$4:$A$311),NA(),IFERROR(LOOKUP(2,1/(('Match Log'!$D$4:$D$311=$O$24)*('Match Log'!$A$4:$A$311&lt;=$J34)),'Match Log'!$N$4:$N$311),NA()))</f>
        <v>1054.4558374330734</v>
      </c>
      <c r="P34">
        <f>IF($J34&gt;MAX('Match Log'!$A$4:$A$311),NA(),IFERROR(LOOKUP(2,1/(('Match Log'!$D$4:$D$311=$P$24)*('Match Log'!$A$4:$A$311&lt;=$J34)),'Match Log'!$N$4:$N$311),NA()))</f>
        <v>1072.9224126693446</v>
      </c>
      <c r="Q34">
        <f>IF($J34&gt;MAX('Match Log'!$A$4:$A$311),NA(),IFERROR(LOOKUP(2,1/(('Match Log'!$D$4:$D$311=$Q$24)*('Match Log'!$A$4:$A$311&lt;=$J34)),'Match Log'!$N$4:$N$311),NA()))</f>
        <v>1004.2142857142857</v>
      </c>
      <c r="R34">
        <f>IF($J34&gt;MAX('Match Log'!$A$4:$A$311),NA(),IFERROR(LOOKUP(2,1/(('Match Log'!$D$4:$D$311=$R$24)*('Match Log'!$A$4:$A$311&lt;=$J34)),'Match Log'!$N$4:$N$311),NA()))</f>
        <v>926.56535485016559</v>
      </c>
      <c r="S34" t="e">
        <f>IF($J34&gt;MAX('Match Log'!$A$4:$A$311),NA(),IFERROR(LOOKUP(2,1/(('Match Log'!$D$4:$D$311=$S$24)*('Match Log'!$A$4:$A$311&lt;=$J34)),'Match Log'!$N$4:$N$311),NA()))</f>
        <v>#N/A</v>
      </c>
      <c r="T34">
        <f>IF($J34&gt;MAX('Match Log'!$A$4:$A$311),NA(),IFERROR(LOOKUP(2,1/(('Match Log'!$D$4:$D$311=$T$24)*('Match Log'!$A$4:$A$311&lt;=$J34)),'Match Log'!$N$4:$N$311),NA()))</f>
        <v>979.56157288911083</v>
      </c>
      <c r="U34">
        <f>IF($J34&gt;MAX('Match Log'!$A$4:$A$311),NA(),IFERROR(LOOKUP(2,1/(('Match Log'!$D$4:$D$311=$U$24)*('Match Log'!$A$4:$A$311&lt;=$J34)),'Match Log'!$N$4:$N$311),NA()))</f>
        <v>995.27348180522449</v>
      </c>
      <c r="V34" t="e">
        <f>IF($J34&gt;MAX('Match Log'!$A$4:$A$311),NA(),IFERROR(LOOKUP(2,1/(('Match Log'!$D$4:$D$311=$V$24)*('Match Log'!$A$4:$A$311&lt;=$J34)),'Match Log'!$N$4:$N$311),NA()))</f>
        <v>#N/A</v>
      </c>
      <c r="W34" t="e">
        <f>IF($J34&gt;MAX('Match Log'!$A$4:$A$311),NA(),IFERROR(LOOKUP(2,1/(('Match Log'!$D$4:$D$311=$W$24)*('Match Log'!$A$4:$A$311&lt;=$J34)),'Match Log'!$N$4:$N$311),NA()))</f>
        <v>#N/A</v>
      </c>
      <c r="X34" t="e">
        <f>IF($J34&gt;MAX('Match Log'!$A$4:$A$311),NA(),IFERROR(LOOKUP(2,1/(('Match Log'!$D$4:$D$311=$X$24)*('Match Log'!$A$4:$A$311&lt;=$J34)),'Match Log'!$N$4:$N$311),NA()))</f>
        <v>#N/A</v>
      </c>
      <c r="Y34" t="str">
        <f t="shared" ca="1" si="18"/>
        <v/>
      </c>
    </row>
    <row r="35" spans="1:25" ht="15" customHeight="1" x14ac:dyDescent="0.2">
      <c r="A35">
        <v>11</v>
      </c>
      <c r="B35" s="132">
        <f>IFERROR(INDEX('Match Log'!$B$4:$B$311,MATCH(11,'Match Log'!$A$4:$A$311,0)),"")</f>
        <v>46172</v>
      </c>
      <c r="C35" t="str">
        <f>IFERROR(INDEX('Match Log'!$C$4:$C$311,MATCH(11,'Match Log'!$A$4:$A$311,0)),"")</f>
        <v>Table Tennis</v>
      </c>
      <c r="D35" t="str">
        <f>IFERROR(INDEX('Match Log'!$G$4:$G$311,MATCH(11,'Match Log'!$A$4:$A$311,0)),"")</f>
        <v>Josh</v>
      </c>
      <c r="E35" s="133">
        <f>IFERROR(INDEX('Match Log'!$F$4:$F$311,MATCH(11,'Match Log'!$A$4:$A$311,0)),"")</f>
        <v>2</v>
      </c>
      <c r="F35">
        <f>IFERROR(SUMIFS('Match Log'!$I$4:$I$311,'Match Log'!$A$4:$A$311,11,'Match Log'!$E$4:$E$311,"Win"),"")</f>
        <v>0.66666666666666663</v>
      </c>
      <c r="G35">
        <f t="shared" si="16"/>
        <v>-0.33333333333333326</v>
      </c>
      <c r="H35" t="str">
        <f>IFERROR(IF($E35=2,LOOKUP(2,1/(('Match Log'!$A$4:$A$311=11)*('Match Log'!$E$4:$E$311="Loss")),'Match Log'!$D$4:$D$311),"the field"),"")</f>
        <v>Cody</v>
      </c>
      <c r="I35">
        <f t="shared" si="17"/>
        <v>-0.33334433333333324</v>
      </c>
      <c r="J35">
        <v>11</v>
      </c>
      <c r="K35">
        <f>IF($J35&gt;MAX('Match Log'!$A$4:$A$311),NA(),IFERROR(LOOKUP(2,1/(('Match Log'!$D$4:$D$311=$K$24)*('Match Log'!$A$4:$A$311&lt;=$J35)),'Match Log'!$N$4:$N$311),NA()))</f>
        <v>1042.578483210224</v>
      </c>
      <c r="L35" t="e">
        <f>IF($J35&gt;MAX('Match Log'!$A$4:$A$311),NA(),IFERROR(LOOKUP(2,1/(('Match Log'!$D$4:$D$311=$L$24)*('Match Log'!$A$4:$A$311&lt;=$J35)),'Match Log'!$N$4:$N$311),NA()))</f>
        <v>#N/A</v>
      </c>
      <c r="M35">
        <f>IF($J35&gt;MAX('Match Log'!$A$4:$A$311),NA(),IFERROR(LOOKUP(2,1/(('Match Log'!$D$4:$D$311=$M$24)*('Match Log'!$A$4:$A$311&lt;=$J35)),'Match Log'!$N$4:$N$311),NA()))</f>
        <v>1004.2142857142857</v>
      </c>
      <c r="N35">
        <f>IF($J35&gt;MAX('Match Log'!$A$4:$A$311),NA(),IFERROR(LOOKUP(2,1/(('Match Log'!$D$4:$D$311=$N$24)*('Match Log'!$A$4:$A$311&lt;=$J35)),'Match Log'!$N$4:$N$311),NA()))</f>
        <v>1004.2142857142857</v>
      </c>
      <c r="O35">
        <f>IF($J35&gt;MAX('Match Log'!$A$4:$A$311),NA(),IFERROR(LOOKUP(2,1/(('Match Log'!$D$4:$D$311=$O$24)*('Match Log'!$A$4:$A$311&lt;=$J35)),'Match Log'!$N$4:$N$311),NA()))</f>
        <v>1071.3750003033858</v>
      </c>
      <c r="P35">
        <f>IF($J35&gt;MAX('Match Log'!$A$4:$A$311),NA(),IFERROR(LOOKUP(2,1/(('Match Log'!$D$4:$D$311=$P$24)*('Match Log'!$A$4:$A$311&lt;=$J35)),'Match Log'!$N$4:$N$311),NA()))</f>
        <v>1072.9224126693446</v>
      </c>
      <c r="Q35">
        <f>IF($J35&gt;MAX('Match Log'!$A$4:$A$311),NA(),IFERROR(LOOKUP(2,1/(('Match Log'!$D$4:$D$311=$Q$24)*('Match Log'!$A$4:$A$311&lt;=$J35)),'Match Log'!$N$4:$N$311),NA()))</f>
        <v>1004.2142857142857</v>
      </c>
      <c r="R35">
        <f>IF($J35&gt;MAX('Match Log'!$A$4:$A$311),NA(),IFERROR(LOOKUP(2,1/(('Match Log'!$D$4:$D$311=$R$24)*('Match Log'!$A$4:$A$311&lt;=$J35)),'Match Log'!$N$4:$N$311),NA()))</f>
        <v>926.56535485016559</v>
      </c>
      <c r="S35" t="e">
        <f>IF($J35&gt;MAX('Match Log'!$A$4:$A$311),NA(),IFERROR(LOOKUP(2,1/(('Match Log'!$D$4:$D$311=$S$24)*('Match Log'!$A$4:$A$311&lt;=$J35)),'Match Log'!$N$4:$N$311),NA()))</f>
        <v>#N/A</v>
      </c>
      <c r="T35">
        <f>IF($J35&gt;MAX('Match Log'!$A$4:$A$311),NA(),IFERROR(LOOKUP(2,1/(('Match Log'!$D$4:$D$311=$T$24)*('Match Log'!$A$4:$A$311&lt;=$J35)),'Match Log'!$N$4:$N$311),NA()))</f>
        <v>962.64241001879827</v>
      </c>
      <c r="U35">
        <f>IF($J35&gt;MAX('Match Log'!$A$4:$A$311),NA(),IFERROR(LOOKUP(2,1/(('Match Log'!$D$4:$D$311=$U$24)*('Match Log'!$A$4:$A$311&lt;=$J35)),'Match Log'!$N$4:$N$311),NA()))</f>
        <v>995.27348180522449</v>
      </c>
      <c r="V35" t="e">
        <f>IF($J35&gt;MAX('Match Log'!$A$4:$A$311),NA(),IFERROR(LOOKUP(2,1/(('Match Log'!$D$4:$D$311=$V$24)*('Match Log'!$A$4:$A$311&lt;=$J35)),'Match Log'!$N$4:$N$311),NA()))</f>
        <v>#N/A</v>
      </c>
      <c r="W35" t="e">
        <f>IF($J35&gt;MAX('Match Log'!$A$4:$A$311),NA(),IFERROR(LOOKUP(2,1/(('Match Log'!$D$4:$D$311=$W$24)*('Match Log'!$A$4:$A$311&lt;=$J35)),'Match Log'!$N$4:$N$311),NA()))</f>
        <v>#N/A</v>
      </c>
      <c r="X35" t="e">
        <f>IF($J35&gt;MAX('Match Log'!$A$4:$A$311),NA(),IFERROR(LOOKUP(2,1/(('Match Log'!$D$4:$D$311=$X$24)*('Match Log'!$A$4:$A$311&lt;=$J35)),'Match Log'!$N$4:$N$311),NA()))</f>
        <v>#N/A</v>
      </c>
      <c r="Y35" t="str">
        <f t="shared" ca="1" si="18"/>
        <v/>
      </c>
    </row>
    <row r="36" spans="1:25" ht="15" customHeight="1" x14ac:dyDescent="0.2">
      <c r="A36">
        <v>12</v>
      </c>
      <c r="B36" s="132">
        <f>IFERROR(INDEX('Match Log'!$B$4:$B$311,MATCH(12,'Match Log'!$A$4:$A$311,0)),"")</f>
        <v>46172</v>
      </c>
      <c r="C36" t="str">
        <f>IFERROR(INDEX('Match Log'!$C$4:$C$311,MATCH(12,'Match Log'!$A$4:$A$311,0)),"")</f>
        <v>Table Tennis</v>
      </c>
      <c r="D36" t="str">
        <f>IFERROR(INDEX('Match Log'!$G$4:$G$311,MATCH(12,'Match Log'!$A$4:$A$311,0)),"")</f>
        <v>Josh</v>
      </c>
      <c r="E36" s="133">
        <f>IFERROR(INDEX('Match Log'!$F$4:$F$311,MATCH(12,'Match Log'!$A$4:$A$311,0)),"")</f>
        <v>2</v>
      </c>
      <c r="F36">
        <f>IFERROR(SUMIFS('Match Log'!$I$4:$I$311,'Match Log'!$A$4:$A$311,12,'Match Log'!$E$4:$E$311,"Win"),"")</f>
        <v>0.75</v>
      </c>
      <c r="G36">
        <f t="shared" si="16"/>
        <v>-0.5</v>
      </c>
      <c r="H36" t="str">
        <f>IFERROR(IF($E36=2,LOOKUP(2,1/(('Match Log'!$A$4:$A$311=12)*('Match Log'!$E$4:$E$311="Loss")),'Match Log'!$D$4:$D$311),"the field"),"")</f>
        <v>Cody</v>
      </c>
      <c r="I36">
        <f t="shared" si="17"/>
        <v>-0.50001200000000001</v>
      </c>
      <c r="J36">
        <v>12</v>
      </c>
      <c r="K36">
        <f>IF($J36&gt;MAX('Match Log'!$A$4:$A$311),NA(),IFERROR(LOOKUP(2,1/(('Match Log'!$D$4:$D$311=$K$24)*('Match Log'!$A$4:$A$311&lt;=$J36)),'Match Log'!$N$4:$N$311),NA()))</f>
        <v>1042.578483210224</v>
      </c>
      <c r="L36" t="e">
        <f>IF($J36&gt;MAX('Match Log'!$A$4:$A$311),NA(),IFERROR(LOOKUP(2,1/(('Match Log'!$D$4:$D$311=$L$24)*('Match Log'!$A$4:$A$311&lt;=$J36)),'Match Log'!$N$4:$N$311),NA()))</f>
        <v>#N/A</v>
      </c>
      <c r="M36">
        <f>IF($J36&gt;MAX('Match Log'!$A$4:$A$311),NA(),IFERROR(LOOKUP(2,1/(('Match Log'!$D$4:$D$311=$M$24)*('Match Log'!$A$4:$A$311&lt;=$J36)),'Match Log'!$N$4:$N$311),NA()))</f>
        <v>1004.2142857142857</v>
      </c>
      <c r="N36">
        <f>IF($J36&gt;MAX('Match Log'!$A$4:$A$311),NA(),IFERROR(LOOKUP(2,1/(('Match Log'!$D$4:$D$311=$N$24)*('Match Log'!$A$4:$A$311&lt;=$J36)),'Match Log'!$N$4:$N$311),NA()))</f>
        <v>1004.2142857142857</v>
      </c>
      <c r="O36">
        <f>IF($J36&gt;MAX('Match Log'!$A$4:$A$311),NA(),IFERROR(LOOKUP(2,1/(('Match Log'!$D$4:$D$311=$O$24)*('Match Log'!$A$4:$A$311&lt;=$J36)),'Match Log'!$N$4:$N$311),NA()))</f>
        <v>1086.1011579328788</v>
      </c>
      <c r="P36">
        <f>IF($J36&gt;MAX('Match Log'!$A$4:$A$311),NA(),IFERROR(LOOKUP(2,1/(('Match Log'!$D$4:$D$311=$P$24)*('Match Log'!$A$4:$A$311&lt;=$J36)),'Match Log'!$N$4:$N$311),NA()))</f>
        <v>1072.9224126693446</v>
      </c>
      <c r="Q36">
        <f>IF($J36&gt;MAX('Match Log'!$A$4:$A$311),NA(),IFERROR(LOOKUP(2,1/(('Match Log'!$D$4:$D$311=$Q$24)*('Match Log'!$A$4:$A$311&lt;=$J36)),'Match Log'!$N$4:$N$311),NA()))</f>
        <v>1004.2142857142857</v>
      </c>
      <c r="R36">
        <f>IF($J36&gt;MAX('Match Log'!$A$4:$A$311),NA(),IFERROR(LOOKUP(2,1/(('Match Log'!$D$4:$D$311=$R$24)*('Match Log'!$A$4:$A$311&lt;=$J36)),'Match Log'!$N$4:$N$311),NA()))</f>
        <v>926.56535485016559</v>
      </c>
      <c r="S36" t="e">
        <f>IF($J36&gt;MAX('Match Log'!$A$4:$A$311),NA(),IFERROR(LOOKUP(2,1/(('Match Log'!$D$4:$D$311=$S$24)*('Match Log'!$A$4:$A$311&lt;=$J36)),'Match Log'!$N$4:$N$311),NA()))</f>
        <v>#N/A</v>
      </c>
      <c r="T36">
        <f>IF($J36&gt;MAX('Match Log'!$A$4:$A$311),NA(),IFERROR(LOOKUP(2,1/(('Match Log'!$D$4:$D$311=$T$24)*('Match Log'!$A$4:$A$311&lt;=$J36)),'Match Log'!$N$4:$N$311),NA()))</f>
        <v>947.91625238930521</v>
      </c>
      <c r="U36">
        <f>IF($J36&gt;MAX('Match Log'!$A$4:$A$311),NA(),IFERROR(LOOKUP(2,1/(('Match Log'!$D$4:$D$311=$U$24)*('Match Log'!$A$4:$A$311&lt;=$J36)),'Match Log'!$N$4:$N$311),NA()))</f>
        <v>995.27348180522449</v>
      </c>
      <c r="V36" t="e">
        <f>IF($J36&gt;MAX('Match Log'!$A$4:$A$311),NA(),IFERROR(LOOKUP(2,1/(('Match Log'!$D$4:$D$311=$V$24)*('Match Log'!$A$4:$A$311&lt;=$J36)),'Match Log'!$N$4:$N$311),NA()))</f>
        <v>#N/A</v>
      </c>
      <c r="W36" t="e">
        <f>IF($J36&gt;MAX('Match Log'!$A$4:$A$311),NA(),IFERROR(LOOKUP(2,1/(('Match Log'!$D$4:$D$311=$W$24)*('Match Log'!$A$4:$A$311&lt;=$J36)),'Match Log'!$N$4:$N$311),NA()))</f>
        <v>#N/A</v>
      </c>
      <c r="X36" t="e">
        <f>IF($J36&gt;MAX('Match Log'!$A$4:$A$311),NA(),IFERROR(LOOKUP(2,1/(('Match Log'!$D$4:$D$311=$X$24)*('Match Log'!$A$4:$A$311&lt;=$J36)),'Match Log'!$N$4:$N$311),NA()))</f>
        <v>#N/A</v>
      </c>
      <c r="Y36" t="str">
        <f t="shared" ca="1" si="18"/>
        <v/>
      </c>
    </row>
    <row r="37" spans="1:25" ht="15" customHeight="1" x14ac:dyDescent="0.2">
      <c r="A37">
        <v>13</v>
      </c>
      <c r="B37" s="132">
        <f>IFERROR(INDEX('Match Log'!$B$4:$B$311,MATCH(13,'Match Log'!$A$4:$A$311,0)),"")</f>
        <v>46173</v>
      </c>
      <c r="C37" t="str">
        <f>IFERROR(INDEX('Match Log'!$C$4:$C$311,MATCH(13,'Match Log'!$A$4:$A$311,0)),"")</f>
        <v>FIFA</v>
      </c>
      <c r="D37" t="str">
        <f>IFERROR(INDEX('Match Log'!$G$4:$G$311,MATCH(13,'Match Log'!$A$4:$A$311,0)),"")</f>
        <v>Shawn</v>
      </c>
      <c r="E37" s="133">
        <f>IFERROR(INDEX('Match Log'!$F$4:$F$311,MATCH(13,'Match Log'!$A$4:$A$311,0)),"")</f>
        <v>2</v>
      </c>
      <c r="F37">
        <f>IFERROR(SUMIFS('Match Log'!$I$4:$I$311,'Match Log'!$A$4:$A$311,13,'Match Log'!$E$4:$E$311,"Win"),"")</f>
        <v>0.66666666666666663</v>
      </c>
      <c r="G37">
        <f t="shared" si="16"/>
        <v>-0.33333333333333326</v>
      </c>
      <c r="H37" t="str">
        <f>IFERROR(IF($E37=2,LOOKUP(2,1/(('Match Log'!$A$4:$A$311=13)*('Match Log'!$E$4:$E$311="Loss")),'Match Log'!$D$4:$D$311),"the field"),"")</f>
        <v>Daniel (Ferret)</v>
      </c>
      <c r="I37">
        <f t="shared" si="17"/>
        <v>-0.33334633333333324</v>
      </c>
      <c r="J37">
        <v>13</v>
      </c>
      <c r="K37">
        <f>IF($J37&gt;MAX('Match Log'!$A$4:$A$311),NA(),IFERROR(LOOKUP(2,1/(('Match Log'!$D$4:$D$311=$K$24)*('Match Log'!$A$4:$A$311&lt;=$J37)),'Match Log'!$N$4:$N$311),NA()))</f>
        <v>1042.578483210224</v>
      </c>
      <c r="L37" t="e">
        <f>IF($J37&gt;MAX('Match Log'!$A$4:$A$311),NA(),IFERROR(LOOKUP(2,1/(('Match Log'!$D$4:$D$311=$L$24)*('Match Log'!$A$4:$A$311&lt;=$J37)),'Match Log'!$N$4:$N$311),NA()))</f>
        <v>#N/A</v>
      </c>
      <c r="M37">
        <f>IF($J37&gt;MAX('Match Log'!$A$4:$A$311),NA(),IFERROR(LOOKUP(2,1/(('Match Log'!$D$4:$D$311=$M$24)*('Match Log'!$A$4:$A$311&lt;=$J37)),'Match Log'!$N$4:$N$311),NA()))</f>
        <v>1004.2142857142857</v>
      </c>
      <c r="N37">
        <f>IF($J37&gt;MAX('Match Log'!$A$4:$A$311),NA(),IFERROR(LOOKUP(2,1/(('Match Log'!$D$4:$D$311=$N$24)*('Match Log'!$A$4:$A$311&lt;=$J37)),'Match Log'!$N$4:$N$311),NA()))</f>
        <v>1004.2142857142857</v>
      </c>
      <c r="O37">
        <f>IF($J37&gt;MAX('Match Log'!$A$4:$A$311),NA(),IFERROR(LOOKUP(2,1/(('Match Log'!$D$4:$D$311=$O$24)*('Match Log'!$A$4:$A$311&lt;=$J37)),'Match Log'!$N$4:$N$311),NA()))</f>
        <v>1086.1011579328788</v>
      </c>
      <c r="P37">
        <f>IF($J37&gt;MAX('Match Log'!$A$4:$A$311),NA(),IFERROR(LOOKUP(2,1/(('Match Log'!$D$4:$D$311=$P$24)*('Match Log'!$A$4:$A$311&lt;=$J37)),'Match Log'!$N$4:$N$311),NA()))</f>
        <v>1088.3358957355647</v>
      </c>
      <c r="Q37">
        <f>IF($J37&gt;MAX('Match Log'!$A$4:$A$311),NA(),IFERROR(LOOKUP(2,1/(('Match Log'!$D$4:$D$311=$Q$24)*('Match Log'!$A$4:$A$311&lt;=$J37)),'Match Log'!$N$4:$N$311),NA()))</f>
        <v>1004.2142857142857</v>
      </c>
      <c r="R37">
        <f>IF($J37&gt;MAX('Match Log'!$A$4:$A$311),NA(),IFERROR(LOOKUP(2,1/(('Match Log'!$D$4:$D$311=$R$24)*('Match Log'!$A$4:$A$311&lt;=$J37)),'Match Log'!$N$4:$N$311),NA()))</f>
        <v>911.15187178394547</v>
      </c>
      <c r="S37" t="e">
        <f>IF($J37&gt;MAX('Match Log'!$A$4:$A$311),NA(),IFERROR(LOOKUP(2,1/(('Match Log'!$D$4:$D$311=$S$24)*('Match Log'!$A$4:$A$311&lt;=$J37)),'Match Log'!$N$4:$N$311),NA()))</f>
        <v>#N/A</v>
      </c>
      <c r="T37">
        <f>IF($J37&gt;MAX('Match Log'!$A$4:$A$311),NA(),IFERROR(LOOKUP(2,1/(('Match Log'!$D$4:$D$311=$T$24)*('Match Log'!$A$4:$A$311&lt;=$J37)),'Match Log'!$N$4:$N$311),NA()))</f>
        <v>947.91625238930521</v>
      </c>
      <c r="U37">
        <f>IF($J37&gt;MAX('Match Log'!$A$4:$A$311),NA(),IFERROR(LOOKUP(2,1/(('Match Log'!$D$4:$D$311=$U$24)*('Match Log'!$A$4:$A$311&lt;=$J37)),'Match Log'!$N$4:$N$311),NA()))</f>
        <v>995.27348180522449</v>
      </c>
      <c r="V37" t="e">
        <f>IF($J37&gt;MAX('Match Log'!$A$4:$A$311),NA(),IFERROR(LOOKUP(2,1/(('Match Log'!$D$4:$D$311=$V$24)*('Match Log'!$A$4:$A$311&lt;=$J37)),'Match Log'!$N$4:$N$311),NA()))</f>
        <v>#N/A</v>
      </c>
      <c r="W37" t="e">
        <f>IF($J37&gt;MAX('Match Log'!$A$4:$A$311),NA(),IFERROR(LOOKUP(2,1/(('Match Log'!$D$4:$D$311=$W$24)*('Match Log'!$A$4:$A$311&lt;=$J37)),'Match Log'!$N$4:$N$311),NA()))</f>
        <v>#N/A</v>
      </c>
      <c r="X37" t="e">
        <f>IF($J37&gt;MAX('Match Log'!$A$4:$A$311),NA(),IFERROR(LOOKUP(2,1/(('Match Log'!$D$4:$D$311=$X$24)*('Match Log'!$A$4:$A$311&lt;=$J37)),'Match Log'!$N$4:$N$311),NA()))</f>
        <v>#N/A</v>
      </c>
      <c r="Y37" t="str">
        <f t="shared" ca="1" si="18"/>
        <v/>
      </c>
    </row>
    <row r="38" spans="1:25" ht="15" customHeight="1" x14ac:dyDescent="0.2">
      <c r="A38">
        <v>14</v>
      </c>
      <c r="B38" s="132">
        <f>IFERROR(INDEX('Match Log'!$B$4:$B$311,MATCH(14,'Match Log'!$A$4:$A$311,0)),"")</f>
        <v>46173</v>
      </c>
      <c r="C38" t="str">
        <f>IFERROR(INDEX('Match Log'!$C$4:$C$311,MATCH(14,'Match Log'!$A$4:$A$311,0)),"")</f>
        <v>FIFA</v>
      </c>
      <c r="D38" t="str">
        <f>IFERROR(INDEX('Match Log'!$G$4:$G$311,MATCH(14,'Match Log'!$A$4:$A$311,0)),"")</f>
        <v>Daniel (Ferret)</v>
      </c>
      <c r="E38" s="133">
        <f>IFERROR(INDEX('Match Log'!$F$4:$F$311,MATCH(14,'Match Log'!$A$4:$A$311,0)),"")</f>
        <v>2</v>
      </c>
      <c r="F38">
        <f>IFERROR(SUMIFS('Match Log'!$I$4:$I$311,'Match Log'!$A$4:$A$311,14,'Match Log'!$E$4:$E$311,"Win"),"")</f>
        <v>0.2857142857142857</v>
      </c>
      <c r="G38">
        <f t="shared" si="16"/>
        <v>0.4285714285714286</v>
      </c>
      <c r="H38" t="str">
        <f>IFERROR(IF($E38=2,LOOKUP(2,1/(('Match Log'!$A$4:$A$311=14)*('Match Log'!$E$4:$E$311="Loss")),'Match Log'!$D$4:$D$311),"the field"),"")</f>
        <v>Shawn</v>
      </c>
      <c r="I38">
        <f t="shared" si="17"/>
        <v>0.42855742857142859</v>
      </c>
      <c r="J38">
        <v>14</v>
      </c>
      <c r="K38">
        <f>IF($J38&gt;MAX('Match Log'!$A$4:$A$311),NA(),IFERROR(LOOKUP(2,1/(('Match Log'!$D$4:$D$311=$K$24)*('Match Log'!$A$4:$A$311&lt;=$J38)),'Match Log'!$N$4:$N$311),NA()))</f>
        <v>1042.578483210224</v>
      </c>
      <c r="L38" t="e">
        <f>IF($J38&gt;MAX('Match Log'!$A$4:$A$311),NA(),IFERROR(LOOKUP(2,1/(('Match Log'!$D$4:$D$311=$L$24)*('Match Log'!$A$4:$A$311&lt;=$J38)),'Match Log'!$N$4:$N$311),NA()))</f>
        <v>#N/A</v>
      </c>
      <c r="M38">
        <f>IF($J38&gt;MAX('Match Log'!$A$4:$A$311),NA(),IFERROR(LOOKUP(2,1/(('Match Log'!$D$4:$D$311=$M$24)*('Match Log'!$A$4:$A$311&lt;=$J38)),'Match Log'!$N$4:$N$311),NA()))</f>
        <v>1004.2142857142857</v>
      </c>
      <c r="N38">
        <f>IF($J38&gt;MAX('Match Log'!$A$4:$A$311),NA(),IFERROR(LOOKUP(2,1/(('Match Log'!$D$4:$D$311=$N$24)*('Match Log'!$A$4:$A$311&lt;=$J38)),'Match Log'!$N$4:$N$311),NA()))</f>
        <v>1004.2142857142857</v>
      </c>
      <c r="O38">
        <f>IF($J38&gt;MAX('Match Log'!$A$4:$A$311),NA(),IFERROR(LOOKUP(2,1/(('Match Log'!$D$4:$D$311=$O$24)*('Match Log'!$A$4:$A$311&lt;=$J38)),'Match Log'!$N$4:$N$311),NA()))</f>
        <v>1086.1011579328788</v>
      </c>
      <c r="P38">
        <f>IF($J38&gt;MAX('Match Log'!$A$4:$A$311),NA(),IFERROR(LOOKUP(2,1/(('Match Log'!$D$4:$D$311=$P$24)*('Match Log'!$A$4:$A$311&lt;=$J38)),'Match Log'!$N$4:$N$311),NA()))</f>
        <v>1058.1949493150487</v>
      </c>
      <c r="Q38">
        <f>IF($J38&gt;MAX('Match Log'!$A$4:$A$311),NA(),IFERROR(LOOKUP(2,1/(('Match Log'!$D$4:$D$311=$Q$24)*('Match Log'!$A$4:$A$311&lt;=$J38)),'Match Log'!$N$4:$N$311),NA()))</f>
        <v>1004.2142857142857</v>
      </c>
      <c r="R38">
        <f>IF($J38&gt;MAX('Match Log'!$A$4:$A$311),NA(),IFERROR(LOOKUP(2,1/(('Match Log'!$D$4:$D$311=$R$24)*('Match Log'!$A$4:$A$311&lt;=$J38)),'Match Log'!$N$4:$N$311),NA()))</f>
        <v>941.29281820446158</v>
      </c>
      <c r="S38" t="e">
        <f>IF($J38&gt;MAX('Match Log'!$A$4:$A$311),NA(),IFERROR(LOOKUP(2,1/(('Match Log'!$D$4:$D$311=$S$24)*('Match Log'!$A$4:$A$311&lt;=$J38)),'Match Log'!$N$4:$N$311),NA()))</f>
        <v>#N/A</v>
      </c>
      <c r="T38">
        <f>IF($J38&gt;MAX('Match Log'!$A$4:$A$311),NA(),IFERROR(LOOKUP(2,1/(('Match Log'!$D$4:$D$311=$T$24)*('Match Log'!$A$4:$A$311&lt;=$J38)),'Match Log'!$N$4:$N$311),NA()))</f>
        <v>947.91625238930521</v>
      </c>
      <c r="U38">
        <f>IF($J38&gt;MAX('Match Log'!$A$4:$A$311),NA(),IFERROR(LOOKUP(2,1/(('Match Log'!$D$4:$D$311=$U$24)*('Match Log'!$A$4:$A$311&lt;=$J38)),'Match Log'!$N$4:$N$311),NA()))</f>
        <v>995.27348180522449</v>
      </c>
      <c r="V38" t="e">
        <f>IF($J38&gt;MAX('Match Log'!$A$4:$A$311),NA(),IFERROR(LOOKUP(2,1/(('Match Log'!$D$4:$D$311=$V$24)*('Match Log'!$A$4:$A$311&lt;=$J38)),'Match Log'!$N$4:$N$311),NA()))</f>
        <v>#N/A</v>
      </c>
      <c r="W38" t="e">
        <f>IF($J38&gt;MAX('Match Log'!$A$4:$A$311),NA(),IFERROR(LOOKUP(2,1/(('Match Log'!$D$4:$D$311=$W$24)*('Match Log'!$A$4:$A$311&lt;=$J38)),'Match Log'!$N$4:$N$311),NA()))</f>
        <v>#N/A</v>
      </c>
      <c r="X38" t="e">
        <f>IF($J38&gt;MAX('Match Log'!$A$4:$A$311),NA(),IFERROR(LOOKUP(2,1/(('Match Log'!$D$4:$D$311=$X$24)*('Match Log'!$A$4:$A$311&lt;=$J38)),'Match Log'!$N$4:$N$311),NA()))</f>
        <v>#N/A</v>
      </c>
      <c r="Y38" t="str">
        <f t="shared" ca="1" si="18"/>
        <v/>
      </c>
    </row>
    <row r="39" spans="1:25" ht="15" customHeight="1" x14ac:dyDescent="0.2">
      <c r="A39">
        <v>15</v>
      </c>
      <c r="B39" s="132">
        <f>IFERROR(INDEX('Match Log'!$B$4:$B$311,MATCH(15,'Match Log'!$A$4:$A$311,0)),"")</f>
        <v>46173</v>
      </c>
      <c r="C39" t="str">
        <f>IFERROR(INDEX('Match Log'!$C$4:$C$311,MATCH(15,'Match Log'!$A$4:$A$311,0)),"")</f>
        <v>FIFA</v>
      </c>
      <c r="D39" t="str">
        <f>IFERROR(INDEX('Match Log'!$G$4:$G$311,MATCH(15,'Match Log'!$A$4:$A$311,0)),"")</f>
        <v>Daniel (Ferret)</v>
      </c>
      <c r="E39" s="133">
        <f>IFERROR(INDEX('Match Log'!$F$4:$F$311,MATCH(15,'Match Log'!$A$4:$A$311,0)),"")</f>
        <v>2</v>
      </c>
      <c r="F39">
        <f>IFERROR(SUMIFS('Match Log'!$I$4:$I$311,'Match Log'!$A$4:$A$311,15,'Match Log'!$E$4:$E$311,"Win"),"")</f>
        <v>0.375</v>
      </c>
      <c r="G39">
        <f t="shared" si="16"/>
        <v>0.25</v>
      </c>
      <c r="H39" t="str">
        <f>IFERROR(IF($E39=2,LOOKUP(2,1/(('Match Log'!$A$4:$A$311=15)*('Match Log'!$E$4:$E$311="Loss")),'Match Log'!$D$4:$D$311),"the field"),"")</f>
        <v>Shawn</v>
      </c>
      <c r="I39">
        <f t="shared" si="17"/>
        <v>0.24998500000000001</v>
      </c>
      <c r="J39">
        <v>15</v>
      </c>
      <c r="K39">
        <f>IF($J39&gt;MAX('Match Log'!$A$4:$A$311),NA(),IFERROR(LOOKUP(2,1/(('Match Log'!$D$4:$D$311=$K$24)*('Match Log'!$A$4:$A$311&lt;=$J39)),'Match Log'!$N$4:$N$311),NA()))</f>
        <v>1042.578483210224</v>
      </c>
      <c r="L39" t="e">
        <f>IF($J39&gt;MAX('Match Log'!$A$4:$A$311),NA(),IFERROR(LOOKUP(2,1/(('Match Log'!$D$4:$D$311=$L$24)*('Match Log'!$A$4:$A$311&lt;=$J39)),'Match Log'!$N$4:$N$311),NA()))</f>
        <v>#N/A</v>
      </c>
      <c r="M39">
        <f>IF($J39&gt;MAX('Match Log'!$A$4:$A$311),NA(),IFERROR(LOOKUP(2,1/(('Match Log'!$D$4:$D$311=$M$24)*('Match Log'!$A$4:$A$311&lt;=$J39)),'Match Log'!$N$4:$N$311),NA()))</f>
        <v>1004.2142857142857</v>
      </c>
      <c r="N39">
        <f>IF($J39&gt;MAX('Match Log'!$A$4:$A$311),NA(),IFERROR(LOOKUP(2,1/(('Match Log'!$D$4:$D$311=$N$24)*('Match Log'!$A$4:$A$311&lt;=$J39)),'Match Log'!$N$4:$N$311),NA()))</f>
        <v>1004.2142857142857</v>
      </c>
      <c r="O39">
        <f>IF($J39&gt;MAX('Match Log'!$A$4:$A$311),NA(),IFERROR(LOOKUP(2,1/(('Match Log'!$D$4:$D$311=$O$24)*('Match Log'!$A$4:$A$311&lt;=$J39)),'Match Log'!$N$4:$N$311),NA()))</f>
        <v>1086.1011579328788</v>
      </c>
      <c r="P39">
        <f>IF($J39&gt;MAX('Match Log'!$A$4:$A$311),NA(),IFERROR(LOOKUP(2,1/(('Match Log'!$D$4:$D$311=$P$24)*('Match Log'!$A$4:$A$311&lt;=$J39)),'Match Log'!$N$4:$N$311),NA()))</f>
        <v>1031.3816433374927</v>
      </c>
      <c r="Q39">
        <f>IF($J39&gt;MAX('Match Log'!$A$4:$A$311),NA(),IFERROR(LOOKUP(2,1/(('Match Log'!$D$4:$D$311=$Q$24)*('Match Log'!$A$4:$A$311&lt;=$J39)),'Match Log'!$N$4:$N$311),NA()))</f>
        <v>1004.2142857142857</v>
      </c>
      <c r="R39">
        <f>IF($J39&gt;MAX('Match Log'!$A$4:$A$311),NA(),IFERROR(LOOKUP(2,1/(('Match Log'!$D$4:$D$311=$R$24)*('Match Log'!$A$4:$A$311&lt;=$J39)),'Match Log'!$N$4:$N$311),NA()))</f>
        <v>968.10612418201742</v>
      </c>
      <c r="S39" t="e">
        <f>IF($J39&gt;MAX('Match Log'!$A$4:$A$311),NA(),IFERROR(LOOKUP(2,1/(('Match Log'!$D$4:$D$311=$S$24)*('Match Log'!$A$4:$A$311&lt;=$J39)),'Match Log'!$N$4:$N$311),NA()))</f>
        <v>#N/A</v>
      </c>
      <c r="T39">
        <f>IF($J39&gt;MAX('Match Log'!$A$4:$A$311),NA(),IFERROR(LOOKUP(2,1/(('Match Log'!$D$4:$D$311=$T$24)*('Match Log'!$A$4:$A$311&lt;=$J39)),'Match Log'!$N$4:$N$311),NA()))</f>
        <v>947.91625238930521</v>
      </c>
      <c r="U39">
        <f>IF($J39&gt;MAX('Match Log'!$A$4:$A$311),NA(),IFERROR(LOOKUP(2,1/(('Match Log'!$D$4:$D$311=$U$24)*('Match Log'!$A$4:$A$311&lt;=$J39)),'Match Log'!$N$4:$N$311),NA()))</f>
        <v>995.27348180522449</v>
      </c>
      <c r="V39" t="e">
        <f>IF($J39&gt;MAX('Match Log'!$A$4:$A$311),NA(),IFERROR(LOOKUP(2,1/(('Match Log'!$D$4:$D$311=$V$24)*('Match Log'!$A$4:$A$311&lt;=$J39)),'Match Log'!$N$4:$N$311),NA()))</f>
        <v>#N/A</v>
      </c>
      <c r="W39" t="e">
        <f>IF($J39&gt;MAX('Match Log'!$A$4:$A$311),NA(),IFERROR(LOOKUP(2,1/(('Match Log'!$D$4:$D$311=$W$24)*('Match Log'!$A$4:$A$311&lt;=$J39)),'Match Log'!$N$4:$N$311),NA()))</f>
        <v>#N/A</v>
      </c>
      <c r="X39" t="e">
        <f>IF($J39&gt;MAX('Match Log'!$A$4:$A$311),NA(),IFERROR(LOOKUP(2,1/(('Match Log'!$D$4:$D$311=$X$24)*('Match Log'!$A$4:$A$311&lt;=$J39)),'Match Log'!$N$4:$N$311),NA()))</f>
        <v>#N/A</v>
      </c>
      <c r="Y39" t="str">
        <f t="shared" ca="1" si="18"/>
        <v/>
      </c>
    </row>
    <row r="40" spans="1:25" ht="15" customHeight="1" x14ac:dyDescent="0.2">
      <c r="A40">
        <v>16</v>
      </c>
      <c r="B40" s="132">
        <f>IFERROR(INDEX('Match Log'!$B$4:$B$311,MATCH(16,'Match Log'!$A$4:$A$311,0)),"")</f>
        <v>46173</v>
      </c>
      <c r="C40" t="str">
        <f>IFERROR(INDEX('Match Log'!$C$4:$C$311,MATCH(16,'Match Log'!$A$4:$A$311,0)),"")</f>
        <v>FIFA</v>
      </c>
      <c r="D40" t="str">
        <f>IFERROR(INDEX('Match Log'!$G$4:$G$311,MATCH(16,'Match Log'!$A$4:$A$311,0)),"")</f>
        <v>Daniel (Ferret)</v>
      </c>
      <c r="E40" s="133">
        <f>IFERROR(INDEX('Match Log'!$F$4:$F$311,MATCH(16,'Match Log'!$A$4:$A$311,0)),"")</f>
        <v>2</v>
      </c>
      <c r="F40">
        <f>IFERROR(SUMIFS('Match Log'!$I$4:$I$311,'Match Log'!$A$4:$A$311,16,'Match Log'!$E$4:$E$311,"Win"),"")</f>
        <v>0.44444444444444442</v>
      </c>
      <c r="G40">
        <f t="shared" si="16"/>
        <v>0.11111111111111116</v>
      </c>
      <c r="H40" t="str">
        <f>IFERROR(IF($E40=2,LOOKUP(2,1/(('Match Log'!$A$4:$A$311=16)*('Match Log'!$E$4:$E$311="Loss")),'Match Log'!$D$4:$D$311),"the field"),"")</f>
        <v>Shawn</v>
      </c>
      <c r="I40">
        <f t="shared" si="17"/>
        <v>0.11109511111111116</v>
      </c>
      <c r="J40">
        <v>16</v>
      </c>
      <c r="K40">
        <f>IF($J40&gt;MAX('Match Log'!$A$4:$A$311),NA(),IFERROR(LOOKUP(2,1/(('Match Log'!$D$4:$D$311=$K$24)*('Match Log'!$A$4:$A$311&lt;=$J40)),'Match Log'!$N$4:$N$311),NA()))</f>
        <v>1042.578483210224</v>
      </c>
      <c r="L40" t="e">
        <f>IF($J40&gt;MAX('Match Log'!$A$4:$A$311),NA(),IFERROR(LOOKUP(2,1/(('Match Log'!$D$4:$D$311=$L$24)*('Match Log'!$A$4:$A$311&lt;=$J40)),'Match Log'!$N$4:$N$311),NA()))</f>
        <v>#N/A</v>
      </c>
      <c r="M40">
        <f>IF($J40&gt;MAX('Match Log'!$A$4:$A$311),NA(),IFERROR(LOOKUP(2,1/(('Match Log'!$D$4:$D$311=$M$24)*('Match Log'!$A$4:$A$311&lt;=$J40)),'Match Log'!$N$4:$N$311),NA()))</f>
        <v>1004.2142857142857</v>
      </c>
      <c r="N40">
        <f>IF($J40&gt;MAX('Match Log'!$A$4:$A$311),NA(),IFERROR(LOOKUP(2,1/(('Match Log'!$D$4:$D$311=$N$24)*('Match Log'!$A$4:$A$311&lt;=$J40)),'Match Log'!$N$4:$N$311),NA()))</f>
        <v>1004.2142857142857</v>
      </c>
      <c r="O40">
        <f>IF($J40&gt;MAX('Match Log'!$A$4:$A$311),NA(),IFERROR(LOOKUP(2,1/(('Match Log'!$D$4:$D$311=$O$24)*('Match Log'!$A$4:$A$311&lt;=$J40)),'Match Log'!$N$4:$N$311),NA()))</f>
        <v>1086.1011579328788</v>
      </c>
      <c r="P40">
        <f>IF($J40&gt;MAX('Match Log'!$A$4:$A$311),NA(),IFERROR(LOOKUP(2,1/(('Match Log'!$D$4:$D$311=$P$24)*('Match Log'!$A$4:$A$311&lt;=$J40)),'Match Log'!$N$4:$N$311),NA()))</f>
        <v>1007.4743526549773</v>
      </c>
      <c r="Q40">
        <f>IF($J40&gt;MAX('Match Log'!$A$4:$A$311),NA(),IFERROR(LOOKUP(2,1/(('Match Log'!$D$4:$D$311=$Q$24)*('Match Log'!$A$4:$A$311&lt;=$J40)),'Match Log'!$N$4:$N$311),NA()))</f>
        <v>1004.2142857142857</v>
      </c>
      <c r="R40">
        <f>IF($J40&gt;MAX('Match Log'!$A$4:$A$311),NA(),IFERROR(LOOKUP(2,1/(('Match Log'!$D$4:$D$311=$R$24)*('Match Log'!$A$4:$A$311&lt;=$J40)),'Match Log'!$N$4:$N$311),NA()))</f>
        <v>992.01341486453282</v>
      </c>
      <c r="S40" t="e">
        <f>IF($J40&gt;MAX('Match Log'!$A$4:$A$311),NA(),IFERROR(LOOKUP(2,1/(('Match Log'!$D$4:$D$311=$S$24)*('Match Log'!$A$4:$A$311&lt;=$J40)),'Match Log'!$N$4:$N$311),NA()))</f>
        <v>#N/A</v>
      </c>
      <c r="T40">
        <f>IF($J40&gt;MAX('Match Log'!$A$4:$A$311),NA(),IFERROR(LOOKUP(2,1/(('Match Log'!$D$4:$D$311=$T$24)*('Match Log'!$A$4:$A$311&lt;=$J40)),'Match Log'!$N$4:$N$311),NA()))</f>
        <v>947.91625238930521</v>
      </c>
      <c r="U40">
        <f>IF($J40&gt;MAX('Match Log'!$A$4:$A$311),NA(),IFERROR(LOOKUP(2,1/(('Match Log'!$D$4:$D$311=$U$24)*('Match Log'!$A$4:$A$311&lt;=$J40)),'Match Log'!$N$4:$N$311),NA()))</f>
        <v>995.27348180522449</v>
      </c>
      <c r="V40" t="e">
        <f>IF($J40&gt;MAX('Match Log'!$A$4:$A$311),NA(),IFERROR(LOOKUP(2,1/(('Match Log'!$D$4:$D$311=$V$24)*('Match Log'!$A$4:$A$311&lt;=$J40)),'Match Log'!$N$4:$N$311),NA()))</f>
        <v>#N/A</v>
      </c>
      <c r="W40" t="e">
        <f>IF($J40&gt;MAX('Match Log'!$A$4:$A$311),NA(),IFERROR(LOOKUP(2,1/(('Match Log'!$D$4:$D$311=$W$24)*('Match Log'!$A$4:$A$311&lt;=$J40)),'Match Log'!$N$4:$N$311),NA()))</f>
        <v>#N/A</v>
      </c>
      <c r="X40" t="e">
        <f>IF($J40&gt;MAX('Match Log'!$A$4:$A$311),NA(),IFERROR(LOOKUP(2,1/(('Match Log'!$D$4:$D$311=$X$24)*('Match Log'!$A$4:$A$311&lt;=$J40)),'Match Log'!$N$4:$N$311),NA()))</f>
        <v>#N/A</v>
      </c>
      <c r="Y40" t="str">
        <f t="shared" ca="1" si="18"/>
        <v/>
      </c>
    </row>
    <row r="41" spans="1:25" ht="15" customHeight="1" x14ac:dyDescent="0.2">
      <c r="A41">
        <v>17</v>
      </c>
      <c r="B41" s="132">
        <f>IFERROR(INDEX('Match Log'!$B$4:$B$311,MATCH(17,'Match Log'!$A$4:$A$311,0)),"")</f>
        <v>46175</v>
      </c>
      <c r="C41" t="str">
        <f>IFERROR(INDEX('Match Log'!$C$4:$C$311,MATCH(17,'Match Log'!$A$4:$A$311,0)),"")</f>
        <v>FIFA</v>
      </c>
      <c r="D41" t="str">
        <f>IFERROR(INDEX('Match Log'!$G$4:$G$311,MATCH(17,'Match Log'!$A$4:$A$311,0)),"")</f>
        <v>Aaron</v>
      </c>
      <c r="E41" s="133">
        <f>IFERROR(INDEX('Match Log'!$F$4:$F$311,MATCH(17,'Match Log'!$A$4:$A$311,0)),"")</f>
        <v>2</v>
      </c>
      <c r="F41">
        <f>IFERROR(SUMIFS('Match Log'!$I$4:$I$311,'Match Log'!$A$4:$A$311,17,'Match Log'!$E$4:$E$311,"Win"),"")</f>
        <v>0.5</v>
      </c>
      <c r="G41">
        <f t="shared" si="16"/>
        <v>0</v>
      </c>
      <c r="H41" t="str">
        <f>IFERROR(IF($E41=2,LOOKUP(2,1/(('Match Log'!$A$4:$A$311=17)*('Match Log'!$E$4:$E$311="Loss")),'Match Log'!$D$4:$D$311),"the field"),"")</f>
        <v>Josh</v>
      </c>
      <c r="I41">
        <f t="shared" si="17"/>
        <v>-1.7E-5</v>
      </c>
      <c r="J41">
        <v>17</v>
      </c>
      <c r="K41">
        <f>IF($J41&gt;MAX('Match Log'!$A$4:$A$311),NA(),IFERROR(LOOKUP(2,1/(('Match Log'!$D$4:$D$311=$K$24)*('Match Log'!$A$4:$A$311&lt;=$J41)),'Match Log'!$N$4:$N$311),NA()))</f>
        <v>1066.5723579486566</v>
      </c>
      <c r="L41" t="e">
        <f>IF($J41&gt;MAX('Match Log'!$A$4:$A$311),NA(),IFERROR(LOOKUP(2,1/(('Match Log'!$D$4:$D$311=$L$24)*('Match Log'!$A$4:$A$311&lt;=$J41)),'Match Log'!$N$4:$N$311),NA()))</f>
        <v>#N/A</v>
      </c>
      <c r="M41">
        <f>IF($J41&gt;MAX('Match Log'!$A$4:$A$311),NA(),IFERROR(LOOKUP(2,1/(('Match Log'!$D$4:$D$311=$M$24)*('Match Log'!$A$4:$A$311&lt;=$J41)),'Match Log'!$N$4:$N$311),NA()))</f>
        <v>1004.2142857142857</v>
      </c>
      <c r="N41">
        <f>IF($J41&gt;MAX('Match Log'!$A$4:$A$311),NA(),IFERROR(LOOKUP(2,1/(('Match Log'!$D$4:$D$311=$N$24)*('Match Log'!$A$4:$A$311&lt;=$J41)),'Match Log'!$N$4:$N$311),NA()))</f>
        <v>1004.2142857142857</v>
      </c>
      <c r="O41">
        <f>IF($J41&gt;MAX('Match Log'!$A$4:$A$311),NA(),IFERROR(LOOKUP(2,1/(('Match Log'!$D$4:$D$311=$O$24)*('Match Log'!$A$4:$A$311&lt;=$J41)),'Match Log'!$N$4:$N$311),NA()))</f>
        <v>1062.1072831944462</v>
      </c>
      <c r="P41">
        <f>IF($J41&gt;MAX('Match Log'!$A$4:$A$311),NA(),IFERROR(LOOKUP(2,1/(('Match Log'!$D$4:$D$311=$P$24)*('Match Log'!$A$4:$A$311&lt;=$J41)),'Match Log'!$N$4:$N$311),NA()))</f>
        <v>1007.4743526549773</v>
      </c>
      <c r="Q41">
        <f>IF($J41&gt;MAX('Match Log'!$A$4:$A$311),NA(),IFERROR(LOOKUP(2,1/(('Match Log'!$D$4:$D$311=$Q$24)*('Match Log'!$A$4:$A$311&lt;=$J41)),'Match Log'!$N$4:$N$311),NA()))</f>
        <v>1004.2142857142857</v>
      </c>
      <c r="R41">
        <f>IF($J41&gt;MAX('Match Log'!$A$4:$A$311),NA(),IFERROR(LOOKUP(2,1/(('Match Log'!$D$4:$D$311=$R$24)*('Match Log'!$A$4:$A$311&lt;=$J41)),'Match Log'!$N$4:$N$311),NA()))</f>
        <v>992.01341486453282</v>
      </c>
      <c r="S41" t="e">
        <f>IF($J41&gt;MAX('Match Log'!$A$4:$A$311),NA(),IFERROR(LOOKUP(2,1/(('Match Log'!$D$4:$D$311=$S$24)*('Match Log'!$A$4:$A$311&lt;=$J41)),'Match Log'!$N$4:$N$311),NA()))</f>
        <v>#N/A</v>
      </c>
      <c r="T41">
        <f>IF($J41&gt;MAX('Match Log'!$A$4:$A$311),NA(),IFERROR(LOOKUP(2,1/(('Match Log'!$D$4:$D$311=$T$24)*('Match Log'!$A$4:$A$311&lt;=$J41)),'Match Log'!$N$4:$N$311),NA()))</f>
        <v>947.91625238930521</v>
      </c>
      <c r="U41">
        <f>IF($J41&gt;MAX('Match Log'!$A$4:$A$311),NA(),IFERROR(LOOKUP(2,1/(('Match Log'!$D$4:$D$311=$U$24)*('Match Log'!$A$4:$A$311&lt;=$J41)),'Match Log'!$N$4:$N$311),NA()))</f>
        <v>995.27348180522449</v>
      </c>
      <c r="V41" t="e">
        <f>IF($J41&gt;MAX('Match Log'!$A$4:$A$311),NA(),IFERROR(LOOKUP(2,1/(('Match Log'!$D$4:$D$311=$V$24)*('Match Log'!$A$4:$A$311&lt;=$J41)),'Match Log'!$N$4:$N$311),NA()))</f>
        <v>#N/A</v>
      </c>
      <c r="W41" t="e">
        <f>IF($J41&gt;MAX('Match Log'!$A$4:$A$311),NA(),IFERROR(LOOKUP(2,1/(('Match Log'!$D$4:$D$311=$W$24)*('Match Log'!$A$4:$A$311&lt;=$J41)),'Match Log'!$N$4:$N$311),NA()))</f>
        <v>#N/A</v>
      </c>
      <c r="X41" t="e">
        <f>IF($J41&gt;MAX('Match Log'!$A$4:$A$311),NA(),IFERROR(LOOKUP(2,1/(('Match Log'!$D$4:$D$311=$X$24)*('Match Log'!$A$4:$A$311&lt;=$J41)),'Match Log'!$N$4:$N$311),NA()))</f>
        <v>#N/A</v>
      </c>
      <c r="Y41" t="str">
        <f t="shared" ca="1" si="18"/>
        <v/>
      </c>
    </row>
    <row r="42" spans="1:25" ht="15" customHeight="1" x14ac:dyDescent="0.2">
      <c r="A42">
        <v>18</v>
      </c>
      <c r="B42" s="132">
        <f>IFERROR(INDEX('Match Log'!$B$4:$B$311,MATCH(18,'Match Log'!$A$4:$A$311,0)),"")</f>
        <v>46175</v>
      </c>
      <c r="C42" t="str">
        <f>IFERROR(INDEX('Match Log'!$C$4:$C$311,MATCH(18,'Match Log'!$A$4:$A$311,0)),"")</f>
        <v>FIFA</v>
      </c>
      <c r="D42" t="str">
        <f>IFERROR(INDEX('Match Log'!$G$4:$G$311,MATCH(18,'Match Log'!$A$4:$A$311,0)),"")</f>
        <v>Aaron</v>
      </c>
      <c r="E42" s="133">
        <f>IFERROR(INDEX('Match Log'!$F$4:$F$311,MATCH(18,'Match Log'!$A$4:$A$311,0)),"")</f>
        <v>2</v>
      </c>
      <c r="F42">
        <f>IFERROR(SUMIFS('Match Log'!$I$4:$I$311,'Match Log'!$A$4:$A$311,18,'Match Log'!$E$4:$E$311,"Win"),"")</f>
        <v>0.57142857142857151</v>
      </c>
      <c r="G42">
        <f t="shared" si="16"/>
        <v>-0.14285714285714302</v>
      </c>
      <c r="H42" t="str">
        <f>IFERROR(IF($E42=2,LOOKUP(2,1/(('Match Log'!$A$4:$A$311=18)*('Match Log'!$E$4:$E$311="Loss")),'Match Log'!$D$4:$D$311),"the field"),"")</f>
        <v>Chase</v>
      </c>
      <c r="I42">
        <f t="shared" si="17"/>
        <v>-0.14287514285714301</v>
      </c>
      <c r="J42">
        <v>18</v>
      </c>
      <c r="K42">
        <f>IF($J42&gt;MAX('Match Log'!$A$4:$A$311),NA(),IFERROR(LOOKUP(2,1/(('Match Log'!$D$4:$D$311=$K$24)*('Match Log'!$A$4:$A$311&lt;=$J42)),'Match Log'!$N$4:$N$311),NA()))</f>
        <v>1085.2514323545793</v>
      </c>
      <c r="L42" t="e">
        <f>IF($J42&gt;MAX('Match Log'!$A$4:$A$311),NA(),IFERROR(LOOKUP(2,1/(('Match Log'!$D$4:$D$311=$L$24)*('Match Log'!$A$4:$A$311&lt;=$J42)),'Match Log'!$N$4:$N$311),NA()))</f>
        <v>#N/A</v>
      </c>
      <c r="M42">
        <f>IF($J42&gt;MAX('Match Log'!$A$4:$A$311),NA(),IFERROR(LOOKUP(2,1/(('Match Log'!$D$4:$D$311=$M$24)*('Match Log'!$A$4:$A$311&lt;=$J42)),'Match Log'!$N$4:$N$311),NA()))</f>
        <v>985.53521130836305</v>
      </c>
      <c r="N42">
        <f>IF($J42&gt;MAX('Match Log'!$A$4:$A$311),NA(),IFERROR(LOOKUP(2,1/(('Match Log'!$D$4:$D$311=$N$24)*('Match Log'!$A$4:$A$311&lt;=$J42)),'Match Log'!$N$4:$N$311),NA()))</f>
        <v>1004.2142857142857</v>
      </c>
      <c r="O42">
        <f>IF($J42&gt;MAX('Match Log'!$A$4:$A$311),NA(),IFERROR(LOOKUP(2,1/(('Match Log'!$D$4:$D$311=$O$24)*('Match Log'!$A$4:$A$311&lt;=$J42)),'Match Log'!$N$4:$N$311),NA()))</f>
        <v>1062.1072831944462</v>
      </c>
      <c r="P42">
        <f>IF($J42&gt;MAX('Match Log'!$A$4:$A$311),NA(),IFERROR(LOOKUP(2,1/(('Match Log'!$D$4:$D$311=$P$24)*('Match Log'!$A$4:$A$311&lt;=$J42)),'Match Log'!$N$4:$N$311),NA()))</f>
        <v>1007.4743526549773</v>
      </c>
      <c r="Q42">
        <f>IF($J42&gt;MAX('Match Log'!$A$4:$A$311),NA(),IFERROR(LOOKUP(2,1/(('Match Log'!$D$4:$D$311=$Q$24)*('Match Log'!$A$4:$A$311&lt;=$J42)),'Match Log'!$N$4:$N$311),NA()))</f>
        <v>1004.2142857142857</v>
      </c>
      <c r="R42">
        <f>IF($J42&gt;MAX('Match Log'!$A$4:$A$311),NA(),IFERROR(LOOKUP(2,1/(('Match Log'!$D$4:$D$311=$R$24)*('Match Log'!$A$4:$A$311&lt;=$J42)),'Match Log'!$N$4:$N$311),NA()))</f>
        <v>992.01341486453282</v>
      </c>
      <c r="S42" t="e">
        <f>IF($J42&gt;MAX('Match Log'!$A$4:$A$311),NA(),IFERROR(LOOKUP(2,1/(('Match Log'!$D$4:$D$311=$S$24)*('Match Log'!$A$4:$A$311&lt;=$J42)),'Match Log'!$N$4:$N$311),NA()))</f>
        <v>#N/A</v>
      </c>
      <c r="T42">
        <f>IF($J42&gt;MAX('Match Log'!$A$4:$A$311),NA(),IFERROR(LOOKUP(2,1/(('Match Log'!$D$4:$D$311=$T$24)*('Match Log'!$A$4:$A$311&lt;=$J42)),'Match Log'!$N$4:$N$311),NA()))</f>
        <v>947.91625238930521</v>
      </c>
      <c r="U42">
        <f>IF($J42&gt;MAX('Match Log'!$A$4:$A$311),NA(),IFERROR(LOOKUP(2,1/(('Match Log'!$D$4:$D$311=$U$24)*('Match Log'!$A$4:$A$311&lt;=$J42)),'Match Log'!$N$4:$N$311),NA()))</f>
        <v>995.27348180522449</v>
      </c>
      <c r="V42" t="e">
        <f>IF($J42&gt;MAX('Match Log'!$A$4:$A$311),NA(),IFERROR(LOOKUP(2,1/(('Match Log'!$D$4:$D$311=$V$24)*('Match Log'!$A$4:$A$311&lt;=$J42)),'Match Log'!$N$4:$N$311),NA()))</f>
        <v>#N/A</v>
      </c>
      <c r="W42" t="e">
        <f>IF($J42&gt;MAX('Match Log'!$A$4:$A$311),NA(),IFERROR(LOOKUP(2,1/(('Match Log'!$D$4:$D$311=$W$24)*('Match Log'!$A$4:$A$311&lt;=$J42)),'Match Log'!$N$4:$N$311),NA()))</f>
        <v>#N/A</v>
      </c>
      <c r="X42" t="e">
        <f>IF($J42&gt;MAX('Match Log'!$A$4:$A$311),NA(),IFERROR(LOOKUP(2,1/(('Match Log'!$D$4:$D$311=$X$24)*('Match Log'!$A$4:$A$311&lt;=$J42)),'Match Log'!$N$4:$N$311),NA()))</f>
        <v>#N/A</v>
      </c>
      <c r="Y42" t="str">
        <f t="shared" ca="1" si="18"/>
        <v/>
      </c>
    </row>
    <row r="43" spans="1:25" ht="15" customHeight="1" x14ac:dyDescent="0.2">
      <c r="A43">
        <v>19</v>
      </c>
      <c r="B43" s="132">
        <f>IFERROR(INDEX('Match Log'!$B$4:$B$311,MATCH(19,'Match Log'!$A$4:$A$311,0)),"")</f>
        <v>46175</v>
      </c>
      <c r="C43" t="str">
        <f>IFERROR(INDEX('Match Log'!$C$4:$C$311,MATCH(19,'Match Log'!$A$4:$A$311,0)),"")</f>
        <v>FIFA</v>
      </c>
      <c r="D43" t="str">
        <f>IFERROR(INDEX('Match Log'!$G$4:$G$311,MATCH(19,'Match Log'!$A$4:$A$311,0)),"")</f>
        <v>Aaron</v>
      </c>
      <c r="E43" s="133">
        <f>IFERROR(INDEX('Match Log'!$F$4:$F$311,MATCH(19,'Match Log'!$A$4:$A$311,0)),"")</f>
        <v>2</v>
      </c>
      <c r="F43">
        <f>IFERROR(SUMIFS('Match Log'!$I$4:$I$311,'Match Log'!$A$4:$A$311,19,'Match Log'!$E$4:$E$311,"Win"),"")</f>
        <v>0.6</v>
      </c>
      <c r="G43">
        <f t="shared" si="16"/>
        <v>-0.19999999999999996</v>
      </c>
      <c r="H43" t="str">
        <f>IFERROR(IF($E43=2,LOOKUP(2,1/(('Match Log'!$A$4:$A$311=19)*('Match Log'!$E$4:$E$311="Loss")),'Match Log'!$D$4:$D$311),"the field"),"")</f>
        <v>Daniel (Ferret)</v>
      </c>
      <c r="I43">
        <f t="shared" si="17"/>
        <v>-0.20001899999999995</v>
      </c>
      <c r="J43">
        <v>19</v>
      </c>
      <c r="K43">
        <f>IF($J43&gt;MAX('Match Log'!$A$4:$A$311),NA(),IFERROR(LOOKUP(2,1/(('Match Log'!$D$4:$D$311=$K$24)*('Match Log'!$A$4:$A$311&lt;=$J43)),'Match Log'!$N$4:$N$311),NA()))</f>
        <v>1103.1658170072501</v>
      </c>
      <c r="L43" t="e">
        <f>IF($J43&gt;MAX('Match Log'!$A$4:$A$311),NA(),IFERROR(LOOKUP(2,1/(('Match Log'!$D$4:$D$311=$L$24)*('Match Log'!$A$4:$A$311&lt;=$J43)),'Match Log'!$N$4:$N$311),NA()))</f>
        <v>#N/A</v>
      </c>
      <c r="M43">
        <f>IF($J43&gt;MAX('Match Log'!$A$4:$A$311),NA(),IFERROR(LOOKUP(2,1/(('Match Log'!$D$4:$D$311=$M$24)*('Match Log'!$A$4:$A$311&lt;=$J43)),'Match Log'!$N$4:$N$311),NA()))</f>
        <v>985.53521130836305</v>
      </c>
      <c r="N43">
        <f>IF($J43&gt;MAX('Match Log'!$A$4:$A$311),NA(),IFERROR(LOOKUP(2,1/(('Match Log'!$D$4:$D$311=$N$24)*('Match Log'!$A$4:$A$311&lt;=$J43)),'Match Log'!$N$4:$N$311),NA()))</f>
        <v>1004.2142857142857</v>
      </c>
      <c r="O43">
        <f>IF($J43&gt;MAX('Match Log'!$A$4:$A$311),NA(),IFERROR(LOOKUP(2,1/(('Match Log'!$D$4:$D$311=$O$24)*('Match Log'!$A$4:$A$311&lt;=$J43)),'Match Log'!$N$4:$N$311),NA()))</f>
        <v>1062.1072831944462</v>
      </c>
      <c r="P43">
        <f>IF($J43&gt;MAX('Match Log'!$A$4:$A$311),NA(),IFERROR(LOOKUP(2,1/(('Match Log'!$D$4:$D$311=$P$24)*('Match Log'!$A$4:$A$311&lt;=$J43)),'Match Log'!$N$4:$N$311),NA()))</f>
        <v>1007.4743526549773</v>
      </c>
      <c r="Q43">
        <f>IF($J43&gt;MAX('Match Log'!$A$4:$A$311),NA(),IFERROR(LOOKUP(2,1/(('Match Log'!$D$4:$D$311=$Q$24)*('Match Log'!$A$4:$A$311&lt;=$J43)),'Match Log'!$N$4:$N$311),NA()))</f>
        <v>1004.2142857142857</v>
      </c>
      <c r="R43">
        <f>IF($J43&gt;MAX('Match Log'!$A$4:$A$311),NA(),IFERROR(LOOKUP(2,1/(('Match Log'!$D$4:$D$311=$R$24)*('Match Log'!$A$4:$A$311&lt;=$J43)),'Match Log'!$N$4:$N$311),NA()))</f>
        <v>974.09903021186199</v>
      </c>
      <c r="S43" t="e">
        <f>IF($J43&gt;MAX('Match Log'!$A$4:$A$311),NA(),IFERROR(LOOKUP(2,1/(('Match Log'!$D$4:$D$311=$S$24)*('Match Log'!$A$4:$A$311&lt;=$J43)),'Match Log'!$N$4:$N$311),NA()))</f>
        <v>#N/A</v>
      </c>
      <c r="T43">
        <f>IF($J43&gt;MAX('Match Log'!$A$4:$A$311),NA(),IFERROR(LOOKUP(2,1/(('Match Log'!$D$4:$D$311=$T$24)*('Match Log'!$A$4:$A$311&lt;=$J43)),'Match Log'!$N$4:$N$311),NA()))</f>
        <v>947.91625238930521</v>
      </c>
      <c r="U43">
        <f>IF($J43&gt;MAX('Match Log'!$A$4:$A$311),NA(),IFERROR(LOOKUP(2,1/(('Match Log'!$D$4:$D$311=$U$24)*('Match Log'!$A$4:$A$311&lt;=$J43)),'Match Log'!$N$4:$N$311),NA()))</f>
        <v>995.27348180522449</v>
      </c>
      <c r="V43" t="e">
        <f>IF($J43&gt;MAX('Match Log'!$A$4:$A$311),NA(),IFERROR(LOOKUP(2,1/(('Match Log'!$D$4:$D$311=$V$24)*('Match Log'!$A$4:$A$311&lt;=$J43)),'Match Log'!$N$4:$N$311),NA()))</f>
        <v>#N/A</v>
      </c>
      <c r="W43" t="e">
        <f>IF($J43&gt;MAX('Match Log'!$A$4:$A$311),NA(),IFERROR(LOOKUP(2,1/(('Match Log'!$D$4:$D$311=$W$24)*('Match Log'!$A$4:$A$311&lt;=$J43)),'Match Log'!$N$4:$N$311),NA()))</f>
        <v>#N/A</v>
      </c>
      <c r="X43" t="e">
        <f>IF($J43&gt;MAX('Match Log'!$A$4:$A$311),NA(),IFERROR(LOOKUP(2,1/(('Match Log'!$D$4:$D$311=$X$24)*('Match Log'!$A$4:$A$311&lt;=$J43)),'Match Log'!$N$4:$N$311),NA()))</f>
        <v>#N/A</v>
      </c>
      <c r="Y43" t="str">
        <f t="shared" ca="1" si="18"/>
        <v/>
      </c>
    </row>
    <row r="44" spans="1:25" ht="15" customHeight="1" x14ac:dyDescent="0.2">
      <c r="A44">
        <v>20</v>
      </c>
      <c r="B44" s="132">
        <f>IFERROR(INDEX('Match Log'!$B$4:$B$311,MATCH(20,'Match Log'!$A$4:$A$311,0)),"")</f>
        <v>46175</v>
      </c>
      <c r="C44" t="str">
        <f>IFERROR(INDEX('Match Log'!$C$4:$C$311,MATCH(20,'Match Log'!$A$4:$A$311,0)),"")</f>
        <v>Mario Kart</v>
      </c>
      <c r="D44" t="str">
        <f>IFERROR(INDEX('Match Log'!$G$4:$G$311,MATCH(20,'Match Log'!$A$4:$A$311,0)),"")</f>
        <v>Chase</v>
      </c>
      <c r="E44" s="133">
        <f>IFERROR(INDEX('Match Log'!$F$4:$F$311,MATCH(20,'Match Log'!$A$4:$A$311,0)),"")</f>
        <v>2</v>
      </c>
      <c r="F44">
        <f>IFERROR(SUMIFS('Match Log'!$I$4:$I$311,'Match Log'!$A$4:$A$311,20,'Match Log'!$E$4:$E$311,"Win"),"")</f>
        <v>0.5</v>
      </c>
      <c r="G44">
        <f t="shared" si="16"/>
        <v>0</v>
      </c>
      <c r="H44" t="str">
        <f>IFERROR(IF($E44=2,LOOKUP(2,1/(('Match Log'!$A$4:$A$311=20)*('Match Log'!$E$4:$E$311="Loss")),'Match Log'!$D$4:$D$311),"the field"),"")</f>
        <v>Daniel (Ferret)</v>
      </c>
      <c r="I44">
        <f t="shared" si="17"/>
        <v>-2.0000000000000002E-5</v>
      </c>
      <c r="J44">
        <v>20</v>
      </c>
      <c r="K44">
        <f>IF($J44&gt;MAX('Match Log'!$A$4:$A$311),NA(),IFERROR(LOOKUP(2,1/(('Match Log'!$D$4:$D$311=$K$24)*('Match Log'!$A$4:$A$311&lt;=$J44)),'Match Log'!$N$4:$N$311),NA()))</f>
        <v>1103.1658170072501</v>
      </c>
      <c r="L44" t="e">
        <f>IF($J44&gt;MAX('Match Log'!$A$4:$A$311),NA(),IFERROR(LOOKUP(2,1/(('Match Log'!$D$4:$D$311=$L$24)*('Match Log'!$A$4:$A$311&lt;=$J44)),'Match Log'!$N$4:$N$311),NA()))</f>
        <v>#N/A</v>
      </c>
      <c r="M44">
        <f>IF($J44&gt;MAX('Match Log'!$A$4:$A$311),NA(),IFERROR(LOOKUP(2,1/(('Match Log'!$D$4:$D$311=$M$24)*('Match Log'!$A$4:$A$311&lt;=$J44)),'Match Log'!$N$4:$N$311),NA()))</f>
        <v>1007.0087458273716</v>
      </c>
      <c r="N44">
        <f>IF($J44&gt;MAX('Match Log'!$A$4:$A$311),NA(),IFERROR(LOOKUP(2,1/(('Match Log'!$D$4:$D$311=$N$24)*('Match Log'!$A$4:$A$311&lt;=$J44)),'Match Log'!$N$4:$N$311),NA()))</f>
        <v>1004.2142857142857</v>
      </c>
      <c r="O44">
        <f>IF($J44&gt;MAX('Match Log'!$A$4:$A$311),NA(),IFERROR(LOOKUP(2,1/(('Match Log'!$D$4:$D$311=$O$24)*('Match Log'!$A$4:$A$311&lt;=$J44)),'Match Log'!$N$4:$N$311),NA()))</f>
        <v>1062.1072831944462</v>
      </c>
      <c r="P44">
        <f>IF($J44&gt;MAX('Match Log'!$A$4:$A$311),NA(),IFERROR(LOOKUP(2,1/(('Match Log'!$D$4:$D$311=$P$24)*('Match Log'!$A$4:$A$311&lt;=$J44)),'Match Log'!$N$4:$N$311),NA()))</f>
        <v>1007.4743526549773</v>
      </c>
      <c r="Q44">
        <f>IF($J44&gt;MAX('Match Log'!$A$4:$A$311),NA(),IFERROR(LOOKUP(2,1/(('Match Log'!$D$4:$D$311=$Q$24)*('Match Log'!$A$4:$A$311&lt;=$J44)),'Match Log'!$N$4:$N$311),NA()))</f>
        <v>1004.2142857142857</v>
      </c>
      <c r="R44">
        <f>IF($J44&gt;MAX('Match Log'!$A$4:$A$311),NA(),IFERROR(LOOKUP(2,1/(('Match Log'!$D$4:$D$311=$R$24)*('Match Log'!$A$4:$A$311&lt;=$J44)),'Match Log'!$N$4:$N$311),NA()))</f>
        <v>952.62549569285341</v>
      </c>
      <c r="S44" t="e">
        <f>IF($J44&gt;MAX('Match Log'!$A$4:$A$311),NA(),IFERROR(LOOKUP(2,1/(('Match Log'!$D$4:$D$311=$S$24)*('Match Log'!$A$4:$A$311&lt;=$J44)),'Match Log'!$N$4:$N$311),NA()))</f>
        <v>#N/A</v>
      </c>
      <c r="T44">
        <f>IF($J44&gt;MAX('Match Log'!$A$4:$A$311),NA(),IFERROR(LOOKUP(2,1/(('Match Log'!$D$4:$D$311=$T$24)*('Match Log'!$A$4:$A$311&lt;=$J44)),'Match Log'!$N$4:$N$311),NA()))</f>
        <v>947.91625238930521</v>
      </c>
      <c r="U44">
        <f>IF($J44&gt;MAX('Match Log'!$A$4:$A$311),NA(),IFERROR(LOOKUP(2,1/(('Match Log'!$D$4:$D$311=$U$24)*('Match Log'!$A$4:$A$311&lt;=$J44)),'Match Log'!$N$4:$N$311),NA()))</f>
        <v>995.27348180522449</v>
      </c>
      <c r="V44" t="e">
        <f>IF($J44&gt;MAX('Match Log'!$A$4:$A$311),NA(),IFERROR(LOOKUP(2,1/(('Match Log'!$D$4:$D$311=$V$24)*('Match Log'!$A$4:$A$311&lt;=$J44)),'Match Log'!$N$4:$N$311),NA()))</f>
        <v>#N/A</v>
      </c>
      <c r="W44" t="e">
        <f>IF($J44&gt;MAX('Match Log'!$A$4:$A$311),NA(),IFERROR(LOOKUP(2,1/(('Match Log'!$D$4:$D$311=$W$24)*('Match Log'!$A$4:$A$311&lt;=$J44)),'Match Log'!$N$4:$N$311),NA()))</f>
        <v>#N/A</v>
      </c>
      <c r="X44" t="e">
        <f>IF($J44&gt;MAX('Match Log'!$A$4:$A$311),NA(),IFERROR(LOOKUP(2,1/(('Match Log'!$D$4:$D$311=$X$24)*('Match Log'!$A$4:$A$311&lt;=$J44)),'Match Log'!$N$4:$N$311),NA()))</f>
        <v>#N/A</v>
      </c>
      <c r="Y44" t="str">
        <f t="shared" ca="1" si="18"/>
        <v/>
      </c>
    </row>
    <row r="45" spans="1:25" ht="15" customHeight="1" x14ac:dyDescent="0.2">
      <c r="A45">
        <v>21</v>
      </c>
      <c r="B45" s="132">
        <f>IFERROR(INDEX('Match Log'!$B$4:$B$311,MATCH(21,'Match Log'!$A$4:$A$311,0)),"")</f>
        <v>46175</v>
      </c>
      <c r="C45" t="str">
        <f>IFERROR(INDEX('Match Log'!$C$4:$C$311,MATCH(21,'Match Log'!$A$4:$A$311,0)),"")</f>
        <v>Mario Kart</v>
      </c>
      <c r="D45" t="str">
        <f>IFERROR(INDEX('Match Log'!$G$4:$G$311,MATCH(21,'Match Log'!$A$4:$A$311,0)),"")</f>
        <v>Chase</v>
      </c>
      <c r="E45" s="133">
        <f>IFERROR(INDEX('Match Log'!$F$4:$F$311,MATCH(21,'Match Log'!$A$4:$A$311,0)),"")</f>
        <v>2</v>
      </c>
      <c r="F45">
        <f>IFERROR(SUMIFS('Match Log'!$I$4:$I$311,'Match Log'!$A$4:$A$311,21,'Match Log'!$E$4:$E$311,"Win"),"")</f>
        <v>0.66666666666666663</v>
      </c>
      <c r="G45">
        <f t="shared" si="16"/>
        <v>-0.33333333333333326</v>
      </c>
      <c r="H45" t="str">
        <f>IFERROR(IF($E45=2,LOOKUP(2,1/(('Match Log'!$A$4:$A$311=21)*('Match Log'!$E$4:$E$311="Loss")),'Match Log'!$D$4:$D$311),"the field"),"")</f>
        <v>Daniel (Ferret)</v>
      </c>
      <c r="I45">
        <f t="shared" si="17"/>
        <v>-0.33335433333333325</v>
      </c>
      <c r="J45">
        <v>21</v>
      </c>
      <c r="K45">
        <f>IF($J45&gt;MAX('Match Log'!$A$4:$A$311),NA(),IFERROR(LOOKUP(2,1/(('Match Log'!$D$4:$D$311=$K$24)*('Match Log'!$A$4:$A$311&lt;=$J45)),'Match Log'!$N$4:$N$311),NA()))</f>
        <v>1103.1658170072501</v>
      </c>
      <c r="L45" t="e">
        <f>IF($J45&gt;MAX('Match Log'!$A$4:$A$311),NA(),IFERROR(LOOKUP(2,1/(('Match Log'!$D$4:$D$311=$L$24)*('Match Log'!$A$4:$A$311&lt;=$J45)),'Match Log'!$N$4:$N$311),NA()))</f>
        <v>#N/A</v>
      </c>
      <c r="M45">
        <f>IF($J45&gt;MAX('Match Log'!$A$4:$A$311),NA(),IFERROR(LOOKUP(2,1/(('Match Log'!$D$4:$D$311=$M$24)*('Match Log'!$A$4:$A$311&lt;=$J45)),'Match Log'!$N$4:$N$311),NA()))</f>
        <v>1024.6924897030115</v>
      </c>
      <c r="N45">
        <f>IF($J45&gt;MAX('Match Log'!$A$4:$A$311),NA(),IFERROR(LOOKUP(2,1/(('Match Log'!$D$4:$D$311=$N$24)*('Match Log'!$A$4:$A$311&lt;=$J45)),'Match Log'!$N$4:$N$311),NA()))</f>
        <v>1004.2142857142857</v>
      </c>
      <c r="O45">
        <f>IF($J45&gt;MAX('Match Log'!$A$4:$A$311),NA(),IFERROR(LOOKUP(2,1/(('Match Log'!$D$4:$D$311=$O$24)*('Match Log'!$A$4:$A$311&lt;=$J45)),'Match Log'!$N$4:$N$311),NA()))</f>
        <v>1062.1072831944462</v>
      </c>
      <c r="P45">
        <f>IF($J45&gt;MAX('Match Log'!$A$4:$A$311),NA(),IFERROR(LOOKUP(2,1/(('Match Log'!$D$4:$D$311=$P$24)*('Match Log'!$A$4:$A$311&lt;=$J45)),'Match Log'!$N$4:$N$311),NA()))</f>
        <v>1007.4743526549773</v>
      </c>
      <c r="Q45">
        <f>IF($J45&gt;MAX('Match Log'!$A$4:$A$311),NA(),IFERROR(LOOKUP(2,1/(('Match Log'!$D$4:$D$311=$Q$24)*('Match Log'!$A$4:$A$311&lt;=$J45)),'Match Log'!$N$4:$N$311),NA()))</f>
        <v>1004.2142857142857</v>
      </c>
      <c r="R45">
        <f>IF($J45&gt;MAX('Match Log'!$A$4:$A$311),NA(),IFERROR(LOOKUP(2,1/(('Match Log'!$D$4:$D$311=$R$24)*('Match Log'!$A$4:$A$311&lt;=$J45)),'Match Log'!$N$4:$N$311),NA()))</f>
        <v>934.94175181721369</v>
      </c>
      <c r="S45" t="e">
        <f>IF($J45&gt;MAX('Match Log'!$A$4:$A$311),NA(),IFERROR(LOOKUP(2,1/(('Match Log'!$D$4:$D$311=$S$24)*('Match Log'!$A$4:$A$311&lt;=$J45)),'Match Log'!$N$4:$N$311),NA()))</f>
        <v>#N/A</v>
      </c>
      <c r="T45">
        <f>IF($J45&gt;MAX('Match Log'!$A$4:$A$311),NA(),IFERROR(LOOKUP(2,1/(('Match Log'!$D$4:$D$311=$T$24)*('Match Log'!$A$4:$A$311&lt;=$J45)),'Match Log'!$N$4:$N$311),NA()))</f>
        <v>947.91625238930521</v>
      </c>
      <c r="U45">
        <f>IF($J45&gt;MAX('Match Log'!$A$4:$A$311),NA(),IFERROR(LOOKUP(2,1/(('Match Log'!$D$4:$D$311=$U$24)*('Match Log'!$A$4:$A$311&lt;=$J45)),'Match Log'!$N$4:$N$311),NA()))</f>
        <v>995.27348180522449</v>
      </c>
      <c r="V45" t="e">
        <f>IF($J45&gt;MAX('Match Log'!$A$4:$A$311),NA(),IFERROR(LOOKUP(2,1/(('Match Log'!$D$4:$D$311=$V$24)*('Match Log'!$A$4:$A$311&lt;=$J45)),'Match Log'!$N$4:$N$311),NA()))</f>
        <v>#N/A</v>
      </c>
      <c r="W45" t="e">
        <f>IF($J45&gt;MAX('Match Log'!$A$4:$A$311),NA(),IFERROR(LOOKUP(2,1/(('Match Log'!$D$4:$D$311=$W$24)*('Match Log'!$A$4:$A$311&lt;=$J45)),'Match Log'!$N$4:$N$311),NA()))</f>
        <v>#N/A</v>
      </c>
      <c r="X45" t="e">
        <f>IF($J45&gt;MAX('Match Log'!$A$4:$A$311),NA(),IFERROR(LOOKUP(2,1/(('Match Log'!$D$4:$D$311=$X$24)*('Match Log'!$A$4:$A$311&lt;=$J45)),'Match Log'!$N$4:$N$311),NA()))</f>
        <v>#N/A</v>
      </c>
      <c r="Y45" t="str">
        <f t="shared" ca="1" si="18"/>
        <v/>
      </c>
    </row>
    <row r="46" spans="1:25" ht="15" customHeight="1" x14ac:dyDescent="0.2">
      <c r="A46">
        <v>22</v>
      </c>
      <c r="B46" s="132">
        <f>IFERROR(INDEX('Match Log'!$B$4:$B$311,MATCH(22,'Match Log'!$A$4:$A$311,0)),"")</f>
        <v>46175</v>
      </c>
      <c r="C46" t="str">
        <f>IFERROR(INDEX('Match Log'!$C$4:$C$311,MATCH(22,'Match Log'!$A$4:$A$311,0)),"")</f>
        <v>Mario Kart</v>
      </c>
      <c r="D46" t="str">
        <f>IFERROR(INDEX('Match Log'!$G$4:$G$311,MATCH(22,'Match Log'!$A$4:$A$311,0)),"")</f>
        <v>Chase</v>
      </c>
      <c r="E46" s="133">
        <f>IFERROR(INDEX('Match Log'!$F$4:$F$311,MATCH(22,'Match Log'!$A$4:$A$311,0)),"")</f>
        <v>2</v>
      </c>
      <c r="F46">
        <f>IFERROR(SUMIFS('Match Log'!$I$4:$I$311,'Match Log'!$A$4:$A$311,22,'Match Log'!$E$4:$E$311,"Win"),"")</f>
        <v>0.75</v>
      </c>
      <c r="G46">
        <f t="shared" si="16"/>
        <v>-0.5</v>
      </c>
      <c r="H46" t="str">
        <f>IFERROR(IF($E46=2,LOOKUP(2,1/(('Match Log'!$A$4:$A$311=22)*('Match Log'!$E$4:$E$311="Loss")),'Match Log'!$D$4:$D$311),"the field"),"")</f>
        <v>Daniel (Ferret)</v>
      </c>
      <c r="I46">
        <f t="shared" si="17"/>
        <v>-0.50002199999999997</v>
      </c>
      <c r="J46">
        <v>22</v>
      </c>
      <c r="K46">
        <f>IF($J46&gt;MAX('Match Log'!$A$4:$A$311),NA(),IFERROR(LOOKUP(2,1/(('Match Log'!$D$4:$D$311=$K$24)*('Match Log'!$A$4:$A$311&lt;=$J46)),'Match Log'!$N$4:$N$311),NA()))</f>
        <v>1103.1658170072501</v>
      </c>
      <c r="L46" t="e">
        <f>IF($J46&gt;MAX('Match Log'!$A$4:$A$311),NA(),IFERROR(LOOKUP(2,1/(('Match Log'!$D$4:$D$311=$L$24)*('Match Log'!$A$4:$A$311&lt;=$J46)),'Match Log'!$N$4:$N$311),NA()))</f>
        <v>#N/A</v>
      </c>
      <c r="M46">
        <f>IF($J46&gt;MAX('Match Log'!$A$4:$A$311),NA(),IFERROR(LOOKUP(2,1/(('Match Log'!$D$4:$D$311=$M$24)*('Match Log'!$A$4:$A$311&lt;=$J46)),'Match Log'!$N$4:$N$311),NA()))</f>
        <v>1040.0042947241618</v>
      </c>
      <c r="N46">
        <f>IF($J46&gt;MAX('Match Log'!$A$4:$A$311),NA(),IFERROR(LOOKUP(2,1/(('Match Log'!$D$4:$D$311=$N$24)*('Match Log'!$A$4:$A$311&lt;=$J46)),'Match Log'!$N$4:$N$311),NA()))</f>
        <v>1004.2142857142857</v>
      </c>
      <c r="O46">
        <f>IF($J46&gt;MAX('Match Log'!$A$4:$A$311),NA(),IFERROR(LOOKUP(2,1/(('Match Log'!$D$4:$D$311=$O$24)*('Match Log'!$A$4:$A$311&lt;=$J46)),'Match Log'!$N$4:$N$311),NA()))</f>
        <v>1062.1072831944462</v>
      </c>
      <c r="P46">
        <f>IF($J46&gt;MAX('Match Log'!$A$4:$A$311),NA(),IFERROR(LOOKUP(2,1/(('Match Log'!$D$4:$D$311=$P$24)*('Match Log'!$A$4:$A$311&lt;=$J46)),'Match Log'!$N$4:$N$311),NA()))</f>
        <v>1007.4743526549773</v>
      </c>
      <c r="Q46">
        <f>IF($J46&gt;MAX('Match Log'!$A$4:$A$311),NA(),IFERROR(LOOKUP(2,1/(('Match Log'!$D$4:$D$311=$Q$24)*('Match Log'!$A$4:$A$311&lt;=$J46)),'Match Log'!$N$4:$N$311),NA()))</f>
        <v>1004.2142857142857</v>
      </c>
      <c r="R46">
        <f>IF($J46&gt;MAX('Match Log'!$A$4:$A$311),NA(),IFERROR(LOOKUP(2,1/(('Match Log'!$D$4:$D$311=$R$24)*('Match Log'!$A$4:$A$311&lt;=$J46)),'Match Log'!$N$4:$N$311),NA()))</f>
        <v>919.62994679606345</v>
      </c>
      <c r="S46" t="e">
        <f>IF($J46&gt;MAX('Match Log'!$A$4:$A$311),NA(),IFERROR(LOOKUP(2,1/(('Match Log'!$D$4:$D$311=$S$24)*('Match Log'!$A$4:$A$311&lt;=$J46)),'Match Log'!$N$4:$N$311),NA()))</f>
        <v>#N/A</v>
      </c>
      <c r="T46">
        <f>IF($J46&gt;MAX('Match Log'!$A$4:$A$311),NA(),IFERROR(LOOKUP(2,1/(('Match Log'!$D$4:$D$311=$T$24)*('Match Log'!$A$4:$A$311&lt;=$J46)),'Match Log'!$N$4:$N$311),NA()))</f>
        <v>947.91625238930521</v>
      </c>
      <c r="U46">
        <f>IF($J46&gt;MAX('Match Log'!$A$4:$A$311),NA(),IFERROR(LOOKUP(2,1/(('Match Log'!$D$4:$D$311=$U$24)*('Match Log'!$A$4:$A$311&lt;=$J46)),'Match Log'!$N$4:$N$311),NA()))</f>
        <v>995.27348180522449</v>
      </c>
      <c r="V46" t="e">
        <f>IF($J46&gt;MAX('Match Log'!$A$4:$A$311),NA(),IFERROR(LOOKUP(2,1/(('Match Log'!$D$4:$D$311=$V$24)*('Match Log'!$A$4:$A$311&lt;=$J46)),'Match Log'!$N$4:$N$311),NA()))</f>
        <v>#N/A</v>
      </c>
      <c r="W46" t="e">
        <f>IF($J46&gt;MAX('Match Log'!$A$4:$A$311),NA(),IFERROR(LOOKUP(2,1/(('Match Log'!$D$4:$D$311=$W$24)*('Match Log'!$A$4:$A$311&lt;=$J46)),'Match Log'!$N$4:$N$311),NA()))</f>
        <v>#N/A</v>
      </c>
      <c r="X46" t="e">
        <f>IF($J46&gt;MAX('Match Log'!$A$4:$A$311),NA(),IFERROR(LOOKUP(2,1/(('Match Log'!$D$4:$D$311=$X$24)*('Match Log'!$A$4:$A$311&lt;=$J46)),'Match Log'!$N$4:$N$311),NA()))</f>
        <v>#N/A</v>
      </c>
      <c r="Y46" t="str">
        <f t="shared" ca="1" si="18"/>
        <v/>
      </c>
    </row>
    <row r="47" spans="1:25" ht="15" customHeight="1" x14ac:dyDescent="0.2">
      <c r="A47">
        <v>23</v>
      </c>
      <c r="B47" s="132">
        <f>IFERROR(INDEX('Match Log'!$B$4:$B$311,MATCH(23,'Match Log'!$A$4:$A$311,0)),"")</f>
        <v>46175</v>
      </c>
      <c r="C47" t="str">
        <f>IFERROR(INDEX('Match Log'!$C$4:$C$311,MATCH(23,'Match Log'!$A$4:$A$311,0)),"")</f>
        <v>Mario Kart</v>
      </c>
      <c r="D47" t="str">
        <f>IFERROR(INDEX('Match Log'!$G$4:$G$311,MATCH(23,'Match Log'!$A$4:$A$311,0)),"")</f>
        <v>Chase</v>
      </c>
      <c r="E47" s="133">
        <f>IFERROR(INDEX('Match Log'!$F$4:$F$311,MATCH(23,'Match Log'!$A$4:$A$311,0)),"")</f>
        <v>2</v>
      </c>
      <c r="F47">
        <f>IFERROR(SUMIFS('Match Log'!$I$4:$I$311,'Match Log'!$A$4:$A$311,23,'Match Log'!$E$4:$E$311,"Win"),"")</f>
        <v>0.8</v>
      </c>
      <c r="G47">
        <f t="shared" si="16"/>
        <v>-0.60000000000000009</v>
      </c>
      <c r="H47" t="str">
        <f>IFERROR(IF($E47=2,LOOKUP(2,1/(('Match Log'!$A$4:$A$311=23)*('Match Log'!$E$4:$E$311="Loss")),'Match Log'!$D$4:$D$311),"the field"),"")</f>
        <v>Daniel (Ferret)</v>
      </c>
      <c r="I47">
        <f t="shared" si="17"/>
        <v>-0.60002300000000008</v>
      </c>
      <c r="J47">
        <v>23</v>
      </c>
      <c r="K47">
        <f>IF($J47&gt;MAX('Match Log'!$A$4:$A$311),NA(),IFERROR(LOOKUP(2,1/(('Match Log'!$D$4:$D$311=$K$24)*('Match Log'!$A$4:$A$311&lt;=$J47)),'Match Log'!$N$4:$N$311),NA()))</f>
        <v>1103.1658170072501</v>
      </c>
      <c r="L47" t="e">
        <f>IF($J47&gt;MAX('Match Log'!$A$4:$A$311),NA(),IFERROR(LOOKUP(2,1/(('Match Log'!$D$4:$D$311=$L$24)*('Match Log'!$A$4:$A$311&lt;=$J47)),'Match Log'!$N$4:$N$311),NA()))</f>
        <v>#N/A</v>
      </c>
      <c r="M47">
        <f>IF($J47&gt;MAX('Match Log'!$A$4:$A$311),NA(),IFERROR(LOOKUP(2,1/(('Match Log'!$D$4:$D$311=$M$24)*('Match Log'!$A$4:$A$311&lt;=$J47)),'Match Log'!$N$4:$N$311),NA()))</f>
        <v>1053.58309096217</v>
      </c>
      <c r="N47">
        <f>IF($J47&gt;MAX('Match Log'!$A$4:$A$311),NA(),IFERROR(LOOKUP(2,1/(('Match Log'!$D$4:$D$311=$N$24)*('Match Log'!$A$4:$A$311&lt;=$J47)),'Match Log'!$N$4:$N$311),NA()))</f>
        <v>1004.2142857142857</v>
      </c>
      <c r="O47">
        <f>IF($J47&gt;MAX('Match Log'!$A$4:$A$311),NA(),IFERROR(LOOKUP(2,1/(('Match Log'!$D$4:$D$311=$O$24)*('Match Log'!$A$4:$A$311&lt;=$J47)),'Match Log'!$N$4:$N$311),NA()))</f>
        <v>1062.1072831944462</v>
      </c>
      <c r="P47">
        <f>IF($J47&gt;MAX('Match Log'!$A$4:$A$311),NA(),IFERROR(LOOKUP(2,1/(('Match Log'!$D$4:$D$311=$P$24)*('Match Log'!$A$4:$A$311&lt;=$J47)),'Match Log'!$N$4:$N$311),NA()))</f>
        <v>1007.4743526549773</v>
      </c>
      <c r="Q47">
        <f>IF($J47&gt;MAX('Match Log'!$A$4:$A$311),NA(),IFERROR(LOOKUP(2,1/(('Match Log'!$D$4:$D$311=$Q$24)*('Match Log'!$A$4:$A$311&lt;=$J47)),'Match Log'!$N$4:$N$311),NA()))</f>
        <v>1004.2142857142857</v>
      </c>
      <c r="R47">
        <f>IF($J47&gt;MAX('Match Log'!$A$4:$A$311),NA(),IFERROR(LOOKUP(2,1/(('Match Log'!$D$4:$D$311=$R$24)*('Match Log'!$A$4:$A$311&lt;=$J47)),'Match Log'!$N$4:$N$311),NA()))</f>
        <v>906.05115055805538</v>
      </c>
      <c r="S47" t="e">
        <f>IF($J47&gt;MAX('Match Log'!$A$4:$A$311),NA(),IFERROR(LOOKUP(2,1/(('Match Log'!$D$4:$D$311=$S$24)*('Match Log'!$A$4:$A$311&lt;=$J47)),'Match Log'!$N$4:$N$311),NA()))</f>
        <v>#N/A</v>
      </c>
      <c r="T47">
        <f>IF($J47&gt;MAX('Match Log'!$A$4:$A$311),NA(),IFERROR(LOOKUP(2,1/(('Match Log'!$D$4:$D$311=$T$24)*('Match Log'!$A$4:$A$311&lt;=$J47)),'Match Log'!$N$4:$N$311),NA()))</f>
        <v>947.91625238930521</v>
      </c>
      <c r="U47">
        <f>IF($J47&gt;MAX('Match Log'!$A$4:$A$311),NA(),IFERROR(LOOKUP(2,1/(('Match Log'!$D$4:$D$311=$U$24)*('Match Log'!$A$4:$A$311&lt;=$J47)),'Match Log'!$N$4:$N$311),NA()))</f>
        <v>995.27348180522449</v>
      </c>
      <c r="V47" t="e">
        <f>IF($J47&gt;MAX('Match Log'!$A$4:$A$311),NA(),IFERROR(LOOKUP(2,1/(('Match Log'!$D$4:$D$311=$V$24)*('Match Log'!$A$4:$A$311&lt;=$J47)),'Match Log'!$N$4:$N$311),NA()))</f>
        <v>#N/A</v>
      </c>
      <c r="W47" t="e">
        <f>IF($J47&gt;MAX('Match Log'!$A$4:$A$311),NA(),IFERROR(LOOKUP(2,1/(('Match Log'!$D$4:$D$311=$W$24)*('Match Log'!$A$4:$A$311&lt;=$J47)),'Match Log'!$N$4:$N$311),NA()))</f>
        <v>#N/A</v>
      </c>
      <c r="X47" t="e">
        <f>IF($J47&gt;MAX('Match Log'!$A$4:$A$311),NA(),IFERROR(LOOKUP(2,1/(('Match Log'!$D$4:$D$311=$X$24)*('Match Log'!$A$4:$A$311&lt;=$J47)),'Match Log'!$N$4:$N$311),NA()))</f>
        <v>#N/A</v>
      </c>
      <c r="Y47" t="str">
        <f t="shared" ca="1" si="18"/>
        <v/>
      </c>
    </row>
    <row r="48" spans="1:25" ht="15" customHeight="1" x14ac:dyDescent="0.2">
      <c r="A48">
        <v>24</v>
      </c>
      <c r="B48" s="132">
        <f>IFERROR(INDEX('Match Log'!$B$4:$B$311,MATCH(24,'Match Log'!$A$4:$A$311,0)),"")</f>
        <v>46175</v>
      </c>
      <c r="C48" t="str">
        <f>IFERROR(INDEX('Match Log'!$C$4:$C$311,MATCH(24,'Match Log'!$A$4:$A$311,0)),"")</f>
        <v>Table Tennis</v>
      </c>
      <c r="D48" t="str">
        <f>IFERROR(INDEX('Match Log'!$G$4:$G$311,MATCH(24,'Match Log'!$A$4:$A$311,0)),"")</f>
        <v>Josh</v>
      </c>
      <c r="E48" s="133">
        <f>IFERROR(INDEX('Match Log'!$F$4:$F$311,MATCH(24,'Match Log'!$A$4:$A$311,0)),"")</f>
        <v>2</v>
      </c>
      <c r="F48">
        <f>IFERROR(SUMIFS('Match Log'!$I$4:$I$311,'Match Log'!$A$4:$A$311,24,'Match Log'!$E$4:$E$311,"Win"),"")</f>
        <v>0.8</v>
      </c>
      <c r="G48">
        <f t="shared" si="16"/>
        <v>-0.60000000000000009</v>
      </c>
      <c r="H48" t="str">
        <f>IFERROR(IF($E48=2,LOOKUP(2,1/(('Match Log'!$A$4:$A$311=24)*('Match Log'!$E$4:$E$311="Loss")),'Match Log'!$D$4:$D$311),"the field"),"")</f>
        <v>Daniel (Ferret)</v>
      </c>
      <c r="I48">
        <f t="shared" si="17"/>
        <v>-0.60002400000000011</v>
      </c>
      <c r="J48">
        <v>24</v>
      </c>
      <c r="K48">
        <f>IF($J48&gt;MAX('Match Log'!$A$4:$A$311),NA(),IFERROR(LOOKUP(2,1/(('Match Log'!$D$4:$D$311=$K$24)*('Match Log'!$A$4:$A$311&lt;=$J48)),'Match Log'!$N$4:$N$311),NA()))</f>
        <v>1103.1658170072501</v>
      </c>
      <c r="L48" t="e">
        <f>IF($J48&gt;MAX('Match Log'!$A$4:$A$311),NA(),IFERROR(LOOKUP(2,1/(('Match Log'!$D$4:$D$311=$L$24)*('Match Log'!$A$4:$A$311&lt;=$J48)),'Match Log'!$N$4:$N$311),NA()))</f>
        <v>#N/A</v>
      </c>
      <c r="M48">
        <f>IF($J48&gt;MAX('Match Log'!$A$4:$A$311),NA(),IFERROR(LOOKUP(2,1/(('Match Log'!$D$4:$D$311=$M$24)*('Match Log'!$A$4:$A$311&lt;=$J48)),'Match Log'!$N$4:$N$311),NA()))</f>
        <v>1053.58309096217</v>
      </c>
      <c r="N48">
        <f>IF($J48&gt;MAX('Match Log'!$A$4:$A$311),NA(),IFERROR(LOOKUP(2,1/(('Match Log'!$D$4:$D$311=$N$24)*('Match Log'!$A$4:$A$311&lt;=$J48)),'Match Log'!$N$4:$N$311),NA()))</f>
        <v>1004.2142857142857</v>
      </c>
      <c r="O48">
        <f>IF($J48&gt;MAX('Match Log'!$A$4:$A$311),NA(),IFERROR(LOOKUP(2,1/(('Match Log'!$D$4:$D$311=$O$24)*('Match Log'!$A$4:$A$311&lt;=$J48)),'Match Log'!$N$4:$N$311),NA()))</f>
        <v>1074.7712735502491</v>
      </c>
      <c r="P48">
        <f>IF($J48&gt;MAX('Match Log'!$A$4:$A$311),NA(),IFERROR(LOOKUP(2,1/(('Match Log'!$D$4:$D$311=$P$24)*('Match Log'!$A$4:$A$311&lt;=$J48)),'Match Log'!$N$4:$N$311),NA()))</f>
        <v>1007.4743526549773</v>
      </c>
      <c r="Q48">
        <f>IF($J48&gt;MAX('Match Log'!$A$4:$A$311),NA(),IFERROR(LOOKUP(2,1/(('Match Log'!$D$4:$D$311=$Q$24)*('Match Log'!$A$4:$A$311&lt;=$J48)),'Match Log'!$N$4:$N$311),NA()))</f>
        <v>1004.2142857142857</v>
      </c>
      <c r="R48">
        <f>IF($J48&gt;MAX('Match Log'!$A$4:$A$311),NA(),IFERROR(LOOKUP(2,1/(('Match Log'!$D$4:$D$311=$R$24)*('Match Log'!$A$4:$A$311&lt;=$J48)),'Match Log'!$N$4:$N$311),NA()))</f>
        <v>893.3871602022524</v>
      </c>
      <c r="S48" t="e">
        <f>IF($J48&gt;MAX('Match Log'!$A$4:$A$311),NA(),IFERROR(LOOKUP(2,1/(('Match Log'!$D$4:$D$311=$S$24)*('Match Log'!$A$4:$A$311&lt;=$J48)),'Match Log'!$N$4:$N$311),NA()))</f>
        <v>#N/A</v>
      </c>
      <c r="T48">
        <f>IF($J48&gt;MAX('Match Log'!$A$4:$A$311),NA(),IFERROR(LOOKUP(2,1/(('Match Log'!$D$4:$D$311=$T$24)*('Match Log'!$A$4:$A$311&lt;=$J48)),'Match Log'!$N$4:$N$311),NA()))</f>
        <v>947.91625238930521</v>
      </c>
      <c r="U48">
        <f>IF($J48&gt;MAX('Match Log'!$A$4:$A$311),NA(),IFERROR(LOOKUP(2,1/(('Match Log'!$D$4:$D$311=$U$24)*('Match Log'!$A$4:$A$311&lt;=$J48)),'Match Log'!$N$4:$N$311),NA()))</f>
        <v>995.27348180522449</v>
      </c>
      <c r="V48" t="e">
        <f>IF($J48&gt;MAX('Match Log'!$A$4:$A$311),NA(),IFERROR(LOOKUP(2,1/(('Match Log'!$D$4:$D$311=$V$24)*('Match Log'!$A$4:$A$311&lt;=$J48)),'Match Log'!$N$4:$N$311),NA()))</f>
        <v>#N/A</v>
      </c>
      <c r="W48" t="e">
        <f>IF($J48&gt;MAX('Match Log'!$A$4:$A$311),NA(),IFERROR(LOOKUP(2,1/(('Match Log'!$D$4:$D$311=$W$24)*('Match Log'!$A$4:$A$311&lt;=$J48)),'Match Log'!$N$4:$N$311),NA()))</f>
        <v>#N/A</v>
      </c>
      <c r="X48" t="e">
        <f>IF($J48&gt;MAX('Match Log'!$A$4:$A$311),NA(),IFERROR(LOOKUP(2,1/(('Match Log'!$D$4:$D$311=$X$24)*('Match Log'!$A$4:$A$311&lt;=$J48)),'Match Log'!$N$4:$N$311),NA()))</f>
        <v>#N/A</v>
      </c>
      <c r="Y48" t="str">
        <f t="shared" ca="1" si="18"/>
        <v/>
      </c>
    </row>
    <row r="49" spans="1:25" ht="15" customHeight="1" x14ac:dyDescent="0.2">
      <c r="A49">
        <v>25</v>
      </c>
      <c r="B49" s="132">
        <f>IFERROR(INDEX('Match Log'!$B$4:$B$311,MATCH(25,'Match Log'!$A$4:$A$311,0)),"")</f>
        <v>46175</v>
      </c>
      <c r="C49" t="str">
        <f>IFERROR(INDEX('Match Log'!$C$4:$C$311,MATCH(25,'Match Log'!$A$4:$A$311,0)),"")</f>
        <v>Table Tennis</v>
      </c>
      <c r="D49" t="str">
        <f>IFERROR(INDEX('Match Log'!$G$4:$G$311,MATCH(25,'Match Log'!$A$4:$A$311,0)),"")</f>
        <v>Josh</v>
      </c>
      <c r="E49" s="133">
        <f>IFERROR(INDEX('Match Log'!$F$4:$F$311,MATCH(25,'Match Log'!$A$4:$A$311,0)),"")</f>
        <v>2</v>
      </c>
      <c r="F49">
        <f>IFERROR(SUMIFS('Match Log'!$I$4:$I$311,'Match Log'!$A$4:$A$311,25,'Match Log'!$E$4:$E$311,"Win"),"")</f>
        <v>0.625</v>
      </c>
      <c r="G49">
        <f t="shared" si="16"/>
        <v>-0.25</v>
      </c>
      <c r="H49" t="str">
        <f>IFERROR(IF($E49=2,LOOKUP(2,1/(('Match Log'!$A$4:$A$311=25)*('Match Log'!$E$4:$E$311="Loss")),'Match Log'!$D$4:$D$311),"the field"),"")</f>
        <v>David</v>
      </c>
      <c r="I49">
        <f t="shared" si="17"/>
        <v>-0.250025</v>
      </c>
      <c r="J49">
        <v>25</v>
      </c>
      <c r="K49">
        <f>IF($J49&gt;MAX('Match Log'!$A$4:$A$311),NA(),IFERROR(LOOKUP(2,1/(('Match Log'!$D$4:$D$311=$K$24)*('Match Log'!$A$4:$A$311&lt;=$J49)),'Match Log'!$N$4:$N$311),NA()))</f>
        <v>1103.1658170072501</v>
      </c>
      <c r="L49" t="e">
        <f>IF($J49&gt;MAX('Match Log'!$A$4:$A$311),NA(),IFERROR(LOOKUP(2,1/(('Match Log'!$D$4:$D$311=$L$24)*('Match Log'!$A$4:$A$311&lt;=$J49)),'Match Log'!$N$4:$N$311),NA()))</f>
        <v>#N/A</v>
      </c>
      <c r="M49">
        <f>IF($J49&gt;MAX('Match Log'!$A$4:$A$311),NA(),IFERROR(LOOKUP(2,1/(('Match Log'!$D$4:$D$311=$M$24)*('Match Log'!$A$4:$A$311&lt;=$J49)),'Match Log'!$N$4:$N$311),NA()))</f>
        <v>1053.58309096217</v>
      </c>
      <c r="N49">
        <f>IF($J49&gt;MAX('Match Log'!$A$4:$A$311),NA(),IFERROR(LOOKUP(2,1/(('Match Log'!$D$4:$D$311=$N$24)*('Match Log'!$A$4:$A$311&lt;=$J49)),'Match Log'!$N$4:$N$311),NA()))</f>
        <v>986.54517398256769</v>
      </c>
      <c r="O49">
        <f>IF($J49&gt;MAX('Match Log'!$A$4:$A$311),NA(),IFERROR(LOOKUP(2,1/(('Match Log'!$D$4:$D$311=$O$24)*('Match Log'!$A$4:$A$311&lt;=$J49)),'Match Log'!$N$4:$N$311),NA()))</f>
        <v>1092.4403852819671</v>
      </c>
      <c r="P49">
        <f>IF($J49&gt;MAX('Match Log'!$A$4:$A$311),NA(),IFERROR(LOOKUP(2,1/(('Match Log'!$D$4:$D$311=$P$24)*('Match Log'!$A$4:$A$311&lt;=$J49)),'Match Log'!$N$4:$N$311),NA()))</f>
        <v>1007.4743526549773</v>
      </c>
      <c r="Q49">
        <f>IF($J49&gt;MAX('Match Log'!$A$4:$A$311),NA(),IFERROR(LOOKUP(2,1/(('Match Log'!$D$4:$D$311=$Q$24)*('Match Log'!$A$4:$A$311&lt;=$J49)),'Match Log'!$N$4:$N$311),NA()))</f>
        <v>1004.2142857142857</v>
      </c>
      <c r="R49">
        <f>IF($J49&gt;MAX('Match Log'!$A$4:$A$311),NA(),IFERROR(LOOKUP(2,1/(('Match Log'!$D$4:$D$311=$R$24)*('Match Log'!$A$4:$A$311&lt;=$J49)),'Match Log'!$N$4:$N$311),NA()))</f>
        <v>893.3871602022524</v>
      </c>
      <c r="S49" t="e">
        <f>IF($J49&gt;MAX('Match Log'!$A$4:$A$311),NA(),IFERROR(LOOKUP(2,1/(('Match Log'!$D$4:$D$311=$S$24)*('Match Log'!$A$4:$A$311&lt;=$J49)),'Match Log'!$N$4:$N$311),NA()))</f>
        <v>#N/A</v>
      </c>
      <c r="T49">
        <f>IF($J49&gt;MAX('Match Log'!$A$4:$A$311),NA(),IFERROR(LOOKUP(2,1/(('Match Log'!$D$4:$D$311=$T$24)*('Match Log'!$A$4:$A$311&lt;=$J49)),'Match Log'!$N$4:$N$311),NA()))</f>
        <v>947.91625238930521</v>
      </c>
      <c r="U49">
        <f>IF($J49&gt;MAX('Match Log'!$A$4:$A$311),NA(),IFERROR(LOOKUP(2,1/(('Match Log'!$D$4:$D$311=$U$24)*('Match Log'!$A$4:$A$311&lt;=$J49)),'Match Log'!$N$4:$N$311),NA()))</f>
        <v>995.27348180522449</v>
      </c>
      <c r="V49" t="e">
        <f>IF($J49&gt;MAX('Match Log'!$A$4:$A$311),NA(),IFERROR(LOOKUP(2,1/(('Match Log'!$D$4:$D$311=$V$24)*('Match Log'!$A$4:$A$311&lt;=$J49)),'Match Log'!$N$4:$N$311),NA()))</f>
        <v>#N/A</v>
      </c>
      <c r="W49" t="e">
        <f>IF($J49&gt;MAX('Match Log'!$A$4:$A$311),NA(),IFERROR(LOOKUP(2,1/(('Match Log'!$D$4:$D$311=$W$24)*('Match Log'!$A$4:$A$311&lt;=$J49)),'Match Log'!$N$4:$N$311),NA()))</f>
        <v>#N/A</v>
      </c>
      <c r="X49" t="e">
        <f>IF($J49&gt;MAX('Match Log'!$A$4:$A$311),NA(),IFERROR(LOOKUP(2,1/(('Match Log'!$D$4:$D$311=$X$24)*('Match Log'!$A$4:$A$311&lt;=$J49)),'Match Log'!$N$4:$N$311),NA()))</f>
        <v>#N/A</v>
      </c>
      <c r="Y49" t="str">
        <f t="shared" ca="1" si="18"/>
        <v/>
      </c>
    </row>
    <row r="50" spans="1:25" ht="15" customHeight="1" x14ac:dyDescent="0.2">
      <c r="A50">
        <v>26</v>
      </c>
      <c r="B50" s="132">
        <f>IFERROR(INDEX('Match Log'!$B$4:$B$311,MATCH(26,'Match Log'!$A$4:$A$311,0)),"")</f>
        <v>46175</v>
      </c>
      <c r="C50" t="str">
        <f>IFERROR(INDEX('Match Log'!$C$4:$C$311,MATCH(26,'Match Log'!$A$4:$A$311,0)),"")</f>
        <v>Table Tennis</v>
      </c>
      <c r="D50" t="str">
        <f>IFERROR(INDEX('Match Log'!$G$4:$G$311,MATCH(26,'Match Log'!$A$4:$A$311,0)),"")</f>
        <v>Daniel (Ferret)</v>
      </c>
      <c r="E50" s="133">
        <f>IFERROR(INDEX('Match Log'!$F$4:$F$311,MATCH(26,'Match Log'!$A$4:$A$311,0)),"")</f>
        <v>2</v>
      </c>
      <c r="F50">
        <f>IFERROR(SUMIFS('Match Log'!$I$4:$I$311,'Match Log'!$A$4:$A$311,26,'Match Log'!$E$4:$E$311,"Win"),"")</f>
        <v>0.33333333333333331</v>
      </c>
      <c r="G50">
        <f t="shared" si="16"/>
        <v>0.33333333333333337</v>
      </c>
      <c r="H50" t="str">
        <f>IFERROR(IF($E50=2,LOOKUP(2,1/(('Match Log'!$A$4:$A$311=26)*('Match Log'!$E$4:$E$311="Loss")),'Match Log'!$D$4:$D$311),"the field"),"")</f>
        <v>David</v>
      </c>
      <c r="I50">
        <f t="shared" si="17"/>
        <v>0.33330733333333334</v>
      </c>
      <c r="J50">
        <v>26</v>
      </c>
      <c r="K50">
        <f>IF($J50&gt;MAX('Match Log'!$A$4:$A$311),NA(),IFERROR(LOOKUP(2,1/(('Match Log'!$D$4:$D$311=$K$24)*('Match Log'!$A$4:$A$311&lt;=$J50)),'Match Log'!$N$4:$N$311),NA()))</f>
        <v>1103.1658170072501</v>
      </c>
      <c r="L50" t="e">
        <f>IF($J50&gt;MAX('Match Log'!$A$4:$A$311),NA(),IFERROR(LOOKUP(2,1/(('Match Log'!$D$4:$D$311=$L$24)*('Match Log'!$A$4:$A$311&lt;=$J50)),'Match Log'!$N$4:$N$311),NA()))</f>
        <v>#N/A</v>
      </c>
      <c r="M50">
        <f>IF($J50&gt;MAX('Match Log'!$A$4:$A$311),NA(),IFERROR(LOOKUP(2,1/(('Match Log'!$D$4:$D$311=$M$24)*('Match Log'!$A$4:$A$311&lt;=$J50)),'Match Log'!$N$4:$N$311),NA()))</f>
        <v>1053.58309096217</v>
      </c>
      <c r="N50">
        <f>IF($J50&gt;MAX('Match Log'!$A$4:$A$311),NA(),IFERROR(LOOKUP(2,1/(('Match Log'!$D$4:$D$311=$N$24)*('Match Log'!$A$4:$A$311&lt;=$J50)),'Match Log'!$N$4:$N$311),NA()))</f>
        <v>959.33903410060668</v>
      </c>
      <c r="O50">
        <f>IF($J50&gt;MAX('Match Log'!$A$4:$A$311),NA(),IFERROR(LOOKUP(2,1/(('Match Log'!$D$4:$D$311=$O$24)*('Match Log'!$A$4:$A$311&lt;=$J50)),'Match Log'!$N$4:$N$311),NA()))</f>
        <v>1092.4403852819671</v>
      </c>
      <c r="P50">
        <f>IF($J50&gt;MAX('Match Log'!$A$4:$A$311),NA(),IFERROR(LOOKUP(2,1/(('Match Log'!$D$4:$D$311=$P$24)*('Match Log'!$A$4:$A$311&lt;=$J50)),'Match Log'!$N$4:$N$311),NA()))</f>
        <v>1007.4743526549773</v>
      </c>
      <c r="Q50">
        <f>IF($J50&gt;MAX('Match Log'!$A$4:$A$311),NA(),IFERROR(LOOKUP(2,1/(('Match Log'!$D$4:$D$311=$Q$24)*('Match Log'!$A$4:$A$311&lt;=$J50)),'Match Log'!$N$4:$N$311),NA()))</f>
        <v>1004.2142857142857</v>
      </c>
      <c r="R50">
        <f>IF($J50&gt;MAX('Match Log'!$A$4:$A$311),NA(),IFERROR(LOOKUP(2,1/(('Match Log'!$D$4:$D$311=$R$24)*('Match Log'!$A$4:$A$311&lt;=$J50)),'Match Log'!$N$4:$N$311),NA()))</f>
        <v>920.59330008421341</v>
      </c>
      <c r="S50" t="e">
        <f>IF($J50&gt;MAX('Match Log'!$A$4:$A$311),NA(),IFERROR(LOOKUP(2,1/(('Match Log'!$D$4:$D$311=$S$24)*('Match Log'!$A$4:$A$311&lt;=$J50)),'Match Log'!$N$4:$N$311),NA()))</f>
        <v>#N/A</v>
      </c>
      <c r="T50">
        <f>IF($J50&gt;MAX('Match Log'!$A$4:$A$311),NA(),IFERROR(LOOKUP(2,1/(('Match Log'!$D$4:$D$311=$T$24)*('Match Log'!$A$4:$A$311&lt;=$J50)),'Match Log'!$N$4:$N$311),NA()))</f>
        <v>947.91625238930521</v>
      </c>
      <c r="U50">
        <f>IF($J50&gt;MAX('Match Log'!$A$4:$A$311),NA(),IFERROR(LOOKUP(2,1/(('Match Log'!$D$4:$D$311=$U$24)*('Match Log'!$A$4:$A$311&lt;=$J50)),'Match Log'!$N$4:$N$311),NA()))</f>
        <v>995.27348180522449</v>
      </c>
      <c r="V50" t="e">
        <f>IF($J50&gt;MAX('Match Log'!$A$4:$A$311),NA(),IFERROR(LOOKUP(2,1/(('Match Log'!$D$4:$D$311=$V$24)*('Match Log'!$A$4:$A$311&lt;=$J50)),'Match Log'!$N$4:$N$311),NA()))</f>
        <v>#N/A</v>
      </c>
      <c r="W50" t="e">
        <f>IF($J50&gt;MAX('Match Log'!$A$4:$A$311),NA(),IFERROR(LOOKUP(2,1/(('Match Log'!$D$4:$D$311=$W$24)*('Match Log'!$A$4:$A$311&lt;=$J50)),'Match Log'!$N$4:$N$311),NA()))</f>
        <v>#N/A</v>
      </c>
      <c r="X50" t="e">
        <f>IF($J50&gt;MAX('Match Log'!$A$4:$A$311),NA(),IFERROR(LOOKUP(2,1/(('Match Log'!$D$4:$D$311=$X$24)*('Match Log'!$A$4:$A$311&lt;=$J50)),'Match Log'!$N$4:$N$311),NA()))</f>
        <v>#N/A</v>
      </c>
      <c r="Y50" t="str">
        <f t="shared" ca="1" si="18"/>
        <v/>
      </c>
    </row>
    <row r="51" spans="1:25" ht="15" customHeight="1" x14ac:dyDescent="0.2">
      <c r="A51">
        <v>27</v>
      </c>
      <c r="B51" s="132">
        <f>IFERROR(INDEX('Match Log'!$B$4:$B$311,MATCH(27,'Match Log'!$A$4:$A$311,0)),"")</f>
        <v>46175</v>
      </c>
      <c r="C51" t="str">
        <f>IFERROR(INDEX('Match Log'!$C$4:$C$311,MATCH(27,'Match Log'!$A$4:$A$311,0)),"")</f>
        <v>Table Tennis</v>
      </c>
      <c r="D51" t="str">
        <f>IFERROR(INDEX('Match Log'!$G$4:$G$311,MATCH(27,'Match Log'!$A$4:$A$311,0)),"")</f>
        <v>Josh</v>
      </c>
      <c r="E51" s="133">
        <f>IFERROR(INDEX('Match Log'!$F$4:$F$311,MATCH(27,'Match Log'!$A$4:$A$311,0)),"")</f>
        <v>2</v>
      </c>
      <c r="F51">
        <f>IFERROR(SUMIFS('Match Log'!$I$4:$I$311,'Match Log'!$A$4:$A$311,27,'Match Log'!$E$4:$E$311,"Win"),"")</f>
        <v>0.75</v>
      </c>
      <c r="G51">
        <f t="shared" si="16"/>
        <v>-0.5</v>
      </c>
      <c r="H51" t="str">
        <f>IFERROR(IF($E51=2,LOOKUP(2,1/(('Match Log'!$A$4:$A$311=27)*('Match Log'!$E$4:$E$311="Loss")),'Match Log'!$D$4:$D$311),"the field"),"")</f>
        <v>Daniel (Ferret)</v>
      </c>
      <c r="I51">
        <f t="shared" si="17"/>
        <v>-0.500027</v>
      </c>
      <c r="J51">
        <v>27</v>
      </c>
      <c r="K51">
        <f>IF($J51&gt;MAX('Match Log'!$A$4:$A$311),NA(),IFERROR(LOOKUP(2,1/(('Match Log'!$D$4:$D$311=$K$24)*('Match Log'!$A$4:$A$311&lt;=$J51)),'Match Log'!$N$4:$N$311),NA()))</f>
        <v>1103.1658170072501</v>
      </c>
      <c r="L51" t="e">
        <f>IF($J51&gt;MAX('Match Log'!$A$4:$A$311),NA(),IFERROR(LOOKUP(2,1/(('Match Log'!$D$4:$D$311=$L$24)*('Match Log'!$A$4:$A$311&lt;=$J51)),'Match Log'!$N$4:$N$311),NA()))</f>
        <v>#N/A</v>
      </c>
      <c r="M51">
        <f>IF($J51&gt;MAX('Match Log'!$A$4:$A$311),NA(),IFERROR(LOOKUP(2,1/(('Match Log'!$D$4:$D$311=$M$24)*('Match Log'!$A$4:$A$311&lt;=$J51)),'Match Log'!$N$4:$N$311),NA()))</f>
        <v>1053.58309096217</v>
      </c>
      <c r="N51">
        <f>IF($J51&gt;MAX('Match Log'!$A$4:$A$311),NA(),IFERROR(LOOKUP(2,1/(('Match Log'!$D$4:$D$311=$N$24)*('Match Log'!$A$4:$A$311&lt;=$J51)),'Match Log'!$N$4:$N$311),NA()))</f>
        <v>959.33903410060668</v>
      </c>
      <c r="O51">
        <f>IF($J51&gt;MAX('Match Log'!$A$4:$A$311),NA(),IFERROR(LOOKUP(2,1/(('Match Log'!$D$4:$D$311=$O$24)*('Match Log'!$A$4:$A$311&lt;=$J51)),'Match Log'!$N$4:$N$311),NA()))</f>
        <v>1105.3412744929378</v>
      </c>
      <c r="P51">
        <f>IF($J51&gt;MAX('Match Log'!$A$4:$A$311),NA(),IFERROR(LOOKUP(2,1/(('Match Log'!$D$4:$D$311=$P$24)*('Match Log'!$A$4:$A$311&lt;=$J51)),'Match Log'!$N$4:$N$311),NA()))</f>
        <v>1007.4743526549773</v>
      </c>
      <c r="Q51">
        <f>IF($J51&gt;MAX('Match Log'!$A$4:$A$311),NA(),IFERROR(LOOKUP(2,1/(('Match Log'!$D$4:$D$311=$Q$24)*('Match Log'!$A$4:$A$311&lt;=$J51)),'Match Log'!$N$4:$N$311),NA()))</f>
        <v>1004.2142857142857</v>
      </c>
      <c r="R51">
        <f>IF($J51&gt;MAX('Match Log'!$A$4:$A$311),NA(),IFERROR(LOOKUP(2,1/(('Match Log'!$D$4:$D$311=$R$24)*('Match Log'!$A$4:$A$311&lt;=$J51)),'Match Log'!$N$4:$N$311),NA()))</f>
        <v>907.69241087324258</v>
      </c>
      <c r="S51" t="e">
        <f>IF($J51&gt;MAX('Match Log'!$A$4:$A$311),NA(),IFERROR(LOOKUP(2,1/(('Match Log'!$D$4:$D$311=$S$24)*('Match Log'!$A$4:$A$311&lt;=$J51)),'Match Log'!$N$4:$N$311),NA()))</f>
        <v>#N/A</v>
      </c>
      <c r="T51">
        <f>IF($J51&gt;MAX('Match Log'!$A$4:$A$311),NA(),IFERROR(LOOKUP(2,1/(('Match Log'!$D$4:$D$311=$T$24)*('Match Log'!$A$4:$A$311&lt;=$J51)),'Match Log'!$N$4:$N$311),NA()))</f>
        <v>947.91625238930521</v>
      </c>
      <c r="U51">
        <f>IF($J51&gt;MAX('Match Log'!$A$4:$A$311),NA(),IFERROR(LOOKUP(2,1/(('Match Log'!$D$4:$D$311=$U$24)*('Match Log'!$A$4:$A$311&lt;=$J51)),'Match Log'!$N$4:$N$311),NA()))</f>
        <v>995.27348180522449</v>
      </c>
      <c r="V51" t="e">
        <f>IF($J51&gt;MAX('Match Log'!$A$4:$A$311),NA(),IFERROR(LOOKUP(2,1/(('Match Log'!$D$4:$D$311=$V$24)*('Match Log'!$A$4:$A$311&lt;=$J51)),'Match Log'!$N$4:$N$311),NA()))</f>
        <v>#N/A</v>
      </c>
      <c r="W51" t="e">
        <f>IF($J51&gt;MAX('Match Log'!$A$4:$A$311),NA(),IFERROR(LOOKUP(2,1/(('Match Log'!$D$4:$D$311=$W$24)*('Match Log'!$A$4:$A$311&lt;=$J51)),'Match Log'!$N$4:$N$311),NA()))</f>
        <v>#N/A</v>
      </c>
      <c r="X51" t="e">
        <f>IF($J51&gt;MAX('Match Log'!$A$4:$A$311),NA(),IFERROR(LOOKUP(2,1/(('Match Log'!$D$4:$D$311=$X$24)*('Match Log'!$A$4:$A$311&lt;=$J51)),'Match Log'!$N$4:$N$311),NA()))</f>
        <v>#N/A</v>
      </c>
      <c r="Y51" t="str">
        <f t="shared" ca="1" si="18"/>
        <v/>
      </c>
    </row>
    <row r="52" spans="1:25" ht="15" customHeight="1" x14ac:dyDescent="0.2">
      <c r="A52">
        <v>28</v>
      </c>
      <c r="B52" s="132">
        <f>IFERROR(INDEX('Match Log'!$B$4:$B$311,MATCH(28,'Match Log'!$A$4:$A$311,0)),"")</f>
        <v>46175</v>
      </c>
      <c r="C52" t="str">
        <f>IFERROR(INDEX('Match Log'!$C$4:$C$311,MATCH(28,'Match Log'!$A$4:$A$311,0)),"")</f>
        <v>Table Tennis</v>
      </c>
      <c r="D52" t="str">
        <f>IFERROR(INDEX('Match Log'!$G$4:$G$311,MATCH(28,'Match Log'!$A$4:$A$311,0)),"")</f>
        <v>Josh</v>
      </c>
      <c r="E52" s="133">
        <f>IFERROR(INDEX('Match Log'!$F$4:$F$311,MATCH(28,'Match Log'!$A$4:$A$311,0)),"")</f>
        <v>2</v>
      </c>
      <c r="F52">
        <f>IFERROR(SUMIFS('Match Log'!$I$4:$I$311,'Match Log'!$A$4:$A$311,28,'Match Log'!$E$4:$E$311,"Win"),"")</f>
        <v>0.77777777777777779</v>
      </c>
      <c r="G52">
        <f t="shared" si="16"/>
        <v>-0.55555555555555558</v>
      </c>
      <c r="H52" t="str">
        <f>IFERROR(IF($E52=2,LOOKUP(2,1/(('Match Log'!$A$4:$A$311=28)*('Match Log'!$E$4:$E$311="Loss")),'Match Log'!$D$4:$D$311),"the field"),"")</f>
        <v>David</v>
      </c>
      <c r="I52">
        <f t="shared" si="17"/>
        <v>-0.55558355555555561</v>
      </c>
      <c r="J52">
        <v>28</v>
      </c>
      <c r="K52">
        <f>IF($J52&gt;MAX('Match Log'!$A$4:$A$311),NA(),IFERROR(LOOKUP(2,1/(('Match Log'!$D$4:$D$311=$K$24)*('Match Log'!$A$4:$A$311&lt;=$J52)),'Match Log'!$N$4:$N$311),NA()))</f>
        <v>1103.1658170072501</v>
      </c>
      <c r="L52" t="e">
        <f>IF($J52&gt;MAX('Match Log'!$A$4:$A$311),NA(),IFERROR(LOOKUP(2,1/(('Match Log'!$D$4:$D$311=$L$24)*('Match Log'!$A$4:$A$311&lt;=$J52)),'Match Log'!$N$4:$N$311),NA()))</f>
        <v>#N/A</v>
      </c>
      <c r="M52">
        <f>IF($J52&gt;MAX('Match Log'!$A$4:$A$311),NA(),IFERROR(LOOKUP(2,1/(('Match Log'!$D$4:$D$311=$M$24)*('Match Log'!$A$4:$A$311&lt;=$J52)),'Match Log'!$N$4:$N$311),NA()))</f>
        <v>1053.58309096217</v>
      </c>
      <c r="N52">
        <f>IF($J52&gt;MAX('Match Log'!$A$4:$A$311),NA(),IFERROR(LOOKUP(2,1/(('Match Log'!$D$4:$D$311=$N$24)*('Match Log'!$A$4:$A$311&lt;=$J52)),'Match Log'!$N$4:$N$311),NA()))</f>
        <v>946.38601369580942</v>
      </c>
      <c r="O52">
        <f>IF($J52&gt;MAX('Match Log'!$A$4:$A$311),NA(),IFERROR(LOOKUP(2,1/(('Match Log'!$D$4:$D$311=$O$24)*('Match Log'!$A$4:$A$311&lt;=$J52)),'Match Log'!$N$4:$N$311),NA()))</f>
        <v>1118.294294897735</v>
      </c>
      <c r="P52">
        <f>IF($J52&gt;MAX('Match Log'!$A$4:$A$311),NA(),IFERROR(LOOKUP(2,1/(('Match Log'!$D$4:$D$311=$P$24)*('Match Log'!$A$4:$A$311&lt;=$J52)),'Match Log'!$N$4:$N$311),NA()))</f>
        <v>1007.4743526549773</v>
      </c>
      <c r="Q52">
        <f>IF($J52&gt;MAX('Match Log'!$A$4:$A$311),NA(),IFERROR(LOOKUP(2,1/(('Match Log'!$D$4:$D$311=$Q$24)*('Match Log'!$A$4:$A$311&lt;=$J52)),'Match Log'!$N$4:$N$311),NA()))</f>
        <v>1004.2142857142857</v>
      </c>
      <c r="R52">
        <f>IF($J52&gt;MAX('Match Log'!$A$4:$A$311),NA(),IFERROR(LOOKUP(2,1/(('Match Log'!$D$4:$D$311=$R$24)*('Match Log'!$A$4:$A$311&lt;=$J52)),'Match Log'!$N$4:$N$311),NA()))</f>
        <v>907.69241087324258</v>
      </c>
      <c r="S52" t="e">
        <f>IF($J52&gt;MAX('Match Log'!$A$4:$A$311),NA(),IFERROR(LOOKUP(2,1/(('Match Log'!$D$4:$D$311=$S$24)*('Match Log'!$A$4:$A$311&lt;=$J52)),'Match Log'!$N$4:$N$311),NA()))</f>
        <v>#N/A</v>
      </c>
      <c r="T52">
        <f>IF($J52&gt;MAX('Match Log'!$A$4:$A$311),NA(),IFERROR(LOOKUP(2,1/(('Match Log'!$D$4:$D$311=$T$24)*('Match Log'!$A$4:$A$311&lt;=$J52)),'Match Log'!$N$4:$N$311),NA()))</f>
        <v>947.91625238930521</v>
      </c>
      <c r="U52">
        <f>IF($J52&gt;MAX('Match Log'!$A$4:$A$311),NA(),IFERROR(LOOKUP(2,1/(('Match Log'!$D$4:$D$311=$U$24)*('Match Log'!$A$4:$A$311&lt;=$J52)),'Match Log'!$N$4:$N$311),NA()))</f>
        <v>995.27348180522449</v>
      </c>
      <c r="V52" t="e">
        <f>IF($J52&gt;MAX('Match Log'!$A$4:$A$311),NA(),IFERROR(LOOKUP(2,1/(('Match Log'!$D$4:$D$311=$V$24)*('Match Log'!$A$4:$A$311&lt;=$J52)),'Match Log'!$N$4:$N$311),NA()))</f>
        <v>#N/A</v>
      </c>
      <c r="W52" t="e">
        <f>IF($J52&gt;MAX('Match Log'!$A$4:$A$311),NA(),IFERROR(LOOKUP(2,1/(('Match Log'!$D$4:$D$311=$W$24)*('Match Log'!$A$4:$A$311&lt;=$J52)),'Match Log'!$N$4:$N$311),NA()))</f>
        <v>#N/A</v>
      </c>
      <c r="X52" t="e">
        <f>IF($J52&gt;MAX('Match Log'!$A$4:$A$311),NA(),IFERROR(LOOKUP(2,1/(('Match Log'!$D$4:$D$311=$X$24)*('Match Log'!$A$4:$A$311&lt;=$J52)),'Match Log'!$N$4:$N$311),NA()))</f>
        <v>#N/A</v>
      </c>
      <c r="Y52" t="str">
        <f t="shared" ca="1" si="18"/>
        <v/>
      </c>
    </row>
    <row r="53" spans="1:25" ht="15" customHeight="1" x14ac:dyDescent="0.2">
      <c r="A53">
        <v>29</v>
      </c>
      <c r="B53" s="132">
        <f>IFERROR(INDEX('Match Log'!$B$4:$B$311,MATCH(29,'Match Log'!$A$4:$A$311,0)),"")</f>
        <v>46175</v>
      </c>
      <c r="C53" t="str">
        <f>IFERROR(INDEX('Match Log'!$C$4:$C$311,MATCH(29,'Match Log'!$A$4:$A$311,0)),"")</f>
        <v>Table Tennis</v>
      </c>
      <c r="D53" t="str">
        <f>IFERROR(INDEX('Match Log'!$G$4:$G$311,MATCH(29,'Match Log'!$A$4:$A$311,0)),"")</f>
        <v>Oscar</v>
      </c>
      <c r="E53" s="133">
        <f>IFERROR(INDEX('Match Log'!$F$4:$F$311,MATCH(29,'Match Log'!$A$4:$A$311,0)),"")</f>
        <v>2</v>
      </c>
      <c r="F53">
        <f>IFERROR(SUMIFS('Match Log'!$I$4:$I$311,'Match Log'!$A$4:$A$311,29,'Match Log'!$E$4:$E$311,"Win"),"")</f>
        <v>0.5</v>
      </c>
      <c r="G53">
        <f t="shared" si="16"/>
        <v>0</v>
      </c>
      <c r="H53" t="str">
        <f>IFERROR(IF($E53=2,LOOKUP(2,1/(('Match Log'!$A$4:$A$311=29)*('Match Log'!$E$4:$E$311="Loss")),'Match Log'!$D$4:$D$311),"the field"),"")</f>
        <v>Aaron</v>
      </c>
      <c r="I53">
        <f t="shared" si="17"/>
        <v>-2.9E-5</v>
      </c>
      <c r="J53">
        <v>29</v>
      </c>
      <c r="K53">
        <f>IF($J53&gt;MAX('Match Log'!$A$4:$A$311),NA(),IFERROR(LOOKUP(2,1/(('Match Log'!$D$4:$D$311=$K$24)*('Match Log'!$A$4:$A$311&lt;=$J53)),'Match Log'!$N$4:$N$311),NA()))</f>
        <v>1076.3509776433464</v>
      </c>
      <c r="L53" t="e">
        <f>IF($J53&gt;MAX('Match Log'!$A$4:$A$311),NA(),IFERROR(LOOKUP(2,1/(('Match Log'!$D$4:$D$311=$L$24)*('Match Log'!$A$4:$A$311&lt;=$J53)),'Match Log'!$N$4:$N$311),NA()))</f>
        <v>#N/A</v>
      </c>
      <c r="M53">
        <f>IF($J53&gt;MAX('Match Log'!$A$4:$A$311),NA(),IFERROR(LOOKUP(2,1/(('Match Log'!$D$4:$D$311=$M$24)*('Match Log'!$A$4:$A$311&lt;=$J53)),'Match Log'!$N$4:$N$311),NA()))</f>
        <v>1053.58309096217</v>
      </c>
      <c r="N53">
        <f>IF($J53&gt;MAX('Match Log'!$A$4:$A$311),NA(),IFERROR(LOOKUP(2,1/(('Match Log'!$D$4:$D$311=$N$24)*('Match Log'!$A$4:$A$311&lt;=$J53)),'Match Log'!$N$4:$N$311),NA()))</f>
        <v>946.38601369580942</v>
      </c>
      <c r="O53">
        <f>IF($J53&gt;MAX('Match Log'!$A$4:$A$311),NA(),IFERROR(LOOKUP(2,1/(('Match Log'!$D$4:$D$311=$O$24)*('Match Log'!$A$4:$A$311&lt;=$J53)),'Match Log'!$N$4:$N$311),NA()))</f>
        <v>1118.294294897735</v>
      </c>
      <c r="P53">
        <f>IF($J53&gt;MAX('Match Log'!$A$4:$A$311),NA(),IFERROR(LOOKUP(2,1/(('Match Log'!$D$4:$D$311=$P$24)*('Match Log'!$A$4:$A$311&lt;=$J53)),'Match Log'!$N$4:$N$311),NA()))</f>
        <v>1007.4743526549773</v>
      </c>
      <c r="Q53">
        <f>IF($J53&gt;MAX('Match Log'!$A$4:$A$311),NA(),IFERROR(LOOKUP(2,1/(('Match Log'!$D$4:$D$311=$Q$24)*('Match Log'!$A$4:$A$311&lt;=$J53)),'Match Log'!$N$4:$N$311),NA()))</f>
        <v>1004.2142857142857</v>
      </c>
      <c r="R53">
        <f>IF($J53&gt;MAX('Match Log'!$A$4:$A$311),NA(),IFERROR(LOOKUP(2,1/(('Match Log'!$D$4:$D$311=$R$24)*('Match Log'!$A$4:$A$311&lt;=$J53)),'Match Log'!$N$4:$N$311),NA()))</f>
        <v>907.69241087324258</v>
      </c>
      <c r="S53" t="e">
        <f>IF($J53&gt;MAX('Match Log'!$A$4:$A$311),NA(),IFERROR(LOOKUP(2,1/(('Match Log'!$D$4:$D$311=$S$24)*('Match Log'!$A$4:$A$311&lt;=$J53)),'Match Log'!$N$4:$N$311),NA()))</f>
        <v>#N/A</v>
      </c>
      <c r="T53">
        <f>IF($J53&gt;MAX('Match Log'!$A$4:$A$311),NA(),IFERROR(LOOKUP(2,1/(('Match Log'!$D$4:$D$311=$T$24)*('Match Log'!$A$4:$A$311&lt;=$J53)),'Match Log'!$N$4:$N$311),NA()))</f>
        <v>947.91625238930521</v>
      </c>
      <c r="U53">
        <f>IF($J53&gt;MAX('Match Log'!$A$4:$A$311),NA(),IFERROR(LOOKUP(2,1/(('Match Log'!$D$4:$D$311=$U$24)*('Match Log'!$A$4:$A$311&lt;=$J53)),'Match Log'!$N$4:$N$311),NA()))</f>
        <v>1022.0883211691282</v>
      </c>
      <c r="V53" t="e">
        <f>IF($J53&gt;MAX('Match Log'!$A$4:$A$311),NA(),IFERROR(LOOKUP(2,1/(('Match Log'!$D$4:$D$311=$V$24)*('Match Log'!$A$4:$A$311&lt;=$J53)),'Match Log'!$N$4:$N$311),NA()))</f>
        <v>#N/A</v>
      </c>
      <c r="W53" t="e">
        <f>IF($J53&gt;MAX('Match Log'!$A$4:$A$311),NA(),IFERROR(LOOKUP(2,1/(('Match Log'!$D$4:$D$311=$W$24)*('Match Log'!$A$4:$A$311&lt;=$J53)),'Match Log'!$N$4:$N$311),NA()))</f>
        <v>#N/A</v>
      </c>
      <c r="X53" t="e">
        <f>IF($J53&gt;MAX('Match Log'!$A$4:$A$311),NA(),IFERROR(LOOKUP(2,1/(('Match Log'!$D$4:$D$311=$X$24)*('Match Log'!$A$4:$A$311&lt;=$J53)),'Match Log'!$N$4:$N$311),NA()))</f>
        <v>#N/A</v>
      </c>
      <c r="Y53" t="str">
        <f t="shared" ca="1" si="18"/>
        <v/>
      </c>
    </row>
    <row r="54" spans="1:25" ht="15" customHeight="1" x14ac:dyDescent="0.2">
      <c r="A54">
        <v>30</v>
      </c>
      <c r="B54" s="132">
        <f>IFERROR(INDEX('Match Log'!$B$4:$B$311,MATCH(30,'Match Log'!$A$4:$A$311,0)),"")</f>
        <v>46175</v>
      </c>
      <c r="C54" t="str">
        <f>IFERROR(INDEX('Match Log'!$C$4:$C$311,MATCH(30,'Match Log'!$A$4:$A$311,0)),"")</f>
        <v>Table Tennis</v>
      </c>
      <c r="D54" t="str">
        <f>IFERROR(INDEX('Match Log'!$G$4:$G$311,MATCH(30,'Match Log'!$A$4:$A$311,0)),"")</f>
        <v>Aaron</v>
      </c>
      <c r="E54" s="133">
        <f>IFERROR(INDEX('Match Log'!$F$4:$F$311,MATCH(30,'Match Log'!$A$4:$A$311,0)),"")</f>
        <v>2</v>
      </c>
      <c r="F54">
        <f>IFERROR(SUMIFS('Match Log'!$I$4:$I$311,'Match Log'!$A$4:$A$311,30,'Match Log'!$E$4:$E$311,"Win"),"")</f>
        <v>0.625</v>
      </c>
      <c r="G54">
        <f t="shared" si="16"/>
        <v>-0.25</v>
      </c>
      <c r="H54" t="str">
        <f>IFERROR(IF($E54=2,LOOKUP(2,1/(('Match Log'!$A$4:$A$311=30)*('Match Log'!$E$4:$E$311="Loss")),'Match Log'!$D$4:$D$311),"the field"),"")</f>
        <v>David</v>
      </c>
      <c r="I54">
        <f t="shared" si="17"/>
        <v>-0.25002999999999997</v>
      </c>
      <c r="J54">
        <v>30</v>
      </c>
      <c r="K54">
        <f>IF($J54&gt;MAX('Match Log'!$A$4:$A$311),NA(),IFERROR(LOOKUP(2,1/(('Match Log'!$D$4:$D$311=$K$24)*('Match Log'!$A$4:$A$311&lt;=$J54)),'Match Log'!$N$4:$N$311),NA()))</f>
        <v>1091.9324916369376</v>
      </c>
      <c r="L54" t="e">
        <f>IF($J54&gt;MAX('Match Log'!$A$4:$A$311),NA(),IFERROR(LOOKUP(2,1/(('Match Log'!$D$4:$D$311=$L$24)*('Match Log'!$A$4:$A$311&lt;=$J54)),'Match Log'!$N$4:$N$311),NA()))</f>
        <v>#N/A</v>
      </c>
      <c r="M54">
        <f>IF($J54&gt;MAX('Match Log'!$A$4:$A$311),NA(),IFERROR(LOOKUP(2,1/(('Match Log'!$D$4:$D$311=$M$24)*('Match Log'!$A$4:$A$311&lt;=$J54)),'Match Log'!$N$4:$N$311),NA()))</f>
        <v>1053.58309096217</v>
      </c>
      <c r="N54">
        <f>IF($J54&gt;MAX('Match Log'!$A$4:$A$311),NA(),IFERROR(LOOKUP(2,1/(('Match Log'!$D$4:$D$311=$N$24)*('Match Log'!$A$4:$A$311&lt;=$J54)),'Match Log'!$N$4:$N$311),NA()))</f>
        <v>930.80449970221821</v>
      </c>
      <c r="O54">
        <f>IF($J54&gt;MAX('Match Log'!$A$4:$A$311),NA(),IFERROR(LOOKUP(2,1/(('Match Log'!$D$4:$D$311=$O$24)*('Match Log'!$A$4:$A$311&lt;=$J54)),'Match Log'!$N$4:$N$311),NA()))</f>
        <v>1118.294294897735</v>
      </c>
      <c r="P54">
        <f>IF($J54&gt;MAX('Match Log'!$A$4:$A$311),NA(),IFERROR(LOOKUP(2,1/(('Match Log'!$D$4:$D$311=$P$24)*('Match Log'!$A$4:$A$311&lt;=$J54)),'Match Log'!$N$4:$N$311),NA()))</f>
        <v>1007.4743526549773</v>
      </c>
      <c r="Q54">
        <f>IF($J54&gt;MAX('Match Log'!$A$4:$A$311),NA(),IFERROR(LOOKUP(2,1/(('Match Log'!$D$4:$D$311=$Q$24)*('Match Log'!$A$4:$A$311&lt;=$J54)),'Match Log'!$N$4:$N$311),NA()))</f>
        <v>1004.2142857142857</v>
      </c>
      <c r="R54">
        <f>IF($J54&gt;MAX('Match Log'!$A$4:$A$311),NA(),IFERROR(LOOKUP(2,1/(('Match Log'!$D$4:$D$311=$R$24)*('Match Log'!$A$4:$A$311&lt;=$J54)),'Match Log'!$N$4:$N$311),NA()))</f>
        <v>907.69241087324258</v>
      </c>
      <c r="S54" t="e">
        <f>IF($J54&gt;MAX('Match Log'!$A$4:$A$311),NA(),IFERROR(LOOKUP(2,1/(('Match Log'!$D$4:$D$311=$S$24)*('Match Log'!$A$4:$A$311&lt;=$J54)),'Match Log'!$N$4:$N$311),NA()))</f>
        <v>#N/A</v>
      </c>
      <c r="T54">
        <f>IF($J54&gt;MAX('Match Log'!$A$4:$A$311),NA(),IFERROR(LOOKUP(2,1/(('Match Log'!$D$4:$D$311=$T$24)*('Match Log'!$A$4:$A$311&lt;=$J54)),'Match Log'!$N$4:$N$311),NA()))</f>
        <v>947.91625238930521</v>
      </c>
      <c r="U54">
        <f>IF($J54&gt;MAX('Match Log'!$A$4:$A$311),NA(),IFERROR(LOOKUP(2,1/(('Match Log'!$D$4:$D$311=$U$24)*('Match Log'!$A$4:$A$311&lt;=$J54)),'Match Log'!$N$4:$N$311),NA()))</f>
        <v>1022.0883211691282</v>
      </c>
      <c r="V54" t="e">
        <f>IF($J54&gt;MAX('Match Log'!$A$4:$A$311),NA(),IFERROR(LOOKUP(2,1/(('Match Log'!$D$4:$D$311=$V$24)*('Match Log'!$A$4:$A$311&lt;=$J54)),'Match Log'!$N$4:$N$311),NA()))</f>
        <v>#N/A</v>
      </c>
      <c r="W54" t="e">
        <f>IF($J54&gt;MAX('Match Log'!$A$4:$A$311),NA(),IFERROR(LOOKUP(2,1/(('Match Log'!$D$4:$D$311=$W$24)*('Match Log'!$A$4:$A$311&lt;=$J54)),'Match Log'!$N$4:$N$311),NA()))</f>
        <v>#N/A</v>
      </c>
      <c r="X54" t="e">
        <f>IF($J54&gt;MAX('Match Log'!$A$4:$A$311),NA(),IFERROR(LOOKUP(2,1/(('Match Log'!$D$4:$D$311=$X$24)*('Match Log'!$A$4:$A$311&lt;=$J54)),'Match Log'!$N$4:$N$311),NA()))</f>
        <v>#N/A</v>
      </c>
      <c r="Y54" t="str">
        <f t="shared" ca="1" si="18"/>
        <v/>
      </c>
    </row>
    <row r="55" spans="1:25" ht="15" customHeight="1" x14ac:dyDescent="0.2">
      <c r="A55">
        <v>31</v>
      </c>
      <c r="B55" s="132">
        <f>IFERROR(INDEX('Match Log'!$B$4:$B$311,MATCH(31,'Match Log'!$A$4:$A$311,0)),"")</f>
        <v>46175</v>
      </c>
      <c r="C55" t="str">
        <f>IFERROR(INDEX('Match Log'!$C$4:$C$311,MATCH(31,'Match Log'!$A$4:$A$311,0)),"")</f>
        <v>Call of Duty</v>
      </c>
      <c r="D55" t="str">
        <f>IFERROR(INDEX('Match Log'!$G$4:$G$311,MATCH(31,'Match Log'!$A$4:$A$311,0)),"")</f>
        <v>Daniel (Ferret)</v>
      </c>
      <c r="E55" s="133">
        <f>IFERROR(INDEX('Match Log'!$F$4:$F$311,MATCH(31,'Match Log'!$A$4:$A$311,0)),"")</f>
        <v>2</v>
      </c>
      <c r="F55">
        <f>IFERROR(SUMIFS('Match Log'!$I$4:$I$311,'Match Log'!$A$4:$A$311,31,'Match Log'!$E$4:$E$311,"Win"),"")</f>
        <v>0.5</v>
      </c>
      <c r="G55">
        <f t="shared" si="16"/>
        <v>0</v>
      </c>
      <c r="H55" t="str">
        <f>IFERROR(IF($E55=2,LOOKUP(2,1/(('Match Log'!$A$4:$A$311=31)*('Match Log'!$E$4:$E$311="Loss")),'Match Log'!$D$4:$D$311),"the field"),"")</f>
        <v>Aaron</v>
      </c>
      <c r="I55">
        <f t="shared" si="17"/>
        <v>-3.1000000000000001E-5</v>
      </c>
      <c r="J55">
        <v>31</v>
      </c>
      <c r="K55">
        <f>IF($J55&gt;MAX('Match Log'!$A$4:$A$311),NA(),IFERROR(LOOKUP(2,1/(('Match Log'!$D$4:$D$311=$K$24)*('Match Log'!$A$4:$A$311&lt;=$J55)),'Match Log'!$N$4:$N$311),NA()))</f>
        <v>1062.1629018977187</v>
      </c>
      <c r="L55" t="e">
        <f>IF($J55&gt;MAX('Match Log'!$A$4:$A$311),NA(),IFERROR(LOOKUP(2,1/(('Match Log'!$D$4:$D$311=$L$24)*('Match Log'!$A$4:$A$311&lt;=$J55)),'Match Log'!$N$4:$N$311),NA()))</f>
        <v>#N/A</v>
      </c>
      <c r="M55">
        <f>IF($J55&gt;MAX('Match Log'!$A$4:$A$311),NA(),IFERROR(LOOKUP(2,1/(('Match Log'!$D$4:$D$311=$M$24)*('Match Log'!$A$4:$A$311&lt;=$J55)),'Match Log'!$N$4:$N$311),NA()))</f>
        <v>1053.58309096217</v>
      </c>
      <c r="N55">
        <f>IF($J55&gt;MAX('Match Log'!$A$4:$A$311),NA(),IFERROR(LOOKUP(2,1/(('Match Log'!$D$4:$D$311=$N$24)*('Match Log'!$A$4:$A$311&lt;=$J55)),'Match Log'!$N$4:$N$311),NA()))</f>
        <v>930.80449970221821</v>
      </c>
      <c r="O55">
        <f>IF($J55&gt;MAX('Match Log'!$A$4:$A$311),NA(),IFERROR(LOOKUP(2,1/(('Match Log'!$D$4:$D$311=$O$24)*('Match Log'!$A$4:$A$311&lt;=$J55)),'Match Log'!$N$4:$N$311),NA()))</f>
        <v>1118.294294897735</v>
      </c>
      <c r="P55">
        <f>IF($J55&gt;MAX('Match Log'!$A$4:$A$311),NA(),IFERROR(LOOKUP(2,1/(('Match Log'!$D$4:$D$311=$P$24)*('Match Log'!$A$4:$A$311&lt;=$J55)),'Match Log'!$N$4:$N$311),NA()))</f>
        <v>1007.4743526549773</v>
      </c>
      <c r="Q55">
        <f>IF($J55&gt;MAX('Match Log'!$A$4:$A$311),NA(),IFERROR(LOOKUP(2,1/(('Match Log'!$D$4:$D$311=$Q$24)*('Match Log'!$A$4:$A$311&lt;=$J55)),'Match Log'!$N$4:$N$311),NA()))</f>
        <v>1004.2142857142857</v>
      </c>
      <c r="R55">
        <f>IF($J55&gt;MAX('Match Log'!$A$4:$A$311),NA(),IFERROR(LOOKUP(2,1/(('Match Log'!$D$4:$D$311=$R$24)*('Match Log'!$A$4:$A$311&lt;=$J55)),'Match Log'!$N$4:$N$311),NA()))</f>
        <v>937.46200061246157</v>
      </c>
      <c r="S55" t="e">
        <f>IF($J55&gt;MAX('Match Log'!$A$4:$A$311),NA(),IFERROR(LOOKUP(2,1/(('Match Log'!$D$4:$D$311=$S$24)*('Match Log'!$A$4:$A$311&lt;=$J55)),'Match Log'!$N$4:$N$311),NA()))</f>
        <v>#N/A</v>
      </c>
      <c r="T55">
        <f>IF($J55&gt;MAX('Match Log'!$A$4:$A$311),NA(),IFERROR(LOOKUP(2,1/(('Match Log'!$D$4:$D$311=$T$24)*('Match Log'!$A$4:$A$311&lt;=$J55)),'Match Log'!$N$4:$N$311),NA()))</f>
        <v>947.91625238930521</v>
      </c>
      <c r="U55">
        <f>IF($J55&gt;MAX('Match Log'!$A$4:$A$311),NA(),IFERROR(LOOKUP(2,1/(('Match Log'!$D$4:$D$311=$U$24)*('Match Log'!$A$4:$A$311&lt;=$J55)),'Match Log'!$N$4:$N$311),NA()))</f>
        <v>1022.0883211691282</v>
      </c>
      <c r="V55" t="e">
        <f>IF($J55&gt;MAX('Match Log'!$A$4:$A$311),NA(),IFERROR(LOOKUP(2,1/(('Match Log'!$D$4:$D$311=$V$24)*('Match Log'!$A$4:$A$311&lt;=$J55)),'Match Log'!$N$4:$N$311),NA()))</f>
        <v>#N/A</v>
      </c>
      <c r="W55" t="e">
        <f>IF($J55&gt;MAX('Match Log'!$A$4:$A$311),NA(),IFERROR(LOOKUP(2,1/(('Match Log'!$D$4:$D$311=$W$24)*('Match Log'!$A$4:$A$311&lt;=$J55)),'Match Log'!$N$4:$N$311),NA()))</f>
        <v>#N/A</v>
      </c>
      <c r="X55" t="e">
        <f>IF($J55&gt;MAX('Match Log'!$A$4:$A$311),NA(),IFERROR(LOOKUP(2,1/(('Match Log'!$D$4:$D$311=$X$24)*('Match Log'!$A$4:$A$311&lt;=$J55)),'Match Log'!$N$4:$N$311),NA()))</f>
        <v>#N/A</v>
      </c>
      <c r="Y55" t="str">
        <f t="shared" ca="1" si="18"/>
        <v/>
      </c>
    </row>
    <row r="56" spans="1:25" ht="15" customHeight="1" x14ac:dyDescent="0.2">
      <c r="A56">
        <v>32</v>
      </c>
      <c r="B56" s="132">
        <f>IFERROR(INDEX('Match Log'!$B$4:$B$311,MATCH(32,'Match Log'!$A$4:$A$311,0)),"")</f>
        <v>46175</v>
      </c>
      <c r="C56" t="str">
        <f>IFERROR(INDEX('Match Log'!$C$4:$C$311,MATCH(32,'Match Log'!$A$4:$A$311,0)),"")</f>
        <v>Call of Duty</v>
      </c>
      <c r="D56" t="str">
        <f>IFERROR(INDEX('Match Log'!$G$4:$G$311,MATCH(32,'Match Log'!$A$4:$A$311,0)),"")</f>
        <v>Daniel (Ferret)</v>
      </c>
      <c r="E56" s="133">
        <f>IFERROR(INDEX('Match Log'!$F$4:$F$311,MATCH(32,'Match Log'!$A$4:$A$311,0)),"")</f>
        <v>2</v>
      </c>
      <c r="F56">
        <f>IFERROR(SUMIFS('Match Log'!$I$4:$I$311,'Match Log'!$A$4:$A$311,32,'Match Log'!$E$4:$E$311,"Win"),"")</f>
        <v>0.57142857142857151</v>
      </c>
      <c r="G56">
        <f t="shared" si="16"/>
        <v>-0.14285714285714302</v>
      </c>
      <c r="H56" t="str">
        <f>IFERROR(IF($E56=2,LOOKUP(2,1/(('Match Log'!$A$4:$A$311=32)*('Match Log'!$E$4:$E$311="Loss")),'Match Log'!$D$4:$D$311),"the field"),"")</f>
        <v>Chase</v>
      </c>
      <c r="I56">
        <f t="shared" si="17"/>
        <v>-0.14288914285714302</v>
      </c>
      <c r="J56">
        <v>32</v>
      </c>
      <c r="K56">
        <f>IF($J56&gt;MAX('Match Log'!$A$4:$A$311),NA(),IFERROR(LOOKUP(2,1/(('Match Log'!$D$4:$D$311=$K$24)*('Match Log'!$A$4:$A$311&lt;=$J56)),'Match Log'!$N$4:$N$311),NA()))</f>
        <v>1062.1629018977187</v>
      </c>
      <c r="L56" t="e">
        <f>IF($J56&gt;MAX('Match Log'!$A$4:$A$311),NA(),IFERROR(LOOKUP(2,1/(('Match Log'!$D$4:$D$311=$L$24)*('Match Log'!$A$4:$A$311&lt;=$J56)),'Match Log'!$N$4:$N$311),NA()))</f>
        <v>#N/A</v>
      </c>
      <c r="M56">
        <f>IF($J56&gt;MAX('Match Log'!$A$4:$A$311),NA(),IFERROR(LOOKUP(2,1/(('Match Log'!$D$4:$D$311=$M$24)*('Match Log'!$A$4:$A$311&lt;=$J56)),'Match Log'!$N$4:$N$311),NA()))</f>
        <v>1027.8298234990575</v>
      </c>
      <c r="N56">
        <f>IF($J56&gt;MAX('Match Log'!$A$4:$A$311),NA(),IFERROR(LOOKUP(2,1/(('Match Log'!$D$4:$D$311=$N$24)*('Match Log'!$A$4:$A$311&lt;=$J56)),'Match Log'!$N$4:$N$311),NA()))</f>
        <v>930.80449970221821</v>
      </c>
      <c r="O56">
        <f>IF($J56&gt;MAX('Match Log'!$A$4:$A$311),NA(),IFERROR(LOOKUP(2,1/(('Match Log'!$D$4:$D$311=$O$24)*('Match Log'!$A$4:$A$311&lt;=$J56)),'Match Log'!$N$4:$N$311),NA()))</f>
        <v>1118.294294897735</v>
      </c>
      <c r="P56">
        <f>IF($J56&gt;MAX('Match Log'!$A$4:$A$311),NA(),IFERROR(LOOKUP(2,1/(('Match Log'!$D$4:$D$311=$P$24)*('Match Log'!$A$4:$A$311&lt;=$J56)),'Match Log'!$N$4:$N$311),NA()))</f>
        <v>1007.4743526549773</v>
      </c>
      <c r="Q56">
        <f>IF($J56&gt;MAX('Match Log'!$A$4:$A$311),NA(),IFERROR(LOOKUP(2,1/(('Match Log'!$D$4:$D$311=$Q$24)*('Match Log'!$A$4:$A$311&lt;=$J56)),'Match Log'!$N$4:$N$311),NA()))</f>
        <v>1004.2142857142857</v>
      </c>
      <c r="R56">
        <f>IF($J56&gt;MAX('Match Log'!$A$4:$A$311),NA(),IFERROR(LOOKUP(2,1/(('Match Log'!$D$4:$D$311=$R$24)*('Match Log'!$A$4:$A$311&lt;=$J56)),'Match Log'!$N$4:$N$311),NA()))</f>
        <v>963.21526807557404</v>
      </c>
      <c r="S56" t="e">
        <f>IF($J56&gt;MAX('Match Log'!$A$4:$A$311),NA(),IFERROR(LOOKUP(2,1/(('Match Log'!$D$4:$D$311=$S$24)*('Match Log'!$A$4:$A$311&lt;=$J56)),'Match Log'!$N$4:$N$311),NA()))</f>
        <v>#N/A</v>
      </c>
      <c r="T56">
        <f>IF($J56&gt;MAX('Match Log'!$A$4:$A$311),NA(),IFERROR(LOOKUP(2,1/(('Match Log'!$D$4:$D$311=$T$24)*('Match Log'!$A$4:$A$311&lt;=$J56)),'Match Log'!$N$4:$N$311),NA()))</f>
        <v>947.91625238930521</v>
      </c>
      <c r="U56">
        <f>IF($J56&gt;MAX('Match Log'!$A$4:$A$311),NA(),IFERROR(LOOKUP(2,1/(('Match Log'!$D$4:$D$311=$U$24)*('Match Log'!$A$4:$A$311&lt;=$J56)),'Match Log'!$N$4:$N$311),NA()))</f>
        <v>1022.0883211691282</v>
      </c>
      <c r="V56" t="e">
        <f>IF($J56&gt;MAX('Match Log'!$A$4:$A$311),NA(),IFERROR(LOOKUP(2,1/(('Match Log'!$D$4:$D$311=$V$24)*('Match Log'!$A$4:$A$311&lt;=$J56)),'Match Log'!$N$4:$N$311),NA()))</f>
        <v>#N/A</v>
      </c>
      <c r="W56" t="e">
        <f>IF($J56&gt;MAX('Match Log'!$A$4:$A$311),NA(),IFERROR(LOOKUP(2,1/(('Match Log'!$D$4:$D$311=$W$24)*('Match Log'!$A$4:$A$311&lt;=$J56)),'Match Log'!$N$4:$N$311),NA()))</f>
        <v>#N/A</v>
      </c>
      <c r="X56" t="e">
        <f>IF($J56&gt;MAX('Match Log'!$A$4:$A$311),NA(),IFERROR(LOOKUP(2,1/(('Match Log'!$D$4:$D$311=$X$24)*('Match Log'!$A$4:$A$311&lt;=$J56)),'Match Log'!$N$4:$N$311),NA()))</f>
        <v>#N/A</v>
      </c>
      <c r="Y56" t="str">
        <f t="shared" ca="1" si="18"/>
        <v/>
      </c>
    </row>
    <row r="57" spans="1:25" ht="15" customHeight="1" x14ac:dyDescent="0.2">
      <c r="A57">
        <v>33</v>
      </c>
      <c r="B57" s="132">
        <f>IFERROR(INDEX('Match Log'!$B$4:$B$311,MATCH(33,'Match Log'!$A$4:$A$311,0)),"")</f>
        <v>46175</v>
      </c>
      <c r="C57" t="str">
        <f>IFERROR(INDEX('Match Log'!$C$4:$C$311,MATCH(33,'Match Log'!$A$4:$A$311,0)),"")</f>
        <v>Call of Duty</v>
      </c>
      <c r="D57" t="str">
        <f>IFERROR(INDEX('Match Log'!$G$4:$G$311,MATCH(33,'Match Log'!$A$4:$A$311,0)),"")</f>
        <v>Aaron</v>
      </c>
      <c r="E57" s="133">
        <f>IFERROR(INDEX('Match Log'!$F$4:$F$311,MATCH(33,'Match Log'!$A$4:$A$311,0)),"")</f>
        <v>2</v>
      </c>
      <c r="F57">
        <f>IFERROR(SUMIFS('Match Log'!$I$4:$I$311,'Match Log'!$A$4:$A$311,33,'Match Log'!$E$4:$E$311,"Win"),"")</f>
        <v>0.5</v>
      </c>
      <c r="G57">
        <f t="shared" ref="G57:G88" si="19">IF($D57="","",1-$F57*$E57)</f>
        <v>0</v>
      </c>
      <c r="H57" t="str">
        <f>IFERROR(IF($E57=2,LOOKUP(2,1/(('Match Log'!$A$4:$A$311=33)*('Match Log'!$E$4:$E$311="Loss")),'Match Log'!$D$4:$D$311),"the field"),"")</f>
        <v>Chase</v>
      </c>
      <c r="I57">
        <f t="shared" ref="I57:I88" si="20">IF($G57="","",$G57-$A57/1000000)</f>
        <v>-3.3000000000000003E-5</v>
      </c>
      <c r="J57">
        <v>33</v>
      </c>
      <c r="K57">
        <f>IF($J57&gt;MAX('Match Log'!$A$4:$A$311),NA(),IFERROR(LOOKUP(2,1/(('Match Log'!$D$4:$D$311=$K$24)*('Match Log'!$A$4:$A$311&lt;=$J57)),'Match Log'!$N$4:$N$311),NA()))</f>
        <v>1082.8539049537733</v>
      </c>
      <c r="L57" t="e">
        <f>IF($J57&gt;MAX('Match Log'!$A$4:$A$311),NA(),IFERROR(LOOKUP(2,1/(('Match Log'!$D$4:$D$311=$L$24)*('Match Log'!$A$4:$A$311&lt;=$J57)),'Match Log'!$N$4:$N$311),NA()))</f>
        <v>#N/A</v>
      </c>
      <c r="M57">
        <f>IF($J57&gt;MAX('Match Log'!$A$4:$A$311),NA(),IFERROR(LOOKUP(2,1/(('Match Log'!$D$4:$D$311=$M$24)*('Match Log'!$A$4:$A$311&lt;=$J57)),'Match Log'!$N$4:$N$311),NA()))</f>
        <v>1007.1388204430031</v>
      </c>
      <c r="N57">
        <f>IF($J57&gt;MAX('Match Log'!$A$4:$A$311),NA(),IFERROR(LOOKUP(2,1/(('Match Log'!$D$4:$D$311=$N$24)*('Match Log'!$A$4:$A$311&lt;=$J57)),'Match Log'!$N$4:$N$311),NA()))</f>
        <v>930.80449970221821</v>
      </c>
      <c r="O57">
        <f>IF($J57&gt;MAX('Match Log'!$A$4:$A$311),NA(),IFERROR(LOOKUP(2,1/(('Match Log'!$D$4:$D$311=$O$24)*('Match Log'!$A$4:$A$311&lt;=$J57)),'Match Log'!$N$4:$N$311),NA()))</f>
        <v>1118.294294897735</v>
      </c>
      <c r="P57">
        <f>IF($J57&gt;MAX('Match Log'!$A$4:$A$311),NA(),IFERROR(LOOKUP(2,1/(('Match Log'!$D$4:$D$311=$P$24)*('Match Log'!$A$4:$A$311&lt;=$J57)),'Match Log'!$N$4:$N$311),NA()))</f>
        <v>1007.4743526549773</v>
      </c>
      <c r="Q57">
        <f>IF($J57&gt;MAX('Match Log'!$A$4:$A$311),NA(),IFERROR(LOOKUP(2,1/(('Match Log'!$D$4:$D$311=$Q$24)*('Match Log'!$A$4:$A$311&lt;=$J57)),'Match Log'!$N$4:$N$311),NA()))</f>
        <v>1004.2142857142857</v>
      </c>
      <c r="R57">
        <f>IF($J57&gt;MAX('Match Log'!$A$4:$A$311),NA(),IFERROR(LOOKUP(2,1/(('Match Log'!$D$4:$D$311=$R$24)*('Match Log'!$A$4:$A$311&lt;=$J57)),'Match Log'!$N$4:$N$311),NA()))</f>
        <v>963.21526807557404</v>
      </c>
      <c r="S57" t="e">
        <f>IF($J57&gt;MAX('Match Log'!$A$4:$A$311),NA(),IFERROR(LOOKUP(2,1/(('Match Log'!$D$4:$D$311=$S$24)*('Match Log'!$A$4:$A$311&lt;=$J57)),'Match Log'!$N$4:$N$311),NA()))</f>
        <v>#N/A</v>
      </c>
      <c r="T57">
        <f>IF($J57&gt;MAX('Match Log'!$A$4:$A$311),NA(),IFERROR(LOOKUP(2,1/(('Match Log'!$D$4:$D$311=$T$24)*('Match Log'!$A$4:$A$311&lt;=$J57)),'Match Log'!$N$4:$N$311),NA()))</f>
        <v>947.91625238930521</v>
      </c>
      <c r="U57">
        <f>IF($J57&gt;MAX('Match Log'!$A$4:$A$311),NA(),IFERROR(LOOKUP(2,1/(('Match Log'!$D$4:$D$311=$U$24)*('Match Log'!$A$4:$A$311&lt;=$J57)),'Match Log'!$N$4:$N$311),NA()))</f>
        <v>1022.0883211691282</v>
      </c>
      <c r="V57" t="e">
        <f>IF($J57&gt;MAX('Match Log'!$A$4:$A$311),NA(),IFERROR(LOOKUP(2,1/(('Match Log'!$D$4:$D$311=$V$24)*('Match Log'!$A$4:$A$311&lt;=$J57)),'Match Log'!$N$4:$N$311),NA()))</f>
        <v>#N/A</v>
      </c>
      <c r="W57" t="e">
        <f>IF($J57&gt;MAX('Match Log'!$A$4:$A$311),NA(),IFERROR(LOOKUP(2,1/(('Match Log'!$D$4:$D$311=$W$24)*('Match Log'!$A$4:$A$311&lt;=$J57)),'Match Log'!$N$4:$N$311),NA()))</f>
        <v>#N/A</v>
      </c>
      <c r="X57" t="e">
        <f>IF($J57&gt;MAX('Match Log'!$A$4:$A$311),NA(),IFERROR(LOOKUP(2,1/(('Match Log'!$D$4:$D$311=$X$24)*('Match Log'!$A$4:$A$311&lt;=$J57)),'Match Log'!$N$4:$N$311),NA()))</f>
        <v>#N/A</v>
      </c>
      <c r="Y57" t="str">
        <f t="shared" ref="Y57:Y88" ca="1" si="21">IF(AND($B57&lt;&gt;"",$B57&gt;=$B$5,$I57&lt;&gt;""),$I57,"")</f>
        <v/>
      </c>
    </row>
    <row r="58" spans="1:25" ht="15" customHeight="1" x14ac:dyDescent="0.2">
      <c r="A58">
        <v>34</v>
      </c>
      <c r="B58" s="132">
        <f>IFERROR(INDEX('Match Log'!$B$4:$B$311,MATCH(34,'Match Log'!$A$4:$A$311,0)),"")</f>
        <v>46175</v>
      </c>
      <c r="C58" t="str">
        <f>IFERROR(INDEX('Match Log'!$C$4:$C$311,MATCH(34,'Match Log'!$A$4:$A$311,0)),"")</f>
        <v>Poker</v>
      </c>
      <c r="D58" t="str">
        <f>IFERROR(INDEX('Match Log'!$G$4:$G$311,MATCH(34,'Match Log'!$A$4:$A$311,0)),"")</f>
        <v>Josh</v>
      </c>
      <c r="E58" s="133">
        <f>IFERROR(INDEX('Match Log'!$F$4:$F$311,MATCH(34,'Match Log'!$A$4:$A$311,0)),"")</f>
        <v>3</v>
      </c>
      <c r="F58">
        <f>IFERROR(SUMIFS('Match Log'!$I$4:$I$311,'Match Log'!$A$4:$A$311,34,'Match Log'!$E$4:$E$311,"Win"),"")</f>
        <v>0.33333333333333331</v>
      </c>
      <c r="G58">
        <f t="shared" si="19"/>
        <v>0</v>
      </c>
      <c r="H58" t="str">
        <f>IFERROR(IF($E58=2,LOOKUP(2,1/(('Match Log'!$A$4:$A$311=34)*('Match Log'!$E$4:$E$311="Loss")),'Match Log'!$D$4:$D$311),"the field"),"")</f>
        <v>the field</v>
      </c>
      <c r="I58">
        <f t="shared" si="20"/>
        <v>-3.4E-5</v>
      </c>
      <c r="J58">
        <v>34</v>
      </c>
      <c r="K58">
        <f>IF($J58&gt;MAX('Match Log'!$A$4:$A$311),NA(),IFERROR(LOOKUP(2,1/(('Match Log'!$D$4:$D$311=$K$24)*('Match Log'!$A$4:$A$311&lt;=$J58)),'Match Log'!$N$4:$N$311),NA()))</f>
        <v>1082.8539049537733</v>
      </c>
      <c r="L58" t="e">
        <f>IF($J58&gt;MAX('Match Log'!$A$4:$A$311),NA(),IFERROR(LOOKUP(2,1/(('Match Log'!$D$4:$D$311=$L$24)*('Match Log'!$A$4:$A$311&lt;=$J58)),'Match Log'!$N$4:$N$311),NA()))</f>
        <v>#N/A</v>
      </c>
      <c r="M58">
        <f>IF($J58&gt;MAX('Match Log'!$A$4:$A$311),NA(),IFERROR(LOOKUP(2,1/(('Match Log'!$D$4:$D$311=$M$24)*('Match Log'!$A$4:$A$311&lt;=$J58)),'Match Log'!$N$4:$N$311),NA()))</f>
        <v>1000.614377932863</v>
      </c>
      <c r="N58">
        <f>IF($J58&gt;MAX('Match Log'!$A$4:$A$311),NA(),IFERROR(LOOKUP(2,1/(('Match Log'!$D$4:$D$311=$N$24)*('Match Log'!$A$4:$A$311&lt;=$J58)),'Match Log'!$N$4:$N$311),NA()))</f>
        <v>930.80449970221821</v>
      </c>
      <c r="O58">
        <f>IF($J58&gt;MAX('Match Log'!$A$4:$A$311),NA(),IFERROR(LOOKUP(2,1/(('Match Log'!$D$4:$D$311=$O$24)*('Match Log'!$A$4:$A$311&lt;=$J58)),'Match Log'!$N$4:$N$311),NA()))</f>
        <v>1142.4675628195118</v>
      </c>
      <c r="P58">
        <f>IF($J58&gt;MAX('Match Log'!$A$4:$A$311),NA(),IFERROR(LOOKUP(2,1/(('Match Log'!$D$4:$D$311=$P$24)*('Match Log'!$A$4:$A$311&lt;=$J58)),'Match Log'!$N$4:$N$311),NA()))</f>
        <v>1007.4743526549773</v>
      </c>
      <c r="Q58">
        <f>IF($J58&gt;MAX('Match Log'!$A$4:$A$311),NA(),IFERROR(LOOKUP(2,1/(('Match Log'!$D$4:$D$311=$Q$24)*('Match Log'!$A$4:$A$311&lt;=$J58)),'Match Log'!$N$4:$N$311),NA()))</f>
        <v>1004.2142857142857</v>
      </c>
      <c r="R58">
        <f>IF($J58&gt;MAX('Match Log'!$A$4:$A$311),NA(),IFERROR(LOOKUP(2,1/(('Match Log'!$D$4:$D$311=$R$24)*('Match Log'!$A$4:$A$311&lt;=$J58)),'Match Log'!$N$4:$N$311),NA()))</f>
        <v>957.56644266393732</v>
      </c>
      <c r="S58" t="e">
        <f>IF($J58&gt;MAX('Match Log'!$A$4:$A$311),NA(),IFERROR(LOOKUP(2,1/(('Match Log'!$D$4:$D$311=$S$24)*('Match Log'!$A$4:$A$311&lt;=$J58)),'Match Log'!$N$4:$N$311),NA()))</f>
        <v>#N/A</v>
      </c>
      <c r="T58">
        <f>IF($J58&gt;MAX('Match Log'!$A$4:$A$311),NA(),IFERROR(LOOKUP(2,1/(('Match Log'!$D$4:$D$311=$T$24)*('Match Log'!$A$4:$A$311&lt;=$J58)),'Match Log'!$N$4:$N$311),NA()))</f>
        <v>947.91625238930521</v>
      </c>
      <c r="U58">
        <f>IF($J58&gt;MAX('Match Log'!$A$4:$A$311),NA(),IFERROR(LOOKUP(2,1/(('Match Log'!$D$4:$D$311=$U$24)*('Match Log'!$A$4:$A$311&lt;=$J58)),'Match Log'!$N$4:$N$311),NA()))</f>
        <v>1022.0883211691282</v>
      </c>
      <c r="V58" t="e">
        <f>IF($J58&gt;MAX('Match Log'!$A$4:$A$311),NA(),IFERROR(LOOKUP(2,1/(('Match Log'!$D$4:$D$311=$V$24)*('Match Log'!$A$4:$A$311&lt;=$J58)),'Match Log'!$N$4:$N$311),NA()))</f>
        <v>#N/A</v>
      </c>
      <c r="W58" t="e">
        <f>IF($J58&gt;MAX('Match Log'!$A$4:$A$311),NA(),IFERROR(LOOKUP(2,1/(('Match Log'!$D$4:$D$311=$W$24)*('Match Log'!$A$4:$A$311&lt;=$J58)),'Match Log'!$N$4:$N$311),NA()))</f>
        <v>#N/A</v>
      </c>
      <c r="X58" t="e">
        <f>IF($J58&gt;MAX('Match Log'!$A$4:$A$311),NA(),IFERROR(LOOKUP(2,1/(('Match Log'!$D$4:$D$311=$X$24)*('Match Log'!$A$4:$A$311&lt;=$J58)),'Match Log'!$N$4:$N$311),NA()))</f>
        <v>#N/A</v>
      </c>
      <c r="Y58" t="str">
        <f t="shared" ca="1" si="21"/>
        <v/>
      </c>
    </row>
    <row r="59" spans="1:25" ht="15" customHeight="1" x14ac:dyDescent="0.2">
      <c r="A59">
        <v>35</v>
      </c>
      <c r="B59" s="132">
        <f>IFERROR(INDEX('Match Log'!$B$4:$B$311,MATCH(35,'Match Log'!$A$4:$A$311,0)),"")</f>
        <v>46175</v>
      </c>
      <c r="C59" t="str">
        <f>IFERROR(INDEX('Match Log'!$C$4:$C$311,MATCH(35,'Match Log'!$A$4:$A$311,0)),"")</f>
        <v>Table Tennis</v>
      </c>
      <c r="D59" t="str">
        <f>IFERROR(INDEX('Match Log'!$G$4:$G$311,MATCH(35,'Match Log'!$A$4:$A$311,0)),"")</f>
        <v>David</v>
      </c>
      <c r="E59" s="133">
        <f>IFERROR(INDEX('Match Log'!$F$4:$F$311,MATCH(35,'Match Log'!$A$4:$A$311,0)),"")</f>
        <v>2</v>
      </c>
      <c r="F59">
        <f>IFERROR(SUMIFS('Match Log'!$I$4:$I$311,'Match Log'!$A$4:$A$311,35,'Match Log'!$E$4:$E$311,"Win"),"")</f>
        <v>0.45454545454545447</v>
      </c>
      <c r="G59">
        <f t="shared" si="19"/>
        <v>9.090909090909105E-2</v>
      </c>
      <c r="H59" t="str">
        <f>IFERROR(IF($E59=2,LOOKUP(2,1/(('Match Log'!$A$4:$A$311=35)*('Match Log'!$E$4:$E$311="Loss")),'Match Log'!$D$4:$D$311),"the field"),"")</f>
        <v>Cody</v>
      </c>
      <c r="I59">
        <f t="shared" si="20"/>
        <v>9.0874090909091057E-2</v>
      </c>
      <c r="J59">
        <v>35</v>
      </c>
      <c r="K59">
        <f>IF($J59&gt;MAX('Match Log'!$A$4:$A$311),NA(),IFERROR(LOOKUP(2,1/(('Match Log'!$D$4:$D$311=$K$24)*('Match Log'!$A$4:$A$311&lt;=$J59)),'Match Log'!$N$4:$N$311),NA()))</f>
        <v>1082.8539049537733</v>
      </c>
      <c r="L59" t="e">
        <f>IF($J59&gt;MAX('Match Log'!$A$4:$A$311),NA(),IFERROR(LOOKUP(2,1/(('Match Log'!$D$4:$D$311=$L$24)*('Match Log'!$A$4:$A$311&lt;=$J59)),'Match Log'!$N$4:$N$311),NA()))</f>
        <v>#N/A</v>
      </c>
      <c r="M59">
        <f>IF($J59&gt;MAX('Match Log'!$A$4:$A$311),NA(),IFERROR(LOOKUP(2,1/(('Match Log'!$D$4:$D$311=$M$24)*('Match Log'!$A$4:$A$311&lt;=$J59)),'Match Log'!$N$4:$N$311),NA()))</f>
        <v>1000.614377932863</v>
      </c>
      <c r="N59">
        <f>IF($J59&gt;MAX('Match Log'!$A$4:$A$311),NA(),IFERROR(LOOKUP(2,1/(('Match Log'!$D$4:$D$311=$N$24)*('Match Log'!$A$4:$A$311&lt;=$J59)),'Match Log'!$N$4:$N$311),NA()))</f>
        <v>954.03597311791009</v>
      </c>
      <c r="O59">
        <f>IF($J59&gt;MAX('Match Log'!$A$4:$A$311),NA(),IFERROR(LOOKUP(2,1/(('Match Log'!$D$4:$D$311=$O$24)*('Match Log'!$A$4:$A$311&lt;=$J59)),'Match Log'!$N$4:$N$311),NA()))</f>
        <v>1142.4675628195118</v>
      </c>
      <c r="P59">
        <f>IF($J59&gt;MAX('Match Log'!$A$4:$A$311),NA(),IFERROR(LOOKUP(2,1/(('Match Log'!$D$4:$D$311=$P$24)*('Match Log'!$A$4:$A$311&lt;=$J59)),'Match Log'!$N$4:$N$311),NA()))</f>
        <v>1007.4743526549773</v>
      </c>
      <c r="Q59">
        <f>IF($J59&gt;MAX('Match Log'!$A$4:$A$311),NA(),IFERROR(LOOKUP(2,1/(('Match Log'!$D$4:$D$311=$Q$24)*('Match Log'!$A$4:$A$311&lt;=$J59)),'Match Log'!$N$4:$N$311),NA()))</f>
        <v>1004.2142857142857</v>
      </c>
      <c r="R59">
        <f>IF($J59&gt;MAX('Match Log'!$A$4:$A$311),NA(),IFERROR(LOOKUP(2,1/(('Match Log'!$D$4:$D$311=$R$24)*('Match Log'!$A$4:$A$311&lt;=$J59)),'Match Log'!$N$4:$N$311),NA()))</f>
        <v>957.56644266393732</v>
      </c>
      <c r="S59" t="e">
        <f>IF($J59&gt;MAX('Match Log'!$A$4:$A$311),NA(),IFERROR(LOOKUP(2,1/(('Match Log'!$D$4:$D$311=$S$24)*('Match Log'!$A$4:$A$311&lt;=$J59)),'Match Log'!$N$4:$N$311),NA()))</f>
        <v>#N/A</v>
      </c>
      <c r="T59">
        <f>IF($J59&gt;MAX('Match Log'!$A$4:$A$311),NA(),IFERROR(LOOKUP(2,1/(('Match Log'!$D$4:$D$311=$T$24)*('Match Log'!$A$4:$A$311&lt;=$J59)),'Match Log'!$N$4:$N$311),NA()))</f>
        <v>924.68477897361333</v>
      </c>
      <c r="U59">
        <f>IF($J59&gt;MAX('Match Log'!$A$4:$A$311),NA(),IFERROR(LOOKUP(2,1/(('Match Log'!$D$4:$D$311=$U$24)*('Match Log'!$A$4:$A$311&lt;=$J59)),'Match Log'!$N$4:$N$311),NA()))</f>
        <v>1022.0883211691282</v>
      </c>
      <c r="V59" t="e">
        <f>IF($J59&gt;MAX('Match Log'!$A$4:$A$311),NA(),IFERROR(LOOKUP(2,1/(('Match Log'!$D$4:$D$311=$V$24)*('Match Log'!$A$4:$A$311&lt;=$J59)),'Match Log'!$N$4:$N$311),NA()))</f>
        <v>#N/A</v>
      </c>
      <c r="W59" t="e">
        <f>IF($J59&gt;MAX('Match Log'!$A$4:$A$311),NA(),IFERROR(LOOKUP(2,1/(('Match Log'!$D$4:$D$311=$W$24)*('Match Log'!$A$4:$A$311&lt;=$J59)),'Match Log'!$N$4:$N$311),NA()))</f>
        <v>#N/A</v>
      </c>
      <c r="X59" t="e">
        <f>IF($J59&gt;MAX('Match Log'!$A$4:$A$311),NA(),IFERROR(LOOKUP(2,1/(('Match Log'!$D$4:$D$311=$X$24)*('Match Log'!$A$4:$A$311&lt;=$J59)),'Match Log'!$N$4:$N$311),NA()))</f>
        <v>#N/A</v>
      </c>
      <c r="Y59" t="str">
        <f t="shared" ca="1" si="21"/>
        <v/>
      </c>
    </row>
    <row r="60" spans="1:25" ht="15" customHeight="1" x14ac:dyDescent="0.2">
      <c r="A60">
        <v>36</v>
      </c>
      <c r="B60" s="132">
        <f>IFERROR(INDEX('Match Log'!$B$4:$B$311,MATCH(36,'Match Log'!$A$4:$A$311,0)),"")</f>
        <v>46175</v>
      </c>
      <c r="C60" t="str">
        <f>IFERROR(INDEX('Match Log'!$C$4:$C$311,MATCH(36,'Match Log'!$A$4:$A$311,0)),"")</f>
        <v>Table Tennis</v>
      </c>
      <c r="D60" t="str">
        <f>IFERROR(INDEX('Match Log'!$G$4:$G$311,MATCH(36,'Match Log'!$A$4:$A$311,0)),"")</f>
        <v>Josh</v>
      </c>
      <c r="E60" s="133">
        <f>IFERROR(INDEX('Match Log'!$F$4:$F$311,MATCH(36,'Match Log'!$A$4:$A$311,0)),"")</f>
        <v>2</v>
      </c>
      <c r="F60">
        <f>IFERROR(SUMIFS('Match Log'!$I$4:$I$311,'Match Log'!$A$4:$A$311,36,'Match Log'!$E$4:$E$311,"Win"),"")</f>
        <v>0.7567567567567568</v>
      </c>
      <c r="G60">
        <f t="shared" si="19"/>
        <v>-0.5135135135135136</v>
      </c>
      <c r="H60" t="str">
        <f>IFERROR(IF($E60=2,LOOKUP(2,1/(('Match Log'!$A$4:$A$311=36)*('Match Log'!$E$4:$E$311="Loss")),'Match Log'!$D$4:$D$311),"the field"),"")</f>
        <v>David</v>
      </c>
      <c r="I60">
        <f t="shared" si="20"/>
        <v>-0.51354951351351363</v>
      </c>
      <c r="J60">
        <v>36</v>
      </c>
      <c r="K60">
        <f>IF($J60&gt;MAX('Match Log'!$A$4:$A$311),NA(),IFERROR(LOOKUP(2,1/(('Match Log'!$D$4:$D$311=$K$24)*('Match Log'!$A$4:$A$311&lt;=$J60)),'Match Log'!$N$4:$N$311),NA()))</f>
        <v>1082.8539049537733</v>
      </c>
      <c r="L60" t="e">
        <f>IF($J60&gt;MAX('Match Log'!$A$4:$A$311),NA(),IFERROR(LOOKUP(2,1/(('Match Log'!$D$4:$D$311=$L$24)*('Match Log'!$A$4:$A$311&lt;=$J60)),'Match Log'!$N$4:$N$311),NA()))</f>
        <v>#N/A</v>
      </c>
      <c r="M60">
        <f>IF($J60&gt;MAX('Match Log'!$A$4:$A$311),NA(),IFERROR(LOOKUP(2,1/(('Match Log'!$D$4:$D$311=$M$24)*('Match Log'!$A$4:$A$311&lt;=$J60)),'Match Log'!$N$4:$N$311),NA()))</f>
        <v>1000.614377932863</v>
      </c>
      <c r="N60">
        <f>IF($J60&gt;MAX('Match Log'!$A$4:$A$311),NA(),IFERROR(LOOKUP(2,1/(('Match Log'!$D$4:$D$311=$N$24)*('Match Log'!$A$4:$A$311&lt;=$J60)),'Match Log'!$N$4:$N$311),NA()))</f>
        <v>941.85442451275833</v>
      </c>
      <c r="O60">
        <f>IF($J60&gt;MAX('Match Log'!$A$4:$A$311),NA(),IFERROR(LOOKUP(2,1/(('Match Log'!$D$4:$D$311=$O$24)*('Match Log'!$A$4:$A$311&lt;=$J60)),'Match Log'!$N$4:$N$311),NA()))</f>
        <v>1154.6491114246637</v>
      </c>
      <c r="P60">
        <f>IF($J60&gt;MAX('Match Log'!$A$4:$A$311),NA(),IFERROR(LOOKUP(2,1/(('Match Log'!$D$4:$D$311=$P$24)*('Match Log'!$A$4:$A$311&lt;=$J60)),'Match Log'!$N$4:$N$311),NA()))</f>
        <v>1007.4743526549773</v>
      </c>
      <c r="Q60">
        <f>IF($J60&gt;MAX('Match Log'!$A$4:$A$311),NA(),IFERROR(LOOKUP(2,1/(('Match Log'!$D$4:$D$311=$Q$24)*('Match Log'!$A$4:$A$311&lt;=$J60)),'Match Log'!$N$4:$N$311),NA()))</f>
        <v>1004.2142857142857</v>
      </c>
      <c r="R60">
        <f>IF($J60&gt;MAX('Match Log'!$A$4:$A$311),NA(),IFERROR(LOOKUP(2,1/(('Match Log'!$D$4:$D$311=$R$24)*('Match Log'!$A$4:$A$311&lt;=$J60)),'Match Log'!$N$4:$N$311),NA()))</f>
        <v>957.56644266393732</v>
      </c>
      <c r="S60" t="e">
        <f>IF($J60&gt;MAX('Match Log'!$A$4:$A$311),NA(),IFERROR(LOOKUP(2,1/(('Match Log'!$D$4:$D$311=$S$24)*('Match Log'!$A$4:$A$311&lt;=$J60)),'Match Log'!$N$4:$N$311),NA()))</f>
        <v>#N/A</v>
      </c>
      <c r="T60">
        <f>IF($J60&gt;MAX('Match Log'!$A$4:$A$311),NA(),IFERROR(LOOKUP(2,1/(('Match Log'!$D$4:$D$311=$T$24)*('Match Log'!$A$4:$A$311&lt;=$J60)),'Match Log'!$N$4:$N$311),NA()))</f>
        <v>924.68477897361333</v>
      </c>
      <c r="U60">
        <f>IF($J60&gt;MAX('Match Log'!$A$4:$A$311),NA(),IFERROR(LOOKUP(2,1/(('Match Log'!$D$4:$D$311=$U$24)*('Match Log'!$A$4:$A$311&lt;=$J60)),'Match Log'!$N$4:$N$311),NA()))</f>
        <v>1022.0883211691282</v>
      </c>
      <c r="V60" t="e">
        <f>IF($J60&gt;MAX('Match Log'!$A$4:$A$311),NA(),IFERROR(LOOKUP(2,1/(('Match Log'!$D$4:$D$311=$V$24)*('Match Log'!$A$4:$A$311&lt;=$J60)),'Match Log'!$N$4:$N$311),NA()))</f>
        <v>#N/A</v>
      </c>
      <c r="W60" t="e">
        <f>IF($J60&gt;MAX('Match Log'!$A$4:$A$311),NA(),IFERROR(LOOKUP(2,1/(('Match Log'!$D$4:$D$311=$W$24)*('Match Log'!$A$4:$A$311&lt;=$J60)),'Match Log'!$N$4:$N$311),NA()))</f>
        <v>#N/A</v>
      </c>
      <c r="X60" t="e">
        <f>IF($J60&gt;MAX('Match Log'!$A$4:$A$311),NA(),IFERROR(LOOKUP(2,1/(('Match Log'!$D$4:$D$311=$X$24)*('Match Log'!$A$4:$A$311&lt;=$J60)),'Match Log'!$N$4:$N$311),NA()))</f>
        <v>#N/A</v>
      </c>
      <c r="Y60" t="str">
        <f t="shared" ca="1" si="21"/>
        <v/>
      </c>
    </row>
    <row r="61" spans="1:25" ht="15" customHeight="1" x14ac:dyDescent="0.2">
      <c r="A61">
        <v>37</v>
      </c>
      <c r="B61" s="132">
        <f>IFERROR(INDEX('Match Log'!$B$4:$B$311,MATCH(37,'Match Log'!$A$4:$A$311,0)),"")</f>
        <v>46175</v>
      </c>
      <c r="C61" t="str">
        <f>IFERROR(INDEX('Match Log'!$C$4:$C$311,MATCH(37,'Match Log'!$A$4:$A$311,0)),"")</f>
        <v>Table Tennis</v>
      </c>
      <c r="D61" t="str">
        <f>IFERROR(INDEX('Match Log'!$G$4:$G$311,MATCH(37,'Match Log'!$A$4:$A$311,0)),"")</f>
        <v>Josh</v>
      </c>
      <c r="E61" s="133">
        <f>IFERROR(INDEX('Match Log'!$F$4:$F$311,MATCH(37,'Match Log'!$A$4:$A$311,0)),"")</f>
        <v>2</v>
      </c>
      <c r="F61">
        <f>IFERROR(SUMIFS('Match Log'!$I$4:$I$311,'Match Log'!$A$4:$A$311,37,'Match Log'!$E$4:$E$311,"Win"),"")</f>
        <v>0.84375</v>
      </c>
      <c r="G61">
        <f t="shared" si="19"/>
        <v>-0.6875</v>
      </c>
      <c r="H61" t="str">
        <f>IFERROR(IF($E61=2,LOOKUP(2,1/(('Match Log'!$A$4:$A$311=37)*('Match Log'!$E$4:$E$311="Loss")),'Match Log'!$D$4:$D$311),"the field"),"")</f>
        <v>Cody</v>
      </c>
      <c r="I61">
        <f t="shared" si="20"/>
        <v>-0.68753699999999995</v>
      </c>
      <c r="J61">
        <v>37</v>
      </c>
      <c r="K61">
        <f>IF($J61&gt;MAX('Match Log'!$A$4:$A$311),NA(),IFERROR(LOOKUP(2,1/(('Match Log'!$D$4:$D$311=$K$24)*('Match Log'!$A$4:$A$311&lt;=$J61)),'Match Log'!$N$4:$N$311),NA()))</f>
        <v>1082.8539049537733</v>
      </c>
      <c r="L61" t="e">
        <f>IF($J61&gt;MAX('Match Log'!$A$4:$A$311),NA(),IFERROR(LOOKUP(2,1/(('Match Log'!$D$4:$D$311=$L$24)*('Match Log'!$A$4:$A$311&lt;=$J61)),'Match Log'!$N$4:$N$311),NA()))</f>
        <v>#N/A</v>
      </c>
      <c r="M61">
        <f>IF($J61&gt;MAX('Match Log'!$A$4:$A$311),NA(),IFERROR(LOOKUP(2,1/(('Match Log'!$D$4:$D$311=$M$24)*('Match Log'!$A$4:$A$311&lt;=$J61)),'Match Log'!$N$4:$N$311),NA()))</f>
        <v>1000.614377932863</v>
      </c>
      <c r="N61">
        <f>IF($J61&gt;MAX('Match Log'!$A$4:$A$311),NA(),IFERROR(LOOKUP(2,1/(('Match Log'!$D$4:$D$311=$N$24)*('Match Log'!$A$4:$A$311&lt;=$J61)),'Match Log'!$N$4:$N$311),NA()))</f>
        <v>941.85442451275833</v>
      </c>
      <c r="O61">
        <f>IF($J61&gt;MAX('Match Log'!$A$4:$A$311),NA(),IFERROR(LOOKUP(2,1/(('Match Log'!$D$4:$D$311=$O$24)*('Match Log'!$A$4:$A$311&lt;=$J61)),'Match Log'!$N$4:$N$311),NA()))</f>
        <v>1164.5283019156898</v>
      </c>
      <c r="P61">
        <f>IF($J61&gt;MAX('Match Log'!$A$4:$A$311),NA(),IFERROR(LOOKUP(2,1/(('Match Log'!$D$4:$D$311=$P$24)*('Match Log'!$A$4:$A$311&lt;=$J61)),'Match Log'!$N$4:$N$311),NA()))</f>
        <v>1007.4743526549773</v>
      </c>
      <c r="Q61">
        <f>IF($J61&gt;MAX('Match Log'!$A$4:$A$311),NA(),IFERROR(LOOKUP(2,1/(('Match Log'!$D$4:$D$311=$Q$24)*('Match Log'!$A$4:$A$311&lt;=$J61)),'Match Log'!$N$4:$N$311),NA()))</f>
        <v>1004.2142857142857</v>
      </c>
      <c r="R61">
        <f>IF($J61&gt;MAX('Match Log'!$A$4:$A$311),NA(),IFERROR(LOOKUP(2,1/(('Match Log'!$D$4:$D$311=$R$24)*('Match Log'!$A$4:$A$311&lt;=$J61)),'Match Log'!$N$4:$N$311),NA()))</f>
        <v>957.56644266393732</v>
      </c>
      <c r="S61" t="e">
        <f>IF($J61&gt;MAX('Match Log'!$A$4:$A$311),NA(),IFERROR(LOOKUP(2,1/(('Match Log'!$D$4:$D$311=$S$24)*('Match Log'!$A$4:$A$311&lt;=$J61)),'Match Log'!$N$4:$N$311),NA()))</f>
        <v>#N/A</v>
      </c>
      <c r="T61">
        <f>IF($J61&gt;MAX('Match Log'!$A$4:$A$311),NA(),IFERROR(LOOKUP(2,1/(('Match Log'!$D$4:$D$311=$T$24)*('Match Log'!$A$4:$A$311&lt;=$J61)),'Match Log'!$N$4:$N$311),NA()))</f>
        <v>914.80558848258727</v>
      </c>
      <c r="U61">
        <f>IF($J61&gt;MAX('Match Log'!$A$4:$A$311),NA(),IFERROR(LOOKUP(2,1/(('Match Log'!$D$4:$D$311=$U$24)*('Match Log'!$A$4:$A$311&lt;=$J61)),'Match Log'!$N$4:$N$311),NA()))</f>
        <v>1022.0883211691282</v>
      </c>
      <c r="V61" t="e">
        <f>IF($J61&gt;MAX('Match Log'!$A$4:$A$311),NA(),IFERROR(LOOKUP(2,1/(('Match Log'!$D$4:$D$311=$V$24)*('Match Log'!$A$4:$A$311&lt;=$J61)),'Match Log'!$N$4:$N$311),NA()))</f>
        <v>#N/A</v>
      </c>
      <c r="W61" t="e">
        <f>IF($J61&gt;MAX('Match Log'!$A$4:$A$311),NA(),IFERROR(LOOKUP(2,1/(('Match Log'!$D$4:$D$311=$W$24)*('Match Log'!$A$4:$A$311&lt;=$J61)),'Match Log'!$N$4:$N$311),NA()))</f>
        <v>#N/A</v>
      </c>
      <c r="X61" t="e">
        <f>IF($J61&gt;MAX('Match Log'!$A$4:$A$311),NA(),IFERROR(LOOKUP(2,1/(('Match Log'!$D$4:$D$311=$X$24)*('Match Log'!$A$4:$A$311&lt;=$J61)),'Match Log'!$N$4:$N$311),NA()))</f>
        <v>#N/A</v>
      </c>
      <c r="Y61" t="str">
        <f t="shared" ca="1" si="21"/>
        <v/>
      </c>
    </row>
    <row r="62" spans="1:25" ht="15" customHeight="1" x14ac:dyDescent="0.2">
      <c r="A62">
        <v>38</v>
      </c>
      <c r="B62" s="132">
        <f>IFERROR(INDEX('Match Log'!$B$4:$B$311,MATCH(38,'Match Log'!$A$4:$A$311,0)),"")</f>
        <v>46176</v>
      </c>
      <c r="C62" t="str">
        <f>IFERROR(INDEX('Match Log'!$C$4:$C$311,MATCH(38,'Match Log'!$A$4:$A$311,0)),"")</f>
        <v>Pool</v>
      </c>
      <c r="D62" t="str">
        <f>IFERROR(INDEX('Match Log'!$G$4:$G$311,MATCH(38,'Match Log'!$A$4:$A$311,0)),"")</f>
        <v>Dean B</v>
      </c>
      <c r="E62" s="133">
        <f>IFERROR(INDEX('Match Log'!$F$4:$F$311,MATCH(38,'Match Log'!$A$4:$A$311,0)),"")</f>
        <v>2</v>
      </c>
      <c r="F62">
        <f>IFERROR(SUMIFS('Match Log'!$I$4:$I$311,'Match Log'!$A$4:$A$311,38,'Match Log'!$E$4:$E$311,"Win"),"")</f>
        <v>0.5</v>
      </c>
      <c r="G62">
        <f t="shared" si="19"/>
        <v>0</v>
      </c>
      <c r="H62" t="str">
        <f>IFERROR(IF($E62=2,LOOKUP(2,1/(('Match Log'!$A$4:$A$311=38)*('Match Log'!$E$4:$E$311="Loss")),'Match Log'!$D$4:$D$311),"the field"),"")</f>
        <v>Oscar</v>
      </c>
      <c r="I62">
        <f t="shared" si="20"/>
        <v>-3.8000000000000002E-5</v>
      </c>
      <c r="J62">
        <v>38</v>
      </c>
      <c r="K62">
        <f>IF($J62&gt;MAX('Match Log'!$A$4:$A$311),NA(),IFERROR(LOOKUP(2,1/(('Match Log'!$D$4:$D$311=$K$24)*('Match Log'!$A$4:$A$311&lt;=$J62)),'Match Log'!$N$4:$N$311),NA()))</f>
        <v>1082.8539049537733</v>
      </c>
      <c r="L62" t="e">
        <f>IF($J62&gt;MAX('Match Log'!$A$4:$A$311),NA(),IFERROR(LOOKUP(2,1/(('Match Log'!$D$4:$D$311=$L$24)*('Match Log'!$A$4:$A$311&lt;=$J62)),'Match Log'!$N$4:$N$311),NA()))</f>
        <v>#N/A</v>
      </c>
      <c r="M62">
        <f>IF($J62&gt;MAX('Match Log'!$A$4:$A$311),NA(),IFERROR(LOOKUP(2,1/(('Match Log'!$D$4:$D$311=$M$24)*('Match Log'!$A$4:$A$311&lt;=$J62)),'Match Log'!$N$4:$N$311),NA()))</f>
        <v>1000.614377932863</v>
      </c>
      <c r="N62">
        <f>IF($J62&gt;MAX('Match Log'!$A$4:$A$311),NA(),IFERROR(LOOKUP(2,1/(('Match Log'!$D$4:$D$311=$N$24)*('Match Log'!$A$4:$A$311&lt;=$J62)),'Match Log'!$N$4:$N$311),NA()))</f>
        <v>941.85442451275833</v>
      </c>
      <c r="O62">
        <f>IF($J62&gt;MAX('Match Log'!$A$4:$A$311),NA(),IFERROR(LOOKUP(2,1/(('Match Log'!$D$4:$D$311=$O$24)*('Match Log'!$A$4:$A$311&lt;=$J62)),'Match Log'!$N$4:$N$311),NA()))</f>
        <v>1164.5283019156898</v>
      </c>
      <c r="P62">
        <f>IF($J62&gt;MAX('Match Log'!$A$4:$A$311),NA(),IFERROR(LOOKUP(2,1/(('Match Log'!$D$4:$D$311=$P$24)*('Match Log'!$A$4:$A$311&lt;=$J62)),'Match Log'!$N$4:$N$311),NA()))</f>
        <v>1007.4743526549773</v>
      </c>
      <c r="Q62">
        <f>IF($J62&gt;MAX('Match Log'!$A$4:$A$311),NA(),IFERROR(LOOKUP(2,1/(('Match Log'!$D$4:$D$311=$Q$24)*('Match Log'!$A$4:$A$311&lt;=$J62)),'Match Log'!$N$4:$N$311),NA()))</f>
        <v>1004.2142857142857</v>
      </c>
      <c r="R62">
        <f>IF($J62&gt;MAX('Match Log'!$A$4:$A$311),NA(),IFERROR(LOOKUP(2,1/(('Match Log'!$D$4:$D$311=$R$24)*('Match Log'!$A$4:$A$311&lt;=$J62)),'Match Log'!$N$4:$N$311),NA()))</f>
        <v>957.56644266393732</v>
      </c>
      <c r="S62">
        <f>IF($J62&gt;MAX('Match Log'!$A$4:$A$311),NA(),IFERROR(LOOKUP(2,1/(('Match Log'!$D$4:$D$311=$S$24)*('Match Log'!$A$4:$A$311&lt;=$J62)),'Match Log'!$N$4:$N$311),NA()))</f>
        <v>1023.0158365406871</v>
      </c>
      <c r="T62">
        <f>IF($J62&gt;MAX('Match Log'!$A$4:$A$311),NA(),IFERROR(LOOKUP(2,1/(('Match Log'!$D$4:$D$311=$T$24)*('Match Log'!$A$4:$A$311&lt;=$J62)),'Match Log'!$N$4:$N$311),NA()))</f>
        <v>914.80558848258727</v>
      </c>
      <c r="U62">
        <f>IF($J62&gt;MAX('Match Log'!$A$4:$A$311),NA(),IFERROR(LOOKUP(2,1/(('Match Log'!$D$4:$D$311=$U$24)*('Match Log'!$A$4:$A$311&lt;=$J62)),'Match Log'!$N$4:$N$311),NA()))</f>
        <v>999.07248462844109</v>
      </c>
      <c r="V62" t="e">
        <f>IF($J62&gt;MAX('Match Log'!$A$4:$A$311),NA(),IFERROR(LOOKUP(2,1/(('Match Log'!$D$4:$D$311=$V$24)*('Match Log'!$A$4:$A$311&lt;=$J62)),'Match Log'!$N$4:$N$311),NA()))</f>
        <v>#N/A</v>
      </c>
      <c r="W62" t="e">
        <f>IF($J62&gt;MAX('Match Log'!$A$4:$A$311),NA(),IFERROR(LOOKUP(2,1/(('Match Log'!$D$4:$D$311=$W$24)*('Match Log'!$A$4:$A$311&lt;=$J62)),'Match Log'!$N$4:$N$311),NA()))</f>
        <v>#N/A</v>
      </c>
      <c r="X62" t="e">
        <f>IF($J62&gt;MAX('Match Log'!$A$4:$A$311),NA(),IFERROR(LOOKUP(2,1/(('Match Log'!$D$4:$D$311=$X$24)*('Match Log'!$A$4:$A$311&lt;=$J62)),'Match Log'!$N$4:$N$311),NA()))</f>
        <v>#N/A</v>
      </c>
      <c r="Y62" t="str">
        <f t="shared" ca="1" si="21"/>
        <v/>
      </c>
    </row>
    <row r="63" spans="1:25" ht="15" customHeight="1" x14ac:dyDescent="0.2">
      <c r="A63">
        <v>39</v>
      </c>
      <c r="B63" s="132">
        <f>IFERROR(INDEX('Match Log'!$B$4:$B$311,MATCH(39,'Match Log'!$A$4:$A$311,0)),"")</f>
        <v>46176</v>
      </c>
      <c r="C63" t="str">
        <f>IFERROR(INDEX('Match Log'!$C$4:$C$311,MATCH(39,'Match Log'!$A$4:$A$311,0)),"")</f>
        <v>Pool</v>
      </c>
      <c r="D63" t="str">
        <f>IFERROR(INDEX('Match Log'!$G$4:$G$311,MATCH(39,'Match Log'!$A$4:$A$311,0)),"")</f>
        <v>Dean B</v>
      </c>
      <c r="E63" s="133">
        <f>IFERROR(INDEX('Match Log'!$F$4:$F$311,MATCH(39,'Match Log'!$A$4:$A$311,0)),"")</f>
        <v>2</v>
      </c>
      <c r="F63">
        <f>IFERROR(SUMIFS('Match Log'!$I$4:$I$311,'Match Log'!$A$4:$A$311,39,'Match Log'!$E$4:$E$311,"Win"),"")</f>
        <v>0.66666666666666663</v>
      </c>
      <c r="G63">
        <f t="shared" si="19"/>
        <v>-0.33333333333333326</v>
      </c>
      <c r="H63" t="str">
        <f>IFERROR(IF($E63=2,LOOKUP(2,1/(('Match Log'!$A$4:$A$311=39)*('Match Log'!$E$4:$E$311="Loss")),'Match Log'!$D$4:$D$311),"the field"),"")</f>
        <v>Oscar</v>
      </c>
      <c r="I63">
        <f t="shared" si="20"/>
        <v>-0.33337233333333327</v>
      </c>
      <c r="J63">
        <v>39</v>
      </c>
      <c r="K63">
        <f>IF($J63&gt;MAX('Match Log'!$A$4:$A$311),NA(),IFERROR(LOOKUP(2,1/(('Match Log'!$D$4:$D$311=$K$24)*('Match Log'!$A$4:$A$311&lt;=$J63)),'Match Log'!$N$4:$N$311),NA()))</f>
        <v>1082.8539049537733</v>
      </c>
      <c r="L63" t="e">
        <f>IF($J63&gt;MAX('Match Log'!$A$4:$A$311),NA(),IFERROR(LOOKUP(2,1/(('Match Log'!$D$4:$D$311=$L$24)*('Match Log'!$A$4:$A$311&lt;=$J63)),'Match Log'!$N$4:$N$311),NA()))</f>
        <v>#N/A</v>
      </c>
      <c r="M63">
        <f>IF($J63&gt;MAX('Match Log'!$A$4:$A$311),NA(),IFERROR(LOOKUP(2,1/(('Match Log'!$D$4:$D$311=$M$24)*('Match Log'!$A$4:$A$311&lt;=$J63)),'Match Log'!$N$4:$N$311),NA()))</f>
        <v>1000.614377932863</v>
      </c>
      <c r="N63">
        <f>IF($J63&gt;MAX('Match Log'!$A$4:$A$311),NA(),IFERROR(LOOKUP(2,1/(('Match Log'!$D$4:$D$311=$N$24)*('Match Log'!$A$4:$A$311&lt;=$J63)),'Match Log'!$N$4:$N$311),NA()))</f>
        <v>941.85442451275833</v>
      </c>
      <c r="O63">
        <f>IF($J63&gt;MAX('Match Log'!$A$4:$A$311),NA(),IFERROR(LOOKUP(2,1/(('Match Log'!$D$4:$D$311=$O$24)*('Match Log'!$A$4:$A$311&lt;=$J63)),'Match Log'!$N$4:$N$311),NA()))</f>
        <v>1164.5283019156898</v>
      </c>
      <c r="P63">
        <f>IF($J63&gt;MAX('Match Log'!$A$4:$A$311),NA(),IFERROR(LOOKUP(2,1/(('Match Log'!$D$4:$D$311=$P$24)*('Match Log'!$A$4:$A$311&lt;=$J63)),'Match Log'!$N$4:$N$311),NA()))</f>
        <v>1007.4743526549773</v>
      </c>
      <c r="Q63">
        <f>IF($J63&gt;MAX('Match Log'!$A$4:$A$311),NA(),IFERROR(LOOKUP(2,1/(('Match Log'!$D$4:$D$311=$Q$24)*('Match Log'!$A$4:$A$311&lt;=$J63)),'Match Log'!$N$4:$N$311),NA()))</f>
        <v>1004.2142857142857</v>
      </c>
      <c r="R63">
        <f>IF($J63&gt;MAX('Match Log'!$A$4:$A$311),NA(),IFERROR(LOOKUP(2,1/(('Match Log'!$D$4:$D$311=$R$24)*('Match Log'!$A$4:$A$311&lt;=$J63)),'Match Log'!$N$4:$N$311),NA()))</f>
        <v>957.56644266393732</v>
      </c>
      <c r="S63">
        <f>IF($J63&gt;MAX('Match Log'!$A$4:$A$311),NA(),IFERROR(LOOKUP(2,1/(('Match Log'!$D$4:$D$311=$S$24)*('Match Log'!$A$4:$A$311&lt;=$J63)),'Match Log'!$N$4:$N$311),NA()))</f>
        <v>1041.8534190291462</v>
      </c>
      <c r="T63">
        <f>IF($J63&gt;MAX('Match Log'!$A$4:$A$311),NA(),IFERROR(LOOKUP(2,1/(('Match Log'!$D$4:$D$311=$T$24)*('Match Log'!$A$4:$A$311&lt;=$J63)),'Match Log'!$N$4:$N$311),NA()))</f>
        <v>914.80558848258727</v>
      </c>
      <c r="U63">
        <f>IF($J63&gt;MAX('Match Log'!$A$4:$A$311),NA(),IFERROR(LOOKUP(2,1/(('Match Log'!$D$4:$D$311=$U$24)*('Match Log'!$A$4:$A$311&lt;=$J63)),'Match Log'!$N$4:$N$311),NA()))</f>
        <v>980.23490213998207</v>
      </c>
      <c r="V63" t="e">
        <f>IF($J63&gt;MAX('Match Log'!$A$4:$A$311),NA(),IFERROR(LOOKUP(2,1/(('Match Log'!$D$4:$D$311=$V$24)*('Match Log'!$A$4:$A$311&lt;=$J63)),'Match Log'!$N$4:$N$311),NA()))</f>
        <v>#N/A</v>
      </c>
      <c r="W63" t="e">
        <f>IF($J63&gt;MAX('Match Log'!$A$4:$A$311),NA(),IFERROR(LOOKUP(2,1/(('Match Log'!$D$4:$D$311=$W$24)*('Match Log'!$A$4:$A$311&lt;=$J63)),'Match Log'!$N$4:$N$311),NA()))</f>
        <v>#N/A</v>
      </c>
      <c r="X63" t="e">
        <f>IF($J63&gt;MAX('Match Log'!$A$4:$A$311),NA(),IFERROR(LOOKUP(2,1/(('Match Log'!$D$4:$D$311=$X$24)*('Match Log'!$A$4:$A$311&lt;=$J63)),'Match Log'!$N$4:$N$311),NA()))</f>
        <v>#N/A</v>
      </c>
      <c r="Y63" t="str">
        <f t="shared" ca="1" si="21"/>
        <v/>
      </c>
    </row>
    <row r="64" spans="1:25" ht="15" customHeight="1" x14ac:dyDescent="0.2">
      <c r="A64">
        <v>40</v>
      </c>
      <c r="B64" s="132">
        <f>IFERROR(INDEX('Match Log'!$B$4:$B$311,MATCH(40,'Match Log'!$A$4:$A$311,0)),"")</f>
        <v>46176</v>
      </c>
      <c r="C64" t="str">
        <f>IFERROR(INDEX('Match Log'!$C$4:$C$311,MATCH(40,'Match Log'!$A$4:$A$311,0)),"")</f>
        <v>Pool</v>
      </c>
      <c r="D64" t="str">
        <f>IFERROR(INDEX('Match Log'!$G$4:$G$311,MATCH(40,'Match Log'!$A$4:$A$311,0)),"")</f>
        <v>Daniel (Ferret)</v>
      </c>
      <c r="E64" s="133">
        <f>IFERROR(INDEX('Match Log'!$F$4:$F$311,MATCH(40,'Match Log'!$A$4:$A$311,0)),"")</f>
        <v>2</v>
      </c>
      <c r="F64">
        <f>IFERROR(SUMIFS('Match Log'!$I$4:$I$311,'Match Log'!$A$4:$A$311,40,'Match Log'!$E$4:$E$311,"Win"),"")</f>
        <v>0.4</v>
      </c>
      <c r="G64">
        <f t="shared" si="19"/>
        <v>0.19999999999999996</v>
      </c>
      <c r="H64" t="str">
        <f>IFERROR(IF($E64=2,LOOKUP(2,1/(('Match Log'!$A$4:$A$311=40)*('Match Log'!$E$4:$E$311="Loss")),'Match Log'!$D$4:$D$311),"the field"),"")</f>
        <v>Dean B</v>
      </c>
      <c r="I64">
        <f t="shared" si="20"/>
        <v>0.19995999999999994</v>
      </c>
      <c r="J64">
        <v>40</v>
      </c>
      <c r="K64">
        <f>IF($J64&gt;MAX('Match Log'!$A$4:$A$311),NA(),IFERROR(LOOKUP(2,1/(('Match Log'!$D$4:$D$311=$K$24)*('Match Log'!$A$4:$A$311&lt;=$J64)),'Match Log'!$N$4:$N$311),NA()))</f>
        <v>1082.8539049537733</v>
      </c>
      <c r="L64" t="e">
        <f>IF($J64&gt;MAX('Match Log'!$A$4:$A$311),NA(),IFERROR(LOOKUP(2,1/(('Match Log'!$D$4:$D$311=$L$24)*('Match Log'!$A$4:$A$311&lt;=$J64)),'Match Log'!$N$4:$N$311),NA()))</f>
        <v>#N/A</v>
      </c>
      <c r="M64">
        <f>IF($J64&gt;MAX('Match Log'!$A$4:$A$311),NA(),IFERROR(LOOKUP(2,1/(('Match Log'!$D$4:$D$311=$M$24)*('Match Log'!$A$4:$A$311&lt;=$J64)),'Match Log'!$N$4:$N$311),NA()))</f>
        <v>1000.614377932863</v>
      </c>
      <c r="N64">
        <f>IF($J64&gt;MAX('Match Log'!$A$4:$A$311),NA(),IFERROR(LOOKUP(2,1/(('Match Log'!$D$4:$D$311=$N$24)*('Match Log'!$A$4:$A$311&lt;=$J64)),'Match Log'!$N$4:$N$311),NA()))</f>
        <v>941.85442451275833</v>
      </c>
      <c r="O64">
        <f>IF($J64&gt;MAX('Match Log'!$A$4:$A$311),NA(),IFERROR(LOOKUP(2,1/(('Match Log'!$D$4:$D$311=$O$24)*('Match Log'!$A$4:$A$311&lt;=$J64)),'Match Log'!$N$4:$N$311),NA()))</f>
        <v>1164.5283019156898</v>
      </c>
      <c r="P64">
        <f>IF($J64&gt;MAX('Match Log'!$A$4:$A$311),NA(),IFERROR(LOOKUP(2,1/(('Match Log'!$D$4:$D$311=$P$24)*('Match Log'!$A$4:$A$311&lt;=$J64)),'Match Log'!$N$4:$N$311),NA()))</f>
        <v>1007.4743526549773</v>
      </c>
      <c r="Q64">
        <f>IF($J64&gt;MAX('Match Log'!$A$4:$A$311),NA(),IFERROR(LOOKUP(2,1/(('Match Log'!$D$4:$D$311=$Q$24)*('Match Log'!$A$4:$A$311&lt;=$J64)),'Match Log'!$N$4:$N$311),NA()))</f>
        <v>1004.2142857142857</v>
      </c>
      <c r="R64">
        <f>IF($J64&gt;MAX('Match Log'!$A$4:$A$311),NA(),IFERROR(LOOKUP(2,1/(('Match Log'!$D$4:$D$311=$R$24)*('Match Log'!$A$4:$A$311&lt;=$J64)),'Match Log'!$N$4:$N$311),NA()))</f>
        <v>984.43274896980699</v>
      </c>
      <c r="S64">
        <f>IF($J64&gt;MAX('Match Log'!$A$4:$A$311),NA(),IFERROR(LOOKUP(2,1/(('Match Log'!$D$4:$D$311=$S$24)*('Match Log'!$A$4:$A$311&lt;=$J64)),'Match Log'!$N$4:$N$311),NA()))</f>
        <v>1014.9871127232765</v>
      </c>
      <c r="T64">
        <f>IF($J64&gt;MAX('Match Log'!$A$4:$A$311),NA(),IFERROR(LOOKUP(2,1/(('Match Log'!$D$4:$D$311=$T$24)*('Match Log'!$A$4:$A$311&lt;=$J64)),'Match Log'!$N$4:$N$311),NA()))</f>
        <v>914.80558848258727</v>
      </c>
      <c r="U64">
        <f>IF($J64&gt;MAX('Match Log'!$A$4:$A$311),NA(),IFERROR(LOOKUP(2,1/(('Match Log'!$D$4:$D$311=$U$24)*('Match Log'!$A$4:$A$311&lt;=$J64)),'Match Log'!$N$4:$N$311),NA()))</f>
        <v>980.23490213998207</v>
      </c>
      <c r="V64" t="e">
        <f>IF($J64&gt;MAX('Match Log'!$A$4:$A$311),NA(),IFERROR(LOOKUP(2,1/(('Match Log'!$D$4:$D$311=$V$24)*('Match Log'!$A$4:$A$311&lt;=$J64)),'Match Log'!$N$4:$N$311),NA()))</f>
        <v>#N/A</v>
      </c>
      <c r="W64" t="e">
        <f>IF($J64&gt;MAX('Match Log'!$A$4:$A$311),NA(),IFERROR(LOOKUP(2,1/(('Match Log'!$D$4:$D$311=$W$24)*('Match Log'!$A$4:$A$311&lt;=$J64)),'Match Log'!$N$4:$N$311),NA()))</f>
        <v>#N/A</v>
      </c>
      <c r="X64" t="e">
        <f>IF($J64&gt;MAX('Match Log'!$A$4:$A$311),NA(),IFERROR(LOOKUP(2,1/(('Match Log'!$D$4:$D$311=$X$24)*('Match Log'!$A$4:$A$311&lt;=$J64)),'Match Log'!$N$4:$N$311),NA()))</f>
        <v>#N/A</v>
      </c>
      <c r="Y64" t="str">
        <f t="shared" ca="1" si="21"/>
        <v/>
      </c>
    </row>
    <row r="65" spans="1:25" ht="15" customHeight="1" x14ac:dyDescent="0.2">
      <c r="A65">
        <v>41</v>
      </c>
      <c r="B65" s="132">
        <f>IFERROR(INDEX('Match Log'!$B$4:$B$311,MATCH(41,'Match Log'!$A$4:$A$311,0)),"")</f>
        <v>46176</v>
      </c>
      <c r="C65" t="str">
        <f>IFERROR(INDEX('Match Log'!$C$4:$C$311,MATCH(41,'Match Log'!$A$4:$A$311,0)),"")</f>
        <v>Table Tennis</v>
      </c>
      <c r="D65" t="str">
        <f>IFERROR(INDEX('Match Log'!$G$4:$G$311,MATCH(41,'Match Log'!$A$4:$A$311,0)),"")</f>
        <v>Josh</v>
      </c>
      <c r="E65" s="133">
        <f>IFERROR(INDEX('Match Log'!$F$4:$F$311,MATCH(41,'Match Log'!$A$4:$A$311,0)),"")</f>
        <v>2</v>
      </c>
      <c r="F65">
        <f>IFERROR(SUMIFS('Match Log'!$I$4:$I$311,'Match Log'!$A$4:$A$311,41,'Match Log'!$E$4:$E$311,"Win"),"")</f>
        <v>0.78431372549019596</v>
      </c>
      <c r="G65">
        <f t="shared" si="19"/>
        <v>-0.56862745098039191</v>
      </c>
      <c r="H65" t="str">
        <f>IFERROR(IF($E65=2,LOOKUP(2,1/(('Match Log'!$A$4:$A$311=41)*('Match Log'!$E$4:$E$311="Loss")),'Match Log'!$D$4:$D$311),"the field"),"")</f>
        <v>Daniel (Ferret)</v>
      </c>
      <c r="I65">
        <f t="shared" si="20"/>
        <v>-0.56866845098039187</v>
      </c>
      <c r="J65">
        <v>41</v>
      </c>
      <c r="K65">
        <f>IF($J65&gt;MAX('Match Log'!$A$4:$A$311),NA(),IFERROR(LOOKUP(2,1/(('Match Log'!$D$4:$D$311=$K$24)*('Match Log'!$A$4:$A$311&lt;=$J65)),'Match Log'!$N$4:$N$311),NA()))</f>
        <v>1082.8539049537733</v>
      </c>
      <c r="L65" t="e">
        <f>IF($J65&gt;MAX('Match Log'!$A$4:$A$311),NA(),IFERROR(LOOKUP(2,1/(('Match Log'!$D$4:$D$311=$L$24)*('Match Log'!$A$4:$A$311&lt;=$J65)),'Match Log'!$N$4:$N$311),NA()))</f>
        <v>#N/A</v>
      </c>
      <c r="M65">
        <f>IF($J65&gt;MAX('Match Log'!$A$4:$A$311),NA(),IFERROR(LOOKUP(2,1/(('Match Log'!$D$4:$D$311=$M$24)*('Match Log'!$A$4:$A$311&lt;=$J65)),'Match Log'!$N$4:$N$311),NA()))</f>
        <v>1000.614377932863</v>
      </c>
      <c r="N65">
        <f>IF($J65&gt;MAX('Match Log'!$A$4:$A$311),NA(),IFERROR(LOOKUP(2,1/(('Match Log'!$D$4:$D$311=$N$24)*('Match Log'!$A$4:$A$311&lt;=$J65)),'Match Log'!$N$4:$N$311),NA()))</f>
        <v>941.85442451275833</v>
      </c>
      <c r="O65">
        <f>IF($J65&gt;MAX('Match Log'!$A$4:$A$311),NA(),IFERROR(LOOKUP(2,1/(('Match Log'!$D$4:$D$311=$O$24)*('Match Log'!$A$4:$A$311&lt;=$J65)),'Match Log'!$N$4:$N$311),NA()))</f>
        <v>1176.0871765311047</v>
      </c>
      <c r="P65">
        <f>IF($J65&gt;MAX('Match Log'!$A$4:$A$311),NA(),IFERROR(LOOKUP(2,1/(('Match Log'!$D$4:$D$311=$P$24)*('Match Log'!$A$4:$A$311&lt;=$J65)),'Match Log'!$N$4:$N$311),NA()))</f>
        <v>1007.4743526549773</v>
      </c>
      <c r="Q65">
        <f>IF($J65&gt;MAX('Match Log'!$A$4:$A$311),NA(),IFERROR(LOOKUP(2,1/(('Match Log'!$D$4:$D$311=$Q$24)*('Match Log'!$A$4:$A$311&lt;=$J65)),'Match Log'!$N$4:$N$311),NA()))</f>
        <v>1004.2142857142857</v>
      </c>
      <c r="R65">
        <f>IF($J65&gt;MAX('Match Log'!$A$4:$A$311),NA(),IFERROR(LOOKUP(2,1/(('Match Log'!$D$4:$D$311=$R$24)*('Match Log'!$A$4:$A$311&lt;=$J65)),'Match Log'!$N$4:$N$311),NA()))</f>
        <v>972.87387435439211</v>
      </c>
      <c r="S65">
        <f>IF($J65&gt;MAX('Match Log'!$A$4:$A$311),NA(),IFERROR(LOOKUP(2,1/(('Match Log'!$D$4:$D$311=$S$24)*('Match Log'!$A$4:$A$311&lt;=$J65)),'Match Log'!$N$4:$N$311),NA()))</f>
        <v>1014.9871127232765</v>
      </c>
      <c r="T65">
        <f>IF($J65&gt;MAX('Match Log'!$A$4:$A$311),NA(),IFERROR(LOOKUP(2,1/(('Match Log'!$D$4:$D$311=$T$24)*('Match Log'!$A$4:$A$311&lt;=$J65)),'Match Log'!$N$4:$N$311),NA()))</f>
        <v>914.80558848258727</v>
      </c>
      <c r="U65">
        <f>IF($J65&gt;MAX('Match Log'!$A$4:$A$311),NA(),IFERROR(LOOKUP(2,1/(('Match Log'!$D$4:$D$311=$U$24)*('Match Log'!$A$4:$A$311&lt;=$J65)),'Match Log'!$N$4:$N$311),NA()))</f>
        <v>980.23490213998207</v>
      </c>
      <c r="V65" t="e">
        <f>IF($J65&gt;MAX('Match Log'!$A$4:$A$311),NA(),IFERROR(LOOKUP(2,1/(('Match Log'!$D$4:$D$311=$V$24)*('Match Log'!$A$4:$A$311&lt;=$J65)),'Match Log'!$N$4:$N$311),NA()))</f>
        <v>#N/A</v>
      </c>
      <c r="W65" t="e">
        <f>IF($J65&gt;MAX('Match Log'!$A$4:$A$311),NA(),IFERROR(LOOKUP(2,1/(('Match Log'!$D$4:$D$311=$W$24)*('Match Log'!$A$4:$A$311&lt;=$J65)),'Match Log'!$N$4:$N$311),NA()))</f>
        <v>#N/A</v>
      </c>
      <c r="X65" t="e">
        <f>IF($J65&gt;MAX('Match Log'!$A$4:$A$311),NA(),IFERROR(LOOKUP(2,1/(('Match Log'!$D$4:$D$311=$X$24)*('Match Log'!$A$4:$A$311&lt;=$J65)),'Match Log'!$N$4:$N$311),NA()))</f>
        <v>#N/A</v>
      </c>
      <c r="Y65" t="str">
        <f t="shared" ca="1" si="21"/>
        <v/>
      </c>
    </row>
    <row r="66" spans="1:25" ht="15" customHeight="1" x14ac:dyDescent="0.2">
      <c r="A66">
        <v>42</v>
      </c>
      <c r="B66" s="132">
        <f>IFERROR(INDEX('Match Log'!$B$4:$B$311,MATCH(42,'Match Log'!$A$4:$A$311,0)),"")</f>
        <v>46176</v>
      </c>
      <c r="C66" t="str">
        <f>IFERROR(INDEX('Match Log'!$C$4:$C$311,MATCH(42,'Match Log'!$A$4:$A$311,0)),"")</f>
        <v>Table Tennis</v>
      </c>
      <c r="D66" t="str">
        <f>IFERROR(INDEX('Match Log'!$G$4:$G$311,MATCH(42,'Match Log'!$A$4:$A$311,0)),"")</f>
        <v>Josh</v>
      </c>
      <c r="E66" s="133">
        <f>IFERROR(INDEX('Match Log'!$F$4:$F$311,MATCH(42,'Match Log'!$A$4:$A$311,0)),"")</f>
        <v>2</v>
      </c>
      <c r="F66">
        <f>IFERROR(SUMIFS('Match Log'!$I$4:$I$311,'Match Log'!$A$4:$A$311,42,'Match Log'!$E$4:$E$311,"Win"),"")</f>
        <v>0.6470588235294118</v>
      </c>
      <c r="G66">
        <f t="shared" si="19"/>
        <v>-0.29411764705882359</v>
      </c>
      <c r="H66" t="str">
        <f>IFERROR(IF($E66=2,LOOKUP(2,1/(('Match Log'!$A$4:$A$311=42)*('Match Log'!$E$4:$E$311="Loss")),'Match Log'!$D$4:$D$311),"the field"),"")</f>
        <v>Dean B</v>
      </c>
      <c r="I66">
        <f t="shared" si="20"/>
        <v>-0.29415964705882358</v>
      </c>
      <c r="J66">
        <v>42</v>
      </c>
      <c r="K66">
        <f>IF($J66&gt;MAX('Match Log'!$A$4:$A$311),NA(),IFERROR(LOOKUP(2,1/(('Match Log'!$D$4:$D$311=$K$24)*('Match Log'!$A$4:$A$311&lt;=$J66)),'Match Log'!$N$4:$N$311),NA()))</f>
        <v>1082.8539049537733</v>
      </c>
      <c r="L66" t="e">
        <f>IF($J66&gt;MAX('Match Log'!$A$4:$A$311),NA(),IFERROR(LOOKUP(2,1/(('Match Log'!$D$4:$D$311=$L$24)*('Match Log'!$A$4:$A$311&lt;=$J66)),'Match Log'!$N$4:$N$311),NA()))</f>
        <v>#N/A</v>
      </c>
      <c r="M66">
        <f>IF($J66&gt;MAX('Match Log'!$A$4:$A$311),NA(),IFERROR(LOOKUP(2,1/(('Match Log'!$D$4:$D$311=$M$24)*('Match Log'!$A$4:$A$311&lt;=$J66)),'Match Log'!$N$4:$N$311),NA()))</f>
        <v>1000.614377932863</v>
      </c>
      <c r="N66">
        <f>IF($J66&gt;MAX('Match Log'!$A$4:$A$311),NA(),IFERROR(LOOKUP(2,1/(('Match Log'!$D$4:$D$311=$N$24)*('Match Log'!$A$4:$A$311&lt;=$J66)),'Match Log'!$N$4:$N$311),NA()))</f>
        <v>941.85442451275833</v>
      </c>
      <c r="O66">
        <f>IF($J66&gt;MAX('Match Log'!$A$4:$A$311),NA(),IFERROR(LOOKUP(2,1/(('Match Log'!$D$4:$D$311=$O$24)*('Match Log'!$A$4:$A$311&lt;=$J66)),'Match Log'!$N$4:$N$311),NA()))</f>
        <v>1190.858963517245</v>
      </c>
      <c r="P66">
        <f>IF($J66&gt;MAX('Match Log'!$A$4:$A$311),NA(),IFERROR(LOOKUP(2,1/(('Match Log'!$D$4:$D$311=$P$24)*('Match Log'!$A$4:$A$311&lt;=$J66)),'Match Log'!$N$4:$N$311),NA()))</f>
        <v>1007.4743526549773</v>
      </c>
      <c r="Q66">
        <f>IF($J66&gt;MAX('Match Log'!$A$4:$A$311),NA(),IFERROR(LOOKUP(2,1/(('Match Log'!$D$4:$D$311=$Q$24)*('Match Log'!$A$4:$A$311&lt;=$J66)),'Match Log'!$N$4:$N$311),NA()))</f>
        <v>1004.2142857142857</v>
      </c>
      <c r="R66">
        <f>IF($J66&gt;MAX('Match Log'!$A$4:$A$311),NA(),IFERROR(LOOKUP(2,1/(('Match Log'!$D$4:$D$311=$R$24)*('Match Log'!$A$4:$A$311&lt;=$J66)),'Match Log'!$N$4:$N$311),NA()))</f>
        <v>972.87387435439211</v>
      </c>
      <c r="S66">
        <f>IF($J66&gt;MAX('Match Log'!$A$4:$A$311),NA(),IFERROR(LOOKUP(2,1/(('Match Log'!$D$4:$D$311=$S$24)*('Match Log'!$A$4:$A$311&lt;=$J66)),'Match Log'!$N$4:$N$311),NA()))</f>
        <v>1000.2153257371361</v>
      </c>
      <c r="T66">
        <f>IF($J66&gt;MAX('Match Log'!$A$4:$A$311),NA(),IFERROR(LOOKUP(2,1/(('Match Log'!$D$4:$D$311=$T$24)*('Match Log'!$A$4:$A$311&lt;=$J66)),'Match Log'!$N$4:$N$311),NA()))</f>
        <v>914.80558848258727</v>
      </c>
      <c r="U66">
        <f>IF($J66&gt;MAX('Match Log'!$A$4:$A$311),NA(),IFERROR(LOOKUP(2,1/(('Match Log'!$D$4:$D$311=$U$24)*('Match Log'!$A$4:$A$311&lt;=$J66)),'Match Log'!$N$4:$N$311),NA()))</f>
        <v>980.23490213998207</v>
      </c>
      <c r="V66" t="e">
        <f>IF($J66&gt;MAX('Match Log'!$A$4:$A$311),NA(),IFERROR(LOOKUP(2,1/(('Match Log'!$D$4:$D$311=$V$24)*('Match Log'!$A$4:$A$311&lt;=$J66)),'Match Log'!$N$4:$N$311),NA()))</f>
        <v>#N/A</v>
      </c>
      <c r="W66" t="e">
        <f>IF($J66&gt;MAX('Match Log'!$A$4:$A$311),NA(),IFERROR(LOOKUP(2,1/(('Match Log'!$D$4:$D$311=$W$24)*('Match Log'!$A$4:$A$311&lt;=$J66)),'Match Log'!$N$4:$N$311),NA()))</f>
        <v>#N/A</v>
      </c>
      <c r="X66" t="e">
        <f>IF($J66&gt;MAX('Match Log'!$A$4:$A$311),NA(),IFERROR(LOOKUP(2,1/(('Match Log'!$D$4:$D$311=$X$24)*('Match Log'!$A$4:$A$311&lt;=$J66)),'Match Log'!$N$4:$N$311),NA()))</f>
        <v>#N/A</v>
      </c>
      <c r="Y66" t="str">
        <f t="shared" ca="1" si="21"/>
        <v/>
      </c>
    </row>
    <row r="67" spans="1:25" ht="15" customHeight="1" x14ac:dyDescent="0.2">
      <c r="A67">
        <v>43</v>
      </c>
      <c r="B67" s="132">
        <f>IFERROR(INDEX('Match Log'!$B$4:$B$311,MATCH(43,'Match Log'!$A$4:$A$311,0)),"")</f>
        <v>46176</v>
      </c>
      <c r="C67" t="str">
        <f>IFERROR(INDEX('Match Log'!$C$4:$C$311,MATCH(43,'Match Log'!$A$4:$A$311,0)),"")</f>
        <v>Table Tennis</v>
      </c>
      <c r="D67" t="str">
        <f>IFERROR(INDEX('Match Log'!$G$4:$G$311,MATCH(43,'Match Log'!$A$4:$A$311,0)),"")</f>
        <v>Dean B</v>
      </c>
      <c r="E67" s="133">
        <f>IFERROR(INDEX('Match Log'!$F$4:$F$311,MATCH(43,'Match Log'!$A$4:$A$311,0)),"")</f>
        <v>2</v>
      </c>
      <c r="F67">
        <f>IFERROR(SUMIFS('Match Log'!$I$4:$I$311,'Match Log'!$A$4:$A$311,43,'Match Log'!$E$4:$E$311,"Win"),"")</f>
        <v>0.26530612244897961</v>
      </c>
      <c r="G67">
        <f t="shared" si="19"/>
        <v>0.46938775510204078</v>
      </c>
      <c r="H67" t="str">
        <f>IFERROR(IF($E67=2,LOOKUP(2,1/(('Match Log'!$A$4:$A$311=43)*('Match Log'!$E$4:$E$311="Loss")),'Match Log'!$D$4:$D$311),"the field"),"")</f>
        <v>Josh</v>
      </c>
      <c r="I67">
        <f t="shared" si="20"/>
        <v>0.46934475510204077</v>
      </c>
      <c r="J67">
        <v>43</v>
      </c>
      <c r="K67">
        <f>IF($J67&gt;MAX('Match Log'!$A$4:$A$311),NA(),IFERROR(LOOKUP(2,1/(('Match Log'!$D$4:$D$311=$K$24)*('Match Log'!$A$4:$A$311&lt;=$J67)),'Match Log'!$N$4:$N$311),NA()))</f>
        <v>1082.8539049537733</v>
      </c>
      <c r="L67" t="e">
        <f>IF($J67&gt;MAX('Match Log'!$A$4:$A$311),NA(),IFERROR(LOOKUP(2,1/(('Match Log'!$D$4:$D$311=$L$24)*('Match Log'!$A$4:$A$311&lt;=$J67)),'Match Log'!$N$4:$N$311),NA()))</f>
        <v>#N/A</v>
      </c>
      <c r="M67">
        <f>IF($J67&gt;MAX('Match Log'!$A$4:$A$311),NA(),IFERROR(LOOKUP(2,1/(('Match Log'!$D$4:$D$311=$M$24)*('Match Log'!$A$4:$A$311&lt;=$J67)),'Match Log'!$N$4:$N$311),NA()))</f>
        <v>1000.614377932863</v>
      </c>
      <c r="N67">
        <f>IF($J67&gt;MAX('Match Log'!$A$4:$A$311),NA(),IFERROR(LOOKUP(2,1/(('Match Log'!$D$4:$D$311=$N$24)*('Match Log'!$A$4:$A$311&lt;=$J67)),'Match Log'!$N$4:$N$311),NA()))</f>
        <v>941.85442451275833</v>
      </c>
      <c r="O67">
        <f>IF($J67&gt;MAX('Match Log'!$A$4:$A$311),NA(),IFERROR(LOOKUP(2,1/(('Match Log'!$D$4:$D$311=$O$24)*('Match Log'!$A$4:$A$311&lt;=$J67)),'Match Log'!$N$4:$N$311),NA()))</f>
        <v>1159.4965047770127</v>
      </c>
      <c r="P67">
        <f>IF($J67&gt;MAX('Match Log'!$A$4:$A$311),NA(),IFERROR(LOOKUP(2,1/(('Match Log'!$D$4:$D$311=$P$24)*('Match Log'!$A$4:$A$311&lt;=$J67)),'Match Log'!$N$4:$N$311),NA()))</f>
        <v>1007.4743526549773</v>
      </c>
      <c r="Q67">
        <f>IF($J67&gt;MAX('Match Log'!$A$4:$A$311),NA(),IFERROR(LOOKUP(2,1/(('Match Log'!$D$4:$D$311=$Q$24)*('Match Log'!$A$4:$A$311&lt;=$J67)),'Match Log'!$N$4:$N$311),NA()))</f>
        <v>1004.2142857142857</v>
      </c>
      <c r="R67">
        <f>IF($J67&gt;MAX('Match Log'!$A$4:$A$311),NA(),IFERROR(LOOKUP(2,1/(('Match Log'!$D$4:$D$311=$R$24)*('Match Log'!$A$4:$A$311&lt;=$J67)),'Match Log'!$N$4:$N$311),NA()))</f>
        <v>972.87387435439211</v>
      </c>
      <c r="S67">
        <f>IF($J67&gt;MAX('Match Log'!$A$4:$A$311),NA(),IFERROR(LOOKUP(2,1/(('Match Log'!$D$4:$D$311=$S$24)*('Match Log'!$A$4:$A$311&lt;=$J67)),'Match Log'!$N$4:$N$311),NA()))</f>
        <v>1031.5777844773686</v>
      </c>
      <c r="T67">
        <f>IF($J67&gt;MAX('Match Log'!$A$4:$A$311),NA(),IFERROR(LOOKUP(2,1/(('Match Log'!$D$4:$D$311=$T$24)*('Match Log'!$A$4:$A$311&lt;=$J67)),'Match Log'!$N$4:$N$311),NA()))</f>
        <v>914.80558848258727</v>
      </c>
      <c r="U67">
        <f>IF($J67&gt;MAX('Match Log'!$A$4:$A$311),NA(),IFERROR(LOOKUP(2,1/(('Match Log'!$D$4:$D$311=$U$24)*('Match Log'!$A$4:$A$311&lt;=$J67)),'Match Log'!$N$4:$N$311),NA()))</f>
        <v>980.23490213998207</v>
      </c>
      <c r="V67" t="e">
        <f>IF($J67&gt;MAX('Match Log'!$A$4:$A$311),NA(),IFERROR(LOOKUP(2,1/(('Match Log'!$D$4:$D$311=$V$24)*('Match Log'!$A$4:$A$311&lt;=$J67)),'Match Log'!$N$4:$N$311),NA()))</f>
        <v>#N/A</v>
      </c>
      <c r="W67" t="e">
        <f>IF($J67&gt;MAX('Match Log'!$A$4:$A$311),NA(),IFERROR(LOOKUP(2,1/(('Match Log'!$D$4:$D$311=$W$24)*('Match Log'!$A$4:$A$311&lt;=$J67)),'Match Log'!$N$4:$N$311),NA()))</f>
        <v>#N/A</v>
      </c>
      <c r="X67" t="e">
        <f>IF($J67&gt;MAX('Match Log'!$A$4:$A$311),NA(),IFERROR(LOOKUP(2,1/(('Match Log'!$D$4:$D$311=$X$24)*('Match Log'!$A$4:$A$311&lt;=$J67)),'Match Log'!$N$4:$N$311),NA()))</f>
        <v>#N/A</v>
      </c>
      <c r="Y67" t="str">
        <f t="shared" ca="1" si="21"/>
        <v/>
      </c>
    </row>
    <row r="68" spans="1:25" ht="15" customHeight="1" x14ac:dyDescent="0.2">
      <c r="A68">
        <v>44</v>
      </c>
      <c r="B68" s="132">
        <f>IFERROR(INDEX('Match Log'!$B$4:$B$311,MATCH(44,'Match Log'!$A$4:$A$311,0)),"")</f>
        <v>46176</v>
      </c>
      <c r="C68" t="str">
        <f>IFERROR(INDEX('Match Log'!$C$4:$C$311,MATCH(44,'Match Log'!$A$4:$A$311,0)),"")</f>
        <v>Table Tennis</v>
      </c>
      <c r="D68" t="str">
        <f>IFERROR(INDEX('Match Log'!$G$4:$G$311,MATCH(44,'Match Log'!$A$4:$A$311,0)),"")</f>
        <v>Josh</v>
      </c>
      <c r="E68" s="133">
        <f>IFERROR(INDEX('Match Log'!$F$4:$F$311,MATCH(44,'Match Log'!$A$4:$A$311,0)),"")</f>
        <v>2</v>
      </c>
      <c r="F68">
        <f>IFERROR(SUMIFS('Match Log'!$I$4:$I$311,'Match Log'!$A$4:$A$311,44,'Match Log'!$E$4:$E$311,"Win"),"")</f>
        <v>0.5625</v>
      </c>
      <c r="G68">
        <f t="shared" si="19"/>
        <v>-0.125</v>
      </c>
      <c r="H68" t="str">
        <f>IFERROR(IF($E68=2,LOOKUP(2,1/(('Match Log'!$A$4:$A$311=44)*('Match Log'!$E$4:$E$311="Loss")),'Match Log'!$D$4:$D$311),"the field"),"")</f>
        <v>Oscar</v>
      </c>
      <c r="I68">
        <f t="shared" si="20"/>
        <v>-0.12504399999999999</v>
      </c>
      <c r="J68">
        <v>44</v>
      </c>
      <c r="K68">
        <f>IF($J68&gt;MAX('Match Log'!$A$4:$A$311),NA(),IFERROR(LOOKUP(2,1/(('Match Log'!$D$4:$D$311=$K$24)*('Match Log'!$A$4:$A$311&lt;=$J68)),'Match Log'!$N$4:$N$311),NA()))</f>
        <v>1082.8539049537733</v>
      </c>
      <c r="L68" t="e">
        <f>IF($J68&gt;MAX('Match Log'!$A$4:$A$311),NA(),IFERROR(LOOKUP(2,1/(('Match Log'!$D$4:$D$311=$L$24)*('Match Log'!$A$4:$A$311&lt;=$J68)),'Match Log'!$N$4:$N$311),NA()))</f>
        <v>#N/A</v>
      </c>
      <c r="M68">
        <f>IF($J68&gt;MAX('Match Log'!$A$4:$A$311),NA(),IFERROR(LOOKUP(2,1/(('Match Log'!$D$4:$D$311=$M$24)*('Match Log'!$A$4:$A$311&lt;=$J68)),'Match Log'!$N$4:$N$311),NA()))</f>
        <v>1000.614377932863</v>
      </c>
      <c r="N68">
        <f>IF($J68&gt;MAX('Match Log'!$A$4:$A$311),NA(),IFERROR(LOOKUP(2,1/(('Match Log'!$D$4:$D$311=$N$24)*('Match Log'!$A$4:$A$311&lt;=$J68)),'Match Log'!$N$4:$N$311),NA()))</f>
        <v>941.85442451275833</v>
      </c>
      <c r="O68">
        <f>IF($J68&gt;MAX('Match Log'!$A$4:$A$311),NA(),IFERROR(LOOKUP(2,1/(('Match Log'!$D$4:$D$311=$O$24)*('Match Log'!$A$4:$A$311&lt;=$J68)),'Match Log'!$N$4:$N$311),NA()))</f>
        <v>1174.7371245411287</v>
      </c>
      <c r="P68">
        <f>IF($J68&gt;MAX('Match Log'!$A$4:$A$311),NA(),IFERROR(LOOKUP(2,1/(('Match Log'!$D$4:$D$311=$P$24)*('Match Log'!$A$4:$A$311&lt;=$J68)),'Match Log'!$N$4:$N$311),NA()))</f>
        <v>1007.4743526549773</v>
      </c>
      <c r="Q68">
        <f>IF($J68&gt;MAX('Match Log'!$A$4:$A$311),NA(),IFERROR(LOOKUP(2,1/(('Match Log'!$D$4:$D$311=$Q$24)*('Match Log'!$A$4:$A$311&lt;=$J68)),'Match Log'!$N$4:$N$311),NA()))</f>
        <v>1004.2142857142857</v>
      </c>
      <c r="R68">
        <f>IF($J68&gt;MAX('Match Log'!$A$4:$A$311),NA(),IFERROR(LOOKUP(2,1/(('Match Log'!$D$4:$D$311=$R$24)*('Match Log'!$A$4:$A$311&lt;=$J68)),'Match Log'!$N$4:$N$311),NA()))</f>
        <v>972.87387435439211</v>
      </c>
      <c r="S68">
        <f>IF($J68&gt;MAX('Match Log'!$A$4:$A$311),NA(),IFERROR(LOOKUP(2,1/(('Match Log'!$D$4:$D$311=$S$24)*('Match Log'!$A$4:$A$311&lt;=$J68)),'Match Log'!$N$4:$N$311),NA()))</f>
        <v>1031.5777844773686</v>
      </c>
      <c r="T68">
        <f>IF($J68&gt;MAX('Match Log'!$A$4:$A$311),NA(),IFERROR(LOOKUP(2,1/(('Match Log'!$D$4:$D$311=$T$24)*('Match Log'!$A$4:$A$311&lt;=$J68)),'Match Log'!$N$4:$N$311),NA()))</f>
        <v>914.80558848258727</v>
      </c>
      <c r="U68">
        <f>IF($J68&gt;MAX('Match Log'!$A$4:$A$311),NA(),IFERROR(LOOKUP(2,1/(('Match Log'!$D$4:$D$311=$U$24)*('Match Log'!$A$4:$A$311&lt;=$J68)),'Match Log'!$N$4:$N$311),NA()))</f>
        <v>964.99428237586596</v>
      </c>
      <c r="V68" t="e">
        <f>IF($J68&gt;MAX('Match Log'!$A$4:$A$311),NA(),IFERROR(LOOKUP(2,1/(('Match Log'!$D$4:$D$311=$V$24)*('Match Log'!$A$4:$A$311&lt;=$J68)),'Match Log'!$N$4:$N$311),NA()))</f>
        <v>#N/A</v>
      </c>
      <c r="W68" t="e">
        <f>IF($J68&gt;MAX('Match Log'!$A$4:$A$311),NA(),IFERROR(LOOKUP(2,1/(('Match Log'!$D$4:$D$311=$W$24)*('Match Log'!$A$4:$A$311&lt;=$J68)),'Match Log'!$N$4:$N$311),NA()))</f>
        <v>#N/A</v>
      </c>
      <c r="X68" t="e">
        <f>IF($J68&gt;MAX('Match Log'!$A$4:$A$311),NA(),IFERROR(LOOKUP(2,1/(('Match Log'!$D$4:$D$311=$X$24)*('Match Log'!$A$4:$A$311&lt;=$J68)),'Match Log'!$N$4:$N$311),NA()))</f>
        <v>#N/A</v>
      </c>
      <c r="Y68" t="str">
        <f t="shared" ca="1" si="21"/>
        <v/>
      </c>
    </row>
    <row r="69" spans="1:25" ht="15" customHeight="1" x14ac:dyDescent="0.2">
      <c r="A69">
        <v>45</v>
      </c>
      <c r="B69" s="132">
        <f>IFERROR(INDEX('Match Log'!$B$4:$B$311,MATCH(45,'Match Log'!$A$4:$A$311,0)),"")</f>
        <v>46176</v>
      </c>
      <c r="C69" t="str">
        <f>IFERROR(INDEX('Match Log'!$C$4:$C$311,MATCH(45,'Match Log'!$A$4:$A$311,0)),"")</f>
        <v>Table Tennis</v>
      </c>
      <c r="D69" t="str">
        <f>IFERROR(INDEX('Match Log'!$G$4:$G$311,MATCH(45,'Match Log'!$A$4:$A$311,0)),"")</f>
        <v>Josh</v>
      </c>
      <c r="E69" s="133">
        <f>IFERROR(INDEX('Match Log'!$F$4:$F$311,MATCH(45,'Match Log'!$A$4:$A$311,0)),"")</f>
        <v>2</v>
      </c>
      <c r="F69">
        <f>IFERROR(SUMIFS('Match Log'!$I$4:$I$311,'Match Log'!$A$4:$A$311,45,'Match Log'!$E$4:$E$311,"Win"),"")</f>
        <v>0.63414634146341464</v>
      </c>
      <c r="G69">
        <f t="shared" si="19"/>
        <v>-0.26829268292682928</v>
      </c>
      <c r="H69" t="str">
        <f>IFERROR(IF($E69=2,LOOKUP(2,1/(('Match Log'!$A$4:$A$311=45)*('Match Log'!$E$4:$E$311="Loss")),'Match Log'!$D$4:$D$311),"the field"),"")</f>
        <v>Oscar</v>
      </c>
      <c r="I69">
        <f t="shared" si="20"/>
        <v>-0.2683376829268293</v>
      </c>
      <c r="J69">
        <v>45</v>
      </c>
      <c r="K69">
        <f>IF($J69&gt;MAX('Match Log'!$A$4:$A$311),NA(),IFERROR(LOOKUP(2,1/(('Match Log'!$D$4:$D$311=$K$24)*('Match Log'!$A$4:$A$311&lt;=$J69)),'Match Log'!$N$4:$N$311),NA()))</f>
        <v>1082.8539049537733</v>
      </c>
      <c r="L69" t="e">
        <f>IF($J69&gt;MAX('Match Log'!$A$4:$A$311),NA(),IFERROR(LOOKUP(2,1/(('Match Log'!$D$4:$D$311=$L$24)*('Match Log'!$A$4:$A$311&lt;=$J69)),'Match Log'!$N$4:$N$311),NA()))</f>
        <v>#N/A</v>
      </c>
      <c r="M69">
        <f>IF($J69&gt;MAX('Match Log'!$A$4:$A$311),NA(),IFERROR(LOOKUP(2,1/(('Match Log'!$D$4:$D$311=$M$24)*('Match Log'!$A$4:$A$311&lt;=$J69)),'Match Log'!$N$4:$N$311),NA()))</f>
        <v>1000.614377932863</v>
      </c>
      <c r="N69">
        <f>IF($J69&gt;MAX('Match Log'!$A$4:$A$311),NA(),IFERROR(LOOKUP(2,1/(('Match Log'!$D$4:$D$311=$N$24)*('Match Log'!$A$4:$A$311&lt;=$J69)),'Match Log'!$N$4:$N$311),NA()))</f>
        <v>941.85442451275833</v>
      </c>
      <c r="O69">
        <f>IF($J69&gt;MAX('Match Log'!$A$4:$A$311),NA(),IFERROR(LOOKUP(2,1/(('Match Log'!$D$4:$D$311=$O$24)*('Match Log'!$A$4:$A$311&lt;=$J69)),'Match Log'!$N$4:$N$311),NA()))</f>
        <v>1188.2704310480462</v>
      </c>
      <c r="P69">
        <f>IF($J69&gt;MAX('Match Log'!$A$4:$A$311),NA(),IFERROR(LOOKUP(2,1/(('Match Log'!$D$4:$D$311=$P$24)*('Match Log'!$A$4:$A$311&lt;=$J69)),'Match Log'!$N$4:$N$311),NA()))</f>
        <v>1007.4743526549773</v>
      </c>
      <c r="Q69">
        <f>IF($J69&gt;MAX('Match Log'!$A$4:$A$311),NA(),IFERROR(LOOKUP(2,1/(('Match Log'!$D$4:$D$311=$Q$24)*('Match Log'!$A$4:$A$311&lt;=$J69)),'Match Log'!$N$4:$N$311),NA()))</f>
        <v>1004.2142857142857</v>
      </c>
      <c r="R69">
        <f>IF($J69&gt;MAX('Match Log'!$A$4:$A$311),NA(),IFERROR(LOOKUP(2,1/(('Match Log'!$D$4:$D$311=$R$24)*('Match Log'!$A$4:$A$311&lt;=$J69)),'Match Log'!$N$4:$N$311),NA()))</f>
        <v>972.87387435439211</v>
      </c>
      <c r="S69">
        <f>IF($J69&gt;MAX('Match Log'!$A$4:$A$311),NA(),IFERROR(LOOKUP(2,1/(('Match Log'!$D$4:$D$311=$S$24)*('Match Log'!$A$4:$A$311&lt;=$J69)),'Match Log'!$N$4:$N$311),NA()))</f>
        <v>1031.5777844773686</v>
      </c>
      <c r="T69">
        <f>IF($J69&gt;MAX('Match Log'!$A$4:$A$311),NA(),IFERROR(LOOKUP(2,1/(('Match Log'!$D$4:$D$311=$T$24)*('Match Log'!$A$4:$A$311&lt;=$J69)),'Match Log'!$N$4:$N$311),NA()))</f>
        <v>914.80558848258727</v>
      </c>
      <c r="U69">
        <f>IF($J69&gt;MAX('Match Log'!$A$4:$A$311),NA(),IFERROR(LOOKUP(2,1/(('Match Log'!$D$4:$D$311=$U$24)*('Match Log'!$A$4:$A$311&lt;=$J69)),'Match Log'!$N$4:$N$311),NA()))</f>
        <v>951.46097586894837</v>
      </c>
      <c r="V69" t="e">
        <f>IF($J69&gt;MAX('Match Log'!$A$4:$A$311),NA(),IFERROR(LOOKUP(2,1/(('Match Log'!$D$4:$D$311=$V$24)*('Match Log'!$A$4:$A$311&lt;=$J69)),'Match Log'!$N$4:$N$311),NA()))</f>
        <v>#N/A</v>
      </c>
      <c r="W69" t="e">
        <f>IF($J69&gt;MAX('Match Log'!$A$4:$A$311),NA(),IFERROR(LOOKUP(2,1/(('Match Log'!$D$4:$D$311=$W$24)*('Match Log'!$A$4:$A$311&lt;=$J69)),'Match Log'!$N$4:$N$311),NA()))</f>
        <v>#N/A</v>
      </c>
      <c r="X69" t="e">
        <f>IF($J69&gt;MAX('Match Log'!$A$4:$A$311),NA(),IFERROR(LOOKUP(2,1/(('Match Log'!$D$4:$D$311=$X$24)*('Match Log'!$A$4:$A$311&lt;=$J69)),'Match Log'!$N$4:$N$311),NA()))</f>
        <v>#N/A</v>
      </c>
      <c r="Y69" t="str">
        <f t="shared" ca="1" si="21"/>
        <v/>
      </c>
    </row>
    <row r="70" spans="1:25" ht="15" customHeight="1" x14ac:dyDescent="0.2">
      <c r="A70">
        <v>46</v>
      </c>
      <c r="B70" s="132">
        <f>IFERROR(INDEX('Match Log'!$B$4:$B$311,MATCH(46,'Match Log'!$A$4:$A$311,0)),"")</f>
        <v>46176</v>
      </c>
      <c r="C70" t="str">
        <f>IFERROR(INDEX('Match Log'!$C$4:$C$311,MATCH(46,'Match Log'!$A$4:$A$311,0)),"")</f>
        <v>Table Tennis</v>
      </c>
      <c r="D70" t="str">
        <f>IFERROR(INDEX('Match Log'!$G$4:$G$311,MATCH(46,'Match Log'!$A$4:$A$311,0)),"")</f>
        <v>Oscar</v>
      </c>
      <c r="E70" s="133">
        <f>IFERROR(INDEX('Match Log'!$F$4:$F$311,MATCH(46,'Match Log'!$A$4:$A$311,0)),"")</f>
        <v>2</v>
      </c>
      <c r="F70">
        <f>IFERROR(SUMIFS('Match Log'!$I$4:$I$311,'Match Log'!$A$4:$A$311,46,'Match Log'!$E$4:$E$311,"Win"),"")</f>
        <v>0.31372549019607848</v>
      </c>
      <c r="G70">
        <f t="shared" si="19"/>
        <v>0.37254901960784303</v>
      </c>
      <c r="H70" t="str">
        <f>IFERROR(IF($E70=2,LOOKUP(2,1/(('Match Log'!$A$4:$A$311=46)*('Match Log'!$E$4:$E$311="Loss")),'Match Log'!$D$4:$D$311),"the field"),"")</f>
        <v>Josh</v>
      </c>
      <c r="I70">
        <f t="shared" si="20"/>
        <v>0.37250301960784304</v>
      </c>
      <c r="J70">
        <v>46</v>
      </c>
      <c r="K70">
        <f>IF($J70&gt;MAX('Match Log'!$A$4:$A$311),NA(),IFERROR(LOOKUP(2,1/(('Match Log'!$D$4:$D$311=$K$24)*('Match Log'!$A$4:$A$311&lt;=$J70)),'Match Log'!$N$4:$N$311),NA()))</f>
        <v>1082.8539049537733</v>
      </c>
      <c r="L70" t="e">
        <f>IF($J70&gt;MAX('Match Log'!$A$4:$A$311),NA(),IFERROR(LOOKUP(2,1/(('Match Log'!$D$4:$D$311=$L$24)*('Match Log'!$A$4:$A$311&lt;=$J70)),'Match Log'!$N$4:$N$311),NA()))</f>
        <v>#N/A</v>
      </c>
      <c r="M70">
        <f>IF($J70&gt;MAX('Match Log'!$A$4:$A$311),NA(),IFERROR(LOOKUP(2,1/(('Match Log'!$D$4:$D$311=$M$24)*('Match Log'!$A$4:$A$311&lt;=$J70)),'Match Log'!$N$4:$N$311),NA()))</f>
        <v>1000.614377932863</v>
      </c>
      <c r="N70">
        <f>IF($J70&gt;MAX('Match Log'!$A$4:$A$311),NA(),IFERROR(LOOKUP(2,1/(('Match Log'!$D$4:$D$311=$N$24)*('Match Log'!$A$4:$A$311&lt;=$J70)),'Match Log'!$N$4:$N$311),NA()))</f>
        <v>941.85442451275833</v>
      </c>
      <c r="O70">
        <f>IF($J70&gt;MAX('Match Log'!$A$4:$A$311),NA(),IFERROR(LOOKUP(2,1/(('Match Log'!$D$4:$D$311=$O$24)*('Match Log'!$A$4:$A$311&lt;=$J70)),'Match Log'!$N$4:$N$311),NA()))</f>
        <v>1156.4528965767604</v>
      </c>
      <c r="P70">
        <f>IF($J70&gt;MAX('Match Log'!$A$4:$A$311),NA(),IFERROR(LOOKUP(2,1/(('Match Log'!$D$4:$D$311=$P$24)*('Match Log'!$A$4:$A$311&lt;=$J70)),'Match Log'!$N$4:$N$311),NA()))</f>
        <v>1007.4743526549773</v>
      </c>
      <c r="Q70">
        <f>IF($J70&gt;MAX('Match Log'!$A$4:$A$311),NA(),IFERROR(LOOKUP(2,1/(('Match Log'!$D$4:$D$311=$Q$24)*('Match Log'!$A$4:$A$311&lt;=$J70)),'Match Log'!$N$4:$N$311),NA()))</f>
        <v>1004.2142857142857</v>
      </c>
      <c r="R70">
        <f>IF($J70&gt;MAX('Match Log'!$A$4:$A$311),NA(),IFERROR(LOOKUP(2,1/(('Match Log'!$D$4:$D$311=$R$24)*('Match Log'!$A$4:$A$311&lt;=$J70)),'Match Log'!$N$4:$N$311),NA()))</f>
        <v>972.87387435439211</v>
      </c>
      <c r="S70">
        <f>IF($J70&gt;MAX('Match Log'!$A$4:$A$311),NA(),IFERROR(LOOKUP(2,1/(('Match Log'!$D$4:$D$311=$S$24)*('Match Log'!$A$4:$A$311&lt;=$J70)),'Match Log'!$N$4:$N$311),NA()))</f>
        <v>1031.5777844773686</v>
      </c>
      <c r="T70">
        <f>IF($J70&gt;MAX('Match Log'!$A$4:$A$311),NA(),IFERROR(LOOKUP(2,1/(('Match Log'!$D$4:$D$311=$T$24)*('Match Log'!$A$4:$A$311&lt;=$J70)),'Match Log'!$N$4:$N$311),NA()))</f>
        <v>914.80558848258727</v>
      </c>
      <c r="U70">
        <f>IF($J70&gt;MAX('Match Log'!$A$4:$A$311),NA(),IFERROR(LOOKUP(2,1/(('Match Log'!$D$4:$D$311=$U$24)*('Match Log'!$A$4:$A$311&lt;=$J70)),'Match Log'!$N$4:$N$311),NA()))</f>
        <v>983.27851034023411</v>
      </c>
      <c r="V70" t="e">
        <f>IF($J70&gt;MAX('Match Log'!$A$4:$A$311),NA(),IFERROR(LOOKUP(2,1/(('Match Log'!$D$4:$D$311=$V$24)*('Match Log'!$A$4:$A$311&lt;=$J70)),'Match Log'!$N$4:$N$311),NA()))</f>
        <v>#N/A</v>
      </c>
      <c r="W70" t="e">
        <f>IF($J70&gt;MAX('Match Log'!$A$4:$A$311),NA(),IFERROR(LOOKUP(2,1/(('Match Log'!$D$4:$D$311=$W$24)*('Match Log'!$A$4:$A$311&lt;=$J70)),'Match Log'!$N$4:$N$311),NA()))</f>
        <v>#N/A</v>
      </c>
      <c r="X70" t="e">
        <f>IF($J70&gt;MAX('Match Log'!$A$4:$A$311),NA(),IFERROR(LOOKUP(2,1/(('Match Log'!$D$4:$D$311=$X$24)*('Match Log'!$A$4:$A$311&lt;=$J70)),'Match Log'!$N$4:$N$311),NA()))</f>
        <v>#N/A</v>
      </c>
      <c r="Y70" t="str">
        <f t="shared" ca="1" si="21"/>
        <v/>
      </c>
    </row>
    <row r="71" spans="1:25" ht="15" customHeight="1" x14ac:dyDescent="0.2">
      <c r="A71">
        <v>47</v>
      </c>
      <c r="B71" s="132">
        <f>IFERROR(INDEX('Match Log'!$B$4:$B$311,MATCH(47,'Match Log'!$A$4:$A$311,0)),"")</f>
        <v>46176</v>
      </c>
      <c r="C71" t="str">
        <f>IFERROR(INDEX('Match Log'!$C$4:$C$311,MATCH(47,'Match Log'!$A$4:$A$311,0)),"")</f>
        <v>Mario Kart</v>
      </c>
      <c r="D71" t="str">
        <f>IFERROR(INDEX('Match Log'!$G$4:$G$311,MATCH(47,'Match Log'!$A$4:$A$311,0)),"")</f>
        <v>Daniel (Ferret)</v>
      </c>
      <c r="E71" s="133">
        <f>IFERROR(INDEX('Match Log'!$F$4:$F$311,MATCH(47,'Match Log'!$A$4:$A$311,0)),"")</f>
        <v>2</v>
      </c>
      <c r="F71">
        <f>IFERROR(SUMIFS('Match Log'!$I$4:$I$311,'Match Log'!$A$4:$A$311,47,'Match Log'!$E$4:$E$311,"Win"),"")</f>
        <v>0.25</v>
      </c>
      <c r="G71">
        <f t="shared" si="19"/>
        <v>0.5</v>
      </c>
      <c r="H71" t="str">
        <f>IFERROR(IF($E71=2,LOOKUP(2,1/(('Match Log'!$A$4:$A$311=47)*('Match Log'!$E$4:$E$311="Loss")),'Match Log'!$D$4:$D$311),"the field"),"")</f>
        <v>Oscar</v>
      </c>
      <c r="I71">
        <f t="shared" si="20"/>
        <v>0.49995299999999998</v>
      </c>
      <c r="J71">
        <v>47</v>
      </c>
      <c r="K71">
        <f>IF($J71&gt;MAX('Match Log'!$A$4:$A$311),NA(),IFERROR(LOOKUP(2,1/(('Match Log'!$D$4:$D$311=$K$24)*('Match Log'!$A$4:$A$311&lt;=$J71)),'Match Log'!$N$4:$N$311),NA()))</f>
        <v>1082.8539049537733</v>
      </c>
      <c r="L71" t="e">
        <f>IF($J71&gt;MAX('Match Log'!$A$4:$A$311),NA(),IFERROR(LOOKUP(2,1/(('Match Log'!$D$4:$D$311=$L$24)*('Match Log'!$A$4:$A$311&lt;=$J71)),'Match Log'!$N$4:$N$311),NA()))</f>
        <v>#N/A</v>
      </c>
      <c r="M71">
        <f>IF($J71&gt;MAX('Match Log'!$A$4:$A$311),NA(),IFERROR(LOOKUP(2,1/(('Match Log'!$D$4:$D$311=$M$24)*('Match Log'!$A$4:$A$311&lt;=$J71)),'Match Log'!$N$4:$N$311),NA()))</f>
        <v>1000.614377932863</v>
      </c>
      <c r="N71">
        <f>IF($J71&gt;MAX('Match Log'!$A$4:$A$311),NA(),IFERROR(LOOKUP(2,1/(('Match Log'!$D$4:$D$311=$N$24)*('Match Log'!$A$4:$A$311&lt;=$J71)),'Match Log'!$N$4:$N$311),NA()))</f>
        <v>941.85442451275833</v>
      </c>
      <c r="O71">
        <f>IF($J71&gt;MAX('Match Log'!$A$4:$A$311),NA(),IFERROR(LOOKUP(2,1/(('Match Log'!$D$4:$D$311=$O$24)*('Match Log'!$A$4:$A$311&lt;=$J71)),'Match Log'!$N$4:$N$311),NA()))</f>
        <v>1156.4528965767604</v>
      </c>
      <c r="P71">
        <f>IF($J71&gt;MAX('Match Log'!$A$4:$A$311),NA(),IFERROR(LOOKUP(2,1/(('Match Log'!$D$4:$D$311=$P$24)*('Match Log'!$A$4:$A$311&lt;=$J71)),'Match Log'!$N$4:$N$311),NA()))</f>
        <v>1007.4743526549773</v>
      </c>
      <c r="Q71">
        <f>IF($J71&gt;MAX('Match Log'!$A$4:$A$311),NA(),IFERROR(LOOKUP(2,1/(('Match Log'!$D$4:$D$311=$Q$24)*('Match Log'!$A$4:$A$311&lt;=$J71)),'Match Log'!$N$4:$N$311),NA()))</f>
        <v>1004.2142857142857</v>
      </c>
      <c r="R71">
        <f>IF($J71&gt;MAX('Match Log'!$A$4:$A$311),NA(),IFERROR(LOOKUP(2,1/(('Match Log'!$D$4:$D$311=$R$24)*('Match Log'!$A$4:$A$311&lt;=$J71)),'Match Log'!$N$4:$N$311),NA()))</f>
        <v>998.93835044369428</v>
      </c>
      <c r="S71">
        <f>IF($J71&gt;MAX('Match Log'!$A$4:$A$311),NA(),IFERROR(LOOKUP(2,1/(('Match Log'!$D$4:$D$311=$S$24)*('Match Log'!$A$4:$A$311&lt;=$J71)),'Match Log'!$N$4:$N$311),NA()))</f>
        <v>1031.5777844773686</v>
      </c>
      <c r="T71">
        <f>IF($J71&gt;MAX('Match Log'!$A$4:$A$311),NA(),IFERROR(LOOKUP(2,1/(('Match Log'!$D$4:$D$311=$T$24)*('Match Log'!$A$4:$A$311&lt;=$J71)),'Match Log'!$N$4:$N$311),NA()))</f>
        <v>914.80558848258727</v>
      </c>
      <c r="U71">
        <f>IF($J71&gt;MAX('Match Log'!$A$4:$A$311),NA(),IFERROR(LOOKUP(2,1/(('Match Log'!$D$4:$D$311=$U$24)*('Match Log'!$A$4:$A$311&lt;=$J71)),'Match Log'!$N$4:$N$311),NA()))</f>
        <v>957.21403425093195</v>
      </c>
      <c r="V71" t="e">
        <f>IF($J71&gt;MAX('Match Log'!$A$4:$A$311),NA(),IFERROR(LOOKUP(2,1/(('Match Log'!$D$4:$D$311=$V$24)*('Match Log'!$A$4:$A$311&lt;=$J71)),'Match Log'!$N$4:$N$311),NA()))</f>
        <v>#N/A</v>
      </c>
      <c r="W71" t="e">
        <f>IF($J71&gt;MAX('Match Log'!$A$4:$A$311),NA(),IFERROR(LOOKUP(2,1/(('Match Log'!$D$4:$D$311=$W$24)*('Match Log'!$A$4:$A$311&lt;=$J71)),'Match Log'!$N$4:$N$311),NA()))</f>
        <v>#N/A</v>
      </c>
      <c r="X71" t="e">
        <f>IF($J71&gt;MAX('Match Log'!$A$4:$A$311),NA(),IFERROR(LOOKUP(2,1/(('Match Log'!$D$4:$D$311=$X$24)*('Match Log'!$A$4:$A$311&lt;=$J71)),'Match Log'!$N$4:$N$311),NA()))</f>
        <v>#N/A</v>
      </c>
      <c r="Y71" t="str">
        <f t="shared" ca="1" si="21"/>
        <v/>
      </c>
    </row>
    <row r="72" spans="1:25" ht="15" customHeight="1" x14ac:dyDescent="0.2">
      <c r="A72">
        <v>48</v>
      </c>
      <c r="B72" s="132">
        <f>IFERROR(INDEX('Match Log'!$B$4:$B$311,MATCH(48,'Match Log'!$A$4:$A$311,0)),"")</f>
        <v>46176</v>
      </c>
      <c r="C72" t="str">
        <f>IFERROR(INDEX('Match Log'!$C$4:$C$311,MATCH(48,'Match Log'!$A$4:$A$311,0)),"")</f>
        <v>Mario Kart</v>
      </c>
      <c r="D72" t="str">
        <f>IFERROR(INDEX('Match Log'!$G$4:$G$311,MATCH(48,'Match Log'!$A$4:$A$311,0)),"")</f>
        <v>Daniel (Ferret)</v>
      </c>
      <c r="E72" s="133">
        <f>IFERROR(INDEX('Match Log'!$F$4:$F$311,MATCH(48,'Match Log'!$A$4:$A$311,0)),"")</f>
        <v>2</v>
      </c>
      <c r="F72">
        <f>IFERROR(SUMIFS('Match Log'!$I$4:$I$311,'Match Log'!$A$4:$A$311,48,'Match Log'!$E$4:$E$311,"Win"),"")</f>
        <v>0.46153846153846151</v>
      </c>
      <c r="G72">
        <f t="shared" si="19"/>
        <v>7.6923076923076983E-2</v>
      </c>
      <c r="H72" t="str">
        <f>IFERROR(IF($E72=2,LOOKUP(2,1/(('Match Log'!$A$4:$A$311=48)*('Match Log'!$E$4:$E$311="Loss")),'Match Log'!$D$4:$D$311),"the field"),"")</f>
        <v>Oscar</v>
      </c>
      <c r="I72">
        <f t="shared" si="20"/>
        <v>7.6875076923076976E-2</v>
      </c>
      <c r="J72">
        <v>48</v>
      </c>
      <c r="K72">
        <f>IF($J72&gt;MAX('Match Log'!$A$4:$A$311),NA(),IFERROR(LOOKUP(2,1/(('Match Log'!$D$4:$D$311=$K$24)*('Match Log'!$A$4:$A$311&lt;=$J72)),'Match Log'!$N$4:$N$311),NA()))</f>
        <v>1082.8539049537733</v>
      </c>
      <c r="L72" t="e">
        <f>IF($J72&gt;MAX('Match Log'!$A$4:$A$311),NA(),IFERROR(LOOKUP(2,1/(('Match Log'!$D$4:$D$311=$L$24)*('Match Log'!$A$4:$A$311&lt;=$J72)),'Match Log'!$N$4:$N$311),NA()))</f>
        <v>#N/A</v>
      </c>
      <c r="M72">
        <f>IF($J72&gt;MAX('Match Log'!$A$4:$A$311),NA(),IFERROR(LOOKUP(2,1/(('Match Log'!$D$4:$D$311=$M$24)*('Match Log'!$A$4:$A$311&lt;=$J72)),'Match Log'!$N$4:$N$311),NA()))</f>
        <v>1000.614377932863</v>
      </c>
      <c r="N72">
        <f>IF($J72&gt;MAX('Match Log'!$A$4:$A$311),NA(),IFERROR(LOOKUP(2,1/(('Match Log'!$D$4:$D$311=$N$24)*('Match Log'!$A$4:$A$311&lt;=$J72)),'Match Log'!$N$4:$N$311),NA()))</f>
        <v>941.85442451275833</v>
      </c>
      <c r="O72">
        <f>IF($J72&gt;MAX('Match Log'!$A$4:$A$311),NA(),IFERROR(LOOKUP(2,1/(('Match Log'!$D$4:$D$311=$O$24)*('Match Log'!$A$4:$A$311&lt;=$J72)),'Match Log'!$N$4:$N$311),NA()))</f>
        <v>1156.4528965767604</v>
      </c>
      <c r="P72">
        <f>IF($J72&gt;MAX('Match Log'!$A$4:$A$311),NA(),IFERROR(LOOKUP(2,1/(('Match Log'!$D$4:$D$311=$P$24)*('Match Log'!$A$4:$A$311&lt;=$J72)),'Match Log'!$N$4:$N$311),NA()))</f>
        <v>1007.4743526549773</v>
      </c>
      <c r="Q72">
        <f>IF($J72&gt;MAX('Match Log'!$A$4:$A$311),NA(),IFERROR(LOOKUP(2,1/(('Match Log'!$D$4:$D$311=$Q$24)*('Match Log'!$A$4:$A$311&lt;=$J72)),'Match Log'!$N$4:$N$311),NA()))</f>
        <v>1004.2142857142857</v>
      </c>
      <c r="R72">
        <f>IF($J72&gt;MAX('Match Log'!$A$4:$A$311),NA(),IFERROR(LOOKUP(2,1/(('Match Log'!$D$4:$D$311=$R$24)*('Match Log'!$A$4:$A$311&lt;=$J72)),'Match Log'!$N$4:$N$311),NA()))</f>
        <v>1020.4987407298981</v>
      </c>
      <c r="S72">
        <f>IF($J72&gt;MAX('Match Log'!$A$4:$A$311),NA(),IFERROR(LOOKUP(2,1/(('Match Log'!$D$4:$D$311=$S$24)*('Match Log'!$A$4:$A$311&lt;=$J72)),'Match Log'!$N$4:$N$311),NA()))</f>
        <v>1031.5777844773686</v>
      </c>
      <c r="T72">
        <f>IF($J72&gt;MAX('Match Log'!$A$4:$A$311),NA(),IFERROR(LOOKUP(2,1/(('Match Log'!$D$4:$D$311=$T$24)*('Match Log'!$A$4:$A$311&lt;=$J72)),'Match Log'!$N$4:$N$311),NA()))</f>
        <v>914.80558848258727</v>
      </c>
      <c r="U72">
        <f>IF($J72&gt;MAX('Match Log'!$A$4:$A$311),NA(),IFERROR(LOOKUP(2,1/(('Match Log'!$D$4:$D$311=$U$24)*('Match Log'!$A$4:$A$311&lt;=$J72)),'Match Log'!$N$4:$N$311),NA()))</f>
        <v>935.65364396472808</v>
      </c>
      <c r="V72" t="e">
        <f>IF($J72&gt;MAX('Match Log'!$A$4:$A$311),NA(),IFERROR(LOOKUP(2,1/(('Match Log'!$D$4:$D$311=$V$24)*('Match Log'!$A$4:$A$311&lt;=$J72)),'Match Log'!$N$4:$N$311),NA()))</f>
        <v>#N/A</v>
      </c>
      <c r="W72" t="e">
        <f>IF($J72&gt;MAX('Match Log'!$A$4:$A$311),NA(),IFERROR(LOOKUP(2,1/(('Match Log'!$D$4:$D$311=$W$24)*('Match Log'!$A$4:$A$311&lt;=$J72)),'Match Log'!$N$4:$N$311),NA()))</f>
        <v>#N/A</v>
      </c>
      <c r="X72" t="e">
        <f>IF($J72&gt;MAX('Match Log'!$A$4:$A$311),NA(),IFERROR(LOOKUP(2,1/(('Match Log'!$D$4:$D$311=$X$24)*('Match Log'!$A$4:$A$311&lt;=$J72)),'Match Log'!$N$4:$N$311),NA()))</f>
        <v>#N/A</v>
      </c>
      <c r="Y72" t="str">
        <f t="shared" ca="1" si="21"/>
        <v/>
      </c>
    </row>
    <row r="73" spans="1:25" ht="15" customHeight="1" x14ac:dyDescent="0.2">
      <c r="A73">
        <v>49</v>
      </c>
      <c r="B73" s="132">
        <f>IFERROR(INDEX('Match Log'!$B$4:$B$311,MATCH(49,'Match Log'!$A$4:$A$311,0)),"")</f>
        <v>46176</v>
      </c>
      <c r="C73" t="str">
        <f>IFERROR(INDEX('Match Log'!$C$4:$C$311,MATCH(49,'Match Log'!$A$4:$A$311,0)),"")</f>
        <v>Mario Kart</v>
      </c>
      <c r="D73" t="str">
        <f>IFERROR(INDEX('Match Log'!$G$4:$G$311,MATCH(49,'Match Log'!$A$4:$A$311,0)),"")</f>
        <v>Oscar</v>
      </c>
      <c r="E73" s="133">
        <f>IFERROR(INDEX('Match Log'!$F$4:$F$311,MATCH(49,'Match Log'!$A$4:$A$311,0)),"")</f>
        <v>2</v>
      </c>
      <c r="F73">
        <f>IFERROR(SUMIFS('Match Log'!$I$4:$I$311,'Match Log'!$A$4:$A$311,49,'Match Log'!$E$4:$E$311,"Win"),"")</f>
        <v>0.4</v>
      </c>
      <c r="G73">
        <f t="shared" si="19"/>
        <v>0.19999999999999996</v>
      </c>
      <c r="H73" t="str">
        <f>IFERROR(IF($E73=2,LOOKUP(2,1/(('Match Log'!$A$4:$A$311=49)*('Match Log'!$E$4:$E$311="Loss")),'Match Log'!$D$4:$D$311),"the field"),"")</f>
        <v>Daniel (Ferret)</v>
      </c>
      <c r="I73">
        <f t="shared" si="20"/>
        <v>0.19995099999999996</v>
      </c>
      <c r="J73">
        <v>49</v>
      </c>
      <c r="K73">
        <f>IF($J73&gt;MAX('Match Log'!$A$4:$A$311),NA(),IFERROR(LOOKUP(2,1/(('Match Log'!$D$4:$D$311=$K$24)*('Match Log'!$A$4:$A$311&lt;=$J73)),'Match Log'!$N$4:$N$311),NA()))</f>
        <v>1082.8539049537733</v>
      </c>
      <c r="L73" t="e">
        <f>IF($J73&gt;MAX('Match Log'!$A$4:$A$311),NA(),IFERROR(LOOKUP(2,1/(('Match Log'!$D$4:$D$311=$L$24)*('Match Log'!$A$4:$A$311&lt;=$J73)),'Match Log'!$N$4:$N$311),NA()))</f>
        <v>#N/A</v>
      </c>
      <c r="M73">
        <f>IF($J73&gt;MAX('Match Log'!$A$4:$A$311),NA(),IFERROR(LOOKUP(2,1/(('Match Log'!$D$4:$D$311=$M$24)*('Match Log'!$A$4:$A$311&lt;=$J73)),'Match Log'!$N$4:$N$311),NA()))</f>
        <v>1000.614377932863</v>
      </c>
      <c r="N73">
        <f>IF($J73&gt;MAX('Match Log'!$A$4:$A$311),NA(),IFERROR(LOOKUP(2,1/(('Match Log'!$D$4:$D$311=$N$24)*('Match Log'!$A$4:$A$311&lt;=$J73)),'Match Log'!$N$4:$N$311),NA()))</f>
        <v>941.85442451275833</v>
      </c>
      <c r="O73">
        <f>IF($J73&gt;MAX('Match Log'!$A$4:$A$311),NA(),IFERROR(LOOKUP(2,1/(('Match Log'!$D$4:$D$311=$O$24)*('Match Log'!$A$4:$A$311&lt;=$J73)),'Match Log'!$N$4:$N$311),NA()))</f>
        <v>1156.4528965767604</v>
      </c>
      <c r="P73">
        <f>IF($J73&gt;MAX('Match Log'!$A$4:$A$311),NA(),IFERROR(LOOKUP(2,1/(('Match Log'!$D$4:$D$311=$P$24)*('Match Log'!$A$4:$A$311&lt;=$J73)),'Match Log'!$N$4:$N$311),NA()))</f>
        <v>1007.4743526549773</v>
      </c>
      <c r="Q73">
        <f>IF($J73&gt;MAX('Match Log'!$A$4:$A$311),NA(),IFERROR(LOOKUP(2,1/(('Match Log'!$D$4:$D$311=$Q$24)*('Match Log'!$A$4:$A$311&lt;=$J73)),'Match Log'!$N$4:$N$311),NA()))</f>
        <v>1004.2142857142857</v>
      </c>
      <c r="R73">
        <f>IF($J73&gt;MAX('Match Log'!$A$4:$A$311),NA(),IFERROR(LOOKUP(2,1/(('Match Log'!$D$4:$D$311=$R$24)*('Match Log'!$A$4:$A$311&lt;=$J73)),'Match Log'!$N$4:$N$311),NA()))</f>
        <v>994.81951865923497</v>
      </c>
      <c r="S73">
        <f>IF($J73&gt;MAX('Match Log'!$A$4:$A$311),NA(),IFERROR(LOOKUP(2,1/(('Match Log'!$D$4:$D$311=$S$24)*('Match Log'!$A$4:$A$311&lt;=$J73)),'Match Log'!$N$4:$N$311),NA()))</f>
        <v>1031.5777844773686</v>
      </c>
      <c r="T73">
        <f>IF($J73&gt;MAX('Match Log'!$A$4:$A$311),NA(),IFERROR(LOOKUP(2,1/(('Match Log'!$D$4:$D$311=$T$24)*('Match Log'!$A$4:$A$311&lt;=$J73)),'Match Log'!$N$4:$N$311),NA()))</f>
        <v>914.80558848258727</v>
      </c>
      <c r="U73">
        <f>IF($J73&gt;MAX('Match Log'!$A$4:$A$311),NA(),IFERROR(LOOKUP(2,1/(('Match Log'!$D$4:$D$311=$U$24)*('Match Log'!$A$4:$A$311&lt;=$J73)),'Match Log'!$N$4:$N$311),NA()))</f>
        <v>961.33286603539125</v>
      </c>
      <c r="V73" t="e">
        <f>IF($J73&gt;MAX('Match Log'!$A$4:$A$311),NA(),IFERROR(LOOKUP(2,1/(('Match Log'!$D$4:$D$311=$V$24)*('Match Log'!$A$4:$A$311&lt;=$J73)),'Match Log'!$N$4:$N$311),NA()))</f>
        <v>#N/A</v>
      </c>
      <c r="W73" t="e">
        <f>IF($J73&gt;MAX('Match Log'!$A$4:$A$311),NA(),IFERROR(LOOKUP(2,1/(('Match Log'!$D$4:$D$311=$W$24)*('Match Log'!$A$4:$A$311&lt;=$J73)),'Match Log'!$N$4:$N$311),NA()))</f>
        <v>#N/A</v>
      </c>
      <c r="X73" t="e">
        <f>IF($J73&gt;MAX('Match Log'!$A$4:$A$311),NA(),IFERROR(LOOKUP(2,1/(('Match Log'!$D$4:$D$311=$X$24)*('Match Log'!$A$4:$A$311&lt;=$J73)),'Match Log'!$N$4:$N$311),NA()))</f>
        <v>#N/A</v>
      </c>
      <c r="Y73" t="str">
        <f t="shared" ca="1" si="21"/>
        <v/>
      </c>
    </row>
    <row r="74" spans="1:25" ht="15" customHeight="1" x14ac:dyDescent="0.2">
      <c r="A74">
        <v>50</v>
      </c>
      <c r="B74" s="132">
        <f>IFERROR(INDEX('Match Log'!$B$4:$B$311,MATCH(50,'Match Log'!$A$4:$A$311,0)),"")</f>
        <v>46177</v>
      </c>
      <c r="C74" t="str">
        <f>IFERROR(INDEX('Match Log'!$C$4:$C$311,MATCH(50,'Match Log'!$A$4:$A$311,0)),"")</f>
        <v>Table Tennis</v>
      </c>
      <c r="D74" t="str">
        <f>IFERROR(INDEX('Match Log'!$G$4:$G$311,MATCH(50,'Match Log'!$A$4:$A$311,0)),"")</f>
        <v>Dean B</v>
      </c>
      <c r="E74" s="133">
        <f>IFERROR(INDEX('Match Log'!$F$4:$F$311,MATCH(50,'Match Log'!$A$4:$A$311,0)),"")</f>
        <v>2</v>
      </c>
      <c r="F74">
        <f>IFERROR(SUMIFS('Match Log'!$I$4:$I$311,'Match Log'!$A$4:$A$311,50,'Match Log'!$E$4:$E$311,"Win"),"")</f>
        <v>0.5</v>
      </c>
      <c r="G74">
        <f t="shared" si="19"/>
        <v>0</v>
      </c>
      <c r="H74" t="str">
        <f>IFERROR(IF($E74=2,LOOKUP(2,1/(('Match Log'!$A$4:$A$311=50)*('Match Log'!$E$4:$E$311="Loss")),'Match Log'!$D$4:$D$311),"the field"),"")</f>
        <v>Oscar</v>
      </c>
      <c r="I74">
        <f t="shared" si="20"/>
        <v>-5.0000000000000002E-5</v>
      </c>
      <c r="J74">
        <v>50</v>
      </c>
      <c r="K74">
        <f>IF($J74&gt;MAX('Match Log'!$A$4:$A$311),NA(),IFERROR(LOOKUP(2,1/(('Match Log'!$D$4:$D$311=$K$24)*('Match Log'!$A$4:$A$311&lt;=$J74)),'Match Log'!$N$4:$N$311),NA()))</f>
        <v>1082.8539049537733</v>
      </c>
      <c r="L74" t="e">
        <f>IF($J74&gt;MAX('Match Log'!$A$4:$A$311),NA(),IFERROR(LOOKUP(2,1/(('Match Log'!$D$4:$D$311=$L$24)*('Match Log'!$A$4:$A$311&lt;=$J74)),'Match Log'!$N$4:$N$311),NA()))</f>
        <v>#N/A</v>
      </c>
      <c r="M74">
        <f>IF($J74&gt;MAX('Match Log'!$A$4:$A$311),NA(),IFERROR(LOOKUP(2,1/(('Match Log'!$D$4:$D$311=$M$24)*('Match Log'!$A$4:$A$311&lt;=$J74)),'Match Log'!$N$4:$N$311),NA()))</f>
        <v>1000.614377932863</v>
      </c>
      <c r="N74">
        <f>IF($J74&gt;MAX('Match Log'!$A$4:$A$311),NA(),IFERROR(LOOKUP(2,1/(('Match Log'!$D$4:$D$311=$N$24)*('Match Log'!$A$4:$A$311&lt;=$J74)),'Match Log'!$N$4:$N$311),NA()))</f>
        <v>941.85442451275833</v>
      </c>
      <c r="O74">
        <f>IF($J74&gt;MAX('Match Log'!$A$4:$A$311),NA(),IFERROR(LOOKUP(2,1/(('Match Log'!$D$4:$D$311=$O$24)*('Match Log'!$A$4:$A$311&lt;=$J74)),'Match Log'!$N$4:$N$311),NA()))</f>
        <v>1156.4528965767604</v>
      </c>
      <c r="P74">
        <f>IF($J74&gt;MAX('Match Log'!$A$4:$A$311),NA(),IFERROR(LOOKUP(2,1/(('Match Log'!$D$4:$D$311=$P$24)*('Match Log'!$A$4:$A$311&lt;=$J74)),'Match Log'!$N$4:$N$311),NA()))</f>
        <v>1007.4743526549773</v>
      </c>
      <c r="Q74">
        <f>IF($J74&gt;MAX('Match Log'!$A$4:$A$311),NA(),IFERROR(LOOKUP(2,1/(('Match Log'!$D$4:$D$311=$Q$24)*('Match Log'!$A$4:$A$311&lt;=$J74)),'Match Log'!$N$4:$N$311),NA()))</f>
        <v>1004.2142857142857</v>
      </c>
      <c r="R74">
        <f>IF($J74&gt;MAX('Match Log'!$A$4:$A$311),NA(),IFERROR(LOOKUP(2,1/(('Match Log'!$D$4:$D$311=$R$24)*('Match Log'!$A$4:$A$311&lt;=$J74)),'Match Log'!$N$4:$N$311),NA()))</f>
        <v>994.81951865923497</v>
      </c>
      <c r="S74">
        <f>IF($J74&gt;MAX('Match Log'!$A$4:$A$311),NA(),IFERROR(LOOKUP(2,1/(('Match Log'!$D$4:$D$311=$S$24)*('Match Log'!$A$4:$A$311&lt;=$J74)),'Match Log'!$N$4:$N$311),NA()))</f>
        <v>1051.7211614371747</v>
      </c>
      <c r="T74">
        <f>IF($J74&gt;MAX('Match Log'!$A$4:$A$311),NA(),IFERROR(LOOKUP(2,1/(('Match Log'!$D$4:$D$311=$T$24)*('Match Log'!$A$4:$A$311&lt;=$J74)),'Match Log'!$N$4:$N$311),NA()))</f>
        <v>914.80558848258727</v>
      </c>
      <c r="U74">
        <f>IF($J74&gt;MAX('Match Log'!$A$4:$A$311),NA(),IFERROR(LOOKUP(2,1/(('Match Log'!$D$4:$D$311=$U$24)*('Match Log'!$A$4:$A$311&lt;=$J74)),'Match Log'!$N$4:$N$311),NA()))</f>
        <v>941.18948907558524</v>
      </c>
      <c r="V74" t="e">
        <f>IF($J74&gt;MAX('Match Log'!$A$4:$A$311),NA(),IFERROR(LOOKUP(2,1/(('Match Log'!$D$4:$D$311=$V$24)*('Match Log'!$A$4:$A$311&lt;=$J74)),'Match Log'!$N$4:$N$311),NA()))</f>
        <v>#N/A</v>
      </c>
      <c r="W74" t="e">
        <f>IF($J74&gt;MAX('Match Log'!$A$4:$A$311),NA(),IFERROR(LOOKUP(2,1/(('Match Log'!$D$4:$D$311=$W$24)*('Match Log'!$A$4:$A$311&lt;=$J74)),'Match Log'!$N$4:$N$311),NA()))</f>
        <v>#N/A</v>
      </c>
      <c r="X74" t="e">
        <f>IF($J74&gt;MAX('Match Log'!$A$4:$A$311),NA(),IFERROR(LOOKUP(2,1/(('Match Log'!$D$4:$D$311=$X$24)*('Match Log'!$A$4:$A$311&lt;=$J74)),'Match Log'!$N$4:$N$311),NA()))</f>
        <v>#N/A</v>
      </c>
      <c r="Y74" t="str">
        <f t="shared" ca="1" si="21"/>
        <v/>
      </c>
    </row>
    <row r="75" spans="1:25" ht="15" customHeight="1" x14ac:dyDescent="0.2">
      <c r="A75">
        <v>51</v>
      </c>
      <c r="B75" s="132">
        <f>IFERROR(INDEX('Match Log'!$B$4:$B$311,MATCH(51,'Match Log'!$A$4:$A$311,0)),"")</f>
        <v>46177</v>
      </c>
      <c r="C75" t="str">
        <f>IFERROR(INDEX('Match Log'!$C$4:$C$311,MATCH(51,'Match Log'!$A$4:$A$311,0)),"")</f>
        <v>Table Tennis</v>
      </c>
      <c r="D75" t="str">
        <f>IFERROR(INDEX('Match Log'!$G$4:$G$311,MATCH(51,'Match Log'!$A$4:$A$311,0)),"")</f>
        <v>Dean B</v>
      </c>
      <c r="E75" s="133">
        <f>IFERROR(INDEX('Match Log'!$F$4:$F$311,MATCH(51,'Match Log'!$A$4:$A$311,0)),"")</f>
        <v>2</v>
      </c>
      <c r="F75">
        <f>IFERROR(SUMIFS('Match Log'!$I$4:$I$311,'Match Log'!$A$4:$A$311,51,'Match Log'!$E$4:$E$311,"Win"),"")</f>
        <v>0.58333333333333337</v>
      </c>
      <c r="G75">
        <f t="shared" si="19"/>
        <v>-0.16666666666666674</v>
      </c>
      <c r="H75" t="str">
        <f>IFERROR(IF($E75=2,LOOKUP(2,1/(('Match Log'!$A$4:$A$311=51)*('Match Log'!$E$4:$E$311="Loss")),'Match Log'!$D$4:$D$311),"the field"),"")</f>
        <v>Oscar</v>
      </c>
      <c r="I75">
        <f t="shared" si="20"/>
        <v>-0.16671766666666674</v>
      </c>
      <c r="J75">
        <v>51</v>
      </c>
      <c r="K75">
        <f>IF($J75&gt;MAX('Match Log'!$A$4:$A$311),NA(),IFERROR(LOOKUP(2,1/(('Match Log'!$D$4:$D$311=$K$24)*('Match Log'!$A$4:$A$311&lt;=$J75)),'Match Log'!$N$4:$N$311),NA()))</f>
        <v>1082.8539049537733</v>
      </c>
      <c r="L75" t="e">
        <f>IF($J75&gt;MAX('Match Log'!$A$4:$A$311),NA(),IFERROR(LOOKUP(2,1/(('Match Log'!$D$4:$D$311=$L$24)*('Match Log'!$A$4:$A$311&lt;=$J75)),'Match Log'!$N$4:$N$311),NA()))</f>
        <v>#N/A</v>
      </c>
      <c r="M75">
        <f>IF($J75&gt;MAX('Match Log'!$A$4:$A$311),NA(),IFERROR(LOOKUP(2,1/(('Match Log'!$D$4:$D$311=$M$24)*('Match Log'!$A$4:$A$311&lt;=$J75)),'Match Log'!$N$4:$N$311),NA()))</f>
        <v>1000.614377932863</v>
      </c>
      <c r="N75">
        <f>IF($J75&gt;MAX('Match Log'!$A$4:$A$311),NA(),IFERROR(LOOKUP(2,1/(('Match Log'!$D$4:$D$311=$N$24)*('Match Log'!$A$4:$A$311&lt;=$J75)),'Match Log'!$N$4:$N$311),NA()))</f>
        <v>941.85442451275833</v>
      </c>
      <c r="O75">
        <f>IF($J75&gt;MAX('Match Log'!$A$4:$A$311),NA(),IFERROR(LOOKUP(2,1/(('Match Log'!$D$4:$D$311=$O$24)*('Match Log'!$A$4:$A$311&lt;=$J75)),'Match Log'!$N$4:$N$311),NA()))</f>
        <v>1156.4528965767604</v>
      </c>
      <c r="P75">
        <f>IF($J75&gt;MAX('Match Log'!$A$4:$A$311),NA(),IFERROR(LOOKUP(2,1/(('Match Log'!$D$4:$D$311=$P$24)*('Match Log'!$A$4:$A$311&lt;=$J75)),'Match Log'!$N$4:$N$311),NA()))</f>
        <v>1007.4743526549773</v>
      </c>
      <c r="Q75">
        <f>IF($J75&gt;MAX('Match Log'!$A$4:$A$311),NA(),IFERROR(LOOKUP(2,1/(('Match Log'!$D$4:$D$311=$Q$24)*('Match Log'!$A$4:$A$311&lt;=$J75)),'Match Log'!$N$4:$N$311),NA()))</f>
        <v>1004.2142857142857</v>
      </c>
      <c r="R75">
        <f>IF($J75&gt;MAX('Match Log'!$A$4:$A$311),NA(),IFERROR(LOOKUP(2,1/(('Match Log'!$D$4:$D$311=$R$24)*('Match Log'!$A$4:$A$311&lt;=$J75)),'Match Log'!$N$4:$N$311),NA()))</f>
        <v>994.81951865923497</v>
      </c>
      <c r="S75">
        <f>IF($J75&gt;MAX('Match Log'!$A$4:$A$311),NA(),IFERROR(LOOKUP(2,1/(('Match Log'!$D$4:$D$311=$S$24)*('Match Log'!$A$4:$A$311&lt;=$J75)),'Match Log'!$N$4:$N$311),NA()))</f>
        <v>1069.4291473907738</v>
      </c>
      <c r="T75">
        <f>IF($J75&gt;MAX('Match Log'!$A$4:$A$311),NA(),IFERROR(LOOKUP(2,1/(('Match Log'!$D$4:$D$311=$T$24)*('Match Log'!$A$4:$A$311&lt;=$J75)),'Match Log'!$N$4:$N$311),NA()))</f>
        <v>914.80558848258727</v>
      </c>
      <c r="U75">
        <f>IF($J75&gt;MAX('Match Log'!$A$4:$A$311),NA(),IFERROR(LOOKUP(2,1/(('Match Log'!$D$4:$D$311=$U$24)*('Match Log'!$A$4:$A$311&lt;=$J75)),'Match Log'!$N$4:$N$311),NA()))</f>
        <v>923.48150312198629</v>
      </c>
      <c r="V75" t="e">
        <f>IF($J75&gt;MAX('Match Log'!$A$4:$A$311),NA(),IFERROR(LOOKUP(2,1/(('Match Log'!$D$4:$D$311=$V$24)*('Match Log'!$A$4:$A$311&lt;=$J75)),'Match Log'!$N$4:$N$311),NA()))</f>
        <v>#N/A</v>
      </c>
      <c r="W75" t="e">
        <f>IF($J75&gt;MAX('Match Log'!$A$4:$A$311),NA(),IFERROR(LOOKUP(2,1/(('Match Log'!$D$4:$D$311=$W$24)*('Match Log'!$A$4:$A$311&lt;=$J75)),'Match Log'!$N$4:$N$311),NA()))</f>
        <v>#N/A</v>
      </c>
      <c r="X75" t="e">
        <f>IF($J75&gt;MAX('Match Log'!$A$4:$A$311),NA(),IFERROR(LOOKUP(2,1/(('Match Log'!$D$4:$D$311=$X$24)*('Match Log'!$A$4:$A$311&lt;=$J75)),'Match Log'!$N$4:$N$311),NA()))</f>
        <v>#N/A</v>
      </c>
      <c r="Y75" t="str">
        <f t="shared" ca="1" si="21"/>
        <v/>
      </c>
    </row>
    <row r="76" spans="1:25" ht="15" customHeight="1" x14ac:dyDescent="0.2">
      <c r="A76">
        <v>52</v>
      </c>
      <c r="B76" s="132">
        <f>IFERROR(INDEX('Match Log'!$B$4:$B$311,MATCH(52,'Match Log'!$A$4:$A$311,0)),"")</f>
        <v>46177</v>
      </c>
      <c r="C76" t="str">
        <f>IFERROR(INDEX('Match Log'!$C$4:$C$311,MATCH(52,'Match Log'!$A$4:$A$311,0)),"")</f>
        <v>Table Tennis</v>
      </c>
      <c r="D76" t="str">
        <f>IFERROR(INDEX('Match Log'!$G$4:$G$311,MATCH(52,'Match Log'!$A$4:$A$311,0)),"")</f>
        <v>Dean B</v>
      </c>
      <c r="E76" s="133">
        <f>IFERROR(INDEX('Match Log'!$F$4:$F$311,MATCH(52,'Match Log'!$A$4:$A$311,0)),"")</f>
        <v>2</v>
      </c>
      <c r="F76">
        <f>IFERROR(SUMIFS('Match Log'!$I$4:$I$311,'Match Log'!$A$4:$A$311,52,'Match Log'!$E$4:$E$311,"Win"),"")</f>
        <v>0.64</v>
      </c>
      <c r="G76">
        <f t="shared" si="19"/>
        <v>-0.28000000000000003</v>
      </c>
      <c r="H76" t="str">
        <f>IFERROR(IF($E76=2,LOOKUP(2,1/(('Match Log'!$A$4:$A$311=52)*('Match Log'!$E$4:$E$311="Loss")),'Match Log'!$D$4:$D$311),"the field"),"")</f>
        <v>Oscar</v>
      </c>
      <c r="I76">
        <f t="shared" si="20"/>
        <v>-0.28005200000000002</v>
      </c>
      <c r="J76">
        <v>52</v>
      </c>
      <c r="K76">
        <f>IF($J76&gt;MAX('Match Log'!$A$4:$A$311),NA(),IFERROR(LOOKUP(2,1/(('Match Log'!$D$4:$D$311=$K$24)*('Match Log'!$A$4:$A$311&lt;=$J76)),'Match Log'!$N$4:$N$311),NA()))</f>
        <v>1082.8539049537733</v>
      </c>
      <c r="L76" t="e">
        <f>IF($J76&gt;MAX('Match Log'!$A$4:$A$311),NA(),IFERROR(LOOKUP(2,1/(('Match Log'!$D$4:$D$311=$L$24)*('Match Log'!$A$4:$A$311&lt;=$J76)),'Match Log'!$N$4:$N$311),NA()))</f>
        <v>#N/A</v>
      </c>
      <c r="M76">
        <f>IF($J76&gt;MAX('Match Log'!$A$4:$A$311),NA(),IFERROR(LOOKUP(2,1/(('Match Log'!$D$4:$D$311=$M$24)*('Match Log'!$A$4:$A$311&lt;=$J76)),'Match Log'!$N$4:$N$311),NA()))</f>
        <v>1000.614377932863</v>
      </c>
      <c r="N76">
        <f>IF($J76&gt;MAX('Match Log'!$A$4:$A$311),NA(),IFERROR(LOOKUP(2,1/(('Match Log'!$D$4:$D$311=$N$24)*('Match Log'!$A$4:$A$311&lt;=$J76)),'Match Log'!$N$4:$N$311),NA()))</f>
        <v>941.85442451275833</v>
      </c>
      <c r="O76">
        <f>IF($J76&gt;MAX('Match Log'!$A$4:$A$311),NA(),IFERROR(LOOKUP(2,1/(('Match Log'!$D$4:$D$311=$O$24)*('Match Log'!$A$4:$A$311&lt;=$J76)),'Match Log'!$N$4:$N$311),NA()))</f>
        <v>1156.4528965767604</v>
      </c>
      <c r="P76">
        <f>IF($J76&gt;MAX('Match Log'!$A$4:$A$311),NA(),IFERROR(LOOKUP(2,1/(('Match Log'!$D$4:$D$311=$P$24)*('Match Log'!$A$4:$A$311&lt;=$J76)),'Match Log'!$N$4:$N$311),NA()))</f>
        <v>1007.4743526549773</v>
      </c>
      <c r="Q76">
        <f>IF($J76&gt;MAX('Match Log'!$A$4:$A$311),NA(),IFERROR(LOOKUP(2,1/(('Match Log'!$D$4:$D$311=$Q$24)*('Match Log'!$A$4:$A$311&lt;=$J76)),'Match Log'!$N$4:$N$311),NA()))</f>
        <v>1004.2142857142857</v>
      </c>
      <c r="R76">
        <f>IF($J76&gt;MAX('Match Log'!$A$4:$A$311),NA(),IFERROR(LOOKUP(2,1/(('Match Log'!$D$4:$D$311=$R$24)*('Match Log'!$A$4:$A$311&lt;=$J76)),'Match Log'!$N$4:$N$311),NA()))</f>
        <v>994.81951865923497</v>
      </c>
      <c r="S76">
        <f>IF($J76&gt;MAX('Match Log'!$A$4:$A$311),NA(),IFERROR(LOOKUP(2,1/(('Match Log'!$D$4:$D$311=$S$24)*('Match Log'!$A$4:$A$311&lt;=$J76)),'Match Log'!$N$4:$N$311),NA()))</f>
        <v>1085.2397849482029</v>
      </c>
      <c r="T76">
        <f>IF($J76&gt;MAX('Match Log'!$A$4:$A$311),NA(),IFERROR(LOOKUP(2,1/(('Match Log'!$D$4:$D$311=$T$24)*('Match Log'!$A$4:$A$311&lt;=$J76)),'Match Log'!$N$4:$N$311),NA()))</f>
        <v>914.80558848258727</v>
      </c>
      <c r="U76">
        <f>IF($J76&gt;MAX('Match Log'!$A$4:$A$311),NA(),IFERROR(LOOKUP(2,1/(('Match Log'!$D$4:$D$311=$U$24)*('Match Log'!$A$4:$A$311&lt;=$J76)),'Match Log'!$N$4:$N$311),NA()))</f>
        <v>907.67086556455706</v>
      </c>
      <c r="V76" t="e">
        <f>IF($J76&gt;MAX('Match Log'!$A$4:$A$311),NA(),IFERROR(LOOKUP(2,1/(('Match Log'!$D$4:$D$311=$V$24)*('Match Log'!$A$4:$A$311&lt;=$J76)),'Match Log'!$N$4:$N$311),NA()))</f>
        <v>#N/A</v>
      </c>
      <c r="W76" t="e">
        <f>IF($J76&gt;MAX('Match Log'!$A$4:$A$311),NA(),IFERROR(LOOKUP(2,1/(('Match Log'!$D$4:$D$311=$W$24)*('Match Log'!$A$4:$A$311&lt;=$J76)),'Match Log'!$N$4:$N$311),NA()))</f>
        <v>#N/A</v>
      </c>
      <c r="X76" t="e">
        <f>IF($J76&gt;MAX('Match Log'!$A$4:$A$311),NA(),IFERROR(LOOKUP(2,1/(('Match Log'!$D$4:$D$311=$X$24)*('Match Log'!$A$4:$A$311&lt;=$J76)),'Match Log'!$N$4:$N$311),NA()))</f>
        <v>#N/A</v>
      </c>
      <c r="Y76" t="str">
        <f t="shared" ca="1" si="21"/>
        <v/>
      </c>
    </row>
    <row r="77" spans="1:25" ht="15" customHeight="1" x14ac:dyDescent="0.2">
      <c r="A77">
        <v>53</v>
      </c>
      <c r="B77" s="132">
        <f>IFERROR(INDEX('Match Log'!$B$4:$B$311,MATCH(53,'Match Log'!$A$4:$A$311,0)),"")</f>
        <v>46177</v>
      </c>
      <c r="C77" t="str">
        <f>IFERROR(INDEX('Match Log'!$C$4:$C$311,MATCH(53,'Match Log'!$A$4:$A$311,0)),"")</f>
        <v>Pool</v>
      </c>
      <c r="D77" t="str">
        <f>IFERROR(INDEX('Match Log'!$G$4:$G$311,MATCH(53,'Match Log'!$A$4:$A$311,0)),"")</f>
        <v>Oscar</v>
      </c>
      <c r="E77" s="133">
        <f>IFERROR(INDEX('Match Log'!$F$4:$F$311,MATCH(53,'Match Log'!$A$4:$A$311,0)),"")</f>
        <v>2</v>
      </c>
      <c r="F77">
        <f>IFERROR(SUMIFS('Match Log'!$I$4:$I$311,'Match Log'!$A$4:$A$311,53,'Match Log'!$E$4:$E$311,"Win"),"")</f>
        <v>0.29411764705882354</v>
      </c>
      <c r="G77">
        <f t="shared" si="19"/>
        <v>0.41176470588235292</v>
      </c>
      <c r="H77" t="str">
        <f>IFERROR(IF($E77=2,LOOKUP(2,1/(('Match Log'!$A$4:$A$311=53)*('Match Log'!$E$4:$E$311="Loss")),'Match Log'!$D$4:$D$311),"the field"),"")</f>
        <v>Dean B</v>
      </c>
      <c r="I77">
        <f t="shared" si="20"/>
        <v>0.4117117058823529</v>
      </c>
      <c r="J77">
        <v>53</v>
      </c>
      <c r="K77">
        <f>IF($J77&gt;MAX('Match Log'!$A$4:$A$311),NA(),IFERROR(LOOKUP(2,1/(('Match Log'!$D$4:$D$311=$K$24)*('Match Log'!$A$4:$A$311&lt;=$J77)),'Match Log'!$N$4:$N$311),NA()))</f>
        <v>1082.8539049537733</v>
      </c>
      <c r="L77" t="e">
        <f>IF($J77&gt;MAX('Match Log'!$A$4:$A$311),NA(),IFERROR(LOOKUP(2,1/(('Match Log'!$D$4:$D$311=$L$24)*('Match Log'!$A$4:$A$311&lt;=$J77)),'Match Log'!$N$4:$N$311),NA()))</f>
        <v>#N/A</v>
      </c>
      <c r="M77">
        <f>IF($J77&gt;MAX('Match Log'!$A$4:$A$311),NA(),IFERROR(LOOKUP(2,1/(('Match Log'!$D$4:$D$311=$M$24)*('Match Log'!$A$4:$A$311&lt;=$J77)),'Match Log'!$N$4:$N$311),NA()))</f>
        <v>1000.614377932863</v>
      </c>
      <c r="N77">
        <f>IF($J77&gt;MAX('Match Log'!$A$4:$A$311),NA(),IFERROR(LOOKUP(2,1/(('Match Log'!$D$4:$D$311=$N$24)*('Match Log'!$A$4:$A$311&lt;=$J77)),'Match Log'!$N$4:$N$311),NA()))</f>
        <v>941.85442451275833</v>
      </c>
      <c r="O77">
        <f>IF($J77&gt;MAX('Match Log'!$A$4:$A$311),NA(),IFERROR(LOOKUP(2,1/(('Match Log'!$D$4:$D$311=$O$24)*('Match Log'!$A$4:$A$311&lt;=$J77)),'Match Log'!$N$4:$N$311),NA()))</f>
        <v>1156.4528965767604</v>
      </c>
      <c r="P77">
        <f>IF($J77&gt;MAX('Match Log'!$A$4:$A$311),NA(),IFERROR(LOOKUP(2,1/(('Match Log'!$D$4:$D$311=$P$24)*('Match Log'!$A$4:$A$311&lt;=$J77)),'Match Log'!$N$4:$N$311),NA()))</f>
        <v>1007.4743526549773</v>
      </c>
      <c r="Q77">
        <f>IF($J77&gt;MAX('Match Log'!$A$4:$A$311),NA(),IFERROR(LOOKUP(2,1/(('Match Log'!$D$4:$D$311=$Q$24)*('Match Log'!$A$4:$A$311&lt;=$J77)),'Match Log'!$N$4:$N$311),NA()))</f>
        <v>1004.2142857142857</v>
      </c>
      <c r="R77">
        <f>IF($J77&gt;MAX('Match Log'!$A$4:$A$311),NA(),IFERROR(LOOKUP(2,1/(('Match Log'!$D$4:$D$311=$R$24)*('Match Log'!$A$4:$A$311&lt;=$J77)),'Match Log'!$N$4:$N$311),NA()))</f>
        <v>994.81951865923497</v>
      </c>
      <c r="S77">
        <f>IF($J77&gt;MAX('Match Log'!$A$4:$A$311),NA(),IFERROR(LOOKUP(2,1/(('Match Log'!$D$4:$D$311=$S$24)*('Match Log'!$A$4:$A$311&lt;=$J77)),'Match Log'!$N$4:$N$311),NA()))</f>
        <v>1054.9321218859973</v>
      </c>
      <c r="T77">
        <f>IF($J77&gt;MAX('Match Log'!$A$4:$A$311),NA(),IFERROR(LOOKUP(2,1/(('Match Log'!$D$4:$D$311=$T$24)*('Match Log'!$A$4:$A$311&lt;=$J77)),'Match Log'!$N$4:$N$311),NA()))</f>
        <v>914.80558848258727</v>
      </c>
      <c r="U77">
        <f>IF($J77&gt;MAX('Match Log'!$A$4:$A$311),NA(),IFERROR(LOOKUP(2,1/(('Match Log'!$D$4:$D$311=$U$24)*('Match Log'!$A$4:$A$311&lt;=$J77)),'Match Log'!$N$4:$N$311),NA()))</f>
        <v>937.97852862676257</v>
      </c>
      <c r="V77" t="e">
        <f>IF($J77&gt;MAX('Match Log'!$A$4:$A$311),NA(),IFERROR(LOOKUP(2,1/(('Match Log'!$D$4:$D$311=$V$24)*('Match Log'!$A$4:$A$311&lt;=$J77)),'Match Log'!$N$4:$N$311),NA()))</f>
        <v>#N/A</v>
      </c>
      <c r="W77" t="e">
        <f>IF($J77&gt;MAX('Match Log'!$A$4:$A$311),NA(),IFERROR(LOOKUP(2,1/(('Match Log'!$D$4:$D$311=$W$24)*('Match Log'!$A$4:$A$311&lt;=$J77)),'Match Log'!$N$4:$N$311),NA()))</f>
        <v>#N/A</v>
      </c>
      <c r="X77" t="e">
        <f>IF($J77&gt;MAX('Match Log'!$A$4:$A$311),NA(),IFERROR(LOOKUP(2,1/(('Match Log'!$D$4:$D$311=$X$24)*('Match Log'!$A$4:$A$311&lt;=$J77)),'Match Log'!$N$4:$N$311),NA()))</f>
        <v>#N/A</v>
      </c>
      <c r="Y77" t="str">
        <f t="shared" ca="1" si="21"/>
        <v/>
      </c>
    </row>
    <row r="78" spans="1:25" ht="15" customHeight="1" x14ac:dyDescent="0.2">
      <c r="A78">
        <v>54</v>
      </c>
      <c r="B78" s="132">
        <f>IFERROR(INDEX('Match Log'!$B$4:$B$311,MATCH(54,'Match Log'!$A$4:$A$311,0)),"")</f>
        <v>46177</v>
      </c>
      <c r="C78" t="str">
        <f>IFERROR(INDEX('Match Log'!$C$4:$C$311,MATCH(54,'Match Log'!$A$4:$A$311,0)),"")</f>
        <v>Pool</v>
      </c>
      <c r="D78" t="str">
        <f>IFERROR(INDEX('Match Log'!$G$4:$G$311,MATCH(54,'Match Log'!$A$4:$A$311,0)),"")</f>
        <v>Oscar</v>
      </c>
      <c r="E78" s="133">
        <f>IFERROR(INDEX('Match Log'!$F$4:$F$311,MATCH(54,'Match Log'!$A$4:$A$311,0)),"")</f>
        <v>2</v>
      </c>
      <c r="F78">
        <f>IFERROR(SUMIFS('Match Log'!$I$4:$I$311,'Match Log'!$A$4:$A$311,54,'Match Log'!$E$4:$E$311,"Win"),"")</f>
        <v>0.44444444444444448</v>
      </c>
      <c r="G78">
        <f t="shared" si="19"/>
        <v>0.11111111111111105</v>
      </c>
      <c r="H78" t="str">
        <f>IFERROR(IF($E78=2,LOOKUP(2,1/(('Match Log'!$A$4:$A$311=54)*('Match Log'!$E$4:$E$311="Loss")),'Match Log'!$D$4:$D$311),"the field"),"")</f>
        <v>Beau</v>
      </c>
      <c r="I78">
        <f t="shared" si="20"/>
        <v>0.11105711111111105</v>
      </c>
      <c r="J78">
        <v>54</v>
      </c>
      <c r="K78">
        <f>IF($J78&gt;MAX('Match Log'!$A$4:$A$311),NA(),IFERROR(LOOKUP(2,1/(('Match Log'!$D$4:$D$311=$K$24)*('Match Log'!$A$4:$A$311&lt;=$J78)),'Match Log'!$N$4:$N$311),NA()))</f>
        <v>1082.8539049537733</v>
      </c>
      <c r="L78">
        <f>IF($J78&gt;MAX('Match Log'!$A$4:$A$311),NA(),IFERROR(LOOKUP(2,1/(('Match Log'!$D$4:$D$311=$L$24)*('Match Log'!$A$4:$A$311&lt;=$J78)),'Match Log'!$N$4:$N$311),NA()))</f>
        <v>975.34219391622196</v>
      </c>
      <c r="M78">
        <f>IF($J78&gt;MAX('Match Log'!$A$4:$A$311),NA(),IFERROR(LOOKUP(2,1/(('Match Log'!$D$4:$D$311=$M$24)*('Match Log'!$A$4:$A$311&lt;=$J78)),'Match Log'!$N$4:$N$311),NA()))</f>
        <v>1000.614377932863</v>
      </c>
      <c r="N78">
        <f>IF($J78&gt;MAX('Match Log'!$A$4:$A$311),NA(),IFERROR(LOOKUP(2,1/(('Match Log'!$D$4:$D$311=$N$24)*('Match Log'!$A$4:$A$311&lt;=$J78)),'Match Log'!$N$4:$N$311),NA()))</f>
        <v>941.85442451275833</v>
      </c>
      <c r="O78">
        <f>IF($J78&gt;MAX('Match Log'!$A$4:$A$311),NA(),IFERROR(LOOKUP(2,1/(('Match Log'!$D$4:$D$311=$O$24)*('Match Log'!$A$4:$A$311&lt;=$J78)),'Match Log'!$N$4:$N$311),NA()))</f>
        <v>1156.4528965767604</v>
      </c>
      <c r="P78">
        <f>IF($J78&gt;MAX('Match Log'!$A$4:$A$311),NA(),IFERROR(LOOKUP(2,1/(('Match Log'!$D$4:$D$311=$P$24)*('Match Log'!$A$4:$A$311&lt;=$J78)),'Match Log'!$N$4:$N$311),NA()))</f>
        <v>1007.4743526549773</v>
      </c>
      <c r="Q78">
        <f>IF($J78&gt;MAX('Match Log'!$A$4:$A$311),NA(),IFERROR(LOOKUP(2,1/(('Match Log'!$D$4:$D$311=$Q$24)*('Match Log'!$A$4:$A$311&lt;=$J78)),'Match Log'!$N$4:$N$311),NA()))</f>
        <v>1004.2142857142857</v>
      </c>
      <c r="R78">
        <f>IF($J78&gt;MAX('Match Log'!$A$4:$A$311),NA(),IFERROR(LOOKUP(2,1/(('Match Log'!$D$4:$D$311=$R$24)*('Match Log'!$A$4:$A$311&lt;=$J78)),'Match Log'!$N$4:$N$311),NA()))</f>
        <v>994.81951865923497</v>
      </c>
      <c r="S78">
        <f>IF($J78&gt;MAX('Match Log'!$A$4:$A$311),NA(),IFERROR(LOOKUP(2,1/(('Match Log'!$D$4:$D$311=$S$24)*('Match Log'!$A$4:$A$311&lt;=$J78)),'Match Log'!$N$4:$N$311),NA()))</f>
        <v>1054.9321218859973</v>
      </c>
      <c r="T78">
        <f>IF($J78&gt;MAX('Match Log'!$A$4:$A$311),NA(),IFERROR(LOOKUP(2,1/(('Match Log'!$D$4:$D$311=$T$24)*('Match Log'!$A$4:$A$311&lt;=$J78)),'Match Log'!$N$4:$N$311),NA()))</f>
        <v>914.80558848258727</v>
      </c>
      <c r="U78">
        <f>IF($J78&gt;MAX('Match Log'!$A$4:$A$311),NA(),IFERROR(LOOKUP(2,1/(('Match Log'!$D$4:$D$311=$U$24)*('Match Log'!$A$4:$A$311&lt;=$J78)),'Match Log'!$N$4:$N$311),NA()))</f>
        <v>962.63633471054061</v>
      </c>
      <c r="V78" t="e">
        <f>IF($J78&gt;MAX('Match Log'!$A$4:$A$311),NA(),IFERROR(LOOKUP(2,1/(('Match Log'!$D$4:$D$311=$V$24)*('Match Log'!$A$4:$A$311&lt;=$J78)),'Match Log'!$N$4:$N$311),NA()))</f>
        <v>#N/A</v>
      </c>
      <c r="W78" t="e">
        <f>IF($J78&gt;MAX('Match Log'!$A$4:$A$311),NA(),IFERROR(LOOKUP(2,1/(('Match Log'!$D$4:$D$311=$W$24)*('Match Log'!$A$4:$A$311&lt;=$J78)),'Match Log'!$N$4:$N$311),NA()))</f>
        <v>#N/A</v>
      </c>
      <c r="X78" t="e">
        <f>IF($J78&gt;MAX('Match Log'!$A$4:$A$311),NA(),IFERROR(LOOKUP(2,1/(('Match Log'!$D$4:$D$311=$X$24)*('Match Log'!$A$4:$A$311&lt;=$J78)),'Match Log'!$N$4:$N$311),NA()))</f>
        <v>#N/A</v>
      </c>
      <c r="Y78" t="str">
        <f t="shared" ca="1" si="21"/>
        <v/>
      </c>
    </row>
    <row r="79" spans="1:25" ht="15" customHeight="1" x14ac:dyDescent="0.2">
      <c r="A79">
        <v>55</v>
      </c>
      <c r="B79" s="132">
        <f>IFERROR(INDEX('Match Log'!$B$4:$B$311,MATCH(55,'Match Log'!$A$4:$A$311,0)),"")</f>
        <v>46177</v>
      </c>
      <c r="C79" t="str">
        <f>IFERROR(INDEX('Match Log'!$C$4:$C$311,MATCH(55,'Match Log'!$A$4:$A$311,0)),"")</f>
        <v>Mario Kart</v>
      </c>
      <c r="D79" t="str">
        <f>IFERROR(INDEX('Match Log'!$G$4:$G$311,MATCH(55,'Match Log'!$A$4:$A$311,0)),"")</f>
        <v>Oscar</v>
      </c>
      <c r="E79" s="133">
        <f>IFERROR(INDEX('Match Log'!$F$4:$F$311,MATCH(55,'Match Log'!$A$4:$A$311,0)),"")</f>
        <v>2</v>
      </c>
      <c r="F79">
        <f>IFERROR(SUMIFS('Match Log'!$I$4:$I$311,'Match Log'!$A$4:$A$311,55,'Match Log'!$E$4:$E$311,"Win"),"")</f>
        <v>0.44444444444444448</v>
      </c>
      <c r="G79">
        <f t="shared" si="19"/>
        <v>0.11111111111111105</v>
      </c>
      <c r="H79" t="str">
        <f>IFERROR(IF($E79=2,LOOKUP(2,1/(('Match Log'!$A$4:$A$311=55)*('Match Log'!$E$4:$E$311="Loss")),'Match Log'!$D$4:$D$311),"the field"),"")</f>
        <v>Shawn</v>
      </c>
      <c r="I79">
        <f t="shared" si="20"/>
        <v>0.11105611111111105</v>
      </c>
      <c r="J79">
        <v>55</v>
      </c>
      <c r="K79">
        <f>IF($J79&gt;MAX('Match Log'!$A$4:$A$311),NA(),IFERROR(LOOKUP(2,1/(('Match Log'!$D$4:$D$311=$K$24)*('Match Log'!$A$4:$A$311&lt;=$J79)),'Match Log'!$N$4:$N$311),NA()))</f>
        <v>1082.8539049537733</v>
      </c>
      <c r="L79">
        <f>IF($J79&gt;MAX('Match Log'!$A$4:$A$311),NA(),IFERROR(LOOKUP(2,1/(('Match Log'!$D$4:$D$311=$L$24)*('Match Log'!$A$4:$A$311&lt;=$J79)),'Match Log'!$N$4:$N$311),NA()))</f>
        <v>975.34219391622196</v>
      </c>
      <c r="M79">
        <f>IF($J79&gt;MAX('Match Log'!$A$4:$A$311),NA(),IFERROR(LOOKUP(2,1/(('Match Log'!$D$4:$D$311=$M$24)*('Match Log'!$A$4:$A$311&lt;=$J79)),'Match Log'!$N$4:$N$311),NA()))</f>
        <v>1000.614377932863</v>
      </c>
      <c r="N79">
        <f>IF($J79&gt;MAX('Match Log'!$A$4:$A$311),NA(),IFERROR(LOOKUP(2,1/(('Match Log'!$D$4:$D$311=$N$24)*('Match Log'!$A$4:$A$311&lt;=$J79)),'Match Log'!$N$4:$N$311),NA()))</f>
        <v>941.85442451275833</v>
      </c>
      <c r="O79">
        <f>IF($J79&gt;MAX('Match Log'!$A$4:$A$311),NA(),IFERROR(LOOKUP(2,1/(('Match Log'!$D$4:$D$311=$O$24)*('Match Log'!$A$4:$A$311&lt;=$J79)),'Match Log'!$N$4:$N$311),NA()))</f>
        <v>1156.4528965767604</v>
      </c>
      <c r="P79">
        <f>IF($J79&gt;MAX('Match Log'!$A$4:$A$311),NA(),IFERROR(LOOKUP(2,1/(('Match Log'!$D$4:$D$311=$P$24)*('Match Log'!$A$4:$A$311&lt;=$J79)),'Match Log'!$N$4:$N$311),NA()))</f>
        <v>983.07168999273233</v>
      </c>
      <c r="Q79">
        <f>IF($J79&gt;MAX('Match Log'!$A$4:$A$311),NA(),IFERROR(LOOKUP(2,1/(('Match Log'!$D$4:$D$311=$Q$24)*('Match Log'!$A$4:$A$311&lt;=$J79)),'Match Log'!$N$4:$N$311),NA()))</f>
        <v>1004.2142857142857</v>
      </c>
      <c r="R79">
        <f>IF($J79&gt;MAX('Match Log'!$A$4:$A$311),NA(),IFERROR(LOOKUP(2,1/(('Match Log'!$D$4:$D$311=$R$24)*('Match Log'!$A$4:$A$311&lt;=$J79)),'Match Log'!$N$4:$N$311),NA()))</f>
        <v>994.81951865923497</v>
      </c>
      <c r="S79">
        <f>IF($J79&gt;MAX('Match Log'!$A$4:$A$311),NA(),IFERROR(LOOKUP(2,1/(('Match Log'!$D$4:$D$311=$S$24)*('Match Log'!$A$4:$A$311&lt;=$J79)),'Match Log'!$N$4:$N$311),NA()))</f>
        <v>1054.9321218859973</v>
      </c>
      <c r="T79">
        <f>IF($J79&gt;MAX('Match Log'!$A$4:$A$311),NA(),IFERROR(LOOKUP(2,1/(('Match Log'!$D$4:$D$311=$T$24)*('Match Log'!$A$4:$A$311&lt;=$J79)),'Match Log'!$N$4:$N$311),NA()))</f>
        <v>914.80558848258727</v>
      </c>
      <c r="U79">
        <f>IF($J79&gt;MAX('Match Log'!$A$4:$A$311),NA(),IFERROR(LOOKUP(2,1/(('Match Log'!$D$4:$D$311=$U$24)*('Match Log'!$A$4:$A$311&lt;=$J79)),'Match Log'!$N$4:$N$311),NA()))</f>
        <v>987.03899737278562</v>
      </c>
      <c r="V79" t="e">
        <f>IF($J79&gt;MAX('Match Log'!$A$4:$A$311),NA(),IFERROR(LOOKUP(2,1/(('Match Log'!$D$4:$D$311=$V$24)*('Match Log'!$A$4:$A$311&lt;=$J79)),'Match Log'!$N$4:$N$311),NA()))</f>
        <v>#N/A</v>
      </c>
      <c r="W79" t="e">
        <f>IF($J79&gt;MAX('Match Log'!$A$4:$A$311),NA(),IFERROR(LOOKUP(2,1/(('Match Log'!$D$4:$D$311=$W$24)*('Match Log'!$A$4:$A$311&lt;=$J79)),'Match Log'!$N$4:$N$311),NA()))</f>
        <v>#N/A</v>
      </c>
      <c r="X79" t="e">
        <f>IF($J79&gt;MAX('Match Log'!$A$4:$A$311),NA(),IFERROR(LOOKUP(2,1/(('Match Log'!$D$4:$D$311=$X$24)*('Match Log'!$A$4:$A$311&lt;=$J79)),'Match Log'!$N$4:$N$311),NA()))</f>
        <v>#N/A</v>
      </c>
      <c r="Y79" t="str">
        <f t="shared" ca="1" si="21"/>
        <v/>
      </c>
    </row>
    <row r="80" spans="1:25" ht="15" customHeight="1" x14ac:dyDescent="0.2">
      <c r="A80">
        <v>56</v>
      </c>
      <c r="B80" s="132">
        <f>IFERROR(INDEX('Match Log'!$B$4:$B$311,MATCH(56,'Match Log'!$A$4:$A$311,0)),"")</f>
        <v>46188</v>
      </c>
      <c r="C80" t="str">
        <f>IFERROR(INDEX('Match Log'!$C$4:$C$311,MATCH(56,'Match Log'!$A$4:$A$311,0)),"")</f>
        <v>ShuffleBoard</v>
      </c>
      <c r="D80" t="str">
        <f>IFERROR(INDEX('Match Log'!$G$4:$G$311,MATCH(56,'Match Log'!$A$4:$A$311,0)),"")</f>
        <v>Shawn</v>
      </c>
      <c r="E80" s="133">
        <f>IFERROR(INDEX('Match Log'!$F$4:$F$311,MATCH(56,'Match Log'!$A$4:$A$311,0)),"")</f>
        <v>2</v>
      </c>
      <c r="F80">
        <f>IFERROR(SUMIFS('Match Log'!$I$4:$I$311,'Match Log'!$A$4:$A$311,56,'Match Log'!$E$4:$E$311,"Win"),"")</f>
        <v>0.5</v>
      </c>
      <c r="G80">
        <f t="shared" si="19"/>
        <v>0</v>
      </c>
      <c r="H80" t="str">
        <f>IFERROR(IF($E80=2,LOOKUP(2,1/(('Match Log'!$A$4:$A$311=56)*('Match Log'!$E$4:$E$311="Loss")),'Match Log'!$D$4:$D$311),"the field"),"")</f>
        <v>Josh</v>
      </c>
      <c r="I80">
        <f t="shared" si="20"/>
        <v>-5.5999999999999999E-5</v>
      </c>
      <c r="J80">
        <v>56</v>
      </c>
      <c r="K80">
        <f>IF($J80&gt;MAX('Match Log'!$A$4:$A$311),NA(),IFERROR(LOOKUP(2,1/(('Match Log'!$D$4:$D$311=$K$24)*('Match Log'!$A$4:$A$311&lt;=$J80)),'Match Log'!$N$4:$N$311),NA()))</f>
        <v>1082.8539049537733</v>
      </c>
      <c r="L80">
        <f>IF($J80&gt;MAX('Match Log'!$A$4:$A$311),NA(),IFERROR(LOOKUP(2,1/(('Match Log'!$D$4:$D$311=$L$24)*('Match Log'!$A$4:$A$311&lt;=$J80)),'Match Log'!$N$4:$N$311),NA()))</f>
        <v>975.34219391622196</v>
      </c>
      <c r="M80">
        <f>IF($J80&gt;MAX('Match Log'!$A$4:$A$311),NA(),IFERROR(LOOKUP(2,1/(('Match Log'!$D$4:$D$311=$M$24)*('Match Log'!$A$4:$A$311&lt;=$J80)),'Match Log'!$N$4:$N$311),NA()))</f>
        <v>1000.614377932863</v>
      </c>
      <c r="N80">
        <f>IF($J80&gt;MAX('Match Log'!$A$4:$A$311),NA(),IFERROR(LOOKUP(2,1/(('Match Log'!$D$4:$D$311=$N$24)*('Match Log'!$A$4:$A$311&lt;=$J80)),'Match Log'!$N$4:$N$311),NA()))</f>
        <v>941.85442451275833</v>
      </c>
      <c r="O80">
        <f>IF($J80&gt;MAX('Match Log'!$A$4:$A$311),NA(),IFERROR(LOOKUP(2,1/(('Match Log'!$D$4:$D$311=$O$24)*('Match Log'!$A$4:$A$311&lt;=$J80)),'Match Log'!$N$4:$N$311),NA()))</f>
        <v>1127.0712177445546</v>
      </c>
      <c r="P80">
        <f>IF($J80&gt;MAX('Match Log'!$A$4:$A$311),NA(),IFERROR(LOOKUP(2,1/(('Match Log'!$D$4:$D$311=$P$24)*('Match Log'!$A$4:$A$311&lt;=$J80)),'Match Log'!$N$4:$N$311),NA()))</f>
        <v>1012.4533688249381</v>
      </c>
      <c r="Q80">
        <f>IF($J80&gt;MAX('Match Log'!$A$4:$A$311),NA(),IFERROR(LOOKUP(2,1/(('Match Log'!$D$4:$D$311=$Q$24)*('Match Log'!$A$4:$A$311&lt;=$J80)),'Match Log'!$N$4:$N$311),NA()))</f>
        <v>1004.2142857142857</v>
      </c>
      <c r="R80">
        <f>IF($J80&gt;MAX('Match Log'!$A$4:$A$311),NA(),IFERROR(LOOKUP(2,1/(('Match Log'!$D$4:$D$311=$R$24)*('Match Log'!$A$4:$A$311&lt;=$J80)),'Match Log'!$N$4:$N$311),NA()))</f>
        <v>994.81951865923497</v>
      </c>
      <c r="S80">
        <f>IF($J80&gt;MAX('Match Log'!$A$4:$A$311),NA(),IFERROR(LOOKUP(2,1/(('Match Log'!$D$4:$D$311=$S$24)*('Match Log'!$A$4:$A$311&lt;=$J80)),'Match Log'!$N$4:$N$311),NA()))</f>
        <v>1054.9321218859973</v>
      </c>
      <c r="T80">
        <f>IF($J80&gt;MAX('Match Log'!$A$4:$A$311),NA(),IFERROR(LOOKUP(2,1/(('Match Log'!$D$4:$D$311=$T$24)*('Match Log'!$A$4:$A$311&lt;=$J80)),'Match Log'!$N$4:$N$311),NA()))</f>
        <v>914.80558848258727</v>
      </c>
      <c r="U80">
        <f>IF($J80&gt;MAX('Match Log'!$A$4:$A$311),NA(),IFERROR(LOOKUP(2,1/(('Match Log'!$D$4:$D$311=$U$24)*('Match Log'!$A$4:$A$311&lt;=$J80)),'Match Log'!$N$4:$N$311),NA()))</f>
        <v>987.03899737278562</v>
      </c>
      <c r="V80" t="e">
        <f>IF($J80&gt;MAX('Match Log'!$A$4:$A$311),NA(),IFERROR(LOOKUP(2,1/(('Match Log'!$D$4:$D$311=$V$24)*('Match Log'!$A$4:$A$311&lt;=$J80)),'Match Log'!$N$4:$N$311),NA()))</f>
        <v>#N/A</v>
      </c>
      <c r="W80" t="e">
        <f>IF($J80&gt;MAX('Match Log'!$A$4:$A$311),NA(),IFERROR(LOOKUP(2,1/(('Match Log'!$D$4:$D$311=$W$24)*('Match Log'!$A$4:$A$311&lt;=$J80)),'Match Log'!$N$4:$N$311),NA()))</f>
        <v>#N/A</v>
      </c>
      <c r="X80" t="e">
        <f>IF($J80&gt;MAX('Match Log'!$A$4:$A$311),NA(),IFERROR(LOOKUP(2,1/(('Match Log'!$D$4:$D$311=$X$24)*('Match Log'!$A$4:$A$311&lt;=$J80)),'Match Log'!$N$4:$N$311),NA()))</f>
        <v>#N/A</v>
      </c>
      <c r="Y80" t="str">
        <f t="shared" ca="1" si="21"/>
        <v/>
      </c>
    </row>
    <row r="81" spans="1:25" ht="15" customHeight="1" x14ac:dyDescent="0.2">
      <c r="A81">
        <v>57</v>
      </c>
      <c r="B81" s="132">
        <f>IFERROR(INDEX('Match Log'!$B$4:$B$311,MATCH(57,'Match Log'!$A$4:$A$311,0)),"")</f>
        <v>46188</v>
      </c>
      <c r="C81" t="str">
        <f>IFERROR(INDEX('Match Log'!$C$4:$C$311,MATCH(57,'Match Log'!$A$4:$A$311,0)),"")</f>
        <v>ShuffleBoard</v>
      </c>
      <c r="D81" t="str">
        <f>IFERROR(INDEX('Match Log'!$G$4:$G$311,MATCH(57,'Match Log'!$A$4:$A$311,0)),"")</f>
        <v>David</v>
      </c>
      <c r="E81" s="133">
        <f>IFERROR(INDEX('Match Log'!$F$4:$F$311,MATCH(57,'Match Log'!$A$4:$A$311,0)),"")</f>
        <v>2</v>
      </c>
      <c r="F81">
        <f>IFERROR(SUMIFS('Match Log'!$I$4:$I$311,'Match Log'!$A$4:$A$311,57,'Match Log'!$E$4:$E$311,"Win"),"")</f>
        <v>0.5</v>
      </c>
      <c r="G81">
        <f t="shared" si="19"/>
        <v>0</v>
      </c>
      <c r="H81" t="str">
        <f>IFERROR(IF($E81=2,LOOKUP(2,1/(('Match Log'!$A$4:$A$311=57)*('Match Log'!$E$4:$E$311="Loss")),'Match Log'!$D$4:$D$311),"the field"),"")</f>
        <v>Aaron</v>
      </c>
      <c r="I81">
        <f t="shared" si="20"/>
        <v>-5.7000000000000003E-5</v>
      </c>
      <c r="J81">
        <v>57</v>
      </c>
      <c r="K81">
        <f>IF($J81&gt;MAX('Match Log'!$A$4:$A$311),NA(),IFERROR(LOOKUP(2,1/(('Match Log'!$D$4:$D$311=$K$24)*('Match Log'!$A$4:$A$311&lt;=$J81)),'Match Log'!$N$4:$N$311),NA()))</f>
        <v>1054.695096772648</v>
      </c>
      <c r="L81">
        <f>IF($J81&gt;MAX('Match Log'!$A$4:$A$311),NA(),IFERROR(LOOKUP(2,1/(('Match Log'!$D$4:$D$311=$L$24)*('Match Log'!$A$4:$A$311&lt;=$J81)),'Match Log'!$N$4:$N$311),NA()))</f>
        <v>975.34219391622196</v>
      </c>
      <c r="M81">
        <f>IF($J81&gt;MAX('Match Log'!$A$4:$A$311),NA(),IFERROR(LOOKUP(2,1/(('Match Log'!$D$4:$D$311=$M$24)*('Match Log'!$A$4:$A$311&lt;=$J81)),'Match Log'!$N$4:$N$311),NA()))</f>
        <v>1000.614377932863</v>
      </c>
      <c r="N81">
        <f>IF($J81&gt;MAX('Match Log'!$A$4:$A$311),NA(),IFERROR(LOOKUP(2,1/(('Match Log'!$D$4:$D$311=$N$24)*('Match Log'!$A$4:$A$311&lt;=$J81)),'Match Log'!$N$4:$N$311),NA()))</f>
        <v>970.01323269388354</v>
      </c>
      <c r="O81">
        <f>IF($J81&gt;MAX('Match Log'!$A$4:$A$311),NA(),IFERROR(LOOKUP(2,1/(('Match Log'!$D$4:$D$311=$O$24)*('Match Log'!$A$4:$A$311&lt;=$J81)),'Match Log'!$N$4:$N$311),NA()))</f>
        <v>1127.0712177445546</v>
      </c>
      <c r="P81">
        <f>IF($J81&gt;MAX('Match Log'!$A$4:$A$311),NA(),IFERROR(LOOKUP(2,1/(('Match Log'!$D$4:$D$311=$P$24)*('Match Log'!$A$4:$A$311&lt;=$J81)),'Match Log'!$N$4:$N$311),NA()))</f>
        <v>1012.4533688249381</v>
      </c>
      <c r="Q81">
        <f>IF($J81&gt;MAX('Match Log'!$A$4:$A$311),NA(),IFERROR(LOOKUP(2,1/(('Match Log'!$D$4:$D$311=$Q$24)*('Match Log'!$A$4:$A$311&lt;=$J81)),'Match Log'!$N$4:$N$311),NA()))</f>
        <v>1004.2142857142857</v>
      </c>
      <c r="R81">
        <f>IF($J81&gt;MAX('Match Log'!$A$4:$A$311),NA(),IFERROR(LOOKUP(2,1/(('Match Log'!$D$4:$D$311=$R$24)*('Match Log'!$A$4:$A$311&lt;=$J81)),'Match Log'!$N$4:$N$311),NA()))</f>
        <v>994.81951865923497</v>
      </c>
      <c r="S81">
        <f>IF($J81&gt;MAX('Match Log'!$A$4:$A$311),NA(),IFERROR(LOOKUP(2,1/(('Match Log'!$D$4:$D$311=$S$24)*('Match Log'!$A$4:$A$311&lt;=$J81)),'Match Log'!$N$4:$N$311),NA()))</f>
        <v>1054.9321218859973</v>
      </c>
      <c r="T81">
        <f>IF($J81&gt;MAX('Match Log'!$A$4:$A$311),NA(),IFERROR(LOOKUP(2,1/(('Match Log'!$D$4:$D$311=$T$24)*('Match Log'!$A$4:$A$311&lt;=$J81)),'Match Log'!$N$4:$N$311),NA()))</f>
        <v>914.80558848258727</v>
      </c>
      <c r="U81">
        <f>IF($J81&gt;MAX('Match Log'!$A$4:$A$311),NA(),IFERROR(LOOKUP(2,1/(('Match Log'!$D$4:$D$311=$U$24)*('Match Log'!$A$4:$A$311&lt;=$J81)),'Match Log'!$N$4:$N$311),NA()))</f>
        <v>987.03899737278562</v>
      </c>
      <c r="V81" t="e">
        <f>IF($J81&gt;MAX('Match Log'!$A$4:$A$311),NA(),IFERROR(LOOKUP(2,1/(('Match Log'!$D$4:$D$311=$V$24)*('Match Log'!$A$4:$A$311&lt;=$J81)),'Match Log'!$N$4:$N$311),NA()))</f>
        <v>#N/A</v>
      </c>
      <c r="W81" t="e">
        <f>IF($J81&gt;MAX('Match Log'!$A$4:$A$311),NA(),IFERROR(LOOKUP(2,1/(('Match Log'!$D$4:$D$311=$W$24)*('Match Log'!$A$4:$A$311&lt;=$J81)),'Match Log'!$N$4:$N$311),NA()))</f>
        <v>#N/A</v>
      </c>
      <c r="X81" t="e">
        <f>IF($J81&gt;MAX('Match Log'!$A$4:$A$311),NA(),IFERROR(LOOKUP(2,1/(('Match Log'!$D$4:$D$311=$X$24)*('Match Log'!$A$4:$A$311&lt;=$J81)),'Match Log'!$N$4:$N$311),NA()))</f>
        <v>#N/A</v>
      </c>
      <c r="Y81" t="str">
        <f t="shared" ca="1" si="21"/>
        <v/>
      </c>
    </row>
    <row r="82" spans="1:25" ht="15" customHeight="1" x14ac:dyDescent="0.2">
      <c r="A82">
        <v>58</v>
      </c>
      <c r="B82" s="132">
        <f>IFERROR(INDEX('Match Log'!$B$4:$B$311,MATCH(58,'Match Log'!$A$4:$A$311,0)),"")</f>
        <v>46188</v>
      </c>
      <c r="C82" t="str">
        <f>IFERROR(INDEX('Match Log'!$C$4:$C$311,MATCH(58,'Match Log'!$A$4:$A$311,0)),"")</f>
        <v>ShuffleBoard</v>
      </c>
      <c r="D82" t="str">
        <f>IFERROR(INDEX('Match Log'!$G$4:$G$311,MATCH(58,'Match Log'!$A$4:$A$311,0)),"")</f>
        <v>Dean B</v>
      </c>
      <c r="E82" s="133">
        <f>IFERROR(INDEX('Match Log'!$F$4:$F$311,MATCH(58,'Match Log'!$A$4:$A$311,0)),"")</f>
        <v>2</v>
      </c>
      <c r="F82">
        <f>IFERROR(SUMIFS('Match Log'!$I$4:$I$311,'Match Log'!$A$4:$A$311,58,'Match Log'!$E$4:$E$311,"Win"),"")</f>
        <v>0.5</v>
      </c>
      <c r="G82">
        <f t="shared" si="19"/>
        <v>0</v>
      </c>
      <c r="H82" t="str">
        <f>IFERROR(IF($E82=2,LOOKUP(2,1/(('Match Log'!$A$4:$A$311=58)*('Match Log'!$E$4:$E$311="Loss")),'Match Log'!$D$4:$D$311),"the field"),"")</f>
        <v>Daniel (Ferret)</v>
      </c>
      <c r="I82">
        <f t="shared" si="20"/>
        <v>-5.8E-5</v>
      </c>
      <c r="J82">
        <v>58</v>
      </c>
      <c r="K82">
        <f>IF($J82&gt;MAX('Match Log'!$A$4:$A$311),NA(),IFERROR(LOOKUP(2,1/(('Match Log'!$D$4:$D$311=$K$24)*('Match Log'!$A$4:$A$311&lt;=$J82)),'Match Log'!$N$4:$N$311),NA()))</f>
        <v>1054.695096772648</v>
      </c>
      <c r="L82">
        <f>IF($J82&gt;MAX('Match Log'!$A$4:$A$311),NA(),IFERROR(LOOKUP(2,1/(('Match Log'!$D$4:$D$311=$L$24)*('Match Log'!$A$4:$A$311&lt;=$J82)),'Match Log'!$N$4:$N$311),NA()))</f>
        <v>975.34219391622196</v>
      </c>
      <c r="M82">
        <f>IF($J82&gt;MAX('Match Log'!$A$4:$A$311),NA(),IFERROR(LOOKUP(2,1/(('Match Log'!$D$4:$D$311=$M$24)*('Match Log'!$A$4:$A$311&lt;=$J82)),'Match Log'!$N$4:$N$311),NA()))</f>
        <v>1000.614377932863</v>
      </c>
      <c r="N82">
        <f>IF($J82&gt;MAX('Match Log'!$A$4:$A$311),NA(),IFERROR(LOOKUP(2,1/(('Match Log'!$D$4:$D$311=$N$24)*('Match Log'!$A$4:$A$311&lt;=$J82)),'Match Log'!$N$4:$N$311),NA()))</f>
        <v>970.01323269388354</v>
      </c>
      <c r="O82">
        <f>IF($J82&gt;MAX('Match Log'!$A$4:$A$311),NA(),IFERROR(LOOKUP(2,1/(('Match Log'!$D$4:$D$311=$O$24)*('Match Log'!$A$4:$A$311&lt;=$J82)),'Match Log'!$N$4:$N$311),NA()))</f>
        <v>1127.0712177445546</v>
      </c>
      <c r="P82">
        <f>IF($J82&gt;MAX('Match Log'!$A$4:$A$311),NA(),IFERROR(LOOKUP(2,1/(('Match Log'!$D$4:$D$311=$P$24)*('Match Log'!$A$4:$A$311&lt;=$J82)),'Match Log'!$N$4:$N$311),NA()))</f>
        <v>1012.4533688249381</v>
      </c>
      <c r="Q82">
        <f>IF($J82&gt;MAX('Match Log'!$A$4:$A$311),NA(),IFERROR(LOOKUP(2,1/(('Match Log'!$D$4:$D$311=$Q$24)*('Match Log'!$A$4:$A$311&lt;=$J82)),'Match Log'!$N$4:$N$311),NA()))</f>
        <v>1004.2142857142857</v>
      </c>
      <c r="R82">
        <f>IF($J82&gt;MAX('Match Log'!$A$4:$A$311),NA(),IFERROR(LOOKUP(2,1/(('Match Log'!$D$4:$D$311=$R$24)*('Match Log'!$A$4:$A$311&lt;=$J82)),'Match Log'!$N$4:$N$311),NA()))</f>
        <v>975.56051004124629</v>
      </c>
      <c r="S82">
        <f>IF($J82&gt;MAX('Match Log'!$A$4:$A$311),NA(),IFERROR(LOOKUP(2,1/(('Match Log'!$D$4:$D$311=$S$24)*('Match Log'!$A$4:$A$311&lt;=$J82)),'Match Log'!$N$4:$N$311),NA()))</f>
        <v>1074.191130503986</v>
      </c>
      <c r="T82">
        <f>IF($J82&gt;MAX('Match Log'!$A$4:$A$311),NA(),IFERROR(LOOKUP(2,1/(('Match Log'!$D$4:$D$311=$T$24)*('Match Log'!$A$4:$A$311&lt;=$J82)),'Match Log'!$N$4:$N$311),NA()))</f>
        <v>914.80558848258727</v>
      </c>
      <c r="U82">
        <f>IF($J82&gt;MAX('Match Log'!$A$4:$A$311),NA(),IFERROR(LOOKUP(2,1/(('Match Log'!$D$4:$D$311=$U$24)*('Match Log'!$A$4:$A$311&lt;=$J82)),'Match Log'!$N$4:$N$311),NA()))</f>
        <v>987.03899737278562</v>
      </c>
      <c r="V82" t="e">
        <f>IF($J82&gt;MAX('Match Log'!$A$4:$A$311),NA(),IFERROR(LOOKUP(2,1/(('Match Log'!$D$4:$D$311=$V$24)*('Match Log'!$A$4:$A$311&lt;=$J82)),'Match Log'!$N$4:$N$311),NA()))</f>
        <v>#N/A</v>
      </c>
      <c r="W82" t="e">
        <f>IF($J82&gt;MAX('Match Log'!$A$4:$A$311),NA(),IFERROR(LOOKUP(2,1/(('Match Log'!$D$4:$D$311=$W$24)*('Match Log'!$A$4:$A$311&lt;=$J82)),'Match Log'!$N$4:$N$311),NA()))</f>
        <v>#N/A</v>
      </c>
      <c r="X82" t="e">
        <f>IF($J82&gt;MAX('Match Log'!$A$4:$A$311),NA(),IFERROR(LOOKUP(2,1/(('Match Log'!$D$4:$D$311=$X$24)*('Match Log'!$A$4:$A$311&lt;=$J82)),'Match Log'!$N$4:$N$311),NA()))</f>
        <v>#N/A</v>
      </c>
      <c r="Y82" t="str">
        <f t="shared" ca="1" si="21"/>
        <v/>
      </c>
    </row>
    <row r="83" spans="1:25" ht="15" customHeight="1" x14ac:dyDescent="0.2">
      <c r="A83">
        <v>59</v>
      </c>
      <c r="B83" s="132">
        <f>IFERROR(INDEX('Match Log'!$B$4:$B$311,MATCH(59,'Match Log'!$A$4:$A$311,0)),"")</f>
        <v>46188</v>
      </c>
      <c r="C83" t="str">
        <f>IFERROR(INDEX('Match Log'!$C$4:$C$311,MATCH(59,'Match Log'!$A$4:$A$311,0)),"")</f>
        <v>ShuffleBoard</v>
      </c>
      <c r="D83" t="str">
        <f>IFERROR(INDEX('Match Log'!$G$4:$G$311,MATCH(59,'Match Log'!$A$4:$A$311,0)),"")</f>
        <v>Simon</v>
      </c>
      <c r="E83" s="133">
        <f>IFERROR(INDEX('Match Log'!$F$4:$F$311,MATCH(59,'Match Log'!$A$4:$A$311,0)),"")</f>
        <v>2</v>
      </c>
      <c r="F83">
        <f>IFERROR(SUMIFS('Match Log'!$I$4:$I$311,'Match Log'!$A$4:$A$311,59,'Match Log'!$E$4:$E$311,"Win"),"")</f>
        <v>0.60000000000000009</v>
      </c>
      <c r="G83">
        <f t="shared" si="19"/>
        <v>-0.20000000000000018</v>
      </c>
      <c r="H83" t="str">
        <f>IFERROR(IF($E83=2,LOOKUP(2,1/(('Match Log'!$A$4:$A$311=59)*('Match Log'!$E$4:$E$311="Loss")),'Match Log'!$D$4:$D$311),"the field"),"")</f>
        <v>Aaron</v>
      </c>
      <c r="I83">
        <f t="shared" si="20"/>
        <v>-0.20005900000000018</v>
      </c>
      <c r="J83">
        <v>59</v>
      </c>
      <c r="K83">
        <f>IF($J83&gt;MAX('Match Log'!$A$4:$A$311),NA(),IFERROR(LOOKUP(2,1/(('Match Log'!$D$4:$D$311=$K$24)*('Match Log'!$A$4:$A$311&lt;=$J83)),'Match Log'!$N$4:$N$311),NA()))</f>
        <v>1032.1203077686844</v>
      </c>
      <c r="L83">
        <f>IF($J83&gt;MAX('Match Log'!$A$4:$A$311),NA(),IFERROR(LOOKUP(2,1/(('Match Log'!$D$4:$D$311=$L$24)*('Match Log'!$A$4:$A$311&lt;=$J83)),'Match Log'!$N$4:$N$311),NA()))</f>
        <v>975.34219391622196</v>
      </c>
      <c r="M83">
        <f>IF($J83&gt;MAX('Match Log'!$A$4:$A$311),NA(),IFERROR(LOOKUP(2,1/(('Match Log'!$D$4:$D$311=$M$24)*('Match Log'!$A$4:$A$311&lt;=$J83)),'Match Log'!$N$4:$N$311),NA()))</f>
        <v>1000.614377932863</v>
      </c>
      <c r="N83">
        <f>IF($J83&gt;MAX('Match Log'!$A$4:$A$311),NA(),IFERROR(LOOKUP(2,1/(('Match Log'!$D$4:$D$311=$N$24)*('Match Log'!$A$4:$A$311&lt;=$J83)),'Match Log'!$N$4:$N$311),NA()))</f>
        <v>970.01323269388354</v>
      </c>
      <c r="O83">
        <f>IF($J83&gt;MAX('Match Log'!$A$4:$A$311),NA(),IFERROR(LOOKUP(2,1/(('Match Log'!$D$4:$D$311=$O$24)*('Match Log'!$A$4:$A$311&lt;=$J83)),'Match Log'!$N$4:$N$311),NA()))</f>
        <v>1127.0712177445546</v>
      </c>
      <c r="P83">
        <f>IF($J83&gt;MAX('Match Log'!$A$4:$A$311),NA(),IFERROR(LOOKUP(2,1/(('Match Log'!$D$4:$D$311=$P$24)*('Match Log'!$A$4:$A$311&lt;=$J83)),'Match Log'!$N$4:$N$311),NA()))</f>
        <v>1012.4533688249381</v>
      </c>
      <c r="Q83">
        <f>IF($J83&gt;MAX('Match Log'!$A$4:$A$311),NA(),IFERROR(LOOKUP(2,1/(('Match Log'!$D$4:$D$311=$Q$24)*('Match Log'!$A$4:$A$311&lt;=$J83)),'Match Log'!$N$4:$N$311),NA()))</f>
        <v>1026.7890747182494</v>
      </c>
      <c r="R83">
        <f>IF($J83&gt;MAX('Match Log'!$A$4:$A$311),NA(),IFERROR(LOOKUP(2,1/(('Match Log'!$D$4:$D$311=$R$24)*('Match Log'!$A$4:$A$311&lt;=$J83)),'Match Log'!$N$4:$N$311),NA()))</f>
        <v>975.56051004124629</v>
      </c>
      <c r="S83">
        <f>IF($J83&gt;MAX('Match Log'!$A$4:$A$311),NA(),IFERROR(LOOKUP(2,1/(('Match Log'!$D$4:$D$311=$S$24)*('Match Log'!$A$4:$A$311&lt;=$J83)),'Match Log'!$N$4:$N$311),NA()))</f>
        <v>1074.191130503986</v>
      </c>
      <c r="T83">
        <f>IF($J83&gt;MAX('Match Log'!$A$4:$A$311),NA(),IFERROR(LOOKUP(2,1/(('Match Log'!$D$4:$D$311=$T$24)*('Match Log'!$A$4:$A$311&lt;=$J83)),'Match Log'!$N$4:$N$311),NA()))</f>
        <v>914.80558848258727</v>
      </c>
      <c r="U83">
        <f>IF($J83&gt;MAX('Match Log'!$A$4:$A$311),NA(),IFERROR(LOOKUP(2,1/(('Match Log'!$D$4:$D$311=$U$24)*('Match Log'!$A$4:$A$311&lt;=$J83)),'Match Log'!$N$4:$N$311),NA()))</f>
        <v>987.03899737278562</v>
      </c>
      <c r="V83" t="e">
        <f>IF($J83&gt;MAX('Match Log'!$A$4:$A$311),NA(),IFERROR(LOOKUP(2,1/(('Match Log'!$D$4:$D$311=$V$24)*('Match Log'!$A$4:$A$311&lt;=$J83)),'Match Log'!$N$4:$N$311),NA()))</f>
        <v>#N/A</v>
      </c>
      <c r="W83" t="e">
        <f>IF($J83&gt;MAX('Match Log'!$A$4:$A$311),NA(),IFERROR(LOOKUP(2,1/(('Match Log'!$D$4:$D$311=$W$24)*('Match Log'!$A$4:$A$311&lt;=$J83)),'Match Log'!$N$4:$N$311),NA()))</f>
        <v>#N/A</v>
      </c>
      <c r="X83" t="e">
        <f>IF($J83&gt;MAX('Match Log'!$A$4:$A$311),NA(),IFERROR(LOOKUP(2,1/(('Match Log'!$D$4:$D$311=$X$24)*('Match Log'!$A$4:$A$311&lt;=$J83)),'Match Log'!$N$4:$N$311),NA()))</f>
        <v>#N/A</v>
      </c>
      <c r="Y83" t="str">
        <f t="shared" ca="1" si="21"/>
        <v/>
      </c>
    </row>
    <row r="84" spans="1:25" ht="15" customHeight="1" x14ac:dyDescent="0.2">
      <c r="A84">
        <v>60</v>
      </c>
      <c r="B84" s="132">
        <f>IFERROR(INDEX('Match Log'!$B$4:$B$311,MATCH(60,'Match Log'!$A$4:$A$311,0)),"")</f>
        <v>46188</v>
      </c>
      <c r="C84" t="str">
        <f>IFERROR(INDEX('Match Log'!$C$4:$C$311,MATCH(60,'Match Log'!$A$4:$A$311,0)),"")</f>
        <v>ShuffleBoard</v>
      </c>
      <c r="D84" t="str">
        <f>IFERROR(INDEX('Match Log'!$G$4:$G$311,MATCH(60,'Match Log'!$A$4:$A$311,0)),"")</f>
        <v>Beau</v>
      </c>
      <c r="E84" s="133">
        <f>IFERROR(INDEX('Match Log'!$F$4:$F$311,MATCH(60,'Match Log'!$A$4:$A$311,0)),"")</f>
        <v>2</v>
      </c>
      <c r="F84">
        <f>IFERROR(SUMIFS('Match Log'!$I$4:$I$311,'Match Log'!$A$4:$A$311,60,'Match Log'!$E$4:$E$311,"Win"),"")</f>
        <v>0.5</v>
      </c>
      <c r="G84">
        <f t="shared" si="19"/>
        <v>0</v>
      </c>
      <c r="H84" t="str">
        <f>IFERROR(IF($E84=2,LOOKUP(2,1/(('Match Log'!$A$4:$A$311=60)*('Match Log'!$E$4:$E$311="Loss")),'Match Log'!$D$4:$D$311),"the field"),"")</f>
        <v>Cody</v>
      </c>
      <c r="I84">
        <f t="shared" si="20"/>
        <v>-6.0000000000000002E-5</v>
      </c>
      <c r="J84">
        <v>60</v>
      </c>
      <c r="K84">
        <f>IF($J84&gt;MAX('Match Log'!$A$4:$A$311),NA(),IFERROR(LOOKUP(2,1/(('Match Log'!$D$4:$D$311=$K$24)*('Match Log'!$A$4:$A$311&lt;=$J84)),'Match Log'!$N$4:$N$311),NA()))</f>
        <v>1032.1203077686844</v>
      </c>
      <c r="L84">
        <f>IF($J84&gt;MAX('Match Log'!$A$4:$A$311),NA(),IFERROR(LOOKUP(2,1/(('Match Log'!$D$4:$D$311=$L$24)*('Match Log'!$A$4:$A$311&lt;=$J84)),'Match Log'!$N$4:$N$311),NA()))</f>
        <v>994.58225352756665</v>
      </c>
      <c r="M84">
        <f>IF($J84&gt;MAX('Match Log'!$A$4:$A$311),NA(),IFERROR(LOOKUP(2,1/(('Match Log'!$D$4:$D$311=$M$24)*('Match Log'!$A$4:$A$311&lt;=$J84)),'Match Log'!$N$4:$N$311),NA()))</f>
        <v>1000.614377932863</v>
      </c>
      <c r="N84">
        <f>IF($J84&gt;MAX('Match Log'!$A$4:$A$311),NA(),IFERROR(LOOKUP(2,1/(('Match Log'!$D$4:$D$311=$N$24)*('Match Log'!$A$4:$A$311&lt;=$J84)),'Match Log'!$N$4:$N$311),NA()))</f>
        <v>970.01323269388354</v>
      </c>
      <c r="O84">
        <f>IF($J84&gt;MAX('Match Log'!$A$4:$A$311),NA(),IFERROR(LOOKUP(2,1/(('Match Log'!$D$4:$D$311=$O$24)*('Match Log'!$A$4:$A$311&lt;=$J84)),'Match Log'!$N$4:$N$311),NA()))</f>
        <v>1127.0712177445546</v>
      </c>
      <c r="P84">
        <f>IF($J84&gt;MAX('Match Log'!$A$4:$A$311),NA(),IFERROR(LOOKUP(2,1/(('Match Log'!$D$4:$D$311=$P$24)*('Match Log'!$A$4:$A$311&lt;=$J84)),'Match Log'!$N$4:$N$311),NA()))</f>
        <v>1012.4533688249381</v>
      </c>
      <c r="Q84">
        <f>IF($J84&gt;MAX('Match Log'!$A$4:$A$311),NA(),IFERROR(LOOKUP(2,1/(('Match Log'!$D$4:$D$311=$Q$24)*('Match Log'!$A$4:$A$311&lt;=$J84)),'Match Log'!$N$4:$N$311),NA()))</f>
        <v>1026.7890747182494</v>
      </c>
      <c r="R84">
        <f>IF($J84&gt;MAX('Match Log'!$A$4:$A$311),NA(),IFERROR(LOOKUP(2,1/(('Match Log'!$D$4:$D$311=$R$24)*('Match Log'!$A$4:$A$311&lt;=$J84)),'Match Log'!$N$4:$N$311),NA()))</f>
        <v>975.56051004124629</v>
      </c>
      <c r="S84">
        <f>IF($J84&gt;MAX('Match Log'!$A$4:$A$311),NA(),IFERROR(LOOKUP(2,1/(('Match Log'!$D$4:$D$311=$S$24)*('Match Log'!$A$4:$A$311&lt;=$J84)),'Match Log'!$N$4:$N$311),NA()))</f>
        <v>1074.191130503986</v>
      </c>
      <c r="T84">
        <f>IF($J84&gt;MAX('Match Log'!$A$4:$A$311),NA(),IFERROR(LOOKUP(2,1/(('Match Log'!$D$4:$D$311=$T$24)*('Match Log'!$A$4:$A$311&lt;=$J84)),'Match Log'!$N$4:$N$311),NA()))</f>
        <v>895.56552887124258</v>
      </c>
      <c r="U84">
        <f>IF($J84&gt;MAX('Match Log'!$A$4:$A$311),NA(),IFERROR(LOOKUP(2,1/(('Match Log'!$D$4:$D$311=$U$24)*('Match Log'!$A$4:$A$311&lt;=$J84)),'Match Log'!$N$4:$N$311),NA()))</f>
        <v>987.03899737278562</v>
      </c>
      <c r="V84" t="e">
        <f>IF($J84&gt;MAX('Match Log'!$A$4:$A$311),NA(),IFERROR(LOOKUP(2,1/(('Match Log'!$D$4:$D$311=$V$24)*('Match Log'!$A$4:$A$311&lt;=$J84)),'Match Log'!$N$4:$N$311),NA()))</f>
        <v>#N/A</v>
      </c>
      <c r="W84" t="e">
        <f>IF($J84&gt;MAX('Match Log'!$A$4:$A$311),NA(),IFERROR(LOOKUP(2,1/(('Match Log'!$D$4:$D$311=$W$24)*('Match Log'!$A$4:$A$311&lt;=$J84)),'Match Log'!$N$4:$N$311),NA()))</f>
        <v>#N/A</v>
      </c>
      <c r="X84" t="e">
        <f>IF($J84&gt;MAX('Match Log'!$A$4:$A$311),NA(),IFERROR(LOOKUP(2,1/(('Match Log'!$D$4:$D$311=$X$24)*('Match Log'!$A$4:$A$311&lt;=$J84)),'Match Log'!$N$4:$N$311),NA()))</f>
        <v>#N/A</v>
      </c>
      <c r="Y84" t="str">
        <f t="shared" ca="1" si="21"/>
        <v/>
      </c>
    </row>
    <row r="85" spans="1:25" ht="15" customHeight="1" x14ac:dyDescent="0.2">
      <c r="A85">
        <v>61</v>
      </c>
      <c r="B85" s="132">
        <f>IFERROR(INDEX('Match Log'!$B$4:$B$311,MATCH(61,'Match Log'!$A$4:$A$311,0)),"")</f>
        <v>46188</v>
      </c>
      <c r="C85" t="str">
        <f>IFERROR(INDEX('Match Log'!$C$4:$C$311,MATCH(61,'Match Log'!$A$4:$A$311,0)),"")</f>
        <v>ShuffleBoard</v>
      </c>
      <c r="D85" t="str">
        <f>IFERROR(INDEX('Match Log'!$G$4:$G$311,MATCH(61,'Match Log'!$A$4:$A$311,0)),"")</f>
        <v>Oscar</v>
      </c>
      <c r="E85" s="133">
        <f>IFERROR(INDEX('Match Log'!$F$4:$F$311,MATCH(61,'Match Log'!$A$4:$A$311,0)),"")</f>
        <v>2</v>
      </c>
      <c r="F85">
        <f>IFERROR(SUMIFS('Match Log'!$I$4:$I$311,'Match Log'!$A$4:$A$311,61,'Match Log'!$E$4:$E$311,"Win"),"")</f>
        <v>0.4285714285714286</v>
      </c>
      <c r="G85">
        <f t="shared" si="19"/>
        <v>0.14285714285714279</v>
      </c>
      <c r="H85" t="str">
        <f>IFERROR(IF($E85=2,LOOKUP(2,1/(('Match Log'!$A$4:$A$311=61)*('Match Log'!$E$4:$E$311="Loss")),'Match Log'!$D$4:$D$311),"the field"),"")</f>
        <v>Shawn</v>
      </c>
      <c r="I85">
        <f t="shared" si="20"/>
        <v>0.14279614285714279</v>
      </c>
      <c r="J85">
        <v>61</v>
      </c>
      <c r="K85">
        <f>IF($J85&gt;MAX('Match Log'!$A$4:$A$311),NA(),IFERROR(LOOKUP(2,1/(('Match Log'!$D$4:$D$311=$K$24)*('Match Log'!$A$4:$A$311&lt;=$J85)),'Match Log'!$N$4:$N$311),NA()))</f>
        <v>1032.1203077686844</v>
      </c>
      <c r="L85">
        <f>IF($J85&gt;MAX('Match Log'!$A$4:$A$311),NA(),IFERROR(LOOKUP(2,1/(('Match Log'!$D$4:$D$311=$L$24)*('Match Log'!$A$4:$A$311&lt;=$J85)),'Match Log'!$N$4:$N$311),NA()))</f>
        <v>994.58225352756665</v>
      </c>
      <c r="M85">
        <f>IF($J85&gt;MAX('Match Log'!$A$4:$A$311),NA(),IFERROR(LOOKUP(2,1/(('Match Log'!$D$4:$D$311=$M$24)*('Match Log'!$A$4:$A$311&lt;=$J85)),'Match Log'!$N$4:$N$311),NA()))</f>
        <v>1000.614377932863</v>
      </c>
      <c r="N85">
        <f>IF($J85&gt;MAX('Match Log'!$A$4:$A$311),NA(),IFERROR(LOOKUP(2,1/(('Match Log'!$D$4:$D$311=$N$24)*('Match Log'!$A$4:$A$311&lt;=$J85)),'Match Log'!$N$4:$N$311),NA()))</f>
        <v>970.01323269388354</v>
      </c>
      <c r="O85">
        <f>IF($J85&gt;MAX('Match Log'!$A$4:$A$311),NA(),IFERROR(LOOKUP(2,1/(('Match Log'!$D$4:$D$311=$O$24)*('Match Log'!$A$4:$A$311&lt;=$J85)),'Match Log'!$N$4:$N$311),NA()))</f>
        <v>1127.0712177445546</v>
      </c>
      <c r="P85">
        <f>IF($J85&gt;MAX('Match Log'!$A$4:$A$311),NA(),IFERROR(LOOKUP(2,1/(('Match Log'!$D$4:$D$311=$P$24)*('Match Log'!$A$4:$A$311&lt;=$J85)),'Match Log'!$N$4:$N$311),NA()))</f>
        <v>988.40086101694862</v>
      </c>
      <c r="Q85">
        <f>IF($J85&gt;MAX('Match Log'!$A$4:$A$311),NA(),IFERROR(LOOKUP(2,1/(('Match Log'!$D$4:$D$311=$Q$24)*('Match Log'!$A$4:$A$311&lt;=$J85)),'Match Log'!$N$4:$N$311),NA()))</f>
        <v>1026.7890747182494</v>
      </c>
      <c r="R85">
        <f>IF($J85&gt;MAX('Match Log'!$A$4:$A$311),NA(),IFERROR(LOOKUP(2,1/(('Match Log'!$D$4:$D$311=$R$24)*('Match Log'!$A$4:$A$311&lt;=$J85)),'Match Log'!$N$4:$N$311),NA()))</f>
        <v>975.56051004124629</v>
      </c>
      <c r="S85">
        <f>IF($J85&gt;MAX('Match Log'!$A$4:$A$311),NA(),IFERROR(LOOKUP(2,1/(('Match Log'!$D$4:$D$311=$S$24)*('Match Log'!$A$4:$A$311&lt;=$J85)),'Match Log'!$N$4:$N$311),NA()))</f>
        <v>1074.191130503986</v>
      </c>
      <c r="T85">
        <f>IF($J85&gt;MAX('Match Log'!$A$4:$A$311),NA(),IFERROR(LOOKUP(2,1/(('Match Log'!$D$4:$D$311=$T$24)*('Match Log'!$A$4:$A$311&lt;=$J85)),'Match Log'!$N$4:$N$311),NA()))</f>
        <v>895.56552887124258</v>
      </c>
      <c r="U85">
        <f>IF($J85&gt;MAX('Match Log'!$A$4:$A$311),NA(),IFERROR(LOOKUP(2,1/(('Match Log'!$D$4:$D$311=$U$24)*('Match Log'!$A$4:$A$311&lt;=$J85)),'Match Log'!$N$4:$N$311),NA()))</f>
        <v>1011.0915051807751</v>
      </c>
      <c r="V85" t="e">
        <f>IF($J85&gt;MAX('Match Log'!$A$4:$A$311),NA(),IFERROR(LOOKUP(2,1/(('Match Log'!$D$4:$D$311=$V$24)*('Match Log'!$A$4:$A$311&lt;=$J85)),'Match Log'!$N$4:$N$311),NA()))</f>
        <v>#N/A</v>
      </c>
      <c r="W85" t="e">
        <f>IF($J85&gt;MAX('Match Log'!$A$4:$A$311),NA(),IFERROR(LOOKUP(2,1/(('Match Log'!$D$4:$D$311=$W$24)*('Match Log'!$A$4:$A$311&lt;=$J85)),'Match Log'!$N$4:$N$311),NA()))</f>
        <v>#N/A</v>
      </c>
      <c r="X85" t="e">
        <f>IF($J85&gt;MAX('Match Log'!$A$4:$A$311),NA(),IFERROR(LOOKUP(2,1/(('Match Log'!$D$4:$D$311=$X$24)*('Match Log'!$A$4:$A$311&lt;=$J85)),'Match Log'!$N$4:$N$311),NA()))</f>
        <v>#N/A</v>
      </c>
      <c r="Y85" t="str">
        <f t="shared" ca="1" si="21"/>
        <v/>
      </c>
    </row>
    <row r="86" spans="1:25" ht="15" customHeight="1" x14ac:dyDescent="0.2">
      <c r="A86">
        <v>62</v>
      </c>
      <c r="B86" s="132">
        <f>IFERROR(INDEX('Match Log'!$B$4:$B$311,MATCH(62,'Match Log'!$A$4:$A$311,0)),"")</f>
        <v>46188</v>
      </c>
      <c r="C86" t="str">
        <f>IFERROR(INDEX('Match Log'!$C$4:$C$311,MATCH(62,'Match Log'!$A$4:$A$311,0)),"")</f>
        <v>ShuffleBoard</v>
      </c>
      <c r="D86" t="str">
        <f>IFERROR(INDEX('Match Log'!$G$4:$G$311,MATCH(62,'Match Log'!$A$4:$A$311,0)),"")</f>
        <v>Dean B</v>
      </c>
      <c r="E86" s="133">
        <f>IFERROR(INDEX('Match Log'!$F$4:$F$311,MATCH(62,'Match Log'!$A$4:$A$311,0)),"")</f>
        <v>2</v>
      </c>
      <c r="F86">
        <f>IFERROR(SUMIFS('Match Log'!$I$4:$I$311,'Match Log'!$A$4:$A$311,62,'Match Log'!$E$4:$E$311,"Win"),"")</f>
        <v>0.5</v>
      </c>
      <c r="G86">
        <f t="shared" si="19"/>
        <v>0</v>
      </c>
      <c r="H86" t="str">
        <f>IFERROR(IF($E86=2,LOOKUP(2,1/(('Match Log'!$A$4:$A$311=62)*('Match Log'!$E$4:$E$311="Loss")),'Match Log'!$D$4:$D$311),"the field"),"")</f>
        <v>David</v>
      </c>
      <c r="I86">
        <f t="shared" si="20"/>
        <v>-6.2000000000000003E-5</v>
      </c>
      <c r="J86">
        <v>62</v>
      </c>
      <c r="K86">
        <f>IF($J86&gt;MAX('Match Log'!$A$4:$A$311),NA(),IFERROR(LOOKUP(2,1/(('Match Log'!$D$4:$D$311=$K$24)*('Match Log'!$A$4:$A$311&lt;=$J86)),'Match Log'!$N$4:$N$311),NA()))</f>
        <v>1032.1203077686844</v>
      </c>
      <c r="L86">
        <f>IF($J86&gt;MAX('Match Log'!$A$4:$A$311),NA(),IFERROR(LOOKUP(2,1/(('Match Log'!$D$4:$D$311=$L$24)*('Match Log'!$A$4:$A$311&lt;=$J86)),'Match Log'!$N$4:$N$311),NA()))</f>
        <v>994.58225352756665</v>
      </c>
      <c r="M86">
        <f>IF($J86&gt;MAX('Match Log'!$A$4:$A$311),NA(),IFERROR(LOOKUP(2,1/(('Match Log'!$D$4:$D$311=$M$24)*('Match Log'!$A$4:$A$311&lt;=$J86)),'Match Log'!$N$4:$N$311),NA()))</f>
        <v>1000.614377932863</v>
      </c>
      <c r="N86">
        <f>IF($J86&gt;MAX('Match Log'!$A$4:$A$311),NA(),IFERROR(LOOKUP(2,1/(('Match Log'!$D$4:$D$311=$N$24)*('Match Log'!$A$4:$A$311&lt;=$J86)),'Match Log'!$N$4:$N$311),NA()))</f>
        <v>951.93002730401292</v>
      </c>
      <c r="O86">
        <f>IF($J86&gt;MAX('Match Log'!$A$4:$A$311),NA(),IFERROR(LOOKUP(2,1/(('Match Log'!$D$4:$D$311=$O$24)*('Match Log'!$A$4:$A$311&lt;=$J86)),'Match Log'!$N$4:$N$311),NA()))</f>
        <v>1127.0712177445546</v>
      </c>
      <c r="P86">
        <f>IF($J86&gt;MAX('Match Log'!$A$4:$A$311),NA(),IFERROR(LOOKUP(2,1/(('Match Log'!$D$4:$D$311=$P$24)*('Match Log'!$A$4:$A$311&lt;=$J86)),'Match Log'!$N$4:$N$311),NA()))</f>
        <v>988.40086101694862</v>
      </c>
      <c r="Q86">
        <f>IF($J86&gt;MAX('Match Log'!$A$4:$A$311),NA(),IFERROR(LOOKUP(2,1/(('Match Log'!$D$4:$D$311=$Q$24)*('Match Log'!$A$4:$A$311&lt;=$J86)),'Match Log'!$N$4:$N$311),NA()))</f>
        <v>1026.7890747182494</v>
      </c>
      <c r="R86">
        <f>IF($J86&gt;MAX('Match Log'!$A$4:$A$311),NA(),IFERROR(LOOKUP(2,1/(('Match Log'!$D$4:$D$311=$R$24)*('Match Log'!$A$4:$A$311&lt;=$J86)),'Match Log'!$N$4:$N$311),NA()))</f>
        <v>975.56051004124629</v>
      </c>
      <c r="S86">
        <f>IF($J86&gt;MAX('Match Log'!$A$4:$A$311),NA(),IFERROR(LOOKUP(2,1/(('Match Log'!$D$4:$D$311=$S$24)*('Match Log'!$A$4:$A$311&lt;=$J86)),'Match Log'!$N$4:$N$311),NA()))</f>
        <v>1092.2743358938565</v>
      </c>
      <c r="T86">
        <f>IF($J86&gt;MAX('Match Log'!$A$4:$A$311),NA(),IFERROR(LOOKUP(2,1/(('Match Log'!$D$4:$D$311=$T$24)*('Match Log'!$A$4:$A$311&lt;=$J86)),'Match Log'!$N$4:$N$311),NA()))</f>
        <v>895.56552887124258</v>
      </c>
      <c r="U86">
        <f>IF($J86&gt;MAX('Match Log'!$A$4:$A$311),NA(),IFERROR(LOOKUP(2,1/(('Match Log'!$D$4:$D$311=$U$24)*('Match Log'!$A$4:$A$311&lt;=$J86)),'Match Log'!$N$4:$N$311),NA()))</f>
        <v>1011.0915051807751</v>
      </c>
      <c r="V86" t="e">
        <f>IF($J86&gt;MAX('Match Log'!$A$4:$A$311),NA(),IFERROR(LOOKUP(2,1/(('Match Log'!$D$4:$D$311=$V$24)*('Match Log'!$A$4:$A$311&lt;=$J86)),'Match Log'!$N$4:$N$311),NA()))</f>
        <v>#N/A</v>
      </c>
      <c r="W86" t="e">
        <f>IF($J86&gt;MAX('Match Log'!$A$4:$A$311),NA(),IFERROR(LOOKUP(2,1/(('Match Log'!$D$4:$D$311=$W$24)*('Match Log'!$A$4:$A$311&lt;=$J86)),'Match Log'!$N$4:$N$311),NA()))</f>
        <v>#N/A</v>
      </c>
      <c r="X86" t="e">
        <f>IF($J86&gt;MAX('Match Log'!$A$4:$A$311),NA(),IFERROR(LOOKUP(2,1/(('Match Log'!$D$4:$D$311=$X$24)*('Match Log'!$A$4:$A$311&lt;=$J86)),'Match Log'!$N$4:$N$311),NA()))</f>
        <v>#N/A</v>
      </c>
      <c r="Y86" t="str">
        <f t="shared" ca="1" si="21"/>
        <v/>
      </c>
    </row>
    <row r="87" spans="1:25" ht="15" customHeight="1" x14ac:dyDescent="0.2">
      <c r="A87">
        <v>63</v>
      </c>
      <c r="B87" s="132">
        <f>IFERROR(INDEX('Match Log'!$B$4:$B$311,MATCH(63,'Match Log'!$A$4:$A$311,0)),"")</f>
        <v>46188</v>
      </c>
      <c r="C87" t="str">
        <f>IFERROR(INDEX('Match Log'!$C$4:$C$311,MATCH(63,'Match Log'!$A$4:$A$311,0)),"")</f>
        <v>ShuffleBoard</v>
      </c>
      <c r="D87" t="str">
        <f>IFERROR(INDEX('Match Log'!$G$4:$G$311,MATCH(63,'Match Log'!$A$4:$A$311,0)),"")</f>
        <v>Simon</v>
      </c>
      <c r="E87" s="133">
        <f>IFERROR(INDEX('Match Log'!$F$4:$F$311,MATCH(63,'Match Log'!$A$4:$A$311,0)),"")</f>
        <v>2</v>
      </c>
      <c r="F87">
        <f>IFERROR(SUMIFS('Match Log'!$I$4:$I$311,'Match Log'!$A$4:$A$311,63,'Match Log'!$E$4:$E$311,"Win"),"")</f>
        <v>0.5</v>
      </c>
      <c r="G87">
        <f t="shared" si="19"/>
        <v>0</v>
      </c>
      <c r="H87" t="str">
        <f>IFERROR(IF($E87=2,LOOKUP(2,1/(('Match Log'!$A$4:$A$311=63)*('Match Log'!$E$4:$E$311="Loss")),'Match Log'!$D$4:$D$311),"the field"),"")</f>
        <v>Oscar</v>
      </c>
      <c r="I87">
        <f t="shared" si="20"/>
        <v>-6.3E-5</v>
      </c>
      <c r="J87">
        <v>63</v>
      </c>
      <c r="K87">
        <f>IF($J87&gt;MAX('Match Log'!$A$4:$A$311),NA(),IFERROR(LOOKUP(2,1/(('Match Log'!$D$4:$D$311=$K$24)*('Match Log'!$A$4:$A$311&lt;=$J87)),'Match Log'!$N$4:$N$311),NA()))</f>
        <v>1032.1203077686844</v>
      </c>
      <c r="L87">
        <f>IF($J87&gt;MAX('Match Log'!$A$4:$A$311),NA(),IFERROR(LOOKUP(2,1/(('Match Log'!$D$4:$D$311=$L$24)*('Match Log'!$A$4:$A$311&lt;=$J87)),'Match Log'!$N$4:$N$311),NA()))</f>
        <v>994.58225352756665</v>
      </c>
      <c r="M87">
        <f>IF($J87&gt;MAX('Match Log'!$A$4:$A$311),NA(),IFERROR(LOOKUP(2,1/(('Match Log'!$D$4:$D$311=$M$24)*('Match Log'!$A$4:$A$311&lt;=$J87)),'Match Log'!$N$4:$N$311),NA()))</f>
        <v>1000.614377932863</v>
      </c>
      <c r="N87">
        <f>IF($J87&gt;MAX('Match Log'!$A$4:$A$311),NA(),IFERROR(LOOKUP(2,1/(('Match Log'!$D$4:$D$311=$N$24)*('Match Log'!$A$4:$A$311&lt;=$J87)),'Match Log'!$N$4:$N$311),NA()))</f>
        <v>951.93002730401292</v>
      </c>
      <c r="O87">
        <f>IF($J87&gt;MAX('Match Log'!$A$4:$A$311),NA(),IFERROR(LOOKUP(2,1/(('Match Log'!$D$4:$D$311=$O$24)*('Match Log'!$A$4:$A$311&lt;=$J87)),'Match Log'!$N$4:$N$311),NA()))</f>
        <v>1127.0712177445546</v>
      </c>
      <c r="P87">
        <f>IF($J87&gt;MAX('Match Log'!$A$4:$A$311),NA(),IFERROR(LOOKUP(2,1/(('Match Log'!$D$4:$D$311=$P$24)*('Match Log'!$A$4:$A$311&lt;=$J87)),'Match Log'!$N$4:$N$311),NA()))</f>
        <v>988.40086101694862</v>
      </c>
      <c r="Q87">
        <f>IF($J87&gt;MAX('Match Log'!$A$4:$A$311),NA(),IFERROR(LOOKUP(2,1/(('Match Log'!$D$4:$D$311=$Q$24)*('Match Log'!$A$4:$A$311&lt;=$J87)),'Match Log'!$N$4:$N$311),NA()))</f>
        <v>1048.1982297428196</v>
      </c>
      <c r="R87">
        <f>IF($J87&gt;MAX('Match Log'!$A$4:$A$311),NA(),IFERROR(LOOKUP(2,1/(('Match Log'!$D$4:$D$311=$R$24)*('Match Log'!$A$4:$A$311&lt;=$J87)),'Match Log'!$N$4:$N$311),NA()))</f>
        <v>975.56051004124629</v>
      </c>
      <c r="S87">
        <f>IF($J87&gt;MAX('Match Log'!$A$4:$A$311),NA(),IFERROR(LOOKUP(2,1/(('Match Log'!$D$4:$D$311=$S$24)*('Match Log'!$A$4:$A$311&lt;=$J87)),'Match Log'!$N$4:$N$311),NA()))</f>
        <v>1092.2743358938565</v>
      </c>
      <c r="T87">
        <f>IF($J87&gt;MAX('Match Log'!$A$4:$A$311),NA(),IFERROR(LOOKUP(2,1/(('Match Log'!$D$4:$D$311=$T$24)*('Match Log'!$A$4:$A$311&lt;=$J87)),'Match Log'!$N$4:$N$311),NA()))</f>
        <v>895.56552887124258</v>
      </c>
      <c r="U87">
        <f>IF($J87&gt;MAX('Match Log'!$A$4:$A$311),NA(),IFERROR(LOOKUP(2,1/(('Match Log'!$D$4:$D$311=$U$24)*('Match Log'!$A$4:$A$311&lt;=$J87)),'Match Log'!$N$4:$N$311),NA()))</f>
        <v>989.68235015620496</v>
      </c>
      <c r="V87" t="e">
        <f>IF($J87&gt;MAX('Match Log'!$A$4:$A$311),NA(),IFERROR(LOOKUP(2,1/(('Match Log'!$D$4:$D$311=$V$24)*('Match Log'!$A$4:$A$311&lt;=$J87)),'Match Log'!$N$4:$N$311),NA()))</f>
        <v>#N/A</v>
      </c>
      <c r="W87" t="e">
        <f>IF($J87&gt;MAX('Match Log'!$A$4:$A$311),NA(),IFERROR(LOOKUP(2,1/(('Match Log'!$D$4:$D$311=$W$24)*('Match Log'!$A$4:$A$311&lt;=$J87)),'Match Log'!$N$4:$N$311),NA()))</f>
        <v>#N/A</v>
      </c>
      <c r="X87" t="e">
        <f>IF($J87&gt;MAX('Match Log'!$A$4:$A$311),NA(),IFERROR(LOOKUP(2,1/(('Match Log'!$D$4:$D$311=$X$24)*('Match Log'!$A$4:$A$311&lt;=$J87)),'Match Log'!$N$4:$N$311),NA()))</f>
        <v>#N/A</v>
      </c>
      <c r="Y87" t="str">
        <f t="shared" ca="1" si="21"/>
        <v/>
      </c>
    </row>
    <row r="88" spans="1:25" ht="15" customHeight="1" x14ac:dyDescent="0.2">
      <c r="A88">
        <v>64</v>
      </c>
      <c r="B88" s="132">
        <f>IFERROR(INDEX('Match Log'!$B$4:$B$311,MATCH(64,'Match Log'!$A$4:$A$311,0)),"")</f>
        <v>46188</v>
      </c>
      <c r="C88" t="str">
        <f>IFERROR(INDEX('Match Log'!$C$4:$C$311,MATCH(64,'Match Log'!$A$4:$A$311,0)),"")</f>
        <v>ShuffleBoard</v>
      </c>
      <c r="D88" t="str">
        <f>IFERROR(INDEX('Match Log'!$G$4:$G$311,MATCH(64,'Match Log'!$A$4:$A$311,0)),"")</f>
        <v>Chase</v>
      </c>
      <c r="E88" s="133">
        <f>IFERROR(INDEX('Match Log'!$F$4:$F$311,MATCH(64,'Match Log'!$A$4:$A$311,0)),"")</f>
        <v>2</v>
      </c>
      <c r="F88">
        <f>IFERROR(SUMIFS('Match Log'!$I$4:$I$311,'Match Log'!$A$4:$A$311,64,'Match Log'!$E$4:$E$311,"Win"),"")</f>
        <v>0.60000000000000009</v>
      </c>
      <c r="G88">
        <f t="shared" si="19"/>
        <v>-0.20000000000000018</v>
      </c>
      <c r="H88" t="str">
        <f>IFERROR(IF($E88=2,LOOKUP(2,1/(('Match Log'!$A$4:$A$311=64)*('Match Log'!$E$4:$E$311="Loss")),'Match Log'!$D$4:$D$311),"the field"),"")</f>
        <v>Cody</v>
      </c>
      <c r="I88">
        <f t="shared" si="20"/>
        <v>-0.20006400000000019</v>
      </c>
      <c r="J88">
        <v>64</v>
      </c>
      <c r="K88">
        <f>IF($J88&gt;MAX('Match Log'!$A$4:$A$311),NA(),IFERROR(LOOKUP(2,1/(('Match Log'!$D$4:$D$311=$K$24)*('Match Log'!$A$4:$A$311&lt;=$J88)),'Match Log'!$N$4:$N$311),NA()))</f>
        <v>1032.1203077686844</v>
      </c>
      <c r="L88">
        <f>IF($J88&gt;MAX('Match Log'!$A$4:$A$311),NA(),IFERROR(LOOKUP(2,1/(('Match Log'!$D$4:$D$311=$L$24)*('Match Log'!$A$4:$A$311&lt;=$J88)),'Match Log'!$N$4:$N$311),NA()))</f>
        <v>994.58225352756665</v>
      </c>
      <c r="M88">
        <f>IF($J88&gt;MAX('Match Log'!$A$4:$A$311),NA(),IFERROR(LOOKUP(2,1/(('Match Log'!$D$4:$D$311=$M$24)*('Match Log'!$A$4:$A$311&lt;=$J88)),'Match Log'!$N$4:$N$311),NA()))</f>
        <v>1017.3466608720325</v>
      </c>
      <c r="N88">
        <f>IF($J88&gt;MAX('Match Log'!$A$4:$A$311),NA(),IFERROR(LOOKUP(2,1/(('Match Log'!$D$4:$D$311=$N$24)*('Match Log'!$A$4:$A$311&lt;=$J88)),'Match Log'!$N$4:$N$311),NA()))</f>
        <v>951.93002730401292</v>
      </c>
      <c r="O88">
        <f>IF($J88&gt;MAX('Match Log'!$A$4:$A$311),NA(),IFERROR(LOOKUP(2,1/(('Match Log'!$D$4:$D$311=$O$24)*('Match Log'!$A$4:$A$311&lt;=$J88)),'Match Log'!$N$4:$N$311),NA()))</f>
        <v>1127.0712177445546</v>
      </c>
      <c r="P88">
        <f>IF($J88&gt;MAX('Match Log'!$A$4:$A$311),NA(),IFERROR(LOOKUP(2,1/(('Match Log'!$D$4:$D$311=$P$24)*('Match Log'!$A$4:$A$311&lt;=$J88)),'Match Log'!$N$4:$N$311),NA()))</f>
        <v>988.40086101694862</v>
      </c>
      <c r="Q88">
        <f>IF($J88&gt;MAX('Match Log'!$A$4:$A$311),NA(),IFERROR(LOOKUP(2,1/(('Match Log'!$D$4:$D$311=$Q$24)*('Match Log'!$A$4:$A$311&lt;=$J88)),'Match Log'!$N$4:$N$311),NA()))</f>
        <v>1048.1982297428196</v>
      </c>
      <c r="R88">
        <f>IF($J88&gt;MAX('Match Log'!$A$4:$A$311),NA(),IFERROR(LOOKUP(2,1/(('Match Log'!$D$4:$D$311=$R$24)*('Match Log'!$A$4:$A$311&lt;=$J88)),'Match Log'!$N$4:$N$311),NA()))</f>
        <v>975.56051004124629</v>
      </c>
      <c r="S88">
        <f>IF($J88&gt;MAX('Match Log'!$A$4:$A$311),NA(),IFERROR(LOOKUP(2,1/(('Match Log'!$D$4:$D$311=$S$24)*('Match Log'!$A$4:$A$311&lt;=$J88)),'Match Log'!$N$4:$N$311),NA()))</f>
        <v>1092.2743358938565</v>
      </c>
      <c r="T88">
        <f>IF($J88&gt;MAX('Match Log'!$A$4:$A$311),NA(),IFERROR(LOOKUP(2,1/(('Match Log'!$D$4:$D$311=$T$24)*('Match Log'!$A$4:$A$311&lt;=$J88)),'Match Log'!$N$4:$N$311),NA()))</f>
        <v>878.83324593207305</v>
      </c>
      <c r="U88">
        <f>IF($J88&gt;MAX('Match Log'!$A$4:$A$311),NA(),IFERROR(LOOKUP(2,1/(('Match Log'!$D$4:$D$311=$U$24)*('Match Log'!$A$4:$A$311&lt;=$J88)),'Match Log'!$N$4:$N$311),NA()))</f>
        <v>989.68235015620496</v>
      </c>
      <c r="V88" t="e">
        <f>IF($J88&gt;MAX('Match Log'!$A$4:$A$311),NA(),IFERROR(LOOKUP(2,1/(('Match Log'!$D$4:$D$311=$V$24)*('Match Log'!$A$4:$A$311&lt;=$J88)),'Match Log'!$N$4:$N$311),NA()))</f>
        <v>#N/A</v>
      </c>
      <c r="W88" t="e">
        <f>IF($J88&gt;MAX('Match Log'!$A$4:$A$311),NA(),IFERROR(LOOKUP(2,1/(('Match Log'!$D$4:$D$311=$W$24)*('Match Log'!$A$4:$A$311&lt;=$J88)),'Match Log'!$N$4:$N$311),NA()))</f>
        <v>#N/A</v>
      </c>
      <c r="X88" t="e">
        <f>IF($J88&gt;MAX('Match Log'!$A$4:$A$311),NA(),IFERROR(LOOKUP(2,1/(('Match Log'!$D$4:$D$311=$X$24)*('Match Log'!$A$4:$A$311&lt;=$J88)),'Match Log'!$N$4:$N$311),NA()))</f>
        <v>#N/A</v>
      </c>
      <c r="Y88" t="str">
        <f t="shared" ca="1" si="21"/>
        <v/>
      </c>
    </row>
    <row r="89" spans="1:25" ht="15" customHeight="1" x14ac:dyDescent="0.2">
      <c r="A89">
        <v>65</v>
      </c>
      <c r="B89" s="132">
        <f>IFERROR(INDEX('Match Log'!$B$4:$B$311,MATCH(65,'Match Log'!$A$4:$A$311,0)),"")</f>
        <v>46188</v>
      </c>
      <c r="C89" t="str">
        <f>IFERROR(INDEX('Match Log'!$C$4:$C$311,MATCH(65,'Match Log'!$A$4:$A$311,0)),"")</f>
        <v>ShuffleBoard</v>
      </c>
      <c r="D89" t="str">
        <f>IFERROR(INDEX('Match Log'!$G$4:$G$311,MATCH(65,'Match Log'!$A$4:$A$311,0)),"")</f>
        <v>Cody</v>
      </c>
      <c r="E89" s="133">
        <f>IFERROR(INDEX('Match Log'!$F$4:$F$311,MATCH(65,'Match Log'!$A$4:$A$311,0)),"")</f>
        <v>2</v>
      </c>
      <c r="F89">
        <f>IFERROR(SUMIFS('Match Log'!$I$4:$I$311,'Match Log'!$A$4:$A$311,65,'Match Log'!$E$4:$E$311,"Win"),"")</f>
        <v>0.33333333333333331</v>
      </c>
      <c r="G89">
        <f t="shared" ref="G89:G120" si="22">IF($D89="","",1-$F89*$E89)</f>
        <v>0.33333333333333337</v>
      </c>
      <c r="H89" t="str">
        <f>IFERROR(IF($E89=2,LOOKUP(2,1/(('Match Log'!$A$4:$A$311=65)*('Match Log'!$E$4:$E$311="Loss")),'Match Log'!$D$4:$D$311),"the field"),"")</f>
        <v>Oscar</v>
      </c>
      <c r="I89">
        <f t="shared" ref="I89:I120" si="23">IF($G89="","",$G89-$A89/1000000)</f>
        <v>0.33326833333333339</v>
      </c>
      <c r="J89">
        <v>65</v>
      </c>
      <c r="K89">
        <f>IF($J89&gt;MAX('Match Log'!$A$4:$A$311),NA(),IFERROR(LOOKUP(2,1/(('Match Log'!$D$4:$D$311=$K$24)*('Match Log'!$A$4:$A$311&lt;=$J89)),'Match Log'!$N$4:$N$311),NA()))</f>
        <v>1032.1203077686844</v>
      </c>
      <c r="L89">
        <f>IF($J89&gt;MAX('Match Log'!$A$4:$A$311),NA(),IFERROR(LOOKUP(2,1/(('Match Log'!$D$4:$D$311=$L$24)*('Match Log'!$A$4:$A$311&lt;=$J89)),'Match Log'!$N$4:$N$311),NA()))</f>
        <v>994.58225352756665</v>
      </c>
      <c r="M89">
        <f>IF($J89&gt;MAX('Match Log'!$A$4:$A$311),NA(),IFERROR(LOOKUP(2,1/(('Match Log'!$D$4:$D$311=$M$24)*('Match Log'!$A$4:$A$311&lt;=$J89)),'Match Log'!$N$4:$N$311),NA()))</f>
        <v>1017.3466608720325</v>
      </c>
      <c r="N89">
        <f>IF($J89&gt;MAX('Match Log'!$A$4:$A$311),NA(),IFERROR(LOOKUP(2,1/(('Match Log'!$D$4:$D$311=$N$24)*('Match Log'!$A$4:$A$311&lt;=$J89)),'Match Log'!$N$4:$N$311),NA()))</f>
        <v>951.93002730401292</v>
      </c>
      <c r="O89">
        <f>IF($J89&gt;MAX('Match Log'!$A$4:$A$311),NA(),IFERROR(LOOKUP(2,1/(('Match Log'!$D$4:$D$311=$O$24)*('Match Log'!$A$4:$A$311&lt;=$J89)),'Match Log'!$N$4:$N$311),NA()))</f>
        <v>1127.0712177445546</v>
      </c>
      <c r="P89">
        <f>IF($J89&gt;MAX('Match Log'!$A$4:$A$311),NA(),IFERROR(LOOKUP(2,1/(('Match Log'!$D$4:$D$311=$P$24)*('Match Log'!$A$4:$A$311&lt;=$J89)),'Match Log'!$N$4:$N$311),NA()))</f>
        <v>988.40086101694862</v>
      </c>
      <c r="Q89">
        <f>IF($J89&gt;MAX('Match Log'!$A$4:$A$311),NA(),IFERROR(LOOKUP(2,1/(('Match Log'!$D$4:$D$311=$Q$24)*('Match Log'!$A$4:$A$311&lt;=$J89)),'Match Log'!$N$4:$N$311),NA()))</f>
        <v>1048.1982297428196</v>
      </c>
      <c r="R89">
        <f>IF($J89&gt;MAX('Match Log'!$A$4:$A$311),NA(),IFERROR(LOOKUP(2,1/(('Match Log'!$D$4:$D$311=$R$24)*('Match Log'!$A$4:$A$311&lt;=$J89)),'Match Log'!$N$4:$N$311),NA()))</f>
        <v>975.56051004124629</v>
      </c>
      <c r="S89">
        <f>IF($J89&gt;MAX('Match Log'!$A$4:$A$311),NA(),IFERROR(LOOKUP(2,1/(('Match Log'!$D$4:$D$311=$S$24)*('Match Log'!$A$4:$A$311&lt;=$J89)),'Match Log'!$N$4:$N$311),NA()))</f>
        <v>1092.2743358938565</v>
      </c>
      <c r="T89">
        <f>IF($J89&gt;MAX('Match Log'!$A$4:$A$311),NA(),IFERROR(LOOKUP(2,1/(('Match Log'!$D$4:$D$311=$T$24)*('Match Log'!$A$4:$A$311&lt;=$J89)),'Match Log'!$N$4:$N$311),NA()))</f>
        <v>906.81432623747514</v>
      </c>
      <c r="U89">
        <f>IF($J89&gt;MAX('Match Log'!$A$4:$A$311),NA(),IFERROR(LOOKUP(2,1/(('Match Log'!$D$4:$D$311=$U$24)*('Match Log'!$A$4:$A$311&lt;=$J89)),'Match Log'!$N$4:$N$311),NA()))</f>
        <v>961.70126985080287</v>
      </c>
      <c r="V89" t="e">
        <f>IF($J89&gt;MAX('Match Log'!$A$4:$A$311),NA(),IFERROR(LOOKUP(2,1/(('Match Log'!$D$4:$D$311=$V$24)*('Match Log'!$A$4:$A$311&lt;=$J89)),'Match Log'!$N$4:$N$311),NA()))</f>
        <v>#N/A</v>
      </c>
      <c r="W89" t="e">
        <f>IF($J89&gt;MAX('Match Log'!$A$4:$A$311),NA(),IFERROR(LOOKUP(2,1/(('Match Log'!$D$4:$D$311=$W$24)*('Match Log'!$A$4:$A$311&lt;=$J89)),'Match Log'!$N$4:$N$311),NA()))</f>
        <v>#N/A</v>
      </c>
      <c r="X89" t="e">
        <f>IF($J89&gt;MAX('Match Log'!$A$4:$A$311),NA(),IFERROR(LOOKUP(2,1/(('Match Log'!$D$4:$D$311=$X$24)*('Match Log'!$A$4:$A$311&lt;=$J89)),'Match Log'!$N$4:$N$311),NA()))</f>
        <v>#N/A</v>
      </c>
      <c r="Y89" t="str">
        <f t="shared" ref="Y89:Y120" ca="1" si="24">IF(AND($B89&lt;&gt;"",$B89&gt;=$B$5,$I89&lt;&gt;""),$I89,"")</f>
        <v/>
      </c>
    </row>
    <row r="90" spans="1:25" ht="15" customHeight="1" x14ac:dyDescent="0.2">
      <c r="A90">
        <v>66</v>
      </c>
      <c r="B90" s="132">
        <f>IFERROR(INDEX('Match Log'!$B$4:$B$311,MATCH(66,'Match Log'!$A$4:$A$311,0)),"")</f>
        <v>46188</v>
      </c>
      <c r="C90" t="str">
        <f>IFERROR(INDEX('Match Log'!$C$4:$C$311,MATCH(66,'Match Log'!$A$4:$A$311,0)),"")</f>
        <v>ShuffleBoard</v>
      </c>
      <c r="D90" t="str">
        <f>IFERROR(INDEX('Match Log'!$G$4:$G$311,MATCH(66,'Match Log'!$A$4:$A$311,0)),"")</f>
        <v>Simon</v>
      </c>
      <c r="E90" s="133">
        <f>IFERROR(INDEX('Match Log'!$F$4:$F$311,MATCH(66,'Match Log'!$A$4:$A$311,0)),"")</f>
        <v>2</v>
      </c>
      <c r="F90">
        <f>IFERROR(SUMIFS('Match Log'!$I$4:$I$311,'Match Log'!$A$4:$A$311,66,'Match Log'!$E$4:$E$311,"Win"),"")</f>
        <v>0.65217391304347827</v>
      </c>
      <c r="G90">
        <f t="shared" si="22"/>
        <v>-0.30434782608695654</v>
      </c>
      <c r="H90" t="str">
        <f>IFERROR(IF($E90=2,LOOKUP(2,1/(('Match Log'!$A$4:$A$311=66)*('Match Log'!$E$4:$E$311="Loss")),'Match Log'!$D$4:$D$311),"the field"),"")</f>
        <v>Oscar</v>
      </c>
      <c r="I90">
        <f t="shared" si="23"/>
        <v>-0.30441382608695655</v>
      </c>
      <c r="J90">
        <v>66</v>
      </c>
      <c r="K90">
        <f>IF($J90&gt;MAX('Match Log'!$A$4:$A$311),NA(),IFERROR(LOOKUP(2,1/(('Match Log'!$D$4:$D$311=$K$24)*('Match Log'!$A$4:$A$311&lt;=$J90)),'Match Log'!$N$4:$N$311),NA()))</f>
        <v>1032.1203077686844</v>
      </c>
      <c r="L90">
        <f>IF($J90&gt;MAX('Match Log'!$A$4:$A$311),NA(),IFERROR(LOOKUP(2,1/(('Match Log'!$D$4:$D$311=$L$24)*('Match Log'!$A$4:$A$311&lt;=$J90)),'Match Log'!$N$4:$N$311),NA()))</f>
        <v>994.58225352756665</v>
      </c>
      <c r="M90">
        <f>IF($J90&gt;MAX('Match Log'!$A$4:$A$311),NA(),IFERROR(LOOKUP(2,1/(('Match Log'!$D$4:$D$311=$M$24)*('Match Log'!$A$4:$A$311&lt;=$J90)),'Match Log'!$N$4:$N$311),NA()))</f>
        <v>1017.3466608720325</v>
      </c>
      <c r="N90">
        <f>IF($J90&gt;MAX('Match Log'!$A$4:$A$311),NA(),IFERROR(LOOKUP(2,1/(('Match Log'!$D$4:$D$311=$N$24)*('Match Log'!$A$4:$A$311&lt;=$J90)),'Match Log'!$N$4:$N$311),NA()))</f>
        <v>951.93002730401292</v>
      </c>
      <c r="O90">
        <f>IF($J90&gt;MAX('Match Log'!$A$4:$A$311),NA(),IFERROR(LOOKUP(2,1/(('Match Log'!$D$4:$D$311=$O$24)*('Match Log'!$A$4:$A$311&lt;=$J90)),'Match Log'!$N$4:$N$311),NA()))</f>
        <v>1127.0712177445546</v>
      </c>
      <c r="P90">
        <f>IF($J90&gt;MAX('Match Log'!$A$4:$A$311),NA(),IFERROR(LOOKUP(2,1/(('Match Log'!$D$4:$D$311=$P$24)*('Match Log'!$A$4:$A$311&lt;=$J90)),'Match Log'!$N$4:$N$311),NA()))</f>
        <v>988.40086101694862</v>
      </c>
      <c r="Q90">
        <f>IF($J90&gt;MAX('Match Log'!$A$4:$A$311),NA(),IFERROR(LOOKUP(2,1/(('Match Log'!$D$4:$D$311=$Q$24)*('Match Log'!$A$4:$A$311&lt;=$J90)),'Match Log'!$N$4:$N$311),NA()))</f>
        <v>1065.0318791711331</v>
      </c>
      <c r="R90">
        <f>IF($J90&gt;MAX('Match Log'!$A$4:$A$311),NA(),IFERROR(LOOKUP(2,1/(('Match Log'!$D$4:$D$311=$R$24)*('Match Log'!$A$4:$A$311&lt;=$J90)),'Match Log'!$N$4:$N$311),NA()))</f>
        <v>975.56051004124629</v>
      </c>
      <c r="S90">
        <f>IF($J90&gt;MAX('Match Log'!$A$4:$A$311),NA(),IFERROR(LOOKUP(2,1/(('Match Log'!$D$4:$D$311=$S$24)*('Match Log'!$A$4:$A$311&lt;=$J90)),'Match Log'!$N$4:$N$311),NA()))</f>
        <v>1092.2743358938565</v>
      </c>
      <c r="T90">
        <f>IF($J90&gt;MAX('Match Log'!$A$4:$A$311),NA(),IFERROR(LOOKUP(2,1/(('Match Log'!$D$4:$D$311=$T$24)*('Match Log'!$A$4:$A$311&lt;=$J90)),'Match Log'!$N$4:$N$311),NA()))</f>
        <v>906.81432623747514</v>
      </c>
      <c r="U90">
        <f>IF($J90&gt;MAX('Match Log'!$A$4:$A$311),NA(),IFERROR(LOOKUP(2,1/(('Match Log'!$D$4:$D$311=$U$24)*('Match Log'!$A$4:$A$311&lt;=$J90)),'Match Log'!$N$4:$N$311),NA()))</f>
        <v>944.86762042248938</v>
      </c>
      <c r="V90" t="e">
        <f>IF($J90&gt;MAX('Match Log'!$A$4:$A$311),NA(),IFERROR(LOOKUP(2,1/(('Match Log'!$D$4:$D$311=$V$24)*('Match Log'!$A$4:$A$311&lt;=$J90)),'Match Log'!$N$4:$N$311),NA()))</f>
        <v>#N/A</v>
      </c>
      <c r="W90" t="e">
        <f>IF($J90&gt;MAX('Match Log'!$A$4:$A$311),NA(),IFERROR(LOOKUP(2,1/(('Match Log'!$D$4:$D$311=$W$24)*('Match Log'!$A$4:$A$311&lt;=$J90)),'Match Log'!$N$4:$N$311),NA()))</f>
        <v>#N/A</v>
      </c>
      <c r="X90" t="e">
        <f>IF($J90&gt;MAX('Match Log'!$A$4:$A$311),NA(),IFERROR(LOOKUP(2,1/(('Match Log'!$D$4:$D$311=$X$24)*('Match Log'!$A$4:$A$311&lt;=$J90)),'Match Log'!$N$4:$N$311),NA()))</f>
        <v>#N/A</v>
      </c>
      <c r="Y90" t="str">
        <f t="shared" ca="1" si="24"/>
        <v/>
      </c>
    </row>
    <row r="91" spans="1:25" ht="15" customHeight="1" x14ac:dyDescent="0.2">
      <c r="A91">
        <v>67</v>
      </c>
      <c r="B91" s="132">
        <f>IFERROR(INDEX('Match Log'!$B$4:$B$311,MATCH(67,'Match Log'!$A$4:$A$311,0)),"")</f>
        <v>46188</v>
      </c>
      <c r="C91" t="str">
        <f>IFERROR(INDEX('Match Log'!$C$4:$C$311,MATCH(67,'Match Log'!$A$4:$A$311,0)),"")</f>
        <v>ShuffleBoard</v>
      </c>
      <c r="D91" t="str">
        <f>IFERROR(INDEX('Match Log'!$G$4:$G$311,MATCH(67,'Match Log'!$A$4:$A$311,0)),"")</f>
        <v>Cody</v>
      </c>
      <c r="E91" s="133">
        <f>IFERROR(INDEX('Match Log'!$F$4:$F$311,MATCH(67,'Match Log'!$A$4:$A$311,0)),"")</f>
        <v>2</v>
      </c>
      <c r="F91">
        <f>IFERROR(SUMIFS('Match Log'!$I$4:$I$311,'Match Log'!$A$4:$A$311,67,'Match Log'!$E$4:$E$311,"Win"),"")</f>
        <v>0.54545454545454541</v>
      </c>
      <c r="G91">
        <f t="shared" si="22"/>
        <v>-9.0909090909090828E-2</v>
      </c>
      <c r="H91" t="str">
        <f>IFERROR(IF($E91=2,LOOKUP(2,1/(('Match Log'!$A$4:$A$311=67)*('Match Log'!$E$4:$E$311="Loss")),'Match Log'!$D$4:$D$311),"the field"),"")</f>
        <v>Oscar</v>
      </c>
      <c r="I91">
        <f t="shared" si="23"/>
        <v>-9.0976090909090826E-2</v>
      </c>
      <c r="J91">
        <v>67</v>
      </c>
      <c r="K91">
        <f>IF($J91&gt;MAX('Match Log'!$A$4:$A$311),NA(),IFERROR(LOOKUP(2,1/(('Match Log'!$D$4:$D$311=$K$24)*('Match Log'!$A$4:$A$311&lt;=$J91)),'Match Log'!$N$4:$N$311),NA()))</f>
        <v>1032.1203077686844</v>
      </c>
      <c r="L91">
        <f>IF($J91&gt;MAX('Match Log'!$A$4:$A$311),NA(),IFERROR(LOOKUP(2,1/(('Match Log'!$D$4:$D$311=$L$24)*('Match Log'!$A$4:$A$311&lt;=$J91)),'Match Log'!$N$4:$N$311),NA()))</f>
        <v>994.58225352756665</v>
      </c>
      <c r="M91">
        <f>IF($J91&gt;MAX('Match Log'!$A$4:$A$311),NA(),IFERROR(LOOKUP(2,1/(('Match Log'!$D$4:$D$311=$M$24)*('Match Log'!$A$4:$A$311&lt;=$J91)),'Match Log'!$N$4:$N$311),NA()))</f>
        <v>1017.3466608720325</v>
      </c>
      <c r="N91">
        <f>IF($J91&gt;MAX('Match Log'!$A$4:$A$311),NA(),IFERROR(LOOKUP(2,1/(('Match Log'!$D$4:$D$311=$N$24)*('Match Log'!$A$4:$A$311&lt;=$J91)),'Match Log'!$N$4:$N$311),NA()))</f>
        <v>951.93002730401292</v>
      </c>
      <c r="O91">
        <f>IF($J91&gt;MAX('Match Log'!$A$4:$A$311),NA(),IFERROR(LOOKUP(2,1/(('Match Log'!$D$4:$D$311=$O$24)*('Match Log'!$A$4:$A$311&lt;=$J91)),'Match Log'!$N$4:$N$311),NA()))</f>
        <v>1127.0712177445546</v>
      </c>
      <c r="P91">
        <f>IF($J91&gt;MAX('Match Log'!$A$4:$A$311),NA(),IFERROR(LOOKUP(2,1/(('Match Log'!$D$4:$D$311=$P$24)*('Match Log'!$A$4:$A$311&lt;=$J91)),'Match Log'!$N$4:$N$311),NA()))</f>
        <v>988.40086101694862</v>
      </c>
      <c r="Q91">
        <f>IF($J91&gt;MAX('Match Log'!$A$4:$A$311),NA(),IFERROR(LOOKUP(2,1/(('Match Log'!$D$4:$D$311=$Q$24)*('Match Log'!$A$4:$A$311&lt;=$J91)),'Match Log'!$N$4:$N$311),NA()))</f>
        <v>1065.0318791711331</v>
      </c>
      <c r="R91">
        <f>IF($J91&gt;MAX('Match Log'!$A$4:$A$311),NA(),IFERROR(LOOKUP(2,1/(('Match Log'!$D$4:$D$311=$R$24)*('Match Log'!$A$4:$A$311&lt;=$J91)),'Match Log'!$N$4:$N$311),NA()))</f>
        <v>975.56051004124629</v>
      </c>
      <c r="S91">
        <f>IF($J91&gt;MAX('Match Log'!$A$4:$A$311),NA(),IFERROR(LOOKUP(2,1/(('Match Log'!$D$4:$D$311=$S$24)*('Match Log'!$A$4:$A$311&lt;=$J91)),'Match Log'!$N$4:$N$311),NA()))</f>
        <v>1092.2743358938565</v>
      </c>
      <c r="T91">
        <f>IF($J91&gt;MAX('Match Log'!$A$4:$A$311),NA(),IFERROR(LOOKUP(2,1/(('Match Log'!$D$4:$D$311=$T$24)*('Match Log'!$A$4:$A$311&lt;=$J91)),'Match Log'!$N$4:$N$311),NA()))</f>
        <v>929.15161036060704</v>
      </c>
      <c r="U91">
        <f>IF($J91&gt;MAX('Match Log'!$A$4:$A$311),NA(),IFERROR(LOOKUP(2,1/(('Match Log'!$D$4:$D$311=$U$24)*('Match Log'!$A$4:$A$311&lt;=$J91)),'Match Log'!$N$4:$N$311),NA()))</f>
        <v>922.53033629935749</v>
      </c>
      <c r="V91" t="e">
        <f>IF($J91&gt;MAX('Match Log'!$A$4:$A$311),NA(),IFERROR(LOOKUP(2,1/(('Match Log'!$D$4:$D$311=$V$24)*('Match Log'!$A$4:$A$311&lt;=$J91)),'Match Log'!$N$4:$N$311),NA()))</f>
        <v>#N/A</v>
      </c>
      <c r="W91" t="e">
        <f>IF($J91&gt;MAX('Match Log'!$A$4:$A$311),NA(),IFERROR(LOOKUP(2,1/(('Match Log'!$D$4:$D$311=$W$24)*('Match Log'!$A$4:$A$311&lt;=$J91)),'Match Log'!$N$4:$N$311),NA()))</f>
        <v>#N/A</v>
      </c>
      <c r="X91" t="e">
        <f>IF($J91&gt;MAX('Match Log'!$A$4:$A$311),NA(),IFERROR(LOOKUP(2,1/(('Match Log'!$D$4:$D$311=$X$24)*('Match Log'!$A$4:$A$311&lt;=$J91)),'Match Log'!$N$4:$N$311),NA()))</f>
        <v>#N/A</v>
      </c>
      <c r="Y91" t="str">
        <f t="shared" ca="1" si="24"/>
        <v/>
      </c>
    </row>
    <row r="92" spans="1:25" ht="15" customHeight="1" x14ac:dyDescent="0.2">
      <c r="A92">
        <v>68</v>
      </c>
      <c r="B92" s="132">
        <f>IFERROR(INDEX('Match Log'!$B$4:$B$311,MATCH(68,'Match Log'!$A$4:$A$311,0)),"")</f>
        <v>46188</v>
      </c>
      <c r="C92" t="str">
        <f>IFERROR(INDEX('Match Log'!$C$4:$C$311,MATCH(68,'Match Log'!$A$4:$A$311,0)),"")</f>
        <v>ShuffleBoard</v>
      </c>
      <c r="D92" t="str">
        <f>IFERROR(INDEX('Match Log'!$G$4:$G$311,MATCH(68,'Match Log'!$A$4:$A$311,0)),"")</f>
        <v>Simon</v>
      </c>
      <c r="E92" s="133">
        <f>IFERROR(INDEX('Match Log'!$F$4:$F$311,MATCH(68,'Match Log'!$A$4:$A$311,0)),"")</f>
        <v>2</v>
      </c>
      <c r="F92">
        <f>IFERROR(SUMIFS('Match Log'!$I$4:$I$311,'Match Log'!$A$4:$A$311,68,'Match Log'!$E$4:$E$311,"Win"),"")</f>
        <v>0.61538461538461542</v>
      </c>
      <c r="G92">
        <f t="shared" si="22"/>
        <v>-0.23076923076923084</v>
      </c>
      <c r="H92" t="str">
        <f>IFERROR(IF($E92=2,LOOKUP(2,1/(('Match Log'!$A$4:$A$311=68)*('Match Log'!$E$4:$E$311="Loss")),'Match Log'!$D$4:$D$311),"the field"),"")</f>
        <v>Cody</v>
      </c>
      <c r="I92">
        <f t="shared" si="23"/>
        <v>-0.23083723076923085</v>
      </c>
      <c r="J92">
        <v>68</v>
      </c>
      <c r="K92">
        <f>IF($J92&gt;MAX('Match Log'!$A$4:$A$311),NA(),IFERROR(LOOKUP(2,1/(('Match Log'!$D$4:$D$311=$K$24)*('Match Log'!$A$4:$A$311&lt;=$J92)),'Match Log'!$N$4:$N$311),NA()))</f>
        <v>1032.1203077686844</v>
      </c>
      <c r="L92">
        <f>IF($J92&gt;MAX('Match Log'!$A$4:$A$311),NA(),IFERROR(LOOKUP(2,1/(('Match Log'!$D$4:$D$311=$L$24)*('Match Log'!$A$4:$A$311&lt;=$J92)),'Match Log'!$N$4:$N$311),NA()))</f>
        <v>994.58225352756665</v>
      </c>
      <c r="M92">
        <f>IF($J92&gt;MAX('Match Log'!$A$4:$A$311),NA(),IFERROR(LOOKUP(2,1/(('Match Log'!$D$4:$D$311=$M$24)*('Match Log'!$A$4:$A$311&lt;=$J92)),'Match Log'!$N$4:$N$311),NA()))</f>
        <v>1017.3466608720325</v>
      </c>
      <c r="N92">
        <f>IF($J92&gt;MAX('Match Log'!$A$4:$A$311),NA(),IFERROR(LOOKUP(2,1/(('Match Log'!$D$4:$D$311=$N$24)*('Match Log'!$A$4:$A$311&lt;=$J92)),'Match Log'!$N$4:$N$311),NA()))</f>
        <v>951.93002730401292</v>
      </c>
      <c r="O92">
        <f>IF($J92&gt;MAX('Match Log'!$A$4:$A$311),NA(),IFERROR(LOOKUP(2,1/(('Match Log'!$D$4:$D$311=$O$24)*('Match Log'!$A$4:$A$311&lt;=$J92)),'Match Log'!$N$4:$N$311),NA()))</f>
        <v>1127.0712177445546</v>
      </c>
      <c r="P92">
        <f>IF($J92&gt;MAX('Match Log'!$A$4:$A$311),NA(),IFERROR(LOOKUP(2,1/(('Match Log'!$D$4:$D$311=$P$24)*('Match Log'!$A$4:$A$311&lt;=$J92)),'Match Log'!$N$4:$N$311),NA()))</f>
        <v>988.40086101694862</v>
      </c>
      <c r="Q92">
        <f>IF($J92&gt;MAX('Match Log'!$A$4:$A$311),NA(),IFERROR(LOOKUP(2,1/(('Match Log'!$D$4:$D$311=$Q$24)*('Match Log'!$A$4:$A$311&lt;=$J92)),'Match Log'!$N$4:$N$311),NA()))</f>
        <v>1081.3229609670329</v>
      </c>
      <c r="R92">
        <f>IF($J92&gt;MAX('Match Log'!$A$4:$A$311),NA(),IFERROR(LOOKUP(2,1/(('Match Log'!$D$4:$D$311=$R$24)*('Match Log'!$A$4:$A$311&lt;=$J92)),'Match Log'!$N$4:$N$311),NA()))</f>
        <v>975.56051004124629</v>
      </c>
      <c r="S92">
        <f>IF($J92&gt;MAX('Match Log'!$A$4:$A$311),NA(),IFERROR(LOOKUP(2,1/(('Match Log'!$D$4:$D$311=$S$24)*('Match Log'!$A$4:$A$311&lt;=$J92)),'Match Log'!$N$4:$N$311),NA()))</f>
        <v>1092.2743358938565</v>
      </c>
      <c r="T92">
        <f>IF($J92&gt;MAX('Match Log'!$A$4:$A$311),NA(),IFERROR(LOOKUP(2,1/(('Match Log'!$D$4:$D$311=$T$24)*('Match Log'!$A$4:$A$311&lt;=$J92)),'Match Log'!$N$4:$N$311),NA()))</f>
        <v>912.86052856470724</v>
      </c>
      <c r="U92">
        <f>IF($J92&gt;MAX('Match Log'!$A$4:$A$311),NA(),IFERROR(LOOKUP(2,1/(('Match Log'!$D$4:$D$311=$U$24)*('Match Log'!$A$4:$A$311&lt;=$J92)),'Match Log'!$N$4:$N$311),NA()))</f>
        <v>922.53033629935749</v>
      </c>
      <c r="V92" t="e">
        <f>IF($J92&gt;MAX('Match Log'!$A$4:$A$311),NA(),IFERROR(LOOKUP(2,1/(('Match Log'!$D$4:$D$311=$V$24)*('Match Log'!$A$4:$A$311&lt;=$J92)),'Match Log'!$N$4:$N$311),NA()))</f>
        <v>#N/A</v>
      </c>
      <c r="W92" t="e">
        <f>IF($J92&gt;MAX('Match Log'!$A$4:$A$311),NA(),IFERROR(LOOKUP(2,1/(('Match Log'!$D$4:$D$311=$W$24)*('Match Log'!$A$4:$A$311&lt;=$J92)),'Match Log'!$N$4:$N$311),NA()))</f>
        <v>#N/A</v>
      </c>
      <c r="X92" t="e">
        <f>IF($J92&gt;MAX('Match Log'!$A$4:$A$311),NA(),IFERROR(LOOKUP(2,1/(('Match Log'!$D$4:$D$311=$X$24)*('Match Log'!$A$4:$A$311&lt;=$J92)),'Match Log'!$N$4:$N$311),NA()))</f>
        <v>#N/A</v>
      </c>
      <c r="Y92" t="str">
        <f t="shared" ca="1" si="24"/>
        <v/>
      </c>
    </row>
    <row r="93" spans="1:25" ht="15" customHeight="1" x14ac:dyDescent="0.2">
      <c r="A93">
        <v>69</v>
      </c>
      <c r="B93" s="132">
        <f>IFERROR(INDEX('Match Log'!$B$4:$B$311,MATCH(69,'Match Log'!$A$4:$A$311,0)),"")</f>
        <v>46188</v>
      </c>
      <c r="C93" t="str">
        <f>IFERROR(INDEX('Match Log'!$C$4:$C$311,MATCH(69,'Match Log'!$A$4:$A$311,0)),"")</f>
        <v>ShuffleBoard</v>
      </c>
      <c r="D93" t="str">
        <f>IFERROR(INDEX('Match Log'!$G$4:$G$311,MATCH(69,'Match Log'!$A$4:$A$311,0)),"")</f>
        <v>Josh</v>
      </c>
      <c r="E93" s="133">
        <f>IFERROR(INDEX('Match Log'!$F$4:$F$311,MATCH(69,'Match Log'!$A$4:$A$311,0)),"")</f>
        <v>4</v>
      </c>
      <c r="F93">
        <f>IFERROR(SUMIFS('Match Log'!$I$4:$I$311,'Match Log'!$A$4:$A$311,69,'Match Log'!$E$4:$E$311,"Win"),"")</f>
        <v>0.43478260869565216</v>
      </c>
      <c r="G93">
        <f t="shared" si="22"/>
        <v>-0.73913043478260865</v>
      </c>
      <c r="H93" t="str">
        <f>IFERROR(IF($E93=2,LOOKUP(2,1/(('Match Log'!$A$4:$A$311=69)*('Match Log'!$E$4:$E$311="Loss")),'Match Log'!$D$4:$D$311),"the field"),"")</f>
        <v>the field</v>
      </c>
      <c r="I93">
        <f t="shared" si="23"/>
        <v>-0.73919943478260863</v>
      </c>
      <c r="J93">
        <v>69</v>
      </c>
      <c r="K93">
        <f>IF($J93&gt;MAX('Match Log'!$A$4:$A$311),NA(),IFERROR(LOOKUP(2,1/(('Match Log'!$D$4:$D$311=$K$24)*('Match Log'!$A$4:$A$311&lt;=$J93)),'Match Log'!$N$4:$N$311),NA()))</f>
        <v>1032.1203077686844</v>
      </c>
      <c r="L93">
        <f>IF($J93&gt;MAX('Match Log'!$A$4:$A$311),NA(),IFERROR(LOOKUP(2,1/(('Match Log'!$D$4:$D$311=$L$24)*('Match Log'!$A$4:$A$311&lt;=$J93)),'Match Log'!$N$4:$N$311),NA()))</f>
        <v>994.58225352756665</v>
      </c>
      <c r="M93">
        <f>IF($J93&gt;MAX('Match Log'!$A$4:$A$311),NA(),IFERROR(LOOKUP(2,1/(('Match Log'!$D$4:$D$311=$M$24)*('Match Log'!$A$4:$A$311&lt;=$J93)),'Match Log'!$N$4:$N$311),NA()))</f>
        <v>1017.3466608720325</v>
      </c>
      <c r="N93">
        <f>IF($J93&gt;MAX('Match Log'!$A$4:$A$311),NA(),IFERROR(LOOKUP(2,1/(('Match Log'!$D$4:$D$311=$N$24)*('Match Log'!$A$4:$A$311&lt;=$J93)),'Match Log'!$N$4:$N$311),NA()))</f>
        <v>951.93002730401292</v>
      </c>
      <c r="O93">
        <f>IF($J93&gt;MAX('Match Log'!$A$4:$A$311),NA(),IFERROR(LOOKUP(2,1/(('Match Log'!$D$4:$D$311=$O$24)*('Match Log'!$A$4:$A$311&lt;=$J93)),'Match Log'!$N$4:$N$311),NA()))</f>
        <v>1149.9966067961702</v>
      </c>
      <c r="P93">
        <f>IF($J93&gt;MAX('Match Log'!$A$4:$A$311),NA(),IFERROR(LOOKUP(2,1/(('Match Log'!$D$4:$D$311=$P$24)*('Match Log'!$A$4:$A$311&lt;=$J93)),'Match Log'!$N$4:$N$311),NA()))</f>
        <v>1010.2827718076946</v>
      </c>
      <c r="Q93">
        <f>IF($J93&gt;MAX('Match Log'!$A$4:$A$311),NA(),IFERROR(LOOKUP(2,1/(('Match Log'!$D$4:$D$311=$Q$24)*('Match Log'!$A$4:$A$311&lt;=$J93)),'Match Log'!$N$4:$N$311),NA()))</f>
        <v>1081.3229609670329</v>
      </c>
      <c r="R93">
        <f>IF($J93&gt;MAX('Match Log'!$A$4:$A$311),NA(),IFERROR(LOOKUP(2,1/(('Match Log'!$D$4:$D$311=$R$24)*('Match Log'!$A$4:$A$311&lt;=$J93)),'Match Log'!$N$4:$N$311),NA()))</f>
        <v>973.20632207334415</v>
      </c>
      <c r="S93">
        <f>IF($J93&gt;MAX('Match Log'!$A$4:$A$311),NA(),IFERROR(LOOKUP(2,1/(('Match Log'!$D$4:$D$311=$S$24)*('Match Log'!$A$4:$A$311&lt;=$J93)),'Match Log'!$N$4:$N$311),NA()))</f>
        <v>1085.8212240193971</v>
      </c>
      <c r="T93">
        <f>IF($J93&gt;MAX('Match Log'!$A$4:$A$311),NA(),IFERROR(LOOKUP(2,1/(('Match Log'!$D$4:$D$311=$T$24)*('Match Log'!$A$4:$A$311&lt;=$J93)),'Match Log'!$N$4:$N$311),NA()))</f>
        <v>912.86052856470724</v>
      </c>
      <c r="U93">
        <f>IF($J93&gt;MAX('Match Log'!$A$4:$A$311),NA(),IFERROR(LOOKUP(2,1/(('Match Log'!$D$4:$D$311=$U$24)*('Match Log'!$A$4:$A$311&lt;=$J93)),'Match Log'!$N$4:$N$311),NA()))</f>
        <v>922.53033629935749</v>
      </c>
      <c r="V93" t="e">
        <f>IF($J93&gt;MAX('Match Log'!$A$4:$A$311),NA(),IFERROR(LOOKUP(2,1/(('Match Log'!$D$4:$D$311=$V$24)*('Match Log'!$A$4:$A$311&lt;=$J93)),'Match Log'!$N$4:$N$311),NA()))</f>
        <v>#N/A</v>
      </c>
      <c r="W93" t="e">
        <f>IF($J93&gt;MAX('Match Log'!$A$4:$A$311),NA(),IFERROR(LOOKUP(2,1/(('Match Log'!$D$4:$D$311=$W$24)*('Match Log'!$A$4:$A$311&lt;=$J93)),'Match Log'!$N$4:$N$311),NA()))</f>
        <v>#N/A</v>
      </c>
      <c r="X93" t="e">
        <f>IF($J93&gt;MAX('Match Log'!$A$4:$A$311),NA(),IFERROR(LOOKUP(2,1/(('Match Log'!$D$4:$D$311=$X$24)*('Match Log'!$A$4:$A$311&lt;=$J93)),'Match Log'!$N$4:$N$311),NA()))</f>
        <v>#N/A</v>
      </c>
      <c r="Y93" t="str">
        <f t="shared" ca="1" si="24"/>
        <v/>
      </c>
    </row>
    <row r="94" spans="1:25" ht="15" customHeight="1" x14ac:dyDescent="0.2">
      <c r="A94">
        <v>70</v>
      </c>
      <c r="B94" s="132">
        <f>IFERROR(INDEX('Match Log'!$B$4:$B$311,MATCH(70,'Match Log'!$A$4:$A$311,0)),"")</f>
        <v>46188</v>
      </c>
      <c r="C94" t="str">
        <f>IFERROR(INDEX('Match Log'!$C$4:$C$311,MATCH(70,'Match Log'!$A$4:$A$311,0)),"")</f>
        <v>ShuffleBoard</v>
      </c>
      <c r="D94" t="str">
        <f>IFERROR(INDEX('Match Log'!$G$4:$G$311,MATCH(70,'Match Log'!$A$4:$A$311,0)),"")</f>
        <v>Simon</v>
      </c>
      <c r="E94" s="133">
        <f>IFERROR(INDEX('Match Log'!$F$4:$F$311,MATCH(70,'Match Log'!$A$4:$A$311,0)),"")</f>
        <v>4</v>
      </c>
      <c r="F94">
        <f>IFERROR(SUMIFS('Match Log'!$I$4:$I$311,'Match Log'!$A$4:$A$311,70,'Match Log'!$E$4:$E$311,"Win"),"")</f>
        <v>0.50429184549356221</v>
      </c>
      <c r="G94">
        <f t="shared" si="22"/>
        <v>-1.0171673819742488</v>
      </c>
      <c r="H94" t="str">
        <f>IFERROR(IF($E94=2,LOOKUP(2,1/(('Match Log'!$A$4:$A$311=70)*('Match Log'!$E$4:$E$311="Loss")),'Match Log'!$D$4:$D$311),"the field"),"")</f>
        <v>the field</v>
      </c>
      <c r="I94">
        <f t="shared" si="23"/>
        <v>-1.0172373819742488</v>
      </c>
      <c r="J94">
        <v>70</v>
      </c>
      <c r="K94">
        <f>IF($J94&gt;MAX('Match Log'!$A$4:$A$311),NA(),IFERROR(LOOKUP(2,1/(('Match Log'!$D$4:$D$311=$K$24)*('Match Log'!$A$4:$A$311&lt;=$J94)),'Match Log'!$N$4:$N$311),NA()))</f>
        <v>1032.1203077686844</v>
      </c>
      <c r="L94">
        <f>IF($J94&gt;MAX('Match Log'!$A$4:$A$311),NA(),IFERROR(LOOKUP(2,1/(('Match Log'!$D$4:$D$311=$L$24)*('Match Log'!$A$4:$A$311&lt;=$J94)),'Match Log'!$N$4:$N$311),NA()))</f>
        <v>994.58225352756665</v>
      </c>
      <c r="M94">
        <f>IF($J94&gt;MAX('Match Log'!$A$4:$A$311),NA(),IFERROR(LOOKUP(2,1/(('Match Log'!$D$4:$D$311=$M$24)*('Match Log'!$A$4:$A$311&lt;=$J94)),'Match Log'!$N$4:$N$311),NA()))</f>
        <v>1017.3466608720325</v>
      </c>
      <c r="N94">
        <f>IF($J94&gt;MAX('Match Log'!$A$4:$A$311),NA(),IFERROR(LOOKUP(2,1/(('Match Log'!$D$4:$D$311=$N$24)*('Match Log'!$A$4:$A$311&lt;=$J94)),'Match Log'!$N$4:$N$311),NA()))</f>
        <v>951.93002730401292</v>
      </c>
      <c r="O94">
        <f>IF($J94&gt;MAX('Match Log'!$A$4:$A$311),NA(),IFERROR(LOOKUP(2,1/(('Match Log'!$D$4:$D$311=$O$24)*('Match Log'!$A$4:$A$311&lt;=$J94)),'Match Log'!$N$4:$N$311),NA()))</f>
        <v>1144.4758843860011</v>
      </c>
      <c r="P94">
        <f>IF($J94&gt;MAX('Match Log'!$A$4:$A$311),NA(),IFERROR(LOOKUP(2,1/(('Match Log'!$D$4:$D$311=$P$24)*('Match Log'!$A$4:$A$311&lt;=$J94)),'Match Log'!$N$4:$N$311),NA()))</f>
        <v>1005.6535603957898</v>
      </c>
      <c r="Q94">
        <f>IF($J94&gt;MAX('Match Log'!$A$4:$A$311),NA(),IFERROR(LOOKUP(2,1/(('Match Log'!$D$4:$D$311=$Q$24)*('Match Log'!$A$4:$A$311&lt;=$J94)),'Match Log'!$N$4:$N$311),NA()))</f>
        <v>1102.917241182791</v>
      </c>
      <c r="R94">
        <f>IF($J94&gt;MAX('Match Log'!$A$4:$A$311),NA(),IFERROR(LOOKUP(2,1/(('Match Log'!$D$4:$D$311=$R$24)*('Match Log'!$A$4:$A$311&lt;=$J94)),'Match Log'!$N$4:$N$311),NA()))</f>
        <v>973.20632207334415</v>
      </c>
      <c r="S94">
        <f>IF($J94&gt;MAX('Match Log'!$A$4:$A$311),NA(),IFERROR(LOOKUP(2,1/(('Match Log'!$D$4:$D$311=$S$24)*('Match Log'!$A$4:$A$311&lt;=$J94)),'Match Log'!$N$4:$N$311),NA()))</f>
        <v>1085.8212240193971</v>
      </c>
      <c r="T94">
        <f>IF($J94&gt;MAX('Match Log'!$A$4:$A$311),NA(),IFERROR(LOOKUP(2,1/(('Match Log'!$D$4:$D$311=$T$24)*('Match Log'!$A$4:$A$311&lt;=$J94)),'Match Log'!$N$4:$N$311),NA()))</f>
        <v>912.86052856470724</v>
      </c>
      <c r="U94">
        <f>IF($J94&gt;MAX('Match Log'!$A$4:$A$311),NA(),IFERROR(LOOKUP(2,1/(('Match Log'!$D$4:$D$311=$U$24)*('Match Log'!$A$4:$A$311&lt;=$J94)),'Match Log'!$N$4:$N$311),NA()))</f>
        <v>947.0859899056735</v>
      </c>
      <c r="V94" t="e">
        <f>IF($J94&gt;MAX('Match Log'!$A$4:$A$311),NA(),IFERROR(LOOKUP(2,1/(('Match Log'!$D$4:$D$311=$V$24)*('Match Log'!$A$4:$A$311&lt;=$J94)),'Match Log'!$N$4:$N$311),NA()))</f>
        <v>#N/A</v>
      </c>
      <c r="W94" t="e">
        <f>IF($J94&gt;MAX('Match Log'!$A$4:$A$311),NA(),IFERROR(LOOKUP(2,1/(('Match Log'!$D$4:$D$311=$W$24)*('Match Log'!$A$4:$A$311&lt;=$J94)),'Match Log'!$N$4:$N$311),NA()))</f>
        <v>#N/A</v>
      </c>
      <c r="X94" t="e">
        <f>IF($J94&gt;MAX('Match Log'!$A$4:$A$311),NA(),IFERROR(LOOKUP(2,1/(('Match Log'!$D$4:$D$311=$X$24)*('Match Log'!$A$4:$A$311&lt;=$J94)),'Match Log'!$N$4:$N$311),NA()))</f>
        <v>#N/A</v>
      </c>
      <c r="Y94" t="str">
        <f t="shared" ca="1" si="24"/>
        <v/>
      </c>
    </row>
    <row r="95" spans="1:25" ht="15" customHeight="1" x14ac:dyDescent="0.2">
      <c r="A95">
        <v>71</v>
      </c>
      <c r="B95" s="132">
        <f>IFERROR(INDEX('Match Log'!$B$4:$B$311,MATCH(71,'Match Log'!$A$4:$A$311,0)),"")</f>
        <v>46188</v>
      </c>
      <c r="C95" t="str">
        <f>IFERROR(INDEX('Match Log'!$C$4:$C$311,MATCH(71,'Match Log'!$A$4:$A$311,0)),"")</f>
        <v>ShuffleBoard</v>
      </c>
      <c r="D95" t="str">
        <f>IFERROR(INDEX('Match Log'!$G$4:$G$311,MATCH(71,'Match Log'!$A$4:$A$311,0)),"")</f>
        <v>Oscar</v>
      </c>
      <c r="E95" s="133">
        <f>IFERROR(INDEX('Match Log'!$F$4:$F$311,MATCH(71,'Match Log'!$A$4:$A$311,0)),"")</f>
        <v>4</v>
      </c>
      <c r="F95">
        <f>IFERROR(SUMIFS('Match Log'!$I$4:$I$311,'Match Log'!$A$4:$A$311,71,'Match Log'!$E$4:$E$311,"Win"),"")</f>
        <v>0.55199999999999994</v>
      </c>
      <c r="G95">
        <f t="shared" si="22"/>
        <v>-1.2079999999999997</v>
      </c>
      <c r="H95" t="str">
        <f>IFERROR(IF($E95=2,LOOKUP(2,1/(('Match Log'!$A$4:$A$311=71)*('Match Log'!$E$4:$E$311="Loss")),'Match Log'!$D$4:$D$311),"the field"),"")</f>
        <v>the field</v>
      </c>
      <c r="I95">
        <f t="shared" si="23"/>
        <v>-1.2080709999999997</v>
      </c>
      <c r="J95">
        <v>71</v>
      </c>
      <c r="K95">
        <f>IF($J95&gt;MAX('Match Log'!$A$4:$A$311),NA(),IFERROR(LOOKUP(2,1/(('Match Log'!$D$4:$D$311=$K$24)*('Match Log'!$A$4:$A$311&lt;=$J95)),'Match Log'!$N$4:$N$311),NA()))</f>
        <v>1032.1203077686844</v>
      </c>
      <c r="L95">
        <f>IF($J95&gt;MAX('Match Log'!$A$4:$A$311),NA(),IFERROR(LOOKUP(2,1/(('Match Log'!$D$4:$D$311=$L$24)*('Match Log'!$A$4:$A$311&lt;=$J95)),'Match Log'!$N$4:$N$311),NA()))</f>
        <v>994.58225352756665</v>
      </c>
      <c r="M95">
        <f>IF($J95&gt;MAX('Match Log'!$A$4:$A$311),NA(),IFERROR(LOOKUP(2,1/(('Match Log'!$D$4:$D$311=$M$24)*('Match Log'!$A$4:$A$311&lt;=$J95)),'Match Log'!$N$4:$N$311),NA()))</f>
        <v>1017.3466608720325</v>
      </c>
      <c r="N95">
        <f>IF($J95&gt;MAX('Match Log'!$A$4:$A$311),NA(),IFERROR(LOOKUP(2,1/(('Match Log'!$D$4:$D$311=$N$24)*('Match Log'!$A$4:$A$311&lt;=$J95)),'Match Log'!$N$4:$N$311),NA()))</f>
        <v>948.71656220915634</v>
      </c>
      <c r="O95">
        <f>IF($J95&gt;MAX('Match Log'!$A$4:$A$311),NA(),IFERROR(LOOKUP(2,1/(('Match Log'!$D$4:$D$311=$O$24)*('Match Log'!$A$4:$A$311&lt;=$J95)),'Match Log'!$N$4:$N$311),NA()))</f>
        <v>1144.4758843860011</v>
      </c>
      <c r="P95">
        <f>IF($J95&gt;MAX('Match Log'!$A$4:$A$311),NA(),IFERROR(LOOKUP(2,1/(('Match Log'!$D$4:$D$311=$P$24)*('Match Log'!$A$4:$A$311&lt;=$J95)),'Match Log'!$N$4:$N$311),NA()))</f>
        <v>1005.6535603957898</v>
      </c>
      <c r="Q95">
        <f>IF($J95&gt;MAX('Match Log'!$A$4:$A$311),NA(),IFERROR(LOOKUP(2,1/(('Match Log'!$D$4:$D$311=$Q$24)*('Match Log'!$A$4:$A$311&lt;=$J95)),'Match Log'!$N$4:$N$311),NA()))</f>
        <v>1123.0952482852515</v>
      </c>
      <c r="R95">
        <f>IF($J95&gt;MAX('Match Log'!$A$4:$A$311),NA(),IFERROR(LOOKUP(2,1/(('Match Log'!$D$4:$D$311=$R$24)*('Match Log'!$A$4:$A$311&lt;=$J95)),'Match Log'!$N$4:$N$311),NA()))</f>
        <v>973.20632207334415</v>
      </c>
      <c r="S95">
        <f>IF($J95&gt;MAX('Match Log'!$A$4:$A$311),NA(),IFERROR(LOOKUP(2,1/(('Match Log'!$D$4:$D$311=$S$24)*('Match Log'!$A$4:$A$311&lt;=$J95)),'Match Log'!$N$4:$N$311),NA()))</f>
        <v>1085.8212240193971</v>
      </c>
      <c r="T95">
        <f>IF($J95&gt;MAX('Match Log'!$A$4:$A$311),NA(),IFERROR(LOOKUP(2,1/(('Match Log'!$D$4:$D$311=$T$24)*('Match Log'!$A$4:$A$311&lt;=$J95)),'Match Log'!$N$4:$N$311),NA()))</f>
        <v>912.86052856470724</v>
      </c>
      <c r="U95">
        <f>IF($J95&gt;MAX('Match Log'!$A$4:$A$311),NA(),IFERROR(LOOKUP(2,1/(('Match Log'!$D$4:$D$311=$U$24)*('Match Log'!$A$4:$A$311&lt;=$J95)),'Match Log'!$N$4:$N$311),NA()))</f>
        <v>969.85599700813395</v>
      </c>
      <c r="V95">
        <f>IF($J95&gt;MAX('Match Log'!$A$4:$A$311),NA(),IFERROR(LOOKUP(2,1/(('Match Log'!$D$4:$D$311=$V$24)*('Match Log'!$A$4:$A$311&lt;=$J95)),'Match Log'!$N$4:$N$311),NA()))</f>
        <v>996.26545088993566</v>
      </c>
      <c r="W95" t="e">
        <f>IF($J95&gt;MAX('Match Log'!$A$4:$A$311),NA(),IFERROR(LOOKUP(2,1/(('Match Log'!$D$4:$D$311=$W$24)*('Match Log'!$A$4:$A$311&lt;=$J95)),'Match Log'!$N$4:$N$311),NA()))</f>
        <v>#N/A</v>
      </c>
      <c r="X95" t="e">
        <f>IF($J95&gt;MAX('Match Log'!$A$4:$A$311),NA(),IFERROR(LOOKUP(2,1/(('Match Log'!$D$4:$D$311=$X$24)*('Match Log'!$A$4:$A$311&lt;=$J95)),'Match Log'!$N$4:$N$311),NA()))</f>
        <v>#N/A</v>
      </c>
      <c r="Y95" t="str">
        <f t="shared" ca="1" si="24"/>
        <v/>
      </c>
    </row>
    <row r="96" spans="1:25" ht="15" customHeight="1" x14ac:dyDescent="0.2">
      <c r="A96">
        <v>72</v>
      </c>
      <c r="B96" s="132">
        <f>IFERROR(INDEX('Match Log'!$B$4:$B$311,MATCH(72,'Match Log'!$A$4:$A$311,0)),"")</f>
        <v>46188</v>
      </c>
      <c r="C96" t="str">
        <f>IFERROR(INDEX('Match Log'!$C$4:$C$311,MATCH(72,'Match Log'!$A$4:$A$311,0)),"")</f>
        <v>ShuffleBoard</v>
      </c>
      <c r="D96" t="str">
        <f>IFERROR(INDEX('Match Log'!$G$4:$G$311,MATCH(72,'Match Log'!$A$4:$A$311,0)),"")</f>
        <v>Oscar</v>
      </c>
      <c r="E96" s="133">
        <f>IFERROR(INDEX('Match Log'!$F$4:$F$311,MATCH(72,'Match Log'!$A$4:$A$311,0)),"")</f>
        <v>4</v>
      </c>
      <c r="F96">
        <f>IFERROR(SUMIFS('Match Log'!$I$4:$I$311,'Match Log'!$A$4:$A$311,72,'Match Log'!$E$4:$E$311,"Win"),"")</f>
        <v>0.660377358490566</v>
      </c>
      <c r="G96">
        <f t="shared" si="22"/>
        <v>-1.641509433962264</v>
      </c>
      <c r="H96" t="str">
        <f>IFERROR(IF($E96=2,LOOKUP(2,1/(('Match Log'!$A$4:$A$311=72)*('Match Log'!$E$4:$E$311="Loss")),'Match Log'!$D$4:$D$311),"the field"),"")</f>
        <v>the field</v>
      </c>
      <c r="I96">
        <f t="shared" si="23"/>
        <v>-1.6415814339622641</v>
      </c>
      <c r="J96">
        <v>72</v>
      </c>
      <c r="K96">
        <f>IF($J96&gt;MAX('Match Log'!$A$4:$A$311),NA(),IFERROR(LOOKUP(2,1/(('Match Log'!$D$4:$D$311=$K$24)*('Match Log'!$A$4:$A$311&lt;=$J96)),'Match Log'!$N$4:$N$311),NA()))</f>
        <v>1029.5352438555508</v>
      </c>
      <c r="L96">
        <f>IF($J96&gt;MAX('Match Log'!$A$4:$A$311),NA(),IFERROR(LOOKUP(2,1/(('Match Log'!$D$4:$D$311=$L$24)*('Match Log'!$A$4:$A$311&lt;=$J96)),'Match Log'!$N$4:$N$311),NA()))</f>
        <v>994.58225352756665</v>
      </c>
      <c r="M96">
        <f>IF($J96&gt;MAX('Match Log'!$A$4:$A$311),NA(),IFERROR(LOOKUP(2,1/(('Match Log'!$D$4:$D$311=$M$24)*('Match Log'!$A$4:$A$311&lt;=$J96)),'Match Log'!$N$4:$N$311),NA()))</f>
        <v>1017.3466608720325</v>
      </c>
      <c r="N96">
        <f>IF($J96&gt;MAX('Match Log'!$A$4:$A$311),NA(),IFERROR(LOOKUP(2,1/(('Match Log'!$D$4:$D$311=$N$24)*('Match Log'!$A$4:$A$311&lt;=$J96)),'Match Log'!$N$4:$N$311),NA()))</f>
        <v>948.71656220915634</v>
      </c>
      <c r="O96">
        <f>IF($J96&gt;MAX('Match Log'!$A$4:$A$311),NA(),IFERROR(LOOKUP(2,1/(('Match Log'!$D$4:$D$311=$O$24)*('Match Log'!$A$4:$A$311&lt;=$J96)),'Match Log'!$N$4:$N$311),NA()))</f>
        <v>1144.4758843860011</v>
      </c>
      <c r="P96">
        <f>IF($J96&gt;MAX('Match Log'!$A$4:$A$311),NA(),IFERROR(LOOKUP(2,1/(('Match Log'!$D$4:$D$311=$P$24)*('Match Log'!$A$4:$A$311&lt;=$J96)),'Match Log'!$N$4:$N$311),NA()))</f>
        <v>1005.6535603957898</v>
      </c>
      <c r="Q96">
        <f>IF($J96&gt;MAX('Match Log'!$A$4:$A$311),NA(),IFERROR(LOOKUP(2,1/(('Match Log'!$D$4:$D$311=$Q$24)*('Match Log'!$A$4:$A$311&lt;=$J96)),'Match Log'!$N$4:$N$311),NA()))</f>
        <v>1142.4440234832907</v>
      </c>
      <c r="R96">
        <f>IF($J96&gt;MAX('Match Log'!$A$4:$A$311),NA(),IFERROR(LOOKUP(2,1/(('Match Log'!$D$4:$D$311=$R$24)*('Match Log'!$A$4:$A$311&lt;=$J96)),'Match Log'!$N$4:$N$311),NA()))</f>
        <v>973.20632207334415</v>
      </c>
      <c r="S96">
        <f>IF($J96&gt;MAX('Match Log'!$A$4:$A$311),NA(),IFERROR(LOOKUP(2,1/(('Match Log'!$D$4:$D$311=$S$24)*('Match Log'!$A$4:$A$311&lt;=$J96)),'Match Log'!$N$4:$N$311),NA()))</f>
        <v>1085.8212240193971</v>
      </c>
      <c r="T96">
        <f>IF($J96&gt;MAX('Match Log'!$A$4:$A$311),NA(),IFERROR(LOOKUP(2,1/(('Match Log'!$D$4:$D$311=$T$24)*('Match Log'!$A$4:$A$311&lt;=$J96)),'Match Log'!$N$4:$N$311),NA()))</f>
        <v>910.16214337272572</v>
      </c>
      <c r="U96">
        <f>IF($J96&gt;MAX('Match Log'!$A$4:$A$311),NA(),IFERROR(LOOKUP(2,1/(('Match Log'!$D$4:$D$311=$U$24)*('Match Log'!$A$4:$A$311&lt;=$J96)),'Match Log'!$N$4:$N$311),NA()))</f>
        <v>991.79067091520983</v>
      </c>
      <c r="V96">
        <f>IF($J96&gt;MAX('Match Log'!$A$4:$A$311),NA(),IFERROR(LOOKUP(2,1/(('Match Log'!$D$4:$D$311=$V$24)*('Match Log'!$A$4:$A$311&lt;=$J96)),'Match Log'!$N$4:$N$311),NA()))</f>
        <v>996.26545088993566</v>
      </c>
      <c r="W96" t="e">
        <f>IF($J96&gt;MAX('Match Log'!$A$4:$A$311),NA(),IFERROR(LOOKUP(2,1/(('Match Log'!$D$4:$D$311=$W$24)*('Match Log'!$A$4:$A$311&lt;=$J96)),'Match Log'!$N$4:$N$311),NA()))</f>
        <v>#N/A</v>
      </c>
      <c r="X96" t="e">
        <f>IF($J96&gt;MAX('Match Log'!$A$4:$A$311),NA(),IFERROR(LOOKUP(2,1/(('Match Log'!$D$4:$D$311=$X$24)*('Match Log'!$A$4:$A$311&lt;=$J96)),'Match Log'!$N$4:$N$311),NA()))</f>
        <v>#N/A</v>
      </c>
      <c r="Y96" t="str">
        <f t="shared" ca="1" si="24"/>
        <v/>
      </c>
    </row>
    <row r="97" spans="1:25" ht="15" customHeight="1" x14ac:dyDescent="0.2">
      <c r="A97">
        <v>73</v>
      </c>
      <c r="B97" s="132">
        <f>IFERROR(INDEX('Match Log'!$B$4:$B$311,MATCH(73,'Match Log'!$A$4:$A$311,0)),"")</f>
        <v>46188</v>
      </c>
      <c r="C97" t="str">
        <f>IFERROR(INDEX('Match Log'!$C$4:$C$311,MATCH(73,'Match Log'!$A$4:$A$311,0)),"")</f>
        <v>ShuffleBoard</v>
      </c>
      <c r="D97" t="str">
        <f>IFERROR(INDEX('Match Log'!$G$4:$G$311,MATCH(73,'Match Log'!$A$4:$A$311,0)),"")</f>
        <v>Dylan A</v>
      </c>
      <c r="E97" s="133">
        <f>IFERROR(INDEX('Match Log'!$F$4:$F$311,MATCH(73,'Match Log'!$A$4:$A$311,0)),"")</f>
        <v>4</v>
      </c>
      <c r="F97">
        <f>IFERROR(SUMIFS('Match Log'!$I$4:$I$311,'Match Log'!$A$4:$A$311,73,'Match Log'!$E$4:$E$311,"Win"),"")</f>
        <v>0.45652173913043481</v>
      </c>
      <c r="G97">
        <f t="shared" si="22"/>
        <v>-0.82608695652173925</v>
      </c>
      <c r="H97" t="str">
        <f>IFERROR(IF($E97=2,LOOKUP(2,1/(('Match Log'!$A$4:$A$311=73)*('Match Log'!$E$4:$E$311="Loss")),'Match Log'!$D$4:$D$311),"the field"),"")</f>
        <v>the field</v>
      </c>
      <c r="I97">
        <f t="shared" si="23"/>
        <v>-0.82615995652173924</v>
      </c>
      <c r="J97">
        <v>73</v>
      </c>
      <c r="K97">
        <f>IF($J97&gt;MAX('Match Log'!$A$4:$A$311),NA(),IFERROR(LOOKUP(2,1/(('Match Log'!$D$4:$D$311=$K$24)*('Match Log'!$A$4:$A$311&lt;=$J97)),'Match Log'!$N$4:$N$311),NA()))</f>
        <v>1029.5352438555508</v>
      </c>
      <c r="L97">
        <f>IF($J97&gt;MAX('Match Log'!$A$4:$A$311),NA(),IFERROR(LOOKUP(2,1/(('Match Log'!$D$4:$D$311=$L$24)*('Match Log'!$A$4:$A$311&lt;=$J97)),'Match Log'!$N$4:$N$311),NA()))</f>
        <v>1017.3951419790604</v>
      </c>
      <c r="M97">
        <f>IF($J97&gt;MAX('Match Log'!$A$4:$A$311),NA(),IFERROR(LOOKUP(2,1/(('Match Log'!$D$4:$D$311=$M$24)*('Match Log'!$A$4:$A$311&lt;=$J97)),'Match Log'!$N$4:$N$311),NA()))</f>
        <v>1017.3466608720325</v>
      </c>
      <c r="N97">
        <f>IF($J97&gt;MAX('Match Log'!$A$4:$A$311),NA(),IFERROR(LOOKUP(2,1/(('Match Log'!$D$4:$D$311=$N$24)*('Match Log'!$A$4:$A$311&lt;=$J97)),'Match Log'!$N$4:$N$311),NA()))</f>
        <v>948.71656220915634</v>
      </c>
      <c r="O97">
        <f>IF($J97&gt;MAX('Match Log'!$A$4:$A$311),NA(),IFERROR(LOOKUP(2,1/(('Match Log'!$D$4:$D$311=$O$24)*('Match Log'!$A$4:$A$311&lt;=$J97)),'Match Log'!$N$4:$N$311),NA()))</f>
        <v>1144.4758843860011</v>
      </c>
      <c r="P97">
        <f>IF($J97&gt;MAX('Match Log'!$A$4:$A$311),NA(),IFERROR(LOOKUP(2,1/(('Match Log'!$D$4:$D$311=$P$24)*('Match Log'!$A$4:$A$311&lt;=$J97)),'Match Log'!$N$4:$N$311),NA()))</f>
        <v>1005.6535603957898</v>
      </c>
      <c r="Q97">
        <f>IF($J97&gt;MAX('Match Log'!$A$4:$A$311),NA(),IFERROR(LOOKUP(2,1/(('Match Log'!$D$4:$D$311=$Q$24)*('Match Log'!$A$4:$A$311&lt;=$J97)),'Match Log'!$N$4:$N$311),NA()))</f>
        <v>1135.3924969807852</v>
      </c>
      <c r="R97">
        <f>IF($J97&gt;MAX('Match Log'!$A$4:$A$311),NA(),IFERROR(LOOKUP(2,1/(('Match Log'!$D$4:$D$311=$R$24)*('Match Log'!$A$4:$A$311&lt;=$J97)),'Match Log'!$N$4:$N$311),NA()))</f>
        <v>973.20632207334415</v>
      </c>
      <c r="S97">
        <f>IF($J97&gt;MAX('Match Log'!$A$4:$A$311),NA(),IFERROR(LOOKUP(2,1/(('Match Log'!$D$4:$D$311=$S$24)*('Match Log'!$A$4:$A$311&lt;=$J97)),'Match Log'!$N$4:$N$311),NA()))</f>
        <v>1085.8212240193971</v>
      </c>
      <c r="T97">
        <f>IF($J97&gt;MAX('Match Log'!$A$4:$A$311),NA(),IFERROR(LOOKUP(2,1/(('Match Log'!$D$4:$D$311=$T$24)*('Match Log'!$A$4:$A$311&lt;=$J97)),'Match Log'!$N$4:$N$311),NA()))</f>
        <v>910.16214337272572</v>
      </c>
      <c r="U97">
        <f>IF($J97&gt;MAX('Match Log'!$A$4:$A$311),NA(),IFERROR(LOOKUP(2,1/(('Match Log'!$D$4:$D$311=$U$24)*('Match Log'!$A$4:$A$311&lt;=$J97)),'Match Log'!$N$4:$N$311),NA()))</f>
        <v>988.43381181907546</v>
      </c>
      <c r="V97">
        <f>IF($J97&gt;MAX('Match Log'!$A$4:$A$311),NA(),IFERROR(LOOKUP(2,1/(('Match Log'!$D$4:$D$311=$V$24)*('Match Log'!$A$4:$A$311&lt;=$J97)),'Match Log'!$N$4:$N$311),NA()))</f>
        <v>996.26545088993566</v>
      </c>
      <c r="W97">
        <f>IF($J97&gt;MAX('Match Log'!$A$4:$A$311),NA(),IFERROR(LOOKUP(2,1/(('Match Log'!$D$4:$D$311=$W$24)*('Match Log'!$A$4:$A$311&lt;=$J97)),'Match Log'!$N$4:$N$311),NA()))</f>
        <v>1023.595497147146</v>
      </c>
      <c r="X97" t="e">
        <f>IF($J97&gt;MAX('Match Log'!$A$4:$A$311),NA(),IFERROR(LOOKUP(2,1/(('Match Log'!$D$4:$D$311=$X$24)*('Match Log'!$A$4:$A$311&lt;=$J97)),'Match Log'!$N$4:$N$311),NA()))</f>
        <v>#N/A</v>
      </c>
      <c r="Y97" t="str">
        <f t="shared" ca="1" si="24"/>
        <v/>
      </c>
    </row>
    <row r="98" spans="1:25" ht="15" customHeight="1" x14ac:dyDescent="0.2">
      <c r="A98">
        <v>74</v>
      </c>
      <c r="B98" s="132">
        <f>IFERROR(INDEX('Match Log'!$B$4:$B$311,MATCH(74,'Match Log'!$A$4:$A$311,0)),"")</f>
        <v>46188</v>
      </c>
      <c r="C98" t="str">
        <f>IFERROR(INDEX('Match Log'!$C$4:$C$311,MATCH(74,'Match Log'!$A$4:$A$311,0)),"")</f>
        <v>ShuffleBoard</v>
      </c>
      <c r="D98" t="str">
        <f>IFERROR(INDEX('Match Log'!$G$4:$G$311,MATCH(74,'Match Log'!$A$4:$A$311,0)),"")</f>
        <v>Shawn</v>
      </c>
      <c r="E98" s="133">
        <f>IFERROR(INDEX('Match Log'!$F$4:$F$311,MATCH(74,'Match Log'!$A$4:$A$311,0)),"")</f>
        <v>4</v>
      </c>
      <c r="F98">
        <f>IFERROR(SUMIFS('Match Log'!$I$4:$I$311,'Match Log'!$A$4:$A$311,74,'Match Log'!$E$4:$E$311,"Win"),"")</f>
        <v>0.38848920863309355</v>
      </c>
      <c r="G98">
        <f t="shared" si="22"/>
        <v>-0.55395683453237421</v>
      </c>
      <c r="H98" t="str">
        <f>IFERROR(IF($E98=2,LOOKUP(2,1/(('Match Log'!$A$4:$A$311=74)*('Match Log'!$E$4:$E$311="Loss")),'Match Log'!$D$4:$D$311),"the field"),"")</f>
        <v>the field</v>
      </c>
      <c r="I98">
        <f t="shared" si="23"/>
        <v>-0.55403083453237423</v>
      </c>
      <c r="J98">
        <v>74</v>
      </c>
      <c r="K98">
        <f>IF($J98&gt;MAX('Match Log'!$A$4:$A$311),NA(),IFERROR(LOOKUP(2,1/(('Match Log'!$D$4:$D$311=$K$24)*('Match Log'!$A$4:$A$311&lt;=$J98)),'Match Log'!$N$4:$N$311),NA()))</f>
        <v>1029.5352438555508</v>
      </c>
      <c r="L98">
        <f>IF($J98&gt;MAX('Match Log'!$A$4:$A$311),NA(),IFERROR(LOOKUP(2,1/(('Match Log'!$D$4:$D$311=$L$24)*('Match Log'!$A$4:$A$311&lt;=$J98)),'Match Log'!$N$4:$N$311),NA()))</f>
        <v>1012.5620656557165</v>
      </c>
      <c r="M98">
        <f>IF($J98&gt;MAX('Match Log'!$A$4:$A$311),NA(),IFERROR(LOOKUP(2,1/(('Match Log'!$D$4:$D$311=$M$24)*('Match Log'!$A$4:$A$311&lt;=$J98)),'Match Log'!$N$4:$N$311),NA()))</f>
        <v>1017.3466608720325</v>
      </c>
      <c r="N98">
        <f>IF($J98&gt;MAX('Match Log'!$A$4:$A$311),NA(),IFERROR(LOOKUP(2,1/(('Match Log'!$D$4:$D$311=$N$24)*('Match Log'!$A$4:$A$311&lt;=$J98)),'Match Log'!$N$4:$N$311),NA()))</f>
        <v>948.71656220915634</v>
      </c>
      <c r="O98">
        <f>IF($J98&gt;MAX('Match Log'!$A$4:$A$311),NA(),IFERROR(LOOKUP(2,1/(('Match Log'!$D$4:$D$311=$O$24)*('Match Log'!$A$4:$A$311&lt;=$J98)),'Match Log'!$N$4:$N$311),NA()))</f>
        <v>1167.367455946747</v>
      </c>
      <c r="P98">
        <f>IF($J98&gt;MAX('Match Log'!$A$4:$A$311),NA(),IFERROR(LOOKUP(2,1/(('Match Log'!$D$4:$D$311=$P$24)*('Match Log'!$A$4:$A$311&lt;=$J98)),'Match Log'!$N$4:$N$311),NA()))</f>
        <v>1028.0271463450249</v>
      </c>
      <c r="Q98">
        <f>IF($J98&gt;MAX('Match Log'!$A$4:$A$311),NA(),IFERROR(LOOKUP(2,1/(('Match Log'!$D$4:$D$311=$Q$24)*('Match Log'!$A$4:$A$311&lt;=$J98)),'Match Log'!$N$4:$N$311),NA()))</f>
        <v>1135.3924969807852</v>
      </c>
      <c r="R98">
        <f>IF($J98&gt;MAX('Match Log'!$A$4:$A$311),NA(),IFERROR(LOOKUP(2,1/(('Match Log'!$D$4:$D$311=$R$24)*('Match Log'!$A$4:$A$311&lt;=$J98)),'Match Log'!$N$4:$N$311),NA()))</f>
        <v>973.20632207334415</v>
      </c>
      <c r="S98">
        <f>IF($J98&gt;MAX('Match Log'!$A$4:$A$311),NA(),IFERROR(LOOKUP(2,1/(('Match Log'!$D$4:$D$311=$S$24)*('Match Log'!$A$4:$A$311&lt;=$J98)),'Match Log'!$N$4:$N$311),NA()))</f>
        <v>1085.8212240193971</v>
      </c>
      <c r="T98">
        <f>IF($J98&gt;MAX('Match Log'!$A$4:$A$311),NA(),IFERROR(LOOKUP(2,1/(('Match Log'!$D$4:$D$311=$T$24)*('Match Log'!$A$4:$A$311&lt;=$J98)),'Match Log'!$N$4:$N$311),NA()))</f>
        <v>910.16214337272572</v>
      </c>
      <c r="U98">
        <f>IF($J98&gt;MAX('Match Log'!$A$4:$A$311),NA(),IFERROR(LOOKUP(2,1/(('Match Log'!$D$4:$D$311=$U$24)*('Match Log'!$A$4:$A$311&lt;=$J98)),'Match Log'!$N$4:$N$311),NA()))</f>
        <v>988.43381181907546</v>
      </c>
      <c r="V98">
        <f>IF($J98&gt;MAX('Match Log'!$A$4:$A$311),NA(),IFERROR(LOOKUP(2,1/(('Match Log'!$D$4:$D$311=$V$24)*('Match Log'!$A$4:$A$311&lt;=$J98)),'Match Log'!$N$4:$N$311),NA()))</f>
        <v>996.26545088993566</v>
      </c>
      <c r="W98">
        <f>IF($J98&gt;MAX('Match Log'!$A$4:$A$311),NA(),IFERROR(LOOKUP(2,1/(('Match Log'!$D$4:$D$311=$W$24)*('Match Log'!$A$4:$A$311&lt;=$J98)),'Match Log'!$N$4:$N$311),NA()))</f>
        <v>1019.1634159605087</v>
      </c>
      <c r="X98" t="e">
        <f>IF($J98&gt;MAX('Match Log'!$A$4:$A$311),NA(),IFERROR(LOOKUP(2,1/(('Match Log'!$D$4:$D$311=$X$24)*('Match Log'!$A$4:$A$311&lt;=$J98)),'Match Log'!$N$4:$N$311),NA()))</f>
        <v>#N/A</v>
      </c>
      <c r="Y98" t="str">
        <f t="shared" ca="1" si="24"/>
        <v/>
      </c>
    </row>
    <row r="99" spans="1:25" ht="15" customHeight="1" x14ac:dyDescent="0.2">
      <c r="A99">
        <v>75</v>
      </c>
      <c r="B99" s="132">
        <f>IFERROR(INDEX('Match Log'!$B$4:$B$311,MATCH(75,'Match Log'!$A$4:$A$311,0)),"")</f>
        <v>46188</v>
      </c>
      <c r="C99" t="str">
        <f>IFERROR(INDEX('Match Log'!$C$4:$C$311,MATCH(75,'Match Log'!$A$4:$A$311,0)),"")</f>
        <v>ShuffleBoard</v>
      </c>
      <c r="D99" t="str">
        <f>IFERROR(INDEX('Match Log'!$G$4:$G$311,MATCH(75,'Match Log'!$A$4:$A$311,0)),"")</f>
        <v>Daniel (Ferret)</v>
      </c>
      <c r="E99" s="133">
        <f>IFERROR(INDEX('Match Log'!$F$4:$F$311,MATCH(75,'Match Log'!$A$4:$A$311,0)),"")</f>
        <v>4</v>
      </c>
      <c r="F99">
        <f>IFERROR(SUMIFS('Match Log'!$I$4:$I$311,'Match Log'!$A$4:$A$311,75,'Match Log'!$E$4:$E$311,"Win"),"")</f>
        <v>0.44237918215613381</v>
      </c>
      <c r="G99">
        <f t="shared" si="22"/>
        <v>-0.76951672862453524</v>
      </c>
      <c r="H99" t="str">
        <f>IFERROR(IF($E99=2,LOOKUP(2,1/(('Match Log'!$A$4:$A$311=75)*('Match Log'!$E$4:$E$311="Loss")),'Match Log'!$D$4:$D$311),"the field"),"")</f>
        <v>the field</v>
      </c>
      <c r="I99">
        <f t="shared" si="23"/>
        <v>-0.76959172862453529</v>
      </c>
      <c r="J99">
        <v>75</v>
      </c>
      <c r="K99">
        <f>IF($J99&gt;MAX('Match Log'!$A$4:$A$311),NA(),IFERROR(LOOKUP(2,1/(('Match Log'!$D$4:$D$311=$K$24)*('Match Log'!$A$4:$A$311&lt;=$J99)),'Match Log'!$N$4:$N$311),NA()))</f>
        <v>1029.5352438555508</v>
      </c>
      <c r="L99">
        <f>IF($J99&gt;MAX('Match Log'!$A$4:$A$311),NA(),IFERROR(LOOKUP(2,1/(('Match Log'!$D$4:$D$311=$L$24)*('Match Log'!$A$4:$A$311&lt;=$J99)),'Match Log'!$N$4:$N$311),NA()))</f>
        <v>1012.5620656557165</v>
      </c>
      <c r="M99">
        <f>IF($J99&gt;MAX('Match Log'!$A$4:$A$311),NA(),IFERROR(LOOKUP(2,1/(('Match Log'!$D$4:$D$311=$M$24)*('Match Log'!$A$4:$A$311&lt;=$J99)),'Match Log'!$N$4:$N$311),NA()))</f>
        <v>1017.3466608720325</v>
      </c>
      <c r="N99">
        <f>IF($J99&gt;MAX('Match Log'!$A$4:$A$311),NA(),IFERROR(LOOKUP(2,1/(('Match Log'!$D$4:$D$311=$N$24)*('Match Log'!$A$4:$A$311&lt;=$J99)),'Match Log'!$N$4:$N$311),NA()))</f>
        <v>948.71656220915634</v>
      </c>
      <c r="O99">
        <f>IF($J99&gt;MAX('Match Log'!$A$4:$A$311),NA(),IFERROR(LOOKUP(2,1/(('Match Log'!$D$4:$D$311=$O$24)*('Match Log'!$A$4:$A$311&lt;=$J99)),'Match Log'!$N$4:$N$311),NA()))</f>
        <v>1161.8584150494405</v>
      </c>
      <c r="P99">
        <f>IF($J99&gt;MAX('Match Log'!$A$4:$A$311),NA(),IFERROR(LOOKUP(2,1/(('Match Log'!$D$4:$D$311=$P$24)*('Match Log'!$A$4:$A$311&lt;=$J99)),'Match Log'!$N$4:$N$311),NA()))</f>
        <v>1023.1632267812757</v>
      </c>
      <c r="Q99">
        <f>IF($J99&gt;MAX('Match Log'!$A$4:$A$311),NA(),IFERROR(LOOKUP(2,1/(('Match Log'!$D$4:$D$311=$Q$24)*('Match Log'!$A$4:$A$311&lt;=$J99)),'Match Log'!$N$4:$N$311),NA()))</f>
        <v>1135.3924969807852</v>
      </c>
      <c r="R99">
        <f>IF($J99&gt;MAX('Match Log'!$A$4:$A$311),NA(),IFERROR(LOOKUP(2,1/(('Match Log'!$D$4:$D$311=$R$24)*('Match Log'!$A$4:$A$311&lt;=$J99)),'Match Log'!$N$4:$N$311),NA()))</f>
        <v>997.48573910684604</v>
      </c>
      <c r="S99">
        <f>IF($J99&gt;MAX('Match Log'!$A$4:$A$311),NA(),IFERROR(LOOKUP(2,1/(('Match Log'!$D$4:$D$311=$S$24)*('Match Log'!$A$4:$A$311&lt;=$J99)),'Match Log'!$N$4:$N$311),NA()))</f>
        <v>1107.9147674469509</v>
      </c>
      <c r="T99">
        <f>IF($J99&gt;MAX('Match Log'!$A$4:$A$311),NA(),IFERROR(LOOKUP(2,1/(('Match Log'!$D$4:$D$311=$T$24)*('Match Log'!$A$4:$A$311&lt;=$J99)),'Match Log'!$N$4:$N$311),NA()))</f>
        <v>910.16214337272572</v>
      </c>
      <c r="U99">
        <f>IF($J99&gt;MAX('Match Log'!$A$4:$A$311),NA(),IFERROR(LOOKUP(2,1/(('Match Log'!$D$4:$D$311=$U$24)*('Match Log'!$A$4:$A$311&lt;=$J99)),'Match Log'!$N$4:$N$311),NA()))</f>
        <v>988.43381181907546</v>
      </c>
      <c r="V99">
        <f>IF($J99&gt;MAX('Match Log'!$A$4:$A$311),NA(),IFERROR(LOOKUP(2,1/(('Match Log'!$D$4:$D$311=$V$24)*('Match Log'!$A$4:$A$311&lt;=$J99)),'Match Log'!$N$4:$N$311),NA()))</f>
        <v>996.26545088993566</v>
      </c>
      <c r="W99">
        <f>IF($J99&gt;MAX('Match Log'!$A$4:$A$311),NA(),IFERROR(LOOKUP(2,1/(('Match Log'!$D$4:$D$311=$W$24)*('Match Log'!$A$4:$A$311&lt;=$J99)),'Match Log'!$N$4:$N$311),NA()))</f>
        <v>1019.1634159605087</v>
      </c>
      <c r="X99" t="e">
        <f>IF($J99&gt;MAX('Match Log'!$A$4:$A$311),NA(),IFERROR(LOOKUP(2,1/(('Match Log'!$D$4:$D$311=$X$24)*('Match Log'!$A$4:$A$311&lt;=$J99)),'Match Log'!$N$4:$N$311),NA()))</f>
        <v>#N/A</v>
      </c>
      <c r="Y99" t="str">
        <f t="shared" ca="1" si="24"/>
        <v/>
      </c>
    </row>
    <row r="100" spans="1:25" ht="15" customHeight="1" x14ac:dyDescent="0.2">
      <c r="A100">
        <v>76</v>
      </c>
      <c r="B100" s="132">
        <f>IFERROR(INDEX('Match Log'!$B$4:$B$311,MATCH(76,'Match Log'!$A$4:$A$311,0)),"")</f>
        <v>46188</v>
      </c>
      <c r="C100" t="str">
        <f>IFERROR(INDEX('Match Log'!$C$4:$C$311,MATCH(76,'Match Log'!$A$4:$A$311,0)),"")</f>
        <v>ShuffleBoard</v>
      </c>
      <c r="D100" t="str">
        <f>IFERROR(INDEX('Match Log'!$G$4:$G$311,MATCH(76,'Match Log'!$A$4:$A$311,0)),"")</f>
        <v>Daniel (Ferret)</v>
      </c>
      <c r="E100" s="133">
        <f>IFERROR(INDEX('Match Log'!$F$4:$F$311,MATCH(76,'Match Log'!$A$4:$A$311,0)),"")</f>
        <v>4</v>
      </c>
      <c r="F100">
        <f>IFERROR(SUMIFS('Match Log'!$I$4:$I$311,'Match Log'!$A$4:$A$311,76,'Match Log'!$E$4:$E$311,"Win"),"")</f>
        <v>0.59259259259259256</v>
      </c>
      <c r="G100">
        <f t="shared" si="22"/>
        <v>-1.3703703703703702</v>
      </c>
      <c r="H100" t="str">
        <f>IFERROR(IF($E100=2,LOOKUP(2,1/(('Match Log'!$A$4:$A$311=76)*('Match Log'!$E$4:$E$311="Loss")),'Match Log'!$D$4:$D$311),"the field"),"")</f>
        <v>the field</v>
      </c>
      <c r="I100">
        <f t="shared" si="23"/>
        <v>-1.3704463703703702</v>
      </c>
      <c r="J100">
        <v>76</v>
      </c>
      <c r="K100">
        <f>IF($J100&gt;MAX('Match Log'!$A$4:$A$311),NA(),IFERROR(LOOKUP(2,1/(('Match Log'!$D$4:$D$311=$K$24)*('Match Log'!$A$4:$A$311&lt;=$J100)),'Match Log'!$N$4:$N$311),NA()))</f>
        <v>1029.5352438555508</v>
      </c>
      <c r="L100">
        <f>IF($J100&gt;MAX('Match Log'!$A$4:$A$311),NA(),IFERROR(LOOKUP(2,1/(('Match Log'!$D$4:$D$311=$L$24)*('Match Log'!$A$4:$A$311&lt;=$J100)),'Match Log'!$N$4:$N$311),NA()))</f>
        <v>1012.5620656557165</v>
      </c>
      <c r="M100">
        <f>IF($J100&gt;MAX('Match Log'!$A$4:$A$311),NA(),IFERROR(LOOKUP(2,1/(('Match Log'!$D$4:$D$311=$M$24)*('Match Log'!$A$4:$A$311&lt;=$J100)),'Match Log'!$N$4:$N$311),NA()))</f>
        <v>1017.3466608720325</v>
      </c>
      <c r="N100">
        <f>IF($J100&gt;MAX('Match Log'!$A$4:$A$311),NA(),IFERROR(LOOKUP(2,1/(('Match Log'!$D$4:$D$311=$N$24)*('Match Log'!$A$4:$A$311&lt;=$J100)),'Match Log'!$N$4:$N$311),NA()))</f>
        <v>945.73457220617456</v>
      </c>
      <c r="O100">
        <f>IF($J100&gt;MAX('Match Log'!$A$4:$A$311),NA(),IFERROR(LOOKUP(2,1/(('Match Log'!$D$4:$D$311=$O$24)*('Match Log'!$A$4:$A$311&lt;=$J100)),'Match Log'!$N$4:$N$311),NA()))</f>
        <v>1161.8584150494405</v>
      </c>
      <c r="P100">
        <f>IF($J100&gt;MAX('Match Log'!$A$4:$A$311),NA(),IFERROR(LOOKUP(2,1/(('Match Log'!$D$4:$D$311=$P$24)*('Match Log'!$A$4:$A$311&lt;=$J100)),'Match Log'!$N$4:$N$311),NA()))</f>
        <v>1023.1632267812757</v>
      </c>
      <c r="Q100">
        <f>IF($J100&gt;MAX('Match Log'!$A$4:$A$311),NA(),IFERROR(LOOKUP(2,1/(('Match Log'!$D$4:$D$311=$Q$24)*('Match Log'!$A$4:$A$311&lt;=$J100)),'Match Log'!$N$4:$N$311),NA()))</f>
        <v>1135.3924969807852</v>
      </c>
      <c r="R100">
        <f>IF($J100&gt;MAX('Match Log'!$A$4:$A$311),NA(),IFERROR(LOOKUP(2,1/(('Match Log'!$D$4:$D$311=$R$24)*('Match Log'!$A$4:$A$311&lt;=$J100)),'Match Log'!$N$4:$N$311),NA()))</f>
        <v>1019.3595155693031</v>
      </c>
      <c r="S100">
        <f>IF($J100&gt;MAX('Match Log'!$A$4:$A$311),NA(),IFERROR(LOOKUP(2,1/(('Match Log'!$D$4:$D$311=$S$24)*('Match Log'!$A$4:$A$311&lt;=$J100)),'Match Log'!$N$4:$N$311),NA()))</f>
        <v>1128.0107661316301</v>
      </c>
      <c r="T100">
        <f>IF($J100&gt;MAX('Match Log'!$A$4:$A$311),NA(),IFERROR(LOOKUP(2,1/(('Match Log'!$D$4:$D$311=$T$24)*('Match Log'!$A$4:$A$311&lt;=$J100)),'Match Log'!$N$4:$N$311),NA()))</f>
        <v>910.16214337272572</v>
      </c>
      <c r="U100">
        <f>IF($J100&gt;MAX('Match Log'!$A$4:$A$311),NA(),IFERROR(LOOKUP(2,1/(('Match Log'!$D$4:$D$311=$U$24)*('Match Log'!$A$4:$A$311&lt;=$J100)),'Match Log'!$N$4:$N$311),NA()))</f>
        <v>988.43381181907546</v>
      </c>
      <c r="V100">
        <f>IF($J100&gt;MAX('Match Log'!$A$4:$A$311),NA(),IFERROR(LOOKUP(2,1/(('Match Log'!$D$4:$D$311=$V$24)*('Match Log'!$A$4:$A$311&lt;=$J100)),'Match Log'!$N$4:$N$311),NA()))</f>
        <v>993.27766574578118</v>
      </c>
      <c r="W100">
        <f>IF($J100&gt;MAX('Match Log'!$A$4:$A$311),NA(),IFERROR(LOOKUP(2,1/(('Match Log'!$D$4:$D$311=$W$24)*('Match Log'!$A$4:$A$311&lt;=$J100)),'Match Log'!$N$4:$N$311),NA()))</f>
        <v>1019.1634159605087</v>
      </c>
      <c r="X100" t="e">
        <f>IF($J100&gt;MAX('Match Log'!$A$4:$A$311),NA(),IFERROR(LOOKUP(2,1/(('Match Log'!$D$4:$D$311=$X$24)*('Match Log'!$A$4:$A$311&lt;=$J100)),'Match Log'!$N$4:$N$311),NA()))</f>
        <v>#N/A</v>
      </c>
      <c r="Y100" t="str">
        <f t="shared" ca="1" si="24"/>
        <v/>
      </c>
    </row>
    <row r="101" spans="1:25" ht="15" customHeight="1" x14ac:dyDescent="0.2">
      <c r="A101">
        <v>77</v>
      </c>
      <c r="B101" s="132">
        <f>IFERROR(INDEX('Match Log'!$B$4:$B$311,MATCH(77,'Match Log'!$A$4:$A$311,0)),"")</f>
        <v>46188</v>
      </c>
      <c r="C101" t="str">
        <f>IFERROR(INDEX('Match Log'!$C$4:$C$311,MATCH(77,'Match Log'!$A$4:$A$311,0)),"")</f>
        <v>ShuffleBoard</v>
      </c>
      <c r="D101" t="str">
        <f>IFERROR(INDEX('Match Log'!$G$4:$G$311,MATCH(77,'Match Log'!$A$4:$A$311,0)),"")</f>
        <v>Daniel (Ferret)</v>
      </c>
      <c r="E101" s="133">
        <f>IFERROR(INDEX('Match Log'!$F$4:$F$311,MATCH(77,'Match Log'!$A$4:$A$311,0)),"")</f>
        <v>4</v>
      </c>
      <c r="F101">
        <f>IFERROR(SUMIFS('Match Log'!$I$4:$I$311,'Match Log'!$A$4:$A$311,77,'Match Log'!$E$4:$E$311,"Win"),"")</f>
        <v>0.67864271457085823</v>
      </c>
      <c r="G101">
        <f t="shared" si="22"/>
        <v>-1.7145708582834329</v>
      </c>
      <c r="H101" t="str">
        <f>IFERROR(IF($E101=2,LOOKUP(2,1/(('Match Log'!$A$4:$A$311=77)*('Match Log'!$E$4:$E$311="Loss")),'Match Log'!$D$4:$D$311),"the field"),"")</f>
        <v>the field</v>
      </c>
      <c r="I101">
        <f t="shared" si="23"/>
        <v>-1.714647858283433</v>
      </c>
      <c r="J101">
        <v>77</v>
      </c>
      <c r="K101">
        <f>IF($J101&gt;MAX('Match Log'!$A$4:$A$311),NA(),IFERROR(LOOKUP(2,1/(('Match Log'!$D$4:$D$311=$K$24)*('Match Log'!$A$4:$A$311&lt;=$J101)),'Match Log'!$N$4:$N$311),NA()))</f>
        <v>1027.4579191199061</v>
      </c>
      <c r="L101">
        <f>IF($J101&gt;MAX('Match Log'!$A$4:$A$311),NA(),IFERROR(LOOKUP(2,1/(('Match Log'!$D$4:$D$311=$L$24)*('Match Log'!$A$4:$A$311&lt;=$J101)),'Match Log'!$N$4:$N$311),NA()))</f>
        <v>1012.5620656557165</v>
      </c>
      <c r="M101">
        <f>IF($J101&gt;MAX('Match Log'!$A$4:$A$311),NA(),IFERROR(LOOKUP(2,1/(('Match Log'!$D$4:$D$311=$M$24)*('Match Log'!$A$4:$A$311&lt;=$J101)),'Match Log'!$N$4:$N$311),NA()))</f>
        <v>1017.3466608720325</v>
      </c>
      <c r="N101">
        <f>IF($J101&gt;MAX('Match Log'!$A$4:$A$311),NA(),IFERROR(LOOKUP(2,1/(('Match Log'!$D$4:$D$311=$N$24)*('Match Log'!$A$4:$A$311&lt;=$J101)),'Match Log'!$N$4:$N$311),NA()))</f>
        <v>945.73457220617456</v>
      </c>
      <c r="O101">
        <f>IF($J101&gt;MAX('Match Log'!$A$4:$A$311),NA(),IFERROR(LOOKUP(2,1/(('Match Log'!$D$4:$D$311=$O$24)*('Match Log'!$A$4:$A$311&lt;=$J101)),'Match Log'!$N$4:$N$311),NA()))</f>
        <v>1161.8584150494405</v>
      </c>
      <c r="P101">
        <f>IF($J101&gt;MAX('Match Log'!$A$4:$A$311),NA(),IFERROR(LOOKUP(2,1/(('Match Log'!$D$4:$D$311=$P$24)*('Match Log'!$A$4:$A$311&lt;=$J101)),'Match Log'!$N$4:$N$311),NA()))</f>
        <v>1023.1632267812757</v>
      </c>
      <c r="Q101">
        <f>IF($J101&gt;MAX('Match Log'!$A$4:$A$311),NA(),IFERROR(LOOKUP(2,1/(('Match Log'!$D$4:$D$311=$Q$24)*('Match Log'!$A$4:$A$311&lt;=$J101)),'Match Log'!$N$4:$N$311),NA()))</f>
        <v>1135.3924969807852</v>
      </c>
      <c r="R101">
        <f>IF($J101&gt;MAX('Match Log'!$A$4:$A$311),NA(),IFERROR(LOOKUP(2,1/(('Match Log'!$D$4:$D$311=$R$24)*('Match Log'!$A$4:$A$311&lt;=$J101)),'Match Log'!$N$4:$N$311),NA()))</f>
        <v>1040.3333719341558</v>
      </c>
      <c r="S101">
        <f>IF($J101&gt;MAX('Match Log'!$A$4:$A$311),NA(),IFERROR(LOOKUP(2,1/(('Match Log'!$D$4:$D$311=$S$24)*('Match Log'!$A$4:$A$311&lt;=$J101)),'Match Log'!$N$4:$N$311),NA()))</f>
        <v>1147.5474967479799</v>
      </c>
      <c r="T101">
        <f>IF($J101&gt;MAX('Match Log'!$A$4:$A$311),NA(),IFERROR(LOOKUP(2,1/(('Match Log'!$D$4:$D$311=$T$24)*('Match Log'!$A$4:$A$311&lt;=$J101)),'Match Log'!$N$4:$N$311),NA()))</f>
        <v>907.72888112716782</v>
      </c>
      <c r="U101">
        <f>IF($J101&gt;MAX('Match Log'!$A$4:$A$311),NA(),IFERROR(LOOKUP(2,1/(('Match Log'!$D$4:$D$311=$U$24)*('Match Log'!$A$4:$A$311&lt;=$J101)),'Match Log'!$N$4:$N$311),NA()))</f>
        <v>988.43381181907546</v>
      </c>
      <c r="V101">
        <f>IF($J101&gt;MAX('Match Log'!$A$4:$A$311),NA(),IFERROR(LOOKUP(2,1/(('Match Log'!$D$4:$D$311=$V$24)*('Match Log'!$A$4:$A$311&lt;=$J101)),'Match Log'!$N$4:$N$311),NA()))</f>
        <v>993.27766574578118</v>
      </c>
      <c r="W101">
        <f>IF($J101&gt;MAX('Match Log'!$A$4:$A$311),NA(),IFERROR(LOOKUP(2,1/(('Match Log'!$D$4:$D$311=$W$24)*('Match Log'!$A$4:$A$311&lt;=$J101)),'Match Log'!$N$4:$N$311),NA()))</f>
        <v>1019.1634159605087</v>
      </c>
      <c r="X101" t="e">
        <f>IF($J101&gt;MAX('Match Log'!$A$4:$A$311),NA(),IFERROR(LOOKUP(2,1/(('Match Log'!$D$4:$D$311=$X$24)*('Match Log'!$A$4:$A$311&lt;=$J101)),'Match Log'!$N$4:$N$311),NA()))</f>
        <v>#N/A</v>
      </c>
      <c r="Y101" t="str">
        <f t="shared" ca="1" si="24"/>
        <v/>
      </c>
    </row>
    <row r="102" spans="1:25" ht="15" customHeight="1" x14ac:dyDescent="0.2">
      <c r="A102">
        <v>78</v>
      </c>
      <c r="B102" s="132">
        <f>IFERROR(INDEX('Match Log'!$B$4:$B$311,MATCH(78,'Match Log'!$A$4:$A$311,0)),"")</f>
        <v>46188</v>
      </c>
      <c r="C102" t="str">
        <f>IFERROR(INDEX('Match Log'!$C$4:$C$311,MATCH(78,'Match Log'!$A$4:$A$311,0)),"")</f>
        <v>ShuffleBoard</v>
      </c>
      <c r="D102" t="str">
        <f>IFERROR(INDEX('Match Log'!$G$4:$G$311,MATCH(78,'Match Log'!$A$4:$A$311,0)),"")</f>
        <v>Dylan A</v>
      </c>
      <c r="E102" s="133">
        <f>IFERROR(INDEX('Match Log'!$F$4:$F$311,MATCH(78,'Match Log'!$A$4:$A$311,0)),"")</f>
        <v>4</v>
      </c>
      <c r="F102">
        <f>IFERROR(SUMIFS('Match Log'!$I$4:$I$311,'Match Log'!$A$4:$A$311,78,'Match Log'!$E$4:$E$311,"Win"),"")</f>
        <v>0.45427728613569318</v>
      </c>
      <c r="G102">
        <f t="shared" si="22"/>
        <v>-0.81710914454277273</v>
      </c>
      <c r="H102" t="str">
        <f>IFERROR(IF($E102=2,LOOKUP(2,1/(('Match Log'!$A$4:$A$311=78)*('Match Log'!$E$4:$E$311="Loss")),'Match Log'!$D$4:$D$311),"the field"),"")</f>
        <v>the field</v>
      </c>
      <c r="I102">
        <f t="shared" si="23"/>
        <v>-0.81718714454277275</v>
      </c>
      <c r="J102">
        <v>78</v>
      </c>
      <c r="K102">
        <f>IF($J102&gt;MAX('Match Log'!$A$4:$A$311),NA(),IFERROR(LOOKUP(2,1/(('Match Log'!$D$4:$D$311=$K$24)*('Match Log'!$A$4:$A$311&lt;=$J102)),'Match Log'!$N$4:$N$311),NA()))</f>
        <v>1027.4579191199061</v>
      </c>
      <c r="L102">
        <f>IF($J102&gt;MAX('Match Log'!$A$4:$A$311),NA(),IFERROR(LOOKUP(2,1/(('Match Log'!$D$4:$D$311=$L$24)*('Match Log'!$A$4:$A$311&lt;=$J102)),'Match Log'!$N$4:$N$311),NA()))</f>
        <v>1035.5207940184578</v>
      </c>
      <c r="M102">
        <f>IF($J102&gt;MAX('Match Log'!$A$4:$A$311),NA(),IFERROR(LOOKUP(2,1/(('Match Log'!$D$4:$D$311=$M$24)*('Match Log'!$A$4:$A$311&lt;=$J102)),'Match Log'!$N$4:$N$311),NA()))</f>
        <v>1017.3466608720325</v>
      </c>
      <c r="N102">
        <f>IF($J102&gt;MAX('Match Log'!$A$4:$A$311),NA(),IFERROR(LOOKUP(2,1/(('Match Log'!$D$4:$D$311=$N$24)*('Match Log'!$A$4:$A$311&lt;=$J102)),'Match Log'!$N$4:$N$311),NA()))</f>
        <v>945.73457220617456</v>
      </c>
      <c r="O102">
        <f>IF($J102&gt;MAX('Match Log'!$A$4:$A$311),NA(),IFERROR(LOOKUP(2,1/(('Match Log'!$D$4:$D$311=$O$24)*('Match Log'!$A$4:$A$311&lt;=$J102)),'Match Log'!$N$4:$N$311),NA()))</f>
        <v>1161.8584150494405</v>
      </c>
      <c r="P102">
        <f>IF($J102&gt;MAX('Match Log'!$A$4:$A$311),NA(),IFERROR(LOOKUP(2,1/(('Match Log'!$D$4:$D$311=$P$24)*('Match Log'!$A$4:$A$311&lt;=$J102)),'Match Log'!$N$4:$N$311),NA()))</f>
        <v>1023.1632267812757</v>
      </c>
      <c r="Q102">
        <f>IF($J102&gt;MAX('Match Log'!$A$4:$A$311),NA(),IFERROR(LOOKUP(2,1/(('Match Log'!$D$4:$D$311=$Q$24)*('Match Log'!$A$4:$A$311&lt;=$J102)),'Match Log'!$N$4:$N$311),NA()))</f>
        <v>1135.3924969807852</v>
      </c>
      <c r="R102">
        <f>IF($J102&gt;MAX('Match Log'!$A$4:$A$311),NA(),IFERROR(LOOKUP(2,1/(('Match Log'!$D$4:$D$311=$R$24)*('Match Log'!$A$4:$A$311&lt;=$J102)),'Match Log'!$N$4:$N$311),NA()))</f>
        <v>1036.1160042561539</v>
      </c>
      <c r="S102">
        <f>IF($J102&gt;MAX('Match Log'!$A$4:$A$311),NA(),IFERROR(LOOKUP(2,1/(('Match Log'!$D$4:$D$311=$S$24)*('Match Log'!$A$4:$A$311&lt;=$J102)),'Match Log'!$N$4:$N$311),NA()))</f>
        <v>1141.3518324792606</v>
      </c>
      <c r="T102">
        <f>IF($J102&gt;MAX('Match Log'!$A$4:$A$311),NA(),IFERROR(LOOKUP(2,1/(('Match Log'!$D$4:$D$311=$T$24)*('Match Log'!$A$4:$A$311&lt;=$J102)),'Match Log'!$N$4:$N$311),NA()))</f>
        <v>907.72888112716782</v>
      </c>
      <c r="U102">
        <f>IF($J102&gt;MAX('Match Log'!$A$4:$A$311),NA(),IFERROR(LOOKUP(2,1/(('Match Log'!$D$4:$D$311=$U$24)*('Match Log'!$A$4:$A$311&lt;=$J102)),'Match Log'!$N$4:$N$311),NA()))</f>
        <v>988.43381181907546</v>
      </c>
      <c r="V102">
        <f>IF($J102&gt;MAX('Match Log'!$A$4:$A$311),NA(),IFERROR(LOOKUP(2,1/(('Match Log'!$D$4:$D$311=$V$24)*('Match Log'!$A$4:$A$311&lt;=$J102)),'Match Log'!$N$4:$N$311),NA()))</f>
        <v>993.27766574578118</v>
      </c>
      <c r="W102">
        <f>IF($J102&gt;MAX('Match Log'!$A$4:$A$311),NA(),IFERROR(LOOKUP(2,1/(('Match Log'!$D$4:$D$311=$W$24)*('Match Log'!$A$4:$A$311&lt;=$J102)),'Match Log'!$N$4:$N$311),NA()))</f>
        <v>1042.6177195444889</v>
      </c>
      <c r="X102" t="e">
        <f>IF($J102&gt;MAX('Match Log'!$A$4:$A$311),NA(),IFERROR(LOOKUP(2,1/(('Match Log'!$D$4:$D$311=$X$24)*('Match Log'!$A$4:$A$311&lt;=$J102)),'Match Log'!$N$4:$N$311),NA()))</f>
        <v>#N/A</v>
      </c>
      <c r="Y102" t="str">
        <f t="shared" ca="1" si="24"/>
        <v/>
      </c>
    </row>
    <row r="103" spans="1:25" ht="15" customHeight="1" x14ac:dyDescent="0.2">
      <c r="A103">
        <v>79</v>
      </c>
      <c r="B103" s="132">
        <f>IFERROR(INDEX('Match Log'!$B$4:$B$311,MATCH(79,'Match Log'!$A$4:$A$311,0)),"")</f>
        <v>46188</v>
      </c>
      <c r="C103" t="str">
        <f>IFERROR(INDEX('Match Log'!$C$4:$C$311,MATCH(79,'Match Log'!$A$4:$A$311,0)),"")</f>
        <v>ShuffleBoard</v>
      </c>
      <c r="D103" t="str">
        <f>IFERROR(INDEX('Match Log'!$G$4:$G$311,MATCH(79,'Match Log'!$A$4:$A$311,0)),"")</f>
        <v>Simon</v>
      </c>
      <c r="E103" s="133">
        <f>IFERROR(INDEX('Match Log'!$F$4:$F$311,MATCH(79,'Match Log'!$A$4:$A$311,0)),"")</f>
        <v>4</v>
      </c>
      <c r="F103">
        <f>IFERROR(SUMIFS('Match Log'!$I$4:$I$311,'Match Log'!$A$4:$A$311,79,'Match Log'!$E$4:$E$311,"Win"),"")</f>
        <v>0.4975961538461538</v>
      </c>
      <c r="G103">
        <f t="shared" si="22"/>
        <v>-0.9903846153846152</v>
      </c>
      <c r="H103" t="str">
        <f>IFERROR(IF($E103=2,LOOKUP(2,1/(('Match Log'!$A$4:$A$311=79)*('Match Log'!$E$4:$E$311="Loss")),'Match Log'!$D$4:$D$311),"the field"),"")</f>
        <v>the field</v>
      </c>
      <c r="I103">
        <f t="shared" si="23"/>
        <v>-0.99046361538461525</v>
      </c>
      <c r="J103">
        <v>79</v>
      </c>
      <c r="K103">
        <f>IF($J103&gt;MAX('Match Log'!$A$4:$A$311),NA(),IFERROR(LOOKUP(2,1/(('Match Log'!$D$4:$D$311=$K$24)*('Match Log'!$A$4:$A$311&lt;=$J103)),'Match Log'!$N$4:$N$311),NA()))</f>
        <v>1027.4579191199061</v>
      </c>
      <c r="L103">
        <f>IF($J103&gt;MAX('Match Log'!$A$4:$A$311),NA(),IFERROR(LOOKUP(2,1/(('Match Log'!$D$4:$D$311=$L$24)*('Match Log'!$A$4:$A$311&lt;=$J103)),'Match Log'!$N$4:$N$311),NA()))</f>
        <v>1031.0800363810649</v>
      </c>
      <c r="M103">
        <f>IF($J103&gt;MAX('Match Log'!$A$4:$A$311),NA(),IFERROR(LOOKUP(2,1/(('Match Log'!$D$4:$D$311=$M$24)*('Match Log'!$A$4:$A$311&lt;=$J103)),'Match Log'!$N$4:$N$311),NA()))</f>
        <v>1017.3466608720325</v>
      </c>
      <c r="N103">
        <f>IF($J103&gt;MAX('Match Log'!$A$4:$A$311),NA(),IFERROR(LOOKUP(2,1/(('Match Log'!$D$4:$D$311=$N$24)*('Match Log'!$A$4:$A$311&lt;=$J103)),'Match Log'!$N$4:$N$311),NA()))</f>
        <v>945.73457220617456</v>
      </c>
      <c r="O103">
        <f>IF($J103&gt;MAX('Match Log'!$A$4:$A$311),NA(),IFERROR(LOOKUP(2,1/(('Match Log'!$D$4:$D$311=$O$24)*('Match Log'!$A$4:$A$311&lt;=$J103)),'Match Log'!$N$4:$N$311),NA()))</f>
        <v>1161.8584150494405</v>
      </c>
      <c r="P103">
        <f>IF($J103&gt;MAX('Match Log'!$A$4:$A$311),NA(),IFERROR(LOOKUP(2,1/(('Match Log'!$D$4:$D$311=$P$24)*('Match Log'!$A$4:$A$311&lt;=$J103)),'Match Log'!$N$4:$N$311),NA()))</f>
        <v>1023.1632267812757</v>
      </c>
      <c r="Q103">
        <f>IF($J103&gt;MAX('Match Log'!$A$4:$A$311),NA(),IFERROR(LOOKUP(2,1/(('Match Log'!$D$4:$D$311=$Q$24)*('Match Log'!$A$4:$A$311&lt;=$J103)),'Match Log'!$N$4:$N$311),NA()))</f>
        <v>1156.8487971247246</v>
      </c>
      <c r="R103">
        <f>IF($J103&gt;MAX('Match Log'!$A$4:$A$311),NA(),IFERROR(LOOKUP(2,1/(('Match Log'!$D$4:$D$311=$R$24)*('Match Log'!$A$4:$A$311&lt;=$J103)),'Match Log'!$N$4:$N$311),NA()))</f>
        <v>1036.1160042561539</v>
      </c>
      <c r="S103">
        <f>IF($J103&gt;MAX('Match Log'!$A$4:$A$311),NA(),IFERROR(LOOKUP(2,1/(('Match Log'!$D$4:$D$311=$S$24)*('Match Log'!$A$4:$A$311&lt;=$J103)),'Match Log'!$N$4:$N$311),NA()))</f>
        <v>1141.3518324792606</v>
      </c>
      <c r="T103">
        <f>IF($J103&gt;MAX('Match Log'!$A$4:$A$311),NA(),IFERROR(LOOKUP(2,1/(('Match Log'!$D$4:$D$311=$T$24)*('Match Log'!$A$4:$A$311&lt;=$J103)),'Match Log'!$N$4:$N$311),NA()))</f>
        <v>907.72888112716782</v>
      </c>
      <c r="U103">
        <f>IF($J103&gt;MAX('Match Log'!$A$4:$A$311),NA(),IFERROR(LOOKUP(2,1/(('Match Log'!$D$4:$D$311=$U$24)*('Match Log'!$A$4:$A$311&lt;=$J103)),'Match Log'!$N$4:$N$311),NA()))</f>
        <v>1011.5343427322456</v>
      </c>
      <c r="V103">
        <f>IF($J103&gt;MAX('Match Log'!$A$4:$A$311),NA(),IFERROR(LOOKUP(2,1/(('Match Log'!$D$4:$D$311=$V$24)*('Match Log'!$A$4:$A$311&lt;=$J103)),'Match Log'!$N$4:$N$311),NA()))</f>
        <v>993.27766574578118</v>
      </c>
      <c r="W103">
        <f>IF($J103&gt;MAX('Match Log'!$A$4:$A$311),NA(),IFERROR(LOOKUP(2,1/(('Match Log'!$D$4:$D$311=$W$24)*('Match Log'!$A$4:$A$311&lt;=$J103)),'Match Log'!$N$4:$N$311),NA()))</f>
        <v>1038.5016461247724</v>
      </c>
      <c r="X103" t="e">
        <f>IF($J103&gt;MAX('Match Log'!$A$4:$A$311),NA(),IFERROR(LOOKUP(2,1/(('Match Log'!$D$4:$D$311=$X$24)*('Match Log'!$A$4:$A$311&lt;=$J103)),'Match Log'!$N$4:$N$311),NA()))</f>
        <v>#N/A</v>
      </c>
      <c r="Y103" t="str">
        <f t="shared" ca="1" si="24"/>
        <v/>
      </c>
    </row>
    <row r="104" spans="1:25" ht="15" customHeight="1" x14ac:dyDescent="0.2">
      <c r="A104">
        <v>80</v>
      </c>
      <c r="B104" s="132">
        <f>IFERROR(INDEX('Match Log'!$B$4:$B$311,MATCH(80,'Match Log'!$A$4:$A$311,0)),"")</f>
        <v>46188</v>
      </c>
      <c r="C104" t="str">
        <f>IFERROR(INDEX('Match Log'!$C$4:$C$311,MATCH(80,'Match Log'!$A$4:$A$311,0)),"")</f>
        <v>ShuffleBoard</v>
      </c>
      <c r="D104" t="str">
        <f>IFERROR(INDEX('Match Log'!$G$4:$G$311,MATCH(80,'Match Log'!$A$4:$A$311,0)),"")</f>
        <v>Shawn</v>
      </c>
      <c r="E104" s="133">
        <f>IFERROR(INDEX('Match Log'!$F$4:$F$311,MATCH(80,'Match Log'!$A$4:$A$311,0)),"")</f>
        <v>4</v>
      </c>
      <c r="F104">
        <f>IFERROR(SUMIFS('Match Log'!$I$4:$I$311,'Match Log'!$A$4:$A$311,80,'Match Log'!$E$4:$E$311,"Win"),"")</f>
        <v>0.41329479768786126</v>
      </c>
      <c r="G104">
        <f t="shared" si="22"/>
        <v>-0.65317919075144504</v>
      </c>
      <c r="H104" t="str">
        <f>IFERROR(IF($E104=2,LOOKUP(2,1/(('Match Log'!$A$4:$A$311=80)*('Match Log'!$E$4:$E$311="Loss")),'Match Log'!$D$4:$D$311),"the field"),"")</f>
        <v>the field</v>
      </c>
      <c r="I104">
        <f t="shared" si="23"/>
        <v>-0.65325919075144501</v>
      </c>
      <c r="J104">
        <v>80</v>
      </c>
      <c r="K104">
        <f>IF($J104&gt;MAX('Match Log'!$A$4:$A$311),NA(),IFERROR(LOOKUP(2,1/(('Match Log'!$D$4:$D$311=$K$24)*('Match Log'!$A$4:$A$311&lt;=$J104)),'Match Log'!$N$4:$N$311),NA()))</f>
        <v>1027.4579191199061</v>
      </c>
      <c r="L104">
        <f>IF($J104&gt;MAX('Match Log'!$A$4:$A$311),NA(),IFERROR(LOOKUP(2,1/(('Match Log'!$D$4:$D$311=$L$24)*('Match Log'!$A$4:$A$311&lt;=$J104)),'Match Log'!$N$4:$N$311),NA()))</f>
        <v>1031.0800363810649</v>
      </c>
      <c r="M104">
        <f>IF($J104&gt;MAX('Match Log'!$A$4:$A$311),NA(),IFERROR(LOOKUP(2,1/(('Match Log'!$D$4:$D$311=$M$24)*('Match Log'!$A$4:$A$311&lt;=$J104)),'Match Log'!$N$4:$N$311),NA()))</f>
        <v>1017.3466608720325</v>
      </c>
      <c r="N104">
        <f>IF($J104&gt;MAX('Match Log'!$A$4:$A$311),NA(),IFERROR(LOOKUP(2,1/(('Match Log'!$D$4:$D$311=$N$24)*('Match Log'!$A$4:$A$311&lt;=$J104)),'Match Log'!$N$4:$N$311),NA()))</f>
        <v>945.73457220617456</v>
      </c>
      <c r="O104">
        <f>IF($J104&gt;MAX('Match Log'!$A$4:$A$311),NA(),IFERROR(LOOKUP(2,1/(('Match Log'!$D$4:$D$311=$O$24)*('Match Log'!$A$4:$A$311&lt;=$J104)),'Match Log'!$N$4:$N$311),NA()))</f>
        <v>1184.9242286294298</v>
      </c>
      <c r="P104">
        <f>IF($J104&gt;MAX('Match Log'!$A$4:$A$311),NA(),IFERROR(LOOKUP(2,1/(('Match Log'!$D$4:$D$311=$P$24)*('Match Log'!$A$4:$A$311&lt;=$J104)),'Match Log'!$N$4:$N$311),NA()))</f>
        <v>1045.8475374710915</v>
      </c>
      <c r="Q104">
        <f>IF($J104&gt;MAX('Match Log'!$A$4:$A$311),NA(),IFERROR(LOOKUP(2,1/(('Match Log'!$D$4:$D$311=$Q$24)*('Match Log'!$A$4:$A$311&lt;=$J104)),'Match Log'!$N$4:$N$311),NA()))</f>
        <v>1150.2170238004801</v>
      </c>
      <c r="R104">
        <f>IF($J104&gt;MAX('Match Log'!$A$4:$A$311),NA(),IFERROR(LOOKUP(2,1/(('Match Log'!$D$4:$D$311=$R$24)*('Match Log'!$A$4:$A$311&lt;=$J104)),'Match Log'!$N$4:$N$311),NA()))</f>
        <v>1036.1160042561539</v>
      </c>
      <c r="S104">
        <f>IF($J104&gt;MAX('Match Log'!$A$4:$A$311),NA(),IFERROR(LOOKUP(2,1/(('Match Log'!$D$4:$D$311=$S$24)*('Match Log'!$A$4:$A$311&lt;=$J104)),'Match Log'!$N$4:$N$311),NA()))</f>
        <v>1141.3518324792606</v>
      </c>
      <c r="T104">
        <f>IF($J104&gt;MAX('Match Log'!$A$4:$A$311),NA(),IFERROR(LOOKUP(2,1/(('Match Log'!$D$4:$D$311=$T$24)*('Match Log'!$A$4:$A$311&lt;=$J104)),'Match Log'!$N$4:$N$311),NA()))</f>
        <v>907.72888112716782</v>
      </c>
      <c r="U104">
        <f>IF($J104&gt;MAX('Match Log'!$A$4:$A$311),NA(),IFERROR(LOOKUP(2,1/(('Match Log'!$D$4:$D$311=$U$24)*('Match Log'!$A$4:$A$311&lt;=$J104)),'Match Log'!$N$4:$N$311),NA()))</f>
        <v>1008.415991786685</v>
      </c>
      <c r="V104">
        <f>IF($J104&gt;MAX('Match Log'!$A$4:$A$311),NA(),IFERROR(LOOKUP(2,1/(('Match Log'!$D$4:$D$311=$V$24)*('Match Log'!$A$4:$A$311&lt;=$J104)),'Match Log'!$N$4:$N$311),NA()))</f>
        <v>993.27766574578118</v>
      </c>
      <c r="W104">
        <f>IF($J104&gt;MAX('Match Log'!$A$4:$A$311),NA(),IFERROR(LOOKUP(2,1/(('Match Log'!$D$4:$D$311=$W$24)*('Match Log'!$A$4:$A$311&lt;=$J104)),'Match Log'!$N$4:$N$311),NA()))</f>
        <v>1038.5016461247724</v>
      </c>
      <c r="X104" t="e">
        <f>IF($J104&gt;MAX('Match Log'!$A$4:$A$311),NA(),IFERROR(LOOKUP(2,1/(('Match Log'!$D$4:$D$311=$X$24)*('Match Log'!$A$4:$A$311&lt;=$J104)),'Match Log'!$N$4:$N$311),NA()))</f>
        <v>#N/A</v>
      </c>
      <c r="Y104" t="str">
        <f t="shared" ca="1" si="24"/>
        <v/>
      </c>
    </row>
    <row r="105" spans="1:25" ht="15" customHeight="1" x14ac:dyDescent="0.2">
      <c r="A105">
        <v>81</v>
      </c>
      <c r="B105" s="132">
        <f>IFERROR(INDEX('Match Log'!$B$4:$B$311,MATCH(81,'Match Log'!$A$4:$A$311,0)),"")</f>
        <v>46188</v>
      </c>
      <c r="C105" t="str">
        <f>IFERROR(INDEX('Match Log'!$C$4:$C$311,MATCH(81,'Match Log'!$A$4:$A$311,0)),"")</f>
        <v>ShuffleBoard</v>
      </c>
      <c r="D105" t="str">
        <f>IFERROR(INDEX('Match Log'!$G$4:$G$311,MATCH(81,'Match Log'!$A$4:$A$311,0)),"")</f>
        <v>Daniel (Ferret)</v>
      </c>
      <c r="E105" s="133">
        <f>IFERROR(INDEX('Match Log'!$F$4:$F$311,MATCH(81,'Match Log'!$A$4:$A$311,0)),"")</f>
        <v>4</v>
      </c>
      <c r="F105">
        <f>IFERROR(SUMIFS('Match Log'!$I$4:$I$311,'Match Log'!$A$4:$A$311,81,'Match Log'!$E$4:$E$311,"Win"),"")</f>
        <v>0.52499999999999991</v>
      </c>
      <c r="G105">
        <f t="shared" si="22"/>
        <v>-1.0999999999999996</v>
      </c>
      <c r="H105" t="str">
        <f>IFERROR(IF($E105=2,LOOKUP(2,1/(('Match Log'!$A$4:$A$311=81)*('Match Log'!$E$4:$E$311="Loss")),'Match Log'!$D$4:$D$311),"the field"),"")</f>
        <v>the field</v>
      </c>
      <c r="I105">
        <f t="shared" si="23"/>
        <v>-1.1000809999999996</v>
      </c>
      <c r="J105">
        <v>81</v>
      </c>
      <c r="K105">
        <f>IF($J105&gt;MAX('Match Log'!$A$4:$A$311),NA(),IFERROR(LOOKUP(2,1/(('Match Log'!$D$4:$D$311=$K$24)*('Match Log'!$A$4:$A$311&lt;=$J105)),'Match Log'!$N$4:$N$311),NA()))</f>
        <v>1027.4579191199061</v>
      </c>
      <c r="L105">
        <f>IF($J105&gt;MAX('Match Log'!$A$4:$A$311),NA(),IFERROR(LOOKUP(2,1/(('Match Log'!$D$4:$D$311=$L$24)*('Match Log'!$A$4:$A$311&lt;=$J105)),'Match Log'!$N$4:$N$311),NA()))</f>
        <v>1031.0800363810649</v>
      </c>
      <c r="M105">
        <f>IF($J105&gt;MAX('Match Log'!$A$4:$A$311),NA(),IFERROR(LOOKUP(2,1/(('Match Log'!$D$4:$D$311=$M$24)*('Match Log'!$A$4:$A$311&lt;=$J105)),'Match Log'!$N$4:$N$311),NA()))</f>
        <v>1017.3466608720325</v>
      </c>
      <c r="N105">
        <f>IF($J105&gt;MAX('Match Log'!$A$4:$A$311),NA(),IFERROR(LOOKUP(2,1/(('Match Log'!$D$4:$D$311=$N$24)*('Match Log'!$A$4:$A$311&lt;=$J105)),'Match Log'!$N$4:$N$311),NA()))</f>
        <v>945.73457220617456</v>
      </c>
      <c r="O105">
        <f>IF($J105&gt;MAX('Match Log'!$A$4:$A$311),NA(),IFERROR(LOOKUP(2,1/(('Match Log'!$D$4:$D$311=$O$24)*('Match Log'!$A$4:$A$311&lt;=$J105)),'Match Log'!$N$4:$N$311),NA()))</f>
        <v>1180.3686394291749</v>
      </c>
      <c r="P105">
        <f>IF($J105&gt;MAX('Match Log'!$A$4:$A$311),NA(),IFERROR(LOOKUP(2,1/(('Match Log'!$D$4:$D$311=$P$24)*('Match Log'!$A$4:$A$311&lt;=$J105)),'Match Log'!$N$4:$N$311),NA()))</f>
        <v>1041.8596886886442</v>
      </c>
      <c r="Q105">
        <f>IF($J105&gt;MAX('Match Log'!$A$4:$A$311),NA(),IFERROR(LOOKUP(2,1/(('Match Log'!$D$4:$D$311=$Q$24)*('Match Log'!$A$4:$A$311&lt;=$J105)),'Match Log'!$N$4:$N$311),NA()))</f>
        <v>1150.2170238004801</v>
      </c>
      <c r="R105">
        <f>IF($J105&gt;MAX('Match Log'!$A$4:$A$311),NA(),IFERROR(LOOKUP(2,1/(('Match Log'!$D$4:$D$311=$R$24)*('Match Log'!$A$4:$A$311&lt;=$J105)),'Match Log'!$N$4:$N$311),NA()))</f>
        <v>1058.837723247505</v>
      </c>
      <c r="S105">
        <f>IF($J105&gt;MAX('Match Log'!$A$4:$A$311),NA(),IFERROR(LOOKUP(2,1/(('Match Log'!$D$4:$D$311=$S$24)*('Match Log'!$A$4:$A$311&lt;=$J105)),'Match Log'!$N$4:$N$311),NA()))</f>
        <v>1163.1735514706118</v>
      </c>
      <c r="T105">
        <f>IF($J105&gt;MAX('Match Log'!$A$4:$A$311),NA(),IFERROR(LOOKUP(2,1/(('Match Log'!$D$4:$D$311=$T$24)*('Match Log'!$A$4:$A$311&lt;=$J105)),'Match Log'!$N$4:$N$311),NA()))</f>
        <v>907.72888112716782</v>
      </c>
      <c r="U105">
        <f>IF($J105&gt;MAX('Match Log'!$A$4:$A$311),NA(),IFERROR(LOOKUP(2,1/(('Match Log'!$D$4:$D$311=$U$24)*('Match Log'!$A$4:$A$311&lt;=$J105)),'Match Log'!$N$4:$N$311),NA()))</f>
        <v>1008.415991786685</v>
      </c>
      <c r="V105">
        <f>IF($J105&gt;MAX('Match Log'!$A$4:$A$311),NA(),IFERROR(LOOKUP(2,1/(('Match Log'!$D$4:$D$311=$V$24)*('Match Log'!$A$4:$A$311&lt;=$J105)),'Match Log'!$N$4:$N$311),NA()))</f>
        <v>993.27766574578118</v>
      </c>
      <c r="W105">
        <f>IF($J105&gt;MAX('Match Log'!$A$4:$A$311),NA(),IFERROR(LOOKUP(2,1/(('Match Log'!$D$4:$D$311=$W$24)*('Match Log'!$A$4:$A$311&lt;=$J105)),'Match Log'!$N$4:$N$311),NA()))</f>
        <v>1038.5016461247724</v>
      </c>
      <c r="X105" t="e">
        <f>IF($J105&gt;MAX('Match Log'!$A$4:$A$311),NA(),IFERROR(LOOKUP(2,1/(('Match Log'!$D$4:$D$311=$X$24)*('Match Log'!$A$4:$A$311&lt;=$J105)),'Match Log'!$N$4:$N$311),NA()))</f>
        <v>#N/A</v>
      </c>
      <c r="Y105" t="str">
        <f t="shared" ca="1" si="24"/>
        <v/>
      </c>
    </row>
    <row r="106" spans="1:25" ht="15" customHeight="1" x14ac:dyDescent="0.2">
      <c r="A106">
        <v>82</v>
      </c>
      <c r="B106" s="132">
        <f>IFERROR(INDEX('Match Log'!$B$4:$B$311,MATCH(82,'Match Log'!$A$4:$A$311,0)),"")</f>
        <v>46188</v>
      </c>
      <c r="C106" t="str">
        <f>IFERROR(INDEX('Match Log'!$C$4:$C$311,MATCH(82,'Match Log'!$A$4:$A$311,0)),"")</f>
        <v>ShuffleBoard</v>
      </c>
      <c r="D106" t="str">
        <f>IFERROR(INDEX('Match Log'!$G$4:$G$311,MATCH(82,'Match Log'!$A$4:$A$311,0)),"")</f>
        <v>Daniel (Ferret)</v>
      </c>
      <c r="E106" s="133">
        <f>IFERROR(INDEX('Match Log'!$F$4:$F$311,MATCH(82,'Match Log'!$A$4:$A$311,0)),"")</f>
        <v>4</v>
      </c>
      <c r="F106">
        <f>IFERROR(SUMIFS('Match Log'!$I$4:$I$311,'Match Log'!$A$4:$A$311,82,'Match Log'!$E$4:$E$311,"Win"),"")</f>
        <v>0.68277945619335356</v>
      </c>
      <c r="G106">
        <f t="shared" si="22"/>
        <v>-1.7311178247734142</v>
      </c>
      <c r="H106" t="str">
        <f>IFERROR(IF($E106=2,LOOKUP(2,1/(('Match Log'!$A$4:$A$311=82)*('Match Log'!$E$4:$E$311="Loss")),'Match Log'!$D$4:$D$311),"the field"),"")</f>
        <v>the field</v>
      </c>
      <c r="I106">
        <f t="shared" si="23"/>
        <v>-1.7311998247734142</v>
      </c>
      <c r="J106">
        <v>82</v>
      </c>
      <c r="K106">
        <f>IF($J106&gt;MAX('Match Log'!$A$4:$A$311),NA(),IFERROR(LOOKUP(2,1/(('Match Log'!$D$4:$D$311=$K$24)*('Match Log'!$A$4:$A$311&lt;=$J106)),'Match Log'!$N$4:$N$311),NA()))</f>
        <v>1027.4579191199061</v>
      </c>
      <c r="L106">
        <f>IF($J106&gt;MAX('Match Log'!$A$4:$A$311),NA(),IFERROR(LOOKUP(2,1/(('Match Log'!$D$4:$D$311=$L$24)*('Match Log'!$A$4:$A$311&lt;=$J106)),'Match Log'!$N$4:$N$311),NA()))</f>
        <v>1031.0800363810649</v>
      </c>
      <c r="M106">
        <f>IF($J106&gt;MAX('Match Log'!$A$4:$A$311),NA(),IFERROR(LOOKUP(2,1/(('Match Log'!$D$4:$D$311=$M$24)*('Match Log'!$A$4:$A$311&lt;=$J106)),'Match Log'!$N$4:$N$311),NA()))</f>
        <v>1017.3466608720325</v>
      </c>
      <c r="N106">
        <f>IF($J106&gt;MAX('Match Log'!$A$4:$A$311),NA(),IFERROR(LOOKUP(2,1/(('Match Log'!$D$4:$D$311=$N$24)*('Match Log'!$A$4:$A$311&lt;=$J106)),'Match Log'!$N$4:$N$311),NA()))</f>
        <v>943.56352239528428</v>
      </c>
      <c r="O106">
        <f>IF($J106&gt;MAX('Match Log'!$A$4:$A$311),NA(),IFERROR(LOOKUP(2,1/(('Match Log'!$D$4:$D$311=$O$24)*('Match Log'!$A$4:$A$311&lt;=$J106)),'Match Log'!$N$4:$N$311),NA()))</f>
        <v>1180.3686394291749</v>
      </c>
      <c r="P106">
        <f>IF($J106&gt;MAX('Match Log'!$A$4:$A$311),NA(),IFERROR(LOOKUP(2,1/(('Match Log'!$D$4:$D$311=$P$24)*('Match Log'!$A$4:$A$311&lt;=$J106)),'Match Log'!$N$4:$N$311),NA()))</f>
        <v>1041.8596886886442</v>
      </c>
      <c r="Q106">
        <f>IF($J106&gt;MAX('Match Log'!$A$4:$A$311),NA(),IFERROR(LOOKUP(2,1/(('Match Log'!$D$4:$D$311=$Q$24)*('Match Log'!$A$4:$A$311&lt;=$J106)),'Match Log'!$N$4:$N$311),NA()))</f>
        <v>1150.2170238004801</v>
      </c>
      <c r="R106">
        <f>IF($J106&gt;MAX('Match Log'!$A$4:$A$311),NA(),IFERROR(LOOKUP(2,1/(('Match Log'!$D$4:$D$311=$R$24)*('Match Log'!$A$4:$A$311&lt;=$J106)),'Match Log'!$N$4:$N$311),NA()))</f>
        <v>1079.4056650748485</v>
      </c>
      <c r="S106">
        <f>IF($J106&gt;MAX('Match Log'!$A$4:$A$311),NA(),IFERROR(LOOKUP(2,1/(('Match Log'!$D$4:$D$311=$S$24)*('Match Log'!$A$4:$A$311&lt;=$J106)),'Match Log'!$N$4:$N$311),NA()))</f>
        <v>1182.798895110644</v>
      </c>
      <c r="T106">
        <f>IF($J106&gt;MAX('Match Log'!$A$4:$A$311),NA(),IFERROR(LOOKUP(2,1/(('Match Log'!$D$4:$D$311=$T$24)*('Match Log'!$A$4:$A$311&lt;=$J106)),'Match Log'!$N$4:$N$311),NA()))</f>
        <v>907.72888112716782</v>
      </c>
      <c r="U106">
        <f>IF($J106&gt;MAX('Match Log'!$A$4:$A$311),NA(),IFERROR(LOOKUP(2,1/(('Match Log'!$D$4:$D$311=$U$24)*('Match Log'!$A$4:$A$311&lt;=$J106)),'Match Log'!$N$4:$N$311),NA()))</f>
        <v>1008.415991786685</v>
      </c>
      <c r="V106">
        <f>IF($J106&gt;MAX('Match Log'!$A$4:$A$311),NA(),IFERROR(LOOKUP(2,1/(('Match Log'!$D$4:$D$311=$V$24)*('Match Log'!$A$4:$A$311&lt;=$J106)),'Match Log'!$N$4:$N$311),NA()))</f>
        <v>991.25543008929583</v>
      </c>
      <c r="W106">
        <f>IF($J106&gt;MAX('Match Log'!$A$4:$A$311),NA(),IFERROR(LOOKUP(2,1/(('Match Log'!$D$4:$D$311=$W$24)*('Match Log'!$A$4:$A$311&lt;=$J106)),'Match Log'!$N$4:$N$311),NA()))</f>
        <v>1038.5016461247724</v>
      </c>
      <c r="X106" t="e">
        <f>IF($J106&gt;MAX('Match Log'!$A$4:$A$311),NA(),IFERROR(LOOKUP(2,1/(('Match Log'!$D$4:$D$311=$X$24)*('Match Log'!$A$4:$A$311&lt;=$J106)),'Match Log'!$N$4:$N$311),NA()))</f>
        <v>#N/A</v>
      </c>
      <c r="Y106" t="str">
        <f t="shared" ca="1" si="24"/>
        <v/>
      </c>
    </row>
    <row r="107" spans="1:25" ht="15" customHeight="1" x14ac:dyDescent="0.2">
      <c r="A107">
        <v>83</v>
      </c>
      <c r="B107" s="132">
        <f>IFERROR(INDEX('Match Log'!$B$4:$B$311,MATCH(83,'Match Log'!$A$4:$A$311,0)),"")</f>
        <v>46188</v>
      </c>
      <c r="C107" t="str">
        <f>IFERROR(INDEX('Match Log'!$C$4:$C$311,MATCH(83,'Match Log'!$A$4:$A$311,0)),"")</f>
        <v>ShuffleBoard</v>
      </c>
      <c r="D107" t="str">
        <f>IFERROR(INDEX('Match Log'!$G$4:$G$311,MATCH(83,'Match Log'!$A$4:$A$311,0)),"")</f>
        <v>Beau</v>
      </c>
      <c r="E107" s="133">
        <f>IFERROR(INDEX('Match Log'!$F$4:$F$311,MATCH(83,'Match Log'!$A$4:$A$311,0)),"")</f>
        <v>4</v>
      </c>
      <c r="F107">
        <f>IFERROR(SUMIFS('Match Log'!$I$4:$I$311,'Match Log'!$A$4:$A$311,83,'Match Log'!$E$4:$E$311,"Win"),"")</f>
        <v>0.35736742821211487</v>
      </c>
      <c r="G107">
        <f t="shared" si="22"/>
        <v>-0.42946971284845947</v>
      </c>
      <c r="H107" t="str">
        <f>IFERROR(IF($E107=2,LOOKUP(2,1/(('Match Log'!$A$4:$A$311=83)*('Match Log'!$E$4:$E$311="Loss")),'Match Log'!$D$4:$D$311),"the field"),"")</f>
        <v>the field</v>
      </c>
      <c r="I107">
        <f t="shared" si="23"/>
        <v>-0.42955271284845947</v>
      </c>
      <c r="J107">
        <v>83</v>
      </c>
      <c r="K107">
        <f>IF($J107&gt;MAX('Match Log'!$A$4:$A$311),NA(),IFERROR(LOOKUP(2,1/(('Match Log'!$D$4:$D$311=$K$24)*('Match Log'!$A$4:$A$311&lt;=$J107)),'Match Log'!$N$4:$N$311),NA()))</f>
        <v>1052.6051353789235</v>
      </c>
      <c r="L107">
        <f>IF($J107&gt;MAX('Match Log'!$A$4:$A$311),NA(),IFERROR(LOOKUP(2,1/(('Match Log'!$D$4:$D$311=$L$24)*('Match Log'!$A$4:$A$311&lt;=$J107)),'Match Log'!$N$4:$N$311),NA()))</f>
        <v>1053.8755444028154</v>
      </c>
      <c r="M107">
        <f>IF($J107&gt;MAX('Match Log'!$A$4:$A$311),NA(),IFERROR(LOOKUP(2,1/(('Match Log'!$D$4:$D$311=$M$24)*('Match Log'!$A$4:$A$311&lt;=$J107)),'Match Log'!$N$4:$N$311),NA()))</f>
        <v>1017.3466608720325</v>
      </c>
      <c r="N107">
        <f>IF($J107&gt;MAX('Match Log'!$A$4:$A$311),NA(),IFERROR(LOOKUP(2,1/(('Match Log'!$D$4:$D$311=$N$24)*('Match Log'!$A$4:$A$311&lt;=$J107)),'Match Log'!$N$4:$N$311),NA()))</f>
        <v>943.56352239528428</v>
      </c>
      <c r="O107">
        <f>IF($J107&gt;MAX('Match Log'!$A$4:$A$311),NA(),IFERROR(LOOKUP(2,1/(('Match Log'!$D$4:$D$311=$O$24)*('Match Log'!$A$4:$A$311&lt;=$J107)),'Match Log'!$N$4:$N$311),NA()))</f>
        <v>1180.3686394291749</v>
      </c>
      <c r="P107">
        <f>IF($J107&gt;MAX('Match Log'!$A$4:$A$311),NA(),IFERROR(LOOKUP(2,1/(('Match Log'!$D$4:$D$311=$P$24)*('Match Log'!$A$4:$A$311&lt;=$J107)),'Match Log'!$N$4:$N$311),NA()))</f>
        <v>1041.8596886886442</v>
      </c>
      <c r="Q107">
        <f>IF($J107&gt;MAX('Match Log'!$A$4:$A$311),NA(),IFERROR(LOOKUP(2,1/(('Match Log'!$D$4:$D$311=$Q$24)*('Match Log'!$A$4:$A$311&lt;=$J107)),'Match Log'!$N$4:$N$311),NA()))</f>
        <v>1150.2170238004801</v>
      </c>
      <c r="R107">
        <f>IF($J107&gt;MAX('Match Log'!$A$4:$A$311),NA(),IFERROR(LOOKUP(2,1/(('Match Log'!$D$4:$D$311=$R$24)*('Match Log'!$A$4:$A$311&lt;=$J107)),'Match Log'!$N$4:$N$311),NA()))</f>
        <v>1074.287951540447</v>
      </c>
      <c r="S107">
        <f>IF($J107&gt;MAX('Match Log'!$A$4:$A$311),NA(),IFERROR(LOOKUP(2,1/(('Match Log'!$D$4:$D$311=$S$24)*('Match Log'!$A$4:$A$311&lt;=$J107)),'Match Log'!$N$4:$N$311),NA()))</f>
        <v>1175.9738843642774</v>
      </c>
      <c r="T107">
        <f>IF($J107&gt;MAX('Match Log'!$A$4:$A$311),NA(),IFERROR(LOOKUP(2,1/(('Match Log'!$D$4:$D$311=$T$24)*('Match Log'!$A$4:$A$311&lt;=$J107)),'Match Log'!$N$4:$N$311),NA()))</f>
        <v>907.72888112716782</v>
      </c>
      <c r="U107">
        <f>IF($J107&gt;MAX('Match Log'!$A$4:$A$311),NA(),IFERROR(LOOKUP(2,1/(('Match Log'!$D$4:$D$311=$U$24)*('Match Log'!$A$4:$A$311&lt;=$J107)),'Match Log'!$N$4:$N$311),NA()))</f>
        <v>1008.415991786685</v>
      </c>
      <c r="V107">
        <f>IF($J107&gt;MAX('Match Log'!$A$4:$A$311),NA(),IFERROR(LOOKUP(2,1/(('Match Log'!$D$4:$D$311=$V$24)*('Match Log'!$A$4:$A$311&lt;=$J107)),'Match Log'!$N$4:$N$311),NA()))</f>
        <v>991.25543008929583</v>
      </c>
      <c r="W107">
        <f>IF($J107&gt;MAX('Match Log'!$A$4:$A$311),NA(),IFERROR(LOOKUP(2,1/(('Match Log'!$D$4:$D$311=$W$24)*('Match Log'!$A$4:$A$311&lt;=$J107)),'Match Log'!$N$4:$N$311),NA()))</f>
        <v>1038.5016461247724</v>
      </c>
      <c r="X107" t="e">
        <f>IF($J107&gt;MAX('Match Log'!$A$4:$A$311),NA(),IFERROR(LOOKUP(2,1/(('Match Log'!$D$4:$D$311=$X$24)*('Match Log'!$A$4:$A$311&lt;=$J107)),'Match Log'!$N$4:$N$311),NA()))</f>
        <v>#N/A</v>
      </c>
      <c r="Y107" t="str">
        <f t="shared" ca="1" si="24"/>
        <v/>
      </c>
    </row>
    <row r="108" spans="1:25" ht="15" customHeight="1" x14ac:dyDescent="0.2">
      <c r="A108">
        <v>84</v>
      </c>
      <c r="B108" s="132">
        <f>IFERROR(INDEX('Match Log'!$B$4:$B$311,MATCH(84,'Match Log'!$A$4:$A$311,0)),"")</f>
        <v>46188</v>
      </c>
      <c r="C108" t="str">
        <f>IFERROR(INDEX('Match Log'!$C$4:$C$311,MATCH(84,'Match Log'!$A$4:$A$311,0)),"")</f>
        <v>ShuffleBoard</v>
      </c>
      <c r="D108" t="str">
        <f>IFERROR(INDEX('Match Log'!$G$4:$G$311,MATCH(84,'Match Log'!$A$4:$A$311,0)),"")</f>
        <v>Beau</v>
      </c>
      <c r="E108" s="133">
        <f>IFERROR(INDEX('Match Log'!$F$4:$F$311,MATCH(84,'Match Log'!$A$4:$A$311,0)),"")</f>
        <v>4</v>
      </c>
      <c r="F108">
        <f>IFERROR(SUMIFS('Match Log'!$I$4:$I$311,'Match Log'!$A$4:$A$311,84,'Match Log'!$E$4:$E$311,"Win"),"")</f>
        <v>0.42912621359223302</v>
      </c>
      <c r="G108">
        <f t="shared" si="22"/>
        <v>-0.71650485436893208</v>
      </c>
      <c r="H108" t="str">
        <f>IFERROR(IF($E108=2,LOOKUP(2,1/(('Match Log'!$A$4:$A$311=84)*('Match Log'!$E$4:$E$311="Loss")),'Match Log'!$D$4:$D$311),"the field"),"")</f>
        <v>the field</v>
      </c>
      <c r="I108">
        <f t="shared" si="23"/>
        <v>-0.71658885436893205</v>
      </c>
      <c r="J108">
        <v>84</v>
      </c>
      <c r="K108">
        <f>IF($J108&gt;MAX('Match Log'!$A$4:$A$311),NA(),IFERROR(LOOKUP(2,1/(('Match Log'!$D$4:$D$311=$K$24)*('Match Log'!$A$4:$A$311&lt;=$J108)),'Match Log'!$N$4:$N$311),NA()))</f>
        <v>1076.5288742725706</v>
      </c>
      <c r="L108">
        <f>IF($J108&gt;MAX('Match Log'!$A$4:$A$311),NA(),IFERROR(LOOKUP(2,1/(('Match Log'!$D$4:$D$311=$L$24)*('Match Log'!$A$4:$A$311&lt;=$J108)),'Match Log'!$N$4:$N$311),NA()))</f>
        <v>1075.8808366945207</v>
      </c>
      <c r="M108">
        <f>IF($J108&gt;MAX('Match Log'!$A$4:$A$311),NA(),IFERROR(LOOKUP(2,1/(('Match Log'!$D$4:$D$311=$M$24)*('Match Log'!$A$4:$A$311&lt;=$J108)),'Match Log'!$N$4:$N$311),NA()))</f>
        <v>1017.3466608720325</v>
      </c>
      <c r="N108">
        <f>IF($J108&gt;MAX('Match Log'!$A$4:$A$311),NA(),IFERROR(LOOKUP(2,1/(('Match Log'!$D$4:$D$311=$N$24)*('Match Log'!$A$4:$A$311&lt;=$J108)),'Match Log'!$N$4:$N$311),NA()))</f>
        <v>943.56352239528428</v>
      </c>
      <c r="O108">
        <f>IF($J108&gt;MAX('Match Log'!$A$4:$A$311),NA(),IFERROR(LOOKUP(2,1/(('Match Log'!$D$4:$D$311=$O$24)*('Match Log'!$A$4:$A$311&lt;=$J108)),'Match Log'!$N$4:$N$311),NA()))</f>
        <v>1180.3686394291749</v>
      </c>
      <c r="P108">
        <f>IF($J108&gt;MAX('Match Log'!$A$4:$A$311),NA(),IFERROR(LOOKUP(2,1/(('Match Log'!$D$4:$D$311=$P$24)*('Match Log'!$A$4:$A$311&lt;=$J108)),'Match Log'!$N$4:$N$311),NA()))</f>
        <v>1041.8596886886442</v>
      </c>
      <c r="Q108">
        <f>IF($J108&gt;MAX('Match Log'!$A$4:$A$311),NA(),IFERROR(LOOKUP(2,1/(('Match Log'!$D$4:$D$311=$Q$24)*('Match Log'!$A$4:$A$311&lt;=$J108)),'Match Log'!$N$4:$N$311),NA()))</f>
        <v>1143.555914353527</v>
      </c>
      <c r="R108">
        <f>IF($J108&gt;MAX('Match Log'!$A$4:$A$311),NA(),IFERROR(LOOKUP(2,1/(('Match Log'!$D$4:$D$311=$R$24)*('Match Log'!$A$4:$A$311&lt;=$J108)),'Match Log'!$N$4:$N$311),NA()))</f>
        <v>1074.287951540447</v>
      </c>
      <c r="S108">
        <f>IF($J108&gt;MAX('Match Log'!$A$4:$A$311),NA(),IFERROR(LOOKUP(2,1/(('Match Log'!$D$4:$D$311=$S$24)*('Match Log'!$A$4:$A$311&lt;=$J108)),'Match Log'!$N$4:$N$311),NA()))</f>
        <v>1175.9738843642774</v>
      </c>
      <c r="T108">
        <f>IF($J108&gt;MAX('Match Log'!$A$4:$A$311),NA(),IFERROR(LOOKUP(2,1/(('Match Log'!$D$4:$D$311=$T$24)*('Match Log'!$A$4:$A$311&lt;=$J108)),'Match Log'!$N$4:$N$311),NA()))</f>
        <v>907.72888112716782</v>
      </c>
      <c r="U108">
        <f>IF($J108&gt;MAX('Match Log'!$A$4:$A$311),NA(),IFERROR(LOOKUP(2,1/(('Match Log'!$D$4:$D$311=$U$24)*('Match Log'!$A$4:$A$311&lt;=$J108)),'Match Log'!$N$4:$N$311),NA()))</f>
        <v>1005.1480700482857</v>
      </c>
      <c r="V108">
        <f>IF($J108&gt;MAX('Match Log'!$A$4:$A$311),NA(),IFERROR(LOOKUP(2,1/(('Match Log'!$D$4:$D$311=$V$24)*('Match Log'!$A$4:$A$311&lt;=$J108)),'Match Log'!$N$4:$N$311),NA()))</f>
        <v>991.25543008929583</v>
      </c>
      <c r="W108">
        <f>IF($J108&gt;MAX('Match Log'!$A$4:$A$311),NA(),IFERROR(LOOKUP(2,1/(('Match Log'!$D$4:$D$311=$W$24)*('Match Log'!$A$4:$A$311&lt;=$J108)),'Match Log'!$N$4:$N$311),NA()))</f>
        <v>1038.5016461247724</v>
      </c>
      <c r="X108" t="e">
        <f>IF($J108&gt;MAX('Match Log'!$A$4:$A$311),NA(),IFERROR(LOOKUP(2,1/(('Match Log'!$D$4:$D$311=$X$24)*('Match Log'!$A$4:$A$311&lt;=$J108)),'Match Log'!$N$4:$N$311),NA()))</f>
        <v>#N/A</v>
      </c>
      <c r="Y108" t="str">
        <f t="shared" ca="1" si="24"/>
        <v/>
      </c>
    </row>
    <row r="109" spans="1:25" ht="15" customHeight="1" x14ac:dyDescent="0.2">
      <c r="A109">
        <v>85</v>
      </c>
      <c r="B109" s="132">
        <f>IFERROR(INDEX('Match Log'!$B$4:$B$311,MATCH(85,'Match Log'!$A$4:$A$311,0)),"")</f>
        <v>46188</v>
      </c>
      <c r="C109" t="str">
        <f>IFERROR(INDEX('Match Log'!$C$4:$C$311,MATCH(85,'Match Log'!$A$4:$A$311,0)),"")</f>
        <v>ShuffleBoard</v>
      </c>
      <c r="D109" t="str">
        <f>IFERROR(INDEX('Match Log'!$G$4:$G$311,MATCH(85,'Match Log'!$A$4:$A$311,0)),"")</f>
        <v>David</v>
      </c>
      <c r="E109" s="133">
        <f>IFERROR(INDEX('Match Log'!$F$4:$F$311,MATCH(85,'Match Log'!$A$4:$A$311,0)),"")</f>
        <v>4</v>
      </c>
      <c r="F109">
        <f>IFERROR(SUMIFS('Match Log'!$I$4:$I$311,'Match Log'!$A$4:$A$311,85,'Match Log'!$E$4:$E$311,"Win"),"")</f>
        <v>0.31800467653936093</v>
      </c>
      <c r="G109">
        <f t="shared" si="22"/>
        <v>-0.27201870615744372</v>
      </c>
      <c r="H109" t="str">
        <f>IFERROR(IF($E109=2,LOOKUP(2,1/(('Match Log'!$A$4:$A$311=85)*('Match Log'!$E$4:$E$311="Loss")),'Match Log'!$D$4:$D$311),"the field"),"")</f>
        <v>the field</v>
      </c>
      <c r="I109">
        <f t="shared" si="23"/>
        <v>-0.27210370615744373</v>
      </c>
      <c r="J109">
        <v>85</v>
      </c>
      <c r="K109">
        <f>IF($J109&gt;MAX('Match Log'!$A$4:$A$311),NA(),IFERROR(LOOKUP(2,1/(('Match Log'!$D$4:$D$311=$K$24)*('Match Log'!$A$4:$A$311&lt;=$J109)),'Match Log'!$N$4:$N$311),NA()))</f>
        <v>1071.6001753974281</v>
      </c>
      <c r="L109">
        <f>IF($J109&gt;MAX('Match Log'!$A$4:$A$311),NA(),IFERROR(LOOKUP(2,1/(('Match Log'!$D$4:$D$311=$L$24)*('Match Log'!$A$4:$A$311&lt;=$J109)),'Match Log'!$N$4:$N$311),NA()))</f>
        <v>1068.233898610468</v>
      </c>
      <c r="M109">
        <f>IF($J109&gt;MAX('Match Log'!$A$4:$A$311),NA(),IFERROR(LOOKUP(2,1/(('Match Log'!$D$4:$D$311=$M$24)*('Match Log'!$A$4:$A$311&lt;=$J109)),'Match Log'!$N$4:$N$311),NA()))</f>
        <v>1017.3466608720325</v>
      </c>
      <c r="N109">
        <f>IF($J109&gt;MAX('Match Log'!$A$4:$A$311),NA(),IFERROR(LOOKUP(2,1/(('Match Log'!$D$4:$D$311=$N$24)*('Match Log'!$A$4:$A$311&lt;=$J109)),'Match Log'!$N$4:$N$311),NA()))</f>
        <v>967.51463004089896</v>
      </c>
      <c r="O109">
        <f>IF($J109&gt;MAX('Match Log'!$A$4:$A$311),NA(),IFERROR(LOOKUP(2,1/(('Match Log'!$D$4:$D$311=$O$24)*('Match Log'!$A$4:$A$311&lt;=$J109)),'Match Log'!$N$4:$N$311),NA()))</f>
        <v>1180.3686394291749</v>
      </c>
      <c r="P109">
        <f>IF($J109&gt;MAX('Match Log'!$A$4:$A$311),NA(),IFERROR(LOOKUP(2,1/(('Match Log'!$D$4:$D$311=$P$24)*('Match Log'!$A$4:$A$311&lt;=$J109)),'Match Log'!$N$4:$N$311),NA()))</f>
        <v>1041.8596886886442</v>
      </c>
      <c r="Q109">
        <f>IF($J109&gt;MAX('Match Log'!$A$4:$A$311),NA(),IFERROR(LOOKUP(2,1/(('Match Log'!$D$4:$D$311=$Q$24)*('Match Log'!$A$4:$A$311&lt;=$J109)),'Match Log'!$N$4:$N$311),NA()))</f>
        <v>1143.555914353527</v>
      </c>
      <c r="R109">
        <f>IF($J109&gt;MAX('Match Log'!$A$4:$A$311),NA(),IFERROR(LOOKUP(2,1/(('Match Log'!$D$4:$D$311=$R$24)*('Match Log'!$A$4:$A$311&lt;=$J109)),'Match Log'!$N$4:$N$311),NA()))</f>
        <v>1074.287951540447</v>
      </c>
      <c r="S109">
        <f>IF($J109&gt;MAX('Match Log'!$A$4:$A$311),NA(),IFERROR(LOOKUP(2,1/(('Match Log'!$D$4:$D$311=$S$24)*('Match Log'!$A$4:$A$311&lt;=$J109)),'Match Log'!$N$4:$N$311),NA()))</f>
        <v>1175.9738843642774</v>
      </c>
      <c r="T109">
        <f>IF($J109&gt;MAX('Match Log'!$A$4:$A$311),NA(),IFERROR(LOOKUP(2,1/(('Match Log'!$D$4:$D$311=$T$24)*('Match Log'!$A$4:$A$311&lt;=$J109)),'Match Log'!$N$4:$N$311),NA()))</f>
        <v>907.72888112716782</v>
      </c>
      <c r="U109">
        <f>IF($J109&gt;MAX('Match Log'!$A$4:$A$311),NA(),IFERROR(LOOKUP(2,1/(('Match Log'!$D$4:$D$311=$U$24)*('Match Log'!$A$4:$A$311&lt;=$J109)),'Match Log'!$N$4:$N$311),NA()))</f>
        <v>1005.1480700482857</v>
      </c>
      <c r="V109">
        <f>IF($J109&gt;MAX('Match Log'!$A$4:$A$311),NA(),IFERROR(LOOKUP(2,1/(('Match Log'!$D$4:$D$311=$V$24)*('Match Log'!$A$4:$A$311&lt;=$J109)),'Match Log'!$N$4:$N$311),NA()))</f>
        <v>1015.8799594028762</v>
      </c>
      <c r="W109">
        <f>IF($J109&gt;MAX('Match Log'!$A$4:$A$311),NA(),IFERROR(LOOKUP(2,1/(('Match Log'!$D$4:$D$311=$W$24)*('Match Log'!$A$4:$A$311&lt;=$J109)),'Match Log'!$N$4:$N$311),NA()))</f>
        <v>1038.5016461247724</v>
      </c>
      <c r="X109" t="e">
        <f>IF($J109&gt;MAX('Match Log'!$A$4:$A$311),NA(),IFERROR(LOOKUP(2,1/(('Match Log'!$D$4:$D$311=$X$24)*('Match Log'!$A$4:$A$311&lt;=$J109)),'Match Log'!$N$4:$N$311),NA()))</f>
        <v>#N/A</v>
      </c>
      <c r="Y109" t="str">
        <f t="shared" ca="1" si="24"/>
        <v/>
      </c>
    </row>
    <row r="110" spans="1:25" ht="15" customHeight="1" x14ac:dyDescent="0.2">
      <c r="A110">
        <v>86</v>
      </c>
      <c r="B110" s="132">
        <f>IFERROR(INDEX('Match Log'!$B$4:$B$311,MATCH(86,'Match Log'!$A$4:$A$311,0)),"")</f>
        <v>46188</v>
      </c>
      <c r="C110" t="str">
        <f>IFERROR(INDEX('Match Log'!$C$4:$C$311,MATCH(86,'Match Log'!$A$4:$A$311,0)),"")</f>
        <v>ShuffleBoard</v>
      </c>
      <c r="D110" t="str">
        <f>IFERROR(INDEX('Match Log'!$G$4:$G$311,MATCH(86,'Match Log'!$A$4:$A$311,0)),"")</f>
        <v>David</v>
      </c>
      <c r="E110" s="133">
        <f>IFERROR(INDEX('Match Log'!$F$4:$F$311,MATCH(86,'Match Log'!$A$4:$A$311,0)),"")</f>
        <v>4</v>
      </c>
      <c r="F110">
        <f>IFERROR(SUMIFS('Match Log'!$I$4:$I$311,'Match Log'!$A$4:$A$311,86,'Match Log'!$E$4:$E$311,"Win"),"")</f>
        <v>0.4285714285714286</v>
      </c>
      <c r="G110">
        <f t="shared" si="22"/>
        <v>-0.71428571428571441</v>
      </c>
      <c r="H110" t="str">
        <f>IFERROR(IF($E110=2,LOOKUP(2,1/(('Match Log'!$A$4:$A$311=86)*('Match Log'!$E$4:$E$311="Loss")),'Match Log'!$D$4:$D$311),"the field"),"")</f>
        <v>the field</v>
      </c>
      <c r="I110">
        <f t="shared" si="23"/>
        <v>-0.71437171428571444</v>
      </c>
      <c r="J110">
        <v>86</v>
      </c>
      <c r="K110">
        <f>IF($J110&gt;MAX('Match Log'!$A$4:$A$311),NA(),IFERROR(LOOKUP(2,1/(('Match Log'!$D$4:$D$311=$K$24)*('Match Log'!$A$4:$A$311&lt;=$J110)),'Match Log'!$N$4:$N$311),NA()))</f>
        <v>1071.6001753974281</v>
      </c>
      <c r="L110">
        <f>IF($J110&gt;MAX('Match Log'!$A$4:$A$311),NA(),IFERROR(LOOKUP(2,1/(('Match Log'!$D$4:$D$311=$L$24)*('Match Log'!$A$4:$A$311&lt;=$J110)),'Match Log'!$N$4:$N$311),NA()))</f>
        <v>1068.233898610468</v>
      </c>
      <c r="M110">
        <f>IF($J110&gt;MAX('Match Log'!$A$4:$A$311),NA(),IFERROR(LOOKUP(2,1/(('Match Log'!$D$4:$D$311=$M$24)*('Match Log'!$A$4:$A$311&lt;=$J110)),'Match Log'!$N$4:$N$311),NA()))</f>
        <v>1017.3466608720325</v>
      </c>
      <c r="N110">
        <f>IF($J110&gt;MAX('Match Log'!$A$4:$A$311),NA(),IFERROR(LOOKUP(2,1/(('Match Log'!$D$4:$D$311=$N$24)*('Match Log'!$A$4:$A$311&lt;=$J110)),'Match Log'!$N$4:$N$311),NA()))</f>
        <v>990.8737469852914</v>
      </c>
      <c r="O110">
        <f>IF($J110&gt;MAX('Match Log'!$A$4:$A$311),NA(),IFERROR(LOOKUP(2,1/(('Match Log'!$D$4:$D$311=$O$24)*('Match Log'!$A$4:$A$311&lt;=$J110)),'Match Log'!$N$4:$N$311),NA()))</f>
        <v>1174.6803700391565</v>
      </c>
      <c r="P110">
        <f>IF($J110&gt;MAX('Match Log'!$A$4:$A$311),NA(),IFERROR(LOOKUP(2,1/(('Match Log'!$D$4:$D$311=$P$24)*('Match Log'!$A$4:$A$311&lt;=$J110)),'Match Log'!$N$4:$N$311),NA()))</f>
        <v>1036.5272031814743</v>
      </c>
      <c r="Q110">
        <f>IF($J110&gt;MAX('Match Log'!$A$4:$A$311),NA(),IFERROR(LOOKUP(2,1/(('Match Log'!$D$4:$D$311=$Q$24)*('Match Log'!$A$4:$A$311&lt;=$J110)),'Match Log'!$N$4:$N$311),NA()))</f>
        <v>1143.555914353527</v>
      </c>
      <c r="R110">
        <f>IF($J110&gt;MAX('Match Log'!$A$4:$A$311),NA(),IFERROR(LOOKUP(2,1/(('Match Log'!$D$4:$D$311=$R$24)*('Match Log'!$A$4:$A$311&lt;=$J110)),'Match Log'!$N$4:$N$311),NA()))</f>
        <v>1074.287951540447</v>
      </c>
      <c r="S110">
        <f>IF($J110&gt;MAX('Match Log'!$A$4:$A$311),NA(),IFERROR(LOOKUP(2,1/(('Match Log'!$D$4:$D$311=$S$24)*('Match Log'!$A$4:$A$311&lt;=$J110)),'Match Log'!$N$4:$N$311),NA()))</f>
        <v>1175.9738843642774</v>
      </c>
      <c r="T110">
        <f>IF($J110&gt;MAX('Match Log'!$A$4:$A$311),NA(),IFERROR(LOOKUP(2,1/(('Match Log'!$D$4:$D$311=$T$24)*('Match Log'!$A$4:$A$311&lt;=$J110)),'Match Log'!$N$4:$N$311),NA()))</f>
        <v>907.72888112716782</v>
      </c>
      <c r="U110">
        <f>IF($J110&gt;MAX('Match Log'!$A$4:$A$311),NA(),IFERROR(LOOKUP(2,1/(('Match Log'!$D$4:$D$311=$U$24)*('Match Log'!$A$4:$A$311&lt;=$J110)),'Match Log'!$N$4:$N$311),NA()))</f>
        <v>1005.1480700482857</v>
      </c>
      <c r="V110">
        <f>IF($J110&gt;MAX('Match Log'!$A$4:$A$311),NA(),IFERROR(LOOKUP(2,1/(('Match Log'!$D$4:$D$311=$V$24)*('Match Log'!$A$4:$A$311&lt;=$J110)),'Match Log'!$N$4:$N$311),NA()))</f>
        <v>1039.5415973556721</v>
      </c>
      <c r="W110">
        <f>IF($J110&gt;MAX('Match Log'!$A$4:$A$311),NA(),IFERROR(LOOKUP(2,1/(('Match Log'!$D$4:$D$311=$W$24)*('Match Log'!$A$4:$A$311&lt;=$J110)),'Match Log'!$N$4:$N$311),NA()))</f>
        <v>1038.5016461247724</v>
      </c>
      <c r="X110" t="e">
        <f>IF($J110&gt;MAX('Match Log'!$A$4:$A$311),NA(),IFERROR(LOOKUP(2,1/(('Match Log'!$D$4:$D$311=$X$24)*('Match Log'!$A$4:$A$311&lt;=$J110)),'Match Log'!$N$4:$N$311),NA()))</f>
        <v>#N/A</v>
      </c>
      <c r="Y110" t="str">
        <f t="shared" ca="1" si="24"/>
        <v/>
      </c>
    </row>
    <row r="111" spans="1:25" ht="15" customHeight="1" x14ac:dyDescent="0.2">
      <c r="A111">
        <v>87</v>
      </c>
      <c r="B111" s="132">
        <f>IFERROR(INDEX('Match Log'!$B$4:$B$311,MATCH(87,'Match Log'!$A$4:$A$311,0)),"")</f>
        <v>46188</v>
      </c>
      <c r="C111" t="str">
        <f>IFERROR(INDEX('Match Log'!$C$4:$C$311,MATCH(87,'Match Log'!$A$4:$A$311,0)),"")</f>
        <v>Pool</v>
      </c>
      <c r="D111" t="str">
        <f>IFERROR(INDEX('Match Log'!$G$4:$G$311,MATCH(87,'Match Log'!$A$4:$A$311,0)),"")</f>
        <v>Simon</v>
      </c>
      <c r="E111" s="133">
        <f>IFERROR(INDEX('Match Log'!$F$4:$F$311,MATCH(87,'Match Log'!$A$4:$A$311,0)),"")</f>
        <v>2</v>
      </c>
      <c r="F111">
        <f>IFERROR(SUMIFS('Match Log'!$I$4:$I$311,'Match Log'!$A$4:$A$311,87,'Match Log'!$E$4:$E$311,"Win"),"")</f>
        <v>0.5</v>
      </c>
      <c r="G111">
        <f t="shared" si="22"/>
        <v>0</v>
      </c>
      <c r="H111" t="str">
        <f>IFERROR(IF($E111=2,LOOKUP(2,1/(('Match Log'!$A$4:$A$311=87)*('Match Log'!$E$4:$E$311="Loss")),'Match Log'!$D$4:$D$311),"the field"),"")</f>
        <v>Dean B</v>
      </c>
      <c r="I111">
        <f t="shared" si="23"/>
        <v>-8.7000000000000001E-5</v>
      </c>
      <c r="J111">
        <v>87</v>
      </c>
      <c r="K111">
        <f>IF($J111&gt;MAX('Match Log'!$A$4:$A$311),NA(),IFERROR(LOOKUP(2,1/(('Match Log'!$D$4:$D$311=$K$24)*('Match Log'!$A$4:$A$311&lt;=$J111)),'Match Log'!$N$4:$N$311),NA()))</f>
        <v>1071.6001753974281</v>
      </c>
      <c r="L111">
        <f>IF($J111&gt;MAX('Match Log'!$A$4:$A$311),NA(),IFERROR(LOOKUP(2,1/(('Match Log'!$D$4:$D$311=$L$24)*('Match Log'!$A$4:$A$311&lt;=$J111)),'Match Log'!$N$4:$N$311),NA()))</f>
        <v>1068.233898610468</v>
      </c>
      <c r="M111">
        <f>IF($J111&gt;MAX('Match Log'!$A$4:$A$311),NA(),IFERROR(LOOKUP(2,1/(('Match Log'!$D$4:$D$311=$M$24)*('Match Log'!$A$4:$A$311&lt;=$J111)),'Match Log'!$N$4:$N$311),NA()))</f>
        <v>1017.3466608720325</v>
      </c>
      <c r="N111">
        <f>IF($J111&gt;MAX('Match Log'!$A$4:$A$311),NA(),IFERROR(LOOKUP(2,1/(('Match Log'!$D$4:$D$311=$N$24)*('Match Log'!$A$4:$A$311&lt;=$J111)),'Match Log'!$N$4:$N$311),NA()))</f>
        <v>990.8737469852914</v>
      </c>
      <c r="O111">
        <f>IF($J111&gt;MAX('Match Log'!$A$4:$A$311),NA(),IFERROR(LOOKUP(2,1/(('Match Log'!$D$4:$D$311=$O$24)*('Match Log'!$A$4:$A$311&lt;=$J111)),'Match Log'!$N$4:$N$311),NA()))</f>
        <v>1174.6803700391565</v>
      </c>
      <c r="P111">
        <f>IF($J111&gt;MAX('Match Log'!$A$4:$A$311),NA(),IFERROR(LOOKUP(2,1/(('Match Log'!$D$4:$D$311=$P$24)*('Match Log'!$A$4:$A$311&lt;=$J111)),'Match Log'!$N$4:$N$311),NA()))</f>
        <v>1036.5272031814743</v>
      </c>
      <c r="Q111">
        <f>IF($J111&gt;MAX('Match Log'!$A$4:$A$311),NA(),IFERROR(LOOKUP(2,1/(('Match Log'!$D$4:$D$311=$Q$24)*('Match Log'!$A$4:$A$311&lt;=$J111)),'Match Log'!$N$4:$N$311),NA()))</f>
        <v>1163.3612902769837</v>
      </c>
      <c r="R111">
        <f>IF($J111&gt;MAX('Match Log'!$A$4:$A$311),NA(),IFERROR(LOOKUP(2,1/(('Match Log'!$D$4:$D$311=$R$24)*('Match Log'!$A$4:$A$311&lt;=$J111)),'Match Log'!$N$4:$N$311),NA()))</f>
        <v>1074.287951540447</v>
      </c>
      <c r="S111">
        <f>IF($J111&gt;MAX('Match Log'!$A$4:$A$311),NA(),IFERROR(LOOKUP(2,1/(('Match Log'!$D$4:$D$311=$S$24)*('Match Log'!$A$4:$A$311&lt;=$J111)),'Match Log'!$N$4:$N$311),NA()))</f>
        <v>1156.1685084408207</v>
      </c>
      <c r="T111">
        <f>IF($J111&gt;MAX('Match Log'!$A$4:$A$311),NA(),IFERROR(LOOKUP(2,1/(('Match Log'!$D$4:$D$311=$T$24)*('Match Log'!$A$4:$A$311&lt;=$J111)),'Match Log'!$N$4:$N$311),NA()))</f>
        <v>907.72888112716782</v>
      </c>
      <c r="U111">
        <f>IF($J111&gt;MAX('Match Log'!$A$4:$A$311),NA(),IFERROR(LOOKUP(2,1/(('Match Log'!$D$4:$D$311=$U$24)*('Match Log'!$A$4:$A$311&lt;=$J111)),'Match Log'!$N$4:$N$311),NA()))</f>
        <v>1005.1480700482857</v>
      </c>
      <c r="V111">
        <f>IF($J111&gt;MAX('Match Log'!$A$4:$A$311),NA(),IFERROR(LOOKUP(2,1/(('Match Log'!$D$4:$D$311=$V$24)*('Match Log'!$A$4:$A$311&lt;=$J111)),'Match Log'!$N$4:$N$311),NA()))</f>
        <v>1039.5415973556721</v>
      </c>
      <c r="W111">
        <f>IF($J111&gt;MAX('Match Log'!$A$4:$A$311),NA(),IFERROR(LOOKUP(2,1/(('Match Log'!$D$4:$D$311=$W$24)*('Match Log'!$A$4:$A$311&lt;=$J111)),'Match Log'!$N$4:$N$311),NA()))</f>
        <v>1038.5016461247724</v>
      </c>
      <c r="X111" t="e">
        <f>IF($J111&gt;MAX('Match Log'!$A$4:$A$311),NA(),IFERROR(LOOKUP(2,1/(('Match Log'!$D$4:$D$311=$X$24)*('Match Log'!$A$4:$A$311&lt;=$J111)),'Match Log'!$N$4:$N$311),NA()))</f>
        <v>#N/A</v>
      </c>
      <c r="Y111" t="str">
        <f t="shared" ca="1" si="24"/>
        <v/>
      </c>
    </row>
    <row r="112" spans="1:25" ht="15" customHeight="1" x14ac:dyDescent="0.2">
      <c r="A112">
        <v>88</v>
      </c>
      <c r="B112" s="132">
        <f>IFERROR(INDEX('Match Log'!$B$4:$B$311,MATCH(88,'Match Log'!$A$4:$A$311,0)),"")</f>
        <v>46188</v>
      </c>
      <c r="C112" t="str">
        <f>IFERROR(INDEX('Match Log'!$C$4:$C$311,MATCH(88,'Match Log'!$A$4:$A$311,0)),"")</f>
        <v>Pool</v>
      </c>
      <c r="D112" t="str">
        <f>IFERROR(INDEX('Match Log'!$G$4:$G$311,MATCH(88,'Match Log'!$A$4:$A$311,0)),"")</f>
        <v>Simon</v>
      </c>
      <c r="E112" s="133">
        <f>IFERROR(INDEX('Match Log'!$F$4:$F$311,MATCH(88,'Match Log'!$A$4:$A$311,0)),"")</f>
        <v>2</v>
      </c>
      <c r="F112">
        <f>IFERROR(SUMIFS('Match Log'!$I$4:$I$311,'Match Log'!$A$4:$A$311,88,'Match Log'!$E$4:$E$311,"Win"),"")</f>
        <v>0.60869565217391308</v>
      </c>
      <c r="G112">
        <f t="shared" si="22"/>
        <v>-0.21739130434782616</v>
      </c>
      <c r="H112" t="str">
        <f>IFERROR(IF($E112=2,LOOKUP(2,1/(('Match Log'!$A$4:$A$311=88)*('Match Log'!$E$4:$E$311="Loss")),'Match Log'!$D$4:$D$311),"the field"),"")</f>
        <v>Dean B</v>
      </c>
      <c r="I112">
        <f t="shared" si="23"/>
        <v>-0.21747930434782617</v>
      </c>
      <c r="J112">
        <v>88</v>
      </c>
      <c r="K112">
        <f>IF($J112&gt;MAX('Match Log'!$A$4:$A$311),NA(),IFERROR(LOOKUP(2,1/(('Match Log'!$D$4:$D$311=$K$24)*('Match Log'!$A$4:$A$311&lt;=$J112)),'Match Log'!$N$4:$N$311),NA()))</f>
        <v>1071.6001753974281</v>
      </c>
      <c r="L112">
        <f>IF($J112&gt;MAX('Match Log'!$A$4:$A$311),NA(),IFERROR(LOOKUP(2,1/(('Match Log'!$D$4:$D$311=$L$24)*('Match Log'!$A$4:$A$311&lt;=$J112)),'Match Log'!$N$4:$N$311),NA()))</f>
        <v>1068.233898610468</v>
      </c>
      <c r="M112">
        <f>IF($J112&gt;MAX('Match Log'!$A$4:$A$311),NA(),IFERROR(LOOKUP(2,1/(('Match Log'!$D$4:$D$311=$M$24)*('Match Log'!$A$4:$A$311&lt;=$J112)),'Match Log'!$N$4:$N$311),NA()))</f>
        <v>1017.3466608720325</v>
      </c>
      <c r="N112">
        <f>IF($J112&gt;MAX('Match Log'!$A$4:$A$311),NA(),IFERROR(LOOKUP(2,1/(('Match Log'!$D$4:$D$311=$N$24)*('Match Log'!$A$4:$A$311&lt;=$J112)),'Match Log'!$N$4:$N$311),NA()))</f>
        <v>990.8737469852914</v>
      </c>
      <c r="O112">
        <f>IF($J112&gt;MAX('Match Log'!$A$4:$A$311),NA(),IFERROR(LOOKUP(2,1/(('Match Log'!$D$4:$D$311=$O$24)*('Match Log'!$A$4:$A$311&lt;=$J112)),'Match Log'!$N$4:$N$311),NA()))</f>
        <v>1174.6803700391565</v>
      </c>
      <c r="P112">
        <f>IF($J112&gt;MAX('Match Log'!$A$4:$A$311),NA(),IFERROR(LOOKUP(2,1/(('Match Log'!$D$4:$D$311=$P$24)*('Match Log'!$A$4:$A$311&lt;=$J112)),'Match Log'!$N$4:$N$311),NA()))</f>
        <v>1036.5272031814743</v>
      </c>
      <c r="Q112">
        <f>IF($J112&gt;MAX('Match Log'!$A$4:$A$311),NA(),IFERROR(LOOKUP(2,1/(('Match Log'!$D$4:$D$311=$Q$24)*('Match Log'!$A$4:$A$311&lt;=$J112)),'Match Log'!$N$4:$N$311),NA()))</f>
        <v>1180.8318965818212</v>
      </c>
      <c r="R112">
        <f>IF($J112&gt;MAX('Match Log'!$A$4:$A$311),NA(),IFERROR(LOOKUP(2,1/(('Match Log'!$D$4:$D$311=$R$24)*('Match Log'!$A$4:$A$311&lt;=$J112)),'Match Log'!$N$4:$N$311),NA()))</f>
        <v>1074.287951540447</v>
      </c>
      <c r="S112">
        <f>IF($J112&gt;MAX('Match Log'!$A$4:$A$311),NA(),IFERROR(LOOKUP(2,1/(('Match Log'!$D$4:$D$311=$S$24)*('Match Log'!$A$4:$A$311&lt;=$J112)),'Match Log'!$N$4:$N$311),NA()))</f>
        <v>1138.6979021359832</v>
      </c>
      <c r="T112">
        <f>IF($J112&gt;MAX('Match Log'!$A$4:$A$311),NA(),IFERROR(LOOKUP(2,1/(('Match Log'!$D$4:$D$311=$T$24)*('Match Log'!$A$4:$A$311&lt;=$J112)),'Match Log'!$N$4:$N$311),NA()))</f>
        <v>907.72888112716782</v>
      </c>
      <c r="U112">
        <f>IF($J112&gt;MAX('Match Log'!$A$4:$A$311),NA(),IFERROR(LOOKUP(2,1/(('Match Log'!$D$4:$D$311=$U$24)*('Match Log'!$A$4:$A$311&lt;=$J112)),'Match Log'!$N$4:$N$311),NA()))</f>
        <v>1005.1480700482857</v>
      </c>
      <c r="V112">
        <f>IF($J112&gt;MAX('Match Log'!$A$4:$A$311),NA(),IFERROR(LOOKUP(2,1/(('Match Log'!$D$4:$D$311=$V$24)*('Match Log'!$A$4:$A$311&lt;=$J112)),'Match Log'!$N$4:$N$311),NA()))</f>
        <v>1039.5415973556721</v>
      </c>
      <c r="W112">
        <f>IF($J112&gt;MAX('Match Log'!$A$4:$A$311),NA(),IFERROR(LOOKUP(2,1/(('Match Log'!$D$4:$D$311=$W$24)*('Match Log'!$A$4:$A$311&lt;=$J112)),'Match Log'!$N$4:$N$311),NA()))</f>
        <v>1038.5016461247724</v>
      </c>
      <c r="X112" t="e">
        <f>IF($J112&gt;MAX('Match Log'!$A$4:$A$311),NA(),IFERROR(LOOKUP(2,1/(('Match Log'!$D$4:$D$311=$X$24)*('Match Log'!$A$4:$A$311&lt;=$J112)),'Match Log'!$N$4:$N$311),NA()))</f>
        <v>#N/A</v>
      </c>
      <c r="Y112" t="str">
        <f t="shared" ca="1" si="24"/>
        <v/>
      </c>
    </row>
    <row r="113" spans="1:25" ht="15" customHeight="1" x14ac:dyDescent="0.2">
      <c r="A113">
        <v>89</v>
      </c>
      <c r="B113" s="132">
        <f>IFERROR(INDEX('Match Log'!$B$4:$B$311,MATCH(89,'Match Log'!$A$4:$A$311,0)),"")</f>
        <v>46188</v>
      </c>
      <c r="C113" t="str">
        <f>IFERROR(INDEX('Match Log'!$C$4:$C$311,MATCH(89,'Match Log'!$A$4:$A$311,0)),"")</f>
        <v>Mario Party</v>
      </c>
      <c r="D113" t="str">
        <f>IFERROR(INDEX('Match Log'!$G$4:$G$311,MATCH(89,'Match Log'!$A$4:$A$311,0)),"")</f>
        <v>Daniel (Ferret)</v>
      </c>
      <c r="E113" s="133">
        <f>IFERROR(INDEX('Match Log'!$F$4:$F$311,MATCH(89,'Match Log'!$A$4:$A$311,0)),"")</f>
        <v>3</v>
      </c>
      <c r="F113">
        <f>IFERROR(SUMIFS('Match Log'!$I$4:$I$311,'Match Log'!$A$4:$A$311,89,'Match Log'!$E$4:$E$311,"Win"),"")</f>
        <v>0.33333333333333331</v>
      </c>
      <c r="G113">
        <f t="shared" si="22"/>
        <v>0</v>
      </c>
      <c r="H113" t="str">
        <f>IFERROR(IF($E113=2,LOOKUP(2,1/(('Match Log'!$A$4:$A$311=89)*('Match Log'!$E$4:$E$311="Loss")),'Match Log'!$D$4:$D$311),"the field"),"")</f>
        <v>the field</v>
      </c>
      <c r="I113">
        <f t="shared" si="23"/>
        <v>-8.8999999999999995E-5</v>
      </c>
      <c r="J113">
        <v>89</v>
      </c>
      <c r="K113">
        <f>IF($J113&gt;MAX('Match Log'!$A$4:$A$311),NA(),IFERROR(LOOKUP(2,1/(('Match Log'!$D$4:$D$311=$K$24)*('Match Log'!$A$4:$A$311&lt;=$J113)),'Match Log'!$N$4:$N$311),NA()))</f>
        <v>1071.6001753974281</v>
      </c>
      <c r="L113">
        <f>IF($J113&gt;MAX('Match Log'!$A$4:$A$311),NA(),IFERROR(LOOKUP(2,1/(('Match Log'!$D$4:$D$311=$L$24)*('Match Log'!$A$4:$A$311&lt;=$J113)),'Match Log'!$N$4:$N$311),NA()))</f>
        <v>1068.233898610468</v>
      </c>
      <c r="M113">
        <f>IF($J113&gt;MAX('Match Log'!$A$4:$A$311),NA(),IFERROR(LOOKUP(2,1/(('Match Log'!$D$4:$D$311=$M$24)*('Match Log'!$A$4:$A$311&lt;=$J113)),'Match Log'!$N$4:$N$311),NA()))</f>
        <v>1017.3466608720325</v>
      </c>
      <c r="N113">
        <f>IF($J113&gt;MAX('Match Log'!$A$4:$A$311),NA(),IFERROR(LOOKUP(2,1/(('Match Log'!$D$4:$D$311=$N$24)*('Match Log'!$A$4:$A$311&lt;=$J113)),'Match Log'!$N$4:$N$311),NA()))</f>
        <v>990.8737469852914</v>
      </c>
      <c r="O113">
        <f>IF($J113&gt;MAX('Match Log'!$A$4:$A$311),NA(),IFERROR(LOOKUP(2,1/(('Match Log'!$D$4:$D$311=$O$24)*('Match Log'!$A$4:$A$311&lt;=$J113)),'Match Log'!$N$4:$N$311),NA()))</f>
        <v>1174.6803700391565</v>
      </c>
      <c r="P113">
        <f>IF($J113&gt;MAX('Match Log'!$A$4:$A$311),NA(),IFERROR(LOOKUP(2,1/(('Match Log'!$D$4:$D$311=$P$24)*('Match Log'!$A$4:$A$311&lt;=$J113)),'Match Log'!$N$4:$N$311),NA()))</f>
        <v>1028.3932691642283</v>
      </c>
      <c r="Q113">
        <f>IF($J113&gt;MAX('Match Log'!$A$4:$A$311),NA(),IFERROR(LOOKUP(2,1/(('Match Log'!$D$4:$D$311=$Q$24)*('Match Log'!$A$4:$A$311&lt;=$J113)),'Match Log'!$N$4:$N$311),NA()))</f>
        <v>1180.8318965818212</v>
      </c>
      <c r="R113">
        <f>IF($J113&gt;MAX('Match Log'!$A$4:$A$311),NA(),IFERROR(LOOKUP(2,1/(('Match Log'!$D$4:$D$311=$R$24)*('Match Log'!$A$4:$A$311&lt;=$J113)),'Match Log'!$N$4:$N$311),NA()))</f>
        <v>1101.8505684280676</v>
      </c>
      <c r="S113">
        <f>IF($J113&gt;MAX('Match Log'!$A$4:$A$311),NA(),IFERROR(LOOKUP(2,1/(('Match Log'!$D$4:$D$311=$S$24)*('Match Log'!$A$4:$A$311&lt;=$J113)),'Match Log'!$N$4:$N$311),NA()))</f>
        <v>1138.6979021359832</v>
      </c>
      <c r="T113">
        <f>IF($J113&gt;MAX('Match Log'!$A$4:$A$311),NA(),IFERROR(LOOKUP(2,1/(('Match Log'!$D$4:$D$311=$T$24)*('Match Log'!$A$4:$A$311&lt;=$J113)),'Match Log'!$N$4:$N$311),NA()))</f>
        <v>907.72888112716782</v>
      </c>
      <c r="U113">
        <f>IF($J113&gt;MAX('Match Log'!$A$4:$A$311),NA(),IFERROR(LOOKUP(2,1/(('Match Log'!$D$4:$D$311=$U$24)*('Match Log'!$A$4:$A$311&lt;=$J113)),'Match Log'!$N$4:$N$311),NA()))</f>
        <v>997.71938717791113</v>
      </c>
      <c r="V113">
        <f>IF($J113&gt;MAX('Match Log'!$A$4:$A$311),NA(),IFERROR(LOOKUP(2,1/(('Match Log'!$D$4:$D$311=$V$24)*('Match Log'!$A$4:$A$311&lt;=$J113)),'Match Log'!$N$4:$N$311),NA()))</f>
        <v>1039.5415973556721</v>
      </c>
      <c r="W113">
        <f>IF($J113&gt;MAX('Match Log'!$A$4:$A$311),NA(),IFERROR(LOOKUP(2,1/(('Match Log'!$D$4:$D$311=$W$24)*('Match Log'!$A$4:$A$311&lt;=$J113)),'Match Log'!$N$4:$N$311),NA()))</f>
        <v>1038.5016461247724</v>
      </c>
      <c r="X113" t="e">
        <f>IF($J113&gt;MAX('Match Log'!$A$4:$A$311),NA(),IFERROR(LOOKUP(2,1/(('Match Log'!$D$4:$D$311=$X$24)*('Match Log'!$A$4:$A$311&lt;=$J113)),'Match Log'!$N$4:$N$311),NA()))</f>
        <v>#N/A</v>
      </c>
      <c r="Y113" t="str">
        <f t="shared" ca="1" si="24"/>
        <v/>
      </c>
    </row>
    <row r="114" spans="1:25" ht="15" customHeight="1" x14ac:dyDescent="0.2">
      <c r="A114">
        <v>90</v>
      </c>
      <c r="B114" s="132">
        <f>IFERROR(INDEX('Match Log'!$B$4:$B$311,MATCH(90,'Match Log'!$A$4:$A$311,0)),"")</f>
        <v>46188</v>
      </c>
      <c r="C114" t="str">
        <f>IFERROR(INDEX('Match Log'!$C$4:$C$311,MATCH(90,'Match Log'!$A$4:$A$311,0)),"")</f>
        <v>Table Tennis</v>
      </c>
      <c r="D114" t="str">
        <f>IFERROR(INDEX('Match Log'!$G$4:$G$311,MATCH(90,'Match Log'!$A$4:$A$311,0)),"")</f>
        <v>Oscar</v>
      </c>
      <c r="E114" s="133">
        <f>IFERROR(INDEX('Match Log'!$F$4:$F$311,MATCH(90,'Match Log'!$A$4:$A$311,0)),"")</f>
        <v>2</v>
      </c>
      <c r="F114">
        <f>IFERROR(SUMIFS('Match Log'!$I$4:$I$311,'Match Log'!$A$4:$A$311,90,'Match Log'!$E$4:$E$311,"Win"),"")</f>
        <v>0.4</v>
      </c>
      <c r="G114">
        <f t="shared" si="22"/>
        <v>0.19999999999999996</v>
      </c>
      <c r="H114" t="str">
        <f>IFERROR(IF($E114=2,LOOKUP(2,1/(('Match Log'!$A$4:$A$311=90)*('Match Log'!$E$4:$E$311="Loss")),'Match Log'!$D$4:$D$311),"the field"),"")</f>
        <v>Simon</v>
      </c>
      <c r="I114">
        <f t="shared" si="23"/>
        <v>0.19990999999999995</v>
      </c>
      <c r="J114">
        <v>90</v>
      </c>
      <c r="K114">
        <f>IF($J114&gt;MAX('Match Log'!$A$4:$A$311),NA(),IFERROR(LOOKUP(2,1/(('Match Log'!$D$4:$D$311=$K$24)*('Match Log'!$A$4:$A$311&lt;=$J114)),'Match Log'!$N$4:$N$311),NA()))</f>
        <v>1071.6001753974281</v>
      </c>
      <c r="L114">
        <f>IF($J114&gt;MAX('Match Log'!$A$4:$A$311),NA(),IFERROR(LOOKUP(2,1/(('Match Log'!$D$4:$D$311=$L$24)*('Match Log'!$A$4:$A$311&lt;=$J114)),'Match Log'!$N$4:$N$311),NA()))</f>
        <v>1068.233898610468</v>
      </c>
      <c r="M114">
        <f>IF($J114&gt;MAX('Match Log'!$A$4:$A$311),NA(),IFERROR(LOOKUP(2,1/(('Match Log'!$D$4:$D$311=$M$24)*('Match Log'!$A$4:$A$311&lt;=$J114)),'Match Log'!$N$4:$N$311),NA()))</f>
        <v>1017.3466608720325</v>
      </c>
      <c r="N114">
        <f>IF($J114&gt;MAX('Match Log'!$A$4:$A$311),NA(),IFERROR(LOOKUP(2,1/(('Match Log'!$D$4:$D$311=$N$24)*('Match Log'!$A$4:$A$311&lt;=$J114)),'Match Log'!$N$4:$N$311),NA()))</f>
        <v>990.8737469852914</v>
      </c>
      <c r="O114">
        <f>IF($J114&gt;MAX('Match Log'!$A$4:$A$311),NA(),IFERROR(LOOKUP(2,1/(('Match Log'!$D$4:$D$311=$O$24)*('Match Log'!$A$4:$A$311&lt;=$J114)),'Match Log'!$N$4:$N$311),NA()))</f>
        <v>1174.6803700391565</v>
      </c>
      <c r="P114">
        <f>IF($J114&gt;MAX('Match Log'!$A$4:$A$311),NA(),IFERROR(LOOKUP(2,1/(('Match Log'!$D$4:$D$311=$P$24)*('Match Log'!$A$4:$A$311&lt;=$J114)),'Match Log'!$N$4:$N$311),NA()))</f>
        <v>1028.3932691642283</v>
      </c>
      <c r="Q114">
        <f>IF($J114&gt;MAX('Match Log'!$A$4:$A$311),NA(),IFERROR(LOOKUP(2,1/(('Match Log'!$D$4:$D$311=$Q$24)*('Match Log'!$A$4:$A$311&lt;=$J114)),'Match Log'!$N$4:$N$311),NA()))</f>
        <v>1149.3660506548988</v>
      </c>
      <c r="R114">
        <f>IF($J114&gt;MAX('Match Log'!$A$4:$A$311),NA(),IFERROR(LOOKUP(2,1/(('Match Log'!$D$4:$D$311=$R$24)*('Match Log'!$A$4:$A$311&lt;=$J114)),'Match Log'!$N$4:$N$311),NA()))</f>
        <v>1101.8505684280676</v>
      </c>
      <c r="S114">
        <f>IF($J114&gt;MAX('Match Log'!$A$4:$A$311),NA(),IFERROR(LOOKUP(2,1/(('Match Log'!$D$4:$D$311=$S$24)*('Match Log'!$A$4:$A$311&lt;=$J114)),'Match Log'!$N$4:$N$311),NA()))</f>
        <v>1138.6979021359832</v>
      </c>
      <c r="T114">
        <f>IF($J114&gt;MAX('Match Log'!$A$4:$A$311),NA(),IFERROR(LOOKUP(2,1/(('Match Log'!$D$4:$D$311=$T$24)*('Match Log'!$A$4:$A$311&lt;=$J114)),'Match Log'!$N$4:$N$311),NA()))</f>
        <v>907.72888112716782</v>
      </c>
      <c r="U114">
        <f>IF($J114&gt;MAX('Match Log'!$A$4:$A$311),NA(),IFERROR(LOOKUP(2,1/(('Match Log'!$D$4:$D$311=$U$24)*('Match Log'!$A$4:$A$311&lt;=$J114)),'Match Log'!$N$4:$N$311),NA()))</f>
        <v>1029.1852331048335</v>
      </c>
      <c r="V114">
        <f>IF($J114&gt;MAX('Match Log'!$A$4:$A$311),NA(),IFERROR(LOOKUP(2,1/(('Match Log'!$D$4:$D$311=$V$24)*('Match Log'!$A$4:$A$311&lt;=$J114)),'Match Log'!$N$4:$N$311),NA()))</f>
        <v>1039.5415973556721</v>
      </c>
      <c r="W114">
        <f>IF($J114&gt;MAX('Match Log'!$A$4:$A$311),NA(),IFERROR(LOOKUP(2,1/(('Match Log'!$D$4:$D$311=$W$24)*('Match Log'!$A$4:$A$311&lt;=$J114)),'Match Log'!$N$4:$N$311),NA()))</f>
        <v>1038.5016461247724</v>
      </c>
      <c r="X114" t="e">
        <f>IF($J114&gt;MAX('Match Log'!$A$4:$A$311),NA(),IFERROR(LOOKUP(2,1/(('Match Log'!$D$4:$D$311=$X$24)*('Match Log'!$A$4:$A$311&lt;=$J114)),'Match Log'!$N$4:$N$311),NA()))</f>
        <v>#N/A</v>
      </c>
      <c r="Y114" t="str">
        <f t="shared" ca="1" si="24"/>
        <v/>
      </c>
    </row>
    <row r="115" spans="1:25" ht="15" customHeight="1" x14ac:dyDescent="0.2">
      <c r="A115">
        <v>91</v>
      </c>
      <c r="B115" s="132">
        <f>IFERROR(INDEX('Match Log'!$B$4:$B$311,MATCH(91,'Match Log'!$A$4:$A$311,0)),"")</f>
        <v>46188</v>
      </c>
      <c r="C115" t="str">
        <f>IFERROR(INDEX('Match Log'!$C$4:$C$311,MATCH(91,'Match Log'!$A$4:$A$311,0)),"")</f>
        <v>Table Tennis</v>
      </c>
      <c r="D115" t="str">
        <f>IFERROR(INDEX('Match Log'!$G$4:$G$311,MATCH(91,'Match Log'!$A$4:$A$311,0)),"")</f>
        <v>Oscar</v>
      </c>
      <c r="E115" s="133">
        <f>IFERROR(INDEX('Match Log'!$F$4:$F$311,MATCH(91,'Match Log'!$A$4:$A$311,0)),"")</f>
        <v>2</v>
      </c>
      <c r="F115">
        <f>IFERROR(SUMIFS('Match Log'!$I$4:$I$311,'Match Log'!$A$4:$A$311,91,'Match Log'!$E$4:$E$311,"Win"),"")</f>
        <v>0.54545454545454541</v>
      </c>
      <c r="G115">
        <f t="shared" si="22"/>
        <v>-9.0909090909090828E-2</v>
      </c>
      <c r="H115" t="str">
        <f>IFERROR(IF($E115=2,LOOKUP(2,1/(('Match Log'!$A$4:$A$311=91)*('Match Log'!$E$4:$E$311="Loss")),'Match Log'!$D$4:$D$311),"the field"),"")</f>
        <v>Simon</v>
      </c>
      <c r="I115">
        <f t="shared" si="23"/>
        <v>-9.1000090909090822E-2</v>
      </c>
      <c r="J115">
        <v>91</v>
      </c>
      <c r="K115">
        <f>IF($J115&gt;MAX('Match Log'!$A$4:$A$311),NA(),IFERROR(LOOKUP(2,1/(('Match Log'!$D$4:$D$311=$K$24)*('Match Log'!$A$4:$A$311&lt;=$J115)),'Match Log'!$N$4:$N$311),NA()))</f>
        <v>1071.6001753974281</v>
      </c>
      <c r="L115">
        <f>IF($J115&gt;MAX('Match Log'!$A$4:$A$311),NA(),IFERROR(LOOKUP(2,1/(('Match Log'!$D$4:$D$311=$L$24)*('Match Log'!$A$4:$A$311&lt;=$J115)),'Match Log'!$N$4:$N$311),NA()))</f>
        <v>1068.233898610468</v>
      </c>
      <c r="M115">
        <f>IF($J115&gt;MAX('Match Log'!$A$4:$A$311),NA(),IFERROR(LOOKUP(2,1/(('Match Log'!$D$4:$D$311=$M$24)*('Match Log'!$A$4:$A$311&lt;=$J115)),'Match Log'!$N$4:$N$311),NA()))</f>
        <v>1017.3466608720325</v>
      </c>
      <c r="N115">
        <f>IF($J115&gt;MAX('Match Log'!$A$4:$A$311),NA(),IFERROR(LOOKUP(2,1/(('Match Log'!$D$4:$D$311=$N$24)*('Match Log'!$A$4:$A$311&lt;=$J115)),'Match Log'!$N$4:$N$311),NA()))</f>
        <v>990.8737469852914</v>
      </c>
      <c r="O115">
        <f>IF($J115&gt;MAX('Match Log'!$A$4:$A$311),NA(),IFERROR(LOOKUP(2,1/(('Match Log'!$D$4:$D$311=$O$24)*('Match Log'!$A$4:$A$311&lt;=$J115)),'Match Log'!$N$4:$N$311),NA()))</f>
        <v>1174.6803700391565</v>
      </c>
      <c r="P115">
        <f>IF($J115&gt;MAX('Match Log'!$A$4:$A$311),NA(),IFERROR(LOOKUP(2,1/(('Match Log'!$D$4:$D$311=$P$24)*('Match Log'!$A$4:$A$311&lt;=$J115)),'Match Log'!$N$4:$N$311),NA()))</f>
        <v>1028.3932691642283</v>
      </c>
      <c r="Q115">
        <f>IF($J115&gt;MAX('Match Log'!$A$4:$A$311),NA(),IFERROR(LOOKUP(2,1/(('Match Log'!$D$4:$D$311=$Q$24)*('Match Log'!$A$4:$A$311&lt;=$J115)),'Match Log'!$N$4:$N$311),NA()))</f>
        <v>1122.6988335266346</v>
      </c>
      <c r="R115">
        <f>IF($J115&gt;MAX('Match Log'!$A$4:$A$311),NA(),IFERROR(LOOKUP(2,1/(('Match Log'!$D$4:$D$311=$R$24)*('Match Log'!$A$4:$A$311&lt;=$J115)),'Match Log'!$N$4:$N$311),NA()))</f>
        <v>1101.8505684280676</v>
      </c>
      <c r="S115">
        <f>IF($J115&gt;MAX('Match Log'!$A$4:$A$311),NA(),IFERROR(LOOKUP(2,1/(('Match Log'!$D$4:$D$311=$S$24)*('Match Log'!$A$4:$A$311&lt;=$J115)),'Match Log'!$N$4:$N$311),NA()))</f>
        <v>1138.6979021359832</v>
      </c>
      <c r="T115">
        <f>IF($J115&gt;MAX('Match Log'!$A$4:$A$311),NA(),IFERROR(LOOKUP(2,1/(('Match Log'!$D$4:$D$311=$T$24)*('Match Log'!$A$4:$A$311&lt;=$J115)),'Match Log'!$N$4:$N$311),NA()))</f>
        <v>907.72888112716782</v>
      </c>
      <c r="U115">
        <f>IF($J115&gt;MAX('Match Log'!$A$4:$A$311),NA(),IFERROR(LOOKUP(2,1/(('Match Log'!$D$4:$D$311=$U$24)*('Match Log'!$A$4:$A$311&lt;=$J115)),'Match Log'!$N$4:$N$311),NA()))</f>
        <v>1055.8524502330974</v>
      </c>
      <c r="V115">
        <f>IF($J115&gt;MAX('Match Log'!$A$4:$A$311),NA(),IFERROR(LOOKUP(2,1/(('Match Log'!$D$4:$D$311=$V$24)*('Match Log'!$A$4:$A$311&lt;=$J115)),'Match Log'!$N$4:$N$311),NA()))</f>
        <v>1039.5415973556721</v>
      </c>
      <c r="W115">
        <f>IF($J115&gt;MAX('Match Log'!$A$4:$A$311),NA(),IFERROR(LOOKUP(2,1/(('Match Log'!$D$4:$D$311=$W$24)*('Match Log'!$A$4:$A$311&lt;=$J115)),'Match Log'!$N$4:$N$311),NA()))</f>
        <v>1038.5016461247724</v>
      </c>
      <c r="X115" t="e">
        <f>IF($J115&gt;MAX('Match Log'!$A$4:$A$311),NA(),IFERROR(LOOKUP(2,1/(('Match Log'!$D$4:$D$311=$X$24)*('Match Log'!$A$4:$A$311&lt;=$J115)),'Match Log'!$N$4:$N$311),NA()))</f>
        <v>#N/A</v>
      </c>
      <c r="Y115" t="str">
        <f t="shared" ca="1" si="24"/>
        <v/>
      </c>
    </row>
    <row r="116" spans="1:25" ht="15" customHeight="1" x14ac:dyDescent="0.2">
      <c r="A116">
        <v>92</v>
      </c>
      <c r="B116" s="132">
        <f>IFERROR(INDEX('Match Log'!$B$4:$B$311,MATCH(92,'Match Log'!$A$4:$A$311,0)),"")</f>
        <v>46188</v>
      </c>
      <c r="C116" t="str">
        <f>IFERROR(INDEX('Match Log'!$C$4:$C$311,MATCH(92,'Match Log'!$A$4:$A$311,0)),"")</f>
        <v>Table Tennis</v>
      </c>
      <c r="D116" t="str">
        <f>IFERROR(INDEX('Match Log'!$G$4:$G$311,MATCH(92,'Match Log'!$A$4:$A$311,0)),"")</f>
        <v>Oscar</v>
      </c>
      <c r="E116" s="133">
        <f>IFERROR(INDEX('Match Log'!$F$4:$F$311,MATCH(92,'Match Log'!$A$4:$A$311,0)),"")</f>
        <v>2</v>
      </c>
      <c r="F116">
        <f>IFERROR(SUMIFS('Match Log'!$I$4:$I$311,'Match Log'!$A$4:$A$311,92,'Match Log'!$E$4:$E$311,"Win"),"")</f>
        <v>0.64516129032258063</v>
      </c>
      <c r="G116">
        <f t="shared" si="22"/>
        <v>-0.29032258064516125</v>
      </c>
      <c r="H116" t="str">
        <f>IFERROR(IF($E116=2,LOOKUP(2,1/(('Match Log'!$A$4:$A$311=92)*('Match Log'!$E$4:$E$311="Loss")),'Match Log'!$D$4:$D$311),"the field"),"")</f>
        <v>Simon</v>
      </c>
      <c r="I116">
        <f t="shared" si="23"/>
        <v>-0.29041458064516124</v>
      </c>
      <c r="J116">
        <v>92</v>
      </c>
      <c r="K116">
        <f>IF($J116&gt;MAX('Match Log'!$A$4:$A$311),NA(),IFERROR(LOOKUP(2,1/(('Match Log'!$D$4:$D$311=$K$24)*('Match Log'!$A$4:$A$311&lt;=$J116)),'Match Log'!$N$4:$N$311),NA()))</f>
        <v>1071.6001753974281</v>
      </c>
      <c r="L116">
        <f>IF($J116&gt;MAX('Match Log'!$A$4:$A$311),NA(),IFERROR(LOOKUP(2,1/(('Match Log'!$D$4:$D$311=$L$24)*('Match Log'!$A$4:$A$311&lt;=$J116)),'Match Log'!$N$4:$N$311),NA()))</f>
        <v>1068.233898610468</v>
      </c>
      <c r="M116">
        <f>IF($J116&gt;MAX('Match Log'!$A$4:$A$311),NA(),IFERROR(LOOKUP(2,1/(('Match Log'!$D$4:$D$311=$M$24)*('Match Log'!$A$4:$A$311&lt;=$J116)),'Match Log'!$N$4:$N$311),NA()))</f>
        <v>1017.3466608720325</v>
      </c>
      <c r="N116">
        <f>IF($J116&gt;MAX('Match Log'!$A$4:$A$311),NA(),IFERROR(LOOKUP(2,1/(('Match Log'!$D$4:$D$311=$N$24)*('Match Log'!$A$4:$A$311&lt;=$J116)),'Match Log'!$N$4:$N$311),NA()))</f>
        <v>990.8737469852914</v>
      </c>
      <c r="O116">
        <f>IF($J116&gt;MAX('Match Log'!$A$4:$A$311),NA(),IFERROR(LOOKUP(2,1/(('Match Log'!$D$4:$D$311=$O$24)*('Match Log'!$A$4:$A$311&lt;=$J116)),'Match Log'!$N$4:$N$311),NA()))</f>
        <v>1174.6803700391565</v>
      </c>
      <c r="P116">
        <f>IF($J116&gt;MAX('Match Log'!$A$4:$A$311),NA(),IFERROR(LOOKUP(2,1/(('Match Log'!$D$4:$D$311=$P$24)*('Match Log'!$A$4:$A$311&lt;=$J116)),'Match Log'!$N$4:$N$311),NA()))</f>
        <v>1028.3932691642283</v>
      </c>
      <c r="Q116">
        <f>IF($J116&gt;MAX('Match Log'!$A$4:$A$311),NA(),IFERROR(LOOKUP(2,1/(('Match Log'!$D$4:$D$311=$Q$24)*('Match Log'!$A$4:$A$311&lt;=$J116)),'Match Log'!$N$4:$N$311),NA()))</f>
        <v>1099.9035033078371</v>
      </c>
      <c r="R116">
        <f>IF($J116&gt;MAX('Match Log'!$A$4:$A$311),NA(),IFERROR(LOOKUP(2,1/(('Match Log'!$D$4:$D$311=$R$24)*('Match Log'!$A$4:$A$311&lt;=$J116)),'Match Log'!$N$4:$N$311),NA()))</f>
        <v>1101.8505684280676</v>
      </c>
      <c r="S116">
        <f>IF($J116&gt;MAX('Match Log'!$A$4:$A$311),NA(),IFERROR(LOOKUP(2,1/(('Match Log'!$D$4:$D$311=$S$24)*('Match Log'!$A$4:$A$311&lt;=$J116)),'Match Log'!$N$4:$N$311),NA()))</f>
        <v>1138.6979021359832</v>
      </c>
      <c r="T116">
        <f>IF($J116&gt;MAX('Match Log'!$A$4:$A$311),NA(),IFERROR(LOOKUP(2,1/(('Match Log'!$D$4:$D$311=$T$24)*('Match Log'!$A$4:$A$311&lt;=$J116)),'Match Log'!$N$4:$N$311),NA()))</f>
        <v>907.72888112716782</v>
      </c>
      <c r="U116">
        <f>IF($J116&gt;MAX('Match Log'!$A$4:$A$311),NA(),IFERROR(LOOKUP(2,1/(('Match Log'!$D$4:$D$311=$U$24)*('Match Log'!$A$4:$A$311&lt;=$J116)),'Match Log'!$N$4:$N$311),NA()))</f>
        <v>1078.647780451895</v>
      </c>
      <c r="V116">
        <f>IF($J116&gt;MAX('Match Log'!$A$4:$A$311),NA(),IFERROR(LOOKUP(2,1/(('Match Log'!$D$4:$D$311=$V$24)*('Match Log'!$A$4:$A$311&lt;=$J116)),'Match Log'!$N$4:$N$311),NA()))</f>
        <v>1039.5415973556721</v>
      </c>
      <c r="W116">
        <f>IF($J116&gt;MAX('Match Log'!$A$4:$A$311),NA(),IFERROR(LOOKUP(2,1/(('Match Log'!$D$4:$D$311=$W$24)*('Match Log'!$A$4:$A$311&lt;=$J116)),'Match Log'!$N$4:$N$311),NA()))</f>
        <v>1038.5016461247724</v>
      </c>
      <c r="X116" t="e">
        <f>IF($J116&gt;MAX('Match Log'!$A$4:$A$311),NA(),IFERROR(LOOKUP(2,1/(('Match Log'!$D$4:$D$311=$X$24)*('Match Log'!$A$4:$A$311&lt;=$J116)),'Match Log'!$N$4:$N$311),NA()))</f>
        <v>#N/A</v>
      </c>
      <c r="Y116" t="str">
        <f t="shared" ca="1" si="24"/>
        <v/>
      </c>
    </row>
    <row r="117" spans="1:25" ht="15" customHeight="1" x14ac:dyDescent="0.2">
      <c r="A117">
        <v>93</v>
      </c>
      <c r="B117" s="132">
        <f>IFERROR(INDEX('Match Log'!$B$4:$B$311,MATCH(93,'Match Log'!$A$4:$A$311,0)),"")</f>
        <v>46188</v>
      </c>
      <c r="C117" t="str">
        <f>IFERROR(INDEX('Match Log'!$C$4:$C$311,MATCH(93,'Match Log'!$A$4:$A$311,0)),"")</f>
        <v>Table Tennis</v>
      </c>
      <c r="D117" t="str">
        <f>IFERROR(INDEX('Match Log'!$G$4:$G$311,MATCH(93,'Match Log'!$A$4:$A$311,0)),"")</f>
        <v>Oscar</v>
      </c>
      <c r="E117" s="133">
        <f>IFERROR(INDEX('Match Log'!$F$4:$F$311,MATCH(93,'Match Log'!$A$4:$A$311,0)),"")</f>
        <v>2</v>
      </c>
      <c r="F117">
        <f>IFERROR(SUMIFS('Match Log'!$I$4:$I$311,'Match Log'!$A$4:$A$311,93,'Match Log'!$E$4:$E$311,"Win"),"")</f>
        <v>0.5</v>
      </c>
      <c r="G117">
        <f t="shared" si="22"/>
        <v>0</v>
      </c>
      <c r="H117" t="str">
        <f>IFERROR(IF($E117=2,LOOKUP(2,1/(('Match Log'!$A$4:$A$311=93)*('Match Log'!$E$4:$E$311="Loss")),'Match Log'!$D$4:$D$311),"the field"),"")</f>
        <v>Beau</v>
      </c>
      <c r="I117">
        <f t="shared" si="23"/>
        <v>-9.2999999999999997E-5</v>
      </c>
      <c r="J117">
        <v>93</v>
      </c>
      <c r="K117">
        <f>IF($J117&gt;MAX('Match Log'!$A$4:$A$311),NA(),IFERROR(LOOKUP(2,1/(('Match Log'!$D$4:$D$311=$K$24)*('Match Log'!$A$4:$A$311&lt;=$J117)),'Match Log'!$N$4:$N$311),NA()))</f>
        <v>1071.6001753974281</v>
      </c>
      <c r="L117">
        <f>IF($J117&gt;MAX('Match Log'!$A$4:$A$311),NA(),IFERROR(LOOKUP(2,1/(('Match Log'!$D$4:$D$311=$L$24)*('Match Log'!$A$4:$A$311&lt;=$J117)),'Match Log'!$N$4:$N$311),NA()))</f>
        <v>1044.8691565259944</v>
      </c>
      <c r="M117">
        <f>IF($J117&gt;MAX('Match Log'!$A$4:$A$311),NA(),IFERROR(LOOKUP(2,1/(('Match Log'!$D$4:$D$311=$M$24)*('Match Log'!$A$4:$A$311&lt;=$J117)),'Match Log'!$N$4:$N$311),NA()))</f>
        <v>1017.3466608720325</v>
      </c>
      <c r="N117">
        <f>IF($J117&gt;MAX('Match Log'!$A$4:$A$311),NA(),IFERROR(LOOKUP(2,1/(('Match Log'!$D$4:$D$311=$N$24)*('Match Log'!$A$4:$A$311&lt;=$J117)),'Match Log'!$N$4:$N$311),NA()))</f>
        <v>990.8737469852914</v>
      </c>
      <c r="O117">
        <f>IF($J117&gt;MAX('Match Log'!$A$4:$A$311),NA(),IFERROR(LOOKUP(2,1/(('Match Log'!$D$4:$D$311=$O$24)*('Match Log'!$A$4:$A$311&lt;=$J117)),'Match Log'!$N$4:$N$311),NA()))</f>
        <v>1174.6803700391565</v>
      </c>
      <c r="P117">
        <f>IF($J117&gt;MAX('Match Log'!$A$4:$A$311),NA(),IFERROR(LOOKUP(2,1/(('Match Log'!$D$4:$D$311=$P$24)*('Match Log'!$A$4:$A$311&lt;=$J117)),'Match Log'!$N$4:$N$311),NA()))</f>
        <v>1028.3932691642283</v>
      </c>
      <c r="Q117">
        <f>IF($J117&gt;MAX('Match Log'!$A$4:$A$311),NA(),IFERROR(LOOKUP(2,1/(('Match Log'!$D$4:$D$311=$Q$24)*('Match Log'!$A$4:$A$311&lt;=$J117)),'Match Log'!$N$4:$N$311),NA()))</f>
        <v>1099.9035033078371</v>
      </c>
      <c r="R117">
        <f>IF($J117&gt;MAX('Match Log'!$A$4:$A$311),NA(),IFERROR(LOOKUP(2,1/(('Match Log'!$D$4:$D$311=$R$24)*('Match Log'!$A$4:$A$311&lt;=$J117)),'Match Log'!$N$4:$N$311),NA()))</f>
        <v>1101.8505684280676</v>
      </c>
      <c r="S117">
        <f>IF($J117&gt;MAX('Match Log'!$A$4:$A$311),NA(),IFERROR(LOOKUP(2,1/(('Match Log'!$D$4:$D$311=$S$24)*('Match Log'!$A$4:$A$311&lt;=$J117)),'Match Log'!$N$4:$N$311),NA()))</f>
        <v>1138.6979021359832</v>
      </c>
      <c r="T117">
        <f>IF($J117&gt;MAX('Match Log'!$A$4:$A$311),NA(),IFERROR(LOOKUP(2,1/(('Match Log'!$D$4:$D$311=$T$24)*('Match Log'!$A$4:$A$311&lt;=$J117)),'Match Log'!$N$4:$N$311),NA()))</f>
        <v>907.72888112716782</v>
      </c>
      <c r="U117">
        <f>IF($J117&gt;MAX('Match Log'!$A$4:$A$311),NA(),IFERROR(LOOKUP(2,1/(('Match Log'!$D$4:$D$311=$U$24)*('Match Log'!$A$4:$A$311&lt;=$J117)),'Match Log'!$N$4:$N$311),NA()))</f>
        <v>1102.0125225363686</v>
      </c>
      <c r="V117">
        <f>IF($J117&gt;MAX('Match Log'!$A$4:$A$311),NA(),IFERROR(LOOKUP(2,1/(('Match Log'!$D$4:$D$311=$V$24)*('Match Log'!$A$4:$A$311&lt;=$J117)),'Match Log'!$N$4:$N$311),NA()))</f>
        <v>1039.5415973556721</v>
      </c>
      <c r="W117">
        <f>IF($J117&gt;MAX('Match Log'!$A$4:$A$311),NA(),IFERROR(LOOKUP(2,1/(('Match Log'!$D$4:$D$311=$W$24)*('Match Log'!$A$4:$A$311&lt;=$J117)),'Match Log'!$N$4:$N$311),NA()))</f>
        <v>1038.5016461247724</v>
      </c>
      <c r="X117" t="e">
        <f>IF($J117&gt;MAX('Match Log'!$A$4:$A$311),NA(),IFERROR(LOOKUP(2,1/(('Match Log'!$D$4:$D$311=$X$24)*('Match Log'!$A$4:$A$311&lt;=$J117)),'Match Log'!$N$4:$N$311),NA()))</f>
        <v>#N/A</v>
      </c>
      <c r="Y117" t="str">
        <f t="shared" ca="1" si="24"/>
        <v/>
      </c>
    </row>
    <row r="118" spans="1:25" ht="15" customHeight="1" x14ac:dyDescent="0.2">
      <c r="A118">
        <v>94</v>
      </c>
      <c r="B118" s="132">
        <f>IFERROR(INDEX('Match Log'!$B$4:$B$311,MATCH(94,'Match Log'!$A$4:$A$311,0)),"")</f>
        <v>46188</v>
      </c>
      <c r="C118" t="str">
        <f>IFERROR(INDEX('Match Log'!$C$4:$C$311,MATCH(94,'Match Log'!$A$4:$A$311,0)),"")</f>
        <v>Pool</v>
      </c>
      <c r="D118" t="str">
        <f>IFERROR(INDEX('Match Log'!$G$4:$G$311,MATCH(94,'Match Log'!$A$4:$A$311,0)),"")</f>
        <v>Daniel (Ferret)</v>
      </c>
      <c r="E118" s="133">
        <f>IFERROR(INDEX('Match Log'!$F$4:$F$311,MATCH(94,'Match Log'!$A$4:$A$311,0)),"")</f>
        <v>2</v>
      </c>
      <c r="F118">
        <f>IFERROR(SUMIFS('Match Log'!$I$4:$I$311,'Match Log'!$A$4:$A$311,94,'Match Log'!$E$4:$E$311,"Win"),"")</f>
        <v>0.57142857142857151</v>
      </c>
      <c r="G118">
        <f t="shared" si="22"/>
        <v>-0.14285714285714302</v>
      </c>
      <c r="H118" t="str">
        <f>IFERROR(IF($E118=2,LOOKUP(2,1/(('Match Log'!$A$4:$A$311=94)*('Match Log'!$E$4:$E$311="Loss")),'Match Log'!$D$4:$D$311),"the field"),"")</f>
        <v>Cody</v>
      </c>
      <c r="I118">
        <f t="shared" si="23"/>
        <v>-0.14295114285714303</v>
      </c>
      <c r="J118">
        <v>94</v>
      </c>
      <c r="K118">
        <f>IF($J118&gt;MAX('Match Log'!$A$4:$A$311),NA(),IFERROR(LOOKUP(2,1/(('Match Log'!$D$4:$D$311=$K$24)*('Match Log'!$A$4:$A$311&lt;=$J118)),'Match Log'!$N$4:$N$311),NA()))</f>
        <v>1071.6001753974281</v>
      </c>
      <c r="L118">
        <f>IF($J118&gt;MAX('Match Log'!$A$4:$A$311),NA(),IFERROR(LOOKUP(2,1/(('Match Log'!$D$4:$D$311=$L$24)*('Match Log'!$A$4:$A$311&lt;=$J118)),'Match Log'!$N$4:$N$311),NA()))</f>
        <v>1044.8691565259944</v>
      </c>
      <c r="M118">
        <f>IF($J118&gt;MAX('Match Log'!$A$4:$A$311),NA(),IFERROR(LOOKUP(2,1/(('Match Log'!$D$4:$D$311=$M$24)*('Match Log'!$A$4:$A$311&lt;=$J118)),'Match Log'!$N$4:$N$311),NA()))</f>
        <v>1017.3466608720325</v>
      </c>
      <c r="N118">
        <f>IF($J118&gt;MAX('Match Log'!$A$4:$A$311),NA(),IFERROR(LOOKUP(2,1/(('Match Log'!$D$4:$D$311=$N$24)*('Match Log'!$A$4:$A$311&lt;=$J118)),'Match Log'!$N$4:$N$311),NA()))</f>
        <v>990.8737469852914</v>
      </c>
      <c r="O118">
        <f>IF($J118&gt;MAX('Match Log'!$A$4:$A$311),NA(),IFERROR(LOOKUP(2,1/(('Match Log'!$D$4:$D$311=$O$24)*('Match Log'!$A$4:$A$311&lt;=$J118)),'Match Log'!$N$4:$N$311),NA()))</f>
        <v>1174.6803700391565</v>
      </c>
      <c r="P118">
        <f>IF($J118&gt;MAX('Match Log'!$A$4:$A$311),NA(),IFERROR(LOOKUP(2,1/(('Match Log'!$D$4:$D$311=$P$24)*('Match Log'!$A$4:$A$311&lt;=$J118)),'Match Log'!$N$4:$N$311),NA()))</f>
        <v>1028.3932691642283</v>
      </c>
      <c r="Q118">
        <f>IF($J118&gt;MAX('Match Log'!$A$4:$A$311),NA(),IFERROR(LOOKUP(2,1/(('Match Log'!$D$4:$D$311=$Q$24)*('Match Log'!$A$4:$A$311&lt;=$J118)),'Match Log'!$N$4:$N$311),NA()))</f>
        <v>1099.9035033078371</v>
      </c>
      <c r="R118">
        <f>IF($J118&gt;MAX('Match Log'!$A$4:$A$311),NA(),IFERROR(LOOKUP(2,1/(('Match Log'!$D$4:$D$311=$R$24)*('Match Log'!$A$4:$A$311&lt;=$J118)),'Match Log'!$N$4:$N$311),NA()))</f>
        <v>1115.3722634859373</v>
      </c>
      <c r="S118">
        <f>IF($J118&gt;MAX('Match Log'!$A$4:$A$311),NA(),IFERROR(LOOKUP(2,1/(('Match Log'!$D$4:$D$311=$S$24)*('Match Log'!$A$4:$A$311&lt;=$J118)),'Match Log'!$N$4:$N$311),NA()))</f>
        <v>1138.6979021359832</v>
      </c>
      <c r="T118">
        <f>IF($J118&gt;MAX('Match Log'!$A$4:$A$311),NA(),IFERROR(LOOKUP(2,1/(('Match Log'!$D$4:$D$311=$T$24)*('Match Log'!$A$4:$A$311&lt;=$J118)),'Match Log'!$N$4:$N$311),NA()))</f>
        <v>894.20718606929802</v>
      </c>
      <c r="U118">
        <f>IF($J118&gt;MAX('Match Log'!$A$4:$A$311),NA(),IFERROR(LOOKUP(2,1/(('Match Log'!$D$4:$D$311=$U$24)*('Match Log'!$A$4:$A$311&lt;=$J118)),'Match Log'!$N$4:$N$311),NA()))</f>
        <v>1102.0125225363686</v>
      </c>
      <c r="V118">
        <f>IF($J118&gt;MAX('Match Log'!$A$4:$A$311),NA(),IFERROR(LOOKUP(2,1/(('Match Log'!$D$4:$D$311=$V$24)*('Match Log'!$A$4:$A$311&lt;=$J118)),'Match Log'!$N$4:$N$311),NA()))</f>
        <v>1039.5415973556721</v>
      </c>
      <c r="W118">
        <f>IF($J118&gt;MAX('Match Log'!$A$4:$A$311),NA(),IFERROR(LOOKUP(2,1/(('Match Log'!$D$4:$D$311=$W$24)*('Match Log'!$A$4:$A$311&lt;=$J118)),'Match Log'!$N$4:$N$311),NA()))</f>
        <v>1038.5016461247724</v>
      </c>
      <c r="X118" t="e">
        <f>IF($J118&gt;MAX('Match Log'!$A$4:$A$311),NA(),IFERROR(LOOKUP(2,1/(('Match Log'!$D$4:$D$311=$X$24)*('Match Log'!$A$4:$A$311&lt;=$J118)),'Match Log'!$N$4:$N$311),NA()))</f>
        <v>#N/A</v>
      </c>
      <c r="Y118" t="str">
        <f t="shared" ca="1" si="24"/>
        <v/>
      </c>
    </row>
    <row r="119" spans="1:25" ht="15" customHeight="1" x14ac:dyDescent="0.2">
      <c r="A119">
        <v>95</v>
      </c>
      <c r="B119" s="132">
        <f>IFERROR(INDEX('Match Log'!$B$4:$B$311,MATCH(95,'Match Log'!$A$4:$A$311,0)),"")</f>
        <v>46189</v>
      </c>
      <c r="C119" t="str">
        <f>IFERROR(INDEX('Match Log'!$C$4:$C$311,MATCH(95,'Match Log'!$A$4:$A$311,0)),"")</f>
        <v>Mario Party</v>
      </c>
      <c r="D119" t="str">
        <f>IFERROR(INDEX('Match Log'!$G$4:$G$311,MATCH(95,'Match Log'!$A$4:$A$311,0)),"")</f>
        <v>Daniel (Ferret)</v>
      </c>
      <c r="E119" s="133">
        <f>IFERROR(INDEX('Match Log'!$F$4:$F$311,MATCH(95,'Match Log'!$A$4:$A$311,0)),"")</f>
        <v>3</v>
      </c>
      <c r="F119">
        <f>IFERROR(SUMIFS('Match Log'!$I$4:$I$311,'Match Log'!$A$4:$A$311,95,'Match Log'!$E$4:$E$311,"Win"),"")</f>
        <v>0.5</v>
      </c>
      <c r="G119">
        <f t="shared" si="22"/>
        <v>-0.5</v>
      </c>
      <c r="H119" t="str">
        <f>IFERROR(IF($E119=2,LOOKUP(2,1/(('Match Log'!$A$4:$A$311=95)*('Match Log'!$E$4:$E$311="Loss")),'Match Log'!$D$4:$D$311),"the field"),"")</f>
        <v>the field</v>
      </c>
      <c r="I119">
        <f t="shared" si="23"/>
        <v>-0.50009499999999996</v>
      </c>
      <c r="J119">
        <v>95</v>
      </c>
      <c r="K119">
        <f>IF($J119&gt;MAX('Match Log'!$A$4:$A$311),NA(),IFERROR(LOOKUP(2,1/(('Match Log'!$D$4:$D$311=$K$24)*('Match Log'!$A$4:$A$311&lt;=$J119)),'Match Log'!$N$4:$N$311),NA()))</f>
        <v>1071.6001753974281</v>
      </c>
      <c r="L119">
        <f>IF($J119&gt;MAX('Match Log'!$A$4:$A$311),NA(),IFERROR(LOOKUP(2,1/(('Match Log'!$D$4:$D$311=$L$24)*('Match Log'!$A$4:$A$311&lt;=$J119)),'Match Log'!$N$4:$N$311),NA()))</f>
        <v>1044.8691565259944</v>
      </c>
      <c r="M119">
        <f>IF($J119&gt;MAX('Match Log'!$A$4:$A$311),NA(),IFERROR(LOOKUP(2,1/(('Match Log'!$D$4:$D$311=$M$24)*('Match Log'!$A$4:$A$311&lt;=$J119)),'Match Log'!$N$4:$N$311),NA()))</f>
        <v>1017.3466608720325</v>
      </c>
      <c r="N119">
        <f>IF($J119&gt;MAX('Match Log'!$A$4:$A$311),NA(),IFERROR(LOOKUP(2,1/(('Match Log'!$D$4:$D$311=$N$24)*('Match Log'!$A$4:$A$311&lt;=$J119)),'Match Log'!$N$4:$N$311),NA()))</f>
        <v>990.8737469852914</v>
      </c>
      <c r="O119">
        <f>IF($J119&gt;MAX('Match Log'!$A$4:$A$311),NA(),IFERROR(LOOKUP(2,1/(('Match Log'!$D$4:$D$311=$O$24)*('Match Log'!$A$4:$A$311&lt;=$J119)),'Match Log'!$N$4:$N$311),NA()))</f>
        <v>1174.6803700391565</v>
      </c>
      <c r="P119">
        <f>IF($J119&gt;MAX('Match Log'!$A$4:$A$311),NA(),IFERROR(LOOKUP(2,1/(('Match Log'!$D$4:$D$311=$P$24)*('Match Log'!$A$4:$A$311&lt;=$J119)),'Match Log'!$N$4:$N$311),NA()))</f>
        <v>1022.1264377869081</v>
      </c>
      <c r="Q119">
        <f>IF($J119&gt;MAX('Match Log'!$A$4:$A$311),NA(),IFERROR(LOOKUP(2,1/(('Match Log'!$D$4:$D$311=$Q$24)*('Match Log'!$A$4:$A$311&lt;=$J119)),'Match Log'!$N$4:$N$311),NA()))</f>
        <v>1099.9035033078371</v>
      </c>
      <c r="R119">
        <f>IF($J119&gt;MAX('Match Log'!$A$4:$A$311),NA(),IFERROR(LOOKUP(2,1/(('Match Log'!$D$4:$D$311=$R$24)*('Match Log'!$A$4:$A$311&lt;=$J119)),'Match Log'!$N$4:$N$311),NA()))</f>
        <v>1141.2908621485974</v>
      </c>
      <c r="S119">
        <f>IF($J119&gt;MAX('Match Log'!$A$4:$A$311),NA(),IFERROR(LOOKUP(2,1/(('Match Log'!$D$4:$D$311=$S$24)*('Match Log'!$A$4:$A$311&lt;=$J119)),'Match Log'!$N$4:$N$311),NA()))</f>
        <v>1138.6979021359832</v>
      </c>
      <c r="T119">
        <f>IF($J119&gt;MAX('Match Log'!$A$4:$A$311),NA(),IFERROR(LOOKUP(2,1/(('Match Log'!$D$4:$D$311=$T$24)*('Match Log'!$A$4:$A$311&lt;=$J119)),'Match Log'!$N$4:$N$311),NA()))</f>
        <v>894.20718606929802</v>
      </c>
      <c r="U119">
        <f>IF($J119&gt;MAX('Match Log'!$A$4:$A$311),NA(),IFERROR(LOOKUP(2,1/(('Match Log'!$D$4:$D$311=$U$24)*('Match Log'!$A$4:$A$311&lt;=$J119)),'Match Log'!$N$4:$N$311),NA()))</f>
        <v>1094.3607552510286</v>
      </c>
      <c r="V119">
        <f>IF($J119&gt;MAX('Match Log'!$A$4:$A$311),NA(),IFERROR(LOOKUP(2,1/(('Match Log'!$D$4:$D$311=$V$24)*('Match Log'!$A$4:$A$311&lt;=$J119)),'Match Log'!$N$4:$N$311),NA()))</f>
        <v>1039.5415973556721</v>
      </c>
      <c r="W119">
        <f>IF($J119&gt;MAX('Match Log'!$A$4:$A$311),NA(),IFERROR(LOOKUP(2,1/(('Match Log'!$D$4:$D$311=$W$24)*('Match Log'!$A$4:$A$311&lt;=$J119)),'Match Log'!$N$4:$N$311),NA()))</f>
        <v>1038.5016461247724</v>
      </c>
      <c r="X119" t="e">
        <f>IF($J119&gt;MAX('Match Log'!$A$4:$A$311),NA(),IFERROR(LOOKUP(2,1/(('Match Log'!$D$4:$D$311=$X$24)*('Match Log'!$A$4:$A$311&lt;=$J119)),'Match Log'!$N$4:$N$311),NA()))</f>
        <v>#N/A</v>
      </c>
      <c r="Y119" t="str">
        <f t="shared" ca="1" si="24"/>
        <v/>
      </c>
    </row>
    <row r="120" spans="1:25" ht="15" customHeight="1" x14ac:dyDescent="0.2">
      <c r="A120">
        <v>96</v>
      </c>
      <c r="B120" s="132">
        <f>IFERROR(INDEX('Match Log'!$B$4:$B$311,MATCH(96,'Match Log'!$A$4:$A$311,0)),"")</f>
        <v>46189</v>
      </c>
      <c r="C120" t="str">
        <f>IFERROR(INDEX('Match Log'!$C$4:$C$311,MATCH(96,'Match Log'!$A$4:$A$311,0)),"")</f>
        <v>Pool</v>
      </c>
      <c r="D120" t="str">
        <f>IFERROR(INDEX('Match Log'!$G$4:$G$311,MATCH(96,'Match Log'!$A$4:$A$311,0)),"")</f>
        <v>Dean B</v>
      </c>
      <c r="E120" s="133">
        <f>IFERROR(INDEX('Match Log'!$F$4:$F$311,MATCH(96,'Match Log'!$A$4:$A$311,0)),"")</f>
        <v>2</v>
      </c>
      <c r="F120">
        <f>IFERROR(SUMIFS('Match Log'!$I$4:$I$311,'Match Log'!$A$4:$A$311,96,'Match Log'!$E$4:$E$311,"Win"),"")</f>
        <v>0.33333333333333331</v>
      </c>
      <c r="G120">
        <f t="shared" si="22"/>
        <v>0.33333333333333337</v>
      </c>
      <c r="H120" t="str">
        <f>IFERROR(IF($E120=2,LOOKUP(2,1/(('Match Log'!$A$4:$A$311=96)*('Match Log'!$E$4:$E$311="Loss")),'Match Log'!$D$4:$D$311),"the field"),"")</f>
        <v>Daniel (Ferret)</v>
      </c>
      <c r="I120">
        <f t="shared" si="23"/>
        <v>0.33323733333333339</v>
      </c>
      <c r="J120">
        <v>96</v>
      </c>
      <c r="K120">
        <f>IF($J120&gt;MAX('Match Log'!$A$4:$A$311),NA(),IFERROR(LOOKUP(2,1/(('Match Log'!$D$4:$D$311=$K$24)*('Match Log'!$A$4:$A$311&lt;=$J120)),'Match Log'!$N$4:$N$311),NA()))</f>
        <v>1071.6001753974281</v>
      </c>
      <c r="L120">
        <f>IF($J120&gt;MAX('Match Log'!$A$4:$A$311),NA(),IFERROR(LOOKUP(2,1/(('Match Log'!$D$4:$D$311=$L$24)*('Match Log'!$A$4:$A$311&lt;=$J120)),'Match Log'!$N$4:$N$311),NA()))</f>
        <v>1044.8691565259944</v>
      </c>
      <c r="M120">
        <f>IF($J120&gt;MAX('Match Log'!$A$4:$A$311),NA(),IFERROR(LOOKUP(2,1/(('Match Log'!$D$4:$D$311=$M$24)*('Match Log'!$A$4:$A$311&lt;=$J120)),'Match Log'!$N$4:$N$311),NA()))</f>
        <v>1017.3466608720325</v>
      </c>
      <c r="N120">
        <f>IF($J120&gt;MAX('Match Log'!$A$4:$A$311),NA(),IFERROR(LOOKUP(2,1/(('Match Log'!$D$4:$D$311=$N$24)*('Match Log'!$A$4:$A$311&lt;=$J120)),'Match Log'!$N$4:$N$311),NA()))</f>
        <v>990.8737469852914</v>
      </c>
      <c r="O120">
        <f>IF($J120&gt;MAX('Match Log'!$A$4:$A$311),NA(),IFERROR(LOOKUP(2,1/(('Match Log'!$D$4:$D$311=$O$24)*('Match Log'!$A$4:$A$311&lt;=$J120)),'Match Log'!$N$4:$N$311),NA()))</f>
        <v>1174.6803700391565</v>
      </c>
      <c r="P120">
        <f>IF($J120&gt;MAX('Match Log'!$A$4:$A$311),NA(),IFERROR(LOOKUP(2,1/(('Match Log'!$D$4:$D$311=$P$24)*('Match Log'!$A$4:$A$311&lt;=$J120)),'Match Log'!$N$4:$N$311),NA()))</f>
        <v>1022.1264377869081</v>
      </c>
      <c r="Q120">
        <f>IF($J120&gt;MAX('Match Log'!$A$4:$A$311),NA(),IFERROR(LOOKUP(2,1/(('Match Log'!$D$4:$D$311=$Q$24)*('Match Log'!$A$4:$A$311&lt;=$J120)),'Match Log'!$N$4:$N$311),NA()))</f>
        <v>1099.9035033078371</v>
      </c>
      <c r="R120">
        <f>IF($J120&gt;MAX('Match Log'!$A$4:$A$311),NA(),IFERROR(LOOKUP(2,1/(('Match Log'!$D$4:$D$311=$R$24)*('Match Log'!$A$4:$A$311&lt;=$J120)),'Match Log'!$N$4:$N$311),NA()))</f>
        <v>1114.2754825517572</v>
      </c>
      <c r="S120">
        <f>IF($J120&gt;MAX('Match Log'!$A$4:$A$311),NA(),IFERROR(LOOKUP(2,1/(('Match Log'!$D$4:$D$311=$S$24)*('Match Log'!$A$4:$A$311&lt;=$J120)),'Match Log'!$N$4:$N$311),NA()))</f>
        <v>1165.7132817328234</v>
      </c>
      <c r="T120">
        <f>IF($J120&gt;MAX('Match Log'!$A$4:$A$311),NA(),IFERROR(LOOKUP(2,1/(('Match Log'!$D$4:$D$311=$T$24)*('Match Log'!$A$4:$A$311&lt;=$J120)),'Match Log'!$N$4:$N$311),NA()))</f>
        <v>894.20718606929802</v>
      </c>
      <c r="U120">
        <f>IF($J120&gt;MAX('Match Log'!$A$4:$A$311),NA(),IFERROR(LOOKUP(2,1/(('Match Log'!$D$4:$D$311=$U$24)*('Match Log'!$A$4:$A$311&lt;=$J120)),'Match Log'!$N$4:$N$311),NA()))</f>
        <v>1094.3607552510286</v>
      </c>
      <c r="V120">
        <f>IF($J120&gt;MAX('Match Log'!$A$4:$A$311),NA(),IFERROR(LOOKUP(2,1/(('Match Log'!$D$4:$D$311=$V$24)*('Match Log'!$A$4:$A$311&lt;=$J120)),'Match Log'!$N$4:$N$311),NA()))</f>
        <v>1039.5415973556721</v>
      </c>
      <c r="W120">
        <f>IF($J120&gt;MAX('Match Log'!$A$4:$A$311),NA(),IFERROR(LOOKUP(2,1/(('Match Log'!$D$4:$D$311=$W$24)*('Match Log'!$A$4:$A$311&lt;=$J120)),'Match Log'!$N$4:$N$311),NA()))</f>
        <v>1038.5016461247724</v>
      </c>
      <c r="X120" t="e">
        <f>IF($J120&gt;MAX('Match Log'!$A$4:$A$311),NA(),IFERROR(LOOKUP(2,1/(('Match Log'!$D$4:$D$311=$X$24)*('Match Log'!$A$4:$A$311&lt;=$J120)),'Match Log'!$N$4:$N$311),NA()))</f>
        <v>#N/A</v>
      </c>
      <c r="Y120" t="str">
        <f t="shared" ca="1" si="24"/>
        <v/>
      </c>
    </row>
    <row r="121" spans="1:25" ht="15" customHeight="1" x14ac:dyDescent="0.2">
      <c r="A121">
        <v>97</v>
      </c>
      <c r="B121" s="132">
        <f>IFERROR(INDEX('Match Log'!$B$4:$B$311,MATCH(97,'Match Log'!$A$4:$A$311,0)),"")</f>
        <v>46189</v>
      </c>
      <c r="C121" t="str">
        <f>IFERROR(INDEX('Match Log'!$C$4:$C$311,MATCH(97,'Match Log'!$A$4:$A$311,0)),"")</f>
        <v>Pool</v>
      </c>
      <c r="D121" t="str">
        <f>IFERROR(INDEX('Match Log'!$G$4:$G$311,MATCH(97,'Match Log'!$A$4:$A$311,0)),"")</f>
        <v>Dean B</v>
      </c>
      <c r="E121" s="133">
        <f>IFERROR(INDEX('Match Log'!$F$4:$F$311,MATCH(97,'Match Log'!$A$4:$A$311,0)),"")</f>
        <v>2</v>
      </c>
      <c r="F121">
        <f>IFERROR(SUMIFS('Match Log'!$I$4:$I$311,'Match Log'!$A$4:$A$311,97,'Match Log'!$E$4:$E$311,"Win"),"")</f>
        <v>0.42553191489361708</v>
      </c>
      <c r="G121">
        <f t="shared" ref="G121:G144" si="25">IF($D121="","",1-$F121*$E121)</f>
        <v>0.14893617021276584</v>
      </c>
      <c r="H121" t="str">
        <f>IFERROR(IF($E121=2,LOOKUP(2,1/(('Match Log'!$A$4:$A$311=97)*('Match Log'!$E$4:$E$311="Loss")),'Match Log'!$D$4:$D$311),"the field"),"")</f>
        <v>Daniel (Ferret)</v>
      </c>
      <c r="I121">
        <f t="shared" ref="I121:I144" si="26">IF($G121="","",$G121-$A121/1000000)</f>
        <v>0.14883917021276583</v>
      </c>
      <c r="J121">
        <v>97</v>
      </c>
      <c r="K121">
        <f>IF($J121&gt;MAX('Match Log'!$A$4:$A$311),NA(),IFERROR(LOOKUP(2,1/(('Match Log'!$D$4:$D$311=$K$24)*('Match Log'!$A$4:$A$311&lt;=$J121)),'Match Log'!$N$4:$N$311),NA()))</f>
        <v>1071.6001753974281</v>
      </c>
      <c r="L121">
        <f>IF($J121&gt;MAX('Match Log'!$A$4:$A$311),NA(),IFERROR(LOOKUP(2,1/(('Match Log'!$D$4:$D$311=$L$24)*('Match Log'!$A$4:$A$311&lt;=$J121)),'Match Log'!$N$4:$N$311),NA()))</f>
        <v>1044.8691565259944</v>
      </c>
      <c r="M121">
        <f>IF($J121&gt;MAX('Match Log'!$A$4:$A$311),NA(),IFERROR(LOOKUP(2,1/(('Match Log'!$D$4:$D$311=$M$24)*('Match Log'!$A$4:$A$311&lt;=$J121)),'Match Log'!$N$4:$N$311),NA()))</f>
        <v>1017.3466608720325</v>
      </c>
      <c r="N121">
        <f>IF($J121&gt;MAX('Match Log'!$A$4:$A$311),NA(),IFERROR(LOOKUP(2,1/(('Match Log'!$D$4:$D$311=$N$24)*('Match Log'!$A$4:$A$311&lt;=$J121)),'Match Log'!$N$4:$N$311),NA()))</f>
        <v>990.8737469852914</v>
      </c>
      <c r="O121">
        <f>IF($J121&gt;MAX('Match Log'!$A$4:$A$311),NA(),IFERROR(LOOKUP(2,1/(('Match Log'!$D$4:$D$311=$O$24)*('Match Log'!$A$4:$A$311&lt;=$J121)),'Match Log'!$N$4:$N$311),NA()))</f>
        <v>1174.6803700391565</v>
      </c>
      <c r="P121">
        <f>IF($J121&gt;MAX('Match Log'!$A$4:$A$311),NA(),IFERROR(LOOKUP(2,1/(('Match Log'!$D$4:$D$311=$P$24)*('Match Log'!$A$4:$A$311&lt;=$J121)),'Match Log'!$N$4:$N$311),NA()))</f>
        <v>1022.1264377869081</v>
      </c>
      <c r="Q121">
        <f>IF($J121&gt;MAX('Match Log'!$A$4:$A$311),NA(),IFERROR(LOOKUP(2,1/(('Match Log'!$D$4:$D$311=$Q$24)*('Match Log'!$A$4:$A$311&lt;=$J121)),'Match Log'!$N$4:$N$311),NA()))</f>
        <v>1099.9035033078371</v>
      </c>
      <c r="R121">
        <f>IF($J121&gt;MAX('Match Log'!$A$4:$A$311),NA(),IFERROR(LOOKUP(2,1/(('Match Log'!$D$4:$D$311=$R$24)*('Match Log'!$A$4:$A$311&lt;=$J121)),'Match Log'!$N$4:$N$311),NA()))</f>
        <v>1090.6122563947079</v>
      </c>
      <c r="S121">
        <f>IF($J121&gt;MAX('Match Log'!$A$4:$A$311),NA(),IFERROR(LOOKUP(2,1/(('Match Log'!$D$4:$D$311=$S$24)*('Match Log'!$A$4:$A$311&lt;=$J121)),'Match Log'!$N$4:$N$311),NA()))</f>
        <v>1189.3765078898728</v>
      </c>
      <c r="T121">
        <f>IF($J121&gt;MAX('Match Log'!$A$4:$A$311),NA(),IFERROR(LOOKUP(2,1/(('Match Log'!$D$4:$D$311=$T$24)*('Match Log'!$A$4:$A$311&lt;=$J121)),'Match Log'!$N$4:$N$311),NA()))</f>
        <v>894.20718606929802</v>
      </c>
      <c r="U121">
        <f>IF($J121&gt;MAX('Match Log'!$A$4:$A$311),NA(),IFERROR(LOOKUP(2,1/(('Match Log'!$D$4:$D$311=$U$24)*('Match Log'!$A$4:$A$311&lt;=$J121)),'Match Log'!$N$4:$N$311),NA()))</f>
        <v>1094.3607552510286</v>
      </c>
      <c r="V121">
        <f>IF($J121&gt;MAX('Match Log'!$A$4:$A$311),NA(),IFERROR(LOOKUP(2,1/(('Match Log'!$D$4:$D$311=$V$24)*('Match Log'!$A$4:$A$311&lt;=$J121)),'Match Log'!$N$4:$N$311),NA()))</f>
        <v>1039.5415973556721</v>
      </c>
      <c r="W121">
        <f>IF($J121&gt;MAX('Match Log'!$A$4:$A$311),NA(),IFERROR(LOOKUP(2,1/(('Match Log'!$D$4:$D$311=$W$24)*('Match Log'!$A$4:$A$311&lt;=$J121)),'Match Log'!$N$4:$N$311),NA()))</f>
        <v>1038.5016461247724</v>
      </c>
      <c r="X121" t="e">
        <f>IF($J121&gt;MAX('Match Log'!$A$4:$A$311),NA(),IFERROR(LOOKUP(2,1/(('Match Log'!$D$4:$D$311=$X$24)*('Match Log'!$A$4:$A$311&lt;=$J121)),'Match Log'!$N$4:$N$311),NA()))</f>
        <v>#N/A</v>
      </c>
      <c r="Y121" t="str">
        <f t="shared" ref="Y121:Y144" ca="1" si="27">IF(AND($B121&lt;&gt;"",$B121&gt;=$B$5,$I121&lt;&gt;""),$I121,"")</f>
        <v/>
      </c>
    </row>
    <row r="122" spans="1:25" ht="15" customHeight="1" x14ac:dyDescent="0.2">
      <c r="A122">
        <v>98</v>
      </c>
      <c r="B122" s="132">
        <f>IFERROR(INDEX('Match Log'!$B$4:$B$311,MATCH(98,'Match Log'!$A$4:$A$311,0)),"")</f>
        <v>46190</v>
      </c>
      <c r="C122" t="str">
        <f>IFERROR(INDEX('Match Log'!$C$4:$C$311,MATCH(98,'Match Log'!$A$4:$A$311,0)),"")</f>
        <v>Chess</v>
      </c>
      <c r="D122" t="str">
        <f>IFERROR(INDEX('Match Log'!$G$4:$G$311,MATCH(98,'Match Log'!$A$4:$A$311,0)),"")</f>
        <v>Shawn</v>
      </c>
      <c r="E122" s="133">
        <f>IFERROR(INDEX('Match Log'!$F$4:$F$311,MATCH(98,'Match Log'!$A$4:$A$311,0)),"")</f>
        <v>2</v>
      </c>
      <c r="F122">
        <f>IFERROR(SUMIFS('Match Log'!$I$4:$I$311,'Match Log'!$A$4:$A$311,98,'Match Log'!$E$4:$E$311,"Win"),"")</f>
        <v>0.5</v>
      </c>
      <c r="G122">
        <f t="shared" si="25"/>
        <v>0</v>
      </c>
      <c r="H122" t="str">
        <f>IFERROR(IF($E122=2,LOOKUP(2,1/(('Match Log'!$A$4:$A$311=98)*('Match Log'!$E$4:$E$311="Loss")),'Match Log'!$D$4:$D$311),"the field"),"")</f>
        <v>Daniel (Ferret)</v>
      </c>
      <c r="I122">
        <f t="shared" si="26"/>
        <v>-9.7999999999999997E-5</v>
      </c>
      <c r="J122">
        <v>98</v>
      </c>
      <c r="K122">
        <f>IF($J122&gt;MAX('Match Log'!$A$4:$A$311),NA(),IFERROR(LOOKUP(2,1/(('Match Log'!$D$4:$D$311=$K$24)*('Match Log'!$A$4:$A$311&lt;=$J122)),'Match Log'!$N$4:$N$311),NA()))</f>
        <v>1071.6001753974281</v>
      </c>
      <c r="L122">
        <f>IF($J122&gt;MAX('Match Log'!$A$4:$A$311),NA(),IFERROR(LOOKUP(2,1/(('Match Log'!$D$4:$D$311=$L$24)*('Match Log'!$A$4:$A$311&lt;=$J122)),'Match Log'!$N$4:$N$311),NA()))</f>
        <v>1044.8691565259944</v>
      </c>
      <c r="M122">
        <f>IF($J122&gt;MAX('Match Log'!$A$4:$A$311),NA(),IFERROR(LOOKUP(2,1/(('Match Log'!$D$4:$D$311=$M$24)*('Match Log'!$A$4:$A$311&lt;=$J122)),'Match Log'!$N$4:$N$311),NA()))</f>
        <v>1017.3466608720325</v>
      </c>
      <c r="N122">
        <f>IF($J122&gt;MAX('Match Log'!$A$4:$A$311),NA(),IFERROR(LOOKUP(2,1/(('Match Log'!$D$4:$D$311=$N$24)*('Match Log'!$A$4:$A$311&lt;=$J122)),'Match Log'!$N$4:$N$311),NA()))</f>
        <v>990.8737469852914</v>
      </c>
      <c r="O122">
        <f>IF($J122&gt;MAX('Match Log'!$A$4:$A$311),NA(),IFERROR(LOOKUP(2,1/(('Match Log'!$D$4:$D$311=$O$24)*('Match Log'!$A$4:$A$311&lt;=$J122)),'Match Log'!$N$4:$N$311),NA()))</f>
        <v>1174.6803700391565</v>
      </c>
      <c r="P122">
        <f>IF($J122&gt;MAX('Match Log'!$A$4:$A$311),NA(),IFERROR(LOOKUP(2,1/(('Match Log'!$D$4:$D$311=$P$24)*('Match Log'!$A$4:$A$311&lt;=$J122)),'Match Log'!$N$4:$N$311),NA()))</f>
        <v>1047.2401026778748</v>
      </c>
      <c r="Q122">
        <f>IF($J122&gt;MAX('Match Log'!$A$4:$A$311),NA(),IFERROR(LOOKUP(2,1/(('Match Log'!$D$4:$D$311=$Q$24)*('Match Log'!$A$4:$A$311&lt;=$J122)),'Match Log'!$N$4:$N$311),NA()))</f>
        <v>1099.9035033078371</v>
      </c>
      <c r="R122">
        <f>IF($J122&gt;MAX('Match Log'!$A$4:$A$311),NA(),IFERROR(LOOKUP(2,1/(('Match Log'!$D$4:$D$311=$R$24)*('Match Log'!$A$4:$A$311&lt;=$J122)),'Match Log'!$N$4:$N$311),NA()))</f>
        <v>1065.4985915037412</v>
      </c>
      <c r="S122">
        <f>IF($J122&gt;MAX('Match Log'!$A$4:$A$311),NA(),IFERROR(LOOKUP(2,1/(('Match Log'!$D$4:$D$311=$S$24)*('Match Log'!$A$4:$A$311&lt;=$J122)),'Match Log'!$N$4:$N$311),NA()))</f>
        <v>1189.3765078898728</v>
      </c>
      <c r="T122">
        <f>IF($J122&gt;MAX('Match Log'!$A$4:$A$311),NA(),IFERROR(LOOKUP(2,1/(('Match Log'!$D$4:$D$311=$T$24)*('Match Log'!$A$4:$A$311&lt;=$J122)),'Match Log'!$N$4:$N$311),NA()))</f>
        <v>894.20718606929802</v>
      </c>
      <c r="U122">
        <f>IF($J122&gt;MAX('Match Log'!$A$4:$A$311),NA(),IFERROR(LOOKUP(2,1/(('Match Log'!$D$4:$D$311=$U$24)*('Match Log'!$A$4:$A$311&lt;=$J122)),'Match Log'!$N$4:$N$311),NA()))</f>
        <v>1094.3607552510286</v>
      </c>
      <c r="V122">
        <f>IF($J122&gt;MAX('Match Log'!$A$4:$A$311),NA(),IFERROR(LOOKUP(2,1/(('Match Log'!$D$4:$D$311=$V$24)*('Match Log'!$A$4:$A$311&lt;=$J122)),'Match Log'!$N$4:$N$311),NA()))</f>
        <v>1039.5415973556721</v>
      </c>
      <c r="W122">
        <f>IF($J122&gt;MAX('Match Log'!$A$4:$A$311),NA(),IFERROR(LOOKUP(2,1/(('Match Log'!$D$4:$D$311=$W$24)*('Match Log'!$A$4:$A$311&lt;=$J122)),'Match Log'!$N$4:$N$311),NA()))</f>
        <v>1038.5016461247724</v>
      </c>
      <c r="X122" t="e">
        <f>IF($J122&gt;MAX('Match Log'!$A$4:$A$311),NA(),IFERROR(LOOKUP(2,1/(('Match Log'!$D$4:$D$311=$X$24)*('Match Log'!$A$4:$A$311&lt;=$J122)),'Match Log'!$N$4:$N$311),NA()))</f>
        <v>#N/A</v>
      </c>
      <c r="Y122" t="str">
        <f t="shared" ca="1" si="27"/>
        <v/>
      </c>
    </row>
    <row r="123" spans="1:25" ht="15" customHeight="1" x14ac:dyDescent="0.2">
      <c r="A123">
        <v>99</v>
      </c>
      <c r="B123" s="132">
        <f>IFERROR(INDEX('Match Log'!$B$4:$B$311,MATCH(99,'Match Log'!$A$4:$A$311,0)),"")</f>
        <v>46199</v>
      </c>
      <c r="C123" t="str">
        <f>IFERROR(INDEX('Match Log'!$C$4:$C$311,MATCH(99,'Match Log'!$A$4:$A$311,0)),"")</f>
        <v>Mario Golf</v>
      </c>
      <c r="D123" t="str">
        <f>IFERROR(INDEX('Match Log'!$G$4:$G$311,MATCH(99,'Match Log'!$A$4:$A$311,0)),"")</f>
        <v>Daniel (Ferret)</v>
      </c>
      <c r="E123" s="133">
        <f>IFERROR(INDEX('Match Log'!$F$4:$F$311,MATCH(99,'Match Log'!$A$4:$A$311,0)),"")</f>
        <v>2</v>
      </c>
      <c r="F123">
        <f>IFERROR(SUMIFS('Match Log'!$I$4:$I$311,'Match Log'!$A$4:$A$311,99,'Match Log'!$E$4:$E$311,"Win"),"")</f>
        <v>0.5</v>
      </c>
      <c r="G123">
        <f t="shared" si="25"/>
        <v>0</v>
      </c>
      <c r="H123" t="str">
        <f>IFERROR(IF($E123=2,LOOKUP(2,1/(('Match Log'!$A$4:$A$311=99)*('Match Log'!$E$4:$E$311="Loss")),'Match Log'!$D$4:$D$311),"the field"),"")</f>
        <v>Josh</v>
      </c>
      <c r="I123">
        <f t="shared" si="26"/>
        <v>-9.8999999999999994E-5</v>
      </c>
      <c r="J123">
        <v>99</v>
      </c>
      <c r="K123">
        <f>IF($J123&gt;MAX('Match Log'!$A$4:$A$311),NA(),IFERROR(LOOKUP(2,1/(('Match Log'!$D$4:$D$311=$K$24)*('Match Log'!$A$4:$A$311&lt;=$J123)),'Match Log'!$N$4:$N$311),NA()))</f>
        <v>1071.6001753974281</v>
      </c>
      <c r="L123">
        <f>IF($J123&gt;MAX('Match Log'!$A$4:$A$311),NA(),IFERROR(LOOKUP(2,1/(('Match Log'!$D$4:$D$311=$L$24)*('Match Log'!$A$4:$A$311&lt;=$J123)),'Match Log'!$N$4:$N$311),NA()))</f>
        <v>1044.8691565259944</v>
      </c>
      <c r="M123">
        <f>IF($J123&gt;MAX('Match Log'!$A$4:$A$311),NA(),IFERROR(LOOKUP(2,1/(('Match Log'!$D$4:$D$311=$M$24)*('Match Log'!$A$4:$A$311&lt;=$J123)),'Match Log'!$N$4:$N$311),NA()))</f>
        <v>1017.3466608720325</v>
      </c>
      <c r="N123">
        <f>IF($J123&gt;MAX('Match Log'!$A$4:$A$311),NA(),IFERROR(LOOKUP(2,1/(('Match Log'!$D$4:$D$311=$N$24)*('Match Log'!$A$4:$A$311&lt;=$J123)),'Match Log'!$N$4:$N$311),NA()))</f>
        <v>990.8737469852914</v>
      </c>
      <c r="O123">
        <f>IF($J123&gt;MAX('Match Log'!$A$4:$A$311),NA(),IFERROR(LOOKUP(2,1/(('Match Log'!$D$4:$D$311=$O$24)*('Match Log'!$A$4:$A$311&lt;=$J123)),'Match Log'!$N$4:$N$311),NA()))</f>
        <v>1147.811587499318</v>
      </c>
      <c r="P123">
        <f>IF($J123&gt;MAX('Match Log'!$A$4:$A$311),NA(),IFERROR(LOOKUP(2,1/(('Match Log'!$D$4:$D$311=$P$24)*('Match Log'!$A$4:$A$311&lt;=$J123)),'Match Log'!$N$4:$N$311),NA()))</f>
        <v>1047.2401026778748</v>
      </c>
      <c r="Q123">
        <f>IF($J123&gt;MAX('Match Log'!$A$4:$A$311),NA(),IFERROR(LOOKUP(2,1/(('Match Log'!$D$4:$D$311=$Q$24)*('Match Log'!$A$4:$A$311&lt;=$J123)),'Match Log'!$N$4:$N$311),NA()))</f>
        <v>1099.9035033078371</v>
      </c>
      <c r="R123">
        <f>IF($J123&gt;MAX('Match Log'!$A$4:$A$311),NA(),IFERROR(LOOKUP(2,1/(('Match Log'!$D$4:$D$311=$R$24)*('Match Log'!$A$4:$A$311&lt;=$J123)),'Match Log'!$N$4:$N$311),NA()))</f>
        <v>1092.3673740435797</v>
      </c>
      <c r="S123">
        <f>IF($J123&gt;MAX('Match Log'!$A$4:$A$311),NA(),IFERROR(LOOKUP(2,1/(('Match Log'!$D$4:$D$311=$S$24)*('Match Log'!$A$4:$A$311&lt;=$J123)),'Match Log'!$N$4:$N$311),NA()))</f>
        <v>1189.3765078898728</v>
      </c>
      <c r="T123">
        <f>IF($J123&gt;MAX('Match Log'!$A$4:$A$311),NA(),IFERROR(LOOKUP(2,1/(('Match Log'!$D$4:$D$311=$T$24)*('Match Log'!$A$4:$A$311&lt;=$J123)),'Match Log'!$N$4:$N$311),NA()))</f>
        <v>894.20718606929802</v>
      </c>
      <c r="U123">
        <f>IF($J123&gt;MAX('Match Log'!$A$4:$A$311),NA(),IFERROR(LOOKUP(2,1/(('Match Log'!$D$4:$D$311=$U$24)*('Match Log'!$A$4:$A$311&lt;=$J123)),'Match Log'!$N$4:$N$311),NA()))</f>
        <v>1094.3607552510286</v>
      </c>
      <c r="V123">
        <f>IF($J123&gt;MAX('Match Log'!$A$4:$A$311),NA(),IFERROR(LOOKUP(2,1/(('Match Log'!$D$4:$D$311=$V$24)*('Match Log'!$A$4:$A$311&lt;=$J123)),'Match Log'!$N$4:$N$311),NA()))</f>
        <v>1039.5415973556721</v>
      </c>
      <c r="W123">
        <f>IF($J123&gt;MAX('Match Log'!$A$4:$A$311),NA(),IFERROR(LOOKUP(2,1/(('Match Log'!$D$4:$D$311=$W$24)*('Match Log'!$A$4:$A$311&lt;=$J123)),'Match Log'!$N$4:$N$311),NA()))</f>
        <v>1038.5016461247724</v>
      </c>
      <c r="X123" t="e">
        <f>IF($J123&gt;MAX('Match Log'!$A$4:$A$311),NA(),IFERROR(LOOKUP(2,1/(('Match Log'!$D$4:$D$311=$X$24)*('Match Log'!$A$4:$A$311&lt;=$J123)),'Match Log'!$N$4:$N$311),NA()))</f>
        <v>#N/A</v>
      </c>
      <c r="Y123" t="str">
        <f t="shared" ca="1" si="27"/>
        <v/>
      </c>
    </row>
    <row r="124" spans="1:25" ht="15" customHeight="1" x14ac:dyDescent="0.2">
      <c r="A124">
        <v>100</v>
      </c>
      <c r="B124" s="132">
        <f>IFERROR(INDEX('Match Log'!$B$4:$B$311,MATCH(100,'Match Log'!$A$4:$A$311,0)),"")</f>
        <v>46199</v>
      </c>
      <c r="C124" t="str">
        <f>IFERROR(INDEX('Match Log'!$C$4:$C$311,MATCH(100,'Match Log'!$A$4:$A$311,0)),"")</f>
        <v>Mario Golf</v>
      </c>
      <c r="D124" t="str">
        <f>IFERROR(INDEX('Match Log'!$G$4:$G$311,MATCH(100,'Match Log'!$A$4:$A$311,0)),"")</f>
        <v>Daniel (Ferret)</v>
      </c>
      <c r="E124" s="133">
        <f>IFERROR(INDEX('Match Log'!$F$4:$F$311,MATCH(100,'Match Log'!$A$4:$A$311,0)),"")</f>
        <v>2</v>
      </c>
      <c r="F124">
        <f>IFERROR(SUMIFS('Match Log'!$I$4:$I$311,'Match Log'!$A$4:$A$311,100,'Match Log'!$E$4:$E$311,"Win"),"")</f>
        <v>0.66666666666666663</v>
      </c>
      <c r="G124">
        <f t="shared" si="25"/>
        <v>-0.33333333333333326</v>
      </c>
      <c r="H124" t="str">
        <f>IFERROR(IF($E124=2,LOOKUP(2,1/(('Match Log'!$A$4:$A$311=100)*('Match Log'!$E$4:$E$311="Loss")),'Match Log'!$D$4:$D$311),"the field"),"")</f>
        <v>Josh</v>
      </c>
      <c r="I124">
        <f t="shared" si="26"/>
        <v>-0.33343333333333325</v>
      </c>
      <c r="J124">
        <v>100</v>
      </c>
      <c r="K124">
        <f>IF($J124&gt;MAX('Match Log'!$A$4:$A$311),NA(),IFERROR(LOOKUP(2,1/(('Match Log'!$D$4:$D$311=$K$24)*('Match Log'!$A$4:$A$311&lt;=$J124)),'Match Log'!$N$4:$N$311),NA()))</f>
        <v>1071.6001753974281</v>
      </c>
      <c r="L124">
        <f>IF($J124&gt;MAX('Match Log'!$A$4:$A$311),NA(),IFERROR(LOOKUP(2,1/(('Match Log'!$D$4:$D$311=$L$24)*('Match Log'!$A$4:$A$311&lt;=$J124)),'Match Log'!$N$4:$N$311),NA()))</f>
        <v>1044.8691565259944</v>
      </c>
      <c r="M124">
        <f>IF($J124&gt;MAX('Match Log'!$A$4:$A$311),NA(),IFERROR(LOOKUP(2,1/(('Match Log'!$D$4:$D$311=$M$24)*('Match Log'!$A$4:$A$311&lt;=$J124)),'Match Log'!$N$4:$N$311),NA()))</f>
        <v>1017.3466608720325</v>
      </c>
      <c r="N124">
        <f>IF($J124&gt;MAX('Match Log'!$A$4:$A$311),NA(),IFERROR(LOOKUP(2,1/(('Match Log'!$D$4:$D$311=$N$24)*('Match Log'!$A$4:$A$311&lt;=$J124)),'Match Log'!$N$4:$N$311),NA()))</f>
        <v>990.8737469852914</v>
      </c>
      <c r="O124">
        <f>IF($J124&gt;MAX('Match Log'!$A$4:$A$311),NA(),IFERROR(LOOKUP(2,1/(('Match Log'!$D$4:$D$311=$O$24)*('Match Log'!$A$4:$A$311&lt;=$J124)),'Match Log'!$N$4:$N$311),NA()))</f>
        <v>1125.9380799802884</v>
      </c>
      <c r="P124">
        <f>IF($J124&gt;MAX('Match Log'!$A$4:$A$311),NA(),IFERROR(LOOKUP(2,1/(('Match Log'!$D$4:$D$311=$P$24)*('Match Log'!$A$4:$A$311&lt;=$J124)),'Match Log'!$N$4:$N$311),NA()))</f>
        <v>1047.2401026778748</v>
      </c>
      <c r="Q124">
        <f>IF($J124&gt;MAX('Match Log'!$A$4:$A$311),NA(),IFERROR(LOOKUP(2,1/(('Match Log'!$D$4:$D$311=$Q$24)*('Match Log'!$A$4:$A$311&lt;=$J124)),'Match Log'!$N$4:$N$311),NA()))</f>
        <v>1099.9035033078371</v>
      </c>
      <c r="R124">
        <f>IF($J124&gt;MAX('Match Log'!$A$4:$A$311),NA(),IFERROR(LOOKUP(2,1/(('Match Log'!$D$4:$D$311=$R$24)*('Match Log'!$A$4:$A$311&lt;=$J124)),'Match Log'!$N$4:$N$311),NA()))</f>
        <v>1114.2408815626093</v>
      </c>
      <c r="S124">
        <f>IF($J124&gt;MAX('Match Log'!$A$4:$A$311),NA(),IFERROR(LOOKUP(2,1/(('Match Log'!$D$4:$D$311=$S$24)*('Match Log'!$A$4:$A$311&lt;=$J124)),'Match Log'!$N$4:$N$311),NA()))</f>
        <v>1189.3765078898728</v>
      </c>
      <c r="T124">
        <f>IF($J124&gt;MAX('Match Log'!$A$4:$A$311),NA(),IFERROR(LOOKUP(2,1/(('Match Log'!$D$4:$D$311=$T$24)*('Match Log'!$A$4:$A$311&lt;=$J124)),'Match Log'!$N$4:$N$311),NA()))</f>
        <v>894.20718606929802</v>
      </c>
      <c r="U124">
        <f>IF($J124&gt;MAX('Match Log'!$A$4:$A$311),NA(),IFERROR(LOOKUP(2,1/(('Match Log'!$D$4:$D$311=$U$24)*('Match Log'!$A$4:$A$311&lt;=$J124)),'Match Log'!$N$4:$N$311),NA()))</f>
        <v>1094.3607552510286</v>
      </c>
      <c r="V124">
        <f>IF($J124&gt;MAX('Match Log'!$A$4:$A$311),NA(),IFERROR(LOOKUP(2,1/(('Match Log'!$D$4:$D$311=$V$24)*('Match Log'!$A$4:$A$311&lt;=$J124)),'Match Log'!$N$4:$N$311),NA()))</f>
        <v>1039.5415973556721</v>
      </c>
      <c r="W124">
        <f>IF($J124&gt;MAX('Match Log'!$A$4:$A$311),NA(),IFERROR(LOOKUP(2,1/(('Match Log'!$D$4:$D$311=$W$24)*('Match Log'!$A$4:$A$311&lt;=$J124)),'Match Log'!$N$4:$N$311),NA()))</f>
        <v>1038.5016461247724</v>
      </c>
      <c r="X124" t="e">
        <f>IF($J124&gt;MAX('Match Log'!$A$4:$A$311),NA(),IFERROR(LOOKUP(2,1/(('Match Log'!$D$4:$D$311=$X$24)*('Match Log'!$A$4:$A$311&lt;=$J124)),'Match Log'!$N$4:$N$311),NA()))</f>
        <v>#N/A</v>
      </c>
      <c r="Y124" t="str">
        <f t="shared" ca="1" si="27"/>
        <v/>
      </c>
    </row>
    <row r="125" spans="1:25" ht="15" customHeight="1" x14ac:dyDescent="0.2">
      <c r="A125">
        <v>101</v>
      </c>
      <c r="B125" s="132">
        <f>IFERROR(INDEX('Match Log'!$B$4:$B$311,MATCH(101,'Match Log'!$A$4:$A$311,0)),"")</f>
        <v>46199</v>
      </c>
      <c r="C125" t="str">
        <f>IFERROR(INDEX('Match Log'!$C$4:$C$311,MATCH(101,'Match Log'!$A$4:$A$311,0)),"")</f>
        <v>Mario Golf</v>
      </c>
      <c r="D125" t="str">
        <f>IFERROR(INDEX('Match Log'!$G$4:$G$311,MATCH(101,'Match Log'!$A$4:$A$311,0)),"")</f>
        <v>Josh</v>
      </c>
      <c r="E125" s="133">
        <f>IFERROR(INDEX('Match Log'!$F$4:$F$311,MATCH(101,'Match Log'!$A$4:$A$311,0)),"")</f>
        <v>2</v>
      </c>
      <c r="F125">
        <f>IFERROR(SUMIFS('Match Log'!$I$4:$I$311,'Match Log'!$A$4:$A$311,101,'Match Log'!$E$4:$E$311,"Win"),"")</f>
        <v>0.25</v>
      </c>
      <c r="G125">
        <f t="shared" si="25"/>
        <v>0.5</v>
      </c>
      <c r="H125" t="str">
        <f>IFERROR(IF($E125=2,LOOKUP(2,1/(('Match Log'!$A$4:$A$311=101)*('Match Log'!$E$4:$E$311="Loss")),'Match Log'!$D$4:$D$311),"the field"),"")</f>
        <v>Daniel (Ferret)</v>
      </c>
      <c r="I125">
        <f t="shared" si="26"/>
        <v>0.49989899999999998</v>
      </c>
      <c r="J125">
        <v>101</v>
      </c>
      <c r="K125">
        <f>IF($J125&gt;MAX('Match Log'!$A$4:$A$311),NA(),IFERROR(LOOKUP(2,1/(('Match Log'!$D$4:$D$311=$K$24)*('Match Log'!$A$4:$A$311&lt;=$J125)),'Match Log'!$N$4:$N$311),NA()))</f>
        <v>1071.6001753974281</v>
      </c>
      <c r="L125">
        <f>IF($J125&gt;MAX('Match Log'!$A$4:$A$311),NA(),IFERROR(LOOKUP(2,1/(('Match Log'!$D$4:$D$311=$L$24)*('Match Log'!$A$4:$A$311&lt;=$J125)),'Match Log'!$N$4:$N$311),NA()))</f>
        <v>1044.8691565259944</v>
      </c>
      <c r="M125">
        <f>IF($J125&gt;MAX('Match Log'!$A$4:$A$311),NA(),IFERROR(LOOKUP(2,1/(('Match Log'!$D$4:$D$311=$M$24)*('Match Log'!$A$4:$A$311&lt;=$J125)),'Match Log'!$N$4:$N$311),NA()))</f>
        <v>1017.3466608720325</v>
      </c>
      <c r="N125">
        <f>IF($J125&gt;MAX('Match Log'!$A$4:$A$311),NA(),IFERROR(LOOKUP(2,1/(('Match Log'!$D$4:$D$311=$N$24)*('Match Log'!$A$4:$A$311&lt;=$J125)),'Match Log'!$N$4:$N$311),NA()))</f>
        <v>990.8737469852914</v>
      </c>
      <c r="O125">
        <f>IF($J125&gt;MAX('Match Log'!$A$4:$A$311),NA(),IFERROR(LOOKUP(2,1/(('Match Log'!$D$4:$D$311=$O$24)*('Match Log'!$A$4:$A$311&lt;=$J125)),'Match Log'!$N$4:$N$311),NA()))</f>
        <v>1151.3566339199238</v>
      </c>
      <c r="P125">
        <f>IF($J125&gt;MAX('Match Log'!$A$4:$A$311),NA(),IFERROR(LOOKUP(2,1/(('Match Log'!$D$4:$D$311=$P$24)*('Match Log'!$A$4:$A$311&lt;=$J125)),'Match Log'!$N$4:$N$311),NA()))</f>
        <v>1047.2401026778748</v>
      </c>
      <c r="Q125">
        <f>IF($J125&gt;MAX('Match Log'!$A$4:$A$311),NA(),IFERROR(LOOKUP(2,1/(('Match Log'!$D$4:$D$311=$Q$24)*('Match Log'!$A$4:$A$311&lt;=$J125)),'Match Log'!$N$4:$N$311),NA()))</f>
        <v>1099.9035033078371</v>
      </c>
      <c r="R125">
        <f>IF($J125&gt;MAX('Match Log'!$A$4:$A$311),NA(),IFERROR(LOOKUP(2,1/(('Match Log'!$D$4:$D$311=$R$24)*('Match Log'!$A$4:$A$311&lt;=$J125)),'Match Log'!$N$4:$N$311),NA()))</f>
        <v>1088.8223276229739</v>
      </c>
      <c r="S125">
        <f>IF($J125&gt;MAX('Match Log'!$A$4:$A$311),NA(),IFERROR(LOOKUP(2,1/(('Match Log'!$D$4:$D$311=$S$24)*('Match Log'!$A$4:$A$311&lt;=$J125)),'Match Log'!$N$4:$N$311),NA()))</f>
        <v>1189.3765078898728</v>
      </c>
      <c r="T125">
        <f>IF($J125&gt;MAX('Match Log'!$A$4:$A$311),NA(),IFERROR(LOOKUP(2,1/(('Match Log'!$D$4:$D$311=$T$24)*('Match Log'!$A$4:$A$311&lt;=$J125)),'Match Log'!$N$4:$N$311),NA()))</f>
        <v>894.20718606929802</v>
      </c>
      <c r="U125">
        <f>IF($J125&gt;MAX('Match Log'!$A$4:$A$311),NA(),IFERROR(LOOKUP(2,1/(('Match Log'!$D$4:$D$311=$U$24)*('Match Log'!$A$4:$A$311&lt;=$J125)),'Match Log'!$N$4:$N$311),NA()))</f>
        <v>1094.3607552510286</v>
      </c>
      <c r="V125">
        <f>IF($J125&gt;MAX('Match Log'!$A$4:$A$311),NA(),IFERROR(LOOKUP(2,1/(('Match Log'!$D$4:$D$311=$V$24)*('Match Log'!$A$4:$A$311&lt;=$J125)),'Match Log'!$N$4:$N$311),NA()))</f>
        <v>1039.5415973556721</v>
      </c>
      <c r="W125">
        <f>IF($J125&gt;MAX('Match Log'!$A$4:$A$311),NA(),IFERROR(LOOKUP(2,1/(('Match Log'!$D$4:$D$311=$W$24)*('Match Log'!$A$4:$A$311&lt;=$J125)),'Match Log'!$N$4:$N$311),NA()))</f>
        <v>1038.5016461247724</v>
      </c>
      <c r="X125" t="e">
        <f>IF($J125&gt;MAX('Match Log'!$A$4:$A$311),NA(),IFERROR(LOOKUP(2,1/(('Match Log'!$D$4:$D$311=$X$24)*('Match Log'!$A$4:$A$311&lt;=$J125)),'Match Log'!$N$4:$N$311),NA()))</f>
        <v>#N/A</v>
      </c>
      <c r="Y125" t="str">
        <f t="shared" ca="1" si="27"/>
        <v/>
      </c>
    </row>
    <row r="126" spans="1:25" ht="15" customHeight="1" x14ac:dyDescent="0.2">
      <c r="A126">
        <v>102</v>
      </c>
      <c r="B126" s="132">
        <f>IFERROR(INDEX('Match Log'!$B$4:$B$311,MATCH(102,'Match Log'!$A$4:$A$311,0)),"")</f>
        <v>46199</v>
      </c>
      <c r="C126" t="str">
        <f>IFERROR(INDEX('Match Log'!$C$4:$C$311,MATCH(102,'Match Log'!$A$4:$A$311,0)),"")</f>
        <v>Mario Golf</v>
      </c>
      <c r="D126" t="str">
        <f>IFERROR(INDEX('Match Log'!$G$4:$G$311,MATCH(102,'Match Log'!$A$4:$A$311,0)),"")</f>
        <v>Josh</v>
      </c>
      <c r="E126" s="133">
        <f>IFERROR(INDEX('Match Log'!$F$4:$F$311,MATCH(102,'Match Log'!$A$4:$A$311,0)),"")</f>
        <v>2</v>
      </c>
      <c r="F126">
        <f>IFERROR(SUMIFS('Match Log'!$I$4:$I$311,'Match Log'!$A$4:$A$311,102,'Match Log'!$E$4:$E$311,"Win"),"")</f>
        <v>0.4</v>
      </c>
      <c r="G126">
        <f t="shared" si="25"/>
        <v>0.19999999999999996</v>
      </c>
      <c r="H126" t="str">
        <f>IFERROR(IF($E126=2,LOOKUP(2,1/(('Match Log'!$A$4:$A$311=102)*('Match Log'!$E$4:$E$311="Loss")),'Match Log'!$D$4:$D$311),"the field"),"")</f>
        <v>Daniel (Ferret)</v>
      </c>
      <c r="I126">
        <f t="shared" si="26"/>
        <v>0.19989799999999996</v>
      </c>
      <c r="J126">
        <v>102</v>
      </c>
      <c r="K126">
        <f>IF($J126&gt;MAX('Match Log'!$A$4:$A$311),NA(),IFERROR(LOOKUP(2,1/(('Match Log'!$D$4:$D$311=$K$24)*('Match Log'!$A$4:$A$311&lt;=$J126)),'Match Log'!$N$4:$N$311),NA()))</f>
        <v>1071.6001753974281</v>
      </c>
      <c r="L126">
        <f>IF($J126&gt;MAX('Match Log'!$A$4:$A$311),NA(),IFERROR(LOOKUP(2,1/(('Match Log'!$D$4:$D$311=$L$24)*('Match Log'!$A$4:$A$311&lt;=$J126)),'Match Log'!$N$4:$N$311),NA()))</f>
        <v>1044.8691565259944</v>
      </c>
      <c r="M126">
        <f>IF($J126&gt;MAX('Match Log'!$A$4:$A$311),NA(),IFERROR(LOOKUP(2,1/(('Match Log'!$D$4:$D$311=$M$24)*('Match Log'!$A$4:$A$311&lt;=$J126)),'Match Log'!$N$4:$N$311),NA()))</f>
        <v>1017.3466608720325</v>
      </c>
      <c r="N126">
        <f>IF($J126&gt;MAX('Match Log'!$A$4:$A$311),NA(),IFERROR(LOOKUP(2,1/(('Match Log'!$D$4:$D$311=$N$24)*('Match Log'!$A$4:$A$311&lt;=$J126)),'Match Log'!$N$4:$N$311),NA()))</f>
        <v>990.8737469852914</v>
      </c>
      <c r="O126">
        <f>IF($J126&gt;MAX('Match Log'!$A$4:$A$311),NA(),IFERROR(LOOKUP(2,1/(('Match Log'!$D$4:$D$311=$O$24)*('Match Log'!$A$4:$A$311&lt;=$J126)),'Match Log'!$N$4:$N$311),NA()))</f>
        <v>1173.1660011582487</v>
      </c>
      <c r="P126">
        <f>IF($J126&gt;MAX('Match Log'!$A$4:$A$311),NA(),IFERROR(LOOKUP(2,1/(('Match Log'!$D$4:$D$311=$P$24)*('Match Log'!$A$4:$A$311&lt;=$J126)),'Match Log'!$N$4:$N$311),NA()))</f>
        <v>1047.2401026778748</v>
      </c>
      <c r="Q126">
        <f>IF($J126&gt;MAX('Match Log'!$A$4:$A$311),NA(),IFERROR(LOOKUP(2,1/(('Match Log'!$D$4:$D$311=$Q$24)*('Match Log'!$A$4:$A$311&lt;=$J126)),'Match Log'!$N$4:$N$311),NA()))</f>
        <v>1099.9035033078371</v>
      </c>
      <c r="R126">
        <f>IF($J126&gt;MAX('Match Log'!$A$4:$A$311),NA(),IFERROR(LOOKUP(2,1/(('Match Log'!$D$4:$D$311=$R$24)*('Match Log'!$A$4:$A$311&lt;=$J126)),'Match Log'!$N$4:$N$311),NA()))</f>
        <v>1067.012960384649</v>
      </c>
      <c r="S126">
        <f>IF($J126&gt;MAX('Match Log'!$A$4:$A$311),NA(),IFERROR(LOOKUP(2,1/(('Match Log'!$D$4:$D$311=$S$24)*('Match Log'!$A$4:$A$311&lt;=$J126)),'Match Log'!$N$4:$N$311),NA()))</f>
        <v>1189.3765078898728</v>
      </c>
      <c r="T126">
        <f>IF($J126&gt;MAX('Match Log'!$A$4:$A$311),NA(),IFERROR(LOOKUP(2,1/(('Match Log'!$D$4:$D$311=$T$24)*('Match Log'!$A$4:$A$311&lt;=$J126)),'Match Log'!$N$4:$N$311),NA()))</f>
        <v>894.20718606929802</v>
      </c>
      <c r="U126">
        <f>IF($J126&gt;MAX('Match Log'!$A$4:$A$311),NA(),IFERROR(LOOKUP(2,1/(('Match Log'!$D$4:$D$311=$U$24)*('Match Log'!$A$4:$A$311&lt;=$J126)),'Match Log'!$N$4:$N$311),NA()))</f>
        <v>1094.3607552510286</v>
      </c>
      <c r="V126">
        <f>IF($J126&gt;MAX('Match Log'!$A$4:$A$311),NA(),IFERROR(LOOKUP(2,1/(('Match Log'!$D$4:$D$311=$V$24)*('Match Log'!$A$4:$A$311&lt;=$J126)),'Match Log'!$N$4:$N$311),NA()))</f>
        <v>1039.5415973556721</v>
      </c>
      <c r="W126">
        <f>IF($J126&gt;MAX('Match Log'!$A$4:$A$311),NA(),IFERROR(LOOKUP(2,1/(('Match Log'!$D$4:$D$311=$W$24)*('Match Log'!$A$4:$A$311&lt;=$J126)),'Match Log'!$N$4:$N$311),NA()))</f>
        <v>1038.5016461247724</v>
      </c>
      <c r="X126" t="e">
        <f>IF($J126&gt;MAX('Match Log'!$A$4:$A$311),NA(),IFERROR(LOOKUP(2,1/(('Match Log'!$D$4:$D$311=$X$24)*('Match Log'!$A$4:$A$311&lt;=$J126)),'Match Log'!$N$4:$N$311),NA()))</f>
        <v>#N/A</v>
      </c>
      <c r="Y126" t="str">
        <f t="shared" ca="1" si="27"/>
        <v/>
      </c>
    </row>
    <row r="127" spans="1:25" ht="15" customHeight="1" x14ac:dyDescent="0.2">
      <c r="A127">
        <v>103</v>
      </c>
      <c r="B127" s="132">
        <f>IFERROR(INDEX('Match Log'!$B$4:$B$311,MATCH(103,'Match Log'!$A$4:$A$311,0)),"")</f>
        <v>46199</v>
      </c>
      <c r="C127" t="str">
        <f>IFERROR(INDEX('Match Log'!$C$4:$C$311,MATCH(103,'Match Log'!$A$4:$A$311,0)),"")</f>
        <v>Mario Party</v>
      </c>
      <c r="D127" t="str">
        <f>IFERROR(INDEX('Match Log'!$G$4:$G$311,MATCH(103,'Match Log'!$A$4:$A$311,0)),"")</f>
        <v>Daniel (Ferret)</v>
      </c>
      <c r="E127" s="133">
        <f>IFERROR(INDEX('Match Log'!$F$4:$F$311,MATCH(103,'Match Log'!$A$4:$A$311,0)),"")</f>
        <v>2</v>
      </c>
      <c r="F127">
        <f>IFERROR(SUMIFS('Match Log'!$I$4:$I$311,'Match Log'!$A$4:$A$311,103,'Match Log'!$E$4:$E$311,"Win"),"")</f>
        <v>0.6</v>
      </c>
      <c r="G127">
        <f t="shared" si="25"/>
        <v>-0.19999999999999996</v>
      </c>
      <c r="H127" t="str">
        <f>IFERROR(IF($E127=2,LOOKUP(2,1/(('Match Log'!$A$4:$A$311=103)*('Match Log'!$E$4:$E$311="Loss")),'Match Log'!$D$4:$D$311),"the field"),"")</f>
        <v>Josh</v>
      </c>
      <c r="I127">
        <f t="shared" si="26"/>
        <v>-0.20010299999999995</v>
      </c>
      <c r="J127">
        <v>103</v>
      </c>
      <c r="K127">
        <f>IF($J127&gt;MAX('Match Log'!$A$4:$A$311),NA(),IFERROR(LOOKUP(2,1/(('Match Log'!$D$4:$D$311=$K$24)*('Match Log'!$A$4:$A$311&lt;=$J127)),'Match Log'!$N$4:$N$311),NA()))</f>
        <v>1071.6001753974281</v>
      </c>
      <c r="L127">
        <f>IF($J127&gt;MAX('Match Log'!$A$4:$A$311),NA(),IFERROR(LOOKUP(2,1/(('Match Log'!$D$4:$D$311=$L$24)*('Match Log'!$A$4:$A$311&lt;=$J127)),'Match Log'!$N$4:$N$311),NA()))</f>
        <v>1044.8691565259944</v>
      </c>
      <c r="M127">
        <f>IF($J127&gt;MAX('Match Log'!$A$4:$A$311),NA(),IFERROR(LOOKUP(2,1/(('Match Log'!$D$4:$D$311=$M$24)*('Match Log'!$A$4:$A$311&lt;=$J127)),'Match Log'!$N$4:$N$311),NA()))</f>
        <v>1017.3466608720325</v>
      </c>
      <c r="N127">
        <f>IF($J127&gt;MAX('Match Log'!$A$4:$A$311),NA(),IFERROR(LOOKUP(2,1/(('Match Log'!$D$4:$D$311=$N$24)*('Match Log'!$A$4:$A$311&lt;=$J127)),'Match Log'!$N$4:$N$311),NA()))</f>
        <v>990.8737469852914</v>
      </c>
      <c r="O127">
        <f>IF($J127&gt;MAX('Match Log'!$A$4:$A$311),NA(),IFERROR(LOOKUP(2,1/(('Match Log'!$D$4:$D$311=$O$24)*('Match Log'!$A$4:$A$311&lt;=$J127)),'Match Log'!$N$4:$N$311),NA()))</f>
        <v>1147.1945550051951</v>
      </c>
      <c r="P127">
        <f>IF($J127&gt;MAX('Match Log'!$A$4:$A$311),NA(),IFERROR(LOOKUP(2,1/(('Match Log'!$D$4:$D$311=$P$24)*('Match Log'!$A$4:$A$311&lt;=$J127)),'Match Log'!$N$4:$N$311),NA()))</f>
        <v>1047.2401026778748</v>
      </c>
      <c r="Q127">
        <f>IF($J127&gt;MAX('Match Log'!$A$4:$A$311),NA(),IFERROR(LOOKUP(2,1/(('Match Log'!$D$4:$D$311=$Q$24)*('Match Log'!$A$4:$A$311&lt;=$J127)),'Match Log'!$N$4:$N$311),NA()))</f>
        <v>1099.9035033078371</v>
      </c>
      <c r="R127">
        <f>IF($J127&gt;MAX('Match Log'!$A$4:$A$311),NA(),IFERROR(LOOKUP(2,1/(('Match Log'!$D$4:$D$311=$R$24)*('Match Log'!$A$4:$A$311&lt;=$J127)),'Match Log'!$N$4:$N$311),NA()))</f>
        <v>1092.9844065377026</v>
      </c>
      <c r="S127">
        <f>IF($J127&gt;MAX('Match Log'!$A$4:$A$311),NA(),IFERROR(LOOKUP(2,1/(('Match Log'!$D$4:$D$311=$S$24)*('Match Log'!$A$4:$A$311&lt;=$J127)),'Match Log'!$N$4:$N$311),NA()))</f>
        <v>1189.3765078898728</v>
      </c>
      <c r="T127">
        <f>IF($J127&gt;MAX('Match Log'!$A$4:$A$311),NA(),IFERROR(LOOKUP(2,1/(('Match Log'!$D$4:$D$311=$T$24)*('Match Log'!$A$4:$A$311&lt;=$J127)),'Match Log'!$N$4:$N$311),NA()))</f>
        <v>894.20718606929802</v>
      </c>
      <c r="U127">
        <f>IF($J127&gt;MAX('Match Log'!$A$4:$A$311),NA(),IFERROR(LOOKUP(2,1/(('Match Log'!$D$4:$D$311=$U$24)*('Match Log'!$A$4:$A$311&lt;=$J127)),'Match Log'!$N$4:$N$311),NA()))</f>
        <v>1094.3607552510286</v>
      </c>
      <c r="V127">
        <f>IF($J127&gt;MAX('Match Log'!$A$4:$A$311),NA(),IFERROR(LOOKUP(2,1/(('Match Log'!$D$4:$D$311=$V$24)*('Match Log'!$A$4:$A$311&lt;=$J127)),'Match Log'!$N$4:$N$311),NA()))</f>
        <v>1039.5415973556721</v>
      </c>
      <c r="W127">
        <f>IF($J127&gt;MAX('Match Log'!$A$4:$A$311),NA(),IFERROR(LOOKUP(2,1/(('Match Log'!$D$4:$D$311=$W$24)*('Match Log'!$A$4:$A$311&lt;=$J127)),'Match Log'!$N$4:$N$311),NA()))</f>
        <v>1038.5016461247724</v>
      </c>
      <c r="X127" t="e">
        <f>IF($J127&gt;MAX('Match Log'!$A$4:$A$311),NA(),IFERROR(LOOKUP(2,1/(('Match Log'!$D$4:$D$311=$X$24)*('Match Log'!$A$4:$A$311&lt;=$J127)),'Match Log'!$N$4:$N$311),NA()))</f>
        <v>#N/A</v>
      </c>
      <c r="Y127" t="str">
        <f t="shared" ca="1" si="27"/>
        <v/>
      </c>
    </row>
    <row r="128" spans="1:25" ht="15" customHeight="1" x14ac:dyDescent="0.2">
      <c r="A128">
        <v>104</v>
      </c>
      <c r="B128" s="132">
        <f>IFERROR(INDEX('Match Log'!$B$4:$B$311,MATCH(104,'Match Log'!$A$4:$A$311,0)),"")</f>
        <v>46199</v>
      </c>
      <c r="C128" t="str">
        <f>IFERROR(INDEX('Match Log'!$C$4:$C$311,MATCH(104,'Match Log'!$A$4:$A$311,0)),"")</f>
        <v>Mario Party</v>
      </c>
      <c r="D128" t="str">
        <f>IFERROR(INDEX('Match Log'!$G$4:$G$311,MATCH(104,'Match Log'!$A$4:$A$311,0)),"")</f>
        <v>Shawn</v>
      </c>
      <c r="E128" s="133">
        <f>IFERROR(INDEX('Match Log'!$F$4:$F$311,MATCH(104,'Match Log'!$A$4:$A$311,0)),"")</f>
        <v>2</v>
      </c>
      <c r="F128">
        <f>IFERROR(SUMIFS('Match Log'!$I$4:$I$311,'Match Log'!$A$4:$A$311,104,'Match Log'!$E$4:$E$311,"Win"),"")</f>
        <v>0.33333333333333331</v>
      </c>
      <c r="G128">
        <f t="shared" si="25"/>
        <v>0.33333333333333337</v>
      </c>
      <c r="H128" t="str">
        <f>IFERROR(IF($E128=2,LOOKUP(2,1/(('Match Log'!$A$4:$A$311=104)*('Match Log'!$E$4:$E$311="Loss")),'Match Log'!$D$4:$D$311),"the field"),"")</f>
        <v>Aaron</v>
      </c>
      <c r="I128">
        <f t="shared" si="26"/>
        <v>0.33322933333333338</v>
      </c>
      <c r="J128">
        <v>104</v>
      </c>
      <c r="K128">
        <f>IF($J128&gt;MAX('Match Log'!$A$4:$A$311),NA(),IFERROR(LOOKUP(2,1/(('Match Log'!$D$4:$D$311=$K$24)*('Match Log'!$A$4:$A$311&lt;=$J128)),'Match Log'!$N$4:$N$311),NA()))</f>
        <v>1045.6630710289821</v>
      </c>
      <c r="L128">
        <f>IF($J128&gt;MAX('Match Log'!$A$4:$A$311),NA(),IFERROR(LOOKUP(2,1/(('Match Log'!$D$4:$D$311=$L$24)*('Match Log'!$A$4:$A$311&lt;=$J128)),'Match Log'!$N$4:$N$311),NA()))</f>
        <v>1044.8691565259944</v>
      </c>
      <c r="M128">
        <f>IF($J128&gt;MAX('Match Log'!$A$4:$A$311),NA(),IFERROR(LOOKUP(2,1/(('Match Log'!$D$4:$D$311=$M$24)*('Match Log'!$A$4:$A$311&lt;=$J128)),'Match Log'!$N$4:$N$311),NA()))</f>
        <v>1017.3466608720325</v>
      </c>
      <c r="N128">
        <f>IF($J128&gt;MAX('Match Log'!$A$4:$A$311),NA(),IFERROR(LOOKUP(2,1/(('Match Log'!$D$4:$D$311=$N$24)*('Match Log'!$A$4:$A$311&lt;=$J128)),'Match Log'!$N$4:$N$311),NA()))</f>
        <v>990.8737469852914</v>
      </c>
      <c r="O128">
        <f>IF($J128&gt;MAX('Match Log'!$A$4:$A$311),NA(),IFERROR(LOOKUP(2,1/(('Match Log'!$D$4:$D$311=$O$24)*('Match Log'!$A$4:$A$311&lt;=$J128)),'Match Log'!$N$4:$N$311),NA()))</f>
        <v>1147.1945550051951</v>
      </c>
      <c r="P128">
        <f>IF($J128&gt;MAX('Match Log'!$A$4:$A$311),NA(),IFERROR(LOOKUP(2,1/(('Match Log'!$D$4:$D$311=$P$24)*('Match Log'!$A$4:$A$311&lt;=$J128)),'Match Log'!$N$4:$N$311),NA()))</f>
        <v>1073.1772070463207</v>
      </c>
      <c r="Q128">
        <f>IF($J128&gt;MAX('Match Log'!$A$4:$A$311),NA(),IFERROR(LOOKUP(2,1/(('Match Log'!$D$4:$D$311=$Q$24)*('Match Log'!$A$4:$A$311&lt;=$J128)),'Match Log'!$N$4:$N$311),NA()))</f>
        <v>1099.9035033078371</v>
      </c>
      <c r="R128">
        <f>IF($J128&gt;MAX('Match Log'!$A$4:$A$311),NA(),IFERROR(LOOKUP(2,1/(('Match Log'!$D$4:$D$311=$R$24)*('Match Log'!$A$4:$A$311&lt;=$J128)),'Match Log'!$N$4:$N$311),NA()))</f>
        <v>1092.9844065377026</v>
      </c>
      <c r="S128">
        <f>IF($J128&gt;MAX('Match Log'!$A$4:$A$311),NA(),IFERROR(LOOKUP(2,1/(('Match Log'!$D$4:$D$311=$S$24)*('Match Log'!$A$4:$A$311&lt;=$J128)),'Match Log'!$N$4:$N$311),NA()))</f>
        <v>1189.3765078898728</v>
      </c>
      <c r="T128">
        <f>IF($J128&gt;MAX('Match Log'!$A$4:$A$311),NA(),IFERROR(LOOKUP(2,1/(('Match Log'!$D$4:$D$311=$T$24)*('Match Log'!$A$4:$A$311&lt;=$J128)),'Match Log'!$N$4:$N$311),NA()))</f>
        <v>894.20718606929802</v>
      </c>
      <c r="U128">
        <f>IF($J128&gt;MAX('Match Log'!$A$4:$A$311),NA(),IFERROR(LOOKUP(2,1/(('Match Log'!$D$4:$D$311=$U$24)*('Match Log'!$A$4:$A$311&lt;=$J128)),'Match Log'!$N$4:$N$311),NA()))</f>
        <v>1094.3607552510286</v>
      </c>
      <c r="V128">
        <f>IF($J128&gt;MAX('Match Log'!$A$4:$A$311),NA(),IFERROR(LOOKUP(2,1/(('Match Log'!$D$4:$D$311=$V$24)*('Match Log'!$A$4:$A$311&lt;=$J128)),'Match Log'!$N$4:$N$311),NA()))</f>
        <v>1039.5415973556721</v>
      </c>
      <c r="W128">
        <f>IF($J128&gt;MAX('Match Log'!$A$4:$A$311),NA(),IFERROR(LOOKUP(2,1/(('Match Log'!$D$4:$D$311=$W$24)*('Match Log'!$A$4:$A$311&lt;=$J128)),'Match Log'!$N$4:$N$311),NA()))</f>
        <v>1038.5016461247724</v>
      </c>
      <c r="X128" t="e">
        <f>IF($J128&gt;MAX('Match Log'!$A$4:$A$311),NA(),IFERROR(LOOKUP(2,1/(('Match Log'!$D$4:$D$311=$X$24)*('Match Log'!$A$4:$A$311&lt;=$J128)),'Match Log'!$N$4:$N$311),NA()))</f>
        <v>#N/A</v>
      </c>
      <c r="Y128" t="str">
        <f t="shared" ca="1" si="27"/>
        <v/>
      </c>
    </row>
    <row r="129" spans="1:25" ht="15" customHeight="1" x14ac:dyDescent="0.2">
      <c r="A129">
        <v>105</v>
      </c>
      <c r="B129" s="132">
        <f>IFERROR(INDEX('Match Log'!$B$4:$B$311,MATCH(105,'Match Log'!$A$4:$A$311,0)),"")</f>
        <v>46199</v>
      </c>
      <c r="C129" t="str">
        <f>IFERROR(INDEX('Match Log'!$C$4:$C$311,MATCH(105,'Match Log'!$A$4:$A$311,0)),"")</f>
        <v>Mario Party</v>
      </c>
      <c r="D129" t="str">
        <f>IFERROR(INDEX('Match Log'!$G$4:$G$311,MATCH(105,'Match Log'!$A$4:$A$311,0)),"")</f>
        <v>Aaron</v>
      </c>
      <c r="E129" s="133">
        <f>IFERROR(INDEX('Match Log'!$F$4:$F$311,MATCH(105,'Match Log'!$A$4:$A$311,0)),"")</f>
        <v>2</v>
      </c>
      <c r="F129">
        <f>IFERROR(SUMIFS('Match Log'!$I$4:$I$311,'Match Log'!$A$4:$A$311,105,'Match Log'!$E$4:$E$311,"Win"),"")</f>
        <v>0.45454545454545447</v>
      </c>
      <c r="G129">
        <f t="shared" si="25"/>
        <v>9.090909090909105E-2</v>
      </c>
      <c r="H129" t="str">
        <f>IFERROR(IF($E129=2,LOOKUP(2,1/(('Match Log'!$A$4:$A$311=105)*('Match Log'!$E$4:$E$311="Loss")),'Match Log'!$D$4:$D$311),"the field"),"")</f>
        <v>Shawn</v>
      </c>
      <c r="I129">
        <f t="shared" si="26"/>
        <v>9.0804090909091056E-2</v>
      </c>
      <c r="J129">
        <v>105</v>
      </c>
      <c r="K129">
        <f>IF($J129&gt;MAX('Match Log'!$A$4:$A$311),NA(),IFERROR(LOOKUP(2,1/(('Match Log'!$D$4:$D$311=$K$24)*('Match Log'!$A$4:$A$311&lt;=$J129)),'Match Log'!$N$4:$N$311),NA()))</f>
        <v>1068.7122504858203</v>
      </c>
      <c r="L129">
        <f>IF($J129&gt;MAX('Match Log'!$A$4:$A$311),NA(),IFERROR(LOOKUP(2,1/(('Match Log'!$D$4:$D$311=$L$24)*('Match Log'!$A$4:$A$311&lt;=$J129)),'Match Log'!$N$4:$N$311),NA()))</f>
        <v>1044.8691565259944</v>
      </c>
      <c r="M129">
        <f>IF($J129&gt;MAX('Match Log'!$A$4:$A$311),NA(),IFERROR(LOOKUP(2,1/(('Match Log'!$D$4:$D$311=$M$24)*('Match Log'!$A$4:$A$311&lt;=$J129)),'Match Log'!$N$4:$N$311),NA()))</f>
        <v>1017.3466608720325</v>
      </c>
      <c r="N129">
        <f>IF($J129&gt;MAX('Match Log'!$A$4:$A$311),NA(),IFERROR(LOOKUP(2,1/(('Match Log'!$D$4:$D$311=$N$24)*('Match Log'!$A$4:$A$311&lt;=$J129)),'Match Log'!$N$4:$N$311),NA()))</f>
        <v>990.8737469852914</v>
      </c>
      <c r="O129">
        <f>IF($J129&gt;MAX('Match Log'!$A$4:$A$311),NA(),IFERROR(LOOKUP(2,1/(('Match Log'!$D$4:$D$311=$O$24)*('Match Log'!$A$4:$A$311&lt;=$J129)),'Match Log'!$N$4:$N$311),NA()))</f>
        <v>1147.1945550051951</v>
      </c>
      <c r="P129">
        <f>IF($J129&gt;MAX('Match Log'!$A$4:$A$311),NA(),IFERROR(LOOKUP(2,1/(('Match Log'!$D$4:$D$311=$P$24)*('Match Log'!$A$4:$A$311&lt;=$J129)),'Match Log'!$N$4:$N$311),NA()))</f>
        <v>1050.1280275894826</v>
      </c>
      <c r="Q129">
        <f>IF($J129&gt;MAX('Match Log'!$A$4:$A$311),NA(),IFERROR(LOOKUP(2,1/(('Match Log'!$D$4:$D$311=$Q$24)*('Match Log'!$A$4:$A$311&lt;=$J129)),'Match Log'!$N$4:$N$311),NA()))</f>
        <v>1099.9035033078371</v>
      </c>
      <c r="R129">
        <f>IF($J129&gt;MAX('Match Log'!$A$4:$A$311),NA(),IFERROR(LOOKUP(2,1/(('Match Log'!$D$4:$D$311=$R$24)*('Match Log'!$A$4:$A$311&lt;=$J129)),'Match Log'!$N$4:$N$311),NA()))</f>
        <v>1092.9844065377026</v>
      </c>
      <c r="S129">
        <f>IF($J129&gt;MAX('Match Log'!$A$4:$A$311),NA(),IFERROR(LOOKUP(2,1/(('Match Log'!$D$4:$D$311=$S$24)*('Match Log'!$A$4:$A$311&lt;=$J129)),'Match Log'!$N$4:$N$311),NA()))</f>
        <v>1189.3765078898728</v>
      </c>
      <c r="T129">
        <f>IF($J129&gt;MAX('Match Log'!$A$4:$A$311),NA(),IFERROR(LOOKUP(2,1/(('Match Log'!$D$4:$D$311=$T$24)*('Match Log'!$A$4:$A$311&lt;=$J129)),'Match Log'!$N$4:$N$311),NA()))</f>
        <v>894.20718606929802</v>
      </c>
      <c r="U129">
        <f>IF($J129&gt;MAX('Match Log'!$A$4:$A$311),NA(),IFERROR(LOOKUP(2,1/(('Match Log'!$D$4:$D$311=$U$24)*('Match Log'!$A$4:$A$311&lt;=$J129)),'Match Log'!$N$4:$N$311),NA()))</f>
        <v>1094.3607552510286</v>
      </c>
      <c r="V129">
        <f>IF($J129&gt;MAX('Match Log'!$A$4:$A$311),NA(),IFERROR(LOOKUP(2,1/(('Match Log'!$D$4:$D$311=$V$24)*('Match Log'!$A$4:$A$311&lt;=$J129)),'Match Log'!$N$4:$N$311),NA()))</f>
        <v>1039.5415973556721</v>
      </c>
      <c r="W129">
        <f>IF($J129&gt;MAX('Match Log'!$A$4:$A$311),NA(),IFERROR(LOOKUP(2,1/(('Match Log'!$D$4:$D$311=$W$24)*('Match Log'!$A$4:$A$311&lt;=$J129)),'Match Log'!$N$4:$N$311),NA()))</f>
        <v>1038.5016461247724</v>
      </c>
      <c r="X129" t="e">
        <f>IF($J129&gt;MAX('Match Log'!$A$4:$A$311),NA(),IFERROR(LOOKUP(2,1/(('Match Log'!$D$4:$D$311=$X$24)*('Match Log'!$A$4:$A$311&lt;=$J129)),'Match Log'!$N$4:$N$311),NA()))</f>
        <v>#N/A</v>
      </c>
      <c r="Y129" t="str">
        <f t="shared" ca="1" si="27"/>
        <v/>
      </c>
    </row>
    <row r="130" spans="1:25" ht="15" customHeight="1" x14ac:dyDescent="0.2">
      <c r="A130">
        <v>106</v>
      </c>
      <c r="B130" s="132">
        <f>IFERROR(INDEX('Match Log'!$B$4:$B$311,MATCH(106,'Match Log'!$A$4:$A$311,0)),"")</f>
        <v>46199</v>
      </c>
      <c r="C130" t="str">
        <f>IFERROR(INDEX('Match Log'!$C$4:$C$311,MATCH(106,'Match Log'!$A$4:$A$311,0)),"")</f>
        <v>FIFA</v>
      </c>
      <c r="D130" t="str">
        <f>IFERROR(INDEX('Match Log'!$G$4:$G$311,MATCH(106,'Match Log'!$A$4:$A$311,0)),"")</f>
        <v>Aaron</v>
      </c>
      <c r="E130" s="133">
        <f>IFERROR(INDEX('Match Log'!$F$4:$F$311,MATCH(106,'Match Log'!$A$4:$A$311,0)),"")</f>
        <v>2</v>
      </c>
      <c r="F130">
        <f>IFERROR(SUMIFS('Match Log'!$I$4:$I$311,'Match Log'!$A$4:$A$311,106,'Match Log'!$E$4:$E$311,"Win"),"")</f>
        <v>0.61538461538461542</v>
      </c>
      <c r="G130">
        <f t="shared" si="25"/>
        <v>-0.23076923076923084</v>
      </c>
      <c r="H130" t="str">
        <f>IFERROR(IF($E130=2,LOOKUP(2,1/(('Match Log'!$A$4:$A$311=106)*('Match Log'!$E$4:$E$311="Loss")),'Match Log'!$D$4:$D$311),"the field"),"")</f>
        <v>Shawn</v>
      </c>
      <c r="I130">
        <f t="shared" si="26"/>
        <v>-0.23087523076923083</v>
      </c>
      <c r="J130">
        <v>106</v>
      </c>
      <c r="K130">
        <f>IF($J130&gt;MAX('Match Log'!$A$4:$A$311),NA(),IFERROR(LOOKUP(2,1/(('Match Log'!$D$4:$D$311=$K$24)*('Match Log'!$A$4:$A$311&lt;=$J130)),'Match Log'!$N$4:$N$311),NA()))</f>
        <v>1087.010959810106</v>
      </c>
      <c r="L130">
        <f>IF($J130&gt;MAX('Match Log'!$A$4:$A$311),NA(),IFERROR(LOOKUP(2,1/(('Match Log'!$D$4:$D$311=$L$24)*('Match Log'!$A$4:$A$311&lt;=$J130)),'Match Log'!$N$4:$N$311),NA()))</f>
        <v>1044.8691565259944</v>
      </c>
      <c r="M130">
        <f>IF($J130&gt;MAX('Match Log'!$A$4:$A$311),NA(),IFERROR(LOOKUP(2,1/(('Match Log'!$D$4:$D$311=$M$24)*('Match Log'!$A$4:$A$311&lt;=$J130)),'Match Log'!$N$4:$N$311),NA()))</f>
        <v>1017.3466608720325</v>
      </c>
      <c r="N130">
        <f>IF($J130&gt;MAX('Match Log'!$A$4:$A$311),NA(),IFERROR(LOOKUP(2,1/(('Match Log'!$D$4:$D$311=$N$24)*('Match Log'!$A$4:$A$311&lt;=$J130)),'Match Log'!$N$4:$N$311),NA()))</f>
        <v>990.8737469852914</v>
      </c>
      <c r="O130">
        <f>IF($J130&gt;MAX('Match Log'!$A$4:$A$311),NA(),IFERROR(LOOKUP(2,1/(('Match Log'!$D$4:$D$311=$O$24)*('Match Log'!$A$4:$A$311&lt;=$J130)),'Match Log'!$N$4:$N$311),NA()))</f>
        <v>1147.1945550051951</v>
      </c>
      <c r="P130">
        <f>IF($J130&gt;MAX('Match Log'!$A$4:$A$311),NA(),IFERROR(LOOKUP(2,1/(('Match Log'!$D$4:$D$311=$P$24)*('Match Log'!$A$4:$A$311&lt;=$J130)),'Match Log'!$N$4:$N$311),NA()))</f>
        <v>1031.8293182651969</v>
      </c>
      <c r="Q130">
        <f>IF($J130&gt;MAX('Match Log'!$A$4:$A$311),NA(),IFERROR(LOOKUP(2,1/(('Match Log'!$D$4:$D$311=$Q$24)*('Match Log'!$A$4:$A$311&lt;=$J130)),'Match Log'!$N$4:$N$311),NA()))</f>
        <v>1099.9035033078371</v>
      </c>
      <c r="R130">
        <f>IF($J130&gt;MAX('Match Log'!$A$4:$A$311),NA(),IFERROR(LOOKUP(2,1/(('Match Log'!$D$4:$D$311=$R$24)*('Match Log'!$A$4:$A$311&lt;=$J130)),'Match Log'!$N$4:$N$311),NA()))</f>
        <v>1092.9844065377026</v>
      </c>
      <c r="S130">
        <f>IF($J130&gt;MAX('Match Log'!$A$4:$A$311),NA(),IFERROR(LOOKUP(2,1/(('Match Log'!$D$4:$D$311=$S$24)*('Match Log'!$A$4:$A$311&lt;=$J130)),'Match Log'!$N$4:$N$311),NA()))</f>
        <v>1189.3765078898728</v>
      </c>
      <c r="T130">
        <f>IF($J130&gt;MAX('Match Log'!$A$4:$A$311),NA(),IFERROR(LOOKUP(2,1/(('Match Log'!$D$4:$D$311=$T$24)*('Match Log'!$A$4:$A$311&lt;=$J130)),'Match Log'!$N$4:$N$311),NA()))</f>
        <v>894.20718606929802</v>
      </c>
      <c r="U130">
        <f>IF($J130&gt;MAX('Match Log'!$A$4:$A$311),NA(),IFERROR(LOOKUP(2,1/(('Match Log'!$D$4:$D$311=$U$24)*('Match Log'!$A$4:$A$311&lt;=$J130)),'Match Log'!$N$4:$N$311),NA()))</f>
        <v>1094.3607552510286</v>
      </c>
      <c r="V130">
        <f>IF($J130&gt;MAX('Match Log'!$A$4:$A$311),NA(),IFERROR(LOOKUP(2,1/(('Match Log'!$D$4:$D$311=$V$24)*('Match Log'!$A$4:$A$311&lt;=$J130)),'Match Log'!$N$4:$N$311),NA()))</f>
        <v>1039.5415973556721</v>
      </c>
      <c r="W130">
        <f>IF($J130&gt;MAX('Match Log'!$A$4:$A$311),NA(),IFERROR(LOOKUP(2,1/(('Match Log'!$D$4:$D$311=$W$24)*('Match Log'!$A$4:$A$311&lt;=$J130)),'Match Log'!$N$4:$N$311),NA()))</f>
        <v>1038.5016461247724</v>
      </c>
      <c r="X130" t="e">
        <f>IF($J130&gt;MAX('Match Log'!$A$4:$A$311),NA(),IFERROR(LOOKUP(2,1/(('Match Log'!$D$4:$D$311=$X$24)*('Match Log'!$A$4:$A$311&lt;=$J130)),'Match Log'!$N$4:$N$311),NA()))</f>
        <v>#N/A</v>
      </c>
      <c r="Y130" t="str">
        <f t="shared" ca="1" si="27"/>
        <v/>
      </c>
    </row>
    <row r="131" spans="1:25" ht="15" customHeight="1" x14ac:dyDescent="0.2">
      <c r="A131">
        <v>107</v>
      </c>
      <c r="B131" s="132">
        <f>IFERROR(INDEX('Match Log'!$B$4:$B$311,MATCH(107,'Match Log'!$A$4:$A$311,0)),"")</f>
        <v>46199</v>
      </c>
      <c r="C131" t="str">
        <f>IFERROR(INDEX('Match Log'!$C$4:$C$311,MATCH(107,'Match Log'!$A$4:$A$311,0)),"")</f>
        <v>FIFA</v>
      </c>
      <c r="D131" t="str">
        <f>IFERROR(INDEX('Match Log'!$G$4:$G$311,MATCH(107,'Match Log'!$A$4:$A$311,0)),"")</f>
        <v>Shawn</v>
      </c>
      <c r="E131" s="133">
        <f>IFERROR(INDEX('Match Log'!$F$4:$F$311,MATCH(107,'Match Log'!$A$4:$A$311,0)),"")</f>
        <v>2</v>
      </c>
      <c r="F131">
        <f>IFERROR(SUMIFS('Match Log'!$I$4:$I$311,'Match Log'!$A$4:$A$311,107,'Match Log'!$E$4:$E$311,"Win"),"")</f>
        <v>0.35294117647058826</v>
      </c>
      <c r="G131">
        <f t="shared" si="25"/>
        <v>0.29411764705882348</v>
      </c>
      <c r="H131" t="str">
        <f>IFERROR(IF($E131=2,LOOKUP(2,1/(('Match Log'!$A$4:$A$311=107)*('Match Log'!$E$4:$E$311="Loss")),'Match Log'!$D$4:$D$311),"the field"),"")</f>
        <v>Aaron</v>
      </c>
      <c r="I131">
        <f t="shared" si="26"/>
        <v>0.29401064705882346</v>
      </c>
      <c r="J131">
        <v>107</v>
      </c>
      <c r="K131">
        <f>IF($J131&gt;MAX('Match Log'!$A$4:$A$311),NA(),IFERROR(LOOKUP(2,1/(('Match Log'!$D$4:$D$311=$K$24)*('Match Log'!$A$4:$A$311&lt;=$J131)),'Match Log'!$N$4:$N$311),NA()))</f>
        <v>1059.5408188088202</v>
      </c>
      <c r="L131">
        <f>IF($J131&gt;MAX('Match Log'!$A$4:$A$311),NA(),IFERROR(LOOKUP(2,1/(('Match Log'!$D$4:$D$311=$L$24)*('Match Log'!$A$4:$A$311&lt;=$J131)),'Match Log'!$N$4:$N$311),NA()))</f>
        <v>1044.8691565259944</v>
      </c>
      <c r="M131">
        <f>IF($J131&gt;MAX('Match Log'!$A$4:$A$311),NA(),IFERROR(LOOKUP(2,1/(('Match Log'!$D$4:$D$311=$M$24)*('Match Log'!$A$4:$A$311&lt;=$J131)),'Match Log'!$N$4:$N$311),NA()))</f>
        <v>1017.3466608720325</v>
      </c>
      <c r="N131">
        <f>IF($J131&gt;MAX('Match Log'!$A$4:$A$311),NA(),IFERROR(LOOKUP(2,1/(('Match Log'!$D$4:$D$311=$N$24)*('Match Log'!$A$4:$A$311&lt;=$J131)),'Match Log'!$N$4:$N$311),NA()))</f>
        <v>990.8737469852914</v>
      </c>
      <c r="O131">
        <f>IF($J131&gt;MAX('Match Log'!$A$4:$A$311),NA(),IFERROR(LOOKUP(2,1/(('Match Log'!$D$4:$D$311=$O$24)*('Match Log'!$A$4:$A$311&lt;=$J131)),'Match Log'!$N$4:$N$311),NA()))</f>
        <v>1147.1945550051951</v>
      </c>
      <c r="P131">
        <f>IF($J131&gt;MAX('Match Log'!$A$4:$A$311),NA(),IFERROR(LOOKUP(2,1/(('Match Log'!$D$4:$D$311=$P$24)*('Match Log'!$A$4:$A$311&lt;=$J131)),'Match Log'!$N$4:$N$311),NA()))</f>
        <v>1059.2994592664827</v>
      </c>
      <c r="Q131">
        <f>IF($J131&gt;MAX('Match Log'!$A$4:$A$311),NA(),IFERROR(LOOKUP(2,1/(('Match Log'!$D$4:$D$311=$Q$24)*('Match Log'!$A$4:$A$311&lt;=$J131)),'Match Log'!$N$4:$N$311),NA()))</f>
        <v>1099.9035033078371</v>
      </c>
      <c r="R131">
        <f>IF($J131&gt;MAX('Match Log'!$A$4:$A$311),NA(),IFERROR(LOOKUP(2,1/(('Match Log'!$D$4:$D$311=$R$24)*('Match Log'!$A$4:$A$311&lt;=$J131)),'Match Log'!$N$4:$N$311),NA()))</f>
        <v>1092.9844065377026</v>
      </c>
      <c r="S131">
        <f>IF($J131&gt;MAX('Match Log'!$A$4:$A$311),NA(),IFERROR(LOOKUP(2,1/(('Match Log'!$D$4:$D$311=$S$24)*('Match Log'!$A$4:$A$311&lt;=$J131)),'Match Log'!$N$4:$N$311),NA()))</f>
        <v>1189.3765078898728</v>
      </c>
      <c r="T131">
        <f>IF($J131&gt;MAX('Match Log'!$A$4:$A$311),NA(),IFERROR(LOOKUP(2,1/(('Match Log'!$D$4:$D$311=$T$24)*('Match Log'!$A$4:$A$311&lt;=$J131)),'Match Log'!$N$4:$N$311),NA()))</f>
        <v>894.20718606929802</v>
      </c>
      <c r="U131">
        <f>IF($J131&gt;MAX('Match Log'!$A$4:$A$311),NA(),IFERROR(LOOKUP(2,1/(('Match Log'!$D$4:$D$311=$U$24)*('Match Log'!$A$4:$A$311&lt;=$J131)),'Match Log'!$N$4:$N$311),NA()))</f>
        <v>1094.3607552510286</v>
      </c>
      <c r="V131">
        <f>IF($J131&gt;MAX('Match Log'!$A$4:$A$311),NA(),IFERROR(LOOKUP(2,1/(('Match Log'!$D$4:$D$311=$V$24)*('Match Log'!$A$4:$A$311&lt;=$J131)),'Match Log'!$N$4:$N$311),NA()))</f>
        <v>1039.5415973556721</v>
      </c>
      <c r="W131">
        <f>IF($J131&gt;MAX('Match Log'!$A$4:$A$311),NA(),IFERROR(LOOKUP(2,1/(('Match Log'!$D$4:$D$311=$W$24)*('Match Log'!$A$4:$A$311&lt;=$J131)),'Match Log'!$N$4:$N$311),NA()))</f>
        <v>1038.5016461247724</v>
      </c>
      <c r="X131" t="e">
        <f>IF($J131&gt;MAX('Match Log'!$A$4:$A$311),NA(),IFERROR(LOOKUP(2,1/(('Match Log'!$D$4:$D$311=$X$24)*('Match Log'!$A$4:$A$311&lt;=$J131)),'Match Log'!$N$4:$N$311),NA()))</f>
        <v>#N/A</v>
      </c>
      <c r="Y131" t="str">
        <f t="shared" ca="1" si="27"/>
        <v/>
      </c>
    </row>
    <row r="132" spans="1:25" ht="15" customHeight="1" x14ac:dyDescent="0.2">
      <c r="A132">
        <v>108</v>
      </c>
      <c r="B132" s="132">
        <f>IFERROR(INDEX('Match Log'!$B$4:$B$311,MATCH(108,'Match Log'!$A$4:$A$311,0)),"")</f>
        <v>46200</v>
      </c>
      <c r="C132" t="str">
        <f>IFERROR(INDEX('Match Log'!$C$4:$C$311,MATCH(108,'Match Log'!$A$4:$A$311,0)),"")</f>
        <v>FIFA</v>
      </c>
      <c r="D132" t="str">
        <f>IFERROR(INDEX('Match Log'!$G$4:$G$311,MATCH(108,'Match Log'!$A$4:$A$311,0)),"")</f>
        <v>Shawn</v>
      </c>
      <c r="E132" s="133">
        <f>IFERROR(INDEX('Match Log'!$F$4:$F$311,MATCH(108,'Match Log'!$A$4:$A$311,0)),"")</f>
        <v>2</v>
      </c>
      <c r="F132">
        <f>IFERROR(SUMIFS('Match Log'!$I$4:$I$311,'Match Log'!$A$4:$A$311,108,'Match Log'!$E$4:$E$311,"Win"),"")</f>
        <v>0.41176470588235292</v>
      </c>
      <c r="G132">
        <f t="shared" si="25"/>
        <v>0.17647058823529416</v>
      </c>
      <c r="H132" t="str">
        <f>IFERROR(IF($E132=2,LOOKUP(2,1/(('Match Log'!$A$4:$A$311=108)*('Match Log'!$E$4:$E$311="Loss")),'Match Log'!$D$4:$D$311),"the field"),"")</f>
        <v>Aaron</v>
      </c>
      <c r="I132">
        <f t="shared" si="26"/>
        <v>0.17636258823529416</v>
      </c>
      <c r="J132">
        <v>108</v>
      </c>
      <c r="K132">
        <f>IF($J132&gt;MAX('Match Log'!$A$4:$A$311),NA(),IFERROR(LOOKUP(2,1/(('Match Log'!$D$4:$D$311=$K$24)*('Match Log'!$A$4:$A$311&lt;=$J132)),'Match Log'!$N$4:$N$311),NA()))</f>
        <v>1034.8452813170779</v>
      </c>
      <c r="L132">
        <f>IF($J132&gt;MAX('Match Log'!$A$4:$A$311),NA(),IFERROR(LOOKUP(2,1/(('Match Log'!$D$4:$D$311=$L$24)*('Match Log'!$A$4:$A$311&lt;=$J132)),'Match Log'!$N$4:$N$311),NA()))</f>
        <v>1044.8691565259944</v>
      </c>
      <c r="M132">
        <f>IF($J132&gt;MAX('Match Log'!$A$4:$A$311),NA(),IFERROR(LOOKUP(2,1/(('Match Log'!$D$4:$D$311=$M$24)*('Match Log'!$A$4:$A$311&lt;=$J132)),'Match Log'!$N$4:$N$311),NA()))</f>
        <v>1017.3466608720325</v>
      </c>
      <c r="N132">
        <f>IF($J132&gt;MAX('Match Log'!$A$4:$A$311),NA(),IFERROR(LOOKUP(2,1/(('Match Log'!$D$4:$D$311=$N$24)*('Match Log'!$A$4:$A$311&lt;=$J132)),'Match Log'!$N$4:$N$311),NA()))</f>
        <v>990.8737469852914</v>
      </c>
      <c r="O132">
        <f>IF($J132&gt;MAX('Match Log'!$A$4:$A$311),NA(),IFERROR(LOOKUP(2,1/(('Match Log'!$D$4:$D$311=$O$24)*('Match Log'!$A$4:$A$311&lt;=$J132)),'Match Log'!$N$4:$N$311),NA()))</f>
        <v>1147.1945550051951</v>
      </c>
      <c r="P132">
        <f>IF($J132&gt;MAX('Match Log'!$A$4:$A$311),NA(),IFERROR(LOOKUP(2,1/(('Match Log'!$D$4:$D$311=$P$24)*('Match Log'!$A$4:$A$311&lt;=$J132)),'Match Log'!$N$4:$N$311),NA()))</f>
        <v>1083.9949967582249</v>
      </c>
      <c r="Q132">
        <f>IF($J132&gt;MAX('Match Log'!$A$4:$A$311),NA(),IFERROR(LOOKUP(2,1/(('Match Log'!$D$4:$D$311=$Q$24)*('Match Log'!$A$4:$A$311&lt;=$J132)),'Match Log'!$N$4:$N$311),NA()))</f>
        <v>1099.9035033078371</v>
      </c>
      <c r="R132">
        <f>IF($J132&gt;MAX('Match Log'!$A$4:$A$311),NA(),IFERROR(LOOKUP(2,1/(('Match Log'!$D$4:$D$311=$R$24)*('Match Log'!$A$4:$A$311&lt;=$J132)),'Match Log'!$N$4:$N$311),NA()))</f>
        <v>1092.9844065377026</v>
      </c>
      <c r="S132">
        <f>IF($J132&gt;MAX('Match Log'!$A$4:$A$311),NA(),IFERROR(LOOKUP(2,1/(('Match Log'!$D$4:$D$311=$S$24)*('Match Log'!$A$4:$A$311&lt;=$J132)),'Match Log'!$N$4:$N$311),NA()))</f>
        <v>1189.3765078898728</v>
      </c>
      <c r="T132">
        <f>IF($J132&gt;MAX('Match Log'!$A$4:$A$311),NA(),IFERROR(LOOKUP(2,1/(('Match Log'!$D$4:$D$311=$T$24)*('Match Log'!$A$4:$A$311&lt;=$J132)),'Match Log'!$N$4:$N$311),NA()))</f>
        <v>894.20718606929802</v>
      </c>
      <c r="U132">
        <f>IF($J132&gt;MAX('Match Log'!$A$4:$A$311),NA(),IFERROR(LOOKUP(2,1/(('Match Log'!$D$4:$D$311=$U$24)*('Match Log'!$A$4:$A$311&lt;=$J132)),'Match Log'!$N$4:$N$311),NA()))</f>
        <v>1094.3607552510286</v>
      </c>
      <c r="V132">
        <f>IF($J132&gt;MAX('Match Log'!$A$4:$A$311),NA(),IFERROR(LOOKUP(2,1/(('Match Log'!$D$4:$D$311=$V$24)*('Match Log'!$A$4:$A$311&lt;=$J132)),'Match Log'!$N$4:$N$311),NA()))</f>
        <v>1039.5415973556721</v>
      </c>
      <c r="W132">
        <f>IF($J132&gt;MAX('Match Log'!$A$4:$A$311),NA(),IFERROR(LOOKUP(2,1/(('Match Log'!$D$4:$D$311=$W$24)*('Match Log'!$A$4:$A$311&lt;=$J132)),'Match Log'!$N$4:$N$311),NA()))</f>
        <v>1038.5016461247724</v>
      </c>
      <c r="X132" t="e">
        <f>IF($J132&gt;MAX('Match Log'!$A$4:$A$311),NA(),IFERROR(LOOKUP(2,1/(('Match Log'!$D$4:$D$311=$X$24)*('Match Log'!$A$4:$A$311&lt;=$J132)),'Match Log'!$N$4:$N$311),NA()))</f>
        <v>#N/A</v>
      </c>
      <c r="Y132" t="str">
        <f t="shared" ca="1" si="27"/>
        <v/>
      </c>
    </row>
    <row r="133" spans="1:25" ht="15" customHeight="1" x14ac:dyDescent="0.2">
      <c r="A133">
        <v>109</v>
      </c>
      <c r="B133" s="132">
        <f>IFERROR(INDEX('Match Log'!$B$4:$B$311,MATCH(109,'Match Log'!$A$4:$A$311,0)),"")</f>
        <v>46200</v>
      </c>
      <c r="C133" t="str">
        <f>IFERROR(INDEX('Match Log'!$C$4:$C$311,MATCH(109,'Match Log'!$A$4:$A$311,0)),"")</f>
        <v>FIFA</v>
      </c>
      <c r="D133" t="str">
        <f>IFERROR(INDEX('Match Log'!$G$4:$G$311,MATCH(109,'Match Log'!$A$4:$A$311,0)),"")</f>
        <v>Aaron</v>
      </c>
      <c r="E133" s="133">
        <f>IFERROR(INDEX('Match Log'!$F$4:$F$311,MATCH(109,'Match Log'!$A$4:$A$311,0)),"")</f>
        <v>2</v>
      </c>
      <c r="F133">
        <f>IFERROR(SUMIFS('Match Log'!$I$4:$I$311,'Match Log'!$A$4:$A$311,109,'Match Log'!$E$4:$E$311,"Win"),"")</f>
        <v>0.5371900826446282</v>
      </c>
      <c r="G133">
        <f t="shared" si="25"/>
        <v>-7.4380165289256395E-2</v>
      </c>
      <c r="H133" t="str">
        <f>IFERROR(IF($E133=2,LOOKUP(2,1/(('Match Log'!$A$4:$A$311=109)*('Match Log'!$E$4:$E$311="Loss")),'Match Log'!$D$4:$D$311),"the field"),"")</f>
        <v>Shawn</v>
      </c>
      <c r="I133">
        <f t="shared" si="26"/>
        <v>-7.4489165289256393E-2</v>
      </c>
      <c r="J133">
        <v>109</v>
      </c>
      <c r="K133">
        <f>IF($J133&gt;MAX('Match Log'!$A$4:$A$311),NA(),IFERROR(LOOKUP(2,1/(('Match Log'!$D$4:$D$311=$K$24)*('Match Log'!$A$4:$A$311&lt;=$J133)),'Match Log'!$N$4:$N$311),NA()))</f>
        <v>1056.6393819896734</v>
      </c>
      <c r="L133">
        <f>IF($J133&gt;MAX('Match Log'!$A$4:$A$311),NA(),IFERROR(LOOKUP(2,1/(('Match Log'!$D$4:$D$311=$L$24)*('Match Log'!$A$4:$A$311&lt;=$J133)),'Match Log'!$N$4:$N$311),NA()))</f>
        <v>1044.8691565259944</v>
      </c>
      <c r="M133">
        <f>IF($J133&gt;MAX('Match Log'!$A$4:$A$311),NA(),IFERROR(LOOKUP(2,1/(('Match Log'!$D$4:$D$311=$M$24)*('Match Log'!$A$4:$A$311&lt;=$J133)),'Match Log'!$N$4:$N$311),NA()))</f>
        <v>1017.3466608720325</v>
      </c>
      <c r="N133">
        <f>IF($J133&gt;MAX('Match Log'!$A$4:$A$311),NA(),IFERROR(LOOKUP(2,1/(('Match Log'!$D$4:$D$311=$N$24)*('Match Log'!$A$4:$A$311&lt;=$J133)),'Match Log'!$N$4:$N$311),NA()))</f>
        <v>990.8737469852914</v>
      </c>
      <c r="O133">
        <f>IF($J133&gt;MAX('Match Log'!$A$4:$A$311),NA(),IFERROR(LOOKUP(2,1/(('Match Log'!$D$4:$D$311=$O$24)*('Match Log'!$A$4:$A$311&lt;=$J133)),'Match Log'!$N$4:$N$311),NA()))</f>
        <v>1147.1945550051951</v>
      </c>
      <c r="P133">
        <f>IF($J133&gt;MAX('Match Log'!$A$4:$A$311),NA(),IFERROR(LOOKUP(2,1/(('Match Log'!$D$4:$D$311=$P$24)*('Match Log'!$A$4:$A$311&lt;=$J133)),'Match Log'!$N$4:$N$311),NA()))</f>
        <v>1062.2008960856294</v>
      </c>
      <c r="Q133">
        <f>IF($J133&gt;MAX('Match Log'!$A$4:$A$311),NA(),IFERROR(LOOKUP(2,1/(('Match Log'!$D$4:$D$311=$Q$24)*('Match Log'!$A$4:$A$311&lt;=$J133)),'Match Log'!$N$4:$N$311),NA()))</f>
        <v>1099.9035033078371</v>
      </c>
      <c r="R133">
        <f>IF($J133&gt;MAX('Match Log'!$A$4:$A$311),NA(),IFERROR(LOOKUP(2,1/(('Match Log'!$D$4:$D$311=$R$24)*('Match Log'!$A$4:$A$311&lt;=$J133)),'Match Log'!$N$4:$N$311),NA()))</f>
        <v>1092.9844065377026</v>
      </c>
      <c r="S133">
        <f>IF($J133&gt;MAX('Match Log'!$A$4:$A$311),NA(),IFERROR(LOOKUP(2,1/(('Match Log'!$D$4:$D$311=$S$24)*('Match Log'!$A$4:$A$311&lt;=$J133)),'Match Log'!$N$4:$N$311),NA()))</f>
        <v>1189.3765078898728</v>
      </c>
      <c r="T133">
        <f>IF($J133&gt;MAX('Match Log'!$A$4:$A$311),NA(),IFERROR(LOOKUP(2,1/(('Match Log'!$D$4:$D$311=$T$24)*('Match Log'!$A$4:$A$311&lt;=$J133)),'Match Log'!$N$4:$N$311),NA()))</f>
        <v>894.20718606929802</v>
      </c>
      <c r="U133">
        <f>IF($J133&gt;MAX('Match Log'!$A$4:$A$311),NA(),IFERROR(LOOKUP(2,1/(('Match Log'!$D$4:$D$311=$U$24)*('Match Log'!$A$4:$A$311&lt;=$J133)),'Match Log'!$N$4:$N$311),NA()))</f>
        <v>1094.3607552510286</v>
      </c>
      <c r="V133">
        <f>IF($J133&gt;MAX('Match Log'!$A$4:$A$311),NA(),IFERROR(LOOKUP(2,1/(('Match Log'!$D$4:$D$311=$V$24)*('Match Log'!$A$4:$A$311&lt;=$J133)),'Match Log'!$N$4:$N$311),NA()))</f>
        <v>1039.5415973556721</v>
      </c>
      <c r="W133">
        <f>IF($J133&gt;MAX('Match Log'!$A$4:$A$311),NA(),IFERROR(LOOKUP(2,1/(('Match Log'!$D$4:$D$311=$W$24)*('Match Log'!$A$4:$A$311&lt;=$J133)),'Match Log'!$N$4:$N$311),NA()))</f>
        <v>1038.5016461247724</v>
      </c>
      <c r="X133" t="e">
        <f>IF($J133&gt;MAX('Match Log'!$A$4:$A$311),NA(),IFERROR(LOOKUP(2,1/(('Match Log'!$D$4:$D$311=$X$24)*('Match Log'!$A$4:$A$311&lt;=$J133)),'Match Log'!$N$4:$N$311),NA()))</f>
        <v>#N/A</v>
      </c>
      <c r="Y133" t="str">
        <f t="shared" ca="1" si="27"/>
        <v/>
      </c>
    </row>
    <row r="134" spans="1:25" ht="15" customHeight="1" x14ac:dyDescent="0.2">
      <c r="A134">
        <v>110</v>
      </c>
      <c r="B134" s="132">
        <f>IFERROR(INDEX('Match Log'!$B$4:$B$311,MATCH(110,'Match Log'!$A$4:$A$311,0)),"")</f>
        <v>46200</v>
      </c>
      <c r="C134" t="str">
        <f>IFERROR(INDEX('Match Log'!$C$4:$C$311,MATCH(110,'Match Log'!$A$4:$A$311,0)),"")</f>
        <v>FIFA</v>
      </c>
      <c r="D134" t="str">
        <f>IFERROR(INDEX('Match Log'!$G$4:$G$311,MATCH(110,'Match Log'!$A$4:$A$311,0)),"")</f>
        <v>Aaron</v>
      </c>
      <c r="E134" s="133">
        <f>IFERROR(INDEX('Match Log'!$F$4:$F$311,MATCH(110,'Match Log'!$A$4:$A$311,0)),"")</f>
        <v>2</v>
      </c>
      <c r="F134">
        <f>IFERROR(SUMIFS('Match Log'!$I$4:$I$311,'Match Log'!$A$4:$A$311,110,'Match Log'!$E$4:$E$311,"Win"),"")</f>
        <v>0.57142857142857151</v>
      </c>
      <c r="G134">
        <f t="shared" si="25"/>
        <v>-0.14285714285714302</v>
      </c>
      <c r="H134" t="str">
        <f>IFERROR(IF($E134=2,LOOKUP(2,1/(('Match Log'!$A$4:$A$311=110)*('Match Log'!$E$4:$E$311="Loss")),'Match Log'!$D$4:$D$311),"the field"),"")</f>
        <v>Shawn</v>
      </c>
      <c r="I134">
        <f t="shared" si="26"/>
        <v>-0.14296714285714301</v>
      </c>
      <c r="J134">
        <v>110</v>
      </c>
      <c r="K134">
        <f>IF($J134&gt;MAX('Match Log'!$A$4:$A$311),NA(),IFERROR(LOOKUP(2,1/(('Match Log'!$D$4:$D$311=$K$24)*('Match Log'!$A$4:$A$311&lt;=$J134)),'Match Log'!$N$4:$N$311),NA()))</f>
        <v>1076.3561113589042</v>
      </c>
      <c r="L134">
        <f>IF($J134&gt;MAX('Match Log'!$A$4:$A$311),NA(),IFERROR(LOOKUP(2,1/(('Match Log'!$D$4:$D$311=$L$24)*('Match Log'!$A$4:$A$311&lt;=$J134)),'Match Log'!$N$4:$N$311),NA()))</f>
        <v>1044.8691565259944</v>
      </c>
      <c r="M134">
        <f>IF($J134&gt;MAX('Match Log'!$A$4:$A$311),NA(),IFERROR(LOOKUP(2,1/(('Match Log'!$D$4:$D$311=$M$24)*('Match Log'!$A$4:$A$311&lt;=$J134)),'Match Log'!$N$4:$N$311),NA()))</f>
        <v>1017.3466608720325</v>
      </c>
      <c r="N134">
        <f>IF($J134&gt;MAX('Match Log'!$A$4:$A$311),NA(),IFERROR(LOOKUP(2,1/(('Match Log'!$D$4:$D$311=$N$24)*('Match Log'!$A$4:$A$311&lt;=$J134)),'Match Log'!$N$4:$N$311),NA()))</f>
        <v>990.8737469852914</v>
      </c>
      <c r="O134">
        <f>IF($J134&gt;MAX('Match Log'!$A$4:$A$311),NA(),IFERROR(LOOKUP(2,1/(('Match Log'!$D$4:$D$311=$O$24)*('Match Log'!$A$4:$A$311&lt;=$J134)),'Match Log'!$N$4:$N$311),NA()))</f>
        <v>1147.1945550051951</v>
      </c>
      <c r="P134">
        <f>IF($J134&gt;MAX('Match Log'!$A$4:$A$311),NA(),IFERROR(LOOKUP(2,1/(('Match Log'!$D$4:$D$311=$P$24)*('Match Log'!$A$4:$A$311&lt;=$J134)),'Match Log'!$N$4:$N$311),NA()))</f>
        <v>1042.4841667163987</v>
      </c>
      <c r="Q134">
        <f>IF($J134&gt;MAX('Match Log'!$A$4:$A$311),NA(),IFERROR(LOOKUP(2,1/(('Match Log'!$D$4:$D$311=$Q$24)*('Match Log'!$A$4:$A$311&lt;=$J134)),'Match Log'!$N$4:$N$311),NA()))</f>
        <v>1099.9035033078371</v>
      </c>
      <c r="R134">
        <f>IF($J134&gt;MAX('Match Log'!$A$4:$A$311),NA(),IFERROR(LOOKUP(2,1/(('Match Log'!$D$4:$D$311=$R$24)*('Match Log'!$A$4:$A$311&lt;=$J134)),'Match Log'!$N$4:$N$311),NA()))</f>
        <v>1092.9844065377026</v>
      </c>
      <c r="S134">
        <f>IF($J134&gt;MAX('Match Log'!$A$4:$A$311),NA(),IFERROR(LOOKUP(2,1/(('Match Log'!$D$4:$D$311=$S$24)*('Match Log'!$A$4:$A$311&lt;=$J134)),'Match Log'!$N$4:$N$311),NA()))</f>
        <v>1189.3765078898728</v>
      </c>
      <c r="T134">
        <f>IF($J134&gt;MAX('Match Log'!$A$4:$A$311),NA(),IFERROR(LOOKUP(2,1/(('Match Log'!$D$4:$D$311=$T$24)*('Match Log'!$A$4:$A$311&lt;=$J134)),'Match Log'!$N$4:$N$311),NA()))</f>
        <v>894.20718606929802</v>
      </c>
      <c r="U134">
        <f>IF($J134&gt;MAX('Match Log'!$A$4:$A$311),NA(),IFERROR(LOOKUP(2,1/(('Match Log'!$D$4:$D$311=$U$24)*('Match Log'!$A$4:$A$311&lt;=$J134)),'Match Log'!$N$4:$N$311),NA()))</f>
        <v>1094.3607552510286</v>
      </c>
      <c r="V134">
        <f>IF($J134&gt;MAX('Match Log'!$A$4:$A$311),NA(),IFERROR(LOOKUP(2,1/(('Match Log'!$D$4:$D$311=$V$24)*('Match Log'!$A$4:$A$311&lt;=$J134)),'Match Log'!$N$4:$N$311),NA()))</f>
        <v>1039.5415973556721</v>
      </c>
      <c r="W134">
        <f>IF($J134&gt;MAX('Match Log'!$A$4:$A$311),NA(),IFERROR(LOOKUP(2,1/(('Match Log'!$D$4:$D$311=$W$24)*('Match Log'!$A$4:$A$311&lt;=$J134)),'Match Log'!$N$4:$N$311),NA()))</f>
        <v>1038.5016461247724</v>
      </c>
      <c r="X134" t="e">
        <f>IF($J134&gt;MAX('Match Log'!$A$4:$A$311),NA(),IFERROR(LOOKUP(2,1/(('Match Log'!$D$4:$D$311=$X$24)*('Match Log'!$A$4:$A$311&lt;=$J134)),'Match Log'!$N$4:$N$311),NA()))</f>
        <v>#N/A</v>
      </c>
      <c r="Y134" t="str">
        <f t="shared" ca="1" si="27"/>
        <v/>
      </c>
    </row>
    <row r="135" spans="1:25" ht="15" customHeight="1" x14ac:dyDescent="0.2">
      <c r="A135">
        <v>111</v>
      </c>
      <c r="B135" s="132">
        <f>IFERROR(INDEX('Match Log'!$B$4:$B$311,MATCH(111,'Match Log'!$A$4:$A$311,0)),"")</f>
        <v>46200</v>
      </c>
      <c r="C135" t="str">
        <f>IFERROR(INDEX('Match Log'!$C$4:$C$311,MATCH(111,'Match Log'!$A$4:$A$311,0)),"")</f>
        <v>Mario Kart</v>
      </c>
      <c r="D135" t="str">
        <f>IFERROR(INDEX('Match Log'!$G$4:$G$311,MATCH(111,'Match Log'!$A$4:$A$311,0)),"")</f>
        <v>Aaron</v>
      </c>
      <c r="E135" s="133">
        <f>IFERROR(INDEX('Match Log'!$F$4:$F$311,MATCH(111,'Match Log'!$A$4:$A$311,0)),"")</f>
        <v>2</v>
      </c>
      <c r="F135">
        <f>IFERROR(SUMIFS('Match Log'!$I$4:$I$311,'Match Log'!$A$4:$A$311,111,'Match Log'!$E$4:$E$311,"Win"),"")</f>
        <v>0.60000000000000009</v>
      </c>
      <c r="G135">
        <f t="shared" si="25"/>
        <v>-0.20000000000000018</v>
      </c>
      <c r="H135" t="str">
        <f>IFERROR(IF($E135=2,LOOKUP(2,1/(('Match Log'!$A$4:$A$311=111)*('Match Log'!$E$4:$E$311="Loss")),'Match Log'!$D$4:$D$311),"the field"),"")</f>
        <v>Shawn</v>
      </c>
      <c r="I135">
        <f t="shared" si="26"/>
        <v>-0.20011100000000018</v>
      </c>
      <c r="J135">
        <v>111</v>
      </c>
      <c r="K135">
        <f>IF($J135&gt;MAX('Match Log'!$A$4:$A$311),NA(),IFERROR(LOOKUP(2,1/(('Match Log'!$D$4:$D$311=$K$24)*('Match Log'!$A$4:$A$311&lt;=$J135)),'Match Log'!$N$4:$N$311),NA()))</f>
        <v>1095.1513498420616</v>
      </c>
      <c r="L135">
        <f>IF($J135&gt;MAX('Match Log'!$A$4:$A$311),NA(),IFERROR(LOOKUP(2,1/(('Match Log'!$D$4:$D$311=$L$24)*('Match Log'!$A$4:$A$311&lt;=$J135)),'Match Log'!$N$4:$N$311),NA()))</f>
        <v>1044.8691565259944</v>
      </c>
      <c r="M135">
        <f>IF($J135&gt;MAX('Match Log'!$A$4:$A$311),NA(),IFERROR(LOOKUP(2,1/(('Match Log'!$D$4:$D$311=$M$24)*('Match Log'!$A$4:$A$311&lt;=$J135)),'Match Log'!$N$4:$N$311),NA()))</f>
        <v>1017.3466608720325</v>
      </c>
      <c r="N135">
        <f>IF($J135&gt;MAX('Match Log'!$A$4:$A$311),NA(),IFERROR(LOOKUP(2,1/(('Match Log'!$D$4:$D$311=$N$24)*('Match Log'!$A$4:$A$311&lt;=$J135)),'Match Log'!$N$4:$N$311),NA()))</f>
        <v>990.8737469852914</v>
      </c>
      <c r="O135">
        <f>IF($J135&gt;MAX('Match Log'!$A$4:$A$311),NA(),IFERROR(LOOKUP(2,1/(('Match Log'!$D$4:$D$311=$O$24)*('Match Log'!$A$4:$A$311&lt;=$J135)),'Match Log'!$N$4:$N$311),NA()))</f>
        <v>1147.1945550051951</v>
      </c>
      <c r="P135">
        <f>IF($J135&gt;MAX('Match Log'!$A$4:$A$311),NA(),IFERROR(LOOKUP(2,1/(('Match Log'!$D$4:$D$311=$P$24)*('Match Log'!$A$4:$A$311&lt;=$J135)),'Match Log'!$N$4:$N$311),NA()))</f>
        <v>1023.6889282332414</v>
      </c>
      <c r="Q135">
        <f>IF($J135&gt;MAX('Match Log'!$A$4:$A$311),NA(),IFERROR(LOOKUP(2,1/(('Match Log'!$D$4:$D$311=$Q$24)*('Match Log'!$A$4:$A$311&lt;=$J135)),'Match Log'!$N$4:$N$311),NA()))</f>
        <v>1099.9035033078371</v>
      </c>
      <c r="R135">
        <f>IF($J135&gt;MAX('Match Log'!$A$4:$A$311),NA(),IFERROR(LOOKUP(2,1/(('Match Log'!$D$4:$D$311=$R$24)*('Match Log'!$A$4:$A$311&lt;=$J135)),'Match Log'!$N$4:$N$311),NA()))</f>
        <v>1092.9844065377026</v>
      </c>
      <c r="S135">
        <f>IF($J135&gt;MAX('Match Log'!$A$4:$A$311),NA(),IFERROR(LOOKUP(2,1/(('Match Log'!$D$4:$D$311=$S$24)*('Match Log'!$A$4:$A$311&lt;=$J135)),'Match Log'!$N$4:$N$311),NA()))</f>
        <v>1189.3765078898728</v>
      </c>
      <c r="T135">
        <f>IF($J135&gt;MAX('Match Log'!$A$4:$A$311),NA(),IFERROR(LOOKUP(2,1/(('Match Log'!$D$4:$D$311=$T$24)*('Match Log'!$A$4:$A$311&lt;=$J135)),'Match Log'!$N$4:$N$311),NA()))</f>
        <v>894.20718606929802</v>
      </c>
      <c r="U135">
        <f>IF($J135&gt;MAX('Match Log'!$A$4:$A$311),NA(),IFERROR(LOOKUP(2,1/(('Match Log'!$D$4:$D$311=$U$24)*('Match Log'!$A$4:$A$311&lt;=$J135)),'Match Log'!$N$4:$N$311),NA()))</f>
        <v>1094.3607552510286</v>
      </c>
      <c r="V135">
        <f>IF($J135&gt;MAX('Match Log'!$A$4:$A$311),NA(),IFERROR(LOOKUP(2,1/(('Match Log'!$D$4:$D$311=$V$24)*('Match Log'!$A$4:$A$311&lt;=$J135)),'Match Log'!$N$4:$N$311),NA()))</f>
        <v>1039.5415973556721</v>
      </c>
      <c r="W135">
        <f>IF($J135&gt;MAX('Match Log'!$A$4:$A$311),NA(),IFERROR(LOOKUP(2,1/(('Match Log'!$D$4:$D$311=$W$24)*('Match Log'!$A$4:$A$311&lt;=$J135)),'Match Log'!$N$4:$N$311),NA()))</f>
        <v>1038.5016461247724</v>
      </c>
      <c r="X135" t="e">
        <f>IF($J135&gt;MAX('Match Log'!$A$4:$A$311),NA(),IFERROR(LOOKUP(2,1/(('Match Log'!$D$4:$D$311=$X$24)*('Match Log'!$A$4:$A$311&lt;=$J135)),'Match Log'!$N$4:$N$311),NA()))</f>
        <v>#N/A</v>
      </c>
      <c r="Y135" t="str">
        <f t="shared" ca="1" si="27"/>
        <v/>
      </c>
    </row>
    <row r="136" spans="1:25" ht="15" customHeight="1" x14ac:dyDescent="0.2">
      <c r="A136">
        <v>112</v>
      </c>
      <c r="B136" s="132">
        <f>IFERROR(INDEX('Match Log'!$B$4:$B$311,MATCH(112,'Match Log'!$A$4:$A$311,0)),"")</f>
        <v>46200</v>
      </c>
      <c r="C136" t="str">
        <f>IFERROR(INDEX('Match Log'!$C$4:$C$311,MATCH(112,'Match Log'!$A$4:$A$311,0)),"")</f>
        <v>Mario Kart</v>
      </c>
      <c r="D136" t="str">
        <f>IFERROR(INDEX('Match Log'!$G$4:$G$311,MATCH(112,'Match Log'!$A$4:$A$311,0)),"")</f>
        <v>Aaron</v>
      </c>
      <c r="E136" s="133">
        <f>IFERROR(INDEX('Match Log'!$F$4:$F$311,MATCH(112,'Match Log'!$A$4:$A$311,0)),"")</f>
        <v>2</v>
      </c>
      <c r="F136">
        <f>IFERROR(SUMIFS('Match Log'!$I$4:$I$311,'Match Log'!$A$4:$A$311,112,'Match Log'!$E$4:$E$311,"Win"),"")</f>
        <v>0.72727272727272729</v>
      </c>
      <c r="G136">
        <f t="shared" si="25"/>
        <v>-0.45454545454545459</v>
      </c>
      <c r="H136" t="str">
        <f>IFERROR(IF($E136=2,LOOKUP(2,1/(('Match Log'!$A$4:$A$311=112)*('Match Log'!$E$4:$E$311="Loss")),'Match Log'!$D$4:$D$311),"the field"),"")</f>
        <v>Shawn</v>
      </c>
      <c r="I136">
        <f t="shared" si="26"/>
        <v>-0.45465745454545459</v>
      </c>
      <c r="J136">
        <v>112</v>
      </c>
      <c r="K136">
        <f>IF($J136&gt;MAX('Match Log'!$A$4:$A$311),NA(),IFERROR(LOOKUP(2,1/(('Match Log'!$D$4:$D$311=$K$24)*('Match Log'!$A$4:$A$311&lt;=$J136)),'Match Log'!$N$4:$N$311),NA()))</f>
        <v>1111.0634877797586</v>
      </c>
      <c r="L136">
        <f>IF($J136&gt;MAX('Match Log'!$A$4:$A$311),NA(),IFERROR(LOOKUP(2,1/(('Match Log'!$D$4:$D$311=$L$24)*('Match Log'!$A$4:$A$311&lt;=$J136)),'Match Log'!$N$4:$N$311),NA()))</f>
        <v>1044.8691565259944</v>
      </c>
      <c r="M136">
        <f>IF($J136&gt;MAX('Match Log'!$A$4:$A$311),NA(),IFERROR(LOOKUP(2,1/(('Match Log'!$D$4:$D$311=$M$24)*('Match Log'!$A$4:$A$311&lt;=$J136)),'Match Log'!$N$4:$N$311),NA()))</f>
        <v>1017.3466608720325</v>
      </c>
      <c r="N136">
        <f>IF($J136&gt;MAX('Match Log'!$A$4:$A$311),NA(),IFERROR(LOOKUP(2,1/(('Match Log'!$D$4:$D$311=$N$24)*('Match Log'!$A$4:$A$311&lt;=$J136)),'Match Log'!$N$4:$N$311),NA()))</f>
        <v>990.8737469852914</v>
      </c>
      <c r="O136">
        <f>IF($J136&gt;MAX('Match Log'!$A$4:$A$311),NA(),IFERROR(LOOKUP(2,1/(('Match Log'!$D$4:$D$311=$O$24)*('Match Log'!$A$4:$A$311&lt;=$J136)),'Match Log'!$N$4:$N$311),NA()))</f>
        <v>1147.1945550051951</v>
      </c>
      <c r="P136">
        <f>IF($J136&gt;MAX('Match Log'!$A$4:$A$311),NA(),IFERROR(LOOKUP(2,1/(('Match Log'!$D$4:$D$311=$P$24)*('Match Log'!$A$4:$A$311&lt;=$J136)),'Match Log'!$N$4:$N$311),NA()))</f>
        <v>1007.7767902955445</v>
      </c>
      <c r="Q136">
        <f>IF($J136&gt;MAX('Match Log'!$A$4:$A$311),NA(),IFERROR(LOOKUP(2,1/(('Match Log'!$D$4:$D$311=$Q$24)*('Match Log'!$A$4:$A$311&lt;=$J136)),'Match Log'!$N$4:$N$311),NA()))</f>
        <v>1099.9035033078371</v>
      </c>
      <c r="R136">
        <f>IF($J136&gt;MAX('Match Log'!$A$4:$A$311),NA(),IFERROR(LOOKUP(2,1/(('Match Log'!$D$4:$D$311=$R$24)*('Match Log'!$A$4:$A$311&lt;=$J136)),'Match Log'!$N$4:$N$311),NA()))</f>
        <v>1092.9844065377026</v>
      </c>
      <c r="S136">
        <f>IF($J136&gt;MAX('Match Log'!$A$4:$A$311),NA(),IFERROR(LOOKUP(2,1/(('Match Log'!$D$4:$D$311=$S$24)*('Match Log'!$A$4:$A$311&lt;=$J136)),'Match Log'!$N$4:$N$311),NA()))</f>
        <v>1189.3765078898728</v>
      </c>
      <c r="T136">
        <f>IF($J136&gt;MAX('Match Log'!$A$4:$A$311),NA(),IFERROR(LOOKUP(2,1/(('Match Log'!$D$4:$D$311=$T$24)*('Match Log'!$A$4:$A$311&lt;=$J136)),'Match Log'!$N$4:$N$311),NA()))</f>
        <v>894.20718606929802</v>
      </c>
      <c r="U136">
        <f>IF($J136&gt;MAX('Match Log'!$A$4:$A$311),NA(),IFERROR(LOOKUP(2,1/(('Match Log'!$D$4:$D$311=$U$24)*('Match Log'!$A$4:$A$311&lt;=$J136)),'Match Log'!$N$4:$N$311),NA()))</f>
        <v>1094.3607552510286</v>
      </c>
      <c r="V136">
        <f>IF($J136&gt;MAX('Match Log'!$A$4:$A$311),NA(),IFERROR(LOOKUP(2,1/(('Match Log'!$D$4:$D$311=$V$24)*('Match Log'!$A$4:$A$311&lt;=$J136)),'Match Log'!$N$4:$N$311),NA()))</f>
        <v>1039.5415973556721</v>
      </c>
      <c r="W136">
        <f>IF($J136&gt;MAX('Match Log'!$A$4:$A$311),NA(),IFERROR(LOOKUP(2,1/(('Match Log'!$D$4:$D$311=$W$24)*('Match Log'!$A$4:$A$311&lt;=$J136)),'Match Log'!$N$4:$N$311),NA()))</f>
        <v>1038.5016461247724</v>
      </c>
      <c r="X136" t="e">
        <f>IF($J136&gt;MAX('Match Log'!$A$4:$A$311),NA(),IFERROR(LOOKUP(2,1/(('Match Log'!$D$4:$D$311=$X$24)*('Match Log'!$A$4:$A$311&lt;=$J136)),'Match Log'!$N$4:$N$311),NA()))</f>
        <v>#N/A</v>
      </c>
      <c r="Y136" t="str">
        <f t="shared" ca="1" si="27"/>
        <v/>
      </c>
    </row>
    <row r="137" spans="1:25" ht="15" customHeight="1" x14ac:dyDescent="0.2">
      <c r="A137">
        <v>113</v>
      </c>
      <c r="B137" s="132">
        <f>IFERROR(INDEX('Match Log'!$B$4:$B$311,MATCH(113,'Match Log'!$A$4:$A$311,0)),"")</f>
        <v>46200</v>
      </c>
      <c r="C137" t="str">
        <f>IFERROR(INDEX('Match Log'!$C$4:$C$311,MATCH(113,'Match Log'!$A$4:$A$311,0)),"")</f>
        <v>Mario Kart</v>
      </c>
      <c r="D137" t="str">
        <f>IFERROR(INDEX('Match Log'!$G$4:$G$311,MATCH(113,'Match Log'!$A$4:$A$311,0)),"")</f>
        <v>Aaron</v>
      </c>
      <c r="E137" s="133">
        <f>IFERROR(INDEX('Match Log'!$F$4:$F$311,MATCH(113,'Match Log'!$A$4:$A$311,0)),"")</f>
        <v>2</v>
      </c>
      <c r="F137">
        <f>IFERROR(SUMIFS('Match Log'!$I$4:$I$311,'Match Log'!$A$4:$A$311,113,'Match Log'!$E$4:$E$311,"Win"),"")</f>
        <v>0.78947368421052633</v>
      </c>
      <c r="G137">
        <f t="shared" si="25"/>
        <v>-0.57894736842105265</v>
      </c>
      <c r="H137" t="str">
        <f>IFERROR(IF($E137=2,LOOKUP(2,1/(('Match Log'!$A$4:$A$311=113)*('Match Log'!$E$4:$E$311="Loss")),'Match Log'!$D$4:$D$311),"the field"),"")</f>
        <v>Shawn</v>
      </c>
      <c r="I137">
        <f t="shared" si="26"/>
        <v>-0.57906036842105268</v>
      </c>
      <c r="J137">
        <v>113</v>
      </c>
      <c r="K137">
        <f>IF($J137&gt;MAX('Match Log'!$A$4:$A$311),NA(),IFERROR(LOOKUP(2,1/(('Match Log'!$D$4:$D$311=$K$24)*('Match Log'!$A$4:$A$311&lt;=$J137)),'Match Log'!$N$4:$N$311),NA()))</f>
        <v>1125.1080177960646</v>
      </c>
      <c r="L137">
        <f>IF($J137&gt;MAX('Match Log'!$A$4:$A$311),NA(),IFERROR(LOOKUP(2,1/(('Match Log'!$D$4:$D$311=$L$24)*('Match Log'!$A$4:$A$311&lt;=$J137)),'Match Log'!$N$4:$N$311),NA()))</f>
        <v>1044.8691565259944</v>
      </c>
      <c r="M137">
        <f>IF($J137&gt;MAX('Match Log'!$A$4:$A$311),NA(),IFERROR(LOOKUP(2,1/(('Match Log'!$D$4:$D$311=$M$24)*('Match Log'!$A$4:$A$311&lt;=$J137)),'Match Log'!$N$4:$N$311),NA()))</f>
        <v>1017.3466608720325</v>
      </c>
      <c r="N137">
        <f>IF($J137&gt;MAX('Match Log'!$A$4:$A$311),NA(),IFERROR(LOOKUP(2,1/(('Match Log'!$D$4:$D$311=$N$24)*('Match Log'!$A$4:$A$311&lt;=$J137)),'Match Log'!$N$4:$N$311),NA()))</f>
        <v>990.8737469852914</v>
      </c>
      <c r="O137">
        <f>IF($J137&gt;MAX('Match Log'!$A$4:$A$311),NA(),IFERROR(LOOKUP(2,1/(('Match Log'!$D$4:$D$311=$O$24)*('Match Log'!$A$4:$A$311&lt;=$J137)),'Match Log'!$N$4:$N$311),NA()))</f>
        <v>1147.1945550051951</v>
      </c>
      <c r="P137">
        <f>IF($J137&gt;MAX('Match Log'!$A$4:$A$311),NA(),IFERROR(LOOKUP(2,1/(('Match Log'!$D$4:$D$311=$P$24)*('Match Log'!$A$4:$A$311&lt;=$J137)),'Match Log'!$N$4:$N$311),NA()))</f>
        <v>993.73226027923863</v>
      </c>
      <c r="Q137">
        <f>IF($J137&gt;MAX('Match Log'!$A$4:$A$311),NA(),IFERROR(LOOKUP(2,1/(('Match Log'!$D$4:$D$311=$Q$24)*('Match Log'!$A$4:$A$311&lt;=$J137)),'Match Log'!$N$4:$N$311),NA()))</f>
        <v>1099.9035033078371</v>
      </c>
      <c r="R137">
        <f>IF($J137&gt;MAX('Match Log'!$A$4:$A$311),NA(),IFERROR(LOOKUP(2,1/(('Match Log'!$D$4:$D$311=$R$24)*('Match Log'!$A$4:$A$311&lt;=$J137)),'Match Log'!$N$4:$N$311),NA()))</f>
        <v>1092.9844065377026</v>
      </c>
      <c r="S137">
        <f>IF($J137&gt;MAX('Match Log'!$A$4:$A$311),NA(),IFERROR(LOOKUP(2,1/(('Match Log'!$D$4:$D$311=$S$24)*('Match Log'!$A$4:$A$311&lt;=$J137)),'Match Log'!$N$4:$N$311),NA()))</f>
        <v>1189.3765078898728</v>
      </c>
      <c r="T137">
        <f>IF($J137&gt;MAX('Match Log'!$A$4:$A$311),NA(),IFERROR(LOOKUP(2,1/(('Match Log'!$D$4:$D$311=$T$24)*('Match Log'!$A$4:$A$311&lt;=$J137)),'Match Log'!$N$4:$N$311),NA()))</f>
        <v>894.20718606929802</v>
      </c>
      <c r="U137">
        <f>IF($J137&gt;MAX('Match Log'!$A$4:$A$311),NA(),IFERROR(LOOKUP(2,1/(('Match Log'!$D$4:$D$311=$U$24)*('Match Log'!$A$4:$A$311&lt;=$J137)),'Match Log'!$N$4:$N$311),NA()))</f>
        <v>1094.3607552510286</v>
      </c>
      <c r="V137">
        <f>IF($J137&gt;MAX('Match Log'!$A$4:$A$311),NA(),IFERROR(LOOKUP(2,1/(('Match Log'!$D$4:$D$311=$V$24)*('Match Log'!$A$4:$A$311&lt;=$J137)),'Match Log'!$N$4:$N$311),NA()))</f>
        <v>1039.5415973556721</v>
      </c>
      <c r="W137">
        <f>IF($J137&gt;MAX('Match Log'!$A$4:$A$311),NA(),IFERROR(LOOKUP(2,1/(('Match Log'!$D$4:$D$311=$W$24)*('Match Log'!$A$4:$A$311&lt;=$J137)),'Match Log'!$N$4:$N$311),NA()))</f>
        <v>1038.5016461247724</v>
      </c>
      <c r="X137" t="e">
        <f>IF($J137&gt;MAX('Match Log'!$A$4:$A$311),NA(),IFERROR(LOOKUP(2,1/(('Match Log'!$D$4:$D$311=$X$24)*('Match Log'!$A$4:$A$311&lt;=$J137)),'Match Log'!$N$4:$N$311),NA()))</f>
        <v>#N/A</v>
      </c>
      <c r="Y137" t="str">
        <f t="shared" ca="1" si="27"/>
        <v/>
      </c>
    </row>
    <row r="138" spans="1:25" ht="15" customHeight="1" x14ac:dyDescent="0.2">
      <c r="A138">
        <v>114</v>
      </c>
      <c r="B138" s="132">
        <f>IFERROR(INDEX('Match Log'!$B$4:$B$311,MATCH(114,'Match Log'!$A$4:$A$311,0)),"")</f>
        <v>46202</v>
      </c>
      <c r="C138" t="str">
        <f>IFERROR(INDEX('Match Log'!$C$4:$C$311,MATCH(114,'Match Log'!$A$4:$A$311,0)),"")</f>
        <v>Chess</v>
      </c>
      <c r="D138" t="str">
        <f>IFERROR(INDEX('Match Log'!$G$4:$G$311,MATCH(114,'Match Log'!$A$4:$A$311,0)),"")</f>
        <v>Shawn</v>
      </c>
      <c r="E138" s="133">
        <f>IFERROR(INDEX('Match Log'!$F$4:$F$311,MATCH(114,'Match Log'!$A$4:$A$311,0)),"")</f>
        <v>2</v>
      </c>
      <c r="F138">
        <f>IFERROR(SUMIFS('Match Log'!$I$4:$I$311,'Match Log'!$A$4:$A$311,114,'Match Log'!$E$4:$E$311,"Win"),"")</f>
        <v>0.66666666666666663</v>
      </c>
      <c r="G138">
        <f t="shared" si="25"/>
        <v>-0.33333333333333326</v>
      </c>
      <c r="H138" t="str">
        <f>IFERROR(IF($E138=2,LOOKUP(2,1/(('Match Log'!$A$4:$A$311=114)*('Match Log'!$E$4:$E$311="Loss")),'Match Log'!$D$4:$D$311),"the field"),"")</f>
        <v>Daniel (Ferret)</v>
      </c>
      <c r="I138">
        <f t="shared" si="26"/>
        <v>-0.33344733333333326</v>
      </c>
      <c r="J138">
        <v>114</v>
      </c>
      <c r="K138">
        <f>IF($J138&gt;MAX('Match Log'!$A$4:$A$311),NA(),IFERROR(LOOKUP(2,1/(('Match Log'!$D$4:$D$311=$K$24)*('Match Log'!$A$4:$A$311&lt;=$J138)),'Match Log'!$N$4:$N$311),NA()))</f>
        <v>1125.1080177960646</v>
      </c>
      <c r="L138">
        <f>IF($J138&gt;MAX('Match Log'!$A$4:$A$311),NA(),IFERROR(LOOKUP(2,1/(('Match Log'!$D$4:$D$311=$L$24)*('Match Log'!$A$4:$A$311&lt;=$J138)),'Match Log'!$N$4:$N$311),NA()))</f>
        <v>1044.8691565259944</v>
      </c>
      <c r="M138">
        <f>IF($J138&gt;MAX('Match Log'!$A$4:$A$311),NA(),IFERROR(LOOKUP(2,1/(('Match Log'!$D$4:$D$311=$M$24)*('Match Log'!$A$4:$A$311&lt;=$J138)),'Match Log'!$N$4:$N$311),NA()))</f>
        <v>1017.3466608720325</v>
      </c>
      <c r="N138">
        <f>IF($J138&gt;MAX('Match Log'!$A$4:$A$311),NA(),IFERROR(LOOKUP(2,1/(('Match Log'!$D$4:$D$311=$N$24)*('Match Log'!$A$4:$A$311&lt;=$J138)),'Match Log'!$N$4:$N$311),NA()))</f>
        <v>990.8737469852914</v>
      </c>
      <c r="O138">
        <f>IF($J138&gt;MAX('Match Log'!$A$4:$A$311),NA(),IFERROR(LOOKUP(2,1/(('Match Log'!$D$4:$D$311=$O$24)*('Match Log'!$A$4:$A$311&lt;=$J138)),'Match Log'!$N$4:$N$311),NA()))</f>
        <v>1147.1945550051951</v>
      </c>
      <c r="P138">
        <f>IF($J138&gt;MAX('Match Log'!$A$4:$A$311),NA(),IFERROR(LOOKUP(2,1/(('Match Log'!$D$4:$D$311=$P$24)*('Match Log'!$A$4:$A$311&lt;=$J138)),'Match Log'!$N$4:$N$311),NA()))</f>
        <v>1017.2378263100353</v>
      </c>
      <c r="Q138">
        <f>IF($J138&gt;MAX('Match Log'!$A$4:$A$311),NA(),IFERROR(LOOKUP(2,1/(('Match Log'!$D$4:$D$311=$Q$24)*('Match Log'!$A$4:$A$311&lt;=$J138)),'Match Log'!$N$4:$N$311),NA()))</f>
        <v>1099.9035033078371</v>
      </c>
      <c r="R138">
        <f>IF($J138&gt;MAX('Match Log'!$A$4:$A$311),NA(),IFERROR(LOOKUP(2,1/(('Match Log'!$D$4:$D$311=$R$24)*('Match Log'!$A$4:$A$311&lt;=$J138)),'Match Log'!$N$4:$N$311),NA()))</f>
        <v>1069.478840506906</v>
      </c>
      <c r="S138">
        <f>IF($J138&gt;MAX('Match Log'!$A$4:$A$311),NA(),IFERROR(LOOKUP(2,1/(('Match Log'!$D$4:$D$311=$S$24)*('Match Log'!$A$4:$A$311&lt;=$J138)),'Match Log'!$N$4:$N$311),NA()))</f>
        <v>1189.3765078898728</v>
      </c>
      <c r="T138">
        <f>IF($J138&gt;MAX('Match Log'!$A$4:$A$311),NA(),IFERROR(LOOKUP(2,1/(('Match Log'!$D$4:$D$311=$T$24)*('Match Log'!$A$4:$A$311&lt;=$J138)),'Match Log'!$N$4:$N$311),NA()))</f>
        <v>894.20718606929802</v>
      </c>
      <c r="U138">
        <f>IF($J138&gt;MAX('Match Log'!$A$4:$A$311),NA(),IFERROR(LOOKUP(2,1/(('Match Log'!$D$4:$D$311=$U$24)*('Match Log'!$A$4:$A$311&lt;=$J138)),'Match Log'!$N$4:$N$311),NA()))</f>
        <v>1094.3607552510286</v>
      </c>
      <c r="V138">
        <f>IF($J138&gt;MAX('Match Log'!$A$4:$A$311),NA(),IFERROR(LOOKUP(2,1/(('Match Log'!$D$4:$D$311=$V$24)*('Match Log'!$A$4:$A$311&lt;=$J138)),'Match Log'!$N$4:$N$311),NA()))</f>
        <v>1039.5415973556721</v>
      </c>
      <c r="W138">
        <f>IF($J138&gt;MAX('Match Log'!$A$4:$A$311),NA(),IFERROR(LOOKUP(2,1/(('Match Log'!$D$4:$D$311=$W$24)*('Match Log'!$A$4:$A$311&lt;=$J138)),'Match Log'!$N$4:$N$311),NA()))</f>
        <v>1038.5016461247724</v>
      </c>
      <c r="X138" t="e">
        <f>IF($J138&gt;MAX('Match Log'!$A$4:$A$311),NA(),IFERROR(LOOKUP(2,1/(('Match Log'!$D$4:$D$311=$X$24)*('Match Log'!$A$4:$A$311&lt;=$J138)),'Match Log'!$N$4:$N$311),NA()))</f>
        <v>#N/A</v>
      </c>
      <c r="Y138">
        <f t="shared" ca="1" si="27"/>
        <v>-0.33344733333333326</v>
      </c>
    </row>
    <row r="139" spans="1:25" ht="15" customHeight="1" x14ac:dyDescent="0.2">
      <c r="A139">
        <v>115</v>
      </c>
      <c r="B139">
        <f>IFERROR(INDEX('Match Log'!$B$4:$B$311,MATCH(115,'Match Log'!$A$4:$A$311,0)),"")</f>
        <v>46207</v>
      </c>
      <c r="C139" t="str">
        <f>IFERROR(INDEX('Match Log'!$C$4:$C$311,MATCH(115,'Match Log'!$A$4:$A$311,0)),"")</f>
        <v>Mario Kart</v>
      </c>
      <c r="D139" t="str">
        <f>IFERROR(INDEX('Match Log'!$G$4:$G$311,MATCH(115,'Match Log'!$A$4:$A$311,0)),"")</f>
        <v>Oscar</v>
      </c>
      <c r="E139">
        <f>IFERROR(INDEX('Match Log'!$F$4:$F$311,MATCH(115,'Match Log'!$A$4:$A$311,0)),"")</f>
        <v>2</v>
      </c>
      <c r="F139">
        <f>IFERROR(SUMIFS('Match Log'!$I$4:$I$311,'Match Log'!$A$4:$A$311,115,'Match Log'!$E$4:$E$311,"Win"),"")</f>
        <v>0.75</v>
      </c>
      <c r="G139">
        <f t="shared" si="25"/>
        <v>-0.5</v>
      </c>
      <c r="H139" t="str">
        <f>IFERROR(IF($E139=2,LOOKUP(2,1/(('Match Log'!$A$4:$A$311=115)*('Match Log'!$E$4:$E$311="Loss")),'Match Log'!$D$4:$D$311),"the field"),"")</f>
        <v>Shawn</v>
      </c>
      <c r="I139">
        <f t="shared" si="26"/>
        <v>-0.50011499999999998</v>
      </c>
      <c r="J139">
        <v>115</v>
      </c>
      <c r="K139">
        <f>IF($J139&gt;MAX('Match Log'!$A$4:$A$311),NA(),IFERROR(LOOKUP(2,1/(('Match Log'!$D$4:$D$311=$K$24)*('Match Log'!$A$4:$A$311&lt;=$J139)),'Match Log'!$N$4:$N$311),NA()))</f>
        <v>1125.1080177960646</v>
      </c>
      <c r="L139">
        <f>IF($J139&gt;MAX('Match Log'!$A$4:$A$311),NA(),IFERROR(LOOKUP(2,1/(('Match Log'!$D$4:$D$311=$L$24)*('Match Log'!$A$4:$A$311&lt;=$J139)),'Match Log'!$N$4:$N$311),NA()))</f>
        <v>1044.8691565259944</v>
      </c>
      <c r="M139">
        <f>IF($J139&gt;MAX('Match Log'!$A$4:$A$311),NA(),IFERROR(LOOKUP(2,1/(('Match Log'!$D$4:$D$311=$M$24)*('Match Log'!$A$4:$A$311&lt;=$J139)),'Match Log'!$N$4:$N$311),NA()))</f>
        <v>1017.3466608720325</v>
      </c>
      <c r="N139">
        <f>IF($J139&gt;MAX('Match Log'!$A$4:$A$311),NA(),IFERROR(LOOKUP(2,1/(('Match Log'!$D$4:$D$311=$N$24)*('Match Log'!$A$4:$A$311&lt;=$J139)),'Match Log'!$N$4:$N$311),NA()))</f>
        <v>990.8737469852914</v>
      </c>
      <c r="O139">
        <f>IF($J139&gt;MAX('Match Log'!$A$4:$A$311),NA(),IFERROR(LOOKUP(2,1/(('Match Log'!$D$4:$D$311=$O$24)*('Match Log'!$A$4:$A$311&lt;=$J139)),'Match Log'!$N$4:$N$311),NA()))</f>
        <v>1147.1945550051951</v>
      </c>
      <c r="P139">
        <f>IF($J139&gt;MAX('Match Log'!$A$4:$A$311),NA(),IFERROR(LOOKUP(2,1/(('Match Log'!$D$4:$D$311=$P$24)*('Match Log'!$A$4:$A$311&lt;=$J139)),'Match Log'!$N$4:$N$311),NA()))</f>
        <v>1001.331282077233</v>
      </c>
      <c r="Q139">
        <f>IF($J139&gt;MAX('Match Log'!$A$4:$A$311),NA(),IFERROR(LOOKUP(2,1/(('Match Log'!$D$4:$D$311=$Q$24)*('Match Log'!$A$4:$A$311&lt;=$J139)),'Match Log'!$N$4:$N$311),NA()))</f>
        <v>1099.9035033078371</v>
      </c>
      <c r="R139">
        <f>IF($J139&gt;MAX('Match Log'!$A$4:$A$311),NA(),IFERROR(LOOKUP(2,1/(('Match Log'!$D$4:$D$311=$R$24)*('Match Log'!$A$4:$A$311&lt;=$J139)),'Match Log'!$N$4:$N$311),NA()))</f>
        <v>1069.478840506906</v>
      </c>
      <c r="S139">
        <f>IF($J139&gt;MAX('Match Log'!$A$4:$A$311),NA(),IFERROR(LOOKUP(2,1/(('Match Log'!$D$4:$D$311=$S$24)*('Match Log'!$A$4:$A$311&lt;=$J139)),'Match Log'!$N$4:$N$311),NA()))</f>
        <v>1189.3765078898728</v>
      </c>
      <c r="T139">
        <f>IF($J139&gt;MAX('Match Log'!$A$4:$A$311),NA(),IFERROR(LOOKUP(2,1/(('Match Log'!$D$4:$D$311=$T$24)*('Match Log'!$A$4:$A$311&lt;=$J139)),'Match Log'!$N$4:$N$311),NA()))</f>
        <v>894.20718606929802</v>
      </c>
      <c r="U139">
        <f>IF($J139&gt;MAX('Match Log'!$A$4:$A$311),NA(),IFERROR(LOOKUP(2,1/(('Match Log'!$D$4:$D$311=$U$24)*('Match Log'!$A$4:$A$311&lt;=$J139)),'Match Log'!$N$4:$N$311),NA()))</f>
        <v>1110.267299483831</v>
      </c>
      <c r="V139">
        <f>IF($J139&gt;MAX('Match Log'!$A$4:$A$311),NA(),IFERROR(LOOKUP(2,1/(('Match Log'!$D$4:$D$311=$V$24)*('Match Log'!$A$4:$A$311&lt;=$J139)),'Match Log'!$N$4:$N$311),NA()))</f>
        <v>1039.5415973556721</v>
      </c>
      <c r="W139">
        <f>IF($J139&gt;MAX('Match Log'!$A$4:$A$311),NA(),IFERROR(LOOKUP(2,1/(('Match Log'!$D$4:$D$311=$W$24)*('Match Log'!$A$4:$A$311&lt;=$J139)),'Match Log'!$N$4:$N$311),NA()))</f>
        <v>1038.5016461247724</v>
      </c>
      <c r="X139" t="e">
        <f>IF($J139&gt;MAX('Match Log'!$A$4:$A$311),NA(),IFERROR(LOOKUP(2,1/(('Match Log'!$D$4:$D$311=$X$24)*('Match Log'!$A$4:$A$311&lt;=$J139)),'Match Log'!$N$4:$N$311),NA()))</f>
        <v>#N/A</v>
      </c>
      <c r="Y139">
        <f t="shared" ca="1" si="27"/>
        <v>-0.50011499999999998</v>
      </c>
    </row>
    <row r="140" spans="1:25" ht="15" customHeight="1" x14ac:dyDescent="0.2">
      <c r="A140">
        <v>116</v>
      </c>
      <c r="B140">
        <f>IFERROR(INDEX('Match Log'!$B$4:$B$311,MATCH(116,'Match Log'!$A$4:$A$311,0)),"")</f>
        <v>46207</v>
      </c>
      <c r="C140" t="str">
        <f>IFERROR(INDEX('Match Log'!$C$4:$C$311,MATCH(116,'Match Log'!$A$4:$A$311,0)),"")</f>
        <v>Mario Kart</v>
      </c>
      <c r="D140" t="str">
        <f>IFERROR(INDEX('Match Log'!$G$4:$G$311,MATCH(116,'Match Log'!$A$4:$A$311,0)),"")</f>
        <v>Oscar</v>
      </c>
      <c r="E140">
        <f>IFERROR(INDEX('Match Log'!$F$4:$F$311,MATCH(116,'Match Log'!$A$4:$A$311,0)),"")</f>
        <v>2</v>
      </c>
      <c r="F140">
        <f>IFERROR(SUMIFS('Match Log'!$I$4:$I$311,'Match Log'!$A$4:$A$311,116,'Match Log'!$E$4:$E$311,"Win"),"")</f>
        <v>0.8</v>
      </c>
      <c r="G140">
        <f t="shared" si="25"/>
        <v>-0.60000000000000009</v>
      </c>
      <c r="H140" t="str">
        <f>IFERROR(IF($E140=2,LOOKUP(2,1/(('Match Log'!$A$4:$A$311=116)*('Match Log'!$E$4:$E$311="Loss")),'Match Log'!$D$4:$D$311),"the field"),"")</f>
        <v>Shawn</v>
      </c>
      <c r="I140">
        <f t="shared" si="26"/>
        <v>-0.60011600000000009</v>
      </c>
      <c r="J140">
        <v>116</v>
      </c>
      <c r="K140">
        <f>IF($J140&gt;MAX('Match Log'!$A$4:$A$311),NA(),IFERROR(LOOKUP(2,1/(('Match Log'!$D$4:$D$311=$K$24)*('Match Log'!$A$4:$A$311&lt;=$J140)),'Match Log'!$N$4:$N$311),NA()))</f>
        <v>1125.1080177960646</v>
      </c>
      <c r="L140">
        <f>IF($J140&gt;MAX('Match Log'!$A$4:$A$311),NA(),IFERROR(LOOKUP(2,1/(('Match Log'!$D$4:$D$311=$L$24)*('Match Log'!$A$4:$A$311&lt;=$J140)),'Match Log'!$N$4:$N$311),NA()))</f>
        <v>1044.8691565259944</v>
      </c>
      <c r="M140">
        <f>IF($J140&gt;MAX('Match Log'!$A$4:$A$311),NA(),IFERROR(LOOKUP(2,1/(('Match Log'!$D$4:$D$311=$M$24)*('Match Log'!$A$4:$A$311&lt;=$J140)),'Match Log'!$N$4:$N$311),NA()))</f>
        <v>1017.3466608720325</v>
      </c>
      <c r="N140">
        <f>IF($J140&gt;MAX('Match Log'!$A$4:$A$311),NA(),IFERROR(LOOKUP(2,1/(('Match Log'!$D$4:$D$311=$N$24)*('Match Log'!$A$4:$A$311&lt;=$J140)),'Match Log'!$N$4:$N$311),NA()))</f>
        <v>990.8737469852914</v>
      </c>
      <c r="O140">
        <f>IF($J140&gt;MAX('Match Log'!$A$4:$A$311),NA(),IFERROR(LOOKUP(2,1/(('Match Log'!$D$4:$D$311=$O$24)*('Match Log'!$A$4:$A$311&lt;=$J140)),'Match Log'!$N$4:$N$311),NA()))</f>
        <v>1147.1945550051951</v>
      </c>
      <c r="P140">
        <f>IF($J140&gt;MAX('Match Log'!$A$4:$A$311),NA(),IFERROR(LOOKUP(2,1/(('Match Log'!$D$4:$D$311=$P$24)*('Match Log'!$A$4:$A$311&lt;=$J140)),'Match Log'!$N$4:$N$311),NA()))</f>
        <v>987.25217148628246</v>
      </c>
      <c r="Q140">
        <f>IF($J140&gt;MAX('Match Log'!$A$4:$A$311),NA(),IFERROR(LOOKUP(2,1/(('Match Log'!$D$4:$D$311=$Q$24)*('Match Log'!$A$4:$A$311&lt;=$J140)),'Match Log'!$N$4:$N$311),NA()))</f>
        <v>1099.9035033078371</v>
      </c>
      <c r="R140">
        <f>IF($J140&gt;MAX('Match Log'!$A$4:$A$311),NA(),IFERROR(LOOKUP(2,1/(('Match Log'!$D$4:$D$311=$R$24)*('Match Log'!$A$4:$A$311&lt;=$J140)),'Match Log'!$N$4:$N$311),NA()))</f>
        <v>1069.478840506906</v>
      </c>
      <c r="S140">
        <f>IF($J140&gt;MAX('Match Log'!$A$4:$A$311),NA(),IFERROR(LOOKUP(2,1/(('Match Log'!$D$4:$D$311=$S$24)*('Match Log'!$A$4:$A$311&lt;=$J140)),'Match Log'!$N$4:$N$311),NA()))</f>
        <v>1189.3765078898728</v>
      </c>
      <c r="T140">
        <f>IF($J140&gt;MAX('Match Log'!$A$4:$A$311),NA(),IFERROR(LOOKUP(2,1/(('Match Log'!$D$4:$D$311=$T$24)*('Match Log'!$A$4:$A$311&lt;=$J140)),'Match Log'!$N$4:$N$311),NA()))</f>
        <v>894.20718606929802</v>
      </c>
      <c r="U140">
        <f>IF($J140&gt;MAX('Match Log'!$A$4:$A$311),NA(),IFERROR(LOOKUP(2,1/(('Match Log'!$D$4:$D$311=$U$24)*('Match Log'!$A$4:$A$311&lt;=$J140)),'Match Log'!$N$4:$N$311),NA()))</f>
        <v>1124.3464100747815</v>
      </c>
      <c r="V140">
        <f>IF($J140&gt;MAX('Match Log'!$A$4:$A$311),NA(),IFERROR(LOOKUP(2,1/(('Match Log'!$D$4:$D$311=$V$24)*('Match Log'!$A$4:$A$311&lt;=$J140)),'Match Log'!$N$4:$N$311),NA()))</f>
        <v>1039.5415973556721</v>
      </c>
      <c r="W140">
        <f>IF($J140&gt;MAX('Match Log'!$A$4:$A$311),NA(),IFERROR(LOOKUP(2,1/(('Match Log'!$D$4:$D$311=$W$24)*('Match Log'!$A$4:$A$311&lt;=$J140)),'Match Log'!$N$4:$N$311),NA()))</f>
        <v>1038.5016461247724</v>
      </c>
      <c r="X140" t="e">
        <f>IF($J140&gt;MAX('Match Log'!$A$4:$A$311),NA(),IFERROR(LOOKUP(2,1/(('Match Log'!$D$4:$D$311=$X$24)*('Match Log'!$A$4:$A$311&lt;=$J140)),'Match Log'!$N$4:$N$311),NA()))</f>
        <v>#N/A</v>
      </c>
      <c r="Y140">
        <f t="shared" ca="1" si="27"/>
        <v>-0.60011600000000009</v>
      </c>
    </row>
    <row r="141" spans="1:25" ht="15" customHeight="1" x14ac:dyDescent="0.2">
      <c r="A141">
        <v>117</v>
      </c>
      <c r="B141">
        <f>IFERROR(INDEX('Match Log'!$B$4:$B$311,MATCH(117,'Match Log'!$A$4:$A$311,0)),"")</f>
        <v>46207</v>
      </c>
      <c r="C141" t="str">
        <f>IFERROR(INDEX('Match Log'!$C$4:$C$311,MATCH(117,'Match Log'!$A$4:$A$311,0)),"")</f>
        <v>Mario Kart</v>
      </c>
      <c r="D141" t="str">
        <f>IFERROR(INDEX('Match Log'!$G$4:$G$311,MATCH(117,'Match Log'!$A$4:$A$311,0)),"")</f>
        <v>Oscar</v>
      </c>
      <c r="E141">
        <f>IFERROR(INDEX('Match Log'!$F$4:$F$311,MATCH(117,'Match Log'!$A$4:$A$311,0)),"")</f>
        <v>2</v>
      </c>
      <c r="F141">
        <f>IFERROR(SUMIFS('Match Log'!$I$4:$I$311,'Match Log'!$A$4:$A$311,117,'Match Log'!$E$4:$E$311,"Win"),"")</f>
        <v>0.83333333333333337</v>
      </c>
      <c r="G141">
        <f t="shared" si="25"/>
        <v>-0.66666666666666674</v>
      </c>
      <c r="H141" t="str">
        <f>IFERROR(IF($E141=2,LOOKUP(2,1/(('Match Log'!$A$4:$A$311=117)*('Match Log'!$E$4:$E$311="Loss")),'Match Log'!$D$4:$D$311),"the field"),"")</f>
        <v>Shawn</v>
      </c>
      <c r="I141">
        <f t="shared" si="26"/>
        <v>-0.66678366666666677</v>
      </c>
      <c r="J141">
        <v>117</v>
      </c>
      <c r="K141">
        <f>IF($J141&gt;MAX('Match Log'!$A$4:$A$311),NA(),IFERROR(LOOKUP(2,1/(('Match Log'!$D$4:$D$311=$K$24)*('Match Log'!$A$4:$A$311&lt;=$J141)),'Match Log'!$N$4:$N$311),NA()))</f>
        <v>1125.1080177960646</v>
      </c>
      <c r="L141">
        <f>IF($J141&gt;MAX('Match Log'!$A$4:$A$311),NA(),IFERROR(LOOKUP(2,1/(('Match Log'!$D$4:$D$311=$L$24)*('Match Log'!$A$4:$A$311&lt;=$J141)),'Match Log'!$N$4:$N$311),NA()))</f>
        <v>1044.8691565259944</v>
      </c>
      <c r="M141">
        <f>IF($J141&gt;MAX('Match Log'!$A$4:$A$311),NA(),IFERROR(LOOKUP(2,1/(('Match Log'!$D$4:$D$311=$M$24)*('Match Log'!$A$4:$A$311&lt;=$J141)),'Match Log'!$N$4:$N$311),NA()))</f>
        <v>1017.3466608720325</v>
      </c>
      <c r="N141">
        <f>IF($J141&gt;MAX('Match Log'!$A$4:$A$311),NA(),IFERROR(LOOKUP(2,1/(('Match Log'!$D$4:$D$311=$N$24)*('Match Log'!$A$4:$A$311&lt;=$J141)),'Match Log'!$N$4:$N$311),NA()))</f>
        <v>990.8737469852914</v>
      </c>
      <c r="O141">
        <f>IF($J141&gt;MAX('Match Log'!$A$4:$A$311),NA(),IFERROR(LOOKUP(2,1/(('Match Log'!$D$4:$D$311=$O$24)*('Match Log'!$A$4:$A$311&lt;=$J141)),'Match Log'!$N$4:$N$311),NA()))</f>
        <v>1147.1945550051951</v>
      </c>
      <c r="P141">
        <f>IF($J141&gt;MAX('Match Log'!$A$4:$A$311),NA(),IFERROR(LOOKUP(2,1/(('Match Log'!$D$4:$D$311=$P$24)*('Match Log'!$A$4:$A$311&lt;=$J141)),'Match Log'!$N$4:$N$311),NA()))</f>
        <v>974.61752460615935</v>
      </c>
      <c r="Q141">
        <f>IF($J141&gt;MAX('Match Log'!$A$4:$A$311),NA(),IFERROR(LOOKUP(2,1/(('Match Log'!$D$4:$D$311=$Q$24)*('Match Log'!$A$4:$A$311&lt;=$J141)),'Match Log'!$N$4:$N$311),NA()))</f>
        <v>1099.9035033078371</v>
      </c>
      <c r="R141">
        <f>IF($J141&gt;MAX('Match Log'!$A$4:$A$311),NA(),IFERROR(LOOKUP(2,1/(('Match Log'!$D$4:$D$311=$R$24)*('Match Log'!$A$4:$A$311&lt;=$J141)),'Match Log'!$N$4:$N$311),NA()))</f>
        <v>1069.478840506906</v>
      </c>
      <c r="S141">
        <f>IF($J141&gt;MAX('Match Log'!$A$4:$A$311),NA(),IFERROR(LOOKUP(2,1/(('Match Log'!$D$4:$D$311=$S$24)*('Match Log'!$A$4:$A$311&lt;=$J141)),'Match Log'!$N$4:$N$311),NA()))</f>
        <v>1189.3765078898728</v>
      </c>
      <c r="T141">
        <f>IF($J141&gt;MAX('Match Log'!$A$4:$A$311),NA(),IFERROR(LOOKUP(2,1/(('Match Log'!$D$4:$D$311=$T$24)*('Match Log'!$A$4:$A$311&lt;=$J141)),'Match Log'!$N$4:$N$311),NA()))</f>
        <v>894.20718606929802</v>
      </c>
      <c r="U141">
        <f>IF($J141&gt;MAX('Match Log'!$A$4:$A$311),NA(),IFERROR(LOOKUP(2,1/(('Match Log'!$D$4:$D$311=$U$24)*('Match Log'!$A$4:$A$311&lt;=$J141)),'Match Log'!$N$4:$N$311),NA()))</f>
        <v>1136.9810569549045</v>
      </c>
      <c r="V141">
        <f>IF($J141&gt;MAX('Match Log'!$A$4:$A$311),NA(),IFERROR(LOOKUP(2,1/(('Match Log'!$D$4:$D$311=$V$24)*('Match Log'!$A$4:$A$311&lt;=$J141)),'Match Log'!$N$4:$N$311),NA()))</f>
        <v>1039.5415973556721</v>
      </c>
      <c r="W141">
        <f>IF($J141&gt;MAX('Match Log'!$A$4:$A$311),NA(),IFERROR(LOOKUP(2,1/(('Match Log'!$D$4:$D$311=$W$24)*('Match Log'!$A$4:$A$311&lt;=$J141)),'Match Log'!$N$4:$N$311),NA()))</f>
        <v>1038.5016461247724</v>
      </c>
      <c r="X141" t="e">
        <f>IF($J141&gt;MAX('Match Log'!$A$4:$A$311),NA(),IFERROR(LOOKUP(2,1/(('Match Log'!$D$4:$D$311=$X$24)*('Match Log'!$A$4:$A$311&lt;=$J141)),'Match Log'!$N$4:$N$311),NA()))</f>
        <v>#N/A</v>
      </c>
      <c r="Y141">
        <f t="shared" ca="1" si="27"/>
        <v>-0.66678366666666677</v>
      </c>
    </row>
    <row r="142" spans="1:25" ht="15" customHeight="1" x14ac:dyDescent="0.2">
      <c r="A142">
        <v>118</v>
      </c>
      <c r="B142">
        <f>IFERROR(INDEX('Match Log'!$B$4:$B$311,MATCH(118,'Match Log'!$A$4:$A$311,0)),"")</f>
        <v>46207</v>
      </c>
      <c r="C142" t="str">
        <f>IFERROR(INDEX('Match Log'!$C$4:$C$311,MATCH(118,'Match Log'!$A$4:$A$311,0)),"")</f>
        <v>Mario Party</v>
      </c>
      <c r="D142" t="str">
        <f>IFERROR(INDEX('Match Log'!$G$4:$G$311,MATCH(118,'Match Log'!$A$4:$A$311,0)),"")</f>
        <v>Oscar</v>
      </c>
      <c r="E142">
        <f>IFERROR(INDEX('Match Log'!$F$4:$F$311,MATCH(118,'Match Log'!$A$4:$A$311,0)),"")</f>
        <v>2</v>
      </c>
      <c r="F142">
        <f>IFERROR(SUMIFS('Match Log'!$I$4:$I$311,'Match Log'!$A$4:$A$311,118,'Match Log'!$E$4:$E$311,"Win"),"")</f>
        <v>0.4285714285714286</v>
      </c>
      <c r="G142">
        <f t="shared" si="25"/>
        <v>0.14285714285714279</v>
      </c>
      <c r="H142" t="str">
        <f>IFERROR(IF($E142=2,LOOKUP(2,1/(('Match Log'!$A$4:$A$311=118)*('Match Log'!$E$4:$E$311="Loss")),'Match Log'!$D$4:$D$311),"the field"),"")</f>
        <v>Shawn</v>
      </c>
      <c r="I142">
        <f t="shared" si="26"/>
        <v>0.14273914285714279</v>
      </c>
      <c r="J142">
        <v>118</v>
      </c>
      <c r="K142">
        <f>IF($J142&gt;MAX('Match Log'!$A$4:$A$311),NA(),IFERROR(LOOKUP(2,1/(('Match Log'!$D$4:$D$311=$K$24)*('Match Log'!$A$4:$A$311&lt;=$J142)),'Match Log'!$N$4:$N$311),NA()))</f>
        <v>1125.1080177960646</v>
      </c>
      <c r="L142">
        <f>IF($J142&gt;MAX('Match Log'!$A$4:$A$311),NA(),IFERROR(LOOKUP(2,1/(('Match Log'!$D$4:$D$311=$L$24)*('Match Log'!$A$4:$A$311&lt;=$J142)),'Match Log'!$N$4:$N$311),NA()))</f>
        <v>1044.8691565259944</v>
      </c>
      <c r="M142">
        <f>IF($J142&gt;MAX('Match Log'!$A$4:$A$311),NA(),IFERROR(LOOKUP(2,1/(('Match Log'!$D$4:$D$311=$M$24)*('Match Log'!$A$4:$A$311&lt;=$J142)),'Match Log'!$N$4:$N$311),NA()))</f>
        <v>1017.3466608720325</v>
      </c>
      <c r="N142">
        <f>IF($J142&gt;MAX('Match Log'!$A$4:$A$311),NA(),IFERROR(LOOKUP(2,1/(('Match Log'!$D$4:$D$311=$N$24)*('Match Log'!$A$4:$A$311&lt;=$J142)),'Match Log'!$N$4:$N$311),NA()))</f>
        <v>990.8737469852914</v>
      </c>
      <c r="O142">
        <f>IF($J142&gt;MAX('Match Log'!$A$4:$A$311),NA(),IFERROR(LOOKUP(2,1/(('Match Log'!$D$4:$D$311=$O$24)*('Match Log'!$A$4:$A$311&lt;=$J142)),'Match Log'!$N$4:$N$311),NA()))</f>
        <v>1147.1945550051951</v>
      </c>
      <c r="P142">
        <f>IF($J142&gt;MAX('Match Log'!$A$4:$A$311),NA(),IFERROR(LOOKUP(2,1/(('Match Log'!$D$4:$D$311=$P$24)*('Match Log'!$A$4:$A$311&lt;=$J142)),'Match Log'!$N$4:$N$311),NA()))</f>
        <v>956.84822634794841</v>
      </c>
      <c r="Q142">
        <f>IF($J142&gt;MAX('Match Log'!$A$4:$A$311),NA(),IFERROR(LOOKUP(2,1/(('Match Log'!$D$4:$D$311=$Q$24)*('Match Log'!$A$4:$A$311&lt;=$J142)),'Match Log'!$N$4:$N$311),NA()))</f>
        <v>1099.9035033078371</v>
      </c>
      <c r="R142">
        <f>IF($J142&gt;MAX('Match Log'!$A$4:$A$311),NA(),IFERROR(LOOKUP(2,1/(('Match Log'!$D$4:$D$311=$R$24)*('Match Log'!$A$4:$A$311&lt;=$J142)),'Match Log'!$N$4:$N$311),NA()))</f>
        <v>1069.478840506906</v>
      </c>
      <c r="S142">
        <f>IF($J142&gt;MAX('Match Log'!$A$4:$A$311),NA(),IFERROR(LOOKUP(2,1/(('Match Log'!$D$4:$D$311=$S$24)*('Match Log'!$A$4:$A$311&lt;=$J142)),'Match Log'!$N$4:$N$311),NA()))</f>
        <v>1189.3765078898728</v>
      </c>
      <c r="T142">
        <f>IF($J142&gt;MAX('Match Log'!$A$4:$A$311),NA(),IFERROR(LOOKUP(2,1/(('Match Log'!$D$4:$D$311=$T$24)*('Match Log'!$A$4:$A$311&lt;=$J142)),'Match Log'!$N$4:$N$311),NA()))</f>
        <v>894.20718606929802</v>
      </c>
      <c r="U142">
        <f>IF($J142&gt;MAX('Match Log'!$A$4:$A$311),NA(),IFERROR(LOOKUP(2,1/(('Match Log'!$D$4:$D$311=$U$24)*('Match Log'!$A$4:$A$311&lt;=$J142)),'Match Log'!$N$4:$N$311),NA()))</f>
        <v>1154.7503552131154</v>
      </c>
      <c r="V142">
        <f>IF($J142&gt;MAX('Match Log'!$A$4:$A$311),NA(),IFERROR(LOOKUP(2,1/(('Match Log'!$D$4:$D$311=$V$24)*('Match Log'!$A$4:$A$311&lt;=$J142)),'Match Log'!$N$4:$N$311),NA()))</f>
        <v>1039.5415973556721</v>
      </c>
      <c r="W142">
        <f>IF($J142&gt;MAX('Match Log'!$A$4:$A$311),NA(),IFERROR(LOOKUP(2,1/(('Match Log'!$D$4:$D$311=$W$24)*('Match Log'!$A$4:$A$311&lt;=$J142)),'Match Log'!$N$4:$N$311),NA()))</f>
        <v>1038.5016461247724</v>
      </c>
      <c r="X142" t="e">
        <f>IF($J142&gt;MAX('Match Log'!$A$4:$A$311),NA(),IFERROR(LOOKUP(2,1/(('Match Log'!$D$4:$D$311=$X$24)*('Match Log'!$A$4:$A$311&lt;=$J142)),'Match Log'!$N$4:$N$311),NA()))</f>
        <v>#N/A</v>
      </c>
      <c r="Y142">
        <f t="shared" ca="1" si="27"/>
        <v>0.14273914285714279</v>
      </c>
    </row>
    <row r="143" spans="1:25" ht="15" customHeight="1" x14ac:dyDescent="0.2">
      <c r="A143">
        <v>119</v>
      </c>
      <c r="B143">
        <f>IFERROR(INDEX('Match Log'!$B$4:$B$311,MATCH(119,'Match Log'!$A$4:$A$311,0)),"")</f>
        <v>46208</v>
      </c>
      <c r="C143" t="str">
        <f>IFERROR(INDEX('Match Log'!$C$4:$C$311,MATCH(119,'Match Log'!$A$4:$A$311,0)),"")</f>
        <v>Table Tennis</v>
      </c>
      <c r="D143" t="str">
        <f>IFERROR(INDEX('Match Log'!$G$4:$G$311,MATCH(119,'Match Log'!$A$4:$A$311,0)),"")</f>
        <v>Shawn</v>
      </c>
      <c r="E143">
        <f>IFERROR(INDEX('Match Log'!$F$4:$F$311,MATCH(119,'Match Log'!$A$4:$A$311,0)),"")</f>
        <v>2</v>
      </c>
      <c r="F143">
        <f>IFERROR(SUMIFS('Match Log'!$I$4:$I$311,'Match Log'!$A$4:$A$311,119,'Match Log'!$E$4:$E$311,"Win"),"")</f>
        <v>0.59770114942528729</v>
      </c>
      <c r="G143">
        <f t="shared" si="25"/>
        <v>-0.19540229885057459</v>
      </c>
      <c r="H143" t="str">
        <f>IFERROR(IF($E143=2,LOOKUP(2,1/(('Match Log'!$A$4:$A$311=119)*('Match Log'!$E$4:$E$311="Loss")),'Match Log'!$D$4:$D$311),"the field"),"")</f>
        <v>Oscar</v>
      </c>
      <c r="I143">
        <f t="shared" si="26"/>
        <v>-0.19552129885057459</v>
      </c>
      <c r="J143">
        <v>119</v>
      </c>
      <c r="K143">
        <f>IF($J143&gt;MAX('Match Log'!$A$4:$A$311),NA(),IFERROR(LOOKUP(2,1/(('Match Log'!$D$4:$D$311=$K$24)*('Match Log'!$A$4:$A$311&lt;=$J143)),'Match Log'!$N$4:$N$311),NA()))</f>
        <v>1125.1080177960646</v>
      </c>
      <c r="L143">
        <f>IF($J143&gt;MAX('Match Log'!$A$4:$A$311),NA(),IFERROR(LOOKUP(2,1/(('Match Log'!$D$4:$D$311=$L$24)*('Match Log'!$A$4:$A$311&lt;=$J143)),'Match Log'!$N$4:$N$311),NA()))</f>
        <v>1044.8691565259944</v>
      </c>
      <c r="M143">
        <f>IF($J143&gt;MAX('Match Log'!$A$4:$A$311),NA(),IFERROR(LOOKUP(2,1/(('Match Log'!$D$4:$D$311=$M$24)*('Match Log'!$A$4:$A$311&lt;=$J143)),'Match Log'!$N$4:$N$311),NA()))</f>
        <v>1017.3466608720325</v>
      </c>
      <c r="N143">
        <f>IF($J143&gt;MAX('Match Log'!$A$4:$A$311),NA(),IFERROR(LOOKUP(2,1/(('Match Log'!$D$4:$D$311=$N$24)*('Match Log'!$A$4:$A$311&lt;=$J143)),'Match Log'!$N$4:$N$311),NA()))</f>
        <v>990.8737469852914</v>
      </c>
      <c r="O143">
        <f>IF($J143&gt;MAX('Match Log'!$A$4:$A$311),NA(),IFERROR(LOOKUP(2,1/(('Match Log'!$D$4:$D$311=$O$24)*('Match Log'!$A$4:$A$311&lt;=$J143)),'Match Log'!$N$4:$N$311),NA()))</f>
        <v>1147.1945550051951</v>
      </c>
      <c r="P143">
        <f>IF($J143&gt;MAX('Match Log'!$A$4:$A$311),NA(),IFERROR(LOOKUP(2,1/(('Match Log'!$D$4:$D$311=$P$24)*('Match Log'!$A$4:$A$311&lt;=$J143)),'Match Log'!$N$4:$N$311),NA()))</f>
        <v>981.38501400126813</v>
      </c>
      <c r="Q143">
        <f>IF($J143&gt;MAX('Match Log'!$A$4:$A$311),NA(),IFERROR(LOOKUP(2,1/(('Match Log'!$D$4:$D$311=$Q$24)*('Match Log'!$A$4:$A$311&lt;=$J143)),'Match Log'!$N$4:$N$311),NA()))</f>
        <v>1099.9035033078371</v>
      </c>
      <c r="R143">
        <f>IF($J143&gt;MAX('Match Log'!$A$4:$A$311),NA(),IFERROR(LOOKUP(2,1/(('Match Log'!$D$4:$D$311=$R$24)*('Match Log'!$A$4:$A$311&lt;=$J143)),'Match Log'!$N$4:$N$311),NA()))</f>
        <v>1069.478840506906</v>
      </c>
      <c r="S143">
        <f>IF($J143&gt;MAX('Match Log'!$A$4:$A$311),NA(),IFERROR(LOOKUP(2,1/(('Match Log'!$D$4:$D$311=$S$24)*('Match Log'!$A$4:$A$311&lt;=$J143)),'Match Log'!$N$4:$N$311),NA()))</f>
        <v>1189.3765078898728</v>
      </c>
      <c r="T143">
        <f>IF($J143&gt;MAX('Match Log'!$A$4:$A$311),NA(),IFERROR(LOOKUP(2,1/(('Match Log'!$D$4:$D$311=$T$24)*('Match Log'!$A$4:$A$311&lt;=$J143)),'Match Log'!$N$4:$N$311),NA()))</f>
        <v>894.20718606929802</v>
      </c>
      <c r="U143">
        <f>IF($J143&gt;MAX('Match Log'!$A$4:$A$311),NA(),IFERROR(LOOKUP(2,1/(('Match Log'!$D$4:$D$311=$U$24)*('Match Log'!$A$4:$A$311&lt;=$J143)),'Match Log'!$N$4:$N$311),NA()))</f>
        <v>1130.2135675597958</v>
      </c>
      <c r="V143">
        <f>IF($J143&gt;MAX('Match Log'!$A$4:$A$311),NA(),IFERROR(LOOKUP(2,1/(('Match Log'!$D$4:$D$311=$V$24)*('Match Log'!$A$4:$A$311&lt;=$J143)),'Match Log'!$N$4:$N$311),NA()))</f>
        <v>1039.5415973556721</v>
      </c>
      <c r="W143">
        <f>IF($J143&gt;MAX('Match Log'!$A$4:$A$311),NA(),IFERROR(LOOKUP(2,1/(('Match Log'!$D$4:$D$311=$W$24)*('Match Log'!$A$4:$A$311&lt;=$J143)),'Match Log'!$N$4:$N$311),NA()))</f>
        <v>1038.5016461247724</v>
      </c>
      <c r="X143" t="e">
        <f>IF($J143&gt;MAX('Match Log'!$A$4:$A$311),NA(),IFERROR(LOOKUP(2,1/(('Match Log'!$D$4:$D$311=$X$24)*('Match Log'!$A$4:$A$311&lt;=$J143)),'Match Log'!$N$4:$N$311),NA()))</f>
        <v>#N/A</v>
      </c>
      <c r="Y143">
        <f t="shared" ca="1" si="27"/>
        <v>-0.19552129885057459</v>
      </c>
    </row>
    <row r="144" spans="1:25" ht="15" customHeight="1" x14ac:dyDescent="0.2">
      <c r="A144">
        <v>120</v>
      </c>
      <c r="B144">
        <f>IFERROR(INDEX('Match Log'!$B$4:$B$311,MATCH(120,'Match Log'!$A$4:$A$311,0)),"")</f>
        <v>46208</v>
      </c>
      <c r="C144" t="str">
        <f>IFERROR(INDEX('Match Log'!$C$4:$C$311,MATCH(120,'Match Log'!$A$4:$A$311,0)),"")</f>
        <v>Table Tennis</v>
      </c>
      <c r="D144" t="str">
        <f>IFERROR(INDEX('Match Log'!$G$4:$G$311,MATCH(120,'Match Log'!$A$4:$A$311,0)),"")</f>
        <v>Shawn</v>
      </c>
      <c r="E144">
        <f>IFERROR(INDEX('Match Log'!$F$4:$F$311,MATCH(120,'Match Log'!$A$4:$A$311,0)),"")</f>
        <v>2</v>
      </c>
      <c r="F144">
        <f>IFERROR(SUMIFS('Match Log'!$I$4:$I$311,'Match Log'!$A$4:$A$311,120,'Match Log'!$E$4:$E$311,"Win"),"")</f>
        <v>0.625</v>
      </c>
      <c r="G144">
        <f t="shared" si="25"/>
        <v>-0.25</v>
      </c>
      <c r="H144" t="str">
        <f>IFERROR(IF($E144=2,LOOKUP(2,1/(('Match Log'!$A$4:$A$311=120)*('Match Log'!$E$4:$E$311="Loss")),'Match Log'!$D$4:$D$311),"the field"),"")</f>
        <v>Oscar</v>
      </c>
      <c r="I144">
        <f t="shared" si="26"/>
        <v>-0.25012000000000001</v>
      </c>
      <c r="J144">
        <v>120</v>
      </c>
      <c r="K144">
        <f>IF($J144&gt;MAX('Match Log'!$A$4:$A$311),NA(),IFERROR(LOOKUP(2,1/(('Match Log'!$D$4:$D$311=$K$24)*('Match Log'!$A$4:$A$311&lt;=$J144)),'Match Log'!$N$4:$N$311),NA()))</f>
        <v>1125.1080177960646</v>
      </c>
      <c r="L144">
        <f>IF($J144&gt;MAX('Match Log'!$A$4:$A$311),NA(),IFERROR(LOOKUP(2,1/(('Match Log'!$D$4:$D$311=$L$24)*('Match Log'!$A$4:$A$311&lt;=$J144)),'Match Log'!$N$4:$N$311),NA()))</f>
        <v>1044.8691565259944</v>
      </c>
      <c r="M144">
        <f>IF($J144&gt;MAX('Match Log'!$A$4:$A$311),NA(),IFERROR(LOOKUP(2,1/(('Match Log'!$D$4:$D$311=$M$24)*('Match Log'!$A$4:$A$311&lt;=$J144)),'Match Log'!$N$4:$N$311),NA()))</f>
        <v>1017.3466608720325</v>
      </c>
      <c r="N144">
        <f>IF($J144&gt;MAX('Match Log'!$A$4:$A$311),NA(),IFERROR(LOOKUP(2,1/(('Match Log'!$D$4:$D$311=$N$24)*('Match Log'!$A$4:$A$311&lt;=$J144)),'Match Log'!$N$4:$N$311),NA()))</f>
        <v>990.8737469852914</v>
      </c>
      <c r="O144">
        <f>IF($J144&gt;MAX('Match Log'!$A$4:$A$311),NA(),IFERROR(LOOKUP(2,1/(('Match Log'!$D$4:$D$311=$O$24)*('Match Log'!$A$4:$A$311&lt;=$J144)),'Match Log'!$N$4:$N$311),NA()))</f>
        <v>1147.1945550051951</v>
      </c>
      <c r="P144">
        <f>IF($J144&gt;MAX('Match Log'!$A$4:$A$311),NA(),IFERROR(LOOKUP(2,1/(('Match Log'!$D$4:$D$311=$P$24)*('Match Log'!$A$4:$A$311&lt;=$J144)),'Match Log'!$N$4:$N$311),NA()))</f>
        <v>1003.4940022422369</v>
      </c>
      <c r="Q144">
        <f>IF($J144&gt;MAX('Match Log'!$A$4:$A$311),NA(),IFERROR(LOOKUP(2,1/(('Match Log'!$D$4:$D$311=$Q$24)*('Match Log'!$A$4:$A$311&lt;=$J144)),'Match Log'!$N$4:$N$311),NA()))</f>
        <v>1099.9035033078371</v>
      </c>
      <c r="R144">
        <f>IF($J144&gt;MAX('Match Log'!$A$4:$A$311),NA(),IFERROR(LOOKUP(2,1/(('Match Log'!$D$4:$D$311=$R$24)*('Match Log'!$A$4:$A$311&lt;=$J144)),'Match Log'!$N$4:$N$311),NA()))</f>
        <v>1069.478840506906</v>
      </c>
      <c r="S144">
        <f>IF($J144&gt;MAX('Match Log'!$A$4:$A$311),NA(),IFERROR(LOOKUP(2,1/(('Match Log'!$D$4:$D$311=$S$24)*('Match Log'!$A$4:$A$311&lt;=$J144)),'Match Log'!$N$4:$N$311),NA()))</f>
        <v>1189.3765078898728</v>
      </c>
      <c r="T144">
        <f>IF($J144&gt;MAX('Match Log'!$A$4:$A$311),NA(),IFERROR(LOOKUP(2,1/(('Match Log'!$D$4:$D$311=$T$24)*('Match Log'!$A$4:$A$311&lt;=$J144)),'Match Log'!$N$4:$N$311),NA()))</f>
        <v>894.20718606929802</v>
      </c>
      <c r="U144">
        <f>IF($J144&gt;MAX('Match Log'!$A$4:$A$311),NA(),IFERROR(LOOKUP(2,1/(('Match Log'!$D$4:$D$311=$U$24)*('Match Log'!$A$4:$A$311&lt;=$J144)),'Match Log'!$N$4:$N$311),NA()))</f>
        <v>1108.1045793188271</v>
      </c>
      <c r="V144">
        <f>IF($J144&gt;MAX('Match Log'!$A$4:$A$311),NA(),IFERROR(LOOKUP(2,1/(('Match Log'!$D$4:$D$311=$V$24)*('Match Log'!$A$4:$A$311&lt;=$J144)),'Match Log'!$N$4:$N$311),NA()))</f>
        <v>1039.5415973556721</v>
      </c>
      <c r="W144">
        <f>IF($J144&gt;MAX('Match Log'!$A$4:$A$311),NA(),IFERROR(LOOKUP(2,1/(('Match Log'!$D$4:$D$311=$W$24)*('Match Log'!$A$4:$A$311&lt;=$J144)),'Match Log'!$N$4:$N$311),NA()))</f>
        <v>1038.5016461247724</v>
      </c>
      <c r="X144" t="e">
        <f>IF($J144&gt;MAX('Match Log'!$A$4:$A$311),NA(),IFERROR(LOOKUP(2,1/(('Match Log'!$D$4:$D$311=$X$24)*('Match Log'!$A$4:$A$311&lt;=$J144)),'Match Log'!$N$4:$N$311),NA()))</f>
        <v>#N/A</v>
      </c>
      <c r="Y144">
        <f t="shared" ca="1" si="27"/>
        <v>-0.25012000000000001</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60D45-E821-204B-8560-6718064D1EC2}">
  <dimension ref="A1:Q15"/>
  <sheetViews>
    <sheetView zoomScaleNormal="100" workbookViewId="0"/>
  </sheetViews>
  <sheetFormatPr baseColWidth="10" defaultColWidth="8.6640625" defaultRowHeight="15" x14ac:dyDescent="0.2"/>
  <sheetData>
    <row r="1" spans="1:17" ht="15" customHeight="1" x14ac:dyDescent="0.2">
      <c r="A1" t="s">
        <v>163</v>
      </c>
      <c r="B1" t="s">
        <v>238</v>
      </c>
      <c r="C1" t="s">
        <v>167</v>
      </c>
    </row>
    <row r="2" spans="1:17" ht="15" customHeight="1" x14ac:dyDescent="0.2">
      <c r="A2" t="s">
        <v>145</v>
      </c>
      <c r="B2">
        <f>IF(COUNTIF('Match Log'!$D$4:$D$311,$A2)=0,'Guide &amp; Settings'!$C$41,IFERROR(LOOKUP(2,1/('Match Log'!$D$4:$D$311=$A2),'Match Log'!$N$4:$N$311),'Guide &amp; Settings'!$C$41))</f>
        <v>1125.1080177960646</v>
      </c>
      <c r="C2">
        <f>IFERROR(SUMPRODUCT(INDEX('Head-to-Head'!$B$22:$O$35,1,0),$D$2:$Q$2)/SUM(INDEX('Head-to-Head'!$B$22:$O$35,1,0)),"")</f>
        <v>1045.5878315396451</v>
      </c>
      <c r="D2">
        <f>$B$2</f>
        <v>1125.1080177960646</v>
      </c>
      <c r="E2">
        <f>$B$3</f>
        <v>1044.8691565259944</v>
      </c>
      <c r="F2">
        <f>$B$4</f>
        <v>1017.3466608720325</v>
      </c>
      <c r="G2">
        <f>$B$5</f>
        <v>990.8737469852914</v>
      </c>
      <c r="H2">
        <f>$B$6</f>
        <v>1147.1945550051951</v>
      </c>
      <c r="I2">
        <f>$B$7</f>
        <v>1003.4940022422369</v>
      </c>
      <c r="J2">
        <f>$B$8</f>
        <v>1099.9035033078371</v>
      </c>
      <c r="K2">
        <f>$B$9</f>
        <v>1069.478840506906</v>
      </c>
      <c r="L2">
        <f>$B$10</f>
        <v>1189.3765078898728</v>
      </c>
      <c r="M2">
        <f>$B$11</f>
        <v>894.20718606929802</v>
      </c>
      <c r="N2">
        <f>$B$12</f>
        <v>1108.1045793188271</v>
      </c>
      <c r="O2">
        <f>$B$13</f>
        <v>1039.5415973556721</v>
      </c>
      <c r="P2">
        <f>$B$14</f>
        <v>1038.5016461247724</v>
      </c>
      <c r="Q2">
        <f>$B$15</f>
        <v>1000</v>
      </c>
    </row>
    <row r="3" spans="1:17" ht="15" customHeight="1" x14ac:dyDescent="0.2">
      <c r="A3" t="s">
        <v>142</v>
      </c>
      <c r="B3">
        <f>IF(COUNTIF('Match Log'!$D$4:$D$311,$A3)=0,'Guide &amp; Settings'!$C$41,IFERROR(LOOKUP(2,1/('Match Log'!$D$4:$D$311=$A3),'Match Log'!$N$4:$N$311),'Guide &amp; Settings'!$C$41))</f>
        <v>1044.8691565259944</v>
      </c>
      <c r="C3">
        <f>IFERROR(SUMPRODUCT(INDEX('Head-to-Head'!$B$22:$O$35,2,0),$D$2:$Q$2)/SUM(INDEX('Head-to-Head'!$B$22:$O$35,2,0)),"")</f>
        <v>1081.7744095356741</v>
      </c>
    </row>
    <row r="4" spans="1:17" ht="15" customHeight="1" x14ac:dyDescent="0.2">
      <c r="A4" t="s">
        <v>180</v>
      </c>
      <c r="B4">
        <f>IF(COUNTIF('Match Log'!$D$4:$D$311,$A4)=0,'Guide &amp; Settings'!$C$41,IFERROR(LOOKUP(2,1/('Match Log'!$D$4:$D$311=$A4),'Match Log'!$N$4:$N$311),'Guide &amp; Settings'!$C$41))</f>
        <v>1017.3466608720325</v>
      </c>
      <c r="C4">
        <f>IFERROR(SUMPRODUCT(INDEX('Head-to-Head'!$B$22:$O$35,3,0),$D$2:$Q$2)/SUM(INDEX('Head-to-Head'!$B$22:$O$35,3,0)),"")</f>
        <v>1073.6851802864951</v>
      </c>
    </row>
    <row r="5" spans="1:17" ht="15" customHeight="1" x14ac:dyDescent="0.2">
      <c r="A5" t="s">
        <v>147</v>
      </c>
      <c r="B5">
        <f>IF(COUNTIF('Match Log'!$D$4:$D$311,$A5)=0,'Guide &amp; Settings'!$C$41,IFERROR(LOOKUP(2,1/('Match Log'!$D$4:$D$311=$A5),'Match Log'!$N$4:$N$311),'Guide &amp; Settings'!$C$41))</f>
        <v>990.8737469852914</v>
      </c>
      <c r="C5">
        <f>IFERROR(SUMPRODUCT(INDEX('Head-to-Head'!$B$22:$O$35,4,0),$D$2:$Q$2)/SUM(INDEX('Head-to-Head'!$B$22:$O$35,4,0)),"")</f>
        <v>1088.6528297296989</v>
      </c>
    </row>
    <row r="6" spans="1:17" ht="15" customHeight="1" x14ac:dyDescent="0.2">
      <c r="A6" t="s">
        <v>144</v>
      </c>
      <c r="B6">
        <f>IF(COUNTIF('Match Log'!$D$4:$D$311,$A6)=0,'Guide &amp; Settings'!$C$41,IFERROR(LOOKUP(2,1/('Match Log'!$D$4:$D$311=$A6),'Match Log'!$N$4:$N$311),'Guide &amp; Settings'!$C$41))</f>
        <v>1147.1945550051951</v>
      </c>
      <c r="C6">
        <f>IFERROR(SUMPRODUCT(INDEX('Head-to-Head'!$B$22:$O$35,5,0),$D$2:$Q$2)/SUM(INDEX('Head-to-Head'!$B$22:$O$35,5,0)),"")</f>
        <v>1053.34276463265</v>
      </c>
    </row>
    <row r="7" spans="1:17" ht="15" customHeight="1" x14ac:dyDescent="0.2">
      <c r="A7" t="s">
        <v>141</v>
      </c>
      <c r="B7">
        <f>IF(COUNTIF('Match Log'!$D$4:$D$311,$A7)=0,'Guide &amp; Settings'!$C$41,IFERROR(LOOKUP(2,1/('Match Log'!$D$4:$D$311=$A7),'Match Log'!$N$4:$N$311),'Guide &amp; Settings'!$C$41))</f>
        <v>1003.4940022422369</v>
      </c>
      <c r="C7">
        <f>IFERROR(SUMPRODUCT(INDEX('Head-to-Head'!$B$22:$O$35,6,0),$D$2:$Q$2)/SUM(INDEX('Head-to-Head'!$B$22:$O$35,6,0)),"")</f>
        <v>1101.0839759749338</v>
      </c>
    </row>
    <row r="8" spans="1:17" ht="15" customHeight="1" x14ac:dyDescent="0.2">
      <c r="A8" t="s">
        <v>175</v>
      </c>
      <c r="B8">
        <f>IF(COUNTIF('Match Log'!$D$4:$D$311,$A8)=0,'Guide &amp; Settings'!$C$41,IFERROR(LOOKUP(2,1/('Match Log'!$D$4:$D$311=$A8),'Match Log'!$N$4:$N$311),'Guide &amp; Settings'!$C$41))</f>
        <v>1099.9035033078371</v>
      </c>
      <c r="C8">
        <f>IFERROR(SUMPRODUCT(INDEX('Head-to-Head'!$B$22:$O$35,7,0),$D$2:$Q$2)/SUM(INDEX('Head-to-Head'!$B$22:$O$35,7,0)),"")</f>
        <v>1076.8851355816855</v>
      </c>
    </row>
    <row r="9" spans="1:17" ht="15" customHeight="1" x14ac:dyDescent="0.2">
      <c r="A9" t="s">
        <v>177</v>
      </c>
      <c r="B9">
        <f>IF(COUNTIF('Match Log'!$D$4:$D$311,$A9)=0,'Guide &amp; Settings'!$C$41,IFERROR(LOOKUP(2,1/('Match Log'!$D$4:$D$311=$A9),'Match Log'!$N$4:$N$311),'Guide &amp; Settings'!$C$41))</f>
        <v>1069.478840506906</v>
      </c>
      <c r="C9">
        <f>IFERROR(SUMPRODUCT(INDEX('Head-to-Head'!$B$22:$O$35,8,0),$D$2:$Q$2)/SUM(INDEX('Head-to-Head'!$B$22:$O$35,8,0)),"")</f>
        <v>1077.1238319002935</v>
      </c>
    </row>
    <row r="10" spans="1:17" ht="15" customHeight="1" x14ac:dyDescent="0.2">
      <c r="A10" t="s">
        <v>174</v>
      </c>
      <c r="B10">
        <f>IF(COUNTIF('Match Log'!$D$4:$D$311,$A10)=0,'Guide &amp; Settings'!$C$41,IFERROR(LOOKUP(2,1/('Match Log'!$D$4:$D$311=$A10),'Match Log'!$N$4:$N$311),'Guide &amp; Settings'!$C$41))</f>
        <v>1189.3765078898728</v>
      </c>
      <c r="C10">
        <f>IFERROR(SUMPRODUCT(INDEX('Head-to-Head'!$B$22:$O$35,9,0),$D$2:$Q$2)/SUM(INDEX('Head-to-Head'!$B$22:$O$35,9,0)),"")</f>
        <v>1070.5898196633232</v>
      </c>
    </row>
    <row r="11" spans="1:17" ht="15" customHeight="1" x14ac:dyDescent="0.2">
      <c r="A11" t="s">
        <v>182</v>
      </c>
      <c r="B11">
        <f>IF(COUNTIF('Match Log'!$D$4:$D$311,$A11)=0,'Guide &amp; Settings'!$C$41,IFERROR(LOOKUP(2,1/('Match Log'!$D$4:$D$311=$A11),'Match Log'!$N$4:$N$311),'Guide &amp; Settings'!$C$41))</f>
        <v>894.20718606929802</v>
      </c>
      <c r="C11">
        <f>IFERROR(SUMPRODUCT(INDEX('Head-to-Head'!$B$22:$O$35,10,0),$D$2:$Q$2)/SUM(INDEX('Head-to-Head'!$B$22:$O$35,10,0)),"")</f>
        <v>1102.6199266748274</v>
      </c>
    </row>
    <row r="12" spans="1:17" ht="15" customHeight="1" x14ac:dyDescent="0.2">
      <c r="A12" t="s">
        <v>176</v>
      </c>
      <c r="B12">
        <f>IF(COUNTIF('Match Log'!$D$4:$D$311,$A12)=0,'Guide &amp; Settings'!$C$41,IFERROR(LOOKUP(2,1/('Match Log'!$D$4:$D$311=$A12),'Match Log'!$N$4:$N$311),'Guide &amp; Settings'!$C$41))</f>
        <v>1108.1045793188271</v>
      </c>
      <c r="C12">
        <f>IFERROR(SUMPRODUCT(INDEX('Head-to-Head'!$B$22:$O$35,11,0),$D$2:$Q$2)/SUM(INDEX('Head-to-Head'!$B$22:$O$35,11,0)),"")</f>
        <v>1069.5967813481279</v>
      </c>
    </row>
    <row r="13" spans="1:17" ht="15" customHeight="1" x14ac:dyDescent="0.2">
      <c r="A13" t="s">
        <v>178</v>
      </c>
      <c r="B13">
        <f>IF(COUNTIF('Match Log'!$D$4:$D$311,$A13)=0,'Guide &amp; Settings'!$C$41,IFERROR(LOOKUP(2,1/('Match Log'!$D$4:$D$311=$A13),'Match Log'!$N$4:$N$311),'Guide &amp; Settings'!$C$41))</f>
        <v>1039.5415973556721</v>
      </c>
      <c r="C13">
        <f>IFERROR(SUMPRODUCT(INDEX('Head-to-Head'!$B$22:$O$35,12,0),$D$2:$Q$2)/SUM(INDEX('Head-to-Head'!$B$22:$O$35,12,0)),"")</f>
        <v>1066.7168830610781</v>
      </c>
    </row>
    <row r="14" spans="1:17" ht="15" customHeight="1" x14ac:dyDescent="0.2">
      <c r="A14" t="s">
        <v>179</v>
      </c>
      <c r="B14">
        <f>IF(COUNTIF('Match Log'!$D$4:$D$311,$A14)=0,'Guide &amp; Settings'!$C$41,IFERROR(LOOKUP(2,1/('Match Log'!$D$4:$D$311=$A14),'Match Log'!$N$4:$N$311),'Guide &amp; Settings'!$C$41))</f>
        <v>1038.5016461247724</v>
      </c>
      <c r="C14">
        <f>IFERROR(SUMPRODUCT(INDEX('Head-to-Head'!$B$22:$O$35,13,0),$D$2:$Q$2)/SUM(INDEX('Head-to-Head'!$B$22:$O$35,13,0)),"")</f>
        <v>1083.7530580834598</v>
      </c>
    </row>
    <row r="15" spans="1:17" ht="15" customHeight="1" x14ac:dyDescent="0.2">
      <c r="A15" t="s">
        <v>181</v>
      </c>
      <c r="B15">
        <f>IF(COUNTIF('Match Log'!$D$4:$D$311,$A15)=0,'Guide &amp; Settings'!$C$41,IFERROR(LOOKUP(2,1/('Match Log'!$D$4:$D$311=$A15),'Match Log'!$N$4:$N$311),'Guide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8FDBD-72C2-3249-BFE4-9D13BAAD25F0}">
  <dimension ref="A1:E20"/>
  <sheetViews>
    <sheetView zoomScaleNormal="100" workbookViewId="0"/>
  </sheetViews>
  <sheetFormatPr baseColWidth="10" defaultColWidth="8.6640625" defaultRowHeight="15" x14ac:dyDescent="0.2"/>
  <sheetData>
    <row r="1" spans="1:5" ht="15" customHeight="1" x14ac:dyDescent="0.2">
      <c r="A1" t="s">
        <v>362</v>
      </c>
      <c r="C1" t="s">
        <v>166</v>
      </c>
      <c r="E1" t="s">
        <v>295</v>
      </c>
    </row>
    <row r="2" spans="1:5" ht="15" customHeight="1" x14ac:dyDescent="0.2">
      <c r="A2" t="s">
        <v>145</v>
      </c>
      <c r="C2" t="s">
        <v>189</v>
      </c>
      <c r="E2" t="s">
        <v>316</v>
      </c>
    </row>
    <row r="3" spans="1:5" ht="15" customHeight="1" x14ac:dyDescent="0.2">
      <c r="A3" t="s">
        <v>142</v>
      </c>
      <c r="C3" t="s">
        <v>190</v>
      </c>
      <c r="E3" t="s">
        <v>317</v>
      </c>
    </row>
    <row r="4" spans="1:5" ht="15" customHeight="1" x14ac:dyDescent="0.2">
      <c r="A4" t="s">
        <v>180</v>
      </c>
      <c r="C4" t="s">
        <v>191</v>
      </c>
    </row>
    <row r="5" spans="1:5" ht="15" customHeight="1" x14ac:dyDescent="0.2">
      <c r="A5" t="s">
        <v>147</v>
      </c>
      <c r="C5" t="s">
        <v>192</v>
      </c>
    </row>
    <row r="6" spans="1:5" ht="15" customHeight="1" x14ac:dyDescent="0.2">
      <c r="A6" t="s">
        <v>144</v>
      </c>
      <c r="C6" t="s">
        <v>193</v>
      </c>
    </row>
    <row r="7" spans="1:5" ht="15" customHeight="1" x14ac:dyDescent="0.2">
      <c r="A7" t="s">
        <v>141</v>
      </c>
      <c r="C7" t="s">
        <v>194</v>
      </c>
    </row>
    <row r="8" spans="1:5" ht="15" customHeight="1" x14ac:dyDescent="0.2">
      <c r="A8" t="s">
        <v>175</v>
      </c>
      <c r="C8" t="s">
        <v>196</v>
      </c>
    </row>
    <row r="9" spans="1:5" ht="15" customHeight="1" x14ac:dyDescent="0.2">
      <c r="A9" t="s">
        <v>177</v>
      </c>
      <c r="C9" t="s">
        <v>198</v>
      </c>
    </row>
    <row r="10" spans="1:5" ht="15" customHeight="1" x14ac:dyDescent="0.2">
      <c r="A10" t="s">
        <v>174</v>
      </c>
      <c r="C10" t="s">
        <v>200</v>
      </c>
    </row>
    <row r="11" spans="1:5" ht="15" customHeight="1" x14ac:dyDescent="0.2">
      <c r="A11" t="s">
        <v>182</v>
      </c>
      <c r="C11" t="s">
        <v>201</v>
      </c>
    </row>
    <row r="12" spans="1:5" ht="15" customHeight="1" x14ac:dyDescent="0.2">
      <c r="A12" t="s">
        <v>176</v>
      </c>
      <c r="C12" t="s">
        <v>202</v>
      </c>
    </row>
    <row r="13" spans="1:5" ht="15" customHeight="1" x14ac:dyDescent="0.2">
      <c r="A13" t="s">
        <v>178</v>
      </c>
      <c r="C13" t="s">
        <v>203</v>
      </c>
    </row>
    <row r="14" spans="1:5" ht="15" customHeight="1" x14ac:dyDescent="0.2">
      <c r="A14" t="s">
        <v>179</v>
      </c>
      <c r="C14" t="s">
        <v>205</v>
      </c>
    </row>
    <row r="15" spans="1:5" ht="15" customHeight="1" x14ac:dyDescent="0.2">
      <c r="A15" t="s">
        <v>181</v>
      </c>
      <c r="C15" t="s">
        <v>207</v>
      </c>
    </row>
    <row r="16" spans="1:5" ht="15" customHeight="1" x14ac:dyDescent="0.2">
      <c r="C16" t="s">
        <v>209</v>
      </c>
    </row>
    <row r="17" spans="3:3" ht="15" customHeight="1" x14ac:dyDescent="0.2">
      <c r="C17" t="s">
        <v>211</v>
      </c>
    </row>
    <row r="18" spans="3:3" ht="15" customHeight="1" x14ac:dyDescent="0.2">
      <c r="C18" t="s">
        <v>212</v>
      </c>
    </row>
    <row r="19" spans="3:3" ht="15" customHeight="1" x14ac:dyDescent="0.2">
      <c r="C19" t="s">
        <v>214</v>
      </c>
    </row>
    <row r="20" spans="3:3" ht="15" customHeight="1" x14ac:dyDescent="0.2">
      <c r="C20" t="s">
        <v>216</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Shawn Peach</cp:lastModifiedBy>
  <cp:revision>12</cp:revision>
  <cp:lastPrinted>2026-06-29T13:40:16Z</cp:lastPrinted>
  <dcterms:created xsi:type="dcterms:W3CDTF">2026-06-14T14:59:50Z</dcterms:created>
  <dcterms:modified xsi:type="dcterms:W3CDTF">2026-07-05T01:02:06Z</dcterms:modified>
  <dc:language>en-US</dc:language>
</cp:coreProperties>
</file>