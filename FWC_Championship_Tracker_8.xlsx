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55CA4391-FB4E-2147-859A-D6EB89A851A8}"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W184" i="11"/>
  <c r="V184" i="11"/>
  <c r="U184" i="11"/>
  <c r="T184" i="11"/>
  <c r="S184" i="11"/>
  <c r="R184" i="11"/>
  <c r="Q184" i="11"/>
  <c r="P184" i="11"/>
  <c r="O184" i="11"/>
  <c r="N184" i="11"/>
  <c r="M184" i="11"/>
  <c r="L184" i="11"/>
  <c r="K184" i="11"/>
  <c r="F184" i="11"/>
  <c r="E184" i="11"/>
  <c r="H184" i="11" s="1" a="1"/>
  <c r="H184" i="11" s="1"/>
  <c r="D184" i="11" a="1"/>
  <c r="D184" i="11" s="1"/>
  <c r="G184" i="11" s="1"/>
  <c r="I184" i="11" s="1"/>
  <c r="C184" i="11"/>
  <c r="B184" i="11"/>
  <c r="X183" i="11"/>
  <c r="W183" i="11"/>
  <c r="V183" i="11"/>
  <c r="U183" i="11"/>
  <c r="T183" i="11"/>
  <c r="S183" i="11"/>
  <c r="R183" i="11"/>
  <c r="Q183" i="11"/>
  <c r="P183" i="11"/>
  <c r="O183" i="11"/>
  <c r="N183" i="11"/>
  <c r="M183" i="11"/>
  <c r="L183" i="11"/>
  <c r="K183" i="11"/>
  <c r="F183" i="11"/>
  <c r="E183" i="11"/>
  <c r="H183" i="11" s="1" a="1"/>
  <c r="H183" i="11" s="1"/>
  <c r="D183" i="11" a="1"/>
  <c r="D183" i="11" s="1"/>
  <c r="G183" i="11" s="1"/>
  <c r="I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L118" i="6"/>
  <c r="K118" i="6"/>
  <c r="J118" i="6"/>
  <c r="H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L76" i="6" s="1"/>
  <c r="T68" i="8" s="1"/>
  <c r="K26" i="6"/>
  <c r="K76" i="6" s="1"/>
  <c r="T67" i="8" s="1"/>
  <c r="J26" i="6"/>
  <c r="J76" i="6" s="1"/>
  <c r="T66" i="8" s="1"/>
  <c r="I26" i="6"/>
  <c r="H26" i="6"/>
  <c r="H76" i="6" s="1"/>
  <c r="T64" i="8" s="1"/>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U367" i="9"/>
  <c r="Y367" i="9" s="1"/>
  <c r="Z367" i="9" s="1"/>
  <c r="T367" i="9"/>
  <c r="R367" i="9"/>
  <c r="O367" i="9"/>
  <c r="L367" i="9"/>
  <c r="G367" i="9"/>
  <c r="F367" i="9"/>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Y366" i="9" l="1"/>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S91" i="6" s="1"/>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S246" i="9"/>
  <c r="I246" i="9" s="1"/>
  <c r="J62" i="6"/>
  <c r="F66" i="8" s="1"/>
  <c r="H69" i="6"/>
  <c r="M64" i="8" s="1"/>
  <c r="L71" i="6"/>
  <c r="O68" i="8" s="1"/>
  <c r="D75" i="6"/>
  <c r="S60" i="8" s="1"/>
  <c r="AH10" i="11"/>
  <c r="AH18" i="11"/>
  <c r="F48" i="11"/>
  <c r="G48" i="11" s="1"/>
  <c r="I48" i="11" s="1"/>
  <c r="Y48" i="11" s="1"/>
  <c r="AA24" i="9"/>
  <c r="AB24" i="9" s="1"/>
  <c r="U26" i="9" s="1"/>
  <c r="AA23" i="9"/>
  <c r="AB23" i="9" s="1"/>
  <c r="U25" i="9" s="1"/>
  <c r="L62" i="9"/>
  <c r="L5" i="9"/>
  <c r="S66" i="9"/>
  <c r="I66" i="9" s="1"/>
  <c r="K66" i="9" s="1"/>
  <c r="S65" i="9"/>
  <c r="I65" i="9" s="1"/>
  <c r="F65" i="11"/>
  <c r="K93" i="9"/>
  <c r="L14" i="9"/>
  <c r="F57" i="11"/>
  <c r="F67" i="11"/>
  <c r="K97" i="9"/>
  <c r="E46" i="11"/>
  <c r="H46" i="11" s="1" a="1"/>
  <c r="H46" i="11" s="1"/>
  <c r="L53" i="9"/>
  <c r="F33" i="11"/>
  <c r="G33" i="11" s="1"/>
  <c r="I33" i="11" s="1"/>
  <c r="K28"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K128" i="9"/>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K220" i="9"/>
  <c r="E127" i="11"/>
  <c r="H127" i="11" s="1" a="1"/>
  <c r="H127" i="11" s="1"/>
  <c r="L254" i="9"/>
  <c r="E128" i="11"/>
  <c r="H128" i="11" s="1" a="1"/>
  <c r="H128" i="11" s="1"/>
  <c r="S263" i="9"/>
  <c r="I263" i="9" s="1"/>
  <c r="S271" i="9"/>
  <c r="I271" i="9" s="1"/>
  <c r="K271" i="9" s="1"/>
  <c r="S270" i="9"/>
  <c r="I270" i="9" s="1"/>
  <c r="L283" i="9"/>
  <c r="F150" i="11"/>
  <c r="K300" i="9"/>
  <c r="K295" i="9"/>
  <c r="L323" i="9"/>
  <c r="E145" i="11"/>
  <c r="H145" i="11" s="1" a="1"/>
  <c r="H145" i="11" s="1"/>
  <c r="L290" i="9"/>
  <c r="L307" i="9"/>
  <c r="S309" i="9"/>
  <c r="I309" i="9" s="1"/>
  <c r="K309" i="9" s="1"/>
  <c r="S308" i="9"/>
  <c r="I308" i="9" s="1"/>
  <c r="F168" i="11"/>
  <c r="G168" i="11" s="1"/>
  <c r="I168" i="11" s="1"/>
  <c r="Y168" i="11"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H10" i="11"/>
  <c r="V10" i="11"/>
  <c r="AC17" i="11"/>
  <c r="C58" i="6"/>
  <c r="B59" i="8" s="1"/>
  <c r="E86" i="6"/>
  <c r="Q37" i="10"/>
  <c r="P37" i="10"/>
  <c r="AC18" i="11"/>
  <c r="G89" i="6"/>
  <c r="AC19" i="11"/>
  <c r="E58" i="6"/>
  <c r="B61" i="8" s="1"/>
  <c r="AC20" i="11"/>
  <c r="F58" i="6"/>
  <c r="B62" i="8" s="1"/>
  <c r="O7" i="11"/>
  <c r="G7" i="11"/>
  <c r="H7" i="11" s="1"/>
  <c r="E29" i="8"/>
  <c r="F29" i="8" s="1"/>
  <c r="D29" i="8"/>
  <c r="H58" i="6"/>
  <c r="B64" i="8" s="1"/>
  <c r="O9" i="11"/>
  <c r="I58" i="6"/>
  <c r="B65" i="8" s="1"/>
  <c r="G8" i="11"/>
  <c r="H8" i="11" s="1"/>
  <c r="V13" i="11"/>
  <c r="V19" i="11"/>
  <c r="G20" i="11"/>
  <c r="H20" i="11" s="1"/>
  <c r="G55" i="11"/>
  <c r="I55" i="11" s="1"/>
  <c r="Y55" i="11" s="1"/>
  <c r="G80" i="11"/>
  <c r="I80" i="11" s="1"/>
  <c r="Y80" i="11" s="1"/>
  <c r="O17" i="11"/>
  <c r="G57" i="11"/>
  <c r="I57" i="11" s="1"/>
  <c r="Y57" i="11" s="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Y33" i="1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183" i="11"/>
  <c r="Y209" i="11"/>
  <c r="Y199" i="11"/>
  <c r="Y225" i="11"/>
  <c r="Y215" i="11"/>
  <c r="AG20" i="11"/>
  <c r="AG19" i="11"/>
  <c r="Y76" i="11"/>
  <c r="AH15" i="11"/>
  <c r="AH7" i="11"/>
  <c r="AH13" i="11"/>
  <c r="AH14" i="11"/>
  <c r="Q40" i="10"/>
  <c r="V20" i="11"/>
  <c r="P49" i="10"/>
  <c r="R49" i="10" s="1"/>
  <c r="G49" i="11"/>
  <c r="I49" i="11" s="1"/>
  <c r="Y49" i="11" s="1"/>
  <c r="G70" i="11"/>
  <c r="I70" i="11" s="1"/>
  <c r="Y70" i="11" s="1"/>
  <c r="G121" i="11"/>
  <c r="I121" i="11" s="1"/>
  <c r="Y121"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84"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AC15" i="11" l="1"/>
  <c r="K367" i="9"/>
  <c r="F182" i="11"/>
  <c r="G182" i="11" s="1"/>
  <c r="I182" i="11" s="1"/>
  <c r="Y182" i="11" s="1"/>
  <c r="R31" i="10"/>
  <c r="AA306" i="9"/>
  <c r="AB306" i="9" s="1"/>
  <c r="U308" i="9" s="1"/>
  <c r="K268" i="9"/>
  <c r="AC7" i="11"/>
  <c r="K40" i="9"/>
  <c r="K244" i="9"/>
  <c r="AC12" i="11"/>
  <c r="K258" i="9"/>
  <c r="K288" i="9"/>
  <c r="AA125" i="9"/>
  <c r="AB125" i="9" s="1"/>
  <c r="U129" i="9" s="1"/>
  <c r="F40" i="11"/>
  <c r="G40" i="11" s="1"/>
  <c r="I40" i="11" s="1"/>
  <c r="Y40" i="11" s="1"/>
  <c r="F119" i="11"/>
  <c r="G119" i="11" s="1"/>
  <c r="I119" i="11" s="1"/>
  <c r="Y119" i="11" s="1"/>
  <c r="K235" i="9"/>
  <c r="R32" i="10"/>
  <c r="K364" i="9"/>
  <c r="F181" i="11"/>
  <c r="G181" i="11" s="1"/>
  <c r="I181" i="11" s="1"/>
  <c r="Y181" i="11" s="1"/>
  <c r="K276" i="9"/>
  <c r="X6" i="9"/>
  <c r="J6" i="9" s="1"/>
  <c r="K138" i="9"/>
  <c r="G65" i="11"/>
  <c r="I65" i="11" s="1"/>
  <c r="Y65" i="11" s="1"/>
  <c r="AA126" i="9"/>
  <c r="AB126" i="9" s="1"/>
  <c r="U134" i="9" s="1"/>
  <c r="G67" i="11"/>
  <c r="I67" i="11" s="1"/>
  <c r="Y67" i="11" s="1"/>
  <c r="K299" i="9"/>
  <c r="U51" i="9"/>
  <c r="R36" i="10"/>
  <c r="F30" i="11"/>
  <c r="G30" i="11" s="1"/>
  <c r="I30" i="11" s="1"/>
  <c r="Y30" i="11" s="1"/>
  <c r="AC9" i="11"/>
  <c r="R33" i="10"/>
  <c r="R7" i="10"/>
  <c r="K363" i="9"/>
  <c r="F180" i="11"/>
  <c r="G180" i="11" s="1"/>
  <c r="I180" i="11" s="1"/>
  <c r="Y180" i="11" s="1"/>
  <c r="K231" i="9"/>
  <c r="F46" i="11"/>
  <c r="G46" i="11" s="1"/>
  <c r="I46" i="11" s="1"/>
  <c r="Y46" i="11" s="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M41" i="11"/>
  <c r="M37" i="11"/>
  <c r="M35" i="11"/>
  <c r="M36" i="11"/>
  <c r="M28" i="11"/>
  <c r="M27" i="11"/>
  <c r="M30" i="11"/>
  <c r="M26" i="11"/>
  <c r="M31" i="11"/>
  <c r="H46"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Z129" i="9"/>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M6" i="9"/>
  <c r="N6" i="9" s="1"/>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A6" i="8" s="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D29" i="2"/>
  <c r="C29" i="2"/>
  <c r="Y309" i="9"/>
  <c r="Z309" i="9" s="1"/>
  <c r="Y308" i="9"/>
  <c r="Z308" i="9" s="1"/>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A7" i="8" s="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M38" i="11" l="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V128" i="9" l="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D11" i="2" l="1"/>
  <c r="U365" i="9"/>
  <c r="U364" i="9"/>
  <c r="Q8" i="9"/>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65" i="9" l="1"/>
  <c r="Z365" i="9" s="1"/>
  <c r="AA365" i="9" s="1"/>
  <c r="AB365" i="9" s="1"/>
  <c r="I100" i="6" s="1"/>
  <c r="Y364" i="9"/>
  <c r="Z364" i="9" s="1"/>
  <c r="AA364" i="9" s="1"/>
  <c r="AB364" i="9" s="1"/>
  <c r="Y54" i="9"/>
  <c r="Z54" i="9" s="1"/>
  <c r="Y53" i="9"/>
  <c r="Z53" i="9" s="1"/>
  <c r="Y351" i="9"/>
  <c r="Z351" i="9" s="1"/>
  <c r="Y352" i="9"/>
  <c r="Z352" i="9" s="1"/>
  <c r="AA352" i="9" s="1"/>
  <c r="AB352" i="9" s="1"/>
  <c r="U354" i="9" s="1"/>
  <c r="P115" i="6"/>
  <c r="B25" i="2"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366" i="9" l="1"/>
  <c r="AA54" i="9"/>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Z366" i="9" l="1"/>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366" i="9" l="1"/>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P100" i="6" l="1"/>
  <c r="B10" i="2" s="1"/>
  <c r="D10" i="2" s="1"/>
  <c r="AA55" i="9"/>
  <c r="AB55" i="9" s="1"/>
  <c r="U104" i="9"/>
  <c r="Y105" i="9" s="1"/>
  <c r="Z105" i="9" s="1"/>
  <c r="U246" i="9"/>
  <c r="D113" i="6"/>
  <c r="D118" i="6"/>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C10" i="2" l="1"/>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G118" i="6" s="1"/>
  <c r="H23" i="4"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AA360" i="9" l="1"/>
  <c r="AB360" i="9" s="1"/>
  <c r="AA253" i="9"/>
  <c r="AB253" i="9" s="1"/>
  <c r="I118" i="6"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P118" i="6" l="1"/>
  <c r="B28" i="2" s="1"/>
  <c r="C28" i="2" s="1"/>
  <c r="J20" i="9"/>
  <c r="M20" i="9" s="1"/>
  <c r="N20"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H22" i="9"/>
  <c r="N19" i="9"/>
  <c r="Z83" i="9"/>
  <c r="J44" i="9"/>
  <c r="M44" i="9" s="1"/>
  <c r="N44" i="9" s="1"/>
  <c r="J43" i="9"/>
  <c r="M43" i="9" s="1"/>
  <c r="N43" i="9" s="1"/>
  <c r="AA261" i="9"/>
  <c r="AB261" i="9" s="1"/>
  <c r="U263" i="9" s="1"/>
  <c r="AA260" i="9"/>
  <c r="AB260" i="9" s="1"/>
  <c r="U262" i="9" s="1"/>
  <c r="D28" i="2" l="1"/>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04" i="6" l="1"/>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C14" i="2" l="1"/>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J45" i="9" l="1"/>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81" i="11" l="1"/>
  <c r="W182" i="11"/>
  <c r="V181" i="11"/>
  <c r="V182" i="11"/>
  <c r="W179" i="1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V238" i="9"/>
  <c r="P2" i="12"/>
  <c r="B19" i="11"/>
  <c r="W236" i="9" l="1"/>
  <c r="X236" i="9" s="1"/>
  <c r="W235" i="9"/>
  <c r="X235" i="9" s="1"/>
  <c r="P230" i="9"/>
  <c r="Q230" i="9" s="1"/>
  <c r="P229" i="9"/>
  <c r="Q229" i="9" s="1"/>
  <c r="V229" i="9"/>
  <c r="V230" i="9"/>
  <c r="J235" i="9" l="1"/>
  <c r="M235" i="9" s="1"/>
  <c r="N235" i="9" s="1"/>
  <c r="J236" i="9"/>
  <c r="M236" i="9" s="1"/>
  <c r="N236" i="9" s="1"/>
  <c r="W230" i="9"/>
  <c r="X230" i="9" s="1"/>
  <c r="W229" i="9"/>
  <c r="X229" i="9" s="1"/>
  <c r="T181" i="11" l="1"/>
  <c r="T182" i="11"/>
  <c r="T179" i="1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U115" i="11"/>
  <c r="H231" i="9"/>
  <c r="Q115" i="11"/>
  <c r="H232" i="9"/>
  <c r="V232" i="9" l="1"/>
  <c r="P232" i="9"/>
  <c r="Q232" i="9" s="1"/>
  <c r="P231" i="9"/>
  <c r="Q231" i="9" s="1"/>
  <c r="V231" i="9"/>
  <c r="W238" i="9"/>
  <c r="X238" i="9" s="1"/>
  <c r="W237" i="9"/>
  <c r="X237" i="9" s="1"/>
  <c r="W239" i="9"/>
  <c r="J238" i="9" l="1"/>
  <c r="M238" i="9" s="1"/>
  <c r="N238" i="9" s="1"/>
  <c r="W232" i="9"/>
  <c r="X232" i="9" s="1"/>
  <c r="W231" i="9"/>
  <c r="X231" i="9" s="1"/>
  <c r="P120" i="11" l="1"/>
  <c r="P121" i="11"/>
  <c r="P119" i="11"/>
  <c r="H244" i="9"/>
  <c r="J231" i="9"/>
  <c r="M231" i="9" s="1"/>
  <c r="N231" i="9" s="1"/>
  <c r="J232" i="9"/>
  <c r="M232" i="9" s="1"/>
  <c r="N232" i="9" s="1"/>
  <c r="Q181" i="11" l="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W234" i="9" l="1"/>
  <c r="X234" i="9" s="1"/>
  <c r="W233" i="9"/>
  <c r="X233" i="9" s="1"/>
  <c r="J233" i="9" l="1"/>
  <c r="M233" i="9" s="1"/>
  <c r="N233" i="9" s="1"/>
  <c r="J234" i="9"/>
  <c r="M234" i="9" s="1"/>
  <c r="N234" i="9" s="1"/>
  <c r="L181" i="11" l="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J17" i="11"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12" i="11" s="1"/>
  <c r="J295" i="9"/>
  <c r="M295" i="9" s="1"/>
  <c r="N295" i="9" s="1"/>
  <c r="H348" i="9" s="1"/>
  <c r="Q348" i="9" l="1"/>
  <c r="V348" i="9"/>
  <c r="X348" i="9" s="1"/>
  <c r="J14" i="11"/>
  <c r="K14" i="11"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K15" i="11"/>
  <c r="K17" i="11"/>
  <c r="K16" i="11"/>
  <c r="K18" i="11"/>
  <c r="K20" i="11"/>
  <c r="K7" i="11"/>
  <c r="K12" i="11"/>
  <c r="K10" i="11"/>
  <c r="K13" i="11"/>
  <c r="K19" i="11"/>
  <c r="K11" i="11"/>
  <c r="K8" i="11"/>
  <c r="K9"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U181" i="11" l="1"/>
  <c r="U182" i="11"/>
  <c r="U179" i="11"/>
  <c r="U180" i="11"/>
  <c r="U177" i="11"/>
  <c r="U178" i="11"/>
  <c r="P356" i="9"/>
  <c r="Q356" i="9" s="1"/>
  <c r="P355" i="9"/>
  <c r="Q355" i="9" s="1"/>
  <c r="V355" i="9"/>
  <c r="U175" i="11"/>
  <c r="U176" i="11"/>
  <c r="U173" i="11"/>
  <c r="U174" i="11"/>
  <c r="B12" i="12"/>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W355" i="9" l="1"/>
  <c r="X355" i="9" s="1"/>
  <c r="W356" i="9"/>
  <c r="X356" i="9" s="1"/>
  <c r="J356" i="9" s="1"/>
  <c r="M356" i="9" s="1"/>
  <c r="N356" i="9" s="1"/>
  <c r="P302" i="9"/>
  <c r="Q302" i="9" s="1"/>
  <c r="P303" i="9"/>
  <c r="Q303" i="9" s="1"/>
  <c r="V302" i="9"/>
  <c r="N2" i="12"/>
  <c r="B17" i="11"/>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2" i="11" s="1"/>
  <c r="W360" i="9"/>
  <c r="X360" i="9" s="1"/>
  <c r="J360" i="9" s="1"/>
  <c r="M360" i="9" s="1"/>
  <c r="N360" i="9" s="1"/>
  <c r="P152" i="11"/>
  <c r="H306" i="9"/>
  <c r="K152" i="11"/>
  <c r="H307" i="9"/>
  <c r="O180" i="11" l="1"/>
  <c r="O181" i="11"/>
  <c r="H362" i="9"/>
  <c r="R179" i="11"/>
  <c r="O179" i="11"/>
  <c r="B6" i="12"/>
  <c r="V307" i="9"/>
  <c r="P307" i="9"/>
  <c r="Q307" i="9" s="1"/>
  <c r="V306" i="9"/>
  <c r="P306" i="9"/>
  <c r="Q306" i="9" s="1"/>
  <c r="Q362" i="9" l="1"/>
  <c r="V362" i="9"/>
  <c r="X362" i="9" s="1"/>
  <c r="B11" i="11"/>
  <c r="H2" i="12"/>
  <c r="W306" i="9"/>
  <c r="X306" i="9" s="1"/>
  <c r="W307" i="9"/>
  <c r="X307" i="9" s="1"/>
  <c r="J362" i="9" l="1"/>
  <c r="M362" i="9" s="1"/>
  <c r="N362" i="9" s="1"/>
  <c r="J363" i="9"/>
  <c r="M363" i="9" s="1"/>
  <c r="N363" i="9" s="1"/>
  <c r="R180" i="11"/>
  <c r="J306" i="9"/>
  <c r="M306" i="9" s="1"/>
  <c r="N306" i="9" s="1"/>
  <c r="J307" i="9"/>
  <c r="M307" i="9" s="1"/>
  <c r="N307" i="9" s="1"/>
  <c r="S181" i="11" l="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81" i="11" l="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K181" i="11" l="1"/>
  <c r="K182" i="11"/>
  <c r="P365" i="9"/>
  <c r="Q365" i="9" s="1"/>
  <c r="P364" i="9"/>
  <c r="Q364" i="9" s="1"/>
  <c r="V364" i="9"/>
  <c r="K179" i="11"/>
  <c r="K180" i="11"/>
  <c r="K177" i="11"/>
  <c r="K178" i="11"/>
  <c r="K175" i="11"/>
  <c r="K176" i="11"/>
  <c r="K173" i="11"/>
  <c r="K174" i="11"/>
  <c r="B2" i="12"/>
  <c r="K172" i="11"/>
  <c r="W365" i="9" l="1"/>
  <c r="X365" i="9" s="1"/>
  <c r="J365" i="9" s="1"/>
  <c r="M365" i="9" s="1"/>
  <c r="N365" i="9" s="1"/>
  <c r="R182" i="11" s="1"/>
  <c r="W364" i="9"/>
  <c r="X364" i="9" s="1"/>
  <c r="D2" i="12"/>
  <c r="B7" i="11"/>
  <c r="J364" i="9" l="1"/>
  <c r="M364" i="9" s="1"/>
  <c r="B9" i="12"/>
  <c r="R181" i="11"/>
  <c r="N364" i="9" l="1"/>
  <c r="B14" i="11"/>
  <c r="K2" i="12"/>
  <c r="H366" i="9" l="1"/>
  <c r="P181" i="11"/>
  <c r="Q366" i="9" l="1"/>
  <c r="V366" i="9"/>
  <c r="X366" i="9" s="1"/>
  <c r="J366" i="9" l="1"/>
  <c r="M366" i="9" s="1"/>
  <c r="J367" i="9"/>
  <c r="M367" i="9" s="1"/>
  <c r="N367" i="9" s="1"/>
  <c r="N366" i="9"/>
  <c r="H18" i="7" l="1"/>
  <c r="B19" i="7"/>
  <c r="H19" i="7"/>
  <c r="F19" i="7" s="1"/>
  <c r="M182" i="11"/>
  <c r="B4" i="12"/>
  <c r="B18" i="7"/>
  <c r="Q182" i="11"/>
  <c r="B8" i="12"/>
  <c r="P182" i="11"/>
  <c r="H17" i="7"/>
  <c r="B7" i="12"/>
  <c r="B17" i="7"/>
  <c r="C18" i="7"/>
  <c r="E18" i="7"/>
  <c r="D18" i="7"/>
  <c r="F18" i="7"/>
  <c r="F2" i="12" l="1"/>
  <c r="B9" i="11"/>
  <c r="D19" i="7"/>
  <c r="C19" i="7"/>
  <c r="E19" i="7"/>
  <c r="J2" i="12"/>
  <c r="B13" i="11"/>
  <c r="B12" i="11"/>
  <c r="I2" i="12"/>
  <c r="D17" i="7"/>
  <c r="E17" i="7"/>
  <c r="C17" i="7"/>
  <c r="F17" i="7"/>
  <c r="C13" i="12" l="1"/>
  <c r="C18" i="11" s="1"/>
  <c r="AA18" i="11" s="1"/>
  <c r="C6" i="12"/>
  <c r="C11" i="11" s="1"/>
  <c r="AA11" i="11" s="1"/>
  <c r="C10" i="12"/>
  <c r="C15" i="11" s="1"/>
  <c r="AA15" i="11" s="1"/>
  <c r="C8" i="12"/>
  <c r="C13" i="11" s="1"/>
  <c r="AA13" i="11" s="1"/>
  <c r="C3" i="12"/>
  <c r="C8" i="11" s="1"/>
  <c r="AA8" i="11" s="1"/>
  <c r="C9" i="12"/>
  <c r="C14" i="11" s="1"/>
  <c r="AA14" i="11" s="1"/>
  <c r="C14" i="12"/>
  <c r="C19" i="11" s="1"/>
  <c r="AA19" i="11" s="1"/>
  <c r="C5" i="12"/>
  <c r="C10" i="11" s="1"/>
  <c r="AA10" i="11" s="1"/>
  <c r="C11" i="12"/>
  <c r="C16" i="11" s="1"/>
  <c r="AA16" i="11" s="1"/>
  <c r="C12" i="12"/>
  <c r="C17" i="11" s="1"/>
  <c r="AA17" i="11" s="1"/>
  <c r="C7" i="12"/>
  <c r="C12" i="11" s="1"/>
  <c r="C15" i="12"/>
  <c r="C20" i="11" s="1"/>
  <c r="AA20" i="11" s="1"/>
  <c r="C4" i="12"/>
  <c r="C9" i="11" s="1"/>
  <c r="AA9" i="11" s="1"/>
  <c r="C2" i="12"/>
  <c r="C7" i="11" s="1"/>
  <c r="AA7" i="11" s="1"/>
  <c r="D17" i="11"/>
  <c r="L17" i="11" s="1"/>
  <c r="D9" i="11"/>
  <c r="L9" i="11" s="1"/>
  <c r="A5" i="8"/>
  <c r="D12" i="11"/>
  <c r="L12" i="11" s="1"/>
  <c r="E15" i="11"/>
  <c r="C17" i="8"/>
  <c r="E8" i="11"/>
  <c r="B18" i="8"/>
  <c r="D16" i="11"/>
  <c r="L16" i="11" s="1"/>
  <c r="E20" i="11"/>
  <c r="E11" i="11"/>
  <c r="D18" i="8"/>
  <c r="E18" i="11"/>
  <c r="D18" i="11"/>
  <c r="L18" i="11" s="1"/>
  <c r="E7" i="11"/>
  <c r="E12" i="11"/>
  <c r="B15" i="4" s="1"/>
  <c r="B17" i="8"/>
  <c r="E17" i="11"/>
  <c r="E13" i="11"/>
  <c r="D20" i="11"/>
  <c r="L20" i="11" s="1"/>
  <c r="D13" i="11"/>
  <c r="L13" i="11" s="1"/>
  <c r="C18" i="8"/>
  <c r="E9" i="11"/>
  <c r="E14" i="11"/>
  <c r="D19" i="11"/>
  <c r="L19" i="11" s="1"/>
  <c r="D14" i="11"/>
  <c r="L14" i="11" s="1"/>
  <c r="D8" i="11"/>
  <c r="L8" i="11" s="1"/>
  <c r="E16" i="11"/>
  <c r="C19" i="8"/>
  <c r="D11" i="11"/>
  <c r="L11" i="11" s="1"/>
  <c r="E19" i="11"/>
  <c r="E10" i="11"/>
  <c r="D7" i="11"/>
  <c r="L7" i="11" s="1"/>
  <c r="D10" i="11"/>
  <c r="L10" i="11" s="1"/>
  <c r="B19" i="8"/>
  <c r="D19" i="8"/>
  <c r="D15" i="11"/>
  <c r="L15" i="11" s="1"/>
  <c r="B12" i="4" l="1"/>
  <c r="AA12" i="11"/>
  <c r="B28" i="4" s="1"/>
  <c r="A8" i="8"/>
  <c r="D4" i="11" l="1"/>
  <c r="Q18" i="11" l="1"/>
  <c r="Q8" i="11"/>
  <c r="Q11" i="11"/>
  <c r="Q13" i="11"/>
  <c r="Q17" i="11"/>
  <c r="Q9" i="11"/>
  <c r="Q10" i="11"/>
  <c r="Q14" i="11"/>
  <c r="Q12" i="11"/>
  <c r="Q15" i="11"/>
  <c r="Q19" i="11"/>
  <c r="Q7" i="11"/>
  <c r="Q16" i="11"/>
  <c r="R10" i="11" l="1"/>
  <c r="S10" i="11" s="1"/>
  <c r="T10" i="11"/>
  <c r="R16" i="11"/>
  <c r="S16" i="11" s="1"/>
  <c r="T16" i="11"/>
  <c r="T19" i="11"/>
  <c r="R19" i="11"/>
  <c r="S19" i="11" s="1"/>
  <c r="R12" i="11"/>
  <c r="S12" i="11" s="1"/>
  <c r="T12" i="11"/>
  <c r="B17" i="4" s="1"/>
  <c r="R9" i="11"/>
  <c r="S9" i="11" s="1"/>
  <c r="T9" i="11"/>
  <c r="T8" i="11"/>
  <c r="R8" i="11"/>
  <c r="S8" i="11" s="1"/>
  <c r="T7" i="11"/>
  <c r="R7" i="11"/>
  <c r="S7" i="11" s="1"/>
  <c r="R15" i="11"/>
  <c r="S15" i="11" s="1"/>
  <c r="T15" i="11"/>
  <c r="T14" i="11"/>
  <c r="R14" i="11"/>
  <c r="S14" i="11" s="1"/>
  <c r="R17" i="11"/>
  <c r="S17" i="11" s="1"/>
  <c r="T17" i="11"/>
  <c r="T13" i="11"/>
  <c r="R13" i="11"/>
  <c r="S13" i="11" s="1"/>
  <c r="R11" i="11"/>
  <c r="S11" i="11" s="1"/>
  <c r="T11" i="11"/>
  <c r="T18" i="11"/>
  <c r="R18" i="11"/>
  <c r="S18" i="11" s="1"/>
  <c r="F83" i="6" l="1"/>
  <c r="S83" i="6" s="1"/>
  <c r="AI15" i="11"/>
  <c r="W15" i="11"/>
  <c r="F91" i="6"/>
  <c r="AI18" i="11"/>
  <c r="W18" i="11"/>
  <c r="F90" i="6"/>
  <c r="S90" i="6" s="1"/>
  <c r="AI8" i="11"/>
  <c r="W8" i="11"/>
  <c r="F85" i="6"/>
  <c r="S85" i="6" s="1"/>
  <c r="AI13" i="11"/>
  <c r="W13" i="11"/>
  <c r="F88" i="6"/>
  <c r="S88" i="6" s="1"/>
  <c r="AI7" i="11"/>
  <c r="W7" i="11"/>
  <c r="F92" i="6"/>
  <c r="AI19" i="11"/>
  <c r="W19" i="11"/>
  <c r="F93" i="6"/>
  <c r="S93" i="6" s="1"/>
  <c r="W9" i="11"/>
  <c r="AI9" i="11"/>
  <c r="AI11" i="11"/>
  <c r="F84" i="6"/>
  <c r="S84" i="6" s="1"/>
  <c r="W11" i="11"/>
  <c r="F96" i="6"/>
  <c r="S96" i="6" s="1"/>
  <c r="W16" i="11"/>
  <c r="AI16" i="11"/>
  <c r="F89" i="6"/>
  <c r="S89" i="6" s="1"/>
  <c r="W12" i="11"/>
  <c r="AI12" i="11"/>
  <c r="F87" i="6"/>
  <c r="S87" i="6" s="1"/>
  <c r="AI14" i="11"/>
  <c r="W14" i="11"/>
  <c r="F86" i="6"/>
  <c r="S86" i="6" s="1"/>
  <c r="W17" i="11"/>
  <c r="AI17" i="11"/>
  <c r="F95" i="6"/>
  <c r="S95" i="6" s="1"/>
  <c r="AI10" i="11"/>
  <c r="W10" i="11"/>
  <c r="B5" i="3" l="1"/>
  <c r="B8" i="3"/>
  <c r="B15" i="3"/>
  <c r="B14" i="3"/>
  <c r="B6" i="3"/>
  <c r="B18" i="3"/>
  <c r="B7" i="3"/>
  <c r="B13" i="3"/>
  <c r="B12" i="3"/>
  <c r="B11" i="3"/>
  <c r="B16" i="3"/>
  <c r="B9" i="3"/>
  <c r="B10" i="3"/>
  <c r="B17" i="3"/>
  <c r="B24" i="4"/>
  <c r="C4" i="6"/>
  <c r="K16" i="3" l="1"/>
  <c r="AE20" i="11" s="1"/>
  <c r="Q16" i="3"/>
  <c r="R16" i="3"/>
  <c r="V16" i="3"/>
  <c r="E16" i="3"/>
  <c r="M16" i="3"/>
  <c r="J16" i="3"/>
  <c r="H16" i="3"/>
  <c r="T16" i="3"/>
  <c r="O16" i="3"/>
  <c r="S16" i="3"/>
  <c r="C16" i="3"/>
  <c r="D16" i="3"/>
  <c r="I16" i="3"/>
  <c r="P16" i="3"/>
  <c r="X16" i="3"/>
  <c r="Q11" i="3"/>
  <c r="E11" i="3"/>
  <c r="R11" i="3"/>
  <c r="D11" i="3"/>
  <c r="P11" i="3"/>
  <c r="H11" i="3"/>
  <c r="K11" i="3"/>
  <c r="Y9" i="11" s="1"/>
  <c r="O11" i="3"/>
  <c r="T11" i="3"/>
  <c r="M11" i="3"/>
  <c r="I11" i="3"/>
  <c r="J11" i="3"/>
  <c r="S11" i="3"/>
  <c r="C11" i="3"/>
  <c r="X11" i="3"/>
  <c r="V11" i="3"/>
  <c r="R17" i="3"/>
  <c r="C17" i="3"/>
  <c r="D17" i="3"/>
  <c r="O17" i="3"/>
  <c r="M17" i="3"/>
  <c r="K17" i="3"/>
  <c r="AE10" i="11" s="1"/>
  <c r="X17" i="3"/>
  <c r="I17" i="3"/>
  <c r="V17" i="3"/>
  <c r="S17" i="3"/>
  <c r="J17" i="3"/>
  <c r="E17" i="3"/>
  <c r="H17" i="3"/>
  <c r="T17" i="3"/>
  <c r="P17" i="3"/>
  <c r="Q17" i="3"/>
  <c r="K18" i="3"/>
  <c r="Y16" i="11" s="1"/>
  <c r="H18" i="3"/>
  <c r="V18" i="3"/>
  <c r="P18" i="3"/>
  <c r="M18" i="3"/>
  <c r="C18" i="3"/>
  <c r="J18" i="3"/>
  <c r="T18" i="3"/>
  <c r="R18" i="3"/>
  <c r="E18" i="3"/>
  <c r="I18" i="3"/>
  <c r="D18" i="3"/>
  <c r="X18" i="3"/>
  <c r="S18" i="3"/>
  <c r="Q18" i="3"/>
  <c r="O18" i="3"/>
  <c r="S14" i="3"/>
  <c r="T14" i="3"/>
  <c r="H14" i="3"/>
  <c r="D14" i="3"/>
  <c r="I14" i="3"/>
  <c r="M14" i="3"/>
  <c r="X14" i="3"/>
  <c r="Q14" i="3"/>
  <c r="P14" i="3"/>
  <c r="O14" i="3"/>
  <c r="V14" i="3"/>
  <c r="E14" i="3"/>
  <c r="C14" i="3"/>
  <c r="K14" i="3"/>
  <c r="AE8" i="11" s="1"/>
  <c r="R14" i="3"/>
  <c r="J14" i="3"/>
  <c r="P13" i="3"/>
  <c r="O13" i="3"/>
  <c r="H13" i="3"/>
  <c r="M13" i="3"/>
  <c r="X13" i="3"/>
  <c r="E13" i="3"/>
  <c r="J13" i="3"/>
  <c r="I13" i="3"/>
  <c r="R13" i="3"/>
  <c r="T13" i="3"/>
  <c r="Q13" i="3"/>
  <c r="D13" i="3"/>
  <c r="K13" i="3"/>
  <c r="Y14" i="11" s="1"/>
  <c r="S13" i="3"/>
  <c r="V13" i="3"/>
  <c r="C13" i="3"/>
  <c r="A5" i="2"/>
  <c r="B28" i="7" s="1"/>
  <c r="A6" i="2"/>
  <c r="P15" i="3"/>
  <c r="S15" i="3"/>
  <c r="D15" i="3"/>
  <c r="J15" i="3"/>
  <c r="R15" i="3"/>
  <c r="I15" i="3"/>
  <c r="E15" i="3"/>
  <c r="K15" i="3"/>
  <c r="AE18" i="11" s="1"/>
  <c r="C15" i="3"/>
  <c r="V15" i="3"/>
  <c r="Q15" i="3"/>
  <c r="T15" i="3"/>
  <c r="H15" i="3"/>
  <c r="X15" i="3"/>
  <c r="O15" i="3"/>
  <c r="M15" i="3"/>
  <c r="Q9" i="3"/>
  <c r="E9" i="3"/>
  <c r="K9" i="3"/>
  <c r="Y13" i="11" s="1"/>
  <c r="S9" i="3"/>
  <c r="T9" i="3"/>
  <c r="R9" i="3"/>
  <c r="O9" i="3"/>
  <c r="H9" i="3"/>
  <c r="X9" i="3"/>
  <c r="C9" i="3"/>
  <c r="I9" i="3"/>
  <c r="J9" i="3"/>
  <c r="M9" i="3"/>
  <c r="P9" i="3"/>
  <c r="D9" i="3"/>
  <c r="AD13" i="11" s="1"/>
  <c r="V9" i="3"/>
  <c r="H7" i="3"/>
  <c r="D7" i="3"/>
  <c r="O7" i="3"/>
  <c r="C7" i="3"/>
  <c r="R7" i="3"/>
  <c r="X7" i="3"/>
  <c r="M7" i="3"/>
  <c r="I7" i="3"/>
  <c r="V7" i="3"/>
  <c r="K7" i="3"/>
  <c r="Y11" i="11" s="1"/>
  <c r="J7" i="3"/>
  <c r="S7" i="3"/>
  <c r="P7" i="3"/>
  <c r="T7" i="3"/>
  <c r="E7" i="3"/>
  <c r="Q7" i="3"/>
  <c r="O8" i="3"/>
  <c r="R8" i="3"/>
  <c r="T8" i="3"/>
  <c r="E8" i="3"/>
  <c r="D8" i="3"/>
  <c r="I8" i="3"/>
  <c r="K8" i="3"/>
  <c r="Y17" i="11" s="1"/>
  <c r="X8" i="3"/>
  <c r="Q8" i="3"/>
  <c r="M8" i="3"/>
  <c r="S8" i="3"/>
  <c r="V8" i="3"/>
  <c r="P8" i="3"/>
  <c r="C8" i="3"/>
  <c r="H8" i="3"/>
  <c r="J8" i="3"/>
  <c r="X10" i="3"/>
  <c r="J10" i="3"/>
  <c r="I10" i="3"/>
  <c r="O10" i="3"/>
  <c r="S10" i="3"/>
  <c r="H10" i="3"/>
  <c r="M10" i="3"/>
  <c r="K10" i="3"/>
  <c r="AE19" i="11" s="1"/>
  <c r="D10" i="3"/>
  <c r="V10" i="3"/>
  <c r="R10" i="3"/>
  <c r="T10" i="3"/>
  <c r="P10" i="3"/>
  <c r="E10" i="3"/>
  <c r="Q10" i="3"/>
  <c r="C10" i="3"/>
  <c r="E12" i="3"/>
  <c r="T12" i="3"/>
  <c r="X12" i="3"/>
  <c r="M12" i="3"/>
  <c r="K12" i="3"/>
  <c r="Y7" i="11" s="1"/>
  <c r="Q12" i="3"/>
  <c r="J12" i="3"/>
  <c r="H12" i="3"/>
  <c r="P12" i="3"/>
  <c r="O12" i="3"/>
  <c r="I12" i="3"/>
  <c r="V12" i="3"/>
  <c r="C12" i="3"/>
  <c r="D12" i="3"/>
  <c r="AD7" i="11" s="1"/>
  <c r="R12" i="3"/>
  <c r="S12" i="3"/>
  <c r="V6" i="3"/>
  <c r="R6" i="3"/>
  <c r="O6" i="3"/>
  <c r="Q6" i="3"/>
  <c r="J6" i="3"/>
  <c r="E6" i="3"/>
  <c r="T6" i="3"/>
  <c r="P6" i="3"/>
  <c r="C6" i="3"/>
  <c r="B6" i="4" s="1"/>
  <c r="X6" i="3"/>
  <c r="M6" i="3"/>
  <c r="K6" i="3"/>
  <c r="AE12" i="11" s="1"/>
  <c r="I6" i="3"/>
  <c r="S6" i="3"/>
  <c r="D6" i="3"/>
  <c r="H6" i="3"/>
  <c r="B5" i="4"/>
  <c r="X5" i="3"/>
  <c r="J5" i="3"/>
  <c r="S5" i="3"/>
  <c r="E5" i="3"/>
  <c r="Q5" i="3"/>
  <c r="R5" i="3"/>
  <c r="O5" i="3"/>
  <c r="M5" i="3"/>
  <c r="H5" i="3"/>
  <c r="C5" i="3"/>
  <c r="P5" i="3"/>
  <c r="T5" i="3"/>
  <c r="I5" i="3"/>
  <c r="K5" i="3"/>
  <c r="V5" i="3"/>
  <c r="D5" i="3"/>
  <c r="AD8" i="11"/>
  <c r="AD11" i="11"/>
  <c r="AD19" i="11"/>
  <c r="AD10" i="11"/>
  <c r="AD17" i="11"/>
  <c r="Y20" i="11" l="1"/>
  <c r="Y10" i="11"/>
  <c r="U9" i="3"/>
  <c r="N9" i="3"/>
  <c r="Y18" i="11"/>
  <c r="Y15" i="11"/>
  <c r="B31" i="7"/>
  <c r="C22" i="7"/>
  <c r="B22" i="7"/>
  <c r="U16" i="3"/>
  <c r="N16" i="3"/>
  <c r="AE9" i="11"/>
  <c r="AE14" i="11"/>
  <c r="AE7" i="11"/>
  <c r="U7" i="3"/>
  <c r="N7" i="3"/>
  <c r="AE17" i="11"/>
  <c r="L13" i="3"/>
  <c r="G13" i="3"/>
  <c r="X14" i="11" s="1"/>
  <c r="AB14" i="11" s="1"/>
  <c r="F13" i="3"/>
  <c r="AD20" i="11"/>
  <c r="AF20" i="11" s="1"/>
  <c r="W16" i="3" s="1"/>
  <c r="F16" i="3"/>
  <c r="L16" i="3"/>
  <c r="G16" i="3"/>
  <c r="X20" i="11" s="1"/>
  <c r="AB20" i="11" s="1"/>
  <c r="Y19" i="11"/>
  <c r="Y8" i="11"/>
  <c r="T2" i="3"/>
  <c r="L15" i="3"/>
  <c r="G15" i="3"/>
  <c r="X18" i="11" s="1"/>
  <c r="AB18" i="11" s="1"/>
  <c r="AF18" i="11" s="1"/>
  <c r="W15" i="3" s="1"/>
  <c r="F15" i="3"/>
  <c r="Y12" i="11"/>
  <c r="B26" i="4" s="1"/>
  <c r="AE13" i="11"/>
  <c r="U15" i="3"/>
  <c r="N15" i="3"/>
  <c r="U14" i="3"/>
  <c r="N14" i="3"/>
  <c r="U11" i="3"/>
  <c r="N11" i="3"/>
  <c r="B10" i="4"/>
  <c r="G6" i="3"/>
  <c r="F6" i="3"/>
  <c r="B8" i="4" s="1"/>
  <c r="L6" i="3"/>
  <c r="B16" i="4" s="1"/>
  <c r="U10" i="3"/>
  <c r="N10" i="3"/>
  <c r="AE11" i="11"/>
  <c r="U12" i="3"/>
  <c r="N12" i="3"/>
  <c r="L14" i="3"/>
  <c r="G14" i="3"/>
  <c r="X8" i="11" s="1"/>
  <c r="F14" i="3"/>
  <c r="U8" i="3"/>
  <c r="N8" i="3"/>
  <c r="G9" i="3"/>
  <c r="X13" i="11" s="1"/>
  <c r="AB13" i="11" s="1"/>
  <c r="L9" i="3"/>
  <c r="F9" i="3"/>
  <c r="L17" i="3"/>
  <c r="G17" i="3"/>
  <c r="X10" i="11" s="1"/>
  <c r="AB10" i="11" s="1"/>
  <c r="AF10" i="11" s="1"/>
  <c r="W17" i="3" s="1"/>
  <c r="F17" i="3"/>
  <c r="AD9" i="11"/>
  <c r="G11" i="3"/>
  <c r="X9" i="11" s="1"/>
  <c r="AB9" i="11" s="1"/>
  <c r="F11" i="3"/>
  <c r="L11" i="3"/>
  <c r="AE15" i="11"/>
  <c r="F12" i="3"/>
  <c r="G12" i="3"/>
  <c r="X7" i="11" s="1"/>
  <c r="AB7" i="11" s="1"/>
  <c r="L12" i="3"/>
  <c r="U18" i="3"/>
  <c r="N18" i="3"/>
  <c r="AE16" i="11"/>
  <c r="AD12" i="11"/>
  <c r="AD18" i="11"/>
  <c r="B11" i="4"/>
  <c r="U17" i="3"/>
  <c r="N17" i="3"/>
  <c r="AD15" i="11"/>
  <c r="F5" i="3"/>
  <c r="B30" i="7"/>
  <c r="G5" i="3"/>
  <c r="X15" i="11" s="1"/>
  <c r="AB15" i="11" s="1"/>
  <c r="B21" i="7"/>
  <c r="L5" i="3"/>
  <c r="C21" i="7"/>
  <c r="F21" i="7" s="1"/>
  <c r="A10" i="8"/>
  <c r="AD16" i="11"/>
  <c r="F18" i="3"/>
  <c r="G18" i="3"/>
  <c r="X16" i="11" s="1"/>
  <c r="AB16" i="11" s="1"/>
  <c r="L18" i="3"/>
  <c r="F8" i="3"/>
  <c r="L8" i="3"/>
  <c r="G8" i="3"/>
  <c r="X17" i="11" s="1"/>
  <c r="AB17" i="11" s="1"/>
  <c r="G7" i="3"/>
  <c r="X11" i="11" s="1"/>
  <c r="AB11" i="11" s="1"/>
  <c r="AF11" i="11" s="1"/>
  <c r="W7" i="3" s="1"/>
  <c r="F7" i="3"/>
  <c r="L7" i="3"/>
  <c r="N5" i="3"/>
  <c r="B33" i="7"/>
  <c r="U5" i="3"/>
  <c r="AD14" i="11"/>
  <c r="U6" i="3"/>
  <c r="N6" i="3"/>
  <c r="U13" i="3"/>
  <c r="N13" i="3"/>
  <c r="L10" i="3"/>
  <c r="G10" i="3"/>
  <c r="X19" i="11" s="1"/>
  <c r="F10" i="3"/>
  <c r="AF9" i="11" l="1"/>
  <c r="W11" i="3" s="1"/>
  <c r="AF7" i="11"/>
  <c r="AB8" i="11"/>
  <c r="AF8" i="11" s="1"/>
  <c r="W12" i="3"/>
  <c r="W14" i="3"/>
  <c r="A3" i="3"/>
  <c r="AF15" i="11"/>
  <c r="W5" i="3" s="1"/>
  <c r="AF17" i="11"/>
  <c r="W8" i="3" s="1"/>
  <c r="X12" i="11"/>
  <c r="B9" i="4"/>
  <c r="AF13" i="11"/>
  <c r="W9" i="3" s="1"/>
  <c r="AB19" i="11"/>
  <c r="AF19" i="11" s="1"/>
  <c r="W10" i="3" s="1"/>
  <c r="AF16" i="11"/>
  <c r="W18" i="3" s="1"/>
  <c r="AF14" i="11"/>
  <c r="W13" i="3" s="1"/>
  <c r="B25" i="4" l="1"/>
  <c r="AB12" i="11"/>
  <c r="B23" i="4" l="1"/>
  <c r="AF12" i="11"/>
  <c r="W6" i="3" l="1"/>
  <c r="B7" i="4"/>
</calcChain>
</file>

<file path=xl/sharedStrings.xml><?xml version="1.0" encoding="utf-8"?>
<sst xmlns="http://schemas.openxmlformats.org/spreadsheetml/2006/main" count="2050" uniqueCount="451">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</sst>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68"/>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52" t="s">
        <v>359</v>
      </c>
      <c r="B1" s="150"/>
      <c r="C1" s="150"/>
      <c r="D1" s="150"/>
      <c r="E1" s="150"/>
      <c r="F1" s="150"/>
      <c r="G1" s="150"/>
      <c r="H1" s="150"/>
    </row>
    <row r="2" spans="1:8" ht="18" customHeight="1">
      <c r="A2" s="153" t="inlineStr">
        <is>
          <t>THE MONDAY WRAP      ·      with Macca and Robbo      ·      Week ending Monday 13 July 2026</t>
        </is>
      </c>
      <c r="B2" s="150"/>
      <c r="C2" s="150"/>
      <c r="D2" s="150"/>
      <c r="E2" s="150"/>
      <c r="F2" s="150"/>
      <c r="G2" s="150"/>
      <c r="H2" s="150"/>
    </row>
    <row r="3" spans="1:8" ht="48" customHeight="1" x14ac:dyDescent="0.2">
      <c r="A3" s="154" t="s">
        <v>360</v>
      </c>
      <c r="B3" s="150"/>
      <c r="C3" s="150"/>
      <c r="D3" s="150"/>
      <c r="E3" s="150"/>
      <c r="F3" s="150"/>
      <c r="G3" s="150"/>
      <c r="H3" s="150"/>
    </row>
    <row r="6" spans="1:8" ht="22" customHeight="1">
      <c r="A6" s="149" t="inlineStr">
        <is>
          <t>COLD OPEN</t>
        </is>
      </c>
      <c r="B6" s="150"/>
      <c r="C6" s="150"/>
      <c r="D6" s="150"/>
      <c r="E6" s="150"/>
      <c r="F6" s="150"/>
      <c r="G6" s="150"/>
      <c r="H6" s="150"/>
    </row>
    <row r="7" spans="1:8" ht="38" customHeight="1">
      <c r="A7" s="129" t="inlineStr">
        <is>
          <t>MACCA</t>
        </is>
      </c>
      <c r="B7" s="151" t="inlineStr">
        <is>
          <t>Righto, welcome back to the Wrap. Thirty five games this week. Thirty five! And I want you to sit with this, because twenty of them. TWENTY. Were the same two blokes.</t>
        </is>
      </c>
      <c r="C7" s="150"/>
      <c r="D7" s="150"/>
      <c r="E7" s="150"/>
      <c r="F7" s="150"/>
      <c r="G7" s="150"/>
      <c r="H7" s="150"/>
    </row>
    <row r="8" spans="1:8" ht="38" customHeight="1">
      <c r="A8" s="130" t="inlineStr">
        <is>
          <t>ROBBO</t>
        </is>
      </c>
      <c r="B8" s="151" t="inlineStr">
        <is>
          <t>Shawn and Aaron. Twenty head-to-heads in four days. That's fifty seven per cent of the entire league's output for the week. Two men basically were the competition.</t>
        </is>
      </c>
      <c r="C8" s="150"/>
      <c r="D8" s="150"/>
      <c r="E8" s="150"/>
      <c r="F8" s="150"/>
      <c r="G8" s="150"/>
      <c r="H8" s="150"/>
    </row>
    <row r="9" spans="1:8" ht="38" customHeight="1">
      <c r="A9" s="129" t="inlineStr">
        <is>
          <t>MACCA</t>
        </is>
      </c>
      <c r="B9" s="151" t="inlineStr">
        <is>
          <t>FIFA Monday. Golf Thursday. Golf Friday. Golf, darts and Mario Party all Saturday. I don't think they ate, mate.</t>
        </is>
      </c>
      <c r="C9" s="150"/>
      <c r="D9" s="150"/>
      <c r="E9" s="150"/>
      <c r="F9" s="150"/>
      <c r="G9" s="150"/>
      <c r="H9" s="150"/>
    </row>
    <row r="10" spans="1:8" ht="55" customHeight="1">
      <c r="A10" s="130" t="inlineStr">
        <is>
          <t>ROBBO</t>
        </is>
      </c>
      <c r="B10" s="151" t="inlineStr">
        <is>
          <t>And the wash-up is historic, there's no other word. Shawn put on a hundred and thirty eight rating points. Biggest weekly climb ever recorded. Aaron lost seventy two. Biggest weekly fall ever recorded. Same week. Same rivalry. Both records.</t>
        </is>
      </c>
      <c r="C10" s="150"/>
      <c r="D10" s="150"/>
      <c r="E10" s="150"/>
      <c r="F10" s="150"/>
      <c r="G10" s="150"/>
      <c r="H10" s="150"/>
    </row>
    <row r="11" spans="1:8" ht="21" customHeight="1">
      <c r="A11" s="129" t="inlineStr">
        <is>
          <t>MACCA</t>
        </is>
      </c>
      <c r="B11" s="151" t="inlineStr">
        <is>
          <t>One feud rewrote both ends of the record book at once.</t>
        </is>
      </c>
      <c r="C11" s="150"/>
      <c r="D11" s="150"/>
      <c r="E11" s="150"/>
      <c r="F11" s="150"/>
      <c r="G11" s="150"/>
      <c r="H11" s="150"/>
    </row>
    <row r="12" spans="1:8" ht="21" customHeight="1">
      <c r="A12" s="130" t="inlineStr">
        <is>
          <t>ROBBO</t>
        </is>
      </c>
      <c r="B12" s="151" t="inlineStr">
        <is>
          <t>I checked it twice. Then I checked it again.</t>
        </is>
      </c>
      <c r="C12" s="150"/>
      <c r="D12" s="150"/>
      <c r="E12" s="150"/>
      <c r="F12" s="150"/>
      <c r="G12" s="150"/>
      <c r="H12" s="150"/>
    </row>
    <row r="14" spans="1:8" ht="22" customHeight="1">
      <c r="A14" s="149" t="inlineStr">
        <is>
          <t>THE TITLE RACE</t>
        </is>
      </c>
      <c r="B14" s="150"/>
      <c r="C14" s="150"/>
      <c r="D14" s="150"/>
      <c r="E14" s="150"/>
      <c r="F14" s="150"/>
      <c r="G14" s="150"/>
      <c r="H14" s="150"/>
    </row>
    <row r="15" spans="1:8" ht="38" customHeight="1">
      <c r="A15" s="129" t="inlineStr">
        <is>
          <t>MACCA</t>
        </is>
      </c>
      <c r="B15" s="151" t="inlineStr">
        <is>
          <t>Alright, the ladder. Shawn goes from twelfth. TWELFTH. To second. Eleven twenty five, four straight wins, up ten rungs in a week.</t>
        </is>
      </c>
      <c r="C15" s="150"/>
      <c r="D15" s="150"/>
      <c r="E15" s="150"/>
      <c r="F15" s="150"/>
      <c r="G15" s="150"/>
      <c r="H15" s="150"/>
    </row>
    <row r="16" spans="1:8" ht="38" customHeight="1">
      <c r="A16" s="130" t="inlineStr">
        <is>
          <t>ROBBO</t>
        </is>
      </c>
      <c r="B16" s="151" t="inlineStr">
        <is>
          <t>Nobody has ever climbed ten spots in a week. Mind you, nobody had ever played twenty five games in a week either, so it's a big day for the archive.</t>
        </is>
      </c>
      <c r="C16" s="150"/>
      <c r="D16" s="150"/>
      <c r="E16" s="150"/>
      <c r="F16" s="150"/>
      <c r="G16" s="150"/>
      <c r="H16" s="150"/>
    </row>
    <row r="17" spans="1:8" ht="21" customHeight="1">
      <c r="A17" s="129" t="inlineStr">
        <is>
          <t>MACCA</t>
        </is>
      </c>
      <c r="B17" s="151" t="inlineStr">
        <is>
          <t>And the champ just watched the whole war from the balcony, didn't he.</t>
        </is>
      </c>
      <c r="C17" s="150"/>
      <c r="D17" s="150"/>
      <c r="E17" s="150"/>
      <c r="F17" s="150"/>
      <c r="G17" s="150"/>
      <c r="H17" s="150"/>
    </row>
    <row r="18" spans="1:8" ht="55" customHeight="1">
      <c r="A18" s="130" t="inlineStr">
        <is>
          <t>ROBBO</t>
        </is>
      </c>
      <c r="B18" s="151" t="inlineStr">
        <is>
          <t>Dean B's week was outrageous in its own quiet way. Five wins from six on Sunday alone. Plus seventy three for the week, twelve forty two overall. And he swept the brand new Car racing arcade four zip. That sport is four games old and he owns every one of them.</t>
        </is>
      </c>
      <c r="C18" s="150"/>
      <c r="D18" s="150"/>
      <c r="E18" s="150"/>
      <c r="F18" s="150"/>
      <c r="G18" s="150"/>
      <c r="H18" s="150"/>
    </row>
    <row r="19" spans="1:8" ht="21" customHeight="1">
      <c r="A19" s="129" t="inlineStr">
        <is>
          <t>MACCA</t>
        </is>
      </c>
      <c r="B19" s="151" t="inlineStr">
        <is>
          <t>Undefeated champion of an entire sport. That's not a lead, that's a moat.</t>
        </is>
      </c>
      <c r="C19" s="150"/>
      <c r="D19" s="150"/>
      <c r="E19" s="150"/>
      <c r="F19" s="150"/>
      <c r="G19" s="150"/>
      <c r="H19" s="150"/>
    </row>
    <row r="20" spans="1:8" ht="38" customHeight="1">
      <c r="A20" s="130" t="inlineStr">
        <is>
          <t>ROBBO</t>
        </is>
      </c>
      <c r="B20" s="151" t="inlineStr">
        <is>
          <t>Gap to Shawn is a hundred and seventeen. And behind them it's carnage. Josh ten sixty three, Oscar ten sixty three, Simon ten sixty. Three points covers third to fifth.</t>
        </is>
      </c>
      <c r="C20" s="150"/>
      <c r="D20" s="150"/>
      <c r="E20" s="150"/>
      <c r="F20" s="150"/>
      <c r="G20" s="150"/>
      <c r="H20" s="150"/>
    </row>
    <row r="21" spans="1:8" ht="21" customHeight="1">
      <c r="A21" s="129" t="inlineStr">
        <is>
          <t>MACCA</t>
        </is>
      </c>
      <c r="B21" s="151" t="inlineStr">
        <is>
          <t>You could park a beer coaster over third to fifth.</t>
        </is>
      </c>
      <c r="C21" s="150"/>
      <c r="D21" s="150"/>
      <c r="E21" s="150"/>
      <c r="F21" s="150"/>
      <c r="G21" s="150"/>
      <c r="H21" s="150"/>
    </row>
    <row r="23" spans="1:8" ht="22" customHeight="1">
      <c r="A23" s="149" t="inlineStr">
        <is>
          <t>THE FORM DESK</t>
        </is>
      </c>
      <c r="B23" s="150"/>
      <c r="C23" s="150"/>
      <c r="D23" s="150"/>
      <c r="E23" s="150"/>
      <c r="F23" s="150"/>
      <c r="G23" s="150"/>
      <c r="H23" s="150"/>
    </row>
    <row r="24" spans="1:8" ht="21" customHeight="1">
      <c r="A24" s="129" t="inlineStr">
        <is>
          <t>MACCA</t>
        </is>
      </c>
      <c r="B24" s="151" t="inlineStr">
        <is>
          <t>Quick fire. Who's hot, who's not.</t>
        </is>
      </c>
      <c r="C24" s="150"/>
      <c r="D24" s="150"/>
      <c r="E24" s="150"/>
      <c r="F24" s="150"/>
      <c r="G24" s="150"/>
      <c r="H24" s="150"/>
    </row>
    <row r="25" spans="1:8" ht="38" customHeight="1">
      <c r="A25" s="130" t="inlineStr">
        <is>
          <t>ROBBO</t>
        </is>
      </c>
      <c r="B25" s="151" t="inlineStr">
        <is>
          <t>Hot. Chase. Two on the trot including that Chess win over Simon, up three spots to seventh. And Dylan A, knocks over Dean M at darts, climbs two, doesn't say a word. Love that.</t>
        </is>
      </c>
      <c r="C25" s="150"/>
      <c r="D25" s="150"/>
      <c r="E25" s="150"/>
      <c r="F25" s="150"/>
      <c r="G25" s="150"/>
      <c r="H25" s="150"/>
    </row>
    <row r="26" spans="1:8" ht="21" customHeight="1">
      <c r="A26" s="129" t="inlineStr">
        <is>
          <t>MACCA</t>
        </is>
      </c>
      <c r="B26" s="151" t="inlineStr">
        <is>
          <t>Not.</t>
        </is>
      </c>
      <c r="C26" s="150"/>
      <c r="D26" s="150"/>
      <c r="E26" s="150"/>
      <c r="F26" s="150"/>
      <c r="G26" s="150"/>
      <c r="H26" s="150"/>
    </row>
    <row r="27" spans="1:8" ht="55" customHeight="1">
      <c r="A27" s="130" t="inlineStr">
        <is>
          <t>ROBBO</t>
        </is>
      </c>
      <c r="B27" s="151" t="inlineStr">
        <is>
          <t>Simon's lost four straight and nobody's noticed because he's still fifth. That's a slide hiding behind a ladder position. And spare a thought for Josh. Minus fifty two for the week, and honestly, all four of his losses came Sunday, walking into blokes on debut-day heaters.</t>
        </is>
      </c>
      <c r="C27" s="150"/>
      <c r="D27" s="150"/>
      <c r="E27" s="150"/>
      <c r="F27" s="150"/>
      <c r="G27" s="150"/>
      <c r="H27" s="150"/>
    </row>
    <row r="28" spans="1:8" ht="21" customHeight="1">
      <c r="A28" s="129" t="inlineStr">
        <is>
          <t>MACCA</t>
        </is>
      </c>
      <c r="B28" s="151" t="inlineStr">
        <is>
          <t>Wrong place, wrong arcade.</t>
        </is>
      </c>
      <c r="C28" s="150"/>
      <c r="D28" s="150"/>
      <c r="E28" s="150"/>
      <c r="F28" s="150"/>
      <c r="G28" s="150"/>
      <c r="H28" s="150"/>
    </row>
    <row r="30" spans="1:8" ht="22" customHeight="1">
      <c r="A30" s="149" t="inlineStr">
        <is>
          <t>ARCADE SUNDAY</t>
        </is>
      </c>
      <c r="B30" s="150"/>
      <c r="C30" s="150"/>
      <c r="D30" s="150"/>
      <c r="E30" s="150"/>
      <c r="F30" s="150"/>
      <c r="G30" s="150"/>
      <c r="H30" s="150"/>
    </row>
    <row r="31" spans="1:8" ht="38" customHeight="1">
      <c r="A31" s="129" t="inlineStr">
        <is>
          <t>MACCA</t>
        </is>
      </c>
      <c r="B31" s="151" t="inlineStr">
        <is>
          <t>Speaking of. Three new sports hit the books yesterday. Car racing arcade, Shooting game arcade, Basketball arcade. Huge day for the league.</t>
        </is>
      </c>
      <c r="C31" s="150"/>
      <c r="D31" s="150"/>
      <c r="E31" s="150"/>
      <c r="F31" s="150"/>
      <c r="G31" s="150"/>
      <c r="H31" s="150"/>
    </row>
    <row r="32" spans="1:8" ht="55" customHeight="1">
      <c r="A32" s="130" t="inlineStr">
        <is>
          <t>ROBBO</t>
        </is>
      </c>
      <c r="B32" s="151" t="inlineStr">
        <is>
          <t>And the opening ledger already reads like a pub quiz. Dean B, undefeated world champion of Car racing. Josh, undefeated world champion of Shooting. One game played, one game won. Retire now mate, protect the legacy.</t>
        </is>
      </c>
      <c r="C32" s="150"/>
      <c r="D32" s="150"/>
      <c r="E32" s="150"/>
      <c r="F32" s="150"/>
      <c r="G32" s="150"/>
      <c r="H32" s="150"/>
    </row>
    <row r="33" spans="1:8" ht="21" customHeight="1">
      <c r="A33" s="129" t="inlineStr">
        <is>
          <t>MACCA</t>
        </is>
      </c>
      <c r="B33" s="151" t="inlineStr">
        <is>
          <t>Ha! And the Ferret?</t>
        </is>
      </c>
      <c r="C33" s="150"/>
      <c r="D33" s="150"/>
      <c r="E33" s="150"/>
      <c r="F33" s="150"/>
      <c r="G33" s="150"/>
      <c r="H33" s="150"/>
    </row>
    <row r="34" spans="1:8" ht="38" customHeight="1">
      <c r="A34" s="130" t="inlineStr">
        <is>
          <t>ROBBO</t>
        </is>
      </c>
      <c r="B34" s="151" t="inlineStr">
        <is>
          <t>Daniel took the first ever Basketball arcade, and here's the kicker. It was one against two. Josh and Dean B teamed up on him and he beat the pair of them.</t>
        </is>
      </c>
      <c r="C34" s="150"/>
      <c r="D34" s="150"/>
      <c r="E34" s="150"/>
      <c r="F34" s="150"/>
      <c r="G34" s="150"/>
      <c r="H34" s="150"/>
    </row>
    <row r="35" spans="1:8" ht="21" customHeight="1">
      <c r="A35" s="129" t="inlineStr">
        <is>
          <t>MACCA</t>
        </is>
      </c>
      <c r="B35" s="151" t="inlineStr">
        <is>
          <t>Beat the reigning champ and the shooting world champion in the same game. On his own.</t>
        </is>
      </c>
      <c r="C35" s="150"/>
      <c r="D35" s="150"/>
      <c r="E35" s="150"/>
      <c r="F35" s="150"/>
      <c r="G35" s="150"/>
      <c r="H35" s="150"/>
    </row>
    <row r="36" spans="1:8" ht="38" customHeight="1">
      <c r="A36" s="130" t="inlineStr">
        <is>
          <t>ROBBO</t>
        </is>
      </c>
      <c r="B36" s="151" t="inlineStr">
        <is>
          <t>His week was two and five and he still walks off with the first name on the Basketball arcade honour board. Forever. Can't take that off him.</t>
        </is>
      </c>
      <c r="C36" s="150"/>
      <c r="D36" s="150"/>
      <c r="E36" s="150"/>
      <c r="F36" s="150"/>
      <c r="G36" s="150"/>
      <c r="H36" s="150"/>
    </row>
    <row r="38" spans="1:8" ht="22" customHeight="1">
      <c r="A38" s="149" t="inlineStr">
        <is>
          <t>THE NAUGHTY CORNER</t>
        </is>
      </c>
      <c r="B38" s="150"/>
      <c r="C38" s="150"/>
      <c r="D38" s="150"/>
      <c r="E38" s="150"/>
      <c r="F38" s="150"/>
      <c r="G38" s="150"/>
      <c r="H38" s="150"/>
    </row>
    <row r="39" spans="1:8" ht="38" customHeight="1">
      <c r="A39" s="129" t="inlineStr">
        <is>
          <t>MACCA</t>
        </is>
      </c>
      <c r="B39" s="151" t="inlineStr">
        <is>
          <t>Righto. New segment. The Naughty Corner. History got made this morning and not the good kind. Robbo, read the charges.</t>
        </is>
      </c>
      <c r="C39" s="150"/>
      <c r="D39" s="150"/>
      <c r="E39" s="150"/>
      <c r="F39" s="150"/>
      <c r="G39" s="150"/>
      <c r="H39" s="150"/>
    </row>
    <row r="40" spans="1:8" ht="55" customHeight="1">
      <c r="A40" s="130" t="inlineStr">
        <is>
          <t>ROBBO</t>
        </is>
      </c>
      <c r="B40" s="151" t="inlineStr">
        <is>
          <t>Beau and Cody. Last seen competing on the fifteenth of June. That ticked over four point zero weeks today, and under the new rule the penalty doesn't drip in any more. It drops. Minus ten. Each. Instantly. First inactivity penalties in FWC history.</t>
        </is>
      </c>
      <c r="C40" s="150"/>
      <c r="D40" s="150"/>
      <c r="E40" s="150"/>
      <c r="F40" s="150"/>
      <c r="G40" s="150"/>
      <c r="H40" s="150"/>
    </row>
    <row r="41" spans="1:8" ht="21" customHeight="1">
      <c r="A41" s="129" t="inlineStr">
        <is>
          <t>MACCA</t>
        </is>
      </c>
      <c r="B41" s="151" t="inlineStr">
        <is>
          <t>And it keeps going, doesn't it.</t>
        </is>
      </c>
      <c r="C41" s="150"/>
      <c r="D41" s="150"/>
      <c r="E41" s="150"/>
      <c r="F41" s="150"/>
      <c r="G41" s="150"/>
      <c r="H41" s="150"/>
    </row>
    <row r="42" spans="1:8" ht="38" customHeight="1">
      <c r="A42" s="130" t="inlineStr">
        <is>
          <t>ROBBO</t>
        </is>
      </c>
      <c r="B42" s="151" t="inlineStr">
        <is>
          <t>Another ten at five weeks, another at six, no ceiling. And no crown allowed while you're inactive. One game stops it dead. Any game. Basketball arcade takes about four minutes, gents.</t>
        </is>
      </c>
      <c r="C42" s="150"/>
      <c r="D42" s="150"/>
      <c r="E42" s="150"/>
      <c r="F42" s="150"/>
      <c r="G42" s="150"/>
      <c r="H42" s="150"/>
    </row>
    <row r="43" spans="1:8" ht="21" customHeight="1">
      <c r="A43" s="129" t="inlineStr">
        <is>
          <t>MACCA</t>
        </is>
      </c>
      <c r="B43" s="151" t="inlineStr">
        <is>
          <t>Beau, you're sitting tenth with a bruise that didn't need to happen. Come back, mate.</t>
        </is>
      </c>
      <c r="C43" s="150"/>
      <c r="D43" s="150"/>
      <c r="E43" s="150"/>
      <c r="F43" s="150"/>
      <c r="G43" s="150"/>
      <c r="H43" s="150"/>
    </row>
    <row r="44" spans="1:8" ht="55" customHeight="1">
      <c r="A44" s="130" t="inlineStr">
        <is>
          <t>ROBBO</t>
        </is>
      </c>
      <c r="B44" s="151" t="inlineStr">
        <is>
          <t>Cody's the one I'd be ringing tonight. He's on eight eighty three. The lowest rating any athlete has ever held is eight seventy eight. One more lazy Monday and that record belongs to him.</t>
        </is>
      </c>
      <c r="C44" s="150"/>
      <c r="D44" s="150"/>
      <c r="E44" s="150"/>
      <c r="F44" s="150"/>
      <c r="G44" s="150"/>
      <c r="H44" s="150"/>
    </row>
    <row r="45" spans="1:8" ht="21" customHeight="1">
      <c r="A45" s="129" t="inlineStr">
        <is>
          <t>MACCA</t>
        </is>
      </c>
      <c r="B45" s="151" t="inlineStr">
        <is>
          <t>Blowtorch applied. With love.</t>
        </is>
      </c>
      <c r="C45" s="150"/>
      <c r="D45" s="150"/>
      <c r="E45" s="150"/>
      <c r="F45" s="150"/>
      <c r="G45" s="150"/>
      <c r="H45" s="150"/>
    </row>
    <row r="46" spans="1:8" ht="38" customHeight="1">
      <c r="A46" s="130" t="inlineStr">
        <is>
          <t>ROBBO</t>
        </is>
      </c>
      <c r="B46" s="151" t="inlineStr">
        <is>
          <t>And a heads up for everyone else. The idle clock runs on the real calendar now. It ticks whether anyone plays or not. Tick tock.</t>
        </is>
      </c>
      <c r="C46" s="150"/>
      <c r="D46" s="150"/>
      <c r="E46" s="150"/>
      <c r="F46" s="150"/>
      <c r="G46" s="150"/>
      <c r="H46" s="150"/>
    </row>
    <row r="48" spans="1:8" ht="22" customHeight="1">
      <c r="A48" s="149" t="inlineStr">
        <is>
          <t>THE NUMBERS NOBODY IS TALKING ABOUT</t>
        </is>
      </c>
      <c r="B48" s="150"/>
      <c r="C48" s="150"/>
      <c r="D48" s="150"/>
      <c r="E48" s="150"/>
      <c r="F48" s="150"/>
      <c r="G48" s="150"/>
      <c r="H48" s="150"/>
    </row>
    <row r="49" spans="1:8" ht="55" customHeight="1">
      <c r="A49" s="130" t="inlineStr">
        <is>
          <t>ROBBO</t>
        </is>
      </c>
      <c r="B49" s="151" t="inlineStr">
        <is>
          <t>One. Aaron lost the week, lost five ladder spots, and still landed the upset of the week. That Mario Golf heist at sixteen point seven per cent. Won the battle nobody gave him, lost every war around it.</t>
        </is>
      </c>
      <c r="C49" s="150"/>
      <c r="D49" s="150"/>
      <c r="E49" s="150"/>
      <c r="F49" s="150"/>
      <c r="G49" s="150"/>
      <c r="H49" s="150"/>
    </row>
    <row r="50" spans="1:8" ht="21" customHeight="1">
      <c r="A50" s="129" t="inlineStr">
        <is>
          <t>MACCA</t>
        </is>
      </c>
      <c r="B50" s="151" t="inlineStr">
        <is>
          <t>Poetic, that.</t>
        </is>
      </c>
      <c r="C50" s="150"/>
      <c r="D50" s="150"/>
      <c r="E50" s="150"/>
      <c r="F50" s="150"/>
      <c r="G50" s="150"/>
      <c r="H50" s="150"/>
    </row>
    <row r="51" spans="1:8" ht="55" customHeight="1">
      <c r="A51" s="130" t="inlineStr">
        <is>
          <t>ROBBO</t>
        </is>
      </c>
      <c r="B51" s="151" t="inlineStr">
        <is>
          <t>Two. The lifetime series between those two. A week ago Aaron led it seven to three. It's now sixteen fourteen. Shawn took eleven of the twenty and nearly flipped an entire rivalry in seven days.</t>
        </is>
      </c>
      <c r="C51" s="150"/>
      <c r="D51" s="150"/>
      <c r="E51" s="150"/>
      <c r="F51" s="150"/>
      <c r="G51" s="150"/>
      <c r="H51" s="150"/>
    </row>
    <row r="52" spans="1:8" ht="21" customHeight="1">
      <c r="A52" s="129" t="inlineStr">
        <is>
          <t>MACCA</t>
        </is>
      </c>
      <c r="B52" s="151" t="inlineStr">
        <is>
          <t>But.</t>
        </is>
      </c>
      <c r="C52" s="150"/>
      <c r="D52" s="150"/>
      <c r="E52" s="150"/>
      <c r="F52" s="150"/>
      <c r="G52" s="150"/>
      <c r="H52" s="150"/>
    </row>
    <row r="53" spans="1:8" ht="21" customHeight="1">
      <c r="A53" s="130" t="inlineStr">
        <is>
          <t>ROBBO</t>
        </is>
      </c>
      <c r="B53" s="151" t="inlineStr">
        <is>
          <t>But Aaron still leads it, yeah. That'll matter to exactly one man and he knows who he is.</t>
        </is>
      </c>
      <c r="C53" s="150"/>
      <c r="D53" s="150"/>
      <c r="E53" s="150"/>
      <c r="F53" s="150"/>
      <c r="G53" s="150"/>
      <c r="H53" s="150"/>
    </row>
    <row r="54" spans="1:8" ht="55" customHeight="1">
      <c r="A54" s="130" t="inlineStr">
        <is>
          <t>ROBBO</t>
        </is>
      </c>
      <c r="B54" s="151" t="inlineStr">
        <is>
          <t>Three. Dylan S has now watched one hundred and fifty eight games of Family World Championship and played zero. Which makes him the only athlete the idle hammer cannot touch. The clock never started.</t>
        </is>
      </c>
      <c r="C54" s="150"/>
      <c r="D54" s="150"/>
      <c r="E54" s="150"/>
      <c r="F54" s="150"/>
      <c r="G54" s="150"/>
      <c r="H54" s="150"/>
    </row>
    <row r="55" spans="1:8" ht="21" customHeight="1">
      <c r="A55" s="129" t="inlineStr">
        <is>
          <t>MACCA</t>
        </is>
      </c>
      <c r="B55" s="151" t="inlineStr">
        <is>
          <t>The untouchable. You can't lose points if you never earn any.</t>
        </is>
      </c>
      <c r="C55" s="150"/>
      <c r="D55" s="150"/>
      <c r="E55" s="150"/>
      <c r="F55" s="150"/>
      <c r="G55" s="150"/>
      <c r="H55" s="150"/>
    </row>
    <row r="56" spans="1:8" ht="38" customHeight="1">
      <c r="A56" s="130" t="inlineStr">
        <is>
          <t>ROBBO</t>
        </is>
      </c>
      <c r="B56" s="151" t="inlineStr">
        <is>
          <t>Four. Oscar. Quietly one point zero weeks idle. Nothing since the sixth. By next Monday that's a warning flag. Just leaving that there.</t>
        </is>
      </c>
      <c r="C56" s="150"/>
      <c r="D56" s="150"/>
      <c r="E56" s="150"/>
      <c r="F56" s="150"/>
      <c r="G56" s="150"/>
      <c r="H56" s="150"/>
    </row>
    <row r="57" spans="1:8" ht="21" customHeight="1">
      <c r="A57" s="129" t="inlineStr">
        <is>
          <t>MACCA</t>
        </is>
      </c>
      <c r="B57" s="151" t="inlineStr">
        <is>
          <t>Consider it left.</t>
        </is>
      </c>
      <c r="C57" s="150"/>
      <c r="D57" s="150"/>
      <c r="E57" s="150"/>
      <c r="F57" s="150"/>
      <c r="G57" s="150"/>
      <c r="H57" s="150"/>
    </row>
    <row r="59" spans="1:8" ht="22" customHeight="1">
      <c r="A59" s="149" t="inlineStr">
        <is>
          <t>WHAT WE ARE WATCHING NEXT</t>
        </is>
      </c>
      <c r="B59" s="150"/>
      <c r="C59" s="150"/>
      <c r="D59" s="150"/>
      <c r="E59" s="150"/>
      <c r="F59" s="150"/>
      <c r="G59" s="150"/>
      <c r="H59" s="150"/>
    </row>
    <row r="60" spans="1:8" ht="21" customHeight="1">
      <c r="A60" s="129" t="inlineStr">
        <is>
          <t>MACCA</t>
        </is>
      </c>
      <c r="B60" s="151" t="inlineStr">
        <is>
          <t>Tea leaves, Robbo.</t>
        </is>
      </c>
      <c r="C60" s="150"/>
      <c r="D60" s="150"/>
      <c r="E60" s="150"/>
      <c r="F60" s="150"/>
      <c r="G60" s="150"/>
      <c r="H60" s="150"/>
    </row>
    <row r="61" spans="1:8" ht="55" customHeight="1">
      <c r="A61" s="130" t="inlineStr">
        <is>
          <t>ROBBO</t>
        </is>
      </c>
      <c r="B61" s="151" t="inlineStr">
        <is>
          <t>Three things. Does anyone get a Car racing arcade game in before Dean B turns four zip into ten zip. Do Beau or Cody surface before the next ten comes off. And the summit. Shawn versus Dean B, second against first, and they barely crossed paths all week.</t>
        </is>
      </c>
      <c r="C61" s="150"/>
      <c r="D61" s="150"/>
      <c r="E61" s="150"/>
      <c r="F61" s="150"/>
      <c r="G61" s="150"/>
      <c r="H61" s="150"/>
    </row>
    <row r="62" spans="1:8" ht="21" customHeight="1">
      <c r="A62" s="129" t="inlineStr">
        <is>
          <t>MACCA</t>
        </is>
      </c>
      <c r="B62" s="151" t="inlineStr">
        <is>
          <t>If Shawn drags that golf form to the champ's table, twelve forty two is not safe. Bold call?</t>
        </is>
      </c>
      <c r="C62" s="150"/>
      <c r="D62" s="150"/>
      <c r="E62" s="150"/>
      <c r="F62" s="150"/>
      <c r="G62" s="150"/>
      <c r="H62" s="150"/>
    </row>
    <row r="63" spans="1:8" ht="38" customHeight="1">
      <c r="A63" s="130" t="inlineStr">
        <is>
          <t>ROBBO</t>
        </is>
      </c>
      <c r="B63" s="151" t="inlineStr">
        <is>
          <t>The last bloke who put on a hundred and thirty eight in a week... there isn't one. There's never been one. Book it.</t>
        </is>
      </c>
      <c r="C63" s="150"/>
      <c r="D63" s="150"/>
      <c r="E63" s="150"/>
      <c r="F63" s="150"/>
      <c r="G63" s="150"/>
      <c r="H63" s="150"/>
    </row>
    <row r="65" spans="1:8" ht="22" customHeight="1">
      <c r="A65" s="149" t="inlineStr">
        <is>
          <t>THE SIGN OFF</t>
        </is>
      </c>
      <c r="B65" s="150"/>
      <c r="C65" s="150"/>
      <c r="D65" s="150"/>
      <c r="E65" s="150"/>
      <c r="F65" s="150"/>
      <c r="G65" s="150"/>
      <c r="H65" s="150"/>
    </row>
    <row r="66" spans="1:8" ht="55" customHeight="1">
      <c r="A66" s="129" t="inlineStr">
        <is>
          <t>MACCA</t>
        </is>
      </c>
      <c r="B66" s="151" t="inlineStr">
        <is>
          <t>That's the Wrap. Two blokes went to war, the champ farmed an arcade, and the naughty corner has its first residents. Check the new Outlier box on the dashboard before you go. One number this week that'll start an argument at Sunday lunch.</t>
        </is>
      </c>
      <c r="C66" s="150"/>
      <c r="D66" s="150"/>
      <c r="E66" s="150"/>
      <c r="F66" s="150"/>
      <c r="G66" s="150"/>
      <c r="H66" s="150"/>
    </row>
    <row r="67" spans="1:8" ht="21" customHeight="1">
      <c r="A67" s="130" t="inlineStr">
        <is>
          <t>ROBBO</t>
        </is>
      </c>
      <c r="B67" s="151" t="inlineStr">
        <is>
          <t>Fifty seven per cent. That's all I'm saying. Play more, play smart.</t>
        </is>
      </c>
      <c r="C67" s="150"/>
      <c r="D67" s="150"/>
      <c r="E67" s="150"/>
      <c r="F67" s="150"/>
      <c r="G67" s="150"/>
      <c r="H67" s="150"/>
    </row>
    <row r="68" spans="1:8" ht="21" customHeight="1">
      <c r="A68" s="129" t="inlineStr">
        <is>
          <t>MACCA</t>
        </is>
      </c>
      <c r="B68" s="151" t="inlineStr">
        <is>
          <t>Same chairs, fresh numbers. Cheers all.</t>
        </is>
      </c>
      <c r="C68" s="150"/>
      <c r="D68" s="150"/>
      <c r="E68" s="150"/>
      <c r="F68" s="150"/>
      <c r="G68" s="150"/>
      <c r="H68" s="150"/>
    </row>
  </sheetData>
  <mergeCells count="59">
    <mergeCell ref="A1:H1"/>
    <mergeCell ref="A2:H2"/>
    <mergeCell ref="A3:H3"/>
    <mergeCell ref="A6:H6"/>
    <mergeCell ref="B7:H7"/>
    <mergeCell ref="B8:H8"/>
    <mergeCell ref="B9:H9"/>
    <mergeCell ref="B10:H10"/>
    <mergeCell ref="B11:H11"/>
    <mergeCell ref="B12:H12"/>
    <mergeCell ref="A14:H14"/>
    <mergeCell ref="B15:H15"/>
    <mergeCell ref="B16:H16"/>
    <mergeCell ref="B17:H17"/>
    <mergeCell ref="B18:H18"/>
    <mergeCell ref="B19:H19"/>
    <mergeCell ref="B20:H20"/>
    <mergeCell ref="B21:H21"/>
    <mergeCell ref="A23:H23"/>
    <mergeCell ref="B24:H24"/>
    <mergeCell ref="B25:H25"/>
    <mergeCell ref="B26:H26"/>
    <mergeCell ref="B27:H27"/>
    <mergeCell ref="B28:H28"/>
    <mergeCell ref="A30:H30"/>
    <mergeCell ref="B31:H31"/>
    <mergeCell ref="B32:H32"/>
    <mergeCell ref="B33:H33"/>
    <mergeCell ref="B34:H34"/>
    <mergeCell ref="B35:H35"/>
    <mergeCell ref="B36:H36"/>
    <mergeCell ref="A38:H38"/>
    <mergeCell ref="B39:H39"/>
    <mergeCell ref="B40:H40"/>
    <mergeCell ref="B41:H41"/>
    <mergeCell ref="B42:H42"/>
    <mergeCell ref="B43:H43"/>
    <mergeCell ref="B44:H44"/>
    <mergeCell ref="B45:H45"/>
    <mergeCell ref="B46:H46"/>
    <mergeCell ref="A48:H48"/>
    <mergeCell ref="B49:H49"/>
    <mergeCell ref="B50:H50"/>
    <mergeCell ref="B51:H51"/>
    <mergeCell ref="B52:H52"/>
    <mergeCell ref="B53:H53"/>
    <mergeCell ref="B54:H54"/>
    <mergeCell ref="B55:H55"/>
    <mergeCell ref="B56:H56"/>
    <mergeCell ref="B57:H57"/>
    <mergeCell ref="A59:H59"/>
    <mergeCell ref="B60:H60"/>
    <mergeCell ref="B61:H61"/>
    <mergeCell ref="B62:H62"/>
    <mergeCell ref="B63:H63"/>
    <mergeCell ref="A65:H65"/>
    <mergeCell ref="B66:H66"/>
    <mergeCell ref="B67:H67"/>
    <mergeCell ref="B68:H68"/>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4" t="s">
        <v>119</v>
      </c>
      <c r="B1" s="144"/>
      <c r="C1" s="144"/>
      <c r="D1" s="144"/>
      <c r="E1" s="144"/>
      <c r="G1" s="26"/>
      <c r="H1" s="26"/>
      <c r="I1" s="26"/>
    </row>
    <row r="2" spans="1:9" ht="28.5" customHeight="1" x14ac:dyDescent="0.2">
      <c r="A2" s="145" t="s">
        <v>120</v>
      </c>
      <c r="B2" s="145"/>
      <c r="C2" s="145"/>
      <c r="D2" s="145"/>
      <c r="E2" s="145"/>
      <c r="G2" s="26"/>
      <c r="H2" s="26"/>
      <c r="I2" s="26"/>
    </row>
    <row r="3" spans="1:9" ht="3" customHeight="1" x14ac:dyDescent="0.2">
      <c r="G3" s="26"/>
      <c r="H3" s="26"/>
      <c r="I3" s="26"/>
    </row>
    <row r="4" spans="1:9" ht="15" customHeight="1" x14ac:dyDescent="0.2">
      <c r="A4" s="146" t="s">
        <v>121</v>
      </c>
      <c r="B4" s="146"/>
      <c r="C4" s="146"/>
      <c r="D4" s="146"/>
      <c r="E4" s="146"/>
      <c r="G4" s="26"/>
      <c r="H4" s="26"/>
      <c r="I4" s="26"/>
    </row>
    <row r="5" spans="1:9" ht="24.75" customHeight="1" x14ac:dyDescent="0.2">
      <c r="A5" s="147" t="str">
        <f ca="1">'Sport Records'!$C$4</f>
        <v>Dean B</v>
      </c>
      <c r="B5" s="147"/>
      <c r="C5" s="147"/>
      <c r="D5" s="147"/>
      <c r="E5" s="147"/>
      <c r="G5" s="26"/>
      <c r="H5" s="26"/>
      <c r="I5" s="26"/>
    </row>
    <row r="6" spans="1:9" ht="15" customHeight="1" x14ac:dyDescent="0.2">
      <c r="A6" s="148"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48"/>
      <c r="C6" s="148"/>
      <c r="D6" s="148"/>
      <c r="E6" s="148"/>
      <c r="G6" s="26"/>
      <c r="H6" s="26"/>
      <c r="I6" s="26"/>
    </row>
    <row r="7" spans="1:9" ht="15" customHeight="1" x14ac:dyDescent="0.2">
      <c r="G7" s="26"/>
      <c r="H7" s="26"/>
      <c r="I7" s="26"/>
    </row>
    <row r="8" spans="1:9" ht="15" customHeight="1" x14ac:dyDescent="0.2">
      <c r="A8" s="143" t="s">
        <v>122</v>
      </c>
      <c r="B8" s="143"/>
      <c r="C8" s="143"/>
      <c r="D8" s="143"/>
      <c r="E8" s="143"/>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10</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1056</v>
      </c>
      <c r="D28" s="30" t="str">
        <f>IF(OR($B28="—",$B28=""),"—",COUNTIFS('Match Log'!$D$4:$D$810,$B28,'Match Log'!$C$4:$C$810,$A28,'Match Log'!$E$4:$E$810,"Win")&amp;"–"&amp;(COUNTIFS('Match Log'!$D$4:$D$810,$B28,'Match Log'!$C$4:$C$810,$A28)-COUNTIFS('Match Log'!$D$4:$D$810,$B28,'Match Log'!$C$4:$C$810,$A28,'Match Log'!$E$4:$E$810,"Win")))</f>
        <v>4–0</v>
      </c>
      <c r="E28" s="30">
        <f>'Sport Records'!$P$26</f>
        <v>17</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D5" activePane="bottomRight" state="frozen"/>
      <selection pane="topRight" activeCell="D1" sqref="D1"/>
      <selection pane="bottomLeft" activeCell="A5" sqref="A5"/>
      <selection pane="bottomRight" activeCell="H24" sqref="H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158  ·  12 Jul 2026</v>
      </c>
      <c r="T2" s="44"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1040.7160364286033</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0.1</v>
      </c>
      <c r="T5" s="49" t="str">
        <f ca="1">IFERROR(INDEX(Calcs!$T$7:$T$20,MATCH($B5,Calcs!$A$7:$A$20,0)),"")</f>
        <v>Active</v>
      </c>
      <c r="U5">
        <f>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Shawn</v>
      </c>
      <c r="C6" s="48">
        <f ca="1">IFERROR(INDEX(Calcs!$S$7:$S$20,MATCH($B6,Calcs!$A$7:$A$20,0)),"")</f>
        <v>1124.7994137993414</v>
      </c>
      <c r="D6" s="49">
        <f ca="1">COUNTIF('Match Log'!$D$4:$D$810,$B6)</f>
        <v>71</v>
      </c>
      <c r="E6" s="49">
        <f ca="1">COUNTIFS('Match Log'!$D$4:$D$810,$B6,'Match Log'!$E$4:$E$810,"Win")</f>
        <v>34</v>
      </c>
      <c r="F6" s="49">
        <f t="shared" ca="1" si="1"/>
        <v>37</v>
      </c>
      <c r="G6" s="50">
        <f t="shared" ca="1" si="2"/>
        <v>0.47887323943661969</v>
      </c>
      <c r="H6" s="51">
        <f ca="1">SUMIF('Match Log'!$D$4:$D$810,$B6,'Match Log'!$J$4:$J$810)</f>
        <v>68.37433424825916</v>
      </c>
      <c r="I6" s="51">
        <f ca="1">SUMIF('Match Log'!$D$4:$D$810,$B6,'Match Log'!$K$4:$K$810)</f>
        <v>8.4250795510823568</v>
      </c>
      <c r="J6" s="51">
        <f ca="1">SUMIF('Match Log'!$D$4:$D$810,$B6,'Match Log'!$L$4:$L$810)</f>
        <v>48</v>
      </c>
      <c r="K6" s="49">
        <f ca="1">SUMPRODUCT(--(COUNTIFS('Match Log'!$D$4:$D$810,$B6,'Match Log'!$C$4:$C$810,Lists!$C$2:$C$24)&gt;0))</f>
        <v>10</v>
      </c>
      <c r="L6" s="49" t="str">
        <f ca="1">IF($D6=0,"No games",IF(AND($D6&gt;='Guide &amp; Settings'!$C$45,$K6&gt;='Guide &amp; Settings'!$C$46),"Eligible","Provisional"))</f>
        <v>Eligible</v>
      </c>
      <c r="M6" s="48">
        <f ca="1">IFERROR(INDEX(Calcs!$C$7:$C$20,MATCH($B6,Calcs!$A$7:$A$20,0)),"")</f>
        <v>1048.6561508961991</v>
      </c>
      <c r="N6" s="48">
        <f t="shared" ca="1" si="3"/>
        <v>116.90352252571188</v>
      </c>
      <c r="O6" s="49" t="str">
        <f ca="1">IFERROR(INDEX(Calcs!$H$7:$H$20,MATCH($B6,Calcs!$A$7:$A$20,0)),"")</f>
        <v>W4</v>
      </c>
      <c r="P6" s="49" t="str">
        <f ca="1">IFERROR(INDEX(Calcs!$I$7:$I$20,MATCH($B6,Calcs!$A$7:$A$20,0)),"")</f>
        <v>LWWWW</v>
      </c>
      <c r="Q6" s="49" t="str">
        <f ca="1">IFERROR(IF(INDEX(Calcs!$L$7:$L$20,MATCH($B6,Calcs!$A$7:$A$20,0))&gt;0,"▲"&amp;INDEX(Calcs!$L$7:$L$20,MATCH($B6,Calcs!$A$7:$A$20,0)),IF(INDEX(Calcs!$L$7:$L$20,MATCH($B6,Calcs!$A$7:$A$20,0))&lt;0,"▼"&amp;ABS(INDEX(Calcs!$L$7:$L$20,MATCH($B6,Calcs!$A$7:$A$20,0))),"–")),"")</f>
        <v>▲10</v>
      </c>
      <c r="R6" s="49" t="str">
        <f ca="1">IFERROR(IF(INDEX(Calcs!$P$7:$P$20,MATCH($B6,Calcs!$A$7:$A$20,0))=0,"—",TEXT(INDEX(Calcs!$P$7:$P$20,MATCH($B6,Calcs!$A$7:$A$20,0)),"d mmm")),"")</f>
        <v>12 Jul</v>
      </c>
      <c r="S6" s="49">
        <f ca="1">IFERROR(ROUND(INDEX(Calcs!$Q$7:$Q$20,MATCH($B6,Calcs!$A$7:$A$20,0)),1),"")</f>
        <v>0.1</v>
      </c>
      <c r="T6" s="49" t="str">
        <f ca="1">IFERROR(INDEX(Calcs!$T$7:$T$20,MATCH($B6,Calcs!$A$7:$A$20,0)),"")</f>
        <v>Active</v>
      </c>
      <c r="U6">
        <f>IFERROR(ROUND(INDEX(Calcs!$R$7:$R$20,MATCH($B6,Calcs!$A$7:$A$20,0))+INDEX(Calcs!$U$7:$U$20,MATCH($B6,Calcs!$A$7:$A$20,0)),0),0)</f>
        <v>0</v>
      </c>
      <c r="V6" s="51">
        <f ca="1">IFERROR(ROUND(INDEX(Calcs!$S$7:$S$20,MATCH($B6,Calcs!$A$7:$A$20,0)),0),"")</f>
        <v>1125</v>
      </c>
      <c r="W6" s="49" t="str">
        <f ca="1">IFERROR(INDEX(Calcs!$AF$7:$AF$20,MATCH($B6,Calcs!$A$7:$A$20,0)),"")</f>
        <v>Elite</v>
      </c>
      <c r="X6" s="51">
        <f ca="1">IFERROR(ROUND(SUMIF('Poker Stake Ledger'!$C$18:$C$137,$B6,'Poker Stake Ledger'!$K$18:$K$137),1),0)</f>
        <v>0</v>
      </c>
    </row>
    <row r="7" spans="1:24" ht="15" customHeight="1" x14ac:dyDescent="0.2">
      <c r="A7" s="46">
        <f t="shared" si="0"/>
        <v>3</v>
      </c>
      <c r="B7" s="47" t="str">
        <f ca="1">IFERROR(INDEX(Calcs!$A$7:$A$20,MATCH(LARGE(Calcs!$AI$7:$AI$20,ROW()-4),Calcs!$AI$7:$AI$20,0)),"")</f>
        <v>Josh</v>
      </c>
      <c r="C7" s="48">
        <f ca="1">IFERROR(INDEX(Calcs!$S$7:$S$20,MATCH($B7,Calcs!$A$7:$A$20,0)),"")</f>
        <v>1063.3497487715442</v>
      </c>
      <c r="D7" s="49">
        <f ca="1">COUNTIF('Match Log'!$D$4:$D$810,$B7)</f>
        <v>37</v>
      </c>
      <c r="E7" s="49">
        <f ca="1">COUNTIFS('Match Log'!$D$4:$D$810,$B7,'Match Log'!$E$4:$E$810,"Win")</f>
        <v>21</v>
      </c>
      <c r="F7" s="49">
        <f t="shared" ca="1" si="1"/>
        <v>16</v>
      </c>
      <c r="G7" s="50">
        <f t="shared" ca="1" si="2"/>
        <v>0.56756756756756754</v>
      </c>
      <c r="H7" s="51">
        <f ca="1">SUMIF('Match Log'!$D$4:$D$810,$B7,'Match Log'!$J$4:$J$810)</f>
        <v>-11.785238402291522</v>
      </c>
      <c r="I7" s="51">
        <f ca="1">SUMIF('Match Log'!$D$4:$D$810,$B7,'Match Log'!$K$4:$K$810)</f>
        <v>30.134987173835981</v>
      </c>
      <c r="J7" s="51">
        <f ca="1">SUMIF('Match Log'!$D$4:$D$810,$B7,'Match Log'!$L$4:$L$810)</f>
        <v>45</v>
      </c>
      <c r="K7" s="49">
        <f ca="1">SUMPRODUCT(--(COUNTIFS('Match Log'!$D$4:$D$810,$B7,'Match Log'!$C$4:$C$810,Lists!$C$2:$C$24)&gt;0))</f>
        <v>12</v>
      </c>
      <c r="L7" s="49" t="str">
        <f ca="1">IF($D7=0,"No games",IF(AND($D7&gt;='Guide &amp; Settings'!$C$45,$K7&gt;='Guide &amp; Settings'!$C$46),"Eligible","Provisional"))</f>
        <v>Eligible</v>
      </c>
      <c r="M7" s="48">
        <f ca="1">IFERROR(INDEX(Calcs!$C$7:$C$20,MATCH($B7,Calcs!$A$7:$A$20,0)),"")</f>
        <v>1066.126091669209</v>
      </c>
      <c r="N7" s="48">
        <f t="shared" ca="1" si="3"/>
        <v>178.35318755350909</v>
      </c>
      <c r="O7" s="49" t="str">
        <f ca="1">IFERROR(INDEX(Calcs!$H$7:$H$20,MATCH($B7,Calcs!$A$7:$A$20,0)),"")</f>
        <v>L2</v>
      </c>
      <c r="P7" s="49" t="str">
        <f ca="1">IFERROR(INDEX(Calcs!$I$7:$I$20,MATCH($B7,Calcs!$A$7:$A$20,0)),"")</f>
        <v>LLWLL</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12 Jul</v>
      </c>
      <c r="S7" s="49">
        <f ca="1">IFERROR(ROUND(INDEX(Calcs!$Q$7:$Q$20,MATCH($B7,Calcs!$A$7:$A$20,0)),1),"")</f>
        <v>0.1</v>
      </c>
      <c r="T7" s="49" t="str">
        <f ca="1">IFERROR(INDEX(Calcs!$T$7:$T$20,MATCH($B7,Calcs!$A$7:$A$20,0)),"")</f>
        <v>Active</v>
      </c>
      <c r="U7">
        <f>IFERROR(ROUND(INDEX(Calcs!$R$7:$R$20,MATCH($B7,Calcs!$A$7:$A$20,0))+INDEX(Calcs!$U$7:$U$20,MATCH($B7,Calcs!$A$7:$A$20,0)),0),0)</f>
        <v>0</v>
      </c>
      <c r="V7" s="51">
        <f ca="1">IFERROR(ROUND(INDEX(Calcs!$S$7:$S$20,MATCH($B7,Calcs!$A$7:$A$20,0)),0),"")</f>
        <v>1063</v>
      </c>
      <c r="W7" s="49" t="str">
        <f ca="1">IFERROR(INDEX(Calcs!$AF$7:$AF$20,MATCH($B7,Calcs!$A$7:$A$20,0)),"")</f>
        <v>Strong</v>
      </c>
      <c r="X7" s="51">
        <f ca="1">IFERROR(ROUND(SUMIF('Poker Stake Ledger'!$C$18:$C$137,$B7,'Poker Stake Ledger'!$K$18:$K$137),1),0)</f>
        <v>0</v>
      </c>
    </row>
    <row r="8" spans="1:24" ht="15" customHeight="1" x14ac:dyDescent="0.2">
      <c r="A8" s="46">
        <f t="shared" si="0"/>
        <v>4</v>
      </c>
      <c r="B8" s="47" t="str">
        <f ca="1">IFERROR(INDEX(Calcs!$A$7:$A$20,MATCH(LARGE(Calcs!$AI$7:$AI$20,ROW()-4),Calcs!$AI$7:$AI$20,0)),"")</f>
        <v>Oscar</v>
      </c>
      <c r="C8" s="48">
        <f ca="1">IFERROR(INDEX(Calcs!$S$7:$S$20,MATCH($B8,Calcs!$A$7:$A$20,0)),"")</f>
        <v>1062.8275894279936</v>
      </c>
      <c r="D8" s="49">
        <f ca="1">COUNTIF('Match Log'!$D$4:$D$810,$B8)</f>
        <v>44</v>
      </c>
      <c r="E8" s="49">
        <f ca="1">COUNTIFS('Match Log'!$D$4:$D$810,$B8,'Match Log'!$E$4:$E$810,"Win")</f>
        <v>20</v>
      </c>
      <c r="F8" s="49">
        <f t="shared" ca="1" si="1"/>
        <v>24</v>
      </c>
      <c r="G8" s="50">
        <f t="shared" ca="1" si="2"/>
        <v>0.45454545454545453</v>
      </c>
      <c r="H8" s="51">
        <f ca="1">SUMIF('Match Log'!$D$4:$D$810,$B8,'Match Log'!$J$4:$J$810)</f>
        <v>-7.6116228337358152</v>
      </c>
      <c r="I8" s="51">
        <f ca="1">SUMIF('Match Log'!$D$4:$D$810,$B8,'Match Log'!$K$4:$K$810)</f>
        <v>25.439212261729658</v>
      </c>
      <c r="J8" s="51">
        <f ca="1">SUMIF('Match Log'!$D$4:$D$810,$B8,'Match Log'!$L$4:$L$810)</f>
        <v>45</v>
      </c>
      <c r="K8" s="49">
        <f ca="1">SUMPRODUCT(--(COUNTIFS('Match Log'!$D$4:$D$810,$B8,'Match Log'!$C$4:$C$810,Lists!$C$2:$C$24)&gt;0))</f>
        <v>8</v>
      </c>
      <c r="L8" s="49" t="str">
        <f ca="1">IF($D8=0,"No games",IF(AND($D8&gt;='Guide &amp; Settings'!$C$45,$K8&gt;='Guide &amp; Settings'!$C$46),"Eligible","Provisional"))</f>
        <v>Eligible</v>
      </c>
      <c r="M8" s="48">
        <f ca="1">IFERROR(INDEX(Calcs!$C$7:$C$20,MATCH($B8,Calcs!$A$7:$A$20,0)),"")</f>
        <v>1075.6220287670715</v>
      </c>
      <c r="N8" s="48">
        <f t="shared" ca="1" si="3"/>
        <v>178.87534689705967</v>
      </c>
      <c r="O8" s="49" t="str">
        <f ca="1">IFERROR(INDEX(Calcs!$H$7:$H$20,MATCH($B8,Calcs!$A$7:$A$20,0)),"")</f>
        <v>L1</v>
      </c>
      <c r="P8" s="49" t="str">
        <f ca="1">IFERROR(INDEX(Calcs!$I$7:$I$20,MATCH($B8,Calcs!$A$7:$A$20,0)),"")</f>
        <v>LLLWL</v>
      </c>
      <c r="Q8" s="49" t="str">
        <f ca="1">IFERROR(IF(INDEX(Calcs!$L$7:$L$20,MATCH($B8,Calcs!$A$7:$A$20,0))&gt;0,"▲"&amp;INDEX(Calcs!$L$7:$L$20,MATCH($B8,Calcs!$A$7:$A$20,0)),IF(INDEX(Calcs!$L$7:$L$20,MATCH($B8,Calcs!$A$7:$A$20,0))&lt;0,"▼"&amp;ABS(INDEX(Calcs!$L$7:$L$20,MATCH($B8,Calcs!$A$7:$A$20,0))),"–")),"")</f>
        <v>–</v>
      </c>
      <c r="R8" s="49" t="str">
        <f ca="1">IFERROR(IF(INDEX(Calcs!$P$7:$P$20,MATCH($B8,Calcs!$A$7:$A$20,0))=0,"—",TEXT(INDEX(Calcs!$P$7:$P$20,MATCH($B8,Calcs!$A$7:$A$20,0)),"d mmm")),"")</f>
        <v>6 Jul</v>
      </c>
      <c r="S8" s="49">
        <f ca="1">IFERROR(ROUND(INDEX(Calcs!$Q$7:$Q$20,MATCH($B8,Calcs!$A$7:$A$20,0)),1),"")</f>
        <v>1</v>
      </c>
      <c r="T8" s="49" t="str">
        <f ca="1">IFERROR(INDEX(Calcs!$T$7:$T$20,MATCH($B8,Calcs!$A$7:$A$20,0)),"")</f>
        <v>Active</v>
      </c>
      <c r="U8">
        <f>IFERROR(ROUND(INDEX(Calcs!$R$7:$R$20,MATCH($B8,Calcs!$A$7:$A$20,0))+INDEX(Calcs!$U$7:$U$20,MATCH($B8,Calcs!$A$7:$A$20,0)),0),0)</f>
        <v>0</v>
      </c>
      <c r="V8" s="51">
        <f ca="1">IFERROR(ROUND(INDEX(Calcs!$S$7:$S$20,MATCH($B8,Calcs!$A$7:$A$20,0)),0),"")</f>
        <v>1063</v>
      </c>
      <c r="W8" s="49" t="str">
        <f ca="1">IFERROR(INDEX(Calcs!$AF$7:$AF$20,MATCH($B8,Calcs!$A$7:$A$20,0)),"")</f>
        <v>Strong</v>
      </c>
      <c r="X8" s="51">
        <f ca="1">IFERROR(ROUND(SUMIF('Poker Stake Ledger'!$C$18:$C$137,$B8,'Poker Stake Ledger'!$K$18:$K$137),1),0)</f>
        <v>0</v>
      </c>
    </row>
    <row r="9" spans="1:24" ht="15" customHeight="1" x14ac:dyDescent="0.2">
      <c r="A9" s="46">
        <f t="shared" si="0"/>
        <v>5</v>
      </c>
      <c r="B9" s="47" t="str">
        <f ca="1">IFERROR(INDEX(Calcs!$A$7:$A$20,MATCH(LARGE(Calcs!$AI$7:$AI$20,ROW()-4),Calcs!$AI$7:$AI$20,0)),"")</f>
        <v>Simon</v>
      </c>
      <c r="C9" s="48">
        <f ca="1">IFERROR(INDEX(Calcs!$S$7:$S$20,MATCH($B9,Calcs!$A$7:$A$20,0)),"")</f>
        <v>1060.3667074371201</v>
      </c>
      <c r="D9" s="49">
        <f ca="1">COUNTIF('Match Log'!$D$4:$D$810,$B9)</f>
        <v>18</v>
      </c>
      <c r="E9" s="49">
        <f ca="1">COUNTIFS('Match Log'!$D$4:$D$810,$B9,'Match Log'!$E$4:$E$810,"Win")</f>
        <v>10</v>
      </c>
      <c r="F9" s="49">
        <f t="shared" ca="1" si="1"/>
        <v>8</v>
      </c>
      <c r="G9" s="50">
        <f t="shared" ca="1" si="2"/>
        <v>0.55555555555555558</v>
      </c>
      <c r="H9" s="51">
        <f ca="1">SUMIF('Match Log'!$D$4:$D$810,$B9,'Match Log'!$J$4:$J$810)</f>
        <v>1.4563430954523646</v>
      </c>
      <c r="I9" s="51">
        <f ca="1">SUMIF('Match Log'!$D$4:$D$810,$B9,'Match Log'!$K$4:$K$810)</f>
        <v>22.910364341667837</v>
      </c>
      <c r="J9" s="51">
        <f ca="1">SUMIF('Match Log'!$D$4:$D$810,$B9,'Match Log'!$L$4:$L$810)</f>
        <v>36</v>
      </c>
      <c r="K9" s="49">
        <f ca="1">SUMPRODUCT(--(COUNTIFS('Match Log'!$D$4:$D$810,$B9,'Match Log'!$C$4:$C$810,Lists!$C$2:$C$24)&gt;0))</f>
        <v>5</v>
      </c>
      <c r="L9" s="49" t="str">
        <f ca="1">IF($D9=0,"No games",IF(AND($D9&gt;='Guide &amp; Settings'!$C$45,$K9&gt;='Guide &amp; Settings'!$C$46),"Eligible","Provisional"))</f>
        <v>Eligible</v>
      </c>
      <c r="M9" s="48">
        <f ca="1">IFERROR(INDEX(Calcs!$C$7:$C$20,MATCH($B9,Calcs!$A$7:$A$20,0)),"")</f>
        <v>1054.5714807383069</v>
      </c>
      <c r="N9" s="48">
        <f t="shared" ca="1" si="3"/>
        <v>181.3362288879332</v>
      </c>
      <c r="O9" s="49" t="str">
        <f ca="1">IFERROR(INDEX(Calcs!$H$7:$H$20,MATCH($B9,Calcs!$A$7:$A$20,0)),"")</f>
        <v>L4</v>
      </c>
      <c r="P9" s="49" t="str">
        <f ca="1">IFERROR(INDEX(Calcs!$I$7:$I$20,MATCH($B9,Calcs!$A$7:$A$20,0)),"")</f>
        <v>WLLLL</v>
      </c>
      <c r="Q9" s="49" t="str">
        <f ca="1">IFERROR(IF(INDEX(Calcs!$L$7:$L$20,MATCH($B9,Calcs!$A$7:$A$20,0))&gt;0,"▲"&amp;INDEX(Calcs!$L$7:$L$20,MATCH($B9,Calcs!$A$7:$A$20,0)),IF(INDEX(Calcs!$L$7:$L$20,MATCH($B9,Calcs!$A$7:$A$20,0))&lt;0,"▼"&amp;ABS(INDEX(Calcs!$L$7:$L$20,MATCH($B9,Calcs!$A$7:$A$20,0))),"–")),"")</f>
        <v>–</v>
      </c>
      <c r="R9" s="49" t="str">
        <f ca="1">IFERROR(IF(INDEX(Calcs!$P$7:$P$20,MATCH($B9,Calcs!$A$7:$A$20,0))=0,"—",TEXT(INDEX(Calcs!$P$7:$P$20,MATCH($B9,Calcs!$A$7:$A$20,0)),"d mmm")),"")</f>
        <v>12 Jul</v>
      </c>
      <c r="S9" s="49">
        <f ca="1">IFERROR(ROUND(INDEX(Calcs!$Q$7:$Q$20,MATCH($B9,Calcs!$A$7:$A$20,0)),1),"")</f>
        <v>0.1</v>
      </c>
      <c r="T9" s="49" t="str">
        <f ca="1">IFERROR(INDEX(Calcs!$T$7:$T$20,MATCH($B9,Calcs!$A$7:$A$20,0)),"")</f>
        <v>Active</v>
      </c>
      <c r="U9">
        <f>IFERROR(ROUND(INDEX(Calcs!$R$7:$R$20,MATCH($B9,Calcs!$A$7:$A$20,0))+INDEX(Calcs!$U$7:$U$20,MATCH($B9,Calcs!$A$7:$A$20,0)),0),0)</f>
        <v>0</v>
      </c>
      <c r="V9" s="51">
        <f ca="1">IFERROR(ROUND(INDEX(Calcs!$S$7:$S$20,MATCH($B9,Calcs!$A$7:$A$20,0)),0),"")</f>
        <v>1060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Dylan A</v>
      </c>
      <c r="C10" s="48">
        <f ca="1">IFERROR(INDEX(Calcs!$S$7:$S$20,MATCH($B10,Calcs!$A$7:$A$20,0)),"")</f>
        <v>1052.4264189977837</v>
      </c>
      <c r="D10" s="49">
        <f ca="1">COUNTIF('Match Log'!$D$4:$D$810,$B10)</f>
        <v>5</v>
      </c>
      <c r="E10" s="49">
        <f ca="1">COUNTIFS('Match Log'!$D$4:$D$810,$B10,'Match Log'!$E$4:$E$810,"Win")</f>
        <v>3</v>
      </c>
      <c r="F10" s="49">
        <f t="shared" ca="1" si="1"/>
        <v>2</v>
      </c>
      <c r="G10" s="50">
        <f t="shared" ca="1" si="2"/>
        <v>0.6</v>
      </c>
      <c r="H10" s="51">
        <f ca="1">SUMIF('Match Log'!$D$4:$D$810,$B10,'Match Log'!$J$4:$J$810)</f>
        <v>17.561127831776151</v>
      </c>
      <c r="I10" s="51">
        <f ca="1">SUMIF('Match Log'!$D$4:$D$810,$B10,'Match Log'!$K$4:$K$810)</f>
        <v>18.865291166007616</v>
      </c>
      <c r="J10" s="51">
        <f ca="1">SUMIF('Match Log'!$D$4:$D$810,$B10,'Match Log'!$L$4:$L$810)</f>
        <v>16</v>
      </c>
      <c r="K10" s="49">
        <f ca="1">SUMPRODUCT(--(COUNTIFS('Match Log'!$D$4:$D$810,$B10,'Match Log'!$C$4:$C$810,Lists!$C$2:$C$24)&gt;0))</f>
        <v>2</v>
      </c>
      <c r="L10" s="49" t="str">
        <f ca="1">IF($D10=0,"No games",IF(AND($D10&gt;='Guide &amp; Settings'!$C$45,$K10&gt;='Guide &amp; Settings'!$C$46),"Eligible","Provisional"))</f>
        <v>Provisional</v>
      </c>
      <c r="M10" s="48">
        <f ca="1">IFERROR(INDEX(Calcs!$C$7:$C$20,MATCH($B10,Calcs!$A$7:$A$20,0)),"")</f>
        <v>1064.0704733392361</v>
      </c>
      <c r="N10" s="48">
        <f t="shared" ca="1" si="3"/>
        <v>189.27651732726963</v>
      </c>
      <c r="O10" s="49" t="str">
        <f ca="1">IFERROR(INDEX(Calcs!$H$7:$H$20,MATCH($B10,Calcs!$A$7:$A$20,0)),"")</f>
        <v>W1</v>
      </c>
      <c r="P10" s="49" t="str">
        <f ca="1">IFERROR(INDEX(Calcs!$I$7:$I$20,MATCH($B10,Calcs!$A$7:$A$20,0)),"")</f>
        <v>WLWLW</v>
      </c>
      <c r="Q10" s="49" t="str">
        <f ca="1">IFERROR(IF(INDEX(Calcs!$L$7:$L$20,MATCH($B10,Calcs!$A$7:$A$20,0))&gt;0,"▲"&amp;INDEX(Calcs!$L$7:$L$20,MATCH($B10,Calcs!$A$7:$A$20,0)),IF(INDEX(Calcs!$L$7:$L$20,MATCH($B10,Calcs!$A$7:$A$20,0))&lt;0,"▼"&amp;ABS(INDEX(Calcs!$L$7:$L$20,MATCH($B10,Calcs!$A$7:$A$20,0))),"–")),"")</f>
        <v>▲2</v>
      </c>
      <c r="R10" s="49" t="str">
        <f ca="1">IFERROR(IF(INDEX(Calcs!$P$7:$P$20,MATCH($B10,Calcs!$A$7:$A$20,0))=0,"—",TEXT(INDEX(Calcs!$P$7:$P$20,MATCH($B10,Calcs!$A$7:$A$20,0)),"d mmm")),"")</f>
        <v>11 Jul</v>
      </c>
      <c r="S10" s="49">
        <f ca="1">IFERROR(ROUND(INDEX(Calcs!$Q$7:$Q$20,MATCH($B10,Calcs!$A$7:$A$20,0)),1),"")</f>
        <v>0.3</v>
      </c>
      <c r="T10" s="49" t="str">
        <f ca="1">IFERROR(INDEX(Calcs!$T$7:$T$20,MATCH($B10,Calcs!$A$7:$A$20,0)),"")</f>
        <v>Active</v>
      </c>
      <c r="U10">
        <f>IFERROR(ROUND(INDEX(Calcs!$R$7:$R$20,MATCH($B10,Calcs!$A$7:$A$20,0))+INDEX(Calcs!$U$7:$U$20,MATCH($B10,Calcs!$A$7:$A$20,0)),0),0)</f>
        <v>0</v>
      </c>
      <c r="V10" s="51">
        <f ca="1">IFERROR(ROUND(INDEX(Calcs!$S$7:$S$20,MATCH($B10,Calcs!$A$7:$A$20,0)),0),"")</f>
        <v>1052</v>
      </c>
      <c r="W10" s="49" t="str">
        <f ca="1">IFERROR(INDEX(Calcs!$AF$7:$AF$20,MATCH($B10,Calcs!$A$7:$A$20,0)),"")</f>
        <v>Mid</v>
      </c>
      <c r="X10" s="51">
        <f ca="1">IFERROR(ROUND(SUMIF('Poker Stake Ledger'!$C$18:$C$137,$B10,'Poker Stake Ledger'!$K$18:$K$137),1),0)</f>
        <v>0</v>
      </c>
    </row>
    <row r="11" spans="1:24" ht="15" customHeight="1" x14ac:dyDescent="0.2">
      <c r="A11" s="46">
        <f t="shared" si="0"/>
        <v>7</v>
      </c>
      <c r="B11" s="47" t="str">
        <f ca="1">IFERROR(INDEX(Calcs!$A$7:$A$20,MATCH(LARGE(Calcs!$AI$7:$AI$20,ROW()-4),Calcs!$AI$7:$AI$20,0)),"")</f>
        <v>Chase</v>
      </c>
      <c r="C11" s="48">
        <f ca="1">IFERROR(INDEX(Calcs!$S$7:$S$20,MATCH($B11,Calcs!$A$7:$A$20,0)),"")</f>
        <v>1041.9075825481382</v>
      </c>
      <c r="D11" s="49">
        <f ca="1">COUNTIF('Match Log'!$D$4:$D$810,$B11)</f>
        <v>11</v>
      </c>
      <c r="E11" s="49">
        <f ca="1">COUNTIFS('Match Log'!$D$4:$D$810,$B11,'Match Log'!$E$4:$E$810,"Win")</f>
        <v>6</v>
      </c>
      <c r="F11" s="49">
        <f t="shared" ca="1" si="1"/>
        <v>5</v>
      </c>
      <c r="G11" s="50">
        <f t="shared" ca="1" si="2"/>
        <v>0.54545454545454541</v>
      </c>
      <c r="H11" s="51">
        <f ca="1">SUMIF('Match Log'!$D$4:$D$810,$B11,'Match Log'!$J$4:$J$810)</f>
        <v>26.49329683385244</v>
      </c>
      <c r="I11" s="51">
        <f ca="1">SUMIF('Match Log'!$D$4:$D$810,$B11,'Match Log'!$K$4:$K$810)</f>
        <v>4.4142857142857119</v>
      </c>
      <c r="J11" s="51">
        <f ca="1">SUMIF('Match Log'!$D$4:$D$810,$B11,'Match Log'!$L$4:$L$810)</f>
        <v>11</v>
      </c>
      <c r="K11" s="49">
        <f ca="1">SUMPRODUCT(--(COUNTIFS('Match Log'!$D$4:$D$810,$B11,'Match Log'!$C$4:$C$810,Lists!$C$2:$C$24)&gt;0))</f>
        <v>7</v>
      </c>
      <c r="L11" s="49" t="str">
        <f ca="1">IF($D11=0,"No games",IF(AND($D11&gt;='Guide &amp; Settings'!$C$45,$K11&gt;='Guide &amp; Settings'!$C$46),"Eligible","Provisional"))</f>
        <v>Eligible</v>
      </c>
      <c r="M11" s="48">
        <f ca="1">IFERROR(INDEX(Calcs!$C$7:$C$20,MATCH($B11,Calcs!$A$7:$A$20,0)),"")</f>
        <v>1034.8894485676019</v>
      </c>
      <c r="N11" s="48">
        <f t="shared" ca="1" si="3"/>
        <v>199.79535377691514</v>
      </c>
      <c r="O11" s="49" t="str">
        <f ca="1">IFERROR(INDEX(Calcs!$H$7:$H$20,MATCH($B11,Calcs!$A$7:$A$20,0)),"")</f>
        <v>W2</v>
      </c>
      <c r="P11" s="49" t="str">
        <f ca="1">IFERROR(INDEX(Calcs!$I$7:$I$20,MATCH($B11,Calcs!$A$7:$A$20,0)),"")</f>
        <v>LLLWW</v>
      </c>
      <c r="Q11" s="49" t="str">
        <f ca="1">IFERROR(IF(INDEX(Calcs!$L$7:$L$20,MATCH($B11,Calcs!$A$7:$A$20,0))&gt;0,"▲"&amp;INDEX(Calcs!$L$7:$L$20,MATCH($B11,Calcs!$A$7:$A$20,0)),IF(INDEX(Calcs!$L$7:$L$20,MATCH($B11,Calcs!$A$7:$A$20,0))&lt;0,"▼"&amp;ABS(INDEX(Calcs!$L$7:$L$20,MATCH($B11,Calcs!$A$7:$A$20,0))),"–")),"")</f>
        <v>▲3</v>
      </c>
      <c r="R11" s="49" t="str">
        <f ca="1">IFERROR(IF(INDEX(Calcs!$P$7:$P$20,MATCH($B11,Calcs!$A$7:$A$20,0))=0,"—",TEXT(INDEX(Calcs!$P$7:$P$20,MATCH($B11,Calcs!$A$7:$A$20,0)),"d mmm")),"")</f>
        <v>12 Jul</v>
      </c>
      <c r="S11" s="49">
        <f ca="1">IFERROR(ROUND(INDEX(Calcs!$Q$7:$Q$20,MATCH($B11,Calcs!$A$7:$A$20,0)),1),"")</f>
        <v>0.1</v>
      </c>
      <c r="T11" s="49" t="str">
        <f ca="1">IFERROR(INDEX(Calcs!$T$7:$T$20,MATCH($B11,Calcs!$A$7:$A$20,0)),"")</f>
        <v>Active</v>
      </c>
      <c r="U11">
        <f>IFERROR(ROUND(INDEX(Calcs!$R$7:$R$20,MATCH($B11,Calcs!$A$7:$A$20,0))+INDEX(Calcs!$U$7:$U$20,MATCH($B11,Calcs!$A$7:$A$20,0)),0),0)</f>
        <v>0</v>
      </c>
      <c r="V11" s="51">
        <f ca="1">IFERROR(ROUND(INDEX(Calcs!$S$7:$S$20,MATCH($B11,Calcs!$A$7:$A$20,0)),0),"")</f>
        <v>1042</v>
      </c>
      <c r="W11" s="49" t="str">
        <f ca="1">IFERROR(INDEX(Calcs!$AF$7:$AF$20,MATCH($B11,Calcs!$A$7:$A$20,0)),"")</f>
        <v>Strong</v>
      </c>
      <c r="X11" s="51">
        <f ca="1">IFERROR(ROUND(SUMIF('Poker Stake Ledger'!$C$18:$C$137,$B11,'Poker Stake Ledger'!$K$18:$K$137),1),0)</f>
        <v>0</v>
      </c>
    </row>
    <row r="12" spans="1:24" ht="15" customHeight="1" x14ac:dyDescent="0.2">
      <c r="A12" s="46">
        <f t="shared" si="0"/>
        <v>8</v>
      </c>
      <c r="B12" s="47" t="str">
        <f ca="1">IFERROR(INDEX(Calcs!$A$7:$A$20,MATCH(LARGE(Calcs!$AI$7:$AI$20,ROW()-4),Calcs!$AI$7:$AI$20,0)),"")</f>
        <v>Aaron</v>
      </c>
      <c r="C12" s="48">
        <f ca="1">IFERROR(INDEX(Calcs!$S$7:$S$20,MATCH($B12,Calcs!$A$7:$A$20,0)),"")</f>
        <v>1040.1422573837137</v>
      </c>
      <c r="D12" s="49">
        <f ca="1">COUNTIF('Match Log'!$D$4:$D$810,$B12)</f>
        <v>46</v>
      </c>
      <c r="E12" s="49">
        <f ca="1">COUNTIFS('Match Log'!$D$4:$D$810,$B12,'Match Log'!$E$4:$E$810,"Win")</f>
        <v>24</v>
      </c>
      <c r="F12" s="49">
        <f t="shared" ca="1" si="1"/>
        <v>22</v>
      </c>
      <c r="G12" s="50">
        <f t="shared" ca="1" si="2"/>
        <v>0.52173913043478259</v>
      </c>
      <c r="H12" s="51">
        <f ca="1">SUMIF('Match Log'!$D$4:$D$810,$B12,'Match Log'!$J$4:$J$810)</f>
        <v>-24.020011438816706</v>
      </c>
      <c r="I12" s="51">
        <f ca="1">SUMIF('Match Log'!$D$4:$D$810,$B12,'Match Log'!$K$4:$K$810)</f>
        <v>33.162268822530379</v>
      </c>
      <c r="J12" s="51">
        <f ca="1">SUMIF('Match Log'!$D$4:$D$810,$B12,'Match Log'!$L$4:$L$810)</f>
        <v>31</v>
      </c>
      <c r="K12" s="49">
        <f ca="1">SUMPRODUCT(--(COUNTIFS('Match Log'!$D$4:$D$810,$B12,'Match Log'!$C$4:$C$810,Lists!$C$2:$C$24)&gt;0))</f>
        <v>10</v>
      </c>
      <c r="L12" s="49" t="str">
        <f ca="1">IF($D12=0,"No games",IF(AND($D12&gt;='Guide &amp; Settings'!$C$45,$K12&gt;='Guide &amp; Settings'!$C$46),"Eligible","Provisional"))</f>
        <v>Eligible</v>
      </c>
      <c r="M12" s="48">
        <f ca="1">IFERROR(INDEX(Calcs!$C$7:$C$20,MATCH($B12,Calcs!$A$7:$A$20,0)),"")</f>
        <v>1081.2612004587625</v>
      </c>
      <c r="N12" s="48">
        <f t="shared" ca="1" si="3"/>
        <v>201.56067894133957</v>
      </c>
      <c r="O12" s="49" t="str">
        <f ca="1">IFERROR(INDEX(Calcs!$H$7:$H$20,MATCH($B12,Calcs!$A$7:$A$20,0)),"")</f>
        <v>L3</v>
      </c>
      <c r="P12" s="49" t="str">
        <f ca="1">IFERROR(INDEX(Calcs!$I$7:$I$20,MATCH($B12,Calcs!$A$7:$A$20,0)),"")</f>
        <v>WWLLL</v>
      </c>
      <c r="Q12" s="49" t="str">
        <f ca="1">IFERROR(IF(INDEX(Calcs!$L$7:$L$20,MATCH($B12,Calcs!$A$7:$A$20,0))&gt;0,"▲"&amp;INDEX(Calcs!$L$7:$L$20,MATCH($B12,Calcs!$A$7:$A$20,0)),IF(INDEX(Calcs!$L$7:$L$20,MATCH($B12,Calcs!$A$7:$A$20,0))&lt;0,"▼"&amp;ABS(INDEX(Calcs!$L$7:$L$20,MATCH($B12,Calcs!$A$7:$A$20,0))),"–")),"")</f>
        <v>▼5</v>
      </c>
      <c r="R12" s="49" t="str">
        <f ca="1">IFERROR(IF(INDEX(Calcs!$P$7:$P$20,MATCH($B12,Calcs!$A$7:$A$20,0))=0,"—",TEXT(INDEX(Calcs!$P$7:$P$20,MATCH($B12,Calcs!$A$7:$A$20,0)),"d mmm")),"")</f>
        <v>11 Jul</v>
      </c>
      <c r="S12" s="49">
        <f ca="1">IFERROR(ROUND(INDEX(Calcs!$Q$7:$Q$20,MATCH($B12,Calcs!$A$7:$A$20,0)),1),"")</f>
        <v>0.3</v>
      </c>
      <c r="T12" s="49" t="str">
        <f ca="1">IFERROR(INDEX(Calcs!$T$7:$T$20,MATCH($B12,Calcs!$A$7:$A$20,0)),"")</f>
        <v>Active</v>
      </c>
      <c r="U12">
        <f>IFERROR(ROUND(INDEX(Calcs!$R$7:$R$20,MATCH($B12,Calcs!$A$7:$A$20,0))+INDEX(Calcs!$U$7:$U$20,MATCH($B12,Calcs!$A$7:$A$20,0)),0),0)</f>
        <v>0</v>
      </c>
      <c r="V12" s="51">
        <f ca="1">IFERROR(ROUND(INDEX(Calcs!$S$7:$S$20,MATCH($B12,Calcs!$A$7:$A$20,0)),0),"")</f>
        <v>1040</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Daniel (Ferret)</v>
      </c>
      <c r="C13" s="48">
        <f ca="1">IFERROR(INDEX(Calcs!$S$7:$S$20,MATCH($B13,Calcs!$A$7:$A$20,0)),"")</f>
        <v>1029.4526731850108</v>
      </c>
      <c r="D13" s="49">
        <f ca="1">COUNTIF('Match Log'!$D$4:$D$810,$B13)</f>
        <v>59</v>
      </c>
      <c r="E13" s="49">
        <f ca="1">COUNTIFS('Match Log'!$D$4:$D$810,$B13,'Match Log'!$E$4:$E$810,"Win")</f>
        <v>25</v>
      </c>
      <c r="F13" s="49">
        <f t="shared" ca="1" si="1"/>
        <v>34</v>
      </c>
      <c r="G13" s="50">
        <f t="shared" ca="1" si="2"/>
        <v>0.42372881355932202</v>
      </c>
      <c r="H13" s="51">
        <f ca="1">SUMIF('Match Log'!$D$4:$D$810,$B13,'Match Log'!$J$4:$J$810)</f>
        <v>-38.430031790224753</v>
      </c>
      <c r="I13" s="51">
        <f ca="1">SUMIF('Match Log'!$D$4:$D$810,$B13,'Match Log'!$K$4:$K$810)</f>
        <v>15.882704975235129</v>
      </c>
      <c r="J13" s="51">
        <f ca="1">SUMIF('Match Log'!$D$4:$D$810,$B13,'Match Log'!$L$4:$L$810)</f>
        <v>52</v>
      </c>
      <c r="K13" s="49">
        <f ca="1">SUMPRODUCT(--(COUNTIFS('Match Log'!$D$4:$D$810,$B13,'Match Log'!$C$4:$C$810,Lists!$C$2:$C$24)&gt;0))</f>
        <v>14</v>
      </c>
      <c r="L13" s="49" t="str">
        <f ca="1">IF($D13=0,"No games",IF(AND($D13&gt;='Guide &amp; Settings'!$C$45,$K13&gt;='Guide &amp; Settings'!$C$46),"Eligible","Provisional"))</f>
        <v>Eligible</v>
      </c>
      <c r="M13" s="48">
        <f ca="1">IFERROR(INDEX(Calcs!$C$7:$C$20,MATCH($B13,Calcs!$A$7:$A$20,0)),"")</f>
        <v>1099.8999525740301</v>
      </c>
      <c r="N13" s="48">
        <f t="shared" ca="1" si="3"/>
        <v>212.25026314004253</v>
      </c>
      <c r="O13" s="49" t="str">
        <f ca="1">IFERROR(INDEX(Calcs!$H$7:$H$20,MATCH($B13,Calcs!$A$7:$A$20,0)),"")</f>
        <v>L2</v>
      </c>
      <c r="P13" s="49" t="str">
        <f ca="1">IFERROR(INDEX(Calcs!$I$7:$I$20,MATCH($B13,Calcs!$A$7:$A$20,0)),"")</f>
        <v>LWWLL</v>
      </c>
      <c r="Q13" s="49" t="str">
        <f ca="1">IFERROR(IF(INDEX(Calcs!$L$7:$L$20,MATCH($B13,Calcs!$A$7:$A$20,0))&gt;0,"▲"&amp;INDEX(Calcs!$L$7:$L$20,MATCH($B13,Calcs!$A$7:$A$20,0)),IF(INDEX(Calcs!$L$7:$L$20,MATCH($B13,Calcs!$A$7:$A$20,0))&lt;0,"▼"&amp;ABS(INDEX(Calcs!$L$7:$L$20,MATCH($B13,Calcs!$A$7:$A$20,0))),"–")),"")</f>
        <v>▼4</v>
      </c>
      <c r="R13" s="49" t="str">
        <f ca="1">IFERROR(IF(INDEX(Calcs!$P$7:$P$20,MATCH($B13,Calcs!$A$7:$A$20,0))=0,"—",TEXT(INDEX(Calcs!$P$7:$P$20,MATCH($B13,Calcs!$A$7:$A$20,0)),"d mmm")),"")</f>
        <v>12 Jul</v>
      </c>
      <c r="S13" s="49">
        <f ca="1">IFERROR(ROUND(INDEX(Calcs!$Q$7:$Q$20,MATCH($B13,Calcs!$A$7:$A$20,0)),1),"")</f>
        <v>0.1</v>
      </c>
      <c r="T13" s="49" t="str">
        <f ca="1">IFERROR(INDEX(Calcs!$T$7:$T$20,MATCH($B13,Calcs!$A$7:$A$20,0)),"")</f>
        <v>Active</v>
      </c>
      <c r="U13">
        <f>IFERROR(ROUND(INDEX(Calcs!$R$7:$R$20,MATCH($B13,Calcs!$A$7:$A$20,0))+INDEX(Calcs!$U$7:$U$20,MATCH($B13,Calcs!$A$7:$A$20,0)),0),0)</f>
        <v>0</v>
      </c>
      <c r="V13" s="51">
        <f ca="1">IFERROR(ROUND(INDEX(Calcs!$S$7:$S$20,MATCH($B13,Calcs!$A$7:$A$20,0)),0),"")</f>
        <v>1029</v>
      </c>
      <c r="W13" s="49" t="str">
        <f ca="1">IFERROR(INDEX(Calcs!$AF$7:$AF$20,MATCH($B13,Calcs!$A$7:$A$20,0)),"")</f>
        <v>Strong</v>
      </c>
      <c r="X13" s="51">
        <f ca="1">IFERROR(ROUND(SUMIF('Poker Stake Ledger'!$C$18:$C$137,$B13,'Poker Stake Ledger'!$K$18:$K$137),1),0)</f>
        <v>0</v>
      </c>
    </row>
    <row r="14" spans="1:24" ht="15" customHeight="1" x14ac:dyDescent="0.2">
      <c r="A14" s="46">
        <f t="shared" si="0"/>
        <v>10</v>
      </c>
      <c r="B14" s="47" t="str">
        <f ca="1">IFERROR(INDEX(Calcs!$A$7:$A$20,MATCH(LARGE(Calcs!$AI$7:$AI$20,ROW()-4),Calcs!$AI$7:$AI$20,0)),"")</f>
        <v>Beau</v>
      </c>
      <c r="C14" s="48">
        <f ca="1">IFERROR(INDEX(Calcs!$S$7:$S$20,MATCH($B14,Calcs!$A$7:$A$20,0)),"")</f>
        <v>1019.5175965335138</v>
      </c>
      <c r="D14" s="49">
        <f ca="1">COUNTIF('Match Log'!$D$4:$D$810,$B14)</f>
        <v>10</v>
      </c>
      <c r="E14" s="49">
        <f ca="1">COUNTIFS('Match Log'!$D$4:$D$810,$B14,'Match Log'!$E$4:$E$810,"Win")</f>
        <v>5</v>
      </c>
      <c r="F14" s="49">
        <f t="shared" ca="1" si="1"/>
        <v>5</v>
      </c>
      <c r="G14" s="50">
        <f t="shared" ca="1" si="2"/>
        <v>0.5</v>
      </c>
      <c r="H14" s="51">
        <f ca="1">SUMIF('Match Log'!$D$4:$D$810,$B14,'Match Log'!$J$4:$J$810)</f>
        <v>-14.562118325761057</v>
      </c>
      <c r="I14" s="51">
        <f ca="1">SUMIF('Match Log'!$D$4:$D$810,$B14,'Match Log'!$K$4:$K$810)</f>
        <v>16.079714859275072</v>
      </c>
      <c r="J14" s="51">
        <f ca="1">SUMIF('Match Log'!$D$4:$D$810,$B14,'Match Log'!$L$4:$L$810)</f>
        <v>28</v>
      </c>
      <c r="K14" s="49">
        <f ca="1">SUMPRODUCT(--(COUNTIFS('Match Log'!$D$4:$D$810,$B14,'Match Log'!$C$4:$C$810,Lists!$C$2:$C$24)&gt;0))</f>
        <v>3</v>
      </c>
      <c r="L14" s="49" t="str">
        <f ca="1">IF($D14=0,"No games",IF(AND($D14&gt;='Guide &amp; Settings'!$C$45,$K14&gt;='Guide &amp; Settings'!$C$46),"Eligible","Provisional"))</f>
        <v>Eligible</v>
      </c>
      <c r="M14" s="48">
        <f ca="1">IFERROR(INDEX(Calcs!$C$7:$C$20,MATCH($B14,Calcs!$A$7:$A$20,0)),"")</f>
        <v>1059.6390822823084</v>
      </c>
      <c r="N14" s="48">
        <f t="shared" ca="1" si="3"/>
        <v>222.18533979153949</v>
      </c>
      <c r="O14" s="49" t="str">
        <f ca="1">IFERROR(INDEX(Calcs!$H$7:$H$20,MATCH($B14,Calcs!$A$7:$A$20,0)),"")</f>
        <v>L2</v>
      </c>
      <c r="P14" s="49" t="str">
        <f ca="1">IFERROR(INDEX(Calcs!$I$7:$I$20,MATCH($B14,Calcs!$A$7:$A$20,0)),"")</f>
        <v>LWWLL</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15 Jun</v>
      </c>
      <c r="S14" s="49">
        <f ca="1">IFERROR(ROUND(INDEX(Calcs!$Q$7:$Q$20,MATCH($B14,Calcs!$A$7:$A$20,0)),1),"")</f>
        <v>4</v>
      </c>
      <c r="T14" s="49" t="str">
        <f ca="1">IFERROR(INDEX(Calcs!$T$7:$T$20,MATCH($B14,Calcs!$A$7:$A$20,0)),"")</f>
        <v>Inactive</v>
      </c>
      <c r="U14">
        <f>IFERROR(ROUND(INDEX(Calcs!$R$7:$R$20,MATCH($B14,Calcs!$A$7:$A$20,0))+INDEX(Calcs!$U$7:$U$20,MATCH($B14,Calcs!$A$7:$A$20,0)),0),0)</f>
        <v>10</v>
      </c>
      <c r="V14" s="51">
        <f ca="1">IFERROR(ROUND(INDEX(Calcs!$S$7:$S$20,MATCH($B14,Calcs!$A$7:$A$20,0)),0),"")</f>
        <v>1020</v>
      </c>
      <c r="W14" s="49" t="str">
        <f ca="1">IFERROR(INDEX(Calcs!$AF$7:$AF$20,MATCH($B14,Calcs!$A$7:$A$20,0)),"")</f>
        <v>Mid</v>
      </c>
      <c r="X14" s="51">
        <f ca="1">IFERROR(ROUND(SUMIF('Poker Stake Ledger'!$C$18:$C$137,$B14,'Poker Stake Ledger'!$K$18:$K$137),1),0)</f>
        <v>0</v>
      </c>
    </row>
    <row r="15" spans="1:24" ht="15" customHeight="1" x14ac:dyDescent="0.2">
      <c r="A15" s="46">
        <f t="shared" si="0"/>
        <v>11</v>
      </c>
      <c r="B15" s="47" t="str">
        <f ca="1">IFERROR(INDEX(Calcs!$A$7:$A$20,MATCH(LARGE(Calcs!$AI$7:$AI$20,ROW()-4),Calcs!$AI$7:$AI$20,0)),"")</f>
        <v>Dean M</v>
      </c>
      <c r="C15" s="48">
        <f ca="1">IFERROR(INDEX(Calcs!$S$7:$S$20,MATCH($B15,Calcs!$A$7:$A$20,0)),"")</f>
        <v>1009.152401464836</v>
      </c>
      <c r="D15" s="49">
        <f ca="1">COUNTIF('Match Log'!$D$4:$D$810,$B15)</f>
        <v>6</v>
      </c>
      <c r="E15" s="49">
        <f ca="1">COUNTIFS('Match Log'!$D$4:$D$810,$B15,'Match Log'!$E$4:$E$810,"Win")</f>
        <v>2</v>
      </c>
      <c r="F15" s="49">
        <f t="shared" ca="1" si="1"/>
        <v>4</v>
      </c>
      <c r="G15" s="50">
        <f t="shared" ca="1" si="2"/>
        <v>0.33333333333333331</v>
      </c>
      <c r="H15" s="51">
        <f ca="1">SUMIF('Match Log'!$D$4:$D$810,$B15,'Match Log'!$J$4:$J$810)</f>
        <v>-18.314471080884388</v>
      </c>
      <c r="I15" s="51">
        <f ca="1">SUMIF('Match Log'!$D$4:$D$810,$B15,'Match Log'!$K$4:$K$810)</f>
        <v>7.4668725457205358</v>
      </c>
      <c r="J15" s="51">
        <f ca="1">SUMIF('Match Log'!$D$4:$D$810,$B15,'Match Log'!$L$4:$L$810)</f>
        <v>20</v>
      </c>
      <c r="K15" s="49">
        <f ca="1">SUMPRODUCT(--(COUNTIFS('Match Log'!$D$4:$D$810,$B15,'Match Log'!$C$4:$C$810,Lists!$C$2:$C$24)&gt;0))</f>
        <v>2</v>
      </c>
      <c r="L15" s="49" t="str">
        <f ca="1">IF($D15=0,"No games",IF(AND($D15&gt;='Guide &amp; Settings'!$C$45,$K15&gt;='Guide &amp; Settings'!$C$46),"Eligible","Provisional"))</f>
        <v>Provisional</v>
      </c>
      <c r="M15" s="48">
        <f ca="1">IFERROR(INDEX(Calcs!$C$7:$C$20,MATCH($B15,Calcs!$A$7:$A$20,0)),"")</f>
        <v>1052.6078903755624</v>
      </c>
      <c r="N15" s="48">
        <f t="shared" ca="1" si="3"/>
        <v>232.55053486021734</v>
      </c>
      <c r="O15" s="49" t="str">
        <f ca="1">IFERROR(INDEX(Calcs!$H$7:$H$20,MATCH($B15,Calcs!$A$7:$A$20,0)),"")</f>
        <v>L1</v>
      </c>
      <c r="P15" s="49" t="str">
        <f ca="1">IFERROR(INDEX(Calcs!$I$7:$I$20,MATCH($B15,Calcs!$A$7:$A$20,0)),"")</f>
        <v>LLWWL</v>
      </c>
      <c r="Q15" s="49" t="str">
        <f ca="1">IFERROR(IF(INDEX(Calcs!$L$7:$L$20,MATCH($B15,Calcs!$A$7:$A$20,0))&gt;0,"▲"&amp;INDEX(Calcs!$L$7:$L$20,MATCH($B15,Calcs!$A$7:$A$20,0)),IF(INDEX(Calcs!$L$7:$L$20,MATCH($B15,Calcs!$A$7:$A$20,0))&lt;0,"▼"&amp;ABS(INDEX(Calcs!$L$7:$L$20,MATCH($B15,Calcs!$A$7:$A$20,0))),"–")),"")</f>
        <v>▼4</v>
      </c>
      <c r="R15" s="49" t="str">
        <f ca="1">IFERROR(IF(INDEX(Calcs!$P$7:$P$20,MATCH($B15,Calcs!$A$7:$A$20,0))=0,"—",TEXT(INDEX(Calcs!$P$7:$P$20,MATCH($B15,Calcs!$A$7:$A$20,0)),"d mmm")),"")</f>
        <v>11 Jul</v>
      </c>
      <c r="S15" s="49">
        <f ca="1">IFERROR(ROUND(INDEX(Calcs!$Q$7:$Q$20,MATCH($B15,Calcs!$A$7:$A$20,0)),1),"")</f>
        <v>0.3</v>
      </c>
      <c r="T15" s="49" t="str">
        <f ca="1">IFERROR(INDEX(Calcs!$T$7:$T$20,MATCH($B15,Calcs!$A$7:$A$20,0)),"")</f>
        <v>Active</v>
      </c>
      <c r="U15">
        <f>IFERROR(ROUND(INDEX(Calcs!$R$7:$R$20,MATCH($B15,Calcs!$A$7:$A$20,0))+INDEX(Calcs!$U$7:$U$20,MATCH($B15,Calcs!$A$7:$A$20,0)),0),0)</f>
        <v>0</v>
      </c>
      <c r="V15" s="51">
        <f ca="1">IFERROR(ROUND(INDEX(Calcs!$S$7:$S$20,MATCH($B15,Calcs!$A$7:$A$20,0)),0),"")</f>
        <v>1009</v>
      </c>
      <c r="W15" s="49" t="str">
        <f ca="1">IFERROR(INDEX(Calcs!$AF$7:$AF$20,MATCH($B15,Calcs!$A$7:$A$20,0)),"")</f>
        <v>Developing</v>
      </c>
      <c r="X15" s="51">
        <f ca="1">IFERROR(ROUND(SUMIF('Poker Stake Ledger'!$C$18:$C$137,$B15,'Poker Stake Ledger'!$K$18:$K$137),1),0)</f>
        <v>0</v>
      </c>
    </row>
    <row r="16" spans="1:24" ht="15" customHeight="1" x14ac:dyDescent="0.2">
      <c r="A16" s="46">
        <f t="shared" si="0"/>
        <v>12</v>
      </c>
      <c r="B16" s="47" t="str">
        <f ca="1">IFERROR(INDEX(Calcs!$A$7:$A$20,MATCH(LARGE(Calcs!$AI$7:$AI$20,ROW()-4),Calcs!$AI$7:$AI$20,0)),"")</f>
        <v>Dylan S</v>
      </c>
      <c r="C16" s="48">
        <f ca="1">IFERROR(INDEX(Calcs!$S$7:$S$20,MATCH($B16,Calcs!$A$7:$A$20,0)),"")</f>
        <v>1000</v>
      </c>
      <c r="D16" s="49">
        <f ca="1">COUNTIF('Match Log'!$D$4:$D$810,$B16)</f>
        <v>0</v>
      </c>
      <c r="E16" s="49">
        <f ca="1">COUNTIFS('Match Log'!$D$4:$D$810,$B16,'Match Log'!$E$4:$E$810,"Win")</f>
        <v>0</v>
      </c>
      <c r="F16" s="49">
        <f t="shared" ca="1" si="1"/>
        <v>0</v>
      </c>
      <c r="G16" s="50" t="str">
        <f t="shared" ca="1" si="2"/>
        <v/>
      </c>
      <c r="H16" s="51">
        <f ca="1">SUMIF('Match Log'!$D$4:$D$810,$B16,'Match Log'!$J$4:$J$810)</f>
        <v>0</v>
      </c>
      <c r="I16" s="51">
        <f ca="1">SUMIF('Match Log'!$D$4:$D$810,$B16,'Match Log'!$K$4:$K$810)</f>
        <v>0</v>
      </c>
      <c r="J16" s="51">
        <f ca="1">SUMIF('Match Log'!$D$4:$D$810,$B16,'Match Log'!$L$4:$L$810)</f>
        <v>0</v>
      </c>
      <c r="K16" s="49">
        <f ca="1">SUMPRODUCT(--(COUNTIFS('Match Log'!$D$4:$D$810,$B16,'Match Log'!$C$4:$C$810,Lists!$C$2:$C$24)&gt;0))</f>
        <v>0</v>
      </c>
      <c r="L16" s="49" t="str">
        <f ca="1">IF($D16=0,"No games",IF(AND($D16&gt;='Guide &amp; Settings'!$C$45,$K16&gt;='Guide &amp; Settings'!$C$46),"Eligible","Provisional"))</f>
        <v>No games</v>
      </c>
      <c r="M16" s="48" t="str">
        <f ca="1">IFERROR(INDEX(Calcs!$C$7:$C$20,MATCH($B16,Calcs!$A$7:$A$20,0)),"")</f>
        <v/>
      </c>
      <c r="N16" s="48">
        <f t="shared" ca="1" si="3"/>
        <v>241.70293632505332</v>
      </c>
      <c r="O16" s="49" t="str">
        <f ca="1">IFERROR(INDEX(Calcs!$H$7:$H$20,MATCH($B16,Calcs!$A$7:$A$20,0)),"")</f>
        <v/>
      </c>
      <c r="P16" s="49" t="str">
        <f ca="1">IFERROR(INDEX(Calcs!$I$7:$I$20,MATCH($B16,Calcs!$A$7:$A$20,0)),"")</f>
        <v/>
      </c>
      <c r="Q16" s="49" t="str">
        <f ca="1">IFERROR(IF(INDEX(Calcs!$L$7:$L$20,MATCH($B16,Calcs!$A$7:$A$20,0))&gt;0,"▲"&amp;INDEX(Calcs!$L$7:$L$20,MATCH($B16,Calcs!$A$7:$A$20,0)),IF(INDEX(Calcs!$L$7:$L$20,MATCH($B16,Calcs!$A$7:$A$20,0))&lt;0,"▼"&amp;ABS(INDEX(Calcs!$L$7:$L$20,MATCH($B16,Calcs!$A$7:$A$20,0))),"–")),"")</f>
        <v>▼1</v>
      </c>
      <c r="R16" s="49" t="str">
        <f ca="1">IFERROR(IF(INDEX(Calcs!$P$7:$P$20,MATCH($B16,Calcs!$A$7:$A$20,0))=0,"—",TEXT(INDEX(Calcs!$P$7:$P$20,MATCH($B16,Calcs!$A$7:$A$20,0)),"d mmm")),"")</f>
        <v>—</v>
      </c>
      <c r="S16" s="49" t="str">
        <f ca="1">IFERROR(ROUND(INDEX(Calcs!$Q$7:$Q$20,MATCH($B16,Calcs!$A$7:$A$20,0)),1),"")</f>
        <v/>
      </c>
      <c r="T16" s="49" t="str">
        <f ca="1">IFERROR(INDEX(Calcs!$T$7:$T$20,MATCH($B16,Calcs!$A$7:$A$20,0)),"")</f>
        <v>No games</v>
      </c>
      <c r="U16">
        <f>IFERROR(ROUND(INDEX(Calcs!$R$7:$R$20,MATCH($B16,Calcs!$A$7:$A$20,0))+INDEX(Calcs!$U$7:$U$20,MATCH($B16,Calcs!$A$7:$A$20,0)),0),0)</f>
        <v>0</v>
      </c>
      <c r="V16" s="51">
        <f ca="1">IFERROR(ROUND(INDEX(Calcs!$S$7:$S$20,MATCH($B16,Calcs!$A$7:$A$20,0)),0),"")</f>
        <v>1000</v>
      </c>
      <c r="W16" s="49" t="str">
        <f ca="1">IFERROR(INDEX(Calcs!$AF$7:$AF$20,MATCH($B16,Calcs!$A$7:$A$20,0)),"")</f>
        <v>No games</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1062.2347240382487</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0.3</v>
      </c>
      <c r="T17" s="49" t="str">
        <f ca="1">IFERROR(INDEX(Calcs!$T$7:$T$20,MATCH($B17,Calcs!$A$7:$A$20,0)),"")</f>
        <v>Active</v>
      </c>
      <c r="U17">
        <f>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883.15761519837804</v>
      </c>
      <c r="D18" s="49">
        <f ca="1">COUNTIF('Match Log'!$D$4:$D$810,$B18)</f>
        <v>13</v>
      </c>
      <c r="E18" s="49">
        <f ca="1">COUNTIFS('Match Log'!$D$4:$D$810,$B18,'Match Log'!$E$4:$E$810,"Win")</f>
        <v>2</v>
      </c>
      <c r="F18" s="49">
        <f t="shared" ca="1" si="1"/>
        <v>11</v>
      </c>
      <c r="G18" s="50">
        <f t="shared" ca="1" si="2"/>
        <v>0.15384615384615385</v>
      </c>
      <c r="H18" s="51">
        <f ca="1">SUMIF('Match Log'!$D$4:$D$810,$B18,'Match Log'!$J$4:$J$810)</f>
        <v>-81.229281767466446</v>
      </c>
      <c r="I18" s="51">
        <f ca="1">SUMIF('Match Log'!$D$4:$D$810,$B18,'Match Log'!$K$4:$K$810)</f>
        <v>-33.613103034155223</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1058.1253066891838</v>
      </c>
      <c r="N18" s="48">
        <f t="shared" ca="1" si="3"/>
        <v>358.54532112667528</v>
      </c>
      <c r="O18" s="49" t="str">
        <f ca="1">IFERROR(INDEX(Calcs!$H$7:$H$20,MATCH($B18,Calcs!$A$7:$A$20,0)),"")</f>
        <v>L4</v>
      </c>
      <c r="P18" s="49" t="str">
        <f ca="1">IFERROR(INDEX(Calcs!$I$7:$I$20,MATCH($B18,Calcs!$A$7:$A$20,0)),"")</f>
        <v>WLLLL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15 Jun</v>
      </c>
      <c r="S18" s="49">
        <f ca="1">IFERROR(ROUND(INDEX(Calcs!$Q$7:$Q$20,MATCH($B18,Calcs!$A$7:$A$20,0)),1),"")</f>
        <v>4</v>
      </c>
      <c r="T18" s="49" t="str">
        <f ca="1">IFERROR(INDEX(Calcs!$T$7:$T$20,MATCH($B18,Calcs!$A$7:$A$20,0)),"")</f>
        <v>Inactive</v>
      </c>
      <c r="U18">
        <f>IFERROR(ROUND(INDEX(Calcs!$R$7:$R$20,MATCH($B18,Calcs!$A$7:$A$20,0))+INDEX(Calcs!$U$7:$U$20,MATCH($B18,Calcs!$A$7:$A$20,0)),0),0)</f>
        <v>10</v>
      </c>
      <c r="V18" s="51">
        <f ca="1">IFERROR(ROUND(INDEX(Calcs!$S$7:$S$20,MATCH($B18,Calcs!$A$7:$A$20,0)),0),"")</f>
        <v>883</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1124.7994137993414</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34–37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0.47887323943661969</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71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1048.6561508961991</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W4</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LWWWW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116.90352252571188</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12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905.69410378055966</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76</v>
      </c>
      <c r="D23" s="56" t="s">
        <v>208</v>
      </c>
      <c r="E23" s="36">
        <f>COUNTIFS('Match Log'!$D$4:$D$810,$B$3,'Match Log'!$C$4:$C$810,$D23)</f>
        <v>9</v>
      </c>
      <c r="F23" s="36">
        <f>COUNTIFS('Match Log'!$D$4:$D$810,$B$3,'Match Log'!$C$4:$C$810,$D23,'Match Log'!$E$4:$E$810,"Win")</f>
        <v>6</v>
      </c>
      <c r="G23" s="57">
        <f t="shared" si="0"/>
        <v>0.66666666666666663</v>
      </c>
      <c r="H23" s="58">
        <f>IFERROR(IF($E23=0,"",INDEX('Sport Records'!$B$100:$O$122,MATCH($D23,'Sport Records'!$A$100:$A$122,0),MATCH($B$3,'Sport Records'!$B$99:$O$99,0))),"")</f>
        <v>1023.5480887963037</v>
      </c>
    </row>
    <row r="24" spans="1:8" x14ac:dyDescent="0.2">
      <c r="A24" s="64" t="s">
        <v>209</v>
      </c>
      <c r="B24" s="65">
        <f ca="1">IFERROR(ROUND(INDEX(Calcs!$W$7:$W$20,MATCH($B$3,Calcs!$A$7:$A$20,0)),0),"")</f>
        <v>81</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48</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80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1</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1</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2</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2</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23</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158</v>
      </c>
    </row>
    <row r="4" spans="1:18" ht="18.75" customHeight="1" x14ac:dyDescent="0.2">
      <c r="A4" s="73" t="s">
        <v>223</v>
      </c>
      <c r="C4" s="159" t="str">
        <f ca="1">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0</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3</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10</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4</v>
      </c>
      <c r="E26" s="77">
        <f>COUNTIFS('Match Log'!$D$4:$D$819,E$7,'Match Log'!$C$4:$C$819,$A26)</f>
        <v>0</v>
      </c>
      <c r="F26" s="77">
        <f>COUNTIFS('Match Log'!$D$4:$D$819,F$7,'Match Log'!$C$4:$C$819,$A26)</f>
        <v>4</v>
      </c>
      <c r="G26" s="77">
        <f>COUNTIFS('Match Log'!$D$4:$D$819,G$7,'Match Log'!$C$4:$C$819,$A26)</f>
        <v>9</v>
      </c>
      <c r="H26" s="77">
        <f>COUNTIFS('Match Log'!$D$4:$D$819,H$7,'Match Log'!$C$4:$C$819,$A26)</f>
        <v>0</v>
      </c>
      <c r="I26" s="77">
        <f>COUNTIFS('Match Log'!$D$4:$D$819,I$7,'Match Log'!$C$4:$C$819,$A26)</f>
        <v>8</v>
      </c>
      <c r="J26" s="77">
        <f>COUNTIFS('Match Log'!$D$4:$D$819,J$7,'Match Log'!$C$4:$C$819,$A26)</f>
        <v>0</v>
      </c>
      <c r="K26" s="77">
        <f>COUNTIFS('Match Log'!$D$4:$D$819,K$7,'Match Log'!$C$4:$C$819,$A26)</f>
        <v>0</v>
      </c>
      <c r="L26" s="77">
        <f>COUNTIFS('Match Log'!$D$4:$D$819,L$7,'Match Log'!$C$4:$C$819,$A26)</f>
        <v>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17</v>
      </c>
      <c r="Q26" s="79" t="str">
        <f t="shared" si="0"/>
        <v>Shawn</v>
      </c>
      <c r="R26" s="78">
        <f t="shared" si="1"/>
        <v>6</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0</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6</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0</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t="str">
        <f t="shared" si="15"/>
        <v/>
      </c>
      <c r="E71" s="80" t="str">
        <f t="shared" si="15"/>
        <v/>
      </c>
      <c r="F71" s="80" t="str">
        <f t="shared" si="15"/>
        <v/>
      </c>
      <c r="G71" s="80">
        <f t="shared" si="15"/>
        <v>0</v>
      </c>
      <c r="H71" s="80" t="str">
        <f t="shared" si="15"/>
        <v/>
      </c>
      <c r="I71" s="80">
        <f t="shared" si="15"/>
        <v>0.66666666666666663</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1</v>
      </c>
      <c r="E76" s="80" t="str">
        <f t="shared" si="20"/>
        <v/>
      </c>
      <c r="F76" s="80">
        <f t="shared" si="20"/>
        <v>0.5</v>
      </c>
      <c r="G76" s="80">
        <f t="shared" si="20"/>
        <v>0.66666666666666663</v>
      </c>
      <c r="H76" s="80" t="str">
        <f t="shared" si="20"/>
        <v/>
      </c>
      <c r="I76" s="80">
        <f t="shared" si="20"/>
        <v>0.25</v>
      </c>
      <c r="J76" s="80" t="str">
        <f t="shared" si="20"/>
        <v/>
      </c>
      <c r="K76" s="80" t="str">
        <f t="shared" si="20"/>
        <v/>
      </c>
      <c r="L76" s="80" t="str">
        <f t="shared" si="20"/>
        <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 ca="1">IFERROR(INDEX(Calcs!$S$7:$S$20,MATCH($A84,Calcs!$A$7:$A$20,0)),"")</f>
        <v>1063.3497487715442</v>
      </c>
      <c r="G84" s="77" t="str">
        <f>IF($B84=0,"No games",IF(AND($B84&gt;='Guide &amp; Settings'!$C$45,$C84&gt;='Guide &amp; Settings'!$C$46),"Eligible","Provisional"))</f>
        <v>Eligible</v>
      </c>
      <c r="S84" s="83">
        <f ca="1">IF($G84="Eligible",IF(IFERROR(INDEX(Calcs!$T$7:$T$20,MATCH($A84,Calcs!$A$7:$A$20,0)),"")="Inactive",-1,$F84),-1)</f>
        <v>1063.3497487715442</v>
      </c>
    </row>
    <row r="85" spans="1:19" ht="15" customHeight="1" x14ac:dyDescent="0.2">
      <c r="A85" s="76" t="s">
        <v>168</v>
      </c>
      <c r="B85" s="77">
        <f>COUNTIF('Match Log'!$D$4:$D$819,$A85)</f>
        <v>18</v>
      </c>
      <c r="C85" s="77">
        <f>SUMPRODUCT(--(COUNTIFS('Match Log'!$D$4:$D$819,$A85,'Match Log'!$C$4:$C$819,Lists!$C$2:$C$24)&gt;0))</f>
        <v>5</v>
      </c>
      <c r="D85" s="77">
        <f>COUNTIFS('Match Log'!$D$4:$D$819,$A85,'Match Log'!$E$4:$E$819,"Win")</f>
        <v>10</v>
      </c>
      <c r="E85" s="80">
        <f t="shared" si="25"/>
        <v>0.55555555555555558</v>
      </c>
      <c r="F85" s="82">
        <f ca="1">IFERROR(INDEX(Calcs!$S$7:$S$20,MATCH($A85,Calcs!$A$7:$A$20,0)),"")</f>
        <v>1060.3667074371201</v>
      </c>
      <c r="G85" s="77" t="str">
        <f>IF($B85=0,"No games",IF(AND($B85&gt;='Guide &amp; Settings'!$C$45,$C85&gt;='Guide &amp; Settings'!$C$46),"Eligible","Provisional"))</f>
        <v>Eligible</v>
      </c>
      <c r="S85" s="83">
        <f ca="1">IF($G85="Eligible",IF(IFERROR(INDEX(Calcs!$T$7:$T$20,MATCH($A85,Calcs!$A$7:$A$20,0)),"")="Inactive",-1,$F85),-1)</f>
        <v>1060.3667074371201</v>
      </c>
    </row>
    <row r="86" spans="1:19" ht="15" customHeight="1" x14ac:dyDescent="0.2">
      <c r="A86" s="76" t="s">
        <v>169</v>
      </c>
      <c r="B86" s="77">
        <f>COUNTIF('Match Log'!$D$4:$D$819,$A86)</f>
        <v>44</v>
      </c>
      <c r="C86" s="77">
        <f>SUMPRODUCT(--(COUNTIFS('Match Log'!$D$4:$D$819,$A86,'Match Log'!$C$4:$C$819,Lists!$C$2:$C$24)&gt;0))</f>
        <v>8</v>
      </c>
      <c r="D86" s="77">
        <f>COUNTIFS('Match Log'!$D$4:$D$819,$A86,'Match Log'!$E$4:$E$819,"Win")</f>
        <v>20</v>
      </c>
      <c r="E86" s="80">
        <f t="shared" si="25"/>
        <v>0.45454545454545453</v>
      </c>
      <c r="F86" s="82">
        <f ca="1">IFERROR(INDEX(Calcs!$S$7:$S$20,MATCH($A86,Calcs!$A$7:$A$20,0)),"")</f>
        <v>1062.8275894279936</v>
      </c>
      <c r="G86" s="77" t="str">
        <f>IF($B86=0,"No games",IF(AND($B86&gt;='Guide &amp; Settings'!$C$45,$C86&gt;='Guide &amp; Settings'!$C$46),"Eligible","Provisional"))</f>
        <v>Eligible</v>
      </c>
      <c r="S86" s="83">
        <f ca="1">IF($G86="Eligible",IF(IFERROR(INDEX(Calcs!$T$7:$T$20,MATCH($A86,Calcs!$A$7:$A$20,0)),"")="Inactive",-1,$F86),-1)</f>
        <v>1062.8275894279936</v>
      </c>
    </row>
    <row r="87" spans="1:19" ht="15" customHeight="1" x14ac:dyDescent="0.2">
      <c r="A87" s="76" t="s">
        <v>170</v>
      </c>
      <c r="B87" s="77">
        <f>COUNTIF('Match Log'!$D$4:$D$819,$A87)</f>
        <v>59</v>
      </c>
      <c r="C87" s="77">
        <f>SUMPRODUCT(--(COUNTIFS('Match Log'!$D$4:$D$819,$A87,'Match Log'!$C$4:$C$819,Lists!$C$2:$C$24)&gt;0))</f>
        <v>14</v>
      </c>
      <c r="D87" s="77">
        <f>COUNTIFS('Match Log'!$D$4:$D$819,$A87,'Match Log'!$E$4:$E$819,"Win")</f>
        <v>25</v>
      </c>
      <c r="E87" s="80">
        <f t="shared" si="25"/>
        <v>0.42372881355932202</v>
      </c>
      <c r="F87" s="82">
        <f ca="1">IFERROR(INDEX(Calcs!$S$7:$S$20,MATCH($A87,Calcs!$A$7:$A$20,0)),"")</f>
        <v>1029.4526731850108</v>
      </c>
      <c r="G87" s="77" t="str">
        <f>IF($B87=0,"No games",IF(AND($B87&gt;='Guide &amp; Settings'!$C$45,$C87&gt;='Guide &amp; Settings'!$C$46),"Eligible","Provisional"))</f>
        <v>Eligible</v>
      </c>
      <c r="S87" s="83">
        <f ca="1">IF($G87="Eligible",IF(IFERROR(INDEX(Calcs!$T$7:$T$20,MATCH($A87,Calcs!$A$7:$A$20,0)),"")="Inactive",-1,$F87),-1)</f>
        <v>1029.4526731850108</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 ca="1">IFERROR(INDEX(Calcs!$S$7:$S$20,MATCH($A88,Calcs!$A$7:$A$20,0)),"")</f>
        <v>1040.1422573837137</v>
      </c>
      <c r="G88" s="77" t="str">
        <f>IF($B88=0,"No games",IF(AND($B88&gt;='Guide &amp; Settings'!$C$45,$C88&gt;='Guide &amp; Settings'!$C$46),"Eligible","Provisional"))</f>
        <v>Eligible</v>
      </c>
      <c r="S88" s="83">
        <f ca="1">IF($G88="Eligible",IF(IFERROR(INDEX(Calcs!$T$7:$T$20,MATCH($A88,Calcs!$A$7:$A$20,0)),"")="Inactive",-1,$F88),-1)</f>
        <v>1040.1422573837137</v>
      </c>
    </row>
    <row r="89" spans="1:19" ht="15" customHeight="1" x14ac:dyDescent="0.2">
      <c r="A89" s="76" t="s">
        <v>134</v>
      </c>
      <c r="B89" s="77">
        <f>COUNTIF('Match Log'!$D$4:$D$819,$A89)</f>
        <v>71</v>
      </c>
      <c r="C89" s="77">
        <f>SUMPRODUCT(--(COUNTIFS('Match Log'!$D$4:$D$819,$A89,'Match Log'!$C$4:$C$819,Lists!$C$2:$C$24)&gt;0))</f>
        <v>10</v>
      </c>
      <c r="D89" s="77">
        <f>COUNTIFS('Match Log'!$D$4:$D$819,$A89,'Match Log'!$E$4:$E$819,"Win")</f>
        <v>34</v>
      </c>
      <c r="E89" s="80">
        <f t="shared" si="25"/>
        <v>0.47887323943661969</v>
      </c>
      <c r="F89" s="82">
        <f ca="1">IFERROR(INDEX(Calcs!$S$7:$S$20,MATCH($A89,Calcs!$A$7:$A$20,0)),"")</f>
        <v>1124.7994137993414</v>
      </c>
      <c r="G89" s="77" t="str">
        <f>IF($B89=0,"No games",IF(AND($B89&gt;='Guide &amp; Settings'!$C$45,$C89&gt;='Guide &amp; Settings'!$C$46),"Eligible","Provisional"))</f>
        <v>Eligible</v>
      </c>
      <c r="S89" s="83">
        <f ca="1">IF($G89="Eligible",IF(IFERROR(INDEX(Calcs!$T$7:$T$20,MATCH($A89,Calcs!$A$7:$A$20,0)),"")="Inactive",-1,$F89),-1)</f>
        <v>1124.7994137993414</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1019.5175965335138</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 ca="1">IFERROR(INDEX(Calcs!$S$7:$S$20,MATCH($A91,Calcs!$A$7:$A$20,0)),"")</f>
        <v>1009.152401464836</v>
      </c>
      <c r="G91" s="77" t="str">
        <f>IF($B91=0,"No games",IF(AND($B91&gt;='Guide &amp; Settings'!$C$45,$C91&gt;='Guide &amp; Settings'!$C$46),"Eligible","Provisional"))</f>
        <v>Provisional</v>
      </c>
      <c r="S91" s="83">
        <f>IF($G91="Eligible",IF(IFERROR(INDEX(Calcs!$T$7:$T$20,MATCH($A91,Calcs!$A$7:$A$20,0)),"")="Inactive",-1,$F91),-1)</f>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 ca="1">IFERROR(INDEX(Calcs!$S$7:$S$20,MATCH($A92,Calcs!$A$7:$A$20,0)),"")</f>
        <v>1052.4264189977837</v>
      </c>
      <c r="G92" s="77" t="str">
        <f>IF($B92=0,"No games",IF(AND($B92&gt;='Guide &amp; Settings'!$C$45,$C92&gt;='Guide &amp; Settings'!$C$46),"Eligible","Provisional"))</f>
        <v>Provisional</v>
      </c>
      <c r="S92" s="83">
        <f>IF($G92="Eligible",IF(IFERROR(INDEX(Calcs!$T$7:$T$20,MATCH($A92,Calcs!$A$7:$A$20,0)),"")="Inactive",-1,$F92),-1)</f>
        <v>-1</v>
      </c>
    </row>
    <row r="93" spans="1:19" ht="15" customHeight="1" x14ac:dyDescent="0.2">
      <c r="A93" s="76" t="s">
        <v>173</v>
      </c>
      <c r="B93" s="77">
        <f>COUNTIF('Match Log'!$D$4:$D$819,$A93)</f>
        <v>11</v>
      </c>
      <c r="C93" s="77">
        <f>SUMPRODUCT(--(COUNTIFS('Match Log'!$D$4:$D$819,$A93,'Match Log'!$C$4:$C$819,Lists!$C$2:$C$24)&gt;0))</f>
        <v>7</v>
      </c>
      <c r="D93" s="77">
        <f>COUNTIFS('Match Log'!$D$4:$D$819,$A93,'Match Log'!$E$4:$E$819,"Win")</f>
        <v>6</v>
      </c>
      <c r="E93" s="80">
        <f t="shared" si="25"/>
        <v>0.54545454545454541</v>
      </c>
      <c r="F93" s="82">
        <f ca="1">IFERROR(INDEX(Calcs!$S$7:$S$20,MATCH($A93,Calcs!$A$7:$A$20,0)),"")</f>
        <v>1041.9075825481382</v>
      </c>
      <c r="G93" s="77" t="str">
        <f>IF($B93=0,"No games",IF(AND($B93&gt;='Guide &amp; Settings'!$C$45,$C93&gt;='Guide &amp; Settings'!$C$46),"Eligible","Provisional"))</f>
        <v>Eligible</v>
      </c>
      <c r="S93" s="83">
        <f ca="1">IF($G93="Eligible",IF(IFERROR(INDEX(Calcs!$T$7:$T$20,MATCH($A93,Calcs!$A$7:$A$20,0)),"")="Inactive",-1,$F93),-1)</f>
        <v>1041.9075825481382</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 ca="1">IFERROR(INDEX(Calcs!$S$7:$S$20,MATCH($A96,Calcs!$A$7:$A$20,0)),"")</f>
        <v>883.15761519837804</v>
      </c>
      <c r="G96" s="77" t="str">
        <f>IF($B96=0,"No games",IF(AND($B96&gt;='Guide &amp; Settings'!$C$45,$C96&gt;='Guide &amp; Settings'!$C$46),"Eligible","Provisional"))</f>
        <v>Eligible</v>
      </c>
      <c r="S96" s="83">
        <f ca="1">IF($G96="Eligible",IF(IFERROR(INDEX(Calcs!$T$7:$T$20,MATCH($A96,Calcs!$A$7:$A$20,0)),"")="Inactive",-1,$F96),-1)</f>
        <v>-1</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t="str">
        <f>IFERROR(LOOKUP(2,1/(('Match Log'!$D$4:$D$819=D$99)*('Match Log'!$C$4:$C$819=$A113)),'Match Log'!$AB$4:$AB$819),"")</f>
        <v/>
      </c>
      <c r="E113" s="82" t="str">
        <f>IFERROR(LOOKUP(2,1/(('Match Log'!$D$4:$D$819=E$99)*('Match Log'!$C$4:$C$819=$A113)),'Match Log'!$AB$4:$AB$819),"")</f>
        <v/>
      </c>
      <c r="F113" s="82" t="str">
        <f>IFERROR(LOOKUP(2,1/(('Match Log'!$D$4:$D$819=F$99)*('Match Log'!$C$4:$C$819=$A113)),'Match Log'!$AB$4:$AB$819),"")</f>
        <v/>
      </c>
      <c r="G113" s="82">
        <f>IFERROR(LOOKUP(2,1/(('Match Log'!$D$4:$D$819=G$99)*('Match Log'!$C$4:$C$819=$A113)),'Match Log'!$AB$4:$AB$819),"")</f>
        <v>905.69410378055966</v>
      </c>
      <c r="H113" s="82" t="str">
        <f>IFERROR(LOOKUP(2,1/(('Match Log'!$D$4:$D$819=H$99)*('Match Log'!$C$4:$C$819=$A113)),'Match Log'!$AB$4:$AB$819),"")</f>
        <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1040.8607146992172</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1055.8009426289977</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1023.5480887963037</v>
      </c>
      <c r="H118" s="82" t="str">
        <f>IFERROR(LOOKUP(2,1/(('Match Log'!$D$4:$D$819=H$99)*('Match Log'!$C$4:$C$819=$A118)),'Match Log'!$AB$4:$AB$819),"")</f>
        <v/>
      </c>
      <c r="I118" s="82">
        <f>IFERROR(LOOKUP(2,1/(('Match Log'!$D$4:$D$819=I$99)*('Match Log'!$C$4:$C$819=$A118)),'Match Log'!$AB$4:$AB$819),"")</f>
        <v>947.76142264977557</v>
      </c>
      <c r="J118" s="82" t="str">
        <f>IFERROR(LOOKUP(2,1/(('Match Log'!$D$4:$D$819=J$99)*('Match Log'!$C$4:$C$819=$A118)),'Match Log'!$AB$4:$AB$819),"")</f>
        <v/>
      </c>
      <c r="K118" s="82" t="str">
        <f>IFERROR(LOOKUP(2,1/(('Match Log'!$D$4:$D$819=K$99)*('Match Log'!$C$4:$C$819=$A118)),'Match Log'!$AB$4:$AB$819),"")</f>
        <v/>
      </c>
      <c r="L118" s="82" t="str">
        <f>IFERROR(LOOKUP(2,1/(('Match Log'!$D$4:$D$819=L$99)*('Match Log'!$C$4:$C$819=$A118)),'Match Log'!$AB$4:$AB$819),"")</f>
        <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71</v>
      </c>
      <c r="C21" s="36" t="str">
        <f ca="1">INDEX(Dashboard!$B$5:$B$18,MATCH(MAX(Dashboard!$D$5:$D$18),Dashboard!$D$5:$D$18,0))</f>
        <v>Shawn</v>
      </c>
      <c r="D21" s="36" t="s">
        <v>252</v>
      </c>
      <c r="E21" s="36" t="s">
        <v>252</v>
      </c>
      <c r="F21" s="36" t="str">
        <f ca="1">"across "&amp;INDEX(Dashboard!$K$5:$K$18,MATCH($C21,Dashboard!$B$5:$B$18,0))&amp;" sports"</f>
        <v>across 10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4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117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4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71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158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1125</v>
      </c>
      <c r="D18" s="105" t="str">
        <f>IF(2=1,"— leader —",ROUND(MAX(Calcs!$B$7:$B$20)-LARGE(Calcs!$B$7:$B$20,2),0)&amp;" behind")</f>
        <v>117 behind</v>
      </c>
      <c r="E18" s="99"/>
      <c r="F18" s="26"/>
    </row>
    <row r="19" spans="1:6" ht="15" customHeight="1" x14ac:dyDescent="0.2">
      <c r="A19" s="104">
        <v>3</v>
      </c>
      <c r="B19" s="55" t="str">
        <f>INDEX(Calcs!$A$7:$A$20,MATCH(LARGE(Calcs!$B$7:$B$20,3),Calcs!$B$7:$B$20,0))</f>
        <v>Josh</v>
      </c>
      <c r="C19" s="104">
        <f>ROUND(LARGE(Calcs!$B$7:$B$20,3),0)</f>
        <v>1063</v>
      </c>
      <c r="D19" s="105" t="str">
        <f>IF(3=1,"— leader —",ROUND(MAX(Calcs!$B$7:$B$20)-LARGE(Calcs!$B$7:$B$20,3),0)&amp;" behind")</f>
        <v>178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W</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W</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L</v>
      </c>
      <c r="E46" s="107" t="str">
        <f>IFERROR(IF(INDEX('Match Log'!$E$1:$E$810,_xlfn.AGGREGATE(14,6,ROW('Match Log'!$A$4:$A$810)/('Match Log'!$D$4:$D$810=$A46),7))="Win","W","L"),"")</f>
        <v>L</v>
      </c>
      <c r="F46" s="107" t="str">
        <f>IFERROR(IF(INDEX('Match Log'!$E$1:$E$810,_xlfn.AGGREGATE(14,6,ROW('Match Log'!$A$4:$A$810)/('Match Log'!$D$4:$D$810=$A46),6))="Win","W","L"),"")</f>
        <v>W</v>
      </c>
      <c r="G46" s="107" t="str">
        <f>IFERROR(IF(INDEX('Match Log'!$E$1:$E$810,_xlfn.AGGREGATE(14,6,ROW('Match Log'!$A$4:$A$810)/('Match Log'!$D$4:$D$810=$A46),5))="Win","W","L"),"")</f>
        <v>W</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W</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W</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t="str">
        <f>IFERROR(INDEX('Sport Records'!$B$58:$O$80,MATCH($O$57,'Sport Records'!$A$58:$A$80,0),MATCH($A60,'Sport Records'!$B$57:$O$57,0)),"")</f>
        <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1</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t="str">
        <f>IFERROR(INDEX('Sport Records'!$B$58:$O$80,MATCH($T$57,'Sport Records'!$A$58:$A$80,0),MATCH($A68,'Sport Records'!$B$57:$O$57,0)),"")</f>
        <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37" activePane="bottomRight" state="frozen"/>
      <selection pane="topRight" activeCell="F1" sqref="F1"/>
      <selection pane="bottomLeft" activeCell="A244" sqref="A244"/>
      <selection pane="bottomRight" activeCell="E367" sqref="E367"/>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IF($D368="","",IF(SUMPRODUCT(MAX(($D$4:$D$810=$D368)*($B$4:$B$810&lt;$B368)*$B$4:$B$810))=0,0,IF(($B368-MAX(SUMPRODUCT(MAX(($D$4:$D$810=$D368)*($B$4:$B$810&lt;$B368)*$B$4:$B$810)),'Guide &amp; Settings'!$C$50))/7-'Guide &amp; Settings'!$C$48&gt;=0,(INT(($B368-MAX(SUMPRODUCT(MAX(($D$4:$D$810=$D368)*($B$4:$B$810&lt;$B368)*$B$4:$B$810)),'Guide &amp; Settings'!$C$50))/7-'Guide &amp; Settings'!$C$48)+1)*'Guide &amp; Settings'!$C$49,0)))</f>
        <v/>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IF($D369="","",IF(SUMPRODUCT(MAX(($D$4:$D$810=$D369)*($B$4:$B$810&lt;$B369)*$B$4:$B$810))=0,0,IF(($B369-MAX(SUMPRODUCT(MAX(($D$4:$D$810=$D369)*($B$4:$B$810&lt;$B369)*$B$4:$B$810)),'Guide &amp; Settings'!$C$50))/7-'Guide &amp; Settings'!$C$48&gt;=0,(INT(($B369-MAX(SUMPRODUCT(MAX(($D$4:$D$810=$D369)*($B$4:$B$810&lt;$B369)*$B$4:$B$810)),'Guide &amp; Settings'!$C$50))/7-'Guide &amp; Settings'!$C$48)+1)*'Guide &amp; Settings'!$C$49,0)))</f>
        <v/>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IF($D370="","",IF(SUMPRODUCT(MAX(($D$4:$D$810=$D370)*($B$4:$B$810&lt;$B370)*$B$4:$B$810))=0,0,IF(($B370-MAX(SUMPRODUCT(MAX(($D$4:$D$810=$D370)*($B$4:$B$810&lt;$B370)*$B$4:$B$810)),'Guide &amp; Settings'!$C$50))/7-'Guide &amp; Settings'!$C$48&gt;=0,(INT(($B370-MAX(SUMPRODUCT(MAX(($D$4:$D$810=$D370)*($B$4:$B$810&lt;$B370)*$B$4:$B$810)),'Guide &amp; Settings'!$C$50))/7-'Guide &amp; Settings'!$C$48)+1)*'Guide &amp; Settings'!$C$49,0)))</f>
        <v/>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IF($D371="","",IF(SUMPRODUCT(MAX(($D$4:$D$810=$D371)*($B$4:$B$810&lt;$B371)*$B$4:$B$810))=0,0,IF(($B371-MAX(SUMPRODUCT(MAX(($D$4:$D$810=$D371)*($B$4:$B$810&lt;$B371)*$B$4:$B$810)),'Guide &amp; Settings'!$C$50))/7-'Guide &amp; Settings'!$C$48&gt;=0,(INT(($B371-MAX(SUMPRODUCT(MAX(($D$4:$D$810=$D371)*($B$4:$B$810&lt;$B371)*$B$4:$B$810)),'Guide &amp; Settings'!$C$50))/7-'Guide &amp; Settings'!$C$48)+1)*'Guide &amp; Settings'!$C$49,0)))</f>
        <v/>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IF($D372="","",IF(SUMPRODUCT(MAX(($D$4:$D$810=$D372)*($B$4:$B$810&lt;$B372)*$B$4:$B$810))=0,0,IF(($B372-MAX(SUMPRODUCT(MAX(($D$4:$D$810=$D372)*($B$4:$B$810&lt;$B372)*$B$4:$B$810)),'Guide &amp; Settings'!$C$50))/7-'Guide &amp; Settings'!$C$48&gt;=0,(INT(($B372-MAX(SUMPRODUCT(MAX(($D$4:$D$810=$D372)*($B$4:$B$810&lt;$B372)*$B$4:$B$810)),'Guide &amp; Settings'!$C$50))/7-'Guide &amp; Settings'!$C$48)+1)*'Guide &amp; Settings'!$C$49,0)))</f>
        <v/>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IF($D373="","",IF(SUMPRODUCT(MAX(($D$4:$D$810=$D373)*($B$4:$B$810&lt;$B373)*$B$4:$B$810))=0,0,IF(($B373-MAX(SUMPRODUCT(MAX(($D$4:$D$810=$D373)*($B$4:$B$810&lt;$B373)*$B$4:$B$810)),'Guide &amp; Settings'!$C$50))/7-'Guide &amp; Settings'!$C$48&gt;=0,(INT(($B373-MAX(SUMPRODUCT(MAX(($D$4:$D$810=$D373)*($B$4:$B$810&lt;$B373)*$B$4:$B$810)),'Guide &amp; Settings'!$C$50))/7-'Guide &amp; Settings'!$C$48)+1)*'Guide &amp; Settings'!$C$49,0)))</f>
        <v/>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IF($D374="","",IF(SUMPRODUCT(MAX(($D$4:$D$810=$D374)*($B$4:$B$810&lt;$B374)*$B$4:$B$810))=0,0,IF(($B374-MAX(SUMPRODUCT(MAX(($D$4:$D$810=$D374)*($B$4:$B$810&lt;$B374)*$B$4:$B$810)),'Guide &amp; Settings'!$C$50))/7-'Guide &amp; Settings'!$C$48&gt;=0,(INT(($B374-MAX(SUMPRODUCT(MAX(($D$4:$D$810=$D374)*($B$4:$B$810&lt;$B374)*$B$4:$B$810)),'Guide &amp; Settings'!$C$50))/7-'Guide &amp; Settings'!$C$48)+1)*'Guide &amp; Settings'!$C$49,0)))</f>
        <v/>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IF($D375="","",IF(SUMPRODUCT(MAX(($D$4:$D$810=$D375)*($B$4:$B$810&lt;$B375)*$B$4:$B$810))=0,0,IF(($B375-MAX(SUMPRODUCT(MAX(($D$4:$D$810=$D375)*($B$4:$B$810&lt;$B375)*$B$4:$B$810)),'Guide &amp; Settings'!$C$50))/7-'Guide &amp; Settings'!$C$48&gt;=0,(INT(($B375-MAX(SUMPRODUCT(MAX(($D$4:$D$810=$D375)*($B$4:$B$810&lt;$B375)*$B$4:$B$810)),'Guide &amp; Settings'!$C$50))/7-'Guide &amp; Settings'!$C$48)+1)*'Guide &amp; Settings'!$C$49,0)))</f>
        <v/>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IF($D376="","",IF(SUMPRODUCT(MAX(($D$4:$D$810=$D376)*($B$4:$B$810&lt;$B376)*$B$4:$B$810))=0,0,IF(($B376-MAX(SUMPRODUCT(MAX(($D$4:$D$810=$D376)*($B$4:$B$810&lt;$B376)*$B$4:$B$810)),'Guide &amp; Settings'!$C$50))/7-'Guide &amp; Settings'!$C$48&gt;=0,(INT(($B376-MAX(SUMPRODUCT(MAX(($D$4:$D$810=$D376)*($B$4:$B$810&lt;$B376)*$B$4:$B$810)),'Guide &amp; Settings'!$C$50))/7-'Guide &amp; Settings'!$C$48)+1)*'Guide &amp; Settings'!$C$49,0)))</f>
        <v/>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IF($D377="","",IF(SUMPRODUCT(MAX(($D$4:$D$810=$D377)*($B$4:$B$810&lt;$B377)*$B$4:$B$810))=0,0,IF(($B377-MAX(SUMPRODUCT(MAX(($D$4:$D$810=$D377)*($B$4:$B$810&lt;$B377)*$B$4:$B$810)),'Guide &amp; Settings'!$C$50))/7-'Guide &amp; Settings'!$C$48&gt;=0,(INT(($B377-MAX(SUMPRODUCT(MAX(($D$4:$D$810=$D377)*($B$4:$B$810&lt;$B377)*$B$4:$B$810)),'Guide &amp; Settings'!$C$50))/7-'Guide &amp; Settings'!$C$48)+1)*'Guide &amp; Settings'!$C$49,0)))</f>
        <v/>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IF($D378="","",IF(SUMPRODUCT(MAX(($D$4:$D$810=$D378)*($B$4:$B$810&lt;$B378)*$B$4:$B$810))=0,0,IF(($B378-MAX(SUMPRODUCT(MAX(($D$4:$D$810=$D378)*($B$4:$B$810&lt;$B378)*$B$4:$B$810)),'Guide &amp; Settings'!$C$50))/7-'Guide &amp; Settings'!$C$48&gt;=0,(INT(($B378-MAX(SUMPRODUCT(MAX(($D$4:$D$810=$D378)*($B$4:$B$810&lt;$B378)*$B$4:$B$810)),'Guide &amp; Settings'!$C$50))/7-'Guide &amp; Settings'!$C$48)+1)*'Guide &amp; Settings'!$C$49,0)))</f>
        <v/>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IF($D379="","",IF(SUMPRODUCT(MAX(($D$4:$D$810=$D379)*($B$4:$B$810&lt;$B379)*$B$4:$B$810))=0,0,IF(($B379-MAX(SUMPRODUCT(MAX(($D$4:$D$810=$D379)*($B$4:$B$810&lt;$B379)*$B$4:$B$810)),'Guide &amp; Settings'!$C$50))/7-'Guide &amp; Settings'!$C$48&gt;=0,(INT(($B379-MAX(SUMPRODUCT(MAX(($D$4:$D$810=$D379)*($B$4:$B$810&lt;$B379)*$B$4:$B$810)),'Guide &amp; Settings'!$C$50))/7-'Guide &amp; Settings'!$C$48)+1)*'Guide &amp; Settings'!$C$49,0)))</f>
        <v/>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IF($D380="","",IF(SUMPRODUCT(MAX(($D$4:$D$810=$D380)*($B$4:$B$810&lt;$B380)*$B$4:$B$810))=0,0,IF(($B380-MAX(SUMPRODUCT(MAX(($D$4:$D$810=$D380)*($B$4:$B$810&lt;$B380)*$B$4:$B$810)),'Guide &amp; Settings'!$C$50))/7-'Guide &amp; Settings'!$C$48&gt;=0,(INT(($B380-MAX(SUMPRODUCT(MAX(($D$4:$D$810=$D380)*($B$4:$B$810&lt;$B380)*$B$4:$B$810)),'Guide &amp; Settings'!$C$50))/7-'Guide &amp; Settings'!$C$48)+1)*'Guide &amp; Settings'!$C$49,0)))</f>
        <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IF($D381="","",IF(SUMPRODUCT(MAX(($D$4:$D$810=$D381)*($B$4:$B$810&lt;$B381)*$B$4:$B$810))=0,0,IF(($B381-MAX(SUMPRODUCT(MAX(($D$4:$D$810=$D381)*($B$4:$B$810&lt;$B381)*$B$4:$B$810)),'Guide &amp; Settings'!$C$50))/7-'Guide &amp; Settings'!$C$48&gt;=0,(INT(($B381-MAX(SUMPRODUCT(MAX(($D$4:$D$810=$D381)*($B$4:$B$810&lt;$B381)*$B$4:$B$810)),'Guide &amp; Settings'!$C$50))/7-'Guide &amp; Settings'!$C$48)+1)*'Guide &amp; Settings'!$C$49,0)))</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IF($D382="","",IF(SUMPRODUCT(MAX(($D$4:$D$810=$D382)*($B$4:$B$810&lt;$B382)*$B$4:$B$810))=0,0,IF(($B382-MAX(SUMPRODUCT(MAX(($D$4:$D$810=$D382)*($B$4:$B$810&lt;$B382)*$B$4:$B$810)),'Guide &amp; Settings'!$C$50))/7-'Guide &amp; Settings'!$C$48&gt;=0,(INT(($B382-MAX(SUMPRODUCT(MAX(($D$4:$D$810=$D382)*($B$4:$B$810&lt;$B382)*$B$4:$B$810)),'Guide &amp; Settings'!$C$50))/7-'Guide &amp; Settings'!$C$48)+1)*'Guide &amp; Settings'!$C$49,0)))</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IF($D383="","",IF(SUMPRODUCT(MAX(($D$4:$D$810=$D383)*($B$4:$B$810&lt;$B383)*$B$4:$B$810))=0,0,IF(($B383-MAX(SUMPRODUCT(MAX(($D$4:$D$810=$D383)*($B$4:$B$810&lt;$B383)*$B$4:$B$810)),'Guide &amp; Settings'!$C$50))/7-'Guide &amp; Settings'!$C$48&gt;=0,(INT(($B383-MAX(SUMPRODUCT(MAX(($D$4:$D$810=$D383)*($B$4:$B$810&lt;$B383)*$B$4:$B$810)),'Guide &amp; Settings'!$C$50))/7-'Guide &amp; Settings'!$C$48)+1)*'Guide &amp; Settings'!$C$49,0)))</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IF($D384="","",IF(SUMPRODUCT(MAX(($D$4:$D$810=$D384)*($B$4:$B$810&lt;$B384)*$B$4:$B$810))=0,0,IF(($B384-MAX(SUMPRODUCT(MAX(($D$4:$D$810=$D384)*($B$4:$B$810&lt;$B384)*$B$4:$B$810)),'Guide &amp; Settings'!$C$50))/7-'Guide &amp; Settings'!$C$48&gt;=0,(INT(($B384-MAX(SUMPRODUCT(MAX(($D$4:$D$810=$D384)*($B$4:$B$810&lt;$B384)*$B$4:$B$810)),'Guide &amp; Settings'!$C$50))/7-'Guide &amp; Settings'!$C$48)+1)*'Guide &amp; Settings'!$C$49,0)))</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IF($D385="","",IF(SUMPRODUCT(MAX(($D$4:$D$810=$D385)*($B$4:$B$810&lt;$B385)*$B$4:$B$810))=0,0,IF(($B385-MAX(SUMPRODUCT(MAX(($D$4:$D$810=$D385)*($B$4:$B$810&lt;$B385)*$B$4:$B$810)),'Guide &amp; Settings'!$C$50))/7-'Guide &amp; Settings'!$C$48&gt;=0,(INT(($B385-MAX(SUMPRODUCT(MAX(($D$4:$D$810=$D385)*($B$4:$B$810&lt;$B385)*$B$4:$B$810)),'Guide &amp; Settings'!$C$50))/7-'Guide &amp; Settings'!$C$48)+1)*'Guide &amp; Settings'!$C$49,0)))</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IF($D386="","",IF(SUMPRODUCT(MAX(($D$4:$D$810=$D386)*($B$4:$B$810&lt;$B386)*$B$4:$B$810))=0,0,IF(($B386-MAX(SUMPRODUCT(MAX(($D$4:$D$810=$D386)*($B$4:$B$810&lt;$B386)*$B$4:$B$810)),'Guide &amp; Settings'!$C$50))/7-'Guide &amp; Settings'!$C$48&gt;=0,(INT(($B386-MAX(SUMPRODUCT(MAX(($D$4:$D$810=$D386)*($B$4:$B$810&lt;$B386)*$B$4:$B$810)),'Guide &amp; Settings'!$C$50))/7-'Guide &amp; Settings'!$C$48)+1)*'Guide &amp; Settings'!$C$49,0)))</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IF($D387="","",IF(SUMPRODUCT(MAX(($D$4:$D$810=$D387)*($B$4:$B$810&lt;$B387)*$B$4:$B$810))=0,0,IF(($B387-MAX(SUMPRODUCT(MAX(($D$4:$D$810=$D387)*($B$4:$B$810&lt;$B387)*$B$4:$B$810)),'Guide &amp; Settings'!$C$50))/7-'Guide &amp; Settings'!$C$48&gt;=0,(INT(($B387-MAX(SUMPRODUCT(MAX(($D$4:$D$810=$D387)*($B$4:$B$810&lt;$B387)*$B$4:$B$810)),'Guide &amp; Settings'!$C$50))/7-'Guide &amp; Settings'!$C$48)+1)*'Guide &amp; Settings'!$C$49,0)))</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IF($D388="","",IF(SUMPRODUCT(MAX(($D$4:$D$810=$D388)*($B$4:$B$810&lt;$B388)*$B$4:$B$810))=0,0,IF(($B388-MAX(SUMPRODUCT(MAX(($D$4:$D$810=$D388)*($B$4:$B$810&lt;$B388)*$B$4:$B$810)),'Guide &amp; Settings'!$C$50))/7-'Guide &amp; Settings'!$C$48&gt;=0,(INT(($B388-MAX(SUMPRODUCT(MAX(($D$4:$D$810=$D388)*($B$4:$B$810&lt;$B388)*$B$4:$B$810)),'Guide &amp; Settings'!$C$50))/7-'Guide &amp; Settings'!$C$48)+1)*'Guide &amp; Settings'!$C$49,0)))</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IF($D389="","",IF(SUMPRODUCT(MAX(($D$4:$D$810=$D389)*($B$4:$B$810&lt;$B389)*$B$4:$B$810))=0,0,IF(($B389-MAX(SUMPRODUCT(MAX(($D$4:$D$810=$D389)*($B$4:$B$810&lt;$B389)*$B$4:$B$810)),'Guide &amp; Settings'!$C$50))/7-'Guide &amp; Settings'!$C$48&gt;=0,(INT(($B389-MAX(SUMPRODUCT(MAX(($D$4:$D$810=$D389)*($B$4:$B$810&lt;$B389)*$B$4:$B$810)),'Guide &amp; Settings'!$C$50))/7-'Guide &amp; Settings'!$C$48)+1)*'Guide &amp; Settings'!$C$49,0)))</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IF($D390="","",IF(SUMPRODUCT(MAX(($D$4:$D$810=$D390)*($B$4:$B$810&lt;$B390)*$B$4:$B$810))=0,0,IF(($B390-MAX(SUMPRODUCT(MAX(($D$4:$D$810=$D390)*($B$4:$B$810&lt;$B390)*$B$4:$B$810)),'Guide &amp; Settings'!$C$50))/7-'Guide &amp; Settings'!$C$48&gt;=0,(INT(($B390-MAX(SUMPRODUCT(MAX(($D$4:$D$810=$D390)*($B$4:$B$810&lt;$B390)*$B$4:$B$810)),'Guide &amp; Settings'!$C$50))/7-'Guide &amp; Settings'!$C$48)+1)*'Guide &amp; Settings'!$C$49,0)))</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IF($D391="","",IF(SUMPRODUCT(MAX(($D$4:$D$810=$D391)*($B$4:$B$810&lt;$B391)*$B$4:$B$810))=0,0,IF(($B391-MAX(SUMPRODUCT(MAX(($D$4:$D$810=$D391)*($B$4:$B$810&lt;$B391)*$B$4:$B$810)),'Guide &amp; Settings'!$C$50))/7-'Guide &amp; Settings'!$C$48&gt;=0,(INT(($B391-MAX(SUMPRODUCT(MAX(($D$4:$D$810=$D391)*($B$4:$B$810&lt;$B391)*$B$4:$B$810)),'Guide &amp; Settings'!$C$50))/7-'Guide &amp; Settings'!$C$48)+1)*'Guide &amp; Settings'!$C$49,0)))</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IF($D392="","",IF(SUMPRODUCT(MAX(($D$4:$D$810=$D392)*($B$4:$B$810&lt;$B392)*$B$4:$B$810))=0,0,IF(($B392-MAX(SUMPRODUCT(MAX(($D$4:$D$810=$D392)*($B$4:$B$810&lt;$B392)*$B$4:$B$810)),'Guide &amp; Settings'!$C$50))/7-'Guide &amp; Settings'!$C$48&gt;=0,(INT(($B392-MAX(SUMPRODUCT(MAX(($D$4:$D$810=$D392)*($B$4:$B$810&lt;$B392)*$B$4:$B$810)),'Guide &amp; Settings'!$C$50))/7-'Guide &amp; Settings'!$C$48)+1)*'Guide &amp; Settings'!$C$49,0)))</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IF($D393="","",IF(SUMPRODUCT(MAX(($D$4:$D$810=$D393)*($B$4:$B$810&lt;$B393)*$B$4:$B$810))=0,0,IF(($B393-MAX(SUMPRODUCT(MAX(($D$4:$D$810=$D393)*($B$4:$B$810&lt;$B393)*$B$4:$B$810)),'Guide &amp; Settings'!$C$50))/7-'Guide &amp; Settings'!$C$48&gt;=0,(INT(($B393-MAX(SUMPRODUCT(MAX(($D$4:$D$810=$D393)*($B$4:$B$810&lt;$B393)*$B$4:$B$810)),'Guide &amp; Settings'!$C$50))/7-'Guide &amp; Settings'!$C$48)+1)*'Guide &amp; Settings'!$C$49,0)))</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IF($D394="","",IF(SUMPRODUCT(MAX(($D$4:$D$810=$D394)*($B$4:$B$810&lt;$B394)*$B$4:$B$810))=0,0,IF(($B394-MAX(SUMPRODUCT(MAX(($D$4:$D$810=$D394)*($B$4:$B$810&lt;$B394)*$B$4:$B$810)),'Guide &amp; Settings'!$C$50))/7-'Guide &amp; Settings'!$C$48&gt;=0,(INT(($B394-MAX(SUMPRODUCT(MAX(($D$4:$D$810=$D394)*($B$4:$B$810&lt;$B394)*$B$4:$B$810)),'Guide &amp; Settings'!$C$50))/7-'Guide &amp; Settings'!$C$48)+1)*'Guide &amp; Settings'!$C$49,0)))</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IF($D395="","",IF(SUMPRODUCT(MAX(($D$4:$D$810=$D395)*($B$4:$B$810&lt;$B395)*$B$4:$B$810))=0,0,IF(($B395-MAX(SUMPRODUCT(MAX(($D$4:$D$810=$D395)*($B$4:$B$810&lt;$B395)*$B$4:$B$810)),'Guide &amp; Settings'!$C$50))/7-'Guide &amp; Settings'!$C$48&gt;=0,(INT(($B395-MAX(SUMPRODUCT(MAX(($D$4:$D$810=$D395)*($B$4:$B$810&lt;$B395)*$B$4:$B$810)),'Guide &amp; Settings'!$C$50))/7-'Guide &amp; Settings'!$C$48)+1)*'Guide &amp; Settings'!$C$49,0)))</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IF($D396="","",IF(SUMPRODUCT(MAX(($D$4:$D$810=$D396)*($B$4:$B$810&lt;$B396)*$B$4:$B$810))=0,0,IF(($B396-MAX(SUMPRODUCT(MAX(($D$4:$D$810=$D396)*($B$4:$B$810&lt;$B396)*$B$4:$B$810)),'Guide &amp; Settings'!$C$50))/7-'Guide &amp; Settings'!$C$48&gt;=0,(INT(($B396-MAX(SUMPRODUCT(MAX(($D$4:$D$810=$D396)*($B$4:$B$810&lt;$B396)*$B$4:$B$810)),'Guide &amp; Settings'!$C$50))/7-'Guide &amp; Settings'!$C$48)+1)*'Guide &amp; Settings'!$C$49,0)))</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IF($D397="","",IF(SUMPRODUCT(MAX(($D$4:$D$810=$D397)*($B$4:$B$810&lt;$B397)*$B$4:$B$810))=0,0,IF(($B397-MAX(SUMPRODUCT(MAX(($D$4:$D$810=$D397)*($B$4:$B$810&lt;$B397)*$B$4:$B$810)),'Guide &amp; Settings'!$C$50))/7-'Guide &amp; Settings'!$C$48&gt;=0,(INT(($B397-MAX(SUMPRODUCT(MAX(($D$4:$D$810=$D397)*($B$4:$B$810&lt;$B397)*$B$4:$B$810)),'Guide &amp; Settings'!$C$50))/7-'Guide &amp; Settings'!$C$48)+1)*'Guide &amp; Settings'!$C$49,0)))</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IF($D398="","",IF(SUMPRODUCT(MAX(($D$4:$D$810=$D398)*($B$4:$B$810&lt;$B398)*$B$4:$B$810))=0,0,IF(($B398-MAX(SUMPRODUCT(MAX(($D$4:$D$810=$D398)*($B$4:$B$810&lt;$B398)*$B$4:$B$810)),'Guide &amp; Settings'!$C$50))/7-'Guide &amp; Settings'!$C$48&gt;=0,(INT(($B398-MAX(SUMPRODUCT(MAX(($D$4:$D$810=$D398)*($B$4:$B$810&lt;$B398)*$B$4:$B$810)),'Guide &amp; Settings'!$C$50))/7-'Guide &amp; Settings'!$C$48)+1)*'Guide &amp; Settings'!$C$49,0)))</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IF($D399="","",IF(SUMPRODUCT(MAX(($D$4:$D$810=$D399)*($B$4:$B$810&lt;$B399)*$B$4:$B$810))=0,0,IF(($B399-MAX(SUMPRODUCT(MAX(($D$4:$D$810=$D399)*($B$4:$B$810&lt;$B399)*$B$4:$B$810)),'Guide &amp; Settings'!$C$50))/7-'Guide &amp; Settings'!$C$48&gt;=0,(INT(($B399-MAX(SUMPRODUCT(MAX(($D$4:$D$810=$D399)*($B$4:$B$810&lt;$B399)*$B$4:$B$810)),'Guide &amp; Settings'!$C$50))/7-'Guide &amp; Settings'!$C$48)+1)*'Guide &amp; Settings'!$C$49,0)))</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IF($D400="","",IF(SUMPRODUCT(MAX(($D$4:$D$810=$D400)*($B$4:$B$810&lt;$B400)*$B$4:$B$810))=0,0,IF(($B400-MAX(SUMPRODUCT(MAX(($D$4:$D$810=$D400)*($B$4:$B$810&lt;$B400)*$B$4:$B$810)),'Guide &amp; Settings'!$C$50))/7-'Guide &amp; Settings'!$C$48&gt;=0,(INT(($B400-MAX(SUMPRODUCT(MAX(($D$4:$D$810=$D400)*($B$4:$B$810&lt;$B400)*$B$4:$B$810)),'Guide &amp; Settings'!$C$50))/7-'Guide &amp; Settings'!$C$48)+1)*'Guide &amp; Settings'!$C$49,0)))</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IF($D401="","",IF(SUMPRODUCT(MAX(($D$4:$D$810=$D401)*($B$4:$B$810&lt;$B401)*$B$4:$B$810))=0,0,IF(($B401-MAX(SUMPRODUCT(MAX(($D$4:$D$810=$D401)*($B$4:$B$810&lt;$B401)*$B$4:$B$810)),'Guide &amp; Settings'!$C$50))/7-'Guide &amp; Settings'!$C$48&gt;=0,(INT(($B401-MAX(SUMPRODUCT(MAX(($D$4:$D$810=$D401)*($B$4:$B$810&lt;$B401)*$B$4:$B$810)),'Guide &amp; Settings'!$C$50))/7-'Guide &amp; Settings'!$C$48)+1)*'Guide &amp; Settings'!$C$49,0)))</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IF($D402="","",IF(SUMPRODUCT(MAX(($D$4:$D$810=$D402)*($B$4:$B$810&lt;$B402)*$B$4:$B$810))=0,0,IF(($B402-MAX(SUMPRODUCT(MAX(($D$4:$D$810=$D402)*($B$4:$B$810&lt;$B402)*$B$4:$B$810)),'Guide &amp; Settings'!$C$50))/7-'Guide &amp; Settings'!$C$48&gt;=0,(INT(($B402-MAX(SUMPRODUCT(MAX(($D$4:$D$810=$D402)*($B$4:$B$810&lt;$B402)*$B$4:$B$810)),'Guide &amp; Settings'!$C$50))/7-'Guide &amp; Settings'!$C$48)+1)*'Guide &amp; Settings'!$C$49,0)))</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IF($D403="","",IF(SUMPRODUCT(MAX(($D$4:$D$810=$D403)*($B$4:$B$810&lt;$B403)*$B$4:$B$810))=0,0,IF(($B403-MAX(SUMPRODUCT(MAX(($D$4:$D$810=$D403)*($B$4:$B$810&lt;$B403)*$B$4:$B$810)),'Guide &amp; Settings'!$C$50))/7-'Guide &amp; Settings'!$C$48&gt;=0,(INT(($B403-MAX(SUMPRODUCT(MAX(($D$4:$D$810=$D403)*($B$4:$B$810&lt;$B403)*$B$4:$B$810)),'Guide &amp; Settings'!$C$50))/7-'Guide &amp; Settings'!$C$48)+1)*'Guide &amp; Settings'!$C$49,0)))</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IF($D404="","",IF(SUMPRODUCT(MAX(($D$4:$D$810=$D404)*($B$4:$B$810&lt;$B404)*$B$4:$B$810))=0,0,IF(($B404-MAX(SUMPRODUCT(MAX(($D$4:$D$810=$D404)*($B$4:$B$810&lt;$B404)*$B$4:$B$810)),'Guide &amp; Settings'!$C$50))/7-'Guide &amp; Settings'!$C$48&gt;=0,(INT(($B404-MAX(SUMPRODUCT(MAX(($D$4:$D$810=$D404)*($B$4:$B$810&lt;$B404)*$B$4:$B$810)),'Guide &amp; Settings'!$C$50))/7-'Guide &amp; Settings'!$C$48)+1)*'Guide &amp; Settings'!$C$49,0)))</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IF($D405="","",IF(SUMPRODUCT(MAX(($D$4:$D$810=$D405)*($B$4:$B$810&lt;$B405)*$B$4:$B$810))=0,0,IF(($B405-MAX(SUMPRODUCT(MAX(($D$4:$D$810=$D405)*($B$4:$B$810&lt;$B405)*$B$4:$B$810)),'Guide &amp; Settings'!$C$50))/7-'Guide &amp; Settings'!$C$48&gt;=0,(INT(($B405-MAX(SUMPRODUCT(MAX(($D$4:$D$810=$D405)*($B$4:$B$810&lt;$B405)*$B$4:$B$810)),'Guide &amp; Settings'!$C$50))/7-'Guide &amp; Settings'!$C$48)+1)*'Guide &amp; Settings'!$C$49,0)))</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IF($D406="","",IF(SUMPRODUCT(MAX(($D$4:$D$810=$D406)*($B$4:$B$810&lt;$B406)*$B$4:$B$810))=0,0,IF(($B406-MAX(SUMPRODUCT(MAX(($D$4:$D$810=$D406)*($B$4:$B$810&lt;$B406)*$B$4:$B$810)),'Guide &amp; Settings'!$C$50))/7-'Guide &amp; Settings'!$C$48&gt;=0,(INT(($B406-MAX(SUMPRODUCT(MAX(($D$4:$D$810=$D406)*($B$4:$B$810&lt;$B406)*$B$4:$B$810)),'Guide &amp; Settings'!$C$50))/7-'Guide &amp; Settings'!$C$48)+1)*'Guide &amp; Settings'!$C$49,0)))</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IF($D407="","",IF(SUMPRODUCT(MAX(($D$4:$D$810=$D407)*($B$4:$B$810&lt;$B407)*$B$4:$B$810))=0,0,IF(($B407-MAX(SUMPRODUCT(MAX(($D$4:$D$810=$D407)*($B$4:$B$810&lt;$B407)*$B$4:$B$810)),'Guide &amp; Settings'!$C$50))/7-'Guide &amp; Settings'!$C$48&gt;=0,(INT(($B407-MAX(SUMPRODUCT(MAX(($D$4:$D$810=$D407)*($B$4:$B$810&lt;$B407)*$B$4:$B$810)),'Guide &amp; Settings'!$C$50))/7-'Guide &amp; Settings'!$C$48)+1)*'Guide &amp; Settings'!$C$49,0)))</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IF($D408="","",IF(SUMPRODUCT(MAX(($D$4:$D$810=$D408)*($B$4:$B$810&lt;$B408)*$B$4:$B$810))=0,0,IF(($B408-MAX(SUMPRODUCT(MAX(($D$4:$D$810=$D408)*($B$4:$B$810&lt;$B408)*$B$4:$B$810)),'Guide &amp; Settings'!$C$50))/7-'Guide &amp; Settings'!$C$48&gt;=0,(INT(($B408-MAX(SUMPRODUCT(MAX(($D$4:$D$810=$D408)*($B$4:$B$810&lt;$B408)*$B$4:$B$810)),'Guide &amp; Settings'!$C$50))/7-'Guide &amp; Settings'!$C$48)+1)*'Guide &amp; Settings'!$C$49,0)))</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IF($D409="","",IF(SUMPRODUCT(MAX(($D$4:$D$810=$D409)*($B$4:$B$810&lt;$B409)*$B$4:$B$810))=0,0,IF(($B409-MAX(SUMPRODUCT(MAX(($D$4:$D$810=$D409)*($B$4:$B$810&lt;$B409)*$B$4:$B$810)),'Guide &amp; Settings'!$C$50))/7-'Guide &amp; Settings'!$C$48&gt;=0,(INT(($B409-MAX(SUMPRODUCT(MAX(($D$4:$D$810=$D409)*($B$4:$B$810&lt;$B409)*$B$4:$B$810)),'Guide &amp; Settings'!$C$50))/7-'Guide &amp; Settings'!$C$48)+1)*'Guide &amp; Settings'!$C$49,0)))</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IF($D410="","",IF(SUMPRODUCT(MAX(($D$4:$D$810=$D410)*($B$4:$B$810&lt;$B410)*$B$4:$B$810))=0,0,IF(($B410-MAX(SUMPRODUCT(MAX(($D$4:$D$810=$D410)*($B$4:$B$810&lt;$B410)*$B$4:$B$810)),'Guide &amp; Settings'!$C$50))/7-'Guide &amp; Settings'!$C$48&gt;=0,(INT(($B410-MAX(SUMPRODUCT(MAX(($D$4:$D$810=$D410)*($B$4:$B$810&lt;$B410)*$B$4:$B$810)),'Guide &amp; Settings'!$C$50))/7-'Guide &amp; Settings'!$C$48)+1)*'Guide &amp; Settings'!$C$49,0)))</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IF($D411="","",IF(SUMPRODUCT(MAX(($D$4:$D$810=$D411)*($B$4:$B$810&lt;$B411)*$B$4:$B$810))=0,0,IF(($B411-MAX(SUMPRODUCT(MAX(($D$4:$D$810=$D411)*($B$4:$B$810&lt;$B411)*$B$4:$B$810)),'Guide &amp; Settings'!$C$50))/7-'Guide &amp; Settings'!$C$48&gt;=0,(INT(($B411-MAX(SUMPRODUCT(MAX(($D$4:$D$810=$D411)*($B$4:$B$810&lt;$B411)*$B$4:$B$810)),'Guide &amp; Settings'!$C$50))/7-'Guide &amp; Settings'!$C$48)+1)*'Guide &amp; Settings'!$C$49,0)))</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IF($D412="","",IF(SUMPRODUCT(MAX(($D$4:$D$810=$D412)*($B$4:$B$810&lt;$B412)*$B$4:$B$810))=0,0,IF(($B412-MAX(SUMPRODUCT(MAX(($D$4:$D$810=$D412)*($B$4:$B$810&lt;$B412)*$B$4:$B$810)),'Guide &amp; Settings'!$C$50))/7-'Guide &amp; Settings'!$C$48&gt;=0,(INT(($B412-MAX(SUMPRODUCT(MAX(($D$4:$D$810=$D412)*($B$4:$B$810&lt;$B412)*$B$4:$B$810)),'Guide &amp; Settings'!$C$50))/7-'Guide &amp; Settings'!$C$48)+1)*'Guide &amp; Settings'!$C$49,0)))</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IF($D413="","",IF(SUMPRODUCT(MAX(($D$4:$D$810=$D413)*($B$4:$B$810&lt;$B413)*$B$4:$B$810))=0,0,IF(($B413-MAX(SUMPRODUCT(MAX(($D$4:$D$810=$D413)*($B$4:$B$810&lt;$B413)*$B$4:$B$810)),'Guide &amp; Settings'!$C$50))/7-'Guide &amp; Settings'!$C$48&gt;=0,(INT(($B413-MAX(SUMPRODUCT(MAX(($D$4:$D$810=$D413)*($B$4:$B$810&lt;$B413)*$B$4:$B$810)),'Guide &amp; Settings'!$C$50))/7-'Guide &amp; Settings'!$C$48)+1)*'Guide &amp; Settings'!$C$49,0)))</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IF($D414="","",IF(SUMPRODUCT(MAX(($D$4:$D$810=$D414)*($B$4:$B$810&lt;$B414)*$B$4:$B$810))=0,0,IF(($B414-MAX(SUMPRODUCT(MAX(($D$4:$D$810=$D414)*($B$4:$B$810&lt;$B414)*$B$4:$B$810)),'Guide &amp; Settings'!$C$50))/7-'Guide &amp; Settings'!$C$48&gt;=0,(INT(($B414-MAX(SUMPRODUCT(MAX(($D$4:$D$810=$D414)*($B$4:$B$810&lt;$B414)*$B$4:$B$810)),'Guide &amp; Settings'!$C$50))/7-'Guide &amp; Settings'!$C$48)+1)*'Guide &amp; Settings'!$C$49,0)))</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IF($D415="","",IF(SUMPRODUCT(MAX(($D$4:$D$810=$D415)*($B$4:$B$810&lt;$B415)*$B$4:$B$810))=0,0,IF(($B415-MAX(SUMPRODUCT(MAX(($D$4:$D$810=$D415)*($B$4:$B$810&lt;$B415)*$B$4:$B$810)),'Guide &amp; Settings'!$C$50))/7-'Guide &amp; Settings'!$C$48&gt;=0,(INT(($B415-MAX(SUMPRODUCT(MAX(($D$4:$D$810=$D415)*($B$4:$B$810&lt;$B415)*$B$4:$B$810)),'Guide &amp; Settings'!$C$50))/7-'Guide &amp; Settings'!$C$48)+1)*'Guide &amp; Settings'!$C$49,0)))</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IF($D416="","",IF(SUMPRODUCT(MAX(($D$4:$D$810=$D416)*($B$4:$B$810&lt;$B416)*$B$4:$B$810))=0,0,IF(($B416-MAX(SUMPRODUCT(MAX(($D$4:$D$810=$D416)*($B$4:$B$810&lt;$B416)*$B$4:$B$810)),'Guide &amp; Settings'!$C$50))/7-'Guide &amp; Settings'!$C$48&gt;=0,(INT(($B416-MAX(SUMPRODUCT(MAX(($D$4:$D$810=$D416)*($B$4:$B$810&lt;$B416)*$B$4:$B$810)),'Guide &amp; Settings'!$C$50))/7-'Guide &amp; Settings'!$C$48)+1)*'Guide &amp; Settings'!$C$49,0)))</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IF($D417="","",IF(SUMPRODUCT(MAX(($D$4:$D$810=$D417)*($B$4:$B$810&lt;$B417)*$B$4:$B$810))=0,0,IF(($B417-MAX(SUMPRODUCT(MAX(($D$4:$D$810=$D417)*($B$4:$B$810&lt;$B417)*$B$4:$B$810)),'Guide &amp; Settings'!$C$50))/7-'Guide &amp; Settings'!$C$48&gt;=0,(INT(($B417-MAX(SUMPRODUCT(MAX(($D$4:$D$810=$D417)*($B$4:$B$810&lt;$B417)*$B$4:$B$810)),'Guide &amp; Settings'!$C$50))/7-'Guide &amp; Settings'!$C$48)+1)*'Guide &amp; Settings'!$C$49,0)))</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IF($D418="","",IF(SUMPRODUCT(MAX(($D$4:$D$810=$D418)*($B$4:$B$810&lt;$B418)*$B$4:$B$810))=0,0,IF(($B418-MAX(SUMPRODUCT(MAX(($D$4:$D$810=$D418)*($B$4:$B$810&lt;$B418)*$B$4:$B$810)),'Guide &amp; Settings'!$C$50))/7-'Guide &amp; Settings'!$C$48&gt;=0,(INT(($B418-MAX(SUMPRODUCT(MAX(($D$4:$D$810=$D418)*($B$4:$B$810&lt;$B418)*$B$4:$B$810)),'Guide &amp; Settings'!$C$50))/7-'Guide &amp; Settings'!$C$48)+1)*'Guide &amp; Settings'!$C$49,0)))</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IF($D419="","",IF(SUMPRODUCT(MAX(($D$4:$D$810=$D419)*($B$4:$B$810&lt;$B419)*$B$4:$B$810))=0,0,IF(($B419-MAX(SUMPRODUCT(MAX(($D$4:$D$810=$D419)*($B$4:$B$810&lt;$B419)*$B$4:$B$810)),'Guide &amp; Settings'!$C$50))/7-'Guide &amp; Settings'!$C$48&gt;=0,(INT(($B419-MAX(SUMPRODUCT(MAX(($D$4:$D$810=$D419)*($B$4:$B$810&lt;$B419)*$B$4:$B$810)),'Guide &amp; Settings'!$C$50))/7-'Guide &amp; Settings'!$C$48)+1)*'Guide &amp; Settings'!$C$49,0)))</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46208</v>
      </c>
    </row>
    <row r="4" spans="1:35" ht="15" customHeight="1" x14ac:dyDescent="0.2">
      <c r="A4" t="s">
        <v>330</v>
      </c>
      <c r="B4" s="127">
        <f>MAX('Match Log'!$B$4:$B$810)</f>
        <v>46215</v>
      </c>
      <c r="C4" t="s">
        <v>450</v>
      </c>
      <c r="D4" s="127">
        <f ca="1">MAX($B$4,TODAY())</f>
        <v>46216</v>
      </c>
    </row>
    <row r="5" spans="1:35" x14ac:dyDescent="0.2">
      <c r="B5">
        <f ca="1">TODAY()-7</f>
        <v>46209</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1081.2612004587625</v>
      </c>
      <c r="D7">
        <f t="shared" ref="D7:D20" si="0">RANK($B7,$B$7:$B$20)</f>
        <v>8</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1112.2862350502705</v>
      </c>
      <c r="K7">
        <f t="shared" ref="K7:K20" si="3">RANK($J7,$J$7:$J$20)</f>
        <v>3</v>
      </c>
      <c r="L7">
        <f t="shared" ref="L7:L20" si="4">$K7-$D7</f>
        <v>-5</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ca="1" si="8">IF($P7=0,"",($D$4-$P7)/7)</f>
        <v>0.2857142857142857</v>
      </c>
      <c r="R7">
        <f ca="1">IF($P7=0,0,IF($Q7&gt;='Guide &amp; Settings'!$C$48,(INT($Q7-'Guide &amp; Settings'!$C$48)+1)*'Guide &amp; Settings'!$C$49,0))</f>
        <v>0</v>
      </c>
      <c r="S7">
        <f ca="1">$B7-$R7-$U7+SUMIF('Poker Stake Ledger'!$C$18:$C$137,$A7,'Poker Stake Ledger'!$K$18:$K$137)</f>
        <v>1040.1422573837137</v>
      </c>
      <c r="T7" t="str">
        <f ca="1">IF($P7=0,"No games",IF($Q7&gt;='Guide &amp; Settings'!$C$48,"Inactive",IF($Q7&gt;='Guide &amp; Settings'!$C$47,"At risk","Active")))</f>
        <v>Active</v>
      </c>
      <c r="U7">
        <f>SUMIF('Match Log'!$D$4:$D$810,$A7,'Match Log'!$AC$4:$AC$810)</f>
        <v>0</v>
      </c>
      <c r="V7">
        <f t="shared" ref="V7:V20" si="9">IF($F7="Loss",$G7,0)</f>
        <v>3</v>
      </c>
      <c r="W7">
        <f t="shared" ref="W7:W20" ca="1" si="10">MAX(0,MIN(100,50+($S7-1000)/4))</f>
        <v>60.035564345928435</v>
      </c>
      <c r="X7">
        <f ca="1">IFERROR(INDEX(Dashboard!$G$5:$G$18,MATCH($A7,Dashboard!$B$5:$B$18,0))*100,0)</f>
        <v>52.173913043478258</v>
      </c>
      <c r="Y7">
        <f ca="1">MIN(100,IFERROR(INDEX(Dashboard!$K$5:$K$18,MATCH($A7,Dashboard!$B$5:$B$18,0)),0)/5*50+$AC7/4*50)</f>
        <v>100</v>
      </c>
      <c r="Z7">
        <f t="shared" ref="Z7:Z20" si="11">IFERROR($N7/LEN($I7)*100,0)</f>
        <v>40</v>
      </c>
      <c r="AA7">
        <f t="shared" ref="AA7:AA20" si="12">IF($C7="",0,MAX(0,MIN(100,50+($C7-1000)/4)))</f>
        <v>70.315300114690615</v>
      </c>
      <c r="AB7">
        <f t="shared" ref="AB7:AB20" ca="1" si="13">0.35*$W7+0.2*$X7+0.2*$Y7+0.15*$Z7+0.1*$AA7</f>
        <v>64.478760141239661</v>
      </c>
      <c r="AC7">
        <f>IFERROR(SUMPRODUCT((INDEX('Sport Records'!$B$8:$O$26,0,MATCH($A7,'Sport Records'!$B$7:$O$7,0))&gt;=2)*(INDEX('Sport Records'!$B$58:$O$76,0,MATCH($A7,'Sport Records'!$B$57:$O$57,0))&gt;=0.5)),0)</f>
        <v>5</v>
      </c>
      <c r="AD7">
        <f ca="1">IFERROR(INDEX(Dashboard!$D$5:$D$18,MATCH($A7,Dashboard!$B$5:$B$18,0)),0)</f>
        <v>46</v>
      </c>
      <c r="AE7">
        <f ca="1">IFERROR(INDEX(Dashboard!$K$5:$K$18,MATCH($A7,Dashboard!$B$5:$B$18,0)),0)</f>
        <v>10</v>
      </c>
      <c r="AF7" t="str">
        <f t="shared" ref="AF7:AF20" ca="1"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ca="1" si="15">IF(ISNUMBER($S7),$S7,-1000000)+ROW()/10000000</f>
        <v>1040.1422580837138</v>
      </c>
    </row>
    <row r="8" spans="1:35" ht="15" customHeight="1" x14ac:dyDescent="0.2">
      <c r="A8" t="s">
        <v>135</v>
      </c>
      <c r="B8">
        <f>IFERROR(INDEX(Engine!$B$2:$B$15,MATCH($A8,Engine!$A$2:$A$15,0)),1000)</f>
        <v>1029.5175965335138</v>
      </c>
      <c r="C8">
        <f>IFERROR(INDEX(Engine!$C$2:$C$15,MATCH($A8,Engine!$A$2:$A$15,0)),"")</f>
        <v>1059.6390822823084</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4</v>
      </c>
      <c r="R8">
        <f ca="1">IF($P8=0,0,IF($Q8&gt;='Guide &amp; Settings'!$C$48,(INT($Q8-'Guide &amp; Settings'!$C$48)+1)*'Guide &amp; Settings'!$C$49,0))</f>
        <v>10</v>
      </c>
      <c r="S8">
        <f ca="1">$B8-$R8-$U8+SUMIF('Poker Stake Ledger'!$C$18:$C$137,$A8,'Poker Stake Ledger'!$K$18:$K$137)</f>
        <v>1019.5175965335138</v>
      </c>
      <c r="T8" t="str">
        <f ca="1">IF($P8=0,"No games",IF($Q8&gt;='Guide &amp; Settings'!$C$48,"Inactive",IF($Q8&gt;='Guide &amp; Settings'!$C$47,"At risk","Active")))</f>
        <v>Inactive</v>
      </c>
      <c r="U8">
        <f>SUMIF('Match Log'!$D$4:$D$810,$A8,'Match Log'!$AC$4:$AC$810)</f>
        <v>0</v>
      </c>
      <c r="V8">
        <f t="shared" si="9"/>
        <v>2</v>
      </c>
      <c r="W8">
        <f t="shared" ca="1" si="10"/>
        <v>54.879399133378456</v>
      </c>
      <c r="X8">
        <f ca="1">IFERROR(INDEX(Dashboard!$G$5:$G$18,MATCH($A8,Dashboard!$B$5:$B$18,0))*100,0)</f>
        <v>50</v>
      </c>
      <c r="Y8">
        <f ca="1">MIN(100,IFERROR(INDEX(Dashboard!$K$5:$K$18,MATCH($A8,Dashboard!$B$5:$B$18,0)),0)/5*50+$AC8/4*50)</f>
        <v>42.5</v>
      </c>
      <c r="Z8">
        <f t="shared" si="11"/>
        <v>40</v>
      </c>
      <c r="AA8">
        <f t="shared" si="12"/>
        <v>64.909770570577109</v>
      </c>
      <c r="AB8">
        <f t="shared" ca="1" si="13"/>
        <v>50.198766753740166</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1019.5175973335138</v>
      </c>
    </row>
    <row r="9" spans="1:35" ht="15" customHeight="1" x14ac:dyDescent="0.2">
      <c r="A9" t="s">
        <v>173</v>
      </c>
      <c r="B9">
        <f>IFERROR(INDEX(Engine!$B$2:$B$15,MATCH($A9,Engine!$A$2:$A$15,0)),1000)</f>
        <v>1041.9075825481382</v>
      </c>
      <c r="C9">
        <f>IFERROR(INDEX(Engine!$C$2:$C$15,MATCH($A9,Engine!$A$2:$A$15,0)),"")</f>
        <v>1034.8894485676019</v>
      </c>
      <c r="D9">
        <f t="shared" si="0"/>
        <v>7</v>
      </c>
      <c r="E9">
        <f t="shared" si="1"/>
        <v>199.79535377691514</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1016.7841648959289</v>
      </c>
      <c r="K9">
        <f t="shared" si="3"/>
        <v>10</v>
      </c>
      <c r="L9">
        <f t="shared" si="4"/>
        <v>3</v>
      </c>
      <c r="M9">
        <f t="shared" si="5"/>
        <v>0</v>
      </c>
      <c r="N9">
        <f t="shared" si="6"/>
        <v>2</v>
      </c>
      <c r="O9">
        <f t="shared" si="7"/>
        <v>2</v>
      </c>
      <c r="P9">
        <f>IFERROR(SUMPRODUCT(MAX(('Match Log'!$D$4:$D$810=$A9)*'Match Log'!$B$4:$B$810)),0)</f>
        <v>46215</v>
      </c>
      <c r="Q9">
        <f t="shared" ca="1" si="8"/>
        <v>0.14285714285714285</v>
      </c>
      <c r="R9">
        <f ca="1">IF($P9=0,0,IF($Q9&gt;='Guide &amp; Settings'!$C$48,(INT($Q9-'Guide &amp; Settings'!$C$48)+1)*'Guide &amp; Settings'!$C$49,0))</f>
        <v>0</v>
      </c>
      <c r="S9">
        <f ca="1">$B9-$R9-$U9+SUMIF('Poker Stake Ledger'!$C$18:$C$137,$A9,'Poker Stake Ledger'!$K$18:$K$137)</f>
        <v>1041.9075825481382</v>
      </c>
      <c r="T9" t="str">
        <f ca="1">IF($P9=0,"No games",IF($Q9&gt;='Guide &amp; Settings'!$C$48,"Inactive",IF($Q9&gt;='Guide &amp; Settings'!$C$47,"At risk","Active")))</f>
        <v>Active</v>
      </c>
      <c r="U9">
        <f>SUMIF('Match Log'!$D$4:$D$810,$A9,'Match Log'!$AC$4:$AC$810)</f>
        <v>0</v>
      </c>
      <c r="V9">
        <f t="shared" si="9"/>
        <v>0</v>
      </c>
      <c r="W9">
        <f t="shared" ca="1" si="10"/>
        <v>60.476895637034545</v>
      </c>
      <c r="X9">
        <f ca="1">IFERROR(INDEX(Dashboard!$G$5:$G$18,MATCH($A9,Dashboard!$B$5:$B$18,0))*100,0)</f>
        <v>54.54545454545454</v>
      </c>
      <c r="Y9">
        <f ca="1">MIN(100,IFERROR(INDEX(Dashboard!$K$5:$K$18,MATCH($A9,Dashboard!$B$5:$B$18,0)),0)/5*50+$AC9/4*50)</f>
        <v>82.5</v>
      </c>
      <c r="Z9">
        <f t="shared" si="11"/>
        <v>40</v>
      </c>
      <c r="AA9">
        <f t="shared" si="12"/>
        <v>58.722362141900476</v>
      </c>
      <c r="AB9">
        <f t="shared" ca="1" si="13"/>
        <v>60.448240596243046</v>
      </c>
      <c r="AC9">
        <f>IFERROR(SUMPRODUCT((INDEX('Sport Records'!$B$8:$O$26,0,MATCH($A9,'Sport Records'!$B$7:$O$7,0))&gt;=2)*(INDEX('Sport Records'!$B$58:$O$76,0,MATCH($A9,'Sport Records'!$B$57:$O$57,0))&gt;=0.5)),0)</f>
        <v>1</v>
      </c>
      <c r="AD9">
        <f ca="1">IFERROR(INDEX(Dashboard!$D$5:$D$18,MATCH($A9,Dashboard!$B$5:$B$18,0)),0)</f>
        <v>11</v>
      </c>
      <c r="AE9">
        <f ca="1">IFERROR(INDEX(Dashboard!$K$5:$K$18,MATCH($A9,Dashboard!$B$5:$B$18,0)),0)</f>
        <v>7</v>
      </c>
      <c r="AF9" t="str">
        <f t="shared" ca="1" si="14"/>
        <v>Strong</v>
      </c>
      <c r="AG9">
        <f ca="1">COUNTIFS('Match Log'!$D$4:$D$810,$A9,'Match Log'!$B$4:$B$810,"&gt;="&amp;$B$5)</f>
        <v>1</v>
      </c>
      <c r="AH9">
        <f ca="1">COUNTIFS('Match Log'!$D$4:$D$810,$A9,'Match Log'!$B$4:$B$810,"&gt;="&amp;$B$5,'Match Log'!$E$4:$E$810,"Win")</f>
        <v>1</v>
      </c>
      <c r="AI9">
        <f t="shared" ca="1" si="15"/>
        <v>1041.9075834481382</v>
      </c>
    </row>
    <row r="10" spans="1:35" ht="15" customHeight="1" x14ac:dyDescent="0.2">
      <c r="A10" t="s">
        <v>140</v>
      </c>
      <c r="B10">
        <f>IFERROR(INDEX(Engine!$B$2:$B$15,MATCH($A10,Engine!$A$2:$A$15,0)),1000)</f>
        <v>973.19705892757202</v>
      </c>
      <c r="C10">
        <f>IFERROR(INDEX(Engine!$C$2:$C$15,MATCH($A10,Engine!$A$2:$A$15,0)),"")</f>
        <v>1062.2347240382487</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ca="1" si="8"/>
        <v>0.2857142857142857</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Active</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65.558681009562179</v>
      </c>
      <c r="AB10">
        <f t="shared" ca="1" si="13"/>
        <v>41.043944090452101</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1</v>
      </c>
      <c r="AH10">
        <f ca="1">COUNTIFS('Match Log'!$D$4:$D$810,$A10,'Match Log'!$B$4:$B$810,"&gt;="&amp;$B$5,'Match Log'!$E$4:$E$810,"Win")</f>
        <v>0</v>
      </c>
      <c r="AI10">
        <f t="shared" ca="1" si="15"/>
        <v>973.19705992757201</v>
      </c>
    </row>
    <row r="11" spans="1:35" ht="15" customHeight="1" x14ac:dyDescent="0.2">
      <c r="A11" t="s">
        <v>137</v>
      </c>
      <c r="B11">
        <f>IFERROR(INDEX(Engine!$B$2:$B$15,MATCH($A11,Engine!$A$2:$A$15,0)),1000)</f>
        <v>1063.3497487715442</v>
      </c>
      <c r="C11">
        <f>IFERROR(INDEX(Engine!$C$2:$C$15,MATCH($A11,Engine!$A$2:$A$15,0)),"")</f>
        <v>1066.126091669209</v>
      </c>
      <c r="D11">
        <f t="shared" si="0"/>
        <v>3</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-1</v>
      </c>
      <c r="M11">
        <f t="shared" si="5"/>
        <v>0</v>
      </c>
      <c r="N11">
        <f t="shared" si="6"/>
        <v>1</v>
      </c>
      <c r="O11">
        <f t="shared" si="7"/>
        <v>0</v>
      </c>
      <c r="P11">
        <f>IFERROR(SUMPRODUCT(MAX(('Match Log'!$D$4:$D$810=$A11)*'Match Log'!$B$4:$B$810)),0)</f>
        <v>46215</v>
      </c>
      <c r="Q11">
        <f t="shared" ca="1" si="8"/>
        <v>0.14285714285714285</v>
      </c>
      <c r="R11">
        <f ca="1">IF($P11=0,0,IF($Q11&gt;='Guide &amp; Settings'!$C$48,(INT($Q11-'Guide &amp; Settings'!$C$48)+1)*'Guide &amp; Settings'!$C$49,0))</f>
        <v>0</v>
      </c>
      <c r="S11">
        <f ca="1">$B11-$R11-$U11+SUMIF('Poker Stake Ledger'!$C$18:$C$137,$A11,'Poker Stake Ledger'!$K$18:$K$137)</f>
        <v>1063.3497487715442</v>
      </c>
      <c r="T11" t="str">
        <f ca="1">IF($P11=0,"No games",IF($Q11&gt;='Guide &amp; Settings'!$C$48,"Inactive",IF($Q11&gt;='Guide &amp; Settings'!$C$47,"At risk","Active")))</f>
        <v>Active</v>
      </c>
      <c r="U11">
        <f>SUMIF('Match Log'!$D$4:$D$810,$A11,'Match Log'!$AC$4:$AC$810)</f>
        <v>0</v>
      </c>
      <c r="V11">
        <f t="shared" si="9"/>
        <v>2</v>
      </c>
      <c r="W11">
        <f t="shared" ca="1" si="10"/>
        <v>65.837437192886057</v>
      </c>
      <c r="X11">
        <f ca="1">IFERROR(INDEX(Dashboard!$G$5:$G$18,MATCH($A11,Dashboard!$B$5:$B$18,0))*100,0)</f>
        <v>56.756756756756758</v>
      </c>
      <c r="Y11">
        <f ca="1">MIN(100,IFERROR(INDEX(Dashboard!$K$5:$K$18,MATCH($A11,Dashboard!$B$5:$B$18,0)),0)/5*50+$AC11/4*50)</f>
        <v>100</v>
      </c>
      <c r="Z11">
        <f t="shared" si="11"/>
        <v>20</v>
      </c>
      <c r="AA11">
        <f t="shared" si="12"/>
        <v>66.531522917302254</v>
      </c>
      <c r="AB11">
        <f t="shared" ca="1" si="13"/>
        <v>64.047606660591697</v>
      </c>
      <c r="AC11">
        <f>IFERROR(SUMPRODUCT((INDEX('Sport Records'!$B$8:$O$26,0,MATCH($A11,'Sport Records'!$B$7:$O$7,0))&gt;=2)*(INDEX('Sport Records'!$B$58:$O$76,0,MATCH($A11,'Sport Records'!$B$57:$O$57,0))&gt;=0.5)),0)</f>
        <v>2</v>
      </c>
      <c r="AD11">
        <f ca="1">IFERROR(INDEX(Dashboard!$D$5:$D$18,MATCH($A11,Dashboard!$B$5:$B$18,0)),0)</f>
        <v>37</v>
      </c>
      <c r="AE11">
        <f ca="1">IFERROR(INDEX(Dashboard!$K$5:$K$18,MATCH($A11,Dashboard!$B$5:$B$18,0)),0)</f>
        <v>12</v>
      </c>
      <c r="AF11" t="str">
        <f t="shared" ca="1" si="14"/>
        <v>Strong</v>
      </c>
      <c r="AG11">
        <f ca="1">COUNTIFS('Match Log'!$D$4:$D$810,$A11,'Match Log'!$B$4:$B$810,"&gt;="&amp;$B$5)</f>
        <v>5</v>
      </c>
      <c r="AH11">
        <f ca="1">COUNTIFS('Match Log'!$D$4:$D$810,$A11,'Match Log'!$B$4:$B$810,"&gt;="&amp;$B$5,'Match Log'!$E$4:$E$810,"Win")</f>
        <v>1</v>
      </c>
      <c r="AI11">
        <f t="shared" ca="1" si="15"/>
        <v>1063.3497498715442</v>
      </c>
    </row>
    <row r="12" spans="1:35" ht="15" customHeight="1" x14ac:dyDescent="0.2">
      <c r="A12" t="s">
        <v>134</v>
      </c>
      <c r="B12">
        <f>IFERROR(INDEX(Engine!$B$2:$B$15,MATCH($A12,Engine!$A$2:$A$15,0)),1000)</f>
        <v>1124.7994137993414</v>
      </c>
      <c r="C12">
        <f>IFERROR(INDEX(Engine!$C$2:$C$15,MATCH($A12,Engine!$A$2:$A$15,0)),"")</f>
        <v>1048.6561508961991</v>
      </c>
      <c r="D12">
        <f t="shared" si="0"/>
        <v>2</v>
      </c>
      <c r="E12">
        <f t="shared" si="1"/>
        <v>116.90352252571188</v>
      </c>
      <c r="F12" t="str">
        <f>IFERROR(LOOKUP(2,1/('Match Log'!$D$4:$D$810=$A12),'Match Log'!$E$4:$E$810),"")</f>
        <v>Win</v>
      </c>
      <c r="G12">
        <f>IF($F12="",0,SUMPRODUCT(('Match Log'!$D$4:$D$810=$A12)*(ROW('Match Log'!$A$4:$A$810)&gt;SUMPRODUCT(MAX(('Match Log'!$D$4:$D$810=$A12)*('Match Log'!$E$4:$E$810&lt;&gt;$F12)*ROW('Match Log'!$A$4:$A$810))))))</f>
        <v>4</v>
      </c>
      <c r="H12" t="str">
        <f t="shared" si="2"/>
        <v>W4</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LWWWW</v>
      </c>
      <c r="J12">
        <f>IFERROR(LOOKUP(2,1/(('Match Log'!$D$4:$D$810=$A12)*('Match Log'!$B$4:$B$810&lt;=$B$3)),'Match Log'!$N$4:$N$810),1000)</f>
        <v>986.57333856486002</v>
      </c>
      <c r="K12">
        <f t="shared" si="3"/>
        <v>12</v>
      </c>
      <c r="L12">
        <f t="shared" si="4"/>
        <v>10</v>
      </c>
      <c r="M12">
        <f t="shared" si="5"/>
        <v>5</v>
      </c>
      <c r="N12">
        <f t="shared" si="6"/>
        <v>4</v>
      </c>
      <c r="O12">
        <f t="shared" si="7"/>
        <v>4</v>
      </c>
      <c r="P12">
        <f>IFERROR(SUMPRODUCT(MAX(('Match Log'!$D$4:$D$810=$A12)*'Match Log'!$B$4:$B$810)),0)</f>
        <v>46215</v>
      </c>
      <c r="Q12">
        <f t="shared" ca="1" si="8"/>
        <v>0.14285714285714285</v>
      </c>
      <c r="R12">
        <f ca="1">IF($P12=0,0,IF($Q12&gt;='Guide &amp; Settings'!$C$48,(INT($Q12-'Guide &amp; Settings'!$C$48)+1)*'Guide &amp; Settings'!$C$49,0))</f>
        <v>0</v>
      </c>
      <c r="S12">
        <f ca="1">$B12-$R12-$U12+SUMIF('Poker Stake Ledger'!$C$18:$C$137,$A12,'Poker Stake Ledger'!$K$18:$K$137)</f>
        <v>1124.7994137993414</v>
      </c>
      <c r="T12" t="str">
        <f ca="1">IF($P12=0,"No games",IF($Q12&gt;='Guide &amp; Settings'!$C$48,"Inactive",IF($Q12&gt;='Guide &amp; Settings'!$C$47,"At risk","Active")))</f>
        <v>Active</v>
      </c>
      <c r="U12">
        <f>SUMIF('Match Log'!$D$4:$D$810,$A12,'Match Log'!$AC$4:$AC$810)</f>
        <v>0</v>
      </c>
      <c r="V12">
        <f t="shared" si="9"/>
        <v>0</v>
      </c>
      <c r="W12">
        <f t="shared" ca="1" si="10"/>
        <v>81.199853449835359</v>
      </c>
      <c r="X12">
        <f ca="1">IFERROR(INDEX(Dashboard!$G$5:$G$18,MATCH($A12,Dashboard!$B$5:$B$18,0))*100,0)</f>
        <v>47.887323943661968</v>
      </c>
      <c r="Y12">
        <f ca="1">MIN(100,IFERROR(INDEX(Dashboard!$K$5:$K$18,MATCH($A12,Dashboard!$B$5:$B$18,0)),0)/5*50+$AC12/4*50)</f>
        <v>100</v>
      </c>
      <c r="Z12">
        <f t="shared" si="11"/>
        <v>80</v>
      </c>
      <c r="AA12">
        <f t="shared" si="12"/>
        <v>62.164037724049763</v>
      </c>
      <c r="AB12">
        <f t="shared" ca="1" si="13"/>
        <v>76.213817268579746</v>
      </c>
      <c r="AC12">
        <f>IFERROR(SUMPRODUCT((INDEX('Sport Records'!$B$8:$O$26,0,MATCH($A12,'Sport Records'!$B$7:$O$7,0))&gt;=2)*(INDEX('Sport Records'!$B$58:$O$76,0,MATCH($A12,'Sport Records'!$B$57:$O$57,0))&gt;=0.5)),0)</f>
        <v>5</v>
      </c>
      <c r="AD12">
        <f ca="1">IFERROR(INDEX(Dashboard!$D$5:$D$18,MATCH($A12,Dashboard!$B$5:$B$18,0)),0)</f>
        <v>71</v>
      </c>
      <c r="AE12">
        <f ca="1">IFERROR(INDEX(Dashboard!$K$5:$K$18,MATCH($A12,Dashboard!$B$5:$B$18,0)),0)</f>
        <v>10</v>
      </c>
      <c r="AF12" t="str">
        <f t="shared" ca="1" si="14"/>
        <v>Elite</v>
      </c>
      <c r="AG12">
        <f ca="1">COUNTIFS('Match Log'!$D$4:$D$810,$A12,'Match Log'!$B$4:$B$810,"&gt;="&amp;$B$5)</f>
        <v>25</v>
      </c>
      <c r="AH12">
        <f ca="1">COUNTIFS('Match Log'!$D$4:$D$810,$A12,'Match Log'!$B$4:$B$810,"&gt;="&amp;$B$5,'Match Log'!$E$4:$E$810,"Win")</f>
        <v>15</v>
      </c>
      <c r="AI12">
        <f t="shared" ca="1" si="15"/>
        <v>1124.7994149993415</v>
      </c>
    </row>
    <row r="13" spans="1:35" ht="15" customHeight="1" x14ac:dyDescent="0.2">
      <c r="A13" t="s">
        <v>168</v>
      </c>
      <c r="B13">
        <f>IFERROR(INDEX(Engine!$B$2:$B$15,MATCH($A13,Engine!$A$2:$A$15,0)),1000)</f>
        <v>1060.3667074371201</v>
      </c>
      <c r="C13">
        <f>IFERROR(INDEX(Engine!$C$2:$C$15,MATCH($A13,Engine!$A$2:$A$15,0)),"")</f>
        <v>1054.5714807383069</v>
      </c>
      <c r="D13">
        <f t="shared" si="0"/>
        <v>5</v>
      </c>
      <c r="E13">
        <f t="shared" si="1"/>
        <v>181.3362288879332</v>
      </c>
      <c r="F13" t="str">
        <f>IFERROR(LOOKUP(2,1/('Match Log'!$D$4:$D$810=$A13),'Match Log'!$E$4:$E$810),"")</f>
        <v>Loss</v>
      </c>
      <c r="G13">
        <f>IF($F13="",0,SUMPRODUCT(('Match Log'!$D$4:$D$810=$A13)*(ROW('Match Log'!$A$4:$A$810)&gt;SUMPRODUCT(MAX(('Match Log'!$D$4:$D$810=$A13)*('Match Log'!$E$4:$E$810&lt;&gt;$F13)*ROW('Match Log'!$A$4:$A$810))))))</f>
        <v>4</v>
      </c>
      <c r="H13" t="str">
        <f t="shared" si="2"/>
        <v>L4</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WLLLL</v>
      </c>
      <c r="J13">
        <f>IFERROR(LOOKUP(2,1/(('Match Log'!$D$4:$D$810=$A13)*('Match Log'!$B$4:$B$810&lt;=$B$3)),'Match Log'!$N$4:$N$810),1000)</f>
        <v>1085.4901250893295</v>
      </c>
      <c r="K13">
        <f t="shared" si="3"/>
        <v>5</v>
      </c>
      <c r="L13">
        <f t="shared" si="4"/>
        <v>0</v>
      </c>
      <c r="M13">
        <f t="shared" si="5"/>
        <v>0</v>
      </c>
      <c r="N13">
        <f t="shared" si="6"/>
        <v>1</v>
      </c>
      <c r="O13">
        <f t="shared" si="7"/>
        <v>0</v>
      </c>
      <c r="P13">
        <f>IFERROR(SUMPRODUCT(MAX(('Match Log'!$D$4:$D$810=$A13)*'Match Log'!$B$4:$B$810)),0)</f>
        <v>46215</v>
      </c>
      <c r="Q13">
        <f t="shared" ca="1" si="8"/>
        <v>0.14285714285714285</v>
      </c>
      <c r="R13">
        <f ca="1">IF($P13=0,0,IF($Q13&gt;='Guide &amp; Settings'!$C$48,(INT($Q13-'Guide &amp; Settings'!$C$48)+1)*'Guide &amp; Settings'!$C$49,0))</f>
        <v>0</v>
      </c>
      <c r="S13">
        <f ca="1">$B13-$R13-$U13+SUMIF('Poker Stake Ledger'!$C$18:$C$137,$A13,'Poker Stake Ledger'!$K$18:$K$137)</f>
        <v>1060.3667074371201</v>
      </c>
      <c r="T13" t="str">
        <f ca="1">IF($P13=0,"No games",IF($Q13&gt;='Guide &amp; Settings'!$C$48,"Inactive",IF($Q13&gt;='Guide &amp; Settings'!$C$47,"At risk","Active")))</f>
        <v>Active</v>
      </c>
      <c r="U13">
        <f>SUMIF('Match Log'!$D$4:$D$810,$A13,'Match Log'!$AC$4:$AC$810)</f>
        <v>0</v>
      </c>
      <c r="V13">
        <f t="shared" si="9"/>
        <v>4</v>
      </c>
      <c r="W13">
        <f t="shared" ca="1" si="10"/>
        <v>65.091676859280028</v>
      </c>
      <c r="X13">
        <f ca="1">IFERROR(INDEX(Dashboard!$G$5:$G$18,MATCH($A13,Dashboard!$B$5:$B$18,0))*100,0)</f>
        <v>55.555555555555557</v>
      </c>
      <c r="Y13">
        <f ca="1">MIN(100,IFERROR(INDEX(Dashboard!$K$5:$K$18,MATCH($A13,Dashboard!$B$5:$B$18,0)),0)/5*50+$AC13/4*50)</f>
        <v>75</v>
      </c>
      <c r="Z13">
        <f t="shared" si="11"/>
        <v>20</v>
      </c>
      <c r="AA13">
        <f t="shared" si="12"/>
        <v>63.642870184576736</v>
      </c>
      <c r="AB13">
        <f t="shared" ca="1" si="13"/>
        <v>58.257485030316793</v>
      </c>
      <c r="AC13">
        <f>IFERROR(SUMPRODUCT((INDEX('Sport Records'!$B$8:$O$26,0,MATCH($A13,'Sport Records'!$B$7:$O$7,0))&gt;=2)*(INDEX('Sport Records'!$B$58:$O$76,0,MATCH($A13,'Sport Records'!$B$57:$O$57,0))&gt;=0.5)),0)</f>
        <v>2</v>
      </c>
      <c r="AD13">
        <f ca="1">IFERROR(INDEX(Dashboard!$D$5:$D$18,MATCH($A13,Dashboard!$B$5:$B$18,0)),0)</f>
        <v>18</v>
      </c>
      <c r="AE13">
        <f ca="1">IFERROR(INDEX(Dashboard!$K$5:$K$18,MATCH($A13,Dashboard!$B$5:$B$18,0)),0)</f>
        <v>5</v>
      </c>
      <c r="AF13" t="str">
        <f t="shared" ca="1" si="14"/>
        <v>Strong</v>
      </c>
      <c r="AG13">
        <f ca="1">COUNTIFS('Match Log'!$D$4:$D$810,$A13,'Match Log'!$B$4:$B$810,"&gt;="&amp;$B$5)</f>
        <v>1</v>
      </c>
      <c r="AH13">
        <f ca="1">COUNTIFS('Match Log'!$D$4:$D$810,$A13,'Match Log'!$B$4:$B$810,"&gt;="&amp;$B$5,'Match Log'!$E$4:$E$810,"Win")</f>
        <v>0</v>
      </c>
      <c r="AI13">
        <f t="shared" ca="1" si="15"/>
        <v>1060.36670873712</v>
      </c>
    </row>
    <row r="14" spans="1:35" ht="15" customHeight="1" x14ac:dyDescent="0.2">
      <c r="A14" t="s">
        <v>170</v>
      </c>
      <c r="B14">
        <f>IFERROR(INDEX(Engine!$B$2:$B$15,MATCH($A14,Engine!$A$2:$A$15,0)),1000)</f>
        <v>1029.4526731850108</v>
      </c>
      <c r="C14">
        <f>IFERROR(INDEX(Engine!$C$2:$C$15,MATCH($A14,Engine!$A$2:$A$15,0)),"")</f>
        <v>1099.8999525740301</v>
      </c>
      <c r="D14">
        <f t="shared" si="0"/>
        <v>10</v>
      </c>
      <c r="E14">
        <f t="shared" si="1"/>
        <v>212.25026314004253</v>
      </c>
      <c r="F14" t="str">
        <f>IFERROR(LOOKUP(2,1/('Match Log'!$D$4:$D$810=$A14),'Match Log'!$E$4:$E$810),"")</f>
        <v>Loss</v>
      </c>
      <c r="G14">
        <f>IF($F14="",0,SUMPRODUCT(('Match Log'!$D$4:$D$810=$A14)*(ROW('Match Log'!$A$4:$A$810)&gt;SUMPRODUCT(MAX(('Match Log'!$D$4:$D$810=$A14)*('Match Log'!$E$4:$E$810&lt;&gt;$F14)*ROW('Match Log'!$A$4:$A$810))))))</f>
        <v>2</v>
      </c>
      <c r="H14" t="str">
        <f t="shared" si="2"/>
        <v>L2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LWWLL</v>
      </c>
      <c r="J14">
        <f>IFERROR(LOOKUP(2,1/(('Match Log'!$D$4:$D$810=$A14)*('Match Log'!$B$4:$B$810&lt;=$B$3)),'Match Log'!$N$4:$N$810),1000)</f>
        <v>1058.2210518223603</v>
      </c>
      <c r="K14">
        <f t="shared" si="3"/>
        <v>6</v>
      </c>
      <c r="L14">
        <f t="shared" si="4"/>
        <v>-4</v>
      </c>
      <c r="M14">
        <f t="shared" si="5"/>
        <v>4</v>
      </c>
      <c r="N14">
        <f t="shared" si="6"/>
        <v>2</v>
      </c>
      <c r="O14">
        <f t="shared" si="7"/>
        <v>0</v>
      </c>
      <c r="P14">
        <f>IFERROR(SUMPRODUCT(MAX(('Match Log'!$D$4:$D$810=$A14)*'Match Log'!$B$4:$B$810)),0)</f>
        <v>46215</v>
      </c>
      <c r="Q14">
        <f t="shared" ca="1" si="8"/>
        <v>0.14285714285714285</v>
      </c>
      <c r="R14">
        <f ca="1">IF($P14=0,0,IF($Q14&gt;='Guide &amp; Settings'!$C$48,(INT($Q14-'Guide &amp; Settings'!$C$48)+1)*'Guide &amp; Settings'!$C$49,0))</f>
        <v>0</v>
      </c>
      <c r="S14">
        <f ca="1">$B14-$R14-$U14+SUMIF('Poker Stake Ledger'!$C$18:$C$137,$A14,'Poker Stake Ledger'!$K$18:$K$137)</f>
        <v>1029.4526731850108</v>
      </c>
      <c r="T14" t="str">
        <f ca="1">IF($P14=0,"No games",IF($Q14&gt;='Guide &amp; Settings'!$C$48,"Inactive",IF($Q14&gt;='Guide &amp; Settings'!$C$47,"At risk","Active")))</f>
        <v>Active</v>
      </c>
      <c r="U14">
        <f>SUMIF('Match Log'!$D$4:$D$810,$A14,'Match Log'!$AC$4:$AC$810)</f>
        <v>0</v>
      </c>
      <c r="V14">
        <f t="shared" si="9"/>
        <v>2</v>
      </c>
      <c r="W14">
        <f t="shared" ca="1" si="10"/>
        <v>57.363168296252695</v>
      </c>
      <c r="X14">
        <f ca="1">IFERROR(INDEX(Dashboard!$G$5:$G$18,MATCH($A14,Dashboard!$B$5:$B$18,0))*100,0)</f>
        <v>42.372881355932201</v>
      </c>
      <c r="Y14">
        <f ca="1">MIN(100,IFERROR(INDEX(Dashboard!$K$5:$K$18,MATCH($A14,Dashboard!$B$5:$B$18,0)),0)/5*50+$AC14/4*50)</f>
        <v>100</v>
      </c>
      <c r="Z14">
        <f t="shared" si="11"/>
        <v>40</v>
      </c>
      <c r="AA14">
        <f t="shared" si="12"/>
        <v>74.974988143507517</v>
      </c>
      <c r="AB14">
        <f t="shared" ca="1" si="13"/>
        <v>62.049183989225639</v>
      </c>
      <c r="AC14">
        <f>IFERROR(SUMPRODUCT((INDEX('Sport Records'!$B$8:$O$26,0,MATCH($A14,'Sport Records'!$B$7:$O$7,0))&gt;=2)*(INDEX('Sport Records'!$B$58:$O$76,0,MATCH($A14,'Sport Records'!$B$57:$O$57,0))&gt;=0.5)),0)</f>
        <v>5</v>
      </c>
      <c r="AD14">
        <f ca="1">IFERROR(INDEX(Dashboard!$D$5:$D$18,MATCH($A14,Dashboard!$B$5:$B$18,0)),0)</f>
        <v>59</v>
      </c>
      <c r="AE14">
        <f ca="1">IFERROR(INDEX(Dashboard!$K$5:$K$18,MATCH($A14,Dashboard!$B$5:$B$18,0)),0)</f>
        <v>14</v>
      </c>
      <c r="AF14" t="str">
        <f t="shared" ca="1" si="14"/>
        <v>Strong</v>
      </c>
      <c r="AG14">
        <f ca="1">COUNTIFS('Match Log'!$D$4:$D$810,$A14,'Match Log'!$B$4:$B$810,"&gt;="&amp;$B$5)</f>
        <v>7</v>
      </c>
      <c r="AH14">
        <f ca="1">COUNTIFS('Match Log'!$D$4:$D$810,$A14,'Match Log'!$B$4:$B$810,"&gt;="&amp;$B$5,'Match Log'!$E$4:$E$810,"Win")</f>
        <v>2</v>
      </c>
      <c r="AI14">
        <f t="shared" ca="1" si="15"/>
        <v>1029.4526745850108</v>
      </c>
    </row>
    <row r="15" spans="1:35" ht="15" customHeight="1" x14ac:dyDescent="0.2">
      <c r="A15" t="s">
        <v>167</v>
      </c>
      <c r="B15">
        <f>IFERROR(INDEX(Engine!$B$2:$B$15,MATCH($A15,Engine!$A$2:$A$15,0)),1000)</f>
        <v>1241.7029363250533</v>
      </c>
      <c r="C15">
        <f>IFERROR(INDEX(Engine!$C$2:$C$15,MATCH($A15,Engine!$A$2:$A$15,0)),"")</f>
        <v>1040.7160364286033</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ca="1" si="8"/>
        <v>0.14285714285714285</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60.179009107150819</v>
      </c>
      <c r="AB15">
        <f t="shared" ca="1" si="13"/>
        <v>84.311004358990957</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6</v>
      </c>
      <c r="AH15">
        <f ca="1">COUNTIFS('Match Log'!$D$4:$D$810,$A15,'Match Log'!$B$4:$B$810,"&gt;="&amp;$B$5,'Match Log'!$E$4:$E$810,"Win")</f>
        <v>5</v>
      </c>
      <c r="AI15">
        <f t="shared" ca="1" si="15"/>
        <v>1241.7029378250534</v>
      </c>
    </row>
    <row r="16" spans="1:35" ht="15" customHeight="1" x14ac:dyDescent="0.2">
      <c r="A16" t="s">
        <v>175</v>
      </c>
      <c r="B16">
        <f>IFERROR(INDEX(Engine!$B$2:$B$15,MATCH($A16,Engine!$A$2:$A$15,0)),1000)</f>
        <v>893.15761519837804</v>
      </c>
      <c r="C16">
        <f>IFERROR(INDEX(Engine!$C$2:$C$15,MATCH($A16,Engine!$A$2:$A$15,0)),"")</f>
        <v>1058.1253066891838</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ca="1" si="8"/>
        <v>4</v>
      </c>
      <c r="R16">
        <f ca="1">IF($P16=0,0,IF($Q16&gt;='Guide &amp; Settings'!$C$48,(INT($Q16-'Guide &amp; Settings'!$C$48)+1)*'Guide &amp; Settings'!$C$49,0))</f>
        <v>10</v>
      </c>
      <c r="S16">
        <f ca="1">$B16-$R16-$U16+SUMIF('Poker Stake Ledger'!$C$18:$C$137,$A16,'Poker Stake Ledger'!$K$18:$K$137)</f>
        <v>883.15761519837804</v>
      </c>
      <c r="T16" t="str">
        <f ca="1">IF($P16=0,"No games",IF($Q16&gt;='Guide &amp; Settings'!$C$48,"Inactive",IF($Q16&gt;='Guide &amp; Settings'!$C$47,"At risk","Active")))</f>
        <v>Inactive</v>
      </c>
      <c r="U16">
        <f>SUMIF('Match Log'!$D$4:$D$810,$A16,'Match Log'!$AC$4:$AC$810)</f>
        <v>0</v>
      </c>
      <c r="V16">
        <f t="shared" si="9"/>
        <v>4</v>
      </c>
      <c r="W16">
        <f t="shared" ca="1" si="10"/>
        <v>20.78940379959451</v>
      </c>
      <c r="X16">
        <f ca="1">IFERROR(INDEX(Dashboard!$G$5:$G$18,MATCH($A16,Dashboard!$B$5:$B$18,0))*100,0)</f>
        <v>15.384615384615385</v>
      </c>
      <c r="Y16">
        <f ca="1">MIN(100,IFERROR(INDEX(Dashboard!$K$5:$K$18,MATCH($A16,Dashboard!$B$5:$B$18,0)),0)/5*50+$AC16/4*50)</f>
        <v>30</v>
      </c>
      <c r="Z16">
        <f t="shared" si="11"/>
        <v>20</v>
      </c>
      <c r="AA16">
        <f t="shared" si="12"/>
        <v>64.531326672295961</v>
      </c>
      <c r="AB16">
        <f t="shared" ca="1" si="13"/>
        <v>25.806347074010752</v>
      </c>
      <c r="AC16">
        <f>IFERROR(SUMPRODUCT((INDEX('Sport Records'!$B$8:$O$26,0,MATCH($A16,'Sport Records'!$B$7:$O$7,0))&gt;=2)*(INDEX('Sport Records'!$B$58:$O$76,0,MATCH($A16,'Sport Records'!$B$57:$O$57,0))&gt;=0.5)),0)</f>
        <v>0</v>
      </c>
      <c r="AD16">
        <f ca="1">IFERROR(INDEX(Dashboard!$D$5:$D$18,MATCH($A16,Dashboard!$B$5:$B$18,0)),0)</f>
        <v>13</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883.15761679837806</v>
      </c>
    </row>
    <row r="17" spans="1:35" ht="15" customHeight="1" x14ac:dyDescent="0.2">
      <c r="A17" t="s">
        <v>169</v>
      </c>
      <c r="B17">
        <f>IFERROR(INDEX(Engine!$B$2:$B$15,MATCH($A17,Engine!$A$2:$A$15,0)),1000)</f>
        <v>1062.8275894279936</v>
      </c>
      <c r="C17">
        <f>IFERROR(INDEX(Engine!$C$2:$C$15,MATCH($A17,Engine!$A$2:$A$15,0)),"")</f>
        <v>1075.6220287670715</v>
      </c>
      <c r="D17">
        <f t="shared" si="0"/>
        <v>4</v>
      </c>
      <c r="E17">
        <f t="shared" si="1"/>
        <v>178.87534689705967</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1095.0513163681151</v>
      </c>
      <c r="K17">
        <f t="shared" si="3"/>
        <v>4</v>
      </c>
      <c r="L17">
        <f t="shared" si="4"/>
        <v>0</v>
      </c>
      <c r="M17">
        <f t="shared" si="5"/>
        <v>3</v>
      </c>
      <c r="N17">
        <f t="shared" si="6"/>
        <v>1</v>
      </c>
      <c r="O17">
        <f t="shared" si="7"/>
        <v>0</v>
      </c>
      <c r="P17">
        <f>IFERROR(SUMPRODUCT(MAX(('Match Log'!$D$4:$D$810=$A17)*'Match Log'!$B$4:$B$810)),0)</f>
        <v>46209</v>
      </c>
      <c r="Q17">
        <f t="shared" ca="1" si="8"/>
        <v>1</v>
      </c>
      <c r="R17">
        <f ca="1">IF($P17=0,0,IF($Q17&gt;='Guide &amp; Settings'!$C$48,(INT($Q17-'Guide &amp; Settings'!$C$48)+1)*'Guide &amp; Settings'!$C$49,0))</f>
        <v>0</v>
      </c>
      <c r="S17">
        <f ca="1">$B17-$R17-$U17+SUMIF('Poker Stake Ledger'!$C$18:$C$137,$A17,'Poker Stake Ledger'!$K$18:$K$137)</f>
        <v>1062.8275894279936</v>
      </c>
      <c r="T17" t="str">
        <f ca="1">IF($P17=0,"No games",IF($Q17&gt;='Guide &amp; Settings'!$C$48,"Inactive",IF($Q17&gt;='Guide &amp; Settings'!$C$47,"At risk","Active")))</f>
        <v>Active</v>
      </c>
      <c r="U17">
        <f>SUMIF('Match Log'!$D$4:$D$810,$A17,'Match Log'!$AC$4:$AC$810)</f>
        <v>0</v>
      </c>
      <c r="V17">
        <f t="shared" si="9"/>
        <v>1</v>
      </c>
      <c r="W17">
        <f t="shared" ca="1" si="10"/>
        <v>65.706897356998411</v>
      </c>
      <c r="X17">
        <f ca="1">IFERROR(INDEX(Dashboard!$G$5:$G$18,MATCH($A17,Dashboard!$B$5:$B$18,0))*100,0)</f>
        <v>45.454545454545453</v>
      </c>
      <c r="Y17">
        <f ca="1">MIN(100,IFERROR(INDEX(Dashboard!$K$5:$K$18,MATCH($A17,Dashboard!$B$5:$B$18,0)),0)/5*50+$AC17/4*50)</f>
        <v>100</v>
      </c>
      <c r="Z17">
        <f t="shared" si="11"/>
        <v>20</v>
      </c>
      <c r="AA17">
        <f t="shared" si="12"/>
        <v>68.905507191767867</v>
      </c>
      <c r="AB17">
        <f t="shared" ca="1" si="13"/>
        <v>61.97887388503532</v>
      </c>
      <c r="AC17">
        <f>IFERROR(SUMPRODUCT((INDEX('Sport Records'!$B$8:$O$26,0,MATCH($A17,'Sport Records'!$B$7:$O$7,0))&gt;=2)*(INDEX('Sport Records'!$B$58:$O$76,0,MATCH($A17,'Sport Records'!$B$57:$O$57,0))&gt;=0.5)),0)</f>
        <v>2</v>
      </c>
      <c r="AD17">
        <f ca="1">IFERROR(INDEX(Dashboard!$D$5:$D$18,MATCH($A17,Dashboard!$B$5:$B$18,0)),0)</f>
        <v>44</v>
      </c>
      <c r="AE17">
        <f ca="1">IFERROR(INDEX(Dashboard!$K$5:$K$18,MATCH($A17,Dashboard!$B$5:$B$18,0)),0)</f>
        <v>8</v>
      </c>
      <c r="AF17" t="str">
        <f t="shared" ca="1" si="14"/>
        <v>Strong</v>
      </c>
      <c r="AG17">
        <f ca="1">COUNTIFS('Match Log'!$D$4:$D$810,$A17,'Match Log'!$B$4:$B$810,"&gt;="&amp;$B$5)</f>
        <v>3</v>
      </c>
      <c r="AH17">
        <f ca="1">COUNTIFS('Match Log'!$D$4:$D$810,$A17,'Match Log'!$B$4:$B$810,"&gt;="&amp;$B$5,'Match Log'!$E$4:$E$810,"Win")</f>
        <v>1</v>
      </c>
      <c r="AI17">
        <f t="shared" ca="1" si="15"/>
        <v>1062.8275911279936</v>
      </c>
    </row>
    <row r="18" spans="1:35" ht="15" customHeight="1" x14ac:dyDescent="0.2">
      <c r="A18" t="s">
        <v>171</v>
      </c>
      <c r="B18">
        <f>IFERROR(INDEX(Engine!$B$2:$B$15,MATCH($A18,Engine!$A$2:$A$15,0)),1000)</f>
        <v>1009.152401464836</v>
      </c>
      <c r="C18">
        <f>IFERROR(INDEX(Engine!$C$2:$C$15,MATCH($A18,Engine!$A$2:$A$15,0)),"")</f>
        <v>1052.6078903755624</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-4</v>
      </c>
      <c r="M18">
        <f t="shared" si="5"/>
        <v>0</v>
      </c>
      <c r="N18">
        <f t="shared" si="6"/>
        <v>2</v>
      </c>
      <c r="O18">
        <f t="shared" si="7"/>
        <v>0</v>
      </c>
      <c r="P18">
        <f>IFERROR(SUMPRODUCT(MAX(('Match Log'!$D$4:$D$810=$A18)*'Match Log'!$B$4:$B$810)),0)</f>
        <v>46214</v>
      </c>
      <c r="Q18">
        <f t="shared" ca="1" si="8"/>
        <v>0.2857142857142857</v>
      </c>
      <c r="R18">
        <f ca="1">IF($P18=0,0,IF($Q18&gt;='Guide &amp; Settings'!$C$48,(INT($Q18-'Guide &amp; Settings'!$C$48)+1)*'Guide &amp; Settings'!$C$49,0))</f>
        <v>0</v>
      </c>
      <c r="S18">
        <f ca="1">$B18-$R18-$U18+SUMIF('Poker Stake Ledger'!$C$18:$C$137,$A18,'Poker Stake Ledger'!$K$18:$K$137)</f>
        <v>1009.152401464836</v>
      </c>
      <c r="T18" t="str">
        <f ca="1">IF($P18=0,"No games",IF($Q18&gt;='Guide &amp; Settings'!$C$48,"Inactive",IF($Q18&gt;='Guide &amp; Settings'!$C$47,"At risk","Active")))</f>
        <v>Active</v>
      </c>
      <c r="U18">
        <f>SUMIF('Match Log'!$D$4:$D$810,$A18,'Match Log'!$AC$4:$AC$810)</f>
        <v>0</v>
      </c>
      <c r="V18">
        <f t="shared" si="9"/>
        <v>1</v>
      </c>
      <c r="W18">
        <f t="shared" ca="1" si="10"/>
        <v>52.288100366208994</v>
      </c>
      <c r="X18">
        <f ca="1">IFERROR(INDEX(Dashboard!$G$5:$G$18,MATCH($A18,Dashboard!$B$5:$B$18,0))*100,0)</f>
        <v>33.333333333333329</v>
      </c>
      <c r="Y18">
        <f ca="1">MIN(100,IFERROR(INDEX(Dashboard!$K$5:$K$18,MATCH($A18,Dashboard!$B$5:$B$18,0)),0)/5*50+$AC18/4*50)</f>
        <v>20</v>
      </c>
      <c r="Z18">
        <f t="shared" si="11"/>
        <v>40</v>
      </c>
      <c r="AA18">
        <f t="shared" si="12"/>
        <v>63.151972593890605</v>
      </c>
      <c r="AB18">
        <f t="shared" ca="1" si="13"/>
        <v>41.282699054228871</v>
      </c>
      <c r="AC18">
        <f>IFERROR(SUMPRODUCT((INDEX('Sport Records'!$B$8:$O$26,0,MATCH($A18,'Sport Records'!$B$7:$O$7,0))&gt;=2)*(INDEX('Sport Records'!$B$58:$O$76,0,MATCH($A18,'Sport Records'!$B$57:$O$57,0))&gt;=0.5)),0)</f>
        <v>0</v>
      </c>
      <c r="AD18">
        <f ca="1">IFERROR(INDEX(Dashboard!$D$5:$D$18,MATCH($A18,Dashboard!$B$5:$B$18,0)),0)</f>
        <v>6</v>
      </c>
      <c r="AE18">
        <f ca="1">IFERROR(INDEX(Dashboard!$K$5:$K$18,MATCH($A18,Dashboard!$B$5:$B$18,0)),0)</f>
        <v>2</v>
      </c>
      <c r="AF18" t="str">
        <f t="shared" ca="1" si="14"/>
        <v>Developing</v>
      </c>
      <c r="AG18">
        <f ca="1">COUNTIFS('Match Log'!$D$4:$D$810,$A18,'Match Log'!$B$4:$B$810,"&gt;="&amp;$B$5)</f>
        <v>1</v>
      </c>
      <c r="AH18">
        <f ca="1">COUNTIFS('Match Log'!$D$4:$D$810,$A18,'Match Log'!$B$4:$B$810,"&gt;="&amp;$B$5,'Match Log'!$E$4:$E$810,"Win")</f>
        <v>0</v>
      </c>
      <c r="AI18">
        <f t="shared" ca="1" si="15"/>
        <v>1009.1524032648359</v>
      </c>
    </row>
    <row r="19" spans="1:35" ht="15" customHeight="1" x14ac:dyDescent="0.2">
      <c r="A19" t="s">
        <v>172</v>
      </c>
      <c r="B19">
        <f>IFERROR(INDEX(Engine!$B$2:$B$15,MATCH($A19,Engine!$A$2:$A$15,0)),1000)</f>
        <v>1052.4264189977837</v>
      </c>
      <c r="C19">
        <f>IFERROR(INDEX(Engine!$C$2:$C$15,MATCH($A19,Engine!$A$2:$A$15,0)),"")</f>
        <v>1064.0704733392361</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 t="shared" ca="1" si="8"/>
        <v>0.2857142857142857</v>
      </c>
      <c r="R19">
        <f ca="1">IF($P19=0,0,IF($Q19&gt;='Guide &amp; Settings'!$C$48,(INT($Q19-'Guide &amp; Settings'!$C$48)+1)*'Guide &amp; Settings'!$C$49,0))</f>
        <v>0</v>
      </c>
      <c r="S19">
        <f ca="1">$B19-$R19-$U19+SUMIF('Poker Stake Ledger'!$C$18:$C$137,$A19,'Poker Stake Ledger'!$K$18:$K$137)</f>
        <v>1052.4264189977837</v>
      </c>
      <c r="T19" t="str">
        <f ca="1">IF($P19=0,"No games",IF($Q19&gt;='Guide &amp; Settings'!$C$48,"Inactive",IF($Q19&gt;='Guide &amp; Settings'!$C$47,"At risk","Active")))</f>
        <v>Active</v>
      </c>
      <c r="U19">
        <f>SUMIF('Match Log'!$D$4:$D$810,$A19,'Match Log'!$AC$4:$AC$810)</f>
        <v>0</v>
      </c>
      <c r="V19">
        <f t="shared" si="9"/>
        <v>0</v>
      </c>
      <c r="W19">
        <f t="shared" ca="1" si="10"/>
        <v>63.106604749445921</v>
      </c>
      <c r="X19">
        <f ca="1">IFERROR(INDEX(Dashboard!$G$5:$G$18,MATCH($A19,Dashboard!$B$5:$B$18,0))*100,0)</f>
        <v>60</v>
      </c>
      <c r="Y19">
        <f ca="1">MIN(100,IFERROR(INDEX(Dashboard!$K$5:$K$18,MATCH($A19,Dashboard!$B$5:$B$18,0)),0)/5*50+$AC19/4*50)</f>
        <v>32.5</v>
      </c>
      <c r="Z19">
        <f t="shared" si="11"/>
        <v>60</v>
      </c>
      <c r="AA19">
        <f t="shared" si="12"/>
        <v>66.017618334809015</v>
      </c>
      <c r="AB19">
        <f t="shared" ca="1" si="13"/>
        <v>56.189073495786971</v>
      </c>
      <c r="AC19">
        <f>IFERROR(SUMPRODUCT((INDEX('Sport Records'!$B$8:$O$26,0,MATCH($A19,'Sport Records'!$B$7:$O$7,0))&gt;=2)*(INDEX('Sport Records'!$B$58:$O$76,0,MATCH($A19,'Sport Records'!$B$57:$O$57,0))&gt;=0.5)),0)</f>
        <v>1</v>
      </c>
      <c r="AD19">
        <f ca="1">IFERROR(INDEX(Dashboard!$D$5:$D$18,MATCH($A19,Dashboard!$B$5:$B$18,0)),0)</f>
        <v>5</v>
      </c>
      <c r="AE19">
        <f ca="1">IFERROR(INDEX(Dashboard!$K$5:$K$18,MATCH($A19,Dashboard!$B$5:$B$18,0)),0)</f>
        <v>2</v>
      </c>
      <c r="AF19" t="str">
        <f t="shared" ca="1" si="14"/>
        <v>Mid</v>
      </c>
      <c r="AG19">
        <f ca="1">COUNTIFS('Match Log'!$D$4:$D$810,$A19,'Match Log'!$B$4:$B$810,"&gt;="&amp;$B$5)</f>
        <v>1</v>
      </c>
      <c r="AH19">
        <f ca="1">COUNTIFS('Match Log'!$D$4:$D$810,$A19,'Match Log'!$B$4:$B$810,"&gt;="&amp;$B$5,'Match Log'!$E$4:$E$810,"Win")</f>
        <v>1</v>
      </c>
      <c r="AI19">
        <f t="shared" ca="1"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1081.2612004587625</v>
      </c>
      <c r="D2">
        <f>$B$2</f>
        <v>1040.1422573837137</v>
      </c>
      <c r="E2">
        <f>$B$3</f>
        <v>1029.5175965335138</v>
      </c>
      <c r="F2">
        <f>$B$4</f>
        <v>1041.9075825481382</v>
      </c>
      <c r="G2">
        <f>$B$5</f>
        <v>973.19705892757202</v>
      </c>
      <c r="H2">
        <f>$B$6</f>
        <v>1063.3497487715442</v>
      </c>
      <c r="I2">
        <f>$B$7</f>
        <v>1124.7994137993414</v>
      </c>
      <c r="J2">
        <f>$B$8</f>
        <v>1060.3667074371201</v>
      </c>
      <c r="K2">
        <f>$B$9</f>
        <v>1029.4526731850108</v>
      </c>
      <c r="L2">
        <f>$B$10</f>
        <v>1241.7029363250533</v>
      </c>
      <c r="M2">
        <f>$B$11</f>
        <v>893.15761519837804</v>
      </c>
      <c r="N2">
        <f>$B$12</f>
        <v>1062.8275894279936</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1059.6390822823084</v>
      </c>
    </row>
    <row r="4" spans="1:17" ht="15" customHeight="1" x14ac:dyDescent="0.2">
      <c r="A4" t="s">
        <v>173</v>
      </c>
      <c r="B4">
        <f>IF(COUNTIF('Match Log'!$D$4:$D$810,$A4)=0,'Guide &amp; Settings'!$C$41,IFERROR(LOOKUP(2,1/('Match Log'!$D$4:$D$810=$A4),'Match Log'!$N$4:$N$810),'Guide &amp; Settings'!$C$41))</f>
        <v>1041.9075825481382</v>
      </c>
      <c r="C4">
        <f>IFERROR(SUMPRODUCT(INDEX('Head-to-Head'!$B$22:$O$35,3,0),$D$2:$Q$2)/SUM(INDEX('Head-to-Head'!$B$22:$O$35,3,0)),"")</f>
        <v>1034.8894485676019</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1062.2347240382487</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1066.126091669209</v>
      </c>
    </row>
    <row r="7" spans="1:17" ht="15" customHeight="1" x14ac:dyDescent="0.2">
      <c r="A7" t="s">
        <v>134</v>
      </c>
      <c r="B7">
        <f>IF(COUNTIF('Match Log'!$D$4:$D$810,$A7)=0,'Guide &amp; Settings'!$C$41,IFERROR(LOOKUP(2,1/('Match Log'!$D$4:$D$810=$A7),'Match Log'!$N$4:$N$810),'Guide &amp; Settings'!$C$41))</f>
        <v>1124.7994137993414</v>
      </c>
      <c r="C7">
        <f>IFERROR(SUMPRODUCT(INDEX('Head-to-Head'!$B$22:$O$35,6,0),$D$2:$Q$2)/SUM(INDEX('Head-to-Head'!$B$22:$O$35,6,0)),"")</f>
        <v>1048.6561508961991</v>
      </c>
    </row>
    <row r="8" spans="1:17" ht="15" customHeight="1" x14ac:dyDescent="0.2">
      <c r="A8" t="s">
        <v>168</v>
      </c>
      <c r="B8">
        <f>IF(COUNTIF('Match Log'!$D$4:$D$810,$A8)=0,'Guide &amp; Settings'!$C$41,IFERROR(LOOKUP(2,1/('Match Log'!$D$4:$D$810=$A8),'Match Log'!$N$4:$N$810),'Guide &amp; Settings'!$C$41))</f>
        <v>1060.3667074371201</v>
      </c>
      <c r="C8">
        <f>IFERROR(SUMPRODUCT(INDEX('Head-to-Head'!$B$22:$O$35,7,0),$D$2:$Q$2)/SUM(INDEX('Head-to-Head'!$B$22:$O$35,7,0)),"")</f>
        <v>1054.5714807383069</v>
      </c>
    </row>
    <row r="9" spans="1:17" ht="15" customHeight="1" x14ac:dyDescent="0.2">
      <c r="A9" t="s">
        <v>170</v>
      </c>
      <c r="B9">
        <f>IF(COUNTIF('Match Log'!$D$4:$D$810,$A9)=0,'Guide &amp; Settings'!$C$41,IFERROR(LOOKUP(2,1/('Match Log'!$D$4:$D$810=$A9),'Match Log'!$N$4:$N$810),'Guide &amp; Settings'!$C$41))</f>
        <v>1029.4526731850108</v>
      </c>
      <c r="C9">
        <f>IFERROR(SUMPRODUCT(INDEX('Head-to-Head'!$B$22:$O$35,8,0),$D$2:$Q$2)/SUM(INDEX('Head-to-Head'!$B$22:$O$35,8,0)),"")</f>
        <v>1099.8999525740301</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1040.7160364286033</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1058.1253066891838</v>
      </c>
    </row>
    <row r="12" spans="1:17" ht="15" customHeight="1" x14ac:dyDescent="0.2">
      <c r="A12" t="s">
        <v>169</v>
      </c>
      <c r="B12">
        <f>IF(COUNTIF('Match Log'!$D$4:$D$810,$A12)=0,'Guide &amp; Settings'!$C$41,IFERROR(LOOKUP(2,1/('Match Log'!$D$4:$D$810=$A12),'Match Log'!$N$4:$N$810),'Guide &amp; Settings'!$C$41))</f>
        <v>1062.8275894279936</v>
      </c>
      <c r="C12">
        <f>IFERROR(SUMPRODUCT(INDEX('Head-to-Head'!$B$22:$O$35,11,0),$D$2:$Q$2)/SUM(INDEX('Head-to-Head'!$B$22:$O$35,11,0)),"")</f>
        <v>1075.6220287670715</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1052.6078903755624</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1064.0704733392361</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2026-07-12T14:17:11Z</dcterms:modified>
  <dc:language>en-US</dc:language>
</cp:coreProperties>
</file>