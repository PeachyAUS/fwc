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FECB8334-BF93-0642-A915-A45D2CC36963}" xr6:coauthVersionLast="47" xr6:coauthVersionMax="47" xr10:uidLastSave="{00000000-0000-0000-0000-000000000000}"/>
  <bookViews>
    <workbookView xWindow="-20" yWindow="660" windowWidth="34560" windowHeight="2096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D223" i="11" a="1"/>
  <c r="D223" i="11" s="1"/>
  <c r="C223" i="11"/>
  <c r="B223" i="11"/>
  <c r="X222" i="11"/>
  <c r="D222" i="11" a="1"/>
  <c r="D222" i="11" s="1"/>
  <c r="C222" i="11"/>
  <c r="B222" i="11"/>
  <c r="X221" i="11"/>
  <c r="D221" i="11" a="1"/>
  <c r="D221" i="11" s="1"/>
  <c r="C221" i="11"/>
  <c r="B221" i="11"/>
  <c r="X220" i="11"/>
  <c r="D220" i="11" a="1"/>
  <c r="D220" i="11" s="1"/>
  <c r="C220" i="11"/>
  <c r="B220" i="11"/>
  <c r="X219" i="11"/>
  <c r="D219" i="11" a="1"/>
  <c r="D219" i="11" s="1"/>
  <c r="C219" i="11"/>
  <c r="B219" i="11"/>
  <c r="X218" i="11"/>
  <c r="D218" i="11" a="1"/>
  <c r="D218" i="11" s="1"/>
  <c r="C218" i="11"/>
  <c r="B218" i="11"/>
  <c r="X217" i="11"/>
  <c r="D217" i="11" a="1"/>
  <c r="D217" i="11" s="1"/>
  <c r="C217" i="11"/>
  <c r="B217" i="11"/>
  <c r="X216" i="11"/>
  <c r="D216" i="11" a="1"/>
  <c r="D216" i="11" s="1"/>
  <c r="C216" i="11"/>
  <c r="B216" i="11"/>
  <c r="X215" i="11"/>
  <c r="D215" i="11" a="1"/>
  <c r="D215" i="11" s="1"/>
  <c r="C215" i="11"/>
  <c r="B215" i="11"/>
  <c r="X214" i="11"/>
  <c r="D214" i="11" a="1"/>
  <c r="D214" i="11" s="1"/>
  <c r="C214" i="11"/>
  <c r="B214" i="11"/>
  <c r="X213" i="11"/>
  <c r="D213" i="11" a="1"/>
  <c r="D213" i="11" s="1"/>
  <c r="C213" i="11"/>
  <c r="B213" i="11"/>
  <c r="X212" i="11"/>
  <c r="D212" i="11" a="1"/>
  <c r="D212" i="11" s="1"/>
  <c r="C212" i="11"/>
  <c r="B212" i="11"/>
  <c r="X211" i="11"/>
  <c r="D211" i="11" a="1"/>
  <c r="D211" i="11" s="1"/>
  <c r="C211" i="11"/>
  <c r="B211" i="11"/>
  <c r="X210" i="11"/>
  <c r="D210" i="11" a="1"/>
  <c r="D210" i="11" s="1"/>
  <c r="C210" i="11"/>
  <c r="B210" i="11"/>
  <c r="X209" i="11"/>
  <c r="D209" i="11" a="1"/>
  <c r="D209" i="11" s="1"/>
  <c r="C209" i="11"/>
  <c r="B209" i="11"/>
  <c r="X208" i="11"/>
  <c r="D208" i="11" a="1"/>
  <c r="D208" i="11" s="1"/>
  <c r="C208" i="11"/>
  <c r="B208" i="11"/>
  <c r="X207" i="11"/>
  <c r="D207" i="11" a="1"/>
  <c r="D207" i="11" s="1"/>
  <c r="C207" i="11"/>
  <c r="B207" i="11"/>
  <c r="X206" i="11"/>
  <c r="D206" i="11" a="1"/>
  <c r="D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E122" i="6"/>
  <c r="D122" i="6"/>
  <c r="C122" i="6"/>
  <c r="B122" i="6"/>
  <c r="O121" i="6"/>
  <c r="N121" i="6"/>
  <c r="M121" i="6"/>
  <c r="L121" i="6"/>
  <c r="K121" i="6"/>
  <c r="J121" i="6"/>
  <c r="H121" i="6"/>
  <c r="E121" i="6"/>
  <c r="D121" i="6"/>
  <c r="C121" i="6"/>
  <c r="B121" i="6"/>
  <c r="O120" i="6"/>
  <c r="N120" i="6"/>
  <c r="M120" i="6"/>
  <c r="L120" i="6"/>
  <c r="K120" i="6"/>
  <c r="H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T463" i="9"/>
  <c r="R463" i="9"/>
  <c r="O463" i="9"/>
  <c r="G463" i="9"/>
  <c r="F463" i="9"/>
  <c r="L463" i="9" s="1"/>
  <c r="AC462" i="9"/>
  <c r="T462" i="9"/>
  <c r="R462" i="9"/>
  <c r="O462" i="9"/>
  <c r="G462" i="9"/>
  <c r="F462" i="9"/>
  <c r="E223" i="11" s="1"/>
  <c r="H223" i="11" s="1" a="1"/>
  <c r="H223" i="11" s="1"/>
  <c r="AC461" i="9"/>
  <c r="T461" i="9"/>
  <c r="R461" i="9"/>
  <c r="O461" i="9"/>
  <c r="G461" i="9"/>
  <c r="F461" i="9"/>
  <c r="L461" i="9" s="1"/>
  <c r="AC460" i="9"/>
  <c r="T460" i="9"/>
  <c r="R460" i="9"/>
  <c r="O460" i="9"/>
  <c r="G460" i="9"/>
  <c r="F460" i="9"/>
  <c r="E222" i="11" s="1"/>
  <c r="H222" i="11" s="1" a="1"/>
  <c r="H222" i="11" s="1"/>
  <c r="AC459" i="9"/>
  <c r="T459" i="9"/>
  <c r="R459" i="9"/>
  <c r="O459" i="9"/>
  <c r="G459" i="9"/>
  <c r="F459" i="9"/>
  <c r="L459" i="9" s="1"/>
  <c r="AC458" i="9"/>
  <c r="U458" i="9"/>
  <c r="T458" i="9"/>
  <c r="R458" i="9"/>
  <c r="O458" i="9"/>
  <c r="G458" i="9"/>
  <c r="F458" i="9"/>
  <c r="E221" i="11" s="1"/>
  <c r="H221" i="11" s="1" a="1"/>
  <c r="H221" i="11" s="1"/>
  <c r="AC457" i="9"/>
  <c r="T457" i="9"/>
  <c r="R457" i="9"/>
  <c r="O457" i="9"/>
  <c r="G457" i="9"/>
  <c r="F457" i="9"/>
  <c r="L457" i="9" s="1"/>
  <c r="AC456" i="9"/>
  <c r="U456" i="9"/>
  <c r="Y457" i="9" s="1"/>
  <c r="T456" i="9"/>
  <c r="R456" i="9"/>
  <c r="O456" i="9"/>
  <c r="G456" i="9"/>
  <c r="F456" i="9"/>
  <c r="E220" i="11" s="1"/>
  <c r="H220" i="11" s="1" a="1"/>
  <c r="H220" i="11" s="1"/>
  <c r="AC455" i="9"/>
  <c r="T455" i="9"/>
  <c r="R455" i="9"/>
  <c r="O455" i="9"/>
  <c r="G455" i="9"/>
  <c r="F455" i="9"/>
  <c r="L455" i="9" s="1"/>
  <c r="AC454" i="9"/>
  <c r="T454" i="9"/>
  <c r="R454" i="9"/>
  <c r="O454" i="9"/>
  <c r="G454" i="9"/>
  <c r="F454" i="9"/>
  <c r="E219" i="11" s="1"/>
  <c r="H219" i="11" s="1" a="1"/>
  <c r="H219" i="11" s="1"/>
  <c r="AC453" i="9"/>
  <c r="T453" i="9"/>
  <c r="R453" i="9"/>
  <c r="O453" i="9"/>
  <c r="G453" i="9"/>
  <c r="F453" i="9"/>
  <c r="L453" i="9" s="1"/>
  <c r="AC452" i="9"/>
  <c r="U452" i="9"/>
  <c r="T452" i="9"/>
  <c r="R452" i="9"/>
  <c r="O452" i="9"/>
  <c r="G452" i="9"/>
  <c r="F452" i="9"/>
  <c r="E218" i="11" s="1"/>
  <c r="H218" i="11" s="1" a="1"/>
  <c r="H218" i="11" s="1"/>
  <c r="AC451" i="9"/>
  <c r="T451" i="9"/>
  <c r="R451" i="9"/>
  <c r="O451" i="9"/>
  <c r="G451" i="9"/>
  <c r="F451" i="9"/>
  <c r="L451" i="9" s="1"/>
  <c r="AC450" i="9"/>
  <c r="U450" i="9"/>
  <c r="Y450" i="9" s="1"/>
  <c r="T450" i="9"/>
  <c r="R450" i="9"/>
  <c r="O450" i="9"/>
  <c r="G450" i="9"/>
  <c r="F450" i="9"/>
  <c r="E217" i="11" s="1"/>
  <c r="H217" i="11" s="1" a="1"/>
  <c r="H217" i="11" s="1"/>
  <c r="AC449" i="9"/>
  <c r="T449" i="9"/>
  <c r="R449" i="9"/>
  <c r="O449" i="9"/>
  <c r="G449" i="9"/>
  <c r="F449" i="9"/>
  <c r="L449" i="9" s="1"/>
  <c r="AC448" i="9"/>
  <c r="U448" i="9"/>
  <c r="Y448" i="9" s="1"/>
  <c r="T448" i="9"/>
  <c r="R448" i="9"/>
  <c r="O448" i="9"/>
  <c r="G448" i="9"/>
  <c r="F448" i="9"/>
  <c r="E216" i="11" s="1"/>
  <c r="H216" i="11" s="1" a="1"/>
  <c r="H216" i="11" s="1"/>
  <c r="AC447" i="9"/>
  <c r="T447" i="9"/>
  <c r="R447" i="9"/>
  <c r="O447" i="9"/>
  <c r="G447" i="9"/>
  <c r="F447" i="9"/>
  <c r="L447" i="9" s="1"/>
  <c r="AC446" i="9"/>
  <c r="T446" i="9"/>
  <c r="R446" i="9"/>
  <c r="O446" i="9"/>
  <c r="G446" i="9"/>
  <c r="F446" i="9"/>
  <c r="E215" i="11" s="1"/>
  <c r="H215" i="11" s="1" a="1"/>
  <c r="H215" i="11" s="1"/>
  <c r="AC445" i="9"/>
  <c r="T445" i="9"/>
  <c r="R445" i="9"/>
  <c r="O445" i="9"/>
  <c r="G445" i="9"/>
  <c r="F445" i="9"/>
  <c r="L445" i="9" s="1"/>
  <c r="AC444" i="9"/>
  <c r="T444" i="9"/>
  <c r="R444" i="9"/>
  <c r="O444" i="9"/>
  <c r="G444" i="9"/>
  <c r="F444" i="9"/>
  <c r="L444" i="9" s="1"/>
  <c r="AC443" i="9"/>
  <c r="T443" i="9"/>
  <c r="R443" i="9"/>
  <c r="O443" i="9"/>
  <c r="G443" i="9"/>
  <c r="F443" i="9"/>
  <c r="E214" i="11" s="1"/>
  <c r="H214" i="11" s="1" a="1"/>
  <c r="H214" i="11" s="1"/>
  <c r="AC442" i="9"/>
  <c r="T442" i="9"/>
  <c r="R442" i="9"/>
  <c r="O442" i="9"/>
  <c r="G442" i="9"/>
  <c r="F442" i="9"/>
  <c r="L442" i="9" s="1"/>
  <c r="AC441" i="9"/>
  <c r="T441" i="9"/>
  <c r="R441" i="9"/>
  <c r="O441" i="9"/>
  <c r="G441" i="9"/>
  <c r="F441" i="9"/>
  <c r="L441" i="9" s="1"/>
  <c r="AC440" i="9"/>
  <c r="T440" i="9"/>
  <c r="R440" i="9"/>
  <c r="O440" i="9"/>
  <c r="G440" i="9"/>
  <c r="F440" i="9"/>
  <c r="E213" i="11" s="1"/>
  <c r="H213" i="11" s="1" a="1"/>
  <c r="H213" i="11" s="1"/>
  <c r="AC439" i="9"/>
  <c r="T439" i="9"/>
  <c r="R439" i="9"/>
  <c r="O439" i="9"/>
  <c r="G439" i="9"/>
  <c r="F439" i="9"/>
  <c r="L439" i="9" s="1"/>
  <c r="AC438" i="9"/>
  <c r="T438" i="9"/>
  <c r="R438" i="9"/>
  <c r="O438" i="9"/>
  <c r="G438" i="9"/>
  <c r="F438" i="9"/>
  <c r="L438" i="9" s="1"/>
  <c r="AC437" i="9"/>
  <c r="T437" i="9"/>
  <c r="R437" i="9"/>
  <c r="O437" i="9"/>
  <c r="G437" i="9"/>
  <c r="F437" i="9"/>
  <c r="E212" i="11" s="1"/>
  <c r="H212" i="11" s="1" a="1"/>
  <c r="H212" i="11" s="1"/>
  <c r="AC436" i="9"/>
  <c r="T436" i="9"/>
  <c r="R436" i="9"/>
  <c r="O436" i="9"/>
  <c r="G436" i="9"/>
  <c r="F436" i="9"/>
  <c r="L436" i="9" s="1"/>
  <c r="AC435" i="9"/>
  <c r="T435" i="9"/>
  <c r="R435" i="9"/>
  <c r="O435" i="9"/>
  <c r="G435" i="9"/>
  <c r="F435" i="9"/>
  <c r="E211" i="11" s="1"/>
  <c r="H211" i="11" s="1" a="1"/>
  <c r="H211" i="11" s="1"/>
  <c r="AC434" i="9"/>
  <c r="T434" i="9"/>
  <c r="R434" i="9"/>
  <c r="O434" i="9"/>
  <c r="G434" i="9"/>
  <c r="F434" i="9"/>
  <c r="L434" i="9" s="1"/>
  <c r="AC433" i="9"/>
  <c r="T433" i="9"/>
  <c r="R433" i="9"/>
  <c r="O433" i="9"/>
  <c r="G433" i="9"/>
  <c r="F433" i="9"/>
  <c r="E210" i="11" s="1"/>
  <c r="H210" i="11" s="1" a="1"/>
  <c r="H210" i="11" s="1"/>
  <c r="AC432" i="9"/>
  <c r="T432" i="9"/>
  <c r="R432" i="9"/>
  <c r="O432" i="9"/>
  <c r="G432" i="9"/>
  <c r="F432" i="9"/>
  <c r="L432" i="9" s="1"/>
  <c r="AC431" i="9"/>
  <c r="T431" i="9"/>
  <c r="R431" i="9"/>
  <c r="O431" i="9"/>
  <c r="G431" i="9"/>
  <c r="F431" i="9"/>
  <c r="E209" i="11" s="1"/>
  <c r="H209" i="11" s="1" a="1"/>
  <c r="H209" i="11" s="1"/>
  <c r="AC430" i="9"/>
  <c r="T430" i="9"/>
  <c r="R430" i="9"/>
  <c r="O430" i="9"/>
  <c r="G430" i="9"/>
  <c r="F430" i="9"/>
  <c r="L430" i="9" s="1"/>
  <c r="AC429" i="9"/>
  <c r="T429" i="9"/>
  <c r="R429" i="9"/>
  <c r="O429" i="9"/>
  <c r="G429" i="9"/>
  <c r="F429" i="9"/>
  <c r="E208" i="11" s="1"/>
  <c r="H208" i="11" s="1" a="1"/>
  <c r="H208" i="11" s="1"/>
  <c r="AC428" i="9"/>
  <c r="T428" i="9"/>
  <c r="R428" i="9"/>
  <c r="O428" i="9"/>
  <c r="G428" i="9"/>
  <c r="F428" i="9"/>
  <c r="L428" i="9" s="1"/>
  <c r="AC427" i="9"/>
  <c r="T427" i="9"/>
  <c r="R427" i="9"/>
  <c r="O427" i="9"/>
  <c r="G427" i="9"/>
  <c r="F427" i="9"/>
  <c r="E207" i="11" s="1"/>
  <c r="H207" i="11" s="1" a="1"/>
  <c r="H207" i="11" s="1"/>
  <c r="AC426" i="9"/>
  <c r="T426" i="9"/>
  <c r="R426" i="9"/>
  <c r="O426" i="9"/>
  <c r="G426" i="9"/>
  <c r="F426" i="9"/>
  <c r="L426" i="9" s="1"/>
  <c r="AC425" i="9"/>
  <c r="T425" i="9"/>
  <c r="R425" i="9"/>
  <c r="O425" i="9"/>
  <c r="G425" i="9"/>
  <c r="F425" i="9"/>
  <c r="E206" i="11" s="1"/>
  <c r="H206" i="11" s="1" a="1"/>
  <c r="H206" i="11" s="1"/>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62" i="9" l="1"/>
  <c r="I462" i="9" s="1"/>
  <c r="K462" i="9" s="1"/>
  <c r="S463" i="9"/>
  <c r="I463" i="9" s="1"/>
  <c r="L462" i="9"/>
  <c r="S460" i="9"/>
  <c r="I460" i="9" s="1"/>
  <c r="S461" i="9"/>
  <c r="I461" i="9" s="1"/>
  <c r="K461" i="9" s="1"/>
  <c r="L460" i="9"/>
  <c r="S458" i="9"/>
  <c r="I458" i="9" s="1"/>
  <c r="K458" i="9" s="1"/>
  <c r="S459" i="9"/>
  <c r="I459" i="9" s="1"/>
  <c r="G79" i="6"/>
  <c r="W63" i="8" s="1"/>
  <c r="L458" i="9"/>
  <c r="G80" i="6"/>
  <c r="X63" i="8" s="1"/>
  <c r="S456" i="9"/>
  <c r="I456" i="9" s="1"/>
  <c r="K456" i="9" s="1"/>
  <c r="Y456" i="9"/>
  <c r="Z456" i="9" s="1"/>
  <c r="L456" i="9"/>
  <c r="S457" i="9"/>
  <c r="I457" i="9" s="1"/>
  <c r="K457" i="9" s="1"/>
  <c r="S454" i="9"/>
  <c r="I454" i="9" s="1"/>
  <c r="S455" i="9"/>
  <c r="I455" i="9" s="1"/>
  <c r="K455" i="9" s="1"/>
  <c r="L454" i="9"/>
  <c r="S453" i="9"/>
  <c r="I453" i="9" s="1"/>
  <c r="L452" i="9"/>
  <c r="G62" i="6"/>
  <c r="F63" i="8" s="1"/>
  <c r="G78" i="6"/>
  <c r="V63" i="8" s="1"/>
  <c r="S452" i="9"/>
  <c r="I452" i="9" s="1"/>
  <c r="K452" i="9" s="1"/>
  <c r="Y451" i="9"/>
  <c r="S451" i="9"/>
  <c r="I451" i="9" s="1"/>
  <c r="K451" i="9" s="1"/>
  <c r="L450" i="9"/>
  <c r="S450" i="9"/>
  <c r="I450" i="9" s="1"/>
  <c r="Z450" i="9"/>
  <c r="Y449" i="9"/>
  <c r="B20" i="11"/>
  <c r="S448" i="9"/>
  <c r="I448" i="9" s="1"/>
  <c r="S449" i="9"/>
  <c r="I449" i="9" s="1"/>
  <c r="K449" i="9" s="1"/>
  <c r="Z448" i="9"/>
  <c r="L448" i="9"/>
  <c r="F71" i="6"/>
  <c r="O62" i="8" s="1"/>
  <c r="S446" i="9"/>
  <c r="I446" i="9" s="1"/>
  <c r="K446" i="9" s="1"/>
  <c r="S447" i="9"/>
  <c r="I447" i="9" s="1"/>
  <c r="K447" i="9" s="1"/>
  <c r="L446" i="9"/>
  <c r="S443" i="9"/>
  <c r="I443" i="9" s="1"/>
  <c r="K443" i="9" s="1"/>
  <c r="S445" i="9"/>
  <c r="I445" i="9" s="1"/>
  <c r="K445" i="9" s="1"/>
  <c r="L443" i="9"/>
  <c r="S444" i="9"/>
  <c r="I444" i="9" s="1"/>
  <c r="S442" i="9"/>
  <c r="I442" i="9" s="1"/>
  <c r="K442" i="9" s="1"/>
  <c r="S440" i="9"/>
  <c r="I440" i="9" s="1"/>
  <c r="K440" i="9" s="1"/>
  <c r="S441" i="9"/>
  <c r="I441" i="9" s="1"/>
  <c r="L440" i="9"/>
  <c r="S439" i="9"/>
  <c r="I439" i="9" s="1"/>
  <c r="K439" i="9" s="1"/>
  <c r="S438" i="9"/>
  <c r="I438" i="9" s="1"/>
  <c r="K438" i="9" s="1"/>
  <c r="L437" i="9"/>
  <c r="S437" i="9"/>
  <c r="I437" i="9" s="1"/>
  <c r="S436" i="9"/>
  <c r="I436" i="9" s="1"/>
  <c r="K436" i="9" s="1"/>
  <c r="L435" i="9"/>
  <c r="S435" i="9"/>
  <c r="I435" i="9" s="1"/>
  <c r="S431" i="9"/>
  <c r="I431" i="9" s="1"/>
  <c r="K431" i="9" s="1"/>
  <c r="L433" i="9"/>
  <c r="S433" i="9"/>
  <c r="I433" i="9" s="1"/>
  <c r="K433" i="9" s="1"/>
  <c r="S434" i="9"/>
  <c r="I434" i="9" s="1"/>
  <c r="S429" i="9"/>
  <c r="I429" i="9" s="1"/>
  <c r="K429" i="9" s="1"/>
  <c r="L431" i="9"/>
  <c r="S432" i="9"/>
  <c r="I432" i="9" s="1"/>
  <c r="S427" i="9"/>
  <c r="I427" i="9" s="1"/>
  <c r="K427" i="9" s="1"/>
  <c r="L429" i="9"/>
  <c r="S430" i="9"/>
  <c r="I430" i="9" s="1"/>
  <c r="K430" i="9" s="1"/>
  <c r="S425" i="9"/>
  <c r="I425" i="9" s="1"/>
  <c r="K425" i="9" s="1"/>
  <c r="S428" i="9"/>
  <c r="I428" i="9" s="1"/>
  <c r="K428" i="9" s="1"/>
  <c r="L427" i="9"/>
  <c r="S426" i="9"/>
  <c r="I426" i="9" s="1"/>
  <c r="L425" i="9"/>
  <c r="S419" i="9"/>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K93" i="9" s="1"/>
  <c r="S41" i="9"/>
  <c r="I41" i="9" s="1"/>
  <c r="K41" i="9" s="1"/>
  <c r="S19" i="9"/>
  <c r="I19" i="9" s="1"/>
  <c r="K19" i="9" s="1"/>
  <c r="Z30" i="9"/>
  <c r="AA29" i="9" s="1"/>
  <c r="AB29" i="9" s="1"/>
  <c r="U31" i="9" s="1"/>
  <c r="Y14" i="9"/>
  <c r="Z14" i="9" s="1"/>
  <c r="AA14" i="9" s="1"/>
  <c r="AB14" i="9" s="1"/>
  <c r="D105" i="6" s="1"/>
  <c r="Z23" i="9"/>
  <c r="AA23" i="9" s="1"/>
  <c r="AB23" i="9" s="1"/>
  <c r="U25" i="9" s="1"/>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F66" i="11" s="1"/>
  <c r="S107" i="9"/>
  <c r="I107" i="9" s="1"/>
  <c r="K107" i="9" s="1"/>
  <c r="D27" i="8"/>
  <c r="L196" i="9"/>
  <c r="S244" i="9"/>
  <c r="I244" i="9" s="1"/>
  <c r="F122" i="11" s="1"/>
  <c r="G122" i="11" s="1"/>
  <c r="I122" i="11" s="1"/>
  <c r="Y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F67" i="11"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G70" i="11" s="1"/>
  <c r="I70" i="11" s="1"/>
  <c r="Y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Y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L62" i="9"/>
  <c r="L5" i="9"/>
  <c r="S66" i="9"/>
  <c r="I66" i="9" s="1"/>
  <c r="K66" i="9" s="1"/>
  <c r="S65" i="9"/>
  <c r="I65" i="9" s="1"/>
  <c r="F65" i="11"/>
  <c r="L14" i="9"/>
  <c r="F57" i="11"/>
  <c r="G57" i="11" s="1"/>
  <c r="I57" i="11" s="1"/>
  <c r="Y57" i="11" s="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360" i="11"/>
  <c r="Y353" i="11"/>
  <c r="Y273" i="11"/>
  <c r="Y241" i="11"/>
  <c r="Y396" i="11"/>
  <c r="Y429" i="11"/>
  <c r="Y412" i="11"/>
  <c r="Y286" i="11"/>
  <c r="Y247" i="11"/>
  <c r="Y243" i="11"/>
  <c r="Y235" i="11"/>
  <c r="Y401" i="11"/>
  <c r="Y385" i="11"/>
  <c r="Y365" i="11"/>
  <c r="Y284" i="11"/>
  <c r="Y275" i="11"/>
  <c r="Y417" i="11"/>
  <c r="Y380" i="11"/>
  <c r="Y367" i="11"/>
  <c r="Y350" i="11"/>
  <c r="Y279" i="11"/>
  <c r="Y398" i="11"/>
  <c r="Y319" i="11"/>
  <c r="Y317" i="11"/>
  <c r="Y414" i="11"/>
  <c r="Y335" i="11"/>
  <c r="Y333" i="11"/>
  <c r="Y312" i="11"/>
  <c r="Y301" i="11"/>
  <c r="Y255" i="11"/>
  <c r="Y382" i="11"/>
  <c r="Y328" i="11"/>
  <c r="Y257" i="11"/>
  <c r="Y253" i="11"/>
  <c r="Y369" i="11"/>
  <c r="Y305" i="11"/>
  <c r="Y296" i="11"/>
  <c r="Y240" i="11"/>
  <c r="Y238" i="11"/>
  <c r="Y376" i="11"/>
  <c r="Y364" i="11"/>
  <c r="Y347" i="11"/>
  <c r="Y321" i="11"/>
  <c r="Y287" i="11"/>
  <c r="Y263" i="11"/>
  <c r="Y259" i="11"/>
  <c r="Y228" i="11"/>
  <c r="Y379" i="11"/>
  <c r="Y344" i="11"/>
  <c r="Y337" i="11"/>
  <c r="Y285" i="11"/>
  <c r="Y248" i="11"/>
  <c r="Y244" i="11"/>
  <c r="Y236" i="11"/>
  <c r="Y397" i="11"/>
  <c r="Y371" i="11"/>
  <c r="Y356" i="11"/>
  <c r="Y349" i="11"/>
  <c r="Y413" i="11"/>
  <c r="Y366" i="11"/>
  <c r="Y351" i="11"/>
  <c r="Y323" i="11"/>
  <c r="Y289" i="11"/>
  <c r="Y280" i="11"/>
  <c r="Y224" i="11"/>
  <c r="Y339" i="11"/>
  <c r="Y271" i="11"/>
  <c r="Y427" i="11"/>
  <c r="Y399" i="11"/>
  <c r="Y381" i="11"/>
  <c r="Y302" i="11"/>
  <c r="Y269" i="11"/>
  <c r="Y225" i="11"/>
  <c r="AG20" i="11"/>
  <c r="AG19" i="11"/>
  <c r="Y76" i="11"/>
  <c r="AH15" i="11"/>
  <c r="AH7" i="11"/>
  <c r="AH13" i="11"/>
  <c r="AH14" i="11"/>
  <c r="Q40" i="10"/>
  <c r="V20" i="11"/>
  <c r="P49" i="10"/>
  <c r="R49" i="10" s="1"/>
  <c r="G111" i="11"/>
  <c r="I111" i="11" s="1"/>
  <c r="Y111" i="11" s="1"/>
  <c r="Y332" i="11"/>
  <c r="Y260" i="11"/>
  <c r="Y270" i="11"/>
  <c r="Y294" i="11"/>
  <c r="Y387" i="11"/>
  <c r="Y226" i="11"/>
  <c r="Y230" i="11"/>
  <c r="Y267" i="11"/>
  <c r="Y316" i="11"/>
  <c r="Y340" i="11"/>
  <c r="Y250" i="11"/>
  <c r="Y264" i="11"/>
  <c r="Y326" i="11"/>
  <c r="Y237" i="11"/>
  <c r="Y299" i="11"/>
  <c r="Y303" i="11"/>
  <c r="Y411" i="11"/>
  <c r="Y278" i="11"/>
  <c r="Y227" i="11"/>
  <c r="Y254" i="11"/>
  <c r="Y268" i="11"/>
  <c r="Y310" i="11"/>
  <c r="Y348" i="11"/>
  <c r="Y355" i="11"/>
  <c r="Y231" i="11"/>
  <c r="Y262" i="11"/>
  <c r="Y292" i="11"/>
  <c r="Y295" i="11"/>
  <c r="Y307" i="11"/>
  <c r="Y324" i="11"/>
  <c r="Y334" i="11"/>
  <c r="Y251" i="11"/>
  <c r="Y395" i="11"/>
  <c r="Y308" i="11"/>
  <c r="Y33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463" i="9" l="1"/>
  <c r="F223" i="11"/>
  <c r="G223" i="11" s="1"/>
  <c r="I223" i="11" s="1"/>
  <c r="Y223" i="11" s="1"/>
  <c r="K460" i="9"/>
  <c r="F222" i="11"/>
  <c r="G222" i="11" s="1"/>
  <c r="I222" i="11" s="1"/>
  <c r="Y222" i="11" s="1"/>
  <c r="F220" i="11"/>
  <c r="G220" i="11" s="1"/>
  <c r="I220" i="11" s="1"/>
  <c r="Y220" i="11" s="1"/>
  <c r="K459" i="9"/>
  <c r="F221" i="11"/>
  <c r="G221" i="11" s="1"/>
  <c r="I221" i="11" s="1"/>
  <c r="Y221" i="11" s="1"/>
  <c r="K266" i="9"/>
  <c r="U459" i="9"/>
  <c r="K454" i="9"/>
  <c r="F219" i="11"/>
  <c r="G219" i="11" s="1"/>
  <c r="I219" i="11" s="1"/>
  <c r="Y219" i="11" s="1"/>
  <c r="K453" i="9"/>
  <c r="F218" i="11"/>
  <c r="G218" i="11" s="1"/>
  <c r="I218" i="11" s="1"/>
  <c r="Y218" i="11" s="1"/>
  <c r="K450" i="9"/>
  <c r="F217" i="11"/>
  <c r="G217" i="11" s="1"/>
  <c r="I217" i="11" s="1"/>
  <c r="Y217" i="11" s="1"/>
  <c r="K448" i="9"/>
  <c r="F216" i="11"/>
  <c r="G216" i="11" s="1"/>
  <c r="I216" i="11" s="1"/>
  <c r="Y216" i="11" s="1"/>
  <c r="F215" i="11"/>
  <c r="G215" i="11" s="1"/>
  <c r="I215" i="11" s="1"/>
  <c r="Y215" i="11" s="1"/>
  <c r="K444" i="9"/>
  <c r="F214" i="11"/>
  <c r="G214" i="11" s="1"/>
  <c r="I214" i="11" s="1"/>
  <c r="Y214" i="11" s="1"/>
  <c r="K441" i="9"/>
  <c r="F213" i="11"/>
  <c r="G213" i="11" s="1"/>
  <c r="I213" i="11" s="1"/>
  <c r="Y213" i="11" s="1"/>
  <c r="K437" i="9"/>
  <c r="F212" i="11"/>
  <c r="G212" i="11" s="1"/>
  <c r="I212" i="11" s="1"/>
  <c r="Y212" i="11" s="1"/>
  <c r="K435" i="9"/>
  <c r="F211" i="11"/>
  <c r="G211" i="11" s="1"/>
  <c r="I211" i="11" s="1"/>
  <c r="Y211" i="11" s="1"/>
  <c r="F207" i="11"/>
  <c r="G207" i="11" s="1"/>
  <c r="I207" i="11" s="1"/>
  <c r="Y207" i="11" s="1"/>
  <c r="F208" i="11"/>
  <c r="G208" i="11" s="1"/>
  <c r="I208" i="11" s="1"/>
  <c r="Y208" i="11" s="1"/>
  <c r="K434" i="9"/>
  <c r="F210" i="11"/>
  <c r="G210" i="11" s="1"/>
  <c r="I210" i="11" s="1"/>
  <c r="Y210" i="11" s="1"/>
  <c r="K432" i="9"/>
  <c r="F209" i="11"/>
  <c r="G209" i="11" s="1"/>
  <c r="I209" i="11" s="1"/>
  <c r="Y209" i="11" s="1"/>
  <c r="K426" i="9"/>
  <c r="F206" i="11"/>
  <c r="G206" i="11" s="1"/>
  <c r="I206" i="11" s="1"/>
  <c r="Y206" i="11" s="1"/>
  <c r="AA4" i="9"/>
  <c r="AB4" i="9" s="1"/>
  <c r="F108" i="6" s="1"/>
  <c r="K424" i="9"/>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R43" i="10"/>
  <c r="AA357" i="9"/>
  <c r="AB357" i="9" s="1"/>
  <c r="I122" i="6"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Y459" i="9" l="1"/>
  <c r="Z459" i="9" s="1"/>
  <c r="Y458" i="9"/>
  <c r="Z458" i="9" s="1"/>
  <c r="AA458" i="9" s="1"/>
  <c r="AB458" i="9" s="1"/>
  <c r="U457" i="9"/>
  <c r="A11" i="8"/>
  <c r="L22" i="15"/>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U460" i="9" l="1"/>
  <c r="AA459" i="9"/>
  <c r="AB459" i="9" s="1"/>
  <c r="Z457" i="9"/>
  <c r="Y422" i="9"/>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Y412" i="9"/>
  <c r="Z412" i="9" s="1"/>
  <c r="Y413" i="9"/>
  <c r="Z413" i="9" s="1"/>
  <c r="AA413" i="9" s="1"/>
  <c r="AB413" i="9" s="1"/>
  <c r="V128" i="9"/>
  <c r="W128" i="9" s="1"/>
  <c r="X128" i="9" s="1"/>
  <c r="P128" i="9"/>
  <c r="Q128" i="9" s="1"/>
  <c r="AA18" i="9"/>
  <c r="AB18" i="9" s="1"/>
  <c r="U20" i="9" s="1"/>
  <c r="Y20" i="9" s="1"/>
  <c r="Z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19" i="9"/>
  <c r="Z19" i="9" s="1"/>
  <c r="W129" i="9"/>
  <c r="P108" i="6"/>
  <c r="B18" i="2" s="1"/>
  <c r="Y284" i="9"/>
  <c r="Y285" i="9"/>
  <c r="Z285" i="9" s="1"/>
  <c r="AA238" i="9"/>
  <c r="AB238" i="9" s="1"/>
  <c r="U257" i="9" s="1"/>
  <c r="AA237" i="9"/>
  <c r="AB237" i="9" s="1"/>
  <c r="U254" i="9" s="1"/>
  <c r="Y34" i="9"/>
  <c r="Z34" i="9" s="1"/>
  <c r="Y33" i="9"/>
  <c r="Z33" i="9" s="1"/>
  <c r="V13" i="9"/>
  <c r="X13" i="9" s="1"/>
  <c r="J13" i="9" s="1"/>
  <c r="M13" i="9" s="1"/>
  <c r="N13" i="9" s="1"/>
  <c r="Q13" i="9"/>
  <c r="Y461" i="9" l="1"/>
  <c r="Y460" i="9"/>
  <c r="Z460" i="9" s="1"/>
  <c r="U461" i="9"/>
  <c r="AA457" i="9"/>
  <c r="AB457" i="9" s="1"/>
  <c r="F121" i="6" s="1"/>
  <c r="AA456" i="9"/>
  <c r="AB456" i="9" s="1"/>
  <c r="G121" i="6" s="1"/>
  <c r="H26" i="4" s="1"/>
  <c r="AA424" i="9"/>
  <c r="AB424" i="9" s="1"/>
  <c r="F116" i="6" s="1"/>
  <c r="P116" i="6" s="1"/>
  <c r="B26" i="2" s="1"/>
  <c r="D26" i="2" s="1"/>
  <c r="AA412" i="9"/>
  <c r="AB412" i="9" s="1"/>
  <c r="U415" i="9"/>
  <c r="U414" i="9"/>
  <c r="U382" i="9"/>
  <c r="D11" i="2"/>
  <c r="U365" i="9"/>
  <c r="U364" i="9"/>
  <c r="Q8" i="9"/>
  <c r="U54" i="9"/>
  <c r="U53" i="9"/>
  <c r="AA349" i="9"/>
  <c r="AB349" i="9" s="1"/>
  <c r="U351" i="9" s="1"/>
  <c r="U352"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AA460" i="9" l="1"/>
  <c r="AB460" i="9" s="1"/>
  <c r="Z461" i="9"/>
  <c r="AA461" i="9" s="1"/>
  <c r="AB461" i="9" s="1"/>
  <c r="P121" i="6"/>
  <c r="B31" i="2" s="1"/>
  <c r="C26" i="2"/>
  <c r="Y414" i="9"/>
  <c r="Z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463" i="9" l="1"/>
  <c r="U462" i="9"/>
  <c r="D31" i="2"/>
  <c r="C31" i="2"/>
  <c r="AA414" i="9"/>
  <c r="AB414" i="9" s="1"/>
  <c r="U418" i="9"/>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63" i="9" l="1"/>
  <c r="Z463" i="9" s="1"/>
  <c r="Y462" i="9"/>
  <c r="Z462" i="9" s="1"/>
  <c r="AA462" i="9" s="1"/>
  <c r="AB462" i="9" s="1"/>
  <c r="G122" i="6" s="1"/>
  <c r="Y419" i="9"/>
  <c r="Y418" i="9"/>
  <c r="Z418" i="9" s="1"/>
  <c r="Y417" i="9"/>
  <c r="Y416" i="9"/>
  <c r="Z416" i="9" s="1"/>
  <c r="AA382" i="9"/>
  <c r="AB382" i="9" s="1"/>
  <c r="U384" i="9" s="1"/>
  <c r="Y383" i="9" s="1"/>
  <c r="U383" i="9"/>
  <c r="Z366" i="9"/>
  <c r="U56" i="9"/>
  <c r="U55" i="9"/>
  <c r="Y55" i="9" s="1"/>
  <c r="Z55" i="9" s="1"/>
  <c r="Y353" i="9"/>
  <c r="Z353" i="9" s="1"/>
  <c r="Y354" i="9"/>
  <c r="Z354" i="9" s="1"/>
  <c r="AA354" i="9" s="1"/>
  <c r="AB354" i="9"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463" i="9" l="1"/>
  <c r="AB463" i="9" s="1"/>
  <c r="F122" i="6" s="1"/>
  <c r="P122" i="6" s="1"/>
  <c r="B32" i="2" s="1"/>
  <c r="H27" i="4"/>
  <c r="U453" i="9"/>
  <c r="U417" i="9"/>
  <c r="Y384" i="9"/>
  <c r="Z384" i="9" s="1"/>
  <c r="Z383" i="9"/>
  <c r="AA383" i="9" s="1"/>
  <c r="AB383" i="9" s="1"/>
  <c r="AA366" i="9"/>
  <c r="AB366" i="9" s="1"/>
  <c r="AA367" i="9"/>
  <c r="AB367" i="9" s="1"/>
  <c r="D100" i="6" s="1"/>
  <c r="G100" i="6"/>
  <c r="H5" i="4" s="1"/>
  <c r="H100" i="6"/>
  <c r="Y56" i="9"/>
  <c r="Z56" i="9" s="1"/>
  <c r="AA56" i="9" s="1"/>
  <c r="AB56" i="9" s="1"/>
  <c r="AA353" i="9"/>
  <c r="AB353" i="9" s="1"/>
  <c r="J120" i="6"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D32" i="2" l="1"/>
  <c r="C32" i="2"/>
  <c r="Y453" i="9"/>
  <c r="Z453" i="9" s="1"/>
  <c r="Y452" i="9"/>
  <c r="Z452" i="9" s="1"/>
  <c r="AA452" i="9" s="1"/>
  <c r="AB452" i="9" s="1"/>
  <c r="Z417" i="9"/>
  <c r="AA384" i="9"/>
  <c r="AB384" i="9" s="1"/>
  <c r="U386" i="9" s="1"/>
  <c r="Y385" i="9" s="1"/>
  <c r="U385" i="9"/>
  <c r="P100" i="6"/>
  <c r="B10" i="2" s="1"/>
  <c r="D10" i="2" s="1"/>
  <c r="AA55" i="9"/>
  <c r="AB55" i="9" s="1"/>
  <c r="U376" i="9" s="1"/>
  <c r="U104" i="9"/>
  <c r="Y105" i="9" s="1"/>
  <c r="Z105" i="9" s="1"/>
  <c r="U246" i="9"/>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53" i="9" l="1"/>
  <c r="AB453" i="9" s="1"/>
  <c r="U455" i="9"/>
  <c r="U454" i="9"/>
  <c r="AA417" i="9"/>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Y455" i="9" l="1"/>
  <c r="Z455" i="9" s="1"/>
  <c r="AA455" i="9" s="1"/>
  <c r="AB455" i="9" s="1"/>
  <c r="F120" i="6" s="1"/>
  <c r="Y454" i="9"/>
  <c r="Z454" i="9" s="1"/>
  <c r="AA454" i="9" s="1"/>
  <c r="AB454" i="9" s="1"/>
  <c r="G120" i="6" s="1"/>
  <c r="U419" i="9"/>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H25" i="4" l="1"/>
  <c r="P120" i="6"/>
  <c r="B30" i="2" s="1"/>
  <c r="Z419" i="9"/>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C30" i="2" l="1"/>
  <c r="D30" i="2"/>
  <c r="AA419" i="9"/>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U451" i="9" l="1"/>
  <c r="Y407" i="9"/>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Z451" i="9" l="1"/>
  <c r="AA407" i="9"/>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AA451" i="9" l="1"/>
  <c r="AB451" i="9" s="1"/>
  <c r="F104" i="6" s="1"/>
  <c r="AA450" i="9"/>
  <c r="AB450" i="9" s="1"/>
  <c r="G104" i="6" s="1"/>
  <c r="H9" i="4" s="1"/>
  <c r="Y408" i="9"/>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426" i="9" l="1"/>
  <c r="D25" i="2"/>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426" i="9" l="1"/>
  <c r="Z426" i="9" s="1"/>
  <c r="Y425" i="9"/>
  <c r="Y375" i="9"/>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U436" i="9" l="1"/>
  <c r="AA399" i="9"/>
  <c r="AB399" i="9"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U425" i="9" l="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Z425" i="9" l="1"/>
  <c r="Y391" i="9"/>
  <c r="Z391" i="9" s="1"/>
  <c r="AA391" i="9" s="1"/>
  <c r="AB391" i="9"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U449" i="9" l="1"/>
  <c r="AA425" i="9"/>
  <c r="AB425" i="9" s="1"/>
  <c r="AA426" i="9"/>
  <c r="AB426" i="9"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449" i="9" l="1"/>
  <c r="U428" i="9"/>
  <c r="U427" i="9"/>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AA449" i="9" l="1"/>
  <c r="AB449" i="9" s="1"/>
  <c r="G113" i="6" s="1"/>
  <c r="H18" i="4" s="1"/>
  <c r="AA448" i="9"/>
  <c r="AB448" i="9" s="1"/>
  <c r="F113" i="6" s="1"/>
  <c r="Y428" i="9"/>
  <c r="Z428" i="9" s="1"/>
  <c r="AA428" i="9" s="1"/>
  <c r="AB428" i="9" s="1"/>
  <c r="Y427" i="9"/>
  <c r="Z427" i="9" s="1"/>
  <c r="J35" i="9"/>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427" i="9" l="1"/>
  <c r="AB427" i="9" s="1"/>
  <c r="P113" i="6"/>
  <c r="B23" i="2" s="1"/>
  <c r="C23" i="2" s="1"/>
  <c r="U430" i="9"/>
  <c r="U429" i="9"/>
  <c r="AA115" i="9"/>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D23" i="2" l="1"/>
  <c r="Y430" i="9"/>
  <c r="Z430" i="9" s="1"/>
  <c r="AA430" i="9" s="1"/>
  <c r="AB430" i="9" s="1"/>
  <c r="Y429" i="9"/>
  <c r="Z429" i="9" s="1"/>
  <c r="AA429" i="9" s="1"/>
  <c r="AB429" i="9" s="1"/>
  <c r="P37" i="9"/>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U432" i="9" l="1"/>
  <c r="U431" i="9"/>
  <c r="P102" i="6"/>
  <c r="B12" i="2" s="1"/>
  <c r="C12" i="2" s="1"/>
  <c r="Z214" i="9"/>
  <c r="Z215" i="9"/>
  <c r="AA215" i="9" s="1"/>
  <c r="AB215" i="9" s="1"/>
  <c r="C117" i="6" s="1"/>
  <c r="W38" i="9"/>
  <c r="X38" i="9" s="1"/>
  <c r="W37" i="9"/>
  <c r="X37" i="9" s="1"/>
  <c r="AA228" i="9"/>
  <c r="AB228" i="9" s="1"/>
  <c r="U230" i="9" s="1"/>
  <c r="AA227" i="9"/>
  <c r="AB227" i="9" s="1"/>
  <c r="U229" i="9" s="1"/>
  <c r="Y432" i="9" l="1"/>
  <c r="Z432" i="9" s="1"/>
  <c r="Y431" i="9"/>
  <c r="Z431" i="9" s="1"/>
  <c r="AA431" i="9" s="1"/>
  <c r="AB431" i="9" s="1"/>
  <c r="D12" i="2"/>
  <c r="J38" i="9"/>
  <c r="M38" i="9" s="1"/>
  <c r="N38" i="9" s="1"/>
  <c r="J37" i="9"/>
  <c r="M37" i="9" s="1"/>
  <c r="N37" i="9" s="1"/>
  <c r="AA212" i="9"/>
  <c r="AB212" i="9" s="1"/>
  <c r="U216" i="9" s="1"/>
  <c r="AA213" i="9"/>
  <c r="AB213" i="9" s="1"/>
  <c r="U217" i="9" s="1"/>
  <c r="AA214" i="9"/>
  <c r="AB214" i="9" s="1"/>
  <c r="B117" i="6" s="1"/>
  <c r="Y230" i="9"/>
  <c r="Z230" i="9" s="1"/>
  <c r="Y229" i="9"/>
  <c r="Z229" i="9" s="1"/>
  <c r="AA432" i="9" l="1"/>
  <c r="AB432" i="9" s="1"/>
  <c r="U434" i="9"/>
  <c r="U433" i="9"/>
  <c r="AA229" i="9"/>
  <c r="AB229" i="9" s="1"/>
  <c r="U231" i="9" s="1"/>
  <c r="AA230" i="9"/>
  <c r="AB230" i="9" s="1"/>
  <c r="U232" i="9" s="1"/>
  <c r="Y218" i="9"/>
  <c r="Z218" i="9" s="1"/>
  <c r="Y216" i="9"/>
  <c r="Z216" i="9" s="1"/>
  <c r="Y217" i="9"/>
  <c r="Z217" i="9" s="1"/>
  <c r="Y219" i="9"/>
  <c r="Z219" i="9" s="1"/>
  <c r="AA219" i="9" s="1"/>
  <c r="AB219" i="9" s="1"/>
  <c r="F117" i="6" s="1"/>
  <c r="P38" i="11"/>
  <c r="H39" i="9"/>
  <c r="R38" i="11"/>
  <c r="H40" i="9"/>
  <c r="Y434" i="9" l="1"/>
  <c r="Z434" i="9" s="1"/>
  <c r="Y433" i="9"/>
  <c r="Z433" i="9" s="1"/>
  <c r="AA433" i="9" s="1"/>
  <c r="AB433" i="9" s="1"/>
  <c r="V39" i="9"/>
  <c r="P39" i="9"/>
  <c r="Q39" i="9" s="1"/>
  <c r="P40" i="9"/>
  <c r="Q40" i="9" s="1"/>
  <c r="V40" i="9"/>
  <c r="AA216" i="9"/>
  <c r="AB216" i="9" s="1"/>
  <c r="M117" i="6" s="1"/>
  <c r="AA218" i="9"/>
  <c r="AB218" i="9" s="1"/>
  <c r="G117" i="6" s="1"/>
  <c r="H22" i="4" s="1"/>
  <c r="AA217" i="9"/>
  <c r="AB217" i="9" s="1"/>
  <c r="E117" i="6" s="1"/>
  <c r="Y232" i="9"/>
  <c r="Z232" i="9" s="1"/>
  <c r="Y231" i="9"/>
  <c r="Z231" i="9" s="1"/>
  <c r="U435" i="9" l="1"/>
  <c r="AA434" i="9"/>
  <c r="AB434" i="9" s="1"/>
  <c r="P117" i="6"/>
  <c r="B27" i="2" s="1"/>
  <c r="D27" i="2" s="1"/>
  <c r="AA232" i="9"/>
  <c r="AB232" i="9" s="1"/>
  <c r="H111" i="6" s="1"/>
  <c r="AA231" i="9"/>
  <c r="AB231" i="9" s="1"/>
  <c r="U234" i="9" s="1"/>
  <c r="W40" i="9"/>
  <c r="X40" i="9" s="1"/>
  <c r="W39" i="9"/>
  <c r="X39" i="9" s="1"/>
  <c r="U438" i="9" l="1"/>
  <c r="Y436" i="9"/>
  <c r="Z436" i="9" s="1"/>
  <c r="AA436" i="9" s="1"/>
  <c r="AB436" i="9" s="1"/>
  <c r="Y435" i="9"/>
  <c r="Z435" i="9" s="1"/>
  <c r="AA435" i="9" s="1"/>
  <c r="AB435" i="9" s="1"/>
  <c r="C27" i="2"/>
  <c r="J40" i="9"/>
  <c r="M40" i="9" s="1"/>
  <c r="N40" i="9" s="1"/>
  <c r="J39" i="9"/>
  <c r="M39" i="9" s="1"/>
  <c r="N39" i="9" s="1"/>
  <c r="Y234" i="9"/>
  <c r="Z234" i="9" s="1"/>
  <c r="Y233" i="9"/>
  <c r="Z233" i="9" s="1"/>
  <c r="U439" i="9" l="1"/>
  <c r="U437" i="9"/>
  <c r="AA234" i="9"/>
  <c r="AB234" i="9" s="1"/>
  <c r="U287" i="9" s="1"/>
  <c r="AA233" i="9"/>
  <c r="AB233" i="9" s="1"/>
  <c r="C111" i="6" s="1"/>
  <c r="P39" i="11"/>
  <c r="H41" i="9"/>
  <c r="R39" i="11"/>
  <c r="H42" i="9"/>
  <c r="Y437" i="9" l="1"/>
  <c r="Z437" i="9" s="1"/>
  <c r="Y438" i="9"/>
  <c r="Z438" i="9" s="1"/>
  <c r="AA438" i="9" s="1"/>
  <c r="AB438" i="9" s="1"/>
  <c r="Y439" i="9"/>
  <c r="Z439" i="9" s="1"/>
  <c r="AA439" i="9" s="1"/>
  <c r="AB439" i="9" s="1"/>
  <c r="P42" i="9"/>
  <c r="Q42" i="9" s="1"/>
  <c r="P41" i="9"/>
  <c r="Q41" i="9" s="1"/>
  <c r="V42" i="9"/>
  <c r="V41" i="9"/>
  <c r="Z287" i="9"/>
  <c r="U442" i="9" l="1"/>
  <c r="U441" i="9"/>
  <c r="AA437" i="9"/>
  <c r="AB437" i="9" s="1"/>
  <c r="W41" i="9"/>
  <c r="X41" i="9" s="1"/>
  <c r="W42" i="9"/>
  <c r="X42" i="9" s="1"/>
  <c r="AA287" i="9"/>
  <c r="AB287" i="9" s="1"/>
  <c r="U289" i="9" s="1"/>
  <c r="AA286" i="9"/>
  <c r="AB286" i="9" s="1"/>
  <c r="U288" i="9" s="1"/>
  <c r="Y441" i="9" l="1"/>
  <c r="Z441" i="9" s="1"/>
  <c r="Y442" i="9"/>
  <c r="Z442" i="9" s="1"/>
  <c r="AA442" i="9" s="1"/>
  <c r="AB442" i="9" s="1"/>
  <c r="Y440" i="9"/>
  <c r="U440" i="9"/>
  <c r="Y289" i="9"/>
  <c r="Z289" i="9" s="1"/>
  <c r="Y288" i="9"/>
  <c r="Z288" i="9" s="1"/>
  <c r="J42" i="9"/>
  <c r="M42" i="9" s="1"/>
  <c r="N42" i="9" s="1"/>
  <c r="J41" i="9"/>
  <c r="M41" i="9" s="1"/>
  <c r="N41" i="9" s="1"/>
  <c r="U445" i="9" l="1"/>
  <c r="AA441" i="9"/>
  <c r="AB441" i="9" s="1"/>
  <c r="Z440" i="9"/>
  <c r="AA440" i="9" s="1"/>
  <c r="AB440" i="9" s="1"/>
  <c r="P64" i="1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U444" i="9" l="1"/>
  <c r="U443" i="9"/>
  <c r="V48" i="9"/>
  <c r="X48" i="9" s="1"/>
  <c r="Q48" i="9"/>
  <c r="V120" i="9"/>
  <c r="H16" i="4"/>
  <c r="P111" i="6"/>
  <c r="B21" i="2" s="1"/>
  <c r="Y445" i="9" l="1"/>
  <c r="Z445" i="9" s="1"/>
  <c r="AA445" i="9" s="1"/>
  <c r="AB445" i="9" s="1"/>
  <c r="Y443" i="9"/>
  <c r="Z443" i="9" s="1"/>
  <c r="AA443" i="9" s="1"/>
  <c r="AB443" i="9" s="1"/>
  <c r="Y444" i="9"/>
  <c r="Z444" i="9" s="1"/>
  <c r="AA444" i="9" s="1"/>
  <c r="AB444" i="9" s="1"/>
  <c r="I118" i="6" s="1"/>
  <c r="J48" i="9"/>
  <c r="M48" i="9" s="1"/>
  <c r="N48" i="9" s="1"/>
  <c r="J47" i="9"/>
  <c r="M47" i="9" s="1"/>
  <c r="N47" i="9" s="1"/>
  <c r="D21" i="2"/>
  <c r="C21" i="2"/>
  <c r="U447" i="9" l="1"/>
  <c r="U446" i="9"/>
  <c r="K52" i="11"/>
  <c r="K50" i="11"/>
  <c r="K51" i="11"/>
  <c r="K43" i="11"/>
  <c r="K49" i="11"/>
  <c r="K46" i="11"/>
  <c r="K44" i="11"/>
  <c r="K48" i="11"/>
  <c r="K47" i="11"/>
  <c r="K45" i="11"/>
  <c r="H67" i="9"/>
  <c r="R43" i="11"/>
  <c r="H50" i="9"/>
  <c r="Y447" i="9" l="1"/>
  <c r="Z447" i="9" s="1"/>
  <c r="AA447" i="9" s="1"/>
  <c r="AB447" i="9" s="1"/>
  <c r="L118" i="6" s="1"/>
  <c r="Y446" i="9"/>
  <c r="Z446" i="9" s="1"/>
  <c r="V50" i="9"/>
  <c r="X50" i="9" s="1"/>
  <c r="Q50" i="9"/>
  <c r="V67" i="9"/>
  <c r="X67" i="9" s="1"/>
  <c r="Q67" i="9"/>
  <c r="AA446" i="9" l="1"/>
  <c r="AB446" i="9" s="1"/>
  <c r="G118" i="6" s="1"/>
  <c r="H23" i="4" s="1"/>
  <c r="B19" i="4" s="1"/>
  <c r="J68" i="9"/>
  <c r="M68" i="9" s="1"/>
  <c r="N68" i="9" s="1"/>
  <c r="J67" i="9"/>
  <c r="M67" i="9" s="1"/>
  <c r="N67" i="9" s="1"/>
  <c r="J49" i="9"/>
  <c r="M49" i="9" s="1"/>
  <c r="N49" i="9" s="1"/>
  <c r="J50" i="9"/>
  <c r="M50" i="9" s="1"/>
  <c r="N50" i="9" s="1"/>
  <c r="P118" i="6" l="1"/>
  <c r="B28" i="2" s="1"/>
  <c r="C28" i="2" s="1"/>
  <c r="R44" i="11"/>
  <c r="H52" i="9"/>
  <c r="M44" i="11"/>
  <c r="H51" i="9"/>
  <c r="K53" i="11"/>
  <c r="H69" i="9"/>
  <c r="U58" i="11"/>
  <c r="U56" i="11"/>
  <c r="U54" i="11"/>
  <c r="U61" i="11"/>
  <c r="U59" i="11"/>
  <c r="U57" i="11"/>
  <c r="U53" i="11"/>
  <c r="U60" i="11"/>
  <c r="U55" i="11"/>
  <c r="H87" i="9"/>
  <c r="D28" i="2" l="1"/>
  <c r="P70" i="9"/>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W413" i="9"/>
  <c r="X413" i="9" s="1"/>
  <c r="J413" i="9" s="1"/>
  <c r="M413" i="9" s="1"/>
  <c r="N413" i="9" s="1"/>
  <c r="J235" i="9"/>
  <c r="M235" i="9" s="1"/>
  <c r="N235" i="9" s="1"/>
  <c r="J236" i="9"/>
  <c r="M236" i="9" s="1"/>
  <c r="N236" i="9" s="1"/>
  <c r="H417" i="9" s="1"/>
  <c r="W230" i="9"/>
  <c r="X230" i="9" s="1"/>
  <c r="W229" i="9"/>
  <c r="X229" i="9" s="1"/>
  <c r="J412" i="9" l="1"/>
  <c r="M412" i="9" s="1"/>
  <c r="N412" i="9" s="1"/>
  <c r="V417" i="9"/>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W416" i="9"/>
  <c r="X416" i="9"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X419" i="9" l="1"/>
  <c r="J419" i="9" s="1"/>
  <c r="M419" i="9" s="1"/>
  <c r="N419" i="9" s="1"/>
  <c r="T223" i="11" s="1"/>
  <c r="J416" i="9"/>
  <c r="M416" i="9" s="1"/>
  <c r="N416" i="9" s="1"/>
  <c r="W223" i="11" s="1"/>
  <c r="W209" i="11"/>
  <c r="W210" i="11"/>
  <c r="W207" i="11"/>
  <c r="W208" i="11"/>
  <c r="J19" i="11"/>
  <c r="W206" i="11"/>
  <c r="W204" i="11"/>
  <c r="W205" i="11"/>
  <c r="J418" i="9"/>
  <c r="M418" i="9" s="1"/>
  <c r="N418" i="9" s="1"/>
  <c r="V223" i="11" s="1"/>
  <c r="Q419" i="9"/>
  <c r="W203" i="11"/>
  <c r="B14" i="12"/>
  <c r="P2" i="12" s="1"/>
  <c r="T203" i="11"/>
  <c r="P234" i="9"/>
  <c r="Q234" i="9" s="1"/>
  <c r="P233" i="9"/>
  <c r="Q233" i="9" s="1"/>
  <c r="V234" i="9"/>
  <c r="W245" i="9"/>
  <c r="W244" i="9"/>
  <c r="X244" i="9" s="1"/>
  <c r="V221" i="11" l="1"/>
  <c r="V222" i="11"/>
  <c r="W221" i="11"/>
  <c r="W222" i="11"/>
  <c r="T221" i="11"/>
  <c r="T222" i="11"/>
  <c r="V220" i="11"/>
  <c r="V219" i="11"/>
  <c r="W220" i="11"/>
  <c r="W219" i="11"/>
  <c r="T220" i="11"/>
  <c r="T219" i="11"/>
  <c r="V216" i="11"/>
  <c r="V218" i="11"/>
  <c r="V217" i="11"/>
  <c r="W218" i="11"/>
  <c r="W217" i="11"/>
  <c r="T216" i="11"/>
  <c r="T218" i="11"/>
  <c r="T217" i="11"/>
  <c r="W215" i="11"/>
  <c r="W216" i="11"/>
  <c r="T215" i="11"/>
  <c r="B11" i="12"/>
  <c r="M2" i="12" s="1"/>
  <c r="V214" i="11"/>
  <c r="V215" i="11"/>
  <c r="T213" i="11"/>
  <c r="T214" i="11"/>
  <c r="W213" i="11"/>
  <c r="W214" i="11"/>
  <c r="V212" i="11"/>
  <c r="V213" i="11"/>
  <c r="T211" i="11"/>
  <c r="T212" i="11"/>
  <c r="W211" i="11"/>
  <c r="W212" i="11"/>
  <c r="V210" i="11"/>
  <c r="V211" i="11"/>
  <c r="T209" i="11"/>
  <c r="T210" i="11"/>
  <c r="V208" i="11"/>
  <c r="V209" i="11"/>
  <c r="T207" i="11"/>
  <c r="T208" i="11"/>
  <c r="V206" i="11"/>
  <c r="V207" i="11"/>
  <c r="J16" i="11"/>
  <c r="T206" i="11"/>
  <c r="V205" i="11"/>
  <c r="J18" i="11"/>
  <c r="T204" i="11"/>
  <c r="T205" i="11"/>
  <c r="V204" i="11"/>
  <c r="B13" i="12"/>
  <c r="B19" i="11"/>
  <c r="B16" i="11"/>
  <c r="W234" i="9"/>
  <c r="X234" i="9" s="1"/>
  <c r="W233" i="9"/>
  <c r="X233" i="9" s="1"/>
  <c r="O2" i="12" l="1"/>
  <c r="B18" i="11"/>
  <c r="J233" i="9"/>
  <c r="M233" i="9" s="1"/>
  <c r="N233" i="9" s="1"/>
  <c r="L223" i="11" s="1"/>
  <c r="J234" i="9"/>
  <c r="M234" i="9" s="1"/>
  <c r="N234" i="9" s="1"/>
  <c r="L221" i="11" l="1"/>
  <c r="L222" i="11"/>
  <c r="L219" i="11"/>
  <c r="L220" i="11"/>
  <c r="L216" i="11"/>
  <c r="L218" i="11"/>
  <c r="L217" i="11"/>
  <c r="L214" i="11"/>
  <c r="L215" i="11"/>
  <c r="L212" i="11"/>
  <c r="L213" i="11"/>
  <c r="L210" i="11"/>
  <c r="L211" i="11"/>
  <c r="L208" i="11"/>
  <c r="L209" i="11"/>
  <c r="L206" i="11"/>
  <c r="L207" i="11"/>
  <c r="L204" i="1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S223" i="11" s="1"/>
  <c r="R180" i="11"/>
  <c r="J306" i="9"/>
  <c r="M306" i="9" s="1"/>
  <c r="N306" i="9" s="1"/>
  <c r="J307" i="9"/>
  <c r="M307" i="9" s="1"/>
  <c r="N307" i="9" s="1"/>
  <c r="S221" i="11" l="1"/>
  <c r="S222" i="11"/>
  <c r="S220" i="11"/>
  <c r="S219" i="11"/>
  <c r="S216" i="11"/>
  <c r="S218" i="11"/>
  <c r="S217" i="11"/>
  <c r="S214" i="11"/>
  <c r="S215" i="11"/>
  <c r="S212" i="11"/>
  <c r="S213" i="11"/>
  <c r="S210" i="11"/>
  <c r="S211" i="11"/>
  <c r="S208" i="11"/>
  <c r="S209" i="11"/>
  <c r="S206" i="11"/>
  <c r="S207" i="11"/>
  <c r="S204" i="1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N223" i="11" s="1"/>
  <c r="W327" i="9"/>
  <c r="X327" i="9" s="1"/>
  <c r="W326" i="9"/>
  <c r="X326" i="9" s="1"/>
  <c r="N221" i="11" l="1"/>
  <c r="N222" i="11"/>
  <c r="N220" i="11"/>
  <c r="N219" i="11"/>
  <c r="N216" i="11"/>
  <c r="N218" i="11"/>
  <c r="N217" i="11"/>
  <c r="N214" i="11"/>
  <c r="N215" i="11"/>
  <c r="N212" i="11"/>
  <c r="N213" i="11"/>
  <c r="N210" i="11"/>
  <c r="N211" i="11"/>
  <c r="N208" i="11"/>
  <c r="N209" i="11"/>
  <c r="N206" i="11"/>
  <c r="N207" i="11"/>
  <c r="N204" i="1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W369" i="9" s="1"/>
  <c r="X369" i="9" s="1"/>
  <c r="J369" i="9" s="1"/>
  <c r="M369" i="9" s="1"/>
  <c r="N369" i="9" s="1"/>
  <c r="H371" i="9" s="1"/>
  <c r="P369" i="9"/>
  <c r="Q369" i="9" s="1"/>
  <c r="Q366" i="9"/>
  <c r="V366" i="9"/>
  <c r="X366" i="9" s="1"/>
  <c r="W368" i="9" l="1"/>
  <c r="X368" i="9" s="1"/>
  <c r="J368" i="9" s="1"/>
  <c r="M368" i="9" s="1"/>
  <c r="N368" i="9" s="1"/>
  <c r="H370" i="9" s="1"/>
  <c r="V370" i="9" s="1"/>
  <c r="P370" i="9"/>
  <c r="P371" i="9"/>
  <c r="Q371" i="9" s="1"/>
  <c r="P372" i="9"/>
  <c r="Q372" i="9" s="1"/>
  <c r="V371" i="9"/>
  <c r="P183" i="11"/>
  <c r="U183" i="11"/>
  <c r="J366" i="9"/>
  <c r="M366" i="9" s="1"/>
  <c r="N366" i="9" s="1"/>
  <c r="J367" i="9"/>
  <c r="M367" i="9" s="1"/>
  <c r="N367" i="9" s="1"/>
  <c r="Q370" i="9" l="1"/>
  <c r="H376" i="9"/>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H423" i="9" l="1"/>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23" i="11" s="1"/>
  <c r="Q205" i="11"/>
  <c r="B8" i="12"/>
  <c r="V402" i="9"/>
  <c r="K194" i="11"/>
  <c r="K195" i="11"/>
  <c r="J386" i="9"/>
  <c r="M386" i="9" s="1"/>
  <c r="N386" i="9" s="1"/>
  <c r="H403" i="9" s="1"/>
  <c r="K192" i="11"/>
  <c r="K193" i="11"/>
  <c r="R191" i="11"/>
  <c r="K190" i="11"/>
  <c r="K191" i="11"/>
  <c r="W387" i="9"/>
  <c r="W388" i="9"/>
  <c r="X388" i="9" s="1"/>
  <c r="Q387" i="9"/>
  <c r="V387" i="9"/>
  <c r="K189" i="11"/>
  <c r="N380" i="9"/>
  <c r="H395" i="9" s="1"/>
  <c r="Q221" i="11" l="1"/>
  <c r="Q222" i="11"/>
  <c r="Q220" i="11"/>
  <c r="Q219" i="11"/>
  <c r="Q217" i="11"/>
  <c r="Q218" i="11"/>
  <c r="Q215" i="11"/>
  <c r="Q216" i="11"/>
  <c r="Q213" i="11"/>
  <c r="Q214" i="11"/>
  <c r="Q211" i="11"/>
  <c r="Q212" i="11"/>
  <c r="Q209" i="11"/>
  <c r="Q210" i="11"/>
  <c r="R190" i="11"/>
  <c r="R193" i="11"/>
  <c r="R192" i="11"/>
  <c r="R189" i="11"/>
  <c r="Q207" i="11"/>
  <c r="Q208" i="11"/>
  <c r="Q206" i="11"/>
  <c r="J13" i="11"/>
  <c r="J2" i="12"/>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l="1"/>
  <c r="M390" i="9" s="1"/>
  <c r="N390" i="9" s="1"/>
  <c r="X404" i="9"/>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X391" i="9"/>
  <c r="J391" i="9" s="1"/>
  <c r="M391" i="9" s="1"/>
  <c r="N391" i="9" s="1"/>
  <c r="J392" i="9" l="1"/>
  <c r="M392" i="9" s="1"/>
  <c r="N392" i="9" s="1"/>
  <c r="W408" i="9"/>
  <c r="X408" i="9" s="1"/>
  <c r="W409" i="9"/>
  <c r="X409" i="9" s="1"/>
  <c r="J409" i="9" s="1"/>
  <c r="M409" i="9" s="1"/>
  <c r="N409" i="9" s="1"/>
  <c r="H393" i="9"/>
  <c r="H394" i="9"/>
  <c r="U192" i="11"/>
  <c r="P192" i="11"/>
  <c r="H422" i="9" l="1"/>
  <c r="R204" i="11"/>
  <c r="R202" i="11"/>
  <c r="R203" i="11"/>
  <c r="R200" i="11"/>
  <c r="R201" i="11"/>
  <c r="R199" i="11"/>
  <c r="J408" i="9"/>
  <c r="M408" i="9" s="1"/>
  <c r="N408" i="9" s="1"/>
  <c r="K199" i="11"/>
  <c r="V394" i="9"/>
  <c r="P395" i="9"/>
  <c r="Q395" i="9" s="1"/>
  <c r="P393" i="9"/>
  <c r="Q393" i="9" s="1"/>
  <c r="P394" i="9"/>
  <c r="Q394" i="9" s="1"/>
  <c r="V393" i="9"/>
  <c r="Q422" i="9" l="1"/>
  <c r="V422" i="9"/>
  <c r="X422" i="9" s="1"/>
  <c r="H421" i="9"/>
  <c r="K204" i="11"/>
  <c r="K202" i="11"/>
  <c r="K203" i="11"/>
  <c r="K200" i="11"/>
  <c r="K201" i="11"/>
  <c r="W394" i="9"/>
  <c r="X394" i="9" s="1"/>
  <c r="W395" i="9"/>
  <c r="X395" i="9" s="1"/>
  <c r="J395" i="9" s="1"/>
  <c r="M395" i="9" s="1"/>
  <c r="N395" i="9" s="1"/>
  <c r="W393" i="9"/>
  <c r="X393" i="9" s="1"/>
  <c r="J422" i="9" l="1"/>
  <c r="M422" i="9" s="1"/>
  <c r="N422" i="9" s="1"/>
  <c r="H426" i="9" s="1"/>
  <c r="R205" i="11"/>
  <c r="V421" i="9"/>
  <c r="X421" i="9" s="1"/>
  <c r="J421" i="9" s="1"/>
  <c r="M421" i="9" s="1"/>
  <c r="N421" i="9" s="1"/>
  <c r="K223" i="11" s="1"/>
  <c r="Q421" i="9"/>
  <c r="H397" i="9"/>
  <c r="J394" i="9"/>
  <c r="M394" i="9" s="1"/>
  <c r="N394" i="9" s="1"/>
  <c r="J393" i="9"/>
  <c r="M393" i="9" s="1"/>
  <c r="N393" i="9" s="1"/>
  <c r="M193" i="11"/>
  <c r="K221" i="11" l="1"/>
  <c r="K222" i="11"/>
  <c r="K219" i="11"/>
  <c r="K220" i="11"/>
  <c r="K218" i="11"/>
  <c r="K217" i="11"/>
  <c r="K215" i="11"/>
  <c r="K216" i="11"/>
  <c r="K213" i="11"/>
  <c r="K214" i="11"/>
  <c r="K211" i="11"/>
  <c r="K212" i="11"/>
  <c r="K209" i="11"/>
  <c r="K210" i="11"/>
  <c r="K207" i="11"/>
  <c r="K208" i="11"/>
  <c r="P426" i="9"/>
  <c r="Q426" i="9" s="1"/>
  <c r="P425" i="9"/>
  <c r="V426" i="9"/>
  <c r="K206" i="11"/>
  <c r="J7" i="11"/>
  <c r="B2" i="12"/>
  <c r="K205" i="11"/>
  <c r="H398" i="9"/>
  <c r="V397" i="9"/>
  <c r="H396" i="9"/>
  <c r="P193" i="11"/>
  <c r="U193" i="11"/>
  <c r="W426" i="9" l="1"/>
  <c r="X426" i="9" s="1"/>
  <c r="W425" i="9"/>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M223" i="11" s="1"/>
  <c r="W401" i="9"/>
  <c r="X401" i="9" s="1"/>
  <c r="J401" i="9" s="1"/>
  <c r="M401" i="9" s="1"/>
  <c r="N401" i="9" s="1"/>
  <c r="W399" i="9"/>
  <c r="X399" i="9" s="1"/>
  <c r="J399" i="9" s="1"/>
  <c r="M399" i="9" s="1"/>
  <c r="M221" i="11" l="1"/>
  <c r="M222" i="11"/>
  <c r="M220" i="11"/>
  <c r="M219" i="11"/>
  <c r="M218" i="11"/>
  <c r="M217" i="11"/>
  <c r="M215" i="11"/>
  <c r="M216" i="11"/>
  <c r="M213" i="11"/>
  <c r="M214" i="11"/>
  <c r="M211" i="11"/>
  <c r="M212" i="11"/>
  <c r="H436" i="9"/>
  <c r="U209" i="11"/>
  <c r="U210" i="11"/>
  <c r="M209" i="11"/>
  <c r="M210" i="11"/>
  <c r="U207" i="11"/>
  <c r="U208" i="11"/>
  <c r="M207" i="11"/>
  <c r="M208" i="11"/>
  <c r="J17" i="11"/>
  <c r="U206" i="11"/>
  <c r="J9" i="11"/>
  <c r="M206" i="11"/>
  <c r="U204" i="11"/>
  <c r="U205" i="11"/>
  <c r="M204" i="11"/>
  <c r="M205" i="11"/>
  <c r="U202" i="11"/>
  <c r="U203" i="11"/>
  <c r="M202" i="11"/>
  <c r="M203" i="11"/>
  <c r="U200" i="11"/>
  <c r="U201" i="11"/>
  <c r="M200" i="11"/>
  <c r="M201" i="11"/>
  <c r="U199" i="11"/>
  <c r="U198" i="11"/>
  <c r="M199" i="11"/>
  <c r="M198" i="11"/>
  <c r="U197" i="11"/>
  <c r="U196" i="11"/>
  <c r="M197" i="11"/>
  <c r="M196" i="11"/>
  <c r="N399" i="9"/>
  <c r="H420" i="9" s="1"/>
  <c r="U195" i="11"/>
  <c r="M195" i="11"/>
  <c r="B4" i="12"/>
  <c r="P195" i="11"/>
  <c r="V436" i="9" l="1"/>
  <c r="Q420" i="9"/>
  <c r="V420" i="9"/>
  <c r="X420" i="9" s="1"/>
  <c r="P203" i="11"/>
  <c r="P204" i="11"/>
  <c r="P201" i="11"/>
  <c r="P202" i="11"/>
  <c r="P200" i="11"/>
  <c r="P199" i="11"/>
  <c r="P198" i="11"/>
  <c r="P196" i="11"/>
  <c r="P197" i="11"/>
  <c r="F2" i="12"/>
  <c r="B9" i="11"/>
  <c r="S9" i="11" s="1"/>
  <c r="J420" i="9" l="1"/>
  <c r="M420" i="9" s="1"/>
  <c r="N420" i="9" s="1"/>
  <c r="H425" i="9" s="1"/>
  <c r="J424" i="9"/>
  <c r="M424" i="9" s="1"/>
  <c r="N424" i="9" s="1"/>
  <c r="H448" i="9" s="1"/>
  <c r="F93" i="6"/>
  <c r="S93" i="6" s="1"/>
  <c r="AI9" i="11"/>
  <c r="W9" i="11"/>
  <c r="P448" i="9" l="1"/>
  <c r="Q448" i="9" s="1"/>
  <c r="P449" i="9"/>
  <c r="V448" i="9"/>
  <c r="O215" i="11"/>
  <c r="O213" i="11"/>
  <c r="O214" i="11"/>
  <c r="O211" i="11"/>
  <c r="O212" i="11"/>
  <c r="O209" i="11"/>
  <c r="O210" i="11"/>
  <c r="O207" i="11"/>
  <c r="O208" i="11"/>
  <c r="Q425" i="9"/>
  <c r="V425" i="9"/>
  <c r="X425" i="9" s="1"/>
  <c r="O206" i="11"/>
  <c r="J11" i="11"/>
  <c r="O205" i="11"/>
  <c r="P205" i="11"/>
  <c r="W449" i="9" l="1"/>
  <c r="W448" i="9"/>
  <c r="X448" i="9" s="1"/>
  <c r="J425" i="9"/>
  <c r="M425" i="9" s="1"/>
  <c r="J426" i="9"/>
  <c r="M426" i="9" s="1"/>
  <c r="N426" i="9" s="1"/>
  <c r="H428" i="9" l="1"/>
  <c r="R206" i="11"/>
  <c r="N425" i="9"/>
  <c r="V428" i="9" l="1"/>
  <c r="H427" i="9"/>
  <c r="P206" i="11"/>
  <c r="P428" i="9" l="1"/>
  <c r="Q428" i="9" s="1"/>
  <c r="P427" i="9"/>
  <c r="Q427" i="9" s="1"/>
  <c r="V427" i="9"/>
  <c r="W428" i="9" l="1"/>
  <c r="X428" i="9" s="1"/>
  <c r="J428" i="9" s="1"/>
  <c r="M428" i="9" s="1"/>
  <c r="N428" i="9" s="1"/>
  <c r="W427" i="9"/>
  <c r="X427" i="9" s="1"/>
  <c r="J427" i="9" s="1"/>
  <c r="M427" i="9" s="1"/>
  <c r="H430" i="9" l="1"/>
  <c r="N427" i="9"/>
  <c r="R207" i="11"/>
  <c r="P207" i="11"/>
  <c r="V430" i="9" l="1"/>
  <c r="H429" i="9"/>
  <c r="P430" i="9" l="1"/>
  <c r="Q430" i="9" s="1"/>
  <c r="P429" i="9"/>
  <c r="Q429" i="9" s="1"/>
  <c r="V429" i="9"/>
  <c r="W430" i="9" l="1"/>
  <c r="X430" i="9" s="1"/>
  <c r="J430" i="9" s="1"/>
  <c r="M430" i="9" s="1"/>
  <c r="N430" i="9" s="1"/>
  <c r="W429" i="9"/>
  <c r="X429" i="9" s="1"/>
  <c r="J429" i="9" s="1"/>
  <c r="M429" i="9" s="1"/>
  <c r="H432" i="9" l="1"/>
  <c r="N429" i="9"/>
  <c r="R208" i="11"/>
  <c r="P208" i="11"/>
  <c r="P431" i="9" l="1"/>
  <c r="P432" i="9"/>
  <c r="Q432" i="9" s="1"/>
  <c r="V432" i="9"/>
  <c r="H431" i="9"/>
  <c r="W432" i="9" l="1"/>
  <c r="X432" i="9" s="1"/>
  <c r="W431" i="9"/>
  <c r="Q431" i="9"/>
  <c r="V431" i="9"/>
  <c r="J432" i="9" l="1"/>
  <c r="M432" i="9" s="1"/>
  <c r="N432" i="9" s="1"/>
  <c r="X431" i="9"/>
  <c r="J431" i="9" s="1"/>
  <c r="M431" i="9" s="1"/>
  <c r="N431" i="9" s="1"/>
  <c r="H434" i="9" l="1"/>
  <c r="H433" i="9"/>
  <c r="R209" i="11"/>
  <c r="P209" i="11"/>
  <c r="P433" i="9" l="1"/>
  <c r="Q433" i="9" s="1"/>
  <c r="P434" i="9"/>
  <c r="Q434" i="9" s="1"/>
  <c r="V434" i="9"/>
  <c r="V433" i="9"/>
  <c r="W434" i="9" l="1"/>
  <c r="X434" i="9" s="1"/>
  <c r="W433" i="9"/>
  <c r="X433" i="9" s="1"/>
  <c r="J433" i="9" s="1"/>
  <c r="M433" i="9" s="1"/>
  <c r="J434" i="9" l="1"/>
  <c r="M434" i="9" s="1"/>
  <c r="N434" i="9" s="1"/>
  <c r="R211" i="11"/>
  <c r="N433" i="9"/>
  <c r="J12" i="11" s="1"/>
  <c r="R210" i="11"/>
  <c r="P210" i="11"/>
  <c r="H438" i="9" l="1"/>
  <c r="V438" i="9" s="1"/>
  <c r="J14" i="11"/>
  <c r="K14" i="11" s="1"/>
  <c r="H435" i="9"/>
  <c r="K13" i="11" l="1"/>
  <c r="K8" i="11"/>
  <c r="K9" i="11"/>
  <c r="K11" i="11"/>
  <c r="K17" i="11"/>
  <c r="K20" i="11"/>
  <c r="K15" i="11"/>
  <c r="K19" i="11"/>
  <c r="K7" i="11"/>
  <c r="K16" i="11"/>
  <c r="K10" i="11"/>
  <c r="K18" i="11"/>
  <c r="K12" i="11"/>
  <c r="P435" i="9"/>
  <c r="Q435" i="9" s="1"/>
  <c r="P436" i="9"/>
  <c r="Q436" i="9" s="1"/>
  <c r="V435" i="9"/>
  <c r="W436" i="9" l="1"/>
  <c r="X436" i="9" s="1"/>
  <c r="J436" i="9" s="1"/>
  <c r="M436" i="9" s="1"/>
  <c r="N436" i="9" s="1"/>
  <c r="W435" i="9"/>
  <c r="X435" i="9" s="1"/>
  <c r="J435" i="9" s="1"/>
  <c r="M435" i="9" s="1"/>
  <c r="H439" i="9" l="1"/>
  <c r="N435" i="9"/>
  <c r="U211" i="11"/>
  <c r="P211" i="11"/>
  <c r="V439" i="9" l="1"/>
  <c r="H437" i="9"/>
  <c r="P439" i="9" l="1"/>
  <c r="Q439" i="9" s="1"/>
  <c r="P437" i="9"/>
  <c r="Q437" i="9" s="1"/>
  <c r="P438" i="9"/>
  <c r="Q438" i="9" s="1"/>
  <c r="V437" i="9"/>
  <c r="W437" i="9" l="1"/>
  <c r="X437" i="9" s="1"/>
  <c r="J437" i="9" s="1"/>
  <c r="M437" i="9" s="1"/>
  <c r="W438" i="9"/>
  <c r="X438" i="9" s="1"/>
  <c r="J438" i="9" s="1"/>
  <c r="M438" i="9" s="1"/>
  <c r="N438" i="9" s="1"/>
  <c r="W439" i="9"/>
  <c r="X439" i="9" s="1"/>
  <c r="J439" i="9" s="1"/>
  <c r="M439" i="9" s="1"/>
  <c r="N439" i="9" s="1"/>
  <c r="H442" i="9" l="1"/>
  <c r="H441" i="9"/>
  <c r="N437" i="9"/>
  <c r="U212" i="11"/>
  <c r="R212" i="11"/>
  <c r="P212" i="11"/>
  <c r="P441" i="9" l="1"/>
  <c r="Q441" i="9" s="1"/>
  <c r="P442" i="9"/>
  <c r="Q442" i="9" s="1"/>
  <c r="P440" i="9"/>
  <c r="V442" i="9"/>
  <c r="V441" i="9"/>
  <c r="H440" i="9"/>
  <c r="W441" i="9" l="1"/>
  <c r="X441" i="9" s="1"/>
  <c r="W442" i="9"/>
  <c r="X442" i="9" s="1"/>
  <c r="J442" i="9" s="1"/>
  <c r="M442" i="9" s="1"/>
  <c r="N442" i="9" s="1"/>
  <c r="W440" i="9"/>
  <c r="Q440" i="9"/>
  <c r="V440" i="9"/>
  <c r="H445" i="9" l="1"/>
  <c r="X440" i="9"/>
  <c r="J440" i="9" s="1"/>
  <c r="M440" i="9" s="1"/>
  <c r="J441" i="9"/>
  <c r="M441" i="9" s="1"/>
  <c r="N441" i="9" s="1"/>
  <c r="U213" i="11"/>
  <c r="R213" i="11"/>
  <c r="N440" i="9"/>
  <c r="V445" i="9" l="1"/>
  <c r="H444" i="9"/>
  <c r="H443" i="9"/>
  <c r="P213" i="11"/>
  <c r="P445" i="9" l="1"/>
  <c r="Q445" i="9" s="1"/>
  <c r="P443" i="9"/>
  <c r="Q443" i="9" s="1"/>
  <c r="P444" i="9"/>
  <c r="Q444" i="9" s="1"/>
  <c r="V444" i="9"/>
  <c r="V443" i="9"/>
  <c r="W445" i="9" l="1"/>
  <c r="X445" i="9" s="1"/>
  <c r="J445" i="9" s="1"/>
  <c r="M445" i="9" s="1"/>
  <c r="N445" i="9" s="1"/>
  <c r="W443" i="9"/>
  <c r="X443" i="9" s="1"/>
  <c r="J443" i="9" s="1"/>
  <c r="M443" i="9" s="1"/>
  <c r="W444" i="9"/>
  <c r="X444" i="9" s="1"/>
  <c r="J444" i="9" l="1"/>
  <c r="M444" i="9" s="1"/>
  <c r="N444" i="9" s="1"/>
  <c r="R223" i="11" s="1"/>
  <c r="R221" i="11"/>
  <c r="R222" i="11"/>
  <c r="R220" i="11"/>
  <c r="R219" i="11"/>
  <c r="R217" i="11"/>
  <c r="R218" i="11"/>
  <c r="R215" i="11"/>
  <c r="R216" i="11"/>
  <c r="H447" i="9"/>
  <c r="R214" i="11"/>
  <c r="B9" i="12"/>
  <c r="K2" i="12" s="1"/>
  <c r="N443" i="9"/>
  <c r="H446" i="9" s="1"/>
  <c r="U214" i="11"/>
  <c r="P214" i="11"/>
  <c r="P447" i="9" l="1"/>
  <c r="Q447" i="9" s="1"/>
  <c r="P446" i="9"/>
  <c r="Q446" i="9" s="1"/>
  <c r="V447" i="9"/>
  <c r="V446" i="9"/>
  <c r="B14" i="11"/>
  <c r="S14" i="11" s="1"/>
  <c r="AI14" i="11" s="1"/>
  <c r="W447" i="9" l="1"/>
  <c r="X447" i="9" s="1"/>
  <c r="J447" i="9" s="1"/>
  <c r="M447" i="9" s="1"/>
  <c r="N447" i="9" s="1"/>
  <c r="U223" i="11" s="1"/>
  <c r="W446" i="9"/>
  <c r="X446" i="9" s="1"/>
  <c r="J446" i="9" s="1"/>
  <c r="M446" i="9" s="1"/>
  <c r="F87" i="6"/>
  <c r="S87" i="6" s="1"/>
  <c r="W14" i="11"/>
  <c r="U221" i="11" l="1"/>
  <c r="U222" i="11"/>
  <c r="U220" i="11"/>
  <c r="U219" i="11"/>
  <c r="U216" i="11"/>
  <c r="U218" i="11"/>
  <c r="U217" i="11"/>
  <c r="N446" i="9"/>
  <c r="B12" i="12"/>
  <c r="B17" i="11" s="1"/>
  <c r="S17" i="11" s="1"/>
  <c r="U215" i="11"/>
  <c r="P215" i="11"/>
  <c r="H449" i="9" l="1"/>
  <c r="N2" i="12"/>
  <c r="W17" i="11"/>
  <c r="AI17" i="11"/>
  <c r="F86" i="6"/>
  <c r="S86" i="6" s="1"/>
  <c r="Q449" i="9" l="1"/>
  <c r="V449" i="9"/>
  <c r="X449" i="9" s="1"/>
  <c r="J449" i="9" l="1"/>
  <c r="M449" i="9" s="1"/>
  <c r="N449" i="9" s="1"/>
  <c r="H450" i="9" s="1"/>
  <c r="J448" i="9"/>
  <c r="M448" i="9" s="1"/>
  <c r="N448" i="9" s="1"/>
  <c r="H451" i="9" s="1"/>
  <c r="P450" i="9" l="1"/>
  <c r="Q450" i="9" s="1"/>
  <c r="P451" i="9"/>
  <c r="Q451" i="9" s="1"/>
  <c r="V451" i="9"/>
  <c r="V450" i="9"/>
  <c r="O216" i="11"/>
  <c r="P216" i="11"/>
  <c r="W450" i="9" l="1"/>
  <c r="X450" i="9" s="1"/>
  <c r="J450" i="9" s="1"/>
  <c r="M450" i="9" s="1"/>
  <c r="W451" i="9"/>
  <c r="X451" i="9" s="1"/>
  <c r="J451" i="9" s="1"/>
  <c r="M451" i="9" s="1"/>
  <c r="N451" i="9" s="1"/>
  <c r="H453" i="9" s="1"/>
  <c r="P452" i="9" l="1"/>
  <c r="P453" i="9"/>
  <c r="Q453" i="9" s="1"/>
  <c r="V453" i="9"/>
  <c r="O217" i="11"/>
  <c r="N450" i="9"/>
  <c r="H452" i="9" s="1"/>
  <c r="W453" i="9" l="1"/>
  <c r="X453" i="9" s="1"/>
  <c r="W452" i="9"/>
  <c r="Q452" i="9"/>
  <c r="V452" i="9"/>
  <c r="P217" i="11"/>
  <c r="X452" i="9" l="1"/>
  <c r="J452" i="9" s="1"/>
  <c r="M452" i="9" s="1"/>
  <c r="N452" i="9" s="1"/>
  <c r="H454" i="9" s="1"/>
  <c r="J453" i="9"/>
  <c r="M453" i="9" s="1"/>
  <c r="N453" i="9" s="1"/>
  <c r="H455" i="9" s="1"/>
  <c r="O218" i="11"/>
  <c r="P454" i="9" l="1"/>
  <c r="Q454" i="9" s="1"/>
  <c r="P455" i="9"/>
  <c r="Q455" i="9" s="1"/>
  <c r="V455" i="9"/>
  <c r="V454" i="9"/>
  <c r="P218" i="11"/>
  <c r="W455" i="9" l="1"/>
  <c r="X455" i="9" s="1"/>
  <c r="J455" i="9" s="1"/>
  <c r="M455" i="9" s="1"/>
  <c r="N455" i="9" s="1"/>
  <c r="H457" i="9" s="1"/>
  <c r="W454" i="9"/>
  <c r="X454" i="9" s="1"/>
  <c r="J454" i="9" s="1"/>
  <c r="M454" i="9" s="1"/>
  <c r="V457" i="9" l="1"/>
  <c r="N454" i="9"/>
  <c r="H456" i="9" s="1"/>
  <c r="O219" i="11"/>
  <c r="P219" i="11"/>
  <c r="P456" i="9" l="1"/>
  <c r="Q456" i="9" s="1"/>
  <c r="P457" i="9"/>
  <c r="Q457" i="9" s="1"/>
  <c r="V456" i="9"/>
  <c r="W457" i="9" l="1"/>
  <c r="X457" i="9" s="1"/>
  <c r="J457" i="9" s="1"/>
  <c r="M457" i="9" s="1"/>
  <c r="N457" i="9" s="1"/>
  <c r="W456" i="9"/>
  <c r="X456" i="9" s="1"/>
  <c r="J456" i="9" s="1"/>
  <c r="M456" i="9" s="1"/>
  <c r="H459" i="9" l="1"/>
  <c r="N456" i="9"/>
  <c r="O220" i="11"/>
  <c r="P220" i="11"/>
  <c r="P458" i="9" l="1"/>
  <c r="P459" i="9"/>
  <c r="Q459" i="9" s="1"/>
  <c r="V459" i="9"/>
  <c r="H458" i="9"/>
  <c r="W459" i="9" l="1"/>
  <c r="X459" i="9" s="1"/>
  <c r="W458" i="9"/>
  <c r="Q458" i="9"/>
  <c r="V458" i="9"/>
  <c r="X458" i="9" l="1"/>
  <c r="J458" i="9" s="1"/>
  <c r="M458" i="9" s="1"/>
  <c r="N458" i="9" s="1"/>
  <c r="J459" i="9" l="1"/>
  <c r="M459" i="9" s="1"/>
  <c r="N459" i="9" s="1"/>
  <c r="H460" i="9"/>
  <c r="O221" i="11"/>
  <c r="P221" i="11"/>
  <c r="P461" i="9" l="1"/>
  <c r="P460" i="9"/>
  <c r="Q460" i="9" s="1"/>
  <c r="H461" i="9"/>
  <c r="V460" i="9"/>
  <c r="W461" i="9" l="1"/>
  <c r="W460" i="9"/>
  <c r="X460" i="9" s="1"/>
  <c r="Q461" i="9"/>
  <c r="V461" i="9"/>
  <c r="J460" i="9" l="1"/>
  <c r="M460" i="9" s="1"/>
  <c r="N460" i="9" s="1"/>
  <c r="X461" i="9"/>
  <c r="J461" i="9" s="1"/>
  <c r="M461" i="9" s="1"/>
  <c r="N461" i="9" s="1"/>
  <c r="O222" i="11"/>
  <c r="H463" i="9" l="1"/>
  <c r="H462" i="9"/>
  <c r="P222" i="11"/>
  <c r="P462" i="9" l="1"/>
  <c r="Q462" i="9" s="1"/>
  <c r="P463" i="9"/>
  <c r="Q463" i="9" s="1"/>
  <c r="V463" i="9"/>
  <c r="V462" i="9"/>
  <c r="W463" i="9" l="1"/>
  <c r="X463" i="9" s="1"/>
  <c r="J463" i="9" s="1"/>
  <c r="M463" i="9" s="1"/>
  <c r="N463" i="9" s="1"/>
  <c r="W462" i="9"/>
  <c r="X462" i="9" s="1"/>
  <c r="J462" i="9" s="1"/>
  <c r="M462" i="9" s="1"/>
  <c r="B19" i="7" l="1"/>
  <c r="H18" i="7"/>
  <c r="F18" i="7" s="1"/>
  <c r="H19" i="7"/>
  <c r="F19" i="7" s="1"/>
  <c r="B18" i="7"/>
  <c r="N462" i="9"/>
  <c r="B6" i="12"/>
  <c r="H2" i="12" s="1"/>
  <c r="O223" i="11"/>
  <c r="P223" i="11"/>
  <c r="B7" i="12"/>
  <c r="H17" i="7"/>
  <c r="B17" i="7"/>
  <c r="C18" i="7"/>
  <c r="E18" i="7" l="1"/>
  <c r="D18" i="7"/>
  <c r="B11" i="11"/>
  <c r="S11" i="11" s="1"/>
  <c r="W11" i="11" s="1"/>
  <c r="C19" i="7"/>
  <c r="D19" i="7"/>
  <c r="E19" i="7"/>
  <c r="E17" i="7"/>
  <c r="C17" i="7"/>
  <c r="F17" i="7" s="1"/>
  <c r="D17" i="7"/>
  <c r="B12" i="11"/>
  <c r="I2" i="12"/>
  <c r="F84" i="6" l="1"/>
  <c r="S84" i="6" s="1"/>
  <c r="AI11" i="11"/>
  <c r="C4" i="12"/>
  <c r="C9" i="11" s="1"/>
  <c r="AA9" i="11" s="1"/>
  <c r="C9" i="12"/>
  <c r="C14" i="11" s="1"/>
  <c r="AA14" i="11" s="1"/>
  <c r="C10" i="12"/>
  <c r="C15" i="11" s="1"/>
  <c r="AA15" i="11" s="1"/>
  <c r="C13" i="12"/>
  <c r="C18" i="11" s="1"/>
  <c r="AA18" i="11" s="1"/>
  <c r="C3" i="12"/>
  <c r="C8" i="11" s="1"/>
  <c r="AA8" i="11" s="1"/>
  <c r="C12" i="12"/>
  <c r="C17" i="11" s="1"/>
  <c r="AA17" i="11" s="1"/>
  <c r="C2" i="12"/>
  <c r="C7" i="11" s="1"/>
  <c r="AA7" i="11" s="1"/>
  <c r="C7" i="12"/>
  <c r="C12" i="11" s="1"/>
  <c r="C6" i="12"/>
  <c r="C11" i="11" s="1"/>
  <c r="AA11" i="11" s="1"/>
  <c r="C14" i="12"/>
  <c r="C19" i="11" s="1"/>
  <c r="AA19" i="11" s="1"/>
  <c r="C15" i="12"/>
  <c r="C20" i="11" s="1"/>
  <c r="AA20" i="11" s="1"/>
  <c r="C11" i="12"/>
  <c r="C16" i="11" s="1"/>
  <c r="AA16" i="11" s="1"/>
  <c r="C8" i="12"/>
  <c r="C13" i="11" s="1"/>
  <c r="AA13" i="11" s="1"/>
  <c r="C5" i="12"/>
  <c r="C10" i="11" s="1"/>
  <c r="AA10" i="11" s="1"/>
  <c r="E11" i="11"/>
  <c r="D12" i="11"/>
  <c r="L12" i="11" s="1"/>
  <c r="C17" i="8"/>
  <c r="D7" i="11"/>
  <c r="L7" i="11" s="1"/>
  <c r="E17" i="11"/>
  <c r="C18" i="8"/>
  <c r="D20" i="11"/>
  <c r="L20" i="11" s="1"/>
  <c r="E14" i="11"/>
  <c r="E9" i="11"/>
  <c r="D19" i="11"/>
  <c r="L19" i="11" s="1"/>
  <c r="D9" i="11"/>
  <c r="L9" i="11" s="1"/>
  <c r="D16" i="11"/>
  <c r="L16" i="11" s="1"/>
  <c r="D13" i="11"/>
  <c r="L13" i="11" s="1"/>
  <c r="E12" i="11"/>
  <c r="B15" i="4" s="1"/>
  <c r="C19" i="8"/>
  <c r="E18" i="11"/>
  <c r="E8" i="11"/>
  <c r="D17" i="11"/>
  <c r="L17" i="11" s="1"/>
  <c r="D18" i="11"/>
  <c r="L18" i="11" s="1"/>
  <c r="E16" i="11"/>
  <c r="D19" i="8"/>
  <c r="B17" i="8"/>
  <c r="E15" i="11"/>
  <c r="B18" i="8"/>
  <c r="E13" i="11"/>
  <c r="D15" i="11"/>
  <c r="L15" i="11" s="1"/>
  <c r="E20" i="11"/>
  <c r="S12" i="11"/>
  <c r="A5" i="8"/>
  <c r="D18" i="8"/>
  <c r="B19" i="8"/>
  <c r="D8" i="11"/>
  <c r="L8" i="11" s="1"/>
  <c r="E19" i="11"/>
  <c r="E7" i="11"/>
  <c r="D14" i="11"/>
  <c r="L14" i="11" s="1"/>
  <c r="E10" i="11"/>
  <c r="D11" i="11"/>
  <c r="L11" i="11" s="1"/>
  <c r="D10" i="11"/>
  <c r="L10" i="11" s="1"/>
  <c r="F89" i="6" l="1"/>
  <c r="S89" i="6" s="1"/>
  <c r="C4" i="6" s="1"/>
  <c r="AI12" i="11"/>
  <c r="W12" i="11"/>
  <c r="B24" i="4" s="1"/>
  <c r="AA12" i="11"/>
  <c r="B28" i="4" s="1"/>
  <c r="B12" i="4"/>
  <c r="A8" i="8"/>
  <c r="B5" i="3" l="1"/>
  <c r="B17" i="3"/>
  <c r="B9" i="3"/>
  <c r="B7" i="3"/>
  <c r="B12" i="3"/>
  <c r="B6" i="3"/>
  <c r="B16" i="3"/>
  <c r="B13" i="3"/>
  <c r="B8" i="3"/>
  <c r="B14" i="3"/>
  <c r="B15" i="3"/>
  <c r="B11" i="3"/>
  <c r="B10" i="3"/>
  <c r="B18" i="3"/>
  <c r="A5" i="2"/>
  <c r="B28" i="7" s="1"/>
  <c r="A6" i="2"/>
  <c r="P15" i="3" l="1"/>
  <c r="V15" i="3"/>
  <c r="M15" i="3"/>
  <c r="C15" i="3"/>
  <c r="E15" i="3"/>
  <c r="X15" i="3"/>
  <c r="T15" i="3"/>
  <c r="S15" i="3"/>
  <c r="K15" i="3"/>
  <c r="AE7" i="11" s="1"/>
  <c r="R15" i="3"/>
  <c r="Q15" i="3"/>
  <c r="O15" i="3"/>
  <c r="U15" i="3"/>
  <c r="J15" i="3"/>
  <c r="H15" i="3"/>
  <c r="D15" i="3"/>
  <c r="I15" i="3"/>
  <c r="P11" i="3"/>
  <c r="Q11" i="3"/>
  <c r="O11" i="3"/>
  <c r="M11" i="3"/>
  <c r="I11" i="3"/>
  <c r="J11" i="3"/>
  <c r="S11" i="3"/>
  <c r="K11" i="3"/>
  <c r="Y13" i="11" s="1"/>
  <c r="E11" i="3"/>
  <c r="H11" i="3"/>
  <c r="X11" i="3"/>
  <c r="C11" i="3"/>
  <c r="V11" i="3"/>
  <c r="T11" i="3"/>
  <c r="D11" i="3"/>
  <c r="R11" i="3"/>
  <c r="U11" i="3"/>
  <c r="I14" i="3"/>
  <c r="H14" i="3"/>
  <c r="T14" i="3"/>
  <c r="U14" i="3"/>
  <c r="Q14" i="3"/>
  <c r="R14" i="3"/>
  <c r="S14" i="3"/>
  <c r="E14" i="3"/>
  <c r="C14" i="3"/>
  <c r="M14" i="3"/>
  <c r="K14" i="3"/>
  <c r="Y20" i="11" s="1"/>
  <c r="P14" i="3"/>
  <c r="X14" i="3"/>
  <c r="V14" i="3"/>
  <c r="D14" i="3"/>
  <c r="J14" i="3"/>
  <c r="O14" i="3"/>
  <c r="I12" i="3"/>
  <c r="C12" i="3"/>
  <c r="Q12" i="3"/>
  <c r="D12" i="3"/>
  <c r="K12" i="3"/>
  <c r="AE9" i="11" s="1"/>
  <c r="V12" i="3"/>
  <c r="O12" i="3"/>
  <c r="E12" i="3"/>
  <c r="M12" i="3"/>
  <c r="X12" i="3"/>
  <c r="J12" i="3"/>
  <c r="P12" i="3"/>
  <c r="U12" i="3"/>
  <c r="H12" i="3"/>
  <c r="R12" i="3"/>
  <c r="T12" i="3"/>
  <c r="S12" i="3"/>
  <c r="J18" i="3"/>
  <c r="V18" i="3"/>
  <c r="E18" i="3"/>
  <c r="I18" i="3"/>
  <c r="C18" i="3"/>
  <c r="O18" i="3"/>
  <c r="R18" i="3"/>
  <c r="S18" i="3"/>
  <c r="T18" i="3"/>
  <c r="D18" i="3"/>
  <c r="K18" i="3"/>
  <c r="Y16" i="11" s="1"/>
  <c r="U18" i="3"/>
  <c r="M18" i="3"/>
  <c r="H18" i="3"/>
  <c r="Q18" i="3"/>
  <c r="P18" i="3"/>
  <c r="X18" i="3"/>
  <c r="S16" i="3"/>
  <c r="K16" i="3"/>
  <c r="AE8" i="11" s="1"/>
  <c r="V16" i="3"/>
  <c r="U16" i="3"/>
  <c r="T16" i="3"/>
  <c r="O16" i="3"/>
  <c r="C16" i="3"/>
  <c r="H16" i="3"/>
  <c r="D16" i="3"/>
  <c r="I16" i="3"/>
  <c r="M16" i="3"/>
  <c r="Q16" i="3"/>
  <c r="R16" i="3"/>
  <c r="E16" i="3"/>
  <c r="X16" i="3"/>
  <c r="P16" i="3"/>
  <c r="J16" i="3"/>
  <c r="C7" i="3"/>
  <c r="B6" i="4" s="1"/>
  <c r="E7" i="3"/>
  <c r="O7" i="3"/>
  <c r="U7" i="3"/>
  <c r="V7" i="3"/>
  <c r="X7" i="3"/>
  <c r="D7" i="3"/>
  <c r="S7" i="3"/>
  <c r="I7" i="3"/>
  <c r="Q7" i="3"/>
  <c r="M7" i="3"/>
  <c r="P7" i="3"/>
  <c r="K7" i="3"/>
  <c r="J7" i="3"/>
  <c r="R7" i="3"/>
  <c r="T7" i="3"/>
  <c r="H7" i="3"/>
  <c r="S8" i="3"/>
  <c r="K8" i="3"/>
  <c r="AE11" i="11" s="1"/>
  <c r="U8" i="3"/>
  <c r="D8" i="3"/>
  <c r="X8" i="3"/>
  <c r="R8" i="3"/>
  <c r="V8" i="3"/>
  <c r="I8" i="3"/>
  <c r="P8" i="3"/>
  <c r="M8" i="3"/>
  <c r="J8" i="3"/>
  <c r="Q8" i="3"/>
  <c r="H8" i="3"/>
  <c r="C8" i="3"/>
  <c r="E8" i="3"/>
  <c r="O8" i="3"/>
  <c r="T8" i="3"/>
  <c r="E9" i="3"/>
  <c r="M9" i="3"/>
  <c r="V9" i="3"/>
  <c r="U9" i="3"/>
  <c r="C9" i="3"/>
  <c r="H9" i="3"/>
  <c r="S9" i="3"/>
  <c r="J9" i="3"/>
  <c r="T9" i="3"/>
  <c r="K9" i="3"/>
  <c r="X9" i="3"/>
  <c r="Q9" i="3"/>
  <c r="D9" i="3"/>
  <c r="P9" i="3"/>
  <c r="O9" i="3"/>
  <c r="R9" i="3"/>
  <c r="I9" i="3"/>
  <c r="D10" i="3"/>
  <c r="T10" i="3"/>
  <c r="X10" i="3"/>
  <c r="V10" i="3"/>
  <c r="E10" i="3"/>
  <c r="I10" i="3"/>
  <c r="Q10" i="3"/>
  <c r="H10" i="3"/>
  <c r="O10" i="3"/>
  <c r="R10" i="3"/>
  <c r="U10" i="3"/>
  <c r="S10" i="3"/>
  <c r="P10" i="3"/>
  <c r="M10" i="3"/>
  <c r="J10" i="3"/>
  <c r="K10" i="3"/>
  <c r="AE17" i="11" s="1"/>
  <c r="C10" i="3"/>
  <c r="R6" i="3"/>
  <c r="H6" i="3"/>
  <c r="V6" i="3"/>
  <c r="P6" i="3"/>
  <c r="D6" i="3"/>
  <c r="K6" i="3"/>
  <c r="AE14" i="11" s="1"/>
  <c r="T6" i="3"/>
  <c r="M6" i="3"/>
  <c r="I6" i="3"/>
  <c r="S6" i="3"/>
  <c r="O6" i="3"/>
  <c r="Q6" i="3"/>
  <c r="J6" i="3"/>
  <c r="U6" i="3"/>
  <c r="E6" i="3"/>
  <c r="X6" i="3"/>
  <c r="C6" i="3"/>
  <c r="V17" i="3"/>
  <c r="E17" i="3"/>
  <c r="C17" i="3"/>
  <c r="S17" i="3"/>
  <c r="J17" i="3"/>
  <c r="D17" i="3"/>
  <c r="U17" i="3"/>
  <c r="I17" i="3"/>
  <c r="O17" i="3"/>
  <c r="Q17" i="3"/>
  <c r="P17" i="3"/>
  <c r="X17" i="3"/>
  <c r="R17" i="3"/>
  <c r="K17" i="3"/>
  <c r="AE10" i="11" s="1"/>
  <c r="T17" i="3"/>
  <c r="M17" i="3"/>
  <c r="H17" i="3"/>
  <c r="V13" i="3"/>
  <c r="S13" i="3"/>
  <c r="C13" i="3"/>
  <c r="H13" i="3"/>
  <c r="K13" i="3"/>
  <c r="AE18" i="11" s="1"/>
  <c r="R13" i="3"/>
  <c r="X13" i="3"/>
  <c r="T13" i="3"/>
  <c r="I13" i="3"/>
  <c r="M13" i="3"/>
  <c r="J13" i="3"/>
  <c r="Q13" i="3"/>
  <c r="E13" i="3"/>
  <c r="D13" i="3"/>
  <c r="O13" i="3"/>
  <c r="P13" i="3"/>
  <c r="U13" i="3"/>
  <c r="O5" i="3"/>
  <c r="S5" i="3"/>
  <c r="U5" i="3"/>
  <c r="K5" i="3"/>
  <c r="H5" i="3"/>
  <c r="V5" i="3"/>
  <c r="E5" i="3"/>
  <c r="T5" i="3"/>
  <c r="X5" i="3"/>
  <c r="J5" i="3"/>
  <c r="I5" i="3"/>
  <c r="P5" i="3"/>
  <c r="B5" i="4"/>
  <c r="D5" i="3"/>
  <c r="R5" i="3"/>
  <c r="C5" i="3"/>
  <c r="M5" i="3"/>
  <c r="Q5" i="3"/>
  <c r="AD11" i="11"/>
  <c r="AD10" i="11"/>
  <c r="AD17" i="11"/>
  <c r="AD18" i="11"/>
  <c r="B11" i="4" l="1"/>
  <c r="AE19" i="11"/>
  <c r="AE13" i="11"/>
  <c r="Y8" i="11"/>
  <c r="AE16" i="11"/>
  <c r="F15" i="3"/>
  <c r="L15" i="3"/>
  <c r="G15" i="3"/>
  <c r="X7" i="11" s="1"/>
  <c r="AE12" i="11"/>
  <c r="Y7" i="11"/>
  <c r="AD14" i="11"/>
  <c r="F6" i="3"/>
  <c r="G6" i="3"/>
  <c r="X14" i="11" s="1"/>
  <c r="L6" i="3"/>
  <c r="Y14" i="11"/>
  <c r="AD8" i="11"/>
  <c r="L16" i="3"/>
  <c r="F16" i="3"/>
  <c r="G16" i="3"/>
  <c r="X8" i="11" s="1"/>
  <c r="AD16" i="11"/>
  <c r="F18" i="3"/>
  <c r="G18" i="3"/>
  <c r="X16" i="11" s="1"/>
  <c r="AB16" i="11" s="1"/>
  <c r="L18" i="3"/>
  <c r="L11" i="3"/>
  <c r="G11" i="3"/>
  <c r="X13" i="11" s="1"/>
  <c r="AB13" i="11" s="1"/>
  <c r="F11" i="3"/>
  <c r="Y11" i="11"/>
  <c r="AD7" i="11"/>
  <c r="AD12" i="11"/>
  <c r="G7" i="3"/>
  <c r="L7" i="3"/>
  <c r="B16" i="4" s="1"/>
  <c r="F7" i="3"/>
  <c r="Y18" i="11"/>
  <c r="AD15" i="11"/>
  <c r="A10" i="8"/>
  <c r="G5" i="3"/>
  <c r="X15" i="11" s="1"/>
  <c r="L5" i="3"/>
  <c r="B30" i="7"/>
  <c r="B21" i="7"/>
  <c r="F5" i="3"/>
  <c r="C21" i="7"/>
  <c r="F21" i="7" s="1"/>
  <c r="F8" i="3"/>
  <c r="L8" i="3"/>
  <c r="G8" i="3"/>
  <c r="Y15" i="11"/>
  <c r="B31" i="7"/>
  <c r="C22" i="7"/>
  <c r="B22" i="7"/>
  <c r="AE15" i="11"/>
  <c r="N14" i="3"/>
  <c r="N10" i="3"/>
  <c r="N13" i="3"/>
  <c r="B33" i="7"/>
  <c r="N18" i="3"/>
  <c r="N9" i="3"/>
  <c r="N8" i="3"/>
  <c r="N16" i="3"/>
  <c r="N17" i="3"/>
  <c r="N7" i="3"/>
  <c r="N12" i="3"/>
  <c r="N15" i="3"/>
  <c r="N11" i="3"/>
  <c r="N5" i="3"/>
  <c r="N6" i="3"/>
  <c r="F13" i="3"/>
  <c r="G13" i="3"/>
  <c r="X18" i="11" s="1"/>
  <c r="L13" i="3"/>
  <c r="G10" i="3"/>
  <c r="X17" i="11" s="1"/>
  <c r="L10" i="3"/>
  <c r="F10" i="3"/>
  <c r="AD9" i="11"/>
  <c r="G12" i="3"/>
  <c r="X9" i="11" s="1"/>
  <c r="L12" i="3"/>
  <c r="F12" i="3"/>
  <c r="AE20" i="11"/>
  <c r="Y19" i="11"/>
  <c r="B10" i="4"/>
  <c r="Y9" i="11"/>
  <c r="AD13" i="11"/>
  <c r="T2" i="3"/>
  <c r="AD19" i="11"/>
  <c r="G9" i="3"/>
  <c r="L9" i="3"/>
  <c r="F9" i="3"/>
  <c r="Y10" i="11"/>
  <c r="Y12" i="11"/>
  <c r="B26" i="4" s="1"/>
  <c r="Y17" i="11"/>
  <c r="G17" i="3"/>
  <c r="X10" i="11" s="1"/>
  <c r="L17" i="3"/>
  <c r="F17" i="3"/>
  <c r="AD20" i="11"/>
  <c r="AF20" i="11" s="1"/>
  <c r="W14" i="3" s="1"/>
  <c r="G14" i="3"/>
  <c r="X20" i="11" s="1"/>
  <c r="AB20" i="11" s="1"/>
  <c r="F14" i="3"/>
  <c r="L14" i="3"/>
  <c r="B8" i="4" l="1"/>
  <c r="AB8" i="11"/>
  <c r="AB10" i="11"/>
  <c r="AF10" i="11" s="1"/>
  <c r="W17" i="3" s="1"/>
  <c r="AB7" i="11"/>
  <c r="AF13" i="11"/>
  <c r="W11" i="3" s="1"/>
  <c r="X11" i="11"/>
  <c r="AB11" i="11" s="1"/>
  <c r="AF11" i="11" s="1"/>
  <c r="AF7" i="11"/>
  <c r="W15" i="3" s="1"/>
  <c r="X19" i="11"/>
  <c r="AB19" i="11" s="1"/>
  <c r="AF19" i="11" s="1"/>
  <c r="AB18" i="11"/>
  <c r="AF18" i="11" s="1"/>
  <c r="W13" i="3" s="1"/>
  <c r="X12" i="11"/>
  <c r="B9" i="4"/>
  <c r="AB14" i="11"/>
  <c r="AF14" i="11" s="1"/>
  <c r="W6" i="3" s="1"/>
  <c r="AB9" i="11"/>
  <c r="AF9" i="11" s="1"/>
  <c r="W12" i="3" s="1"/>
  <c r="A3" i="3"/>
  <c r="AB17" i="11"/>
  <c r="AF17" i="11" s="1"/>
  <c r="W10" i="3" s="1"/>
  <c r="AB15" i="11"/>
  <c r="AF15" i="11" s="1"/>
  <c r="W5" i="3" s="1"/>
  <c r="AF16" i="11"/>
  <c r="W18" i="3" s="1"/>
  <c r="AF8" i="11"/>
  <c r="W16" i="3" s="1"/>
  <c r="W9" i="3" l="1"/>
  <c r="AB12" i="11"/>
  <c r="B25" i="4"/>
  <c r="B23" i="4" l="1"/>
  <c r="AF12" i="11"/>
  <c r="W8" i="3" s="1"/>
  <c r="W7" i="3" l="1"/>
  <c r="B7" i="4"/>
</calcChain>
</file>

<file path=xl/sharedStrings.xml><?xml version="1.0" encoding="utf-8"?>
<sst xmlns="http://schemas.openxmlformats.org/spreadsheetml/2006/main" count="2353" uniqueCount="454">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</sst>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56" fillId="0" borderId="0" xfId="0" applyFont="1"/>
    <xf numFmtId="0" fontId="57" fillId="0" borderId="0" xfId="0" applyFont="1"/>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5" t="s">
        <v>359</v>
      </c>
      <c r="B1" s="146"/>
      <c r="C1" s="146"/>
      <c r="D1" s="146"/>
      <c r="E1" s="146"/>
      <c r="F1" s="146"/>
      <c r="G1" s="146"/>
      <c r="H1" s="146"/>
    </row>
    <row r="2" spans="1:8" ht="18" customHeight="1" x14ac:dyDescent="0.2">
      <c r="A2" s="147" t="s">
        <v>372</v>
      </c>
      <c r="B2" s="146"/>
      <c r="C2" s="146"/>
      <c r="D2" s="146"/>
      <c r="E2" s="146"/>
      <c r="F2" s="146"/>
      <c r="G2" s="146"/>
      <c r="H2" s="146"/>
    </row>
    <row r="3" spans="1:8" ht="48" customHeight="1" x14ac:dyDescent="0.2">
      <c r="A3" s="148" t="s">
        <v>360</v>
      </c>
      <c r="B3" s="146"/>
      <c r="C3" s="146"/>
      <c r="D3" s="146"/>
      <c r="E3" s="146"/>
      <c r="F3" s="146"/>
      <c r="G3" s="146"/>
      <c r="H3" s="146"/>
    </row>
    <row r="6" spans="1:8" ht="22" customHeight="1" x14ac:dyDescent="0.2">
      <c r="A6" s="149" t="s">
        <v>361</v>
      </c>
      <c r="B6" s="146"/>
      <c r="C6" s="146"/>
      <c r="D6" s="146"/>
      <c r="E6" s="146"/>
      <c r="F6" s="146"/>
      <c r="G6" s="146"/>
      <c r="H6" s="146"/>
    </row>
    <row r="7" spans="1:8" ht="51" customHeight="1" x14ac:dyDescent="0.2">
      <c r="A7" s="129" t="s">
        <v>362</v>
      </c>
      <c r="B7" s="150" t="s">
        <v>373</v>
      </c>
      <c r="C7" s="146"/>
      <c r="D7" s="146"/>
      <c r="E7" s="146"/>
      <c r="F7" s="146"/>
      <c r="G7" s="146"/>
      <c r="H7" s="146"/>
    </row>
    <row r="8" spans="1:8" ht="36" customHeight="1" x14ac:dyDescent="0.2">
      <c r="A8" s="130" t="s">
        <v>363</v>
      </c>
      <c r="B8" s="150" t="s">
        <v>374</v>
      </c>
      <c r="C8" s="146"/>
      <c r="D8" s="146"/>
      <c r="E8" s="146"/>
      <c r="F8" s="146"/>
      <c r="G8" s="146"/>
      <c r="H8" s="146"/>
    </row>
    <row r="9" spans="1:8" ht="21" customHeight="1" x14ac:dyDescent="0.2">
      <c r="A9" s="129" t="s">
        <v>362</v>
      </c>
      <c r="B9" s="150" t="s">
        <v>375</v>
      </c>
      <c r="C9" s="146"/>
      <c r="D9" s="146"/>
      <c r="E9" s="146"/>
      <c r="F9" s="146"/>
      <c r="G9" s="146"/>
      <c r="H9" s="146"/>
    </row>
    <row r="10" spans="1:8" ht="36" customHeight="1" x14ac:dyDescent="0.2">
      <c r="A10" s="130" t="s">
        <v>363</v>
      </c>
      <c r="B10" s="150" t="s">
        <v>376</v>
      </c>
      <c r="C10" s="146"/>
      <c r="D10" s="146"/>
      <c r="E10" s="146"/>
      <c r="F10" s="146"/>
      <c r="G10" s="146"/>
      <c r="H10" s="146"/>
    </row>
    <row r="12" spans="1:8" ht="22" customHeight="1" x14ac:dyDescent="0.2">
      <c r="A12" s="149" t="s">
        <v>364</v>
      </c>
      <c r="B12" s="146"/>
      <c r="C12" s="146"/>
      <c r="D12" s="146"/>
      <c r="E12" s="146"/>
      <c r="F12" s="146"/>
      <c r="G12" s="146"/>
      <c r="H12" s="146"/>
    </row>
    <row r="13" spans="1:8" ht="36" customHeight="1" x14ac:dyDescent="0.2">
      <c r="A13" s="129" t="s">
        <v>362</v>
      </c>
      <c r="B13" s="150" t="s">
        <v>377</v>
      </c>
      <c r="C13" s="146"/>
      <c r="D13" s="146"/>
      <c r="E13" s="146"/>
      <c r="F13" s="146"/>
      <c r="G13" s="146"/>
      <c r="H13" s="146"/>
    </row>
    <row r="14" spans="1:8" ht="36" customHeight="1" x14ac:dyDescent="0.2">
      <c r="A14" s="130" t="s">
        <v>363</v>
      </c>
      <c r="B14" s="150" t="s">
        <v>378</v>
      </c>
      <c r="C14" s="146"/>
      <c r="D14" s="146"/>
      <c r="E14" s="146"/>
      <c r="F14" s="146"/>
      <c r="G14" s="146"/>
      <c r="H14" s="146"/>
    </row>
    <row r="15" spans="1:8" ht="21" customHeight="1" x14ac:dyDescent="0.2">
      <c r="A15" s="129" t="s">
        <v>362</v>
      </c>
      <c r="B15" s="150" t="s">
        <v>379</v>
      </c>
      <c r="C15" s="146"/>
      <c r="D15" s="146"/>
      <c r="E15" s="146"/>
      <c r="F15" s="146"/>
      <c r="G15" s="146"/>
      <c r="H15" s="146"/>
    </row>
    <row r="16" spans="1:8" ht="36" customHeight="1" x14ac:dyDescent="0.2">
      <c r="A16" s="130" t="s">
        <v>363</v>
      </c>
      <c r="B16" s="150" t="s">
        <v>380</v>
      </c>
      <c r="C16" s="146"/>
      <c r="D16" s="146"/>
      <c r="E16" s="146"/>
      <c r="F16" s="146"/>
      <c r="G16" s="146"/>
      <c r="H16" s="146"/>
    </row>
    <row r="18" spans="1:8" ht="22" customHeight="1" x14ac:dyDescent="0.2">
      <c r="A18" s="149" t="s">
        <v>365</v>
      </c>
      <c r="B18" s="146"/>
      <c r="C18" s="146"/>
      <c r="D18" s="146"/>
      <c r="E18" s="146"/>
      <c r="F18" s="146"/>
      <c r="G18" s="146"/>
      <c r="H18" s="146"/>
    </row>
    <row r="19" spans="1:8" ht="21" customHeight="1" x14ac:dyDescent="0.2">
      <c r="A19" s="129" t="s">
        <v>362</v>
      </c>
      <c r="B19" s="150" t="s">
        <v>381</v>
      </c>
      <c r="C19" s="146"/>
      <c r="D19" s="146"/>
      <c r="E19" s="146"/>
      <c r="F19" s="146"/>
      <c r="G19" s="146"/>
      <c r="H19" s="146"/>
    </row>
    <row r="20" spans="1:8" ht="51" customHeight="1" x14ac:dyDescent="0.2">
      <c r="A20" s="130" t="s">
        <v>363</v>
      </c>
      <c r="B20" s="150" t="s">
        <v>382</v>
      </c>
      <c r="C20" s="146"/>
      <c r="D20" s="146"/>
      <c r="E20" s="146"/>
      <c r="F20" s="146"/>
      <c r="G20" s="146"/>
      <c r="H20" s="146"/>
    </row>
    <row r="21" spans="1:8" ht="21" customHeight="1" x14ac:dyDescent="0.2">
      <c r="A21" s="129" t="s">
        <v>362</v>
      </c>
      <c r="B21" s="150" t="s">
        <v>383</v>
      </c>
      <c r="C21" s="146"/>
      <c r="D21" s="146"/>
      <c r="E21" s="146"/>
      <c r="F21" s="146"/>
      <c r="G21" s="146"/>
      <c r="H21" s="146"/>
    </row>
    <row r="22" spans="1:8" ht="51" customHeight="1" x14ac:dyDescent="0.2">
      <c r="A22" s="130" t="s">
        <v>363</v>
      </c>
      <c r="B22" s="150" t="s">
        <v>384</v>
      </c>
      <c r="C22" s="146"/>
      <c r="D22" s="146"/>
      <c r="E22" s="146"/>
      <c r="F22" s="146"/>
      <c r="G22" s="146"/>
      <c r="H22" s="146"/>
    </row>
    <row r="24" spans="1:8" ht="22" customHeight="1" x14ac:dyDescent="0.2">
      <c r="A24" s="149" t="s">
        <v>366</v>
      </c>
      <c r="B24" s="146"/>
      <c r="C24" s="146"/>
      <c r="D24" s="146"/>
      <c r="E24" s="146"/>
      <c r="F24" s="146"/>
      <c r="G24" s="146"/>
      <c r="H24" s="146"/>
    </row>
    <row r="25" spans="1:8" ht="21" customHeight="1" x14ac:dyDescent="0.2">
      <c r="A25" s="129" t="s">
        <v>362</v>
      </c>
      <c r="B25" s="150" t="s">
        <v>385</v>
      </c>
      <c r="C25" s="146"/>
      <c r="D25" s="146"/>
      <c r="E25" s="146"/>
      <c r="F25" s="146"/>
      <c r="G25" s="146"/>
      <c r="H25" s="146"/>
    </row>
    <row r="26" spans="1:8" ht="51" customHeight="1" x14ac:dyDescent="0.2">
      <c r="A26" s="130" t="s">
        <v>363</v>
      </c>
      <c r="B26" s="150" t="s">
        <v>386</v>
      </c>
      <c r="C26" s="146"/>
      <c r="D26" s="146"/>
      <c r="E26" s="146"/>
      <c r="F26" s="146"/>
      <c r="G26" s="146"/>
      <c r="H26" s="146"/>
    </row>
    <row r="27" spans="1:8" ht="21" customHeight="1" x14ac:dyDescent="0.2">
      <c r="A27" s="129" t="s">
        <v>362</v>
      </c>
      <c r="B27" s="150" t="s">
        <v>387</v>
      </c>
      <c r="C27" s="146"/>
      <c r="D27" s="146"/>
      <c r="E27" s="146"/>
      <c r="F27" s="146"/>
      <c r="G27" s="146"/>
      <c r="H27" s="146"/>
    </row>
    <row r="28" spans="1:8" ht="51" customHeight="1" x14ac:dyDescent="0.2">
      <c r="A28" s="130" t="s">
        <v>363</v>
      </c>
      <c r="B28" s="150" t="s">
        <v>388</v>
      </c>
      <c r="C28" s="146"/>
      <c r="D28" s="146"/>
      <c r="E28" s="146"/>
      <c r="F28" s="146"/>
      <c r="G28" s="146"/>
      <c r="H28" s="146"/>
    </row>
    <row r="29" spans="1:8" ht="21" customHeight="1" x14ac:dyDescent="0.2">
      <c r="A29" s="129" t="s">
        <v>362</v>
      </c>
      <c r="B29" s="150" t="s">
        <v>389</v>
      </c>
      <c r="C29" s="146"/>
      <c r="D29" s="146"/>
      <c r="E29" s="146"/>
      <c r="F29" s="146"/>
      <c r="G29" s="146"/>
      <c r="H29" s="146"/>
    </row>
    <row r="30" spans="1:8" ht="36" customHeight="1" x14ac:dyDescent="0.2">
      <c r="A30" s="130" t="s">
        <v>363</v>
      </c>
      <c r="B30" s="150" t="s">
        <v>390</v>
      </c>
      <c r="C30" s="146"/>
      <c r="D30" s="146"/>
      <c r="E30" s="146"/>
      <c r="F30" s="146"/>
      <c r="G30" s="146"/>
      <c r="H30" s="146"/>
    </row>
    <row r="32" spans="1:8" ht="22" customHeight="1" x14ac:dyDescent="0.2">
      <c r="A32" s="149" t="s">
        <v>367</v>
      </c>
      <c r="B32" s="146"/>
      <c r="C32" s="146"/>
      <c r="D32" s="146"/>
      <c r="E32" s="146"/>
      <c r="F32" s="146"/>
      <c r="G32" s="146"/>
      <c r="H32" s="146"/>
    </row>
    <row r="33" spans="1:8" ht="21" customHeight="1" x14ac:dyDescent="0.2">
      <c r="A33" s="129" t="s">
        <v>362</v>
      </c>
      <c r="B33" s="150" t="s">
        <v>391</v>
      </c>
      <c r="C33" s="146"/>
      <c r="D33" s="146"/>
      <c r="E33" s="146"/>
      <c r="F33" s="146"/>
      <c r="G33" s="146"/>
      <c r="H33" s="146"/>
    </row>
    <row r="34" spans="1:8" ht="51" customHeight="1" x14ac:dyDescent="0.2">
      <c r="A34" s="130" t="s">
        <v>363</v>
      </c>
      <c r="B34" s="150" t="s">
        <v>392</v>
      </c>
      <c r="C34" s="146"/>
      <c r="D34" s="146"/>
      <c r="E34" s="146"/>
      <c r="F34" s="146"/>
      <c r="G34" s="146"/>
      <c r="H34" s="146"/>
    </row>
    <row r="35" spans="1:8" ht="21" customHeight="1" x14ac:dyDescent="0.2">
      <c r="A35" s="129" t="s">
        <v>362</v>
      </c>
      <c r="B35" s="150" t="s">
        <v>393</v>
      </c>
      <c r="C35" s="146"/>
      <c r="D35" s="146"/>
      <c r="E35" s="146"/>
      <c r="F35" s="146"/>
      <c r="G35" s="146"/>
      <c r="H35" s="146"/>
    </row>
    <row r="36" spans="1:8" ht="36" customHeight="1" x14ac:dyDescent="0.2">
      <c r="A36" s="130" t="s">
        <v>363</v>
      </c>
      <c r="B36" s="150" t="s">
        <v>394</v>
      </c>
      <c r="C36" s="146"/>
      <c r="D36" s="146"/>
      <c r="E36" s="146"/>
      <c r="F36" s="146"/>
      <c r="G36" s="146"/>
      <c r="H36" s="146"/>
    </row>
    <row r="37" spans="1:8" ht="21" customHeight="1" x14ac:dyDescent="0.2">
      <c r="A37" s="129" t="s">
        <v>362</v>
      </c>
      <c r="B37" s="150" t="s">
        <v>395</v>
      </c>
      <c r="C37" s="146"/>
      <c r="D37" s="146"/>
      <c r="E37" s="146"/>
      <c r="F37" s="146"/>
      <c r="G37" s="146"/>
      <c r="H37" s="146"/>
    </row>
    <row r="38" spans="1:8" ht="51" customHeight="1" x14ac:dyDescent="0.2">
      <c r="A38" s="130" t="s">
        <v>363</v>
      </c>
      <c r="B38" s="150" t="s">
        <v>396</v>
      </c>
      <c r="C38" s="146"/>
      <c r="D38" s="146"/>
      <c r="E38" s="146"/>
      <c r="F38" s="146"/>
      <c r="G38" s="146"/>
      <c r="H38" s="146"/>
    </row>
    <row r="39" spans="1:8" ht="21" customHeight="1" x14ac:dyDescent="0.2">
      <c r="A39" s="129" t="s">
        <v>362</v>
      </c>
      <c r="B39" s="150" t="s">
        <v>397</v>
      </c>
      <c r="C39" s="146"/>
      <c r="D39" s="146"/>
      <c r="E39" s="146"/>
      <c r="F39" s="146"/>
      <c r="G39" s="146"/>
      <c r="H39" s="146"/>
    </row>
    <row r="41" spans="1:8" ht="22" customHeight="1" x14ac:dyDescent="0.2">
      <c r="A41" s="149" t="s">
        <v>368</v>
      </c>
      <c r="B41" s="146"/>
      <c r="C41" s="146"/>
      <c r="D41" s="146"/>
      <c r="E41" s="146"/>
      <c r="F41" s="146"/>
      <c r="G41" s="146"/>
      <c r="H41" s="146"/>
    </row>
    <row r="42" spans="1:8" ht="21" customHeight="1" x14ac:dyDescent="0.2">
      <c r="A42" s="129" t="s">
        <v>362</v>
      </c>
      <c r="B42" s="150" t="s">
        <v>398</v>
      </c>
      <c r="C42" s="146"/>
      <c r="D42" s="146"/>
      <c r="E42" s="146"/>
      <c r="F42" s="146"/>
      <c r="G42" s="146"/>
      <c r="H42" s="146"/>
    </row>
    <row r="43" spans="1:8" ht="51" customHeight="1" x14ac:dyDescent="0.2">
      <c r="A43" s="130" t="s">
        <v>363</v>
      </c>
      <c r="B43" s="150" t="s">
        <v>399</v>
      </c>
      <c r="C43" s="146"/>
      <c r="D43" s="146"/>
      <c r="E43" s="146"/>
      <c r="F43" s="146"/>
      <c r="G43" s="146"/>
      <c r="H43" s="146"/>
    </row>
    <row r="44" spans="1:8" ht="21" customHeight="1" x14ac:dyDescent="0.2">
      <c r="A44" s="129" t="s">
        <v>362</v>
      </c>
      <c r="B44" s="150" t="s">
        <v>400</v>
      </c>
      <c r="C44" s="146"/>
      <c r="D44" s="146"/>
      <c r="E44" s="146"/>
      <c r="F44" s="146"/>
      <c r="G44" s="146"/>
      <c r="H44" s="146"/>
    </row>
    <row r="45" spans="1:8" ht="36" customHeight="1" x14ac:dyDescent="0.2">
      <c r="A45" s="130" t="s">
        <v>363</v>
      </c>
      <c r="B45" s="150" t="s">
        <v>401</v>
      </c>
      <c r="C45" s="146"/>
      <c r="D45" s="146"/>
      <c r="E45" s="146"/>
      <c r="F45" s="146"/>
      <c r="G45" s="146"/>
      <c r="H45" s="146"/>
    </row>
    <row r="46" spans="1:8" ht="21" customHeight="1" x14ac:dyDescent="0.2">
      <c r="A46" s="129" t="s">
        <v>362</v>
      </c>
      <c r="B46" s="150" t="s">
        <v>402</v>
      </c>
      <c r="C46" s="146"/>
      <c r="D46" s="146"/>
      <c r="E46" s="146"/>
      <c r="F46" s="146"/>
      <c r="G46" s="146"/>
      <c r="H46" s="146"/>
    </row>
    <row r="47" spans="1:8" ht="21" customHeight="1" x14ac:dyDescent="0.2">
      <c r="A47" s="130" t="s">
        <v>363</v>
      </c>
      <c r="B47" s="150" t="s">
        <v>369</v>
      </c>
      <c r="C47" s="146"/>
      <c r="D47" s="146"/>
      <c r="E47" s="146"/>
      <c r="F47" s="146"/>
      <c r="G47" s="146"/>
      <c r="H47" s="146"/>
    </row>
    <row r="49" spans="1:8" ht="22" customHeight="1" x14ac:dyDescent="0.2">
      <c r="A49" s="149" t="s">
        <v>370</v>
      </c>
      <c r="B49" s="146"/>
      <c r="C49" s="146"/>
      <c r="D49" s="146"/>
      <c r="E49" s="146"/>
      <c r="F49" s="146"/>
      <c r="G49" s="146"/>
      <c r="H49" s="146"/>
    </row>
    <row r="50" spans="1:8" ht="36" customHeight="1" x14ac:dyDescent="0.2">
      <c r="A50" s="129" t="s">
        <v>362</v>
      </c>
      <c r="B50" s="150" t="s">
        <v>403</v>
      </c>
      <c r="C50" s="146"/>
      <c r="D50" s="146"/>
      <c r="E50" s="146"/>
      <c r="F50" s="146"/>
      <c r="G50" s="146"/>
      <c r="H50" s="146"/>
    </row>
    <row r="51" spans="1:8" ht="21" customHeight="1" x14ac:dyDescent="0.2">
      <c r="A51" s="130" t="s">
        <v>363</v>
      </c>
      <c r="B51" s="150" t="s">
        <v>404</v>
      </c>
      <c r="C51" s="146"/>
      <c r="D51" s="146"/>
      <c r="E51" s="146"/>
      <c r="F51" s="146"/>
      <c r="G51" s="146"/>
      <c r="H51" s="146"/>
    </row>
    <row r="52" spans="1:8" ht="21" customHeight="1" x14ac:dyDescent="0.2">
      <c r="A52" s="129" t="s">
        <v>362</v>
      </c>
      <c r="B52" s="150" t="s">
        <v>371</v>
      </c>
      <c r="C52" s="146"/>
      <c r="D52" s="146"/>
      <c r="E52" s="146"/>
      <c r="F52" s="146"/>
      <c r="G52" s="146"/>
      <c r="H52" s="146"/>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2" t="s">
        <v>119</v>
      </c>
      <c r="B1" s="152"/>
      <c r="C1" s="152"/>
      <c r="D1" s="152"/>
      <c r="E1" s="152"/>
      <c r="G1" s="26"/>
      <c r="H1" s="26"/>
      <c r="I1" s="26"/>
    </row>
    <row r="2" spans="1:9" ht="28.5" customHeight="1" x14ac:dyDescent="0.2">
      <c r="A2" s="153" t="s">
        <v>120</v>
      </c>
      <c r="B2" s="153"/>
      <c r="C2" s="153"/>
      <c r="D2" s="153"/>
      <c r="E2" s="153"/>
      <c r="G2" s="26"/>
      <c r="H2" s="26"/>
      <c r="I2" s="26"/>
    </row>
    <row r="3" spans="1:9" ht="3" customHeight="1" x14ac:dyDescent="0.2">
      <c r="G3" s="26"/>
      <c r="H3" s="26"/>
      <c r="I3" s="26"/>
    </row>
    <row r="4" spans="1:9" ht="15" customHeight="1" x14ac:dyDescent="0.2">
      <c r="A4" s="154" t="s">
        <v>121</v>
      </c>
      <c r="B4" s="154"/>
      <c r="C4" s="154"/>
      <c r="D4" s="154"/>
      <c r="E4" s="154"/>
      <c r="G4" s="26"/>
      <c r="H4" s="26"/>
      <c r="I4" s="26"/>
    </row>
    <row r="5" spans="1:9" ht="24.75" customHeight="1" x14ac:dyDescent="0.2">
      <c r="A5" s="155" t="str">
        <f ca="1">'Sport Records'!$C$4</f>
        <v>Daniel (Ferret)</v>
      </c>
      <c r="B5" s="155"/>
      <c r="C5" s="155"/>
      <c r="D5" s="155"/>
      <c r="E5" s="155"/>
      <c r="G5" s="26"/>
      <c r="H5" s="26"/>
      <c r="I5" s="26"/>
    </row>
    <row r="6" spans="1:9" ht="15" customHeight="1" x14ac:dyDescent="0.2">
      <c r="A6" s="156"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1153   |   35 wins, 41 losses   |   highest-rated eligible player</v>
      </c>
      <c r="B6" s="156"/>
      <c r="C6" s="156"/>
      <c r="D6" s="156"/>
      <c r="E6" s="156"/>
      <c r="G6" s="26"/>
      <c r="H6" s="26"/>
      <c r="I6" s="26"/>
    </row>
    <row r="7" spans="1:9" ht="15" customHeight="1" x14ac:dyDescent="0.2">
      <c r="G7" s="26"/>
      <c r="H7" s="26"/>
      <c r="I7" s="26"/>
    </row>
    <row r="8" spans="1:9" ht="15" customHeight="1" x14ac:dyDescent="0.2">
      <c r="A8" s="151" t="s">
        <v>122</v>
      </c>
      <c r="B8" s="151"/>
      <c r="C8" s="151"/>
      <c r="D8" s="151"/>
      <c r="E8" s="151"/>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18</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15</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1048</v>
      </c>
      <c r="D28" s="30" t="str">
        <f>IF(OR($B28="—",$B28=""),"—",COUNTIFS('Match Log'!$D$4:$D$810,$B28,'Match Log'!$C$4:$C$810,$A28,'Match Log'!$E$4:$E$810,"Win")&amp;"–"&amp;(COUNTIFS('Match Log'!$D$4:$D$810,$B28,'Match Log'!$C$4:$C$810,$A28)-COUNTIFS('Match Log'!$D$4:$D$810,$B28,'Match Log'!$C$4:$C$810,$A28,'Match Log'!$E$4:$E$810,"Win")))</f>
        <v>15–10</v>
      </c>
      <c r="E28" s="30">
        <f>'Sport Records'!$P$26</f>
        <v>33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6</v>
      </c>
    </row>
    <row r="31" spans="1:9" x14ac:dyDescent="0.2">
      <c r="A31" s="28" t="s">
        <v>446</v>
      </c>
      <c r="B31" s="29" t="str">
        <f>IFERROR('Sport Records'!$P$121,"—")</f>
        <v>Shawn</v>
      </c>
      <c r="C31" s="30">
        <f>IF(OR($B31="—",$B31=""),"",ROUND(MAX('Sport Records'!$B$121:$O$121),0))</f>
        <v>1017</v>
      </c>
      <c r="D31" s="30" t="str">
        <f>IF(OR($B31="—",$B31=""),"—",COUNTIFS('Match Log'!$D$4:$D$810,$B31,'Match Log'!$C$4:$C$810,$A31,'Match Log'!$E$4:$E$810,"Win")&amp;"–"&amp;(COUNTIFS('Match Log'!$D$4:$D$810,$B31,'Match Log'!$C$4:$C$810,$A31)-COUNTIFS('Match Log'!$D$4:$D$810,$B31,'Match Log'!$C$4:$C$810,$A31,'Match Log'!$E$4:$E$810,"Win")))</f>
        <v>1–0</v>
      </c>
      <c r="E31" s="30">
        <f>IFERROR('Sport Records'!$P$29,0)</f>
        <v>2</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Normal="100" workbookViewId="0">
      <pane xSplit="3" ySplit="4" topLeftCell="D5" activePane="bottomRight" state="frozen"/>
      <selection pane="topRight" activeCell="D1" sqref="D1"/>
      <selection pane="bottomLeft" activeCell="A5" sqref="A5"/>
      <selection pane="bottomRight" activeCell="B8" sqref="B8"/>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199  ·  13 Aug 2026</v>
      </c>
      <c r="T2" s="44"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137" t="str">
        <f ca="1">"Current Champion:  "&amp;IFERROR(INDEX($B$5:$B$18,MATCH(SUMPRODUCT(MAX(($L$5:$L$18="Eligible")*($T$5:$T$18&lt;&gt;"Inactive")*$V$5:$V$18)),$V$5:$V$18,0)),"— none eligible yet —")</f>
        <v>Current Champion:  Daniel (Ferret)</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1231.7029363250533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1089.0824405353462</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4.5999999999999996</v>
      </c>
      <c r="T5" s="49" t="str">
        <f ca="1">IFERROR(INDEX(Calcs!$T$7:$T$20,MATCH($B5,Calcs!$A$7:$A$20,0)),"")</f>
        <v>Inactive</v>
      </c>
      <c r="U5">
        <f ca="1">IFERROR(ROUND(INDEX(Calcs!$R$7:$R$20,MATCH($B5,Calcs!$A$7:$A$20,0))+INDEX(Calcs!$U$7:$U$20,MATCH($B5,Calcs!$A$7:$A$20,0)),0),0)</f>
        <v>10</v>
      </c>
      <c r="V5" s="51">
        <f ca="1">IFERROR(ROUND(INDEX(Calcs!$S$7:$S$20,MATCH($B5,Calcs!$A$7:$A$20,0)),0),"")</f>
        <v>1232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Daniel (Ferret)</v>
      </c>
      <c r="C6" s="48">
        <f ca="1">IFERROR(INDEX(Calcs!$S$7:$S$20,MATCH($B6,Calcs!$A$7:$A$20,0)),"")</f>
        <v>1153.0208401956088</v>
      </c>
      <c r="D6" s="49">
        <f ca="1">COUNTIF('Match Log'!$D$4:$D$810,$B6)</f>
        <v>76</v>
      </c>
      <c r="E6" s="49">
        <f ca="1">COUNTIFS('Match Log'!$D$4:$D$810,$B6,'Match Log'!$E$4:$E$810,"Win")</f>
        <v>35</v>
      </c>
      <c r="F6" s="49">
        <f t="shared" ca="1" si="1"/>
        <v>41</v>
      </c>
      <c r="G6" s="50">
        <f t="shared" ca="1" si="2"/>
        <v>0.46052631578947367</v>
      </c>
      <c r="H6" s="51">
        <f ca="1">SUMIF('Match Log'!$D$4:$D$810,$B6,'Match Log'!$J$4:$J$810)</f>
        <v>41.774552221548468</v>
      </c>
      <c r="I6" s="51">
        <f ca="1">SUMIF('Match Log'!$D$4:$D$810,$B6,'Match Log'!$K$4:$K$810)</f>
        <v>43.596287974060196</v>
      </c>
      <c r="J6" s="51">
        <f ca="1">SUMIF('Match Log'!$D$4:$D$810,$B6,'Match Log'!$L$4:$L$810)</f>
        <v>69</v>
      </c>
      <c r="K6" s="49">
        <f ca="1">SUMPRODUCT(--(COUNTIFS('Match Log'!$D$4:$D$810,$B6,'Match Log'!$C$4:$C$810,Lists!$C$2:$C$24)&gt;0))</f>
        <v>14</v>
      </c>
      <c r="L6" s="49" t="str">
        <f ca="1">IF($D6=0,"No games",IF(AND($D6&gt;='Guide &amp; Settings'!$C$45,$K6&gt;='Guide &amp; Settings'!$C$46),"Eligible","Provisional"))</f>
        <v>Eligible</v>
      </c>
      <c r="M6" s="48">
        <f ca="1">IFERROR(INDEX(Calcs!$C$7:$C$20,MATCH($B6,Calcs!$A$7:$A$20,0)),"")</f>
        <v>1099.0182437933961</v>
      </c>
      <c r="N6" s="48">
        <f t="shared" ca="1" si="3"/>
        <v>78.682096129444517</v>
      </c>
      <c r="O6" s="49" t="str">
        <f ca="1">IFERROR(INDEX(Calcs!$H$7:$H$20,MATCH($B6,Calcs!$A$7:$A$20,0)),"")</f>
        <v>W2</v>
      </c>
      <c r="P6" s="49" t="str">
        <f ca="1">IFERROR(INDEX(Calcs!$I$7:$I$20,MATCH($B6,Calcs!$A$7:$A$20,0)),"")</f>
        <v>WWLWW</v>
      </c>
      <c r="Q6" s="49" t="str">
        <f ca="1">IFERROR(IF(INDEX(Calcs!$L$7:$L$20,MATCH($B6,Calcs!$A$7:$A$20,0))&gt;0,"▲"&amp;INDEX(Calcs!$L$7:$L$20,MATCH($B6,Calcs!$A$7:$A$20,0)),IF(INDEX(Calcs!$L$7:$L$20,MATCH($B6,Calcs!$A$7:$A$20,0))&lt;0,"▼"&amp;ABS(INDEX(Calcs!$L$7:$L$20,MATCH($B6,Calcs!$A$7:$A$20,0))),"–")),"")</f>
        <v>▲1</v>
      </c>
      <c r="R6" s="49" t="str">
        <f ca="1">IFERROR(IF(INDEX(Calcs!$P$7:$P$20,MATCH($B6,Calcs!$A$7:$A$20,0))=0,"—",TEXT(INDEX(Calcs!$P$7:$P$20,MATCH($B6,Calcs!$A$7:$A$20,0)),"d mmm")),"")</f>
        <v>7 Aug</v>
      </c>
      <c r="S6" s="49">
        <f ca="1">IFERROR(ROUND(INDEX(Calcs!$Q$7:$Q$20,MATCH($B6,Calcs!$A$7:$A$20,0)),1),"")</f>
        <v>0.9</v>
      </c>
      <c r="T6" s="49" t="str">
        <f ca="1">IFERROR(INDEX(Calcs!$T$7:$T$20,MATCH($B6,Calcs!$A$7:$A$20,0)),"")</f>
        <v>Active</v>
      </c>
      <c r="U6">
        <f ca="1">IFERROR(ROUND(INDEX(Calcs!$R$7:$R$20,MATCH($B6,Calcs!$A$7:$A$20,0))+INDEX(Calcs!$U$7:$U$20,MATCH($B6,Calcs!$A$7:$A$20,0)),0),0)</f>
        <v>0</v>
      </c>
      <c r="V6" s="51">
        <f ca="1">IFERROR(ROUND(INDEX(Calcs!$S$7:$S$20,MATCH($B6,Calcs!$A$7:$A$20,0)),0),"")</f>
        <v>1153</v>
      </c>
      <c r="W6" s="49" t="str">
        <f ca="1">IFERROR(INDEX(Calcs!$AF$7:$AF$20,MATCH($B6,Calcs!$A$7:$A$20,0)),"")</f>
        <v>Elite</v>
      </c>
      <c r="X6" s="51">
        <f ca="1">IFERROR(ROUND(SUMIF('Poker Stake Ledger'!$C$18:$C$137,$B6,'Poker Stake Ledger'!$K$18:$K$137),1),0)</f>
        <v>-1.4</v>
      </c>
    </row>
    <row r="7" spans="1:24" ht="15" customHeight="1" x14ac:dyDescent="0.2">
      <c r="A7" s="46">
        <f t="shared" si="0"/>
        <v>3</v>
      </c>
      <c r="B7" s="47" t="str">
        <f ca="1">IFERROR(INDEX(Calcs!$A$7:$A$20,MATCH(LARGE(Calcs!$AI$7:$AI$20,ROW()-4),Calcs!$AI$7:$AI$20,0)),"")</f>
        <v>Josh</v>
      </c>
      <c r="C7" s="48">
        <f ca="1">IFERROR(INDEX(Calcs!$S$7:$S$20,MATCH($B7,Calcs!$A$7:$A$20,0)),"")</f>
        <v>1127.2409851862215</v>
      </c>
      <c r="D7" s="49">
        <f ca="1">COUNTIF('Match Log'!$D$4:$D$810,$B7)</f>
        <v>46</v>
      </c>
      <c r="E7" s="49">
        <f ca="1">COUNTIFS('Match Log'!$D$4:$D$810,$B7,'Match Log'!$E$4:$E$810,"Win")</f>
        <v>26</v>
      </c>
      <c r="F7" s="49">
        <f t="shared" ca="1" si="1"/>
        <v>20</v>
      </c>
      <c r="G7" s="50">
        <f t="shared" ca="1" si="2"/>
        <v>0.56521739130434778</v>
      </c>
      <c r="H7" s="51">
        <f ca="1">SUMIF('Match Log'!$D$4:$D$810,$B7,'Match Log'!$J$4:$J$810)</f>
        <v>18.491928748316255</v>
      </c>
      <c r="I7" s="51">
        <f ca="1">SUMIF('Match Log'!$D$4:$D$810,$B7,'Match Log'!$K$4:$K$810)</f>
        <v>36.999056437905232</v>
      </c>
      <c r="J7" s="51">
        <f ca="1">SUMIF('Match Log'!$D$4:$D$810,$B7,'Match Log'!$L$4:$L$810)</f>
        <v>50</v>
      </c>
      <c r="K7" s="49">
        <f ca="1">SUMPRODUCT(--(COUNTIFS('Match Log'!$D$4:$D$810,$B7,'Match Log'!$C$4:$C$810,Lists!$C$2:$C$24)&gt;0))</f>
        <v>13</v>
      </c>
      <c r="L7" s="49" t="str">
        <f ca="1">IF($D7=0,"No games",IF(AND($D7&gt;='Guide &amp; Settings'!$C$45,$K7&gt;='Guide &amp; Settings'!$C$46),"Eligible","Provisional"))</f>
        <v>Eligible</v>
      </c>
      <c r="M7" s="48">
        <f ca="1">IFERROR(INDEX(Calcs!$C$7:$C$20,MATCH($B7,Calcs!$A$7:$A$20,0)),"")</f>
        <v>1099.5243470981909</v>
      </c>
      <c r="N7" s="48">
        <f t="shared" ca="1" si="3"/>
        <v>104.46195113883186</v>
      </c>
      <c r="O7" s="49" t="str">
        <f ca="1">IFERROR(INDEX(Calcs!$H$7:$H$20,MATCH($B7,Calcs!$A$7:$A$20,0)),"")</f>
        <v>W1</v>
      </c>
      <c r="P7" s="49" t="str">
        <f ca="1">IFERROR(INDEX(Calcs!$I$7:$I$20,MATCH($B7,Calcs!$A$7:$A$20,0)),"")</f>
        <v>LLWLW</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13 Aug</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1127</v>
      </c>
      <c r="W7" s="49" t="str">
        <f ca="1">IFERROR(INDEX(Calcs!$AF$7:$AF$20,MATCH($B7,Calcs!$A$7:$A$20,0)),"")</f>
        <v>Elite</v>
      </c>
      <c r="X7" s="51">
        <f ca="1">IFERROR(ROUND(SUMIF('Poker Stake Ledger'!$C$18:$C$137,$B7,'Poker Stake Ledger'!$K$18:$K$137),1),0)</f>
        <v>21.8</v>
      </c>
    </row>
    <row r="8" spans="1:24" ht="15" customHeight="1" x14ac:dyDescent="0.2">
      <c r="A8" s="46">
        <f t="shared" si="0"/>
        <v>4</v>
      </c>
      <c r="B8" s="47" t="str">
        <f ca="1">IFERROR(INDEX(Calcs!$A$7:$A$20,MATCH(LARGE(Calcs!$AI$7:$AI$20,ROW()-4),Calcs!$AI$7:$AI$20,0)),"")</f>
        <v>Shawn</v>
      </c>
      <c r="C8" s="48">
        <f ca="1">IFERROR(INDEX(Calcs!$S$7:$S$20,MATCH($B8,Calcs!$A$7:$A$20,0)),"")</f>
        <v>1127.0124105732891</v>
      </c>
      <c r="D8" s="49">
        <f ca="1">COUNTIF('Match Log'!$D$4:$D$810,$B8)</f>
        <v>100</v>
      </c>
      <c r="E8" s="49">
        <f ca="1">COUNTIFS('Match Log'!$D$4:$D$810,$B8,'Match Log'!$E$4:$E$810,"Win")</f>
        <v>47</v>
      </c>
      <c r="F8" s="49">
        <f t="shared" ca="1" si="1"/>
        <v>53</v>
      </c>
      <c r="G8" s="50">
        <f t="shared" ca="1" si="2"/>
        <v>0.47</v>
      </c>
      <c r="H8" s="51">
        <f ca="1">SUMIF('Match Log'!$D$4:$D$810,$B8,'Match Log'!$J$4:$J$810)</f>
        <v>41.209344876400692</v>
      </c>
      <c r="I8" s="51">
        <f ca="1">SUMIF('Match Log'!$D$4:$D$810,$B8,'Match Log'!$K$4:$K$810)</f>
        <v>7.5530656968886971</v>
      </c>
      <c r="J8" s="51">
        <f ca="1">SUMIF('Match Log'!$D$4:$D$810,$B8,'Match Log'!$L$4:$L$810)</f>
        <v>82</v>
      </c>
      <c r="K8" s="49">
        <f ca="1">SUMPRODUCT(--(COUNTIFS('Match Log'!$D$4:$D$810,$B8,'Match Log'!$C$4:$C$810,Lists!$C$2:$C$24)&gt;0))</f>
        <v>15</v>
      </c>
      <c r="L8" s="49" t="str">
        <f ca="1">IF($D8=0,"No games",IF(AND($D8&gt;='Guide &amp; Settings'!$C$45,$K8&gt;='Guide &amp; Settings'!$C$46),"Eligible","Provisional"))</f>
        <v>Eligible</v>
      </c>
      <c r="M8" s="48">
        <f ca="1">IFERROR(INDEX(Calcs!$C$7:$C$20,MATCH($B8,Calcs!$A$7:$A$20,0)),"")</f>
        <v>1075.7730775841335</v>
      </c>
      <c r="N8" s="48">
        <f t="shared" ca="1" si="3"/>
        <v>104.6905257517642</v>
      </c>
      <c r="O8" s="49" t="str">
        <f ca="1">IFERROR(INDEX(Calcs!$H$7:$H$20,MATCH($B8,Calcs!$A$7:$A$20,0)),"")</f>
        <v>L1</v>
      </c>
      <c r="P8" s="49" t="str">
        <f ca="1">IFERROR(INDEX(Calcs!$I$7:$I$20,MATCH($B8,Calcs!$A$7:$A$20,0)),"")</f>
        <v>WWLWL</v>
      </c>
      <c r="Q8" s="49" t="str">
        <f ca="1">IFERROR(IF(INDEX(Calcs!$L$7:$L$20,MATCH($B8,Calcs!$A$7:$A$20,0))&gt;0,"▲"&amp;INDEX(Calcs!$L$7:$L$20,MATCH($B8,Calcs!$A$7:$A$20,0)),IF(INDEX(Calcs!$L$7:$L$20,MATCH($B8,Calcs!$A$7:$A$20,0))&lt;0,"▼"&amp;ABS(INDEX(Calcs!$L$7:$L$20,MATCH($B8,Calcs!$A$7:$A$20,0))),"–")),"")</f>
        <v>▲1</v>
      </c>
      <c r="R8" s="49" t="str">
        <f ca="1">IFERROR(IF(INDEX(Calcs!$P$7:$P$20,MATCH($B8,Calcs!$A$7:$A$20,0))=0,"—",TEXT(INDEX(Calcs!$P$7:$P$20,MATCH($B8,Calcs!$A$7:$A$20,0)),"d mmm")),"")</f>
        <v>13 Aug</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1127</v>
      </c>
      <c r="W8" s="49" t="str">
        <f ca="1">IFERROR(INDEX(Calcs!$AF$7:$AF$20,MATCH($B8,Calcs!$A$7:$A$20,0)),"")</f>
        <v>Elite</v>
      </c>
      <c r="X8" s="51">
        <f ca="1">IFERROR(ROUND(SUMIF('Poker Stake Ledger'!$C$18:$C$137,$B8,'Poker Stake Ledger'!$K$18:$K$137),1),0)</f>
        <v>-3.8</v>
      </c>
    </row>
    <row r="9" spans="1:24" ht="15" customHeight="1" x14ac:dyDescent="0.2">
      <c r="A9" s="46">
        <f t="shared" si="0"/>
        <v>5</v>
      </c>
      <c r="B9" s="47" t="str">
        <f ca="1">IFERROR(INDEX(Calcs!$A$7:$A$20,MATCH(LARGE(Calcs!$AI$7:$AI$20,ROW()-4),Calcs!$AI$7:$AI$20,0)),"")</f>
        <v>Dylan A</v>
      </c>
      <c r="C9" s="48">
        <f ca="1">IFERROR(INDEX(Calcs!$S$7:$S$20,MATCH($B9,Calcs!$A$7:$A$20,0)),"")</f>
        <v>1080.3830919749923</v>
      </c>
      <c r="D9" s="49">
        <f ca="1">COUNTIF('Match Log'!$D$4:$D$810,$B9)</f>
        <v>9</v>
      </c>
      <c r="E9" s="49">
        <f ca="1">COUNTIFS('Match Log'!$D$4:$D$810,$B9,'Match Log'!$E$4:$E$810,"Win")</f>
        <v>6</v>
      </c>
      <c r="F9" s="49">
        <f t="shared" ca="1" si="1"/>
        <v>3</v>
      </c>
      <c r="G9" s="50">
        <f t="shared" ca="1" si="2"/>
        <v>0.66666666666666663</v>
      </c>
      <c r="H9" s="51">
        <f ca="1">SUMIF('Match Log'!$D$4:$D$810,$B9,'Match Log'!$J$4:$J$810)</f>
        <v>37.232086523270631</v>
      </c>
      <c r="I9" s="51">
        <f ca="1">SUMIF('Match Log'!$D$4:$D$810,$B9,'Match Log'!$K$4:$K$810)</f>
        <v>27.1510054517219</v>
      </c>
      <c r="J9" s="51">
        <f ca="1">SUMIF('Match Log'!$D$4:$D$810,$B9,'Match Log'!$L$4:$L$810)</f>
        <v>16</v>
      </c>
      <c r="K9" s="49">
        <f ca="1">SUMPRODUCT(--(COUNTIFS('Match Log'!$D$4:$D$810,$B9,'Match Log'!$C$4:$C$810,Lists!$C$2:$C$24)&gt;0))</f>
        <v>3</v>
      </c>
      <c r="L9" s="49" t="str">
        <f ca="1">IF($D9=0,"No games",IF(AND($D9&gt;='Guide &amp; Settings'!$C$45,$K9&gt;='Guide &amp; Settings'!$C$46),"Eligible","Provisional"))</f>
        <v>Eligible</v>
      </c>
      <c r="M9" s="48">
        <f ca="1">IFERROR(INDEX(Calcs!$C$7:$C$20,MATCH($B9,Calcs!$A$7:$A$20,0)),"")</f>
        <v>1051.1937613447224</v>
      </c>
      <c r="N9" s="48">
        <f t="shared" ca="1" si="3"/>
        <v>151.31984435006098</v>
      </c>
      <c r="O9" s="49" t="str">
        <f ca="1">IFERROR(INDEX(Calcs!$H$7:$H$20,MATCH($B9,Calcs!$A$7:$A$20,0)),"")</f>
        <v>W2</v>
      </c>
      <c r="P9" s="49" t="str">
        <f ca="1">IFERROR(INDEX(Calcs!$I$7:$I$20,MATCH($B9,Calcs!$A$7:$A$20,0)),"")</f>
        <v>WWLWW</v>
      </c>
      <c r="Q9" s="49" t="str">
        <f ca="1">IFERROR(IF(INDEX(Calcs!$L$7:$L$20,MATCH($B9,Calcs!$A$7:$A$20,0))&gt;0,"▲"&amp;INDEX(Calcs!$L$7:$L$20,MATCH($B9,Calcs!$A$7:$A$20,0)),IF(INDEX(Calcs!$L$7:$L$20,MATCH($B9,Calcs!$A$7:$A$20,0))&lt;0,"▼"&amp;ABS(INDEX(Calcs!$L$7:$L$20,MATCH($B9,Calcs!$A$7:$A$20,0))),"–")),"")</f>
        <v>▲1</v>
      </c>
      <c r="R9" s="49" t="str">
        <f ca="1">IFERROR(IF(INDEX(Calcs!$P$7:$P$20,MATCH($B9,Calcs!$A$7:$A$20,0))=0,"—",TEXT(INDEX(Calcs!$P$7:$P$20,MATCH($B9,Calcs!$A$7:$A$20,0)),"d mmm")),"")</f>
        <v>19 Jul</v>
      </c>
      <c r="S9" s="49">
        <f ca="1">IFERROR(ROUND(INDEX(Calcs!$Q$7:$Q$20,MATCH($B9,Calcs!$A$7:$A$20,0)),1),"")</f>
        <v>3.6</v>
      </c>
      <c r="T9" s="49" t="str">
        <f ca="1">IFERROR(INDEX(Calcs!$T$7:$T$20,MATCH($B9,Calcs!$A$7:$A$20,0)),"")</f>
        <v>At risk</v>
      </c>
      <c r="U9">
        <f ca="1">IFERROR(ROUND(INDEX(Calcs!$R$7:$R$20,MATCH($B9,Calcs!$A$7:$A$20,0))+INDEX(Calcs!$U$7:$U$20,MATCH($B9,Calcs!$A$7:$A$20,0)),0),0)</f>
        <v>0</v>
      </c>
      <c r="V9" s="51">
        <f ca="1">IFERROR(ROUND(INDEX(Calcs!$S$7:$S$20,MATCH($B9,Calcs!$A$7:$A$20,0)),0),"")</f>
        <v>1080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Oscar</v>
      </c>
      <c r="C10" s="48">
        <f ca="1">IFERROR(INDEX(Calcs!$S$7:$S$20,MATCH($B10,Calcs!$A$7:$A$20,0)),"")</f>
        <v>1054.3366131438215</v>
      </c>
      <c r="D10" s="49">
        <f ca="1">COUNTIF('Match Log'!$D$4:$D$810,$B10)</f>
        <v>59</v>
      </c>
      <c r="E10" s="49">
        <f ca="1">COUNTIFS('Match Log'!$D$4:$D$810,$B10,'Match Log'!$E$4:$E$810,"Win")</f>
        <v>25</v>
      </c>
      <c r="F10" s="49">
        <f t="shared" ca="1" si="1"/>
        <v>34</v>
      </c>
      <c r="G10" s="50">
        <f t="shared" ca="1" si="2"/>
        <v>0.42372881355932202</v>
      </c>
      <c r="H10" s="51">
        <f ca="1">SUMIF('Match Log'!$D$4:$D$810,$B10,'Match Log'!$J$4:$J$810)</f>
        <v>-33.21875751222327</v>
      </c>
      <c r="I10" s="51">
        <f ca="1">SUMIF('Match Log'!$D$4:$D$810,$B10,'Match Log'!$K$4:$K$810)</f>
        <v>13.555370656044481</v>
      </c>
      <c r="J10" s="51">
        <f ca="1">SUMIF('Match Log'!$D$4:$D$810,$B10,'Match Log'!$L$4:$L$810)</f>
        <v>74</v>
      </c>
      <c r="K10" s="49">
        <f ca="1">SUMPRODUCT(--(COUNTIFS('Match Log'!$D$4:$D$810,$B10,'Match Log'!$C$4:$C$810,Lists!$C$2:$C$24)&gt;0))</f>
        <v>9</v>
      </c>
      <c r="L10" s="49" t="str">
        <f ca="1">IF($D10=0,"No games",IF(AND($D10&gt;='Guide &amp; Settings'!$C$45,$K10&gt;='Guide &amp; Settings'!$C$46),"Eligible","Provisional"))</f>
        <v>Eligible</v>
      </c>
      <c r="M10" s="48">
        <f ca="1">IFERROR(INDEX(Calcs!$C$7:$C$20,MATCH($B10,Calcs!$A$7:$A$20,0)),"")</f>
        <v>1094.5174179288522</v>
      </c>
      <c r="N10" s="48">
        <f t="shared" ca="1" si="3"/>
        <v>177.36632318123179</v>
      </c>
      <c r="O10" s="49" t="str">
        <f ca="1">IFERROR(INDEX(Calcs!$H$7:$H$20,MATCH($B10,Calcs!$A$7:$A$20,0)),"")</f>
        <v>L6</v>
      </c>
      <c r="P10" s="49" t="str">
        <f ca="1">IFERROR(INDEX(Calcs!$I$7:$I$20,MATCH($B10,Calcs!$A$7:$A$20,0)),"")</f>
        <v>LLLLL</v>
      </c>
      <c r="Q10" s="49" t="str">
        <f ca="1">IFERROR(IF(INDEX(Calcs!$L$7:$L$20,MATCH($B10,Calcs!$A$7:$A$20,0))&gt;0,"▲"&amp;INDEX(Calcs!$L$7:$L$20,MATCH($B10,Calcs!$A$7:$A$20,0)),IF(INDEX(Calcs!$L$7:$L$20,MATCH($B10,Calcs!$A$7:$A$20,0))&lt;0,"▼"&amp;ABS(INDEX(Calcs!$L$7:$L$20,MATCH($B10,Calcs!$A$7:$A$20,0))),"–")),"")</f>
        <v>▼4</v>
      </c>
      <c r="R10" s="49" t="str">
        <f ca="1">IFERROR(IF(INDEX(Calcs!$P$7:$P$20,MATCH($B10,Calcs!$A$7:$A$20,0))=0,"—",TEXT(INDEX(Calcs!$P$7:$P$20,MATCH($B10,Calcs!$A$7:$A$20,0)),"d mmm")),"")</f>
        <v>9 Aug</v>
      </c>
      <c r="S10" s="49">
        <f ca="1">IFERROR(ROUND(INDEX(Calcs!$Q$7:$Q$20,MATCH($B10,Calcs!$A$7:$A$20,0)),1),"")</f>
        <v>0.6</v>
      </c>
      <c r="T10" s="49" t="str">
        <f ca="1">IFERROR(INDEX(Calcs!$T$7:$T$20,MATCH($B10,Calcs!$A$7:$A$20,0)),"")</f>
        <v>Active</v>
      </c>
      <c r="U10">
        <f ca="1">IFERROR(ROUND(INDEX(Calcs!$R$7:$R$20,MATCH($B10,Calcs!$A$7:$A$20,0))+INDEX(Calcs!$U$7:$U$20,MATCH($B10,Calcs!$A$7:$A$20,0)),0),0)</f>
        <v>0</v>
      </c>
      <c r="V10" s="51">
        <f ca="1">IFERROR(ROUND(INDEX(Calcs!$S$7:$S$20,MATCH($B10,Calcs!$A$7:$A$20,0)),0),"")</f>
        <v>1054</v>
      </c>
      <c r="W10" s="49" t="str">
        <f ca="1">IFERROR(INDEX(Calcs!$AF$7:$AF$20,MATCH($B10,Calcs!$A$7:$A$20,0)),"")</f>
        <v>Strong</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t="shared" ca="1" si="1"/>
        <v>11</v>
      </c>
      <c r="G11" s="50">
        <f t="shared" ca="1" si="2"/>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1061.3840396343217</v>
      </c>
      <c r="N11" s="48">
        <f t="shared" ca="1" si="3"/>
        <v>187.0136290126959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2.6</v>
      </c>
      <c r="T11" s="49" t="str">
        <f ca="1">IFERROR(INDEX(Calcs!$T$7:$T$20,MATCH($B11,Calcs!$A$7:$A$20,0)),"")</f>
        <v>At risk</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1082.2675846655518</v>
      </c>
      <c r="N12" s="48">
        <f t="shared" ca="1" si="3"/>
        <v>193.88322485295953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3.9</v>
      </c>
      <c r="T12" s="49" t="str">
        <f ca="1">IFERROR(INDEX(Calcs!$T$7:$T$20,MATCH($B12,Calcs!$A$7:$A$20,0)),"")</f>
        <v>At risk</v>
      </c>
      <c r="U12">
        <f ca="1">IFERROR(ROUND(INDEX(Calcs!$R$7:$R$20,MATCH($B12,Calcs!$A$7:$A$20,0))+INDEX(Calcs!$U$7:$U$20,MATCH($B12,Calcs!$A$7:$A$20,0)),0),0)</f>
        <v>0</v>
      </c>
      <c r="V12" s="51">
        <f ca="1">IFERROR(ROUND(INDEX(Calcs!$S$7:$S$20,MATCH($B12,Calcs!$A$7:$A$20,0)),0),"")</f>
        <v>1038</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t="shared" ca="1" si="1"/>
        <v>6</v>
      </c>
      <c r="G13" s="50">
        <f t="shared" ca="1" si="2"/>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1061.1030588367298</v>
      </c>
      <c r="N13" s="48">
        <f t="shared" ca="1" si="3"/>
        <v>219.57253637582289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3.6</v>
      </c>
      <c r="T13" s="49" t="str">
        <f ca="1">IFERROR(INDEX(Calcs!$T$7:$T$20,MATCH($B13,Calcs!$A$7:$A$20,0)),"")</f>
        <v>At risk</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Dylan S</v>
      </c>
      <c r="C14" s="48">
        <f ca="1">IFERROR(INDEX(Calcs!$S$7:$S$20,MATCH($B14,Calcs!$A$7:$A$20,0)),"")</f>
        <v>1000</v>
      </c>
      <c r="D14" s="49">
        <f ca="1">COUNTIF('Match Log'!$D$4:$D$810,$B14)</f>
        <v>0</v>
      </c>
      <c r="E14" s="49">
        <f ca="1">COUNTIFS('Match Log'!$D$4:$D$810,$B14,'Match Log'!$E$4:$E$810,"Win")</f>
        <v>0</v>
      </c>
      <c r="F14" s="49">
        <f t="shared" ca="1" si="1"/>
        <v>0</v>
      </c>
      <c r="G14" s="50" t="str">
        <f t="shared" ca="1" si="2"/>
        <v/>
      </c>
      <c r="H14" s="51">
        <f ca="1">SUMIF('Match Log'!$D$4:$D$810,$B14,'Match Log'!$J$4:$J$810)</f>
        <v>0</v>
      </c>
      <c r="I14" s="51">
        <f ca="1">SUMIF('Match Log'!$D$4:$D$810,$B14,'Match Log'!$K$4:$K$810)</f>
        <v>0</v>
      </c>
      <c r="J14" s="51">
        <f ca="1">SUMIF('Match Log'!$D$4:$D$810,$B14,'Match Log'!$L$4:$L$810)</f>
        <v>0</v>
      </c>
      <c r="K14" s="49">
        <f ca="1">SUMPRODUCT(--(COUNTIFS('Match Log'!$D$4:$D$810,$B14,'Match Log'!$C$4:$C$810,Lists!$C$2:$C$24)&gt;0))</f>
        <v>0</v>
      </c>
      <c r="L14" s="49" t="str">
        <f ca="1">IF($D14=0,"No games",IF(AND($D14&gt;='Guide &amp; Settings'!$C$45,$K14&gt;='Guide &amp; Settings'!$C$46),"Eligible","Provisional"))</f>
        <v>No games</v>
      </c>
      <c r="M14" s="48" t="str">
        <f ca="1">IFERROR(INDEX(Calcs!$C$7:$C$20,MATCH($B14,Calcs!$A$7:$A$20,0)),"")</f>
        <v/>
      </c>
      <c r="N14" s="48">
        <f t="shared" ca="1" si="3"/>
        <v>231.70293632505332</v>
      </c>
      <c r="O14" s="49" t="str">
        <f ca="1">IFERROR(INDEX(Calcs!$H$7:$H$20,MATCH($B14,Calcs!$A$7:$A$20,0)),"")</f>
        <v/>
      </c>
      <c r="P14" s="49" t="str">
        <f ca="1">IFERROR(INDEX(Calcs!$I$7:$I$20,MATCH($B14,Calcs!$A$7:$A$20,0)),"")</f>
        <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v>
      </c>
      <c r="S14" s="49" t="str">
        <f ca="1">IFERROR(ROUND(INDEX(Calcs!$Q$7:$Q$20,MATCH($B14,Calcs!$A$7:$A$20,0)),1),"")</f>
        <v/>
      </c>
      <c r="T14" s="49" t="str">
        <f ca="1">IFERROR(INDEX(Calcs!$T$7:$T$20,MATCH($B14,Calcs!$A$7:$A$20,0)),"")</f>
        <v>No games</v>
      </c>
      <c r="U14">
        <f ca="1">IFERROR(ROUND(INDEX(Calcs!$R$7:$R$20,MATCH($B14,Calcs!$A$7:$A$20,0))+INDEX(Calcs!$U$7:$U$20,MATCH($B14,Calcs!$A$7:$A$20,0)),0),0)</f>
        <v>0</v>
      </c>
      <c r="V14" s="51">
        <f ca="1">IFERROR(ROUND(INDEX(Calcs!$S$7:$S$20,MATCH($B14,Calcs!$A$7:$A$20,0)),0),"")</f>
        <v>1000</v>
      </c>
      <c r="W14" s="49" t="str">
        <f ca="1">IFERROR(INDEX(Calcs!$AF$7:$AF$20,MATCH($B14,Calcs!$A$7:$A$20,0)),"")</f>
        <v>No games</v>
      </c>
      <c r="X14" s="51">
        <f ca="1">IFERROR(ROUND(SUMIF('Poker Stake Ledger'!$C$18:$C$137,$B14,'Poker Stake Ledger'!$K$18:$K$137),1),0)</f>
        <v>0</v>
      </c>
    </row>
    <row r="15" spans="1:24" ht="15" customHeight="1" x14ac:dyDescent="0.2">
      <c r="A15" s="46">
        <f t="shared" si="0"/>
        <v>11</v>
      </c>
      <c r="B15" s="47" t="str">
        <f ca="1">IFERROR(INDEX(Calcs!$A$7:$A$20,MATCH(LARGE(Calcs!$AI$7:$AI$20,ROW()-4),Calcs!$AI$7:$AI$20,0)),"")</f>
        <v>Aaron</v>
      </c>
      <c r="C15" s="48">
        <f ca="1">IFERROR(INDEX(Calcs!$S$7:$S$20,MATCH($B15,Calcs!$A$7:$A$20,0)),"")</f>
        <v>998.72610466947049</v>
      </c>
      <c r="D15" s="49">
        <f ca="1">COUNTIF('Match Log'!$D$4:$D$810,$B15)</f>
        <v>54</v>
      </c>
      <c r="E15" s="49">
        <f ca="1">COUNTIFS('Match Log'!$D$4:$D$810,$B15,'Match Log'!$E$4:$E$810,"Win")</f>
        <v>26</v>
      </c>
      <c r="F15" s="49">
        <f t="shared" ca="1" si="1"/>
        <v>28</v>
      </c>
      <c r="G15" s="50">
        <f t="shared" ca="1" si="2"/>
        <v>0.48148148148148145</v>
      </c>
      <c r="H15" s="51">
        <f ca="1">SUMIF('Match Log'!$D$4:$D$810,$B15,'Match Log'!$J$4:$J$810)</f>
        <v>-54.834865451761246</v>
      </c>
      <c r="I15" s="51">
        <f ca="1">SUMIF('Match Log'!$D$4:$D$810,$B15,'Match Log'!$K$4:$K$810)</f>
        <v>28.660970121231678</v>
      </c>
      <c r="J15" s="51">
        <f ca="1">SUMIF('Match Log'!$D$4:$D$810,$B15,'Match Log'!$L$4:$L$810)</f>
        <v>36</v>
      </c>
      <c r="K15" s="49">
        <f ca="1">SUMPRODUCT(--(COUNTIFS('Match Log'!$D$4:$D$810,$B15,'Match Log'!$C$4:$C$810,Lists!$C$2:$C$24)&gt;0))</f>
        <v>11</v>
      </c>
      <c r="L15" s="49" t="str">
        <f ca="1">IF($D15=0,"No games",IF(AND($D15&gt;='Guide &amp; Settings'!$C$45,$K15&gt;='Guide &amp; Settings'!$C$46),"Eligible","Provisional"))</f>
        <v>Eligible</v>
      </c>
      <c r="M15" s="48">
        <f ca="1">IFERROR(INDEX(Calcs!$C$7:$C$20,MATCH($B15,Calcs!$A$7:$A$20,0)),"")</f>
        <v>1099.9321053362805</v>
      </c>
      <c r="N15" s="48">
        <f t="shared" ca="1" si="3"/>
        <v>232.97683165558283</v>
      </c>
      <c r="O15" s="49" t="str">
        <f ca="1">IFERROR(INDEX(Calcs!$H$7:$H$20,MATCH($B15,Calcs!$A$7:$A$20,0)),"")</f>
        <v>L1</v>
      </c>
      <c r="P15" s="49" t="str">
        <f ca="1">IFERROR(INDEX(Calcs!$I$7:$I$20,MATCH($B15,Calcs!$A$7:$A$20,0)),"")</f>
        <v>WLLWL</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26 Jul</v>
      </c>
      <c r="S15" s="49">
        <f ca="1">IFERROR(ROUND(INDEX(Calcs!$Q$7:$Q$20,MATCH($B15,Calcs!$A$7:$A$20,0)),1),"")</f>
        <v>2.6</v>
      </c>
      <c r="T15" s="49" t="str">
        <f ca="1">IFERROR(INDEX(Calcs!$T$7:$T$20,MATCH($B15,Calcs!$A$7:$A$20,0)),"")</f>
        <v>At risk</v>
      </c>
      <c r="U15">
        <f ca="1">IFERROR(ROUND(INDEX(Calcs!$R$7:$R$20,MATCH($B15,Calcs!$A$7:$A$20,0))+INDEX(Calcs!$U$7:$U$20,MATCH($B15,Calcs!$A$7:$A$20,0)),0),0)</f>
        <v>0</v>
      </c>
      <c r="V15" s="51">
        <f ca="1">IFERROR(ROUND(INDEX(Calcs!$S$7:$S$20,MATCH($B15,Calcs!$A$7:$A$20,0)),0),"")</f>
        <v>999</v>
      </c>
      <c r="W15" s="49" t="str">
        <f ca="1">IFERROR(INDEX(Calcs!$AF$7:$AF$20,MATCH($B15,Calcs!$A$7:$A$20,0)),"")</f>
        <v>Strong</v>
      </c>
      <c r="X15" s="51">
        <f ca="1">IFERROR(ROUND(SUMIF('Poker Stake Ledger'!$C$18:$C$137,$B15,'Poker Stake Ledger'!$K$18:$K$137),1),0)</f>
        <v>-11.1</v>
      </c>
    </row>
    <row r="16" spans="1:24" ht="15" customHeight="1" x14ac:dyDescent="0.2">
      <c r="A16" s="46">
        <f t="shared" si="0"/>
        <v>12</v>
      </c>
      <c r="B16" s="47" t="str">
        <f ca="1">IFERROR(INDEX(Calcs!$A$7:$A$20,MATCH(LARGE(Calcs!$AI$7:$AI$20,ROW()-4),Calcs!$AI$7:$AI$20,0)),"")</f>
        <v>Beau</v>
      </c>
      <c r="C16" s="48">
        <f ca="1">IFERROR(INDEX(Calcs!$S$7:$S$20,MATCH($B16,Calcs!$A$7:$A$20,0)),"")</f>
        <v>979.51759653351382</v>
      </c>
      <c r="D16" s="49">
        <f ca="1">COUNTIF('Match Log'!$D$4:$D$810,$B16)</f>
        <v>10</v>
      </c>
      <c r="E16" s="49">
        <f ca="1">COUNTIFS('Match Log'!$D$4:$D$810,$B16,'Match Log'!$E$4:$E$810,"Win")</f>
        <v>5</v>
      </c>
      <c r="F16" s="49">
        <f t="shared" ca="1" si="1"/>
        <v>5</v>
      </c>
      <c r="G16" s="50">
        <f t="shared" ca="1" si="2"/>
        <v>0.5</v>
      </c>
      <c r="H16" s="51">
        <f ca="1">SUMIF('Match Log'!$D$4:$D$810,$B16,'Match Log'!$J$4:$J$810)</f>
        <v>-14.562118325761057</v>
      </c>
      <c r="I16" s="51">
        <f ca="1">SUMIF('Match Log'!$D$4:$D$810,$B16,'Match Log'!$K$4:$K$810)</f>
        <v>16.079714859275072</v>
      </c>
      <c r="J16" s="51">
        <f ca="1">SUMIF('Match Log'!$D$4:$D$810,$B16,'Match Log'!$L$4:$L$810)</f>
        <v>28</v>
      </c>
      <c r="K16" s="49">
        <f ca="1">SUMPRODUCT(--(COUNTIFS('Match Log'!$D$4:$D$810,$B16,'Match Log'!$C$4:$C$810,Lists!$C$2:$C$24)&gt;0))</f>
        <v>3</v>
      </c>
      <c r="L16" s="49" t="str">
        <f ca="1">IF($D16=0,"No games",IF(AND($D16&gt;='Guide &amp; Settings'!$C$45,$K16&gt;='Guide &amp; Settings'!$C$46),"Eligible","Provisional"))</f>
        <v>Eligible</v>
      </c>
      <c r="M16" s="48">
        <f ca="1">IFERROR(INDEX(Calcs!$C$7:$C$20,MATCH($B16,Calcs!$A$7:$A$20,0)),"")</f>
        <v>1068.7234592074572</v>
      </c>
      <c r="N16" s="48">
        <f t="shared" ca="1" si="3"/>
        <v>252.18533979153949</v>
      </c>
      <c r="O16" s="49" t="str">
        <f ca="1">IFERROR(INDEX(Calcs!$H$7:$H$20,MATCH($B16,Calcs!$A$7:$A$20,0)),"")</f>
        <v>L2</v>
      </c>
      <c r="P16" s="49" t="str">
        <f ca="1">IFERROR(INDEX(Calcs!$I$7:$I$20,MATCH($B16,Calcs!$A$7:$A$20,0)),"")</f>
        <v>LWWLL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15 Jun</v>
      </c>
      <c r="S16" s="49">
        <f ca="1">IFERROR(ROUND(INDEX(Calcs!$Q$7:$Q$20,MATCH($B16,Calcs!$A$7:$A$20,0)),1),"")</f>
        <v>8.4</v>
      </c>
      <c r="T16" s="49" t="str">
        <f ca="1">IFERROR(INDEX(Calcs!$T$7:$T$20,MATCH($B16,Calcs!$A$7:$A$20,0)),"")</f>
        <v>Inactive</v>
      </c>
      <c r="U16">
        <f ca="1">IFERROR(ROUND(INDEX(Calcs!$R$7:$R$20,MATCH($B16,Calcs!$A$7:$A$20,0))+INDEX(Calcs!$U$7:$U$20,MATCH($B16,Calcs!$A$7:$A$20,0)),0),0)</f>
        <v>50</v>
      </c>
      <c r="V16" s="51">
        <f ca="1">IFERROR(ROUND(INDEX(Calcs!$S$7:$S$20,MATCH($B16,Calcs!$A$7:$A$20,0)),0),"")</f>
        <v>980</v>
      </c>
      <c r="W16" s="49" t="str">
        <f ca="1">IFERROR(INDEX(Calcs!$AF$7:$AF$20,MATCH($B16,Calcs!$A$7:$A$20,0)),"")</f>
        <v>Mid</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963.19705892757202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1078.4634044736506</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4.7</v>
      </c>
      <c r="T17" s="49" t="str">
        <f ca="1">IFERROR(INDEX(Calcs!$T$7:$T$20,MATCH($B17,Calcs!$A$7:$A$20,0)),"")</f>
        <v>Inactive</v>
      </c>
      <c r="U17">
        <f ca="1">IFERROR(ROUND(INDEX(Calcs!$R$7:$R$20,MATCH($B17,Calcs!$A$7:$A$20,0))+INDEX(Calcs!$U$7:$U$20,MATCH($B17,Calcs!$A$7:$A$20,0)),0),0)</f>
        <v>10</v>
      </c>
      <c r="V17" s="51">
        <f ca="1">IFERROR(ROUND(INDEX(Calcs!$S$7:$S$20,MATCH($B17,Calcs!$A$7:$A$20,0)),0),"")</f>
        <v>963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1073.0840568270357</v>
      </c>
      <c r="N18" s="48">
        <f t="shared" ca="1" si="3"/>
        <v>369.47999258827838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3.6</v>
      </c>
      <c r="T18" s="49" t="str">
        <f ca="1">IFERROR(INDEX(Calcs!$T$7:$T$20,MATCH($B18,Calcs!$A$7:$A$20,0)),"")</f>
        <v>At risk</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4</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1127.0124105732891</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47–53</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0.47</v>
      </c>
      <c r="D9" s="56" t="s">
        <v>185</v>
      </c>
      <c r="E9" s="36">
        <f>COUNTIFS('Match Log'!$D$4:$D$810,$B$3,'Match Log'!$C$4:$C$810,$D9)</f>
        <v>1</v>
      </c>
      <c r="F9" s="36">
        <f>COUNTIFS('Match Log'!$D$4:$D$810,$B$3,'Match Log'!$C$4:$C$810,$D9,'Match Log'!$E$4:$E$810,"Win")</f>
        <v>1</v>
      </c>
      <c r="G9" s="57">
        <f t="shared" si="0"/>
        <v>1</v>
      </c>
      <c r="H9" s="58">
        <f>IFERROR(IF($E9=0,"",INDEX('Sport Records'!$B$100:$O$122,MATCH($D9,'Sport Records'!$A$100:$A$122,0),MATCH($B$3,'Sport Records'!$B$99:$O$99,0))),"")</f>
        <v>1015.2556013117346</v>
      </c>
    </row>
    <row r="10" spans="1:8" ht="15" customHeight="1" x14ac:dyDescent="0.2">
      <c r="A10" s="54" t="s">
        <v>127</v>
      </c>
      <c r="B10" s="55">
        <f ca="1">IFERROR(INDEX(Dashboard!$D$5:$D$18,MATCH($B$3,Dashboard!$B$5:$B$18,0)),"")</f>
        <v>100</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15</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1075.7730775841335</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WWLWL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110.9405257517642</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13 Aug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12</v>
      </c>
      <c r="F18" s="39">
        <f>COUNTIFS('Match Log'!$D$4:$D$810,$B$3,'Match Log'!$C$4:$C$810,$D18,'Match Log'!$E$4:$E$810,"Win")</f>
        <v>0</v>
      </c>
      <c r="G18" s="61">
        <f t="shared" si="0"/>
        <v>0</v>
      </c>
      <c r="H18" s="62">
        <f>IFERROR(IF($E18=0,"",INDEX('Sport Records'!$B$100:$O$122,MATCH($D18,'Sport Records'!$A$100:$A$122,0),MATCH($B$3,'Sport Records'!$B$99:$O$99,0))),"")</f>
        <v>863.17531320037415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Mario Golf</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74</v>
      </c>
      <c r="D23" s="56" t="s">
        <v>208</v>
      </c>
      <c r="E23" s="36">
        <f>COUNTIFS('Match Log'!$D$4:$D$810,$B$3,'Match Log'!$C$4:$C$810,$D23)</f>
        <v>25</v>
      </c>
      <c r="F23" s="36">
        <f>COUNTIFS('Match Log'!$D$4:$D$810,$B$3,'Match Log'!$C$4:$C$810,$D23,'Match Log'!$E$4:$E$810,"Win")</f>
        <v>15</v>
      </c>
      <c r="G23" s="57">
        <f t="shared" si="0"/>
        <v>0.6</v>
      </c>
      <c r="H23" s="58">
        <f>IFERROR(IF($E23=0,"",INDEX('Sport Records'!$B$100:$O$122,MATCH($D23,'Sport Records'!$A$100:$A$122,0),MATCH($B$3,'Sport Records'!$B$99:$O$99,0))),"")</f>
        <v>1047.5054308988927</v>
      </c>
    </row>
    <row r="24" spans="1:8" x14ac:dyDescent="0.2">
      <c r="A24" s="64" t="s">
        <v>209</v>
      </c>
      <c r="B24" s="65">
        <f ca="1">IFERROR(ROUND(INDEX(Calcs!$W$7:$W$20,MATCH($B$3,Calcs!$A$7:$A$20,0)),0),"")</f>
        <v>82</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47</v>
      </c>
      <c r="D25" s="56" t="s">
        <v>445</v>
      </c>
      <c r="E25" s="36">
        <f>COUNTIFS('Match Log'!$D$4:$D$810,$B$3,'Match Log'!$C$4:$C$810,$D25)</f>
        <v>2</v>
      </c>
      <c r="F25" s="36">
        <f>COUNTIFS('Match Log'!$D$4:$D$810,$B$3,'Match Log'!$C$4:$C$810,$D25,'Match Log'!$E$4:$E$810,"Win")</f>
        <v>1</v>
      </c>
      <c r="G25" s="57">
        <f>IF($E25=0,"",$F25/$E25)</f>
        <v>0.5</v>
      </c>
      <c r="H25" s="58">
        <f>IFERROR(IF($E25=0,"",INDEX('Sport Records'!$B$100:$O$122,MATCH($D25,'Sport Records'!$A$100:$A$122,0),MATCH($B$3,'Sport Records'!$B$99:$O$99,0))),"")</f>
        <v>999.0270542964812</v>
      </c>
    </row>
    <row r="26" spans="1:8" x14ac:dyDescent="0.2">
      <c r="A26" s="64" t="s">
        <v>211</v>
      </c>
      <c r="B26" s="65">
        <f ca="1">IFERROR(ROUND(INDEX(Calcs!$Y$7:$Y$20,MATCH($B$3,Calcs!$A$7:$A$20,0)),0),"")</f>
        <v>100</v>
      </c>
      <c r="D26" s="56" t="s">
        <v>446</v>
      </c>
      <c r="E26" s="36">
        <f>COUNTIFS('Match Log'!$D$4:$D$810,$B$3,'Match Log'!$C$4:$C$810,$D26)</f>
        <v>1</v>
      </c>
      <c r="F26" s="36">
        <f>COUNTIFS('Match Log'!$D$4:$D$810,$B$3,'Match Log'!$C$4:$C$810,$D26,'Match Log'!$E$4:$E$810,"Win")</f>
        <v>1</v>
      </c>
      <c r="G26" s="57">
        <f>IF($E26=0,"",$F26/$E26)</f>
        <v>1</v>
      </c>
      <c r="H26" s="58">
        <f>IFERROR(IF($E26=0,"",INDEX('Sport Records'!$B$100:$O$122,MATCH($D26,'Sport Records'!$A$100:$A$122,0),MATCH($B$3,'Sport Records'!$B$99:$O$99,0))),"")</f>
        <v>1016.736306793522</v>
      </c>
    </row>
    <row r="27" spans="1:8" x14ac:dyDescent="0.2">
      <c r="A27" s="64" t="s">
        <v>212</v>
      </c>
      <c r="B27" s="65">
        <f>IFERROR(ROUND(INDEX(Calcs!$Z$7:$Z$20,MATCH($B$3,Calcs!$A$7:$A$20,0)),0),"")</f>
        <v>60</v>
      </c>
      <c r="D27" s="56" t="s">
        <v>447</v>
      </c>
      <c r="E27" s="36">
        <f>COUNTIFS('Match Log'!$D$4:$D$810,$B$3,'Match Log'!$C$4:$C$810,$D27)</f>
        <v>3</v>
      </c>
      <c r="F27" s="36">
        <f>COUNTIFS('Match Log'!$D$4:$D$810,$B$3,'Match Log'!$C$4:$C$810,$D27,'Match Log'!$E$4:$E$810,"Win")</f>
        <v>1</v>
      </c>
      <c r="G27" s="57">
        <f>IF($E27=0,"",$F27/$E27)</f>
        <v>0.33333333333333331</v>
      </c>
      <c r="H27" s="58">
        <f>IFERROR(IF($E27=0,"",INDEX('Sport Records'!$B$100:$O$122,MATCH($D27,'Sport Records'!$A$100:$A$122,0),MATCH($B$3,'Sport Records'!$B$99:$O$99,0))),"")</f>
        <v>984.32977611615649</v>
      </c>
    </row>
    <row r="28" spans="1:8" x14ac:dyDescent="0.2">
      <c r="A28" s="64" t="s">
        <v>213</v>
      </c>
      <c r="B28" s="65">
        <f>IFERROR(ROUND(INDEX(Calcs!$AA$7:$AA$20,MATCH($B$3,Calcs!$A$7:$A$20,0)),0),"")</f>
        <v>69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7" t="s">
        <v>215</v>
      </c>
      <c r="B2" s="157"/>
      <c r="C2" s="157"/>
      <c r="D2" s="157"/>
      <c r="E2" s="157"/>
      <c r="F2" s="157"/>
      <c r="G2" s="157"/>
      <c r="H2" s="157"/>
      <c r="I2" s="157"/>
      <c r="J2" s="157"/>
      <c r="K2" s="157"/>
      <c r="L2" s="157"/>
      <c r="M2" s="157"/>
      <c r="N2" s="157"/>
      <c r="O2" s="157"/>
    </row>
    <row r="3" spans="1:15" ht="38" customHeight="1" x14ac:dyDescent="0.2">
      <c r="A3" s="158" t="s">
        <v>216</v>
      </c>
      <c r="B3" s="158"/>
      <c r="C3" s="158"/>
      <c r="D3" s="158"/>
      <c r="E3" s="158"/>
      <c r="F3" s="158"/>
      <c r="G3" s="158"/>
      <c r="H3" s="158"/>
      <c r="I3" s="158"/>
      <c r="J3" s="158"/>
      <c r="K3" s="158"/>
      <c r="L3" s="158"/>
      <c r="M3" s="158"/>
      <c r="N3" s="158"/>
      <c r="O3" s="158"/>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55% of 11</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45% of 11</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50% of 30</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48% of 25</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50% of 30</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52% of 25</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19</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19</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33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32</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33</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10</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32</v>
      </c>
      <c r="H32" s="70">
        <f>IF($A32=H$21,0,SUMPRODUCT(('Match Log'!$D$4:$D$810=$A32)*(COUNTIFS('Match Log'!$A$4:$A$810,'Match Log'!$A$4:$A$810,'Match Log'!$D$4:$D$810,H$21)&gt;0)))</f>
        <v>15</v>
      </c>
      <c r="I32" s="70">
        <f>IF($A32=I$21,0,SUMPRODUCT(('Match Log'!$D$4:$D$810=$A32)*(COUNTIFS('Match Log'!$A$4:$A$810,'Match Log'!$A$4:$A$810,'Match Log'!$D$4:$D$810,I$21)&gt;0)))</f>
        <v>10</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0" t="s">
        <v>221</v>
      </c>
      <c r="B2" s="160"/>
      <c r="C2" s="160"/>
      <c r="D2" s="160"/>
      <c r="E2" s="160"/>
      <c r="F2" s="160"/>
      <c r="G2" s="160"/>
      <c r="H2" s="160"/>
      <c r="I2" s="160"/>
      <c r="J2" s="160"/>
      <c r="K2" s="160"/>
      <c r="L2" s="160"/>
      <c r="M2" s="160"/>
      <c r="N2" s="160"/>
      <c r="O2" s="160"/>
      <c r="P2" s="160"/>
      <c r="Q2" s="160"/>
    </row>
    <row r="3" spans="1:18" ht="18.75" customHeight="1" x14ac:dyDescent="0.2">
      <c r="A3" s="73" t="s">
        <v>222</v>
      </c>
      <c r="C3" s="1">
        <f>SUM($P$8:$P$30)</f>
        <v>199</v>
      </c>
    </row>
    <row r="4" spans="1:18" ht="18.75" customHeight="1" x14ac:dyDescent="0.2">
      <c r="A4" s="73" t="s">
        <v>223</v>
      </c>
      <c r="C4" s="161" t="str">
        <f ca="1">INDEX($A$83:$A$96,MATCH(MAX($S$83:$S$96),$S$83:$S$96,0))</f>
        <v>Daniel (Ferret)</v>
      </c>
      <c r="D4" s="161"/>
      <c r="E4" s="161"/>
      <c r="F4" s="161"/>
      <c r="G4" s="161"/>
    </row>
    <row r="6" spans="1:18" ht="15" customHeight="1" x14ac:dyDescent="0.2">
      <c r="A6" s="159" t="s">
        <v>224</v>
      </c>
      <c r="B6" s="159"/>
      <c r="C6" s="159"/>
      <c r="D6" s="159"/>
      <c r="E6" s="159"/>
      <c r="F6" s="159"/>
      <c r="G6" s="159"/>
      <c r="H6" s="159"/>
      <c r="I6" s="159"/>
      <c r="J6" s="159"/>
      <c r="K6" s="159"/>
      <c r="L6" s="159"/>
      <c r="M6" s="159"/>
      <c r="N6" s="159"/>
      <c r="O6" s="159"/>
      <c r="P6" s="159"/>
      <c r="Q6" s="159"/>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2</v>
      </c>
      <c r="G12" s="77">
        <f>COUNTIFS('Match Log'!$D$4:$D$819,G$7,'Match Log'!$C$4:$C$819,$A12)</f>
        <v>1</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18</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1</v>
      </c>
      <c r="G21" s="77">
        <f>COUNTIFS('Match Log'!$D$4:$D$819,G$7,'Match Log'!$C$4:$C$819,$A21)</f>
        <v>12</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15</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25</v>
      </c>
      <c r="H26" s="77">
        <f>COUNTIFS('Match Log'!$D$4:$D$819,H$7,'Match Log'!$C$4:$C$819,$A26)</f>
        <v>1</v>
      </c>
      <c r="I26" s="77">
        <f>COUNTIFS('Match Log'!$D$4:$D$819,I$7,'Match Log'!$C$4:$C$819,$A26)</f>
        <v>17</v>
      </c>
      <c r="J26" s="77">
        <f>COUNTIFS('Match Log'!$D$4:$D$819,J$7,'Match Log'!$C$4:$C$819,$A26)</f>
        <v>0</v>
      </c>
      <c r="K26" s="77">
        <f>COUNTIFS('Match Log'!$D$4:$D$819,K$7,'Match Log'!$C$4:$C$819,$A26)</f>
        <v>0</v>
      </c>
      <c r="L26" s="77">
        <f>COUNTIFS('Match Log'!$D$4:$D$819,L$7,'Match Log'!$C$4:$C$819,$A26)</f>
        <v>11</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33</v>
      </c>
      <c r="Q26" s="79" t="str">
        <f t="shared" si="0"/>
        <v>Shawn</v>
      </c>
      <c r="R26" s="78">
        <f t="shared" si="1"/>
        <v>15</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4</v>
      </c>
      <c r="G28" s="77">
        <f>COUNTIFS('Match Log'!$D$4:$D$810,G$7,'Match Log'!$C$4:$C$810,$A28)</f>
        <v>2</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6</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2</v>
      </c>
      <c r="G29" s="77">
        <f>COUNTIFS('Match Log'!$D$4:$D$810,G$7,'Match Log'!$C$4:$C$810,$A29)</f>
        <v>1</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2</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4</v>
      </c>
      <c r="G30" s="77">
        <f>COUNTIFS('Match Log'!$D$4:$D$810,G$7,'Match Log'!$C$4:$C$810,$A30)</f>
        <v>3</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4</v>
      </c>
      <c r="Q30" s="79" t="str">
        <f>IF($P30=0,"—",INDEX($B$32:$O$32,MATCH(MAX($B55:$O55),$B55:$O55,0)))</f>
        <v>Josh</v>
      </c>
      <c r="R30" s="78">
        <f>IF($P30=0,"—",MAX($B55:$O55))</f>
        <v>2</v>
      </c>
    </row>
    <row r="31" spans="1:18" ht="15" customHeight="1" x14ac:dyDescent="0.2">
      <c r="A31" s="159" t="s">
        <v>226</v>
      </c>
      <c r="B31" s="159"/>
      <c r="C31" s="159"/>
      <c r="D31" s="159"/>
      <c r="E31" s="159"/>
      <c r="F31" s="159"/>
      <c r="G31" s="159"/>
      <c r="H31" s="159"/>
      <c r="I31" s="159"/>
      <c r="J31" s="159"/>
      <c r="K31" s="159"/>
      <c r="L31" s="159"/>
      <c r="M31" s="159"/>
      <c r="N31" s="159"/>
      <c r="O31" s="159"/>
      <c r="P31" s="159"/>
      <c r="Q31" s="159"/>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1</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1</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15</v>
      </c>
      <c r="H51" s="77">
        <f>COUNTIFS('Match Log'!$D$4:$D$819,H$32,'Match Log'!$C$4:$C$819,$A51,'Match Log'!$E$4:$E$819,"Win")</f>
        <v>0</v>
      </c>
      <c r="I51" s="77">
        <f>COUNTIFS('Match Log'!$D$4:$D$819,I$32,'Match Log'!$C$4:$C$819,$A51,'Match Log'!$E$4:$E$819,"Win")</f>
        <v>7</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1</v>
      </c>
      <c r="G53" s="77">
        <f>COUNTIFS('Match Log'!$D$4:$D$810,G$32,'Match Log'!$C$4:$C$810,$A53,'Match Log'!$E$4:$E$810,"Win")</f>
        <v>1</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1</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2</v>
      </c>
      <c r="G55" s="77">
        <f>COUNTIFS('Match Log'!$D$4:$D$810,G$32,'Match Log'!$C$4:$C$810,$A55,'Match Log'!$E$4:$E$810,"Win")</f>
        <v>1</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9" t="s">
        <v>227</v>
      </c>
      <c r="B56" s="159"/>
      <c r="C56" s="159"/>
      <c r="D56" s="159"/>
      <c r="E56" s="159"/>
      <c r="F56" s="159"/>
      <c r="G56" s="159"/>
      <c r="H56" s="159"/>
      <c r="I56" s="159"/>
      <c r="J56" s="159"/>
      <c r="K56" s="159"/>
      <c r="L56" s="159"/>
      <c r="M56" s="159"/>
      <c r="N56" s="159"/>
      <c r="O56" s="159"/>
      <c r="P56" s="159"/>
      <c r="Q56" s="159"/>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f t="shared" si="6"/>
        <v>1</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f t="shared" si="15"/>
        <v>1</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v>
      </c>
      <c r="H76" s="80">
        <f t="shared" si="20"/>
        <v>0</v>
      </c>
      <c r="I76" s="80">
        <f t="shared" si="20"/>
        <v>0.41176470588235292</v>
      </c>
      <c r="J76" s="80" t="str">
        <f t="shared" si="20"/>
        <v/>
      </c>
      <c r="K76" s="80" t="str">
        <f t="shared" si="20"/>
        <v/>
      </c>
      <c r="L76" s="80">
        <f t="shared" si="20"/>
        <v>0.18181818181818182</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0.25</v>
      </c>
      <c r="G78" s="80">
        <f t="shared" si="22"/>
        <v>0.5</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0.5</v>
      </c>
      <c r="G79" s="80">
        <f t="shared" si="23"/>
        <v>1</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0.5</v>
      </c>
      <c r="G80" s="80">
        <f t="shared" si="24"/>
        <v>0.33333333333333331</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9" t="s">
        <v>228</v>
      </c>
      <c r="B81" s="159"/>
      <c r="C81" s="159"/>
      <c r="D81" s="159"/>
      <c r="E81" s="159"/>
      <c r="F81" s="159"/>
      <c r="G81" s="159"/>
      <c r="H81" s="159"/>
      <c r="I81" s="159"/>
      <c r="J81" s="159"/>
      <c r="K81" s="159"/>
      <c r="L81" s="159"/>
      <c r="M81" s="159"/>
      <c r="N81" s="159"/>
      <c r="O81" s="159"/>
      <c r="P81" s="159"/>
      <c r="Q81" s="159"/>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1231.7029363250533</v>
      </c>
      <c r="G83" s="77" t="str">
        <f>IF($B83=0,"No games",IF(AND($B83&gt;='Guide &amp; Settings'!$C$45,$C83&gt;='Guide &amp; Settings'!$C$46),"Eligible","Provisional"))</f>
        <v>Eligible</v>
      </c>
      <c r="S83" s="83">
        <f ca="1">IF($G83="Eligible",IF(IFERROR(INDEX(Calcs!$T$7:$T$20,MATCH($A83,Calcs!$A$7:$A$20,0)),"")="Inactive",-1,$F83),-1)</f>
        <v>-1</v>
      </c>
    </row>
    <row r="84" spans="1:19" ht="15" customHeight="1" x14ac:dyDescent="0.2">
      <c r="A84" s="76" t="s">
        <v>137</v>
      </c>
      <c r="B84" s="77">
        <f>COUNTIF('Match Log'!$D$4:$D$819,$A84)</f>
        <v>46</v>
      </c>
      <c r="C84" s="77">
        <f>SUMPRODUCT(--(COUNTIFS('Match Log'!$D$4:$D$819,$A84,'Match Log'!$C$4:$C$819,Lists!$C$2:$C$24)&gt;0))</f>
        <v>13</v>
      </c>
      <c r="D84" s="77">
        <f>COUNTIFS('Match Log'!$D$4:$D$819,$A84,'Match Log'!$E$4:$E$819,"Win")</f>
        <v>26</v>
      </c>
      <c r="E84" s="80">
        <f t="shared" si="25"/>
        <v>0.56521739130434778</v>
      </c>
      <c r="F84" s="82">
        <f ca="1">IFERROR(INDEX(Calcs!$S$7:$S$20,MATCH($A84,Calcs!$A$7:$A$20,0)),"")</f>
        <v>1127.2409851862215</v>
      </c>
      <c r="G84" s="77" t="str">
        <f>IF($B84=0,"No games",IF(AND($B84&gt;='Guide &amp; Settings'!$C$45,$C84&gt;='Guide &amp; Settings'!$C$46),"Eligible","Provisional"))</f>
        <v>Eligible</v>
      </c>
      <c r="S84" s="83">
        <f ca="1">IF($G84="Eligible",IF(IFERROR(INDEX(Calcs!$T$7:$T$20,MATCH($A84,Calcs!$A$7:$A$20,0)),"")="Inactive",-1,$F84),-1)</f>
        <v>1127.2409851862215</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59</v>
      </c>
      <c r="C86" s="77">
        <f>SUMPRODUCT(--(COUNTIFS('Match Log'!$D$4:$D$819,$A86,'Match Log'!$C$4:$C$819,Lists!$C$2:$C$24)&gt;0))</f>
        <v>9</v>
      </c>
      <c r="D86" s="77">
        <f>COUNTIFS('Match Log'!$D$4:$D$819,$A86,'Match Log'!$E$4:$E$819,"Win")</f>
        <v>25</v>
      </c>
      <c r="E86" s="80">
        <f t="shared" si="25"/>
        <v>0.42372881355932202</v>
      </c>
      <c r="F86" s="82">
        <f ca="1">IFERROR(INDEX(Calcs!$S$7:$S$20,MATCH($A86,Calcs!$A$7:$A$20,0)),"")</f>
        <v>1054.3366131438215</v>
      </c>
      <c r="G86" s="77" t="str">
        <f>IF($B86=0,"No games",IF(AND($B86&gt;='Guide &amp; Settings'!$C$45,$C86&gt;='Guide &amp; Settings'!$C$46),"Eligible","Provisional"))</f>
        <v>Eligible</v>
      </c>
      <c r="S86" s="83">
        <f ca="1">IF($G86="Eligible",IF(IFERROR(INDEX(Calcs!$T$7:$T$20,MATCH($A86,Calcs!$A$7:$A$20,0)),"")="Inactive",-1,$F86),-1)</f>
        <v>1054.3366131438215</v>
      </c>
    </row>
    <row r="87" spans="1:19" ht="15" customHeight="1" x14ac:dyDescent="0.2">
      <c r="A87" s="76" t="s">
        <v>170</v>
      </c>
      <c r="B87" s="77">
        <f>COUNTIF('Match Log'!$D$4:$D$819,$A87)</f>
        <v>76</v>
      </c>
      <c r="C87" s="77">
        <f>SUMPRODUCT(--(COUNTIFS('Match Log'!$D$4:$D$819,$A87,'Match Log'!$C$4:$C$819,Lists!$C$2:$C$24)&gt;0))</f>
        <v>14</v>
      </c>
      <c r="D87" s="77">
        <f>COUNTIFS('Match Log'!$D$4:$D$819,$A87,'Match Log'!$E$4:$E$819,"Win")</f>
        <v>35</v>
      </c>
      <c r="E87" s="80">
        <f t="shared" si="25"/>
        <v>0.46052631578947367</v>
      </c>
      <c r="F87" s="82">
        <f ca="1">IFERROR(INDEX(Calcs!$S$7:$S$20,MATCH($A87,Calcs!$A$7:$A$20,0)),"")</f>
        <v>1153.0208401956088</v>
      </c>
      <c r="G87" s="77" t="str">
        <f>IF($B87=0,"No games",IF(AND($B87&gt;='Guide &amp; Settings'!$C$45,$C87&gt;='Guide &amp; Settings'!$C$46),"Eligible","Provisional"))</f>
        <v>Eligible</v>
      </c>
      <c r="S87" s="83">
        <f ca="1">IF($G87="Eligible",IF(IFERROR(INDEX(Calcs!$T$7:$T$20,MATCH($A87,Calcs!$A$7:$A$20,0)),"")="Inactive",-1,$F87),-1)</f>
        <v>1153.0208401956088</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100</v>
      </c>
      <c r="C89" s="77">
        <f>SUMPRODUCT(--(COUNTIFS('Match Log'!$D$4:$D$819,$A89,'Match Log'!$C$4:$C$819,Lists!$C$2:$C$24)&gt;0))</f>
        <v>15</v>
      </c>
      <c r="D89" s="77">
        <f>COUNTIFS('Match Log'!$D$4:$D$819,$A89,'Match Log'!$E$4:$E$819,"Win")</f>
        <v>47</v>
      </c>
      <c r="E89" s="80">
        <f t="shared" si="25"/>
        <v>0.47</v>
      </c>
      <c r="F89" s="82">
        <f ca="1">IFERROR(INDEX(Calcs!$S$7:$S$20,MATCH($A89,Calcs!$A$7:$A$20,0)),"")</f>
        <v>1127.0124105732891</v>
      </c>
      <c r="G89" s="77" t="str">
        <f>IF($B89=0,"No games",IF(AND($B89&gt;='Guide &amp; Settings'!$C$45,$C89&gt;='Guide &amp; Settings'!$C$46),"Eligible","Provisional"))</f>
        <v>Eligible</v>
      </c>
      <c r="S89" s="83">
        <f ca="1">IF($G89="Eligible",IF(IFERROR(INDEX(Calcs!$T$7:$T$20,MATCH($A89,Calcs!$A$7:$A$20,0)),"")="Inactive",-1,$F89),-1)</f>
        <v>1127.0124105732891</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979.51759653351382</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963.19705892757202</v>
      </c>
      <c r="G95" s="77" t="str">
        <f>IF($B95=0,"No games",IF(AND($B95&gt;='Guide &amp; Settings'!$C$45,$C95&gt;='Guide &amp; Settings'!$C$46),"Eligible","Provisional"))</f>
        <v>Eligible</v>
      </c>
      <c r="S95" s="83">
        <f ca="1">IF($G95="Eligible",IF(IFERROR(INDEX(Calcs!$T$7:$T$20,MATCH($A95,Calcs!$A$7:$A$20,0)),"")="Inactive",-1,$F95),-1)</f>
        <v>-1</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9" t="s">
        <v>231</v>
      </c>
      <c r="B98" s="159"/>
      <c r="C98" s="159"/>
      <c r="D98" s="159"/>
      <c r="E98" s="159"/>
      <c r="F98" s="159"/>
      <c r="G98" s="159"/>
      <c r="H98" s="159"/>
      <c r="I98" s="159"/>
      <c r="J98" s="159"/>
      <c r="K98" s="159"/>
      <c r="L98" s="159"/>
      <c r="M98" s="159"/>
      <c r="N98" s="159"/>
      <c r="O98" s="159"/>
      <c r="P98" s="159"/>
      <c r="Q98" s="159"/>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968.56830839539452</v>
      </c>
      <c r="G104" s="82">
        <f>IFERROR(LOOKUP(2,1/(('Match Log'!$D$4:$D$819=G$99)*('Match Log'!$C$4:$C$819=$A104)),'Match Log'!$AB$4:$AB$819),"")</f>
        <v>1015.2556013117346</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f>IFERROR(LOOKUP(2,1/(('Match Log'!$D$4:$D$819=F$99)*('Match Log'!$C$4:$C$819=$A113)),'Match Log'!$AB$4:$AB$819),"")</f>
        <v>1010.4229006118373</v>
      </c>
      <c r="G113" s="82">
        <f>IFERROR(LOOKUP(2,1/(('Match Log'!$D$4:$D$819=G$99)*('Match Log'!$C$4:$C$819=$A113)),'Match Log'!$AB$4:$AB$819),"")</f>
        <v>863.17531320037415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1047.5054308988927</v>
      </c>
      <c r="H118" s="82">
        <f>IFERROR(LOOKUP(2,1/(('Match Log'!$D$4:$D$819=H$99)*('Match Log'!$C$4:$C$819=$A118)),'Match Log'!$AB$4:$AB$819),"")</f>
        <v>995.11454772974389</v>
      </c>
      <c r="I118" s="82">
        <f>IFERROR(LOOKUP(2,1/(('Match Log'!$D$4:$D$819=I$99)*('Match Log'!$C$4:$C$819=$A118)),'Match Log'!$AB$4:$AB$819),"")</f>
        <v>1008.1001580975385</v>
      </c>
      <c r="J118" s="82" t="str">
        <f>IFERROR(LOOKUP(2,1/(('Match Log'!$D$4:$D$819=J$99)*('Match Log'!$C$4:$C$819=$A118)),'Match Log'!$AB$4:$AB$819),"")</f>
        <v/>
      </c>
      <c r="K118" s="82" t="str">
        <f>IFERROR(LOOKUP(2,1/(('Match Log'!$D$4:$D$819=K$99)*('Match Log'!$C$4:$C$819=$A118)),'Match Log'!$AB$4:$AB$819),"")</f>
        <v/>
      </c>
      <c r="L118" s="82">
        <f>IFERROR(LOOKUP(2,1/(('Match Log'!$D$4:$D$819=L$99)*('Match Log'!$C$4:$C$819=$A118)),'Match Log'!$AB$4:$AB$819),"")</f>
        <v>951.24465656388634</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973.09901508317728</v>
      </c>
      <c r="G120" s="82">
        <f>IFERROR(LOOKUP(2,1/(('Match Log'!$D$4:$D$810=G$99)*('Match Log'!$C$4:$C$810=$A120)),'Match Log'!$AB$4:$AB$810),"")</f>
        <v>999.0270542964812</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999.26369320647802</v>
      </c>
      <c r="G121" s="82">
        <f>IFERROR(LOOKUP(2,1/(('Match Log'!$D$4:$D$810=G$99)*('Match Log'!$C$4:$C$810=$A121)),'Match Log'!$AB$4:$AB$810),"")</f>
        <v>1016.736306793522</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Shawn</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1007.6702238838435</v>
      </c>
      <c r="G122" s="82">
        <f>IFERROR(LOOKUP(2,1/(('Match Log'!$D$4:$D$810=G$99)*('Match Log'!$C$4:$C$810=$A122)),'Match Log'!$AB$4:$AB$810),"")</f>
        <v>984.32977611615649</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2" t="s">
        <v>234</v>
      </c>
      <c r="B2" s="162"/>
      <c r="C2" s="162"/>
      <c r="D2" s="162"/>
      <c r="E2" s="162"/>
      <c r="F2" s="162"/>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100</v>
      </c>
      <c r="C21" s="36" t="str">
        <f ca="1">INDEX(Dashboard!$B$5:$B$18,MATCH(MAX(Dashboard!$D$5:$D$18),Dashboard!$D$5:$D$18,0))</f>
        <v>Shawn</v>
      </c>
      <c r="D21" s="36" t="s">
        <v>252</v>
      </c>
      <c r="E21" s="36" t="s">
        <v>252</v>
      </c>
      <c r="F21" s="36" t="str">
        <f ca="1">"across "&amp;INDEX(Dashboard!$K$5:$K$18,MATCH($C21,Dashboard!$B$5:$B$18,0))&amp;" sports"</f>
        <v>across 15 sports</v>
      </c>
    </row>
    <row r="22" spans="1:8" ht="15" customHeight="1" x14ac:dyDescent="0.2">
      <c r="A22" s="87" t="s">
        <v>253</v>
      </c>
      <c r="B22" s="39" t="str">
        <f ca="1">TEXT(MAX(Dashboard!$K$5:$K$18),"0")</f>
        <v>15</v>
      </c>
      <c r="C22" s="39" t="str">
        <f ca="1">INDEX(Dashboard!$B$5:$B$18,MATCH(MAX(Dashboard!$K$5:$K$18),Dashboard!$K$5:$K$18,0))</f>
        <v>Shawn</v>
      </c>
      <c r="D22" s="39" t="s">
        <v>252</v>
      </c>
      <c r="E22" s="39" t="s">
        <v>252</v>
      </c>
      <c r="F22" s="39" t="str">
        <f>"of "&amp;COUNTA(Lists!$C$2:$C$24)&amp;" sports available"</f>
        <v>of 23 sports available</v>
      </c>
    </row>
    <row r="23" spans="1:8" ht="15" customHeight="1" x14ac:dyDescent="0.2">
      <c r="A23" s="86" t="s">
        <v>254</v>
      </c>
      <c r="B23" s="36" t="str">
        <f>TEXT(MAX('Sport Records'!$P$8:$P$30),"0")&amp;" games"</f>
        <v>33 games</v>
      </c>
      <c r="C23" s="36" t="str">
        <f>INDEX('Sport Records'!$A$8:$A$30,MATCH(MAX('Sport Records'!$P$8:$P$30),'Sport Records'!$P$8:$P$30,0))</f>
        <v>Mario Golf</v>
      </c>
      <c r="D23" s="36" t="s">
        <v>252</v>
      </c>
      <c r="E23" s="36" t="s">
        <v>252</v>
      </c>
      <c r="F23" s="36" t="s">
        <v>255</v>
      </c>
    </row>
    <row r="24" spans="1:8" ht="15" customHeight="1" x14ac:dyDescent="0.2">
      <c r="A24" s="87" t="s">
        <v>256</v>
      </c>
      <c r="B24" s="39" t="str">
        <f>MAX(Calcs!$O$7:$O$20)&amp;" wins"</f>
        <v>2 wins</v>
      </c>
      <c r="C24" s="39" t="str">
        <f>INDEX(Calcs!$A$7:$A$20,MATCH(MAX(Calcs!$O$7:$O$20),Calcs!$O$7:$O$20,0))</f>
        <v>Daniel (Ferret)</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Daniel (Ferret)</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Shawn</v>
      </c>
      <c r="C31" s="39" t="s">
        <v>268</v>
      </c>
    </row>
    <row r="32" spans="1:8" ht="15" customHeight="1" x14ac:dyDescent="0.2">
      <c r="A32" s="89" t="s">
        <v>269</v>
      </c>
      <c r="B32" s="37" t="str">
        <f>INDEX(Calcs!$A$7:$A$20,MATCH(MAX(Calcs!$N$7:$N$20),Calcs!$N$7:$N$20,0))</f>
        <v>Daniel (Ferret)</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87 points clear of Daniel (Ferret).</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Daniel (Ferret)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Josh is surging — up 1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7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100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Shawn rules Mario Golf — the family's most-played game with 33 contests.</v>
      </c>
      <c r="B11" s="91"/>
      <c r="C11" s="91"/>
      <c r="D11" s="96"/>
      <c r="E11" s="97"/>
      <c r="F11" s="91"/>
    </row>
    <row r="12" spans="1:6" ht="15" customHeight="1" x14ac:dyDescent="0.2">
      <c r="A12" s="92" t="str">
        <f>"🎲  "&amp;MAX('Match Log'!$A$4:$A$810)&amp;" games played across "&amp;COUNTIF('Sport Records'!$P$8:$P$30,"&gt;0")&amp;" different sports — and counting."</f>
        <v>🎲  199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Daniel (Ferret)</v>
      </c>
      <c r="C18" s="104">
        <f>ROUND(LARGE(Calcs!$B$7:$B$20,2),0)</f>
        <v>1154</v>
      </c>
      <c r="D18" s="105" t="str">
        <f>IF(2=1,"— leader —",ROUND(MAX(Calcs!$B$7:$B$20)-LARGE(Calcs!$B$7:$B$20,2),0)&amp;" behind")</f>
        <v>87 behind</v>
      </c>
      <c r="E18" s="99"/>
      <c r="F18" s="26"/>
    </row>
    <row r="19" spans="1:6" ht="15" customHeight="1" x14ac:dyDescent="0.2">
      <c r="A19" s="104">
        <v>3</v>
      </c>
      <c r="B19" s="55" t="str">
        <f>INDEX(Calcs!$A$7:$A$20,MATCH(LARGE(Calcs!$B$7:$B$20,3),Calcs!$B$7:$B$20,0))</f>
        <v>Shawn</v>
      </c>
      <c r="C19" s="104">
        <f>ROUND(LARGE(Calcs!$B$7:$B$20,3),0)</f>
        <v>1131</v>
      </c>
      <c r="D19" s="105" t="str">
        <f>IF(3=1,"— leader —",ROUND(MAX(Calcs!$B$7:$B$20)-LARGE(Calcs!$B$7:$B$20,3),0)&amp;" behind")</f>
        <v>111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W</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W</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W</v>
      </c>
      <c r="H45" s="107" t="str">
        <f>IFERROR(IF(INDEX('Match Log'!$E$1:$E$810,_xlfn.AGGREGATE(14,6,ROW('Match Log'!$A$4:$A$810)/('Match Log'!$D$4:$D$810=$A45),4))="Win","W","L"),"")</f>
        <v>W</v>
      </c>
      <c r="I45" s="107" t="str">
        <f>IFERROR(IF(INDEX('Match Log'!$E$1:$E$810,_xlfn.AGGREGATE(14,6,ROW('Match Log'!$A$4:$A$810)/('Match Log'!$D$4:$D$810=$A45),3))="Win","W","L"),"")</f>
        <v>L</v>
      </c>
      <c r="J45" s="107" t="str">
        <f>IFERROR(IF(INDEX('Match Log'!$E$1:$E$810,_xlfn.AGGREGATE(14,6,ROW('Match Log'!$A$4:$A$810)/('Match Log'!$D$4:$D$810=$A45),2))="Win","W","L"),"")</f>
        <v>W</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W</v>
      </c>
      <c r="I47" s="107" t="str">
        <f>IFERROR(IF(INDEX('Match Log'!$E$1:$E$810,_xlfn.AGGREGATE(14,6,ROW('Match Log'!$A$4:$A$810)/('Match Log'!$D$4:$D$810=$A47),3))="Win","W","L"),"")</f>
        <v>L</v>
      </c>
      <c r="J47" s="107" t="str">
        <f>IFERROR(IF(INDEX('Match Log'!$E$1:$E$810,_xlfn.AGGREGATE(14,6,ROW('Match Log'!$A$4:$A$810)/('Match Log'!$D$4:$D$810=$A47),2))="Win","W","L"),"")</f>
        <v>W</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W</v>
      </c>
      <c r="F50" s="107" t="str">
        <f>IFERROR(IF(INDEX('Match Log'!$E$1:$E$810,_xlfn.AGGREGATE(14,6,ROW('Match Log'!$A$4:$A$810)/('Match Log'!$D$4:$D$810=$A50),6))="Win","W","L"),"")</f>
        <v>L</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L</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f>IFERROR(INDEX('Sport Records'!$B$58:$O$80,MATCH($O$57,'Sport Records'!$A$58:$A$80,0),MATCH($A62,'Sport Records'!$B$57:$O$57,0)),"")</f>
        <v>1</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0.25</v>
      </c>
      <c r="W62" s="26">
        <f>IFERROR(INDEX('Sport Records'!$B$58:$O$80,MATCH($W$57,'Sport Records'!$A$58:$A$80,0),MATCH($A62,'Sport Records'!$B$57:$O$57,0)),"")</f>
        <v>0.5</v>
      </c>
      <c r="X62" s="26">
        <f>IFERROR(INDEX('Sport Records'!$B$58:$O$80,MATCH($X$57,'Sport Records'!$A$58:$A$80,0),MATCH($A62,'Sport Records'!$B$57:$O$57,0)),"")</f>
        <v>0.5</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f>IFERROR(INDEX('Sport Records'!$B$58:$O$80,MATCH($F$57,'Sport Records'!$A$58:$A$80,0),MATCH($A63,'Sport Records'!$B$57:$O$57,0)),"")</f>
        <v>1</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0.6</v>
      </c>
      <c r="U63" s="26" t="str">
        <f>IFERROR(INDEX('Sport Records'!$B$58:$O$80,MATCH($U$57,'Sport Records'!$A$58:$A$80,0),MATCH($A63,'Sport Records'!$B$57:$O$57,0)),"")</f>
        <v/>
      </c>
      <c r="V63" s="26">
        <f>IFERROR(INDEX('Sport Records'!$B$58:$O$80,MATCH($V$57,'Sport Records'!$A$58:$A$80,0),MATCH($A63,'Sport Records'!$B$57:$O$57,0)),"")</f>
        <v>0.5</v>
      </c>
      <c r="W63" s="26">
        <f>IFERROR(INDEX('Sport Records'!$B$58:$O$80,MATCH($W$57,'Sport Records'!$A$58:$A$80,0),MATCH($A63,'Sport Records'!$B$57:$O$57,0)),"")</f>
        <v>1</v>
      </c>
      <c r="X63" s="26">
        <f>IFERROR(INDEX('Sport Records'!$B$58:$O$80,MATCH($X$57,'Sport Records'!$A$58:$A$80,0),MATCH($A63,'Sport Records'!$B$57:$O$57,0)),"")</f>
        <v>0.33333333333333331</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0.41176470588235292</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0.18181818181818182</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424" activePane="bottomRight" state="frozen"/>
      <selection pane="topRight" activeCell="F1" sqref="F1"/>
      <selection pane="bottomLeft" activeCell="A244" sqref="A244"/>
      <selection pane="bottomRight" activeCell="E463" sqref="E463"/>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3" t="s">
        <v>284</v>
      </c>
      <c r="B1" s="143"/>
      <c r="C1" s="143"/>
      <c r="D1" s="143"/>
      <c r="E1" s="143"/>
      <c r="F1" s="143"/>
      <c r="G1" s="143"/>
      <c r="H1" s="143"/>
      <c r="I1" s="143"/>
      <c r="J1" s="143"/>
      <c r="K1" s="143"/>
      <c r="L1" s="143"/>
      <c r="M1" s="143"/>
      <c r="N1" s="143"/>
      <c r="O1" s="143"/>
    </row>
    <row r="2" spans="1:29" ht="15" customHeight="1" x14ac:dyDescent="0.2">
      <c r="A2" s="144" t="s">
        <v>285</v>
      </c>
      <c r="B2" s="144"/>
      <c r="C2" s="144"/>
      <c r="D2" s="144"/>
      <c r="E2" s="144"/>
      <c r="F2" s="144"/>
      <c r="G2" s="144"/>
      <c r="H2" s="144"/>
      <c r="I2" s="144"/>
      <c r="J2" s="144"/>
      <c r="K2" s="144"/>
      <c r="L2" s="144"/>
      <c r="M2" s="144"/>
      <c r="N2" s="144"/>
      <c r="O2" s="144"/>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v>182</v>
      </c>
      <c r="B425" s="112">
        <v>46236</v>
      </c>
      <c r="C425" s="113" t="s">
        <v>208</v>
      </c>
      <c r="D425" s="113" t="s">
        <v>134</v>
      </c>
      <c r="E425" s="111" t="s">
        <v>309</v>
      </c>
      <c r="F425" s="114">
        <f t="shared" si="102"/>
        <v>2</v>
      </c>
      <c r="G425" s="115" t="str">
        <f t="shared" si="103"/>
        <v>Daniel (Ferret)</v>
      </c>
      <c r="H425" s="116">
        <f>IF($D425="",0,IFERROR(LOOKUP(2,1/(($D$3:D424=$D425)*($A$3:A424&lt;$A425)),$N$3:N424),'Guide &amp; Settings'!$C$41))</f>
        <v>1156.6670987691946</v>
      </c>
      <c r="I425" s="117">
        <f t="shared" si="104"/>
        <v>0.70348837209302328</v>
      </c>
      <c r="J425" s="118">
        <f>IF($D425="",0,IF($F425&lt;2,0,IF($E425="Win",('Guide &amp; Settings'!$C$42/(($F425-1)*COUNTIFS($A$4:$A$810,$A425,$E$4:$E$810,"Win")))*SUMIFS($X$4:$X$810,$A$4:$A$810,$A425,$E$4:$E$810,"Loss"),-('Guide &amp; Settings'!$C$42/($F425-1))*$X425)))</f>
        <v>-20.796264060003011</v>
      </c>
      <c r="K425" s="118">
        <f>IF($D425="",0,'Guide &amp; Settings'!$C$43*(IF($E425="Win",1,0)-$I425))</f>
        <v>-8.4418604651162799</v>
      </c>
      <c r="L425" s="119">
        <f>IF($D425="",0,'Guide &amp; Settings'!$C$44*IF($F425&gt;=3,$F425,0))</f>
        <v>0</v>
      </c>
      <c r="M425" s="118">
        <f t="shared" si="105"/>
        <v>-29.238124525119289</v>
      </c>
      <c r="N425" s="116">
        <f t="shared" si="106"/>
        <v>1127.4289742440753</v>
      </c>
      <c r="O425" s="115" t="str">
        <f t="shared" si="107"/>
        <v>OK</v>
      </c>
      <c r="P425">
        <f t="shared" si="108"/>
        <v>1051.8710119667967</v>
      </c>
      <c r="Q425">
        <f t="shared" si="109"/>
        <v>0.64640059238723124</v>
      </c>
      <c r="R425">
        <f t="shared" si="110"/>
        <v>0.6470588235294118</v>
      </c>
      <c r="S425">
        <f t="shared" si="111"/>
        <v>0.9197860962566845</v>
      </c>
      <c r="T425" s="83">
        <f t="shared" si="112"/>
        <v>15</v>
      </c>
      <c r="U425" s="120">
        <f>IF($D425="",0,IFERROR(LOOKUP(2,1/(($D$3:D424=$D425)*($C$3:C424=$C425)*($A$3:A424&lt;$A425)),$AB$3:AB424),1000))</f>
        <v>1064.8441312699101</v>
      </c>
      <c r="V425" s="12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0">
        <f t="shared" si="118"/>
        <v>1043.3552216741032</v>
      </c>
      <c r="AC425" s="12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1">
        <v>182</v>
      </c>
      <c r="B426" s="112">
        <v>46236</v>
      </c>
      <c r="C426" s="113" t="s">
        <v>208</v>
      </c>
      <c r="D426" s="113" t="s">
        <v>170</v>
      </c>
      <c r="E426" s="111" t="s">
        <v>308</v>
      </c>
      <c r="F426" s="114">
        <f t="shared" si="102"/>
        <v>2</v>
      </c>
      <c r="G426" s="115" t="str">
        <f t="shared" si="103"/>
        <v>Daniel (Ferret)</v>
      </c>
      <c r="H426" s="116">
        <f>IF($D426="",0,IFERROR(LOOKUP(2,1/(($D$3:D425=$D426)*($A$3:A425&lt;$A426)),$N$3:N425),'Guide &amp; Settings'!$C$41))</f>
        <v>1051.8710119667967</v>
      </c>
      <c r="I426" s="117">
        <f t="shared" si="104"/>
        <v>0.29651162790697672</v>
      </c>
      <c r="J426" s="118">
        <f>IF($D426="",0,IF($F426&lt;2,0,IF($E426="Win",('Guide &amp; Settings'!$C$42/(($F426-1)*COUNTIFS($A$4:$A$810,$A426,$E$4:$E$810,"Win")))*SUMIFS($X$4:$X$810,$A$4:$A$810,$A426,$E$4:$E$810,"Loss"),-('Guide &amp; Settings'!$C$42/($F426-1))*$X426)))</f>
        <v>20.796264060003011</v>
      </c>
      <c r="K426" s="118">
        <f>IF($D426="",0,'Guide &amp; Settings'!$C$43*(IF($E426="Win",1,0)-$I426))</f>
        <v>8.4418604651162799</v>
      </c>
      <c r="L426" s="119">
        <f>IF($D426="",0,'Guide &amp; Settings'!$C$44*IF($F426&gt;=3,$F426,0))</f>
        <v>0</v>
      </c>
      <c r="M426" s="118">
        <f t="shared" si="105"/>
        <v>29.238124525119289</v>
      </c>
      <c r="N426" s="116">
        <f t="shared" si="106"/>
        <v>1081.1091364919159</v>
      </c>
      <c r="O426" s="115" t="str">
        <f t="shared" si="107"/>
        <v>OK</v>
      </c>
      <c r="P426">
        <f t="shared" si="108"/>
        <v>1051.8710119667967</v>
      </c>
      <c r="Q426">
        <f t="shared" si="109"/>
        <v>0.5</v>
      </c>
      <c r="R426">
        <f t="shared" si="110"/>
        <v>0.27272727272727271</v>
      </c>
      <c r="S426">
        <f t="shared" si="111"/>
        <v>0.9197860962566845</v>
      </c>
      <c r="T426" s="83">
        <f t="shared" si="112"/>
        <v>9</v>
      </c>
      <c r="U426" s="120">
        <f>IF($D426="",0,IFERROR(LOOKUP(2,1/(($D$3:D425=$D426)*($C$3:C425=$C426)*($A$3:A425&lt;$A426)),$AB$3:AB425),1000))</f>
        <v>940.61748831075943</v>
      </c>
      <c r="V426" s="12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0">
        <f t="shared" si="118"/>
        <v>962.10639790656649</v>
      </c>
      <c r="AC426" s="12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1">
        <v>183</v>
      </c>
      <c r="B427" s="112">
        <v>46236</v>
      </c>
      <c r="C427" s="113" t="s">
        <v>208</v>
      </c>
      <c r="D427" s="113" t="s">
        <v>134</v>
      </c>
      <c r="E427" s="111" t="s">
        <v>308</v>
      </c>
      <c r="F427" s="114">
        <f t="shared" si="102"/>
        <v>2</v>
      </c>
      <c r="G427" s="115" t="str">
        <f t="shared" si="103"/>
        <v>Shawn</v>
      </c>
      <c r="H427" s="116">
        <f>IF($D427="",0,IFERROR(LOOKUP(2,1/(($D$3:D426=$D427)*($A$3:A426&lt;$A427)),$N$3:N426),'Guide &amp; Settings'!$C$41))</f>
        <v>1127.4289742440753</v>
      </c>
      <c r="I427" s="117">
        <f t="shared" si="104"/>
        <v>0.6470588235294118</v>
      </c>
      <c r="J427" s="118">
        <f>IF($D427="",0,IF($F427&lt;2,0,IF($E427="Win",('Guide &amp; Settings'!$C$42/(($F427-1)*COUNTIFS($A$4:$A$810,$A427,$E$4:$E$810,"Win")))*SUMIFS($X$4:$X$810,$A$4:$A$810,$A427,$E$4:$E$810,"Loss"),-('Guide &amp; Settings'!$C$42/($F427-1))*$X427)))</f>
        <v>13.192624201856169</v>
      </c>
      <c r="K427" s="118">
        <f>IF($D427="",0,'Guide &amp; Settings'!$C$43*(IF($E427="Win",1,0)-$I427))</f>
        <v>4.235294117647058</v>
      </c>
      <c r="L427" s="119">
        <f>IF($D427="",0,'Guide &amp; Settings'!$C$44*IF($F427&gt;=3,$F427,0))</f>
        <v>0</v>
      </c>
      <c r="M427" s="118">
        <f t="shared" si="105"/>
        <v>17.427918319503227</v>
      </c>
      <c r="N427" s="116">
        <f t="shared" si="106"/>
        <v>1144.8568925635786</v>
      </c>
      <c r="O427" s="115" t="str">
        <f t="shared" si="107"/>
        <v>OK</v>
      </c>
      <c r="P427">
        <f t="shared" si="108"/>
        <v>1127.4289742440753</v>
      </c>
      <c r="Q427">
        <f t="shared" si="109"/>
        <v>0.5</v>
      </c>
      <c r="R427">
        <f t="shared" si="110"/>
        <v>0.61111111111111116</v>
      </c>
      <c r="S427">
        <f t="shared" si="111"/>
        <v>0.94444444444444442</v>
      </c>
      <c r="T427" s="83">
        <f t="shared" si="112"/>
        <v>16</v>
      </c>
      <c r="U427" s="120">
        <f>IF($D427="",0,IFERROR(LOOKUP(2,1/(($D$3:D426=$D427)*($C$3:C426=$C427)*($A$3:A426&lt;$A427)),$AB$3:AB426),1000))</f>
        <v>1043.3552216741032</v>
      </c>
      <c r="V427" s="12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0">
        <f t="shared" si="118"/>
        <v>1055.6803220691902</v>
      </c>
      <c r="AC427" s="12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1">
        <v>183</v>
      </c>
      <c r="B428" s="112">
        <v>46236</v>
      </c>
      <c r="C428" s="113" t="s">
        <v>208</v>
      </c>
      <c r="D428" s="113" t="s">
        <v>170</v>
      </c>
      <c r="E428" s="111" t="s">
        <v>309</v>
      </c>
      <c r="F428" s="114">
        <f t="shared" si="102"/>
        <v>2</v>
      </c>
      <c r="G428" s="115" t="str">
        <f t="shared" si="103"/>
        <v>Shawn</v>
      </c>
      <c r="H428" s="116">
        <f>IF($D428="",0,IFERROR(LOOKUP(2,1/(($D$3:D427=$D428)*($A$3:A427&lt;$A428)),$N$3:N427),'Guide &amp; Settings'!$C$41))</f>
        <v>1081.1091364919159</v>
      </c>
      <c r="I428" s="117">
        <f t="shared" si="104"/>
        <v>0.3529411764705882</v>
      </c>
      <c r="J428" s="118">
        <f>IF($D428="",0,IF($F428&lt;2,0,IF($E428="Win",('Guide &amp; Settings'!$C$42/(($F428-1)*COUNTIFS($A$4:$A$810,$A428,$E$4:$E$810,"Win")))*SUMIFS($X$4:$X$810,$A$4:$A$810,$A428,$E$4:$E$810,"Loss"),-('Guide &amp; Settings'!$C$42/($F428-1))*$X428)))</f>
        <v>-13.192624201856169</v>
      </c>
      <c r="K428" s="118">
        <f>IF($D428="",0,'Guide &amp; Settings'!$C$43*(IF($E428="Win",1,0)-$I428))</f>
        <v>-4.235294117647058</v>
      </c>
      <c r="L428" s="119">
        <f>IF($D428="",0,'Guide &amp; Settings'!$C$44*IF($F428&gt;=3,$F428,0))</f>
        <v>0</v>
      </c>
      <c r="M428" s="118">
        <f t="shared" si="105"/>
        <v>-17.427918319503227</v>
      </c>
      <c r="N428" s="116">
        <f t="shared" si="106"/>
        <v>1063.6812181724126</v>
      </c>
      <c r="O428" s="115" t="str">
        <f t="shared" si="107"/>
        <v>OK</v>
      </c>
      <c r="P428">
        <f t="shared" si="108"/>
        <v>1127.4289742440753</v>
      </c>
      <c r="Q428">
        <f t="shared" si="109"/>
        <v>0.43373254346684686</v>
      </c>
      <c r="R428">
        <f t="shared" si="110"/>
        <v>0.33333333333333331</v>
      </c>
      <c r="S428">
        <f t="shared" si="111"/>
        <v>0.94444444444444442</v>
      </c>
      <c r="T428" s="83">
        <f t="shared" si="112"/>
        <v>10</v>
      </c>
      <c r="U428" s="120">
        <f>IF($D428="",0,IFERROR(LOOKUP(2,1/(($D$3:D427=$D428)*($C$3:C427=$C428)*($A$3:A427&lt;$A428)),$AB$3:AB427),1000))</f>
        <v>962.10639790656649</v>
      </c>
      <c r="V428" s="12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0">
        <f t="shared" si="118"/>
        <v>949.78129751147947</v>
      </c>
      <c r="AC428" s="12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1">
        <v>184</v>
      </c>
      <c r="B429" s="112">
        <v>46236</v>
      </c>
      <c r="C429" s="113" t="s">
        <v>208</v>
      </c>
      <c r="D429" s="113" t="s">
        <v>134</v>
      </c>
      <c r="E429" s="111" t="s">
        <v>308</v>
      </c>
      <c r="F429" s="114">
        <f t="shared" si="102"/>
        <v>2</v>
      </c>
      <c r="G429" s="115" t="str">
        <f t="shared" si="103"/>
        <v>Shawn</v>
      </c>
      <c r="H429" s="116">
        <f>IF($D429="",0,IFERROR(LOOKUP(2,1/(($D$3:D428=$D429)*($A$3:A428&lt;$A429)),$N$3:N428),'Guide &amp; Settings'!$C$41))</f>
        <v>1144.8568925635786</v>
      </c>
      <c r="I429" s="117">
        <f t="shared" si="104"/>
        <v>0.67241379310344829</v>
      </c>
      <c r="J429" s="118">
        <f>IF($D429="",0,IF($F429&lt;2,0,IF($E429="Win",('Guide &amp; Settings'!$C$42/(($F429-1)*COUNTIFS($A$4:$A$810,$A429,$E$4:$E$810,"Win")))*SUMIFS($X$4:$X$810,$A$4:$A$810,$A429,$E$4:$E$810,"Loss"),-('Guide &amp; Settings'!$C$42/($F429-1))*$X429)))</f>
        <v>11.92095930797189</v>
      </c>
      <c r="K429" s="118">
        <f>IF($D429="",0,'Guide &amp; Settings'!$C$43*(IF($E429="Win",1,0)-$I429))</f>
        <v>3.9310344827586206</v>
      </c>
      <c r="L429" s="119">
        <f>IF($D429="",0,'Guide &amp; Settings'!$C$44*IF($F429&gt;=3,$F429,0))</f>
        <v>0</v>
      </c>
      <c r="M429" s="118">
        <f t="shared" si="105"/>
        <v>15.851993790730511</v>
      </c>
      <c r="N429" s="116">
        <f t="shared" si="106"/>
        <v>1160.7088863543092</v>
      </c>
      <c r="O429" s="115" t="str">
        <f t="shared" si="107"/>
        <v>OK</v>
      </c>
      <c r="P429">
        <f t="shared" si="108"/>
        <v>1144.8568925635786</v>
      </c>
      <c r="Q429">
        <f t="shared" si="109"/>
        <v>0.5</v>
      </c>
      <c r="R429">
        <f t="shared" si="110"/>
        <v>0.63157894736842102</v>
      </c>
      <c r="S429">
        <f t="shared" si="111"/>
        <v>0.93927125506072873</v>
      </c>
      <c r="T429" s="83">
        <f t="shared" si="112"/>
        <v>17</v>
      </c>
      <c r="U429" s="120">
        <f>IF($D429="",0,IFERROR(LOOKUP(2,1/(($D$3:D428=$D429)*($C$3:C428=$C429)*($A$3:A428&lt;$A429)),$AB$3:AB428),1000))</f>
        <v>1055.6803220691902</v>
      </c>
      <c r="V429" s="12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0">
        <f t="shared" si="118"/>
        <v>1066.9491087721535</v>
      </c>
      <c r="AC429" s="12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1">
        <v>184</v>
      </c>
      <c r="B430" s="112">
        <v>46236</v>
      </c>
      <c r="C430" s="113" t="s">
        <v>208</v>
      </c>
      <c r="D430" s="113" t="s">
        <v>170</v>
      </c>
      <c r="E430" s="111" t="s">
        <v>309</v>
      </c>
      <c r="F430" s="114">
        <f t="shared" si="102"/>
        <v>2</v>
      </c>
      <c r="G430" s="115" t="str">
        <f t="shared" si="103"/>
        <v>Shawn</v>
      </c>
      <c r="H430" s="116">
        <f>IF($D430="",0,IFERROR(LOOKUP(2,1/(($D$3:D429=$D430)*($A$3:A429&lt;$A430)),$N$3:N429),'Guide &amp; Settings'!$C$41))</f>
        <v>1063.6812181724126</v>
      </c>
      <c r="I430" s="117">
        <f t="shared" si="104"/>
        <v>0.32758620689655177</v>
      </c>
      <c r="J430" s="118">
        <f>IF($D430="",0,IF($F430&lt;2,0,IF($E430="Win",('Guide &amp; Settings'!$C$42/(($F430-1)*COUNTIFS($A$4:$A$810,$A430,$E$4:$E$810,"Win")))*SUMIFS($X$4:$X$810,$A$4:$A$810,$A430,$E$4:$E$810,"Loss"),-('Guide &amp; Settings'!$C$42/($F430-1))*$X430)))</f>
        <v>-11.92095930797189</v>
      </c>
      <c r="K430" s="118">
        <f>IF($D430="",0,'Guide &amp; Settings'!$C$43*(IF($E430="Win",1,0)-$I430))</f>
        <v>-3.931034482758621</v>
      </c>
      <c r="L430" s="119">
        <f>IF($D430="",0,'Guide &amp; Settings'!$C$44*IF($F430&gt;=3,$F430,0))</f>
        <v>0</v>
      </c>
      <c r="M430" s="118">
        <f t="shared" si="105"/>
        <v>-15.851993790730511</v>
      </c>
      <c r="N430" s="116">
        <f t="shared" si="106"/>
        <v>1047.829224381682</v>
      </c>
      <c r="O430" s="115" t="str">
        <f t="shared" si="107"/>
        <v>OK</v>
      </c>
      <c r="P430">
        <f t="shared" si="108"/>
        <v>1144.8568925635786</v>
      </c>
      <c r="Q430">
        <f t="shared" si="109"/>
        <v>0.38525910920285283</v>
      </c>
      <c r="R430">
        <f t="shared" si="110"/>
        <v>0.30769230769230771</v>
      </c>
      <c r="S430">
        <f t="shared" si="111"/>
        <v>0.93927125506072873</v>
      </c>
      <c r="T430" s="83">
        <f t="shared" si="112"/>
        <v>11</v>
      </c>
      <c r="U430" s="120">
        <f>IF($D430="",0,IFERROR(LOOKUP(2,1/(($D$3:D429=$D430)*($C$3:C429=$C430)*($A$3:A429&lt;$A430)),$AB$3:AB429),1000))</f>
        <v>949.78129751147947</v>
      </c>
      <c r="V430" s="12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0">
        <f t="shared" si="118"/>
        <v>938.51251080851614</v>
      </c>
      <c r="AC430" s="12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1">
        <v>185</v>
      </c>
      <c r="B431" s="112">
        <v>46236</v>
      </c>
      <c r="C431" s="113" t="s">
        <v>208</v>
      </c>
      <c r="D431" s="113" t="s">
        <v>134</v>
      </c>
      <c r="E431" s="111" t="s">
        <v>309</v>
      </c>
      <c r="F431" s="114">
        <f t="shared" si="102"/>
        <v>2</v>
      </c>
      <c r="G431" s="115" t="str">
        <f t="shared" si="103"/>
        <v>Daniel (Ferret)</v>
      </c>
      <c r="H431" s="116">
        <f>IF($D431="",0,IFERROR(LOOKUP(2,1/(($D$3:D430=$D431)*($A$3:A430&lt;$A431)),$N$3:N430),'Guide &amp; Settings'!$C$41))</f>
        <v>1160.7088863543092</v>
      </c>
      <c r="I431" s="117">
        <f t="shared" si="104"/>
        <v>0.69465648854961837</v>
      </c>
      <c r="J431" s="118">
        <f>IF($D431="",0,IF($F431&lt;2,0,IF($E431="Win",('Guide &amp; Settings'!$C$42/(($F431-1)*COUNTIFS($A$4:$A$810,$A431,$E$4:$E$810,"Win")))*SUMIFS($X$4:$X$810,$A$4:$A$810,$A431,$E$4:$E$810,"Loss"),-('Guide &amp; Settings'!$C$42/($F431-1))*$X431)))</f>
        <v>-21.179493164801716</v>
      </c>
      <c r="K431" s="118">
        <f>IF($D431="",0,'Guide &amp; Settings'!$C$43*(IF($E431="Win",1,0)-$I431))</f>
        <v>-8.3358778625954209</v>
      </c>
      <c r="L431" s="119">
        <f>IF($D431="",0,'Guide &amp; Settings'!$C$44*IF($F431&gt;=3,$F431,0))</f>
        <v>0</v>
      </c>
      <c r="M431" s="118">
        <f t="shared" si="105"/>
        <v>-29.515371027397137</v>
      </c>
      <c r="N431" s="116">
        <f t="shared" si="106"/>
        <v>1131.1935153269121</v>
      </c>
      <c r="O431" s="115" t="str">
        <f t="shared" si="107"/>
        <v>OK</v>
      </c>
      <c r="P431">
        <f t="shared" si="108"/>
        <v>1047.829224381682</v>
      </c>
      <c r="Q431">
        <f t="shared" si="109"/>
        <v>0.65696258987621703</v>
      </c>
      <c r="R431">
        <f t="shared" si="110"/>
        <v>0.65</v>
      </c>
      <c r="S431">
        <f t="shared" si="111"/>
        <v>0.93571428571428572</v>
      </c>
      <c r="T431" s="83">
        <f t="shared" si="112"/>
        <v>18</v>
      </c>
      <c r="U431" s="120">
        <f>IF($D431="",0,IFERROR(LOOKUP(2,1/(($D$3:D430=$D431)*($C$3:C430=$C431)*($A$3:A430&lt;$A431)),$AB$3:AB430),1000))</f>
        <v>1066.9491087721535</v>
      </c>
      <c r="V431" s="12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0">
        <f t="shared" si="118"/>
        <v>1045.2898568471819</v>
      </c>
      <c r="AC431" s="12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1">
        <v>185</v>
      </c>
      <c r="B432" s="112">
        <v>46236</v>
      </c>
      <c r="C432" s="113" t="s">
        <v>208</v>
      </c>
      <c r="D432" s="113" t="s">
        <v>170</v>
      </c>
      <c r="E432" s="111" t="s">
        <v>308</v>
      </c>
      <c r="F432" s="114">
        <f t="shared" si="102"/>
        <v>2</v>
      </c>
      <c r="G432" s="115" t="str">
        <f t="shared" si="103"/>
        <v>Daniel (Ferret)</v>
      </c>
      <c r="H432" s="116">
        <f>IF($D432="",0,IFERROR(LOOKUP(2,1/(($D$3:D431=$D432)*($A$3:A431&lt;$A432)),$N$3:N431),'Guide &amp; Settings'!$C$41))</f>
        <v>1047.829224381682</v>
      </c>
      <c r="I432" s="117">
        <f t="shared" si="104"/>
        <v>0.30534351145038163</v>
      </c>
      <c r="J432" s="118">
        <f>IF($D432="",0,IF($F432&lt;2,0,IF($E432="Win",('Guide &amp; Settings'!$C$42/(($F432-1)*COUNTIFS($A$4:$A$810,$A432,$E$4:$E$810,"Win")))*SUMIFS($X$4:$X$810,$A$4:$A$810,$A432,$E$4:$E$810,"Loss"),-('Guide &amp; Settings'!$C$42/($F432-1))*$X432)))</f>
        <v>21.179493164801716</v>
      </c>
      <c r="K432" s="118">
        <f>IF($D432="",0,'Guide &amp; Settings'!$C$43*(IF($E432="Win",1,0)-$I432))</f>
        <v>8.3358778625954209</v>
      </c>
      <c r="L432" s="119">
        <f>IF($D432="",0,'Guide &amp; Settings'!$C$44*IF($F432&gt;=3,$F432,0))</f>
        <v>0</v>
      </c>
      <c r="M432" s="118">
        <f t="shared" si="105"/>
        <v>29.515371027397137</v>
      </c>
      <c r="N432" s="116">
        <f t="shared" si="106"/>
        <v>1077.3445954090791</v>
      </c>
      <c r="O432" s="115" t="str">
        <f t="shared" si="107"/>
        <v>OK</v>
      </c>
      <c r="P432">
        <f t="shared" si="108"/>
        <v>1047.829224381682</v>
      </c>
      <c r="Q432">
        <f t="shared" si="109"/>
        <v>0.5</v>
      </c>
      <c r="R432">
        <f t="shared" si="110"/>
        <v>0.2857142857142857</v>
      </c>
      <c r="S432">
        <f t="shared" si="111"/>
        <v>0.93571428571428572</v>
      </c>
      <c r="T432" s="83">
        <f t="shared" si="112"/>
        <v>12</v>
      </c>
      <c r="U432" s="120">
        <f>IF($D432="",0,IFERROR(LOOKUP(2,1/(($D$3:D431=$D432)*($C$3:C431=$C432)*($A$3:A431&lt;$A432)),$AB$3:AB431),1000))</f>
        <v>938.51251080851614</v>
      </c>
      <c r="V432" s="12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0">
        <f t="shared" si="118"/>
        <v>960.17176273348775</v>
      </c>
      <c r="AC432" s="12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1">
        <v>186</v>
      </c>
      <c r="B433" s="112">
        <v>46236</v>
      </c>
      <c r="C433" s="113" t="s">
        <v>208</v>
      </c>
      <c r="D433" s="113" t="s">
        <v>134</v>
      </c>
      <c r="E433" s="111" t="s">
        <v>309</v>
      </c>
      <c r="F433" s="114">
        <f t="shared" si="102"/>
        <v>2</v>
      </c>
      <c r="G433" s="115" t="str">
        <f t="shared" si="103"/>
        <v>Daniel (Ferret)</v>
      </c>
      <c r="H433" s="116">
        <f>IF($D433="",0,IFERROR(LOOKUP(2,1/(($D$3:D432=$D433)*($A$3:A432&lt;$A433)),$N$3:N432),'Guide &amp; Settings'!$C$41))</f>
        <v>1131.1935153269121</v>
      </c>
      <c r="I433" s="117">
        <f t="shared" si="104"/>
        <v>0.65</v>
      </c>
      <c r="J433" s="118">
        <f>IF($D433="",0,IF($F433&lt;2,0,IF($E433="Win",('Guide &amp; Settings'!$C$42/(($F433-1)*COUNTIFS($A$4:$A$810,$A433,$E$4:$E$810,"Win")))*SUMIFS($X$4:$X$810,$A$4:$A$810,$A433,$E$4:$E$810,"Loss"),-('Guide &amp; Settings'!$C$42/($F433-1))*$X433)))</f>
        <v>-19.201334087911338</v>
      </c>
      <c r="K433" s="118">
        <f>IF($D433="",0,'Guide &amp; Settings'!$C$43*(IF($E433="Win",1,0)-$I433))</f>
        <v>-7.8000000000000007</v>
      </c>
      <c r="L433" s="119">
        <f>IF($D433="",0,'Guide &amp; Settings'!$C$44*IF($F433&gt;=3,$F433,0))</f>
        <v>0</v>
      </c>
      <c r="M433" s="118">
        <f t="shared" si="105"/>
        <v>-27.001334087911339</v>
      </c>
      <c r="N433" s="116">
        <f t="shared" si="106"/>
        <v>1104.1921812390008</v>
      </c>
      <c r="O433" s="115" t="str">
        <f t="shared" si="107"/>
        <v>OK</v>
      </c>
      <c r="P433">
        <f t="shared" si="108"/>
        <v>1077.3445954090791</v>
      </c>
      <c r="Q433">
        <f t="shared" si="109"/>
        <v>0.57688020865762069</v>
      </c>
      <c r="R433">
        <f t="shared" si="110"/>
        <v>0.61904761904761907</v>
      </c>
      <c r="S433">
        <f t="shared" si="111"/>
        <v>0.95238095238095233</v>
      </c>
      <c r="T433" s="83">
        <f t="shared" si="112"/>
        <v>19</v>
      </c>
      <c r="U433" s="120">
        <f>IF($D433="",0,IFERROR(LOOKUP(2,1/(($D$3:D432=$D433)*($C$3:C432=$C433)*($A$3:A432&lt;$A433)),$AB$3:AB432),1000))</f>
        <v>1045.2898568471819</v>
      </c>
      <c r="V433" s="12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0">
        <f t="shared" si="118"/>
        <v>1025.4466082886879</v>
      </c>
      <c r="AC433" s="12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1">
        <v>186</v>
      </c>
      <c r="B434" s="112">
        <v>46236</v>
      </c>
      <c r="C434" s="113" t="s">
        <v>208</v>
      </c>
      <c r="D434" s="113" t="s">
        <v>170</v>
      </c>
      <c r="E434" s="111" t="s">
        <v>308</v>
      </c>
      <c r="F434" s="114">
        <f t="shared" si="102"/>
        <v>2</v>
      </c>
      <c r="G434" s="115" t="str">
        <f t="shared" si="103"/>
        <v>Daniel (Ferret)</v>
      </c>
      <c r="H434" s="116">
        <f>IF($D434="",0,IFERROR(LOOKUP(2,1/(($D$3:D433=$D434)*($A$3:A433&lt;$A434)),$N$3:N433),'Guide &amp; Settings'!$C$41))</f>
        <v>1077.3445954090791</v>
      </c>
      <c r="I434" s="117">
        <f t="shared" si="104"/>
        <v>0.35</v>
      </c>
      <c r="J434" s="118">
        <f>IF($D434="",0,IF($F434&lt;2,0,IF($E434="Win",('Guide &amp; Settings'!$C$42/(($F434-1)*COUNTIFS($A$4:$A$810,$A434,$E$4:$E$810,"Win")))*SUMIFS($X$4:$X$810,$A$4:$A$810,$A434,$E$4:$E$810,"Loss"),-('Guide &amp; Settings'!$C$42/($F434-1))*$X434)))</f>
        <v>19.201334087911338</v>
      </c>
      <c r="K434" s="118">
        <f>IF($D434="",0,'Guide &amp; Settings'!$C$43*(IF($E434="Win",1,0)-$I434))</f>
        <v>7.8000000000000007</v>
      </c>
      <c r="L434" s="119">
        <f>IF($D434="",0,'Guide &amp; Settings'!$C$44*IF($F434&gt;=3,$F434,0))</f>
        <v>0</v>
      </c>
      <c r="M434" s="118">
        <f t="shared" si="105"/>
        <v>27.001334087911339</v>
      </c>
      <c r="N434" s="116">
        <f t="shared" si="106"/>
        <v>1104.3459294969905</v>
      </c>
      <c r="O434" s="115" t="str">
        <f t="shared" si="107"/>
        <v>OK</v>
      </c>
      <c r="P434">
        <f t="shared" si="108"/>
        <v>1077.3445954090791</v>
      </c>
      <c r="Q434">
        <f t="shared" si="109"/>
        <v>0.5</v>
      </c>
      <c r="R434">
        <f t="shared" si="110"/>
        <v>0.33333333333333331</v>
      </c>
      <c r="S434">
        <f t="shared" si="111"/>
        <v>0.95238095238095233</v>
      </c>
      <c r="T434" s="83">
        <f t="shared" si="112"/>
        <v>13</v>
      </c>
      <c r="U434" s="120">
        <f>IF($D434="",0,IFERROR(LOOKUP(2,1/(($D$3:D433=$D434)*($C$3:C433=$C434)*($A$3:A433&lt;$A434)),$AB$3:AB433),1000))</f>
        <v>960.17176273348775</v>
      </c>
      <c r="V434" s="12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0">
        <f t="shared" si="118"/>
        <v>980.01501129198186</v>
      </c>
      <c r="AC434" s="12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1">
        <v>187</v>
      </c>
      <c r="B435" s="112">
        <v>46241</v>
      </c>
      <c r="C435" s="113" t="s">
        <v>208</v>
      </c>
      <c r="D435" s="113" t="s">
        <v>134</v>
      </c>
      <c r="E435" s="111" t="s">
        <v>308</v>
      </c>
      <c r="F435" s="114">
        <f t="shared" si="102"/>
        <v>2</v>
      </c>
      <c r="G435" s="115" t="str">
        <f t="shared" si="103"/>
        <v>Shawn</v>
      </c>
      <c r="H435" s="116">
        <f>IF($D435="",0,IFERROR(LOOKUP(2,1/(($D$3:D434=$D435)*($A$3:A434&lt;$A435)),$N$3:N434),'Guide &amp; Settings'!$C$41))</f>
        <v>1104.1921812390008</v>
      </c>
      <c r="I435" s="117">
        <f t="shared" si="104"/>
        <v>0.61176470588235299</v>
      </c>
      <c r="J435" s="118">
        <f>IF($D435="",0,IF($F435&lt;2,0,IF($E435="Win",('Guide &amp; Settings'!$C$42/(($F435-1)*COUNTIFS($A$4:$A$810,$A435,$E$4:$E$810,"Win")))*SUMIFS($X$4:$X$810,$A$4:$A$810,$A435,$E$4:$E$810,"Loss"),-('Guide &amp; Settings'!$C$42/($F435-1))*$X435)))</f>
        <v>16.561954414941418</v>
      </c>
      <c r="K435" s="118">
        <f>IF($D435="",0,'Guide &amp; Settings'!$C$43*(IF($E435="Win",1,0)-$I435))</f>
        <v>4.6588235294117641</v>
      </c>
      <c r="L435" s="119">
        <f>IF($D435="",0,'Guide &amp; Settings'!$C$44*IF($F435&gt;=3,$F435,0))</f>
        <v>0</v>
      </c>
      <c r="M435" s="118">
        <f t="shared" si="105"/>
        <v>21.220777944353181</v>
      </c>
      <c r="N435" s="116">
        <f t="shared" si="106"/>
        <v>1125.4129591833539</v>
      </c>
      <c r="O435" s="115" t="str">
        <f t="shared" si="107"/>
        <v>OK</v>
      </c>
      <c r="P435">
        <f t="shared" si="108"/>
        <v>1104.1921812390008</v>
      </c>
      <c r="Q435">
        <f t="shared" si="109"/>
        <v>0.5</v>
      </c>
      <c r="R435">
        <f t="shared" si="110"/>
        <v>0.59090909090909094</v>
      </c>
      <c r="S435">
        <f t="shared" si="111"/>
        <v>0.96590909090909094</v>
      </c>
      <c r="T435" s="83">
        <f t="shared" si="112"/>
        <v>20</v>
      </c>
      <c r="U435" s="120">
        <f>IF($D435="",0,IFERROR(LOOKUP(2,1/(($D$3:D434=$D435)*($C$3:C434=$C435)*($A$3:A434&lt;$A435)),$AB$3:AB434),1000))</f>
        <v>1025.4466082886879</v>
      </c>
      <c r="V435" s="120">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0">
        <f t="shared" si="118"/>
        <v>1040.3404646049482</v>
      </c>
      <c r="AC435" s="120">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11">
        <v>187</v>
      </c>
      <c r="B436" s="112">
        <v>46241</v>
      </c>
      <c r="C436" s="113" t="s">
        <v>208</v>
      </c>
      <c r="D436" s="113" t="s">
        <v>169</v>
      </c>
      <c r="E436" s="111" t="s">
        <v>309</v>
      </c>
      <c r="F436" s="114">
        <f t="shared" si="102"/>
        <v>2</v>
      </c>
      <c r="G436" s="115" t="str">
        <f t="shared" si="103"/>
        <v>Shawn</v>
      </c>
      <c r="H436" s="116">
        <f>IF($D436="",0,IFERROR(LOOKUP(2,1/(($D$3:D435=$D436)*($A$3:A435&lt;$A436)),$N$3:N435),'Guide &amp; Settings'!$C$41))</f>
        <v>1115.8211932271754</v>
      </c>
      <c r="I436" s="117">
        <f t="shared" si="104"/>
        <v>0.38823529411764707</v>
      </c>
      <c r="J436" s="118">
        <f>IF($D436="",0,IF($F436&lt;2,0,IF($E436="Win",('Guide &amp; Settings'!$C$42/(($F436-1)*COUNTIFS($A$4:$A$810,$A436,$E$4:$E$810,"Win")))*SUMIFS($X$4:$X$810,$A$4:$A$810,$A436,$E$4:$E$810,"Loss"),-('Guide &amp; Settings'!$C$42/($F436-1))*$X436)))</f>
        <v>-16.561954414941418</v>
      </c>
      <c r="K436" s="118">
        <f>IF($D436="",0,'Guide &amp; Settings'!$C$43*(IF($E436="Win",1,0)-$I436))</f>
        <v>-4.658823529411765</v>
      </c>
      <c r="L436" s="119">
        <f>IF($D436="",0,'Guide &amp; Settings'!$C$44*IF($F436&gt;=3,$F436,0))</f>
        <v>0</v>
      </c>
      <c r="M436" s="118">
        <f t="shared" si="105"/>
        <v>-21.220777944353184</v>
      </c>
      <c r="N436" s="116">
        <f t="shared" si="106"/>
        <v>1094.6004152828223</v>
      </c>
      <c r="O436" s="115" t="str">
        <f t="shared" si="107"/>
        <v>OK</v>
      </c>
      <c r="P436">
        <f t="shared" si="108"/>
        <v>1104.1921812390008</v>
      </c>
      <c r="Q436">
        <f t="shared" si="109"/>
        <v>0.51672924670067555</v>
      </c>
      <c r="R436">
        <f t="shared" si="110"/>
        <v>0.375</v>
      </c>
      <c r="S436">
        <f t="shared" si="111"/>
        <v>0.96590909090909094</v>
      </c>
      <c r="T436" s="83">
        <f t="shared" si="112"/>
        <v>6</v>
      </c>
      <c r="U436" s="120">
        <f>IF($D436="",0,IFERROR(LOOKUP(2,1/(($D$3:D435=$D436)*($C$3:C435=$C436)*($A$3:A435&lt;$A436)),$AB$3:AB435),1000))</f>
        <v>1001.3886259796478</v>
      </c>
      <c r="V436" s="120">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0">
        <f t="shared" si="118"/>
        <v>986.4947696633875</v>
      </c>
      <c r="AC436" s="120">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11">
        <v>188</v>
      </c>
      <c r="B437" s="112">
        <v>46241</v>
      </c>
      <c r="C437" s="113" t="s">
        <v>208</v>
      </c>
      <c r="D437" s="113" t="s">
        <v>134</v>
      </c>
      <c r="E437" s="111" t="s">
        <v>308</v>
      </c>
      <c r="F437" s="114">
        <f t="shared" si="102"/>
        <v>3</v>
      </c>
      <c r="G437" s="115" t="str">
        <f t="shared" si="103"/>
        <v>Shawn</v>
      </c>
      <c r="H437" s="116">
        <f>IF($D437="",0,IFERROR(LOOKUP(2,1/(($D$3:D436=$D437)*($A$3:A436&lt;$A437)),$N$3:N436),'Guide &amp; Settings'!$C$41))</f>
        <v>1125.4129591833539</v>
      </c>
      <c r="I437" s="117">
        <f t="shared" si="104"/>
        <v>0.46217331499312247</v>
      </c>
      <c r="J437" s="118">
        <f>IF($D437="",0,IF($F437&lt;2,0,IF($E437="Win",('Guide &amp; Settings'!$C$42/(($F437-1)*COUNTIFS($A$4:$A$810,$A437,$E$4:$E$810,"Win")))*SUMIFS($X$4:$X$810,$A$4:$A$810,$A437,$E$4:$E$810,"Loss"),-('Guide &amp; Settings'!$C$42/($F437-1))*$X437)))</f>
        <v>14.414634341066805</v>
      </c>
      <c r="K437" s="118">
        <f>IF($D437="",0,'Guide &amp; Settings'!$C$43*(IF($E437="Win",1,0)-$I437))</f>
        <v>6.453920220082531</v>
      </c>
      <c r="L437" s="119">
        <f>IF($D437="",0,'Guide &amp; Settings'!$C$44*IF($F437&gt;=3,$F437,0))</f>
        <v>3</v>
      </c>
      <c r="M437" s="118">
        <f t="shared" si="105"/>
        <v>23.868554561149335</v>
      </c>
      <c r="N437" s="116">
        <f t="shared" si="106"/>
        <v>1149.2815137445032</v>
      </c>
      <c r="O437" s="115" t="str">
        <f t="shared" si="107"/>
        <v>OK</v>
      </c>
      <c r="P437">
        <f t="shared" si="108"/>
        <v>1125.4129591833539</v>
      </c>
      <c r="Q437">
        <f t="shared" si="109"/>
        <v>0.5</v>
      </c>
      <c r="R437">
        <f t="shared" si="110"/>
        <v>0.60869565217391308</v>
      </c>
      <c r="S437">
        <f t="shared" si="111"/>
        <v>1.3170289855072463</v>
      </c>
      <c r="T437" s="83">
        <f t="shared" si="112"/>
        <v>21</v>
      </c>
      <c r="U437" s="120">
        <f>IF($D437="",0,IFERROR(LOOKUP(2,1/(($D$3:D436=$D437)*($C$3:C436=$C437)*($A$3:A436&lt;$A437)),$AB$3:AB436),1000))</f>
        <v>1040.3404646049482</v>
      </c>
      <c r="V437" s="120">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0">
        <f t="shared" si="118"/>
        <v>1053.7352013582915</v>
      </c>
      <c r="AC437" s="120">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11">
        <v>188</v>
      </c>
      <c r="B438" s="112">
        <v>46241</v>
      </c>
      <c r="C438" s="113" t="s">
        <v>208</v>
      </c>
      <c r="D438" s="113" t="s">
        <v>170</v>
      </c>
      <c r="E438" s="111" t="s">
        <v>309</v>
      </c>
      <c r="F438" s="114">
        <f t="shared" si="102"/>
        <v>3</v>
      </c>
      <c r="G438" s="115" t="str">
        <f t="shared" si="103"/>
        <v>Shawn</v>
      </c>
      <c r="H438" s="116">
        <f>IF($D438="",0,IFERROR(LOOKUP(2,1/(($D$3:D437=$D438)*($A$3:A437&lt;$A438)),$N$3:N437),'Guide &amp; Settings'!$C$41))</f>
        <v>1104.3459294969905</v>
      </c>
      <c r="I438" s="117">
        <f t="shared" si="104"/>
        <v>0.28473177441540576</v>
      </c>
      <c r="J438" s="118">
        <f>IF($D438="",0,IF($F438&lt;2,0,IF($E438="Win",('Guide &amp; Settings'!$C$42/(($F438-1)*COUNTIFS($A$4:$A$810,$A438,$E$4:$E$810,"Win")))*SUMIFS($X$4:$X$810,$A$4:$A$810,$A438,$E$4:$E$810,"Loss"),-('Guide &amp; Settings'!$C$42/($F438-1))*$X438)))</f>
        <v>-6.9929947440660873</v>
      </c>
      <c r="K438" s="118">
        <f>IF($D438="",0,'Guide &amp; Settings'!$C$43*(IF($E438="Win",1,0)-$I438))</f>
        <v>-3.4167812929848691</v>
      </c>
      <c r="L438" s="119">
        <f>IF($D438="",0,'Guide &amp; Settings'!$C$44*IF($F438&gt;=3,$F438,0))</f>
        <v>3</v>
      </c>
      <c r="M438" s="118">
        <f t="shared" si="105"/>
        <v>-7.4097760370509569</v>
      </c>
      <c r="N438" s="116">
        <f t="shared" si="106"/>
        <v>1096.9361534599395</v>
      </c>
      <c r="O438" s="115" t="str">
        <f t="shared" si="107"/>
        <v>OK</v>
      </c>
      <c r="P438">
        <f t="shared" si="108"/>
        <v>1125.4129591833539</v>
      </c>
      <c r="Q438">
        <f t="shared" si="109"/>
        <v>0.46971920920103316</v>
      </c>
      <c r="R438">
        <f t="shared" si="110"/>
        <v>0.375</v>
      </c>
      <c r="S438">
        <f t="shared" si="111"/>
        <v>1.3170289855072463</v>
      </c>
      <c r="T438" s="83">
        <f t="shared" si="112"/>
        <v>14</v>
      </c>
      <c r="U438" s="120">
        <f>IF($D438="",0,IFERROR(LOOKUP(2,1/(($D$3:D437=$D438)*($C$3:C437=$C438)*($A$3:A437&lt;$A438)),$AB$3:AB437),1000))</f>
        <v>980.01501129198186</v>
      </c>
      <c r="V438" s="120">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0">
        <f t="shared" si="118"/>
        <v>973.39026370241982</v>
      </c>
      <c r="AC438" s="120">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11">
        <v>188</v>
      </c>
      <c r="B439" s="112">
        <v>46241</v>
      </c>
      <c r="C439" s="113" t="s">
        <v>208</v>
      </c>
      <c r="D439" s="113" t="s">
        <v>169</v>
      </c>
      <c r="E439" s="111" t="s">
        <v>309</v>
      </c>
      <c r="F439" s="114">
        <f t="shared" si="102"/>
        <v>3</v>
      </c>
      <c r="G439" s="115" t="str">
        <f t="shared" si="103"/>
        <v>Shawn</v>
      </c>
      <c r="H439" s="116">
        <f>IF($D439="",0,IFERROR(LOOKUP(2,1/(($D$3:D438=$D439)*($A$3:A438&lt;$A439)),$N$3:N438),'Guide &amp; Settings'!$C$41))</f>
        <v>1094.6004152828223</v>
      </c>
      <c r="I439" s="117">
        <f t="shared" si="104"/>
        <v>0.25309491059147182</v>
      </c>
      <c r="J439" s="118">
        <f>IF($D439="",0,IF($F439&lt;2,0,IF($E439="Win",('Guide &amp; Settings'!$C$42/(($F439-1)*COUNTIFS($A$4:$A$810,$A439,$E$4:$E$810,"Win")))*SUMIFS($X$4:$X$810,$A$4:$A$810,$A439,$E$4:$E$810,"Loss"),-('Guide &amp; Settings'!$C$42/($F439-1))*$X439)))</f>
        <v>-7.4216395970007172</v>
      </c>
      <c r="K439" s="118">
        <f>IF($D439="",0,'Guide &amp; Settings'!$C$43*(IF($E439="Win",1,0)-$I439))</f>
        <v>-3.0371389270976619</v>
      </c>
      <c r="L439" s="119">
        <f>IF($D439="",0,'Guide &amp; Settings'!$C$44*IF($F439&gt;=3,$F439,0))</f>
        <v>3</v>
      </c>
      <c r="M439" s="118">
        <f t="shared" si="105"/>
        <v>-7.4587785240983795</v>
      </c>
      <c r="N439" s="116">
        <f t="shared" si="106"/>
        <v>1087.141636758724</v>
      </c>
      <c r="O439" s="115" t="str">
        <f t="shared" si="107"/>
        <v>OK</v>
      </c>
      <c r="P439">
        <f t="shared" si="108"/>
        <v>1125.4129591833539</v>
      </c>
      <c r="Q439">
        <f t="shared" si="109"/>
        <v>0.45577307441929471</v>
      </c>
      <c r="R439">
        <f t="shared" si="110"/>
        <v>0.33333333333333331</v>
      </c>
      <c r="S439">
        <f t="shared" si="111"/>
        <v>1.3170289855072463</v>
      </c>
      <c r="T439" s="83">
        <f t="shared" si="112"/>
        <v>7</v>
      </c>
      <c r="U439" s="120">
        <f>IF($D439="",0,IFERROR(LOOKUP(2,1/(($D$3:D438=$D439)*($C$3:C438=$C439)*($A$3:A438&lt;$A439)),$AB$3:AB438),1000))</f>
        <v>986.4947696633875</v>
      </c>
      <c r="V439" s="120">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0">
        <f t="shared" si="118"/>
        <v>979.72478049960625</v>
      </c>
      <c r="AC439" s="120">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11">
        <v>189</v>
      </c>
      <c r="B440" s="112">
        <v>46241</v>
      </c>
      <c r="C440" s="113" t="s">
        <v>208</v>
      </c>
      <c r="D440" s="113" t="s">
        <v>134</v>
      </c>
      <c r="E440" s="111" t="s">
        <v>309</v>
      </c>
      <c r="F440" s="114">
        <f t="shared" ref="F440:F503" si="119">IF($D440="",0,COUNTIF($A$4:$A$810,$A440))</f>
        <v>3</v>
      </c>
      <c r="G440" s="115" t="str">
        <f t="shared" ref="G440:G503" si="120">IF($D440="","",IFERROR(LOOKUP(2,1/(($A$4:$A$810=$A440)*($E$4:$E$810="Win")),$D$4:$D$810),"(no winner)"))</f>
        <v>Daniel (Ferret)</v>
      </c>
      <c r="H440" s="116">
        <f>IF($D440="",0,IFERROR(LOOKUP(2,1/(($D$3:D439=$D440)*($A$3:A439&lt;$A440)),$N$3:N439),'Guide &amp; Settings'!$C$41))</f>
        <v>1149.2815137445032</v>
      </c>
      <c r="I440" s="117">
        <f t="shared" ref="I440:I503" si="121">IF($D440="",0,IF($S440=0,0,$R440/$S440))</f>
        <v>0.48906789413118523</v>
      </c>
      <c r="J440" s="118">
        <f>IF($D440="",0,IF($F440&lt;2,0,IF($E440="Win",('Guide &amp; Settings'!$C$42/(($F440-1)*COUNTIFS($A$4:$A$810,$A440,$E$4:$E$810,"Win")))*SUMIFS($X$4:$X$810,$A$4:$A$810,$A440,$E$4:$E$810,"Loss"),-('Guide &amp; Settings'!$C$42/($F440-1))*$X440)))</f>
        <v>-9.5272663189957054</v>
      </c>
      <c r="K440" s="118">
        <f>IF($D440="",0,'Guide &amp; Settings'!$C$43*(IF($E440="Win",1,0)-$I440))</f>
        <v>-5.8688147295742228</v>
      </c>
      <c r="L440" s="119">
        <f>IF($D440="",0,'Guide &amp; Settings'!$C$44*IF($F440&gt;=3,$F440,0))</f>
        <v>3</v>
      </c>
      <c r="M440" s="118">
        <f t="shared" ref="M440:M503" si="122">IF($D440="",0,$J440+$K440+$L440)</f>
        <v>-12.396081048569929</v>
      </c>
      <c r="N440" s="116">
        <f t="shared" ref="N440:N503" si="123">IF($D440="",0,$H440+$M440)</f>
        <v>1136.8854326959333</v>
      </c>
      <c r="O440" s="115" t="str">
        <f t="shared" ref="O440:O503" si="124">IF($D440="","",IF(COUNTIFS($A$4:$A$810,$A440,$E$4:$E$810,"Win")=0,"need a winner",IF(COUNTIFS($A$4:$A$810,$A440,$E$4:$E$810,"Loss")=0,"need a loser",IF(COUNTIFS($A$4:$A$810,$A440,$D$4:$D$810,$D440)&gt;1,"duplicate player","OK"))))</f>
        <v>OK</v>
      </c>
      <c r="P440">
        <f t="shared" ref="P440:P503" si="125">IF($D440="",0,IFERROR(SUMIFS($H$4:$H$810,$A$4:$A$810,$A440,$E$4:$E$810,"Win")/COUNTIFS($A$4:$A$810,$A440,$E$4:$E$810,"Win"),0))</f>
        <v>1096.9361534599395</v>
      </c>
      <c r="Q440">
        <f t="shared" ref="Q440:Q503" si="126">IF($D440="",0,1/(1+10^(($P440-$H440)/400)))</f>
        <v>0.57476617594879886</v>
      </c>
      <c r="R440">
        <f t="shared" ref="R440:R503" si="127">IF($D440="",0,(COUNTIFS($D$4:$D$810,$D440,$C$4:$C$810,$C440,$E$4:$E$810,"Win",$A$4:$A$810,"&lt;"&amp;$A440)+1)/(COUNTIFS($D$4:$D$810,$D440,$C$4:$C$810,$C440,$A$4:$A$810,"&lt;"&amp;$A440)+2))</f>
        <v>0.625</v>
      </c>
      <c r="S440">
        <f t="shared" ref="S440:S503" si="128">IF($D440="",0,SUMIFS($R$4:$R$810,$A$4:$A$810,$A440))</f>
        <v>1.2779411764705884</v>
      </c>
      <c r="T440" s="83">
        <f t="shared" ref="T440:T503" si="129">IF($D440="",0,COUNTIFS($D$4:$D$810,$D440,$C$4:$C$810,$C440,$A$4:$A$810,"&lt;"&amp;$A440))</f>
        <v>22</v>
      </c>
      <c r="U440" s="120">
        <f>IF($D440="",0,IFERROR(LOOKUP(2,1/(($D$3:D439=$D440)*($C$3:C439=$C440)*($A$3:A439&lt;$A440)),$AB$3:AB439),1000))</f>
        <v>1053.7352013582915</v>
      </c>
      <c r="V440" s="120">
        <f t="shared" ref="V440:V503" si="130">IF($D440="",0,$U440*($T440/($T440+5))+$H440*(1-$T440/($T440+5)))</f>
        <v>1071.4289629112936</v>
      </c>
      <c r="W440">
        <f t="shared" ref="W440:W503" si="131">IF($D440="",0,IFERROR(SUMIFS($V$4:$V$810,$A$4:$A$810,$A440,$E$4:$E$810,"Win")/COUNTIFS($A$4:$A$810,$A440,$E$4:$E$810,"Win"),0))</f>
        <v>1004.2767361417998</v>
      </c>
      <c r="X440">
        <f t="shared" ref="X440:X503" si="132">IF($D440="",0,1/(1+10^(($W440-$V440)/400)))</f>
        <v>0.59545414493723159</v>
      </c>
      <c r="Y440">
        <f t="shared" ref="Y440:Y503" si="133">IF($D440="",0,IFERROR(SUMIFS($U$4:$U$810,$A$4:$A$810,$A440,$E$4:$E$810,"Win")/COUNTIFS($A$4:$A$810,$A440,$E$4:$E$810,"Win"),0))</f>
        <v>973.39026370241982</v>
      </c>
      <c r="Z440">
        <f t="shared" ref="Z440:Z503" si="134">IF($D440="",0,1/(1+10^(($Y440-$U440)/400)))</f>
        <v>0.61360770357947914</v>
      </c>
      <c r="AA440">
        <f>IF($D440="",0,IF($F440&lt;2,0,IF($E440="Win",('Guide &amp; Settings'!$C$42/(($F440-1)*COUNTIFS($A$4:$A$810,$A440,$E$4:$E$810,"Win")))*SUMIFS($Z$4:$Z$810,$A$4:$A$810,$A440,$E$4:$E$810,"Loss"),-('Guide &amp; Settings'!$C$42/($F440-1))*$Z440)))</f>
        <v>-9.8177232572716662</v>
      </c>
      <c r="AB440" s="120">
        <f t="shared" ref="AB440:AB503" si="135">IF($D440="",0,$U440+$AA440)</f>
        <v>1043.9174781010199</v>
      </c>
      <c r="AC440" s="120">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11">
        <v>189</v>
      </c>
      <c r="B441" s="112">
        <v>46241</v>
      </c>
      <c r="C441" s="113" t="s">
        <v>208</v>
      </c>
      <c r="D441" s="113" t="s">
        <v>170</v>
      </c>
      <c r="E441" s="111" t="s">
        <v>308</v>
      </c>
      <c r="F441" s="114">
        <f t="shared" si="119"/>
        <v>3</v>
      </c>
      <c r="G441" s="115" t="str">
        <f t="shared" si="120"/>
        <v>Daniel (Ferret)</v>
      </c>
      <c r="H441" s="116">
        <f>IF($D441="",0,IFERROR(LOOKUP(2,1/(($D$3:D440=$D441)*($A$3:A440&lt;$A441)),$N$3:N440),'Guide &amp; Settings'!$C$41))</f>
        <v>1096.9361534599395</v>
      </c>
      <c r="I441" s="117">
        <f t="shared" si="121"/>
        <v>0.27617951668584578</v>
      </c>
      <c r="J441" s="118">
        <f>IF($D441="",0,IF($F441&lt;2,0,IF($E441="Win",('Guide &amp; Settings'!$C$42/(($F441-1)*COUNTIFS($A$4:$A$810,$A441,$E$4:$E$810,"Win")))*SUMIFS($X$4:$X$810,$A$4:$A$810,$A441,$E$4:$E$810,"Loss"),-('Guide &amp; Settings'!$C$42/($F441-1))*$X441)))</f>
        <v>17.912931511773273</v>
      </c>
      <c r="K441" s="118">
        <f>IF($D441="",0,'Guide &amp; Settings'!$C$43*(IF($E441="Win",1,0)-$I441))</f>
        <v>8.6858457997698508</v>
      </c>
      <c r="L441" s="119">
        <f>IF($D441="",0,'Guide &amp; Settings'!$C$44*IF($F441&gt;=3,$F441,0))</f>
        <v>3</v>
      </c>
      <c r="M441" s="118">
        <f t="shared" si="122"/>
        <v>29.598777311543124</v>
      </c>
      <c r="N441" s="116">
        <f t="shared" si="123"/>
        <v>1126.5349307714825</v>
      </c>
      <c r="O441" s="115" t="str">
        <f t="shared" si="124"/>
        <v>OK</v>
      </c>
      <c r="P441">
        <f t="shared" si="125"/>
        <v>1096.9361534599395</v>
      </c>
      <c r="Q441">
        <f t="shared" si="126"/>
        <v>0.5</v>
      </c>
      <c r="R441">
        <f t="shared" si="127"/>
        <v>0.35294117647058826</v>
      </c>
      <c r="S441">
        <f t="shared" si="128"/>
        <v>1.2779411764705884</v>
      </c>
      <c r="T441" s="83">
        <f t="shared" si="129"/>
        <v>15</v>
      </c>
      <c r="U441" s="120">
        <f>IF($D441="",0,IFERROR(LOOKUP(2,1/(($D$3:D440=$D441)*($C$3:C440=$C441)*($A$3:A440&lt;$A441)),$AB$3:AB440),1000))</f>
        <v>973.39026370241982</v>
      </c>
      <c r="V441" s="120">
        <f t="shared" si="130"/>
        <v>1004.2767361417998</v>
      </c>
      <c r="W441">
        <f t="shared" si="131"/>
        <v>1004.2767361417998</v>
      </c>
      <c r="X441">
        <f t="shared" si="132"/>
        <v>0.5</v>
      </c>
      <c r="Y441">
        <f t="shared" si="133"/>
        <v>973.39026370241982</v>
      </c>
      <c r="Z441">
        <f t="shared" si="134"/>
        <v>0.5</v>
      </c>
      <c r="AA441">
        <f>IF($D441="",0,IF($F441&lt;2,0,IF($E441="Win",('Guide &amp; Settings'!$C$42/(($F441-1)*COUNTIFS($A$4:$A$810,$A441,$E$4:$E$810,"Win")))*SUMIFS($Z$4:$Z$810,$A$4:$A$810,$A441,$E$4:$E$810,"Loss"),-('Guide &amp; Settings'!$C$42/($F441-1))*$Z441)))</f>
        <v>17.963564737232602</v>
      </c>
      <c r="AB441" s="120">
        <f t="shared" si="135"/>
        <v>991.35382843965237</v>
      </c>
      <c r="AC441" s="120">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11">
        <v>189</v>
      </c>
      <c r="B442" s="112">
        <v>46241</v>
      </c>
      <c r="C442" s="113" t="s">
        <v>208</v>
      </c>
      <c r="D442" s="113" t="s">
        <v>169</v>
      </c>
      <c r="E442" s="111" t="s">
        <v>309</v>
      </c>
      <c r="F442" s="114">
        <f t="shared" si="119"/>
        <v>3</v>
      </c>
      <c r="G442" s="115" t="str">
        <f t="shared" si="120"/>
        <v>Daniel (Ferret)</v>
      </c>
      <c r="H442" s="116">
        <f>IF($D442="",0,IFERROR(LOOKUP(2,1/(($D$3:D441=$D442)*($A$3:A441&lt;$A442)),$N$3:N441),'Guide &amp; Settings'!$C$41))</f>
        <v>1087.141636758724</v>
      </c>
      <c r="I442" s="117">
        <f t="shared" si="121"/>
        <v>0.2347525891829689</v>
      </c>
      <c r="J442" s="118">
        <f>IF($D442="",0,IF($F442&lt;2,0,IF($E442="Win",('Guide &amp; Settings'!$C$42/(($F442-1)*COUNTIFS($A$4:$A$810,$A442,$E$4:$E$810,"Win")))*SUMIFS($X$4:$X$810,$A$4:$A$810,$A442,$E$4:$E$810,"Loss"),-('Guide &amp; Settings'!$C$42/($F442-1))*$X442)))</f>
        <v>-8.3856651927775676</v>
      </c>
      <c r="K442" s="118">
        <f>IF($D442="",0,'Guide &amp; Settings'!$C$43*(IF($E442="Win",1,0)-$I442))</f>
        <v>-2.8170310701956267</v>
      </c>
      <c r="L442" s="119">
        <f>IF($D442="",0,'Guide &amp; Settings'!$C$44*IF($F442&gt;=3,$F442,0))</f>
        <v>3</v>
      </c>
      <c r="M442" s="118">
        <f t="shared" si="122"/>
        <v>-8.2026962629731948</v>
      </c>
      <c r="N442" s="116">
        <f t="shared" si="123"/>
        <v>1078.9389404957508</v>
      </c>
      <c r="O442" s="115" t="str">
        <f t="shared" si="124"/>
        <v>OK</v>
      </c>
      <c r="P442">
        <f t="shared" si="125"/>
        <v>1096.9361534599395</v>
      </c>
      <c r="Q442">
        <f t="shared" si="126"/>
        <v>0.48590829022500398</v>
      </c>
      <c r="R442">
        <f t="shared" si="127"/>
        <v>0.3</v>
      </c>
      <c r="S442">
        <f t="shared" si="128"/>
        <v>1.2779411764705884</v>
      </c>
      <c r="T442" s="83">
        <f t="shared" si="129"/>
        <v>8</v>
      </c>
      <c r="U442" s="120">
        <f>IF($D442="",0,IFERROR(LOOKUP(2,1/(($D$3:D441=$D442)*($C$3:C441=$C442)*($A$3:A441&lt;$A442)),$AB$3:AB441),1000))</f>
        <v>979.72478049960625</v>
      </c>
      <c r="V442" s="120">
        <f t="shared" si="130"/>
        <v>1021.0389559838823</v>
      </c>
      <c r="W442">
        <f t="shared" si="131"/>
        <v>1004.2767361417998</v>
      </c>
      <c r="X442">
        <f t="shared" si="132"/>
        <v>0.52410407454859798</v>
      </c>
      <c r="Y442">
        <f t="shared" si="133"/>
        <v>973.39026370241982</v>
      </c>
      <c r="Z442">
        <f t="shared" si="134"/>
        <v>0.5091150924975586</v>
      </c>
      <c r="AA442">
        <f>IF($D442="",0,IF($F442&lt;2,0,IF($E442="Win",('Guide &amp; Settings'!$C$42/(($F442-1)*COUNTIFS($A$4:$A$810,$A442,$E$4:$E$810,"Win")))*SUMIFS($Z$4:$Z$810,$A$4:$A$810,$A442,$E$4:$E$810,"Loss"),-('Guide &amp; Settings'!$C$42/($F442-1))*$Z442)))</f>
        <v>-8.1458414799609375</v>
      </c>
      <c r="AB442" s="120">
        <f t="shared" si="135"/>
        <v>971.5789390196453</v>
      </c>
      <c r="AC442" s="120">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11">
        <v>190</v>
      </c>
      <c r="B443" s="112">
        <v>46241</v>
      </c>
      <c r="C443" s="113" t="s">
        <v>208</v>
      </c>
      <c r="D443" s="113" t="s">
        <v>134</v>
      </c>
      <c r="E443" s="111" t="s">
        <v>309</v>
      </c>
      <c r="F443" s="114">
        <f t="shared" si="119"/>
        <v>3</v>
      </c>
      <c r="G443" s="115" t="str">
        <f t="shared" si="120"/>
        <v>Daniel (Ferret)</v>
      </c>
      <c r="H443" s="116">
        <f>IF($D443="",0,IFERROR(LOOKUP(2,1/(($D$3:D442=$D443)*($A$3:A442&lt;$A443)),$N$3:N442),'Guide &amp; Settings'!$C$41))</f>
        <v>1136.8854326959333</v>
      </c>
      <c r="I443" s="117">
        <f t="shared" si="121"/>
        <v>0.47558046437149715</v>
      </c>
      <c r="J443" s="118">
        <f>IF($D443="",0,IF($F443&lt;2,0,IF($E443="Win",('Guide &amp; Settings'!$C$42/(($F443-1)*COUNTIFS($A$4:$A$810,$A443,$E$4:$E$810,"Win")))*SUMIFS($X$4:$X$810,$A$4:$A$810,$A443,$E$4:$E$810,"Loss"),-('Guide &amp; Settings'!$C$42/($F443-1))*$X443)))</f>
        <v>-8.848274345441153</v>
      </c>
      <c r="K443" s="118">
        <f>IF($D443="",0,'Guide &amp; Settings'!$C$43*(IF($E443="Win",1,0)-$I443))</f>
        <v>-5.7069655724579658</v>
      </c>
      <c r="L443" s="119">
        <f>IF($D443="",0,'Guide &amp; Settings'!$C$44*IF($F443&gt;=3,$F443,0))</f>
        <v>3</v>
      </c>
      <c r="M443" s="118">
        <f t="shared" si="122"/>
        <v>-11.555239917899119</v>
      </c>
      <c r="N443" s="116">
        <f t="shared" si="123"/>
        <v>1125.3301927780342</v>
      </c>
      <c r="O443" s="115" t="str">
        <f t="shared" si="124"/>
        <v>OK</v>
      </c>
      <c r="P443">
        <f t="shared" si="125"/>
        <v>1126.5349307714825</v>
      </c>
      <c r="Q443">
        <f t="shared" si="126"/>
        <v>0.51489116454597339</v>
      </c>
      <c r="R443">
        <f t="shared" si="127"/>
        <v>0.6</v>
      </c>
      <c r="S443">
        <f t="shared" si="128"/>
        <v>1.2616161616161616</v>
      </c>
      <c r="T443" s="83">
        <f t="shared" si="129"/>
        <v>23</v>
      </c>
      <c r="U443" s="120">
        <f>IF($D443="",0,IFERROR(LOOKUP(2,1/(($D$3:D442=$D443)*($C$3:C442=$C443)*($A$3:A442&lt;$A443)),$AB$3:AB442),1000))</f>
        <v>1043.9174781010199</v>
      </c>
      <c r="V443" s="120">
        <f t="shared" si="130"/>
        <v>1060.5188985643972</v>
      </c>
      <c r="W443">
        <f t="shared" si="131"/>
        <v>1023.5398051853263</v>
      </c>
      <c r="X443">
        <f t="shared" si="132"/>
        <v>0.55301714659007206</v>
      </c>
      <c r="Y443">
        <f t="shared" si="133"/>
        <v>991.35382843965237</v>
      </c>
      <c r="Z443">
        <f t="shared" si="134"/>
        <v>0.57507326649450119</v>
      </c>
      <c r="AA443">
        <f>IF($D443="",0,IF($F443&lt;2,0,IF($E443="Win",('Guide &amp; Settings'!$C$42/(($F443-1)*COUNTIFS($A$4:$A$810,$A443,$E$4:$E$810,"Win")))*SUMIFS($Z$4:$Z$810,$A$4:$A$810,$A443,$E$4:$E$810,"Loss"),-('Guide &amp; Settings'!$C$42/($F443-1))*$Z443)))</f>
        <v>-9.201172263912019</v>
      </c>
      <c r="AB443" s="120">
        <f t="shared" si="135"/>
        <v>1034.7163058371079</v>
      </c>
      <c r="AC443" s="120">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11">
        <v>190</v>
      </c>
      <c r="B444" s="112">
        <v>46241</v>
      </c>
      <c r="C444" s="113" t="s">
        <v>208</v>
      </c>
      <c r="D444" s="113" t="s">
        <v>170</v>
      </c>
      <c r="E444" s="111" t="s">
        <v>308</v>
      </c>
      <c r="F444" s="114">
        <f t="shared" si="119"/>
        <v>3</v>
      </c>
      <c r="G444" s="115" t="str">
        <f t="shared" si="120"/>
        <v>Daniel (Ferret)</v>
      </c>
      <c r="H444" s="116">
        <f>IF($D444="",0,IFERROR(LOOKUP(2,1/(($D$3:D443=$D444)*($A$3:A443&lt;$A444)),$N$3:N443),'Guide &amp; Settings'!$C$41))</f>
        <v>1126.5349307714825</v>
      </c>
      <c r="I444" s="117">
        <f t="shared" si="121"/>
        <v>0.30824659727782228</v>
      </c>
      <c r="J444" s="118">
        <f>IF($D444="",0,IF($F444&lt;2,0,IF($E444="Win",('Guide &amp; Settings'!$C$42/(($F444-1)*COUNTIFS($A$4:$A$810,$A444,$E$4:$E$810,"Win")))*SUMIFS($X$4:$X$810,$A$4:$A$810,$A444,$E$4:$E$810,"Loss"),-('Guide &amp; Settings'!$C$42/($F444-1))*$X444)))</f>
        <v>16.534868591460111</v>
      </c>
      <c r="K444" s="118">
        <f>IF($D444="",0,'Guide &amp; Settings'!$C$43*(IF($E444="Win",1,0)-$I444))</f>
        <v>8.301040832666132</v>
      </c>
      <c r="L444" s="119">
        <f>IF($D444="",0,'Guide &amp; Settings'!$C$44*IF($F444&gt;=3,$F444,0))</f>
        <v>3</v>
      </c>
      <c r="M444" s="118">
        <f t="shared" si="122"/>
        <v>27.835909424126243</v>
      </c>
      <c r="N444" s="116">
        <f t="shared" si="123"/>
        <v>1154.3708401956087</v>
      </c>
      <c r="O444" s="115" t="str">
        <f t="shared" si="124"/>
        <v>OK</v>
      </c>
      <c r="P444">
        <f t="shared" si="125"/>
        <v>1126.5349307714825</v>
      </c>
      <c r="Q444">
        <f t="shared" si="126"/>
        <v>0.5</v>
      </c>
      <c r="R444">
        <f t="shared" si="127"/>
        <v>0.3888888888888889</v>
      </c>
      <c r="S444">
        <f t="shared" si="128"/>
        <v>1.2616161616161616</v>
      </c>
      <c r="T444" s="83">
        <f t="shared" si="129"/>
        <v>16</v>
      </c>
      <c r="U444" s="120">
        <f>IF($D444="",0,IFERROR(LOOKUP(2,1/(($D$3:D443=$D444)*($C$3:C443=$C444)*($A$3:A443&lt;$A444)),$AB$3:AB443),1000))</f>
        <v>991.35382843965237</v>
      </c>
      <c r="V444" s="120">
        <f t="shared" si="130"/>
        <v>1023.5398051853263</v>
      </c>
      <c r="W444">
        <f t="shared" si="131"/>
        <v>1023.5398051853263</v>
      </c>
      <c r="X444">
        <f t="shared" si="132"/>
        <v>0.5</v>
      </c>
      <c r="Y444">
        <f t="shared" si="133"/>
        <v>991.35382843965237</v>
      </c>
      <c r="Z444">
        <f t="shared" si="134"/>
        <v>0.5</v>
      </c>
      <c r="AA444">
        <f>IF($D444="",0,IF($F444&lt;2,0,IF($E444="Win",('Guide &amp; Settings'!$C$42/(($F444-1)*COUNTIFS($A$4:$A$810,$A444,$E$4:$E$810,"Win")))*SUMIFS($Z$4:$Z$810,$A$4:$A$810,$A444,$E$4:$E$810,"Loss"),-('Guide &amp; Settings'!$C$42/($F444-1))*$Z444)))</f>
        <v>16.746329657886164</v>
      </c>
      <c r="AB444" s="120">
        <f t="shared" si="135"/>
        <v>1008.1001580975385</v>
      </c>
      <c r="AC444" s="120">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11">
        <v>190</v>
      </c>
      <c r="B445" s="112">
        <v>46241</v>
      </c>
      <c r="C445" s="113" t="s">
        <v>208</v>
      </c>
      <c r="D445" s="113" t="s">
        <v>169</v>
      </c>
      <c r="E445" s="111" t="s">
        <v>309</v>
      </c>
      <c r="F445" s="114">
        <f t="shared" si="119"/>
        <v>3</v>
      </c>
      <c r="G445" s="115" t="str">
        <f t="shared" si="120"/>
        <v>Daniel (Ferret)</v>
      </c>
      <c r="H445" s="116">
        <f>IF($D445="",0,IFERROR(LOOKUP(2,1/(($D$3:D444=$D445)*($A$3:A444&lt;$A445)),$N$3:N444),'Guide &amp; Settings'!$C$41))</f>
        <v>1078.9389404957508</v>
      </c>
      <c r="I445" s="117">
        <f t="shared" si="121"/>
        <v>0.21617293835068052</v>
      </c>
      <c r="J445" s="118">
        <f>IF($D445="",0,IF($F445&lt;2,0,IF($E445="Win",('Guide &amp; Settings'!$C$42/(($F445-1)*COUNTIFS($A$4:$A$810,$A445,$E$4:$E$810,"Win")))*SUMIFS($X$4:$X$810,$A$4:$A$810,$A445,$E$4:$E$810,"Loss"),-('Guide &amp; Settings'!$C$42/($F445-1))*$X445)))</f>
        <v>-7.6865942460189576</v>
      </c>
      <c r="K445" s="118">
        <f>IF($D445="",0,'Guide &amp; Settings'!$C$43*(IF($E445="Win",1,0)-$I445))</f>
        <v>-2.5940752602081663</v>
      </c>
      <c r="L445" s="119">
        <f>IF($D445="",0,'Guide &amp; Settings'!$C$44*IF($F445&gt;=3,$F445,0))</f>
        <v>3</v>
      </c>
      <c r="M445" s="118">
        <f t="shared" si="122"/>
        <v>-7.2806695062271238</v>
      </c>
      <c r="N445" s="116">
        <f t="shared" si="123"/>
        <v>1071.6582709895238</v>
      </c>
      <c r="O445" s="115" t="str">
        <f t="shared" si="124"/>
        <v>OK</v>
      </c>
      <c r="P445">
        <f t="shared" si="125"/>
        <v>1126.5349307714825</v>
      </c>
      <c r="Q445">
        <f t="shared" si="126"/>
        <v>0.43192915796349823</v>
      </c>
      <c r="R445">
        <f t="shared" si="127"/>
        <v>0.27272727272727271</v>
      </c>
      <c r="S445">
        <f t="shared" si="128"/>
        <v>1.2616161616161616</v>
      </c>
      <c r="T445" s="83">
        <f t="shared" si="129"/>
        <v>9</v>
      </c>
      <c r="U445" s="120">
        <f>IF($D445="",0,IFERROR(LOOKUP(2,1/(($D$3:D444=$D445)*($C$3:C444=$C445)*($A$3:A444&lt;$A445)),$AB$3:AB444),1000))</f>
        <v>971.5789390196453</v>
      </c>
      <c r="V445" s="120">
        <f t="shared" si="130"/>
        <v>1009.9217966896829</v>
      </c>
      <c r="W445">
        <f t="shared" si="131"/>
        <v>1023.5398051853263</v>
      </c>
      <c r="X445">
        <f t="shared" si="132"/>
        <v>0.48041214037618485</v>
      </c>
      <c r="Y445">
        <f t="shared" si="133"/>
        <v>991.35382843965237</v>
      </c>
      <c r="Z445">
        <f t="shared" si="134"/>
        <v>0.47157233712338398</v>
      </c>
      <c r="AA445">
        <f>IF($D445="",0,IF($F445&lt;2,0,IF($E445="Win",('Guide &amp; Settings'!$C$42/(($F445-1)*COUNTIFS($A$4:$A$810,$A445,$E$4:$E$810,"Win")))*SUMIFS($Z$4:$Z$810,$A$4:$A$810,$A445,$E$4:$E$810,"Loss"),-('Guide &amp; Settings'!$C$42/($F445-1))*$Z445)))</f>
        <v>-7.5451573939741436</v>
      </c>
      <c r="AB445" s="120">
        <f t="shared" si="135"/>
        <v>964.03378162567117</v>
      </c>
      <c r="AC445" s="120">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11">
        <v>191</v>
      </c>
      <c r="B446" s="112">
        <v>46243</v>
      </c>
      <c r="C446" s="113" t="s">
        <v>208</v>
      </c>
      <c r="D446" s="113" t="s">
        <v>134</v>
      </c>
      <c r="E446" s="111" t="s">
        <v>308</v>
      </c>
      <c r="F446" s="114">
        <f t="shared" si="119"/>
        <v>2</v>
      </c>
      <c r="G446" s="115" t="str">
        <f t="shared" si="120"/>
        <v>Shawn</v>
      </c>
      <c r="H446" s="116">
        <f>IF($D446="",0,IFERROR(LOOKUP(2,1/(($D$3:D445=$D446)*($A$3:A445&lt;$A446)),$N$3:N445),'Guide &amp; Settings'!$C$41))</f>
        <v>1125.3301927780342</v>
      </c>
      <c r="I446" s="117">
        <f t="shared" si="121"/>
        <v>0.69767441860465118</v>
      </c>
      <c r="J446" s="118">
        <f>IF($D446="",0,IF($F446&lt;2,0,IF($E446="Win",('Guide &amp; Settings'!$C$42/(($F446-1)*COUNTIFS($A$4:$A$810,$A446,$E$4:$E$810,"Win")))*SUMIFS($X$4:$X$810,$A$4:$A$810,$A446,$E$4:$E$810,"Loss"),-('Guide &amp; Settings'!$C$42/($F446-1))*$X446)))</f>
        <v>13.69375086895811</v>
      </c>
      <c r="K446" s="118">
        <f>IF($D446="",0,'Guide &amp; Settings'!$C$43*(IF($E446="Win",1,0)-$I446))</f>
        <v>3.6279069767441858</v>
      </c>
      <c r="L446" s="119">
        <f>IF($D446="",0,'Guide &amp; Settings'!$C$44*IF($F446&gt;=3,$F446,0))</f>
        <v>0</v>
      </c>
      <c r="M446" s="118">
        <f t="shared" si="122"/>
        <v>17.321657845702298</v>
      </c>
      <c r="N446" s="116">
        <f t="shared" si="123"/>
        <v>1142.6518506237364</v>
      </c>
      <c r="O446" s="115" t="str">
        <f t="shared" si="124"/>
        <v>OK</v>
      </c>
      <c r="P446">
        <f t="shared" si="125"/>
        <v>1125.3301927780342</v>
      </c>
      <c r="Q446">
        <f t="shared" si="126"/>
        <v>0.5</v>
      </c>
      <c r="R446">
        <f t="shared" si="127"/>
        <v>0.57692307692307687</v>
      </c>
      <c r="S446">
        <f t="shared" si="128"/>
        <v>0.82692307692307687</v>
      </c>
      <c r="T446" s="83">
        <f t="shared" si="129"/>
        <v>24</v>
      </c>
      <c r="U446" s="120">
        <f>IF($D446="",0,IFERROR(LOOKUP(2,1/(($D$3:D445=$D446)*($C$3:C445=$C446)*($A$3:A445&lt;$A446)),$AB$3:AB445),1000))</f>
        <v>1034.7163058371079</v>
      </c>
      <c r="V446" s="120">
        <f t="shared" si="130"/>
        <v>1050.33938979244</v>
      </c>
      <c r="W446">
        <f t="shared" si="131"/>
        <v>1050.33938979244</v>
      </c>
      <c r="X446">
        <f t="shared" si="132"/>
        <v>0.5</v>
      </c>
      <c r="Y446">
        <f t="shared" si="133"/>
        <v>1034.7163058371079</v>
      </c>
      <c r="Z446">
        <f t="shared" si="134"/>
        <v>0.5</v>
      </c>
      <c r="AA446">
        <f>IF($D446="",0,IF($F446&lt;2,0,IF($E446="Win",('Guide &amp; Settings'!$C$42/(($F446-1)*COUNTIFS($A$4:$A$810,$A446,$E$4:$E$810,"Win")))*SUMIFS($Z$4:$Z$810,$A$4:$A$810,$A446,$E$4:$E$810,"Loss"),-('Guide &amp; Settings'!$C$42/($F446-1))*$Z446)))</f>
        <v>12.789125061784798</v>
      </c>
      <c r="AB446" s="120">
        <f t="shared" si="135"/>
        <v>1047.5054308988927</v>
      </c>
      <c r="AC446" s="120">
        <f>IF($D446="","",IF(SUMPRODUCT(MAX(($D$4:$D$810=$D446)*($B$4:$B$810&lt;$B446)*$B$4:$B$810))=0,0,IF(($B446-MAX(SUMPRODUCT(MAX(($D$4:$D$810=$D446)*($B$4:$B$810&lt;$B446)*$B$4:$B$810)),'Guide &amp; Settings'!$C$50))/7-'Guide &amp; Settings'!$C$48&gt;=0,(INT(($B446-MAX(SUMPRODUCT(MAX(($D$4:$D$810=$D446)*($B$4:$B$810&lt;$B446)*$B$4:$B$810)),'Guide &amp; Settings'!$C$50))/7-'Guide &amp; Settings'!$C$48)+1)*'Guide &amp; Settings'!$C$49,0)))</f>
        <v>0</v>
      </c>
    </row>
    <row r="447" spans="1:29" x14ac:dyDescent="0.2">
      <c r="A447" s="111">
        <v>191</v>
      </c>
      <c r="B447" s="112">
        <v>46243</v>
      </c>
      <c r="C447" s="113" t="s">
        <v>208</v>
      </c>
      <c r="D447" s="113" t="s">
        <v>169</v>
      </c>
      <c r="E447" s="111" t="s">
        <v>309</v>
      </c>
      <c r="F447" s="114">
        <f t="shared" si="119"/>
        <v>2</v>
      </c>
      <c r="G447" s="115" t="str">
        <f t="shared" si="120"/>
        <v>Shawn</v>
      </c>
      <c r="H447" s="116">
        <f>IF($D447="",0,IFERROR(LOOKUP(2,1/(($D$3:D446=$D447)*($A$3:A446&lt;$A447)),$N$3:N446),'Guide &amp; Settings'!$C$41))</f>
        <v>1071.6582709895238</v>
      </c>
      <c r="I447" s="117">
        <f t="shared" si="121"/>
        <v>0.30232558139534887</v>
      </c>
      <c r="J447" s="118">
        <f>IF($D447="",0,IF($F447&lt;2,0,IF($E447="Win",('Guide &amp; Settings'!$C$42/(($F447-1)*COUNTIFS($A$4:$A$810,$A447,$E$4:$E$810,"Win")))*SUMIFS($X$4:$X$810,$A$4:$A$810,$A447,$E$4:$E$810,"Loss"),-('Guide &amp; Settings'!$C$42/($F447-1))*$X447)))</f>
        <v>-13.69375086895811</v>
      </c>
      <c r="K447" s="118">
        <f>IF($D447="",0,'Guide &amp; Settings'!$C$43*(IF($E447="Win",1,0)-$I447))</f>
        <v>-3.6279069767441863</v>
      </c>
      <c r="L447" s="119">
        <f>IF($D447="",0,'Guide &amp; Settings'!$C$44*IF($F447&gt;=3,$F447,0))</f>
        <v>0</v>
      </c>
      <c r="M447" s="118">
        <f t="shared" si="122"/>
        <v>-17.321657845702298</v>
      </c>
      <c r="N447" s="116">
        <f t="shared" si="123"/>
        <v>1054.3366131438215</v>
      </c>
      <c r="O447" s="115" t="str">
        <f t="shared" si="124"/>
        <v>OK</v>
      </c>
      <c r="P447">
        <f t="shared" si="125"/>
        <v>1125.3301927780342</v>
      </c>
      <c r="Q447">
        <f t="shared" si="126"/>
        <v>0.42336850941071563</v>
      </c>
      <c r="R447">
        <f t="shared" si="127"/>
        <v>0.25</v>
      </c>
      <c r="S447">
        <f t="shared" si="128"/>
        <v>0.82692307692307687</v>
      </c>
      <c r="T447" s="83">
        <f t="shared" si="129"/>
        <v>10</v>
      </c>
      <c r="U447" s="120">
        <f>IF($D447="",0,IFERROR(LOOKUP(2,1/(($D$3:D446=$D447)*($C$3:C446=$C447)*($A$3:A446&lt;$A447)),$AB$3:AB446),1000))</f>
        <v>964.03378162567117</v>
      </c>
      <c r="V447" s="120">
        <f t="shared" si="130"/>
        <v>999.90861141362211</v>
      </c>
      <c r="W447">
        <f t="shared" si="131"/>
        <v>1050.33938979244</v>
      </c>
      <c r="X447">
        <f t="shared" si="132"/>
        <v>0.42792971465494095</v>
      </c>
      <c r="Y447">
        <f t="shared" si="133"/>
        <v>1034.7163058371079</v>
      </c>
      <c r="Z447">
        <f t="shared" si="134"/>
        <v>0.39966015818077494</v>
      </c>
      <c r="AA447">
        <f>IF($D447="",0,IF($F447&lt;2,0,IF($E447="Win",('Guide &amp; Settings'!$C$42/(($F447-1)*COUNTIFS($A$4:$A$810,$A447,$E$4:$E$810,"Win")))*SUMIFS($Z$4:$Z$810,$A$4:$A$810,$A447,$E$4:$E$810,"Loss"),-('Guide &amp; Settings'!$C$42/($F447-1))*$Z447)))</f>
        <v>-12.789125061784798</v>
      </c>
      <c r="AB447" s="120">
        <f t="shared" si="135"/>
        <v>951.24465656388634</v>
      </c>
      <c r="AC447" s="120">
        <f>IF($D447="","",IF(SUMPRODUCT(MAX(($D$4:$D$810=$D447)*($B$4:$B$810&lt;$B447)*$B$4:$B$810))=0,0,IF(($B447-MAX(SUMPRODUCT(MAX(($D$4:$D$810=$D447)*($B$4:$B$810&lt;$B447)*$B$4:$B$810)),'Guide &amp; Settings'!$C$50))/7-'Guide &amp; Settings'!$C$48&gt;=0,(INT(($B447-MAX(SUMPRODUCT(MAX(($D$4:$D$810=$D447)*($B$4:$B$810&lt;$B447)*$B$4:$B$810)),'Guide &amp; Settings'!$C$50))/7-'Guide &amp; Settings'!$C$48)+1)*'Guide &amp; Settings'!$C$49,0)))</f>
        <v>0</v>
      </c>
    </row>
    <row r="448" spans="1:29" x14ac:dyDescent="0.2">
      <c r="A448" s="111">
        <v>192</v>
      </c>
      <c r="B448" s="112">
        <v>46247</v>
      </c>
      <c r="C448" s="113" t="s">
        <v>199</v>
      </c>
      <c r="D448" s="113" t="s">
        <v>137</v>
      </c>
      <c r="E448" s="111" t="s">
        <v>308</v>
      </c>
      <c r="F448" s="114">
        <f t="shared" si="119"/>
        <v>2</v>
      </c>
      <c r="G448" s="115" t="str">
        <f t="shared" si="120"/>
        <v>Josh</v>
      </c>
      <c r="H448" s="116">
        <f>IF($D448="",0,IFERROR(LOOKUP(2,1/(($D$3:D447=$D448)*($A$3:A447&lt;$A448)),$N$3:N447),'Guide &amp; Settings'!$C$41))</f>
        <v>1093.6015451357737</v>
      </c>
      <c r="I448" s="117">
        <f t="shared" si="121"/>
        <v>0.8666666666666667</v>
      </c>
      <c r="J448" s="118">
        <f>IF($D448="",0,IF($F448&lt;2,0,IF($E448="Win",('Guide &amp; Settings'!$C$42/(($F448-1)*COUNTIFS($A$4:$A$810,$A448,$E$4:$E$810,"Win")))*SUMIFS($X$4:$X$810,$A$4:$A$810,$A448,$E$4:$E$810,"Loss"),-('Guide &amp; Settings'!$C$42/($F448-1))*$X448)))</f>
        <v>10.041403260518985</v>
      </c>
      <c r="K448" s="118">
        <f>IF($D448="",0,'Guide &amp; Settings'!$C$43*(IF($E448="Win",1,0)-$I448))</f>
        <v>1.5999999999999996</v>
      </c>
      <c r="L448" s="119">
        <f>IF($D448="",0,'Guide &amp; Settings'!$C$44*IF($F448&gt;=3,$F448,0))</f>
        <v>0</v>
      </c>
      <c r="M448" s="118">
        <f t="shared" si="122"/>
        <v>11.641403260518985</v>
      </c>
      <c r="N448" s="116">
        <f t="shared" si="123"/>
        <v>1105.2429483962926</v>
      </c>
      <c r="O448" s="115" t="str">
        <f t="shared" si="124"/>
        <v>OK</v>
      </c>
      <c r="P448">
        <f t="shared" si="125"/>
        <v>1093.6015451357737</v>
      </c>
      <c r="Q448">
        <f t="shared" si="126"/>
        <v>0.5</v>
      </c>
      <c r="R448">
        <f t="shared" si="127"/>
        <v>0.5</v>
      </c>
      <c r="S448">
        <f t="shared" si="128"/>
        <v>0.57692307692307687</v>
      </c>
      <c r="T448" s="83">
        <f t="shared" si="129"/>
        <v>0</v>
      </c>
      <c r="U448" s="120">
        <f>IF($D448="",0,IFERROR(LOOKUP(2,1/(($D$3:D447=$D448)*($C$3:C447=$C448)*($A$3:A447&lt;$A448)),$AB$3:AB447),1000))</f>
        <v>1000</v>
      </c>
      <c r="V448" s="120">
        <f t="shared" si="130"/>
        <v>1093.6015451357737</v>
      </c>
      <c r="W448">
        <f t="shared" si="131"/>
        <v>1093.6015451357737</v>
      </c>
      <c r="X448">
        <f t="shared" si="132"/>
        <v>0.5</v>
      </c>
      <c r="Y448">
        <f t="shared" si="133"/>
        <v>1000</v>
      </c>
      <c r="Z448">
        <f t="shared" si="134"/>
        <v>0.5</v>
      </c>
      <c r="AA448">
        <f>IF($D448="",0,IF($F448&lt;2,0,IF($E448="Win",('Guide &amp; Settings'!$C$42/(($F448-1)*COUNTIFS($A$4:$A$810,$A448,$E$4:$E$810,"Win")))*SUMIFS($Z$4:$Z$810,$A$4:$A$810,$A448,$E$4:$E$810,"Loss"),-('Guide &amp; Settings'!$C$42/($F448-1))*$Z448)))</f>
        <v>10.422900611837333</v>
      </c>
      <c r="AB448" s="120">
        <f t="shared" si="135"/>
        <v>1010.4229006118373</v>
      </c>
      <c r="AC448" s="120">
        <f>IF($D448="","",IF(SUMPRODUCT(MAX(($D$4:$D$810=$D448)*($B$4:$B$810&lt;$B448)*$B$4:$B$810))=0,0,IF(($B448-MAX(SUMPRODUCT(MAX(($D$4:$D$810=$D448)*($B$4:$B$810&lt;$B448)*$B$4:$B$810)),'Guide &amp; Settings'!$C$50))/7-'Guide &amp; Settings'!$C$48&gt;=0,(INT(($B448-MAX(SUMPRODUCT(MAX(($D$4:$D$810=$D448)*($B$4:$B$810&lt;$B448)*$B$4:$B$810)),'Guide &amp; Settings'!$C$50))/7-'Guide &amp; Settings'!$C$48)+1)*'Guide &amp; Settings'!$C$49,0)))</f>
        <v>0</v>
      </c>
    </row>
    <row r="449" spans="1:29" x14ac:dyDescent="0.2">
      <c r="A449" s="111">
        <v>192</v>
      </c>
      <c r="B449" s="112">
        <v>46247</v>
      </c>
      <c r="C449" s="113" t="s">
        <v>199</v>
      </c>
      <c r="D449" s="113" t="s">
        <v>134</v>
      </c>
      <c r="E449" s="111" t="s">
        <v>309</v>
      </c>
      <c r="F449" s="114">
        <f t="shared" si="119"/>
        <v>2</v>
      </c>
      <c r="G449" s="115" t="str">
        <f t="shared" si="120"/>
        <v>Josh</v>
      </c>
      <c r="H449" s="116">
        <f>IF($D449="",0,IFERROR(LOOKUP(2,1/(($D$3:D448=$D449)*($A$3:A448&lt;$A449)),$N$3:N448),'Guide &amp; Settings'!$C$41))</f>
        <v>1142.6518506237364</v>
      </c>
      <c r="I449" s="117">
        <f t="shared" si="121"/>
        <v>0.13333333333333336</v>
      </c>
      <c r="J449" s="118">
        <f>IF($D449="",0,IF($F449&lt;2,0,IF($E449="Win",('Guide &amp; Settings'!$C$42/(($F449-1)*COUNTIFS($A$4:$A$810,$A449,$E$4:$E$810,"Win")))*SUMIFS($X$4:$X$810,$A$4:$A$810,$A449,$E$4:$E$810,"Loss"),-('Guide &amp; Settings'!$C$42/($F449-1))*$X449)))</f>
        <v>-10.041403260518985</v>
      </c>
      <c r="K449" s="118">
        <f>IF($D449="",0,'Guide &amp; Settings'!$C$43*(IF($E449="Win",1,0)-$I449))</f>
        <v>-1.6000000000000003</v>
      </c>
      <c r="L449" s="119">
        <f>IF($D449="",0,'Guide &amp; Settings'!$C$44*IF($F449&gt;=3,$F449,0))</f>
        <v>0</v>
      </c>
      <c r="M449" s="118">
        <f t="shared" si="122"/>
        <v>-11.641403260518985</v>
      </c>
      <c r="N449" s="116">
        <f t="shared" si="123"/>
        <v>1131.0104473632175</v>
      </c>
      <c r="O449" s="115" t="str">
        <f t="shared" si="124"/>
        <v>OK</v>
      </c>
      <c r="P449">
        <f t="shared" si="125"/>
        <v>1093.6015451357737</v>
      </c>
      <c r="Q449">
        <f t="shared" si="126"/>
        <v>0.57012379646789102</v>
      </c>
      <c r="R449">
        <f t="shared" si="127"/>
        <v>7.6923076923076927E-2</v>
      </c>
      <c r="S449">
        <f t="shared" si="128"/>
        <v>0.57692307692307687</v>
      </c>
      <c r="T449" s="83">
        <f t="shared" si="129"/>
        <v>11</v>
      </c>
      <c r="U449" s="120">
        <f>IF($D449="",0,IFERROR(LOOKUP(2,1/(($D$3:D448=$D449)*($C$3:C448=$C449)*($A$3:A448&lt;$A449)),$AB$3:AB448),1000))</f>
        <v>873.5982138122115</v>
      </c>
      <c r="V449" s="120">
        <f t="shared" si="130"/>
        <v>957.67747531581301</v>
      </c>
      <c r="W449">
        <f t="shared" si="131"/>
        <v>1093.6015451357737</v>
      </c>
      <c r="X449">
        <f t="shared" si="132"/>
        <v>0.31379385189121828</v>
      </c>
      <c r="Y449">
        <f t="shared" si="133"/>
        <v>1000</v>
      </c>
      <c r="Z449">
        <f t="shared" si="134"/>
        <v>0.32571564411991666</v>
      </c>
      <c r="AA449">
        <f>IF($D449="",0,IF($F449&lt;2,0,IF($E449="Win",('Guide &amp; Settings'!$C$42/(($F449-1)*COUNTIFS($A$4:$A$810,$A449,$E$4:$E$810,"Win")))*SUMIFS($Z$4:$Z$810,$A$4:$A$810,$A449,$E$4:$E$810,"Loss"),-('Guide &amp; Settings'!$C$42/($F449-1))*$Z449)))</f>
        <v>-10.422900611837333</v>
      </c>
      <c r="AB449" s="120">
        <f t="shared" si="135"/>
        <v>863.17531320037415</v>
      </c>
      <c r="AC449" s="120">
        <f>IF($D449="","",IF(SUMPRODUCT(MAX(($D$4:$D$810=$D449)*($B$4:$B$810&lt;$B449)*$B$4:$B$810))=0,0,IF(($B449-MAX(SUMPRODUCT(MAX(($D$4:$D$810=$D449)*($B$4:$B$810&lt;$B449)*$B$4:$B$810)),'Guide &amp; Settings'!$C$50))/7-'Guide &amp; Settings'!$C$48&gt;=0,(INT(($B449-MAX(SUMPRODUCT(MAX(($D$4:$D$810=$D449)*($B$4:$B$810&lt;$B449)*$B$4:$B$810)),'Guide &amp; Settings'!$C$50))/7-'Guide &amp; Settings'!$C$48)+1)*'Guide &amp; Settings'!$C$49,0)))</f>
        <v>0</v>
      </c>
    </row>
    <row r="450" spans="1:29" x14ac:dyDescent="0.2">
      <c r="A450" s="111">
        <v>193</v>
      </c>
      <c r="B450" s="112">
        <v>46247</v>
      </c>
      <c r="C450" s="113" t="s">
        <v>185</v>
      </c>
      <c r="D450" s="113" t="s">
        <v>134</v>
      </c>
      <c r="E450" s="111" t="s">
        <v>308</v>
      </c>
      <c r="F450" s="114">
        <f t="shared" si="119"/>
        <v>2</v>
      </c>
      <c r="G450" s="115" t="str">
        <f t="shared" si="120"/>
        <v>Shawn</v>
      </c>
      <c r="H450" s="116">
        <f>IF($D450="",0,IFERROR(LOOKUP(2,1/(($D$3:D449=$D450)*($A$3:A449&lt;$A450)),$N$3:N449),'Guide &amp; Settings'!$C$41))</f>
        <v>1131.0104473632175</v>
      </c>
      <c r="I450" s="117">
        <f t="shared" si="121"/>
        <v>0.60000000000000009</v>
      </c>
      <c r="J450" s="118">
        <f>IF($D450="",0,IF($F450&lt;2,0,IF($E450="Win",('Guide &amp; Settings'!$C$42/(($F450-1)*COUNTIFS($A$4:$A$810,$A450,$E$4:$E$810,"Win")))*SUMIFS($X$4:$X$810,$A$4:$A$810,$A450,$E$4:$E$810,"Loss"),-('Guide &amp; Settings'!$C$42/($F450-1))*$X450)))</f>
        <v>13.893732241868555</v>
      </c>
      <c r="K450" s="118">
        <f>IF($D450="",0,'Guide &amp; Settings'!$C$43*(IF($E450="Win",1,0)-$I450))</f>
        <v>4.7999999999999989</v>
      </c>
      <c r="L450" s="119">
        <f>IF($D450="",0,'Guide &amp; Settings'!$C$44*IF($F450&gt;=3,$F450,0))</f>
        <v>0</v>
      </c>
      <c r="M450" s="118">
        <f t="shared" si="122"/>
        <v>18.693732241868553</v>
      </c>
      <c r="N450" s="116">
        <f t="shared" si="123"/>
        <v>1149.704179605086</v>
      </c>
      <c r="O450" s="115" t="str">
        <f t="shared" si="124"/>
        <v>OK</v>
      </c>
      <c r="P450">
        <f t="shared" si="125"/>
        <v>1131.0104473632175</v>
      </c>
      <c r="Q450">
        <f t="shared" si="126"/>
        <v>0.5</v>
      </c>
      <c r="R450">
        <f t="shared" si="127"/>
        <v>0.5</v>
      </c>
      <c r="S450">
        <f t="shared" si="128"/>
        <v>0.83333333333333326</v>
      </c>
      <c r="T450" s="83">
        <f t="shared" si="129"/>
        <v>0</v>
      </c>
      <c r="U450" s="120">
        <f>IF($D450="",0,IFERROR(LOOKUP(2,1/(($D$3:D449=$D450)*($C$3:C449=$C450)*($A$3:A449&lt;$A450)),$AB$3:AB449),1000))</f>
        <v>1000</v>
      </c>
      <c r="V450" s="120">
        <f t="shared" si="130"/>
        <v>1131.0104473632175</v>
      </c>
      <c r="W450">
        <f t="shared" si="131"/>
        <v>1131.0104473632175</v>
      </c>
      <c r="X450">
        <f t="shared" si="132"/>
        <v>0.5</v>
      </c>
      <c r="Y450">
        <f t="shared" si="133"/>
        <v>1000</v>
      </c>
      <c r="Z450">
        <f t="shared" si="134"/>
        <v>0.5</v>
      </c>
      <c r="AA450">
        <f>IF($D450="",0,IF($F450&lt;2,0,IF($E450="Win",('Guide &amp; Settings'!$C$42/(($F450-1)*COUNTIFS($A$4:$A$810,$A450,$E$4:$E$810,"Win")))*SUMIFS($Z$4:$Z$810,$A$4:$A$810,$A450,$E$4:$E$810,"Loss"),-('Guide &amp; Settings'!$C$42/($F450-1))*$Z450)))</f>
        <v>15.255601311734626</v>
      </c>
      <c r="AB450" s="120">
        <f t="shared" si="135"/>
        <v>1015.2556013117346</v>
      </c>
      <c r="AC450" s="120">
        <f>IF($D450="","",IF(SUMPRODUCT(MAX(($D$4:$D$810=$D450)*($B$4:$B$810&lt;$B450)*$B$4:$B$810))=0,0,IF(($B450-MAX(SUMPRODUCT(MAX(($D$4:$D$810=$D450)*($B$4:$B$810&lt;$B450)*$B$4:$B$810)),'Guide &amp; Settings'!$C$50))/7-'Guide &amp; Settings'!$C$48&gt;=0,(INT(($B450-MAX(SUMPRODUCT(MAX(($D$4:$D$810=$D450)*($B$4:$B$810&lt;$B450)*$B$4:$B$810)),'Guide &amp; Settings'!$C$50))/7-'Guide &amp; Settings'!$C$48)+1)*'Guide &amp; Settings'!$C$49,0)))</f>
        <v>0</v>
      </c>
    </row>
    <row r="451" spans="1:29" x14ac:dyDescent="0.2">
      <c r="A451" s="111">
        <v>193</v>
      </c>
      <c r="B451" s="112">
        <v>46247</v>
      </c>
      <c r="C451" s="113" t="s">
        <v>185</v>
      </c>
      <c r="D451" s="113" t="s">
        <v>137</v>
      </c>
      <c r="E451" s="111" t="s">
        <v>309</v>
      </c>
      <c r="F451" s="114">
        <f t="shared" si="119"/>
        <v>2</v>
      </c>
      <c r="G451" s="115" t="str">
        <f t="shared" si="120"/>
        <v>Shawn</v>
      </c>
      <c r="H451" s="116">
        <f>IF($D451="",0,IFERROR(LOOKUP(2,1/(($D$3:D450=$D451)*($A$3:A450&lt;$A451)),$N$3:N450),'Guide &amp; Settings'!$C$41))</f>
        <v>1105.2429483962926</v>
      </c>
      <c r="I451" s="117">
        <f t="shared" si="121"/>
        <v>0.4</v>
      </c>
      <c r="J451" s="118">
        <f>IF($D451="",0,IF($F451&lt;2,0,IF($E451="Win",('Guide &amp; Settings'!$C$42/(($F451-1)*COUNTIFS($A$4:$A$810,$A451,$E$4:$E$810,"Win")))*SUMIFS($X$4:$X$810,$A$4:$A$810,$A451,$E$4:$E$810,"Loss"),-('Guide &amp; Settings'!$C$42/($F451-1))*$X451)))</f>
        <v>-13.893732241868555</v>
      </c>
      <c r="K451" s="118">
        <f>IF($D451="",0,'Guide &amp; Settings'!$C$43*(IF($E451="Win",1,0)-$I451))</f>
        <v>-4.8000000000000007</v>
      </c>
      <c r="L451" s="119">
        <f>IF($D451="",0,'Guide &amp; Settings'!$C$44*IF($F451&gt;=3,$F451,0))</f>
        <v>0</v>
      </c>
      <c r="M451" s="118">
        <f t="shared" si="122"/>
        <v>-18.693732241868556</v>
      </c>
      <c r="N451" s="116">
        <f t="shared" si="123"/>
        <v>1086.5492161544241</v>
      </c>
      <c r="O451" s="115" t="str">
        <f t="shared" si="124"/>
        <v>OK</v>
      </c>
      <c r="P451">
        <f t="shared" si="125"/>
        <v>1131.0104473632175</v>
      </c>
      <c r="Q451">
        <f t="shared" si="126"/>
        <v>0.46298542849225255</v>
      </c>
      <c r="R451">
        <f t="shared" si="127"/>
        <v>0.33333333333333331</v>
      </c>
      <c r="S451">
        <f t="shared" si="128"/>
        <v>0.83333333333333326</v>
      </c>
      <c r="T451" s="83">
        <f t="shared" si="129"/>
        <v>1</v>
      </c>
      <c r="U451" s="120">
        <f>IF($D451="",0,IFERROR(LOOKUP(2,1/(($D$3:D450=$D451)*($C$3:C450=$C451)*($A$3:A450&lt;$A451)),$AB$3:AB450),1000))</f>
        <v>983.82390970712913</v>
      </c>
      <c r="V451" s="120">
        <f t="shared" si="130"/>
        <v>1085.0064419480987</v>
      </c>
      <c r="W451">
        <f t="shared" si="131"/>
        <v>1131.0104473632175</v>
      </c>
      <c r="X451">
        <f t="shared" si="132"/>
        <v>0.43417913255839236</v>
      </c>
      <c r="Y451">
        <f t="shared" si="133"/>
        <v>1000</v>
      </c>
      <c r="Z451">
        <f t="shared" si="134"/>
        <v>0.47673754099170706</v>
      </c>
      <c r="AA451">
        <f>IF($D451="",0,IF($F451&lt;2,0,IF($E451="Win",('Guide &amp; Settings'!$C$42/(($F451-1)*COUNTIFS($A$4:$A$810,$A451,$E$4:$E$810,"Win")))*SUMIFS($Z$4:$Z$810,$A$4:$A$810,$A451,$E$4:$E$810,"Loss"),-('Guide &amp; Settings'!$C$42/($F451-1))*$Z451)))</f>
        <v>-15.255601311734626</v>
      </c>
      <c r="AB451" s="120">
        <f t="shared" si="135"/>
        <v>968.56830839539452</v>
      </c>
      <c r="AC451" s="120">
        <f>IF($D451="","",IF(SUMPRODUCT(MAX(($D$4:$D$810=$D451)*($B$4:$B$810&lt;$B451)*$B$4:$B$810))=0,0,IF(($B451-MAX(SUMPRODUCT(MAX(($D$4:$D$810=$D451)*($B$4:$B$810&lt;$B451)*$B$4:$B$810)),'Guide &amp; Settings'!$C$50))/7-'Guide &amp; Settings'!$C$48&gt;=0,(INT(($B451-MAX(SUMPRODUCT(MAX(($D$4:$D$810=$D451)*($B$4:$B$810&lt;$B451)*$B$4:$B$810)),'Guide &amp; Settings'!$C$50))/7-'Guide &amp; Settings'!$C$48)+1)*'Guide &amp; Settings'!$C$49,0)))</f>
        <v>0</v>
      </c>
    </row>
    <row r="452" spans="1:29" x14ac:dyDescent="0.2">
      <c r="A452" s="111">
        <v>194</v>
      </c>
      <c r="B452" s="112">
        <v>46247</v>
      </c>
      <c r="C452" s="113" t="s">
        <v>445</v>
      </c>
      <c r="D452" s="113" t="s">
        <v>134</v>
      </c>
      <c r="E452" s="111" t="s">
        <v>309</v>
      </c>
      <c r="F452" s="114">
        <f t="shared" si="119"/>
        <v>2</v>
      </c>
      <c r="G452" s="115" t="str">
        <f t="shared" si="120"/>
        <v>Josh</v>
      </c>
      <c r="H452" s="116">
        <f>IF($D452="",0,IFERROR(LOOKUP(2,1/(($D$3:D451=$D452)*($A$3:A451&lt;$A452)),$N$3:N451),'Guide &amp; Settings'!$C$41))</f>
        <v>1149.704179605086</v>
      </c>
      <c r="I452" s="117">
        <f t="shared" si="121"/>
        <v>0.66666666666666663</v>
      </c>
      <c r="J452" s="118">
        <f>IF($D452="",0,IF($F452&lt;2,0,IF($E452="Win",('Guide &amp; Settings'!$C$42/(($F452-1)*COUNTIFS($A$4:$A$810,$A452,$E$4:$E$810,"Win")))*SUMIFS($X$4:$X$810,$A$4:$A$810,$A452,$E$4:$E$810,"Loss"),-('Guide &amp; Settings'!$C$42/($F452-1))*$X452)))</f>
        <v>-20.305264166853533</v>
      </c>
      <c r="K452" s="118">
        <f>IF($D452="",0,'Guide &amp; Settings'!$C$43*(IF($E452="Win",1,0)-$I452))</f>
        <v>-8</v>
      </c>
      <c r="L452" s="119">
        <f>IF($D452="",0,'Guide &amp; Settings'!$C$44*IF($F452&gt;=3,$F452,0))</f>
        <v>0</v>
      </c>
      <c r="M452" s="118">
        <f t="shared" si="122"/>
        <v>-28.305264166853533</v>
      </c>
      <c r="N452" s="116">
        <f t="shared" si="123"/>
        <v>1121.3989154382325</v>
      </c>
      <c r="O452" s="115" t="str">
        <f t="shared" si="124"/>
        <v>OK</v>
      </c>
      <c r="P452">
        <f t="shared" si="125"/>
        <v>1086.5492161544241</v>
      </c>
      <c r="Q452">
        <f t="shared" si="126"/>
        <v>0.58989932138700929</v>
      </c>
      <c r="R452">
        <f t="shared" si="127"/>
        <v>0.5</v>
      </c>
      <c r="S452">
        <f t="shared" si="128"/>
        <v>0.75</v>
      </c>
      <c r="T452" s="83">
        <f t="shared" si="129"/>
        <v>0</v>
      </c>
      <c r="U452" s="120">
        <f>IF($D452="",0,IFERROR(LOOKUP(2,1/(($D$3:D451=$D452)*($C$3:C451=$C452)*($A$3:A451&lt;$A452)),$AB$3:AB451),1000))</f>
        <v>1000</v>
      </c>
      <c r="V452" s="120">
        <f t="shared" si="130"/>
        <v>1149.704179605086</v>
      </c>
      <c r="W452">
        <f t="shared" si="131"/>
        <v>1053.8568885044911</v>
      </c>
      <c r="X452">
        <f t="shared" si="132"/>
        <v>0.63453950521417291</v>
      </c>
      <c r="Y452">
        <f t="shared" si="133"/>
        <v>972.12606937965847</v>
      </c>
      <c r="Z452">
        <f t="shared" si="134"/>
        <v>0.54002796791278629</v>
      </c>
      <c r="AA452">
        <f>IF($D452="",0,IF($F452&lt;2,0,IF($E452="Win",('Guide &amp; Settings'!$C$42/(($F452-1)*COUNTIFS($A$4:$A$810,$A452,$E$4:$E$810,"Win")))*SUMIFS($Z$4:$Z$810,$A$4:$A$810,$A452,$E$4:$E$810,"Loss"),-('Guide &amp; Settings'!$C$42/($F452-1))*$Z452)))</f>
        <v>-17.280894973209161</v>
      </c>
      <c r="AB452" s="120">
        <f t="shared" si="135"/>
        <v>982.71910502679088</v>
      </c>
      <c r="AC452" s="120">
        <f>IF($D452="","",IF(SUMPRODUCT(MAX(($D$4:$D$810=$D452)*($B$4:$B$810&lt;$B452)*$B$4:$B$810))=0,0,IF(($B452-MAX(SUMPRODUCT(MAX(($D$4:$D$810=$D452)*($B$4:$B$810&lt;$B452)*$B$4:$B$810)),'Guide &amp; Settings'!$C$50))/7-'Guide &amp; Settings'!$C$48&gt;=0,(INT(($B452-MAX(SUMPRODUCT(MAX(($D$4:$D$810=$D452)*($B$4:$B$810&lt;$B452)*$B$4:$B$810)),'Guide &amp; Settings'!$C$50))/7-'Guide &amp; Settings'!$C$48)+1)*'Guide &amp; Settings'!$C$49,0)))</f>
        <v>0</v>
      </c>
    </row>
    <row r="453" spans="1:29" x14ac:dyDescent="0.2">
      <c r="A453" s="111">
        <v>194</v>
      </c>
      <c r="B453" s="112">
        <v>46247</v>
      </c>
      <c r="C453" s="113" t="s">
        <v>445</v>
      </c>
      <c r="D453" s="113" t="s">
        <v>137</v>
      </c>
      <c r="E453" s="111" t="s">
        <v>308</v>
      </c>
      <c r="F453" s="114">
        <f t="shared" si="119"/>
        <v>2</v>
      </c>
      <c r="G453" s="115" t="str">
        <f t="shared" si="120"/>
        <v>Josh</v>
      </c>
      <c r="H453" s="116">
        <f>IF($D453="",0,IFERROR(LOOKUP(2,1/(($D$3:D452=$D453)*($A$3:A452&lt;$A453)),$N$3:N452),'Guide &amp; Settings'!$C$41))</f>
        <v>1086.5492161544241</v>
      </c>
      <c r="I453" s="117">
        <f t="shared" si="121"/>
        <v>0.33333333333333331</v>
      </c>
      <c r="J453" s="118">
        <f>IF($D453="",0,IF($F453&lt;2,0,IF($E453="Win",('Guide &amp; Settings'!$C$42/(($F453-1)*COUNTIFS($A$4:$A$810,$A453,$E$4:$E$810,"Win")))*SUMIFS($X$4:$X$810,$A$4:$A$810,$A453,$E$4:$E$810,"Loss"),-('Guide &amp; Settings'!$C$42/($F453-1))*$X453)))</f>
        <v>20.305264166853533</v>
      </c>
      <c r="K453" s="118">
        <f>IF($D453="",0,'Guide &amp; Settings'!$C$43*(IF($E453="Win",1,0)-$I453))</f>
        <v>8</v>
      </c>
      <c r="L453" s="119">
        <f>IF($D453="",0,'Guide &amp; Settings'!$C$44*IF($F453&gt;=3,$F453,0))</f>
        <v>0</v>
      </c>
      <c r="M453" s="118">
        <f t="shared" si="122"/>
        <v>28.305264166853533</v>
      </c>
      <c r="N453" s="116">
        <f t="shared" si="123"/>
        <v>1114.8544803212776</v>
      </c>
      <c r="O453" s="115" t="str">
        <f t="shared" si="124"/>
        <v>OK</v>
      </c>
      <c r="P453">
        <f t="shared" si="125"/>
        <v>1086.5492161544241</v>
      </c>
      <c r="Q453">
        <f t="shared" si="126"/>
        <v>0.5</v>
      </c>
      <c r="R453">
        <f t="shared" si="127"/>
        <v>0.25</v>
      </c>
      <c r="S453">
        <f t="shared" si="128"/>
        <v>0.75</v>
      </c>
      <c r="T453" s="83">
        <f t="shared" si="129"/>
        <v>2</v>
      </c>
      <c r="U453" s="120">
        <f>IF($D453="",0,IFERROR(LOOKUP(2,1/(($D$3:D452=$D453)*($C$3:C452=$C453)*($A$3:A452&lt;$A453)),$AB$3:AB452),1000))</f>
        <v>972.12606937965847</v>
      </c>
      <c r="V453" s="120">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0">
        <f t="shared" si="135"/>
        <v>989.40696435286759</v>
      </c>
      <c r="AC453" s="120">
        <f>IF($D453="","",IF(SUMPRODUCT(MAX(($D$4:$D$810=$D453)*($B$4:$B$810&lt;$B453)*$B$4:$B$810))=0,0,IF(($B453-MAX(SUMPRODUCT(MAX(($D$4:$D$810=$D453)*($B$4:$B$810&lt;$B453)*$B$4:$B$810)),'Guide &amp; Settings'!$C$50))/7-'Guide &amp; Settings'!$C$48&gt;=0,(INT(($B453-MAX(SUMPRODUCT(MAX(($D$4:$D$810=$D453)*($B$4:$B$810&lt;$B453)*$B$4:$B$810)),'Guide &amp; Settings'!$C$50))/7-'Guide &amp; Settings'!$C$48)+1)*'Guide &amp; Settings'!$C$49,0)))</f>
        <v>0</v>
      </c>
    </row>
    <row r="454" spans="1:29" x14ac:dyDescent="0.2">
      <c r="A454" s="111">
        <v>195</v>
      </c>
      <c r="B454" s="112">
        <v>46247</v>
      </c>
      <c r="C454" s="113" t="s">
        <v>445</v>
      </c>
      <c r="D454" s="113" t="s">
        <v>134</v>
      </c>
      <c r="E454" s="111" t="s">
        <v>308</v>
      </c>
      <c r="F454" s="114">
        <f t="shared" si="119"/>
        <v>2</v>
      </c>
      <c r="G454" s="115" t="str">
        <f t="shared" si="120"/>
        <v>Shawn</v>
      </c>
      <c r="H454" s="116">
        <f>IF($D454="",0,IFERROR(LOOKUP(2,1/(($D$3:D453=$D454)*($A$3:A453&lt;$A454)),$N$3:N453),'Guide &amp; Settings'!$C$41))</f>
        <v>1121.3989154382325</v>
      </c>
      <c r="I454" s="117">
        <f t="shared" si="121"/>
        <v>0.45454545454545447</v>
      </c>
      <c r="J454" s="118">
        <f>IF($D454="",0,IF($F454&lt;2,0,IF($E454="Win",('Guide &amp; Settings'!$C$42/(($F454-1)*COUNTIFS($A$4:$A$810,$A454,$E$4:$E$810,"Win")))*SUMIFS($X$4:$X$810,$A$4:$A$810,$A454,$E$4:$E$810,"Loss"),-('Guide &amp; Settings'!$C$42/($F454-1))*$X454)))</f>
        <v>14.600210450598139</v>
      </c>
      <c r="K454" s="118">
        <f>IF($D454="",0,'Guide &amp; Settings'!$C$43*(IF($E454="Win",1,0)-$I454))</f>
        <v>6.5454545454545467</v>
      </c>
      <c r="L454" s="119">
        <f>IF($D454="",0,'Guide &amp; Settings'!$C$44*IF($F454&gt;=3,$F454,0))</f>
        <v>0</v>
      </c>
      <c r="M454" s="118">
        <f t="shared" si="122"/>
        <v>21.145664996052687</v>
      </c>
      <c r="N454" s="116">
        <f t="shared" si="123"/>
        <v>1142.5445804342853</v>
      </c>
      <c r="O454" s="115" t="str">
        <f t="shared" si="124"/>
        <v>OK</v>
      </c>
      <c r="P454">
        <f t="shared" si="125"/>
        <v>1121.3989154382325</v>
      </c>
      <c r="Q454">
        <f t="shared" si="126"/>
        <v>0.5</v>
      </c>
      <c r="R454">
        <f t="shared" si="127"/>
        <v>0.33333333333333331</v>
      </c>
      <c r="S454">
        <f t="shared" si="128"/>
        <v>0.73333333333333339</v>
      </c>
      <c r="T454" s="83">
        <f t="shared" si="129"/>
        <v>1</v>
      </c>
      <c r="U454" s="120">
        <f>IF($D454="",0,IFERROR(LOOKUP(2,1/(($D$3:D453=$D454)*($C$3:C453=$C454)*($A$3:A453&lt;$A454)),$AB$3:AB453),1000))</f>
        <v>982.71910502679088</v>
      </c>
      <c r="V454" s="120">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0">
        <f t="shared" si="135"/>
        <v>999.0270542964812</v>
      </c>
      <c r="AC454" s="120">
        <f>IF($D454="","",IF(SUMPRODUCT(MAX(($D$4:$D$810=$D454)*($B$4:$B$810&lt;$B454)*$B$4:$B$810))=0,0,IF(($B454-MAX(SUMPRODUCT(MAX(($D$4:$D$810=$D454)*($B$4:$B$810&lt;$B454)*$B$4:$B$810)),'Guide &amp; Settings'!$C$50))/7-'Guide &amp; Settings'!$C$48&gt;=0,(INT(($B454-MAX(SUMPRODUCT(MAX(($D$4:$D$810=$D454)*($B$4:$B$810&lt;$B454)*$B$4:$B$810)),'Guide &amp; Settings'!$C$50))/7-'Guide &amp; Settings'!$C$48)+1)*'Guide &amp; Settings'!$C$49,0)))</f>
        <v>0</v>
      </c>
    </row>
    <row r="455" spans="1:29" x14ac:dyDescent="0.2">
      <c r="A455" s="111">
        <v>195</v>
      </c>
      <c r="B455" s="112">
        <v>46247</v>
      </c>
      <c r="C455" s="113" t="s">
        <v>445</v>
      </c>
      <c r="D455" s="113" t="s">
        <v>137</v>
      </c>
      <c r="E455" s="111" t="s">
        <v>309</v>
      </c>
      <c r="F455" s="114">
        <f t="shared" si="119"/>
        <v>2</v>
      </c>
      <c r="G455" s="115" t="str">
        <f t="shared" si="120"/>
        <v>Shawn</v>
      </c>
      <c r="H455" s="116">
        <f>IF($D455="",0,IFERROR(LOOKUP(2,1/(($D$3:D454=$D455)*($A$3:A454&lt;$A455)),$N$3:N454),'Guide &amp; Settings'!$C$41))</f>
        <v>1114.8544803212776</v>
      </c>
      <c r="I455" s="117">
        <f t="shared" si="121"/>
        <v>0.54545454545454541</v>
      </c>
      <c r="J455" s="118">
        <f>IF($D455="",0,IF($F455&lt;2,0,IF($E455="Win",('Guide &amp; Settings'!$C$42/(($F455-1)*COUNTIFS($A$4:$A$810,$A455,$E$4:$E$810,"Win")))*SUMIFS($X$4:$X$810,$A$4:$A$810,$A455,$E$4:$E$810,"Loss"),-('Guide &amp; Settings'!$C$42/($F455-1))*$X455)))</f>
        <v>-14.600210450598139</v>
      </c>
      <c r="K455" s="118">
        <f>IF($D455="",0,'Guide &amp; Settings'!$C$43*(IF($E455="Win",1,0)-$I455))</f>
        <v>-6.545454545454545</v>
      </c>
      <c r="L455" s="119">
        <f>IF($D455="",0,'Guide &amp; Settings'!$C$44*IF($F455&gt;=3,$F455,0))</f>
        <v>0</v>
      </c>
      <c r="M455" s="118">
        <f t="shared" si="122"/>
        <v>-21.145664996052684</v>
      </c>
      <c r="N455" s="116">
        <f t="shared" si="123"/>
        <v>1093.708815325225</v>
      </c>
      <c r="O455" s="115" t="str">
        <f t="shared" si="124"/>
        <v>OK</v>
      </c>
      <c r="P455">
        <f t="shared" si="125"/>
        <v>1121.3989154382325</v>
      </c>
      <c r="Q455">
        <f t="shared" si="126"/>
        <v>0.49058291451808062</v>
      </c>
      <c r="R455">
        <f t="shared" si="127"/>
        <v>0.4</v>
      </c>
      <c r="S455">
        <f t="shared" si="128"/>
        <v>0.73333333333333339</v>
      </c>
      <c r="T455" s="83">
        <f t="shared" si="129"/>
        <v>3</v>
      </c>
      <c r="U455" s="120">
        <f>IF($D455="",0,IFERROR(LOOKUP(2,1/(($D$3:D454=$D455)*($C$3:C454=$C455)*($A$3:A454&lt;$A455)),$AB$3:AB454),1000))</f>
        <v>989.40696435286759</v>
      </c>
      <c r="V455" s="120">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0">
        <f t="shared" si="135"/>
        <v>973.09901508317728</v>
      </c>
      <c r="AC455" s="120">
        <f>IF($D455="","",IF(SUMPRODUCT(MAX(($D$4:$D$810=$D455)*($B$4:$B$810&lt;$B455)*$B$4:$B$810))=0,0,IF(($B455-MAX(SUMPRODUCT(MAX(($D$4:$D$810=$D455)*($B$4:$B$810&lt;$B455)*$B$4:$B$810)),'Guide &amp; Settings'!$C$50))/7-'Guide &amp; Settings'!$C$48&gt;=0,(INT(($B455-MAX(SUMPRODUCT(MAX(($D$4:$D$810=$D455)*($B$4:$B$810&lt;$B455)*$B$4:$B$810)),'Guide &amp; Settings'!$C$50))/7-'Guide &amp; Settings'!$C$48)+1)*'Guide &amp; Settings'!$C$49,0)))</f>
        <v>0</v>
      </c>
    </row>
    <row r="456" spans="1:29" x14ac:dyDescent="0.2">
      <c r="A456" s="111">
        <v>196</v>
      </c>
      <c r="B456" s="112">
        <v>46247</v>
      </c>
      <c r="C456" s="113" t="s">
        <v>446</v>
      </c>
      <c r="D456" s="113" t="s">
        <v>134</v>
      </c>
      <c r="E456" s="111" t="s">
        <v>308</v>
      </c>
      <c r="F456" s="114">
        <f t="shared" si="119"/>
        <v>2</v>
      </c>
      <c r="G456" s="115" t="str">
        <f t="shared" si="120"/>
        <v>Shawn</v>
      </c>
      <c r="H456" s="116">
        <f>IF($D456="",0,IFERROR(LOOKUP(2,1/(($D$3:D455=$D456)*($A$3:A455&lt;$A456)),$N$3:N455),'Guide &amp; Settings'!$C$41))</f>
        <v>1142.5445804342853</v>
      </c>
      <c r="I456" s="117">
        <f t="shared" si="121"/>
        <v>0.4285714285714286</v>
      </c>
      <c r="J456" s="118">
        <f>IF($D456="",0,IF($F456&lt;2,0,IF($E456="Win",('Guide &amp; Settings'!$C$42/(($F456-1)*COUNTIFS($A$4:$A$810,$A456,$E$4:$E$810,"Win")))*SUMIFS($X$4:$X$810,$A$4:$A$810,$A456,$E$4:$E$810,"Loss"),-('Guide &amp; Settings'!$C$42/($F456-1))*$X456)))</f>
        <v>13.184214633800195</v>
      </c>
      <c r="K456" s="118">
        <f>IF($D456="",0,'Guide &amp; Settings'!$C$43*(IF($E456="Win",1,0)-$I456))</f>
        <v>6.8571428571428568</v>
      </c>
      <c r="L456" s="119">
        <f>IF($D456="",0,'Guide &amp; Settings'!$C$44*IF($F456&gt;=3,$F456,0))</f>
        <v>0</v>
      </c>
      <c r="M456" s="118">
        <f t="shared" si="122"/>
        <v>20.041357490943053</v>
      </c>
      <c r="N456" s="116">
        <f t="shared" si="123"/>
        <v>1162.5859379252283</v>
      </c>
      <c r="O456" s="115" t="str">
        <f t="shared" si="124"/>
        <v>OK</v>
      </c>
      <c r="P456">
        <f t="shared" si="125"/>
        <v>1142.5445804342853</v>
      </c>
      <c r="Q456">
        <f t="shared" si="126"/>
        <v>0.5</v>
      </c>
      <c r="R456">
        <f t="shared" si="127"/>
        <v>0.5</v>
      </c>
      <c r="S456">
        <f t="shared" si="128"/>
        <v>1.1666666666666665</v>
      </c>
      <c r="T456" s="83">
        <f t="shared" si="129"/>
        <v>0</v>
      </c>
      <c r="U456" s="120">
        <f>IF($D456="",0,IFERROR(LOOKUP(2,1/(($D$3:D455=$D456)*($C$3:C455=$C456)*($A$3:A455&lt;$A456)),$AB$3:AB455),1000))</f>
        <v>1000</v>
      </c>
      <c r="V456" s="120">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0">
        <f t="shared" si="135"/>
        <v>1016.736306793522</v>
      </c>
      <c r="AC456" s="120">
        <f>IF($D456="","",IF(SUMPRODUCT(MAX(($D$4:$D$810=$D456)*($B$4:$B$810&lt;$B456)*$B$4:$B$810))=0,0,IF(($B456-MAX(SUMPRODUCT(MAX(($D$4:$D$810=$D456)*($B$4:$B$810&lt;$B456)*$B$4:$B$810)),'Guide &amp; Settings'!$C$50))/7-'Guide &amp; Settings'!$C$48&gt;=0,(INT(($B456-MAX(SUMPRODUCT(MAX(($D$4:$D$810=$D456)*($B$4:$B$810&lt;$B456)*$B$4:$B$810)),'Guide &amp; Settings'!$C$50))/7-'Guide &amp; Settings'!$C$48)+1)*'Guide &amp; Settings'!$C$49,0)))</f>
        <v>0</v>
      </c>
    </row>
    <row r="457" spans="1:29" x14ac:dyDescent="0.2">
      <c r="A457" s="111">
        <v>196</v>
      </c>
      <c r="B457" s="112">
        <v>46247</v>
      </c>
      <c r="C457" s="113" t="s">
        <v>446</v>
      </c>
      <c r="D457" s="113" t="s">
        <v>137</v>
      </c>
      <c r="E457" s="111" t="s">
        <v>309</v>
      </c>
      <c r="F457" s="114">
        <f t="shared" si="119"/>
        <v>2</v>
      </c>
      <c r="G457" s="115" t="str">
        <f t="shared" si="120"/>
        <v>Shawn</v>
      </c>
      <c r="H457" s="116">
        <f>IF($D457="",0,IFERROR(LOOKUP(2,1/(($D$3:D456=$D457)*($A$3:A456&lt;$A457)),$N$3:N456),'Guide &amp; Settings'!$C$41))</f>
        <v>1093.708815325225</v>
      </c>
      <c r="I457" s="117">
        <f t="shared" si="121"/>
        <v>0.57142857142857151</v>
      </c>
      <c r="J457" s="118">
        <f>IF($D457="",0,IF($F457&lt;2,0,IF($E457="Win",('Guide &amp; Settings'!$C$42/(($F457-1)*COUNTIFS($A$4:$A$810,$A457,$E$4:$E$810,"Win")))*SUMIFS($X$4:$X$810,$A$4:$A$810,$A457,$E$4:$E$810,"Loss"),-('Guide &amp; Settings'!$C$42/($F457-1))*$X457)))</f>
        <v>-13.184214633800195</v>
      </c>
      <c r="K457" s="118">
        <f>IF($D457="",0,'Guide &amp; Settings'!$C$43*(IF($E457="Win",1,0)-$I457))</f>
        <v>-6.8571428571428577</v>
      </c>
      <c r="L457" s="119">
        <f>IF($D457="",0,'Guide &amp; Settings'!$C$44*IF($F457&gt;=3,$F457,0))</f>
        <v>0</v>
      </c>
      <c r="M457" s="118">
        <f t="shared" si="122"/>
        <v>-20.041357490943053</v>
      </c>
      <c r="N457" s="116">
        <f t="shared" si="123"/>
        <v>1073.667457834282</v>
      </c>
      <c r="O457" s="115" t="str">
        <f t="shared" si="124"/>
        <v>OK</v>
      </c>
      <c r="P457">
        <f t="shared" si="125"/>
        <v>1142.5445804342853</v>
      </c>
      <c r="Q457">
        <f t="shared" si="126"/>
        <v>0.43017890523994895</v>
      </c>
      <c r="R457">
        <f t="shared" si="127"/>
        <v>0.66666666666666663</v>
      </c>
      <c r="S457">
        <f t="shared" si="128"/>
        <v>1.1666666666666665</v>
      </c>
      <c r="T457" s="83">
        <f t="shared" si="129"/>
        <v>1</v>
      </c>
      <c r="U457" s="120">
        <f>IF($D457="",0,IFERROR(LOOKUP(2,1/(($D$3:D456=$D457)*($C$3:C456=$C457)*($A$3:A456&lt;$A457)),$AB$3:AB456),1000))</f>
        <v>1016</v>
      </c>
      <c r="V457" s="120">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0">
        <f t="shared" si="135"/>
        <v>999.26369320647802</v>
      </c>
      <c r="AC457" s="120">
        <f>IF($D457="","",IF(SUMPRODUCT(MAX(($D$4:$D$810=$D457)*($B$4:$B$810&lt;$B457)*$B$4:$B$810))=0,0,IF(($B457-MAX(SUMPRODUCT(MAX(($D$4:$D$810=$D457)*($B$4:$B$810&lt;$B457)*$B$4:$B$810)),'Guide &amp; Settings'!$C$50))/7-'Guide &amp; Settings'!$C$48&gt;=0,(INT(($B457-MAX(SUMPRODUCT(MAX(($D$4:$D$810=$D457)*($B$4:$B$810&lt;$B457)*$B$4:$B$810)),'Guide &amp; Settings'!$C$50))/7-'Guide &amp; Settings'!$C$48)+1)*'Guide &amp; Settings'!$C$49,0)))</f>
        <v>0</v>
      </c>
    </row>
    <row r="458" spans="1:29" x14ac:dyDescent="0.2">
      <c r="A458" s="111">
        <v>197</v>
      </c>
      <c r="B458" s="112">
        <v>46247</v>
      </c>
      <c r="C458" s="113" t="s">
        <v>447</v>
      </c>
      <c r="D458" s="113" t="s">
        <v>134</v>
      </c>
      <c r="E458" s="111" t="s">
        <v>309</v>
      </c>
      <c r="F458" s="114">
        <f t="shared" si="119"/>
        <v>2</v>
      </c>
      <c r="G458" s="115" t="str">
        <f t="shared" si="120"/>
        <v>Josh</v>
      </c>
      <c r="H458" s="116">
        <f>IF($D458="",0,IFERROR(LOOKUP(2,1/(($D$3:D457=$D458)*($A$3:A457&lt;$A458)),$N$3:N457),'Guide &amp; Settings'!$C$41))</f>
        <v>1162.5859379252283</v>
      </c>
      <c r="I458" s="117">
        <f t="shared" si="121"/>
        <v>0.60000000000000009</v>
      </c>
      <c r="J458" s="118">
        <f>IF($D458="",0,IF($F458&lt;2,0,IF($E458="Win",('Guide &amp; Settings'!$C$42/(($F458-1)*COUNTIFS($A$4:$A$810,$A458,$E$4:$E$810,"Win")))*SUMIFS($X$4:$X$810,$A$4:$A$810,$A458,$E$4:$E$810,"Loss"),-('Guide &amp; Settings'!$C$42/($F458-1))*$X458)))</f>
        <v>-20.589215701755581</v>
      </c>
      <c r="K458" s="118">
        <f>IF($D458="",0,'Guide &amp; Settings'!$C$43*(IF($E458="Win",1,0)-$I458))</f>
        <v>-7.2000000000000011</v>
      </c>
      <c r="L458" s="119">
        <f>IF($D458="",0,'Guide &amp; Settings'!$C$44*IF($F458&gt;=3,$F458,0))</f>
        <v>0</v>
      </c>
      <c r="M458" s="118">
        <f t="shared" si="122"/>
        <v>-27.78921570175558</v>
      </c>
      <c r="N458" s="116">
        <f t="shared" si="123"/>
        <v>1134.7967222234727</v>
      </c>
      <c r="O458" s="115" t="str">
        <f t="shared" si="124"/>
        <v>OK</v>
      </c>
      <c r="P458">
        <f t="shared" si="125"/>
        <v>1073.667457834282</v>
      </c>
      <c r="Q458">
        <f t="shared" si="126"/>
        <v>0.62524144383080016</v>
      </c>
      <c r="R458">
        <f t="shared" si="127"/>
        <v>0.5</v>
      </c>
      <c r="S458">
        <f t="shared" si="128"/>
        <v>0.83333333333333326</v>
      </c>
      <c r="T458" s="83">
        <f t="shared" si="129"/>
        <v>0</v>
      </c>
      <c r="U458" s="120">
        <f>IF($D458="",0,IFERROR(LOOKUP(2,1/(($D$3:D457=$D458)*($C$3:C457=$C458)*($A$3:A457&lt;$A458)),$AB$3:AB457),1000))</f>
        <v>1000</v>
      </c>
      <c r="V458" s="120">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0">
        <f t="shared" si="135"/>
        <v>983.63165148103064</v>
      </c>
      <c r="AC458" s="120">
        <f>IF($D458="","",IF(SUMPRODUCT(MAX(($D$4:$D$810=$D458)*($B$4:$B$810&lt;$B458)*$B$4:$B$810))=0,0,IF(($B458-MAX(SUMPRODUCT(MAX(($D$4:$D$810=$D458)*($B$4:$B$810&lt;$B458)*$B$4:$B$810)),'Guide &amp; Settings'!$C$50))/7-'Guide &amp; Settings'!$C$48&gt;=0,(INT(($B458-MAX(SUMPRODUCT(MAX(($D$4:$D$810=$D458)*($B$4:$B$810&lt;$B458)*$B$4:$B$810)),'Guide &amp; Settings'!$C$50))/7-'Guide &amp; Settings'!$C$48)+1)*'Guide &amp; Settings'!$C$49,0)))</f>
        <v>0</v>
      </c>
    </row>
    <row r="459" spans="1:29" x14ac:dyDescent="0.2">
      <c r="A459" s="111">
        <v>197</v>
      </c>
      <c r="B459" s="112">
        <v>46247</v>
      </c>
      <c r="C459" s="113" t="s">
        <v>447</v>
      </c>
      <c r="D459" s="113" t="s">
        <v>137</v>
      </c>
      <c r="E459" s="111" t="s">
        <v>308</v>
      </c>
      <c r="F459" s="114">
        <f t="shared" si="119"/>
        <v>2</v>
      </c>
      <c r="G459" s="115" t="str">
        <f t="shared" si="120"/>
        <v>Josh</v>
      </c>
      <c r="H459" s="116">
        <f>IF($D459="",0,IFERROR(LOOKUP(2,1/(($D$3:D458=$D459)*($A$3:A458&lt;$A459)),$N$3:N458),'Guide &amp; Settings'!$C$41))</f>
        <v>1073.667457834282</v>
      </c>
      <c r="I459" s="117">
        <f t="shared" si="121"/>
        <v>0.4</v>
      </c>
      <c r="J459" s="118">
        <f>IF($D459="",0,IF($F459&lt;2,0,IF($E459="Win",('Guide &amp; Settings'!$C$42/(($F459-1)*COUNTIFS($A$4:$A$810,$A459,$E$4:$E$810,"Win")))*SUMIFS($X$4:$X$810,$A$4:$A$810,$A459,$E$4:$E$810,"Loss"),-('Guide &amp; Settings'!$C$42/($F459-1))*$X459)))</f>
        <v>20.589215701755581</v>
      </c>
      <c r="K459" s="118">
        <f>IF($D459="",0,'Guide &amp; Settings'!$C$43*(IF($E459="Win",1,0)-$I459))</f>
        <v>7.1999999999999993</v>
      </c>
      <c r="L459" s="119">
        <f>IF($D459="",0,'Guide &amp; Settings'!$C$44*IF($F459&gt;=3,$F459,0))</f>
        <v>0</v>
      </c>
      <c r="M459" s="118">
        <f t="shared" si="122"/>
        <v>27.78921570175558</v>
      </c>
      <c r="N459" s="116">
        <f t="shared" si="123"/>
        <v>1101.4566735360377</v>
      </c>
      <c r="O459" s="115" t="str">
        <f t="shared" si="124"/>
        <v>OK</v>
      </c>
      <c r="P459">
        <f t="shared" si="125"/>
        <v>1073.667457834282</v>
      </c>
      <c r="Q459">
        <f t="shared" si="126"/>
        <v>0.5</v>
      </c>
      <c r="R459">
        <f t="shared" si="127"/>
        <v>0.33333333333333331</v>
      </c>
      <c r="S459">
        <f t="shared" si="128"/>
        <v>0.83333333333333326</v>
      </c>
      <c r="T459" s="83">
        <f t="shared" si="129"/>
        <v>1</v>
      </c>
      <c r="U459" s="120">
        <f>IF($D459="",0,IFERROR(LOOKUP(2,1/(($D$3:D458=$D459)*($C$3:C458=$C459)*($A$3:A458&lt;$A459)),$AB$3:AB458),1000))</f>
        <v>992</v>
      </c>
      <c r="V459" s="120">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0">
        <f t="shared" si="135"/>
        <v>1008.3683485189694</v>
      </c>
      <c r="AC459" s="120">
        <f>IF($D459="","",IF(SUMPRODUCT(MAX(($D$4:$D$810=$D459)*($B$4:$B$810&lt;$B459)*$B$4:$B$810))=0,0,IF(($B459-MAX(SUMPRODUCT(MAX(($D$4:$D$810=$D459)*($B$4:$B$810&lt;$B459)*$B$4:$B$810)),'Guide &amp; Settings'!$C$50))/7-'Guide &amp; Settings'!$C$48&gt;=0,(INT(($B459-MAX(SUMPRODUCT(MAX(($D$4:$D$810=$D459)*($B$4:$B$810&lt;$B459)*$B$4:$B$810)),'Guide &amp; Settings'!$C$50))/7-'Guide &amp; Settings'!$C$48)+1)*'Guide &amp; Settings'!$C$49,0)))</f>
        <v>0</v>
      </c>
    </row>
    <row r="460" spans="1:29" x14ac:dyDescent="0.2">
      <c r="A460" s="111">
        <v>198</v>
      </c>
      <c r="B460" s="112">
        <v>46247</v>
      </c>
      <c r="C460" s="113" t="s">
        <v>447</v>
      </c>
      <c r="D460" s="113" t="s">
        <v>134</v>
      </c>
      <c r="E460" s="111" t="s">
        <v>308</v>
      </c>
      <c r="F460" s="114">
        <f t="shared" si="119"/>
        <v>2</v>
      </c>
      <c r="G460" s="115" t="str">
        <f t="shared" si="120"/>
        <v>Shawn</v>
      </c>
      <c r="H460" s="116">
        <f>IF($D460="",0,IFERROR(LOOKUP(2,1/(($D$3:D459=$D460)*($A$3:A459&lt;$A460)),$N$3:N459),'Guide &amp; Settings'!$C$41))</f>
        <v>1134.7967222234727</v>
      </c>
      <c r="I460" s="117">
        <f t="shared" si="121"/>
        <v>0.4</v>
      </c>
      <c r="J460" s="118">
        <f>IF($D460="",0,IF($F460&lt;2,0,IF($E460="Win",('Guide &amp; Settings'!$C$42/(($F460-1)*COUNTIFS($A$4:$A$810,$A460,$E$4:$E$810,"Win")))*SUMIFS($X$4:$X$810,$A$4:$A$810,$A460,$E$4:$E$810,"Loss"),-('Guide &amp; Settings'!$C$42/($F460-1))*$X460)))</f>
        <v>14.405358775941226</v>
      </c>
      <c r="K460" s="118">
        <f>IF($D460="",0,'Guide &amp; Settings'!$C$43*(IF($E460="Win",1,0)-$I460))</f>
        <v>7.1999999999999993</v>
      </c>
      <c r="L460" s="119">
        <f>IF($D460="",0,'Guide &amp; Settings'!$C$44*IF($F460&gt;=3,$F460,0))</f>
        <v>0</v>
      </c>
      <c r="M460" s="118">
        <f t="shared" si="122"/>
        <v>21.605358775941227</v>
      </c>
      <c r="N460" s="116">
        <f t="shared" si="123"/>
        <v>1156.402080999414</v>
      </c>
      <c r="O460" s="115" t="str">
        <f t="shared" si="124"/>
        <v>OK</v>
      </c>
      <c r="P460">
        <f t="shared" si="125"/>
        <v>1134.7967222234727</v>
      </c>
      <c r="Q460">
        <f t="shared" si="126"/>
        <v>0.5</v>
      </c>
      <c r="R460">
        <f t="shared" si="127"/>
        <v>0.33333333333333331</v>
      </c>
      <c r="S460">
        <f t="shared" si="128"/>
        <v>0.83333333333333326</v>
      </c>
      <c r="T460" s="83">
        <f t="shared" si="129"/>
        <v>1</v>
      </c>
      <c r="U460" s="120">
        <f>IF($D460="",0,IFERROR(LOOKUP(2,1/(($D$3:D459=$D460)*($C$3:C459=$C460)*($A$3:A459&lt;$A460)),$AB$3:AB459),1000))</f>
        <v>983.63165148103064</v>
      </c>
      <c r="V460" s="120">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0">
        <f t="shared" si="135"/>
        <v>1000.7688975049559</v>
      </c>
      <c r="AC460" s="120">
        <f>IF($D460="","",IF(SUMPRODUCT(MAX(($D$4:$D$810=$D460)*($B$4:$B$810&lt;$B460)*$B$4:$B$810))=0,0,IF(($B460-MAX(SUMPRODUCT(MAX(($D$4:$D$810=$D460)*($B$4:$B$810&lt;$B460)*$B$4:$B$810)),'Guide &amp; Settings'!$C$50))/7-'Guide &amp; Settings'!$C$48&gt;=0,(INT(($B460-MAX(SUMPRODUCT(MAX(($D$4:$D$810=$D460)*($B$4:$B$810&lt;$B460)*$B$4:$B$810)),'Guide &amp; Settings'!$C$50))/7-'Guide &amp; Settings'!$C$48)+1)*'Guide &amp; Settings'!$C$49,0)))</f>
        <v>0</v>
      </c>
    </row>
    <row r="461" spans="1:29" x14ac:dyDescent="0.2">
      <c r="A461" s="111">
        <v>198</v>
      </c>
      <c r="B461" s="112">
        <v>46247</v>
      </c>
      <c r="C461" s="113" t="s">
        <v>447</v>
      </c>
      <c r="D461" s="113" t="s">
        <v>137</v>
      </c>
      <c r="E461" s="111" t="s">
        <v>309</v>
      </c>
      <c r="F461" s="114">
        <f t="shared" si="119"/>
        <v>2</v>
      </c>
      <c r="G461" s="115" t="str">
        <f t="shared" si="120"/>
        <v>Shawn</v>
      </c>
      <c r="H461" s="116">
        <f>IF($D461="",0,IFERROR(LOOKUP(2,1/(($D$3:D460=$D461)*($A$3:A460&lt;$A461)),$N$3:N460),'Guide &amp; Settings'!$C$41))</f>
        <v>1101.4566735360377</v>
      </c>
      <c r="I461" s="117">
        <f t="shared" si="121"/>
        <v>0.60000000000000009</v>
      </c>
      <c r="J461" s="118">
        <f>IF($D461="",0,IF($F461&lt;2,0,IF($E461="Win",('Guide &amp; Settings'!$C$42/(($F461-1)*COUNTIFS($A$4:$A$810,$A461,$E$4:$E$810,"Win")))*SUMIFS($X$4:$X$810,$A$4:$A$810,$A461,$E$4:$E$810,"Loss"),-('Guide &amp; Settings'!$C$42/($F461-1))*$X461)))</f>
        <v>-14.405358775941226</v>
      </c>
      <c r="K461" s="118">
        <f>IF($D461="",0,'Guide &amp; Settings'!$C$43*(IF($E461="Win",1,0)-$I461))</f>
        <v>-7.2000000000000011</v>
      </c>
      <c r="L461" s="119">
        <f>IF($D461="",0,'Guide &amp; Settings'!$C$44*IF($F461&gt;=3,$F461,0))</f>
        <v>0</v>
      </c>
      <c r="M461" s="118">
        <f t="shared" si="122"/>
        <v>-21.605358775941227</v>
      </c>
      <c r="N461" s="116">
        <f t="shared" si="123"/>
        <v>1079.8513147600966</v>
      </c>
      <c r="O461" s="115" t="str">
        <f t="shared" si="124"/>
        <v>OK</v>
      </c>
      <c r="P461">
        <f t="shared" si="125"/>
        <v>1134.7967222234727</v>
      </c>
      <c r="Q461">
        <f t="shared" si="126"/>
        <v>0.45216654608960433</v>
      </c>
      <c r="R461">
        <f t="shared" si="127"/>
        <v>0.5</v>
      </c>
      <c r="S461">
        <f t="shared" si="128"/>
        <v>0.83333333333333326</v>
      </c>
      <c r="T461" s="83">
        <f t="shared" si="129"/>
        <v>2</v>
      </c>
      <c r="U461" s="120">
        <f>IF($D461="",0,IFERROR(LOOKUP(2,1/(($D$3:D460=$D461)*($C$3:C460=$C461)*($A$3:A460&lt;$A461)),$AB$3:AB460),1000))</f>
        <v>1008.3683485189694</v>
      </c>
      <c r="V461" s="120">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0">
        <f t="shared" si="135"/>
        <v>991.23110249504407</v>
      </c>
      <c r="AC461" s="120">
        <f>IF($D461="","",IF(SUMPRODUCT(MAX(($D$4:$D$810=$D461)*($B$4:$B$810&lt;$B461)*$B$4:$B$810))=0,0,IF(($B461-MAX(SUMPRODUCT(MAX(($D$4:$D$810=$D461)*($B$4:$B$810&lt;$B461)*$B$4:$B$810)),'Guide &amp; Settings'!$C$50))/7-'Guide &amp; Settings'!$C$48&gt;=0,(INT(($B461-MAX(SUMPRODUCT(MAX(($D$4:$D$810=$D461)*($B$4:$B$810&lt;$B461)*$B$4:$B$810)),'Guide &amp; Settings'!$C$50))/7-'Guide &amp; Settings'!$C$48)+1)*'Guide &amp; Settings'!$C$49,0)))</f>
        <v>0</v>
      </c>
    </row>
    <row r="462" spans="1:29" x14ac:dyDescent="0.2">
      <c r="A462" s="111">
        <v>199</v>
      </c>
      <c r="B462" s="112">
        <v>46247</v>
      </c>
      <c r="C462" s="113" t="s">
        <v>447</v>
      </c>
      <c r="D462" s="113" t="s">
        <v>134</v>
      </c>
      <c r="E462" s="111" t="s">
        <v>309</v>
      </c>
      <c r="F462" s="114">
        <f t="shared" si="119"/>
        <v>2</v>
      </c>
      <c r="G462" s="115" t="str">
        <f t="shared" si="120"/>
        <v>Josh</v>
      </c>
      <c r="H462" s="116">
        <f>IF($D462="",0,IFERROR(LOOKUP(2,1/(($D$3:D461=$D462)*($A$3:A461&lt;$A462)),$N$3:N461),'Guide &amp; Settings'!$C$41))</f>
        <v>1156.402080999414</v>
      </c>
      <c r="I462" s="117">
        <f t="shared" si="121"/>
        <v>0.55555555555555558</v>
      </c>
      <c r="J462" s="118">
        <f>IF($D462="",0,IF($F462&lt;2,0,IF($E462="Win",('Guide &amp; Settings'!$C$42/(($F462-1)*COUNTIFS($A$4:$A$810,$A462,$E$4:$E$810,"Win")))*SUMIFS($X$4:$X$810,$A$4:$A$810,$A462,$E$4:$E$810,"Loss"),-('Guide &amp; Settings'!$C$42/($F462-1))*$X462)))</f>
        <v>-18.973003759458241</v>
      </c>
      <c r="K462" s="118">
        <f>IF($D462="",0,'Guide &amp; Settings'!$C$43*(IF($E462="Win",1,0)-$I462))</f>
        <v>-6.666666666666667</v>
      </c>
      <c r="L462" s="119">
        <f>IF($D462="",0,'Guide &amp; Settings'!$C$44*IF($F462&gt;=3,$F462,0))</f>
        <v>0</v>
      </c>
      <c r="M462" s="118">
        <f t="shared" si="122"/>
        <v>-25.639670426124908</v>
      </c>
      <c r="N462" s="116">
        <f t="shared" si="123"/>
        <v>1130.7624105732891</v>
      </c>
      <c r="O462" s="115" t="str">
        <f t="shared" si="124"/>
        <v>OK</v>
      </c>
      <c r="P462">
        <f t="shared" si="125"/>
        <v>1079.8513147600966</v>
      </c>
      <c r="Q462">
        <f t="shared" si="126"/>
        <v>0.60841667334863792</v>
      </c>
      <c r="R462">
        <f t="shared" si="127"/>
        <v>0.5</v>
      </c>
      <c r="S462">
        <f t="shared" si="128"/>
        <v>0.9</v>
      </c>
      <c r="T462" s="83">
        <f t="shared" si="129"/>
        <v>2</v>
      </c>
      <c r="U462" s="120">
        <f>IF($D462="",0,IFERROR(LOOKUP(2,1/(($D$3:D461=$D462)*($C$3:C461=$C462)*($A$3:A461&lt;$A462)),$AB$3:AB461),1000))</f>
        <v>1000.7688975049559</v>
      </c>
      <c r="V462" s="120">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0">
        <f t="shared" si="135"/>
        <v>984.32977611615649</v>
      </c>
      <c r="AC462" s="120">
        <f>IF($D462="","",IF(SUMPRODUCT(MAX(($D$4:$D$810=$D462)*($B$4:$B$810&lt;$B462)*$B$4:$B$810))=0,0,IF(($B462-MAX(SUMPRODUCT(MAX(($D$4:$D$810=$D462)*($B$4:$B$810&lt;$B462)*$B$4:$B$810)),'Guide &amp; Settings'!$C$50))/7-'Guide &amp; Settings'!$C$48&gt;=0,(INT(($B462-MAX(SUMPRODUCT(MAX(($D$4:$D$810=$D462)*($B$4:$B$810&lt;$B462)*$B$4:$B$810)),'Guide &amp; Settings'!$C$50))/7-'Guide &amp; Settings'!$C$48)+1)*'Guide &amp; Settings'!$C$49,0)))</f>
        <v>0</v>
      </c>
    </row>
    <row r="463" spans="1:29" x14ac:dyDescent="0.2">
      <c r="A463" s="111">
        <v>199</v>
      </c>
      <c r="B463" s="112">
        <v>46247</v>
      </c>
      <c r="C463" s="113" t="s">
        <v>447</v>
      </c>
      <c r="D463" s="113" t="s">
        <v>137</v>
      </c>
      <c r="E463" s="111" t="s">
        <v>308</v>
      </c>
      <c r="F463" s="114">
        <f t="shared" si="119"/>
        <v>2</v>
      </c>
      <c r="G463" s="115" t="str">
        <f t="shared" si="120"/>
        <v>Josh</v>
      </c>
      <c r="H463" s="116">
        <f>IF($D463="",0,IFERROR(LOOKUP(2,1/(($D$3:D462=$D463)*($A$3:A462&lt;$A463)),$N$3:N462),'Guide &amp; Settings'!$C$41))</f>
        <v>1079.8513147600966</v>
      </c>
      <c r="I463" s="117">
        <f t="shared" si="121"/>
        <v>0.44444444444444448</v>
      </c>
      <c r="J463" s="118">
        <f>IF($D463="",0,IF($F463&lt;2,0,IF($E463="Win",('Guide &amp; Settings'!$C$42/(($F463-1)*COUNTIFS($A$4:$A$810,$A463,$E$4:$E$810,"Win")))*SUMIFS($X$4:$X$810,$A$4:$A$810,$A463,$E$4:$E$810,"Loss"),-('Guide &amp; Settings'!$C$42/($F463-1))*$X463)))</f>
        <v>18.973003759458241</v>
      </c>
      <c r="K463" s="118">
        <f>IF($D463="",0,'Guide &amp; Settings'!$C$43*(IF($E463="Win",1,0)-$I463))</f>
        <v>6.666666666666667</v>
      </c>
      <c r="L463" s="119">
        <f>IF($D463="",0,'Guide &amp; Settings'!$C$44*IF($F463&gt;=3,$F463,0))</f>
        <v>0</v>
      </c>
      <c r="M463" s="118">
        <f t="shared" si="122"/>
        <v>25.639670426124908</v>
      </c>
      <c r="N463" s="116">
        <f t="shared" si="123"/>
        <v>1105.4909851862215</v>
      </c>
      <c r="O463" s="115" t="str">
        <f t="shared" si="124"/>
        <v>OK</v>
      </c>
      <c r="P463">
        <f t="shared" si="125"/>
        <v>1079.8513147600966</v>
      </c>
      <c r="Q463">
        <f t="shared" si="126"/>
        <v>0.5</v>
      </c>
      <c r="R463">
        <f t="shared" si="127"/>
        <v>0.4</v>
      </c>
      <c r="S463">
        <f t="shared" si="128"/>
        <v>0.9</v>
      </c>
      <c r="T463" s="83">
        <f t="shared" si="129"/>
        <v>3</v>
      </c>
      <c r="U463" s="120">
        <f>IF($D463="",0,IFERROR(LOOKUP(2,1/(($D$3:D462=$D463)*($C$3:C462=$C463)*($A$3:A462&lt;$A463)),$AB$3:AB462),1000))</f>
        <v>991.23110249504407</v>
      </c>
      <c r="V463" s="120">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0">
        <f t="shared" si="135"/>
        <v>1007.6702238838435</v>
      </c>
      <c r="AC463" s="120">
        <f>IF($D463="","",IF(SUMPRODUCT(MAX(($D$4:$D$810=$D463)*($B$4:$B$810&lt;$B463)*$B$4:$B$810))=0,0,IF(($B463-MAX(SUMPRODUCT(MAX(($D$4:$D$810=$D463)*($B$4:$B$810&lt;$B463)*$B$4:$B$810)),'Guide &amp; Settings'!$C$50))/7-'Guide &amp; Settings'!$C$48&gt;=0,(INT(($B463-MAX(SUMPRODUCT(MAX(($D$4:$D$810=$D463)*($B$4:$B$810&lt;$B463)*$B$4:$B$810)),'Guide &amp; Settings'!$C$50))/7-'Guide &amp; Settings'!$C$48)+1)*'Guide &amp; Settings'!$C$49,0)))</f>
        <v>0</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0" t="s">
        <v>311</v>
      </c>
      <c r="B2" s="160"/>
      <c r="C2" s="160"/>
      <c r="D2" s="160"/>
      <c r="E2" s="160"/>
      <c r="F2" s="160"/>
      <c r="G2" s="160"/>
      <c r="H2" s="160"/>
      <c r="I2" s="160"/>
      <c r="J2" s="160"/>
      <c r="K2" s="160"/>
      <c r="L2" s="160"/>
      <c r="M2" s="160"/>
      <c r="N2" s="160"/>
      <c r="O2" s="160"/>
      <c r="P2" s="160"/>
      <c r="Q2" s="160"/>
      <c r="R2" s="160"/>
    </row>
    <row r="3" spans="1:18" ht="15" customHeight="1" x14ac:dyDescent="0.2">
      <c r="A3" s="73" t="s">
        <v>312</v>
      </c>
      <c r="B3" s="121">
        <f>COUNTA($B$6:$O$6)</f>
        <v>14</v>
      </c>
      <c r="C3" s="73" t="s">
        <v>313</v>
      </c>
      <c r="D3" s="121">
        <f>INT($B$3/2)+1</f>
        <v>8</v>
      </c>
      <c r="E3" s="73" t="s">
        <v>314</v>
      </c>
      <c r="F3" s="121">
        <f>ROUNDUP($B$3/2,0)</f>
        <v>7</v>
      </c>
      <c r="H3" s="160" t="s">
        <v>315</v>
      </c>
      <c r="I3" s="160"/>
      <c r="J3" s="160"/>
      <c r="K3" s="160"/>
      <c r="L3" s="160"/>
      <c r="M3" s="160"/>
      <c r="N3" s="160"/>
      <c r="O3" s="160"/>
      <c r="P3" s="160"/>
      <c r="Q3" s="160"/>
      <c r="R3" s="160"/>
    </row>
    <row r="5" spans="1:18" ht="15" customHeight="1" x14ac:dyDescent="0.2">
      <c r="A5" s="159" t="s">
        <v>316</v>
      </c>
      <c r="B5" s="159"/>
      <c r="C5" s="159"/>
      <c r="D5" s="159"/>
      <c r="E5" s="159"/>
      <c r="F5" s="159"/>
      <c r="G5" s="159"/>
      <c r="H5" s="159"/>
      <c r="I5" s="159"/>
      <c r="J5" s="159"/>
      <c r="K5" s="159"/>
      <c r="L5" s="159"/>
      <c r="M5" s="159"/>
      <c r="N5" s="159"/>
      <c r="O5" s="159"/>
      <c r="P5" s="159"/>
      <c r="Q5" s="159"/>
      <c r="R5" s="159"/>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9" t="s">
        <v>325</v>
      </c>
      <c r="B29" s="159"/>
      <c r="C29" s="159"/>
      <c r="D29" s="159"/>
      <c r="E29" s="159"/>
      <c r="F29" s="159"/>
      <c r="G29" s="159"/>
      <c r="H29" s="159"/>
      <c r="I29" s="159"/>
      <c r="J29" s="159"/>
      <c r="K29" s="159"/>
      <c r="L29" s="159"/>
      <c r="M29" s="159"/>
      <c r="N29" s="159"/>
      <c r="O29" s="159"/>
      <c r="P29" s="159"/>
      <c r="Q29" s="159"/>
      <c r="R29" s="159"/>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46240</v>
      </c>
    </row>
    <row r="4" spans="1:35" ht="15" customHeight="1" x14ac:dyDescent="0.2">
      <c r="A4" t="s">
        <v>330</v>
      </c>
      <c r="B4" s="127">
        <f>MAX('Match Log'!$B$4:$B$810)</f>
        <v>46247</v>
      </c>
      <c r="C4" t="s">
        <v>450</v>
      </c>
      <c r="D4" s="127">
        <f ca="1">MAX($B$4,TODAY())</f>
        <v>46247</v>
      </c>
    </row>
    <row r="5" spans="1:35" x14ac:dyDescent="0.2">
      <c r="B5">
        <f ca="1">TODAY()-7</f>
        <v>46240</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1099.9321053362805</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2.5714285714285716</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At risk</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74.983026334070132</v>
      </c>
      <c r="AB7">
        <f t="shared" ref="AB7:AB20" ca="1" si="13">0.35*$W7+0.2*$X7+0.2*$Y7+0.15*$Z7+0.1*$AA7</f>
        <v>60.516466421615313</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1068.7234592074572</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8.4285714285714288</v>
      </c>
      <c r="R8">
        <f ca="1">IF($P8=0,0,IF($Q8&gt;='Guide &amp; Settings'!$C$48,(INT($Q8-'Guide &amp; Settings'!$C$48)+1)*'Guide &amp; Settings'!$C$49,0))</f>
        <v>50</v>
      </c>
      <c r="S8">
        <f ca="1">$B8-$R8-$U8+SUMIF('Poker Stake Ledger'!$C$18:$C$137,$A8,'Poker Stake Ledger'!$K$18:$K$137)</f>
        <v>979.51759653351382</v>
      </c>
      <c r="T8" t="str">
        <f ca="1">IF($P8=0,"No games",IF($Q8&gt;='Guide &amp; Settings'!$C$48,"Inactive",IF($Q8&gt;='Guide &amp; Settings'!$C$47,"At risk","Active")))</f>
        <v>Inactive</v>
      </c>
      <c r="U8">
        <f>SUMIF('Match Log'!$D$4:$D$810,$A8,'Match Log'!$AC$4:$AC$810)</f>
        <v>0</v>
      </c>
      <c r="V8">
        <f t="shared" si="9"/>
        <v>2</v>
      </c>
      <c r="W8">
        <f t="shared" ca="1" si="10"/>
        <v>44.879399133378456</v>
      </c>
      <c r="X8">
        <f ca="1">IFERROR(INDEX(Dashboard!$G$5:$G$18,MATCH($A8,Dashboard!$B$5:$B$18,0))*100,0)</f>
        <v>50</v>
      </c>
      <c r="Y8">
        <f ca="1">MIN(100,IFERROR(INDEX(Dashboard!$K$5:$K$18,MATCH($A8,Dashboard!$B$5:$B$18,0)),0)/5*50+$AC8/4*50)</f>
        <v>42.5</v>
      </c>
      <c r="Z8">
        <f t="shared" si="11"/>
        <v>40</v>
      </c>
      <c r="AA8">
        <f t="shared" si="12"/>
        <v>67.180864801864288</v>
      </c>
      <c r="AB8">
        <f t="shared" ca="1" si="13"/>
        <v>46.92587617686889</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979.51759733351378</v>
      </c>
    </row>
    <row r="9" spans="1:35" ht="15" customHeight="1" x14ac:dyDescent="0.2">
      <c r="A9" t="s">
        <v>173</v>
      </c>
      <c r="B9">
        <f>IFERROR(INDEX(Engine!$B$2:$B$15,MATCH($A9,Engine!$A$2:$A$15,0)),1000)</f>
        <v>1037.8197114720938</v>
      </c>
      <c r="C9">
        <f>IFERROR(INDEX(Engine!$C$2:$C$15,MATCH($A9,Engine!$A$2:$A$15,0)),"")</f>
        <v>1082.2675846655518</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3.8571428571428572</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At risk</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70.566896166387949</v>
      </c>
      <c r="AB9">
        <f t="shared" ca="1" si="13"/>
        <v>58.115914370447001</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Strong</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1078.4634044736506</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4.7142857142857144</v>
      </c>
      <c r="R10">
        <f ca="1">IF($P10=0,0,IF($Q10&gt;='Guide &amp; Settings'!$C$48,(INT($Q10-'Guide &amp; Settings'!$C$48)+1)*'Guide &amp; Settings'!$C$49,0))</f>
        <v>10</v>
      </c>
      <c r="S10">
        <f ca="1">$B10-$R10-$U10+SUMIF('Poker Stake Ledger'!$C$18:$C$137,$A10,'Poker Stake Ledger'!$K$18:$K$137)</f>
        <v>963.19705892757202</v>
      </c>
      <c r="T10" t="str">
        <f ca="1">IF($P10=0,"No games",IF($Q10&gt;='Guide &amp; Settings'!$C$48,"Inactive",IF($Q10&gt;='Guide &amp; Settings'!$C$47,"At risk","Active")))</f>
        <v>Inactive</v>
      </c>
      <c r="U10">
        <f>SUMIF('Match Log'!$D$4:$D$810,$A10,'Match Log'!$AC$4:$AC$810)</f>
        <v>0</v>
      </c>
      <c r="V10">
        <f t="shared" si="9"/>
        <v>1</v>
      </c>
      <c r="W10">
        <f t="shared" ca="1" si="10"/>
        <v>40.799264731893004</v>
      </c>
      <c r="X10">
        <f ca="1">IFERROR(INDEX(Dashboard!$G$5:$G$18,MATCH($A10,Dashboard!$B$5:$B$18,0))*100,0)</f>
        <v>26.666666666666668</v>
      </c>
      <c r="Y10">
        <f ca="1">MIN(100,IFERROR(INDEX(Dashboard!$K$5:$K$18,MATCH($A10,Dashboard!$B$5:$B$18,0)),0)/5*50+$AC10/4*50)</f>
        <v>40</v>
      </c>
      <c r="Z10">
        <f t="shared" si="11"/>
        <v>40</v>
      </c>
      <c r="AA10">
        <f t="shared" si="12"/>
        <v>69.61585111841265</v>
      </c>
      <c r="AB10">
        <f t="shared" ca="1" si="13"/>
        <v>40.574661101337149</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963.19705992757201</v>
      </c>
    </row>
    <row r="11" spans="1:35" ht="15" customHeight="1" x14ac:dyDescent="0.2">
      <c r="A11" t="s">
        <v>137</v>
      </c>
      <c r="B11">
        <f>IFERROR(INDEX(Engine!$B$2:$B$15,MATCH($A11,Engine!$A$2:$A$15,0)),1000)</f>
        <v>1105.4909851862215</v>
      </c>
      <c r="C11">
        <f>IFERROR(INDEX(Engine!$C$2:$C$15,MATCH($A11,Engine!$A$2:$A$15,0)),"")</f>
        <v>1099.5243470981909</v>
      </c>
      <c r="D11">
        <f t="shared" si="0"/>
        <v>4</v>
      </c>
      <c r="E11">
        <f t="shared" si="1"/>
        <v>136.21195113883186</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LLWLW</v>
      </c>
      <c r="J11">
        <f>IFERROR(LOOKUP(2,1/(('Match Log'!$D$4:$D$810=$A11)*('Match Log'!$B$4:$B$810&lt;=$B$3)),'Match Log'!$N$4:$N$810),1000)</f>
        <v>1093.6015451357737</v>
      </c>
      <c r="K11">
        <f t="shared" si="3"/>
        <v>5</v>
      </c>
      <c r="L11">
        <f t="shared" si="4"/>
        <v>1</v>
      </c>
      <c r="M11">
        <f t="shared" si="5"/>
        <v>1</v>
      </c>
      <c r="N11">
        <f t="shared" si="6"/>
        <v>2</v>
      </c>
      <c r="O11">
        <f t="shared" si="7"/>
        <v>1</v>
      </c>
      <c r="P11">
        <f>IFERROR(SUMPRODUCT(MAX(('Match Log'!$D$4:$D$810=$A11)*'Match Log'!$B$4:$B$810)),0)</f>
        <v>46247</v>
      </c>
      <c r="Q11">
        <f t="shared" ca="1" si="8"/>
        <v>0</v>
      </c>
      <c r="R11">
        <f ca="1">IF($P11=0,0,IF($Q11&gt;='Guide &amp; Settings'!$C$48,(INT($Q11-'Guide &amp; Settings'!$C$48)+1)*'Guide &amp; Settings'!$C$49,0))</f>
        <v>0</v>
      </c>
      <c r="S11">
        <f ca="1">$B11-$R11-$U11+SUMIF('Poker Stake Ledger'!$C$18:$C$137,$A11,'Poker Stake Ledger'!$K$18:$K$137)</f>
        <v>1127.2409851862215</v>
      </c>
      <c r="T11" t="str">
        <f ca="1">IF($P11=0,"No games",IF($Q11&gt;='Guide &amp; Settings'!$C$48,"Inactive",IF($Q11&gt;='Guide &amp; Settings'!$C$47,"At risk","Active")))</f>
        <v>Active</v>
      </c>
      <c r="U11">
        <f>SUMIF('Match Log'!$D$4:$D$810,$A11,'Match Log'!$AC$4:$AC$810)</f>
        <v>0</v>
      </c>
      <c r="V11">
        <f t="shared" si="9"/>
        <v>0</v>
      </c>
      <c r="W11">
        <f t="shared" ca="1" si="10"/>
        <v>81.810246296555363</v>
      </c>
      <c r="X11">
        <f ca="1">IFERROR(INDEX(Dashboard!$G$5:$G$18,MATCH($A11,Dashboard!$B$5:$B$18,0))*100,0)</f>
        <v>56.521739130434781</v>
      </c>
      <c r="Y11">
        <f ca="1">MIN(100,IFERROR(INDEX(Dashboard!$K$5:$K$18,MATCH($A11,Dashboard!$B$5:$B$18,0)),0)/5*50+$AC11/4*50)</f>
        <v>100</v>
      </c>
      <c r="Z11">
        <f t="shared" si="11"/>
        <v>40</v>
      </c>
      <c r="AA11">
        <f t="shared" si="12"/>
        <v>74.881086774547725</v>
      </c>
      <c r="AB11">
        <f t="shared" ca="1" si="13"/>
        <v>73.426042707336109</v>
      </c>
      <c r="AC11">
        <f>IFERROR(SUMPRODUCT((INDEX('Sport Records'!$B$8:$O$26,0,MATCH($A11,'Sport Records'!$B$7:$O$7,0))&gt;=2)*(INDEX('Sport Records'!$B$58:$O$76,0,MATCH($A11,'Sport Records'!$B$57:$O$57,0))&gt;=0.5)),0)</f>
        <v>3</v>
      </c>
      <c r="AD11">
        <f ca="1">IFERROR(INDEX(Dashboard!$D$5:$D$18,MATCH($A11,Dashboard!$B$5:$B$18,0)),0)</f>
        <v>46</v>
      </c>
      <c r="AE11">
        <f ca="1">IFERROR(INDEX(Dashboard!$K$5:$K$18,MATCH($A11,Dashboard!$B$5:$B$18,0)),0)</f>
        <v>13</v>
      </c>
      <c r="AF11" t="str">
        <f t="shared" ca="1" si="14"/>
        <v>Elite</v>
      </c>
      <c r="AG11">
        <f ca="1">COUNTIFS('Match Log'!$D$4:$D$810,$A11,'Match Log'!$B$4:$B$810,"&gt;="&amp;$B$5)</f>
        <v>8</v>
      </c>
      <c r="AH11">
        <f ca="1">COUNTIFS('Match Log'!$D$4:$D$810,$A11,'Match Log'!$B$4:$B$810,"&gt;="&amp;$B$5,'Match Log'!$E$4:$E$810,"Win")</f>
        <v>4</v>
      </c>
      <c r="AI11">
        <f t="shared" ca="1" si="15"/>
        <v>1127.2409862862214</v>
      </c>
    </row>
    <row r="12" spans="1:35" ht="15" customHeight="1" x14ac:dyDescent="0.2">
      <c r="A12" t="s">
        <v>134</v>
      </c>
      <c r="B12">
        <f>IFERROR(INDEX(Engine!$B$2:$B$15,MATCH($A12,Engine!$A$2:$A$15,0)),1000)</f>
        <v>1130.7624105732891</v>
      </c>
      <c r="C12">
        <f>IFERROR(INDEX(Engine!$C$2:$C$15,MATCH($A12,Engine!$A$2:$A$15,0)),"")</f>
        <v>1075.7730775841335</v>
      </c>
      <c r="D12">
        <f t="shared" si="0"/>
        <v>3</v>
      </c>
      <c r="E12">
        <f t="shared" si="1"/>
        <v>110.9405257517642</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WWLWL</v>
      </c>
      <c r="J12">
        <f>IFERROR(LOOKUP(2,1/(('Match Log'!$D$4:$D$810=$A12)*('Match Log'!$B$4:$B$810&lt;=$B$3)),'Match Log'!$N$4:$N$810),1000)</f>
        <v>1104.1921812390008</v>
      </c>
      <c r="K12">
        <f t="shared" si="3"/>
        <v>4</v>
      </c>
      <c r="L12">
        <f t="shared" si="4"/>
        <v>1</v>
      </c>
      <c r="M12">
        <f t="shared" si="5"/>
        <v>5</v>
      </c>
      <c r="N12">
        <f t="shared" si="6"/>
        <v>3</v>
      </c>
      <c r="O12">
        <f t="shared" si="7"/>
        <v>0</v>
      </c>
      <c r="P12">
        <f>IFERROR(SUMPRODUCT(MAX(('Match Log'!$D$4:$D$810=$A12)*'Match Log'!$B$4:$B$810)),0)</f>
        <v>46247</v>
      </c>
      <c r="Q12">
        <f t="shared" ca="1" si="8"/>
        <v>0</v>
      </c>
      <c r="R12">
        <f ca="1">IF($P12=0,0,IF($Q12&gt;='Guide &amp; Settings'!$C$48,(INT($Q12-'Guide &amp; Settings'!$C$48)+1)*'Guide &amp; Settings'!$C$49,0))</f>
        <v>0</v>
      </c>
      <c r="S12">
        <f ca="1">$B12-$R12-$U12+SUMIF('Poker Stake Ledger'!$C$18:$C$137,$A12,'Poker Stake Ledger'!$K$18:$K$137)</f>
        <v>1127.0124105732891</v>
      </c>
      <c r="T12" t="str">
        <f ca="1">IF($P12=0,"No games",IF($Q12&gt;='Guide &amp; Settings'!$C$48,"Inactive",IF($Q12&gt;='Guide &amp; Settings'!$C$47,"At risk","Active")))</f>
        <v>Active</v>
      </c>
      <c r="U12">
        <f>SUMIF('Match Log'!$D$4:$D$810,$A12,'Match Log'!$AC$4:$AC$810)</f>
        <v>0</v>
      </c>
      <c r="V12">
        <f t="shared" si="9"/>
        <v>1</v>
      </c>
      <c r="W12">
        <f t="shared" ca="1" si="10"/>
        <v>81.753102643322279</v>
      </c>
      <c r="X12">
        <f ca="1">IFERROR(INDEX(Dashboard!$G$5:$G$18,MATCH($A12,Dashboard!$B$5:$B$18,0))*100,0)</f>
        <v>47</v>
      </c>
      <c r="Y12">
        <f ca="1">MIN(100,IFERROR(INDEX(Dashboard!$K$5:$K$18,MATCH($A12,Dashboard!$B$5:$B$18,0)),0)/5*50+$AC12/4*50)</f>
        <v>100</v>
      </c>
      <c r="Z12">
        <f t="shared" si="11"/>
        <v>60</v>
      </c>
      <c r="AA12">
        <f t="shared" si="12"/>
        <v>68.943269396033372</v>
      </c>
      <c r="AB12">
        <f t="shared" ca="1" si="13"/>
        <v>73.907912864766132</v>
      </c>
      <c r="AC12">
        <f>IFERROR(SUMPRODUCT((INDEX('Sport Records'!$B$8:$O$26,0,MATCH($A12,'Sport Records'!$B$7:$O$7,0))&gt;=2)*(INDEX('Sport Records'!$B$58:$O$76,0,MATCH($A12,'Sport Records'!$B$57:$O$57,0))&gt;=0.5)),0)</f>
        <v>5</v>
      </c>
      <c r="AD12">
        <f ca="1">IFERROR(INDEX(Dashboard!$D$5:$D$18,MATCH($A12,Dashboard!$B$5:$B$18,0)),0)</f>
        <v>100</v>
      </c>
      <c r="AE12">
        <f ca="1">IFERROR(INDEX(Dashboard!$K$5:$K$18,MATCH($A12,Dashboard!$B$5:$B$18,0)),0)</f>
        <v>15</v>
      </c>
      <c r="AF12" t="str">
        <f t="shared" ca="1" si="14"/>
        <v>Elite</v>
      </c>
      <c r="AG12">
        <f ca="1">COUNTIFS('Match Log'!$D$4:$D$810,$A12,'Match Log'!$B$4:$B$810,"&gt;="&amp;$B$5)</f>
        <v>13</v>
      </c>
      <c r="AH12">
        <f ca="1">COUNTIFS('Match Log'!$D$4:$D$810,$A12,'Match Log'!$B$4:$B$810,"&gt;="&amp;$B$5,'Match Log'!$E$4:$E$810,"Win")</f>
        <v>7</v>
      </c>
      <c r="AI12">
        <f t="shared" ca="1" si="15"/>
        <v>1127.0124117732892</v>
      </c>
    </row>
    <row r="13" spans="1:35" ht="15" customHeight="1" x14ac:dyDescent="0.2">
      <c r="A13" t="s">
        <v>168</v>
      </c>
      <c r="B13">
        <f>IFERROR(INDEX(Engine!$B$2:$B$15,MATCH($A13,Engine!$A$2:$A$15,0)),1000)</f>
        <v>1050.2393073123574</v>
      </c>
      <c r="C13">
        <f>IFERROR(INDEX(Engine!$C$2:$C$15,MATCH($A13,Engine!$A$2:$A$15,0)),"")</f>
        <v>1061.3840396343217</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2.5714285714285716</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At risk</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65.346009908580413</v>
      </c>
      <c r="AB13">
        <f t="shared" ca="1" si="13"/>
        <v>57.468724904498842</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170</v>
      </c>
      <c r="B14">
        <f>IFERROR(INDEX(Engine!$B$2:$B$15,MATCH($A14,Engine!$A$2:$A$15,0)),1000)</f>
        <v>1154.3708401956087</v>
      </c>
      <c r="C14">
        <f>IFERROR(INDEX(Engine!$C$2:$C$15,MATCH($A14,Engine!$A$2:$A$15,0)),"")</f>
        <v>1099.0182437933961</v>
      </c>
      <c r="D14">
        <f t="shared" si="0"/>
        <v>2</v>
      </c>
      <c r="E14">
        <f t="shared" si="1"/>
        <v>87.332096129444608</v>
      </c>
      <c r="F14" t="str">
        <f>IFERROR(LOOKUP(2,1/('Match Log'!$D$4:$D$810=$A14),'Match Log'!$E$4:$E$810),"")</f>
        <v>Win</v>
      </c>
      <c r="G14">
        <f>IF($F14="",0,SUMPRODUCT(('Match Log'!$D$4:$D$810=$A14)*(ROW('Match Log'!$A$4:$A$810)&gt;SUMPRODUCT(MAX(('Match Log'!$D$4:$D$810=$A14)*('Match Log'!$E$4:$E$810&lt;&gt;$F14)*ROW('Match Log'!$A$4:$A$810))))))</f>
        <v>2</v>
      </c>
      <c r="H14" t="str">
        <f t="shared" si="2"/>
        <v>W2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WWLWW</v>
      </c>
      <c r="J14">
        <f>IFERROR(LOOKUP(2,1/(('Match Log'!$D$4:$D$810=$A14)*('Match Log'!$B$4:$B$810&lt;=$B$3)),'Match Log'!$N$4:$N$810),1000)</f>
        <v>1104.3459294969905</v>
      </c>
      <c r="K14">
        <f t="shared" si="3"/>
        <v>3</v>
      </c>
      <c r="L14">
        <f t="shared" si="4"/>
        <v>1</v>
      </c>
      <c r="M14">
        <f t="shared" si="5"/>
        <v>7</v>
      </c>
      <c r="N14">
        <f t="shared" si="6"/>
        <v>4</v>
      </c>
      <c r="O14">
        <f t="shared" si="7"/>
        <v>2</v>
      </c>
      <c r="P14">
        <f>IFERROR(SUMPRODUCT(MAX(('Match Log'!$D$4:$D$810=$A14)*'Match Log'!$B$4:$B$810)),0)</f>
        <v>46241</v>
      </c>
      <c r="Q14">
        <f t="shared" ca="1" si="8"/>
        <v>0.8571428571428571</v>
      </c>
      <c r="R14">
        <f ca="1">IF($P14=0,0,IF($Q14&gt;='Guide &amp; Settings'!$C$48,(INT($Q14-'Guide &amp; Settings'!$C$48)+1)*'Guide &amp; Settings'!$C$49,0))</f>
        <v>0</v>
      </c>
      <c r="S14">
        <f ca="1">$B14-$R14-$U14+SUMIF('Poker Stake Ledger'!$C$18:$C$137,$A14,'Poker Stake Ledger'!$K$18:$K$137)</f>
        <v>1153.0208401956088</v>
      </c>
      <c r="T14" t="str">
        <f ca="1">IF($P14=0,"No games",IF($Q14&gt;='Guide &amp; Settings'!$C$48,"Inactive",IF($Q14&gt;='Guide &amp; Settings'!$C$47,"At risk","Active")))</f>
        <v>Active</v>
      </c>
      <c r="U14">
        <f>SUMIF('Match Log'!$D$4:$D$810,$A14,'Match Log'!$AC$4:$AC$810)</f>
        <v>0</v>
      </c>
      <c r="V14">
        <f t="shared" si="9"/>
        <v>0</v>
      </c>
      <c r="W14">
        <f t="shared" ca="1" si="10"/>
        <v>88.2552100489022</v>
      </c>
      <c r="X14">
        <f ca="1">IFERROR(INDEX(Dashboard!$G$5:$G$18,MATCH($A14,Dashboard!$B$5:$B$18,0))*100,0)</f>
        <v>46.05263157894737</v>
      </c>
      <c r="Y14">
        <f ca="1">MIN(100,IFERROR(INDEX(Dashboard!$K$5:$K$18,MATCH($A14,Dashboard!$B$5:$B$18,0)),0)/5*50+$AC14/4*50)</f>
        <v>100</v>
      </c>
      <c r="Z14">
        <f t="shared" si="11"/>
        <v>80</v>
      </c>
      <c r="AA14">
        <f t="shared" si="12"/>
        <v>74.754560948349024</v>
      </c>
      <c r="AB14">
        <f t="shared" ca="1" si="13"/>
        <v>79.575305927740146</v>
      </c>
      <c r="AC14">
        <f>IFERROR(SUMPRODUCT((INDEX('Sport Records'!$B$8:$O$26,0,MATCH($A14,'Sport Records'!$B$7:$O$7,0))&gt;=2)*(INDEX('Sport Records'!$B$58:$O$76,0,MATCH($A14,'Sport Records'!$B$57:$O$57,0))&gt;=0.5)),0)</f>
        <v>5</v>
      </c>
      <c r="AD14">
        <f ca="1">IFERROR(INDEX(Dashboard!$D$5:$D$18,MATCH($A14,Dashboard!$B$5:$B$18,0)),0)</f>
        <v>76</v>
      </c>
      <c r="AE14">
        <f ca="1">IFERROR(INDEX(Dashboard!$K$5:$K$18,MATCH($A14,Dashboard!$B$5:$B$18,0)),0)</f>
        <v>14</v>
      </c>
      <c r="AF14" t="str">
        <f t="shared" ca="1" si="14"/>
        <v>Elite</v>
      </c>
      <c r="AG14">
        <f ca="1">COUNTIFS('Match Log'!$D$4:$D$810,$A14,'Match Log'!$B$4:$B$810,"&gt;="&amp;$B$5)</f>
        <v>3</v>
      </c>
      <c r="AH14">
        <f ca="1">COUNTIFS('Match Log'!$D$4:$D$810,$A14,'Match Log'!$B$4:$B$810,"&gt;="&amp;$B$5,'Match Log'!$E$4:$E$810,"Win")</f>
        <v>2</v>
      </c>
      <c r="AI14">
        <f t="shared" ca="1" si="15"/>
        <v>1153.0208415956088</v>
      </c>
    </row>
    <row r="15" spans="1:35" ht="15" customHeight="1" x14ac:dyDescent="0.2">
      <c r="A15" t="s">
        <v>167</v>
      </c>
      <c r="B15">
        <f>IFERROR(INDEX(Engine!$B$2:$B$15,MATCH($A15,Engine!$A$2:$A$15,0)),1000)</f>
        <v>1241.7029363250533</v>
      </c>
      <c r="C15">
        <f>IFERROR(INDEX(Engine!$C$2:$C$15,MATCH($A15,Engine!$A$2:$A$15,0)),"")</f>
        <v>1089.0824405353462</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4.5714285714285712</v>
      </c>
      <c r="R15">
        <f ca="1">IF($P15=0,0,IF($Q15&gt;='Guide &amp; Settings'!$C$48,(INT($Q15-'Guide &amp; Settings'!$C$48)+1)*'Guide &amp; Settings'!$C$49,0))</f>
        <v>10</v>
      </c>
      <c r="S15">
        <f ca="1">$B15-$R15-$U15+SUMIF('Poker Stake Ledger'!$C$18:$C$137,$A15,'Poker Stake Ledger'!$K$18:$K$137)</f>
        <v>1231.7029363250533</v>
      </c>
      <c r="T15" t="str">
        <f ca="1">IF($P15=0,"No games",IF($Q15&gt;='Guide &amp; Settings'!$C$48,"Inactive",IF($Q15&gt;='Guide &amp; Settings'!$C$47,"At risk","Active")))</f>
        <v>Inactive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72.270610133836556</v>
      </c>
      <c r="AB15">
        <f t="shared" ca="1" si="13"/>
        <v>85.520164461659533</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1231.7029378250534</v>
      </c>
    </row>
    <row r="16" spans="1:35" ht="15" customHeight="1" x14ac:dyDescent="0.2">
      <c r="A16" t="s">
        <v>175</v>
      </c>
      <c r="B16">
        <f>IFERROR(INDEX(Engine!$B$2:$B$15,MATCH($A16,Engine!$A$2:$A$15,0)),1000)</f>
        <v>862.22294373677494</v>
      </c>
      <c r="C16">
        <f>IFERROR(INDEX(Engine!$C$2:$C$15,MATCH($A16,Engine!$A$2:$A$15,0)),"")</f>
        <v>1073.0840568270357</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3.5714285714285716</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68.271014206758935</v>
      </c>
      <c r="AB16">
        <f t="shared" ca="1" si="13"/>
        <v>20.938275664310368</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169</v>
      </c>
      <c r="B17">
        <f>IFERROR(INDEX(Engine!$B$2:$B$15,MATCH($A17,Engine!$A$2:$A$15,0)),1000)</f>
        <v>1054.3366131438215</v>
      </c>
      <c r="C17">
        <f>IFERROR(INDEX(Engine!$C$2:$C$15,MATCH($A17,Engine!$A$2:$A$15,0)),"")</f>
        <v>1094.5174179288522</v>
      </c>
      <c r="D17">
        <f t="shared" si="0"/>
        <v>6</v>
      </c>
      <c r="E17">
        <f t="shared" si="1"/>
        <v>187.36632318123179</v>
      </c>
      <c r="F17" t="str">
        <f>IFERROR(LOOKUP(2,1/('Match Log'!$D$4:$D$810=$A17),'Match Log'!$E$4:$E$810),"")</f>
        <v>Loss</v>
      </c>
      <c r="G17">
        <f>IF($F17="",0,SUMPRODUCT(('Match Log'!$D$4:$D$810=$A17)*(ROW('Match Log'!$A$4:$A$810)&gt;SUMPRODUCT(MAX(('Match Log'!$D$4:$D$810=$A17)*('Match Log'!$E$4:$E$810&lt;&gt;$F17)*ROW('Match Log'!$A$4:$A$810))))))</f>
        <v>6</v>
      </c>
      <c r="H17" t="str">
        <f t="shared" si="2"/>
        <v>L6</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1115.8211932271754</v>
      </c>
      <c r="K17">
        <f t="shared" si="3"/>
        <v>2</v>
      </c>
      <c r="L17">
        <f t="shared" si="4"/>
        <v>-4</v>
      </c>
      <c r="M17">
        <f t="shared" si="5"/>
        <v>4</v>
      </c>
      <c r="N17">
        <f t="shared" si="6"/>
        <v>0</v>
      </c>
      <c r="O17">
        <f t="shared" si="7"/>
        <v>0</v>
      </c>
      <c r="P17">
        <f>IFERROR(SUMPRODUCT(MAX(('Match Log'!$D$4:$D$810=$A17)*'Match Log'!$B$4:$B$810)),0)</f>
        <v>46243</v>
      </c>
      <c r="Q17">
        <f t="shared" ca="1" si="8"/>
        <v>0.5714285714285714</v>
      </c>
      <c r="R17">
        <f ca="1">IF($P17=0,0,IF($Q17&gt;='Guide &amp; Settings'!$C$48,(INT($Q17-'Guide &amp; Settings'!$C$48)+1)*'Guide &amp; Settings'!$C$49,0))</f>
        <v>0</v>
      </c>
      <c r="S17">
        <f ca="1">$B17-$R17-$U17+SUMIF('Poker Stake Ledger'!$C$18:$C$137,$A17,'Poker Stake Ledger'!$K$18:$K$137)</f>
        <v>1054.3366131438215</v>
      </c>
      <c r="T17" t="str">
        <f ca="1">IF($P17=0,"No games",IF($Q17&gt;='Guide &amp; Settings'!$C$48,"Inactive",IF($Q17&gt;='Guide &amp; Settings'!$C$47,"At risk","Active")))</f>
        <v>Active</v>
      </c>
      <c r="U17">
        <f>SUMIF('Match Log'!$D$4:$D$810,$A17,'Match Log'!$AC$4:$AC$810)</f>
        <v>0</v>
      </c>
      <c r="V17">
        <f t="shared" si="9"/>
        <v>6</v>
      </c>
      <c r="W17">
        <f t="shared" ca="1" si="10"/>
        <v>63.584153285955381</v>
      </c>
      <c r="X17">
        <f ca="1">IFERROR(INDEX(Dashboard!$G$5:$G$18,MATCH($A17,Dashboard!$B$5:$B$18,0))*100,0)</f>
        <v>42.372881355932201</v>
      </c>
      <c r="Y17">
        <f ca="1">MIN(100,IFERROR(INDEX(Dashboard!$K$5:$K$18,MATCH($A17,Dashboard!$B$5:$B$18,0)),0)/5*50+$AC17/4*50)</f>
        <v>100</v>
      </c>
      <c r="Z17">
        <f t="shared" si="11"/>
        <v>0</v>
      </c>
      <c r="AA17">
        <f t="shared" si="12"/>
        <v>73.629354482213046</v>
      </c>
      <c r="AB17">
        <f t="shared" ca="1" si="13"/>
        <v>58.091965369492129</v>
      </c>
      <c r="AC17">
        <f>IFERROR(SUMPRODUCT((INDEX('Sport Records'!$B$8:$O$26,0,MATCH($A17,'Sport Records'!$B$7:$O$7,0))&gt;=2)*(INDEX('Sport Records'!$B$58:$O$76,0,MATCH($A17,'Sport Records'!$B$57:$O$57,0))&gt;=0.5)),0)</f>
        <v>2</v>
      </c>
      <c r="AD17">
        <f ca="1">IFERROR(INDEX(Dashboard!$D$5:$D$18,MATCH($A17,Dashboard!$B$5:$B$18,0)),0)</f>
        <v>59</v>
      </c>
      <c r="AE17">
        <f ca="1">IFERROR(INDEX(Dashboard!$K$5:$K$18,MATCH($A17,Dashboard!$B$5:$B$18,0)),0)</f>
        <v>9</v>
      </c>
      <c r="AF17" t="str">
        <f t="shared" ca="1" si="14"/>
        <v>Strong</v>
      </c>
      <c r="AG17">
        <f ca="1">COUNTIFS('Match Log'!$D$4:$D$810,$A17,'Match Log'!$B$4:$B$810,"&gt;="&amp;$B$5)</f>
        <v>5</v>
      </c>
      <c r="AH17">
        <f ca="1">COUNTIFS('Match Log'!$D$4:$D$810,$A17,'Match Log'!$B$4:$B$810,"&gt;="&amp;$B$5,'Match Log'!$E$4:$E$810,"Win")</f>
        <v>0</v>
      </c>
      <c r="AI17">
        <f t="shared" ca="1" si="15"/>
        <v>1054.3366148438215</v>
      </c>
    </row>
    <row r="18" spans="1:35" ht="15" customHeight="1" x14ac:dyDescent="0.2">
      <c r="A18" t="s">
        <v>171</v>
      </c>
      <c r="B18">
        <f>IFERROR(INDEX(Engine!$B$2:$B$15,MATCH($A18,Engine!$A$2:$A$15,0)),1000)</f>
        <v>1012.1303999492304</v>
      </c>
      <c r="C18">
        <f>IFERROR(INDEX(Engine!$C$2:$C$15,MATCH($A18,Engine!$A$2:$A$15,0)),"")</f>
        <v>1061.1030588367298</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3.5714285714285716</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At risk</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65.275764709182454</v>
      </c>
      <c r="AB18">
        <f t="shared" ca="1" si="13"/>
        <v>47.588986466475909</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0</v>
      </c>
      <c r="AH18">
        <f ca="1">COUNTIFS('Match Log'!$D$4:$D$810,$A18,'Match Log'!$B$4:$B$810,"&gt;="&amp;$B$5,'Match Log'!$E$4:$E$810,"Win")</f>
        <v>0</v>
      </c>
      <c r="AI18">
        <f t="shared" ca="1" si="15"/>
        <v>1012.1304017492304</v>
      </c>
    </row>
    <row r="19" spans="1:35" ht="15" customHeight="1" x14ac:dyDescent="0.2">
      <c r="A19" t="s">
        <v>172</v>
      </c>
      <c r="B19">
        <f>IFERROR(INDEX(Engine!$B$2:$B$15,MATCH($A19,Engine!$A$2:$A$15,0)),1000)</f>
        <v>1080.3830919749923</v>
      </c>
      <c r="C19">
        <f>IFERROR(INDEX(Engine!$C$2:$C$15,MATCH($A19,Engine!$A$2:$A$15,0)),"")</f>
        <v>1051.1937613447224</v>
      </c>
      <c r="D19">
        <f t="shared" si="0"/>
        <v>5</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6</v>
      </c>
      <c r="L19">
        <f t="shared" si="4"/>
        <v>1</v>
      </c>
      <c r="M19">
        <f t="shared" si="5"/>
        <v>0</v>
      </c>
      <c r="N19">
        <f t="shared" si="6"/>
        <v>4</v>
      </c>
      <c r="O19">
        <f t="shared" si="7"/>
        <v>2</v>
      </c>
      <c r="P19">
        <f>IFERROR(SUMPRODUCT(MAX(('Match Log'!$D$4:$D$810=$A19)*'Match Log'!$B$4:$B$810)),0)</f>
        <v>46222</v>
      </c>
      <c r="Q19">
        <f t="shared" ca="1" si="8"/>
        <v>3.5714285714285716</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At risk</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62.79844033618059</v>
      </c>
      <c r="AB19">
        <f t="shared" ca="1" si="13"/>
        <v>67.146697914763223</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0</v>
      </c>
      <c r="AH19">
        <f ca="1">COUNTIFS('Match Log'!$D$4:$D$810,$A19,'Match Log'!$B$4:$B$810,"&gt;="&amp;$B$5,'Match Log'!$E$4:$E$810,"Win")</f>
        <v>0</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30"/>
        <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30"/>
        <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30"/>
        <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30"/>
        <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30"/>
        <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30"/>
        <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30"/>
        <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30"/>
        <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30"/>
        <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30"/>
        <v/>
      </c>
    </row>
    <row r="206" spans="1:25" x14ac:dyDescent="0.2">
      <c r="A206">
        <v>182</v>
      </c>
      <c r="B206">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f>IFERROR(INDEX('Match Log'!$F$4:$F$810,MATCH(182,'Match Log'!$A$4:$A$810,0)),"")</f>
        <v>2</v>
      </c>
      <c r="F206">
        <f>IFERROR(SUMIFS('Match Log'!$I$4:$I$810,'Match Log'!$A$4:$A$810,182,'Match Log'!$E$4:$E$810,"Win"),"")</f>
        <v>0.29651162790697672</v>
      </c>
      <c r="G206">
        <f t="shared" si="28"/>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9"/>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30"/>
        <v/>
      </c>
    </row>
    <row r="207" spans="1:25" x14ac:dyDescent="0.2">
      <c r="A207">
        <v>183</v>
      </c>
      <c r="B207">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f>IFERROR(INDEX('Match Log'!$F$4:$F$810,MATCH(183,'Match Log'!$A$4:$A$810,0)),"")</f>
        <v>2</v>
      </c>
      <c r="F207">
        <f>IFERROR(SUMIFS('Match Log'!$I$4:$I$810,'Match Log'!$A$4:$A$810,183,'Match Log'!$E$4:$E$810,"Win"),"")</f>
        <v>0.6470588235294118</v>
      </c>
      <c r="G207">
        <f t="shared" si="28"/>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9"/>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30"/>
        <v/>
      </c>
    </row>
    <row r="208" spans="1:25" x14ac:dyDescent="0.2">
      <c r="A208">
        <v>184</v>
      </c>
      <c r="B20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f>IFERROR(INDEX('Match Log'!$F$4:$F$810,MATCH(184,'Match Log'!$A$4:$A$810,0)),"")</f>
        <v>2</v>
      </c>
      <c r="F208">
        <f>IFERROR(SUMIFS('Match Log'!$I$4:$I$810,'Match Log'!$A$4:$A$810,184,'Match Log'!$E$4:$E$810,"Win"),"")</f>
        <v>0.67241379310344829</v>
      </c>
      <c r="G208">
        <f t="shared" si="28"/>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9"/>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30"/>
        <v/>
      </c>
    </row>
    <row r="209" spans="1:25" x14ac:dyDescent="0.2">
      <c r="A209">
        <v>185</v>
      </c>
      <c r="B209">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f>IFERROR(INDEX('Match Log'!$F$4:$F$810,MATCH(185,'Match Log'!$A$4:$A$810,0)),"")</f>
        <v>2</v>
      </c>
      <c r="F209">
        <f>IFERROR(SUMIFS('Match Log'!$I$4:$I$810,'Match Log'!$A$4:$A$810,185,'Match Log'!$E$4:$E$810,"Win"),"")</f>
        <v>0.30534351145038163</v>
      </c>
      <c r="G209">
        <f t="shared" ref="G209:G272" si="31">IF($D209="","",1-$F209*$E209)</f>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ref="I209:I272" si="32">IF($G209="","",$G209-$A209/1000000)</f>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ref="Y209:Y272" ca="1" si="33">IF(AND($B209&lt;&gt;"",$B209&gt;=$B$5,$I209&lt;&gt;""),$I209,"")</f>
        <v/>
      </c>
    </row>
    <row r="210" spans="1:25" x14ac:dyDescent="0.2">
      <c r="A210">
        <v>186</v>
      </c>
      <c r="B210">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f>IFERROR(INDEX('Match Log'!$F$4:$F$810,MATCH(186,'Match Log'!$A$4:$A$810,0)),"")</f>
        <v>2</v>
      </c>
      <c r="F210">
        <f>IFERROR(SUMIFS('Match Log'!$I$4:$I$810,'Match Log'!$A$4:$A$810,186,'Match Log'!$E$4:$E$810,"Win"),"")</f>
        <v>0.35</v>
      </c>
      <c r="G210">
        <f t="shared" si="31"/>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32"/>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33"/>
        <v/>
      </c>
    </row>
    <row r="211" spans="1:25" x14ac:dyDescent="0.2">
      <c r="A211">
        <v>187</v>
      </c>
      <c r="B211">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f>IFERROR(INDEX('Match Log'!$F$4:$F$810,MATCH(187,'Match Log'!$A$4:$A$810,0)),"")</f>
        <v>2</v>
      </c>
      <c r="F211">
        <f>IFERROR(SUMIFS('Match Log'!$I$4:$I$810,'Match Log'!$A$4:$A$810,187,'Match Log'!$E$4:$E$810,"Win"),"")</f>
        <v>0.61176470588235299</v>
      </c>
      <c r="G211">
        <f t="shared" si="31"/>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32"/>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f t="shared" ca="1" si="33"/>
        <v>-0.22371641176470597</v>
      </c>
    </row>
    <row r="212" spans="1:25" x14ac:dyDescent="0.2">
      <c r="A212">
        <v>188</v>
      </c>
      <c r="B212">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f>IFERROR(INDEX('Match Log'!$F$4:$F$810,MATCH(188,'Match Log'!$A$4:$A$810,0)),"")</f>
        <v>3</v>
      </c>
      <c r="F212">
        <f>IFERROR(SUMIFS('Match Log'!$I$4:$I$810,'Match Log'!$A$4:$A$810,188,'Match Log'!$E$4:$E$810,"Win"),"")</f>
        <v>0.46217331499312247</v>
      </c>
      <c r="G212">
        <f t="shared" si="31"/>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32"/>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f t="shared" ca="1" si="33"/>
        <v>-0.3867079449793675</v>
      </c>
    </row>
    <row r="213" spans="1:25" x14ac:dyDescent="0.2">
      <c r="A213">
        <v>189</v>
      </c>
      <c r="B213">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f>IFERROR(INDEX('Match Log'!$F$4:$F$810,MATCH(189,'Match Log'!$A$4:$A$810,0)),"")</f>
        <v>3</v>
      </c>
      <c r="F213">
        <f>IFERROR(SUMIFS('Match Log'!$I$4:$I$810,'Match Log'!$A$4:$A$810,189,'Match Log'!$E$4:$E$810,"Win"),"")</f>
        <v>0.27617951668584578</v>
      </c>
      <c r="G213">
        <f t="shared" si="31"/>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32"/>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f t="shared" ca="1" si="33"/>
        <v>0.17127244994246271</v>
      </c>
    </row>
    <row r="214" spans="1:25" x14ac:dyDescent="0.2">
      <c r="A214">
        <v>190</v>
      </c>
      <c r="B214">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f>IFERROR(INDEX('Match Log'!$F$4:$F$810,MATCH(190,'Match Log'!$A$4:$A$810,0)),"")</f>
        <v>3</v>
      </c>
      <c r="F214">
        <f>IFERROR(SUMIFS('Match Log'!$I$4:$I$810,'Match Log'!$A$4:$A$810,190,'Match Log'!$E$4:$E$810,"Win"),"")</f>
        <v>0.30824659727782228</v>
      </c>
      <c r="G214">
        <f t="shared" si="31"/>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32"/>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f t="shared" ca="1" si="33"/>
        <v>7.5070208166533231E-2</v>
      </c>
    </row>
    <row r="215" spans="1:25" x14ac:dyDescent="0.2">
      <c r="A215">
        <v>191</v>
      </c>
      <c r="B215">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f>IFERROR(INDEX('Match Log'!$F$4:$F$810,MATCH(191,'Match Log'!$A$4:$A$810,0)),"")</f>
        <v>2</v>
      </c>
      <c r="F215">
        <f>IFERROR(SUMIFS('Match Log'!$I$4:$I$810,'Match Log'!$A$4:$A$810,191,'Match Log'!$E$4:$E$810,"Win"),"")</f>
        <v>0.69767441860465118</v>
      </c>
      <c r="G215">
        <f t="shared" si="31"/>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32"/>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f t="shared" ca="1" si="33"/>
        <v>-0.39553983720930236</v>
      </c>
    </row>
    <row r="216" spans="1:25" x14ac:dyDescent="0.2">
      <c r="A216">
        <v>192</v>
      </c>
      <c r="B216">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f>IFERROR(INDEX('Match Log'!$F$4:$F$810,MATCH(192,'Match Log'!$A$4:$A$810,0)),"")</f>
        <v>2</v>
      </c>
      <c r="F216">
        <f>IFERROR(SUMIFS('Match Log'!$I$4:$I$810,'Match Log'!$A$4:$A$810,192,'Match Log'!$E$4:$E$810,"Win"),"")</f>
        <v>0.8666666666666667</v>
      </c>
      <c r="G216">
        <f t="shared" si="31"/>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32"/>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f t="shared" ca="1" si="33"/>
        <v>-0.73352533333333336</v>
      </c>
    </row>
    <row r="217" spans="1:25" x14ac:dyDescent="0.2">
      <c r="A217">
        <v>193</v>
      </c>
      <c r="B217">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f>IFERROR(INDEX('Match Log'!$F$4:$F$810,MATCH(193,'Match Log'!$A$4:$A$810,0)),"")</f>
        <v>2</v>
      </c>
      <c r="F217">
        <f>IFERROR(SUMIFS('Match Log'!$I$4:$I$810,'Match Log'!$A$4:$A$810,193,'Match Log'!$E$4:$E$810,"Win"),"")</f>
        <v>0.60000000000000009</v>
      </c>
      <c r="G217">
        <f t="shared" si="31"/>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si="32"/>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f t="shared" ca="1" si="33"/>
        <v>-0.20019300000000018</v>
      </c>
    </row>
    <row r="218" spans="1:25" x14ac:dyDescent="0.2">
      <c r="A218">
        <v>194</v>
      </c>
      <c r="B21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f>IFERROR(INDEX('Match Log'!$F$4:$F$810,MATCH(194,'Match Log'!$A$4:$A$810,0)),"")</f>
        <v>2</v>
      </c>
      <c r="F218">
        <f>IFERROR(SUMIFS('Match Log'!$I$4:$I$810,'Match Log'!$A$4:$A$810,194,'Match Log'!$E$4:$E$810,"Win"),"")</f>
        <v>0.33333333333333331</v>
      </c>
      <c r="G218">
        <f t="shared" si="31"/>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32"/>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f t="shared" ca="1" si="33"/>
        <v>0.33313933333333334</v>
      </c>
    </row>
    <row r="219" spans="1:25" x14ac:dyDescent="0.2">
      <c r="A219">
        <v>195</v>
      </c>
      <c r="B219">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f>IFERROR(INDEX('Match Log'!$F$4:$F$810,MATCH(195,'Match Log'!$A$4:$A$810,0)),"")</f>
        <v>2</v>
      </c>
      <c r="F219">
        <f>IFERROR(SUMIFS('Match Log'!$I$4:$I$810,'Match Log'!$A$4:$A$810,195,'Match Log'!$E$4:$E$810,"Win"),"")</f>
        <v>0.45454545454545447</v>
      </c>
      <c r="G219">
        <f t="shared" si="31"/>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32"/>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f t="shared" ca="1" si="33"/>
        <v>9.071409090909105E-2</v>
      </c>
    </row>
    <row r="220" spans="1:25" x14ac:dyDescent="0.2">
      <c r="A220">
        <v>196</v>
      </c>
      <c r="B220">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f>IFERROR(INDEX('Match Log'!$F$4:$F$810,MATCH(196,'Match Log'!$A$4:$A$810,0)),"")</f>
        <v>2</v>
      </c>
      <c r="F220">
        <f>IFERROR(SUMIFS('Match Log'!$I$4:$I$810,'Match Log'!$A$4:$A$810,196,'Match Log'!$E$4:$E$810,"Win"),"")</f>
        <v>0.4285714285714286</v>
      </c>
      <c r="G220">
        <f t="shared" si="31"/>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32"/>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f t="shared" ca="1" si="33"/>
        <v>0.14266114285714279</v>
      </c>
    </row>
    <row r="221" spans="1:25" x14ac:dyDescent="0.2">
      <c r="A221">
        <v>197</v>
      </c>
      <c r="B221">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f>IFERROR(INDEX('Match Log'!$F$4:$F$810,MATCH(197,'Match Log'!$A$4:$A$810,0)),"")</f>
        <v>2</v>
      </c>
      <c r="F221">
        <f>IFERROR(SUMIFS('Match Log'!$I$4:$I$810,'Match Log'!$A$4:$A$810,197,'Match Log'!$E$4:$E$810,"Win"),"")</f>
        <v>0.4</v>
      </c>
      <c r="G221">
        <f t="shared" si="31"/>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32"/>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f t="shared" ca="1" si="33"/>
        <v>0.19980299999999995</v>
      </c>
    </row>
    <row r="222" spans="1:25" x14ac:dyDescent="0.2">
      <c r="A222">
        <v>198</v>
      </c>
      <c r="B222">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f>IFERROR(INDEX('Match Log'!$F$4:$F$810,MATCH(198,'Match Log'!$A$4:$A$810,0)),"")</f>
        <v>2</v>
      </c>
      <c r="F222">
        <f>IFERROR(SUMIFS('Match Log'!$I$4:$I$810,'Match Log'!$A$4:$A$810,198,'Match Log'!$E$4:$E$810,"Win"),"")</f>
        <v>0.4</v>
      </c>
      <c r="G222">
        <f t="shared" si="31"/>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32"/>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f t="shared" ca="1" si="33"/>
        <v>0.19980199999999995</v>
      </c>
    </row>
    <row r="223" spans="1:25" x14ac:dyDescent="0.2">
      <c r="A223">
        <v>199</v>
      </c>
      <c r="B223">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f>IFERROR(INDEX('Match Log'!$F$4:$F$810,MATCH(199,'Match Log'!$A$4:$A$810,0)),"")</f>
        <v>2</v>
      </c>
      <c r="F223">
        <f>IFERROR(SUMIFS('Match Log'!$I$4:$I$810,'Match Log'!$A$4:$A$810,199,'Match Log'!$E$4:$E$810,"Win"),"")</f>
        <v>0.44444444444444448</v>
      </c>
      <c r="G223">
        <f t="shared" si="31"/>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32"/>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f t="shared" ca="1" si="33"/>
        <v>0.11091211111111104</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1099.9321053362805</v>
      </c>
      <c r="D2">
        <f>$B$2</f>
        <v>1009.8261046694705</v>
      </c>
      <c r="E2">
        <f>$B$3</f>
        <v>1029.5175965335138</v>
      </c>
      <c r="F2">
        <f>$B$4</f>
        <v>1037.8197114720938</v>
      </c>
      <c r="G2">
        <f>$B$5</f>
        <v>973.19705892757202</v>
      </c>
      <c r="H2">
        <f>$B$6</f>
        <v>1105.4909851862215</v>
      </c>
      <c r="I2">
        <f>$B$7</f>
        <v>1130.7624105732891</v>
      </c>
      <c r="J2">
        <f>$B$8</f>
        <v>1050.2393073123574</v>
      </c>
      <c r="K2">
        <f>$B$9</f>
        <v>1154.3708401956087</v>
      </c>
      <c r="L2">
        <f>$B$10</f>
        <v>1241.7029363250533</v>
      </c>
      <c r="M2">
        <f>$B$11</f>
        <v>862.22294373677494</v>
      </c>
      <c r="N2">
        <f>$B$12</f>
        <v>1054.3366131438215</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1068.7234592074572</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1082.2675846655518</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1078.4634044736506</v>
      </c>
    </row>
    <row r="6" spans="1:17" ht="15" customHeight="1" x14ac:dyDescent="0.2">
      <c r="A6" t="s">
        <v>137</v>
      </c>
      <c r="B6">
        <f>IF(COUNTIF('Match Log'!$D$4:$D$810,$A6)=0,'Guide &amp; Settings'!$C$41,IFERROR(LOOKUP(2,1/('Match Log'!$D$4:$D$810=$A6),'Match Log'!$N$4:$N$810),'Guide &amp; Settings'!$C$41))</f>
        <v>1105.4909851862215</v>
      </c>
      <c r="C6">
        <f>IFERROR(SUMPRODUCT(INDEX('Head-to-Head'!$B$22:$O$35,5,0),$D$2:$Q$2)/SUM(INDEX('Head-to-Head'!$B$22:$O$35,5,0)),"")</f>
        <v>1099.5243470981909</v>
      </c>
    </row>
    <row r="7" spans="1:17" ht="15" customHeight="1" x14ac:dyDescent="0.2">
      <c r="A7" t="s">
        <v>134</v>
      </c>
      <c r="B7">
        <f>IF(COUNTIF('Match Log'!$D$4:$D$810,$A7)=0,'Guide &amp; Settings'!$C$41,IFERROR(LOOKUP(2,1/('Match Log'!$D$4:$D$810=$A7),'Match Log'!$N$4:$N$810),'Guide &amp; Settings'!$C$41))</f>
        <v>1130.7624105732891</v>
      </c>
      <c r="C7">
        <f>IFERROR(SUMPRODUCT(INDEX('Head-to-Head'!$B$22:$O$35,6,0),$D$2:$Q$2)/SUM(INDEX('Head-to-Head'!$B$22:$O$35,6,0)),"")</f>
        <v>1075.7730775841335</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1061.3840396343217</v>
      </c>
    </row>
    <row r="9" spans="1:17" ht="15" customHeight="1" x14ac:dyDescent="0.2">
      <c r="A9" t="s">
        <v>170</v>
      </c>
      <c r="B9">
        <f>IF(COUNTIF('Match Log'!$D$4:$D$810,$A9)=0,'Guide &amp; Settings'!$C$41,IFERROR(LOOKUP(2,1/('Match Log'!$D$4:$D$810=$A9),'Match Log'!$N$4:$N$810),'Guide &amp; Settings'!$C$41))</f>
        <v>1154.3708401956087</v>
      </c>
      <c r="C9">
        <f>IFERROR(SUMPRODUCT(INDEX('Head-to-Head'!$B$22:$O$35,8,0),$D$2:$Q$2)/SUM(INDEX('Head-to-Head'!$B$22:$O$35,8,0)),"")</f>
        <v>1099.0182437933961</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1089.0824405353462</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1073.0840568270357</v>
      </c>
    </row>
    <row r="12" spans="1:17" ht="15" customHeight="1" x14ac:dyDescent="0.2">
      <c r="A12" t="s">
        <v>169</v>
      </c>
      <c r="B12">
        <f>IF(COUNTIF('Match Log'!$D$4:$D$810,$A12)=0,'Guide &amp; Settings'!$C$41,IFERROR(LOOKUP(2,1/('Match Log'!$D$4:$D$810=$A12),'Match Log'!$N$4:$N$810),'Guide &amp; Settings'!$C$41))</f>
        <v>1054.3366131438215</v>
      </c>
      <c r="C12">
        <f>IFERROR(SUMPRODUCT(INDEX('Head-to-Head'!$B$22:$O$35,11,0),$D$2:$Q$2)/SUM(INDEX('Head-to-Head'!$B$22:$O$35,11,0)),"")</f>
        <v>1094.5174179288522</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1061.1030588367298</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1051.1937613447224</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2026-08-13T04:07:29Z</dcterms:modified>
  <dc:language>en-US</dc:language>
</cp:coreProperties>
</file>