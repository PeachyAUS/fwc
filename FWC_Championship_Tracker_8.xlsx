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E2DC9FB6-4D63-284F-BF3C-776E02B1197A}"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D225" i="11" a="1"/>
  <c r="D225" i="11" s="1"/>
  <c r="C225" i="11"/>
  <c r="B225" i="11"/>
  <c r="X224" i="11"/>
  <c r="D224" i="11" a="1"/>
  <c r="D224" i="11" s="1"/>
  <c r="C224" i="11"/>
  <c r="B224" i="11"/>
  <c r="X223" i="11"/>
  <c r="D223" i="11" a="1"/>
  <c r="D223" i="11" s="1"/>
  <c r="C223" i="11"/>
  <c r="B223" i="11"/>
  <c r="X222" i="11"/>
  <c r="D222" i="11" a="1"/>
  <c r="D222" i="11" s="1"/>
  <c r="C222" i="11"/>
  <c r="B222" i="11"/>
  <c r="X221" i="11"/>
  <c r="D221" i="11" a="1"/>
  <c r="D221" i="11" s="1"/>
  <c r="C221" i="11"/>
  <c r="B221" i="11"/>
  <c r="X220" i="11"/>
  <c r="D220" i="11" a="1"/>
  <c r="D220" i="11" s="1"/>
  <c r="C220" i="11"/>
  <c r="B220" i="11"/>
  <c r="X219" i="11"/>
  <c r="D219" i="11" a="1"/>
  <c r="D219" i="11" s="1"/>
  <c r="C219" i="11"/>
  <c r="B219" i="11"/>
  <c r="X218" i="11"/>
  <c r="D218" i="11" a="1"/>
  <c r="D218" i="11" s="1"/>
  <c r="C218" i="11"/>
  <c r="B218" i="11"/>
  <c r="X217" i="11"/>
  <c r="D217" i="11" a="1"/>
  <c r="D217" i="11" s="1"/>
  <c r="C217" i="11"/>
  <c r="B217" i="11"/>
  <c r="X216" i="11"/>
  <c r="D216" i="11" a="1"/>
  <c r="D216" i="11" s="1"/>
  <c r="C216" i="11"/>
  <c r="B216" i="11"/>
  <c r="X215" i="11"/>
  <c r="D215" i="11" a="1"/>
  <c r="D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E122" i="6"/>
  <c r="D122" i="6"/>
  <c r="C122" i="6"/>
  <c r="B122" i="6"/>
  <c r="O121" i="6"/>
  <c r="N121" i="6"/>
  <c r="M121" i="6"/>
  <c r="L121" i="6"/>
  <c r="K121" i="6"/>
  <c r="J121" i="6"/>
  <c r="H121" i="6"/>
  <c r="E121" i="6"/>
  <c r="D121" i="6"/>
  <c r="C121" i="6"/>
  <c r="B121" i="6"/>
  <c r="O120" i="6"/>
  <c r="N120" i="6"/>
  <c r="M120" i="6"/>
  <c r="L120" i="6"/>
  <c r="K120" i="6"/>
  <c r="H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B27" i="4"/>
  <c r="F26" i="4"/>
  <c r="E26" i="4"/>
  <c r="F25" i="4"/>
  <c r="E25" i="4"/>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T467" i="9"/>
  <c r="R467" i="9"/>
  <c r="O467" i="9"/>
  <c r="G467" i="9"/>
  <c r="F467" i="9"/>
  <c r="L467" i="9" s="1"/>
  <c r="AC466" i="9"/>
  <c r="T466" i="9"/>
  <c r="R466" i="9"/>
  <c r="O466" i="9"/>
  <c r="G466" i="9"/>
  <c r="F466" i="9"/>
  <c r="E225" i="11" s="1"/>
  <c r="H225" i="11" s="1" a="1"/>
  <c r="H225" i="11" s="1"/>
  <c r="AC465" i="9"/>
  <c r="T465" i="9"/>
  <c r="R465" i="9"/>
  <c r="O465" i="9"/>
  <c r="G465" i="9"/>
  <c r="F465" i="9"/>
  <c r="L465" i="9" s="1"/>
  <c r="AC464" i="9"/>
  <c r="T464" i="9"/>
  <c r="R464" i="9"/>
  <c r="O464" i="9"/>
  <c r="G464" i="9"/>
  <c r="F464" i="9"/>
  <c r="E224" i="11" s="1"/>
  <c r="H224" i="11" s="1" a="1"/>
  <c r="H224" i="11" s="1"/>
  <c r="AC463" i="9"/>
  <c r="T463" i="9"/>
  <c r="R463" i="9"/>
  <c r="O463" i="9"/>
  <c r="G463" i="9"/>
  <c r="F463" i="9"/>
  <c r="L463" i="9" s="1"/>
  <c r="AC462" i="9"/>
  <c r="T462" i="9"/>
  <c r="R462" i="9"/>
  <c r="O462" i="9"/>
  <c r="G462" i="9"/>
  <c r="F462" i="9"/>
  <c r="E223" i="11" s="1"/>
  <c r="H223" i="11" s="1" a="1"/>
  <c r="H223" i="11" s="1"/>
  <c r="AC461" i="9"/>
  <c r="T461" i="9"/>
  <c r="R461" i="9"/>
  <c r="O461" i="9"/>
  <c r="G461" i="9"/>
  <c r="F461" i="9"/>
  <c r="L461" i="9" s="1"/>
  <c r="AC460" i="9"/>
  <c r="T460" i="9"/>
  <c r="R460" i="9"/>
  <c r="O460" i="9"/>
  <c r="G460" i="9"/>
  <c r="F460" i="9"/>
  <c r="E222" i="11" s="1"/>
  <c r="H222" i="11" s="1" a="1"/>
  <c r="H222" i="11" s="1"/>
  <c r="AC459" i="9"/>
  <c r="T459" i="9"/>
  <c r="R459" i="9"/>
  <c r="O459" i="9"/>
  <c r="G459" i="9"/>
  <c r="F459" i="9"/>
  <c r="L459" i="9" s="1"/>
  <c r="AC458" i="9"/>
  <c r="U458" i="9"/>
  <c r="T458" i="9"/>
  <c r="R458" i="9"/>
  <c r="O458" i="9"/>
  <c r="G458" i="9"/>
  <c r="F458" i="9"/>
  <c r="E221" i="11" s="1"/>
  <c r="H221" i="11" s="1" a="1"/>
  <c r="H221" i="11" s="1"/>
  <c r="AC457" i="9"/>
  <c r="T457" i="9"/>
  <c r="R457" i="9"/>
  <c r="O457" i="9"/>
  <c r="G457" i="9"/>
  <c r="F457" i="9"/>
  <c r="L457" i="9" s="1"/>
  <c r="AC456" i="9"/>
  <c r="U456" i="9"/>
  <c r="Y457" i="9" s="1"/>
  <c r="T456" i="9"/>
  <c r="R456" i="9"/>
  <c r="O456" i="9"/>
  <c r="G456" i="9"/>
  <c r="F456" i="9"/>
  <c r="E220" i="11" s="1"/>
  <c r="H220" i="11" s="1" a="1"/>
  <c r="H220" i="11" s="1"/>
  <c r="AC455" i="9"/>
  <c r="T455" i="9"/>
  <c r="R455" i="9"/>
  <c r="O455" i="9"/>
  <c r="G455" i="9"/>
  <c r="F455" i="9"/>
  <c r="L455" i="9" s="1"/>
  <c r="AC454" i="9"/>
  <c r="T454" i="9"/>
  <c r="R454" i="9"/>
  <c r="O454" i="9"/>
  <c r="G454" i="9"/>
  <c r="F454" i="9"/>
  <c r="E219" i="11" s="1"/>
  <c r="H219" i="11" s="1" a="1"/>
  <c r="H219" i="11" s="1"/>
  <c r="AC453" i="9"/>
  <c r="T453" i="9"/>
  <c r="R453" i="9"/>
  <c r="O453" i="9"/>
  <c r="G453" i="9"/>
  <c r="F453" i="9"/>
  <c r="L453" i="9" s="1"/>
  <c r="AC452" i="9"/>
  <c r="U452" i="9"/>
  <c r="T452" i="9"/>
  <c r="R452" i="9"/>
  <c r="O452" i="9"/>
  <c r="G452" i="9"/>
  <c r="F452" i="9"/>
  <c r="E218" i="11" s="1"/>
  <c r="H218" i="11" s="1" a="1"/>
  <c r="H218" i="11" s="1"/>
  <c r="AC451" i="9"/>
  <c r="T451" i="9"/>
  <c r="R451" i="9"/>
  <c r="O451" i="9"/>
  <c r="G451" i="9"/>
  <c r="F451" i="9"/>
  <c r="L451" i="9" s="1"/>
  <c r="AC450" i="9"/>
  <c r="U450" i="9"/>
  <c r="Y450" i="9" s="1"/>
  <c r="T450" i="9"/>
  <c r="R450" i="9"/>
  <c r="O450" i="9"/>
  <c r="G450" i="9"/>
  <c r="F450" i="9"/>
  <c r="E217" i="11" s="1"/>
  <c r="H217" i="11" s="1" a="1"/>
  <c r="H217" i="11" s="1"/>
  <c r="AC449" i="9"/>
  <c r="T449" i="9"/>
  <c r="R449" i="9"/>
  <c r="O449" i="9"/>
  <c r="G449" i="9"/>
  <c r="F449" i="9"/>
  <c r="L449" i="9" s="1"/>
  <c r="AC448" i="9"/>
  <c r="U448" i="9"/>
  <c r="Y448" i="9" s="1"/>
  <c r="T448" i="9"/>
  <c r="R448" i="9"/>
  <c r="O448" i="9"/>
  <c r="G448" i="9"/>
  <c r="F448" i="9"/>
  <c r="E216" i="11" s="1"/>
  <c r="H216" i="11" s="1" a="1"/>
  <c r="H216" i="11" s="1"/>
  <c r="AC447" i="9"/>
  <c r="T447" i="9"/>
  <c r="R447" i="9"/>
  <c r="O447" i="9"/>
  <c r="G447" i="9"/>
  <c r="F447" i="9"/>
  <c r="L447" i="9" s="1"/>
  <c r="AC446" i="9"/>
  <c r="T446" i="9"/>
  <c r="R446" i="9"/>
  <c r="O446" i="9"/>
  <c r="G446" i="9"/>
  <c r="F446" i="9"/>
  <c r="E215" i="11" s="1"/>
  <c r="H215" i="11" s="1" a="1"/>
  <c r="H215" i="11" s="1"/>
  <c r="AC445" i="9"/>
  <c r="T445" i="9"/>
  <c r="R445" i="9"/>
  <c r="O445" i="9"/>
  <c r="G445" i="9"/>
  <c r="F445" i="9"/>
  <c r="L445" i="9" s="1"/>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67" i="9" l="1"/>
  <c r="I467" i="9" s="1"/>
  <c r="K467" i="9" s="1"/>
  <c r="L466" i="9"/>
  <c r="S466" i="9"/>
  <c r="I466" i="9" s="1"/>
  <c r="K466" i="9" s="1"/>
  <c r="S464" i="9"/>
  <c r="I464" i="9" s="1"/>
  <c r="K464" i="9" s="1"/>
  <c r="S465" i="9"/>
  <c r="I465" i="9" s="1"/>
  <c r="L464" i="9"/>
  <c r="G27" i="4"/>
  <c r="S462" i="9"/>
  <c r="I462" i="9" s="1"/>
  <c r="K462" i="9" s="1"/>
  <c r="S463" i="9"/>
  <c r="I463" i="9" s="1"/>
  <c r="L462" i="9"/>
  <c r="S460" i="9"/>
  <c r="I460" i="9" s="1"/>
  <c r="S461" i="9"/>
  <c r="I461" i="9" s="1"/>
  <c r="K461" i="9" s="1"/>
  <c r="L460" i="9"/>
  <c r="S458" i="9"/>
  <c r="I458" i="9" s="1"/>
  <c r="K458" i="9" s="1"/>
  <c r="S459" i="9"/>
  <c r="I459" i="9" s="1"/>
  <c r="G79" i="6"/>
  <c r="W63" i="8" s="1"/>
  <c r="L458" i="9"/>
  <c r="G80" i="6"/>
  <c r="X63" i="8" s="1"/>
  <c r="S456" i="9"/>
  <c r="I456" i="9" s="1"/>
  <c r="K456" i="9" s="1"/>
  <c r="Y456" i="9"/>
  <c r="Z456" i="9" s="1"/>
  <c r="L456" i="9"/>
  <c r="S457" i="9"/>
  <c r="I457" i="9" s="1"/>
  <c r="K457" i="9" s="1"/>
  <c r="S454" i="9"/>
  <c r="I454" i="9" s="1"/>
  <c r="S455" i="9"/>
  <c r="I455" i="9" s="1"/>
  <c r="K455" i="9" s="1"/>
  <c r="L454" i="9"/>
  <c r="S453" i="9"/>
  <c r="I453" i="9" s="1"/>
  <c r="L452" i="9"/>
  <c r="G62" i="6"/>
  <c r="F63" i="8" s="1"/>
  <c r="G78" i="6"/>
  <c r="V63" i="8" s="1"/>
  <c r="S452" i="9"/>
  <c r="I452" i="9" s="1"/>
  <c r="K452" i="9" s="1"/>
  <c r="Y451" i="9"/>
  <c r="S451" i="9"/>
  <c r="I451" i="9" s="1"/>
  <c r="K451" i="9" s="1"/>
  <c r="L450" i="9"/>
  <c r="S450" i="9"/>
  <c r="I450" i="9" s="1"/>
  <c r="Z450" i="9"/>
  <c r="Y449" i="9"/>
  <c r="B20" i="11"/>
  <c r="S448" i="9"/>
  <c r="I448" i="9" s="1"/>
  <c r="S449" i="9"/>
  <c r="I449" i="9" s="1"/>
  <c r="K449" i="9" s="1"/>
  <c r="Z448" i="9"/>
  <c r="L448" i="9"/>
  <c r="F71" i="6"/>
  <c r="O62" i="8" s="1"/>
  <c r="S446" i="9"/>
  <c r="I446" i="9" s="1"/>
  <c r="K446" i="9" s="1"/>
  <c r="S447" i="9"/>
  <c r="I447" i="9" s="1"/>
  <c r="K447" i="9" s="1"/>
  <c r="L446" i="9"/>
  <c r="S443" i="9"/>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F66" i="11" s="1"/>
  <c r="S107" i="9"/>
  <c r="I107" i="9" s="1"/>
  <c r="K107" i="9" s="1"/>
  <c r="D27" i="8"/>
  <c r="L196" i="9"/>
  <c r="S244" i="9"/>
  <c r="I244" i="9" s="1"/>
  <c r="F122" i="11" s="1"/>
  <c r="G122" i="11" s="1"/>
  <c r="I122" i="11" s="1"/>
  <c r="Y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F67" i="11"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379" i="11"/>
  <c r="Y344" i="11"/>
  <c r="Y337" i="11"/>
  <c r="Y285" i="11"/>
  <c r="Y248" i="11"/>
  <c r="Y244" i="11"/>
  <c r="Y236" i="11"/>
  <c r="Y397" i="11"/>
  <c r="Y371" i="11"/>
  <c r="Y356" i="11"/>
  <c r="Y349" i="11"/>
  <c r="Y413" i="11"/>
  <c r="Y366" i="11"/>
  <c r="Y351" i="11"/>
  <c r="Y323" i="11"/>
  <c r="Y289" i="11"/>
  <c r="Y280" i="11"/>
  <c r="Y339" i="11"/>
  <c r="Y271" i="11"/>
  <c r="Y427" i="11"/>
  <c r="Y399" i="11"/>
  <c r="Y381" i="11"/>
  <c r="Y302" i="11"/>
  <c r="Y269" i="11"/>
  <c r="AG20" i="11"/>
  <c r="AG19" i="11"/>
  <c r="Y76" i="11"/>
  <c r="AH15" i="11"/>
  <c r="AH7" i="11"/>
  <c r="AH13" i="11"/>
  <c r="AH14" i="11"/>
  <c r="Q40" i="10"/>
  <c r="V20" i="11"/>
  <c r="P49" i="10"/>
  <c r="R49" i="10" s="1"/>
  <c r="G111" i="11"/>
  <c r="I111" i="11" s="1"/>
  <c r="Y111" i="11" s="1"/>
  <c r="Y332" i="11"/>
  <c r="Y260" i="11"/>
  <c r="Y270" i="11"/>
  <c r="Y294" i="11"/>
  <c r="Y387" i="11"/>
  <c r="Y226" i="11"/>
  <c r="Y230" i="11"/>
  <c r="Y267" i="11"/>
  <c r="Y316" i="11"/>
  <c r="Y340" i="11"/>
  <c r="Y250" i="11"/>
  <c r="Y264" i="11"/>
  <c r="Y326" i="11"/>
  <c r="Y237" i="11"/>
  <c r="Y299" i="11"/>
  <c r="Y303" i="11"/>
  <c r="Y411" i="11"/>
  <c r="Y278" i="11"/>
  <c r="Y227" i="11"/>
  <c r="Y254" i="11"/>
  <c r="Y268" i="11"/>
  <c r="Y310" i="11"/>
  <c r="Y348" i="11"/>
  <c r="Y355" i="11"/>
  <c r="Y231" i="11"/>
  <c r="Y262" i="11"/>
  <c r="Y292" i="11"/>
  <c r="Y295" i="11"/>
  <c r="Y307" i="11"/>
  <c r="Y324" i="11"/>
  <c r="Y334" i="11"/>
  <c r="Y251" i="11"/>
  <c r="Y395" i="11"/>
  <c r="Y308" i="11"/>
  <c r="Y33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F225" i="11" l="1"/>
  <c r="G225" i="11" s="1"/>
  <c r="I225" i="11" s="1"/>
  <c r="Y225" i="11" s="1"/>
  <c r="K465" i="9"/>
  <c r="F224" i="11"/>
  <c r="G224" i="11" s="1"/>
  <c r="I224" i="11" s="1"/>
  <c r="Y224" i="11" s="1"/>
  <c r="G70" i="11"/>
  <c r="I70" i="11" s="1"/>
  <c r="Y70" i="11" s="1"/>
  <c r="K463" i="9"/>
  <c r="F223" i="11"/>
  <c r="G223" i="11" s="1"/>
  <c r="I223" i="11" s="1"/>
  <c r="Y223" i="11" s="1"/>
  <c r="K460" i="9"/>
  <c r="F222" i="11"/>
  <c r="G222" i="11" s="1"/>
  <c r="I222" i="11" s="1"/>
  <c r="Y222" i="11" s="1"/>
  <c r="F220" i="11"/>
  <c r="G220" i="11" s="1"/>
  <c r="I220" i="11" s="1"/>
  <c r="Y220" i="11" s="1"/>
  <c r="K459" i="9"/>
  <c r="F221" i="11"/>
  <c r="G221" i="11" s="1"/>
  <c r="I221" i="11" s="1"/>
  <c r="Y221" i="11" s="1"/>
  <c r="K266" i="9"/>
  <c r="U459" i="9"/>
  <c r="K454" i="9"/>
  <c r="F219" i="11"/>
  <c r="G219" i="11" s="1"/>
  <c r="I219" i="11" s="1"/>
  <c r="Y219" i="11" s="1"/>
  <c r="K453" i="9"/>
  <c r="F218" i="11"/>
  <c r="G218" i="11" s="1"/>
  <c r="I218" i="11" s="1"/>
  <c r="Y218" i="11" s="1"/>
  <c r="K450" i="9"/>
  <c r="F217" i="11"/>
  <c r="G217" i="11" s="1"/>
  <c r="I217" i="11" s="1"/>
  <c r="Y217" i="11" s="1"/>
  <c r="K448" i="9"/>
  <c r="F216" i="11"/>
  <c r="G216" i="11" s="1"/>
  <c r="I216" i="11" s="1"/>
  <c r="Y216" i="11" s="1"/>
  <c r="F215" i="11"/>
  <c r="G215" i="11" s="1"/>
  <c r="I215" i="11" s="1"/>
  <c r="Y215" i="11" s="1"/>
  <c r="K444" i="9"/>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R43" i="10"/>
  <c r="AA357" i="9"/>
  <c r="AB357" i="9" s="1"/>
  <c r="I122" i="6"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Y459" i="9" l="1"/>
  <c r="Z459" i="9" s="1"/>
  <c r="Y458" i="9"/>
  <c r="Z458" i="9" s="1"/>
  <c r="AA458" i="9" s="1"/>
  <c r="AB458" i="9" s="1"/>
  <c r="U457" i="9"/>
  <c r="A11" i="8"/>
  <c r="L22" i="15"/>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U460" i="9" l="1"/>
  <c r="AA459" i="9"/>
  <c r="AB459" i="9" s="1"/>
  <c r="Z457" i="9"/>
  <c r="Y422" i="9"/>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Y20" i="9" s="1"/>
  <c r="Z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W129" i="9"/>
  <c r="P108" i="6"/>
  <c r="B18" i="2" s="1"/>
  <c r="Y284" i="9"/>
  <c r="Y285" i="9"/>
  <c r="Z285" i="9" s="1"/>
  <c r="AA238" i="9"/>
  <c r="AB238" i="9" s="1"/>
  <c r="U257" i="9" s="1"/>
  <c r="AA237" i="9"/>
  <c r="AB237" i="9" s="1"/>
  <c r="U254" i="9" s="1"/>
  <c r="Y34" i="9"/>
  <c r="Z34" i="9" s="1"/>
  <c r="Y33" i="9"/>
  <c r="Z33" i="9" s="1"/>
  <c r="V13" i="9"/>
  <c r="X13" i="9" s="1"/>
  <c r="J13" i="9" s="1"/>
  <c r="M13" i="9" s="1"/>
  <c r="N13" i="9" s="1"/>
  <c r="Q13" i="9"/>
  <c r="Y19" i="9" l="1"/>
  <c r="Z19" i="9" s="1"/>
  <c r="Y461" i="9"/>
  <c r="Y460" i="9"/>
  <c r="Z460" i="9" s="1"/>
  <c r="U461" i="9"/>
  <c r="AA457" i="9"/>
  <c r="AB457" i="9" s="1"/>
  <c r="F121" i="6" s="1"/>
  <c r="AA456" i="9"/>
  <c r="AB456" i="9" s="1"/>
  <c r="G121" i="6" s="1"/>
  <c r="H26" i="4" s="1"/>
  <c r="AA424" i="9"/>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Z461" i="9" l="1"/>
  <c r="AA461" i="9" s="1"/>
  <c r="AB461" i="9" s="1"/>
  <c r="P121" i="6"/>
  <c r="B31" i="2" s="1"/>
  <c r="C26" i="2"/>
  <c r="Y414" i="9"/>
  <c r="Z414" i="9" s="1"/>
  <c r="Y415" i="9"/>
  <c r="Z415" i="9" s="1"/>
  <c r="AA415" i="9" s="1"/>
  <c r="AB415" i="9" s="1"/>
  <c r="Y382" i="9"/>
  <c r="Z382" i="9" s="1"/>
  <c r="Y381" i="9"/>
  <c r="U381" i="9"/>
  <c r="Y365" i="9"/>
  <c r="Z365" i="9" s="1"/>
  <c r="AA365" i="9" s="1"/>
  <c r="AB365" i="9" s="1"/>
  <c r="I100" i="6"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AA460" i="9" l="1"/>
  <c r="AB460" i="9" s="1"/>
  <c r="U463" i="9"/>
  <c r="U462" i="9"/>
  <c r="D31" i="2"/>
  <c r="C31" i="2"/>
  <c r="AA414" i="9"/>
  <c r="AB414" i="9" s="1"/>
  <c r="U418" i="9"/>
  <c r="U416" i="9"/>
  <c r="AA364" i="9"/>
  <c r="AB364"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63" i="9" l="1"/>
  <c r="Z463" i="9" s="1"/>
  <c r="Y462" i="9"/>
  <c r="Z462" i="9" s="1"/>
  <c r="AA462" i="9" s="1"/>
  <c r="AB462" i="9" s="1"/>
  <c r="G122" i="6" s="1"/>
  <c r="Y419" i="9"/>
  <c r="Y418" i="9"/>
  <c r="Z418" i="9" s="1"/>
  <c r="Y417" i="9"/>
  <c r="Y416" i="9"/>
  <c r="Z416" i="9" s="1"/>
  <c r="AA382" i="9"/>
  <c r="AB382" i="9" s="1"/>
  <c r="U384" i="9" s="1"/>
  <c r="Y383" i="9" s="1"/>
  <c r="U383" i="9"/>
  <c r="Z366" i="9"/>
  <c r="U56" i="9"/>
  <c r="U55" i="9"/>
  <c r="Y55" i="9" s="1"/>
  <c r="Z55" i="9" s="1"/>
  <c r="Y353" i="9"/>
  <c r="Z353" i="9" s="1"/>
  <c r="Y354" i="9"/>
  <c r="Z354" i="9" s="1"/>
  <c r="AA354" i="9" s="1"/>
  <c r="AB354" i="9"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463" i="9" l="1"/>
  <c r="AB463" i="9" s="1"/>
  <c r="F122" i="6" s="1"/>
  <c r="P122" i="6" s="1"/>
  <c r="B32" i="2" s="1"/>
  <c r="H27" i="4"/>
  <c r="U453" i="9"/>
  <c r="U417" i="9"/>
  <c r="Y384" i="9"/>
  <c r="Z384" i="9" s="1"/>
  <c r="Z383" i="9"/>
  <c r="AA383" i="9" s="1"/>
  <c r="AB383" i="9" s="1"/>
  <c r="AA366" i="9"/>
  <c r="AB366" i="9" s="1"/>
  <c r="AA367" i="9"/>
  <c r="AB367" i="9" s="1"/>
  <c r="D100" i="6" s="1"/>
  <c r="G100" i="6"/>
  <c r="H5" i="4" s="1"/>
  <c r="H100" i="6"/>
  <c r="Y56" i="9"/>
  <c r="Z56" i="9" s="1"/>
  <c r="AA56" i="9" s="1"/>
  <c r="AB56" i="9" s="1"/>
  <c r="AA353" i="9"/>
  <c r="AB353" i="9" s="1"/>
  <c r="J120" i="6"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D32" i="2" l="1"/>
  <c r="C32" i="2"/>
  <c r="Y453" i="9"/>
  <c r="Z453" i="9" s="1"/>
  <c r="Y452" i="9"/>
  <c r="Z452" i="9" s="1"/>
  <c r="AA452" i="9" s="1"/>
  <c r="AB452" i="9" s="1"/>
  <c r="Z417" i="9"/>
  <c r="AA384" i="9"/>
  <c r="AB384" i="9" s="1"/>
  <c r="U386" i="9" s="1"/>
  <c r="Y385" i="9" s="1"/>
  <c r="U385" i="9"/>
  <c r="P100" i="6"/>
  <c r="B10" i="2" s="1"/>
  <c r="D10" i="2" s="1"/>
  <c r="AA55" i="9"/>
  <c r="AB55" i="9" s="1"/>
  <c r="U376" i="9" s="1"/>
  <c r="U104" i="9"/>
  <c r="Y105" i="9" s="1"/>
  <c r="Z105" i="9" s="1"/>
  <c r="U246" i="9"/>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53" i="9" l="1"/>
  <c r="AB453" i="9" s="1"/>
  <c r="U455" i="9"/>
  <c r="U454" i="9"/>
  <c r="AA417" i="9"/>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Y455" i="9" l="1"/>
  <c r="Z455" i="9" s="1"/>
  <c r="AA455" i="9" s="1"/>
  <c r="AB455" i="9" s="1"/>
  <c r="F120" i="6" s="1"/>
  <c r="Y454" i="9"/>
  <c r="Z454" i="9" s="1"/>
  <c r="AA454" i="9" s="1"/>
  <c r="AB454" i="9" s="1"/>
  <c r="G120" i="6" s="1"/>
  <c r="U419" i="9"/>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H25" i="4" l="1"/>
  <c r="P120" i="6"/>
  <c r="B30" i="2" s="1"/>
  <c r="Z419" i="9"/>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C30" i="2" l="1"/>
  <c r="D30" i="2"/>
  <c r="AA419" i="9"/>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451" i="9" l="1"/>
  <c r="Y407" i="9"/>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Z451" i="9" l="1"/>
  <c r="AA407" i="9"/>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AA451" i="9" l="1"/>
  <c r="AB451" i="9" s="1"/>
  <c r="F104" i="6" s="1"/>
  <c r="AA450" i="9"/>
  <c r="AB450" i="9" s="1"/>
  <c r="G104" i="6" s="1"/>
  <c r="H9" i="4" s="1"/>
  <c r="Y408" i="9"/>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U449" i="9" l="1"/>
  <c r="AA425" i="9"/>
  <c r="AB425" i="9" s="1"/>
  <c r="AA426" i="9"/>
  <c r="AB426" i="9"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449" i="9" l="1"/>
  <c r="U428" i="9"/>
  <c r="U427" i="9"/>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AA449" i="9" l="1"/>
  <c r="AB449" i="9" s="1"/>
  <c r="AA448" i="9"/>
  <c r="AB448" i="9" s="1"/>
  <c r="Y428" i="9"/>
  <c r="Z428" i="9" s="1"/>
  <c r="AA428" i="9" s="1"/>
  <c r="AB428" i="9" s="1"/>
  <c r="Y427" i="9"/>
  <c r="Z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U465" i="9" l="1"/>
  <c r="U464" i="9"/>
  <c r="AA427" i="9"/>
  <c r="AB427" i="9" s="1"/>
  <c r="U430" i="9"/>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65" i="9" l="1"/>
  <c r="Z465" i="9" s="1"/>
  <c r="Y464" i="9"/>
  <c r="Z464" i="9" s="1"/>
  <c r="AA464" i="9" s="1"/>
  <c r="AB464" i="9" s="1"/>
  <c r="Y430" i="9"/>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66" i="9" l="1"/>
  <c r="AA465" i="9"/>
  <c r="AB465" i="9" s="1"/>
  <c r="U432" i="9"/>
  <c r="U431" i="9"/>
  <c r="P102" i="6"/>
  <c r="B12" i="2" s="1"/>
  <c r="C12" i="2" s="1"/>
  <c r="Z214" i="9"/>
  <c r="Z215" i="9"/>
  <c r="AA215" i="9" s="1"/>
  <c r="AB215" i="9" s="1"/>
  <c r="C117" i="6" s="1"/>
  <c r="W38" i="9"/>
  <c r="X38" i="9" s="1"/>
  <c r="W37" i="9"/>
  <c r="X37" i="9" s="1"/>
  <c r="AA228" i="9"/>
  <c r="AB228" i="9" s="1"/>
  <c r="U230" i="9" s="1"/>
  <c r="AA227" i="9"/>
  <c r="AB227" i="9" s="1"/>
  <c r="U229" i="9" s="1"/>
  <c r="U467" i="9" l="1"/>
  <c r="Y432" i="9"/>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Y467" i="9" l="1"/>
  <c r="Z467" i="9" s="1"/>
  <c r="AA467" i="9" s="1"/>
  <c r="AB467" i="9" s="1"/>
  <c r="F113" i="6" s="1"/>
  <c r="Y466" i="9"/>
  <c r="Z466" i="9" s="1"/>
  <c r="AA466" i="9" s="1"/>
  <c r="AB466" i="9" s="1"/>
  <c r="G113" i="6" s="1"/>
  <c r="H18" i="4" s="1"/>
  <c r="AA432" i="9"/>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P113" i="6" l="1"/>
  <c r="B23" i="2" s="1"/>
  <c r="C23" i="2" s="1"/>
  <c r="Y434" i="9"/>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D23" i="2" l="1"/>
  <c r="U435" i="9"/>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Y443" i="9"/>
  <c r="Z443" i="9" s="1"/>
  <c r="AA443" i="9" s="1"/>
  <c r="AB443" i="9" s="1"/>
  <c r="Y444" i="9"/>
  <c r="Z444" i="9" s="1"/>
  <c r="AA444" i="9" s="1"/>
  <c r="AB444" i="9" s="1"/>
  <c r="I118" i="6" s="1"/>
  <c r="J48" i="9"/>
  <c r="M48" i="9" s="1"/>
  <c r="N48" i="9" s="1"/>
  <c r="J47" i="9"/>
  <c r="M47" i="9" s="1"/>
  <c r="N47" i="9" s="1"/>
  <c r="D21" i="2"/>
  <c r="C21" i="2"/>
  <c r="U447" i="9" l="1"/>
  <c r="U446" i="9"/>
  <c r="K52" i="11"/>
  <c r="K50" i="11"/>
  <c r="K51" i="11"/>
  <c r="K43" i="11"/>
  <c r="K49" i="11"/>
  <c r="K46" i="11"/>
  <c r="K44" i="11"/>
  <c r="K48" i="11"/>
  <c r="K47" i="11"/>
  <c r="K45" i="11"/>
  <c r="H67" i="9"/>
  <c r="R43" i="11"/>
  <c r="H50" i="9"/>
  <c r="Y447" i="9" l="1"/>
  <c r="Z447" i="9" s="1"/>
  <c r="AA447" i="9" s="1"/>
  <c r="AB447" i="9" s="1"/>
  <c r="L118" i="6" s="1"/>
  <c r="Y446" i="9"/>
  <c r="Z446" i="9" s="1"/>
  <c r="V50" i="9"/>
  <c r="X50" i="9" s="1"/>
  <c r="Q50" i="9"/>
  <c r="V67" i="9"/>
  <c r="X67" i="9" s="1"/>
  <c r="Q67" i="9"/>
  <c r="AA446" i="9" l="1"/>
  <c r="AB446" i="9" s="1"/>
  <c r="G118" i="6" s="1"/>
  <c r="H23" i="4" s="1"/>
  <c r="B19" i="4" s="1"/>
  <c r="J68" i="9"/>
  <c r="M68" i="9" s="1"/>
  <c r="N68" i="9" s="1"/>
  <c r="J67" i="9"/>
  <c r="M67" i="9" s="1"/>
  <c r="N67" i="9" s="1"/>
  <c r="J49" i="9"/>
  <c r="M49" i="9" s="1"/>
  <c r="N49" i="9" s="1"/>
  <c r="J50" i="9"/>
  <c r="M50" i="9" s="1"/>
  <c r="N50" i="9" s="1"/>
  <c r="P118" i="6" l="1"/>
  <c r="B28" i="2" s="1"/>
  <c r="C28" i="2" s="1"/>
  <c r="R44" i="11"/>
  <c r="H52" i="9"/>
  <c r="M44" i="11"/>
  <c r="H51" i="9"/>
  <c r="K53" i="11"/>
  <c r="H69" i="9"/>
  <c r="U58" i="11"/>
  <c r="U56" i="11"/>
  <c r="U54" i="11"/>
  <c r="U61" i="11"/>
  <c r="U59" i="11"/>
  <c r="U57" i="11"/>
  <c r="U53" i="11"/>
  <c r="U60" i="11"/>
  <c r="U55" i="11"/>
  <c r="H87" i="9"/>
  <c r="D28" i="2" l="1"/>
  <c r="P70" i="9"/>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9" i="9" s="1"/>
  <c r="M419" i="9" s="1"/>
  <c r="N419" i="9" s="1"/>
  <c r="T225" i="11" s="1"/>
  <c r="J416" i="9"/>
  <c r="M416" i="9" s="1"/>
  <c r="N416" i="9" s="1"/>
  <c r="W225" i="11" s="1"/>
  <c r="W209" i="11"/>
  <c r="W210" i="11"/>
  <c r="W207" i="11"/>
  <c r="W208" i="11"/>
  <c r="J19" i="11"/>
  <c r="W206" i="11"/>
  <c r="W204" i="11"/>
  <c r="W205" i="11"/>
  <c r="J418" i="9"/>
  <c r="M418" i="9" s="1"/>
  <c r="N418" i="9" s="1"/>
  <c r="V225" i="11" s="1"/>
  <c r="Q419" i="9"/>
  <c r="W203" i="11"/>
  <c r="B14" i="12"/>
  <c r="P2" i="12" s="1"/>
  <c r="T203" i="11"/>
  <c r="P234" i="9"/>
  <c r="Q234" i="9" s="1"/>
  <c r="P233" i="9"/>
  <c r="Q233" i="9" s="1"/>
  <c r="V234" i="9"/>
  <c r="W245" i="9"/>
  <c r="W244" i="9"/>
  <c r="X244" i="9" s="1"/>
  <c r="V223" i="11" l="1"/>
  <c r="V224" i="11"/>
  <c r="W223" i="11"/>
  <c r="W224" i="11"/>
  <c r="T223" i="11"/>
  <c r="T224" i="11"/>
  <c r="V221" i="11"/>
  <c r="V222" i="11"/>
  <c r="W221" i="11"/>
  <c r="W222" i="11"/>
  <c r="T221" i="11"/>
  <c r="T222" i="11"/>
  <c r="V220" i="11"/>
  <c r="V219" i="11"/>
  <c r="W220" i="11"/>
  <c r="W219" i="11"/>
  <c r="T220" i="11"/>
  <c r="T219" i="11"/>
  <c r="V216" i="11"/>
  <c r="V218" i="11"/>
  <c r="V217" i="11"/>
  <c r="W218" i="11"/>
  <c r="W217" i="11"/>
  <c r="T216" i="11"/>
  <c r="T218" i="11"/>
  <c r="T217" i="11"/>
  <c r="W215" i="11"/>
  <c r="W216" i="11"/>
  <c r="T215" i="11"/>
  <c r="B11" i="12"/>
  <c r="M2" i="12" s="1"/>
  <c r="V214" i="11"/>
  <c r="V215" i="11"/>
  <c r="T213" i="1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W234" i="9"/>
  <c r="X234" i="9" s="1"/>
  <c r="W233" i="9"/>
  <c r="X233" i="9" s="1"/>
  <c r="B16" i="11" l="1"/>
  <c r="O2" i="12"/>
  <c r="B18" i="11"/>
  <c r="J233" i="9"/>
  <c r="M233" i="9" s="1"/>
  <c r="N233" i="9" s="1"/>
  <c r="L225" i="11" s="1"/>
  <c r="J234" i="9"/>
  <c r="M234" i="9" s="1"/>
  <c r="N234" i="9" s="1"/>
  <c r="L223" i="11" l="1"/>
  <c r="L224" i="11"/>
  <c r="L221" i="11"/>
  <c r="L222" i="11"/>
  <c r="L219" i="11"/>
  <c r="L220" i="11"/>
  <c r="L216" i="11"/>
  <c r="L218" i="11"/>
  <c r="L217" i="11"/>
  <c r="L214" i="11"/>
  <c r="L215" i="11"/>
  <c r="L212" i="1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S225" i="11" s="1"/>
  <c r="R180" i="11"/>
  <c r="J306" i="9"/>
  <c r="M306" i="9" s="1"/>
  <c r="N306" i="9" s="1"/>
  <c r="J307" i="9"/>
  <c r="M307" i="9" s="1"/>
  <c r="N307" i="9" s="1"/>
  <c r="S223" i="11" l="1"/>
  <c r="S224" i="11"/>
  <c r="S221" i="11"/>
  <c r="S222" i="11"/>
  <c r="S220" i="11"/>
  <c r="S219" i="11"/>
  <c r="S216" i="11"/>
  <c r="S218" i="11"/>
  <c r="S217" i="11"/>
  <c r="S214" i="11"/>
  <c r="S215" i="11"/>
  <c r="S212" i="1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N225" i="11" s="1"/>
  <c r="W327" i="9"/>
  <c r="X327" i="9" s="1"/>
  <c r="W326" i="9"/>
  <c r="X326" i="9" s="1"/>
  <c r="N223" i="11" l="1"/>
  <c r="N224" i="11"/>
  <c r="N221" i="11"/>
  <c r="N222" i="11"/>
  <c r="N220" i="11"/>
  <c r="N219" i="11"/>
  <c r="N216" i="11"/>
  <c r="N218" i="11"/>
  <c r="N217" i="11"/>
  <c r="N214" i="11"/>
  <c r="N215" i="11"/>
  <c r="N212" i="1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W369" i="9" s="1"/>
  <c r="X369" i="9" s="1"/>
  <c r="J369" i="9" s="1"/>
  <c r="M369" i="9" s="1"/>
  <c r="N369" i="9" s="1"/>
  <c r="H371" i="9" s="1"/>
  <c r="P369" i="9"/>
  <c r="Q369" i="9" s="1"/>
  <c r="Q366" i="9"/>
  <c r="V366" i="9"/>
  <c r="X366" i="9" s="1"/>
  <c r="W368" i="9" l="1"/>
  <c r="X368" i="9" s="1"/>
  <c r="J368" i="9" s="1"/>
  <c r="M368" i="9" s="1"/>
  <c r="N368" i="9" s="1"/>
  <c r="H370" i="9" s="1"/>
  <c r="V370" i="9" s="1"/>
  <c r="P370" i="9"/>
  <c r="P371" i="9"/>
  <c r="Q371" i="9" s="1"/>
  <c r="P372" i="9"/>
  <c r="Q372" i="9" s="1"/>
  <c r="V371" i="9"/>
  <c r="P183" i="11"/>
  <c r="U183" i="11"/>
  <c r="J366" i="9"/>
  <c r="M366" i="9" s="1"/>
  <c r="N366" i="9" s="1"/>
  <c r="J367" i="9"/>
  <c r="M367" i="9" s="1"/>
  <c r="N367" i="9" s="1"/>
  <c r="Q370" i="9" l="1"/>
  <c r="H376" i="9"/>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25" i="11" s="1"/>
  <c r="Q205" i="11"/>
  <c r="B8" i="12"/>
  <c r="V402" i="9"/>
  <c r="K194" i="11"/>
  <c r="K195" i="11"/>
  <c r="J386" i="9"/>
  <c r="M386" i="9" s="1"/>
  <c r="N386" i="9" s="1"/>
  <c r="H403" i="9" s="1"/>
  <c r="K192" i="11"/>
  <c r="K193" i="11"/>
  <c r="R191" i="11"/>
  <c r="K190" i="11"/>
  <c r="K191" i="11"/>
  <c r="W387" i="9"/>
  <c r="W388" i="9"/>
  <c r="X388" i="9" s="1"/>
  <c r="Q387" i="9"/>
  <c r="V387" i="9"/>
  <c r="K189" i="11"/>
  <c r="N380" i="9"/>
  <c r="H395" i="9" s="1"/>
  <c r="Q223" i="11" l="1"/>
  <c r="Q224" i="11"/>
  <c r="Q221" i="11"/>
  <c r="Q222" i="11"/>
  <c r="Q220" i="11"/>
  <c r="Q219" i="11"/>
  <c r="Q217" i="11"/>
  <c r="Q218" i="11"/>
  <c r="Q215" i="11"/>
  <c r="Q216" i="11"/>
  <c r="Q213" i="1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K225" i="11" s="1"/>
  <c r="Q421" i="9"/>
  <c r="H397" i="9"/>
  <c r="J394" i="9"/>
  <c r="M394" i="9" s="1"/>
  <c r="N394" i="9" s="1"/>
  <c r="J393" i="9"/>
  <c r="M393" i="9" s="1"/>
  <c r="N393" i="9" s="1"/>
  <c r="M193" i="11"/>
  <c r="K223" i="11" l="1"/>
  <c r="K224" i="11"/>
  <c r="K221" i="11"/>
  <c r="K222" i="11"/>
  <c r="K219" i="11"/>
  <c r="K220" i="11"/>
  <c r="K218" i="11"/>
  <c r="K217" i="11"/>
  <c r="K215" i="11"/>
  <c r="K216" i="11"/>
  <c r="K213" i="11"/>
  <c r="K214" i="11"/>
  <c r="K211" i="11"/>
  <c r="K212" i="11"/>
  <c r="K209" i="11"/>
  <c r="K210" i="11"/>
  <c r="K207" i="11"/>
  <c r="K208" i="11"/>
  <c r="P426" i="9"/>
  <c r="Q426" i="9" s="1"/>
  <c r="P425" i="9"/>
  <c r="V426" i="9"/>
  <c r="K206" i="11"/>
  <c r="J7"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M225" i="11" s="1"/>
  <c r="W401" i="9"/>
  <c r="X401" i="9" s="1"/>
  <c r="J401" i="9" s="1"/>
  <c r="M401" i="9" s="1"/>
  <c r="N401" i="9" s="1"/>
  <c r="W399" i="9"/>
  <c r="X399" i="9" s="1"/>
  <c r="J399" i="9" s="1"/>
  <c r="M399" i="9" s="1"/>
  <c r="M223" i="11" l="1"/>
  <c r="M224" i="11"/>
  <c r="M221" i="11"/>
  <c r="M222" i="11"/>
  <c r="M220" i="11"/>
  <c r="M219" i="11"/>
  <c r="M218" i="11"/>
  <c r="M217" i="11"/>
  <c r="M215" i="11"/>
  <c r="M216" i="11"/>
  <c r="M213" i="1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H448" i="9" s="1"/>
  <c r="F93" i="6"/>
  <c r="S93" i="6" s="1"/>
  <c r="AI9" i="11"/>
  <c r="W9" i="11"/>
  <c r="P448" i="9" l="1"/>
  <c r="Q448" i="9" s="1"/>
  <c r="P449" i="9"/>
  <c r="V448" i="9"/>
  <c r="O215" i="11"/>
  <c r="O213" i="11"/>
  <c r="O214" i="11"/>
  <c r="O211" i="11"/>
  <c r="O212" i="11"/>
  <c r="O209" i="11"/>
  <c r="O210" i="11"/>
  <c r="O207" i="11"/>
  <c r="O208" i="11"/>
  <c r="Q425" i="9"/>
  <c r="V425" i="9"/>
  <c r="X425" i="9" s="1"/>
  <c r="O206" i="11"/>
  <c r="J11" i="11"/>
  <c r="O205" i="11"/>
  <c r="P205" i="11"/>
  <c r="W449" i="9" l="1"/>
  <c r="W448" i="9"/>
  <c r="X448" i="9" s="1"/>
  <c r="J425" i="9"/>
  <c r="M425" i="9" s="1"/>
  <c r="J426" i="9"/>
  <c r="M426" i="9" s="1"/>
  <c r="N426" i="9" s="1"/>
  <c r="H428" i="9" l="1"/>
  <c r="R206" i="11"/>
  <c r="N425" i="9"/>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R211" i="11"/>
  <c r="N433" i="9"/>
  <c r="J12" i="11" s="1"/>
  <c r="R210" i="11"/>
  <c r="P210" i="11"/>
  <c r="H438" i="9" l="1"/>
  <c r="V438" i="9" s="1"/>
  <c r="J14" i="11"/>
  <c r="K14" i="11" s="1"/>
  <c r="H435" i="9"/>
  <c r="K13" i="11" l="1"/>
  <c r="K8" i="11"/>
  <c r="K9" i="11"/>
  <c r="K11" i="11"/>
  <c r="K17" i="11"/>
  <c r="K20" i="11"/>
  <c r="K15" i="11"/>
  <c r="K19" i="11"/>
  <c r="K7" i="11"/>
  <c r="K16" i="11"/>
  <c r="K10" i="11"/>
  <c r="K18" i="11"/>
  <c r="K12" i="11"/>
  <c r="P435" i="9"/>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l="1"/>
  <c r="M444" i="9" s="1"/>
  <c r="N444" i="9" s="1"/>
  <c r="R225" i="11" s="1"/>
  <c r="R221" i="11"/>
  <c r="R222" i="11"/>
  <c r="R220" i="11"/>
  <c r="R219" i="11"/>
  <c r="R217" i="11"/>
  <c r="R218" i="11"/>
  <c r="R215" i="11"/>
  <c r="R216" i="11"/>
  <c r="H447" i="9"/>
  <c r="R214" i="11"/>
  <c r="B9" i="12"/>
  <c r="K2" i="12" s="1"/>
  <c r="N443" i="9"/>
  <c r="H446" i="9" s="1"/>
  <c r="U214" i="11"/>
  <c r="P214" i="11"/>
  <c r="R223" i="11" l="1"/>
  <c r="R224" i="11"/>
  <c r="P447" i="9"/>
  <c r="Q447" i="9" s="1"/>
  <c r="P446" i="9"/>
  <c r="Q446" i="9" s="1"/>
  <c r="V447" i="9"/>
  <c r="V446" i="9"/>
  <c r="B14" i="11"/>
  <c r="S14" i="11" s="1"/>
  <c r="AI14" i="11" s="1"/>
  <c r="W447" i="9" l="1"/>
  <c r="X447" i="9" s="1"/>
  <c r="J447" i="9" s="1"/>
  <c r="M447" i="9" s="1"/>
  <c r="N447" i="9" s="1"/>
  <c r="U225" i="11" s="1"/>
  <c r="W446" i="9"/>
  <c r="X446" i="9" s="1"/>
  <c r="J446" i="9" s="1"/>
  <c r="M446" i="9" s="1"/>
  <c r="F87" i="6"/>
  <c r="S87" i="6" s="1"/>
  <c r="W14" i="11"/>
  <c r="U223" i="11" l="1"/>
  <c r="U224" i="11"/>
  <c r="U221" i="11"/>
  <c r="U222" i="11"/>
  <c r="U220" i="11"/>
  <c r="U219" i="11"/>
  <c r="U216" i="11"/>
  <c r="U218" i="11"/>
  <c r="U217" i="11"/>
  <c r="N446" i="9"/>
  <c r="B12" i="12"/>
  <c r="B17" i="11" s="1"/>
  <c r="S17" i="11" s="1"/>
  <c r="U215" i="11"/>
  <c r="P215" i="11"/>
  <c r="H449" i="9" l="1"/>
  <c r="N2" i="12"/>
  <c r="W17" i="11"/>
  <c r="AI17" i="11"/>
  <c r="F86" i="6"/>
  <c r="S86" i="6" s="1"/>
  <c r="Q449" i="9" l="1"/>
  <c r="V449" i="9"/>
  <c r="X449" i="9" s="1"/>
  <c r="J449" i="9" l="1"/>
  <c r="M449" i="9" s="1"/>
  <c r="N449" i="9" s="1"/>
  <c r="H450" i="9" s="1"/>
  <c r="J448" i="9"/>
  <c r="M448" i="9" s="1"/>
  <c r="N448" i="9" s="1"/>
  <c r="H451" i="9" s="1"/>
  <c r="P450" i="9" l="1"/>
  <c r="Q450" i="9" s="1"/>
  <c r="P451" i="9"/>
  <c r="Q451" i="9" s="1"/>
  <c r="V451" i="9"/>
  <c r="V450" i="9"/>
  <c r="O216" i="11"/>
  <c r="P216" i="11"/>
  <c r="W450" i="9" l="1"/>
  <c r="X450" i="9" s="1"/>
  <c r="W451" i="9"/>
  <c r="X451" i="9" s="1"/>
  <c r="J451" i="9" s="1"/>
  <c r="M451" i="9" s="1"/>
  <c r="N451" i="9" s="1"/>
  <c r="H453" i="9" s="1"/>
  <c r="J450" i="9" l="1"/>
  <c r="M450" i="9" s="1"/>
  <c r="N450" i="9" s="1"/>
  <c r="H452" i="9" s="1"/>
  <c r="P452" i="9"/>
  <c r="P453" i="9"/>
  <c r="Q453" i="9" s="1"/>
  <c r="V453" i="9"/>
  <c r="O217" i="11"/>
  <c r="W453" i="9" l="1"/>
  <c r="X453" i="9" s="1"/>
  <c r="W452" i="9"/>
  <c r="Q452" i="9"/>
  <c r="V452" i="9"/>
  <c r="P217" i="11"/>
  <c r="X452" i="9" l="1"/>
  <c r="J452" i="9" s="1"/>
  <c r="M452" i="9" s="1"/>
  <c r="N452" i="9" s="1"/>
  <c r="H454" i="9" s="1"/>
  <c r="J453" i="9"/>
  <c r="M453" i="9" s="1"/>
  <c r="N453" i="9" s="1"/>
  <c r="H455" i="9" s="1"/>
  <c r="O218" i="11"/>
  <c r="P454" i="9" l="1"/>
  <c r="Q454" i="9" s="1"/>
  <c r="P455" i="9"/>
  <c r="Q455" i="9" s="1"/>
  <c r="V455" i="9"/>
  <c r="V454" i="9"/>
  <c r="P218" i="11"/>
  <c r="W455" i="9" l="1"/>
  <c r="X455" i="9" s="1"/>
  <c r="J455" i="9" s="1"/>
  <c r="M455" i="9" s="1"/>
  <c r="N455" i="9" s="1"/>
  <c r="H457" i="9" s="1"/>
  <c r="W454" i="9"/>
  <c r="X454" i="9" s="1"/>
  <c r="J454" i="9" l="1"/>
  <c r="M454" i="9" s="1"/>
  <c r="N454" i="9" s="1"/>
  <c r="V457" i="9"/>
  <c r="O219" i="11"/>
  <c r="H456" i="9" l="1"/>
  <c r="P456" i="9" s="1"/>
  <c r="Q456" i="9" s="1"/>
  <c r="P219" i="11"/>
  <c r="V456" i="9" l="1"/>
  <c r="P457" i="9"/>
  <c r="Q457" i="9" s="1"/>
  <c r="W457" i="9"/>
  <c r="X457" i="9" s="1"/>
  <c r="J457" i="9" s="1"/>
  <c r="M457" i="9" s="1"/>
  <c r="N457" i="9" s="1"/>
  <c r="W456" i="9"/>
  <c r="X456" i="9" s="1"/>
  <c r="J456" i="9" s="1"/>
  <c r="M456" i="9" s="1"/>
  <c r="H459" i="9" l="1"/>
  <c r="N456" i="9"/>
  <c r="O220" i="11"/>
  <c r="P220" i="11"/>
  <c r="P458" i="9" l="1"/>
  <c r="P459" i="9"/>
  <c r="Q459" i="9" s="1"/>
  <c r="V459" i="9"/>
  <c r="H458" i="9"/>
  <c r="W459" i="9" l="1"/>
  <c r="X459" i="9" s="1"/>
  <c r="W458" i="9"/>
  <c r="Q458" i="9"/>
  <c r="V458" i="9"/>
  <c r="X458" i="9" l="1"/>
  <c r="J458" i="9" s="1"/>
  <c r="M458" i="9" s="1"/>
  <c r="N458" i="9" s="1"/>
  <c r="J459" i="9" l="1"/>
  <c r="M459" i="9" s="1"/>
  <c r="N459" i="9" s="1"/>
  <c r="H460" i="9"/>
  <c r="O221" i="11"/>
  <c r="P221" i="11"/>
  <c r="P461" i="9" l="1"/>
  <c r="P460" i="9"/>
  <c r="Q460" i="9" s="1"/>
  <c r="H461" i="9"/>
  <c r="V460" i="9"/>
  <c r="W461" i="9" l="1"/>
  <c r="W460" i="9"/>
  <c r="X460" i="9" s="1"/>
  <c r="Q461" i="9"/>
  <c r="V461" i="9"/>
  <c r="J460" i="9" l="1"/>
  <c r="M460" i="9" s="1"/>
  <c r="N460" i="9" s="1"/>
  <c r="X461" i="9"/>
  <c r="J461" i="9" s="1"/>
  <c r="M461" i="9" s="1"/>
  <c r="N461" i="9" s="1"/>
  <c r="O222" i="11"/>
  <c r="H463" i="9" l="1"/>
  <c r="H462" i="9"/>
  <c r="P222" i="11"/>
  <c r="P462" i="9" l="1"/>
  <c r="Q462" i="9" s="1"/>
  <c r="P463" i="9"/>
  <c r="Q463" i="9" s="1"/>
  <c r="V463" i="9"/>
  <c r="V462" i="9"/>
  <c r="W463" i="9" l="1"/>
  <c r="X463" i="9" s="1"/>
  <c r="J463" i="9" s="1"/>
  <c r="M463" i="9" s="1"/>
  <c r="N463" i="9" s="1"/>
  <c r="W462" i="9"/>
  <c r="X462" i="9" s="1"/>
  <c r="J462" i="9" s="1"/>
  <c r="M462" i="9" s="1"/>
  <c r="H465" i="9" l="1"/>
  <c r="N462" i="9"/>
  <c r="O223" i="11"/>
  <c r="P223" i="11"/>
  <c r="P464" i="9" l="1"/>
  <c r="P465" i="9"/>
  <c r="Q465" i="9" s="1"/>
  <c r="V465" i="9"/>
  <c r="H464" i="9"/>
  <c r="W465" i="9" l="1"/>
  <c r="X465" i="9" s="1"/>
  <c r="W464" i="9"/>
  <c r="Q464" i="9"/>
  <c r="V464" i="9"/>
  <c r="J465" i="9" l="1"/>
  <c r="M465" i="9" s="1"/>
  <c r="N465" i="9" s="1"/>
  <c r="X464" i="9"/>
  <c r="J464" i="9" s="1"/>
  <c r="M464" i="9" s="1"/>
  <c r="N464" i="9" s="1"/>
  <c r="H467" i="9" l="1"/>
  <c r="H466" i="9"/>
  <c r="O224" i="11"/>
  <c r="P224" i="11"/>
  <c r="P466" i="9" l="1"/>
  <c r="Q466" i="9" s="1"/>
  <c r="P467" i="9"/>
  <c r="Q467" i="9" s="1"/>
  <c r="V467" i="9"/>
  <c r="V466" i="9"/>
  <c r="W467" i="9" l="1"/>
  <c r="X467" i="9" s="1"/>
  <c r="J467" i="9" s="1"/>
  <c r="M467" i="9" s="1"/>
  <c r="N467" i="9" s="1"/>
  <c r="W466" i="9"/>
  <c r="X466" i="9" s="1"/>
  <c r="J466" i="9" s="1"/>
  <c r="M466" i="9" s="1"/>
  <c r="H19" i="7" l="1"/>
  <c r="F19" i="7" s="1"/>
  <c r="H18" i="7"/>
  <c r="B18" i="7"/>
  <c r="B19" i="7"/>
  <c r="N466" i="9"/>
  <c r="O225" i="11"/>
  <c r="B6" i="12"/>
  <c r="B11" i="11" s="1"/>
  <c r="S11" i="11" s="1"/>
  <c r="P225" i="11"/>
  <c r="B7" i="12"/>
  <c r="B17" i="7"/>
  <c r="H17" i="7"/>
  <c r="F18" i="7"/>
  <c r="D18" i="7"/>
  <c r="C18" i="7"/>
  <c r="E18" i="7"/>
  <c r="H2" i="12" l="1"/>
  <c r="E19" i="7"/>
  <c r="D19" i="7"/>
  <c r="C19" i="7"/>
  <c r="W11" i="11"/>
  <c r="AI11" i="11"/>
  <c r="F84" i="6"/>
  <c r="S84" i="6" s="1"/>
  <c r="E17" i="7"/>
  <c r="C17" i="7"/>
  <c r="F17" i="7" s="1"/>
  <c r="D17" i="7"/>
  <c r="I2" i="12"/>
  <c r="B12" i="11"/>
  <c r="C17" i="8" l="1"/>
  <c r="E9" i="11"/>
  <c r="D14" i="11"/>
  <c r="L14" i="11" s="1"/>
  <c r="D19" i="11"/>
  <c r="L19" i="11" s="1"/>
  <c r="D12" i="11"/>
  <c r="L12" i="11" s="1"/>
  <c r="S12" i="11"/>
  <c r="E19" i="11"/>
  <c r="E16" i="11"/>
  <c r="E10" i="11"/>
  <c r="E17" i="11"/>
  <c r="D17" i="11"/>
  <c r="L17" i="11" s="1"/>
  <c r="E15" i="11"/>
  <c r="D11" i="11"/>
  <c r="L11" i="11" s="1"/>
  <c r="E7" i="11"/>
  <c r="C18" i="8"/>
  <c r="D7" i="11"/>
  <c r="L7" i="11" s="1"/>
  <c r="E20" i="11"/>
  <c r="E18" i="11"/>
  <c r="D15" i="11"/>
  <c r="L15" i="11" s="1"/>
  <c r="E8" i="11"/>
  <c r="B18" i="8"/>
  <c r="D19" i="8"/>
  <c r="E12" i="11"/>
  <c r="B15" i="4" s="1"/>
  <c r="B17" i="8"/>
  <c r="D20" i="11"/>
  <c r="L20" i="11" s="1"/>
  <c r="D18" i="8"/>
  <c r="D8" i="11"/>
  <c r="L8" i="11" s="1"/>
  <c r="E11" i="11"/>
  <c r="A5" i="8"/>
  <c r="D9" i="11"/>
  <c r="L9" i="11" s="1"/>
  <c r="E13" i="11"/>
  <c r="D16" i="11"/>
  <c r="L16" i="11" s="1"/>
  <c r="B19" i="8"/>
  <c r="D10" i="11"/>
  <c r="L10" i="11" s="1"/>
  <c r="D13" i="11"/>
  <c r="L13" i="11" s="1"/>
  <c r="D18" i="11"/>
  <c r="L18" i="11" s="1"/>
  <c r="E14" i="11"/>
  <c r="C19" i="8"/>
  <c r="C12" i="12"/>
  <c r="C17" i="11" s="1"/>
  <c r="AA17" i="11" s="1"/>
  <c r="C7" i="12"/>
  <c r="C12" i="11" s="1"/>
  <c r="C11" i="12"/>
  <c r="C16" i="11" s="1"/>
  <c r="AA16" i="11" s="1"/>
  <c r="C5" i="12"/>
  <c r="C10" i="11" s="1"/>
  <c r="AA10" i="11" s="1"/>
  <c r="C15" i="12"/>
  <c r="C20" i="11" s="1"/>
  <c r="AA20" i="11" s="1"/>
  <c r="C9" i="12"/>
  <c r="C14" i="11" s="1"/>
  <c r="AA14" i="11" s="1"/>
  <c r="C4" i="12"/>
  <c r="C9" i="11" s="1"/>
  <c r="AA9" i="11" s="1"/>
  <c r="C10" i="12"/>
  <c r="C15" i="11" s="1"/>
  <c r="AA15" i="11" s="1"/>
  <c r="C6" i="12"/>
  <c r="C11" i="11" s="1"/>
  <c r="AA11" i="11" s="1"/>
  <c r="C2" i="12"/>
  <c r="C7" i="11" s="1"/>
  <c r="AA7" i="11" s="1"/>
  <c r="C13" i="12"/>
  <c r="C18" i="11" s="1"/>
  <c r="AA18" i="11" s="1"/>
  <c r="C3" i="12"/>
  <c r="C8" i="11" s="1"/>
  <c r="AA8" i="11" s="1"/>
  <c r="C14" i="12"/>
  <c r="C19" i="11" s="1"/>
  <c r="AA19" i="11" s="1"/>
  <c r="C8" i="12"/>
  <c r="C13" i="11" s="1"/>
  <c r="AA13" i="11" s="1"/>
  <c r="A8" i="8" l="1"/>
  <c r="AA12" i="11"/>
  <c r="B28" i="4" s="1"/>
  <c r="B12" i="4"/>
  <c r="F89" i="6"/>
  <c r="S89" i="6" s="1"/>
  <c r="C4" i="6" s="1"/>
  <c r="AI12" i="11"/>
  <c r="W12" i="11"/>
  <c r="B24" i="4" s="1"/>
  <c r="B18" i="3" l="1"/>
  <c r="B10" i="3"/>
  <c r="B17" i="3"/>
  <c r="B15" i="3"/>
  <c r="B12" i="3"/>
  <c r="B6" i="3"/>
  <c r="B13" i="3"/>
  <c r="B11" i="3"/>
  <c r="B9" i="3"/>
  <c r="B14" i="3"/>
  <c r="B7" i="3"/>
  <c r="B16" i="3"/>
  <c r="B5" i="3"/>
  <c r="B8" i="3"/>
  <c r="A5" i="2"/>
  <c r="B28" i="7" s="1"/>
  <c r="A6" i="2"/>
  <c r="Q7" i="3" l="1"/>
  <c r="M7" i="3"/>
  <c r="X7" i="3"/>
  <c r="P7" i="3"/>
  <c r="E7" i="3"/>
  <c r="K7" i="3"/>
  <c r="Y11" i="11" s="1"/>
  <c r="U7" i="3"/>
  <c r="R7" i="3"/>
  <c r="C7" i="3"/>
  <c r="I7" i="3"/>
  <c r="J7" i="3"/>
  <c r="H7" i="3"/>
  <c r="V7" i="3"/>
  <c r="O7" i="3"/>
  <c r="D7" i="3"/>
  <c r="AD11" i="11" s="1"/>
  <c r="T7" i="3"/>
  <c r="S7" i="3"/>
  <c r="U16" i="3"/>
  <c r="E16" i="3"/>
  <c r="C16" i="3"/>
  <c r="Q16" i="3"/>
  <c r="R16" i="3"/>
  <c r="X16" i="3"/>
  <c r="P16" i="3"/>
  <c r="S16" i="3"/>
  <c r="I16" i="3"/>
  <c r="O16" i="3"/>
  <c r="J16" i="3"/>
  <c r="H16" i="3"/>
  <c r="T16" i="3"/>
  <c r="M16" i="3"/>
  <c r="D16" i="3"/>
  <c r="K16" i="3"/>
  <c r="AE8" i="11" s="1"/>
  <c r="V16" i="3"/>
  <c r="T8" i="3"/>
  <c r="U8" i="3"/>
  <c r="C8" i="3"/>
  <c r="E8" i="3"/>
  <c r="S8" i="3"/>
  <c r="R8" i="3"/>
  <c r="X8" i="3"/>
  <c r="P8" i="3"/>
  <c r="I8" i="3"/>
  <c r="H8" i="3"/>
  <c r="O8" i="3"/>
  <c r="V8" i="3"/>
  <c r="M8" i="3"/>
  <c r="Q8" i="3"/>
  <c r="D8" i="3"/>
  <c r="B10" i="4" s="1"/>
  <c r="J8" i="3"/>
  <c r="K8" i="3"/>
  <c r="P11" i="3"/>
  <c r="O11" i="3"/>
  <c r="U11" i="3"/>
  <c r="Q11" i="3"/>
  <c r="S11" i="3"/>
  <c r="J11" i="3"/>
  <c r="I11" i="3"/>
  <c r="X11" i="3"/>
  <c r="R11" i="3"/>
  <c r="E11" i="3"/>
  <c r="M11" i="3"/>
  <c r="C11" i="3"/>
  <c r="H11" i="3"/>
  <c r="V11" i="3"/>
  <c r="T11" i="3"/>
  <c r="D11" i="3"/>
  <c r="K11" i="3"/>
  <c r="Y13" i="11" s="1"/>
  <c r="C12" i="3"/>
  <c r="M12" i="3"/>
  <c r="J12" i="3"/>
  <c r="X12" i="3"/>
  <c r="Q12" i="3"/>
  <c r="D12" i="3"/>
  <c r="U12" i="3"/>
  <c r="O12" i="3"/>
  <c r="E12" i="3"/>
  <c r="S12" i="3"/>
  <c r="K12" i="3"/>
  <c r="AE9" i="11" s="1"/>
  <c r="P12" i="3"/>
  <c r="H12" i="3"/>
  <c r="R12" i="3"/>
  <c r="I12" i="3"/>
  <c r="T12" i="3"/>
  <c r="V12" i="3"/>
  <c r="R15" i="3"/>
  <c r="O15" i="3"/>
  <c r="D15" i="3"/>
  <c r="J15" i="3"/>
  <c r="H15" i="3"/>
  <c r="P15" i="3"/>
  <c r="V15" i="3"/>
  <c r="M15" i="3"/>
  <c r="Q15" i="3"/>
  <c r="I15" i="3"/>
  <c r="C15" i="3"/>
  <c r="E15" i="3"/>
  <c r="S15" i="3"/>
  <c r="U15" i="3"/>
  <c r="T15" i="3"/>
  <c r="X15" i="3"/>
  <c r="K15" i="3"/>
  <c r="AE7" i="11" s="1"/>
  <c r="T14" i="3"/>
  <c r="K14" i="3"/>
  <c r="Y20" i="11" s="1"/>
  <c r="M14" i="3"/>
  <c r="U14" i="3"/>
  <c r="Q14" i="3"/>
  <c r="R14" i="3"/>
  <c r="V14" i="3"/>
  <c r="P14" i="3"/>
  <c r="C14" i="3"/>
  <c r="S14" i="3"/>
  <c r="X14" i="3"/>
  <c r="D14" i="3"/>
  <c r="J14" i="3"/>
  <c r="I14" i="3"/>
  <c r="O14" i="3"/>
  <c r="E14" i="3"/>
  <c r="H14" i="3"/>
  <c r="S13" i="3"/>
  <c r="D13" i="3"/>
  <c r="E13" i="3"/>
  <c r="C13" i="3"/>
  <c r="H13" i="3"/>
  <c r="K13" i="3"/>
  <c r="AE18" i="11" s="1"/>
  <c r="T13" i="3"/>
  <c r="J13" i="3"/>
  <c r="Q13" i="3"/>
  <c r="R13" i="3"/>
  <c r="I13" i="3"/>
  <c r="M13" i="3"/>
  <c r="X13" i="3"/>
  <c r="V13" i="3"/>
  <c r="P13" i="3"/>
  <c r="U13" i="3"/>
  <c r="O13" i="3"/>
  <c r="T17" i="3"/>
  <c r="Q17" i="3"/>
  <c r="M17" i="3"/>
  <c r="J17" i="3"/>
  <c r="P17" i="3"/>
  <c r="K17" i="3"/>
  <c r="AE10" i="11" s="1"/>
  <c r="E17" i="3"/>
  <c r="V17" i="3"/>
  <c r="H17" i="3"/>
  <c r="S17" i="3"/>
  <c r="O17" i="3"/>
  <c r="C17" i="3"/>
  <c r="D17" i="3"/>
  <c r="U17" i="3"/>
  <c r="I17" i="3"/>
  <c r="X17" i="3"/>
  <c r="R17" i="3"/>
  <c r="K5" i="3"/>
  <c r="AE15" i="11" s="1"/>
  <c r="X5" i="3"/>
  <c r="H5" i="3"/>
  <c r="R5" i="3"/>
  <c r="E5" i="3"/>
  <c r="T5" i="3"/>
  <c r="O5" i="3"/>
  <c r="B5" i="4"/>
  <c r="M5" i="3"/>
  <c r="Q5" i="3"/>
  <c r="P5" i="3"/>
  <c r="C5" i="3"/>
  <c r="J5" i="3"/>
  <c r="U5" i="3"/>
  <c r="V5" i="3"/>
  <c r="S5" i="3"/>
  <c r="I5" i="3"/>
  <c r="D5" i="3"/>
  <c r="AD7" i="11"/>
  <c r="B6" i="4"/>
  <c r="C9" i="3"/>
  <c r="M9" i="3"/>
  <c r="I9" i="3"/>
  <c r="V9" i="3"/>
  <c r="J9" i="3"/>
  <c r="H9" i="3"/>
  <c r="S9" i="3"/>
  <c r="E9" i="3"/>
  <c r="K9" i="3"/>
  <c r="Y19" i="11" s="1"/>
  <c r="O9" i="3"/>
  <c r="R9" i="3"/>
  <c r="T9" i="3"/>
  <c r="X9" i="3"/>
  <c r="Q9" i="3"/>
  <c r="P9" i="3"/>
  <c r="D9" i="3"/>
  <c r="U9" i="3"/>
  <c r="K6" i="3"/>
  <c r="AE14" i="11" s="1"/>
  <c r="J6" i="3"/>
  <c r="D6" i="3"/>
  <c r="I6" i="3"/>
  <c r="X6" i="3"/>
  <c r="U6" i="3"/>
  <c r="H6" i="3"/>
  <c r="T6" i="3"/>
  <c r="O6" i="3"/>
  <c r="E6" i="3"/>
  <c r="V6" i="3"/>
  <c r="C6" i="3"/>
  <c r="R6" i="3"/>
  <c r="M6" i="3"/>
  <c r="S6" i="3"/>
  <c r="Q6" i="3"/>
  <c r="P6" i="3"/>
  <c r="J10" i="3"/>
  <c r="O10" i="3"/>
  <c r="I10" i="3"/>
  <c r="Q10" i="3"/>
  <c r="H10" i="3"/>
  <c r="C10" i="3"/>
  <c r="K10" i="3"/>
  <c r="AE17" i="11" s="1"/>
  <c r="S10" i="3"/>
  <c r="R10" i="3"/>
  <c r="D10" i="3"/>
  <c r="AD17" i="11" s="1"/>
  <c r="E10" i="3"/>
  <c r="U10" i="3"/>
  <c r="M10" i="3"/>
  <c r="P10" i="3"/>
  <c r="V10" i="3"/>
  <c r="T10" i="3"/>
  <c r="X10" i="3"/>
  <c r="K18" i="3"/>
  <c r="Y16" i="11" s="1"/>
  <c r="P18" i="3"/>
  <c r="E18" i="3"/>
  <c r="M18" i="3"/>
  <c r="H18" i="3"/>
  <c r="J18" i="3"/>
  <c r="C18" i="3"/>
  <c r="T18" i="3"/>
  <c r="V18" i="3"/>
  <c r="X18" i="3"/>
  <c r="I18" i="3"/>
  <c r="R18" i="3"/>
  <c r="Q18" i="3"/>
  <c r="D18" i="3"/>
  <c r="AD16" i="11" s="1"/>
  <c r="U18" i="3"/>
  <c r="O18" i="3"/>
  <c r="S18" i="3"/>
  <c r="AE19" i="11" l="1"/>
  <c r="AD12" i="11"/>
  <c r="G7" i="3"/>
  <c r="X11" i="11" s="1"/>
  <c r="AB11" i="11" s="1"/>
  <c r="F7" i="3"/>
  <c r="L7" i="3"/>
  <c r="AE16" i="11"/>
  <c r="AE13" i="11"/>
  <c r="AD15" i="11"/>
  <c r="B30" i="7"/>
  <c r="A10" i="8"/>
  <c r="G5" i="3"/>
  <c r="X15" i="11" s="1"/>
  <c r="L5" i="3"/>
  <c r="B21" i="7"/>
  <c r="F5" i="3"/>
  <c r="C21" i="7"/>
  <c r="F21" i="7" s="1"/>
  <c r="B31" i="7"/>
  <c r="B22" i="7"/>
  <c r="C22" i="7"/>
  <c r="AE12" i="11"/>
  <c r="Y14" i="11"/>
  <c r="Y10" i="11"/>
  <c r="G13" i="3"/>
  <c r="X18" i="11" s="1"/>
  <c r="F13" i="3"/>
  <c r="L13" i="3"/>
  <c r="AD9" i="11"/>
  <c r="G12" i="3"/>
  <c r="X9" i="11" s="1"/>
  <c r="L12" i="3"/>
  <c r="F12" i="3"/>
  <c r="G6" i="3"/>
  <c r="X14" i="11" s="1"/>
  <c r="L6" i="3"/>
  <c r="F6" i="3"/>
  <c r="Y12" i="11"/>
  <c r="B26" i="4" s="1"/>
  <c r="F15" i="3"/>
  <c r="L15" i="3"/>
  <c r="G15" i="3"/>
  <c r="X7" i="11" s="1"/>
  <c r="AD19" i="11"/>
  <c r="L9" i="3"/>
  <c r="F9" i="3"/>
  <c r="G9" i="3"/>
  <c r="AD10" i="11"/>
  <c r="G17" i="3"/>
  <c r="X10" i="11" s="1"/>
  <c r="AB10" i="11" s="1"/>
  <c r="F17" i="3"/>
  <c r="L17" i="3"/>
  <c r="Y15" i="11"/>
  <c r="AE20" i="11"/>
  <c r="Y17" i="11"/>
  <c r="AD20" i="11"/>
  <c r="AF20" i="11" s="1"/>
  <c r="W14" i="3" s="1"/>
  <c r="G14" i="3"/>
  <c r="X20" i="11" s="1"/>
  <c r="AB20" i="11" s="1"/>
  <c r="L14" i="3"/>
  <c r="F14" i="3"/>
  <c r="AD13" i="11"/>
  <c r="G11" i="3"/>
  <c r="X13" i="11" s="1"/>
  <c r="AB13" i="11" s="1"/>
  <c r="F11" i="3"/>
  <c r="L11" i="3"/>
  <c r="Y8" i="11"/>
  <c r="AD14" i="11"/>
  <c r="AE11" i="11"/>
  <c r="L18" i="3"/>
  <c r="F18" i="3"/>
  <c r="G18" i="3"/>
  <c r="X16" i="11" s="1"/>
  <c r="AB16" i="11" s="1"/>
  <c r="Y7" i="11"/>
  <c r="N18" i="3"/>
  <c r="N14" i="3"/>
  <c r="N9" i="3"/>
  <c r="B33" i="7"/>
  <c r="N5" i="3"/>
  <c r="N8" i="3"/>
  <c r="N16" i="3"/>
  <c r="N17" i="3"/>
  <c r="N7" i="3"/>
  <c r="N12" i="3"/>
  <c r="N10" i="3"/>
  <c r="N15" i="3"/>
  <c r="N11" i="3"/>
  <c r="N6" i="3"/>
  <c r="N13" i="3"/>
  <c r="G10" i="3"/>
  <c r="X17" i="11" s="1"/>
  <c r="F10" i="3"/>
  <c r="L10" i="3"/>
  <c r="B11" i="4"/>
  <c r="Y9" i="11"/>
  <c r="F8" i="3"/>
  <c r="G8" i="3"/>
  <c r="L8" i="3"/>
  <c r="Y18" i="11"/>
  <c r="AD18" i="11"/>
  <c r="T2" i="3"/>
  <c r="AD8" i="11"/>
  <c r="L16" i="3"/>
  <c r="F16" i="3"/>
  <c r="G16" i="3"/>
  <c r="X8" i="11" s="1"/>
  <c r="AB17" i="11" l="1"/>
  <c r="AF17" i="11" s="1"/>
  <c r="W10" i="3" s="1"/>
  <c r="AB18" i="11"/>
  <c r="AB15" i="11"/>
  <c r="AF15" i="11" s="1"/>
  <c r="W5" i="3" s="1"/>
  <c r="AF16" i="11"/>
  <c r="W18" i="3" s="1"/>
  <c r="B16" i="4"/>
  <c r="AB14" i="11"/>
  <c r="AF14" i="11" s="1"/>
  <c r="W6" i="3" s="1"/>
  <c r="A3" i="3"/>
  <c r="AB8" i="11"/>
  <c r="AF8" i="11" s="1"/>
  <c r="W16" i="3" s="1"/>
  <c r="AB9" i="11"/>
  <c r="AF9" i="11" s="1"/>
  <c r="W12" i="3" s="1"/>
  <c r="AF18" i="11"/>
  <c r="W13" i="3" s="1"/>
  <c r="AF10" i="11"/>
  <c r="W17" i="3" s="1"/>
  <c r="X19" i="11"/>
  <c r="AB19" i="11" s="1"/>
  <c r="AF19" i="11" s="1"/>
  <c r="X12" i="11"/>
  <c r="B9" i="4"/>
  <c r="AF13" i="11"/>
  <c r="W11" i="3" s="1"/>
  <c r="AB7" i="11"/>
  <c r="AF7" i="11" s="1"/>
  <c r="W15" i="3" s="1"/>
  <c r="AF11" i="11"/>
  <c r="B8" i="4"/>
  <c r="B25" i="4" l="1"/>
  <c r="AB12" i="11"/>
  <c r="B23" i="4" l="1"/>
  <c r="AF12" i="11"/>
  <c r="W8" i="3" s="1"/>
  <c r="W7" i="3" l="1"/>
  <c r="B7" i="4"/>
  <c r="W9" i="3"/>
</calcChain>
</file>

<file path=xl/sharedStrings.xml><?xml version="1.0" encoding="utf-8"?>
<sst xmlns="http://schemas.openxmlformats.org/spreadsheetml/2006/main" count="2365" uniqueCount="454">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</sst>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4" fillId="4" borderId="0" xfId="0" applyFont="1" applyFill="1" applyAlignment="1">
      <alignment horizontal="left" vertical="center" indent="1"/>
    </xf>
    <xf numFmtId="0" fontId="0" fillId="0" borderId="0" xfId="0"/>
    <xf numFmtId="0" fontId="65" fillId="0" borderId="0" xfId="0" applyFont="1" applyAlignment="1">
      <alignment horizontal="left" vertical="top" wrapText="1"/>
    </xf>
    <xf numFmtId="0" fontId="62" fillId="0" borderId="0" xfId="0" applyFont="1" applyAlignment="1">
      <alignment horizontal="center" vertical="center"/>
    </xf>
    <xf numFmtId="0" fontId="63" fillId="0" borderId="0" xfId="0" applyFont="1" applyAlignment="1">
      <alignment horizontal="center" vertical="center"/>
    </xf>
    <xf numFmtId="0" fontId="68"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8" t="s">
        <v>359</v>
      </c>
      <c r="B1" s="146"/>
      <c r="C1" s="146"/>
      <c r="D1" s="146"/>
      <c r="E1" s="146"/>
      <c r="F1" s="146"/>
      <c r="G1" s="146"/>
      <c r="H1" s="146"/>
    </row>
    <row r="2" spans="1:8" ht="18" customHeight="1" x14ac:dyDescent="0.2">
      <c r="A2" s="149" t="s">
        <v>372</v>
      </c>
      <c r="B2" s="146"/>
      <c r="C2" s="146"/>
      <c r="D2" s="146"/>
      <c r="E2" s="146"/>
      <c r="F2" s="146"/>
      <c r="G2" s="146"/>
      <c r="H2" s="146"/>
    </row>
    <row r="3" spans="1:8" ht="48" customHeight="1" x14ac:dyDescent="0.2">
      <c r="A3" s="150" t="s">
        <v>360</v>
      </c>
      <c r="B3" s="146"/>
      <c r="C3" s="146"/>
      <c r="D3" s="146"/>
      <c r="E3" s="146"/>
      <c r="F3" s="146"/>
      <c r="G3" s="146"/>
      <c r="H3" s="146"/>
    </row>
    <row r="6" spans="1:8" ht="22" customHeight="1" x14ac:dyDescent="0.2">
      <c r="A6" s="145" t="s">
        <v>361</v>
      </c>
      <c r="B6" s="146"/>
      <c r="C6" s="146"/>
      <c r="D6" s="146"/>
      <c r="E6" s="146"/>
      <c r="F6" s="146"/>
      <c r="G6" s="146"/>
      <c r="H6" s="146"/>
    </row>
    <row r="7" spans="1:8" ht="51" customHeight="1" x14ac:dyDescent="0.2">
      <c r="A7" s="129" t="s">
        <v>362</v>
      </c>
      <c r="B7" s="147" t="s">
        <v>373</v>
      </c>
      <c r="C7" s="146"/>
      <c r="D7" s="146"/>
      <c r="E7" s="146"/>
      <c r="F7" s="146"/>
      <c r="G7" s="146"/>
      <c r="H7" s="146"/>
    </row>
    <row r="8" spans="1:8" ht="36" customHeight="1" x14ac:dyDescent="0.2">
      <c r="A8" s="130" t="s">
        <v>363</v>
      </c>
      <c r="B8" s="147" t="s">
        <v>374</v>
      </c>
      <c r="C8" s="146"/>
      <c r="D8" s="146"/>
      <c r="E8" s="146"/>
      <c r="F8" s="146"/>
      <c r="G8" s="146"/>
      <c r="H8" s="146"/>
    </row>
    <row r="9" spans="1:8" ht="21" customHeight="1" x14ac:dyDescent="0.2">
      <c r="A9" s="129" t="s">
        <v>362</v>
      </c>
      <c r="B9" s="147" t="s">
        <v>375</v>
      </c>
      <c r="C9" s="146"/>
      <c r="D9" s="146"/>
      <c r="E9" s="146"/>
      <c r="F9" s="146"/>
      <c r="G9" s="146"/>
      <c r="H9" s="146"/>
    </row>
    <row r="10" spans="1:8" ht="36" customHeight="1" x14ac:dyDescent="0.2">
      <c r="A10" s="130" t="s">
        <v>363</v>
      </c>
      <c r="B10" s="147" t="s">
        <v>376</v>
      </c>
      <c r="C10" s="146"/>
      <c r="D10" s="146"/>
      <c r="E10" s="146"/>
      <c r="F10" s="146"/>
      <c r="G10" s="146"/>
      <c r="H10" s="146"/>
    </row>
    <row r="12" spans="1:8" ht="22" customHeight="1" x14ac:dyDescent="0.2">
      <c r="A12" s="145" t="s">
        <v>364</v>
      </c>
      <c r="B12" s="146"/>
      <c r="C12" s="146"/>
      <c r="D12" s="146"/>
      <c r="E12" s="146"/>
      <c r="F12" s="146"/>
      <c r="G12" s="146"/>
      <c r="H12" s="146"/>
    </row>
    <row r="13" spans="1:8" ht="36" customHeight="1" x14ac:dyDescent="0.2">
      <c r="A13" s="129" t="s">
        <v>362</v>
      </c>
      <c r="B13" s="147" t="s">
        <v>377</v>
      </c>
      <c r="C13" s="146"/>
      <c r="D13" s="146"/>
      <c r="E13" s="146"/>
      <c r="F13" s="146"/>
      <c r="G13" s="146"/>
      <c r="H13" s="146"/>
    </row>
    <row r="14" spans="1:8" ht="36" customHeight="1" x14ac:dyDescent="0.2">
      <c r="A14" s="130" t="s">
        <v>363</v>
      </c>
      <c r="B14" s="147" t="s">
        <v>378</v>
      </c>
      <c r="C14" s="146"/>
      <c r="D14" s="146"/>
      <c r="E14" s="146"/>
      <c r="F14" s="146"/>
      <c r="G14" s="146"/>
      <c r="H14" s="146"/>
    </row>
    <row r="15" spans="1:8" ht="21" customHeight="1" x14ac:dyDescent="0.2">
      <c r="A15" s="129" t="s">
        <v>362</v>
      </c>
      <c r="B15" s="147" t="s">
        <v>379</v>
      </c>
      <c r="C15" s="146"/>
      <c r="D15" s="146"/>
      <c r="E15" s="146"/>
      <c r="F15" s="146"/>
      <c r="G15" s="146"/>
      <c r="H15" s="146"/>
    </row>
    <row r="16" spans="1:8" ht="36" customHeight="1" x14ac:dyDescent="0.2">
      <c r="A16" s="130" t="s">
        <v>363</v>
      </c>
      <c r="B16" s="147" t="s">
        <v>380</v>
      </c>
      <c r="C16" s="146"/>
      <c r="D16" s="146"/>
      <c r="E16" s="146"/>
      <c r="F16" s="146"/>
      <c r="G16" s="146"/>
      <c r="H16" s="146"/>
    </row>
    <row r="18" spans="1:8" ht="22" customHeight="1" x14ac:dyDescent="0.2">
      <c r="A18" s="145" t="s">
        <v>365</v>
      </c>
      <c r="B18" s="146"/>
      <c r="C18" s="146"/>
      <c r="D18" s="146"/>
      <c r="E18" s="146"/>
      <c r="F18" s="146"/>
      <c r="G18" s="146"/>
      <c r="H18" s="146"/>
    </row>
    <row r="19" spans="1:8" ht="21" customHeight="1" x14ac:dyDescent="0.2">
      <c r="A19" s="129" t="s">
        <v>362</v>
      </c>
      <c r="B19" s="147" t="s">
        <v>381</v>
      </c>
      <c r="C19" s="146"/>
      <c r="D19" s="146"/>
      <c r="E19" s="146"/>
      <c r="F19" s="146"/>
      <c r="G19" s="146"/>
      <c r="H19" s="146"/>
    </row>
    <row r="20" spans="1:8" ht="51" customHeight="1" x14ac:dyDescent="0.2">
      <c r="A20" s="130" t="s">
        <v>363</v>
      </c>
      <c r="B20" s="147" t="s">
        <v>382</v>
      </c>
      <c r="C20" s="146"/>
      <c r="D20" s="146"/>
      <c r="E20" s="146"/>
      <c r="F20" s="146"/>
      <c r="G20" s="146"/>
      <c r="H20" s="146"/>
    </row>
    <row r="21" spans="1:8" ht="21" customHeight="1" x14ac:dyDescent="0.2">
      <c r="A21" s="129" t="s">
        <v>362</v>
      </c>
      <c r="B21" s="147" t="s">
        <v>383</v>
      </c>
      <c r="C21" s="146"/>
      <c r="D21" s="146"/>
      <c r="E21" s="146"/>
      <c r="F21" s="146"/>
      <c r="G21" s="146"/>
      <c r="H21" s="146"/>
    </row>
    <row r="22" spans="1:8" ht="51" customHeight="1" x14ac:dyDescent="0.2">
      <c r="A22" s="130" t="s">
        <v>363</v>
      </c>
      <c r="B22" s="147" t="s">
        <v>384</v>
      </c>
      <c r="C22" s="146"/>
      <c r="D22" s="146"/>
      <c r="E22" s="146"/>
      <c r="F22" s="146"/>
      <c r="G22" s="146"/>
      <c r="H22" s="146"/>
    </row>
    <row r="24" spans="1:8" ht="22" customHeight="1" x14ac:dyDescent="0.2">
      <c r="A24" s="145" t="s">
        <v>366</v>
      </c>
      <c r="B24" s="146"/>
      <c r="C24" s="146"/>
      <c r="D24" s="146"/>
      <c r="E24" s="146"/>
      <c r="F24" s="146"/>
      <c r="G24" s="146"/>
      <c r="H24" s="146"/>
    </row>
    <row r="25" spans="1:8" ht="21" customHeight="1" x14ac:dyDescent="0.2">
      <c r="A25" s="129" t="s">
        <v>362</v>
      </c>
      <c r="B25" s="147" t="s">
        <v>385</v>
      </c>
      <c r="C25" s="146"/>
      <c r="D25" s="146"/>
      <c r="E25" s="146"/>
      <c r="F25" s="146"/>
      <c r="G25" s="146"/>
      <c r="H25" s="146"/>
    </row>
    <row r="26" spans="1:8" ht="51" customHeight="1" x14ac:dyDescent="0.2">
      <c r="A26" s="130" t="s">
        <v>363</v>
      </c>
      <c r="B26" s="147" t="s">
        <v>386</v>
      </c>
      <c r="C26" s="146"/>
      <c r="D26" s="146"/>
      <c r="E26" s="146"/>
      <c r="F26" s="146"/>
      <c r="G26" s="146"/>
      <c r="H26" s="146"/>
    </row>
    <row r="27" spans="1:8" ht="21" customHeight="1" x14ac:dyDescent="0.2">
      <c r="A27" s="129" t="s">
        <v>362</v>
      </c>
      <c r="B27" s="147" t="s">
        <v>387</v>
      </c>
      <c r="C27" s="146"/>
      <c r="D27" s="146"/>
      <c r="E27" s="146"/>
      <c r="F27" s="146"/>
      <c r="G27" s="146"/>
      <c r="H27" s="146"/>
    </row>
    <row r="28" spans="1:8" ht="51" customHeight="1" x14ac:dyDescent="0.2">
      <c r="A28" s="130" t="s">
        <v>363</v>
      </c>
      <c r="B28" s="147" t="s">
        <v>388</v>
      </c>
      <c r="C28" s="146"/>
      <c r="D28" s="146"/>
      <c r="E28" s="146"/>
      <c r="F28" s="146"/>
      <c r="G28" s="146"/>
      <c r="H28" s="146"/>
    </row>
    <row r="29" spans="1:8" ht="21" customHeight="1" x14ac:dyDescent="0.2">
      <c r="A29" s="129" t="s">
        <v>362</v>
      </c>
      <c r="B29" s="147" t="s">
        <v>389</v>
      </c>
      <c r="C29" s="146"/>
      <c r="D29" s="146"/>
      <c r="E29" s="146"/>
      <c r="F29" s="146"/>
      <c r="G29" s="146"/>
      <c r="H29" s="146"/>
    </row>
    <row r="30" spans="1:8" ht="36" customHeight="1" x14ac:dyDescent="0.2">
      <c r="A30" s="130" t="s">
        <v>363</v>
      </c>
      <c r="B30" s="147" t="s">
        <v>390</v>
      </c>
      <c r="C30" s="146"/>
      <c r="D30" s="146"/>
      <c r="E30" s="146"/>
      <c r="F30" s="146"/>
      <c r="G30" s="146"/>
      <c r="H30" s="146"/>
    </row>
    <row r="32" spans="1:8" ht="22" customHeight="1" x14ac:dyDescent="0.2">
      <c r="A32" s="145" t="s">
        <v>367</v>
      </c>
      <c r="B32" s="146"/>
      <c r="C32" s="146"/>
      <c r="D32" s="146"/>
      <c r="E32" s="146"/>
      <c r="F32" s="146"/>
      <c r="G32" s="146"/>
      <c r="H32" s="146"/>
    </row>
    <row r="33" spans="1:8" ht="21" customHeight="1" x14ac:dyDescent="0.2">
      <c r="A33" s="129" t="s">
        <v>362</v>
      </c>
      <c r="B33" s="147" t="s">
        <v>391</v>
      </c>
      <c r="C33" s="146"/>
      <c r="D33" s="146"/>
      <c r="E33" s="146"/>
      <c r="F33" s="146"/>
      <c r="G33" s="146"/>
      <c r="H33" s="146"/>
    </row>
    <row r="34" spans="1:8" ht="51" customHeight="1" x14ac:dyDescent="0.2">
      <c r="A34" s="130" t="s">
        <v>363</v>
      </c>
      <c r="B34" s="147" t="s">
        <v>392</v>
      </c>
      <c r="C34" s="146"/>
      <c r="D34" s="146"/>
      <c r="E34" s="146"/>
      <c r="F34" s="146"/>
      <c r="G34" s="146"/>
      <c r="H34" s="146"/>
    </row>
    <row r="35" spans="1:8" ht="21" customHeight="1" x14ac:dyDescent="0.2">
      <c r="A35" s="129" t="s">
        <v>362</v>
      </c>
      <c r="B35" s="147" t="s">
        <v>393</v>
      </c>
      <c r="C35" s="146"/>
      <c r="D35" s="146"/>
      <c r="E35" s="146"/>
      <c r="F35" s="146"/>
      <c r="G35" s="146"/>
      <c r="H35" s="146"/>
    </row>
    <row r="36" spans="1:8" ht="36" customHeight="1" x14ac:dyDescent="0.2">
      <c r="A36" s="130" t="s">
        <v>363</v>
      </c>
      <c r="B36" s="147" t="s">
        <v>394</v>
      </c>
      <c r="C36" s="146"/>
      <c r="D36" s="146"/>
      <c r="E36" s="146"/>
      <c r="F36" s="146"/>
      <c r="G36" s="146"/>
      <c r="H36" s="146"/>
    </row>
    <row r="37" spans="1:8" ht="21" customHeight="1" x14ac:dyDescent="0.2">
      <c r="A37" s="129" t="s">
        <v>362</v>
      </c>
      <c r="B37" s="147" t="s">
        <v>395</v>
      </c>
      <c r="C37" s="146"/>
      <c r="D37" s="146"/>
      <c r="E37" s="146"/>
      <c r="F37" s="146"/>
      <c r="G37" s="146"/>
      <c r="H37" s="146"/>
    </row>
    <row r="38" spans="1:8" ht="51" customHeight="1" x14ac:dyDescent="0.2">
      <c r="A38" s="130" t="s">
        <v>363</v>
      </c>
      <c r="B38" s="147" t="s">
        <v>396</v>
      </c>
      <c r="C38" s="146"/>
      <c r="D38" s="146"/>
      <c r="E38" s="146"/>
      <c r="F38" s="146"/>
      <c r="G38" s="146"/>
      <c r="H38" s="146"/>
    </row>
    <row r="39" spans="1:8" ht="21" customHeight="1" x14ac:dyDescent="0.2">
      <c r="A39" s="129" t="s">
        <v>362</v>
      </c>
      <c r="B39" s="147" t="s">
        <v>397</v>
      </c>
      <c r="C39" s="146"/>
      <c r="D39" s="146"/>
      <c r="E39" s="146"/>
      <c r="F39" s="146"/>
      <c r="G39" s="146"/>
      <c r="H39" s="146"/>
    </row>
    <row r="41" spans="1:8" ht="22" customHeight="1" x14ac:dyDescent="0.2">
      <c r="A41" s="145" t="s">
        <v>368</v>
      </c>
      <c r="B41" s="146"/>
      <c r="C41" s="146"/>
      <c r="D41" s="146"/>
      <c r="E41" s="146"/>
      <c r="F41" s="146"/>
      <c r="G41" s="146"/>
      <c r="H41" s="146"/>
    </row>
    <row r="42" spans="1:8" ht="21" customHeight="1" x14ac:dyDescent="0.2">
      <c r="A42" s="129" t="s">
        <v>362</v>
      </c>
      <c r="B42" s="147" t="s">
        <v>398</v>
      </c>
      <c r="C42" s="146"/>
      <c r="D42" s="146"/>
      <c r="E42" s="146"/>
      <c r="F42" s="146"/>
      <c r="G42" s="146"/>
      <c r="H42" s="146"/>
    </row>
    <row r="43" spans="1:8" ht="51" customHeight="1" x14ac:dyDescent="0.2">
      <c r="A43" s="130" t="s">
        <v>363</v>
      </c>
      <c r="B43" s="147" t="s">
        <v>399</v>
      </c>
      <c r="C43" s="146"/>
      <c r="D43" s="146"/>
      <c r="E43" s="146"/>
      <c r="F43" s="146"/>
      <c r="G43" s="146"/>
      <c r="H43" s="146"/>
    </row>
    <row r="44" spans="1:8" ht="21" customHeight="1" x14ac:dyDescent="0.2">
      <c r="A44" s="129" t="s">
        <v>362</v>
      </c>
      <c r="B44" s="147" t="s">
        <v>400</v>
      </c>
      <c r="C44" s="146"/>
      <c r="D44" s="146"/>
      <c r="E44" s="146"/>
      <c r="F44" s="146"/>
      <c r="G44" s="146"/>
      <c r="H44" s="146"/>
    </row>
    <row r="45" spans="1:8" ht="36" customHeight="1" x14ac:dyDescent="0.2">
      <c r="A45" s="130" t="s">
        <v>363</v>
      </c>
      <c r="B45" s="147" t="s">
        <v>401</v>
      </c>
      <c r="C45" s="146"/>
      <c r="D45" s="146"/>
      <c r="E45" s="146"/>
      <c r="F45" s="146"/>
      <c r="G45" s="146"/>
      <c r="H45" s="146"/>
    </row>
    <row r="46" spans="1:8" ht="21" customHeight="1" x14ac:dyDescent="0.2">
      <c r="A46" s="129" t="s">
        <v>362</v>
      </c>
      <c r="B46" s="147" t="s">
        <v>402</v>
      </c>
      <c r="C46" s="146"/>
      <c r="D46" s="146"/>
      <c r="E46" s="146"/>
      <c r="F46" s="146"/>
      <c r="G46" s="146"/>
      <c r="H46" s="146"/>
    </row>
    <row r="47" spans="1:8" ht="21" customHeight="1" x14ac:dyDescent="0.2">
      <c r="A47" s="130" t="s">
        <v>363</v>
      </c>
      <c r="B47" s="147" t="s">
        <v>369</v>
      </c>
      <c r="C47" s="146"/>
      <c r="D47" s="146"/>
      <c r="E47" s="146"/>
      <c r="F47" s="146"/>
      <c r="G47" s="146"/>
      <c r="H47" s="146"/>
    </row>
    <row r="49" spans="1:8" ht="22" customHeight="1" x14ac:dyDescent="0.2">
      <c r="A49" s="145" t="s">
        <v>370</v>
      </c>
      <c r="B49" s="146"/>
      <c r="C49" s="146"/>
      <c r="D49" s="146"/>
      <c r="E49" s="146"/>
      <c r="F49" s="146"/>
      <c r="G49" s="146"/>
      <c r="H49" s="146"/>
    </row>
    <row r="50" spans="1:8" ht="36" customHeight="1" x14ac:dyDescent="0.2">
      <c r="A50" s="129" t="s">
        <v>362</v>
      </c>
      <c r="B50" s="147" t="s">
        <v>403</v>
      </c>
      <c r="C50" s="146"/>
      <c r="D50" s="146"/>
      <c r="E50" s="146"/>
      <c r="F50" s="146"/>
      <c r="G50" s="146"/>
      <c r="H50" s="146"/>
    </row>
    <row r="51" spans="1:8" ht="21" customHeight="1" x14ac:dyDescent="0.2">
      <c r="A51" s="130" t="s">
        <v>363</v>
      </c>
      <c r="B51" s="147" t="s">
        <v>404</v>
      </c>
      <c r="C51" s="146"/>
      <c r="D51" s="146"/>
      <c r="E51" s="146"/>
      <c r="F51" s="146"/>
      <c r="G51" s="146"/>
      <c r="H51" s="146"/>
    </row>
    <row r="52" spans="1:8" ht="21" customHeight="1" x14ac:dyDescent="0.2">
      <c r="A52" s="129" t="s">
        <v>362</v>
      </c>
      <c r="B52" s="147" t="s">
        <v>371</v>
      </c>
      <c r="C52" s="146"/>
      <c r="D52" s="146"/>
      <c r="E52" s="146"/>
      <c r="F52" s="146"/>
      <c r="G52" s="146"/>
      <c r="H52" s="146"/>
    </row>
  </sheetData>
  <mergeCells count="44">
    <mergeCell ref="A1:H1"/>
    <mergeCell ref="A2:H2"/>
    <mergeCell ref="A3:H3"/>
    <mergeCell ref="A6:H6"/>
    <mergeCell ref="B7:H7"/>
    <mergeCell ref="B8:H8"/>
    <mergeCell ref="B9:H9"/>
    <mergeCell ref="B10:H10"/>
    <mergeCell ref="A12:H12"/>
    <mergeCell ref="B13:H13"/>
    <mergeCell ref="B14:H14"/>
    <mergeCell ref="B15:H15"/>
    <mergeCell ref="B16:H16"/>
    <mergeCell ref="A18:H18"/>
    <mergeCell ref="B19:H19"/>
    <mergeCell ref="B20:H20"/>
    <mergeCell ref="B21:H21"/>
    <mergeCell ref="B22:H22"/>
    <mergeCell ref="A24:H24"/>
    <mergeCell ref="B25:H25"/>
    <mergeCell ref="B26:H26"/>
    <mergeCell ref="B27:H27"/>
    <mergeCell ref="B28:H28"/>
    <mergeCell ref="B29:H29"/>
    <mergeCell ref="B30:H30"/>
    <mergeCell ref="A32:H32"/>
    <mergeCell ref="B33:H33"/>
    <mergeCell ref="B34:H34"/>
    <mergeCell ref="B35:H35"/>
    <mergeCell ref="B36:H36"/>
    <mergeCell ref="B37:H37"/>
    <mergeCell ref="B38:H38"/>
    <mergeCell ref="B39:H39"/>
    <mergeCell ref="A41:H41"/>
    <mergeCell ref="B42:H42"/>
    <mergeCell ref="A49:H49"/>
    <mergeCell ref="B50:H50"/>
    <mergeCell ref="B51:H51"/>
    <mergeCell ref="B52:H52"/>
    <mergeCell ref="B43:H43"/>
    <mergeCell ref="B44:H44"/>
    <mergeCell ref="B45:H45"/>
    <mergeCell ref="B46:H46"/>
    <mergeCell ref="B47:H4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 ca="1">'Sport Records'!$C$4</f>
        <v>Daniel (Ferret)</v>
      </c>
      <c r="B5" s="155"/>
      <c r="C5" s="155"/>
      <c r="D5" s="155"/>
      <c r="E5" s="155"/>
      <c r="G5" s="26"/>
      <c r="H5" s="26"/>
      <c r="I5" s="26"/>
    </row>
    <row r="6" spans="1:9" ht="15" customHeight="1" x14ac:dyDescent="0.2">
      <c r="A6" s="156"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1153   |   35 wins, 41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18</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17</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1048</v>
      </c>
      <c r="D28" s="30" t="str">
        <f>IF(OR($B28="—",$B28=""),"—",COUNTIFS('Match Log'!$D$4:$D$810,$B28,'Match Log'!$C$4:$C$810,$A28,'Match Log'!$E$4:$E$810,"Win")&amp;"–"&amp;(COUNTIFS('Match Log'!$D$4:$D$810,$B28,'Match Log'!$C$4:$C$810,$A28)-COUNTIFS('Match Log'!$D$4:$D$810,$B28,'Match Log'!$C$4:$C$810,$A28,'Match Log'!$E$4:$E$810,"Win")))</f>
        <v>15–10</v>
      </c>
      <c r="E28" s="30">
        <f>'Sport Records'!$P$26</f>
        <v>33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6</v>
      </c>
    </row>
    <row r="31" spans="1:9" x14ac:dyDescent="0.2">
      <c r="A31" s="28" t="s">
        <v>446</v>
      </c>
      <c r="B31" s="29" t="str">
        <f>IFERROR('Sport Records'!$P$121,"—")</f>
        <v>Shawn</v>
      </c>
      <c r="C31" s="30">
        <f>IF(OR($B31="—",$B31=""),"",ROUND(MAX('Sport Records'!$B$121:$O$121),0))</f>
        <v>1017</v>
      </c>
      <c r="D31" s="30" t="str">
        <f>IF(OR($B31="—",$B31=""),"—",COUNTIFS('Match Log'!$D$4:$D$810,$B31,'Match Log'!$C$4:$C$810,$A31,'Match Log'!$E$4:$E$810,"Win")&amp;"–"&amp;(COUNTIFS('Match Log'!$D$4:$D$810,$B31,'Match Log'!$C$4:$C$810,$A31)-COUNTIFS('Match Log'!$D$4:$D$810,$B31,'Match Log'!$C$4:$C$810,$A31,'Match Log'!$E$4:$E$810,"Win")))</f>
        <v>1–0</v>
      </c>
      <c r="E31" s="30">
        <f>IFERROR('Sport Records'!$P$29,0)</f>
        <v>2</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Normal="100" workbookViewId="0">
      <pane xSplit="3" ySplit="4" topLeftCell="D5" activePane="bottomRight" state="frozen"/>
      <selection pane="topRight" activeCell="D1" sqref="D1"/>
      <selection pane="bottomLeft" activeCell="A5" sqref="A5"/>
      <selection pane="bottomRight" activeCell="B8" sqref="B8"/>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201  ·  13 Aug 2026</v>
      </c>
      <c r="T2" s="44"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 ca="1">"Current Champion:  "&amp;IFERROR(INDEX($B$5:$B$18,MATCH(SUMPRODUCT(MAX(($L$5:$L$18="Eligible")*($T$5:$T$18&lt;&gt;"Inactive")*$V$5:$V$18)),$V$5:$V$18,0)),"— none eligible yet —")</f>
        <v>Current Champion:  Daniel (Ferret)</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1231.7029363250533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1091.3419309209771</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4.5999999999999996</v>
      </c>
      <c r="T5" s="49" t="str">
        <f ca="1">IFERROR(INDEX(Calcs!$T$7:$T$20,MATCH($B5,Calcs!$A$7:$A$20,0)),"")</f>
        <v>Inactive</v>
      </c>
      <c r="U5">
        <f ca="1">IFERROR(ROUND(INDEX(Calcs!$R$7:$R$20,MATCH($B5,Calcs!$A$7:$A$20,0))+INDEX(Calcs!$U$7:$U$20,MATCH($B5,Calcs!$A$7:$A$20,0)),0),0)</f>
        <v>10</v>
      </c>
      <c r="V5" s="51">
        <f ca="1">IFERROR(ROUND(INDEX(Calcs!$S$7:$S$20,MATCH($B5,Calcs!$A$7:$A$20,0)),0),"")</f>
        <v>1232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Daniel (Ferret)</v>
      </c>
      <c r="C6" s="48">
        <f ca="1">IFERROR(INDEX(Calcs!$S$7:$S$20,MATCH($B6,Calcs!$A$7:$A$20,0)),"")</f>
        <v>1153.0208401956088</v>
      </c>
      <c r="D6" s="49">
        <f ca="1">COUNTIF('Match Log'!$D$4:$D$810,$B6)</f>
        <v>76</v>
      </c>
      <c r="E6" s="49">
        <f ca="1">COUNTIFS('Match Log'!$D$4:$D$810,$B6,'Match Log'!$E$4:$E$810,"Win")</f>
        <v>35</v>
      </c>
      <c r="F6" s="49">
        <f t="shared" ca="1" si="1"/>
        <v>41</v>
      </c>
      <c r="G6" s="50">
        <f t="shared" ca="1" si="2"/>
        <v>0.46052631578947367</v>
      </c>
      <c r="H6" s="51">
        <f ca="1">SUMIF('Match Log'!$D$4:$D$810,$B6,'Match Log'!$J$4:$J$810)</f>
        <v>41.774552221548468</v>
      </c>
      <c r="I6" s="51">
        <f ca="1">SUMIF('Match Log'!$D$4:$D$810,$B6,'Match Log'!$K$4:$K$810)</f>
        <v>43.596287974060196</v>
      </c>
      <c r="J6" s="51">
        <f ca="1">SUMIF('Match Log'!$D$4:$D$810,$B6,'Match Log'!$L$4:$L$810)</f>
        <v>69</v>
      </c>
      <c r="K6" s="49">
        <f ca="1">SUMPRODUCT(--(COUNTIFS('Match Log'!$D$4:$D$810,$B6,'Match Log'!$C$4:$C$810,Lists!$C$2:$C$24)&gt;0))</f>
        <v>14</v>
      </c>
      <c r="L6" s="49" t="str">
        <f ca="1">IF($D6=0,"No games",IF(AND($D6&gt;='Guide &amp; Settings'!$C$45,$K6&gt;='Guide &amp; Settings'!$C$46),"Eligible","Provisional"))</f>
        <v>Eligible</v>
      </c>
      <c r="M6" s="48">
        <f ca="1">IFERROR(INDEX(Calcs!$C$7:$C$20,MATCH($B6,Calcs!$A$7:$A$20,0)),"")</f>
        <v>1095.9668953093146</v>
      </c>
      <c r="N6" s="48">
        <f t="shared" ca="1" si="3"/>
        <v>78.682096129444517</v>
      </c>
      <c r="O6" s="49" t="str">
        <f ca="1">IFERROR(INDEX(Calcs!$H$7:$H$20,MATCH($B6,Calcs!$A$7:$A$20,0)),"")</f>
        <v>W2</v>
      </c>
      <c r="P6" s="49" t="str">
        <f ca="1">IFERROR(INDEX(Calcs!$I$7:$I$20,MATCH($B6,Calcs!$A$7:$A$20,0)),"")</f>
        <v>WWLWW</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7 Aug</v>
      </c>
      <c r="S6" s="49">
        <f ca="1">IFERROR(ROUND(INDEX(Calcs!$Q$7:$Q$20,MATCH($B6,Calcs!$A$7:$A$20,0)),1),"")</f>
        <v>0.9</v>
      </c>
      <c r="T6" s="49" t="str">
        <f ca="1">IFERROR(INDEX(Calcs!$T$7:$T$20,MATCH($B6,Calcs!$A$7:$A$20,0)),"")</f>
        <v>Active</v>
      </c>
      <c r="U6">
        <f ca="1">IFERROR(ROUND(INDEX(Calcs!$R$7:$R$20,MATCH($B6,Calcs!$A$7:$A$20,0))+INDEX(Calcs!$U$7:$U$20,MATCH($B6,Calcs!$A$7:$A$20,0)),0),0)</f>
        <v>0</v>
      </c>
      <c r="V6" s="51">
        <f ca="1">IFERROR(ROUND(INDEX(Calcs!$S$7:$S$20,MATCH($B6,Calcs!$A$7:$A$20,0)),0),"")</f>
        <v>1153</v>
      </c>
      <c r="W6" s="49" t="str">
        <f ca="1">IFERROR(INDEX(Calcs!$AF$7:$AF$20,MATCH($B6,Calcs!$A$7:$A$20,0)),"")</f>
        <v>Elite</v>
      </c>
      <c r="X6" s="51">
        <f ca="1">IFERROR(ROUND(SUMIF('Poker Stake Ledger'!$C$18:$C$137,$B6,'Poker Stake Ledger'!$K$18:$K$137),1),0)</f>
        <v>-1.4</v>
      </c>
    </row>
    <row r="7" spans="1:24" ht="15" customHeight="1" x14ac:dyDescent="0.2">
      <c r="A7" s="46">
        <f t="shared" si="0"/>
        <v>3</v>
      </c>
      <c r="B7" s="47" t="str">
        <f ca="1">IFERROR(INDEX(Calcs!$A$7:$A$20,MATCH(LARGE(Calcs!$AI$7:$AI$20,ROW()-4),Calcs!$AI$7:$AI$20,0)),"")</f>
        <v>Josh</v>
      </c>
      <c r="C7" s="48">
        <f ca="1">IFERROR(INDEX(Calcs!$S$7:$S$20,MATCH($B7,Calcs!$A$7:$A$20,0)),"")</f>
        <v>1148.0282967340261</v>
      </c>
      <c r="D7" s="49">
        <f ca="1">COUNTIF('Match Log'!$D$4:$D$810,$B7)</f>
        <v>48</v>
      </c>
      <c r="E7" s="49">
        <f ca="1">COUNTIFS('Match Log'!$D$4:$D$810,$B7,'Match Log'!$E$4:$E$810,"Win")</f>
        <v>28</v>
      </c>
      <c r="F7" s="49">
        <f t="shared" ca="1" si="1"/>
        <v>20</v>
      </c>
      <c r="G7" s="50">
        <f t="shared" ca="1" si="2"/>
        <v>0.58333333333333337</v>
      </c>
      <c r="H7" s="51">
        <f ca="1">SUMIF('Match Log'!$D$4:$D$810,$B7,'Match Log'!$J$4:$J$810)</f>
        <v>37.138358136805465</v>
      </c>
      <c r="I7" s="51">
        <f ca="1">SUMIF('Match Log'!$D$4:$D$810,$B7,'Match Log'!$K$4:$K$810)</f>
        <v>39.139938597220571</v>
      </c>
      <c r="J7" s="51">
        <f ca="1">SUMIF('Match Log'!$D$4:$D$810,$B7,'Match Log'!$L$4:$L$810)</f>
        <v>50</v>
      </c>
      <c r="K7" s="49">
        <f ca="1">SUMPRODUCT(--(COUNTIFS('Match Log'!$D$4:$D$810,$B7,'Match Log'!$C$4:$C$810,Lists!$C$2:$C$24)&gt;0))</f>
        <v>13</v>
      </c>
      <c r="L7" s="49" t="str">
        <f ca="1">IF($D7=0,"No games",IF(AND($D7&gt;='Guide &amp; Settings'!$C$45,$K7&gt;='Guide &amp; Settings'!$C$46),"Eligible","Provisional"))</f>
        <v>Eligible</v>
      </c>
      <c r="M7" s="48">
        <f ca="1">IFERROR(INDEX(Calcs!$C$7:$C$20,MATCH($B7,Calcs!$A$7:$A$20,0)),"")</f>
        <v>1094.4695171582762</v>
      </c>
      <c r="N7" s="48">
        <f t="shared" ca="1" si="3"/>
        <v>83.674639591027244</v>
      </c>
      <c r="O7" s="49" t="str">
        <f ca="1">IFERROR(INDEX(Calcs!$H$7:$H$20,MATCH($B7,Calcs!$A$7:$A$20,0)),"")</f>
        <v>W3</v>
      </c>
      <c r="P7" s="49" t="str">
        <f ca="1">IFERROR(INDEX(Calcs!$I$7:$I$20,MATCH($B7,Calcs!$A$7:$A$20,0)),"")</f>
        <v>WLWWW</v>
      </c>
      <c r="Q7" s="49" t="str">
        <f ca="1">IFERROR(IF(INDEX(Calcs!$L$7:$L$20,MATCH($B7,Calcs!$A$7:$A$20,0))&gt;0,"▲"&amp;INDEX(Calcs!$L$7:$L$20,MATCH($B7,Calcs!$A$7:$A$20,0)),IF(INDEX(Calcs!$L$7:$L$20,MATCH($B7,Calcs!$A$7:$A$20,0))&lt;0,"▼"&amp;ABS(INDEX(Calcs!$L$7:$L$20,MATCH($B7,Calcs!$A$7:$A$20,0))),"–")),"")</f>
        <v>▲2</v>
      </c>
      <c r="R7" s="49" t="str">
        <f ca="1">IFERROR(IF(INDEX(Calcs!$P$7:$P$20,MATCH($B7,Calcs!$A$7:$A$20,0))=0,"—",TEXT(INDEX(Calcs!$P$7:$P$20,MATCH($B7,Calcs!$A$7:$A$20,0)),"d mmm")),"")</f>
        <v>13 Aug</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1148</v>
      </c>
      <c r="W7" s="49" t="str">
        <f ca="1">IFERROR(INDEX(Calcs!$AF$7:$AF$20,MATCH($B7,Calcs!$A$7:$A$20,0)),"")</f>
        <v>Elite</v>
      </c>
      <c r="X7" s="51">
        <f ca="1">IFERROR(ROUND(SUMIF('Poker Stake Ledger'!$C$18:$C$137,$B7,'Poker Stake Ledger'!$K$18:$K$137),1),0)</f>
        <v>21.8</v>
      </c>
    </row>
    <row r="8" spans="1:24" ht="15" customHeight="1" x14ac:dyDescent="0.2">
      <c r="A8" s="46">
        <f t="shared" si="0"/>
        <v>4</v>
      </c>
      <c r="B8" s="47" t="str">
        <f ca="1">IFERROR(INDEX(Calcs!$A$7:$A$20,MATCH(LARGE(Calcs!$AI$7:$AI$20,ROW()-4),Calcs!$AI$7:$AI$20,0)),"")</f>
        <v>Shawn</v>
      </c>
      <c r="C8" s="48">
        <f ca="1">IFERROR(INDEX(Calcs!$S$7:$S$20,MATCH($B8,Calcs!$A$7:$A$20,0)),"")</f>
        <v>1106.2250990254845</v>
      </c>
      <c r="D8" s="49">
        <f ca="1">COUNTIF('Match Log'!$D$4:$D$810,$B8)</f>
        <v>102</v>
      </c>
      <c r="E8" s="49">
        <f ca="1">COUNTIFS('Match Log'!$D$4:$D$810,$B8,'Match Log'!$E$4:$E$810,"Win")</f>
        <v>47</v>
      </c>
      <c r="F8" s="49">
        <f t="shared" ca="1" si="1"/>
        <v>55</v>
      </c>
      <c r="G8" s="50">
        <f t="shared" ca="1" si="2"/>
        <v>0.46078431372549017</v>
      </c>
      <c r="H8" s="51">
        <f ca="1">SUMIF('Match Log'!$D$4:$D$810,$B8,'Match Log'!$J$4:$J$810)</f>
        <v>22.562915487911482</v>
      </c>
      <c r="I8" s="51">
        <f ca="1">SUMIF('Match Log'!$D$4:$D$810,$B8,'Match Log'!$K$4:$K$810)</f>
        <v>5.412183537573358</v>
      </c>
      <c r="J8" s="51">
        <f ca="1">SUMIF('Match Log'!$D$4:$D$810,$B8,'Match Log'!$L$4:$L$810)</f>
        <v>82</v>
      </c>
      <c r="K8" s="49">
        <f ca="1">SUMPRODUCT(--(COUNTIFS('Match Log'!$D$4:$D$810,$B8,'Match Log'!$C$4:$C$810,Lists!$C$2:$C$24)&gt;0))</f>
        <v>15</v>
      </c>
      <c r="L8" s="49" t="str">
        <f ca="1">IF($D8=0,"No games",IF(AND($D8&gt;='Guide &amp; Settings'!$C$45,$K8&gt;='Guide &amp; Settings'!$C$46),"Eligible","Provisional"))</f>
        <v>Eligible</v>
      </c>
      <c r="M8" s="48">
        <f ca="1">IFERROR(INDEX(Calcs!$C$7:$C$20,MATCH($B8,Calcs!$A$7:$A$20,0)),"")</f>
        <v>1079.3157158534771</v>
      </c>
      <c r="N8" s="48">
        <f t="shared" ca="1" si="3"/>
        <v>125.47783729956882</v>
      </c>
      <c r="O8" s="49" t="str">
        <f ca="1">IFERROR(INDEX(Calcs!$H$7:$H$20,MATCH($B8,Calcs!$A$7:$A$20,0)),"")</f>
        <v>L3</v>
      </c>
      <c r="P8" s="49" t="str">
        <f ca="1">IFERROR(INDEX(Calcs!$I$7:$I$20,MATCH($B8,Calcs!$A$7:$A$20,0)),"")</f>
        <v>LWLLL</v>
      </c>
      <c r="Q8" s="49" t="str">
        <f ca="1">IFERROR(IF(INDEX(Calcs!$L$7:$L$20,MATCH($B8,Calcs!$A$7:$A$20,0))&gt;0,"▲"&amp;INDEX(Calcs!$L$7:$L$20,MATCH($B8,Calcs!$A$7:$A$20,0)),IF(INDEX(Calcs!$L$7:$L$20,MATCH($B8,Calcs!$A$7:$A$20,0))&lt;0,"▼"&amp;ABS(INDEX(Calcs!$L$7:$L$20,MATCH($B8,Calcs!$A$7:$A$20,0))),"–")),"")</f>
        <v>–</v>
      </c>
      <c r="R8" s="49" t="str">
        <f ca="1">IFERROR(IF(INDEX(Calcs!$P$7:$P$20,MATCH($B8,Calcs!$A$7:$A$20,0))=0,"—",TEXT(INDEX(Calcs!$P$7:$P$20,MATCH($B8,Calcs!$A$7:$A$20,0)),"d mmm")),"")</f>
        <v>13 Aug</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1106</v>
      </c>
      <c r="W8" s="49" t="str">
        <f ca="1">IFERROR(INDEX(Calcs!$AF$7:$AF$20,MATCH($B8,Calcs!$A$7:$A$20,0)),"")</f>
        <v>Strong</v>
      </c>
      <c r="X8" s="51">
        <f ca="1">IFERROR(ROUND(SUMIF('Poker Stake Ledger'!$C$18:$C$137,$B8,'Poker Stake Ledger'!$K$18:$K$137),1),0)</f>
        <v>-3.8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1051.1937613447224</v>
      </c>
      <c r="N9" s="48">
        <f t="shared" ca="1" si="3"/>
        <v>151.31984435006098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3.6</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1054.3366131438215</v>
      </c>
      <c r="D10" s="49">
        <f ca="1">COUNTIF('Match Log'!$D$4:$D$810,$B10)</f>
        <v>59</v>
      </c>
      <c r="E10" s="49">
        <f ca="1">COUNTIFS('Match Log'!$D$4:$D$810,$B10,'Match Log'!$E$4:$E$810,"Win")</f>
        <v>25</v>
      </c>
      <c r="F10" s="49">
        <f t="shared" ca="1" si="1"/>
        <v>34</v>
      </c>
      <c r="G10" s="50">
        <f t="shared" ca="1" si="2"/>
        <v>0.42372881355932202</v>
      </c>
      <c r="H10" s="51">
        <f ca="1">SUMIF('Match Log'!$D$4:$D$810,$B10,'Match Log'!$J$4:$J$810)</f>
        <v>-33.21875751222327</v>
      </c>
      <c r="I10" s="51">
        <f ca="1">SUMIF('Match Log'!$D$4:$D$810,$B10,'Match Log'!$K$4:$K$810)</f>
        <v>13.555370656044481</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1088.9294309536358</v>
      </c>
      <c r="N10" s="48">
        <f t="shared" ca="1" si="3"/>
        <v>177.36632318123179</v>
      </c>
      <c r="O10" s="49" t="str">
        <f ca="1">IFERROR(INDEX(Calcs!$H$7:$H$20,MATCH($B10,Calcs!$A$7:$A$20,0)),"")</f>
        <v>L6</v>
      </c>
      <c r="P10" s="49" t="str">
        <f ca="1">IFERROR(INDEX(Calcs!$I$7:$I$20,MATCH($B10,Calcs!$A$7:$A$20,0)),"")</f>
        <v>LLLLL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9 Aug</v>
      </c>
      <c r="S10" s="49">
        <f ca="1">IFERROR(ROUND(INDEX(Calcs!$Q$7:$Q$20,MATCH($B10,Calcs!$A$7:$A$20,0)),1),"")</f>
        <v>0.6</v>
      </c>
      <c r="T10" s="49" t="str">
        <f ca="1">IFERROR(INDEX(Calcs!$T$7:$T$20,MATCH($B10,Calcs!$A$7:$A$20,0)),"")</f>
        <v>Active</v>
      </c>
      <c r="U10">
        <f ca="1">IFERROR(ROUND(INDEX(Calcs!$R$7:$R$20,MATCH($B10,Calcs!$A$7:$A$20,0))+INDEX(Calcs!$U$7:$U$20,MATCH($B10,Calcs!$A$7:$A$20,0)),0),0)</f>
        <v>0</v>
      </c>
      <c r="V10" s="51">
        <f ca="1">IFERROR(ROUND(INDEX(Calcs!$S$7:$S$20,MATCH($B10,Calcs!$A$7:$A$20,0)),0),"")</f>
        <v>1054</v>
      </c>
      <c r="W10" s="49" t="str">
        <f ca="1">IFERROR(INDEX(Calcs!$AF$7:$AF$20,MATCH($B10,Calcs!$A$7:$A$20,0)),"")</f>
        <v>Mid</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1060.5179016531631</v>
      </c>
      <c r="N11" s="48">
        <f t="shared" ca="1" si="3"/>
        <v>187.0136290126959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2.6</v>
      </c>
      <c r="T11" s="49" t="str">
        <f ca="1">IFERROR(INDEX(Calcs!$T$7:$T$20,MATCH($B11,Calcs!$A$7:$A$20,0)),"")</f>
        <v>At risk</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1079.4959431258444</v>
      </c>
      <c r="N12" s="48">
        <f t="shared" ca="1" si="3"/>
        <v>193.88322485295953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3.9</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1061.1030588367303</v>
      </c>
      <c r="N13" s="48">
        <f t="shared" ca="1" si="3"/>
        <v>219.57253637582289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3.6</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231.70293632505332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1091.5048168709543</v>
      </c>
      <c r="N15" s="48">
        <f t="shared" ca="1" si="3"/>
        <v>232.97683165558283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2.6</v>
      </c>
      <c r="T15" s="49" t="str">
        <f ca="1">IFERROR(INDEX(Calcs!$T$7:$T$20,MATCH($B15,Calcs!$A$7:$A$20,0)),"")</f>
        <v>At risk</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979.51759653351382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1068.7234592074572</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8.4</v>
      </c>
      <c r="T16" s="49" t="str">
        <f ca="1">IFERROR(INDEX(Calcs!$T$7:$T$20,MATCH($B16,Calcs!$A$7:$A$20,0)),"")</f>
        <v>Inactive</v>
      </c>
      <c r="U16">
        <f ca="1">IFERROR(ROUND(INDEX(Calcs!$R$7:$R$20,MATCH($B16,Calcs!$A$7:$A$20,0))+INDEX(Calcs!$U$7:$U$20,MATCH($B16,Calcs!$A$7:$A$20,0)),0),0)</f>
        <v>50</v>
      </c>
      <c r="V16" s="51">
        <f ca="1">IFERROR(ROUND(INDEX(Calcs!$S$7:$S$20,MATCH($B16,Calcs!$A$7:$A$20,0)),0),"")</f>
        <v>980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963.19705892757202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1079.7626114453883</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4.7</v>
      </c>
      <c r="T17" s="49" t="str">
        <f ca="1">IFERROR(INDEX(Calcs!$T$7:$T$20,MATCH($B17,Calcs!$A$7:$A$20,0)),"")</f>
        <v>Inactive</v>
      </c>
      <c r="U17">
        <f ca="1">IFERROR(ROUND(INDEX(Calcs!$R$7:$R$20,MATCH($B17,Calcs!$A$7:$A$20,0))+INDEX(Calcs!$U$7:$U$20,MATCH($B17,Calcs!$A$7:$A$20,0)),0),0)</f>
        <v>10</v>
      </c>
      <c r="V17" s="51">
        <f ca="1">IFERROR(ROUND(INDEX(Calcs!$S$7:$S$20,MATCH($B17,Calcs!$A$7:$A$20,0)),0),"")</f>
        <v>963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1077.4603329423633</v>
      </c>
      <c r="N18" s="48">
        <f t="shared" ca="1" si="3"/>
        <v>369.47999258827838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3.6</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4</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1106.2250990254845</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47–55</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0.46078431372549017</v>
      </c>
      <c r="D9" s="56" t="s">
        <v>185</v>
      </c>
      <c r="E9" s="36">
        <f>COUNTIFS('Match Log'!$D$4:$D$810,$B$3,'Match Log'!$C$4:$C$810,$D9)</f>
        <v>1</v>
      </c>
      <c r="F9" s="36">
        <f>COUNTIFS('Match Log'!$D$4:$D$810,$B$3,'Match Log'!$C$4:$C$810,$D9,'Match Log'!$E$4:$E$810,"Win")</f>
        <v>1</v>
      </c>
      <c r="G9" s="57">
        <f t="shared" si="0"/>
        <v>1</v>
      </c>
      <c r="H9" s="58">
        <f>IFERROR(IF($E9=0,"",INDEX('Sport Records'!$B$100:$O$122,MATCH($D9,'Sport Records'!$A$100:$A$122,0),MATCH($B$3,'Sport Records'!$B$99:$O$99,0))),"")</f>
        <v>1015.2556013117346</v>
      </c>
    </row>
    <row r="10" spans="1:8" ht="15" customHeight="1" x14ac:dyDescent="0.2">
      <c r="A10" s="54" t="s">
        <v>127</v>
      </c>
      <c r="B10" s="55">
        <f ca="1">IFERROR(INDEX(Dashboard!$D$5:$D$18,MATCH($B$3,Dashboard!$B$5:$B$18,0)),"")</f>
        <v>102</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15</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1079.3157158534771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L3</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LWLLL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131.72783729956882</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13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14</v>
      </c>
      <c r="F18" s="39">
        <f>COUNTIFS('Match Log'!$D$4:$D$810,$B$3,'Match Log'!$C$4:$C$810,$D18,'Match Log'!$E$4:$E$810,"Win")</f>
        <v>0</v>
      </c>
      <c r="G18" s="61">
        <f t="shared" si="0"/>
        <v>0</v>
      </c>
      <c r="H18" s="62">
        <f>IFERROR(IF($E18=0,"",INDEX('Sport Records'!$B$100:$O$122,MATCH($D18,'Sport Records'!$A$100:$A$122,0),MATCH($B$3,'Sport Records'!$B$99:$O$99,0))),"")</f>
        <v>844.70538647951662</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66</v>
      </c>
      <c r="D23" s="56" t="s">
        <v>208</v>
      </c>
      <c r="E23" s="36">
        <f>COUNTIFS('Match Log'!$D$4:$D$810,$B$3,'Match Log'!$C$4:$C$810,$D23)</f>
        <v>25</v>
      </c>
      <c r="F23" s="36">
        <f>COUNTIFS('Match Log'!$D$4:$D$810,$B$3,'Match Log'!$C$4:$C$810,$D23,'Match Log'!$E$4:$E$810,"Win")</f>
        <v>15</v>
      </c>
      <c r="G23" s="57">
        <f t="shared" si="0"/>
        <v>0.6</v>
      </c>
      <c r="H23" s="58">
        <f>IFERROR(IF($E23=0,"",INDEX('Sport Records'!$B$100:$O$122,MATCH($D23,'Sport Records'!$A$100:$A$122,0),MATCH($B$3,'Sport Records'!$B$99:$O$99,0))),"")</f>
        <v>1047.5054308988927</v>
      </c>
    </row>
    <row r="24" spans="1:8" x14ac:dyDescent="0.2">
      <c r="A24" s="64" t="s">
        <v>209</v>
      </c>
      <c r="B24" s="65">
        <f ca="1">IFERROR(ROUND(INDEX(Calcs!$W$7:$W$20,MATCH($B$3,Calcs!$A$7:$A$20,0)),0),"")</f>
        <v>77</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46</v>
      </c>
      <c r="D25" s="56" t="s">
        <v>445</v>
      </c>
      <c r="E25" s="36">
        <f>COUNTIFS('Match Log'!$D$4:$D$810,$B$3,'Match Log'!$C$4:$C$810,$D25)</f>
        <v>2</v>
      </c>
      <c r="F25" s="36">
        <f>COUNTIFS('Match Log'!$D$4:$D$810,$B$3,'Match Log'!$C$4:$C$810,$D25,'Match Log'!$E$4:$E$810,"Win")</f>
        <v>1</v>
      </c>
      <c r="G25" s="57">
        <f>IF($E25=0,"",$F25/$E25)</f>
        <v>0.5</v>
      </c>
      <c r="H25" s="58">
        <f>IFERROR(IF($E25=0,"",INDEX('Sport Records'!$B$100:$O$122,MATCH($D25,'Sport Records'!$A$100:$A$122,0),MATCH($B$3,'Sport Records'!$B$99:$O$99,0))),"")</f>
        <v>999.0270542964812</v>
      </c>
    </row>
    <row r="26" spans="1:8" x14ac:dyDescent="0.2">
      <c r="A26" s="64" t="s">
        <v>211</v>
      </c>
      <c r="B26" s="65">
        <f ca="1">IFERROR(ROUND(INDEX(Calcs!$Y$7:$Y$20,MATCH($B$3,Calcs!$A$7:$A$20,0)),0),"")</f>
        <v>100</v>
      </c>
      <c r="D26" s="56" t="s">
        <v>446</v>
      </c>
      <c r="E26" s="36">
        <f>COUNTIFS('Match Log'!$D$4:$D$810,$B$3,'Match Log'!$C$4:$C$810,$D26)</f>
        <v>1</v>
      </c>
      <c r="F26" s="36">
        <f>COUNTIFS('Match Log'!$D$4:$D$810,$B$3,'Match Log'!$C$4:$C$810,$D26,'Match Log'!$E$4:$E$810,"Win")</f>
        <v>1</v>
      </c>
      <c r="G26" s="57">
        <f>IF($E26=0,"",$F26/$E26)</f>
        <v>1</v>
      </c>
      <c r="H26" s="58">
        <f>IFERROR(IF($E26=0,"",INDEX('Sport Records'!$B$100:$O$122,MATCH($D26,'Sport Records'!$A$100:$A$122,0),MATCH($B$3,'Sport Records'!$B$99:$O$99,0))),"")</f>
        <v>1016.736306793522</v>
      </c>
    </row>
    <row r="27" spans="1:8" x14ac:dyDescent="0.2">
      <c r="A27" s="64" t="s">
        <v>212</v>
      </c>
      <c r="B27" s="65">
        <f>IFERROR(ROUND(INDEX(Calcs!$Z$7:$Z$20,MATCH($B$3,Calcs!$A$7:$A$20,0)),0),"")</f>
        <v>20</v>
      </c>
      <c r="D27" s="56" t="s">
        <v>447</v>
      </c>
      <c r="E27" s="36">
        <f>COUNTIFS('Match Log'!$D$4:$D$810,$B$3,'Match Log'!$C$4:$C$810,$D27)</f>
        <v>3</v>
      </c>
      <c r="F27" s="36">
        <f>COUNTIFS('Match Log'!$D$4:$D$810,$B$3,'Match Log'!$C$4:$C$810,$D27,'Match Log'!$E$4:$E$810,"Win")</f>
        <v>1</v>
      </c>
      <c r="G27" s="57">
        <f>IF($E27=0,"",$F27/$E27)</f>
        <v>0.33333333333333331</v>
      </c>
      <c r="H27" s="58">
        <f>IFERROR(IF($E27=0,"",INDEX('Sport Records'!$B$100:$O$122,MATCH($D27,'Sport Records'!$A$100:$A$122,0),MATCH($B$3,'Sport Records'!$B$99:$O$99,0))),"")</f>
        <v>984.32977611615649</v>
      </c>
    </row>
    <row r="28" spans="1:8" x14ac:dyDescent="0.2">
      <c r="A28" s="64" t="s">
        <v>213</v>
      </c>
      <c r="B28" s="65">
        <f>IFERROR(ROUND(INDEX(Calcs!$AA$7:$AA$20,MATCH($B$3,Calcs!$A$7:$A$20,0)),0),"")</f>
        <v>70</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50% of 30</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50% of 30</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21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21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32</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33</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32</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201</v>
      </c>
    </row>
    <row r="4" spans="1:18" ht="18.75" customHeight="1" x14ac:dyDescent="0.2">
      <c r="A4" s="73" t="s">
        <v>223</v>
      </c>
      <c r="C4" s="161" t="str">
        <f ca="1">INDEX($A$83:$A$96,MATCH(MAX($S$83:$S$96),$S$83:$S$96,0))</f>
        <v>Daniel (Ferret)</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2</v>
      </c>
      <c r="G12" s="77">
        <f>COUNTIFS('Match Log'!$D$4:$D$819,G$7,'Match Log'!$C$4:$C$819,$A12)</f>
        <v>1</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18</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3</v>
      </c>
      <c r="G21" s="77">
        <f>COUNTIFS('Match Log'!$D$4:$D$819,G$7,'Match Log'!$C$4:$C$819,$A21)</f>
        <v>14</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17</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25</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11</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33</v>
      </c>
      <c r="Q26" s="79" t="str">
        <f t="shared" si="0"/>
        <v>Shawn</v>
      </c>
      <c r="R26" s="78">
        <f t="shared" si="1"/>
        <v>15</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4</v>
      </c>
      <c r="G28" s="77">
        <f>COUNTIFS('Match Log'!$D$4:$D$810,G$7,'Match Log'!$C$4:$C$810,$A28)</f>
        <v>2</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6</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2</v>
      </c>
      <c r="G29" s="77">
        <f>COUNTIFS('Match Log'!$D$4:$D$810,G$7,'Match Log'!$C$4:$C$810,$A29)</f>
        <v>1</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2</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4</v>
      </c>
      <c r="G30" s="77">
        <f>COUNTIFS('Match Log'!$D$4:$D$810,G$7,'Match Log'!$C$4:$C$810,$A30)</f>
        <v>3</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4</v>
      </c>
      <c r="Q30" s="79" t="str">
        <f>IF($P30=0,"—",INDEX($B$32:$O$32,MATCH(MAX($B55:$O55),$B55:$O55,0)))</f>
        <v>Josh</v>
      </c>
      <c r="R30" s="78">
        <f>IF($P30=0,"—",MAX($B55:$O55))</f>
        <v>2</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1</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3</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15</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1</v>
      </c>
      <c r="G53" s="77">
        <f>COUNTIFS('Match Log'!$D$4:$D$810,G$32,'Match Log'!$C$4:$C$810,$A53,'Match Log'!$E$4:$E$810,"Win")</f>
        <v>1</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1</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2</v>
      </c>
      <c r="G55" s="77">
        <f>COUNTIFS('Match Log'!$D$4:$D$810,G$32,'Match Log'!$C$4:$C$810,$A55,'Match Log'!$E$4:$E$810,"Win")</f>
        <v>1</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f t="shared" si="6"/>
        <v>1</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f t="shared" si="15"/>
        <v>1</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0.41176470588235292</v>
      </c>
      <c r="J76" s="80" t="str">
        <f t="shared" si="20"/>
        <v/>
      </c>
      <c r="K76" s="80" t="str">
        <f t="shared" si="20"/>
        <v/>
      </c>
      <c r="L76" s="80">
        <f t="shared" si="20"/>
        <v>0.18181818181818182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0.25</v>
      </c>
      <c r="G78" s="80">
        <f t="shared" si="22"/>
        <v>0.5</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0.5</v>
      </c>
      <c r="G79" s="80">
        <f t="shared" si="23"/>
        <v>1</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0.5</v>
      </c>
      <c r="G80" s="80">
        <f t="shared" si="24"/>
        <v>0.33333333333333331</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1231.7029363250533</v>
      </c>
      <c r="G83" s="77" t="str">
        <f>IF($B83=0,"No games",IF(AND($B83&gt;='Guide &amp; Settings'!$C$45,$C83&gt;='Guide &amp; Settings'!$C$46),"Eligible","Provisional"))</f>
        <v>Eligible</v>
      </c>
      <c r="S83" s="83">
        <f ca="1">IF($G83="Eligible",IF(IFERROR(INDEX(Calcs!$T$7:$T$20,MATCH($A83,Calcs!$A$7:$A$20,0)),"")="Inactive",-1,$F83),-1)</f>
        <v>-1</v>
      </c>
    </row>
    <row r="84" spans="1:19" ht="15" customHeight="1" x14ac:dyDescent="0.2">
      <c r="A84" s="76" t="s">
        <v>137</v>
      </c>
      <c r="B84" s="77">
        <f>COUNTIF('Match Log'!$D$4:$D$819,$A84)</f>
        <v>48</v>
      </c>
      <c r="C84" s="77">
        <f>SUMPRODUCT(--(COUNTIFS('Match Log'!$D$4:$D$819,$A84,'Match Log'!$C$4:$C$819,Lists!$C$2:$C$24)&gt;0))</f>
        <v>13</v>
      </c>
      <c r="D84" s="77">
        <f>COUNTIFS('Match Log'!$D$4:$D$819,$A84,'Match Log'!$E$4:$E$819,"Win")</f>
        <v>28</v>
      </c>
      <c r="E84" s="80">
        <f t="shared" si="25"/>
        <v>0.58333333333333337</v>
      </c>
      <c r="F84" s="82">
        <f ca="1">IFERROR(INDEX(Calcs!$S$7:$S$20,MATCH($A84,Calcs!$A$7:$A$20,0)),"")</f>
        <v>1148.0282967340261</v>
      </c>
      <c r="G84" s="77" t="str">
        <f>IF($B84=0,"No games",IF(AND($B84&gt;='Guide &amp; Settings'!$C$45,$C84&gt;='Guide &amp; Settings'!$C$46),"Eligible","Provisional"))</f>
        <v>Eligible</v>
      </c>
      <c r="S84" s="83">
        <f ca="1">IF($G84="Eligible",IF(IFERROR(INDEX(Calcs!$T$7:$T$20,MATCH($A84,Calcs!$A$7:$A$20,0)),"")="Inactive",-1,$F84),-1)</f>
        <v>1148.0282967340261</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59</v>
      </c>
      <c r="C86" s="77">
        <f>SUMPRODUCT(--(COUNTIFS('Match Log'!$D$4:$D$819,$A86,'Match Log'!$C$4:$C$819,Lists!$C$2:$C$24)&gt;0))</f>
        <v>9</v>
      </c>
      <c r="D86" s="77">
        <f>COUNTIFS('Match Log'!$D$4:$D$819,$A86,'Match Log'!$E$4:$E$819,"Win")</f>
        <v>25</v>
      </c>
      <c r="E86" s="80">
        <f t="shared" si="25"/>
        <v>0.42372881355932202</v>
      </c>
      <c r="F86" s="82">
        <f ca="1">IFERROR(INDEX(Calcs!$S$7:$S$20,MATCH($A86,Calcs!$A$7:$A$20,0)),"")</f>
        <v>1054.3366131438215</v>
      </c>
      <c r="G86" s="77" t="str">
        <f>IF($B86=0,"No games",IF(AND($B86&gt;='Guide &amp; Settings'!$C$45,$C86&gt;='Guide &amp; Settings'!$C$46),"Eligible","Provisional"))</f>
        <v>Eligible</v>
      </c>
      <c r="S86" s="83">
        <f ca="1">IF($G86="Eligible",IF(IFERROR(INDEX(Calcs!$T$7:$T$20,MATCH($A86,Calcs!$A$7:$A$20,0)),"")="Inactive",-1,$F86),-1)</f>
        <v>1054.3366131438215</v>
      </c>
    </row>
    <row r="87" spans="1:19" ht="15" customHeight="1" x14ac:dyDescent="0.2">
      <c r="A87" s="76" t="s">
        <v>170</v>
      </c>
      <c r="B87" s="77">
        <f>COUNTIF('Match Log'!$D$4:$D$819,$A87)</f>
        <v>76</v>
      </c>
      <c r="C87" s="77">
        <f>SUMPRODUCT(--(COUNTIFS('Match Log'!$D$4:$D$819,$A87,'Match Log'!$C$4:$C$819,Lists!$C$2:$C$24)&gt;0))</f>
        <v>14</v>
      </c>
      <c r="D87" s="77">
        <f>COUNTIFS('Match Log'!$D$4:$D$819,$A87,'Match Log'!$E$4:$E$819,"Win")</f>
        <v>35</v>
      </c>
      <c r="E87" s="80">
        <f t="shared" si="25"/>
        <v>0.46052631578947367</v>
      </c>
      <c r="F87" s="82">
        <f ca="1">IFERROR(INDEX(Calcs!$S$7:$S$20,MATCH($A87,Calcs!$A$7:$A$20,0)),"")</f>
        <v>1153.0208401956088</v>
      </c>
      <c r="G87" s="77" t="str">
        <f>IF($B87=0,"No games",IF(AND($B87&gt;='Guide &amp; Settings'!$C$45,$C87&gt;='Guide &amp; Settings'!$C$46),"Eligible","Provisional"))</f>
        <v>Eligible</v>
      </c>
      <c r="S87" s="83">
        <f ca="1">IF($G87="Eligible",IF(IFERROR(INDEX(Calcs!$T$7:$T$20,MATCH($A87,Calcs!$A$7:$A$20,0)),"")="Inactive",-1,$F87),-1)</f>
        <v>1153.0208401956088</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102</v>
      </c>
      <c r="C89" s="77">
        <f>SUMPRODUCT(--(COUNTIFS('Match Log'!$D$4:$D$819,$A89,'Match Log'!$C$4:$C$819,Lists!$C$2:$C$24)&gt;0))</f>
        <v>15</v>
      </c>
      <c r="D89" s="77">
        <f>COUNTIFS('Match Log'!$D$4:$D$819,$A89,'Match Log'!$E$4:$E$819,"Win")</f>
        <v>47</v>
      </c>
      <c r="E89" s="80">
        <f t="shared" si="25"/>
        <v>0.46078431372549017</v>
      </c>
      <c r="F89" s="82">
        <f ca="1">IFERROR(INDEX(Calcs!$S$7:$S$20,MATCH($A89,Calcs!$A$7:$A$20,0)),"")</f>
        <v>1106.2250990254845</v>
      </c>
      <c r="G89" s="77" t="str">
        <f>IF($B89=0,"No games",IF(AND($B89&gt;='Guide &amp; Settings'!$C$45,$C89&gt;='Guide &amp; Settings'!$C$46),"Eligible","Provisional"))</f>
        <v>Eligible</v>
      </c>
      <c r="S89" s="83">
        <f ca="1">IF($G89="Eligible",IF(IFERROR(INDEX(Calcs!$T$7:$T$20,MATCH($A89,Calcs!$A$7:$A$20,0)),"")="Inactive",-1,$F89),-1)</f>
        <v>1106.2250990254845</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979.51759653351382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963.19705892757202</v>
      </c>
      <c r="G95" s="77" t="str">
        <f>IF($B95=0,"No games",IF(AND($B95&gt;='Guide &amp; Settings'!$C$45,$C95&gt;='Guide &amp; Settings'!$C$46),"Eligible","Provisional"))</f>
        <v>Eligible</v>
      </c>
      <c r="S95" s="83">
        <f ca="1">IF($G95="Eligible",IF(IFERROR(INDEX(Calcs!$T$7:$T$20,MATCH($A95,Calcs!$A$7:$A$20,0)),"")="Inactive",-1,$F95),-1)</f>
        <v>-1</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968.56830839539452</v>
      </c>
      <c r="G104" s="82">
        <f>IFERROR(LOOKUP(2,1/(('Match Log'!$D$4:$D$819=G$99)*('Match Log'!$C$4:$C$819=$A104)),'Match Log'!$AB$4:$AB$819),"")</f>
        <v>1015.2556013117346</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f>IFERROR(LOOKUP(2,1/(('Match Log'!$D$4:$D$819=F$99)*('Match Log'!$C$4:$C$819=$A113)),'Match Log'!$AB$4:$AB$819),"")</f>
        <v>1028.8928273326949</v>
      </c>
      <c r="G113" s="82">
        <f>IFERROR(LOOKUP(2,1/(('Match Log'!$D$4:$D$819=G$99)*('Match Log'!$C$4:$C$819=$A113)),'Match Log'!$AB$4:$AB$819),"")</f>
        <v>844.70538647951662</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1047.5054308988927</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951.24465656388634</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973.09901508317728</v>
      </c>
      <c r="G120" s="82">
        <f>IFERROR(LOOKUP(2,1/(('Match Log'!$D$4:$D$810=G$99)*('Match Log'!$C$4:$C$810=$A120)),'Match Log'!$AB$4:$AB$810),"")</f>
        <v>999.0270542964812</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999.26369320647802</v>
      </c>
      <c r="G121" s="82">
        <f>IFERROR(LOOKUP(2,1/(('Match Log'!$D$4:$D$810=G$99)*('Match Log'!$C$4:$C$810=$A121)),'Match Log'!$AB$4:$AB$810),"")</f>
        <v>1016.736306793522</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Shawn</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1007.6702238838435</v>
      </c>
      <c r="G122" s="82">
        <f>IFERROR(LOOKUP(2,1/(('Match Log'!$D$4:$D$810=G$99)*('Match Log'!$C$4:$C$810=$A122)),'Match Log'!$AB$4:$AB$810),"")</f>
        <v>984.32977611615649</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102</v>
      </c>
      <c r="C21" s="36" t="str">
        <f ca="1">INDEX(Dashboard!$B$5:$B$18,MATCH(MAX(Dashboard!$D$5:$D$18),Dashboard!$D$5:$D$18,0))</f>
        <v>Shawn</v>
      </c>
      <c r="D21" s="36" t="s">
        <v>252</v>
      </c>
      <c r="E21" s="36" t="s">
        <v>252</v>
      </c>
      <c r="F21" s="36" t="str">
        <f ca="1">"across "&amp;INDEX(Dashboard!$K$5:$K$18,MATCH($C21,Dashboard!$B$5:$B$18,0))&amp;" sports"</f>
        <v>across 15 sports</v>
      </c>
    </row>
    <row r="22" spans="1:8" ht="15" customHeight="1" x14ac:dyDescent="0.2">
      <c r="A22" s="87" t="s">
        <v>253</v>
      </c>
      <c r="B22" s="39" t="str">
        <f ca="1">TEXT(MAX(Dashboard!$K$5:$K$18),"0")</f>
        <v>15</v>
      </c>
      <c r="C22" s="39" t="str">
        <f ca="1">INDEX(Dashboard!$B$5:$B$18,MATCH(MAX(Dashboard!$K$5:$K$18),Dashboard!$K$5:$K$18,0))</f>
        <v>Shawn</v>
      </c>
      <c r="D22" s="39" t="s">
        <v>252</v>
      </c>
      <c r="E22" s="39" t="s">
        <v>252</v>
      </c>
      <c r="F22" s="39" t="str">
        <f>"of "&amp;COUNTA(Lists!$C$2:$C$24)&amp;" sports available"</f>
        <v>of 23 sports available</v>
      </c>
    </row>
    <row r="23" spans="1:8" ht="15" customHeight="1" x14ac:dyDescent="0.2">
      <c r="A23" s="86" t="s">
        <v>254</v>
      </c>
      <c r="B23" s="36" t="str">
        <f>TEXT(MAX('Sport Records'!$P$8:$P$30),"0")&amp;" games"</f>
        <v>33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3 wins</v>
      </c>
      <c r="C24" s="39" t="str">
        <f>INDEX(Calcs!$A$7:$A$20,MATCH(MAX(Calcs!$O$7:$O$20),Calcs!$O$7:$O$20,0))</f>
        <v>Josh</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Daniel (Ferret)</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Shawn</v>
      </c>
      <c r="C31" s="39" t="s">
        <v>268</v>
      </c>
    </row>
    <row r="32" spans="1:8" ht="15" customHeight="1" x14ac:dyDescent="0.2">
      <c r="A32" s="89" t="s">
        <v>269</v>
      </c>
      <c r="B32" s="37" t="str">
        <f>INDEX(Calcs!$A$7:$A$20,MATCH(MAX(Calcs!$N$7:$N$20),Calcs!$N$7:$N$20,0))</f>
        <v>Josh</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87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Josh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2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102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33 contests.</v>
      </c>
      <c r="B11" s="91"/>
      <c r="C11" s="91"/>
      <c r="D11" s="96"/>
      <c r="E11" s="97"/>
      <c r="F11" s="91"/>
    </row>
    <row r="12" spans="1:6" ht="15" customHeight="1" x14ac:dyDescent="0.2">
      <c r="A12" s="92" t="str">
        <f>"🎲  "&amp;MAX('Match Log'!$A$4:$A$810)&amp;" games played across "&amp;COUNTIF('Sport Records'!$P$8:$P$30,"&gt;0")&amp;" different sports — and counting."</f>
        <v>🎲  201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1154</v>
      </c>
      <c r="D18" s="105" t="str">
        <f>IF(2=1,"— leader —",ROUND(MAX(Calcs!$B$7:$B$20)-LARGE(Calcs!$B$7:$B$20,2),0)&amp;" behind")</f>
        <v>87 behind</v>
      </c>
      <c r="E18" s="99"/>
      <c r="F18" s="26"/>
    </row>
    <row r="19" spans="1:6" ht="15" customHeight="1" x14ac:dyDescent="0.2">
      <c r="A19" s="104">
        <v>3</v>
      </c>
      <c r="B19" s="55" t="str">
        <f>INDEX(Calcs!$A$7:$A$20,MATCH(LARGE(Calcs!$B$7:$B$20,3),Calcs!$B$7:$B$20,0))</f>
        <v>Josh</v>
      </c>
      <c r="C19" s="104">
        <f>ROUND(LARGE(Calcs!$B$7:$B$20,3),0)</f>
        <v>1126</v>
      </c>
      <c r="D19" s="105" t="str">
        <f>IF(3=1,"— leader —",ROUND(MAX(Calcs!$B$7:$B$20)-LARGE(Calcs!$B$7:$B$20,3),0)&amp;" behind")</f>
        <v>115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W</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W</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L</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W</v>
      </c>
      <c r="K47" s="107" t="str">
        <f>IFERROR(IF(INDEX('Match Log'!$E$1:$E$810,_xlfn.AGGREGATE(14,6,ROW('Match Log'!$A$4:$A$810)/('Match Log'!$D$4:$D$810=$A47),1))="Win","W","L"),"")</f>
        <v>W</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W</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f>IFERROR(INDEX('Sport Records'!$B$58:$O$80,MATCH($O$57,'Sport Records'!$A$58:$A$80,0),MATCH($A62,'Sport Records'!$B$57:$O$57,0)),"")</f>
        <v>1</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0.25</v>
      </c>
      <c r="W62" s="26">
        <f>IFERROR(INDEX('Sport Records'!$B$58:$O$80,MATCH($W$57,'Sport Records'!$A$58:$A$80,0),MATCH($A62,'Sport Records'!$B$57:$O$57,0)),"")</f>
        <v>0.5</v>
      </c>
      <c r="X62" s="26">
        <f>IFERROR(INDEX('Sport Records'!$B$58:$O$80,MATCH($X$57,'Sport Records'!$A$58:$A$80,0),MATCH($A62,'Sport Records'!$B$57:$O$57,0)),"")</f>
        <v>0.5</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f>IFERROR(INDEX('Sport Records'!$B$58:$O$80,MATCH($F$57,'Sport Records'!$A$58:$A$80,0),MATCH($A63,'Sport Records'!$B$57:$O$57,0)),"")</f>
        <v>1</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f>IFERROR(INDEX('Sport Records'!$B$58:$O$80,MATCH($V$57,'Sport Records'!$A$58:$A$80,0),MATCH($A63,'Sport Records'!$B$57:$O$57,0)),"")</f>
        <v>0.5</v>
      </c>
      <c r="W63" s="26">
        <f>IFERROR(INDEX('Sport Records'!$B$58:$O$80,MATCH($W$57,'Sport Records'!$A$58:$A$80,0),MATCH($A63,'Sport Records'!$B$57:$O$57,0)),"")</f>
        <v>1</v>
      </c>
      <c r="X63" s="26">
        <f>IFERROR(INDEX('Sport Records'!$B$58:$O$80,MATCH($X$57,'Sport Records'!$A$58:$A$80,0),MATCH($A63,'Sport Records'!$B$57:$O$57,0)),"")</f>
        <v>0.33333333333333331</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0.18181818181818182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427" activePane="bottomRight" state="frozen"/>
      <selection pane="topRight" activeCell="F1" sqref="F1"/>
      <selection pane="bottomLeft" activeCell="A244" sqref="A244"/>
      <selection pane="bottomRight" activeCell="E468" sqref="E468"/>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v>191</v>
      </c>
      <c r="B446" s="112">
        <v>46243</v>
      </c>
      <c r="C446" s="113" t="s">
        <v>208</v>
      </c>
      <c r="D446" s="113" t="s">
        <v>134</v>
      </c>
      <c r="E446" s="111" t="s">
        <v>308</v>
      </c>
      <c r="F446" s="114">
        <f t="shared" si="119"/>
        <v>2</v>
      </c>
      <c r="G446" s="115" t="str">
        <f t="shared" si="120"/>
        <v>Shawn</v>
      </c>
      <c r="H446" s="116">
        <f>IF($D446="",0,IFERROR(LOOKUP(2,1/(($D$3:D445=$D446)*($A$3:A445&lt;$A446)),$N$3:N445),'Guide &amp; Settings'!$C$41))</f>
        <v>1125.3301927780342</v>
      </c>
      <c r="I446" s="117">
        <f t="shared" si="121"/>
        <v>0.69767441860465118</v>
      </c>
      <c r="J446" s="118">
        <f>IF($D446="",0,IF($F446&lt;2,0,IF($E446="Win",('Guide &amp; Settings'!$C$42/(($F446-1)*COUNTIFS($A$4:$A$810,$A446,$E$4:$E$810,"Win")))*SUMIFS($X$4:$X$810,$A$4:$A$810,$A446,$E$4:$E$810,"Loss"),-('Guide &amp; Settings'!$C$42/($F446-1))*$X446)))</f>
        <v>13.69375086895811</v>
      </c>
      <c r="K446" s="118">
        <f>IF($D446="",0,'Guide &amp; Settings'!$C$43*(IF($E446="Win",1,0)-$I446))</f>
        <v>3.6279069767441858</v>
      </c>
      <c r="L446" s="119">
        <f>IF($D446="",0,'Guide &amp; Settings'!$C$44*IF($F446&gt;=3,$F446,0))</f>
        <v>0</v>
      </c>
      <c r="M446" s="118">
        <f t="shared" si="122"/>
        <v>17.321657845702298</v>
      </c>
      <c r="N446" s="116">
        <f t="shared" si="123"/>
        <v>1142.6518506237364</v>
      </c>
      <c r="O446" s="115" t="str">
        <f t="shared" si="124"/>
        <v>OK</v>
      </c>
      <c r="P446">
        <f t="shared" si="125"/>
        <v>1125.3301927780342</v>
      </c>
      <c r="Q446">
        <f t="shared" si="126"/>
        <v>0.5</v>
      </c>
      <c r="R446">
        <f t="shared" si="127"/>
        <v>0.57692307692307687</v>
      </c>
      <c r="S446">
        <f t="shared" si="128"/>
        <v>0.82692307692307687</v>
      </c>
      <c r="T446" s="83">
        <f t="shared" si="129"/>
        <v>24</v>
      </c>
      <c r="U446" s="120">
        <f>IF($D446="",0,IFERROR(LOOKUP(2,1/(($D$3:D445=$D446)*($C$3:C445=$C446)*($A$3:A445&lt;$A446)),$AB$3:AB445),1000))</f>
        <v>1034.7163058371079</v>
      </c>
      <c r="V446" s="120">
        <f t="shared" si="130"/>
        <v>1050.33938979244</v>
      </c>
      <c r="W446">
        <f t="shared" si="131"/>
        <v>1050.33938979244</v>
      </c>
      <c r="X446">
        <f t="shared" si="132"/>
        <v>0.5</v>
      </c>
      <c r="Y446">
        <f t="shared" si="133"/>
        <v>1034.7163058371079</v>
      </c>
      <c r="Z446">
        <f t="shared" si="134"/>
        <v>0.5</v>
      </c>
      <c r="AA446">
        <f>IF($D446="",0,IF($F446&lt;2,0,IF($E446="Win",('Guide &amp; Settings'!$C$42/(($F446-1)*COUNTIFS($A$4:$A$810,$A446,$E$4:$E$810,"Win")))*SUMIFS($Z$4:$Z$810,$A$4:$A$810,$A446,$E$4:$E$810,"Loss"),-('Guide &amp; Settings'!$C$42/($F446-1))*$Z446)))</f>
        <v>12.789125061784798</v>
      </c>
      <c r="AB446" s="120">
        <f t="shared" si="135"/>
        <v>1047.5054308988927</v>
      </c>
      <c r="AC446" s="12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1">
        <v>191</v>
      </c>
      <c r="B447" s="112">
        <v>46243</v>
      </c>
      <c r="C447" s="113" t="s">
        <v>208</v>
      </c>
      <c r="D447" s="113" t="s">
        <v>169</v>
      </c>
      <c r="E447" s="111" t="s">
        <v>309</v>
      </c>
      <c r="F447" s="114">
        <f t="shared" si="119"/>
        <v>2</v>
      </c>
      <c r="G447" s="115" t="str">
        <f t="shared" si="120"/>
        <v>Shawn</v>
      </c>
      <c r="H447" s="116">
        <f>IF($D447="",0,IFERROR(LOOKUP(2,1/(($D$3:D446=$D447)*($A$3:A446&lt;$A447)),$N$3:N446),'Guide &amp; Settings'!$C$41))</f>
        <v>1071.6582709895238</v>
      </c>
      <c r="I447" s="117">
        <f t="shared" si="121"/>
        <v>0.30232558139534887</v>
      </c>
      <c r="J447" s="118">
        <f>IF($D447="",0,IF($F447&lt;2,0,IF($E447="Win",('Guide &amp; Settings'!$C$42/(($F447-1)*COUNTIFS($A$4:$A$810,$A447,$E$4:$E$810,"Win")))*SUMIFS($X$4:$X$810,$A$4:$A$810,$A447,$E$4:$E$810,"Loss"),-('Guide &amp; Settings'!$C$42/($F447-1))*$X447)))</f>
        <v>-13.69375086895811</v>
      </c>
      <c r="K447" s="118">
        <f>IF($D447="",0,'Guide &amp; Settings'!$C$43*(IF($E447="Win",1,0)-$I447))</f>
        <v>-3.6279069767441863</v>
      </c>
      <c r="L447" s="119">
        <f>IF($D447="",0,'Guide &amp; Settings'!$C$44*IF($F447&gt;=3,$F447,0))</f>
        <v>0</v>
      </c>
      <c r="M447" s="118">
        <f t="shared" si="122"/>
        <v>-17.321657845702298</v>
      </c>
      <c r="N447" s="116">
        <f t="shared" si="123"/>
        <v>1054.3366131438215</v>
      </c>
      <c r="O447" s="115" t="str">
        <f t="shared" si="124"/>
        <v>OK</v>
      </c>
      <c r="P447">
        <f t="shared" si="125"/>
        <v>1125.3301927780342</v>
      </c>
      <c r="Q447">
        <f t="shared" si="126"/>
        <v>0.42336850941071563</v>
      </c>
      <c r="R447">
        <f t="shared" si="127"/>
        <v>0.25</v>
      </c>
      <c r="S447">
        <f t="shared" si="128"/>
        <v>0.82692307692307687</v>
      </c>
      <c r="T447" s="83">
        <f t="shared" si="129"/>
        <v>10</v>
      </c>
      <c r="U447" s="120">
        <f>IF($D447="",0,IFERROR(LOOKUP(2,1/(($D$3:D446=$D447)*($C$3:C446=$C447)*($A$3:A446&lt;$A447)),$AB$3:AB446),1000))</f>
        <v>964.03378162567117</v>
      </c>
      <c r="V447" s="120">
        <f t="shared" si="130"/>
        <v>999.90861141362211</v>
      </c>
      <c r="W447">
        <f t="shared" si="131"/>
        <v>1050.33938979244</v>
      </c>
      <c r="X447">
        <f t="shared" si="132"/>
        <v>0.42792971465494095</v>
      </c>
      <c r="Y447">
        <f t="shared" si="133"/>
        <v>1034.7163058371079</v>
      </c>
      <c r="Z447">
        <f t="shared" si="134"/>
        <v>0.39966015818077494</v>
      </c>
      <c r="AA447">
        <f>IF($D447="",0,IF($F447&lt;2,0,IF($E447="Win",('Guide &amp; Settings'!$C$42/(($F447-1)*COUNTIFS($A$4:$A$810,$A447,$E$4:$E$810,"Win")))*SUMIFS($Z$4:$Z$810,$A$4:$A$810,$A447,$E$4:$E$810,"Loss"),-('Guide &amp; Settings'!$C$42/($F447-1))*$Z447)))</f>
        <v>-12.789125061784798</v>
      </c>
      <c r="AB447" s="120">
        <f t="shared" si="135"/>
        <v>951.24465656388634</v>
      </c>
      <c r="AC447" s="12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1">
        <v>192</v>
      </c>
      <c r="B448" s="112">
        <v>46247</v>
      </c>
      <c r="C448" s="113" t="s">
        <v>199</v>
      </c>
      <c r="D448" s="113" t="s">
        <v>137</v>
      </c>
      <c r="E448" s="111" t="s">
        <v>308</v>
      </c>
      <c r="F448" s="114">
        <f t="shared" si="119"/>
        <v>2</v>
      </c>
      <c r="G448" s="115" t="str">
        <f t="shared" si="120"/>
        <v>Josh</v>
      </c>
      <c r="H448" s="116">
        <f>IF($D448="",0,IFERROR(LOOKUP(2,1/(($D$3:D447=$D448)*($A$3:A447&lt;$A448)),$N$3:N447),'Guide &amp; Settings'!$C$41))</f>
        <v>1093.6015451357737</v>
      </c>
      <c r="I448" s="117">
        <f t="shared" si="121"/>
        <v>0.8666666666666667</v>
      </c>
      <c r="J448" s="118">
        <f>IF($D448="",0,IF($F448&lt;2,0,IF($E448="Win",('Guide &amp; Settings'!$C$42/(($F448-1)*COUNTIFS($A$4:$A$810,$A448,$E$4:$E$810,"Win")))*SUMIFS($X$4:$X$810,$A$4:$A$810,$A448,$E$4:$E$810,"Loss"),-('Guide &amp; Settings'!$C$42/($F448-1))*$X448)))</f>
        <v>10.041403260518985</v>
      </c>
      <c r="K448" s="118">
        <f>IF($D448="",0,'Guide &amp; Settings'!$C$43*(IF($E448="Win",1,0)-$I448))</f>
        <v>1.5999999999999996</v>
      </c>
      <c r="L448" s="119">
        <f>IF($D448="",0,'Guide &amp; Settings'!$C$44*IF($F448&gt;=3,$F448,0))</f>
        <v>0</v>
      </c>
      <c r="M448" s="118">
        <f t="shared" si="122"/>
        <v>11.641403260518985</v>
      </c>
      <c r="N448" s="116">
        <f t="shared" si="123"/>
        <v>1105.2429483962926</v>
      </c>
      <c r="O448" s="115" t="str">
        <f t="shared" si="124"/>
        <v>OK</v>
      </c>
      <c r="P448">
        <f t="shared" si="125"/>
        <v>1093.6015451357737</v>
      </c>
      <c r="Q448">
        <f t="shared" si="126"/>
        <v>0.5</v>
      </c>
      <c r="R448">
        <f t="shared" si="127"/>
        <v>0.5</v>
      </c>
      <c r="S448">
        <f t="shared" si="128"/>
        <v>0.57692307692307687</v>
      </c>
      <c r="T448" s="83">
        <f t="shared" si="129"/>
        <v>0</v>
      </c>
      <c r="U448" s="120">
        <f>IF($D448="",0,IFERROR(LOOKUP(2,1/(($D$3:D447=$D448)*($C$3:C447=$C448)*($A$3:A447&lt;$A448)),$AB$3:AB447),1000))</f>
        <v>1000</v>
      </c>
      <c r="V448" s="120">
        <f t="shared" si="130"/>
        <v>1093.6015451357737</v>
      </c>
      <c r="W448">
        <f t="shared" si="131"/>
        <v>1093.6015451357737</v>
      </c>
      <c r="X448">
        <f t="shared" si="132"/>
        <v>0.5</v>
      </c>
      <c r="Y448">
        <f t="shared" si="133"/>
        <v>1000</v>
      </c>
      <c r="Z448">
        <f t="shared" si="134"/>
        <v>0.5</v>
      </c>
      <c r="AA448">
        <f>IF($D448="",0,IF($F448&lt;2,0,IF($E448="Win",('Guide &amp; Settings'!$C$42/(($F448-1)*COUNTIFS($A$4:$A$810,$A448,$E$4:$E$810,"Win")))*SUMIFS($Z$4:$Z$810,$A$4:$A$810,$A448,$E$4:$E$810,"Loss"),-('Guide &amp; Settings'!$C$42/($F448-1))*$Z448)))</f>
        <v>10.422900611837333</v>
      </c>
      <c r="AB448" s="120">
        <f t="shared" si="135"/>
        <v>1010.4229006118373</v>
      </c>
      <c r="AC448" s="120">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11">
        <v>192</v>
      </c>
      <c r="B449" s="112">
        <v>46247</v>
      </c>
      <c r="C449" s="113" t="s">
        <v>199</v>
      </c>
      <c r="D449" s="113" t="s">
        <v>134</v>
      </c>
      <c r="E449" s="111" t="s">
        <v>309</v>
      </c>
      <c r="F449" s="114">
        <f t="shared" si="119"/>
        <v>2</v>
      </c>
      <c r="G449" s="115" t="str">
        <f t="shared" si="120"/>
        <v>Josh</v>
      </c>
      <c r="H449" s="116">
        <f>IF($D449="",0,IFERROR(LOOKUP(2,1/(($D$3:D448=$D449)*($A$3:A448&lt;$A449)),$N$3:N448),'Guide &amp; Settings'!$C$41))</f>
        <v>1142.6518506237364</v>
      </c>
      <c r="I449" s="117">
        <f t="shared" si="121"/>
        <v>0.13333333333333336</v>
      </c>
      <c r="J449" s="118">
        <f>IF($D449="",0,IF($F449&lt;2,0,IF($E449="Win",('Guide &amp; Settings'!$C$42/(($F449-1)*COUNTIFS($A$4:$A$810,$A449,$E$4:$E$810,"Win")))*SUMIFS($X$4:$X$810,$A$4:$A$810,$A449,$E$4:$E$810,"Loss"),-('Guide &amp; Settings'!$C$42/($F449-1))*$X449)))</f>
        <v>-10.041403260518985</v>
      </c>
      <c r="K449" s="118">
        <f>IF($D449="",0,'Guide &amp; Settings'!$C$43*(IF($E449="Win",1,0)-$I449))</f>
        <v>-1.6000000000000003</v>
      </c>
      <c r="L449" s="119">
        <f>IF($D449="",0,'Guide &amp; Settings'!$C$44*IF($F449&gt;=3,$F449,0))</f>
        <v>0</v>
      </c>
      <c r="M449" s="118">
        <f t="shared" si="122"/>
        <v>-11.641403260518985</v>
      </c>
      <c r="N449" s="116">
        <f t="shared" si="123"/>
        <v>1131.0104473632175</v>
      </c>
      <c r="O449" s="115" t="str">
        <f t="shared" si="124"/>
        <v>OK</v>
      </c>
      <c r="P449">
        <f t="shared" si="125"/>
        <v>1093.6015451357737</v>
      </c>
      <c r="Q449">
        <f t="shared" si="126"/>
        <v>0.57012379646789102</v>
      </c>
      <c r="R449">
        <f t="shared" si="127"/>
        <v>7.6923076923076927E-2</v>
      </c>
      <c r="S449">
        <f t="shared" si="128"/>
        <v>0.57692307692307687</v>
      </c>
      <c r="T449" s="83">
        <f t="shared" si="129"/>
        <v>11</v>
      </c>
      <c r="U449" s="120">
        <f>IF($D449="",0,IFERROR(LOOKUP(2,1/(($D$3:D448=$D449)*($C$3:C448=$C449)*($A$3:A448&lt;$A449)),$AB$3:AB448),1000))</f>
        <v>873.5982138122115</v>
      </c>
      <c r="V449" s="120">
        <f t="shared" si="130"/>
        <v>957.67747531581301</v>
      </c>
      <c r="W449">
        <f t="shared" si="131"/>
        <v>1093.6015451357737</v>
      </c>
      <c r="X449">
        <f t="shared" si="132"/>
        <v>0.31379385189121828</v>
      </c>
      <c r="Y449">
        <f t="shared" si="133"/>
        <v>1000</v>
      </c>
      <c r="Z449">
        <f t="shared" si="134"/>
        <v>0.32571564411991666</v>
      </c>
      <c r="AA449">
        <f>IF($D449="",0,IF($F449&lt;2,0,IF($E449="Win",('Guide &amp; Settings'!$C$42/(($F449-1)*COUNTIFS($A$4:$A$810,$A449,$E$4:$E$810,"Win")))*SUMIFS($Z$4:$Z$810,$A$4:$A$810,$A449,$E$4:$E$810,"Loss"),-('Guide &amp; Settings'!$C$42/($F449-1))*$Z449)))</f>
        <v>-10.422900611837333</v>
      </c>
      <c r="AB449" s="120">
        <f t="shared" si="135"/>
        <v>863.17531320037415</v>
      </c>
      <c r="AC449" s="120">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11">
        <v>193</v>
      </c>
      <c r="B450" s="112">
        <v>46247</v>
      </c>
      <c r="C450" s="113" t="s">
        <v>185</v>
      </c>
      <c r="D450" s="113" t="s">
        <v>134</v>
      </c>
      <c r="E450" s="111" t="s">
        <v>308</v>
      </c>
      <c r="F450" s="114">
        <f t="shared" si="119"/>
        <v>2</v>
      </c>
      <c r="G450" s="115" t="str">
        <f t="shared" si="120"/>
        <v>Shawn</v>
      </c>
      <c r="H450" s="116">
        <f>IF($D450="",0,IFERROR(LOOKUP(2,1/(($D$3:D449=$D450)*($A$3:A449&lt;$A450)),$N$3:N449),'Guide &amp; Settings'!$C$41))</f>
        <v>1131.0104473632175</v>
      </c>
      <c r="I450" s="117">
        <f t="shared" si="121"/>
        <v>0.60000000000000009</v>
      </c>
      <c r="J450" s="118">
        <f>IF($D450="",0,IF($F450&lt;2,0,IF($E450="Win",('Guide &amp; Settings'!$C$42/(($F450-1)*COUNTIFS($A$4:$A$810,$A450,$E$4:$E$810,"Win")))*SUMIFS($X$4:$X$810,$A$4:$A$810,$A450,$E$4:$E$810,"Loss"),-('Guide &amp; Settings'!$C$42/($F450-1))*$X450)))</f>
        <v>13.893732241868555</v>
      </c>
      <c r="K450" s="118">
        <f>IF($D450="",0,'Guide &amp; Settings'!$C$43*(IF($E450="Win",1,0)-$I450))</f>
        <v>4.7999999999999989</v>
      </c>
      <c r="L450" s="119">
        <f>IF($D450="",0,'Guide &amp; Settings'!$C$44*IF($F450&gt;=3,$F450,0))</f>
        <v>0</v>
      </c>
      <c r="M450" s="118">
        <f t="shared" si="122"/>
        <v>18.693732241868553</v>
      </c>
      <c r="N450" s="116">
        <f t="shared" si="123"/>
        <v>1149.704179605086</v>
      </c>
      <c r="O450" s="115" t="str">
        <f t="shared" si="124"/>
        <v>OK</v>
      </c>
      <c r="P450">
        <f t="shared" si="125"/>
        <v>1131.0104473632175</v>
      </c>
      <c r="Q450">
        <f t="shared" si="126"/>
        <v>0.5</v>
      </c>
      <c r="R450">
        <f t="shared" si="127"/>
        <v>0.5</v>
      </c>
      <c r="S450">
        <f t="shared" si="128"/>
        <v>0.83333333333333326</v>
      </c>
      <c r="T450" s="83">
        <f t="shared" si="129"/>
        <v>0</v>
      </c>
      <c r="U450" s="120">
        <f>IF($D450="",0,IFERROR(LOOKUP(2,1/(($D$3:D449=$D450)*($C$3:C449=$C450)*($A$3:A449&lt;$A450)),$AB$3:AB449),1000))</f>
        <v>1000</v>
      </c>
      <c r="V450" s="120">
        <f t="shared" si="130"/>
        <v>1131.0104473632175</v>
      </c>
      <c r="W450">
        <f t="shared" si="131"/>
        <v>1131.0104473632175</v>
      </c>
      <c r="X450">
        <f t="shared" si="132"/>
        <v>0.5</v>
      </c>
      <c r="Y450">
        <f t="shared" si="133"/>
        <v>1000</v>
      </c>
      <c r="Z450">
        <f t="shared" si="134"/>
        <v>0.5</v>
      </c>
      <c r="AA450">
        <f>IF($D450="",0,IF($F450&lt;2,0,IF($E450="Win",('Guide &amp; Settings'!$C$42/(($F450-1)*COUNTIFS($A$4:$A$810,$A450,$E$4:$E$810,"Win")))*SUMIFS($Z$4:$Z$810,$A$4:$A$810,$A450,$E$4:$E$810,"Loss"),-('Guide &amp; Settings'!$C$42/($F450-1))*$Z450)))</f>
        <v>15.255601311734626</v>
      </c>
      <c r="AB450" s="120">
        <f t="shared" si="135"/>
        <v>1015.2556013117346</v>
      </c>
      <c r="AC450" s="120">
        <f>IF($D450="","",IF(SUMPRODUCT(MAX(($D$4:$D$810=$D450)*($B$4:$B$810&lt;$B450)*$B$4:$B$810))=0,0,IF(($B450-MAX(SUMPRODUCT(MAX(($D$4:$D$810=$D450)*($B$4:$B$810&lt;$B450)*$B$4:$B$810)),'Guide &amp; Settings'!$C$50))/7-'Guide &amp; Settings'!$C$48&gt;=0,(INT(($B450-MAX(SUMPRODUCT(MAX(($D$4:$D$810=$D450)*($B$4:$B$810&lt;$B450)*$B$4:$B$810)),'Guide &amp; Settings'!$C$50))/7-'Guide &amp; Settings'!$C$48)+1)*'Guide &amp; Settings'!$C$49,0)))</f>
        <v>0</v>
      </c>
    </row>
    <row r="451" spans="1:29" x14ac:dyDescent="0.2">
      <c r="A451" s="111">
        <v>193</v>
      </c>
      <c r="B451" s="112">
        <v>46247</v>
      </c>
      <c r="C451" s="113" t="s">
        <v>185</v>
      </c>
      <c r="D451" s="113" t="s">
        <v>137</v>
      </c>
      <c r="E451" s="111" t="s">
        <v>309</v>
      </c>
      <c r="F451" s="114">
        <f t="shared" si="119"/>
        <v>2</v>
      </c>
      <c r="G451" s="115" t="str">
        <f t="shared" si="120"/>
        <v>Shawn</v>
      </c>
      <c r="H451" s="116">
        <f>IF($D451="",0,IFERROR(LOOKUP(2,1/(($D$3:D450=$D451)*($A$3:A450&lt;$A451)),$N$3:N450),'Guide &amp; Settings'!$C$41))</f>
        <v>1105.2429483962926</v>
      </c>
      <c r="I451" s="117">
        <f t="shared" si="121"/>
        <v>0.4</v>
      </c>
      <c r="J451" s="118">
        <f>IF($D451="",0,IF($F451&lt;2,0,IF($E451="Win",('Guide &amp; Settings'!$C$42/(($F451-1)*COUNTIFS($A$4:$A$810,$A451,$E$4:$E$810,"Win")))*SUMIFS($X$4:$X$810,$A$4:$A$810,$A451,$E$4:$E$810,"Loss"),-('Guide &amp; Settings'!$C$42/($F451-1))*$X451)))</f>
        <v>-13.893732241868555</v>
      </c>
      <c r="K451" s="118">
        <f>IF($D451="",0,'Guide &amp; Settings'!$C$43*(IF($E451="Win",1,0)-$I451))</f>
        <v>-4.8000000000000007</v>
      </c>
      <c r="L451" s="119">
        <f>IF($D451="",0,'Guide &amp; Settings'!$C$44*IF($F451&gt;=3,$F451,0))</f>
        <v>0</v>
      </c>
      <c r="M451" s="118">
        <f t="shared" si="122"/>
        <v>-18.693732241868556</v>
      </c>
      <c r="N451" s="116">
        <f t="shared" si="123"/>
        <v>1086.5492161544241</v>
      </c>
      <c r="O451" s="115" t="str">
        <f t="shared" si="124"/>
        <v>OK</v>
      </c>
      <c r="P451">
        <f t="shared" si="125"/>
        <v>1131.0104473632175</v>
      </c>
      <c r="Q451">
        <f t="shared" si="126"/>
        <v>0.46298542849225255</v>
      </c>
      <c r="R451">
        <f t="shared" si="127"/>
        <v>0.33333333333333331</v>
      </c>
      <c r="S451">
        <f t="shared" si="128"/>
        <v>0.83333333333333326</v>
      </c>
      <c r="T451" s="83">
        <f t="shared" si="129"/>
        <v>1</v>
      </c>
      <c r="U451" s="120">
        <f>IF($D451="",0,IFERROR(LOOKUP(2,1/(($D$3:D450=$D451)*($C$3:C450=$C451)*($A$3:A450&lt;$A451)),$AB$3:AB450),1000))</f>
        <v>983.82390970712913</v>
      </c>
      <c r="V451" s="120">
        <f t="shared" si="130"/>
        <v>1085.0064419480987</v>
      </c>
      <c r="W451">
        <f t="shared" si="131"/>
        <v>1131.0104473632175</v>
      </c>
      <c r="X451">
        <f t="shared" si="132"/>
        <v>0.43417913255839236</v>
      </c>
      <c r="Y451">
        <f t="shared" si="133"/>
        <v>1000</v>
      </c>
      <c r="Z451">
        <f t="shared" si="134"/>
        <v>0.47673754099170706</v>
      </c>
      <c r="AA451">
        <f>IF($D451="",0,IF($F451&lt;2,0,IF($E451="Win",('Guide &amp; Settings'!$C$42/(($F451-1)*COUNTIFS($A$4:$A$810,$A451,$E$4:$E$810,"Win")))*SUMIFS($Z$4:$Z$810,$A$4:$A$810,$A451,$E$4:$E$810,"Loss"),-('Guide &amp; Settings'!$C$42/($F451-1))*$Z451)))</f>
        <v>-15.255601311734626</v>
      </c>
      <c r="AB451" s="120">
        <f t="shared" si="135"/>
        <v>968.56830839539452</v>
      </c>
      <c r="AC451" s="120">
        <f>IF($D451="","",IF(SUMPRODUCT(MAX(($D$4:$D$810=$D451)*($B$4:$B$810&lt;$B451)*$B$4:$B$810))=0,0,IF(($B451-MAX(SUMPRODUCT(MAX(($D$4:$D$810=$D451)*($B$4:$B$810&lt;$B451)*$B$4:$B$810)),'Guide &amp; Settings'!$C$50))/7-'Guide &amp; Settings'!$C$48&gt;=0,(INT(($B451-MAX(SUMPRODUCT(MAX(($D$4:$D$810=$D451)*($B$4:$B$810&lt;$B451)*$B$4:$B$810)),'Guide &amp; Settings'!$C$50))/7-'Guide &amp; Settings'!$C$48)+1)*'Guide &amp; Settings'!$C$49,0)))</f>
        <v>0</v>
      </c>
    </row>
    <row r="452" spans="1:29" x14ac:dyDescent="0.2">
      <c r="A452" s="111">
        <v>194</v>
      </c>
      <c r="B452" s="112">
        <v>46247</v>
      </c>
      <c r="C452" s="113" t="s">
        <v>445</v>
      </c>
      <c r="D452" s="113" t="s">
        <v>134</v>
      </c>
      <c r="E452" s="111" t="s">
        <v>309</v>
      </c>
      <c r="F452" s="114">
        <f t="shared" si="119"/>
        <v>2</v>
      </c>
      <c r="G452" s="115" t="str">
        <f t="shared" si="120"/>
        <v>Josh</v>
      </c>
      <c r="H452" s="116">
        <f>IF($D452="",0,IFERROR(LOOKUP(2,1/(($D$3:D451=$D452)*($A$3:A451&lt;$A452)),$N$3:N451),'Guide &amp; Settings'!$C$41))</f>
        <v>1149.704179605086</v>
      </c>
      <c r="I452" s="117">
        <f t="shared" si="121"/>
        <v>0.66666666666666663</v>
      </c>
      <c r="J452" s="118">
        <f>IF($D452="",0,IF($F452&lt;2,0,IF($E452="Win",('Guide &amp; Settings'!$C$42/(($F452-1)*COUNTIFS($A$4:$A$810,$A452,$E$4:$E$810,"Win")))*SUMIFS($X$4:$X$810,$A$4:$A$810,$A452,$E$4:$E$810,"Loss"),-('Guide &amp; Settings'!$C$42/($F452-1))*$X452)))</f>
        <v>-20.305264166853533</v>
      </c>
      <c r="K452" s="118">
        <f>IF($D452="",0,'Guide &amp; Settings'!$C$43*(IF($E452="Win",1,0)-$I452))</f>
        <v>-8</v>
      </c>
      <c r="L452" s="119">
        <f>IF($D452="",0,'Guide &amp; Settings'!$C$44*IF($F452&gt;=3,$F452,0))</f>
        <v>0</v>
      </c>
      <c r="M452" s="118">
        <f t="shared" si="122"/>
        <v>-28.305264166853533</v>
      </c>
      <c r="N452" s="116">
        <f t="shared" si="123"/>
        <v>1121.3989154382325</v>
      </c>
      <c r="O452" s="115" t="str">
        <f t="shared" si="124"/>
        <v>OK</v>
      </c>
      <c r="P452">
        <f t="shared" si="125"/>
        <v>1086.5492161544241</v>
      </c>
      <c r="Q452">
        <f t="shared" si="126"/>
        <v>0.58989932138700929</v>
      </c>
      <c r="R452">
        <f t="shared" si="127"/>
        <v>0.5</v>
      </c>
      <c r="S452">
        <f t="shared" si="128"/>
        <v>0.75</v>
      </c>
      <c r="T452" s="83">
        <f t="shared" si="129"/>
        <v>0</v>
      </c>
      <c r="U452" s="120">
        <f>IF($D452="",0,IFERROR(LOOKUP(2,1/(($D$3:D451=$D452)*($C$3:C451=$C452)*($A$3:A451&lt;$A452)),$AB$3:AB451),1000))</f>
        <v>1000</v>
      </c>
      <c r="V452" s="120">
        <f t="shared" si="130"/>
        <v>1149.704179605086</v>
      </c>
      <c r="W452">
        <f t="shared" si="131"/>
        <v>1053.8568885044911</v>
      </c>
      <c r="X452">
        <f t="shared" si="132"/>
        <v>0.63453950521417291</v>
      </c>
      <c r="Y452">
        <f t="shared" si="133"/>
        <v>972.12606937965847</v>
      </c>
      <c r="Z452">
        <f t="shared" si="134"/>
        <v>0.54002796791278629</v>
      </c>
      <c r="AA452">
        <f>IF($D452="",0,IF($F452&lt;2,0,IF($E452="Win",('Guide &amp; Settings'!$C$42/(($F452-1)*COUNTIFS($A$4:$A$810,$A452,$E$4:$E$810,"Win")))*SUMIFS($Z$4:$Z$810,$A$4:$A$810,$A452,$E$4:$E$810,"Loss"),-('Guide &amp; Settings'!$C$42/($F452-1))*$Z452)))</f>
        <v>-17.280894973209161</v>
      </c>
      <c r="AB452" s="120">
        <f t="shared" si="135"/>
        <v>982.71910502679088</v>
      </c>
      <c r="AC452" s="120">
        <f>IF($D452="","",IF(SUMPRODUCT(MAX(($D$4:$D$810=$D452)*($B$4:$B$810&lt;$B452)*$B$4:$B$810))=0,0,IF(($B452-MAX(SUMPRODUCT(MAX(($D$4:$D$810=$D452)*($B$4:$B$810&lt;$B452)*$B$4:$B$810)),'Guide &amp; Settings'!$C$50))/7-'Guide &amp; Settings'!$C$48&gt;=0,(INT(($B452-MAX(SUMPRODUCT(MAX(($D$4:$D$810=$D452)*($B$4:$B$810&lt;$B452)*$B$4:$B$810)),'Guide &amp; Settings'!$C$50))/7-'Guide &amp; Settings'!$C$48)+1)*'Guide &amp; Settings'!$C$49,0)))</f>
        <v>0</v>
      </c>
    </row>
    <row r="453" spans="1:29" x14ac:dyDescent="0.2">
      <c r="A453" s="111">
        <v>194</v>
      </c>
      <c r="B453" s="112">
        <v>46247</v>
      </c>
      <c r="C453" s="113" t="s">
        <v>445</v>
      </c>
      <c r="D453" s="113" t="s">
        <v>137</v>
      </c>
      <c r="E453" s="111" t="s">
        <v>308</v>
      </c>
      <c r="F453" s="114">
        <f t="shared" si="119"/>
        <v>2</v>
      </c>
      <c r="G453" s="115" t="str">
        <f t="shared" si="120"/>
        <v>Josh</v>
      </c>
      <c r="H453" s="116">
        <f>IF($D453="",0,IFERROR(LOOKUP(2,1/(($D$3:D452=$D453)*($A$3:A452&lt;$A453)),$N$3:N452),'Guide &amp; Settings'!$C$41))</f>
        <v>1086.5492161544241</v>
      </c>
      <c r="I453" s="117">
        <f t="shared" si="121"/>
        <v>0.33333333333333331</v>
      </c>
      <c r="J453" s="118">
        <f>IF($D453="",0,IF($F453&lt;2,0,IF($E453="Win",('Guide &amp; Settings'!$C$42/(($F453-1)*COUNTIFS($A$4:$A$810,$A453,$E$4:$E$810,"Win")))*SUMIFS($X$4:$X$810,$A$4:$A$810,$A453,$E$4:$E$810,"Loss"),-('Guide &amp; Settings'!$C$42/($F453-1))*$X453)))</f>
        <v>20.305264166853533</v>
      </c>
      <c r="K453" s="118">
        <f>IF($D453="",0,'Guide &amp; Settings'!$C$43*(IF($E453="Win",1,0)-$I453))</f>
        <v>8</v>
      </c>
      <c r="L453" s="119">
        <f>IF($D453="",0,'Guide &amp; Settings'!$C$44*IF($F453&gt;=3,$F453,0))</f>
        <v>0</v>
      </c>
      <c r="M453" s="118">
        <f t="shared" si="122"/>
        <v>28.305264166853533</v>
      </c>
      <c r="N453" s="116">
        <f t="shared" si="123"/>
        <v>1114.8544803212776</v>
      </c>
      <c r="O453" s="115" t="str">
        <f t="shared" si="124"/>
        <v>OK</v>
      </c>
      <c r="P453">
        <f t="shared" si="125"/>
        <v>1086.5492161544241</v>
      </c>
      <c r="Q453">
        <f t="shared" si="126"/>
        <v>0.5</v>
      </c>
      <c r="R453">
        <f t="shared" si="127"/>
        <v>0.25</v>
      </c>
      <c r="S453">
        <f t="shared" si="128"/>
        <v>0.75</v>
      </c>
      <c r="T453" s="83">
        <f t="shared" si="129"/>
        <v>2</v>
      </c>
      <c r="U453" s="120">
        <f>IF($D453="",0,IFERROR(LOOKUP(2,1/(($D$3:D452=$D453)*($C$3:C452=$C453)*($A$3:A452&lt;$A453)),$AB$3:AB452),1000))</f>
        <v>972.12606937965847</v>
      </c>
      <c r="V453" s="120">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0">
        <f t="shared" si="135"/>
        <v>989.40696435286759</v>
      </c>
      <c r="AC453" s="120">
        <f>IF($D453="","",IF(SUMPRODUCT(MAX(($D$4:$D$810=$D453)*($B$4:$B$810&lt;$B453)*$B$4:$B$810))=0,0,IF(($B453-MAX(SUMPRODUCT(MAX(($D$4:$D$810=$D453)*($B$4:$B$810&lt;$B453)*$B$4:$B$810)),'Guide &amp; Settings'!$C$50))/7-'Guide &amp; Settings'!$C$48&gt;=0,(INT(($B453-MAX(SUMPRODUCT(MAX(($D$4:$D$810=$D453)*($B$4:$B$810&lt;$B453)*$B$4:$B$810)),'Guide &amp; Settings'!$C$50))/7-'Guide &amp; Settings'!$C$48)+1)*'Guide &amp; Settings'!$C$49,0)))</f>
        <v>0</v>
      </c>
    </row>
    <row r="454" spans="1:29" x14ac:dyDescent="0.2">
      <c r="A454" s="111">
        <v>195</v>
      </c>
      <c r="B454" s="112">
        <v>46247</v>
      </c>
      <c r="C454" s="113" t="s">
        <v>445</v>
      </c>
      <c r="D454" s="113" t="s">
        <v>134</v>
      </c>
      <c r="E454" s="111" t="s">
        <v>308</v>
      </c>
      <c r="F454" s="114">
        <f t="shared" si="119"/>
        <v>2</v>
      </c>
      <c r="G454" s="115" t="str">
        <f t="shared" si="120"/>
        <v>Shawn</v>
      </c>
      <c r="H454" s="116">
        <f>IF($D454="",0,IFERROR(LOOKUP(2,1/(($D$3:D453=$D454)*($A$3:A453&lt;$A454)),$N$3:N453),'Guide &amp; Settings'!$C$41))</f>
        <v>1121.3989154382325</v>
      </c>
      <c r="I454" s="117">
        <f t="shared" si="121"/>
        <v>0.45454545454545447</v>
      </c>
      <c r="J454" s="118">
        <f>IF($D454="",0,IF($F454&lt;2,0,IF($E454="Win",('Guide &amp; Settings'!$C$42/(($F454-1)*COUNTIFS($A$4:$A$810,$A454,$E$4:$E$810,"Win")))*SUMIFS($X$4:$X$810,$A$4:$A$810,$A454,$E$4:$E$810,"Loss"),-('Guide &amp; Settings'!$C$42/($F454-1))*$X454)))</f>
        <v>14.600210450598139</v>
      </c>
      <c r="K454" s="118">
        <f>IF($D454="",0,'Guide &amp; Settings'!$C$43*(IF($E454="Win",1,0)-$I454))</f>
        <v>6.5454545454545467</v>
      </c>
      <c r="L454" s="119">
        <f>IF($D454="",0,'Guide &amp; Settings'!$C$44*IF($F454&gt;=3,$F454,0))</f>
        <v>0</v>
      </c>
      <c r="M454" s="118">
        <f t="shared" si="122"/>
        <v>21.145664996052687</v>
      </c>
      <c r="N454" s="116">
        <f t="shared" si="123"/>
        <v>1142.5445804342853</v>
      </c>
      <c r="O454" s="115" t="str">
        <f t="shared" si="124"/>
        <v>OK</v>
      </c>
      <c r="P454">
        <f t="shared" si="125"/>
        <v>1121.3989154382325</v>
      </c>
      <c r="Q454">
        <f t="shared" si="126"/>
        <v>0.5</v>
      </c>
      <c r="R454">
        <f t="shared" si="127"/>
        <v>0.33333333333333331</v>
      </c>
      <c r="S454">
        <f t="shared" si="128"/>
        <v>0.73333333333333339</v>
      </c>
      <c r="T454" s="83">
        <f t="shared" si="129"/>
        <v>1</v>
      </c>
      <c r="U454" s="120">
        <f>IF($D454="",0,IFERROR(LOOKUP(2,1/(($D$3:D453=$D454)*($C$3:C453=$C454)*($A$3:A453&lt;$A454)),$AB$3:AB453),1000))</f>
        <v>982.71910502679088</v>
      </c>
      <c r="V454" s="120">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0">
        <f t="shared" si="135"/>
        <v>999.0270542964812</v>
      </c>
      <c r="AC454" s="120">
        <f>IF($D454="","",IF(SUMPRODUCT(MAX(($D$4:$D$810=$D454)*($B$4:$B$810&lt;$B454)*$B$4:$B$810))=0,0,IF(($B454-MAX(SUMPRODUCT(MAX(($D$4:$D$810=$D454)*($B$4:$B$810&lt;$B454)*$B$4:$B$810)),'Guide &amp; Settings'!$C$50))/7-'Guide &amp; Settings'!$C$48&gt;=0,(INT(($B454-MAX(SUMPRODUCT(MAX(($D$4:$D$810=$D454)*($B$4:$B$810&lt;$B454)*$B$4:$B$810)),'Guide &amp; Settings'!$C$50))/7-'Guide &amp; Settings'!$C$48)+1)*'Guide &amp; Settings'!$C$49,0)))</f>
        <v>0</v>
      </c>
    </row>
    <row r="455" spans="1:29" x14ac:dyDescent="0.2">
      <c r="A455" s="111">
        <v>195</v>
      </c>
      <c r="B455" s="112">
        <v>46247</v>
      </c>
      <c r="C455" s="113" t="s">
        <v>445</v>
      </c>
      <c r="D455" s="113" t="s">
        <v>137</v>
      </c>
      <c r="E455" s="111" t="s">
        <v>309</v>
      </c>
      <c r="F455" s="114">
        <f t="shared" si="119"/>
        <v>2</v>
      </c>
      <c r="G455" s="115" t="str">
        <f t="shared" si="120"/>
        <v>Shawn</v>
      </c>
      <c r="H455" s="116">
        <f>IF($D455="",0,IFERROR(LOOKUP(2,1/(($D$3:D454=$D455)*($A$3:A454&lt;$A455)),$N$3:N454),'Guide &amp; Settings'!$C$41))</f>
        <v>1114.8544803212776</v>
      </c>
      <c r="I455" s="117">
        <f t="shared" si="121"/>
        <v>0.54545454545454541</v>
      </c>
      <c r="J455" s="118">
        <f>IF($D455="",0,IF($F455&lt;2,0,IF($E455="Win",('Guide &amp; Settings'!$C$42/(($F455-1)*COUNTIFS($A$4:$A$810,$A455,$E$4:$E$810,"Win")))*SUMIFS($X$4:$X$810,$A$4:$A$810,$A455,$E$4:$E$810,"Loss"),-('Guide &amp; Settings'!$C$42/($F455-1))*$X455)))</f>
        <v>-14.600210450598139</v>
      </c>
      <c r="K455" s="118">
        <f>IF($D455="",0,'Guide &amp; Settings'!$C$43*(IF($E455="Win",1,0)-$I455))</f>
        <v>-6.545454545454545</v>
      </c>
      <c r="L455" s="119">
        <f>IF($D455="",0,'Guide &amp; Settings'!$C$44*IF($F455&gt;=3,$F455,0))</f>
        <v>0</v>
      </c>
      <c r="M455" s="118">
        <f t="shared" si="122"/>
        <v>-21.145664996052684</v>
      </c>
      <c r="N455" s="116">
        <f t="shared" si="123"/>
        <v>1093.708815325225</v>
      </c>
      <c r="O455" s="115" t="str">
        <f t="shared" si="124"/>
        <v>OK</v>
      </c>
      <c r="P455">
        <f t="shared" si="125"/>
        <v>1121.3989154382325</v>
      </c>
      <c r="Q455">
        <f t="shared" si="126"/>
        <v>0.49058291451808062</v>
      </c>
      <c r="R455">
        <f t="shared" si="127"/>
        <v>0.4</v>
      </c>
      <c r="S455">
        <f t="shared" si="128"/>
        <v>0.73333333333333339</v>
      </c>
      <c r="T455" s="83">
        <f t="shared" si="129"/>
        <v>3</v>
      </c>
      <c r="U455" s="120">
        <f>IF($D455="",0,IFERROR(LOOKUP(2,1/(($D$3:D454=$D455)*($C$3:C454=$C455)*($A$3:A454&lt;$A455)),$AB$3:AB454),1000))</f>
        <v>989.40696435286759</v>
      </c>
      <c r="V455" s="120">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0">
        <f t="shared" si="135"/>
        <v>973.09901508317728</v>
      </c>
      <c r="AC455" s="120">
        <f>IF($D455="","",IF(SUMPRODUCT(MAX(($D$4:$D$810=$D455)*($B$4:$B$810&lt;$B455)*$B$4:$B$810))=0,0,IF(($B455-MAX(SUMPRODUCT(MAX(($D$4:$D$810=$D455)*($B$4:$B$810&lt;$B455)*$B$4:$B$810)),'Guide &amp; Settings'!$C$50))/7-'Guide &amp; Settings'!$C$48&gt;=0,(INT(($B455-MAX(SUMPRODUCT(MAX(($D$4:$D$810=$D455)*($B$4:$B$810&lt;$B455)*$B$4:$B$810)),'Guide &amp; Settings'!$C$50))/7-'Guide &amp; Settings'!$C$48)+1)*'Guide &amp; Settings'!$C$49,0)))</f>
        <v>0</v>
      </c>
    </row>
    <row r="456" spans="1:29" x14ac:dyDescent="0.2">
      <c r="A456" s="111">
        <v>196</v>
      </c>
      <c r="B456" s="112">
        <v>46247</v>
      </c>
      <c r="C456" s="113" t="s">
        <v>446</v>
      </c>
      <c r="D456" s="113" t="s">
        <v>134</v>
      </c>
      <c r="E456" s="111" t="s">
        <v>308</v>
      </c>
      <c r="F456" s="114">
        <f t="shared" si="119"/>
        <v>2</v>
      </c>
      <c r="G456" s="115" t="str">
        <f t="shared" si="120"/>
        <v>Shawn</v>
      </c>
      <c r="H456" s="116">
        <f>IF($D456="",0,IFERROR(LOOKUP(2,1/(($D$3:D455=$D456)*($A$3:A455&lt;$A456)),$N$3:N455),'Guide &amp; Settings'!$C$41))</f>
        <v>1142.5445804342853</v>
      </c>
      <c r="I456" s="117">
        <f t="shared" si="121"/>
        <v>0.4285714285714286</v>
      </c>
      <c r="J456" s="118">
        <f>IF($D456="",0,IF($F456&lt;2,0,IF($E456="Win",('Guide &amp; Settings'!$C$42/(($F456-1)*COUNTIFS($A$4:$A$810,$A456,$E$4:$E$810,"Win")))*SUMIFS($X$4:$X$810,$A$4:$A$810,$A456,$E$4:$E$810,"Loss"),-('Guide &amp; Settings'!$C$42/($F456-1))*$X456)))</f>
        <v>13.184214633800195</v>
      </c>
      <c r="K456" s="118">
        <f>IF($D456="",0,'Guide &amp; Settings'!$C$43*(IF($E456="Win",1,0)-$I456))</f>
        <v>6.8571428571428568</v>
      </c>
      <c r="L456" s="119">
        <f>IF($D456="",0,'Guide &amp; Settings'!$C$44*IF($F456&gt;=3,$F456,0))</f>
        <v>0</v>
      </c>
      <c r="M456" s="118">
        <f t="shared" si="122"/>
        <v>20.041357490943053</v>
      </c>
      <c r="N456" s="116">
        <f t="shared" si="123"/>
        <v>1162.5859379252283</v>
      </c>
      <c r="O456" s="115" t="str">
        <f t="shared" si="124"/>
        <v>OK</v>
      </c>
      <c r="P456">
        <f t="shared" si="125"/>
        <v>1142.5445804342853</v>
      </c>
      <c r="Q456">
        <f t="shared" si="126"/>
        <v>0.5</v>
      </c>
      <c r="R456">
        <f t="shared" si="127"/>
        <v>0.5</v>
      </c>
      <c r="S456">
        <f t="shared" si="128"/>
        <v>1.1666666666666665</v>
      </c>
      <c r="T456" s="83">
        <f t="shared" si="129"/>
        <v>0</v>
      </c>
      <c r="U456" s="120">
        <f>IF($D456="",0,IFERROR(LOOKUP(2,1/(($D$3:D455=$D456)*($C$3:C455=$C456)*($A$3:A455&lt;$A456)),$AB$3:AB455),1000))</f>
        <v>1000</v>
      </c>
      <c r="V456" s="120">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0">
        <f t="shared" si="135"/>
        <v>1016.736306793522</v>
      </c>
      <c r="AC456" s="120">
        <f>IF($D456="","",IF(SUMPRODUCT(MAX(($D$4:$D$810=$D456)*($B$4:$B$810&lt;$B456)*$B$4:$B$810))=0,0,IF(($B456-MAX(SUMPRODUCT(MAX(($D$4:$D$810=$D456)*($B$4:$B$810&lt;$B456)*$B$4:$B$810)),'Guide &amp; Settings'!$C$50))/7-'Guide &amp; Settings'!$C$48&gt;=0,(INT(($B456-MAX(SUMPRODUCT(MAX(($D$4:$D$810=$D456)*($B$4:$B$810&lt;$B456)*$B$4:$B$810)),'Guide &amp; Settings'!$C$50))/7-'Guide &amp; Settings'!$C$48)+1)*'Guide &amp; Settings'!$C$49,0)))</f>
        <v>0</v>
      </c>
    </row>
    <row r="457" spans="1:29" x14ac:dyDescent="0.2">
      <c r="A457" s="111">
        <v>196</v>
      </c>
      <c r="B457" s="112">
        <v>46247</v>
      </c>
      <c r="C457" s="113" t="s">
        <v>446</v>
      </c>
      <c r="D457" s="113" t="s">
        <v>137</v>
      </c>
      <c r="E457" s="111" t="s">
        <v>309</v>
      </c>
      <c r="F457" s="114">
        <f t="shared" si="119"/>
        <v>2</v>
      </c>
      <c r="G457" s="115" t="str">
        <f t="shared" si="120"/>
        <v>Shawn</v>
      </c>
      <c r="H457" s="116">
        <f>IF($D457="",0,IFERROR(LOOKUP(2,1/(($D$3:D456=$D457)*($A$3:A456&lt;$A457)),$N$3:N456),'Guide &amp; Settings'!$C$41))</f>
        <v>1093.708815325225</v>
      </c>
      <c r="I457" s="117">
        <f t="shared" si="121"/>
        <v>0.57142857142857151</v>
      </c>
      <c r="J457" s="118">
        <f>IF($D457="",0,IF($F457&lt;2,0,IF($E457="Win",('Guide &amp; Settings'!$C$42/(($F457-1)*COUNTIFS($A$4:$A$810,$A457,$E$4:$E$810,"Win")))*SUMIFS($X$4:$X$810,$A$4:$A$810,$A457,$E$4:$E$810,"Loss"),-('Guide &amp; Settings'!$C$42/($F457-1))*$X457)))</f>
        <v>-13.184214633800195</v>
      </c>
      <c r="K457" s="118">
        <f>IF($D457="",0,'Guide &amp; Settings'!$C$43*(IF($E457="Win",1,0)-$I457))</f>
        <v>-6.8571428571428577</v>
      </c>
      <c r="L457" s="119">
        <f>IF($D457="",0,'Guide &amp; Settings'!$C$44*IF($F457&gt;=3,$F457,0))</f>
        <v>0</v>
      </c>
      <c r="M457" s="118">
        <f t="shared" si="122"/>
        <v>-20.041357490943053</v>
      </c>
      <c r="N457" s="116">
        <f t="shared" si="123"/>
        <v>1073.667457834282</v>
      </c>
      <c r="O457" s="115" t="str">
        <f t="shared" si="124"/>
        <v>OK</v>
      </c>
      <c r="P457">
        <f t="shared" si="125"/>
        <v>1142.5445804342853</v>
      </c>
      <c r="Q457">
        <f t="shared" si="126"/>
        <v>0.43017890523994895</v>
      </c>
      <c r="R457">
        <f t="shared" si="127"/>
        <v>0.66666666666666663</v>
      </c>
      <c r="S457">
        <f t="shared" si="128"/>
        <v>1.1666666666666665</v>
      </c>
      <c r="T457" s="83">
        <f t="shared" si="129"/>
        <v>1</v>
      </c>
      <c r="U457" s="120">
        <f>IF($D457="",0,IFERROR(LOOKUP(2,1/(($D$3:D456=$D457)*($C$3:C456=$C457)*($A$3:A456&lt;$A457)),$AB$3:AB456),1000))</f>
        <v>1016</v>
      </c>
      <c r="V457" s="120">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0">
        <f t="shared" si="135"/>
        <v>999.26369320647802</v>
      </c>
      <c r="AC457" s="120">
        <f>IF($D457="","",IF(SUMPRODUCT(MAX(($D$4:$D$810=$D457)*($B$4:$B$810&lt;$B457)*$B$4:$B$810))=0,0,IF(($B457-MAX(SUMPRODUCT(MAX(($D$4:$D$810=$D457)*($B$4:$B$810&lt;$B457)*$B$4:$B$810)),'Guide &amp; Settings'!$C$50))/7-'Guide &amp; Settings'!$C$48&gt;=0,(INT(($B457-MAX(SUMPRODUCT(MAX(($D$4:$D$810=$D457)*($B$4:$B$810&lt;$B457)*$B$4:$B$810)),'Guide &amp; Settings'!$C$50))/7-'Guide &amp; Settings'!$C$48)+1)*'Guide &amp; Settings'!$C$49,0)))</f>
        <v>0</v>
      </c>
    </row>
    <row r="458" spans="1:29" x14ac:dyDescent="0.2">
      <c r="A458" s="111">
        <v>197</v>
      </c>
      <c r="B458" s="112">
        <v>46247</v>
      </c>
      <c r="C458" s="113" t="s">
        <v>447</v>
      </c>
      <c r="D458" s="113" t="s">
        <v>134</v>
      </c>
      <c r="E458" s="111" t="s">
        <v>309</v>
      </c>
      <c r="F458" s="114">
        <f t="shared" si="119"/>
        <v>2</v>
      </c>
      <c r="G458" s="115" t="str">
        <f t="shared" si="120"/>
        <v>Josh</v>
      </c>
      <c r="H458" s="116">
        <f>IF($D458="",0,IFERROR(LOOKUP(2,1/(($D$3:D457=$D458)*($A$3:A457&lt;$A458)),$N$3:N457),'Guide &amp; Settings'!$C$41))</f>
        <v>1162.5859379252283</v>
      </c>
      <c r="I458" s="117">
        <f t="shared" si="121"/>
        <v>0.60000000000000009</v>
      </c>
      <c r="J458" s="118">
        <f>IF($D458="",0,IF($F458&lt;2,0,IF($E458="Win",('Guide &amp; Settings'!$C$42/(($F458-1)*COUNTIFS($A$4:$A$810,$A458,$E$4:$E$810,"Win")))*SUMIFS($X$4:$X$810,$A$4:$A$810,$A458,$E$4:$E$810,"Loss"),-('Guide &amp; Settings'!$C$42/($F458-1))*$X458)))</f>
        <v>-20.589215701755581</v>
      </c>
      <c r="K458" s="118">
        <f>IF($D458="",0,'Guide &amp; Settings'!$C$43*(IF($E458="Win",1,0)-$I458))</f>
        <v>-7.2000000000000011</v>
      </c>
      <c r="L458" s="119">
        <f>IF($D458="",0,'Guide &amp; Settings'!$C$44*IF($F458&gt;=3,$F458,0))</f>
        <v>0</v>
      </c>
      <c r="M458" s="118">
        <f t="shared" si="122"/>
        <v>-27.78921570175558</v>
      </c>
      <c r="N458" s="116">
        <f t="shared" si="123"/>
        <v>1134.7967222234727</v>
      </c>
      <c r="O458" s="115" t="str">
        <f t="shared" si="124"/>
        <v>OK</v>
      </c>
      <c r="P458">
        <f t="shared" si="125"/>
        <v>1073.667457834282</v>
      </c>
      <c r="Q458">
        <f t="shared" si="126"/>
        <v>0.62524144383080016</v>
      </c>
      <c r="R458">
        <f t="shared" si="127"/>
        <v>0.5</v>
      </c>
      <c r="S458">
        <f t="shared" si="128"/>
        <v>0.83333333333333326</v>
      </c>
      <c r="T458" s="83">
        <f t="shared" si="129"/>
        <v>0</v>
      </c>
      <c r="U458" s="120">
        <f>IF($D458="",0,IFERROR(LOOKUP(2,1/(($D$3:D457=$D458)*($C$3:C457=$C458)*($A$3:A457&lt;$A458)),$AB$3:AB457),1000))</f>
        <v>1000</v>
      </c>
      <c r="V458" s="120">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0">
        <f t="shared" si="135"/>
        <v>983.63165148103064</v>
      </c>
      <c r="AC458" s="120">
        <f>IF($D458="","",IF(SUMPRODUCT(MAX(($D$4:$D$810=$D458)*($B$4:$B$810&lt;$B458)*$B$4:$B$810))=0,0,IF(($B458-MAX(SUMPRODUCT(MAX(($D$4:$D$810=$D458)*($B$4:$B$810&lt;$B458)*$B$4:$B$810)),'Guide &amp; Settings'!$C$50))/7-'Guide &amp; Settings'!$C$48&gt;=0,(INT(($B458-MAX(SUMPRODUCT(MAX(($D$4:$D$810=$D458)*($B$4:$B$810&lt;$B458)*$B$4:$B$810)),'Guide &amp; Settings'!$C$50))/7-'Guide &amp; Settings'!$C$48)+1)*'Guide &amp; Settings'!$C$49,0)))</f>
        <v>0</v>
      </c>
    </row>
    <row r="459" spans="1:29" x14ac:dyDescent="0.2">
      <c r="A459" s="111">
        <v>197</v>
      </c>
      <c r="B459" s="112">
        <v>46247</v>
      </c>
      <c r="C459" s="113" t="s">
        <v>447</v>
      </c>
      <c r="D459" s="113" t="s">
        <v>137</v>
      </c>
      <c r="E459" s="111" t="s">
        <v>308</v>
      </c>
      <c r="F459" s="114">
        <f t="shared" si="119"/>
        <v>2</v>
      </c>
      <c r="G459" s="115" t="str">
        <f t="shared" si="120"/>
        <v>Josh</v>
      </c>
      <c r="H459" s="116">
        <f>IF($D459="",0,IFERROR(LOOKUP(2,1/(($D$3:D458=$D459)*($A$3:A458&lt;$A459)),$N$3:N458),'Guide &amp; Settings'!$C$41))</f>
        <v>1073.667457834282</v>
      </c>
      <c r="I459" s="117">
        <f t="shared" si="121"/>
        <v>0.4</v>
      </c>
      <c r="J459" s="118">
        <f>IF($D459="",0,IF($F459&lt;2,0,IF($E459="Win",('Guide &amp; Settings'!$C$42/(($F459-1)*COUNTIFS($A$4:$A$810,$A459,$E$4:$E$810,"Win")))*SUMIFS($X$4:$X$810,$A$4:$A$810,$A459,$E$4:$E$810,"Loss"),-('Guide &amp; Settings'!$C$42/($F459-1))*$X459)))</f>
        <v>20.589215701755581</v>
      </c>
      <c r="K459" s="118">
        <f>IF($D459="",0,'Guide &amp; Settings'!$C$43*(IF($E459="Win",1,0)-$I459))</f>
        <v>7.1999999999999993</v>
      </c>
      <c r="L459" s="119">
        <f>IF($D459="",0,'Guide &amp; Settings'!$C$44*IF($F459&gt;=3,$F459,0))</f>
        <v>0</v>
      </c>
      <c r="M459" s="118">
        <f t="shared" si="122"/>
        <v>27.78921570175558</v>
      </c>
      <c r="N459" s="116">
        <f t="shared" si="123"/>
        <v>1101.4566735360377</v>
      </c>
      <c r="O459" s="115" t="str">
        <f t="shared" si="124"/>
        <v>OK</v>
      </c>
      <c r="P459">
        <f t="shared" si="125"/>
        <v>1073.667457834282</v>
      </c>
      <c r="Q459">
        <f t="shared" si="126"/>
        <v>0.5</v>
      </c>
      <c r="R459">
        <f t="shared" si="127"/>
        <v>0.33333333333333331</v>
      </c>
      <c r="S459">
        <f t="shared" si="128"/>
        <v>0.83333333333333326</v>
      </c>
      <c r="T459" s="83">
        <f t="shared" si="129"/>
        <v>1</v>
      </c>
      <c r="U459" s="120">
        <f>IF($D459="",0,IFERROR(LOOKUP(2,1/(($D$3:D458=$D459)*($C$3:C458=$C459)*($A$3:A458&lt;$A459)),$AB$3:AB458),1000))</f>
        <v>992</v>
      </c>
      <c r="V459" s="120">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0">
        <f t="shared" si="135"/>
        <v>1008.3683485189694</v>
      </c>
      <c r="AC459" s="120">
        <f>IF($D459="","",IF(SUMPRODUCT(MAX(($D$4:$D$810=$D459)*($B$4:$B$810&lt;$B459)*$B$4:$B$810))=0,0,IF(($B459-MAX(SUMPRODUCT(MAX(($D$4:$D$810=$D459)*($B$4:$B$810&lt;$B459)*$B$4:$B$810)),'Guide &amp; Settings'!$C$50))/7-'Guide &amp; Settings'!$C$48&gt;=0,(INT(($B459-MAX(SUMPRODUCT(MAX(($D$4:$D$810=$D459)*($B$4:$B$810&lt;$B459)*$B$4:$B$810)),'Guide &amp; Settings'!$C$50))/7-'Guide &amp; Settings'!$C$48)+1)*'Guide &amp; Settings'!$C$49,0)))</f>
        <v>0</v>
      </c>
    </row>
    <row r="460" spans="1:29" x14ac:dyDescent="0.2">
      <c r="A460" s="111">
        <v>198</v>
      </c>
      <c r="B460" s="112">
        <v>46247</v>
      </c>
      <c r="C460" s="113" t="s">
        <v>447</v>
      </c>
      <c r="D460" s="113" t="s">
        <v>134</v>
      </c>
      <c r="E460" s="111" t="s">
        <v>308</v>
      </c>
      <c r="F460" s="114">
        <f t="shared" si="119"/>
        <v>2</v>
      </c>
      <c r="G460" s="115" t="str">
        <f t="shared" si="120"/>
        <v>Shawn</v>
      </c>
      <c r="H460" s="116">
        <f>IF($D460="",0,IFERROR(LOOKUP(2,1/(($D$3:D459=$D460)*($A$3:A459&lt;$A460)),$N$3:N459),'Guide &amp; Settings'!$C$41))</f>
        <v>1134.7967222234727</v>
      </c>
      <c r="I460" s="117">
        <f t="shared" si="121"/>
        <v>0.4</v>
      </c>
      <c r="J460" s="118">
        <f>IF($D460="",0,IF($F460&lt;2,0,IF($E460="Win",('Guide &amp; Settings'!$C$42/(($F460-1)*COUNTIFS($A$4:$A$810,$A460,$E$4:$E$810,"Win")))*SUMIFS($X$4:$X$810,$A$4:$A$810,$A460,$E$4:$E$810,"Loss"),-('Guide &amp; Settings'!$C$42/($F460-1))*$X460)))</f>
        <v>14.405358775941226</v>
      </c>
      <c r="K460" s="118">
        <f>IF($D460="",0,'Guide &amp; Settings'!$C$43*(IF($E460="Win",1,0)-$I460))</f>
        <v>7.1999999999999993</v>
      </c>
      <c r="L460" s="119">
        <f>IF($D460="",0,'Guide &amp; Settings'!$C$44*IF($F460&gt;=3,$F460,0))</f>
        <v>0</v>
      </c>
      <c r="M460" s="118">
        <f t="shared" si="122"/>
        <v>21.605358775941227</v>
      </c>
      <c r="N460" s="116">
        <f t="shared" si="123"/>
        <v>1156.402080999414</v>
      </c>
      <c r="O460" s="115" t="str">
        <f t="shared" si="124"/>
        <v>OK</v>
      </c>
      <c r="P460">
        <f t="shared" si="125"/>
        <v>1134.7967222234727</v>
      </c>
      <c r="Q460">
        <f t="shared" si="126"/>
        <v>0.5</v>
      </c>
      <c r="R460">
        <f t="shared" si="127"/>
        <v>0.33333333333333331</v>
      </c>
      <c r="S460">
        <f t="shared" si="128"/>
        <v>0.83333333333333326</v>
      </c>
      <c r="T460" s="83">
        <f t="shared" si="129"/>
        <v>1</v>
      </c>
      <c r="U460" s="120">
        <f>IF($D460="",0,IFERROR(LOOKUP(2,1/(($D$3:D459=$D460)*($C$3:C459=$C460)*($A$3:A459&lt;$A460)),$AB$3:AB459),1000))</f>
        <v>983.63165148103064</v>
      </c>
      <c r="V460" s="120">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0">
        <f t="shared" si="135"/>
        <v>1000.7688975049559</v>
      </c>
      <c r="AC460" s="120">
        <f>IF($D460="","",IF(SUMPRODUCT(MAX(($D$4:$D$810=$D460)*($B$4:$B$810&lt;$B460)*$B$4:$B$810))=0,0,IF(($B460-MAX(SUMPRODUCT(MAX(($D$4:$D$810=$D460)*($B$4:$B$810&lt;$B460)*$B$4:$B$810)),'Guide &amp; Settings'!$C$50))/7-'Guide &amp; Settings'!$C$48&gt;=0,(INT(($B460-MAX(SUMPRODUCT(MAX(($D$4:$D$810=$D460)*($B$4:$B$810&lt;$B460)*$B$4:$B$810)),'Guide &amp; Settings'!$C$50))/7-'Guide &amp; Settings'!$C$48)+1)*'Guide &amp; Settings'!$C$49,0)))</f>
        <v>0</v>
      </c>
    </row>
    <row r="461" spans="1:29" x14ac:dyDescent="0.2">
      <c r="A461" s="111">
        <v>198</v>
      </c>
      <c r="B461" s="112">
        <v>46247</v>
      </c>
      <c r="C461" s="113" t="s">
        <v>447</v>
      </c>
      <c r="D461" s="113" t="s">
        <v>137</v>
      </c>
      <c r="E461" s="111" t="s">
        <v>309</v>
      </c>
      <c r="F461" s="114">
        <f t="shared" si="119"/>
        <v>2</v>
      </c>
      <c r="G461" s="115" t="str">
        <f t="shared" si="120"/>
        <v>Shawn</v>
      </c>
      <c r="H461" s="116">
        <f>IF($D461="",0,IFERROR(LOOKUP(2,1/(($D$3:D460=$D461)*($A$3:A460&lt;$A461)),$N$3:N460),'Guide &amp; Settings'!$C$41))</f>
        <v>1101.4566735360377</v>
      </c>
      <c r="I461" s="117">
        <f t="shared" si="121"/>
        <v>0.60000000000000009</v>
      </c>
      <c r="J461" s="118">
        <f>IF($D461="",0,IF($F461&lt;2,0,IF($E461="Win",('Guide &amp; Settings'!$C$42/(($F461-1)*COUNTIFS($A$4:$A$810,$A461,$E$4:$E$810,"Win")))*SUMIFS($X$4:$X$810,$A$4:$A$810,$A461,$E$4:$E$810,"Loss"),-('Guide &amp; Settings'!$C$42/($F461-1))*$X461)))</f>
        <v>-14.405358775941226</v>
      </c>
      <c r="K461" s="118">
        <f>IF($D461="",0,'Guide &amp; Settings'!$C$43*(IF($E461="Win",1,0)-$I461))</f>
        <v>-7.2000000000000011</v>
      </c>
      <c r="L461" s="119">
        <f>IF($D461="",0,'Guide &amp; Settings'!$C$44*IF($F461&gt;=3,$F461,0))</f>
        <v>0</v>
      </c>
      <c r="M461" s="118">
        <f t="shared" si="122"/>
        <v>-21.605358775941227</v>
      </c>
      <c r="N461" s="116">
        <f t="shared" si="123"/>
        <v>1079.8513147600966</v>
      </c>
      <c r="O461" s="115" t="str">
        <f t="shared" si="124"/>
        <v>OK</v>
      </c>
      <c r="P461">
        <f t="shared" si="125"/>
        <v>1134.7967222234727</v>
      </c>
      <c r="Q461">
        <f t="shared" si="126"/>
        <v>0.45216654608960433</v>
      </c>
      <c r="R461">
        <f t="shared" si="127"/>
        <v>0.5</v>
      </c>
      <c r="S461">
        <f t="shared" si="128"/>
        <v>0.83333333333333326</v>
      </c>
      <c r="T461" s="83">
        <f t="shared" si="129"/>
        <v>2</v>
      </c>
      <c r="U461" s="120">
        <f>IF($D461="",0,IFERROR(LOOKUP(2,1/(($D$3:D460=$D461)*($C$3:C460=$C461)*($A$3:A460&lt;$A461)),$AB$3:AB460),1000))</f>
        <v>1008.3683485189694</v>
      </c>
      <c r="V461" s="120">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0">
        <f t="shared" si="135"/>
        <v>991.23110249504407</v>
      </c>
      <c r="AC461" s="120">
        <f>IF($D461="","",IF(SUMPRODUCT(MAX(($D$4:$D$810=$D461)*($B$4:$B$810&lt;$B461)*$B$4:$B$810))=0,0,IF(($B461-MAX(SUMPRODUCT(MAX(($D$4:$D$810=$D461)*($B$4:$B$810&lt;$B461)*$B$4:$B$810)),'Guide &amp; Settings'!$C$50))/7-'Guide &amp; Settings'!$C$48&gt;=0,(INT(($B461-MAX(SUMPRODUCT(MAX(($D$4:$D$810=$D461)*($B$4:$B$810&lt;$B461)*$B$4:$B$810)),'Guide &amp; Settings'!$C$50))/7-'Guide &amp; Settings'!$C$48)+1)*'Guide &amp; Settings'!$C$49,0)))</f>
        <v>0</v>
      </c>
    </row>
    <row r="462" spans="1:29" x14ac:dyDescent="0.2">
      <c r="A462" s="111">
        <v>199</v>
      </c>
      <c r="B462" s="112">
        <v>46247</v>
      </c>
      <c r="C462" s="113" t="s">
        <v>447</v>
      </c>
      <c r="D462" s="113" t="s">
        <v>134</v>
      </c>
      <c r="E462" s="111" t="s">
        <v>309</v>
      </c>
      <c r="F462" s="114">
        <f t="shared" si="119"/>
        <v>2</v>
      </c>
      <c r="G462" s="115" t="str">
        <f t="shared" si="120"/>
        <v>Josh</v>
      </c>
      <c r="H462" s="116">
        <f>IF($D462="",0,IFERROR(LOOKUP(2,1/(($D$3:D461=$D462)*($A$3:A461&lt;$A462)),$N$3:N461),'Guide &amp; Settings'!$C$41))</f>
        <v>1156.402080999414</v>
      </c>
      <c r="I462" s="117">
        <f t="shared" si="121"/>
        <v>0.55555555555555558</v>
      </c>
      <c r="J462" s="118">
        <f>IF($D462="",0,IF($F462&lt;2,0,IF($E462="Win",('Guide &amp; Settings'!$C$42/(($F462-1)*COUNTIFS($A$4:$A$810,$A462,$E$4:$E$810,"Win")))*SUMIFS($X$4:$X$810,$A$4:$A$810,$A462,$E$4:$E$810,"Loss"),-('Guide &amp; Settings'!$C$42/($F462-1))*$X462)))</f>
        <v>-18.973003759458241</v>
      </c>
      <c r="K462" s="118">
        <f>IF($D462="",0,'Guide &amp; Settings'!$C$43*(IF($E462="Win",1,0)-$I462))</f>
        <v>-6.666666666666667</v>
      </c>
      <c r="L462" s="119">
        <f>IF($D462="",0,'Guide &amp; Settings'!$C$44*IF($F462&gt;=3,$F462,0))</f>
        <v>0</v>
      </c>
      <c r="M462" s="118">
        <f t="shared" si="122"/>
        <v>-25.639670426124908</v>
      </c>
      <c r="N462" s="116">
        <f t="shared" si="123"/>
        <v>1130.7624105732891</v>
      </c>
      <c r="O462" s="115" t="str">
        <f t="shared" si="124"/>
        <v>OK</v>
      </c>
      <c r="P462">
        <f t="shared" si="125"/>
        <v>1079.8513147600966</v>
      </c>
      <c r="Q462">
        <f t="shared" si="126"/>
        <v>0.60841667334863792</v>
      </c>
      <c r="R462">
        <f t="shared" si="127"/>
        <v>0.5</v>
      </c>
      <c r="S462">
        <f t="shared" si="128"/>
        <v>0.9</v>
      </c>
      <c r="T462" s="83">
        <f t="shared" si="129"/>
        <v>2</v>
      </c>
      <c r="U462" s="120">
        <f>IF($D462="",0,IFERROR(LOOKUP(2,1/(($D$3:D461=$D462)*($C$3:C461=$C462)*($A$3:A461&lt;$A462)),$AB$3:AB461),1000))</f>
        <v>1000.7688975049559</v>
      </c>
      <c r="V462" s="120">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0">
        <f t="shared" si="135"/>
        <v>984.32977611615649</v>
      </c>
      <c r="AC462" s="120">
        <f>IF($D462="","",IF(SUMPRODUCT(MAX(($D$4:$D$810=$D462)*($B$4:$B$810&lt;$B462)*$B$4:$B$810))=0,0,IF(($B462-MAX(SUMPRODUCT(MAX(($D$4:$D$810=$D462)*($B$4:$B$810&lt;$B462)*$B$4:$B$810)),'Guide &amp; Settings'!$C$50))/7-'Guide &amp; Settings'!$C$48&gt;=0,(INT(($B462-MAX(SUMPRODUCT(MAX(($D$4:$D$810=$D462)*($B$4:$B$810&lt;$B462)*$B$4:$B$810)),'Guide &amp; Settings'!$C$50))/7-'Guide &amp; Settings'!$C$48)+1)*'Guide &amp; Settings'!$C$49,0)))</f>
        <v>0</v>
      </c>
    </row>
    <row r="463" spans="1:29" x14ac:dyDescent="0.2">
      <c r="A463" s="111">
        <v>199</v>
      </c>
      <c r="B463" s="112">
        <v>46247</v>
      </c>
      <c r="C463" s="113" t="s">
        <v>447</v>
      </c>
      <c r="D463" s="113" t="s">
        <v>137</v>
      </c>
      <c r="E463" s="111" t="s">
        <v>308</v>
      </c>
      <c r="F463" s="114">
        <f t="shared" si="119"/>
        <v>2</v>
      </c>
      <c r="G463" s="115" t="str">
        <f t="shared" si="120"/>
        <v>Josh</v>
      </c>
      <c r="H463" s="116">
        <f>IF($D463="",0,IFERROR(LOOKUP(2,1/(($D$3:D462=$D463)*($A$3:A462&lt;$A463)),$N$3:N462),'Guide &amp; Settings'!$C$41))</f>
        <v>1079.8513147600966</v>
      </c>
      <c r="I463" s="117">
        <f t="shared" si="121"/>
        <v>0.44444444444444448</v>
      </c>
      <c r="J463" s="118">
        <f>IF($D463="",0,IF($F463&lt;2,0,IF($E463="Win",('Guide &amp; Settings'!$C$42/(($F463-1)*COUNTIFS($A$4:$A$810,$A463,$E$4:$E$810,"Win")))*SUMIFS($X$4:$X$810,$A$4:$A$810,$A463,$E$4:$E$810,"Loss"),-('Guide &amp; Settings'!$C$42/($F463-1))*$X463)))</f>
        <v>18.973003759458241</v>
      </c>
      <c r="K463" s="118">
        <f>IF($D463="",0,'Guide &amp; Settings'!$C$43*(IF($E463="Win",1,0)-$I463))</f>
        <v>6.666666666666667</v>
      </c>
      <c r="L463" s="119">
        <f>IF($D463="",0,'Guide &amp; Settings'!$C$44*IF($F463&gt;=3,$F463,0))</f>
        <v>0</v>
      </c>
      <c r="M463" s="118">
        <f t="shared" si="122"/>
        <v>25.639670426124908</v>
      </c>
      <c r="N463" s="116">
        <f t="shared" si="123"/>
        <v>1105.4909851862215</v>
      </c>
      <c r="O463" s="115" t="str">
        <f t="shared" si="124"/>
        <v>OK</v>
      </c>
      <c r="P463">
        <f t="shared" si="125"/>
        <v>1079.8513147600966</v>
      </c>
      <c r="Q463">
        <f t="shared" si="126"/>
        <v>0.5</v>
      </c>
      <c r="R463">
        <f t="shared" si="127"/>
        <v>0.4</v>
      </c>
      <c r="S463">
        <f t="shared" si="128"/>
        <v>0.9</v>
      </c>
      <c r="T463" s="83">
        <f t="shared" si="129"/>
        <v>3</v>
      </c>
      <c r="U463" s="120">
        <f>IF($D463="",0,IFERROR(LOOKUP(2,1/(($D$3:D462=$D463)*($C$3:C462=$C463)*($A$3:A462&lt;$A463)),$AB$3:AB462),1000))</f>
        <v>991.23110249504407</v>
      </c>
      <c r="V463" s="120">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0">
        <f t="shared" si="135"/>
        <v>1007.6702238838435</v>
      </c>
      <c r="AC463" s="120">
        <f>IF($D463="","",IF(SUMPRODUCT(MAX(($D$4:$D$810=$D463)*($B$4:$B$810&lt;$B463)*$B$4:$B$810))=0,0,IF(($B463-MAX(SUMPRODUCT(MAX(($D$4:$D$810=$D463)*($B$4:$B$810&lt;$B463)*$B$4:$B$810)),'Guide &amp; Settings'!$C$50))/7-'Guide &amp; Settings'!$C$48&gt;=0,(INT(($B463-MAX(SUMPRODUCT(MAX(($D$4:$D$810=$D463)*($B$4:$B$810&lt;$B463)*$B$4:$B$810)),'Guide &amp; Settings'!$C$50))/7-'Guide &amp; Settings'!$C$48)+1)*'Guide &amp; Settings'!$C$49,0)))</f>
        <v>0</v>
      </c>
    </row>
    <row r="464" spans="1:29" x14ac:dyDescent="0.2">
      <c r="A464" s="111">
        <v>200</v>
      </c>
      <c r="B464" s="112">
        <v>46247</v>
      </c>
      <c r="C464" s="113" t="s">
        <v>199</v>
      </c>
      <c r="D464" s="113" t="s">
        <v>134</v>
      </c>
      <c r="E464" s="111" t="s">
        <v>309</v>
      </c>
      <c r="F464" s="114">
        <f t="shared" si="119"/>
        <v>2</v>
      </c>
      <c r="G464" s="115" t="str">
        <f t="shared" si="120"/>
        <v>Josh</v>
      </c>
      <c r="H464" s="116">
        <f>IF($D464="",0,IFERROR(LOOKUP(2,1/(($D$3:D463=$D464)*($A$3:A463&lt;$A464)),$N$3:N463),'Guide &amp; Settings'!$C$41))</f>
        <v>1130.7624105732891</v>
      </c>
      <c r="I464" s="117">
        <f t="shared" si="121"/>
        <v>9.6774193548387094E-2</v>
      </c>
      <c r="J464" s="118">
        <f>IF($D464="",0,IF($F464&lt;2,0,IF($E464="Win",('Guide &amp; Settings'!$C$42/(($F464-1)*COUNTIFS($A$4:$A$810,$A464,$E$4:$E$810,"Win")))*SUMIFS($X$4:$X$810,$A$4:$A$810,$A464,$E$4:$E$810,"Loss"),-('Guide &amp; Settings'!$C$42/($F464-1))*$X464)))</f>
        <v>-9.5776485408989664</v>
      </c>
      <c r="K464" s="118">
        <f>IF($D464="",0,'Guide &amp; Settings'!$C$43*(IF($E464="Win",1,0)-$I464))</f>
        <v>-1.161290322580645</v>
      </c>
      <c r="L464" s="119">
        <f>IF($D464="",0,'Guide &amp; Settings'!$C$44*IF($F464&gt;=3,$F464,0))</f>
        <v>0</v>
      </c>
      <c r="M464" s="118">
        <f t="shared" si="122"/>
        <v>-10.738938863479611</v>
      </c>
      <c r="N464" s="116">
        <f t="shared" si="123"/>
        <v>1120.0234717098094</v>
      </c>
      <c r="O464" s="115" t="str">
        <f t="shared" si="124"/>
        <v>OK</v>
      </c>
      <c r="P464">
        <f t="shared" si="125"/>
        <v>1105.4909851862215</v>
      </c>
      <c r="Q464">
        <f t="shared" si="126"/>
        <v>0.53630450210327663</v>
      </c>
      <c r="R464">
        <f t="shared" si="127"/>
        <v>7.1428571428571425E-2</v>
      </c>
      <c r="S464">
        <f t="shared" si="128"/>
        <v>0.73809523809523803</v>
      </c>
      <c r="T464" s="83">
        <f t="shared" si="129"/>
        <v>12</v>
      </c>
      <c r="U464" s="120">
        <f>IF($D464="",0,IFERROR(LOOKUP(2,1/(($D$3:D463=$D464)*($C$3:C463=$C464)*($A$3:A463&lt;$A464)),$AB$3:AB463),1000))</f>
        <v>863.17531320037415</v>
      </c>
      <c r="V464" s="120">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0">
        <f t="shared" si="135"/>
        <v>853.57751311035713</v>
      </c>
      <c r="AC464" s="120">
        <f>IF($D464="","",IF(SUMPRODUCT(MAX(($D$4:$D$810=$D464)*($B$4:$B$810&lt;$B464)*$B$4:$B$810))=0,0,IF(($B464-MAX(SUMPRODUCT(MAX(($D$4:$D$810=$D464)*($B$4:$B$810&lt;$B464)*$B$4:$B$810)),'Guide &amp; Settings'!$C$50))/7-'Guide &amp; Settings'!$C$48&gt;=0,(INT(($B464-MAX(SUMPRODUCT(MAX(($D$4:$D$810=$D464)*($B$4:$B$810&lt;$B464)*$B$4:$B$810)),'Guide &amp; Settings'!$C$50))/7-'Guide &amp; Settings'!$C$48)+1)*'Guide &amp; Settings'!$C$49,0)))</f>
        <v>0</v>
      </c>
    </row>
    <row r="465" spans="1:29" x14ac:dyDescent="0.2">
      <c r="A465" s="111">
        <v>200</v>
      </c>
      <c r="B465" s="112">
        <v>46247</v>
      </c>
      <c r="C465" s="113" t="s">
        <v>199</v>
      </c>
      <c r="D465" s="113" t="s">
        <v>137</v>
      </c>
      <c r="E465" s="111" t="s">
        <v>308</v>
      </c>
      <c r="F465" s="114">
        <f t="shared" si="119"/>
        <v>2</v>
      </c>
      <c r="G465" s="115" t="str">
        <f t="shared" si="120"/>
        <v>Josh</v>
      </c>
      <c r="H465" s="116">
        <f>IF($D465="",0,IFERROR(LOOKUP(2,1/(($D$3:D464=$D465)*($A$3:A464&lt;$A465)),$N$3:N464),'Guide &amp; Settings'!$C$41))</f>
        <v>1105.4909851862215</v>
      </c>
      <c r="I465" s="117">
        <f t="shared" si="121"/>
        <v>0.90322580645161299</v>
      </c>
      <c r="J465" s="118">
        <f>IF($D465="",0,IF($F465&lt;2,0,IF($E465="Win",('Guide &amp; Settings'!$C$42/(($F465-1)*COUNTIFS($A$4:$A$810,$A465,$E$4:$E$810,"Win")))*SUMIFS($X$4:$X$810,$A$4:$A$810,$A465,$E$4:$E$810,"Loss"),-('Guide &amp; Settings'!$C$42/($F465-1))*$X465)))</f>
        <v>9.5776485408989664</v>
      </c>
      <c r="K465" s="118">
        <f>IF($D465="",0,'Guide &amp; Settings'!$C$43*(IF($E465="Win",1,0)-$I465))</f>
        <v>1.1612903225806441</v>
      </c>
      <c r="L465" s="119">
        <f>IF($D465="",0,'Guide &amp; Settings'!$C$44*IF($F465&gt;=3,$F465,0))</f>
        <v>0</v>
      </c>
      <c r="M465" s="118">
        <f t="shared" si="122"/>
        <v>10.738938863479611</v>
      </c>
      <c r="N465" s="116">
        <f t="shared" si="123"/>
        <v>1116.2299240497011</v>
      </c>
      <c r="O465" s="115" t="str">
        <f t="shared" si="124"/>
        <v>OK</v>
      </c>
      <c r="P465">
        <f t="shared" si="125"/>
        <v>1105.4909851862215</v>
      </c>
      <c r="Q465">
        <f t="shared" si="126"/>
        <v>0.5</v>
      </c>
      <c r="R465">
        <f t="shared" si="127"/>
        <v>0.66666666666666663</v>
      </c>
      <c r="S465">
        <f t="shared" si="128"/>
        <v>0.73809523809523803</v>
      </c>
      <c r="T465" s="83">
        <f t="shared" si="129"/>
        <v>1</v>
      </c>
      <c r="U465" s="120">
        <f>IF($D465="",0,IFERROR(LOOKUP(2,1/(($D$3:D464=$D465)*($C$3:C464=$C465)*($A$3:A464&lt;$A465)),$AB$3:AB464),1000))</f>
        <v>1010.4229006118373</v>
      </c>
      <c r="V465" s="120">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0">
        <f t="shared" si="135"/>
        <v>1020.0207007018544</v>
      </c>
      <c r="AC465" s="120">
        <f>IF($D465="","",IF(SUMPRODUCT(MAX(($D$4:$D$810=$D465)*($B$4:$B$810&lt;$B465)*$B$4:$B$810))=0,0,IF(($B465-MAX(SUMPRODUCT(MAX(($D$4:$D$810=$D465)*($B$4:$B$810&lt;$B465)*$B$4:$B$810)),'Guide &amp; Settings'!$C$50))/7-'Guide &amp; Settings'!$C$48&gt;=0,(INT(($B465-MAX(SUMPRODUCT(MAX(($D$4:$D$810=$D465)*($B$4:$B$810&lt;$B465)*$B$4:$B$810)),'Guide &amp; Settings'!$C$50))/7-'Guide &amp; Settings'!$C$48)+1)*'Guide &amp; Settings'!$C$49,0)))</f>
        <v>0</v>
      </c>
    </row>
    <row r="466" spans="1:29" x14ac:dyDescent="0.2">
      <c r="A466" s="111">
        <v>201</v>
      </c>
      <c r="B466" s="112">
        <v>46247</v>
      </c>
      <c r="C466" s="113" t="s">
        <v>199</v>
      </c>
      <c r="D466" s="113" t="s">
        <v>134</v>
      </c>
      <c r="E466" s="111" t="s">
        <v>309</v>
      </c>
      <c r="F466" s="114">
        <f t="shared" si="119"/>
        <v>2</v>
      </c>
      <c r="G466" s="115" t="str">
        <f t="shared" si="120"/>
        <v>Josh</v>
      </c>
      <c r="H466" s="116">
        <f>IF($D466="",0,IFERROR(LOOKUP(2,1/(($D$3:D465=$D466)*($A$3:A465&lt;$A466)),$N$3:N465),'Guide &amp; Settings'!$C$41))</f>
        <v>1120.0234717098094</v>
      </c>
      <c r="I466" s="117">
        <f t="shared" si="121"/>
        <v>8.1632653061224483E-2</v>
      </c>
      <c r="J466" s="118">
        <f>IF($D466="",0,IF($F466&lt;2,0,IF($E466="Win",('Guide &amp; Settings'!$C$42/(($F466-1)*COUNTIFS($A$4:$A$810,$A466,$E$4:$E$810,"Win")))*SUMIFS($X$4:$X$810,$A$4:$A$810,$A466,$E$4:$E$810,"Loss"),-('Guide &amp; Settings'!$C$42/($F466-1))*$X466)))</f>
        <v>-9.0687808475902436</v>
      </c>
      <c r="K466" s="118">
        <f>IF($D466="",0,'Guide &amp; Settings'!$C$43*(IF($E466="Win",1,0)-$I466))</f>
        <v>-0.97959183673469385</v>
      </c>
      <c r="L466" s="119">
        <f>IF($D466="",0,'Guide &amp; Settings'!$C$44*IF($F466&gt;=3,$F466,0))</f>
        <v>0</v>
      </c>
      <c r="M466" s="118">
        <f t="shared" si="122"/>
        <v>-10.048372684324937</v>
      </c>
      <c r="N466" s="116">
        <f t="shared" si="123"/>
        <v>1109.9750990254845</v>
      </c>
      <c r="O466" s="115" t="str">
        <f t="shared" si="124"/>
        <v>OK</v>
      </c>
      <c r="P466">
        <f t="shared" si="125"/>
        <v>1116.2299240497011</v>
      </c>
      <c r="Q466">
        <f t="shared" si="126"/>
        <v>0.50545913699125922</v>
      </c>
      <c r="R466">
        <f t="shared" si="127"/>
        <v>6.6666666666666666E-2</v>
      </c>
      <c r="S466">
        <f t="shared" si="128"/>
        <v>0.81666666666666665</v>
      </c>
      <c r="T466" s="83">
        <f t="shared" si="129"/>
        <v>13</v>
      </c>
      <c r="U466" s="120">
        <f>IF($D466="",0,IFERROR(LOOKUP(2,1/(($D$3:D465=$D466)*($C$3:C465=$C466)*($A$3:A465&lt;$A466)),$AB$3:AB465),1000))</f>
        <v>853.57751311035713</v>
      </c>
      <c r="V466" s="120">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0">
        <f t="shared" si="135"/>
        <v>844.70538647951662</v>
      </c>
      <c r="AC466" s="120">
        <f>IF($D466="","",IF(SUMPRODUCT(MAX(($D$4:$D$810=$D466)*($B$4:$B$810&lt;$B466)*$B$4:$B$810))=0,0,IF(($B466-MAX(SUMPRODUCT(MAX(($D$4:$D$810=$D466)*($B$4:$B$810&lt;$B466)*$B$4:$B$810)),'Guide &amp; Settings'!$C$50))/7-'Guide &amp; Settings'!$C$48&gt;=0,(INT(($B466-MAX(SUMPRODUCT(MAX(($D$4:$D$810=$D466)*($B$4:$B$810&lt;$B466)*$B$4:$B$810)),'Guide &amp; Settings'!$C$50))/7-'Guide &amp; Settings'!$C$48)+1)*'Guide &amp; Settings'!$C$49,0)))</f>
        <v>0</v>
      </c>
    </row>
    <row r="467" spans="1:29" x14ac:dyDescent="0.2">
      <c r="A467" s="111">
        <v>201</v>
      </c>
      <c r="B467" s="112">
        <v>46247</v>
      </c>
      <c r="C467" s="113" t="s">
        <v>199</v>
      </c>
      <c r="D467" s="113" t="s">
        <v>137</v>
      </c>
      <c r="E467" s="111" t="s">
        <v>308</v>
      </c>
      <c r="F467" s="114">
        <f t="shared" si="119"/>
        <v>2</v>
      </c>
      <c r="G467" s="115" t="str">
        <f t="shared" si="120"/>
        <v>Josh</v>
      </c>
      <c r="H467" s="116">
        <f>IF($D467="",0,IFERROR(LOOKUP(2,1/(($D$3:D466=$D467)*($A$3:A466&lt;$A467)),$N$3:N466),'Guide &amp; Settings'!$C$41))</f>
        <v>1116.2299240497011</v>
      </c>
      <c r="I467" s="117">
        <f t="shared" si="121"/>
        <v>0.91836734693877553</v>
      </c>
      <c r="J467" s="118">
        <f>IF($D467="",0,IF($F467&lt;2,0,IF($E467="Win",('Guide &amp; Settings'!$C$42/(($F467-1)*COUNTIFS($A$4:$A$810,$A467,$E$4:$E$810,"Win")))*SUMIFS($X$4:$X$810,$A$4:$A$810,$A467,$E$4:$E$810,"Loss"),-('Guide &amp; Settings'!$C$42/($F467-1))*$X467)))</f>
        <v>9.0687808475902436</v>
      </c>
      <c r="K467" s="118">
        <f>IF($D467="",0,'Guide &amp; Settings'!$C$43*(IF($E467="Win",1,0)-$I467))</f>
        <v>0.97959183673469363</v>
      </c>
      <c r="L467" s="119">
        <f>IF($D467="",0,'Guide &amp; Settings'!$C$44*IF($F467&gt;=3,$F467,0))</f>
        <v>0</v>
      </c>
      <c r="M467" s="118">
        <f t="shared" si="122"/>
        <v>10.048372684324937</v>
      </c>
      <c r="N467" s="116">
        <f t="shared" si="123"/>
        <v>1126.2782967340261</v>
      </c>
      <c r="O467" s="115" t="str">
        <f t="shared" si="124"/>
        <v>OK</v>
      </c>
      <c r="P467">
        <f t="shared" si="125"/>
        <v>1116.2299240497011</v>
      </c>
      <c r="Q467">
        <f t="shared" si="126"/>
        <v>0.5</v>
      </c>
      <c r="R467">
        <f t="shared" si="127"/>
        <v>0.75</v>
      </c>
      <c r="S467">
        <f t="shared" si="128"/>
        <v>0.81666666666666665</v>
      </c>
      <c r="T467" s="83">
        <f t="shared" si="129"/>
        <v>2</v>
      </c>
      <c r="U467" s="120">
        <f>IF($D467="",0,IFERROR(LOOKUP(2,1/(($D$3:D466=$D467)*($C$3:C466=$C467)*($A$3:A466&lt;$A467)),$AB$3:AB466),1000))</f>
        <v>1020.0207007018544</v>
      </c>
      <c r="V467" s="120">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0">
        <f t="shared" si="135"/>
        <v>1028.8928273326949</v>
      </c>
      <c r="AC467" s="120">
        <f>IF($D467="","",IF(SUMPRODUCT(MAX(($D$4:$D$810=$D467)*($B$4:$B$810&lt;$B467)*$B$4:$B$810))=0,0,IF(($B467-MAX(SUMPRODUCT(MAX(($D$4:$D$810=$D467)*($B$4:$B$810&lt;$B467)*$B$4:$B$810)),'Guide &amp; Settings'!$C$50))/7-'Guide &amp; Settings'!$C$48&gt;=0,(INT(($B467-MAX(SUMPRODUCT(MAX(($D$4:$D$810=$D467)*($B$4:$B$810&lt;$B467)*$B$4:$B$810)),'Guide &amp; Settings'!$C$50))/7-'Guide &amp; Settings'!$C$48)+1)*'Guide &amp; Settings'!$C$49,0)))</f>
        <v>0</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46240</v>
      </c>
    </row>
    <row r="4" spans="1:35" ht="15" customHeight="1" x14ac:dyDescent="0.2">
      <c r="A4" t="s">
        <v>330</v>
      </c>
      <c r="B4" s="127">
        <f>MAX('Match Log'!$B$4:$B$810)</f>
        <v>46247</v>
      </c>
      <c r="C4" t="s">
        <v>450</v>
      </c>
      <c r="D4" s="127">
        <f ca="1">MAX($B$4,TODAY())</f>
        <v>46247</v>
      </c>
    </row>
    <row r="5" spans="1:35" x14ac:dyDescent="0.2">
      <c r="B5">
        <f ca="1">TODAY()-7</f>
        <v>46240</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1091.5048168709543</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2.5714285714285716</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72.876204217738575</v>
      </c>
      <c r="AB7">
        <f t="shared" ref="AB7:AB20" ca="1" si="13">0.35*$W7+0.2*$X7+0.2*$Y7+0.15*$Z7+0.1*$AA7</f>
        <v>60.305784209982157</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1068.7234592074572</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8.4285714285714288</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67.180864801864288</v>
      </c>
      <c r="AB8">
        <f t="shared" ca="1" si="13"/>
        <v>46.92587617686889</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173</v>
      </c>
      <c r="B9">
        <f>IFERROR(INDEX(Engine!$B$2:$B$15,MATCH($A9,Engine!$A$2:$A$15,0)),1000)</f>
        <v>1037.8197114720938</v>
      </c>
      <c r="C9">
        <f>IFERROR(INDEX(Engine!$C$2:$C$15,MATCH($A9,Engine!$A$2:$A$15,0)),"")</f>
        <v>1079.4959431258444</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3.8571428571428572</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69.873985781461101</v>
      </c>
      <c r="AB9">
        <f t="shared" ca="1" si="13"/>
        <v>58.046623331954322</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1079.7626114453883</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4.7142857142857144</v>
      </c>
      <c r="R10">
        <f ca="1">IF($P10=0,0,IF($Q10&gt;='Guide &amp; Settings'!$C$48,(INT($Q10-'Guide &amp; Settings'!$C$48)+1)*'Guide &amp; Settings'!$C$49,0))</f>
        <v>10</v>
      </c>
      <c r="S10">
        <f ca="1">$B10-$R10-$U10+SUMIF('Poker Stake Ledger'!$C$18:$C$137,$A10,'Poker Stake Ledger'!$K$18:$K$137)</f>
        <v>963.19705892757202</v>
      </c>
      <c r="T10" t="str">
        <f ca="1">IF($P10=0,"No games",IF($Q10&gt;='Guide &amp; Settings'!$C$48,"Inactive",IF($Q10&gt;='Guide &amp; Settings'!$C$47,"At risk","Active")))</f>
        <v>Inactive</v>
      </c>
      <c r="U10">
        <f>SUMIF('Match Log'!$D$4:$D$810,$A10,'Match Log'!$AC$4:$AC$810)</f>
        <v>0</v>
      </c>
      <c r="V10">
        <f t="shared" si="9"/>
        <v>1</v>
      </c>
      <c r="W10">
        <f t="shared" ca="1" si="10"/>
        <v>40.799264731893004</v>
      </c>
      <c r="X10">
        <f ca="1">IFERROR(INDEX(Dashboard!$G$5:$G$18,MATCH($A10,Dashboard!$B$5:$B$18,0))*100,0)</f>
        <v>26.666666666666668</v>
      </c>
      <c r="Y10">
        <f ca="1">MIN(100,IFERROR(INDEX(Dashboard!$K$5:$K$18,MATCH($A10,Dashboard!$B$5:$B$18,0)),0)/5*50+$AC10/4*50)</f>
        <v>40</v>
      </c>
      <c r="Z10">
        <f t="shared" si="11"/>
        <v>40</v>
      </c>
      <c r="AA10">
        <f t="shared" si="12"/>
        <v>69.940652861347075</v>
      </c>
      <c r="AB10">
        <f t="shared" ca="1" si="13"/>
        <v>40.607141275630589</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963.19705992757201</v>
      </c>
    </row>
    <row r="11" spans="1:35" ht="15" customHeight="1" x14ac:dyDescent="0.2">
      <c r="A11" t="s">
        <v>137</v>
      </c>
      <c r="B11">
        <f>IFERROR(INDEX(Engine!$B$2:$B$15,MATCH($A11,Engine!$A$2:$A$15,0)),1000)</f>
        <v>1126.2782967340261</v>
      </c>
      <c r="C11">
        <f>IFERROR(INDEX(Engine!$C$2:$C$15,MATCH($A11,Engine!$A$2:$A$15,0)),"")</f>
        <v>1094.4695171582762</v>
      </c>
      <c r="D11">
        <f t="shared" si="0"/>
        <v>3</v>
      </c>
      <c r="E11">
        <f t="shared" si="1"/>
        <v>115.42463959102724</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1093.6015451357737</v>
      </c>
      <c r="K11">
        <f t="shared" si="3"/>
        <v>5</v>
      </c>
      <c r="L11">
        <f t="shared" si="4"/>
        <v>2</v>
      </c>
      <c r="M11">
        <f t="shared" si="5"/>
        <v>1</v>
      </c>
      <c r="N11">
        <f t="shared" si="6"/>
        <v>4</v>
      </c>
      <c r="O11">
        <f t="shared" si="7"/>
        <v>3</v>
      </c>
      <c r="P11">
        <f>IFERROR(SUMPRODUCT(MAX(('Match Log'!$D$4:$D$810=$A11)*'Match Log'!$B$4:$B$810)),0)</f>
        <v>46247</v>
      </c>
      <c r="Q11">
        <f t="shared" ca="1" si="8"/>
        <v>0</v>
      </c>
      <c r="R11">
        <f ca="1">IF($P11=0,0,IF($Q11&gt;='Guide &amp; Settings'!$C$48,(INT($Q11-'Guide &amp; Settings'!$C$48)+1)*'Guide &amp; Settings'!$C$49,0))</f>
        <v>0</v>
      </c>
      <c r="S11">
        <f ca="1">$B11-$R11-$U11+SUMIF('Poker Stake Ledger'!$C$18:$C$137,$A11,'Poker Stake Ledger'!$K$18:$K$137)</f>
        <v>1148.0282967340261</v>
      </c>
      <c r="T11" t="str">
        <f ca="1">IF($P11=0,"No games",IF($Q11&gt;='Guide &amp; Settings'!$C$48,"Inactive",IF($Q11&gt;='Guide &amp; Settings'!$C$47,"At risk","Active")))</f>
        <v>Active</v>
      </c>
      <c r="U11">
        <f>SUMIF('Match Log'!$D$4:$D$810,$A11,'Match Log'!$AC$4:$AC$810)</f>
        <v>0</v>
      </c>
      <c r="V11">
        <f t="shared" si="9"/>
        <v>0</v>
      </c>
      <c r="W11">
        <f t="shared" ca="1" si="10"/>
        <v>87.007074183506518</v>
      </c>
      <c r="X11">
        <f ca="1">IFERROR(INDEX(Dashboard!$G$5:$G$18,MATCH($A11,Dashboard!$B$5:$B$18,0))*100,0)</f>
        <v>58.333333333333336</v>
      </c>
      <c r="Y11">
        <f ca="1">MIN(100,IFERROR(INDEX(Dashboard!$K$5:$K$18,MATCH($A11,Dashboard!$B$5:$B$18,0)),0)/5*50+$AC11/4*50)</f>
        <v>100</v>
      </c>
      <c r="Z11">
        <f t="shared" si="11"/>
        <v>80</v>
      </c>
      <c r="AA11">
        <f t="shared" si="12"/>
        <v>73.617379289569044</v>
      </c>
      <c r="AB11">
        <f t="shared" ca="1" si="13"/>
        <v>81.480880559850846</v>
      </c>
      <c r="AC11">
        <f>IFERROR(SUMPRODUCT((INDEX('Sport Records'!$B$8:$O$26,0,MATCH($A11,'Sport Records'!$B$7:$O$7,0))&gt;=2)*(INDEX('Sport Records'!$B$58:$O$76,0,MATCH($A11,'Sport Records'!$B$57:$O$57,0))&gt;=0.5)),0)</f>
        <v>4</v>
      </c>
      <c r="AD11">
        <f ca="1">IFERROR(INDEX(Dashboard!$D$5:$D$18,MATCH($A11,Dashboard!$B$5:$B$18,0)),0)</f>
        <v>48</v>
      </c>
      <c r="AE11">
        <f ca="1">IFERROR(INDEX(Dashboard!$K$5:$K$18,MATCH($A11,Dashboard!$B$5:$B$18,0)),0)</f>
        <v>13</v>
      </c>
      <c r="AF11" t="str">
        <f t="shared" ca="1" si="14"/>
        <v>Elite</v>
      </c>
      <c r="AG11">
        <f ca="1">COUNTIFS('Match Log'!$D$4:$D$810,$A11,'Match Log'!$B$4:$B$810,"&gt;="&amp;$B$5)</f>
        <v>10</v>
      </c>
      <c r="AH11">
        <f ca="1">COUNTIFS('Match Log'!$D$4:$D$810,$A11,'Match Log'!$B$4:$B$810,"&gt;="&amp;$B$5,'Match Log'!$E$4:$E$810,"Win")</f>
        <v>6</v>
      </c>
      <c r="AI11">
        <f t="shared" ca="1" si="15"/>
        <v>1148.028297834026</v>
      </c>
    </row>
    <row r="12" spans="1:35" ht="15" customHeight="1" x14ac:dyDescent="0.2">
      <c r="A12" t="s">
        <v>134</v>
      </c>
      <c r="B12">
        <f>IFERROR(INDEX(Engine!$B$2:$B$15,MATCH($A12,Engine!$A$2:$A$15,0)),1000)</f>
        <v>1109.9750990254845</v>
      </c>
      <c r="C12">
        <f>IFERROR(INDEX(Engine!$C$2:$C$15,MATCH($A12,Engine!$A$2:$A$15,0)),"")</f>
        <v>1079.3157158534771</v>
      </c>
      <c r="D12">
        <f t="shared" si="0"/>
        <v>4</v>
      </c>
      <c r="E12">
        <f t="shared" si="1"/>
        <v>131.72783729956882</v>
      </c>
      <c r="F12" t="str">
        <f>IFERROR(LOOKUP(2,1/('Match Log'!$D$4:$D$810=$A12),'Match Log'!$E$4:$E$810),"")</f>
        <v>Loss</v>
      </c>
      <c r="G12">
        <f>IF($F12="",0,SUMPRODUCT(('Match Log'!$D$4:$D$810=$A12)*(ROW('Match Log'!$A$4:$A$810)&gt;SUMPRODUCT(MAX(('Match Log'!$D$4:$D$810=$A12)*('Match Log'!$E$4:$E$810&lt;&gt;$F12)*ROW('Match Log'!$A$4:$A$810))))))</f>
        <v>3</v>
      </c>
      <c r="H12" t="str">
        <f t="shared" si="2"/>
        <v>L3</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LWLLL</v>
      </c>
      <c r="J12">
        <f>IFERROR(LOOKUP(2,1/(('Match Log'!$D$4:$D$810=$A12)*('Match Log'!$B$4:$B$810&lt;=$B$3)),'Match Log'!$N$4:$N$810),1000)</f>
        <v>1104.1921812390008</v>
      </c>
      <c r="K12">
        <f t="shared" si="3"/>
        <v>4</v>
      </c>
      <c r="L12">
        <f t="shared" si="4"/>
        <v>0</v>
      </c>
      <c r="M12">
        <f t="shared" si="5"/>
        <v>5</v>
      </c>
      <c r="N12">
        <f t="shared" si="6"/>
        <v>1</v>
      </c>
      <c r="O12">
        <f t="shared" si="7"/>
        <v>0</v>
      </c>
      <c r="P12">
        <f>IFERROR(SUMPRODUCT(MAX(('Match Log'!$D$4:$D$810=$A12)*'Match Log'!$B$4:$B$810)),0)</f>
        <v>46247</v>
      </c>
      <c r="Q12">
        <f t="shared" ca="1" si="8"/>
        <v>0</v>
      </c>
      <c r="R12">
        <f ca="1">IF($P12=0,0,IF($Q12&gt;='Guide &amp; Settings'!$C$48,(INT($Q12-'Guide &amp; Settings'!$C$48)+1)*'Guide &amp; Settings'!$C$49,0))</f>
        <v>0</v>
      </c>
      <c r="S12">
        <f ca="1">$B12-$R12-$U12+SUMIF('Poker Stake Ledger'!$C$18:$C$137,$A12,'Poker Stake Ledger'!$K$18:$K$137)</f>
        <v>1106.2250990254845</v>
      </c>
      <c r="T12" t="str">
        <f ca="1">IF($P12=0,"No games",IF($Q12&gt;='Guide &amp; Settings'!$C$48,"Inactive",IF($Q12&gt;='Guide &amp; Settings'!$C$47,"At risk","Active")))</f>
        <v>Active</v>
      </c>
      <c r="U12">
        <f>SUMIF('Match Log'!$D$4:$D$810,$A12,'Match Log'!$AC$4:$AC$810)</f>
        <v>0</v>
      </c>
      <c r="V12">
        <f t="shared" si="9"/>
        <v>3</v>
      </c>
      <c r="W12">
        <f t="shared" ca="1" si="10"/>
        <v>76.556274756371124</v>
      </c>
      <c r="X12">
        <f ca="1">IFERROR(INDEX(Dashboard!$G$5:$G$18,MATCH($A12,Dashboard!$B$5:$B$18,0))*100,0)</f>
        <v>46.078431372549019</v>
      </c>
      <c r="Y12">
        <f ca="1">MIN(100,IFERROR(INDEX(Dashboard!$K$5:$K$18,MATCH($A12,Dashboard!$B$5:$B$18,0)),0)/5*50+$AC12/4*50)</f>
        <v>100</v>
      </c>
      <c r="Z12">
        <f t="shared" si="11"/>
        <v>20</v>
      </c>
      <c r="AA12">
        <f t="shared" si="12"/>
        <v>69.828928963369265</v>
      </c>
      <c r="AB12">
        <f t="shared" ca="1" si="13"/>
        <v>65.993275335576627</v>
      </c>
      <c r="AC12">
        <f>IFERROR(SUMPRODUCT((INDEX('Sport Records'!$B$8:$O$26,0,MATCH($A12,'Sport Records'!$B$7:$O$7,0))&gt;=2)*(INDEX('Sport Records'!$B$58:$O$76,0,MATCH($A12,'Sport Records'!$B$57:$O$57,0))&gt;=0.5)),0)</f>
        <v>5</v>
      </c>
      <c r="AD12">
        <f ca="1">IFERROR(INDEX(Dashboard!$D$5:$D$18,MATCH($A12,Dashboard!$B$5:$B$18,0)),0)</f>
        <v>102</v>
      </c>
      <c r="AE12">
        <f ca="1">IFERROR(INDEX(Dashboard!$K$5:$K$18,MATCH($A12,Dashboard!$B$5:$B$18,0)),0)</f>
        <v>15</v>
      </c>
      <c r="AF12" t="str">
        <f t="shared" ca="1" si="14"/>
        <v>Strong</v>
      </c>
      <c r="AG12">
        <f ca="1">COUNTIFS('Match Log'!$D$4:$D$810,$A12,'Match Log'!$B$4:$B$810,"&gt;="&amp;$B$5)</f>
        <v>15</v>
      </c>
      <c r="AH12">
        <f ca="1">COUNTIFS('Match Log'!$D$4:$D$810,$A12,'Match Log'!$B$4:$B$810,"&gt;="&amp;$B$5,'Match Log'!$E$4:$E$810,"Win")</f>
        <v>7</v>
      </c>
      <c r="AI12">
        <f t="shared" ca="1" si="15"/>
        <v>1106.2251002254845</v>
      </c>
    </row>
    <row r="13" spans="1:35" ht="15" customHeight="1" x14ac:dyDescent="0.2">
      <c r="A13" t="s">
        <v>168</v>
      </c>
      <c r="B13">
        <f>IFERROR(INDEX(Engine!$B$2:$B$15,MATCH($A13,Engine!$A$2:$A$15,0)),1000)</f>
        <v>1050.2393073123574</v>
      </c>
      <c r="C13">
        <f>IFERROR(INDEX(Engine!$C$2:$C$15,MATCH($A13,Engine!$A$2:$A$15,0)),"")</f>
        <v>1060.5179016531631</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2.5714285714285716</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65.129475413290777</v>
      </c>
      <c r="AB13">
        <f t="shared" ca="1" si="13"/>
        <v>57.447071454969873</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1154.3708401956087</v>
      </c>
      <c r="C14">
        <f>IFERROR(INDEX(Engine!$C$2:$C$15,MATCH($A14,Engine!$A$2:$A$15,0)),"")</f>
        <v>1095.9668953093146</v>
      </c>
      <c r="D14">
        <f t="shared" si="0"/>
        <v>2</v>
      </c>
      <c r="E14">
        <f t="shared" si="1"/>
        <v>87.332096129444608</v>
      </c>
      <c r="F14" t="str">
        <f>IFERROR(LOOKUP(2,1/('Match Log'!$D$4:$D$810=$A14),'Match Log'!$E$4:$E$810),"")</f>
        <v>Win</v>
      </c>
      <c r="G14">
        <f>IF($F14="",0,SUMPRODUCT(('Match Log'!$D$4:$D$810=$A14)*(ROW('Match Log'!$A$4:$A$810)&gt;SUMPRODUCT(MAX(('Match Log'!$D$4:$D$810=$A14)*('Match Log'!$E$4:$E$810&lt;&gt;$F14)*ROW('Match Log'!$A$4:$A$810))))))</f>
        <v>2</v>
      </c>
      <c r="H14" t="str">
        <f t="shared" si="2"/>
        <v>W2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WWLWW</v>
      </c>
      <c r="J14">
        <f>IFERROR(LOOKUP(2,1/(('Match Log'!$D$4:$D$810=$A14)*('Match Log'!$B$4:$B$810&lt;=$B$3)),'Match Log'!$N$4:$N$810),1000)</f>
        <v>1104.3459294969905</v>
      </c>
      <c r="K14">
        <f t="shared" si="3"/>
        <v>3</v>
      </c>
      <c r="L14">
        <f t="shared" si="4"/>
        <v>1</v>
      </c>
      <c r="M14">
        <f t="shared" si="5"/>
        <v>7</v>
      </c>
      <c r="N14">
        <f t="shared" si="6"/>
        <v>4</v>
      </c>
      <c r="O14">
        <f t="shared" si="7"/>
        <v>2</v>
      </c>
      <c r="P14">
        <f>IFERROR(SUMPRODUCT(MAX(('Match Log'!$D$4:$D$810=$A14)*'Match Log'!$B$4:$B$810)),0)</f>
        <v>46241</v>
      </c>
      <c r="Q14">
        <f t="shared" ca="1" si="8"/>
        <v>0.8571428571428571</v>
      </c>
      <c r="R14">
        <f ca="1">IF($P14=0,0,IF($Q14&gt;='Guide &amp; Settings'!$C$48,(INT($Q14-'Guide &amp; Settings'!$C$48)+1)*'Guide &amp; Settings'!$C$49,0))</f>
        <v>0</v>
      </c>
      <c r="S14">
        <f ca="1">$B14-$R14-$U14+SUMIF('Poker Stake Ledger'!$C$18:$C$137,$A14,'Poker Stake Ledger'!$K$18:$K$137)</f>
        <v>1153.0208401956088</v>
      </c>
      <c r="T14" t="str">
        <f ca="1">IF($P14=0,"No games",IF($Q14&gt;='Guide &amp; Settings'!$C$48,"Inactive",IF($Q14&gt;='Guide &amp; Settings'!$C$47,"At risk","Active")))</f>
        <v>Active</v>
      </c>
      <c r="U14">
        <f>SUMIF('Match Log'!$D$4:$D$810,$A14,'Match Log'!$AC$4:$AC$810)</f>
        <v>0</v>
      </c>
      <c r="V14">
        <f t="shared" si="9"/>
        <v>0</v>
      </c>
      <c r="W14">
        <f t="shared" ca="1" si="10"/>
        <v>88.2552100489022</v>
      </c>
      <c r="X14">
        <f ca="1">IFERROR(INDEX(Dashboard!$G$5:$G$18,MATCH($A14,Dashboard!$B$5:$B$18,0))*100,0)</f>
        <v>46.05263157894737</v>
      </c>
      <c r="Y14">
        <f ca="1">MIN(100,IFERROR(INDEX(Dashboard!$K$5:$K$18,MATCH($A14,Dashboard!$B$5:$B$18,0)),0)/5*50+$AC14/4*50)</f>
        <v>100</v>
      </c>
      <c r="Z14">
        <f t="shared" si="11"/>
        <v>80</v>
      </c>
      <c r="AA14">
        <f t="shared" si="12"/>
        <v>73.991723827328656</v>
      </c>
      <c r="AB14">
        <f t="shared" ca="1" si="13"/>
        <v>79.499022215638121</v>
      </c>
      <c r="AC14">
        <f>IFERROR(SUMPRODUCT((INDEX('Sport Records'!$B$8:$O$26,0,MATCH($A14,'Sport Records'!$B$7:$O$7,0))&gt;=2)*(INDEX('Sport Records'!$B$58:$O$76,0,MATCH($A14,'Sport Records'!$B$57:$O$57,0))&gt;=0.5)),0)</f>
        <v>5</v>
      </c>
      <c r="AD14">
        <f ca="1">IFERROR(INDEX(Dashboard!$D$5:$D$18,MATCH($A14,Dashboard!$B$5:$B$18,0)),0)</f>
        <v>76</v>
      </c>
      <c r="AE14">
        <f ca="1">IFERROR(INDEX(Dashboard!$K$5:$K$18,MATCH($A14,Dashboard!$B$5:$B$18,0)),0)</f>
        <v>14</v>
      </c>
      <c r="AF14" t="str">
        <f t="shared" ca="1" si="14"/>
        <v>Elite</v>
      </c>
      <c r="AG14">
        <f ca="1">COUNTIFS('Match Log'!$D$4:$D$810,$A14,'Match Log'!$B$4:$B$810,"&gt;="&amp;$B$5)</f>
        <v>3</v>
      </c>
      <c r="AH14">
        <f ca="1">COUNTIFS('Match Log'!$D$4:$D$810,$A14,'Match Log'!$B$4:$B$810,"&gt;="&amp;$B$5,'Match Log'!$E$4:$E$810,"Win")</f>
        <v>2</v>
      </c>
      <c r="AI14">
        <f t="shared" ca="1" si="15"/>
        <v>1153.0208415956088</v>
      </c>
    </row>
    <row r="15" spans="1:35" ht="15" customHeight="1" x14ac:dyDescent="0.2">
      <c r="A15" t="s">
        <v>167</v>
      </c>
      <c r="B15">
        <f>IFERROR(INDEX(Engine!$B$2:$B$15,MATCH($A15,Engine!$A$2:$A$15,0)),1000)</f>
        <v>1241.7029363250533</v>
      </c>
      <c r="C15">
        <f>IFERROR(INDEX(Engine!$C$2:$C$15,MATCH($A15,Engine!$A$2:$A$15,0)),"")</f>
        <v>1091.3419309209771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4.5714285714285712</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72.83548273024428</v>
      </c>
      <c r="AB15">
        <f t="shared" ca="1" si="13"/>
        <v>85.576651721300294</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175</v>
      </c>
      <c r="B16">
        <f>IFERROR(INDEX(Engine!$B$2:$B$15,MATCH($A16,Engine!$A$2:$A$15,0)),1000)</f>
        <v>862.22294373677494</v>
      </c>
      <c r="C16">
        <f>IFERROR(INDEX(Engine!$C$2:$C$15,MATCH($A16,Engine!$A$2:$A$15,0)),"")</f>
        <v>1077.4603329423633</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3.5714285714285716</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69.365083235590816</v>
      </c>
      <c r="AB16">
        <f t="shared" ca="1" si="13"/>
        <v>21.047682567193554</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1054.3366131438215</v>
      </c>
      <c r="C17">
        <f>IFERROR(INDEX(Engine!$C$2:$C$15,MATCH($A17,Engine!$A$2:$A$15,0)),"")</f>
        <v>1088.9294309536358</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2</v>
      </c>
      <c r="L17">
        <f t="shared" si="4"/>
        <v>-4</v>
      </c>
      <c r="M17">
        <f t="shared" si="5"/>
        <v>4</v>
      </c>
      <c r="N17">
        <f t="shared" si="6"/>
        <v>0</v>
      </c>
      <c r="O17">
        <f t="shared" si="7"/>
        <v>0</v>
      </c>
      <c r="P17">
        <f>IFERROR(SUMPRODUCT(MAX(('Match Log'!$D$4:$D$810=$A17)*'Match Log'!$B$4:$B$810)),0)</f>
        <v>46243</v>
      </c>
      <c r="Q17">
        <f t="shared" ca="1" si="8"/>
        <v>0.5714285714285714</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72.23235773840895</v>
      </c>
      <c r="AB17">
        <f t="shared" ca="1" si="13"/>
        <v>57.95226569511172</v>
      </c>
      <c r="AC17">
        <f>IFERROR(SUMPRODUCT((INDEX('Sport Records'!$B$8:$O$26,0,MATCH($A17,'Sport Records'!$B$7:$O$7,0))&gt;=2)*(INDEX('Sport Records'!$B$58:$O$76,0,MATCH($A17,'Sport Records'!$B$57:$O$57,0))&gt;=0.5)),0)</f>
        <v>2</v>
      </c>
      <c r="AD17">
        <f ca="1">IFERROR(INDEX(Dashboard!$D$5:$D$18,MATCH($A17,Dashboard!$B$5:$B$18,0)),0)</f>
        <v>59</v>
      </c>
      <c r="AE17">
        <f ca="1">IFERROR(INDEX(Dashboard!$K$5:$K$18,MATCH($A17,Dashboard!$B$5:$B$18,0)),0)</f>
        <v>9</v>
      </c>
      <c r="AF17" t="str">
        <f t="shared" ca="1" si="14"/>
        <v>Mid</v>
      </c>
      <c r="AG17">
        <f ca="1">COUNTIFS('Match Log'!$D$4:$D$810,$A17,'Match Log'!$B$4:$B$810,"&gt;="&amp;$B$5)</f>
        <v>5</v>
      </c>
      <c r="AH17">
        <f ca="1">COUNTIFS('Match Log'!$D$4:$D$810,$A17,'Match Log'!$B$4:$B$810,"&gt;="&amp;$B$5,'Match Log'!$E$4:$E$810,"Win")</f>
        <v>0</v>
      </c>
      <c r="AI17">
        <f t="shared" ca="1" si="15"/>
        <v>1054.3366148438215</v>
      </c>
    </row>
    <row r="18" spans="1:35" ht="15" customHeight="1" x14ac:dyDescent="0.2">
      <c r="A18" t="s">
        <v>171</v>
      </c>
      <c r="B18">
        <f>IFERROR(INDEX(Engine!$B$2:$B$15,MATCH($A18,Engine!$A$2:$A$15,0)),1000)</f>
        <v>1012.1303999492304</v>
      </c>
      <c r="C18">
        <f>IFERROR(INDEX(Engine!$C$2:$C$15,MATCH($A18,Engine!$A$2:$A$15,0)),"")</f>
        <v>1061.1030588367303</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3.5714285714285716</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65.275764709182567</v>
      </c>
      <c r="AB18">
        <f t="shared" ca="1" si="13"/>
        <v>47.588986466475916</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1051.1937613447224</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6</v>
      </c>
      <c r="L19">
        <f t="shared" si="4"/>
        <v>1</v>
      </c>
      <c r="M19">
        <f t="shared" si="5"/>
        <v>0</v>
      </c>
      <c r="N19">
        <f t="shared" si="6"/>
        <v>4</v>
      </c>
      <c r="O19">
        <f t="shared" si="7"/>
        <v>2</v>
      </c>
      <c r="P19">
        <f>IFERROR(SUMPRODUCT(MAX(('Match Log'!$D$4:$D$810=$A19)*'Match Log'!$B$4:$B$810)),0)</f>
        <v>46222</v>
      </c>
      <c r="Q19">
        <f t="shared" ca="1" si="8"/>
        <v>3.5714285714285716</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62.79844033618059</v>
      </c>
      <c r="AB19">
        <f t="shared" ca="1" si="13"/>
        <v>67.146697914763223</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30"/>
        <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30"/>
        <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30"/>
        <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ref="Y209:Y272" ca="1" si="33">IF(AND($B209&lt;&gt;"",$B209&gt;=$B$5,$I209&lt;&gt;""),$I209,"")</f>
        <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33"/>
        <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f>IFERROR(INDEX('Match Log'!$F$4:$F$810,MATCH(191,'Match Log'!$A$4:$A$810,0)),"")</f>
        <v>2</v>
      </c>
      <c r="F215">
        <f>IFERROR(SUMIFS('Match Log'!$I$4:$I$810,'Match Log'!$A$4:$A$810,191,'Match Log'!$E$4:$E$810,"Win"),"")</f>
        <v>0.69767441860465118</v>
      </c>
      <c r="G215">
        <f t="shared" si="31"/>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32"/>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33"/>
        <v>-0.39553983720930236</v>
      </c>
    </row>
    <row r="216" spans="1:25" x14ac:dyDescent="0.2">
      <c r="A216">
        <v>192</v>
      </c>
      <c r="B216">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f>IFERROR(INDEX('Match Log'!$F$4:$F$810,MATCH(192,'Match Log'!$A$4:$A$810,0)),"")</f>
        <v>2</v>
      </c>
      <c r="F216">
        <f>IFERROR(SUMIFS('Match Log'!$I$4:$I$810,'Match Log'!$A$4:$A$810,192,'Match Log'!$E$4:$E$810,"Win"),"")</f>
        <v>0.8666666666666667</v>
      </c>
      <c r="G216">
        <f t="shared" si="31"/>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32"/>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33"/>
        <v>-0.73352533333333336</v>
      </c>
    </row>
    <row r="217" spans="1:25" x14ac:dyDescent="0.2">
      <c r="A217">
        <v>193</v>
      </c>
      <c r="B217">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f>IFERROR(INDEX('Match Log'!$F$4:$F$810,MATCH(193,'Match Log'!$A$4:$A$810,0)),"")</f>
        <v>2</v>
      </c>
      <c r="F217">
        <f>IFERROR(SUMIFS('Match Log'!$I$4:$I$810,'Match Log'!$A$4:$A$810,193,'Match Log'!$E$4:$E$810,"Win"),"")</f>
        <v>0.60000000000000009</v>
      </c>
      <c r="G217">
        <f t="shared" si="31"/>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si="32"/>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f t="shared" ca="1" si="33"/>
        <v>-0.20019300000000018</v>
      </c>
    </row>
    <row r="218" spans="1:25" x14ac:dyDescent="0.2">
      <c r="A218">
        <v>194</v>
      </c>
      <c r="B21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f>IFERROR(INDEX('Match Log'!$F$4:$F$810,MATCH(194,'Match Log'!$A$4:$A$810,0)),"")</f>
        <v>2</v>
      </c>
      <c r="F218">
        <f>IFERROR(SUMIFS('Match Log'!$I$4:$I$810,'Match Log'!$A$4:$A$810,194,'Match Log'!$E$4:$E$810,"Win"),"")</f>
        <v>0.33333333333333331</v>
      </c>
      <c r="G218">
        <f t="shared" si="31"/>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32"/>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f t="shared" ca="1" si="33"/>
        <v>0.33313933333333334</v>
      </c>
    </row>
    <row r="219" spans="1:25" x14ac:dyDescent="0.2">
      <c r="A219">
        <v>195</v>
      </c>
      <c r="B219">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f>IFERROR(INDEX('Match Log'!$F$4:$F$810,MATCH(195,'Match Log'!$A$4:$A$810,0)),"")</f>
        <v>2</v>
      </c>
      <c r="F219">
        <f>IFERROR(SUMIFS('Match Log'!$I$4:$I$810,'Match Log'!$A$4:$A$810,195,'Match Log'!$E$4:$E$810,"Win"),"")</f>
        <v>0.45454545454545447</v>
      </c>
      <c r="G219">
        <f t="shared" si="31"/>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32"/>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f t="shared" ca="1" si="33"/>
        <v>9.071409090909105E-2</v>
      </c>
    </row>
    <row r="220" spans="1:25" x14ac:dyDescent="0.2">
      <c r="A220">
        <v>196</v>
      </c>
      <c r="B220">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f>IFERROR(INDEX('Match Log'!$F$4:$F$810,MATCH(196,'Match Log'!$A$4:$A$810,0)),"")</f>
        <v>2</v>
      </c>
      <c r="F220">
        <f>IFERROR(SUMIFS('Match Log'!$I$4:$I$810,'Match Log'!$A$4:$A$810,196,'Match Log'!$E$4:$E$810,"Win"),"")</f>
        <v>0.4285714285714286</v>
      </c>
      <c r="G220">
        <f t="shared" si="31"/>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32"/>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f t="shared" ca="1" si="33"/>
        <v>0.14266114285714279</v>
      </c>
    </row>
    <row r="221" spans="1:25" x14ac:dyDescent="0.2">
      <c r="A221">
        <v>197</v>
      </c>
      <c r="B221">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f>IFERROR(INDEX('Match Log'!$F$4:$F$810,MATCH(197,'Match Log'!$A$4:$A$810,0)),"")</f>
        <v>2</v>
      </c>
      <c r="F221">
        <f>IFERROR(SUMIFS('Match Log'!$I$4:$I$810,'Match Log'!$A$4:$A$810,197,'Match Log'!$E$4:$E$810,"Win"),"")</f>
        <v>0.4</v>
      </c>
      <c r="G221">
        <f t="shared" si="31"/>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32"/>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f t="shared" ca="1" si="33"/>
        <v>0.19980299999999995</v>
      </c>
    </row>
    <row r="222" spans="1:25" x14ac:dyDescent="0.2">
      <c r="A222">
        <v>198</v>
      </c>
      <c r="B222">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f>IFERROR(INDEX('Match Log'!$F$4:$F$810,MATCH(198,'Match Log'!$A$4:$A$810,0)),"")</f>
        <v>2</v>
      </c>
      <c r="F222">
        <f>IFERROR(SUMIFS('Match Log'!$I$4:$I$810,'Match Log'!$A$4:$A$810,198,'Match Log'!$E$4:$E$810,"Win"),"")</f>
        <v>0.4</v>
      </c>
      <c r="G222">
        <f t="shared" si="31"/>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32"/>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f t="shared" ca="1" si="33"/>
        <v>0.19980199999999995</v>
      </c>
    </row>
    <row r="223" spans="1:25" x14ac:dyDescent="0.2">
      <c r="A223">
        <v>199</v>
      </c>
      <c r="B223">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f>IFERROR(INDEX('Match Log'!$F$4:$F$810,MATCH(199,'Match Log'!$A$4:$A$810,0)),"")</f>
        <v>2</v>
      </c>
      <c r="F223">
        <f>IFERROR(SUMIFS('Match Log'!$I$4:$I$810,'Match Log'!$A$4:$A$810,199,'Match Log'!$E$4:$E$810,"Win"),"")</f>
        <v>0.44444444444444448</v>
      </c>
      <c r="G223">
        <f t="shared" si="31"/>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32"/>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f t="shared" ca="1" si="33"/>
        <v>0.11091211111111104</v>
      </c>
    </row>
    <row r="224" spans="1:25" x14ac:dyDescent="0.2">
      <c r="A224">
        <v>200</v>
      </c>
      <c r="B224">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f>IFERROR(INDEX('Match Log'!$F$4:$F$810,MATCH(200,'Match Log'!$A$4:$A$810,0)),"")</f>
        <v>2</v>
      </c>
      <c r="F224">
        <f>IFERROR(SUMIFS('Match Log'!$I$4:$I$810,'Match Log'!$A$4:$A$810,200,'Match Log'!$E$4:$E$810,"Win"),"")</f>
        <v>0.90322580645161299</v>
      </c>
      <c r="G224">
        <f t="shared" si="31"/>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32"/>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f t="shared" ca="1" si="33"/>
        <v>-0.80665161290322596</v>
      </c>
    </row>
    <row r="225" spans="1:25" x14ac:dyDescent="0.2">
      <c r="A225">
        <v>201</v>
      </c>
      <c r="B225">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f>IFERROR(INDEX('Match Log'!$F$4:$F$810,MATCH(201,'Match Log'!$A$4:$A$810,0)),"")</f>
        <v>2</v>
      </c>
      <c r="F225">
        <f>IFERROR(SUMIFS('Match Log'!$I$4:$I$810,'Match Log'!$A$4:$A$810,201,'Match Log'!$E$4:$E$810,"Win"),"")</f>
        <v>0.91836734693877553</v>
      </c>
      <c r="G225">
        <f t="shared" si="31"/>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32"/>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f t="shared" ca="1" si="33"/>
        <v>-0.83693569387755107</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1091.5048168709543</v>
      </c>
      <c r="D2">
        <f>$B$2</f>
        <v>1009.8261046694705</v>
      </c>
      <c r="E2">
        <f>$B$3</f>
        <v>1029.5175965335138</v>
      </c>
      <c r="F2">
        <f>$B$4</f>
        <v>1037.8197114720938</v>
      </c>
      <c r="G2">
        <f>$B$5</f>
        <v>973.19705892757202</v>
      </c>
      <c r="H2">
        <f>$B$6</f>
        <v>1126.2782967340261</v>
      </c>
      <c r="I2">
        <f>$B$7</f>
        <v>1109.9750990254845</v>
      </c>
      <c r="J2">
        <f>$B$8</f>
        <v>1050.2393073123574</v>
      </c>
      <c r="K2">
        <f>$B$9</f>
        <v>1154.3708401956087</v>
      </c>
      <c r="L2">
        <f>$B$10</f>
        <v>1241.7029363250533</v>
      </c>
      <c r="M2">
        <f>$B$11</f>
        <v>862.22294373677494</v>
      </c>
      <c r="N2">
        <f>$B$12</f>
        <v>1054.3366131438215</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1068.7234592074572</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1079.4959431258444</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1079.7626114453883</v>
      </c>
    </row>
    <row r="6" spans="1:17" ht="15" customHeight="1" x14ac:dyDescent="0.2">
      <c r="A6" t="s">
        <v>137</v>
      </c>
      <c r="B6">
        <f>IF(COUNTIF('Match Log'!$D$4:$D$810,$A6)=0,'Guide &amp; Settings'!$C$41,IFERROR(LOOKUP(2,1/('Match Log'!$D$4:$D$810=$A6),'Match Log'!$N$4:$N$810),'Guide &amp; Settings'!$C$41))</f>
        <v>1126.2782967340261</v>
      </c>
      <c r="C6">
        <f>IFERROR(SUMPRODUCT(INDEX('Head-to-Head'!$B$22:$O$35,5,0),$D$2:$Q$2)/SUM(INDEX('Head-to-Head'!$B$22:$O$35,5,0)),"")</f>
        <v>1094.4695171582762</v>
      </c>
    </row>
    <row r="7" spans="1:17" ht="15" customHeight="1" x14ac:dyDescent="0.2">
      <c r="A7" t="s">
        <v>134</v>
      </c>
      <c r="B7">
        <f>IF(COUNTIF('Match Log'!$D$4:$D$810,$A7)=0,'Guide &amp; Settings'!$C$41,IFERROR(LOOKUP(2,1/('Match Log'!$D$4:$D$810=$A7),'Match Log'!$N$4:$N$810),'Guide &amp; Settings'!$C$41))</f>
        <v>1109.9750990254845</v>
      </c>
      <c r="C7">
        <f>IFERROR(SUMPRODUCT(INDEX('Head-to-Head'!$B$22:$O$35,6,0),$D$2:$Q$2)/SUM(INDEX('Head-to-Head'!$B$22:$O$35,6,0)),"")</f>
        <v>1079.3157158534771</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1060.5179016531631</v>
      </c>
    </row>
    <row r="9" spans="1:17" ht="15" customHeight="1" x14ac:dyDescent="0.2">
      <c r="A9" t="s">
        <v>170</v>
      </c>
      <c r="B9">
        <f>IF(COUNTIF('Match Log'!$D$4:$D$810,$A9)=0,'Guide &amp; Settings'!$C$41,IFERROR(LOOKUP(2,1/('Match Log'!$D$4:$D$810=$A9),'Match Log'!$N$4:$N$810),'Guide &amp; Settings'!$C$41))</f>
        <v>1154.3708401956087</v>
      </c>
      <c r="C9">
        <f>IFERROR(SUMPRODUCT(INDEX('Head-to-Head'!$B$22:$O$35,8,0),$D$2:$Q$2)/SUM(INDEX('Head-to-Head'!$B$22:$O$35,8,0)),"")</f>
        <v>1095.9668953093146</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1091.3419309209771</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1077.4603329423633</v>
      </c>
    </row>
    <row r="12" spans="1:17" ht="15" customHeight="1" x14ac:dyDescent="0.2">
      <c r="A12" t="s">
        <v>169</v>
      </c>
      <c r="B12">
        <f>IF(COUNTIF('Match Log'!$D$4:$D$810,$A12)=0,'Guide &amp; Settings'!$C$41,IFERROR(LOOKUP(2,1/('Match Log'!$D$4:$D$810=$A12),'Match Log'!$N$4:$N$810),'Guide &amp; Settings'!$C$41))</f>
        <v>1054.3366131438215</v>
      </c>
      <c r="C12">
        <f>IFERROR(SUMPRODUCT(INDEX('Head-to-Head'!$B$22:$O$35,11,0),$D$2:$Q$2)/SUM(INDEX('Head-to-Head'!$B$22:$O$35,11,0)),"")</f>
        <v>1088.9294309536358</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1061.1030588367303</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1051.1937613447224</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2026-08-13T04:56:29Z</dcterms:modified>
  <dc:language>en-US</dc:language>
</cp:coreProperties>
</file>