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78411A7-16A8-AC44-9FBA-4241C71FB903}" xr6:coauthVersionLast="47" xr6:coauthVersionMax="47" xr10:uidLastSave="{00000000-0000-0000-0000-000000000000}"/>
  <bookViews>
    <workbookView xWindow="0" yWindow="660" windowWidth="34560" windowHeight="20580" tabRatio="500" activeTab="1"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Leaders!$A$9:$E$27</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144" i="11"/>
  <c r="W144" i="11"/>
  <c r="V144" i="11"/>
  <c r="U144" i="11"/>
  <c r="T144" i="11"/>
  <c r="S144" i="11"/>
  <c r="R144" i="11"/>
  <c r="Q144" i="11"/>
  <c r="P144" i="11"/>
  <c r="O144" i="11"/>
  <c r="N144" i="11"/>
  <c r="M144" i="11"/>
  <c r="L144" i="11"/>
  <c r="K144" i="11"/>
  <c r="F144" i="11"/>
  <c r="E144" i="11"/>
  <c r="H144" i="11" s="1"/>
  <c r="D144" i="11"/>
  <c r="G144" i="11" s="1"/>
  <c r="I144" i="11" s="1"/>
  <c r="C144" i="11"/>
  <c r="B144" i="11"/>
  <c r="X143" i="11"/>
  <c r="W143" i="11"/>
  <c r="V143" i="11"/>
  <c r="U143" i="11"/>
  <c r="T143" i="11"/>
  <c r="S143" i="11"/>
  <c r="R143" i="11"/>
  <c r="Q143" i="11"/>
  <c r="P143" i="11"/>
  <c r="O143" i="11"/>
  <c r="N143" i="11"/>
  <c r="M143" i="11"/>
  <c r="L143" i="11"/>
  <c r="K143" i="11"/>
  <c r="F143" i="11"/>
  <c r="E143" i="11"/>
  <c r="H143" i="11" s="1"/>
  <c r="D143" i="11"/>
  <c r="G143" i="11" s="1"/>
  <c r="I143" i="11" s="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5" i="3" s="1"/>
  <c r="I20" i="11"/>
  <c r="N20" i="11" s="1"/>
  <c r="Z20" i="11" s="1"/>
  <c r="F20" i="11"/>
  <c r="O20" i="11" s="1"/>
  <c r="B20" i="11"/>
  <c r="P19" i="11"/>
  <c r="I19" i="11"/>
  <c r="N19" i="11" s="1"/>
  <c r="Z19" i="11" s="1"/>
  <c r="F19" i="11"/>
  <c r="O19" i="11" s="1"/>
  <c r="P18" i="11"/>
  <c r="I18" i="11"/>
  <c r="N18" i="11" s="1"/>
  <c r="Z18" i="11" s="1"/>
  <c r="F18" i="11"/>
  <c r="V18" i="11" s="1"/>
  <c r="P17" i="11"/>
  <c r="R6" i="3" s="1"/>
  <c r="I17" i="11"/>
  <c r="N17" i="11" s="1"/>
  <c r="Z17" i="11" s="1"/>
  <c r="F17" i="11"/>
  <c r="P16" i="11"/>
  <c r="R18" i="3" s="1"/>
  <c r="I16" i="11"/>
  <c r="N16" i="11" s="1"/>
  <c r="Z16" i="11" s="1"/>
  <c r="F16" i="11"/>
  <c r="O16" i="11" s="1"/>
  <c r="P15" i="11"/>
  <c r="I15" i="11"/>
  <c r="N15" i="11" s="1"/>
  <c r="F15" i="11"/>
  <c r="V15" i="11" s="1"/>
  <c r="P14" i="11"/>
  <c r="R10" i="3" s="1"/>
  <c r="I14" i="11"/>
  <c r="N14" i="11" s="1"/>
  <c r="Z14" i="11" s="1"/>
  <c r="F14" i="11"/>
  <c r="G14" i="11" s="1"/>
  <c r="H14" i="11" s="1"/>
  <c r="P13" i="11"/>
  <c r="I13" i="11"/>
  <c r="N13" i="11" s="1"/>
  <c r="Z13" i="11" s="1"/>
  <c r="F13" i="11"/>
  <c r="O13" i="11" s="1"/>
  <c r="P12" i="11"/>
  <c r="I12" i="11"/>
  <c r="N12" i="11" s="1"/>
  <c r="Z12" i="11" s="1"/>
  <c r="F12" i="11"/>
  <c r="P11" i="11"/>
  <c r="R7" i="3" s="1"/>
  <c r="I11" i="11"/>
  <c r="N11" i="11" s="1"/>
  <c r="Z11" i="11" s="1"/>
  <c r="F11" i="11"/>
  <c r="O11" i="11" s="1"/>
  <c r="P10" i="11"/>
  <c r="I10" i="11"/>
  <c r="N10" i="11" s="1"/>
  <c r="Z10" i="11" s="1"/>
  <c r="F10" i="11"/>
  <c r="V10" i="11" s="1"/>
  <c r="P9" i="11"/>
  <c r="R14" i="3" s="1"/>
  <c r="I9" i="11"/>
  <c r="N9" i="11" s="1"/>
  <c r="Z9" i="11" s="1"/>
  <c r="F9" i="11"/>
  <c r="G9" i="11" s="1"/>
  <c r="H9" i="11" s="1"/>
  <c r="P8" i="11"/>
  <c r="R11" i="3" s="1"/>
  <c r="I8" i="11"/>
  <c r="N8" i="11" s="1"/>
  <c r="Z8" i="11" s="1"/>
  <c r="F8" i="11"/>
  <c r="O8" i="11" s="1"/>
  <c r="P7" i="11"/>
  <c r="R8" i="3" s="1"/>
  <c r="I7" i="11"/>
  <c r="N7" i="11" s="1"/>
  <c r="Z7" i="11" s="1"/>
  <c r="F7" i="11"/>
  <c r="G7" i="11" s="1"/>
  <c r="B5" i="11"/>
  <c r="AG9" i="11" s="1"/>
  <c r="B4" i="11"/>
  <c r="B3" i="11"/>
  <c r="Q49" i="10"/>
  <c r="P49" i="10"/>
  <c r="R49" i="10" s="1"/>
  <c r="A49" i="10"/>
  <c r="R48" i="10"/>
  <c r="P48" i="10"/>
  <c r="A48" i="10"/>
  <c r="Q48" i="10" s="1"/>
  <c r="Q47" i="10"/>
  <c r="P47" i="10"/>
  <c r="R47" i="10" s="1"/>
  <c r="A47" i="10"/>
  <c r="Q46" i="10"/>
  <c r="P46" i="10"/>
  <c r="A46" i="10"/>
  <c r="A45" i="10"/>
  <c r="Q45" i="10" s="1"/>
  <c r="A44" i="10"/>
  <c r="Q43" i="10"/>
  <c r="P43" i="10"/>
  <c r="A43" i="10"/>
  <c r="A42" i="10"/>
  <c r="R41" i="10"/>
  <c r="Q41" i="10"/>
  <c r="P41" i="10"/>
  <c r="A41" i="10"/>
  <c r="P40" i="10"/>
  <c r="A40" i="10"/>
  <c r="Q40" i="10" s="1"/>
  <c r="Q39" i="10"/>
  <c r="P39" i="10"/>
  <c r="R39" i="10" s="1"/>
  <c r="A39" i="10"/>
  <c r="A38" i="10"/>
  <c r="Q37" i="10"/>
  <c r="P37" i="10"/>
  <c r="A37" i="10"/>
  <c r="R37" i="10" s="1"/>
  <c r="A36" i="10"/>
  <c r="Q36" i="10" s="1"/>
  <c r="A35" i="10"/>
  <c r="Q34" i="10"/>
  <c r="A34" i="10"/>
  <c r="A33" i="10"/>
  <c r="R32" i="10"/>
  <c r="P32" i="10"/>
  <c r="A32" i="10"/>
  <c r="Q32" i="10" s="1"/>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R10" i="10" s="1"/>
  <c r="Q9" i="10"/>
  <c r="P9" i="10"/>
  <c r="Q8" i="10"/>
  <c r="R8" i="10" s="1"/>
  <c r="P8" i="10"/>
  <c r="Q7" i="10"/>
  <c r="P7" i="10"/>
  <c r="R7" i="10" s="1"/>
  <c r="F3" i="10"/>
  <c r="R43" i="10" s="1"/>
  <c r="D3" i="10"/>
  <c r="B3" i="10"/>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AB301" i="9"/>
  <c r="AA301" i="9"/>
  <c r="Z301" i="9"/>
  <c r="Y301" i="9"/>
  <c r="X301" i="9"/>
  <c r="W301" i="9"/>
  <c r="V301" i="9"/>
  <c r="U301" i="9"/>
  <c r="T301" i="9"/>
  <c r="S301" i="9"/>
  <c r="R301" i="9"/>
  <c r="Q301" i="9"/>
  <c r="P301" i="9"/>
  <c r="O301" i="9"/>
  <c r="N301" i="9"/>
  <c r="M301" i="9"/>
  <c r="L301" i="9"/>
  <c r="K301" i="9"/>
  <c r="J301" i="9"/>
  <c r="I301" i="9"/>
  <c r="H301" i="9"/>
  <c r="G301" i="9"/>
  <c r="F301" i="9"/>
  <c r="AC300" i="9"/>
  <c r="AB300" i="9"/>
  <c r="AA300" i="9"/>
  <c r="Z300" i="9"/>
  <c r="Y300" i="9"/>
  <c r="X300" i="9"/>
  <c r="W300" i="9"/>
  <c r="V300" i="9"/>
  <c r="U300" i="9"/>
  <c r="T300" i="9"/>
  <c r="S300" i="9"/>
  <c r="R300" i="9"/>
  <c r="Q300" i="9"/>
  <c r="P300" i="9"/>
  <c r="O300" i="9"/>
  <c r="N300" i="9"/>
  <c r="M300" i="9"/>
  <c r="L300" i="9"/>
  <c r="K300" i="9"/>
  <c r="J300" i="9"/>
  <c r="I300" i="9"/>
  <c r="H300" i="9"/>
  <c r="G300" i="9"/>
  <c r="F300" i="9"/>
  <c r="AC299" i="9"/>
  <c r="AB299" i="9"/>
  <c r="AA299" i="9"/>
  <c r="Z299" i="9"/>
  <c r="Y299" i="9"/>
  <c r="X299" i="9"/>
  <c r="W299" i="9"/>
  <c r="V299" i="9"/>
  <c r="U299" i="9"/>
  <c r="T299" i="9"/>
  <c r="S299" i="9"/>
  <c r="R299" i="9"/>
  <c r="Q299" i="9"/>
  <c r="P299" i="9"/>
  <c r="O299" i="9"/>
  <c r="N299" i="9"/>
  <c r="M299" i="9"/>
  <c r="L299" i="9"/>
  <c r="K299" i="9"/>
  <c r="J299" i="9"/>
  <c r="I299" i="9"/>
  <c r="H299" i="9"/>
  <c r="G299" i="9"/>
  <c r="F299" i="9"/>
  <c r="AC298" i="9"/>
  <c r="AB298" i="9"/>
  <c r="AA298" i="9"/>
  <c r="Z298" i="9"/>
  <c r="Y298" i="9"/>
  <c r="X298" i="9"/>
  <c r="W298" i="9"/>
  <c r="V298" i="9"/>
  <c r="U298" i="9"/>
  <c r="T298" i="9"/>
  <c r="S298" i="9"/>
  <c r="R298" i="9"/>
  <c r="Q298" i="9"/>
  <c r="P298" i="9"/>
  <c r="O298" i="9"/>
  <c r="N298" i="9"/>
  <c r="M298" i="9"/>
  <c r="L298" i="9"/>
  <c r="K298" i="9"/>
  <c r="J298" i="9"/>
  <c r="I298" i="9"/>
  <c r="H298" i="9"/>
  <c r="G298" i="9"/>
  <c r="F298" i="9"/>
  <c r="AC297" i="9"/>
  <c r="AB297" i="9"/>
  <c r="AA297" i="9"/>
  <c r="Z297" i="9"/>
  <c r="Y297" i="9"/>
  <c r="X297" i="9"/>
  <c r="W297" i="9"/>
  <c r="V297" i="9"/>
  <c r="U297" i="9"/>
  <c r="T297" i="9"/>
  <c r="S297" i="9"/>
  <c r="R297" i="9"/>
  <c r="Q297" i="9"/>
  <c r="P297" i="9"/>
  <c r="O297" i="9"/>
  <c r="N297" i="9"/>
  <c r="M297" i="9"/>
  <c r="L297" i="9"/>
  <c r="K297" i="9"/>
  <c r="J297" i="9"/>
  <c r="I297" i="9"/>
  <c r="H297" i="9"/>
  <c r="G297" i="9"/>
  <c r="F297" i="9"/>
  <c r="AC296" i="9"/>
  <c r="AB296" i="9"/>
  <c r="AA296" i="9"/>
  <c r="Z296" i="9"/>
  <c r="Y296" i="9"/>
  <c r="X296" i="9"/>
  <c r="W296" i="9"/>
  <c r="V296" i="9"/>
  <c r="U296" i="9"/>
  <c r="T296" i="9"/>
  <c r="S296" i="9"/>
  <c r="R296" i="9"/>
  <c r="Q296" i="9"/>
  <c r="P296" i="9"/>
  <c r="O296" i="9"/>
  <c r="N296" i="9"/>
  <c r="M296" i="9"/>
  <c r="L296" i="9"/>
  <c r="K296" i="9"/>
  <c r="J296" i="9"/>
  <c r="I296" i="9"/>
  <c r="H296" i="9"/>
  <c r="G296" i="9"/>
  <c r="F296" i="9"/>
  <c r="AC295" i="9"/>
  <c r="AB295" i="9"/>
  <c r="AA295" i="9"/>
  <c r="Z295" i="9"/>
  <c r="Y295" i="9"/>
  <c r="X295" i="9"/>
  <c r="W295" i="9"/>
  <c r="V295" i="9"/>
  <c r="U295" i="9"/>
  <c r="T295" i="9"/>
  <c r="S295" i="9"/>
  <c r="R295" i="9"/>
  <c r="Q295" i="9"/>
  <c r="P295" i="9"/>
  <c r="O295" i="9"/>
  <c r="N295" i="9"/>
  <c r="M295" i="9"/>
  <c r="L295" i="9"/>
  <c r="K295" i="9"/>
  <c r="J295" i="9"/>
  <c r="I295" i="9"/>
  <c r="H295" i="9"/>
  <c r="G295" i="9"/>
  <c r="F295" i="9"/>
  <c r="AC294" i="9"/>
  <c r="AB294" i="9"/>
  <c r="AA294" i="9"/>
  <c r="Z294" i="9"/>
  <c r="Y294" i="9"/>
  <c r="X294" i="9"/>
  <c r="W294" i="9"/>
  <c r="V294" i="9"/>
  <c r="U294" i="9"/>
  <c r="T294" i="9"/>
  <c r="S294" i="9"/>
  <c r="R294" i="9"/>
  <c r="Q294" i="9"/>
  <c r="P294" i="9"/>
  <c r="O294" i="9"/>
  <c r="N294" i="9"/>
  <c r="M294" i="9"/>
  <c r="L294" i="9"/>
  <c r="K294" i="9"/>
  <c r="J294" i="9"/>
  <c r="I294" i="9"/>
  <c r="H294" i="9"/>
  <c r="G294" i="9"/>
  <c r="F294" i="9"/>
  <c r="AC293" i="9"/>
  <c r="AB293" i="9"/>
  <c r="AA293" i="9"/>
  <c r="Z293" i="9"/>
  <c r="Y293" i="9"/>
  <c r="X293" i="9"/>
  <c r="W293" i="9"/>
  <c r="V293" i="9"/>
  <c r="U293" i="9"/>
  <c r="T293" i="9"/>
  <c r="S293" i="9"/>
  <c r="R293" i="9"/>
  <c r="Q293" i="9"/>
  <c r="P293" i="9"/>
  <c r="O293" i="9"/>
  <c r="N293" i="9"/>
  <c r="M293" i="9"/>
  <c r="L293" i="9"/>
  <c r="K293" i="9"/>
  <c r="J293" i="9"/>
  <c r="I293" i="9"/>
  <c r="H293" i="9"/>
  <c r="G293" i="9"/>
  <c r="F293" i="9"/>
  <c r="AC292" i="9"/>
  <c r="AB292" i="9"/>
  <c r="AA292" i="9"/>
  <c r="Z292" i="9"/>
  <c r="Y292" i="9"/>
  <c r="X292" i="9"/>
  <c r="W292" i="9"/>
  <c r="V292" i="9"/>
  <c r="U292" i="9"/>
  <c r="T292" i="9"/>
  <c r="S292" i="9"/>
  <c r="R292" i="9"/>
  <c r="Q292" i="9"/>
  <c r="P292" i="9"/>
  <c r="O292" i="9"/>
  <c r="N292" i="9"/>
  <c r="M292" i="9"/>
  <c r="L292" i="9"/>
  <c r="K292" i="9"/>
  <c r="J292" i="9"/>
  <c r="I292" i="9"/>
  <c r="H292" i="9"/>
  <c r="G292" i="9"/>
  <c r="F292" i="9"/>
  <c r="AC291" i="9"/>
  <c r="AB291" i="9"/>
  <c r="AA291" i="9"/>
  <c r="Z291" i="9"/>
  <c r="Y291" i="9"/>
  <c r="X291" i="9"/>
  <c r="W291" i="9"/>
  <c r="V291" i="9"/>
  <c r="U291" i="9"/>
  <c r="T291" i="9"/>
  <c r="S291" i="9"/>
  <c r="R291" i="9"/>
  <c r="Q291" i="9"/>
  <c r="P291" i="9"/>
  <c r="O291" i="9"/>
  <c r="N291" i="9"/>
  <c r="M291" i="9"/>
  <c r="L291" i="9"/>
  <c r="K291" i="9"/>
  <c r="J291" i="9"/>
  <c r="I291" i="9"/>
  <c r="H291" i="9"/>
  <c r="G291" i="9"/>
  <c r="F291" i="9"/>
  <c r="AC290" i="9"/>
  <c r="AB290" i="9"/>
  <c r="AA290" i="9"/>
  <c r="Z290" i="9"/>
  <c r="Y290" i="9"/>
  <c r="X290" i="9"/>
  <c r="W290" i="9"/>
  <c r="V290" i="9"/>
  <c r="U290" i="9"/>
  <c r="T290" i="9"/>
  <c r="S290" i="9"/>
  <c r="R290" i="9"/>
  <c r="Q290" i="9"/>
  <c r="P290" i="9"/>
  <c r="O290" i="9"/>
  <c r="N290" i="9"/>
  <c r="M290" i="9"/>
  <c r="L290" i="9"/>
  <c r="K290" i="9"/>
  <c r="J290" i="9"/>
  <c r="I290" i="9"/>
  <c r="H290" i="9"/>
  <c r="G290" i="9"/>
  <c r="F290" i="9"/>
  <c r="AC289" i="9"/>
  <c r="AB289" i="9"/>
  <c r="AA289" i="9"/>
  <c r="Z289" i="9"/>
  <c r="Y289" i="9"/>
  <c r="X289" i="9"/>
  <c r="W289" i="9"/>
  <c r="V289" i="9"/>
  <c r="U289" i="9"/>
  <c r="T289" i="9"/>
  <c r="S289" i="9"/>
  <c r="R289" i="9"/>
  <c r="Q289" i="9"/>
  <c r="P289" i="9"/>
  <c r="O289" i="9"/>
  <c r="N289" i="9"/>
  <c r="M289" i="9"/>
  <c r="L289" i="9"/>
  <c r="K289" i="9"/>
  <c r="J289" i="9"/>
  <c r="I289" i="9"/>
  <c r="H289" i="9"/>
  <c r="G289" i="9"/>
  <c r="F289" i="9"/>
  <c r="AC288" i="9"/>
  <c r="AB288" i="9"/>
  <c r="AA288" i="9"/>
  <c r="Z288" i="9"/>
  <c r="Y288" i="9"/>
  <c r="X288" i="9"/>
  <c r="W288" i="9"/>
  <c r="V288" i="9"/>
  <c r="U288" i="9"/>
  <c r="T288" i="9"/>
  <c r="S288" i="9"/>
  <c r="R288" i="9"/>
  <c r="Q288" i="9"/>
  <c r="P288" i="9"/>
  <c r="O288" i="9"/>
  <c r="N288" i="9"/>
  <c r="M288" i="9"/>
  <c r="L288" i="9"/>
  <c r="K288" i="9"/>
  <c r="J288" i="9"/>
  <c r="I288" i="9"/>
  <c r="H288" i="9"/>
  <c r="G288" i="9"/>
  <c r="F288" i="9"/>
  <c r="AC287" i="9"/>
  <c r="AB287" i="9"/>
  <c r="AA287" i="9"/>
  <c r="Z287" i="9"/>
  <c r="Y287" i="9"/>
  <c r="X287" i="9"/>
  <c r="W287" i="9"/>
  <c r="V287" i="9"/>
  <c r="U287" i="9"/>
  <c r="T287" i="9"/>
  <c r="S287" i="9"/>
  <c r="R287" i="9"/>
  <c r="Q287" i="9"/>
  <c r="P287" i="9"/>
  <c r="O287" i="9"/>
  <c r="N287" i="9"/>
  <c r="M287" i="9"/>
  <c r="L287" i="9"/>
  <c r="K287" i="9"/>
  <c r="J287" i="9"/>
  <c r="I287" i="9"/>
  <c r="H287" i="9"/>
  <c r="G287" i="9"/>
  <c r="F287" i="9"/>
  <c r="AC286" i="9"/>
  <c r="AB286" i="9"/>
  <c r="AA286" i="9"/>
  <c r="Z286" i="9"/>
  <c r="Y286" i="9"/>
  <c r="X286" i="9"/>
  <c r="W286" i="9"/>
  <c r="V286" i="9"/>
  <c r="U286" i="9"/>
  <c r="T286" i="9"/>
  <c r="S286" i="9"/>
  <c r="R286" i="9"/>
  <c r="Q286" i="9"/>
  <c r="P286" i="9"/>
  <c r="O286" i="9"/>
  <c r="N286" i="9"/>
  <c r="M286" i="9"/>
  <c r="L286" i="9"/>
  <c r="K286" i="9"/>
  <c r="J286" i="9"/>
  <c r="I286" i="9"/>
  <c r="H286" i="9"/>
  <c r="G286" i="9"/>
  <c r="F286" i="9"/>
  <c r="AC285" i="9"/>
  <c r="T285" i="9"/>
  <c r="R285" i="9"/>
  <c r="O285" i="9"/>
  <c r="G285" i="9"/>
  <c r="F285" i="9"/>
  <c r="L285" i="9" s="1"/>
  <c r="AC284" i="9"/>
  <c r="T284" i="9"/>
  <c r="R284" i="9"/>
  <c r="O284" i="9"/>
  <c r="L284" i="9"/>
  <c r="G284" i="9"/>
  <c r="D142" i="11" s="1"/>
  <c r="F284" i="9"/>
  <c r="E142" i="11" s="1"/>
  <c r="H142" i="11" s="1"/>
  <c r="AC283" i="9"/>
  <c r="T283" i="9"/>
  <c r="R283" i="9"/>
  <c r="O283" i="9"/>
  <c r="G283" i="9"/>
  <c r="F283" i="9"/>
  <c r="L283" i="9" s="1"/>
  <c r="AC282" i="9"/>
  <c r="T282" i="9"/>
  <c r="R282" i="9"/>
  <c r="O282" i="9"/>
  <c r="L282" i="9"/>
  <c r="G282" i="9"/>
  <c r="D141" i="11" s="1"/>
  <c r="F282" i="9"/>
  <c r="E141" i="11" s="1"/>
  <c r="H141" i="11" s="1"/>
  <c r="AC281" i="9"/>
  <c r="T281" i="9"/>
  <c r="R281" i="9"/>
  <c r="O281" i="9"/>
  <c r="G281" i="9"/>
  <c r="F281" i="9"/>
  <c r="L281" i="9" s="1"/>
  <c r="AC280" i="9"/>
  <c r="T280" i="9"/>
  <c r="R280" i="9"/>
  <c r="O280" i="9"/>
  <c r="L280" i="9"/>
  <c r="G280" i="9"/>
  <c r="D140" i="11" s="1"/>
  <c r="F280" i="9"/>
  <c r="E140" i="11" s="1"/>
  <c r="H140" i="11" s="1"/>
  <c r="AC279" i="9"/>
  <c r="T279" i="9"/>
  <c r="R279" i="9"/>
  <c r="O279" i="9"/>
  <c r="G279" i="9"/>
  <c r="F279" i="9"/>
  <c r="L279" i="9" s="1"/>
  <c r="AC278" i="9"/>
  <c r="T278" i="9"/>
  <c r="R278" i="9"/>
  <c r="O278" i="9"/>
  <c r="G278" i="9"/>
  <c r="D139" i="11" s="1"/>
  <c r="F278" i="9"/>
  <c r="E139" i="11" s="1"/>
  <c r="H139" i="11" s="1"/>
  <c r="AC277" i="9"/>
  <c r="T277" i="9"/>
  <c r="R277" i="9"/>
  <c r="O277" i="9"/>
  <c r="G277" i="9"/>
  <c r="F277" i="9"/>
  <c r="AC276" i="9"/>
  <c r="T276" i="9"/>
  <c r="R276" i="9"/>
  <c r="O276" i="9"/>
  <c r="G276" i="9"/>
  <c r="D138" i="11" s="1"/>
  <c r="F276" i="9"/>
  <c r="L276" i="9" s="1"/>
  <c r="AC275" i="9"/>
  <c r="T275" i="9"/>
  <c r="R275" i="9"/>
  <c r="O275" i="9"/>
  <c r="G275" i="9"/>
  <c r="F275" i="9"/>
  <c r="L275" i="9" s="1"/>
  <c r="AC274" i="9"/>
  <c r="T274" i="9"/>
  <c r="R274" i="9"/>
  <c r="O274" i="9"/>
  <c r="G274" i="9"/>
  <c r="D137" i="11" s="1"/>
  <c r="F274" i="9"/>
  <c r="AC273" i="9"/>
  <c r="T273" i="9"/>
  <c r="R273" i="9"/>
  <c r="O273" i="9"/>
  <c r="G273" i="9"/>
  <c r="F273" i="9"/>
  <c r="L273" i="9" s="1"/>
  <c r="AC272" i="9"/>
  <c r="T272" i="9"/>
  <c r="R272" i="9"/>
  <c r="O272" i="9"/>
  <c r="G272" i="9"/>
  <c r="D136" i="11" s="1"/>
  <c r="F272" i="9"/>
  <c r="L272" i="9" s="1"/>
  <c r="AC271" i="9"/>
  <c r="T271" i="9"/>
  <c r="R271" i="9"/>
  <c r="O271" i="9"/>
  <c r="G271" i="9"/>
  <c r="F271" i="9"/>
  <c r="L271" i="9" s="1"/>
  <c r="AC270" i="9"/>
  <c r="U270" i="9"/>
  <c r="Y271" i="9" s="1"/>
  <c r="T270" i="9"/>
  <c r="R270" i="9"/>
  <c r="O270" i="9"/>
  <c r="G270" i="9"/>
  <c r="D135" i="11" s="1"/>
  <c r="F270" i="9"/>
  <c r="AC269" i="9"/>
  <c r="T269" i="9"/>
  <c r="R269" i="9"/>
  <c r="O269" i="9"/>
  <c r="G269" i="9"/>
  <c r="F269" i="9"/>
  <c r="L269" i="9" s="1"/>
  <c r="AC268" i="9"/>
  <c r="T268" i="9"/>
  <c r="R268" i="9"/>
  <c r="O268" i="9"/>
  <c r="G268" i="9"/>
  <c r="D134" i="11" s="1"/>
  <c r="F268" i="9"/>
  <c r="L268" i="9" s="1"/>
  <c r="AC267" i="9"/>
  <c r="T267" i="9"/>
  <c r="R267" i="9"/>
  <c r="O267" i="9"/>
  <c r="G267" i="9"/>
  <c r="F267" i="9"/>
  <c r="AC266" i="9"/>
  <c r="T266" i="9"/>
  <c r="R266" i="9"/>
  <c r="O266" i="9"/>
  <c r="G266" i="9"/>
  <c r="D133" i="11" s="1"/>
  <c r="F266" i="9"/>
  <c r="L266" i="9" s="1"/>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L262" i="9" s="1"/>
  <c r="AC261" i="9"/>
  <c r="T261" i="9"/>
  <c r="R261" i="9"/>
  <c r="O261" i="9"/>
  <c r="G261" i="9"/>
  <c r="F261" i="9"/>
  <c r="AC260" i="9"/>
  <c r="T260" i="9"/>
  <c r="R260" i="9"/>
  <c r="O260" i="9"/>
  <c r="G260" i="9"/>
  <c r="D130" i="11" s="1"/>
  <c r="F260" i="9"/>
  <c r="L260" i="9" s="1"/>
  <c r="AC259" i="9"/>
  <c r="T259" i="9"/>
  <c r="R259" i="9"/>
  <c r="O259" i="9"/>
  <c r="G259" i="9"/>
  <c r="F259" i="9"/>
  <c r="L259" i="9" s="1"/>
  <c r="AC258" i="9"/>
  <c r="T258" i="9"/>
  <c r="R258" i="9"/>
  <c r="O258" i="9"/>
  <c r="G258" i="9"/>
  <c r="D129" i="11" s="1"/>
  <c r="F258" i="9"/>
  <c r="AC257" i="9"/>
  <c r="T257" i="9"/>
  <c r="R257" i="9"/>
  <c r="O257" i="9"/>
  <c r="G257" i="9"/>
  <c r="F257" i="9"/>
  <c r="L257" i="9" s="1"/>
  <c r="AC256" i="9"/>
  <c r="U256" i="9"/>
  <c r="T256" i="9"/>
  <c r="R256" i="9"/>
  <c r="O256" i="9"/>
  <c r="G256" i="9"/>
  <c r="D128" i="11" s="1"/>
  <c r="F256" i="9"/>
  <c r="E128" i="11" s="1"/>
  <c r="H128" i="11" s="1"/>
  <c r="AC255" i="9"/>
  <c r="U255" i="9"/>
  <c r="T255" i="9"/>
  <c r="R255" i="9"/>
  <c r="O255" i="9"/>
  <c r="G255" i="9"/>
  <c r="F255" i="9"/>
  <c r="L255" i="9" s="1"/>
  <c r="AC254" i="9"/>
  <c r="T254" i="9"/>
  <c r="R254" i="9"/>
  <c r="O254" i="9"/>
  <c r="G254" i="9"/>
  <c r="D127" i="11" s="1"/>
  <c r="F254" i="9"/>
  <c r="E127" i="11" s="1"/>
  <c r="H127" i="11" s="1"/>
  <c r="AC253" i="9"/>
  <c r="T253" i="9"/>
  <c r="R253" i="9"/>
  <c r="O253" i="9"/>
  <c r="G253" i="9"/>
  <c r="F253" i="9"/>
  <c r="L253" i="9" s="1"/>
  <c r="AC252" i="9"/>
  <c r="T252" i="9"/>
  <c r="R252" i="9"/>
  <c r="O252" i="9"/>
  <c r="G252" i="9"/>
  <c r="D126" i="11" s="1"/>
  <c r="F252" i="9"/>
  <c r="E126" i="11" s="1"/>
  <c r="H126" i="11" s="1"/>
  <c r="AC251" i="9"/>
  <c r="T251" i="9"/>
  <c r="R251" i="9"/>
  <c r="O251" i="9"/>
  <c r="G251" i="9"/>
  <c r="F251" i="9"/>
  <c r="AC250" i="9"/>
  <c r="T250" i="9"/>
  <c r="R250" i="9"/>
  <c r="O250" i="9"/>
  <c r="G250" i="9"/>
  <c r="D125" i="11" s="1"/>
  <c r="F250" i="9"/>
  <c r="AC249" i="9"/>
  <c r="T249" i="9"/>
  <c r="R249" i="9"/>
  <c r="O249" i="9"/>
  <c r="G249" i="9"/>
  <c r="F249" i="9"/>
  <c r="L249" i="9" s="1"/>
  <c r="AC248" i="9"/>
  <c r="T248" i="9"/>
  <c r="R248" i="9"/>
  <c r="O248" i="9"/>
  <c r="G248" i="9"/>
  <c r="D124" i="11" s="1"/>
  <c r="F248" i="9"/>
  <c r="AC247" i="9"/>
  <c r="U247" i="9"/>
  <c r="T247" i="9"/>
  <c r="R247" i="9"/>
  <c r="O247" i="9"/>
  <c r="G247" i="9"/>
  <c r="F247" i="9"/>
  <c r="L247" i="9" s="1"/>
  <c r="AC246" i="9"/>
  <c r="U246" i="9"/>
  <c r="T246" i="9"/>
  <c r="R246" i="9"/>
  <c r="O246" i="9"/>
  <c r="G246" i="9"/>
  <c r="D123" i="11" s="1"/>
  <c r="F246" i="9"/>
  <c r="AC245" i="9"/>
  <c r="U245" i="9"/>
  <c r="T245" i="9"/>
  <c r="R245" i="9"/>
  <c r="O245" i="9"/>
  <c r="G245" i="9"/>
  <c r="F245" i="9"/>
  <c r="L245" i="9" s="1"/>
  <c r="AC244" i="9"/>
  <c r="U244" i="9"/>
  <c r="T244" i="9"/>
  <c r="R244" i="9"/>
  <c r="O244" i="9"/>
  <c r="G244" i="9"/>
  <c r="D122" i="11" s="1"/>
  <c r="F244" i="9"/>
  <c r="AC243" i="9"/>
  <c r="T243" i="9"/>
  <c r="R243" i="9"/>
  <c r="O243" i="9"/>
  <c r="G243" i="9"/>
  <c r="F243" i="9"/>
  <c r="L243" i="9" s="1"/>
  <c r="AC242" i="9"/>
  <c r="T242" i="9"/>
  <c r="R242" i="9"/>
  <c r="O242" i="9"/>
  <c r="G242" i="9"/>
  <c r="D121" i="11" s="1"/>
  <c r="F242" i="9"/>
  <c r="L242" i="9" s="1"/>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AC237" i="9"/>
  <c r="T237" i="9"/>
  <c r="R237" i="9"/>
  <c r="O237" i="9"/>
  <c r="G237" i="9"/>
  <c r="D119" i="11" s="1"/>
  <c r="F237" i="9"/>
  <c r="E119" i="11" s="1"/>
  <c r="H119" i="11" s="1"/>
  <c r="AC236" i="9"/>
  <c r="U236" i="9"/>
  <c r="T236" i="9"/>
  <c r="R236" i="9"/>
  <c r="O236" i="9"/>
  <c r="G236" i="9"/>
  <c r="F236" i="9"/>
  <c r="L236" i="9" s="1"/>
  <c r="AC235" i="9"/>
  <c r="T235" i="9"/>
  <c r="R235" i="9"/>
  <c r="O235" i="9"/>
  <c r="G235" i="9"/>
  <c r="D118" i="11" s="1"/>
  <c r="F235" i="9"/>
  <c r="E118" i="11" s="1"/>
  <c r="H118" i="11" s="1"/>
  <c r="AC234" i="9"/>
  <c r="T234" i="9"/>
  <c r="R234" i="9"/>
  <c r="O234" i="9"/>
  <c r="G234" i="9"/>
  <c r="F234" i="9"/>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AC230" i="9"/>
  <c r="T230" i="9"/>
  <c r="R230" i="9"/>
  <c r="O230" i="9"/>
  <c r="G230" i="9"/>
  <c r="F230" i="9"/>
  <c r="L230" i="9" s="1"/>
  <c r="AC229" i="9"/>
  <c r="T229" i="9"/>
  <c r="R229" i="9"/>
  <c r="O229" i="9"/>
  <c r="G229" i="9"/>
  <c r="D115" i="11" s="1"/>
  <c r="F229" i="9"/>
  <c r="E115" i="11" s="1"/>
  <c r="H115" i="11" s="1"/>
  <c r="AC228" i="9"/>
  <c r="U228" i="9"/>
  <c r="T228" i="9"/>
  <c r="R228" i="9"/>
  <c r="O228" i="9"/>
  <c r="G228" i="9"/>
  <c r="F228" i="9"/>
  <c r="L228" i="9" s="1"/>
  <c r="AC227" i="9"/>
  <c r="T227" i="9"/>
  <c r="R227" i="9"/>
  <c r="O227" i="9"/>
  <c r="G227" i="9"/>
  <c r="D114" i="11" s="1"/>
  <c r="F227" i="9"/>
  <c r="E114" i="11" s="1"/>
  <c r="H114" i="11" s="1"/>
  <c r="AC226" i="9"/>
  <c r="U226" i="9"/>
  <c r="T226" i="9"/>
  <c r="R226" i="9"/>
  <c r="O226" i="9"/>
  <c r="G226" i="9"/>
  <c r="F226" i="9"/>
  <c r="AC225" i="9"/>
  <c r="U225" i="9"/>
  <c r="T225" i="9"/>
  <c r="R225" i="9"/>
  <c r="O225" i="9"/>
  <c r="G225" i="9"/>
  <c r="F225" i="9"/>
  <c r="L225" i="9" s="1"/>
  <c r="AC224" i="9"/>
  <c r="U224" i="9"/>
  <c r="T224" i="9"/>
  <c r="R224" i="9"/>
  <c r="O224" i="9"/>
  <c r="G224" i="9"/>
  <c r="D113" i="11" s="1"/>
  <c r="F224" i="9"/>
  <c r="E113" i="11" s="1"/>
  <c r="H113" i="11" s="1"/>
  <c r="AC223" i="9"/>
  <c r="T223" i="9"/>
  <c r="R223" i="9"/>
  <c r="O223" i="9"/>
  <c r="G223" i="9"/>
  <c r="F223" i="9"/>
  <c r="AC222" i="9"/>
  <c r="T222" i="9"/>
  <c r="R222" i="9"/>
  <c r="O222" i="9"/>
  <c r="G222" i="9"/>
  <c r="D112" i="11" s="1"/>
  <c r="F222" i="9"/>
  <c r="AC221" i="9"/>
  <c r="T221" i="9"/>
  <c r="R221" i="9"/>
  <c r="O221" i="9"/>
  <c r="G221" i="9"/>
  <c r="F221" i="9"/>
  <c r="AC220" i="9"/>
  <c r="U220" i="9"/>
  <c r="Y221" i="9" s="1"/>
  <c r="T220" i="9"/>
  <c r="R220" i="9"/>
  <c r="O220" i="9"/>
  <c r="G220" i="9"/>
  <c r="D111" i="11" s="1"/>
  <c r="F220" i="9"/>
  <c r="L220" i="9" s="1"/>
  <c r="AC219" i="9"/>
  <c r="T219" i="9"/>
  <c r="R219" i="9"/>
  <c r="O219" i="9"/>
  <c r="G219" i="9"/>
  <c r="F219" i="9"/>
  <c r="AC218" i="9"/>
  <c r="T218" i="9"/>
  <c r="R218" i="9"/>
  <c r="O218" i="9"/>
  <c r="G218" i="9"/>
  <c r="F218" i="9"/>
  <c r="L218" i="9" s="1"/>
  <c r="AC217" i="9"/>
  <c r="T217" i="9"/>
  <c r="R217" i="9"/>
  <c r="O217" i="9"/>
  <c r="G217" i="9"/>
  <c r="F217" i="9"/>
  <c r="AC216" i="9"/>
  <c r="T216" i="9"/>
  <c r="R216" i="9"/>
  <c r="O216" i="9"/>
  <c r="G216" i="9"/>
  <c r="D110" i="11" s="1"/>
  <c r="F216" i="9"/>
  <c r="E110" i="11" s="1"/>
  <c r="H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D109" i="11" s="1"/>
  <c r="F212" i="9"/>
  <c r="E109" i="11" s="1"/>
  <c r="H109" i="11" s="1"/>
  <c r="AC211" i="9"/>
  <c r="T211" i="9"/>
  <c r="R211" i="9"/>
  <c r="O211" i="9"/>
  <c r="G211" i="9"/>
  <c r="F211" i="9"/>
  <c r="AC210" i="9"/>
  <c r="T210" i="9"/>
  <c r="R210" i="9"/>
  <c r="O210" i="9"/>
  <c r="G210" i="9"/>
  <c r="F210" i="9"/>
  <c r="L210" i="9" s="1"/>
  <c r="AC209" i="9"/>
  <c r="T209" i="9"/>
  <c r="R209" i="9"/>
  <c r="O209" i="9"/>
  <c r="G209" i="9"/>
  <c r="F209" i="9"/>
  <c r="AC208" i="9"/>
  <c r="T208" i="9"/>
  <c r="R208" i="9"/>
  <c r="O208" i="9"/>
  <c r="G208" i="9"/>
  <c r="D108" i="11" s="1"/>
  <c r="F208" i="9"/>
  <c r="E108" i="11" s="1"/>
  <c r="H108" i="11" s="1"/>
  <c r="AC207" i="9"/>
  <c r="T207" i="9"/>
  <c r="R207" i="9"/>
  <c r="O207" i="9"/>
  <c r="G207" i="9"/>
  <c r="F207" i="9"/>
  <c r="AC206" i="9"/>
  <c r="T206" i="9"/>
  <c r="R206" i="9"/>
  <c r="O206" i="9"/>
  <c r="G206" i="9"/>
  <c r="F206" i="9"/>
  <c r="L206" i="9" s="1"/>
  <c r="AC205" i="9"/>
  <c r="T205" i="9"/>
  <c r="R205" i="9"/>
  <c r="O205" i="9"/>
  <c r="G205" i="9"/>
  <c r="F205" i="9"/>
  <c r="AC204" i="9"/>
  <c r="T204" i="9"/>
  <c r="R204" i="9"/>
  <c r="O204" i="9"/>
  <c r="G204" i="9"/>
  <c r="D107" i="11" s="1"/>
  <c r="F204" i="9"/>
  <c r="E107" i="11" s="1"/>
  <c r="H107" i="11" s="1"/>
  <c r="AC203" i="9"/>
  <c r="T203" i="9"/>
  <c r="R203" i="9"/>
  <c r="O203" i="9"/>
  <c r="G203" i="9"/>
  <c r="F203" i="9"/>
  <c r="AC202" i="9"/>
  <c r="T202" i="9"/>
  <c r="R202" i="9"/>
  <c r="O202" i="9"/>
  <c r="G202" i="9"/>
  <c r="F202" i="9"/>
  <c r="L202" i="9" s="1"/>
  <c r="AC201" i="9"/>
  <c r="T201" i="9"/>
  <c r="R201" i="9"/>
  <c r="O201" i="9"/>
  <c r="G201" i="9"/>
  <c r="F201" i="9"/>
  <c r="AC200" i="9"/>
  <c r="T200" i="9"/>
  <c r="R200" i="9"/>
  <c r="O200" i="9"/>
  <c r="G200" i="9"/>
  <c r="D106" i="11" s="1"/>
  <c r="F200" i="9"/>
  <c r="E106" i="11" s="1"/>
  <c r="H106" i="11" s="1"/>
  <c r="AC199" i="9"/>
  <c r="T199" i="9"/>
  <c r="R199" i="9"/>
  <c r="O199" i="9"/>
  <c r="G199" i="9"/>
  <c r="F199" i="9"/>
  <c r="AC198" i="9"/>
  <c r="T198" i="9"/>
  <c r="R198" i="9"/>
  <c r="O198" i="9"/>
  <c r="G198" i="9"/>
  <c r="F198" i="9"/>
  <c r="AC197" i="9"/>
  <c r="T197" i="9"/>
  <c r="R197" i="9"/>
  <c r="O197" i="9"/>
  <c r="G197" i="9"/>
  <c r="F197" i="9"/>
  <c r="AC196" i="9"/>
  <c r="T196" i="9"/>
  <c r="R196" i="9"/>
  <c r="O196" i="9"/>
  <c r="G196" i="9"/>
  <c r="D105" i="11" s="1"/>
  <c r="F196" i="9"/>
  <c r="E105" i="11" s="1"/>
  <c r="H105" i="11" s="1"/>
  <c r="AC195" i="9"/>
  <c r="T195" i="9"/>
  <c r="R195" i="9"/>
  <c r="O195" i="9"/>
  <c r="G195" i="9"/>
  <c r="F195" i="9"/>
  <c r="AC194" i="9"/>
  <c r="T194" i="9"/>
  <c r="R194" i="9"/>
  <c r="O194" i="9"/>
  <c r="G194" i="9"/>
  <c r="F194" i="9"/>
  <c r="L194" i="9" s="1"/>
  <c r="AC193" i="9"/>
  <c r="T193" i="9"/>
  <c r="R193" i="9"/>
  <c r="O193" i="9"/>
  <c r="G193" i="9"/>
  <c r="F193" i="9"/>
  <c r="AC192" i="9"/>
  <c r="T192" i="9"/>
  <c r="R192" i="9"/>
  <c r="O192" i="9"/>
  <c r="G192" i="9"/>
  <c r="D104" i="11" s="1"/>
  <c r="F192" i="9"/>
  <c r="AC191" i="9"/>
  <c r="T191" i="9"/>
  <c r="R191" i="9"/>
  <c r="O191" i="9"/>
  <c r="G191" i="9"/>
  <c r="F191" i="9"/>
  <c r="L191" i="9" s="1"/>
  <c r="AC190" i="9"/>
  <c r="T190" i="9"/>
  <c r="R190" i="9"/>
  <c r="O190" i="9"/>
  <c r="G190" i="9"/>
  <c r="F190" i="9"/>
  <c r="AC189" i="9"/>
  <c r="T189" i="9"/>
  <c r="R189" i="9"/>
  <c r="O189" i="9"/>
  <c r="G189" i="9"/>
  <c r="F189" i="9"/>
  <c r="L189" i="9" s="1"/>
  <c r="AC188" i="9"/>
  <c r="T188" i="9"/>
  <c r="R188" i="9"/>
  <c r="O188" i="9"/>
  <c r="G188" i="9"/>
  <c r="D103" i="11" s="1"/>
  <c r="F188" i="9"/>
  <c r="E103" i="11" s="1"/>
  <c r="H103" i="11" s="1"/>
  <c r="AC187" i="9"/>
  <c r="T187" i="9"/>
  <c r="R187" i="9"/>
  <c r="O187" i="9"/>
  <c r="G187" i="9"/>
  <c r="F187" i="9"/>
  <c r="L187" i="9" s="1"/>
  <c r="AC186" i="9"/>
  <c r="T186" i="9"/>
  <c r="R186" i="9"/>
  <c r="O186" i="9"/>
  <c r="G186" i="9"/>
  <c r="F186" i="9"/>
  <c r="L186" i="9" s="1"/>
  <c r="AC185" i="9"/>
  <c r="T185" i="9"/>
  <c r="R185" i="9"/>
  <c r="O185" i="9"/>
  <c r="G185" i="9"/>
  <c r="F185" i="9"/>
  <c r="AC184" i="9"/>
  <c r="T184" i="9"/>
  <c r="R184" i="9"/>
  <c r="O184" i="9"/>
  <c r="G184" i="9"/>
  <c r="D102" i="11" s="1"/>
  <c r="F184" i="9"/>
  <c r="E102" i="11" s="1"/>
  <c r="H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D101" i="11" s="1"/>
  <c r="F180" i="9"/>
  <c r="E101" i="11" s="1"/>
  <c r="H101" i="11" s="1"/>
  <c r="AC179" i="9"/>
  <c r="T179" i="9"/>
  <c r="R179" i="9"/>
  <c r="O179" i="9"/>
  <c r="G179" i="9"/>
  <c r="F179" i="9"/>
  <c r="L179" i="9" s="1"/>
  <c r="AC178" i="9"/>
  <c r="T178" i="9"/>
  <c r="R178" i="9"/>
  <c r="O178" i="9"/>
  <c r="G178" i="9"/>
  <c r="F178" i="9"/>
  <c r="AC177" i="9"/>
  <c r="T177" i="9"/>
  <c r="R177" i="9"/>
  <c r="O177" i="9"/>
  <c r="G177" i="9"/>
  <c r="F177" i="9"/>
  <c r="L177" i="9" s="1"/>
  <c r="AC176" i="9"/>
  <c r="T176" i="9"/>
  <c r="R176" i="9"/>
  <c r="O176" i="9"/>
  <c r="G176" i="9"/>
  <c r="D100" i="11" s="1"/>
  <c r="F176" i="9"/>
  <c r="AC175" i="9"/>
  <c r="T175" i="9"/>
  <c r="R175" i="9"/>
  <c r="O175" i="9"/>
  <c r="G175" i="9"/>
  <c r="F175" i="9"/>
  <c r="L175" i="9" s="1"/>
  <c r="AC174" i="9"/>
  <c r="T174" i="9"/>
  <c r="R174" i="9"/>
  <c r="O174" i="9"/>
  <c r="G174" i="9"/>
  <c r="F174" i="9"/>
  <c r="AC173" i="9"/>
  <c r="T173" i="9"/>
  <c r="R173" i="9"/>
  <c r="O173" i="9"/>
  <c r="G173" i="9"/>
  <c r="F173" i="9"/>
  <c r="AC172" i="9"/>
  <c r="T172" i="9"/>
  <c r="R172" i="9"/>
  <c r="O172" i="9"/>
  <c r="G172" i="9"/>
  <c r="D99" i="11" s="1"/>
  <c r="F172" i="9"/>
  <c r="E99" i="11" s="1"/>
  <c r="H99" i="11" s="1"/>
  <c r="AC171" i="9"/>
  <c r="T171" i="9"/>
  <c r="R171" i="9"/>
  <c r="O171" i="9"/>
  <c r="G171" i="9"/>
  <c r="F171" i="9"/>
  <c r="AC170" i="9"/>
  <c r="T170" i="9"/>
  <c r="R170" i="9"/>
  <c r="O170" i="9"/>
  <c r="G170" i="9"/>
  <c r="F170" i="9"/>
  <c r="L170" i="9" s="1"/>
  <c r="AC169" i="9"/>
  <c r="T169" i="9"/>
  <c r="R169" i="9"/>
  <c r="O169" i="9"/>
  <c r="G169" i="9"/>
  <c r="F169" i="9"/>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AC159" i="9"/>
  <c r="U159" i="9"/>
  <c r="T159" i="9"/>
  <c r="R159" i="9"/>
  <c r="O159" i="9"/>
  <c r="H159" i="9"/>
  <c r="G159" i="9"/>
  <c r="F159" i="9"/>
  <c r="L159" i="9" s="1"/>
  <c r="AC158" i="9"/>
  <c r="T158" i="9"/>
  <c r="R158" i="9"/>
  <c r="O158" i="9"/>
  <c r="G158" i="9"/>
  <c r="F158" i="9"/>
  <c r="L158" i="9" s="1"/>
  <c r="AC157" i="9"/>
  <c r="T157" i="9"/>
  <c r="R157" i="9"/>
  <c r="O157" i="9"/>
  <c r="G157" i="9"/>
  <c r="F157" i="9"/>
  <c r="L157" i="9" s="1"/>
  <c r="AC156" i="9"/>
  <c r="T156" i="9"/>
  <c r="R156" i="9"/>
  <c r="O156" i="9"/>
  <c r="G156" i="9"/>
  <c r="D95" i="11" s="1"/>
  <c r="F156" i="9"/>
  <c r="E95" i="11" s="1"/>
  <c r="H95" i="11" s="1"/>
  <c r="AC155" i="9"/>
  <c r="T155" i="9"/>
  <c r="R155" i="9"/>
  <c r="O155" i="9"/>
  <c r="G155" i="9"/>
  <c r="F155" i="9"/>
  <c r="L155" i="9" s="1"/>
  <c r="AC154" i="9"/>
  <c r="T154" i="9"/>
  <c r="R154" i="9"/>
  <c r="O154" i="9"/>
  <c r="G154" i="9"/>
  <c r="F154" i="9"/>
  <c r="L154" i="9" s="1"/>
  <c r="AC153" i="9"/>
  <c r="T153" i="9"/>
  <c r="R153" i="9"/>
  <c r="O153" i="9"/>
  <c r="G153" i="9"/>
  <c r="F153" i="9"/>
  <c r="AC152" i="9"/>
  <c r="T152" i="9"/>
  <c r="R152" i="9"/>
  <c r="O152" i="9"/>
  <c r="G152" i="9"/>
  <c r="D94" i="11" s="1"/>
  <c r="F152" i="9"/>
  <c r="AC151" i="9"/>
  <c r="T151" i="9"/>
  <c r="R151" i="9"/>
  <c r="O151" i="9"/>
  <c r="G151" i="9"/>
  <c r="F151" i="9"/>
  <c r="AC150" i="9"/>
  <c r="T150" i="9"/>
  <c r="R150" i="9"/>
  <c r="O150" i="9"/>
  <c r="G150" i="9"/>
  <c r="F150" i="9"/>
  <c r="AC149" i="9"/>
  <c r="T149" i="9"/>
  <c r="R149" i="9"/>
  <c r="O149" i="9"/>
  <c r="G149" i="9"/>
  <c r="F149" i="9"/>
  <c r="L149" i="9" s="1"/>
  <c r="AC148" i="9"/>
  <c r="T148" i="9"/>
  <c r="R148" i="9"/>
  <c r="O148" i="9"/>
  <c r="G148" i="9"/>
  <c r="D93" i="11" s="1"/>
  <c r="F148" i="9"/>
  <c r="E93" i="11" s="1"/>
  <c r="H93" i="11" s="1"/>
  <c r="AC147" i="9"/>
  <c r="T147" i="9"/>
  <c r="R147" i="9"/>
  <c r="O147" i="9"/>
  <c r="G147" i="9"/>
  <c r="F147" i="9"/>
  <c r="L147" i="9" s="1"/>
  <c r="AC146" i="9"/>
  <c r="T146" i="9"/>
  <c r="R146" i="9"/>
  <c r="O146" i="9"/>
  <c r="G146" i="9"/>
  <c r="D92" i="11" s="1"/>
  <c r="F146" i="9"/>
  <c r="E92" i="11" s="1"/>
  <c r="H92" i="11" s="1"/>
  <c r="AC145" i="9"/>
  <c r="T145" i="9"/>
  <c r="R145" i="9"/>
  <c r="O145" i="9"/>
  <c r="G145" i="9"/>
  <c r="F145" i="9"/>
  <c r="L145" i="9" s="1"/>
  <c r="AC144" i="9"/>
  <c r="T144" i="9"/>
  <c r="R144" i="9"/>
  <c r="O144" i="9"/>
  <c r="G144" i="9"/>
  <c r="D91" i="11" s="1"/>
  <c r="F144" i="9"/>
  <c r="AC143" i="9"/>
  <c r="T143" i="9"/>
  <c r="R143" i="9"/>
  <c r="O143" i="9"/>
  <c r="G143" i="9"/>
  <c r="F143" i="9"/>
  <c r="AC142" i="9"/>
  <c r="T142" i="9"/>
  <c r="R142" i="9"/>
  <c r="O142" i="9"/>
  <c r="G142" i="9"/>
  <c r="D90" i="11" s="1"/>
  <c r="F142" i="9"/>
  <c r="L142" i="9" s="1"/>
  <c r="AC141" i="9"/>
  <c r="T141" i="9"/>
  <c r="R141" i="9"/>
  <c r="O141" i="9"/>
  <c r="G141" i="9"/>
  <c r="F141" i="9"/>
  <c r="AC140" i="9"/>
  <c r="T140" i="9"/>
  <c r="R140" i="9"/>
  <c r="O140" i="9"/>
  <c r="G140" i="9"/>
  <c r="D89" i="11" s="1"/>
  <c r="F140" i="9"/>
  <c r="AC139" i="9"/>
  <c r="T139" i="9"/>
  <c r="R139" i="9"/>
  <c r="O139" i="9"/>
  <c r="G139" i="9"/>
  <c r="F139" i="9"/>
  <c r="L139" i="9" s="1"/>
  <c r="AC138" i="9"/>
  <c r="U138" i="9"/>
  <c r="Y138" i="9" s="1"/>
  <c r="Z138" i="9" s="1"/>
  <c r="T138" i="9"/>
  <c r="R138" i="9"/>
  <c r="O138" i="9"/>
  <c r="G138" i="9"/>
  <c r="D88" i="11" s="1"/>
  <c r="F138" i="9"/>
  <c r="L138" i="9" s="1"/>
  <c r="AC137" i="9"/>
  <c r="T137" i="9"/>
  <c r="R137" i="9"/>
  <c r="O137" i="9"/>
  <c r="G137" i="9"/>
  <c r="F137" i="9"/>
  <c r="AC136" i="9"/>
  <c r="T136" i="9"/>
  <c r="R136" i="9"/>
  <c r="O136" i="9"/>
  <c r="G136" i="9"/>
  <c r="D87" i="11" s="1"/>
  <c r="F136" i="9"/>
  <c r="L136" i="9" s="1"/>
  <c r="AC135" i="9"/>
  <c r="T135" i="9"/>
  <c r="R135" i="9"/>
  <c r="O135" i="9"/>
  <c r="G135" i="9"/>
  <c r="F135" i="9"/>
  <c r="AC134" i="9"/>
  <c r="T134" i="9"/>
  <c r="R134" i="9"/>
  <c r="O134" i="9"/>
  <c r="G134" i="9"/>
  <c r="D86" i="11" s="1"/>
  <c r="F134" i="9"/>
  <c r="L134" i="9" s="1"/>
  <c r="AC133" i="9"/>
  <c r="T133" i="9"/>
  <c r="R133" i="9"/>
  <c r="O133" i="9"/>
  <c r="G133" i="9"/>
  <c r="F133" i="9"/>
  <c r="L133" i="9" s="1"/>
  <c r="AC132" i="9"/>
  <c r="U132" i="9"/>
  <c r="Y132" i="9" s="1"/>
  <c r="Z132" i="9" s="1"/>
  <c r="T132" i="9"/>
  <c r="R132" i="9"/>
  <c r="O132" i="9"/>
  <c r="G132" i="9"/>
  <c r="D85" i="11" s="1"/>
  <c r="F132" i="9"/>
  <c r="AC131" i="9"/>
  <c r="U131" i="9"/>
  <c r="T131" i="9"/>
  <c r="R131" i="9"/>
  <c r="O131" i="9"/>
  <c r="G131" i="9"/>
  <c r="F131" i="9"/>
  <c r="L131" i="9" s="1"/>
  <c r="AC130" i="9"/>
  <c r="U130" i="9"/>
  <c r="T130" i="9"/>
  <c r="R130" i="9"/>
  <c r="O130" i="9"/>
  <c r="G130" i="9"/>
  <c r="D84" i="11" s="1"/>
  <c r="F130" i="9"/>
  <c r="AC129" i="9"/>
  <c r="T129" i="9"/>
  <c r="R129" i="9"/>
  <c r="O129" i="9"/>
  <c r="G129" i="9"/>
  <c r="F129" i="9"/>
  <c r="L129" i="9" s="1"/>
  <c r="AC128" i="9"/>
  <c r="U128" i="9"/>
  <c r="Y128" i="9" s="1"/>
  <c r="Z128" i="9" s="1"/>
  <c r="T128" i="9"/>
  <c r="R128" i="9"/>
  <c r="O128" i="9"/>
  <c r="G128" i="9"/>
  <c r="D83" i="11" s="1"/>
  <c r="F128" i="9"/>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5" i="9" s="1"/>
  <c r="T124" i="9"/>
  <c r="R124" i="9"/>
  <c r="O124" i="9"/>
  <c r="G124" i="9"/>
  <c r="D81" i="11" s="1"/>
  <c r="F124" i="9"/>
  <c r="L124" i="9" s="1"/>
  <c r="AC123" i="9"/>
  <c r="U123" i="9"/>
  <c r="T123" i="9"/>
  <c r="R123" i="9"/>
  <c r="O123" i="9"/>
  <c r="G123" i="9"/>
  <c r="F123" i="9"/>
  <c r="AC122" i="9"/>
  <c r="U122" i="9"/>
  <c r="Y123" i="9" s="1"/>
  <c r="T122" i="9"/>
  <c r="R122" i="9"/>
  <c r="O122" i="9"/>
  <c r="G122" i="9"/>
  <c r="D80" i="11" s="1"/>
  <c r="F122" i="9"/>
  <c r="AC121" i="9"/>
  <c r="T121" i="9"/>
  <c r="R121" i="9"/>
  <c r="O121" i="9"/>
  <c r="G121" i="9"/>
  <c r="F121" i="9"/>
  <c r="AC120" i="9"/>
  <c r="U120" i="9"/>
  <c r="T120" i="9"/>
  <c r="R120" i="9"/>
  <c r="O120" i="9"/>
  <c r="G120" i="9"/>
  <c r="D79" i="11" s="1"/>
  <c r="F120" i="9"/>
  <c r="AC119" i="9"/>
  <c r="U119" i="9"/>
  <c r="T119" i="9"/>
  <c r="R119" i="9"/>
  <c r="O119" i="9"/>
  <c r="H119" i="9"/>
  <c r="G119" i="9"/>
  <c r="F119" i="9"/>
  <c r="L119" i="9" s="1"/>
  <c r="AC118" i="9"/>
  <c r="T118" i="9"/>
  <c r="R118" i="9"/>
  <c r="O118" i="9"/>
  <c r="G118" i="9"/>
  <c r="D78" i="11" s="1"/>
  <c r="F118" i="9"/>
  <c r="AC117" i="9"/>
  <c r="T117" i="9"/>
  <c r="R117" i="9"/>
  <c r="O117" i="9"/>
  <c r="G117" i="9"/>
  <c r="F117" i="9"/>
  <c r="L117" i="9" s="1"/>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L113" i="9" s="1"/>
  <c r="AC112" i="9"/>
  <c r="T112" i="9"/>
  <c r="R112" i="9"/>
  <c r="O112" i="9"/>
  <c r="G112" i="9"/>
  <c r="D75" i="11" s="1"/>
  <c r="F112" i="9"/>
  <c r="E75" i="11" s="1"/>
  <c r="H75" i="11" s="1"/>
  <c r="AC111" i="9"/>
  <c r="T111" i="9"/>
  <c r="R111" i="9"/>
  <c r="O111" i="9"/>
  <c r="G111" i="9"/>
  <c r="F111" i="9"/>
  <c r="AC110" i="9"/>
  <c r="T110" i="9"/>
  <c r="R110" i="9"/>
  <c r="O110" i="9"/>
  <c r="G110" i="9"/>
  <c r="D74" i="11" s="1"/>
  <c r="F110" i="9"/>
  <c r="AC109" i="9"/>
  <c r="T109" i="9"/>
  <c r="R109" i="9"/>
  <c r="O109" i="9"/>
  <c r="G109" i="9"/>
  <c r="F109" i="9"/>
  <c r="AC108" i="9"/>
  <c r="T108" i="9"/>
  <c r="R108" i="9"/>
  <c r="O108" i="9"/>
  <c r="G108" i="9"/>
  <c r="D73" i="11" s="1"/>
  <c r="F108" i="9"/>
  <c r="E73" i="11" s="1"/>
  <c r="H73" i="11" s="1"/>
  <c r="AC107" i="9"/>
  <c r="T107" i="9"/>
  <c r="R107" i="9"/>
  <c r="O107" i="9"/>
  <c r="G107" i="9"/>
  <c r="F107" i="9"/>
  <c r="L107" i="9" s="1"/>
  <c r="AC106" i="9"/>
  <c r="T106" i="9"/>
  <c r="R106" i="9"/>
  <c r="O106" i="9"/>
  <c r="G106" i="9"/>
  <c r="D72" i="11" s="1"/>
  <c r="F106" i="9"/>
  <c r="AC105" i="9"/>
  <c r="U105" i="9"/>
  <c r="T105" i="9"/>
  <c r="R105" i="9"/>
  <c r="O105" i="9"/>
  <c r="G105" i="9"/>
  <c r="F105" i="9"/>
  <c r="L105" i="9" s="1"/>
  <c r="AC104" i="9"/>
  <c r="T104" i="9"/>
  <c r="R104" i="9"/>
  <c r="O104" i="9"/>
  <c r="G104" i="9"/>
  <c r="D71" i="11" s="1"/>
  <c r="F104" i="9"/>
  <c r="E71" i="11" s="1"/>
  <c r="H71" i="11" s="1"/>
  <c r="AC103" i="9"/>
  <c r="T103" i="9"/>
  <c r="R103" i="9"/>
  <c r="O103" i="9"/>
  <c r="G103" i="9"/>
  <c r="F103" i="9"/>
  <c r="AC102" i="9"/>
  <c r="T102" i="9"/>
  <c r="R102" i="9"/>
  <c r="O102" i="9"/>
  <c r="G102" i="9"/>
  <c r="D70" i="11" s="1"/>
  <c r="F102" i="9"/>
  <c r="E70" i="11" s="1"/>
  <c r="H70" i="11" s="1"/>
  <c r="AC101" i="9"/>
  <c r="T101" i="9"/>
  <c r="R101" i="9"/>
  <c r="O101" i="9"/>
  <c r="G101" i="9"/>
  <c r="F101" i="9"/>
  <c r="L101" i="9" s="1"/>
  <c r="AC100" i="9"/>
  <c r="T100" i="9"/>
  <c r="R100" i="9"/>
  <c r="O100" i="9"/>
  <c r="G100" i="9"/>
  <c r="D69" i="11" s="1"/>
  <c r="F100" i="9"/>
  <c r="E69" i="11" s="1"/>
  <c r="H69" i="11" s="1"/>
  <c r="AC99" i="9"/>
  <c r="T99" i="9"/>
  <c r="R99" i="9"/>
  <c r="O99" i="9"/>
  <c r="G99" i="9"/>
  <c r="F99" i="9"/>
  <c r="AC98" i="9"/>
  <c r="T98" i="9"/>
  <c r="R98" i="9"/>
  <c r="O98" i="9"/>
  <c r="G98" i="9"/>
  <c r="D68" i="11" s="1"/>
  <c r="F98" i="9"/>
  <c r="E68" i="11" s="1"/>
  <c r="H68" i="11"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E66" i="11" s="1"/>
  <c r="H66" i="11" s="1"/>
  <c r="AC93" i="9"/>
  <c r="T93" i="9"/>
  <c r="R93" i="9"/>
  <c r="O93" i="9"/>
  <c r="G93" i="9"/>
  <c r="F93" i="9"/>
  <c r="L93" i="9" s="1"/>
  <c r="AC92" i="9"/>
  <c r="T92" i="9"/>
  <c r="R92" i="9"/>
  <c r="O92" i="9"/>
  <c r="G92" i="9"/>
  <c r="D65" i="11" s="1"/>
  <c r="F92" i="9"/>
  <c r="E65" i="11" s="1"/>
  <c r="H65" i="11" s="1"/>
  <c r="AC91" i="9"/>
  <c r="T91" i="9"/>
  <c r="R91" i="9"/>
  <c r="O91" i="9"/>
  <c r="G91" i="9"/>
  <c r="F91" i="9"/>
  <c r="L91" i="9" s="1"/>
  <c r="AC90" i="9"/>
  <c r="U90" i="9"/>
  <c r="Y91" i="9" s="1"/>
  <c r="T90" i="9"/>
  <c r="R90" i="9"/>
  <c r="O90" i="9"/>
  <c r="G90" i="9"/>
  <c r="D64" i="11" s="1"/>
  <c r="F90" i="9"/>
  <c r="AC89" i="9"/>
  <c r="T89" i="9"/>
  <c r="R89" i="9"/>
  <c r="O89" i="9"/>
  <c r="G89" i="9"/>
  <c r="F89" i="9"/>
  <c r="AC88" i="9"/>
  <c r="T88" i="9"/>
  <c r="R88" i="9"/>
  <c r="O88" i="9"/>
  <c r="G88" i="9"/>
  <c r="D63" i="11" s="1"/>
  <c r="F88" i="9"/>
  <c r="AC87" i="9"/>
  <c r="U87" i="9"/>
  <c r="T87" i="9"/>
  <c r="R87" i="9"/>
  <c r="O87" i="9"/>
  <c r="L87" i="9"/>
  <c r="G87" i="9"/>
  <c r="F87" i="9"/>
  <c r="AC86" i="9"/>
  <c r="U86" i="9"/>
  <c r="Y87" i="9" s="1"/>
  <c r="T86" i="9"/>
  <c r="R86" i="9"/>
  <c r="O86" i="9"/>
  <c r="H86" i="9"/>
  <c r="P86" i="9" s="1"/>
  <c r="Q86" i="9" s="1"/>
  <c r="G86" i="9"/>
  <c r="D62" i="11" s="1"/>
  <c r="F86" i="9"/>
  <c r="L86" i="9" s="1"/>
  <c r="AC85" i="9"/>
  <c r="T85" i="9"/>
  <c r="R85" i="9"/>
  <c r="O85" i="9"/>
  <c r="G85" i="9"/>
  <c r="F85" i="9"/>
  <c r="L85" i="9" s="1"/>
  <c r="AC84" i="9"/>
  <c r="T84" i="9"/>
  <c r="R84" i="9"/>
  <c r="O84" i="9"/>
  <c r="G84" i="9"/>
  <c r="D61" i="11" s="1"/>
  <c r="F84" i="9"/>
  <c r="L84" i="9" s="1"/>
  <c r="AC83" i="9"/>
  <c r="T83" i="9"/>
  <c r="R83" i="9"/>
  <c r="O83" i="9"/>
  <c r="G83" i="9"/>
  <c r="F83" i="9"/>
  <c r="AC82" i="9"/>
  <c r="T82" i="9"/>
  <c r="R82" i="9"/>
  <c r="O82" i="9"/>
  <c r="G82" i="9"/>
  <c r="D60" i="11" s="1"/>
  <c r="F82" i="9"/>
  <c r="L82" i="9" s="1"/>
  <c r="AC81" i="9"/>
  <c r="T81" i="9"/>
  <c r="R81" i="9"/>
  <c r="O81" i="9"/>
  <c r="G81" i="9"/>
  <c r="F81" i="9"/>
  <c r="L81" i="9" s="1"/>
  <c r="AC80" i="9"/>
  <c r="T80" i="9"/>
  <c r="R80" i="9"/>
  <c r="O80" i="9"/>
  <c r="G80" i="9"/>
  <c r="D59" i="11" s="1"/>
  <c r="F80" i="9"/>
  <c r="L80" i="9" s="1"/>
  <c r="AC79" i="9"/>
  <c r="U79" i="9"/>
  <c r="T79" i="9"/>
  <c r="R79" i="9"/>
  <c r="O79" i="9"/>
  <c r="G79" i="9"/>
  <c r="F79" i="9"/>
  <c r="L79" i="9" s="1"/>
  <c r="AC78" i="9"/>
  <c r="U78" i="9"/>
  <c r="T78" i="9"/>
  <c r="R78" i="9"/>
  <c r="O78" i="9"/>
  <c r="G78" i="9"/>
  <c r="F78" i="9"/>
  <c r="AC77" i="9"/>
  <c r="U77" i="9"/>
  <c r="Y77" i="9" s="1"/>
  <c r="Z77" i="9" s="1"/>
  <c r="T77" i="9"/>
  <c r="R77" i="9"/>
  <c r="O77" i="9"/>
  <c r="G77" i="9"/>
  <c r="D58" i="11" s="1"/>
  <c r="F77" i="9"/>
  <c r="AC76" i="9"/>
  <c r="T76" i="9"/>
  <c r="R76" i="9"/>
  <c r="O76" i="9"/>
  <c r="G76" i="9"/>
  <c r="F76" i="9"/>
  <c r="AC75" i="9"/>
  <c r="T75" i="9"/>
  <c r="R75" i="9"/>
  <c r="O75" i="9"/>
  <c r="G75" i="9"/>
  <c r="D57" i="11" s="1"/>
  <c r="F75" i="9"/>
  <c r="E57" i="11" s="1"/>
  <c r="H57" i="11" s="1"/>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T71" i="9"/>
  <c r="R71" i="9"/>
  <c r="O71" i="9"/>
  <c r="G71" i="9"/>
  <c r="D55" i="11" s="1"/>
  <c r="F71" i="9"/>
  <c r="AC70" i="9"/>
  <c r="T70" i="9"/>
  <c r="R70" i="9"/>
  <c r="O70" i="9"/>
  <c r="G70" i="9"/>
  <c r="F70" i="9"/>
  <c r="L70" i="9" s="1"/>
  <c r="AC69" i="9"/>
  <c r="T69" i="9"/>
  <c r="R69" i="9"/>
  <c r="O69" i="9"/>
  <c r="G69" i="9"/>
  <c r="D54" i="11" s="1"/>
  <c r="F69" i="9"/>
  <c r="AC68" i="9"/>
  <c r="U68" i="9"/>
  <c r="Y67" i="9" s="1"/>
  <c r="T68" i="9"/>
  <c r="R68" i="9"/>
  <c r="O68" i="9"/>
  <c r="G68" i="9"/>
  <c r="F68" i="9"/>
  <c r="L68" i="9" s="1"/>
  <c r="AC67" i="9"/>
  <c r="U67" i="9"/>
  <c r="T67" i="9"/>
  <c r="R67" i="9"/>
  <c r="O67" i="9"/>
  <c r="G67" i="9"/>
  <c r="D53" i="11" s="1"/>
  <c r="F67" i="9"/>
  <c r="E53" i="11" s="1"/>
  <c r="H53" i="11" s="1"/>
  <c r="AC66" i="9"/>
  <c r="T66" i="9"/>
  <c r="R66" i="9"/>
  <c r="O66" i="9"/>
  <c r="G66" i="9"/>
  <c r="F66" i="9"/>
  <c r="AC65" i="9"/>
  <c r="T65" i="9"/>
  <c r="R65" i="9"/>
  <c r="O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E49" i="11" s="1"/>
  <c r="H49" i="11" s="1"/>
  <c r="AC58" i="9"/>
  <c r="T58" i="9"/>
  <c r="R58" i="9"/>
  <c r="O58" i="9"/>
  <c r="G58" i="9"/>
  <c r="F58" i="9"/>
  <c r="L58" i="9" s="1"/>
  <c r="AC57" i="9"/>
  <c r="T57" i="9"/>
  <c r="R57" i="9"/>
  <c r="O57" i="9"/>
  <c r="G57" i="9"/>
  <c r="D48" i="11" s="1"/>
  <c r="F57" i="9"/>
  <c r="E48" i="11" s="1"/>
  <c r="H48" i="11" s="1"/>
  <c r="AC56" i="9"/>
  <c r="T56" i="9"/>
  <c r="R56" i="9"/>
  <c r="O56" i="9"/>
  <c r="G56" i="9"/>
  <c r="F56" i="9"/>
  <c r="L56" i="9" s="1"/>
  <c r="AC55" i="9"/>
  <c r="T55" i="9"/>
  <c r="R55" i="9"/>
  <c r="O55" i="9"/>
  <c r="G55" i="9"/>
  <c r="D47" i="11" s="1"/>
  <c r="F55" i="9"/>
  <c r="E47" i="11" s="1"/>
  <c r="H47" i="11" s="1"/>
  <c r="AC54" i="9"/>
  <c r="T54" i="9"/>
  <c r="R54" i="9"/>
  <c r="O54" i="9"/>
  <c r="G54" i="9"/>
  <c r="F54" i="9"/>
  <c r="L54" i="9" s="1"/>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50" i="9" s="1"/>
  <c r="T49" i="9"/>
  <c r="R49" i="9"/>
  <c r="O49" i="9"/>
  <c r="G49" i="9"/>
  <c r="D44" i="11" s="1"/>
  <c r="F49" i="9"/>
  <c r="E44" i="11" s="1"/>
  <c r="H44" i="11" s="1"/>
  <c r="AC48" i="9"/>
  <c r="T48" i="9"/>
  <c r="R48" i="9"/>
  <c r="O48" i="9"/>
  <c r="G48" i="9"/>
  <c r="F48" i="9"/>
  <c r="L48" i="9" s="1"/>
  <c r="AC47" i="9"/>
  <c r="T47" i="9"/>
  <c r="R47" i="9"/>
  <c r="O47" i="9"/>
  <c r="G47" i="9"/>
  <c r="D43" i="11" s="1"/>
  <c r="F47" i="9"/>
  <c r="E43" i="11" s="1"/>
  <c r="H43" i="11"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3" i="9" s="1"/>
  <c r="Z43" i="9" s="1"/>
  <c r="T43" i="9"/>
  <c r="R43" i="9"/>
  <c r="O43" i="9"/>
  <c r="G43" i="9"/>
  <c r="D41" i="11" s="1"/>
  <c r="F43" i="9"/>
  <c r="AC42" i="9"/>
  <c r="T42" i="9"/>
  <c r="R42" i="9"/>
  <c r="O42" i="9"/>
  <c r="G42" i="9"/>
  <c r="F42" i="9"/>
  <c r="L42" i="9" s="1"/>
  <c r="AC41" i="9"/>
  <c r="T41" i="9"/>
  <c r="R41" i="9"/>
  <c r="O41" i="9"/>
  <c r="G41" i="9"/>
  <c r="D40" i="11" s="1"/>
  <c r="F41" i="9"/>
  <c r="L41" i="9" s="1"/>
  <c r="AC40" i="9"/>
  <c r="T40" i="9"/>
  <c r="R40" i="9"/>
  <c r="O40" i="9"/>
  <c r="G40" i="9"/>
  <c r="F40" i="9"/>
  <c r="L40" i="9" s="1"/>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AC34" i="9"/>
  <c r="T34" i="9"/>
  <c r="R34" i="9"/>
  <c r="O34" i="9"/>
  <c r="L34" i="9"/>
  <c r="G34" i="9"/>
  <c r="F34" i="9"/>
  <c r="AC33" i="9"/>
  <c r="T33" i="9"/>
  <c r="R33" i="9"/>
  <c r="O33" i="9"/>
  <c r="G33" i="9"/>
  <c r="D36" i="11" s="1"/>
  <c r="F33" i="9"/>
  <c r="E36" i="11" s="1"/>
  <c r="H36" i="11" s="1"/>
  <c r="AC32" i="9"/>
  <c r="T32" i="9"/>
  <c r="R32" i="9"/>
  <c r="O32" i="9"/>
  <c r="G32" i="9"/>
  <c r="F32" i="9"/>
  <c r="L32" i="9" s="1"/>
  <c r="AC31" i="9"/>
  <c r="T31" i="9"/>
  <c r="R31" i="9"/>
  <c r="O31" i="9"/>
  <c r="G31" i="9"/>
  <c r="D35" i="11" s="1"/>
  <c r="F31" i="9"/>
  <c r="E35" i="11" s="1"/>
  <c r="H35" i="11" s="1"/>
  <c r="AC30" i="9"/>
  <c r="U30" i="9"/>
  <c r="T30" i="9"/>
  <c r="R30" i="9"/>
  <c r="O30" i="9"/>
  <c r="H30" i="9"/>
  <c r="G30" i="9"/>
  <c r="F30" i="9"/>
  <c r="L30" i="9" s="1"/>
  <c r="AC29" i="9"/>
  <c r="U29" i="9"/>
  <c r="Y29" i="9" s="1"/>
  <c r="Z29" i="9" s="1"/>
  <c r="T29" i="9"/>
  <c r="R29" i="9"/>
  <c r="O29" i="9"/>
  <c r="G29" i="9"/>
  <c r="D34" i="11" s="1"/>
  <c r="F29" i="9"/>
  <c r="E34" i="11" s="1"/>
  <c r="H34" i="11" s="1"/>
  <c r="AC28" i="9"/>
  <c r="T28" i="9"/>
  <c r="R28" i="9"/>
  <c r="O28" i="9"/>
  <c r="G28" i="9"/>
  <c r="F28" i="9"/>
  <c r="L28" i="9" s="1"/>
  <c r="AC27" i="9"/>
  <c r="T27" i="9"/>
  <c r="R27" i="9"/>
  <c r="O27" i="9"/>
  <c r="G27" i="9"/>
  <c r="D33" i="11" s="1"/>
  <c r="F27" i="9"/>
  <c r="AC26" i="9"/>
  <c r="T26" i="9"/>
  <c r="R26" i="9"/>
  <c r="O26" i="9"/>
  <c r="G26" i="9"/>
  <c r="F26" i="9"/>
  <c r="L26" i="9" s="1"/>
  <c r="AC25" i="9"/>
  <c r="T25" i="9"/>
  <c r="R25" i="9"/>
  <c r="O25" i="9"/>
  <c r="G25" i="9"/>
  <c r="D32" i="11" s="1"/>
  <c r="F25" i="9"/>
  <c r="L25" i="9" s="1"/>
  <c r="AC24" i="9"/>
  <c r="U24" i="9"/>
  <c r="Y23" i="9" s="1"/>
  <c r="T24" i="9"/>
  <c r="R24" i="9"/>
  <c r="O24" i="9"/>
  <c r="G24" i="9"/>
  <c r="F24" i="9"/>
  <c r="AC23" i="9"/>
  <c r="U23" i="9"/>
  <c r="T23" i="9"/>
  <c r="R23" i="9"/>
  <c r="O23" i="9"/>
  <c r="G23" i="9"/>
  <c r="D31" i="11" s="1"/>
  <c r="F23" i="9"/>
  <c r="L23" i="9" s="1"/>
  <c r="AC22" i="9"/>
  <c r="T22" i="9"/>
  <c r="R22" i="9"/>
  <c r="O22" i="9"/>
  <c r="G22" i="9"/>
  <c r="F22" i="9"/>
  <c r="P22" i="6" s="1"/>
  <c r="R22" i="6" s="1"/>
  <c r="AC21" i="9"/>
  <c r="T21" i="9"/>
  <c r="R21" i="9"/>
  <c r="O21" i="9"/>
  <c r="G21" i="9"/>
  <c r="D30" i="11" s="1"/>
  <c r="F21" i="9"/>
  <c r="L21" i="9" s="1"/>
  <c r="AC20" i="9"/>
  <c r="T20" i="9"/>
  <c r="R20" i="9"/>
  <c r="O20" i="9"/>
  <c r="G20" i="9"/>
  <c r="F20" i="9"/>
  <c r="AC19" i="9"/>
  <c r="T19" i="9"/>
  <c r="R19" i="9"/>
  <c r="O19" i="9"/>
  <c r="G19" i="9"/>
  <c r="D29" i="11" s="1"/>
  <c r="F19" i="9"/>
  <c r="P19" i="6" s="1"/>
  <c r="AC18" i="9"/>
  <c r="T18" i="9"/>
  <c r="R18" i="9"/>
  <c r="O18" i="9"/>
  <c r="G18" i="9"/>
  <c r="F18" i="9"/>
  <c r="AC17" i="9"/>
  <c r="T17" i="9"/>
  <c r="R17" i="9"/>
  <c r="O17" i="9"/>
  <c r="G17" i="9"/>
  <c r="D28" i="11" s="1"/>
  <c r="F17" i="9"/>
  <c r="L17" i="9" s="1"/>
  <c r="AC16" i="9"/>
  <c r="U16" i="9"/>
  <c r="Y15" i="9" s="1"/>
  <c r="T16" i="9"/>
  <c r="R16" i="9"/>
  <c r="O16" i="9"/>
  <c r="G16" i="9"/>
  <c r="F16" i="9"/>
  <c r="P16" i="6" s="1"/>
  <c r="AC15" i="9"/>
  <c r="U15" i="9"/>
  <c r="T15" i="9"/>
  <c r="R15" i="9"/>
  <c r="O15" i="9"/>
  <c r="G15" i="9"/>
  <c r="D27" i="11" s="1"/>
  <c r="F15" i="9"/>
  <c r="L15" i="9" s="1"/>
  <c r="AC14" i="9"/>
  <c r="U14" i="9"/>
  <c r="T14" i="9"/>
  <c r="R14" i="9"/>
  <c r="O14" i="9"/>
  <c r="H14" i="9"/>
  <c r="G14" i="9"/>
  <c r="F14" i="9"/>
  <c r="P14" i="6" s="1"/>
  <c r="AC13" i="9"/>
  <c r="U13" i="9"/>
  <c r="T13" i="9"/>
  <c r="R13" i="9"/>
  <c r="O13" i="9"/>
  <c r="G13" i="9"/>
  <c r="F13" i="9"/>
  <c r="P13" i="6" s="1"/>
  <c r="AC12" i="9"/>
  <c r="U12" i="9"/>
  <c r="T12" i="9"/>
  <c r="R12" i="9"/>
  <c r="O12" i="9"/>
  <c r="H12" i="9"/>
  <c r="G12" i="9"/>
  <c r="F12" i="9"/>
  <c r="AC11" i="9"/>
  <c r="U11" i="9"/>
  <c r="T11" i="9"/>
  <c r="R11" i="9"/>
  <c r="O11" i="9"/>
  <c r="H11" i="9"/>
  <c r="G11" i="9"/>
  <c r="F11" i="9"/>
  <c r="L11" i="9" s="1"/>
  <c r="AC10" i="9"/>
  <c r="U10" i="9"/>
  <c r="T10" i="9"/>
  <c r="R10" i="9"/>
  <c r="O10" i="9"/>
  <c r="G10" i="9"/>
  <c r="F10" i="9"/>
  <c r="P10" i="6" s="1"/>
  <c r="E12" i="2" s="1"/>
  <c r="AC9" i="9"/>
  <c r="U9" i="9"/>
  <c r="T9" i="9"/>
  <c r="R9" i="9"/>
  <c r="O9" i="9"/>
  <c r="H9" i="9"/>
  <c r="G9" i="9"/>
  <c r="F9" i="9"/>
  <c r="L9" i="9" s="1"/>
  <c r="AC8" i="9"/>
  <c r="U8" i="9"/>
  <c r="T8" i="9"/>
  <c r="R8" i="9"/>
  <c r="O8" i="9"/>
  <c r="G8" i="9"/>
  <c r="F8" i="9"/>
  <c r="P8" i="6" s="1"/>
  <c r="E10" i="2" s="1"/>
  <c r="AC7" i="9"/>
  <c r="U7" i="9"/>
  <c r="Y12" i="9" s="1"/>
  <c r="T7" i="9"/>
  <c r="R7" i="9"/>
  <c r="O7" i="9"/>
  <c r="H7" i="9"/>
  <c r="P13" i="9" s="1"/>
  <c r="G7" i="9"/>
  <c r="D26" i="11" s="1"/>
  <c r="F7" i="9"/>
  <c r="L7" i="9" s="1"/>
  <c r="AC6" i="9"/>
  <c r="Y6" i="9"/>
  <c r="U6" i="9"/>
  <c r="T6" i="9"/>
  <c r="R6" i="9"/>
  <c r="P6" i="9"/>
  <c r="O6" i="9"/>
  <c r="H6" i="9"/>
  <c r="G6" i="9"/>
  <c r="F6" i="9"/>
  <c r="L6" i="9" s="1"/>
  <c r="AC5" i="9"/>
  <c r="Y5" i="9"/>
  <c r="U5" i="9"/>
  <c r="T5" i="9"/>
  <c r="R5" i="9"/>
  <c r="P5" i="9"/>
  <c r="O5" i="9"/>
  <c r="H5" i="9"/>
  <c r="G5" i="9"/>
  <c r="F5" i="9"/>
  <c r="AC4" i="9"/>
  <c r="Y4" i="9"/>
  <c r="Z4" i="9" s="1"/>
  <c r="U4" i="9"/>
  <c r="T4" i="9"/>
  <c r="V4" i="9" s="1"/>
  <c r="W5" i="9" s="1"/>
  <c r="R4" i="9"/>
  <c r="O4" i="9"/>
  <c r="H4" i="9"/>
  <c r="P4" i="9" s="1"/>
  <c r="Q4" i="9" s="1"/>
  <c r="G4" i="9"/>
  <c r="D25" i="11" s="1"/>
  <c r="F4" i="9"/>
  <c r="L4" i="9"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D34" i="8" s="1"/>
  <c r="C33" i="8"/>
  <c r="B33" i="8"/>
  <c r="C32" i="8"/>
  <c r="B32" i="8"/>
  <c r="C31" i="8"/>
  <c r="B31" i="8"/>
  <c r="C30" i="8"/>
  <c r="B30" i="8"/>
  <c r="C29" i="8"/>
  <c r="B29" i="8"/>
  <c r="C28" i="8"/>
  <c r="B28" i="8"/>
  <c r="C27" i="8"/>
  <c r="B27" i="8"/>
  <c r="C26" i="8"/>
  <c r="B26" i="8"/>
  <c r="C25" i="8"/>
  <c r="B25" i="8"/>
  <c r="C24" i="8"/>
  <c r="B24" i="8"/>
  <c r="C23" i="8"/>
  <c r="B23" i="8"/>
  <c r="D17" i="8"/>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L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E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P24" i="6"/>
  <c r="E26" i="2" s="1"/>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P20" i="6"/>
  <c r="E22" i="2" s="1"/>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P18" i="6"/>
  <c r="R18" i="6" s="1"/>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P12" i="6"/>
  <c r="E14" i="2" s="1"/>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P11" i="6"/>
  <c r="R11" i="6"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L54" i="6" s="1"/>
  <c r="D68" i="8" s="1"/>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O52" i="6" s="1"/>
  <c r="B71" i="8" s="1"/>
  <c r="N8" i="6"/>
  <c r="N52" i="6" s="1"/>
  <c r="B70" i="8" s="1"/>
  <c r="M8" i="6"/>
  <c r="M52" i="6" s="1"/>
  <c r="B69" i="8" s="1"/>
  <c r="L8" i="6"/>
  <c r="L52" i="6" s="1"/>
  <c r="B68" i="8" s="1"/>
  <c r="K8" i="6"/>
  <c r="J8" i="6"/>
  <c r="I8" i="6"/>
  <c r="H8" i="6"/>
  <c r="G8" i="6"/>
  <c r="F8" i="6"/>
  <c r="F52" i="6" s="1"/>
  <c r="B62" i="8" s="1"/>
  <c r="E8" i="6"/>
  <c r="D8" i="6"/>
  <c r="D52" i="6" s="1"/>
  <c r="B60" i="8" s="1"/>
  <c r="C8" i="6"/>
  <c r="C52" i="6" s="1"/>
  <c r="B59" i="8" s="1"/>
  <c r="B8" i="6"/>
  <c r="B52"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3" i="4"/>
  <c r="E23" i="4"/>
  <c r="G23" i="4" s="1"/>
  <c r="F22" i="4"/>
  <c r="E22" i="4"/>
  <c r="F21" i="4"/>
  <c r="E21" i="4"/>
  <c r="G21" i="4" s="1"/>
  <c r="F20" i="4"/>
  <c r="E20" i="4"/>
  <c r="H20" i="4" s="1"/>
  <c r="F19" i="4"/>
  <c r="E19" i="4"/>
  <c r="H19" i="4" s="1"/>
  <c r="F18" i="4"/>
  <c r="E18" i="4"/>
  <c r="F17" i="4"/>
  <c r="E17" i="4"/>
  <c r="F16" i="4"/>
  <c r="E16" i="4"/>
  <c r="F15" i="4"/>
  <c r="E15" i="4"/>
  <c r="H15" i="4" s="1"/>
  <c r="F14" i="4"/>
  <c r="E14" i="4"/>
  <c r="H14" i="4" s="1"/>
  <c r="B14" i="4"/>
  <c r="F13" i="4"/>
  <c r="E13" i="4"/>
  <c r="F12" i="4"/>
  <c r="E12" i="4"/>
  <c r="G12" i="4" s="1"/>
  <c r="F11" i="4"/>
  <c r="E11" i="4"/>
  <c r="H11" i="4" s="1"/>
  <c r="F10" i="4"/>
  <c r="E10" i="4"/>
  <c r="F9" i="4"/>
  <c r="E9" i="4"/>
  <c r="F8" i="4"/>
  <c r="E8" i="4"/>
  <c r="H8" i="4" s="1"/>
  <c r="F7" i="4"/>
  <c r="E7" i="4"/>
  <c r="F6" i="4"/>
  <c r="E6" i="4"/>
  <c r="H6" i="4" s="1"/>
  <c r="F5" i="4"/>
  <c r="E5" i="4"/>
  <c r="P18" i="3"/>
  <c r="K18" i="3"/>
  <c r="AE16" i="11" s="1"/>
  <c r="E18" i="3"/>
  <c r="D18" i="3"/>
  <c r="AD16" i="11" s="1"/>
  <c r="R16" i="3"/>
  <c r="P16" i="3"/>
  <c r="K16" i="3"/>
  <c r="AE10" i="11" s="1"/>
  <c r="E16" i="3"/>
  <c r="D16" i="3"/>
  <c r="AD10" i="11" s="1"/>
  <c r="R15" i="3"/>
  <c r="P15" i="3"/>
  <c r="K15" i="3"/>
  <c r="AE20" i="11" s="1"/>
  <c r="J15" i="3"/>
  <c r="I15" i="3"/>
  <c r="H15" i="3"/>
  <c r="E15" i="3"/>
  <c r="D15" i="3"/>
  <c r="AD20" i="11" s="1"/>
  <c r="AF20" i="11" s="1"/>
  <c r="W15" i="3" s="1"/>
  <c r="C15" i="3"/>
  <c r="R17" i="3"/>
  <c r="P17" i="3"/>
  <c r="K17" i="3"/>
  <c r="AE12" i="11" s="1"/>
  <c r="E17" i="3"/>
  <c r="D17" i="3"/>
  <c r="AD12" i="11" s="1"/>
  <c r="P14" i="3"/>
  <c r="O14" i="3"/>
  <c r="K14" i="3"/>
  <c r="AE9" i="11" s="1"/>
  <c r="E14" i="3"/>
  <c r="D14" i="3"/>
  <c r="AD9" i="11" s="1"/>
  <c r="R13" i="3"/>
  <c r="P13" i="3"/>
  <c r="K13" i="3"/>
  <c r="AE19" i="11" s="1"/>
  <c r="E13" i="3"/>
  <c r="D13" i="3"/>
  <c r="AD19" i="11" s="1"/>
  <c r="R12" i="3"/>
  <c r="P12" i="3"/>
  <c r="K12" i="3"/>
  <c r="AE18" i="11" s="1"/>
  <c r="E12" i="3"/>
  <c r="D12" i="3"/>
  <c r="AD18" i="11" s="1"/>
  <c r="P11" i="3"/>
  <c r="K11" i="3"/>
  <c r="AE8" i="11" s="1"/>
  <c r="E11" i="3"/>
  <c r="D11" i="3"/>
  <c r="AD8" i="11" s="1"/>
  <c r="P10" i="3"/>
  <c r="O10" i="3"/>
  <c r="K10" i="3"/>
  <c r="AE14" i="11" s="1"/>
  <c r="E10" i="3"/>
  <c r="D10" i="3"/>
  <c r="AD14" i="11" s="1"/>
  <c r="P6" i="3"/>
  <c r="K6" i="3"/>
  <c r="AE17" i="11" s="1"/>
  <c r="E6" i="3"/>
  <c r="D6" i="3"/>
  <c r="AD17" i="11" s="1"/>
  <c r="R9" i="3"/>
  <c r="P9" i="3"/>
  <c r="K9" i="3"/>
  <c r="AE13" i="11" s="1"/>
  <c r="E9" i="3"/>
  <c r="D9" i="3"/>
  <c r="AD13" i="11" s="1"/>
  <c r="P8" i="3"/>
  <c r="K8" i="3"/>
  <c r="AE7" i="11" s="1"/>
  <c r="E8" i="3"/>
  <c r="D8" i="3"/>
  <c r="AD7" i="11" s="1"/>
  <c r="P7" i="3"/>
  <c r="K7" i="3"/>
  <c r="AE11" i="11" s="1"/>
  <c r="E7" i="3"/>
  <c r="D7" i="3"/>
  <c r="AD11" i="11" s="1"/>
  <c r="R5" i="3"/>
  <c r="P5" i="3"/>
  <c r="K5" i="3"/>
  <c r="AE15" i="11" s="1"/>
  <c r="E5" i="3"/>
  <c r="D5" i="3"/>
  <c r="M2" i="3"/>
  <c r="A28" i="2"/>
  <c r="A27" i="2"/>
  <c r="A26" i="2"/>
  <c r="A25" i="2"/>
  <c r="A24" i="2"/>
  <c r="A23" i="2"/>
  <c r="A22" i="2"/>
  <c r="A21" i="2"/>
  <c r="A20" i="2"/>
  <c r="A19" i="2"/>
  <c r="A18" i="2"/>
  <c r="A17" i="2"/>
  <c r="A16" i="2"/>
  <c r="A15" i="2"/>
  <c r="A14" i="2"/>
  <c r="A13" i="2"/>
  <c r="A12" i="2"/>
  <c r="A11" i="2"/>
  <c r="A10" i="2"/>
  <c r="F22" i="7"/>
  <c r="S284" i="9" l="1"/>
  <c r="I284" i="9" s="1"/>
  <c r="K284" i="9" s="1"/>
  <c r="S285" i="9"/>
  <c r="I285" i="9" s="1"/>
  <c r="G10" i="11"/>
  <c r="O10" i="11" s="1"/>
  <c r="B27" i="4"/>
  <c r="P26" i="6"/>
  <c r="E28" i="2" s="1"/>
  <c r="L196" i="9"/>
  <c r="G20" i="11"/>
  <c r="H20" i="11" s="1"/>
  <c r="O15" i="3" s="1"/>
  <c r="S283" i="9"/>
  <c r="I283" i="9" s="1"/>
  <c r="K283" i="9" s="1"/>
  <c r="S282" i="9"/>
  <c r="I282" i="9" s="1"/>
  <c r="G85" i="6"/>
  <c r="S85" i="6" s="1"/>
  <c r="G17" i="4"/>
  <c r="L164" i="9"/>
  <c r="P21" i="6"/>
  <c r="E23" i="2" s="1"/>
  <c r="P17" i="6"/>
  <c r="R17" i="6" s="1"/>
  <c r="L49" i="9"/>
  <c r="Z123" i="9"/>
  <c r="S281" i="9"/>
  <c r="I281" i="9" s="1"/>
  <c r="G65" i="6"/>
  <c r="O63" i="8" s="1"/>
  <c r="S280" i="9"/>
  <c r="I280" i="9" s="1"/>
  <c r="K280" i="9" s="1"/>
  <c r="G75" i="6"/>
  <c r="G12" i="3"/>
  <c r="X18" i="11" s="1"/>
  <c r="G84" i="6"/>
  <c r="E75" i="6"/>
  <c r="E76" i="6"/>
  <c r="F17" i="3"/>
  <c r="G60" i="6"/>
  <c r="J63" i="8" s="1"/>
  <c r="L65" i="6"/>
  <c r="O68" i="8" s="1"/>
  <c r="D65" i="6"/>
  <c r="O60" i="8" s="1"/>
  <c r="E24" i="2"/>
  <c r="I65" i="6"/>
  <c r="O65" i="8" s="1"/>
  <c r="B65" i="6"/>
  <c r="O58" i="8" s="1"/>
  <c r="S92" i="9"/>
  <c r="I92" i="9" s="1"/>
  <c r="K92" i="9" s="1"/>
  <c r="Q19" i="11"/>
  <c r="R19" i="11" s="1"/>
  <c r="P23" i="6"/>
  <c r="E25" i="2" s="1"/>
  <c r="P9" i="6"/>
  <c r="L65" i="9"/>
  <c r="L63" i="9"/>
  <c r="L73" i="9"/>
  <c r="P15" i="6"/>
  <c r="R15" i="6" s="1"/>
  <c r="P25" i="6"/>
  <c r="E27" i="2" s="1"/>
  <c r="L252" i="9"/>
  <c r="S146" i="9"/>
  <c r="I146" i="9" s="1"/>
  <c r="L172" i="9"/>
  <c r="L19" i="9"/>
  <c r="L33" i="9"/>
  <c r="L45" i="9"/>
  <c r="L188" i="9"/>
  <c r="L229" i="9"/>
  <c r="L13" i="9"/>
  <c r="L75" i="9"/>
  <c r="L104" i="9"/>
  <c r="L156" i="9"/>
  <c r="Y133" i="9"/>
  <c r="L39" i="9"/>
  <c r="L92" i="9"/>
  <c r="L102" i="9"/>
  <c r="L146" i="9"/>
  <c r="L184" i="9"/>
  <c r="L235" i="9"/>
  <c r="S136" i="9"/>
  <c r="I136" i="9" s="1"/>
  <c r="S241" i="9"/>
  <c r="I241" i="9" s="1"/>
  <c r="K241" i="9" s="1"/>
  <c r="S271" i="9"/>
  <c r="I271" i="9" s="1"/>
  <c r="K271" i="9" s="1"/>
  <c r="S76" i="9"/>
  <c r="I76" i="9" s="1"/>
  <c r="K76" i="9" s="1"/>
  <c r="S244" i="9"/>
  <c r="I244" i="9" s="1"/>
  <c r="F122" i="11" s="1"/>
  <c r="S23" i="9"/>
  <c r="I23" i="9" s="1"/>
  <c r="K23" i="9" s="1"/>
  <c r="E83" i="6"/>
  <c r="F64" i="6"/>
  <c r="N62" i="8" s="1"/>
  <c r="S274" i="9"/>
  <c r="I274" i="9" s="1"/>
  <c r="S107" i="9"/>
  <c r="I107" i="9" s="1"/>
  <c r="K107" i="9" s="1"/>
  <c r="E86" i="6"/>
  <c r="S97" i="9"/>
  <c r="I97" i="9" s="1"/>
  <c r="Y78" i="9"/>
  <c r="Z78" i="9" s="1"/>
  <c r="O9" i="11"/>
  <c r="E69" i="6"/>
  <c r="S61" i="8" s="1"/>
  <c r="F70" i="6"/>
  <c r="T62" i="8" s="1"/>
  <c r="S278" i="9"/>
  <c r="I278" i="9" s="1"/>
  <c r="K278" i="9" s="1"/>
  <c r="G69" i="6"/>
  <c r="S63" i="8" s="1"/>
  <c r="J56" i="6"/>
  <c r="F66" i="8" s="1"/>
  <c r="K56" i="6"/>
  <c r="F67" i="8" s="1"/>
  <c r="G18" i="11"/>
  <c r="H18" i="11" s="1"/>
  <c r="O12" i="3" s="1"/>
  <c r="B63" i="6"/>
  <c r="M58" i="8" s="1"/>
  <c r="S279" i="9"/>
  <c r="I279" i="9" s="1"/>
  <c r="G78" i="6"/>
  <c r="F63" i="6"/>
  <c r="M62" i="8" s="1"/>
  <c r="G11" i="11"/>
  <c r="H11" i="11" s="1"/>
  <c r="O7" i="3" s="1"/>
  <c r="S48" i="9"/>
  <c r="I48" i="9" s="1"/>
  <c r="K48" i="9" s="1"/>
  <c r="S243" i="9"/>
  <c r="I243" i="9" s="1"/>
  <c r="K243" i="9" s="1"/>
  <c r="S254" i="9"/>
  <c r="I254" i="9" s="1"/>
  <c r="F8" i="3"/>
  <c r="F10" i="3"/>
  <c r="S276" i="9"/>
  <c r="I276" i="9" s="1"/>
  <c r="B10" i="4"/>
  <c r="G8" i="3"/>
  <c r="X7" i="11" s="1"/>
  <c r="G12" i="11"/>
  <c r="O12" i="11" s="1"/>
  <c r="S225" i="9"/>
  <c r="I225" i="9" s="1"/>
  <c r="K225" i="9" s="1"/>
  <c r="S4" i="9"/>
  <c r="I4" i="9" s="1"/>
  <c r="G64" i="6"/>
  <c r="N63" i="8" s="1"/>
  <c r="G76" i="6"/>
  <c r="G81" i="6"/>
  <c r="G15" i="11"/>
  <c r="H15" i="11" s="1"/>
  <c r="O5" i="3" s="1"/>
  <c r="G63" i="6"/>
  <c r="M63" i="8" s="1"/>
  <c r="I64" i="6"/>
  <c r="N65" i="8" s="1"/>
  <c r="S25" i="9"/>
  <c r="I25" i="9" s="1"/>
  <c r="K25" i="9" s="1"/>
  <c r="G19" i="11"/>
  <c r="H19" i="11" s="1"/>
  <c r="O13" i="3" s="1"/>
  <c r="I63" i="6"/>
  <c r="M65" i="8" s="1"/>
  <c r="G86" i="6"/>
  <c r="D31" i="8"/>
  <c r="G16" i="11"/>
  <c r="H16" i="11" s="1"/>
  <c r="O18" i="3" s="1"/>
  <c r="F9" i="3"/>
  <c r="D24" i="8"/>
  <c r="D32" i="8"/>
  <c r="S74" i="9"/>
  <c r="I74" i="9" s="1"/>
  <c r="K74" i="9" s="1"/>
  <c r="V9" i="11"/>
  <c r="B54" i="6"/>
  <c r="D58" i="8" s="1"/>
  <c r="E78" i="6"/>
  <c r="G13" i="11"/>
  <c r="H13" i="11" s="1"/>
  <c r="O9" i="3" s="1"/>
  <c r="S72" i="9"/>
  <c r="I72" i="9" s="1"/>
  <c r="K72" i="9" s="1"/>
  <c r="S122" i="9"/>
  <c r="I122" i="9" s="1"/>
  <c r="S235" i="9"/>
  <c r="I235" i="9" s="1"/>
  <c r="L278" i="9"/>
  <c r="C21" i="7"/>
  <c r="F21" i="7" s="1"/>
  <c r="G13" i="3"/>
  <c r="X19" i="11" s="1"/>
  <c r="F18" i="3"/>
  <c r="H57" i="6"/>
  <c r="G64" i="8" s="1"/>
  <c r="L60" i="6"/>
  <c r="J68" i="8" s="1"/>
  <c r="D67" i="6"/>
  <c r="Q60" i="8" s="1"/>
  <c r="F69" i="6"/>
  <c r="S62" i="8" s="1"/>
  <c r="E84" i="6"/>
  <c r="S44" i="9"/>
  <c r="I44" i="9" s="1"/>
  <c r="K44" i="9" s="1"/>
  <c r="S65" i="9"/>
  <c r="I65" i="9" s="1"/>
  <c r="F52" i="11" s="1"/>
  <c r="G52" i="11" s="1"/>
  <c r="I52" i="11" s="1"/>
  <c r="Y52" i="11" s="1"/>
  <c r="G7" i="4"/>
  <c r="F54" i="6"/>
  <c r="D62" i="8" s="1"/>
  <c r="H56" i="6"/>
  <c r="F64" i="8" s="1"/>
  <c r="G5" i="3"/>
  <c r="X15" i="11" s="1"/>
  <c r="F15" i="3"/>
  <c r="G54" i="6"/>
  <c r="D63" i="8" s="1"/>
  <c r="I56" i="6"/>
  <c r="F65" i="8" s="1"/>
  <c r="L69" i="6"/>
  <c r="S68" i="8" s="1"/>
  <c r="D27" i="8"/>
  <c r="V20" i="11"/>
  <c r="F5" i="3"/>
  <c r="G18" i="3"/>
  <c r="X16" i="11" s="1"/>
  <c r="G17" i="3"/>
  <c r="E80" i="6"/>
  <c r="S15" i="9"/>
  <c r="I15" i="9" s="1"/>
  <c r="K15" i="9" s="1"/>
  <c r="S222" i="9"/>
  <c r="I222" i="9" s="1"/>
  <c r="F112" i="11" s="1"/>
  <c r="G10" i="3"/>
  <c r="X14" i="11" s="1"/>
  <c r="F13" i="3"/>
  <c r="G80" i="6"/>
  <c r="H21" i="4"/>
  <c r="I57" i="6"/>
  <c r="G65" i="8" s="1"/>
  <c r="B64" i="6"/>
  <c r="N58" i="8" s="1"/>
  <c r="S121" i="9"/>
  <c r="I121" i="9" s="1"/>
  <c r="S273" i="9"/>
  <c r="I273" i="9" s="1"/>
  <c r="K273" i="9" s="1"/>
  <c r="S124" i="9"/>
  <c r="I124" i="9" s="1"/>
  <c r="F81" i="11" s="1"/>
  <c r="S253" i="9"/>
  <c r="I253" i="9" s="1"/>
  <c r="K253" i="9" s="1"/>
  <c r="S100" i="9"/>
  <c r="I100" i="9" s="1"/>
  <c r="C63" i="6"/>
  <c r="M59" i="8" s="1"/>
  <c r="N69" i="6"/>
  <c r="S70" i="8" s="1"/>
  <c r="S242" i="9"/>
  <c r="I242" i="9" s="1"/>
  <c r="K242" i="9" s="1"/>
  <c r="S245" i="9"/>
  <c r="I245" i="9" s="1"/>
  <c r="K245" i="9" s="1"/>
  <c r="G16" i="4"/>
  <c r="L56" i="6"/>
  <c r="F68" i="8" s="1"/>
  <c r="M69" i="6"/>
  <c r="S69" i="8" s="1"/>
  <c r="E63" i="6"/>
  <c r="M61" i="8" s="1"/>
  <c r="S46" i="9"/>
  <c r="I46" i="9" s="1"/>
  <c r="K46" i="9" s="1"/>
  <c r="S89" i="9"/>
  <c r="I89" i="9" s="1"/>
  <c r="K89" i="9" s="1"/>
  <c r="S240" i="9"/>
  <c r="I240" i="9" s="1"/>
  <c r="S87" i="9"/>
  <c r="I87" i="9" s="1"/>
  <c r="K87" i="9" s="1"/>
  <c r="S32" i="9"/>
  <c r="I32" i="9" s="1"/>
  <c r="K32" i="9" s="1"/>
  <c r="S78" i="9"/>
  <c r="I78" i="9" s="1"/>
  <c r="K78" i="9" s="1"/>
  <c r="S84" i="9"/>
  <c r="I84" i="9" s="1"/>
  <c r="S17" i="9"/>
  <c r="I17" i="9" s="1"/>
  <c r="K17" i="9" s="1"/>
  <c r="H63" i="6"/>
  <c r="M64" i="8" s="1"/>
  <c r="S64" i="9"/>
  <c r="I64" i="9" s="1"/>
  <c r="K64" i="9" s="1"/>
  <c r="D28" i="8"/>
  <c r="Z5" i="9"/>
  <c r="S188" i="9"/>
  <c r="I188" i="9" s="1"/>
  <c r="S234" i="9"/>
  <c r="I234" i="9" s="1"/>
  <c r="J63" i="6"/>
  <c r="M66" i="8" s="1"/>
  <c r="L64" i="6"/>
  <c r="N68" i="8" s="1"/>
  <c r="S230" i="9"/>
  <c r="I230" i="9" s="1"/>
  <c r="K230" i="9" s="1"/>
  <c r="S266" i="9"/>
  <c r="I266" i="9" s="1"/>
  <c r="V5" i="9"/>
  <c r="X5" i="9" s="1"/>
  <c r="J5" i="9" s="1"/>
  <c r="S10" i="9"/>
  <c r="I10" i="9" s="1"/>
  <c r="K10" i="9" s="1"/>
  <c r="C69" i="6"/>
  <c r="S59" i="8" s="1"/>
  <c r="G82" i="6"/>
  <c r="S82" i="6" s="1"/>
  <c r="S227" i="9"/>
  <c r="I227" i="9" s="1"/>
  <c r="G13" i="4"/>
  <c r="B67" i="6"/>
  <c r="Q58" i="8" s="1"/>
  <c r="D69" i="6"/>
  <c r="S60" i="8" s="1"/>
  <c r="Z12" i="9"/>
  <c r="AA12" i="9" s="1"/>
  <c r="AB12" i="9" s="1"/>
  <c r="E96" i="6" s="1"/>
  <c r="S157" i="9"/>
  <c r="I157" i="9" s="1"/>
  <c r="K157" i="9" s="1"/>
  <c r="K244" i="9"/>
  <c r="Y124" i="9"/>
  <c r="Z124" i="9" s="1"/>
  <c r="R16" i="6"/>
  <c r="F68" i="6"/>
  <c r="R62" i="8" s="1"/>
  <c r="S168" i="9"/>
  <c r="I168" i="9" s="1"/>
  <c r="K168" i="9" s="1"/>
  <c r="S179" i="9"/>
  <c r="I179" i="9" s="1"/>
  <c r="K179" i="9" s="1"/>
  <c r="S239" i="9"/>
  <c r="I239" i="9" s="1"/>
  <c r="K239" i="9" s="1"/>
  <c r="J69" i="6"/>
  <c r="S66" i="8" s="1"/>
  <c r="S186" i="9"/>
  <c r="I186" i="9" s="1"/>
  <c r="K186" i="9" s="1"/>
  <c r="S237" i="9"/>
  <c r="I237" i="9" s="1"/>
  <c r="Q18" i="6"/>
  <c r="I67" i="6"/>
  <c r="Q65" i="8" s="1"/>
  <c r="K69" i="6"/>
  <c r="S67" i="8" s="1"/>
  <c r="Q6" i="9"/>
  <c r="S18" i="9"/>
  <c r="I18" i="9" s="1"/>
  <c r="F28" i="11" s="1"/>
  <c r="S86" i="9"/>
  <c r="I86" i="9" s="1"/>
  <c r="F62" i="11" s="1"/>
  <c r="S165" i="9"/>
  <c r="I165" i="9" s="1"/>
  <c r="K165" i="9" s="1"/>
  <c r="S166" i="9"/>
  <c r="I166" i="9" s="1"/>
  <c r="K166" i="9" s="1"/>
  <c r="H69" i="6"/>
  <c r="S64" i="8" s="1"/>
  <c r="E19" i="2"/>
  <c r="Q13" i="6"/>
  <c r="G77" i="6"/>
  <c r="E34" i="8"/>
  <c r="F34" i="8" s="1"/>
  <c r="V86" i="9"/>
  <c r="W87" i="9" s="1"/>
  <c r="S145" i="9"/>
  <c r="I145" i="9" s="1"/>
  <c r="K145" i="9" s="1"/>
  <c r="S236" i="9"/>
  <c r="I236" i="9" s="1"/>
  <c r="K236" i="9" s="1"/>
  <c r="S248" i="9"/>
  <c r="I248" i="9" s="1"/>
  <c r="F124" i="11" s="1"/>
  <c r="S252" i="9"/>
  <c r="I252" i="9" s="1"/>
  <c r="F126" i="11" s="1"/>
  <c r="H23" i="4"/>
  <c r="Q16" i="6"/>
  <c r="I69" i="6"/>
  <c r="S65" i="8" s="1"/>
  <c r="I68" i="6"/>
  <c r="R65" i="8" s="1"/>
  <c r="V6" i="9"/>
  <c r="Z87" i="9"/>
  <c r="AA87" i="9" s="1"/>
  <c r="AB87" i="9" s="1"/>
  <c r="U89" i="9" s="1"/>
  <c r="S111" i="9"/>
  <c r="I111" i="9" s="1"/>
  <c r="K111" i="9" s="1"/>
  <c r="S171" i="9"/>
  <c r="I171" i="9" s="1"/>
  <c r="K171" i="9" s="1"/>
  <c r="S246" i="9"/>
  <c r="I246" i="9" s="1"/>
  <c r="F123" i="11" s="1"/>
  <c r="S38" i="9"/>
  <c r="I38" i="9" s="1"/>
  <c r="F38" i="11" s="1"/>
  <c r="G38" i="11" s="1"/>
  <c r="I38" i="11" s="1"/>
  <c r="Y38" i="11" s="1"/>
  <c r="S55" i="9"/>
  <c r="I55" i="9" s="1"/>
  <c r="K55" i="9" s="1"/>
  <c r="S62" i="9"/>
  <c r="I62" i="9" s="1"/>
  <c r="Y139" i="9"/>
  <c r="S8" i="9"/>
  <c r="I8" i="9" s="1"/>
  <c r="K8" i="9" s="1"/>
  <c r="S149" i="9"/>
  <c r="I149" i="9" s="1"/>
  <c r="K149" i="9" s="1"/>
  <c r="E18" i="2"/>
  <c r="E20" i="2"/>
  <c r="G20" i="4"/>
  <c r="Q10" i="6"/>
  <c r="R26" i="6"/>
  <c r="D29" i="8"/>
  <c r="D35" i="8"/>
  <c r="Z6" i="9"/>
  <c r="AA6" i="9" s="1"/>
  <c r="AB6" i="9" s="1"/>
  <c r="L99" i="6" s="1"/>
  <c r="S21" i="9"/>
  <c r="I21" i="9" s="1"/>
  <c r="F30" i="11" s="1"/>
  <c r="S30" i="9"/>
  <c r="I30" i="9" s="1"/>
  <c r="K30" i="9" s="1"/>
  <c r="S37" i="9"/>
  <c r="I37" i="9" s="1"/>
  <c r="K37" i="9" s="1"/>
  <c r="S52" i="9"/>
  <c r="I52" i="9" s="1"/>
  <c r="K52" i="9" s="1"/>
  <c r="S66" i="9"/>
  <c r="I66" i="9" s="1"/>
  <c r="K66" i="9" s="1"/>
  <c r="S118" i="9"/>
  <c r="I118" i="9" s="1"/>
  <c r="G14" i="4"/>
  <c r="C56" i="6"/>
  <c r="F59" i="8" s="1"/>
  <c r="D57" i="6"/>
  <c r="G60" i="8" s="1"/>
  <c r="L57" i="6"/>
  <c r="G68" i="8" s="1"/>
  <c r="Q26" i="6"/>
  <c r="G74" i="6"/>
  <c r="Y44" i="9"/>
  <c r="Z44" i="9" s="1"/>
  <c r="S257" i="9"/>
  <c r="I257" i="9" s="1"/>
  <c r="F128" i="11" s="1"/>
  <c r="E57" i="6"/>
  <c r="G61" i="8" s="1"/>
  <c r="S35" i="9"/>
  <c r="I35" i="9" s="1"/>
  <c r="F37" i="11" s="1"/>
  <c r="S109" i="9"/>
  <c r="I109" i="9" s="1"/>
  <c r="S126" i="9"/>
  <c r="I126" i="9" s="1"/>
  <c r="K126" i="9" s="1"/>
  <c r="S163" i="9"/>
  <c r="I163" i="9" s="1"/>
  <c r="K163" i="9" s="1"/>
  <c r="S238" i="9"/>
  <c r="I238" i="9" s="1"/>
  <c r="K238" i="9" s="1"/>
  <c r="G11" i="4"/>
  <c r="B57" i="6"/>
  <c r="G58" i="8" s="1"/>
  <c r="F60" i="6"/>
  <c r="J62" i="8" s="1"/>
  <c r="F57" i="6"/>
  <c r="G62" i="8" s="1"/>
  <c r="R23" i="6"/>
  <c r="B69" i="6"/>
  <c r="S58" i="8" s="1"/>
  <c r="D68" i="6"/>
  <c r="R60" i="8" s="1"/>
  <c r="P92" i="6"/>
  <c r="B11" i="2" s="1"/>
  <c r="D11" i="2" s="1"/>
  <c r="S19" i="9"/>
  <c r="I19" i="9" s="1"/>
  <c r="K19" i="9" s="1"/>
  <c r="S53" i="9"/>
  <c r="I53" i="9" s="1"/>
  <c r="F46" i="11" s="1"/>
  <c r="S231" i="9"/>
  <c r="I231" i="9" s="1"/>
  <c r="K231" i="9" s="1"/>
  <c r="G8" i="4"/>
  <c r="R12" i="6"/>
  <c r="R24" i="6"/>
  <c r="G10" i="4"/>
  <c r="D54" i="6"/>
  <c r="D60" i="8" s="1"/>
  <c r="G57" i="6"/>
  <c r="G63" i="8" s="1"/>
  <c r="L63" i="6"/>
  <c r="M68" i="8" s="1"/>
  <c r="G79" i="6"/>
  <c r="G87" i="6"/>
  <c r="S6" i="9"/>
  <c r="I6" i="9" s="1"/>
  <c r="K6" i="9" s="1"/>
  <c r="S26" i="9"/>
  <c r="I26" i="9" s="1"/>
  <c r="K26" i="9" s="1"/>
  <c r="V165" i="9"/>
  <c r="S207" i="9"/>
  <c r="I207" i="9" s="1"/>
  <c r="K207" i="9" s="1"/>
  <c r="S249" i="9"/>
  <c r="I249" i="9" s="1"/>
  <c r="K249" i="9" s="1"/>
  <c r="T19" i="11"/>
  <c r="T13" i="3" s="1"/>
  <c r="U13" i="11"/>
  <c r="U18" i="11"/>
  <c r="Q10" i="11"/>
  <c r="S16" i="3" s="1"/>
  <c r="Q14" i="11"/>
  <c r="S10" i="3" s="1"/>
  <c r="U11" i="11"/>
  <c r="U17" i="11"/>
  <c r="U7" i="11"/>
  <c r="U16" i="11"/>
  <c r="Q20" i="11"/>
  <c r="S15" i="3" s="1"/>
  <c r="U10" i="11"/>
  <c r="R20" i="11"/>
  <c r="S20" i="11" s="1"/>
  <c r="U9" i="11"/>
  <c r="Q11" i="11"/>
  <c r="S7" i="3" s="1"/>
  <c r="U14" i="11"/>
  <c r="R13" i="6"/>
  <c r="Q11" i="6"/>
  <c r="AG16" i="11"/>
  <c r="E13" i="2"/>
  <c r="E15" i="2"/>
  <c r="Q21" i="6"/>
  <c r="R21" i="6"/>
  <c r="R19" i="6"/>
  <c r="E21" i="2"/>
  <c r="C3" i="6"/>
  <c r="E16" i="2"/>
  <c r="R14" i="6"/>
  <c r="B23" i="7"/>
  <c r="Q14" i="6"/>
  <c r="Z15" i="11"/>
  <c r="B32" i="7"/>
  <c r="Y8" i="9"/>
  <c r="Z8" i="9" s="1"/>
  <c r="AA8" i="9" s="1"/>
  <c r="AB8" i="9" s="1"/>
  <c r="G96" i="6" s="1"/>
  <c r="S272" i="9"/>
  <c r="I272" i="9" s="1"/>
  <c r="K272" i="9" s="1"/>
  <c r="S176" i="9"/>
  <c r="I176" i="9" s="1"/>
  <c r="K176" i="9" s="1"/>
  <c r="L224" i="9"/>
  <c r="S247" i="9"/>
  <c r="I247" i="9" s="1"/>
  <c r="K247" i="9" s="1"/>
  <c r="S31" i="9"/>
  <c r="I31" i="9" s="1"/>
  <c r="F35" i="11" s="1"/>
  <c r="G35" i="11" s="1"/>
  <c r="I35" i="11" s="1"/>
  <c r="Y35" i="11" s="1"/>
  <c r="S56" i="9"/>
  <c r="I56" i="9" s="1"/>
  <c r="K56" i="9" s="1"/>
  <c r="L61" i="9"/>
  <c r="S158" i="9"/>
  <c r="I158" i="9" s="1"/>
  <c r="K158" i="9" s="1"/>
  <c r="L256" i="9"/>
  <c r="P97" i="6"/>
  <c r="B16" i="2" s="1"/>
  <c r="D16" i="2" s="1"/>
  <c r="S12" i="9"/>
  <c r="I12" i="9" s="1"/>
  <c r="K12" i="9" s="1"/>
  <c r="Y86" i="9"/>
  <c r="Z86" i="9" s="1"/>
  <c r="S144" i="9"/>
  <c r="I144" i="9" s="1"/>
  <c r="K144" i="9" s="1"/>
  <c r="S156" i="9"/>
  <c r="I156" i="9" s="1"/>
  <c r="K156" i="9" s="1"/>
  <c r="S232" i="9"/>
  <c r="I232" i="9" s="1"/>
  <c r="K232" i="9" s="1"/>
  <c r="L254" i="9"/>
  <c r="V12" i="9"/>
  <c r="S224" i="9"/>
  <c r="I224" i="9" s="1"/>
  <c r="K224" i="9" s="1"/>
  <c r="P14" i="9"/>
  <c r="Q14" i="9" s="1"/>
  <c r="S47" i="9"/>
  <c r="I47" i="9" s="1"/>
  <c r="F43" i="11" s="1"/>
  <c r="G43" i="11" s="1"/>
  <c r="I43" i="11" s="1"/>
  <c r="Y43" i="11" s="1"/>
  <c r="S49" i="9"/>
  <c r="I49" i="9" s="1"/>
  <c r="F44" i="11" s="1"/>
  <c r="G44" i="11" s="1"/>
  <c r="I44" i="11" s="1"/>
  <c r="Y44" i="11" s="1"/>
  <c r="S60" i="9"/>
  <c r="I60" i="9" s="1"/>
  <c r="K60" i="9" s="1"/>
  <c r="S132" i="9"/>
  <c r="I132" i="9" s="1"/>
  <c r="K132" i="9" s="1"/>
  <c r="S223" i="9"/>
  <c r="I223" i="9" s="1"/>
  <c r="K223" i="9" s="1"/>
  <c r="S255" i="9"/>
  <c r="I255" i="9" s="1"/>
  <c r="K255" i="9" s="1"/>
  <c r="S256" i="9"/>
  <c r="I256" i="9" s="1"/>
  <c r="K256" i="9" s="1"/>
  <c r="L98" i="9"/>
  <c r="Y127" i="9"/>
  <c r="Z127" i="9" s="1"/>
  <c r="AA127" i="9" s="1"/>
  <c r="AB127" i="9" s="1"/>
  <c r="U151" i="9" s="1"/>
  <c r="Y129" i="9"/>
  <c r="L180" i="9"/>
  <c r="L200" i="9"/>
  <c r="S226" i="9"/>
  <c r="I226" i="9" s="1"/>
  <c r="K226" i="9" s="1"/>
  <c r="S14" i="9"/>
  <c r="I14" i="9" s="1"/>
  <c r="K14" i="9" s="1"/>
  <c r="S147" i="9"/>
  <c r="I147" i="9" s="1"/>
  <c r="K147" i="9" s="1"/>
  <c r="V14" i="9"/>
  <c r="S16" i="9"/>
  <c r="I16" i="9" s="1"/>
  <c r="K16" i="9" s="1"/>
  <c r="S36" i="9"/>
  <c r="I36" i="9" s="1"/>
  <c r="K36" i="9" s="1"/>
  <c r="S98" i="9"/>
  <c r="I98" i="9" s="1"/>
  <c r="K98" i="9" s="1"/>
  <c r="S209" i="9"/>
  <c r="I209" i="9" s="1"/>
  <c r="K209" i="9" s="1"/>
  <c r="L233" i="9"/>
  <c r="S258" i="9"/>
  <c r="I258" i="9" s="1"/>
  <c r="Q24" i="6"/>
  <c r="S20" i="9"/>
  <c r="I20" i="9" s="1"/>
  <c r="F29" i="11" s="1"/>
  <c r="S22" i="9"/>
  <c r="I22" i="9" s="1"/>
  <c r="K22" i="9" s="1"/>
  <c r="S24" i="9"/>
  <c r="I24" i="9" s="1"/>
  <c r="K24" i="9" s="1"/>
  <c r="S54" i="9"/>
  <c r="I54" i="9" s="1"/>
  <c r="K54" i="9" s="1"/>
  <c r="L108" i="9"/>
  <c r="S119" i="9"/>
  <c r="I119" i="9" s="1"/>
  <c r="K119" i="9" s="1"/>
  <c r="S154" i="9"/>
  <c r="I154" i="9" s="1"/>
  <c r="K154" i="9" s="1"/>
  <c r="L168" i="9"/>
  <c r="L208" i="9"/>
  <c r="H10" i="11"/>
  <c r="O16" i="3" s="1"/>
  <c r="S170" i="9"/>
  <c r="I170" i="9" s="1"/>
  <c r="K170" i="9" s="1"/>
  <c r="S213" i="9"/>
  <c r="I213" i="9" s="1"/>
  <c r="K213" i="9" s="1"/>
  <c r="L237" i="9"/>
  <c r="P8" i="9"/>
  <c r="Y16" i="9"/>
  <c r="Z16" i="9" s="1"/>
  <c r="S43" i="9"/>
  <c r="I43" i="9" s="1"/>
  <c r="F41" i="11" s="1"/>
  <c r="S80" i="9"/>
  <c r="I80" i="9" s="1"/>
  <c r="F59" i="11" s="1"/>
  <c r="S94" i="9"/>
  <c r="I94" i="9" s="1"/>
  <c r="S131" i="9"/>
  <c r="I131" i="9" s="1"/>
  <c r="K131" i="9" s="1"/>
  <c r="S195" i="9"/>
  <c r="I195" i="9" s="1"/>
  <c r="K195" i="9" s="1"/>
  <c r="S233" i="9"/>
  <c r="I233" i="9" s="1"/>
  <c r="K233" i="9" s="1"/>
  <c r="Q22" i="6"/>
  <c r="R10" i="6"/>
  <c r="Q12" i="6"/>
  <c r="Q5" i="9"/>
  <c r="Y24" i="9"/>
  <c r="Z24" i="9" s="1"/>
  <c r="L29" i="9"/>
  <c r="L47" i="9"/>
  <c r="Y68" i="9"/>
  <c r="Z68" i="9" s="1"/>
  <c r="S120" i="9"/>
  <c r="I120" i="9" s="1"/>
  <c r="K120" i="9" s="1"/>
  <c r="Y122" i="9"/>
  <c r="Z122" i="9" s="1"/>
  <c r="Z125" i="9"/>
  <c r="AA124" i="9" s="1"/>
  <c r="AB124" i="9" s="1"/>
  <c r="U135" i="9" s="1"/>
  <c r="S130" i="9"/>
  <c r="I130" i="9" s="1"/>
  <c r="K130" i="9" s="1"/>
  <c r="L148" i="9"/>
  <c r="S152" i="9"/>
  <c r="I152" i="9" s="1"/>
  <c r="K152" i="9" s="1"/>
  <c r="L216" i="9"/>
  <c r="L227" i="9"/>
  <c r="S263" i="9"/>
  <c r="I263" i="9" s="1"/>
  <c r="F131" i="11" s="1"/>
  <c r="S5" i="9"/>
  <c r="I5" i="9" s="1"/>
  <c r="K5" i="9" s="1"/>
  <c r="L37" i="9"/>
  <c r="S42" i="9"/>
  <c r="I42" i="9" s="1"/>
  <c r="F40" i="11" s="1"/>
  <c r="S45" i="9"/>
  <c r="I45" i="9" s="1"/>
  <c r="F42" i="11" s="1"/>
  <c r="G42" i="11" s="1"/>
  <c r="I42" i="11" s="1"/>
  <c r="Y42" i="11" s="1"/>
  <c r="S29" i="9"/>
  <c r="I29" i="9" s="1"/>
  <c r="F34" i="11" s="1"/>
  <c r="G34" i="11" s="1"/>
  <c r="I34" i="11" s="1"/>
  <c r="Y34" i="11" s="1"/>
  <c r="S71" i="9"/>
  <c r="I71" i="9" s="1"/>
  <c r="F55" i="11" s="1"/>
  <c r="S201" i="9"/>
  <c r="I201" i="9" s="1"/>
  <c r="K201" i="9" s="1"/>
  <c r="S229" i="9"/>
  <c r="I229" i="9" s="1"/>
  <c r="F115" i="11" s="1"/>
  <c r="G115" i="11" s="1"/>
  <c r="I115" i="11" s="1"/>
  <c r="Y115" i="11" s="1"/>
  <c r="P10" i="9"/>
  <c r="L31" i="9"/>
  <c r="S39" i="9"/>
  <c r="I39" i="9" s="1"/>
  <c r="K39" i="9" s="1"/>
  <c r="Z50" i="9"/>
  <c r="AA50" i="9" s="1"/>
  <c r="AB50" i="9" s="1"/>
  <c r="U52" i="9" s="1"/>
  <c r="L67" i="9"/>
  <c r="AG14" i="11"/>
  <c r="AG7" i="11"/>
  <c r="AG10" i="11"/>
  <c r="L8" i="3"/>
  <c r="L17" i="3"/>
  <c r="L12" i="3"/>
  <c r="D23" i="8"/>
  <c r="Q15" i="6"/>
  <c r="S33" i="9"/>
  <c r="I33" i="9" s="1"/>
  <c r="S34" i="9"/>
  <c r="I34" i="9" s="1"/>
  <c r="K34" i="9" s="1"/>
  <c r="Q17" i="6"/>
  <c r="I70" i="6"/>
  <c r="T65" i="8" s="1"/>
  <c r="E74" i="6"/>
  <c r="E79" i="6"/>
  <c r="E87" i="6"/>
  <c r="L20" i="9"/>
  <c r="I54" i="6"/>
  <c r="D65" i="8" s="1"/>
  <c r="L12" i="9"/>
  <c r="Q19" i="6"/>
  <c r="Q20" i="6"/>
  <c r="E82" i="6"/>
  <c r="D25" i="8"/>
  <c r="R20" i="6"/>
  <c r="E77" i="6"/>
  <c r="P105" i="6"/>
  <c r="B24" i="2" s="1"/>
  <c r="S28" i="9"/>
  <c r="I28" i="9" s="1"/>
  <c r="S27" i="9"/>
  <c r="I27" i="9" s="1"/>
  <c r="K27" i="9" s="1"/>
  <c r="P101" i="6"/>
  <c r="B20" i="2" s="1"/>
  <c r="E36" i="8"/>
  <c r="F36" i="8" s="1"/>
  <c r="D36" i="8"/>
  <c r="L24" i="9"/>
  <c r="G7" i="3"/>
  <c r="X11" i="11" s="1"/>
  <c r="G14" i="3"/>
  <c r="X9" i="11" s="1"/>
  <c r="G9" i="4"/>
  <c r="H12" i="4"/>
  <c r="B21" i="7"/>
  <c r="L9" i="3"/>
  <c r="F6" i="3"/>
  <c r="AF18" i="11"/>
  <c r="W12" i="3" s="1"/>
  <c r="L15" i="3"/>
  <c r="F16" i="3"/>
  <c r="G6" i="4"/>
  <c r="G19" i="4"/>
  <c r="AC20" i="11"/>
  <c r="Y20" i="11" s="1"/>
  <c r="Q23" i="6"/>
  <c r="G83" i="6"/>
  <c r="S83" i="6" s="1"/>
  <c r="G6" i="3"/>
  <c r="X17" i="11" s="1"/>
  <c r="G16" i="3"/>
  <c r="X10" i="11" s="1"/>
  <c r="A12" i="8"/>
  <c r="D26" i="8"/>
  <c r="L8" i="9"/>
  <c r="L11" i="3"/>
  <c r="F12" i="3"/>
  <c r="B20" i="4"/>
  <c r="Q8" i="6"/>
  <c r="Q25" i="6"/>
  <c r="A11" i="8" s="1"/>
  <c r="P100" i="6"/>
  <c r="B19" i="2" s="1"/>
  <c r="G9" i="3"/>
  <c r="X13" i="11" s="1"/>
  <c r="G15" i="3"/>
  <c r="X20" i="11" s="1"/>
  <c r="G5" i="4"/>
  <c r="G18" i="4"/>
  <c r="R8" i="6"/>
  <c r="G52" i="6"/>
  <c r="B63" i="8" s="1"/>
  <c r="B31" i="7"/>
  <c r="G11" i="3"/>
  <c r="X8" i="11" s="1"/>
  <c r="G15" i="4"/>
  <c r="G22" i="4"/>
  <c r="L5" i="3"/>
  <c r="F7" i="3"/>
  <c r="L13" i="3"/>
  <c r="F14" i="3"/>
  <c r="B22" i="7"/>
  <c r="C22" i="7"/>
  <c r="L7" i="3"/>
  <c r="L14" i="3"/>
  <c r="H52" i="6"/>
  <c r="B64" i="8" s="1"/>
  <c r="E81" i="6"/>
  <c r="V9" i="9"/>
  <c r="B30" i="7"/>
  <c r="L10" i="3"/>
  <c r="F11" i="3"/>
  <c r="L18" i="3"/>
  <c r="I52" i="6"/>
  <c r="B65" i="8" s="1"/>
  <c r="AD15" i="11"/>
  <c r="A10" i="8"/>
  <c r="L6" i="3"/>
  <c r="AF19" i="11"/>
  <c r="W13" i="3" s="1"/>
  <c r="L16" i="3"/>
  <c r="B11" i="4"/>
  <c r="E52" i="6"/>
  <c r="B61" i="8" s="1"/>
  <c r="J52" i="6"/>
  <c r="B66" i="8" s="1"/>
  <c r="W4" i="9"/>
  <c r="X4" i="9" s="1"/>
  <c r="W6" i="9"/>
  <c r="L16" i="9"/>
  <c r="K63" i="6"/>
  <c r="M67" i="8" s="1"/>
  <c r="K52" i="6"/>
  <c r="B67" i="8" s="1"/>
  <c r="P94" i="6"/>
  <c r="B13" i="2" s="1"/>
  <c r="P98" i="6"/>
  <c r="B17" i="2" s="1"/>
  <c r="E54" i="11"/>
  <c r="H54" i="11" s="1"/>
  <c r="L69" i="9"/>
  <c r="AA5" i="9"/>
  <c r="AB5" i="9" s="1"/>
  <c r="G99" i="6" s="1"/>
  <c r="H13" i="4" s="1"/>
  <c r="E32" i="11"/>
  <c r="H32" i="11" s="1"/>
  <c r="S40" i="9"/>
  <c r="I40" i="9" s="1"/>
  <c r="D33" i="8"/>
  <c r="P7" i="9"/>
  <c r="Q7" i="9" s="1"/>
  <c r="P11" i="9"/>
  <c r="Q11" i="9" s="1"/>
  <c r="E28" i="11"/>
  <c r="H28" i="11" s="1"/>
  <c r="E30" i="11"/>
  <c r="H30" i="11" s="1"/>
  <c r="D30" i="8"/>
  <c r="U12" i="11"/>
  <c r="E37" i="11"/>
  <c r="H37" i="11" s="1"/>
  <c r="L35" i="9"/>
  <c r="L5" i="9"/>
  <c r="S13" i="9"/>
  <c r="I13" i="9" s="1"/>
  <c r="K13" i="9" s="1"/>
  <c r="S11" i="9"/>
  <c r="I11" i="9" s="1"/>
  <c r="K11" i="9" s="1"/>
  <c r="S9" i="9"/>
  <c r="I9" i="9" s="1"/>
  <c r="K9" i="9" s="1"/>
  <c r="S7" i="9"/>
  <c r="I7" i="9" s="1"/>
  <c r="Y13" i="9"/>
  <c r="Z13" i="9" s="1"/>
  <c r="AA13" i="9" s="1"/>
  <c r="AB13" i="9" s="1"/>
  <c r="L96" i="6" s="1"/>
  <c r="Y11" i="9"/>
  <c r="Z11" i="9" s="1"/>
  <c r="AA11" i="9" s="1"/>
  <c r="AB11" i="9" s="1"/>
  <c r="H96" i="6" s="1"/>
  <c r="Y9" i="9"/>
  <c r="Z9" i="9" s="1"/>
  <c r="AA9" i="9" s="1"/>
  <c r="AB9" i="9" s="1"/>
  <c r="I96" i="6" s="1"/>
  <c r="Y7" i="9"/>
  <c r="Z7" i="9" s="1"/>
  <c r="Y10" i="9"/>
  <c r="Z10" i="9" s="1"/>
  <c r="AA10" i="9" s="1"/>
  <c r="AB10" i="9" s="1"/>
  <c r="F96" i="6" s="1"/>
  <c r="P12" i="9"/>
  <c r="Q12" i="9" s="1"/>
  <c r="Y14" i="9"/>
  <c r="Z14" i="9" s="1"/>
  <c r="AA14" i="9" s="1"/>
  <c r="AB14" i="9" s="1"/>
  <c r="D96" i="6" s="1"/>
  <c r="E33" i="11"/>
  <c r="H33" i="11" s="1"/>
  <c r="E40" i="11"/>
  <c r="H40" i="11" s="1"/>
  <c r="V7" i="9"/>
  <c r="V11" i="9"/>
  <c r="Y30" i="9"/>
  <c r="Z30" i="9" s="1"/>
  <c r="E25" i="11"/>
  <c r="H25" i="11" s="1"/>
  <c r="E41" i="11"/>
  <c r="H41" i="11" s="1"/>
  <c r="L43" i="9"/>
  <c r="E26" i="11"/>
  <c r="H26" i="11" s="1"/>
  <c r="P9" i="9"/>
  <c r="Q9" i="9" s="1"/>
  <c r="L10" i="9"/>
  <c r="L14" i="9"/>
  <c r="E27" i="11"/>
  <c r="H27" i="11" s="1"/>
  <c r="Z15" i="9"/>
  <c r="AA15" i="9" s="1"/>
  <c r="AB15" i="9" s="1"/>
  <c r="U17" i="9" s="1"/>
  <c r="L18" i="9"/>
  <c r="E29" i="11"/>
  <c r="H29" i="11" s="1"/>
  <c r="L22" i="9"/>
  <c r="E31" i="11"/>
  <c r="H31" i="11" s="1"/>
  <c r="Z23" i="9"/>
  <c r="AA24" i="9" s="1"/>
  <c r="AB24" i="9" s="1"/>
  <c r="U26" i="9" s="1"/>
  <c r="L27" i="9"/>
  <c r="E46" i="11"/>
  <c r="H46" i="11" s="1"/>
  <c r="L53" i="9"/>
  <c r="S51" i="9"/>
  <c r="I51" i="9" s="1"/>
  <c r="F25" i="11"/>
  <c r="K4" i="9"/>
  <c r="S58" i="9"/>
  <c r="I58" i="9" s="1"/>
  <c r="K58" i="9" s="1"/>
  <c r="S57" i="9"/>
  <c r="I57" i="9" s="1"/>
  <c r="S41" i="9"/>
  <c r="I41" i="9" s="1"/>
  <c r="K41" i="9" s="1"/>
  <c r="S50" i="9"/>
  <c r="I50" i="9" s="1"/>
  <c r="K50" i="9" s="1"/>
  <c r="L57" i="9"/>
  <c r="S59" i="9"/>
  <c r="I59" i="9" s="1"/>
  <c r="E55" i="11"/>
  <c r="H55" i="11" s="1"/>
  <c r="L71" i="9"/>
  <c r="F69" i="11"/>
  <c r="G69" i="11" s="1"/>
  <c r="I69" i="11" s="1"/>
  <c r="Y69" i="11" s="1"/>
  <c r="K100" i="9"/>
  <c r="S79" i="9"/>
  <c r="I79" i="9" s="1"/>
  <c r="K79" i="9" s="1"/>
  <c r="S77" i="9"/>
  <c r="I77" i="9" s="1"/>
  <c r="L55" i="9"/>
  <c r="E63" i="11"/>
  <c r="H63" i="11" s="1"/>
  <c r="L88" i="9"/>
  <c r="V30" i="9"/>
  <c r="S83" i="9"/>
  <c r="I83" i="9" s="1"/>
  <c r="K83" i="9" s="1"/>
  <c r="S82" i="9"/>
  <c r="I82" i="9" s="1"/>
  <c r="W86" i="9"/>
  <c r="X86" i="9" s="1"/>
  <c r="S67" i="9"/>
  <c r="I67" i="9" s="1"/>
  <c r="K67" i="9" s="1"/>
  <c r="S68" i="9"/>
  <c r="I68" i="9" s="1"/>
  <c r="Y72" i="9"/>
  <c r="Z72" i="9" s="1"/>
  <c r="AA71" i="9" s="1"/>
  <c r="AB71" i="9" s="1"/>
  <c r="U73" i="9" s="1"/>
  <c r="Y71" i="9"/>
  <c r="Z71" i="9" s="1"/>
  <c r="L64" i="9"/>
  <c r="S69" i="9"/>
  <c r="I69" i="9" s="1"/>
  <c r="S70" i="9"/>
  <c r="I70" i="9" s="1"/>
  <c r="K70" i="9" s="1"/>
  <c r="Z67" i="9"/>
  <c r="AA67" i="9" s="1"/>
  <c r="AB67" i="9" s="1"/>
  <c r="U69" i="9" s="1"/>
  <c r="AA78" i="9"/>
  <c r="AB78" i="9" s="1"/>
  <c r="I107" i="6" s="1"/>
  <c r="L83" i="9"/>
  <c r="L59" i="9"/>
  <c r="E58" i="11"/>
  <c r="H58" i="11" s="1"/>
  <c r="L66" i="9"/>
  <c r="F61" i="11"/>
  <c r="K84" i="9"/>
  <c r="F50" i="11"/>
  <c r="G50" i="11" s="1"/>
  <c r="I50" i="11" s="1"/>
  <c r="Y50" i="11" s="1"/>
  <c r="K62" i="9"/>
  <c r="L78" i="9"/>
  <c r="Y49" i="9"/>
  <c r="Z49" i="9" s="1"/>
  <c r="L51" i="9"/>
  <c r="L77" i="9"/>
  <c r="F67" i="11"/>
  <c r="K97" i="9"/>
  <c r="S99" i="9"/>
  <c r="I99" i="9" s="1"/>
  <c r="K99" i="9" s="1"/>
  <c r="E74" i="11"/>
  <c r="H74" i="11" s="1"/>
  <c r="L110" i="9"/>
  <c r="S85" i="9"/>
  <c r="I85" i="9" s="1"/>
  <c r="K85" i="9" s="1"/>
  <c r="E67" i="11"/>
  <c r="H67" i="11" s="1"/>
  <c r="L96" i="9"/>
  <c r="E62" i="11"/>
  <c r="H62" i="11" s="1"/>
  <c r="P87" i="9"/>
  <c r="S93" i="9"/>
  <c r="I93" i="9" s="1"/>
  <c r="E76" i="11"/>
  <c r="H76" i="11" s="1"/>
  <c r="L114" i="9"/>
  <c r="S104" i="9"/>
  <c r="I104" i="9" s="1"/>
  <c r="S105" i="9"/>
  <c r="I105" i="9" s="1"/>
  <c r="K105" i="9" s="1"/>
  <c r="L109" i="9"/>
  <c r="E72" i="11"/>
  <c r="H72" i="11" s="1"/>
  <c r="L106" i="9"/>
  <c r="E61" i="11"/>
  <c r="H61" i="11" s="1"/>
  <c r="S90" i="9"/>
  <c r="I90" i="9" s="1"/>
  <c r="S75" i="9"/>
  <c r="I75" i="9" s="1"/>
  <c r="L76" i="9"/>
  <c r="Y79" i="9"/>
  <c r="Z79" i="9" s="1"/>
  <c r="AA79" i="9" s="1"/>
  <c r="AB79" i="9" s="1"/>
  <c r="D107" i="6" s="1"/>
  <c r="S81" i="9"/>
  <c r="I81" i="9" s="1"/>
  <c r="K81" i="9" s="1"/>
  <c r="U15" i="11"/>
  <c r="F80" i="11"/>
  <c r="K122" i="9"/>
  <c r="S63" i="9"/>
  <c r="I63" i="9" s="1"/>
  <c r="E60" i="11"/>
  <c r="H60" i="11" s="1"/>
  <c r="S95" i="9"/>
  <c r="I95" i="9" s="1"/>
  <c r="K95" i="9" s="1"/>
  <c r="L99" i="9"/>
  <c r="S102" i="9"/>
  <c r="I102" i="9" s="1"/>
  <c r="K102" i="9" s="1"/>
  <c r="S103" i="9"/>
  <c r="I103" i="9" s="1"/>
  <c r="F73" i="11"/>
  <c r="G73" i="11" s="1"/>
  <c r="I73" i="11" s="1"/>
  <c r="Y73" i="11" s="1"/>
  <c r="K109" i="9"/>
  <c r="F78" i="11"/>
  <c r="K118" i="9"/>
  <c r="S73" i="9"/>
  <c r="I73" i="9" s="1"/>
  <c r="L74" i="9"/>
  <c r="S96" i="9"/>
  <c r="I96" i="9" s="1"/>
  <c r="K96" i="9" s="1"/>
  <c r="K124" i="9"/>
  <c r="S61" i="9"/>
  <c r="I61" i="9" s="1"/>
  <c r="K61" i="9" s="1"/>
  <c r="L62" i="9"/>
  <c r="E59" i="11"/>
  <c r="H59" i="11" s="1"/>
  <c r="S88" i="9"/>
  <c r="I88" i="9" s="1"/>
  <c r="L89" i="9"/>
  <c r="E64" i="11"/>
  <c r="H64" i="11" s="1"/>
  <c r="L90" i="9"/>
  <c r="Y90" i="9"/>
  <c r="Z90" i="9" s="1"/>
  <c r="S91" i="9"/>
  <c r="I91" i="9" s="1"/>
  <c r="K91" i="9" s="1"/>
  <c r="L115" i="9"/>
  <c r="F85" i="11"/>
  <c r="L143" i="9"/>
  <c r="L135" i="9"/>
  <c r="V119" i="9"/>
  <c r="E80" i="11"/>
  <c r="H80" i="11" s="1"/>
  <c r="AA122" i="9"/>
  <c r="AB122" i="9" s="1"/>
  <c r="U133" i="9" s="1"/>
  <c r="Z133" i="9" s="1"/>
  <c r="L122" i="9"/>
  <c r="S129" i="9"/>
  <c r="I129" i="9" s="1"/>
  <c r="K129" i="9" s="1"/>
  <c r="S112" i="9"/>
  <c r="I112" i="9" s="1"/>
  <c r="E77" i="11"/>
  <c r="H77" i="11" s="1"/>
  <c r="L123" i="9"/>
  <c r="AA123" i="9"/>
  <c r="AB123" i="9" s="1"/>
  <c r="U149" i="9" s="1"/>
  <c r="S128" i="9"/>
  <c r="I128" i="9" s="1"/>
  <c r="S101" i="9"/>
  <c r="I101" i="9" s="1"/>
  <c r="K101" i="9" s="1"/>
  <c r="L125" i="9"/>
  <c r="S108" i="9"/>
  <c r="I108" i="9" s="1"/>
  <c r="K108" i="9" s="1"/>
  <c r="E78" i="11"/>
  <c r="H78" i="11" s="1"/>
  <c r="L118" i="9"/>
  <c r="U8" i="11"/>
  <c r="E84" i="11"/>
  <c r="H84" i="11" s="1"/>
  <c r="E79" i="11"/>
  <c r="H79" i="11" s="1"/>
  <c r="L120" i="9"/>
  <c r="L103" i="9"/>
  <c r="S113" i="9"/>
  <c r="I113" i="9" s="1"/>
  <c r="K113" i="9" s="1"/>
  <c r="L121" i="9"/>
  <c r="F82" i="11"/>
  <c r="L130" i="9"/>
  <c r="L137" i="9"/>
  <c r="S138" i="9"/>
  <c r="I138" i="9" s="1"/>
  <c r="S139" i="9"/>
  <c r="I139" i="9" s="1"/>
  <c r="K139" i="9" s="1"/>
  <c r="L100" i="9"/>
  <c r="F92" i="11"/>
  <c r="G92" i="11" s="1"/>
  <c r="I92" i="11" s="1"/>
  <c r="Y92" i="11" s="1"/>
  <c r="K146" i="9"/>
  <c r="L111" i="9"/>
  <c r="S115" i="9"/>
  <c r="I115" i="9" s="1"/>
  <c r="K115" i="9" s="1"/>
  <c r="S114" i="9"/>
  <c r="I114" i="9" s="1"/>
  <c r="L94" i="9"/>
  <c r="S117" i="9"/>
  <c r="I117" i="9" s="1"/>
  <c r="K117" i="9" s="1"/>
  <c r="S116" i="9"/>
  <c r="I116" i="9" s="1"/>
  <c r="S135" i="9"/>
  <c r="I135" i="9" s="1"/>
  <c r="K135" i="9" s="1"/>
  <c r="S134" i="9"/>
  <c r="I134" i="9" s="1"/>
  <c r="S106" i="9"/>
  <c r="I106" i="9" s="1"/>
  <c r="S110" i="9"/>
  <c r="I110" i="9" s="1"/>
  <c r="F79" i="11"/>
  <c r="K121" i="9"/>
  <c r="Y131" i="9"/>
  <c r="Z131" i="9" s="1"/>
  <c r="AA130" i="9" s="1"/>
  <c r="AB130" i="9" s="1"/>
  <c r="U164" i="9" s="1"/>
  <c r="Y130" i="9"/>
  <c r="Z130" i="9" s="1"/>
  <c r="E85" i="11"/>
  <c r="H85" i="11" s="1"/>
  <c r="L132" i="9"/>
  <c r="L112" i="9"/>
  <c r="E89" i="11"/>
  <c r="H89" i="11" s="1"/>
  <c r="S155" i="9"/>
  <c r="I155" i="9" s="1"/>
  <c r="K155" i="9" s="1"/>
  <c r="S151" i="9"/>
  <c r="I151" i="9" s="1"/>
  <c r="K151" i="9" s="1"/>
  <c r="S127" i="9"/>
  <c r="I127" i="9" s="1"/>
  <c r="K127" i="9" s="1"/>
  <c r="E91" i="11"/>
  <c r="H91" i="11" s="1"/>
  <c r="L144" i="9"/>
  <c r="S148" i="9"/>
  <c r="I148" i="9" s="1"/>
  <c r="S159" i="9"/>
  <c r="I159" i="9" s="1"/>
  <c r="K159" i="9" s="1"/>
  <c r="S160" i="9"/>
  <c r="I160" i="9" s="1"/>
  <c r="S162" i="9"/>
  <c r="I162" i="9" s="1"/>
  <c r="K162" i="9" s="1"/>
  <c r="S161" i="9"/>
  <c r="I161" i="9" s="1"/>
  <c r="K161" i="9" s="1"/>
  <c r="S137" i="9"/>
  <c r="I137" i="9" s="1"/>
  <c r="K137" i="9" s="1"/>
  <c r="E83" i="11"/>
  <c r="H83" i="11" s="1"/>
  <c r="L140" i="9"/>
  <c r="S142" i="9"/>
  <c r="I142" i="9" s="1"/>
  <c r="S143" i="9"/>
  <c r="I143" i="9" s="1"/>
  <c r="K143" i="9" s="1"/>
  <c r="L150" i="9"/>
  <c r="S125" i="9"/>
  <c r="I125" i="9" s="1"/>
  <c r="K125" i="9" s="1"/>
  <c r="E88" i="11"/>
  <c r="H88" i="11" s="1"/>
  <c r="L151" i="9"/>
  <c r="L169" i="9"/>
  <c r="L171" i="9"/>
  <c r="E94" i="11"/>
  <c r="H94" i="11" s="1"/>
  <c r="L152" i="9"/>
  <c r="S153" i="9"/>
  <c r="I153" i="9" s="1"/>
  <c r="K153" i="9" s="1"/>
  <c r="E82" i="11"/>
  <c r="H82" i="11" s="1"/>
  <c r="V159" i="9"/>
  <c r="L173" i="9"/>
  <c r="S123" i="9"/>
  <c r="I123" i="9" s="1"/>
  <c r="K123" i="9" s="1"/>
  <c r="E87" i="11"/>
  <c r="H87" i="11" s="1"/>
  <c r="L128" i="9"/>
  <c r="S133" i="9"/>
  <c r="I133" i="9" s="1"/>
  <c r="K133" i="9" s="1"/>
  <c r="L141" i="9"/>
  <c r="E90" i="11"/>
  <c r="H90" i="11" s="1"/>
  <c r="E81" i="11"/>
  <c r="H81" i="11" s="1"/>
  <c r="S140" i="9"/>
  <c r="I140" i="9" s="1"/>
  <c r="S141" i="9"/>
  <c r="I141" i="9" s="1"/>
  <c r="K141" i="9" s="1"/>
  <c r="E86" i="11"/>
  <c r="H86" i="11" s="1"/>
  <c r="F87" i="11"/>
  <c r="K136" i="9"/>
  <c r="S150" i="9"/>
  <c r="I150" i="9" s="1"/>
  <c r="K150" i="9" s="1"/>
  <c r="E96" i="11"/>
  <c r="H96" i="11" s="1"/>
  <c r="L160" i="9"/>
  <c r="L165" i="9"/>
  <c r="L153" i="9"/>
  <c r="L185" i="9"/>
  <c r="E100" i="11"/>
  <c r="H100" i="11" s="1"/>
  <c r="L176" i="9"/>
  <c r="L174" i="9"/>
  <c r="S185" i="9"/>
  <c r="I185" i="9" s="1"/>
  <c r="K185" i="9" s="1"/>
  <c r="S187" i="9"/>
  <c r="I187" i="9" s="1"/>
  <c r="K187" i="9" s="1"/>
  <c r="S184" i="9"/>
  <c r="I184" i="9" s="1"/>
  <c r="U19" i="11"/>
  <c r="S164" i="9"/>
  <c r="I164" i="9" s="1"/>
  <c r="S167" i="9"/>
  <c r="I167" i="9" s="1"/>
  <c r="K167" i="9" s="1"/>
  <c r="S169" i="9"/>
  <c r="I169" i="9" s="1"/>
  <c r="K169" i="9" s="1"/>
  <c r="S178" i="9"/>
  <c r="I178" i="9" s="1"/>
  <c r="K178" i="9" s="1"/>
  <c r="S177" i="9"/>
  <c r="I177" i="9" s="1"/>
  <c r="K177" i="9" s="1"/>
  <c r="S189" i="9"/>
  <c r="I189" i="9" s="1"/>
  <c r="K189" i="9" s="1"/>
  <c r="S191" i="9"/>
  <c r="I191" i="9" s="1"/>
  <c r="K191" i="9" s="1"/>
  <c r="L190" i="9"/>
  <c r="L198" i="9"/>
  <c r="S180" i="9"/>
  <c r="I180" i="9" s="1"/>
  <c r="S182" i="9"/>
  <c r="I182" i="9" s="1"/>
  <c r="K182" i="9" s="1"/>
  <c r="S183" i="9"/>
  <c r="I183" i="9" s="1"/>
  <c r="K183" i="9" s="1"/>
  <c r="K188" i="9"/>
  <c r="F114" i="11"/>
  <c r="G114" i="11" s="1"/>
  <c r="I114" i="11" s="1"/>
  <c r="Y114" i="11" s="1"/>
  <c r="K227" i="9"/>
  <c r="S181" i="9"/>
  <c r="I181" i="9" s="1"/>
  <c r="K181" i="9" s="1"/>
  <c r="E104" i="11"/>
  <c r="H104" i="11" s="1"/>
  <c r="L192" i="9"/>
  <c r="L195" i="9"/>
  <c r="S198" i="9"/>
  <c r="I198" i="9" s="1"/>
  <c r="K198" i="9" s="1"/>
  <c r="S196" i="9"/>
  <c r="I196" i="9" s="1"/>
  <c r="S197" i="9"/>
  <c r="I197" i="9" s="1"/>
  <c r="K197" i="9" s="1"/>
  <c r="S199" i="9"/>
  <c r="I199" i="9" s="1"/>
  <c r="K199" i="9" s="1"/>
  <c r="S173" i="9"/>
  <c r="I173" i="9" s="1"/>
  <c r="K173" i="9" s="1"/>
  <c r="S175" i="9"/>
  <c r="I175" i="9" s="1"/>
  <c r="K175" i="9" s="1"/>
  <c r="S193" i="9"/>
  <c r="I193" i="9" s="1"/>
  <c r="K193" i="9" s="1"/>
  <c r="S172" i="9"/>
  <c r="I172" i="9" s="1"/>
  <c r="S174" i="9"/>
  <c r="I174" i="9" s="1"/>
  <c r="K174" i="9" s="1"/>
  <c r="L178" i="9"/>
  <c r="L183" i="9"/>
  <c r="S190" i="9"/>
  <c r="I190" i="9" s="1"/>
  <c r="K190" i="9" s="1"/>
  <c r="L203" i="9"/>
  <c r="S206" i="9"/>
  <c r="I206" i="9" s="1"/>
  <c r="K206" i="9" s="1"/>
  <c r="S204" i="9"/>
  <c r="I204" i="9" s="1"/>
  <c r="E112" i="11"/>
  <c r="H112" i="11" s="1"/>
  <c r="L222" i="9"/>
  <c r="S228" i="9"/>
  <c r="I228" i="9" s="1"/>
  <c r="K228" i="9" s="1"/>
  <c r="L209" i="9"/>
  <c r="F119" i="11"/>
  <c r="G119" i="11" s="1"/>
  <c r="I119" i="11" s="1"/>
  <c r="Y119" i="11" s="1"/>
  <c r="K237" i="9"/>
  <c r="L215" i="9"/>
  <c r="S219" i="9"/>
  <c r="I219" i="9" s="1"/>
  <c r="K219" i="9" s="1"/>
  <c r="S218" i="9"/>
  <c r="I218" i="9" s="1"/>
  <c r="K218" i="9" s="1"/>
  <c r="S216" i="9"/>
  <c r="I216" i="9" s="1"/>
  <c r="F117" i="11"/>
  <c r="G117" i="11" s="1"/>
  <c r="I117" i="11" s="1"/>
  <c r="Y117" i="11" s="1"/>
  <c r="K234" i="9"/>
  <c r="L201" i="9"/>
  <c r="S221" i="9"/>
  <c r="I221" i="9" s="1"/>
  <c r="K221" i="9" s="1"/>
  <c r="S220" i="9"/>
  <c r="I220" i="9" s="1"/>
  <c r="S205" i="9"/>
  <c r="I205" i="9" s="1"/>
  <c r="K205" i="9" s="1"/>
  <c r="L207" i="9"/>
  <c r="S210" i="9"/>
  <c r="I210" i="9" s="1"/>
  <c r="K210" i="9" s="1"/>
  <c r="S208" i="9"/>
  <c r="I208" i="9" s="1"/>
  <c r="L212" i="9"/>
  <c r="L223" i="9"/>
  <c r="S211" i="9"/>
  <c r="I211" i="9" s="1"/>
  <c r="K211" i="9" s="1"/>
  <c r="L213" i="9"/>
  <c r="L219" i="9"/>
  <c r="S217" i="9"/>
  <c r="I217" i="9" s="1"/>
  <c r="K217" i="9" s="1"/>
  <c r="L193" i="9"/>
  <c r="L199" i="9"/>
  <c r="S202" i="9"/>
  <c r="I202" i="9" s="1"/>
  <c r="K202" i="9" s="1"/>
  <c r="S200" i="9"/>
  <c r="I200" i="9" s="1"/>
  <c r="L204" i="9"/>
  <c r="E111" i="11"/>
  <c r="H111" i="11" s="1"/>
  <c r="Y220" i="9"/>
  <c r="Z220" i="9" s="1"/>
  <c r="S203" i="9"/>
  <c r="I203" i="9" s="1"/>
  <c r="K203" i="9" s="1"/>
  <c r="L205" i="9"/>
  <c r="L211" i="9"/>
  <c r="S214" i="9"/>
  <c r="I214" i="9" s="1"/>
  <c r="K214" i="9" s="1"/>
  <c r="S212" i="9"/>
  <c r="I212" i="9" s="1"/>
  <c r="Y226" i="9"/>
  <c r="Z226" i="9" s="1"/>
  <c r="AA226" i="9" s="1"/>
  <c r="AB226" i="9" s="1"/>
  <c r="U238" i="9" s="1"/>
  <c r="Y224" i="9"/>
  <c r="Z224" i="9" s="1"/>
  <c r="Y225" i="9"/>
  <c r="Z225" i="9" s="1"/>
  <c r="F118" i="11"/>
  <c r="G118" i="11" s="1"/>
  <c r="I118" i="11" s="1"/>
  <c r="Y118" i="11" s="1"/>
  <c r="K235" i="9"/>
  <c r="S215" i="9"/>
  <c r="I215" i="9" s="1"/>
  <c r="K215" i="9" s="1"/>
  <c r="L217" i="9"/>
  <c r="E116" i="11"/>
  <c r="H116" i="11" s="1"/>
  <c r="L231" i="9"/>
  <c r="S194" i="9"/>
  <c r="I194" i="9" s="1"/>
  <c r="K194" i="9" s="1"/>
  <c r="S192" i="9"/>
  <c r="I192" i="9" s="1"/>
  <c r="L221" i="9"/>
  <c r="L197" i="9"/>
  <c r="L226" i="9"/>
  <c r="F120" i="11"/>
  <c r="K240" i="9"/>
  <c r="E125" i="11"/>
  <c r="H125" i="11" s="1"/>
  <c r="L250" i="9"/>
  <c r="O7" i="11"/>
  <c r="H7" i="11"/>
  <c r="O8" i="3" s="1"/>
  <c r="E122" i="11"/>
  <c r="H122" i="11" s="1"/>
  <c r="E129" i="11"/>
  <c r="H129" i="11" s="1"/>
  <c r="L258" i="9"/>
  <c r="F129" i="11"/>
  <c r="K258" i="9"/>
  <c r="L277" i="9"/>
  <c r="E124" i="11"/>
  <c r="H124" i="11" s="1"/>
  <c r="S251" i="9"/>
  <c r="I251" i="9" s="1"/>
  <c r="K251" i="9" s="1"/>
  <c r="S250" i="9"/>
  <c r="I250" i="9" s="1"/>
  <c r="L244" i="9"/>
  <c r="E123" i="11"/>
  <c r="H123" i="11" s="1"/>
  <c r="K248" i="9"/>
  <c r="F138" i="11"/>
  <c r="K276" i="9"/>
  <c r="L248" i="9"/>
  <c r="L238" i="9"/>
  <c r="K246" i="9"/>
  <c r="F133" i="11"/>
  <c r="K266" i="9"/>
  <c r="F137" i="11"/>
  <c r="K274" i="9"/>
  <c r="L246" i="9"/>
  <c r="L234" i="9"/>
  <c r="E120" i="11"/>
  <c r="H120" i="11" s="1"/>
  <c r="K257" i="9"/>
  <c r="R33" i="10"/>
  <c r="G126" i="11"/>
  <c r="I126" i="11" s="1"/>
  <c r="Y126" i="11" s="1"/>
  <c r="E135" i="11"/>
  <c r="H135" i="11" s="1"/>
  <c r="L270" i="9"/>
  <c r="Q8" i="11"/>
  <c r="S11" i="3" s="1"/>
  <c r="F127" i="11"/>
  <c r="G127" i="11" s="1"/>
  <c r="I127" i="11" s="1"/>
  <c r="Y127" i="11" s="1"/>
  <c r="K254" i="9"/>
  <c r="L267" i="9"/>
  <c r="Y244" i="9"/>
  <c r="Z244" i="9" s="1"/>
  <c r="Y245" i="9"/>
  <c r="Z245" i="9" s="1"/>
  <c r="AA245" i="9" s="1"/>
  <c r="AB245" i="9" s="1"/>
  <c r="U277" i="9" s="1"/>
  <c r="S269" i="9"/>
  <c r="I269" i="9" s="1"/>
  <c r="K269" i="9" s="1"/>
  <c r="S268" i="9"/>
  <c r="I268" i="9" s="1"/>
  <c r="Q35" i="10"/>
  <c r="R35" i="10" s="1"/>
  <c r="P35" i="10"/>
  <c r="E121" i="11"/>
  <c r="H121" i="11" s="1"/>
  <c r="E132" i="11"/>
  <c r="H132" i="11" s="1"/>
  <c r="L264" i="9"/>
  <c r="L251" i="9"/>
  <c r="Y246" i="9"/>
  <c r="Z246" i="9" s="1"/>
  <c r="Y247" i="9"/>
  <c r="Z247" i="9" s="1"/>
  <c r="L261" i="9"/>
  <c r="S262" i="9"/>
  <c r="I262" i="9" s="1"/>
  <c r="K262" i="9" s="1"/>
  <c r="Q44" i="10"/>
  <c r="P44" i="10"/>
  <c r="R44" i="10" s="1"/>
  <c r="Q7" i="11"/>
  <c r="R7" i="11" s="1"/>
  <c r="Q13" i="11"/>
  <c r="T13" i="11" s="1"/>
  <c r="T9" i="3" s="1"/>
  <c r="O14" i="11"/>
  <c r="Q18" i="11"/>
  <c r="R46" i="10"/>
  <c r="Y143" i="11"/>
  <c r="AG17" i="11"/>
  <c r="AH16" i="11"/>
  <c r="AG8" i="11"/>
  <c r="AH7" i="11"/>
  <c r="AH20" i="11"/>
  <c r="AG20" i="11"/>
  <c r="AH15" i="11"/>
  <c r="AG15" i="11"/>
  <c r="AH14" i="11"/>
  <c r="AH9" i="11"/>
  <c r="Q17" i="11"/>
  <c r="AG11" i="11"/>
  <c r="AG19" i="11"/>
  <c r="G8" i="11"/>
  <c r="H8" i="11" s="1"/>
  <c r="O11" i="3" s="1"/>
  <c r="AH11" i="11"/>
  <c r="V14" i="11"/>
  <c r="Q15" i="11"/>
  <c r="S5" i="3" s="1"/>
  <c r="Q16" i="11"/>
  <c r="S18" i="3" s="1"/>
  <c r="AH19" i="11"/>
  <c r="S275" i="9"/>
  <c r="I275" i="9" s="1"/>
  <c r="K275" i="9" s="1"/>
  <c r="E138" i="11"/>
  <c r="H138" i="11" s="1"/>
  <c r="P33" i="10"/>
  <c r="P42" i="10"/>
  <c r="R42" i="10" s="1"/>
  <c r="V7" i="11"/>
  <c r="Q9" i="11"/>
  <c r="V16" i="11"/>
  <c r="G128" i="11"/>
  <c r="I128" i="11" s="1"/>
  <c r="Y128" i="11" s="1"/>
  <c r="Y270" i="9"/>
  <c r="Z270" i="9" s="1"/>
  <c r="Q33" i="10"/>
  <c r="R38" i="10"/>
  <c r="Q42" i="10"/>
  <c r="P38" i="10"/>
  <c r="AG12" i="11"/>
  <c r="AG18" i="11"/>
  <c r="S261" i="9"/>
  <c r="I261" i="9" s="1"/>
  <c r="K261" i="9" s="1"/>
  <c r="E131" i="11"/>
  <c r="H131" i="11" s="1"/>
  <c r="Q38" i="10"/>
  <c r="AH8" i="11"/>
  <c r="AH12" i="11"/>
  <c r="AH18" i="11"/>
  <c r="S260" i="9"/>
  <c r="I260" i="9" s="1"/>
  <c r="S267" i="9"/>
  <c r="I267" i="9" s="1"/>
  <c r="K267" i="9" s="1"/>
  <c r="E134" i="11"/>
  <c r="H134" i="11" s="1"/>
  <c r="P34" i="10"/>
  <c r="R34" i="10" s="1"/>
  <c r="AG13" i="11"/>
  <c r="AH17" i="11"/>
  <c r="E137" i="11"/>
  <c r="H137" i="11" s="1"/>
  <c r="R9" i="10"/>
  <c r="V13" i="11"/>
  <c r="AH13" i="11"/>
  <c r="AH10" i="11"/>
  <c r="G17" i="11"/>
  <c r="H17" i="11" s="1"/>
  <c r="O6" i="3" s="1"/>
  <c r="S259" i="9"/>
  <c r="I259" i="9" s="1"/>
  <c r="K259" i="9" s="1"/>
  <c r="E130" i="11"/>
  <c r="H130" i="11" s="1"/>
  <c r="S265" i="9"/>
  <c r="I265" i="9" s="1"/>
  <c r="E133" i="11"/>
  <c r="H133" i="11" s="1"/>
  <c r="S264" i="9"/>
  <c r="I264" i="9" s="1"/>
  <c r="K264" i="9" s="1"/>
  <c r="E136" i="11"/>
  <c r="H136" i="11" s="1"/>
  <c r="L274" i="9"/>
  <c r="Q31" i="10"/>
  <c r="R31" i="10" s="1"/>
  <c r="R40" i="10"/>
  <c r="P45" i="10"/>
  <c r="R45" i="10" s="1"/>
  <c r="Q12" i="11"/>
  <c r="S17" i="3" s="1"/>
  <c r="S270" i="9"/>
  <c r="I270" i="9" s="1"/>
  <c r="S277" i="9"/>
  <c r="I277" i="9" s="1"/>
  <c r="K277" i="9" s="1"/>
  <c r="P36" i="10"/>
  <c r="R36" i="10" s="1"/>
  <c r="J20" i="11"/>
  <c r="V19" i="11"/>
  <c r="Y144" i="11"/>
  <c r="K285" i="9" l="1"/>
  <c r="F142" i="11"/>
  <c r="G142" i="11" s="1"/>
  <c r="I142" i="11" s="1"/>
  <c r="Y142" i="11" s="1"/>
  <c r="AC19" i="11"/>
  <c r="Y19" i="11" s="1"/>
  <c r="B16" i="4"/>
  <c r="H10" i="4"/>
  <c r="S13" i="3"/>
  <c r="F116" i="11"/>
  <c r="F136" i="11"/>
  <c r="O18" i="11"/>
  <c r="AA86" i="9"/>
  <c r="AB86" i="9" s="1"/>
  <c r="U88" i="9" s="1"/>
  <c r="Y88" i="9" s="1"/>
  <c r="Z88" i="9" s="1"/>
  <c r="R25" i="6"/>
  <c r="B8" i="4"/>
  <c r="K53" i="9"/>
  <c r="K282" i="9"/>
  <c r="F141" i="11"/>
  <c r="G141" i="11" s="1"/>
  <c r="I141" i="11" s="1"/>
  <c r="Y141" i="11" s="1"/>
  <c r="O15" i="11"/>
  <c r="F113" i="11"/>
  <c r="G113" i="11" s="1"/>
  <c r="I113" i="11" s="1"/>
  <c r="Y113" i="11" s="1"/>
  <c r="K18" i="9"/>
  <c r="AC18" i="11"/>
  <c r="Y18" i="11" s="1"/>
  <c r="AA125" i="9"/>
  <c r="AB125" i="9" s="1"/>
  <c r="U129" i="9" s="1"/>
  <c r="Z129" i="9" s="1"/>
  <c r="R10" i="11"/>
  <c r="H12" i="11"/>
  <c r="O17" i="3" s="1"/>
  <c r="C23" i="7"/>
  <c r="K281" i="9"/>
  <c r="F140" i="11"/>
  <c r="G140" i="11" s="1"/>
  <c r="I140" i="11" s="1"/>
  <c r="Y140" i="11" s="1"/>
  <c r="K42" i="9"/>
  <c r="K222" i="9"/>
  <c r="F68" i="11"/>
  <c r="G68" i="11" s="1"/>
  <c r="I68" i="11" s="1"/>
  <c r="Y68" i="11" s="1"/>
  <c r="G137" i="11"/>
  <c r="I137" i="11" s="1"/>
  <c r="Y137" i="11" s="1"/>
  <c r="K38" i="9"/>
  <c r="K263" i="9"/>
  <c r="F95" i="11"/>
  <c r="G95" i="11" s="1"/>
  <c r="I95" i="11" s="1"/>
  <c r="Y95" i="11" s="1"/>
  <c r="E17" i="2"/>
  <c r="T10" i="11"/>
  <c r="T16" i="3" s="1"/>
  <c r="K43" i="9"/>
  <c r="F32" i="11"/>
  <c r="G32" i="11" s="1"/>
  <c r="I32" i="11" s="1"/>
  <c r="Y32" i="11" s="1"/>
  <c r="G28" i="11"/>
  <c r="I28" i="11" s="1"/>
  <c r="Y28" i="11" s="1"/>
  <c r="AA4" i="9"/>
  <c r="AB4" i="9" s="1"/>
  <c r="F99" i="6" s="1"/>
  <c r="P99" i="6" s="1"/>
  <c r="B18" i="2" s="1"/>
  <c r="R9" i="6"/>
  <c r="E11" i="2"/>
  <c r="Q9" i="6"/>
  <c r="G67" i="11"/>
  <c r="I67" i="11" s="1"/>
  <c r="Y67" i="11" s="1"/>
  <c r="K86" i="9"/>
  <c r="F91" i="11"/>
  <c r="G91" i="11" s="1"/>
  <c r="I91" i="11" s="1"/>
  <c r="Y91" i="11" s="1"/>
  <c r="K21" i="9"/>
  <c r="G85" i="11"/>
  <c r="I85" i="11" s="1"/>
  <c r="Y85" i="11" s="1"/>
  <c r="K229" i="9"/>
  <c r="V11" i="11"/>
  <c r="K65" i="9"/>
  <c r="K279" i="9"/>
  <c r="F139" i="11"/>
  <c r="G139" i="11" s="1"/>
  <c r="I139" i="11" s="1"/>
  <c r="Y139" i="11" s="1"/>
  <c r="O17" i="11"/>
  <c r="X6" i="9"/>
  <c r="J6" i="9" s="1"/>
  <c r="M6" i="9" s="1"/>
  <c r="N6" i="9" s="1"/>
  <c r="F47" i="11"/>
  <c r="G47" i="11" s="1"/>
  <c r="I47" i="11" s="1"/>
  <c r="Y47" i="11" s="1"/>
  <c r="C11" i="2"/>
  <c r="V12" i="11"/>
  <c r="G41" i="11"/>
  <c r="I41" i="11" s="1"/>
  <c r="Y41" i="11" s="1"/>
  <c r="AC17" i="11"/>
  <c r="Y17" i="11" s="1"/>
  <c r="G138" i="11"/>
  <c r="I138" i="11" s="1"/>
  <c r="Y138" i="11" s="1"/>
  <c r="C16" i="2"/>
  <c r="AC9" i="11"/>
  <c r="Y9" i="11" s="1"/>
  <c r="F27" i="11"/>
  <c r="G27" i="11" s="1"/>
  <c r="I27" i="11" s="1"/>
  <c r="Y27" i="11" s="1"/>
  <c r="AA44" i="9"/>
  <c r="AB44" i="9" s="1"/>
  <c r="F93" i="6" s="1"/>
  <c r="AA43" i="9"/>
  <c r="AB43" i="9" s="1"/>
  <c r="U45" i="9" s="1"/>
  <c r="Y45" i="9" s="1"/>
  <c r="Z45" i="9" s="1"/>
  <c r="G25" i="11"/>
  <c r="I25" i="11" s="1"/>
  <c r="Y25" i="11" s="1"/>
  <c r="G62" i="11"/>
  <c r="I62" i="11" s="1"/>
  <c r="Y62" i="11" s="1"/>
  <c r="G120" i="11"/>
  <c r="I120" i="11" s="1"/>
  <c r="Y120" i="11" s="1"/>
  <c r="X12" i="11"/>
  <c r="B25" i="4" s="1"/>
  <c r="B9" i="4"/>
  <c r="K47" i="9"/>
  <c r="G61" i="11"/>
  <c r="I61" i="11" s="1"/>
  <c r="Y61" i="11" s="1"/>
  <c r="AC13" i="11"/>
  <c r="Y13" i="11" s="1"/>
  <c r="G29" i="11"/>
  <c r="I29" i="11" s="1"/>
  <c r="Y29" i="11" s="1"/>
  <c r="G55" i="11"/>
  <c r="I55" i="11" s="1"/>
  <c r="Y55" i="11" s="1"/>
  <c r="F31" i="11"/>
  <c r="F121" i="11"/>
  <c r="G121" i="11" s="1"/>
  <c r="I121" i="11" s="1"/>
  <c r="Y121" i="11" s="1"/>
  <c r="I13" i="3"/>
  <c r="AC8" i="11"/>
  <c r="Y8" i="11" s="1"/>
  <c r="AC7" i="11"/>
  <c r="Y7" i="11" s="1"/>
  <c r="K252" i="9"/>
  <c r="K35" i="9"/>
  <c r="F84" i="11"/>
  <c r="G84" i="11" s="1"/>
  <c r="I84" i="11" s="1"/>
  <c r="Y84" i="11" s="1"/>
  <c r="AA126" i="9"/>
  <c r="AB126" i="9" s="1"/>
  <c r="U134" i="9" s="1"/>
  <c r="Y134" i="9" s="1"/>
  <c r="Z134" i="9" s="1"/>
  <c r="AC11" i="11"/>
  <c r="Y11" i="11" s="1"/>
  <c r="AA49" i="9"/>
  <c r="AB49" i="9" s="1"/>
  <c r="U51" i="9" s="1"/>
  <c r="Y52" i="9" s="1"/>
  <c r="Z52" i="9" s="1"/>
  <c r="K49" i="9"/>
  <c r="R14" i="11"/>
  <c r="T14" i="11"/>
  <c r="T10" i="3" s="1"/>
  <c r="R11" i="11"/>
  <c r="T11" i="11"/>
  <c r="T7" i="3" s="1"/>
  <c r="U15" i="3"/>
  <c r="W20" i="11"/>
  <c r="V15" i="3"/>
  <c r="T15" i="11"/>
  <c r="T5" i="3" s="1"/>
  <c r="AA132" i="9"/>
  <c r="AB132" i="9" s="1"/>
  <c r="U137" i="9" s="1"/>
  <c r="AA133" i="9"/>
  <c r="AB133" i="9" s="1"/>
  <c r="U148" i="9" s="1"/>
  <c r="G46" i="11"/>
  <c r="I46" i="11" s="1"/>
  <c r="Y46" i="11" s="1"/>
  <c r="K31" i="9"/>
  <c r="K20" i="9"/>
  <c r="J13" i="3"/>
  <c r="G37" i="11"/>
  <c r="I37" i="11" s="1"/>
  <c r="Y37" i="11" s="1"/>
  <c r="G136" i="11"/>
  <c r="I136" i="11" s="1"/>
  <c r="Y136" i="11" s="1"/>
  <c r="J18" i="3"/>
  <c r="G112" i="11"/>
  <c r="I112" i="11" s="1"/>
  <c r="Y112" i="11" s="1"/>
  <c r="AA72" i="9"/>
  <c r="AB72" i="9" s="1"/>
  <c r="U75" i="9" s="1"/>
  <c r="Y76" i="9" s="1"/>
  <c r="G79" i="11"/>
  <c r="I79" i="11" s="1"/>
  <c r="Y79" i="11" s="1"/>
  <c r="K71" i="9"/>
  <c r="K80" i="9"/>
  <c r="I16" i="3" s="1"/>
  <c r="G124" i="11"/>
  <c r="I124" i="11" s="1"/>
  <c r="Y124" i="11" s="1"/>
  <c r="G82" i="11"/>
  <c r="I82" i="11" s="1"/>
  <c r="Y82" i="11" s="1"/>
  <c r="K45" i="9"/>
  <c r="K29" i="9"/>
  <c r="G133" i="11"/>
  <c r="I133" i="11" s="1"/>
  <c r="Y133" i="11" s="1"/>
  <c r="AA224" i="9"/>
  <c r="AB224" i="9" s="1"/>
  <c r="U237" i="9" s="1"/>
  <c r="Y238" i="9" s="1"/>
  <c r="Z238" i="9" s="1"/>
  <c r="G123" i="11"/>
  <c r="I123" i="11" s="1"/>
  <c r="Y123" i="11" s="1"/>
  <c r="G129" i="11"/>
  <c r="I129" i="11" s="1"/>
  <c r="Y129" i="11" s="1"/>
  <c r="F66" i="11"/>
  <c r="G66" i="11" s="1"/>
  <c r="I66" i="11" s="1"/>
  <c r="Y66" i="11" s="1"/>
  <c r="K94" i="9"/>
  <c r="G80" i="11"/>
  <c r="I80" i="11" s="1"/>
  <c r="Y80" i="11" s="1"/>
  <c r="G40" i="11"/>
  <c r="I40" i="11" s="1"/>
  <c r="Y40" i="11" s="1"/>
  <c r="G87" i="11"/>
  <c r="I87" i="11" s="1"/>
  <c r="Y87" i="11" s="1"/>
  <c r="AA131" i="9"/>
  <c r="AB131" i="9" s="1"/>
  <c r="U139" i="9" s="1"/>
  <c r="Z139" i="9" s="1"/>
  <c r="AA23" i="9"/>
  <c r="AB23" i="9" s="1"/>
  <c r="U25" i="9" s="1"/>
  <c r="B13" i="4"/>
  <c r="Y167" i="9"/>
  <c r="Y166" i="9"/>
  <c r="Y164" i="9"/>
  <c r="Z164" i="9" s="1"/>
  <c r="Y165" i="9"/>
  <c r="Z165" i="9" s="1"/>
  <c r="Y25" i="9"/>
  <c r="Y26" i="9"/>
  <c r="Z26" i="9" s="1"/>
  <c r="Y89" i="9"/>
  <c r="Z89" i="9" s="1"/>
  <c r="AC16" i="11"/>
  <c r="Y16" i="11" s="1"/>
  <c r="AA246" i="9"/>
  <c r="AB246" i="9" s="1"/>
  <c r="U248" i="9" s="1"/>
  <c r="AA247" i="9"/>
  <c r="AB247" i="9" s="1"/>
  <c r="U249" i="9" s="1"/>
  <c r="F106" i="11"/>
  <c r="G106" i="11" s="1"/>
  <c r="I106" i="11" s="1"/>
  <c r="Y106" i="11" s="1"/>
  <c r="K200" i="9"/>
  <c r="F111" i="11"/>
  <c r="G111" i="11" s="1"/>
  <c r="I111" i="11" s="1"/>
  <c r="Y111" i="11" s="1"/>
  <c r="K220" i="9"/>
  <c r="G78" i="11"/>
  <c r="I78" i="11" s="1"/>
  <c r="Y78" i="11" s="1"/>
  <c r="AA16" i="9"/>
  <c r="AB16" i="9" s="1"/>
  <c r="U18" i="9" s="1"/>
  <c r="AC14" i="11"/>
  <c r="Y14" i="11" s="1"/>
  <c r="T12" i="11"/>
  <c r="R13" i="11"/>
  <c r="S9" i="3"/>
  <c r="AA68" i="9"/>
  <c r="AB68" i="9" s="1"/>
  <c r="U99" i="9" s="1"/>
  <c r="J8" i="3"/>
  <c r="F26" i="11"/>
  <c r="G26" i="11" s="1"/>
  <c r="K7" i="9"/>
  <c r="F39" i="11"/>
  <c r="G39" i="11" s="1"/>
  <c r="I39" i="11" s="1"/>
  <c r="Y39" i="11" s="1"/>
  <c r="K40" i="9"/>
  <c r="M5" i="9"/>
  <c r="N5" i="9" s="1"/>
  <c r="F77" i="11"/>
  <c r="G77" i="11" s="1"/>
  <c r="I77" i="11" s="1"/>
  <c r="Y77" i="11" s="1"/>
  <c r="K116" i="9"/>
  <c r="AA244" i="9"/>
  <c r="AB244" i="9" s="1"/>
  <c r="U276" i="9" s="1"/>
  <c r="J12" i="3"/>
  <c r="F83" i="11"/>
  <c r="G83" i="11" s="1"/>
  <c r="I83" i="11" s="1"/>
  <c r="Y83" i="11" s="1"/>
  <c r="K128" i="9"/>
  <c r="Y74" i="9"/>
  <c r="Z74" i="9" s="1"/>
  <c r="Y73" i="9"/>
  <c r="Z73" i="9" s="1"/>
  <c r="F58" i="11"/>
  <c r="G58" i="11" s="1"/>
  <c r="I58" i="11" s="1"/>
  <c r="Y58" i="11" s="1"/>
  <c r="K77" i="9"/>
  <c r="F36" i="11"/>
  <c r="G36" i="11" s="1"/>
  <c r="I36" i="11" s="1"/>
  <c r="Y36" i="11" s="1"/>
  <c r="K33" i="9"/>
  <c r="F104" i="11"/>
  <c r="G104" i="11" s="1"/>
  <c r="I104" i="11" s="1"/>
  <c r="Y104" i="11" s="1"/>
  <c r="K192" i="9"/>
  <c r="F107" i="11"/>
  <c r="G107" i="11" s="1"/>
  <c r="I107" i="11" s="1"/>
  <c r="Y107" i="11" s="1"/>
  <c r="K204" i="9"/>
  <c r="T7" i="11"/>
  <c r="T8" i="3" s="1"/>
  <c r="S8" i="3"/>
  <c r="F125" i="11"/>
  <c r="G125" i="11" s="1"/>
  <c r="I125" i="11" s="1"/>
  <c r="Y125" i="11" s="1"/>
  <c r="K250" i="9"/>
  <c r="T16" i="11"/>
  <c r="T18" i="3" s="1"/>
  <c r="R8" i="11"/>
  <c r="G81" i="11"/>
  <c r="I81" i="11" s="1"/>
  <c r="Y81" i="11" s="1"/>
  <c r="F56" i="11"/>
  <c r="G56" i="11" s="1"/>
  <c r="I56" i="11" s="1"/>
  <c r="Y56" i="11" s="1"/>
  <c r="K73" i="9"/>
  <c r="F57" i="11"/>
  <c r="G57" i="11" s="1"/>
  <c r="I57" i="11" s="1"/>
  <c r="Y57" i="11" s="1"/>
  <c r="K75" i="9"/>
  <c r="F48" i="11"/>
  <c r="G48" i="11" s="1"/>
  <c r="I48" i="11" s="1"/>
  <c r="Y48" i="11" s="1"/>
  <c r="K57" i="9"/>
  <c r="R16" i="11"/>
  <c r="T8" i="11"/>
  <c r="T11" i="3" s="1"/>
  <c r="F103" i="11"/>
  <c r="G103" i="11" s="1"/>
  <c r="I103" i="11" s="1"/>
  <c r="Y103" i="11" s="1"/>
  <c r="F98" i="11"/>
  <c r="G98" i="11" s="1"/>
  <c r="I98" i="11" s="1"/>
  <c r="Y98" i="11" s="1"/>
  <c r="F94" i="11"/>
  <c r="G94" i="11" s="1"/>
  <c r="I94" i="11" s="1"/>
  <c r="Y94" i="11" s="1"/>
  <c r="J6" i="3"/>
  <c r="F51" i="11"/>
  <c r="G51" i="11" s="1"/>
  <c r="I51" i="11" s="1"/>
  <c r="Y51" i="11" s="1"/>
  <c r="K63" i="9"/>
  <c r="F53" i="11"/>
  <c r="G53" i="11" s="1"/>
  <c r="I53" i="11" s="1"/>
  <c r="Y53" i="11" s="1"/>
  <c r="K68" i="9"/>
  <c r="F109" i="11"/>
  <c r="G109" i="11" s="1"/>
  <c r="I109" i="11" s="1"/>
  <c r="Y109" i="11" s="1"/>
  <c r="K212" i="9"/>
  <c r="F100" i="11"/>
  <c r="G100" i="11" s="1"/>
  <c r="I100" i="11" s="1"/>
  <c r="Y100" i="11" s="1"/>
  <c r="F63" i="11"/>
  <c r="G63" i="11" s="1"/>
  <c r="I63" i="11" s="1"/>
  <c r="Y63" i="11" s="1"/>
  <c r="K88" i="9"/>
  <c r="Y69" i="9"/>
  <c r="Z69" i="9" s="1"/>
  <c r="Y70" i="9"/>
  <c r="J5" i="3"/>
  <c r="F135" i="11"/>
  <c r="G135" i="11" s="1"/>
  <c r="I135" i="11" s="1"/>
  <c r="Y135" i="11" s="1"/>
  <c r="K270" i="9"/>
  <c r="F132" i="11"/>
  <c r="G132" i="11" s="1"/>
  <c r="I132" i="11" s="1"/>
  <c r="Y132" i="11" s="1"/>
  <c r="K265" i="9"/>
  <c r="T9" i="11"/>
  <c r="T14" i="3" s="1"/>
  <c r="R9" i="11"/>
  <c r="S14" i="3"/>
  <c r="R15" i="11"/>
  <c r="F105" i="11"/>
  <c r="G105" i="11" s="1"/>
  <c r="I105" i="11" s="1"/>
  <c r="Y105" i="11" s="1"/>
  <c r="K196" i="9"/>
  <c r="F97" i="11"/>
  <c r="G97" i="11" s="1"/>
  <c r="I97" i="11" s="1"/>
  <c r="Y97" i="11" s="1"/>
  <c r="K164" i="9"/>
  <c r="AA77" i="9"/>
  <c r="AB77" i="9" s="1"/>
  <c r="F107" i="6" s="1"/>
  <c r="P107" i="6" s="1"/>
  <c r="B26" i="2" s="1"/>
  <c r="J14" i="3"/>
  <c r="J17" i="3"/>
  <c r="AC10" i="11"/>
  <c r="Y10" i="11" s="1"/>
  <c r="C20" i="2"/>
  <c r="D20" i="2"/>
  <c r="G59" i="11"/>
  <c r="I59" i="11" s="1"/>
  <c r="Y59" i="11" s="1"/>
  <c r="AA30" i="9"/>
  <c r="AB30" i="9" s="1"/>
  <c r="U32" i="9" s="1"/>
  <c r="AA29" i="9"/>
  <c r="AB29" i="9" s="1"/>
  <c r="U31" i="9" s="1"/>
  <c r="F64" i="11"/>
  <c r="G64" i="11" s="1"/>
  <c r="I64" i="11" s="1"/>
  <c r="Y64" i="11" s="1"/>
  <c r="K90" i="9"/>
  <c r="F45" i="11"/>
  <c r="G45" i="11" s="1"/>
  <c r="I45" i="11" s="1"/>
  <c r="Y45" i="11" s="1"/>
  <c r="K51" i="9"/>
  <c r="J10" i="3"/>
  <c r="F101" i="11"/>
  <c r="G101" i="11" s="1"/>
  <c r="I101" i="11" s="1"/>
  <c r="Y101" i="11" s="1"/>
  <c r="K180" i="9"/>
  <c r="F96" i="11"/>
  <c r="G96" i="11" s="1"/>
  <c r="I96" i="11" s="1"/>
  <c r="Y96" i="11" s="1"/>
  <c r="K160" i="9"/>
  <c r="F74" i="11"/>
  <c r="G74" i="11" s="1"/>
  <c r="I74" i="11" s="1"/>
  <c r="Y74" i="11" s="1"/>
  <c r="K110" i="9"/>
  <c r="F76" i="11"/>
  <c r="G76" i="11" s="1"/>
  <c r="I76" i="11" s="1"/>
  <c r="Y76" i="11" s="1"/>
  <c r="K114" i="9"/>
  <c r="R12" i="11"/>
  <c r="F134" i="11"/>
  <c r="G134" i="11" s="1"/>
  <c r="I134" i="11" s="1"/>
  <c r="Y134" i="11" s="1"/>
  <c r="K268" i="9"/>
  <c r="C24" i="7"/>
  <c r="A6" i="8"/>
  <c r="V8" i="11"/>
  <c r="G122" i="11"/>
  <c r="I122" i="11" s="1"/>
  <c r="Y122" i="11" s="1"/>
  <c r="J9" i="3"/>
  <c r="F72" i="11"/>
  <c r="G72" i="11" s="1"/>
  <c r="I72" i="11" s="1"/>
  <c r="Y72" i="11" s="1"/>
  <c r="K106" i="9"/>
  <c r="F75" i="11"/>
  <c r="G75" i="11" s="1"/>
  <c r="I75" i="11" s="1"/>
  <c r="Y75" i="11" s="1"/>
  <c r="K112" i="9"/>
  <c r="F70" i="11"/>
  <c r="G70" i="11" s="1"/>
  <c r="I70" i="11" s="1"/>
  <c r="Y70" i="11" s="1"/>
  <c r="K103" i="9"/>
  <c r="J7" i="3"/>
  <c r="D17" i="2"/>
  <c r="C17" i="2"/>
  <c r="F33" i="11"/>
  <c r="G33" i="11" s="1"/>
  <c r="I33" i="11" s="1"/>
  <c r="Y33" i="11" s="1"/>
  <c r="K28" i="9"/>
  <c r="F86" i="11"/>
  <c r="G86" i="11" s="1"/>
  <c r="I86" i="11" s="1"/>
  <c r="Y86" i="11" s="1"/>
  <c r="K134" i="9"/>
  <c r="F71" i="11"/>
  <c r="G71" i="11" s="1"/>
  <c r="I71" i="11" s="1"/>
  <c r="Y71" i="11" s="1"/>
  <c r="K104" i="9"/>
  <c r="D13" i="2"/>
  <c r="C13" i="2"/>
  <c r="D19" i="2"/>
  <c r="C19" i="2"/>
  <c r="AC12" i="11"/>
  <c r="Y12" i="11" s="1"/>
  <c r="B26" i="4" s="1"/>
  <c r="J4" i="9"/>
  <c r="F102" i="11"/>
  <c r="G102" i="11" s="1"/>
  <c r="I102" i="11" s="1"/>
  <c r="Y102" i="11" s="1"/>
  <c r="K184" i="9"/>
  <c r="F93" i="11"/>
  <c r="G93" i="11" s="1"/>
  <c r="I93" i="11" s="1"/>
  <c r="Y93" i="11" s="1"/>
  <c r="K148" i="9"/>
  <c r="F88" i="11"/>
  <c r="G88" i="11" s="1"/>
  <c r="I88" i="11" s="1"/>
  <c r="Y88" i="11" s="1"/>
  <c r="K138" i="9"/>
  <c r="G116" i="11"/>
  <c r="I116" i="11" s="1"/>
  <c r="Y116" i="11" s="1"/>
  <c r="F108" i="11"/>
  <c r="G108" i="11" s="1"/>
  <c r="I108" i="11" s="1"/>
  <c r="Y108" i="11" s="1"/>
  <c r="K208" i="9"/>
  <c r="F90" i="11"/>
  <c r="G90" i="11" s="1"/>
  <c r="I90" i="11" s="1"/>
  <c r="Y90" i="11" s="1"/>
  <c r="K142" i="9"/>
  <c r="F54" i="11"/>
  <c r="G54" i="11" s="1"/>
  <c r="I54" i="11" s="1"/>
  <c r="Y54" i="11" s="1"/>
  <c r="K69" i="9"/>
  <c r="G31" i="11"/>
  <c r="I31" i="11" s="1"/>
  <c r="Y31" i="11" s="1"/>
  <c r="AA7" i="9"/>
  <c r="AB7" i="9" s="1"/>
  <c r="B96" i="6" s="1"/>
  <c r="P96" i="6" s="1"/>
  <c r="B15" i="2" s="1"/>
  <c r="G30" i="11"/>
  <c r="I30" i="11" s="1"/>
  <c r="Y30" i="11" s="1"/>
  <c r="AC15" i="11"/>
  <c r="Y15" i="11" s="1"/>
  <c r="F99" i="11"/>
  <c r="G99" i="11" s="1"/>
  <c r="I99" i="11" s="1"/>
  <c r="Y99" i="11" s="1"/>
  <c r="K172" i="9"/>
  <c r="V17" i="11"/>
  <c r="F110" i="11"/>
  <c r="G110" i="11" s="1"/>
  <c r="I110" i="11" s="1"/>
  <c r="Y110" i="11" s="1"/>
  <c r="K216" i="9"/>
  <c r="AA225" i="9"/>
  <c r="AB225" i="9" s="1"/>
  <c r="U239" i="9" s="1"/>
  <c r="F89" i="11"/>
  <c r="G89" i="11" s="1"/>
  <c r="I89" i="11" s="1"/>
  <c r="Y89" i="11" s="1"/>
  <c r="K140" i="9"/>
  <c r="I18" i="3" s="1"/>
  <c r="F60" i="11"/>
  <c r="G60" i="11" s="1"/>
  <c r="I60" i="11" s="1"/>
  <c r="Y60" i="11" s="1"/>
  <c r="K82" i="9"/>
  <c r="W12" i="9"/>
  <c r="X12" i="9" s="1"/>
  <c r="J12" i="9" s="1"/>
  <c r="W8" i="9"/>
  <c r="W14" i="9"/>
  <c r="X14" i="9" s="1"/>
  <c r="J14" i="9" s="1"/>
  <c r="W10" i="9"/>
  <c r="W13" i="9"/>
  <c r="W9" i="9"/>
  <c r="X9" i="9" s="1"/>
  <c r="J9" i="9" s="1"/>
  <c r="W7" i="9"/>
  <c r="X7" i="9" s="1"/>
  <c r="W11" i="9"/>
  <c r="X11" i="9" s="1"/>
  <c r="J11" i="9" s="1"/>
  <c r="D24" i="2"/>
  <c r="C24" i="2"/>
  <c r="J16" i="3"/>
  <c r="F130" i="11"/>
  <c r="G130" i="11" s="1"/>
  <c r="I130" i="11" s="1"/>
  <c r="Y130" i="11" s="1"/>
  <c r="K260" i="9"/>
  <c r="R17" i="11"/>
  <c r="S6" i="3"/>
  <c r="T18" i="11"/>
  <c r="T12" i="3" s="1"/>
  <c r="R18" i="11"/>
  <c r="S12" i="3"/>
  <c r="G131" i="11"/>
  <c r="I131" i="11" s="1"/>
  <c r="Y131" i="11" s="1"/>
  <c r="T17" i="11"/>
  <c r="T6" i="3" s="1"/>
  <c r="J11" i="3"/>
  <c r="F65" i="11"/>
  <c r="G65" i="11" s="1"/>
  <c r="I65" i="11" s="1"/>
  <c r="Y65" i="11" s="1"/>
  <c r="K93" i="9"/>
  <c r="F49" i="11"/>
  <c r="G49" i="11" s="1"/>
  <c r="I49" i="11" s="1"/>
  <c r="Y49" i="11" s="1"/>
  <c r="K59" i="9"/>
  <c r="B24" i="7" l="1"/>
  <c r="Y135" i="9"/>
  <c r="Z135" i="9" s="1"/>
  <c r="Y75" i="9"/>
  <c r="Z75" i="9" s="1"/>
  <c r="Y46" i="9"/>
  <c r="Z46" i="9" s="1"/>
  <c r="Y51" i="9"/>
  <c r="Z51" i="9" s="1"/>
  <c r="I17" i="3"/>
  <c r="I9" i="3"/>
  <c r="Z25" i="9"/>
  <c r="I6" i="3"/>
  <c r="I5" i="3"/>
  <c r="A7" i="8"/>
  <c r="I14" i="3"/>
  <c r="I11" i="3"/>
  <c r="Y237" i="9"/>
  <c r="Z237" i="9" s="1"/>
  <c r="Y239" i="9"/>
  <c r="Z239" i="9" s="1"/>
  <c r="I7" i="3"/>
  <c r="I10" i="3"/>
  <c r="I12" i="3"/>
  <c r="M9" i="11"/>
  <c r="D26" i="2"/>
  <c r="C26" i="2"/>
  <c r="M14" i="11"/>
  <c r="AA52" i="9"/>
  <c r="AB52" i="9" s="1"/>
  <c r="U54" i="9" s="1"/>
  <c r="AA51" i="9"/>
  <c r="AB51" i="9" s="1"/>
  <c r="U53" i="9" s="1"/>
  <c r="M17" i="11"/>
  <c r="M11" i="11"/>
  <c r="M13" i="11"/>
  <c r="M10" i="11"/>
  <c r="Y277" i="9"/>
  <c r="Z277" i="9" s="1"/>
  <c r="Y276" i="9"/>
  <c r="Z276" i="9" s="1"/>
  <c r="Y149" i="9"/>
  <c r="Z149" i="9" s="1"/>
  <c r="Y151" i="9"/>
  <c r="Z151" i="9" s="1"/>
  <c r="AA151" i="9" s="1"/>
  <c r="AB151" i="9" s="1"/>
  <c r="U173" i="9" s="1"/>
  <c r="Y148" i="9"/>
  <c r="Z148" i="9" s="1"/>
  <c r="Y150" i="9"/>
  <c r="AA238" i="9"/>
  <c r="AB238" i="9" s="1"/>
  <c r="U257" i="9" s="1"/>
  <c r="AA89" i="9"/>
  <c r="AB89" i="9" s="1"/>
  <c r="U116" i="9" s="1"/>
  <c r="AA88" i="9"/>
  <c r="AB88" i="9" s="1"/>
  <c r="U91" i="9" s="1"/>
  <c r="AA129" i="9"/>
  <c r="AB129" i="9" s="1"/>
  <c r="U163" i="9" s="1"/>
  <c r="AA128" i="9"/>
  <c r="AB128" i="9" s="1"/>
  <c r="U136" i="9" s="1"/>
  <c r="Y248" i="9"/>
  <c r="Z248" i="9" s="1"/>
  <c r="Y249" i="9"/>
  <c r="Z249" i="9" s="1"/>
  <c r="AA139" i="9"/>
  <c r="AB139" i="9" s="1"/>
  <c r="U140" i="9" s="1"/>
  <c r="AA138" i="9"/>
  <c r="AB138" i="9" s="1"/>
  <c r="D108" i="6" s="1"/>
  <c r="B17" i="4"/>
  <c r="T17" i="3"/>
  <c r="T2" i="3" s="1"/>
  <c r="M11" i="9"/>
  <c r="N11" i="9" s="1"/>
  <c r="M9" i="9"/>
  <c r="N9" i="9" s="1"/>
  <c r="M20" i="11"/>
  <c r="Y32" i="9"/>
  <c r="Z32" i="9" s="1"/>
  <c r="Y31" i="9"/>
  <c r="Z31" i="9" s="1"/>
  <c r="U25" i="11"/>
  <c r="H13" i="9"/>
  <c r="Y17" i="9"/>
  <c r="Z17" i="9" s="1"/>
  <c r="Y18" i="9"/>
  <c r="Z18" i="9" s="1"/>
  <c r="AA46" i="9"/>
  <c r="AB46" i="9" s="1"/>
  <c r="D93" i="6" s="1"/>
  <c r="AA45" i="9"/>
  <c r="AB45" i="9" s="1"/>
  <c r="U47" i="9" s="1"/>
  <c r="AA134" i="9"/>
  <c r="AB134" i="9" s="1"/>
  <c r="U150" i="9" s="1"/>
  <c r="AA135" i="9"/>
  <c r="AB135" i="9" s="1"/>
  <c r="U158" i="9" s="1"/>
  <c r="M8" i="11"/>
  <c r="M14" i="9"/>
  <c r="N14" i="9" s="1"/>
  <c r="M18" i="11"/>
  <c r="P25" i="11"/>
  <c r="H8" i="9"/>
  <c r="M15" i="11"/>
  <c r="D15" i="2"/>
  <c r="C15" i="2"/>
  <c r="AA73" i="9"/>
  <c r="AB73" i="9" s="1"/>
  <c r="I106" i="6" s="1"/>
  <c r="AA74" i="9"/>
  <c r="AB74" i="9" s="1"/>
  <c r="U76" i="9" s="1"/>
  <c r="M12" i="9"/>
  <c r="N12" i="9" s="1"/>
  <c r="M12" i="11"/>
  <c r="AA26" i="9"/>
  <c r="AB26" i="9" s="1"/>
  <c r="U28" i="9" s="1"/>
  <c r="AA25" i="9"/>
  <c r="AB25" i="9" s="1"/>
  <c r="U27" i="9" s="1"/>
  <c r="M19" i="11"/>
  <c r="M4" i="9"/>
  <c r="M7" i="11"/>
  <c r="I8" i="3"/>
  <c r="I26" i="11"/>
  <c r="M16" i="11"/>
  <c r="C18" i="2"/>
  <c r="D18" i="2"/>
  <c r="AA239" i="9" l="1"/>
  <c r="AB239" i="9" s="1"/>
  <c r="AA237" i="9"/>
  <c r="AB237" i="9" s="1"/>
  <c r="U254" i="9" s="1"/>
  <c r="Y254" i="9" s="1"/>
  <c r="Z254" i="9" s="1"/>
  <c r="Z91" i="9"/>
  <c r="Y28" i="9"/>
  <c r="Z28" i="9" s="1"/>
  <c r="Y27" i="9"/>
  <c r="Z27" i="9" s="1"/>
  <c r="N39" i="11"/>
  <c r="N48" i="11"/>
  <c r="N32" i="11"/>
  <c r="N41" i="11"/>
  <c r="N34" i="11"/>
  <c r="N43" i="11"/>
  <c r="N45" i="11"/>
  <c r="N47" i="11"/>
  <c r="N46" i="11"/>
  <c r="N42" i="11"/>
  <c r="N40" i="11"/>
  <c r="N31" i="11"/>
  <c r="N44" i="11"/>
  <c r="N38" i="11"/>
  <c r="N26" i="11"/>
  <c r="N36" i="11"/>
  <c r="N30" i="11"/>
  <c r="N37" i="11"/>
  <c r="N29" i="11"/>
  <c r="N35" i="11"/>
  <c r="N28" i="11"/>
  <c r="N33" i="11"/>
  <c r="N27" i="11"/>
  <c r="H60" i="9"/>
  <c r="R26" i="11"/>
  <c r="H15" i="9"/>
  <c r="Y116" i="9"/>
  <c r="Z116" i="9" s="1"/>
  <c r="Y117" i="9"/>
  <c r="Y257" i="9"/>
  <c r="Z257" i="9" s="1"/>
  <c r="Y256" i="9"/>
  <c r="Z256" i="9" s="1"/>
  <c r="Z150" i="9"/>
  <c r="Q80" i="11"/>
  <c r="Q82" i="11"/>
  <c r="Q75" i="11"/>
  <c r="Q77" i="11"/>
  <c r="Q74" i="11"/>
  <c r="Q66" i="11"/>
  <c r="Q50" i="11"/>
  <c r="Q34" i="11"/>
  <c r="Q59" i="11"/>
  <c r="Q43" i="11"/>
  <c r="Q27" i="11"/>
  <c r="Q73" i="11"/>
  <c r="Q68" i="11"/>
  <c r="Q52" i="11"/>
  <c r="Q36" i="11"/>
  <c r="Q61" i="11"/>
  <c r="Q45" i="11"/>
  <c r="Q29" i="11"/>
  <c r="Q70" i="11"/>
  <c r="Q54" i="11"/>
  <c r="Q38" i="11"/>
  <c r="Q63" i="11"/>
  <c r="Q47" i="11"/>
  <c r="Q72" i="11"/>
  <c r="Q56" i="11"/>
  <c r="Q65" i="11"/>
  <c r="Q49" i="11"/>
  <c r="Q58" i="11"/>
  <c r="Q67" i="11"/>
  <c r="Q51" i="11"/>
  <c r="Q79" i="11"/>
  <c r="Q60" i="11"/>
  <c r="Q57" i="11"/>
  <c r="Q41" i="11"/>
  <c r="Q69" i="11"/>
  <c r="Q39" i="11"/>
  <c r="Q26" i="11"/>
  <c r="Q81" i="11"/>
  <c r="Q48" i="11"/>
  <c r="Q30" i="11"/>
  <c r="Q37" i="11"/>
  <c r="Q64" i="11"/>
  <c r="Q78" i="11"/>
  <c r="Q55" i="11"/>
  <c r="Q76" i="11"/>
  <c r="Q62" i="11"/>
  <c r="Q46" i="11"/>
  <c r="Q35" i="11"/>
  <c r="Q53" i="11"/>
  <c r="Q33" i="11"/>
  <c r="Q28" i="11"/>
  <c r="Q42" i="11"/>
  <c r="Q71" i="11"/>
  <c r="Q44" i="11"/>
  <c r="Q31" i="11"/>
  <c r="Q32" i="11"/>
  <c r="Q40" i="11"/>
  <c r="H128" i="9"/>
  <c r="Y26" i="11"/>
  <c r="F6" i="7"/>
  <c r="E20" i="7" s="1"/>
  <c r="D9" i="7"/>
  <c r="F7" i="7"/>
  <c r="D11" i="7"/>
  <c r="C6" i="7"/>
  <c r="F20" i="7" s="1"/>
  <c r="C8" i="7"/>
  <c r="D12" i="7"/>
  <c r="B13" i="7"/>
  <c r="C9" i="7"/>
  <c r="F9" i="7"/>
  <c r="B6" i="7"/>
  <c r="C20" i="7" s="1"/>
  <c r="E6" i="7"/>
  <c r="B20" i="7" s="1"/>
  <c r="C12" i="7"/>
  <c r="F12" i="7"/>
  <c r="B9" i="7"/>
  <c r="E9" i="7"/>
  <c r="B12" i="7"/>
  <c r="D6" i="7"/>
  <c r="D20" i="7" s="1"/>
  <c r="F8" i="7"/>
  <c r="F10" i="7"/>
  <c r="F11" i="7"/>
  <c r="F13" i="7"/>
  <c r="E7" i="7"/>
  <c r="E8" i="7"/>
  <c r="E10" i="7"/>
  <c r="D13" i="7"/>
  <c r="E11" i="7"/>
  <c r="D7" i="7"/>
  <c r="C10" i="7"/>
  <c r="D8" i="7"/>
  <c r="E13" i="7"/>
  <c r="B7" i="7"/>
  <c r="C11" i="7"/>
  <c r="D10" i="7"/>
  <c r="C13" i="7"/>
  <c r="B8" i="7"/>
  <c r="C7" i="7"/>
  <c r="B10" i="7"/>
  <c r="E12" i="7"/>
  <c r="B11" i="7"/>
  <c r="AA18" i="9"/>
  <c r="AB18" i="9" s="1"/>
  <c r="U20" i="9" s="1"/>
  <c r="AA17" i="9"/>
  <c r="AB17" i="9" s="1"/>
  <c r="U19" i="9" s="1"/>
  <c r="Y141" i="9"/>
  <c r="Y140" i="9"/>
  <c r="Z140" i="9" s="1"/>
  <c r="Z76" i="9"/>
  <c r="Q13" i="9"/>
  <c r="V13" i="9"/>
  <c r="X13" i="9" s="1"/>
  <c r="J13" i="9" s="1"/>
  <c r="AA249" i="9"/>
  <c r="AB249" i="9" s="1"/>
  <c r="U250" i="9" s="1"/>
  <c r="AA248" i="9"/>
  <c r="AB248" i="9" s="1"/>
  <c r="U251" i="9" s="1"/>
  <c r="Y54" i="9"/>
  <c r="Z54" i="9" s="1"/>
  <c r="Y53" i="9"/>
  <c r="Z53" i="9" s="1"/>
  <c r="A9" i="8"/>
  <c r="B29" i="7"/>
  <c r="V8" i="9"/>
  <c r="X8" i="9" s="1"/>
  <c r="Q8" i="9"/>
  <c r="N4" i="9"/>
  <c r="Y136" i="9"/>
  <c r="Z136" i="9" s="1"/>
  <c r="Y137" i="9"/>
  <c r="Z137" i="9" s="1"/>
  <c r="AA32" i="9"/>
  <c r="AB32" i="9" s="1"/>
  <c r="U34" i="9" s="1"/>
  <c r="AA31" i="9"/>
  <c r="AB31" i="9" s="1"/>
  <c r="U33" i="9" s="1"/>
  <c r="AA276" i="9"/>
  <c r="AB276" i="9" s="1"/>
  <c r="G91" i="6" s="1"/>
  <c r="AA277" i="9"/>
  <c r="AB277" i="9" s="1"/>
  <c r="I91" i="6" s="1"/>
  <c r="Y48" i="9"/>
  <c r="Y47" i="9"/>
  <c r="Z47" i="9" s="1"/>
  <c r="M30" i="11"/>
  <c r="M39" i="11"/>
  <c r="M32" i="11"/>
  <c r="M41" i="11"/>
  <c r="M37" i="11"/>
  <c r="M40" i="11"/>
  <c r="M31" i="11"/>
  <c r="M38" i="11"/>
  <c r="M26" i="11"/>
  <c r="M36" i="11"/>
  <c r="M29" i="11"/>
  <c r="M34" i="11"/>
  <c r="M27" i="11"/>
  <c r="M35" i="11"/>
  <c r="M28" i="11"/>
  <c r="M33" i="11"/>
  <c r="H46" i="9"/>
  <c r="U285" i="9" l="1"/>
  <c r="Y255" i="9"/>
  <c r="Z255" i="9" s="1"/>
  <c r="AA255" i="9" s="1"/>
  <c r="AB255" i="9" s="1"/>
  <c r="F103" i="6" s="1"/>
  <c r="AA149" i="9"/>
  <c r="AB149" i="9" s="1"/>
  <c r="U155" i="9" s="1"/>
  <c r="AA150" i="9"/>
  <c r="AB150" i="9" s="1"/>
  <c r="U172" i="9" s="1"/>
  <c r="AA148" i="9"/>
  <c r="AB148" i="9" s="1"/>
  <c r="U154" i="9" s="1"/>
  <c r="P91" i="6"/>
  <c r="B10" i="2" s="1"/>
  <c r="H5" i="4"/>
  <c r="AA75" i="9"/>
  <c r="AB75" i="9" s="1"/>
  <c r="B106" i="6" s="1"/>
  <c r="AA76" i="9"/>
  <c r="AB76" i="9" s="1"/>
  <c r="D106" i="6" s="1"/>
  <c r="J8" i="9"/>
  <c r="P128" i="9"/>
  <c r="Q128" i="9" s="1"/>
  <c r="P129" i="9"/>
  <c r="V128" i="9"/>
  <c r="AA256" i="9"/>
  <c r="AB256" i="9" s="1"/>
  <c r="U258" i="9" s="1"/>
  <c r="AA257" i="9"/>
  <c r="AB257" i="9" s="1"/>
  <c r="U259" i="9" s="1"/>
  <c r="M13" i="9"/>
  <c r="N13" i="9" s="1"/>
  <c r="O25" i="11"/>
  <c r="H10" i="9"/>
  <c r="Y34" i="9"/>
  <c r="Z34" i="9" s="1"/>
  <c r="Y33" i="9"/>
  <c r="Z33" i="9" s="1"/>
  <c r="AA28" i="9"/>
  <c r="AB28" i="9" s="1"/>
  <c r="G102" i="6" s="1"/>
  <c r="AA27" i="9"/>
  <c r="AB27" i="9" s="1"/>
  <c r="U58" i="9" s="1"/>
  <c r="Y19" i="9"/>
  <c r="Z19" i="9" s="1"/>
  <c r="Y20" i="9"/>
  <c r="Z20" i="9" s="1"/>
  <c r="AA90" i="9"/>
  <c r="AB90" i="9" s="1"/>
  <c r="U235" i="9" s="1"/>
  <c r="AA91" i="9"/>
  <c r="AB91" i="9" s="1"/>
  <c r="U117" i="9" s="1"/>
  <c r="Z117" i="9" s="1"/>
  <c r="AA137" i="9"/>
  <c r="AB137" i="9" s="1"/>
  <c r="U141" i="9" s="1"/>
  <c r="AA136" i="9"/>
  <c r="AB136" i="9" s="1"/>
  <c r="U142" i="9" s="1"/>
  <c r="V46" i="9"/>
  <c r="AA54" i="9"/>
  <c r="AB54" i="9" s="1"/>
  <c r="U56" i="9" s="1"/>
  <c r="AA53" i="9"/>
  <c r="AB53" i="9" s="1"/>
  <c r="U55" i="9" s="1"/>
  <c r="V15" i="9"/>
  <c r="Y251" i="9"/>
  <c r="Z251" i="9" s="1"/>
  <c r="Y250" i="9"/>
  <c r="Z250" i="9" s="1"/>
  <c r="V60" i="9"/>
  <c r="Y285" i="9" l="1"/>
  <c r="Z285" i="9" s="1"/>
  <c r="Y284" i="9"/>
  <c r="P106" i="6"/>
  <c r="B25" i="2" s="1"/>
  <c r="AA254" i="9"/>
  <c r="AB254" i="9" s="1"/>
  <c r="I103" i="6" s="1"/>
  <c r="Y56" i="9"/>
  <c r="Z56" i="9" s="1"/>
  <c r="Y55" i="9"/>
  <c r="Z55" i="9" s="1"/>
  <c r="W129" i="9"/>
  <c r="W128" i="9"/>
  <c r="X128" i="9" s="1"/>
  <c r="Y142" i="9"/>
  <c r="Z142" i="9" s="1"/>
  <c r="Y143" i="9"/>
  <c r="Y259" i="9"/>
  <c r="Z259" i="9" s="1"/>
  <c r="Y258" i="9"/>
  <c r="Z258" i="9" s="1"/>
  <c r="M8" i="9"/>
  <c r="N8" i="9" s="1"/>
  <c r="AA250" i="9"/>
  <c r="AB250" i="9" s="1"/>
  <c r="U252" i="9" s="1"/>
  <c r="AA251" i="9"/>
  <c r="AB251" i="9" s="1"/>
  <c r="U253" i="9" s="1"/>
  <c r="U38" i="11"/>
  <c r="U47" i="11"/>
  <c r="U31" i="11"/>
  <c r="U40" i="11"/>
  <c r="U49" i="11"/>
  <c r="U33" i="11"/>
  <c r="U42" i="11"/>
  <c r="U51" i="11"/>
  <c r="U44" i="11"/>
  <c r="U46" i="11"/>
  <c r="U48" i="11"/>
  <c r="U45" i="11"/>
  <c r="U36" i="11"/>
  <c r="U29" i="11"/>
  <c r="U52" i="11"/>
  <c r="U35" i="11"/>
  <c r="U34" i="11"/>
  <c r="U28" i="11"/>
  <c r="U32" i="11"/>
  <c r="U50" i="11"/>
  <c r="U41" i="11"/>
  <c r="U27" i="11"/>
  <c r="U43" i="11"/>
  <c r="U37" i="11"/>
  <c r="U39" i="11"/>
  <c r="U26" i="11"/>
  <c r="U30" i="11"/>
  <c r="H68" i="9"/>
  <c r="AA117" i="9"/>
  <c r="AB117" i="9" s="1"/>
  <c r="U221" i="9" s="1"/>
  <c r="AA116" i="9"/>
  <c r="AB116" i="9" s="1"/>
  <c r="U118" i="9" s="1"/>
  <c r="AA34" i="9"/>
  <c r="AB34" i="9" s="1"/>
  <c r="U81" i="9" s="1"/>
  <c r="AA33" i="9"/>
  <c r="AB33" i="9" s="1"/>
  <c r="U57" i="9" s="1"/>
  <c r="AA19" i="9"/>
  <c r="AB19" i="9" s="1"/>
  <c r="U21" i="9" s="1"/>
  <c r="AA20" i="9"/>
  <c r="AB20" i="9" s="1"/>
  <c r="U22" i="9" s="1"/>
  <c r="Z141" i="9"/>
  <c r="D25" i="2"/>
  <c r="C25" i="2"/>
  <c r="Y236" i="9"/>
  <c r="Z236" i="9" s="1"/>
  <c r="Y235" i="9"/>
  <c r="Z235" i="9" s="1"/>
  <c r="Q10" i="9"/>
  <c r="V10" i="9"/>
  <c r="X10" i="9" s="1"/>
  <c r="D10" i="2"/>
  <c r="C10" i="2"/>
  <c r="Y175" i="9"/>
  <c r="Y173" i="9"/>
  <c r="Z173" i="9" s="1"/>
  <c r="Y174" i="9"/>
  <c r="Y172" i="9"/>
  <c r="Z172" i="9" s="1"/>
  <c r="AA259" i="9" l="1"/>
  <c r="AB259" i="9" s="1"/>
  <c r="AA258" i="9"/>
  <c r="AB258" i="9" s="1"/>
  <c r="B103" i="6" s="1"/>
  <c r="J10" i="9"/>
  <c r="J7" i="9"/>
  <c r="Y21" i="9"/>
  <c r="Z21" i="9" s="1"/>
  <c r="Y22" i="9"/>
  <c r="Z22" i="9" s="1"/>
  <c r="AA141" i="9"/>
  <c r="AB141" i="9" s="1"/>
  <c r="U143" i="9" s="1"/>
  <c r="AA140" i="9"/>
  <c r="AB140" i="9" s="1"/>
  <c r="U144" i="9" s="1"/>
  <c r="Y58" i="9"/>
  <c r="Z58" i="9" s="1"/>
  <c r="Y57" i="9"/>
  <c r="Z57" i="9" s="1"/>
  <c r="Y252" i="9"/>
  <c r="Z252" i="9" s="1"/>
  <c r="Y253" i="9"/>
  <c r="Z253" i="9" s="1"/>
  <c r="Y119" i="9"/>
  <c r="Z119" i="9" s="1"/>
  <c r="Y118" i="9"/>
  <c r="Z118" i="9" s="1"/>
  <c r="AA235" i="9"/>
  <c r="AB235" i="9" s="1"/>
  <c r="U241" i="9" s="1"/>
  <c r="AA236" i="9"/>
  <c r="AB236" i="9" s="1"/>
  <c r="K95" i="6" s="1"/>
  <c r="P26" i="11"/>
  <c r="H16" i="9"/>
  <c r="P68" i="9"/>
  <c r="Q68" i="9" s="1"/>
  <c r="P67" i="9"/>
  <c r="V68" i="9"/>
  <c r="Z221" i="9"/>
  <c r="AA56" i="9"/>
  <c r="AB56" i="9" s="1"/>
  <c r="U104" i="9" s="1"/>
  <c r="AA55" i="9"/>
  <c r="AB55" i="9" s="1"/>
  <c r="D104" i="6" s="1"/>
  <c r="E25" i="8" s="1"/>
  <c r="U284" i="9" l="1"/>
  <c r="AA58" i="9"/>
  <c r="AB58" i="9" s="1"/>
  <c r="U62" i="9" s="1"/>
  <c r="AA57" i="9"/>
  <c r="AB57" i="9" s="1"/>
  <c r="U59" i="9" s="1"/>
  <c r="Y145" i="9"/>
  <c r="Y144" i="9"/>
  <c r="Z144" i="9" s="1"/>
  <c r="AA119" i="9"/>
  <c r="AB119" i="9" s="1"/>
  <c r="C95" i="6" s="1"/>
  <c r="AA118" i="9"/>
  <c r="AB118" i="9" s="1"/>
  <c r="L95" i="6" s="1"/>
  <c r="H9" i="4" s="1"/>
  <c r="AA252" i="9"/>
  <c r="AB252" i="9" s="1"/>
  <c r="F109" i="6" s="1"/>
  <c r="AA253" i="9"/>
  <c r="AB253" i="9" s="1"/>
  <c r="I109" i="6" s="1"/>
  <c r="AA22" i="9"/>
  <c r="AB22" i="9" s="1"/>
  <c r="U35" i="9" s="1"/>
  <c r="AA21" i="9"/>
  <c r="AB21" i="9" s="1"/>
  <c r="U36" i="9" s="1"/>
  <c r="Y105" i="9"/>
  <c r="Z105" i="9" s="1"/>
  <c r="Y104" i="9"/>
  <c r="Z104" i="9" s="1"/>
  <c r="M10" i="9"/>
  <c r="N10" i="9" s="1"/>
  <c r="AA221" i="9"/>
  <c r="AB221" i="9" s="1"/>
  <c r="U223" i="9" s="1"/>
  <c r="AA220" i="9"/>
  <c r="AB220" i="9" s="1"/>
  <c r="U222" i="9" s="1"/>
  <c r="W67" i="9"/>
  <c r="W68" i="9"/>
  <c r="X68" i="9" s="1"/>
  <c r="M7" i="9"/>
  <c r="P16" i="9"/>
  <c r="Q16" i="9" s="1"/>
  <c r="P15" i="9"/>
  <c r="Q15" i="9" s="1"/>
  <c r="V16" i="9"/>
  <c r="Z143" i="9"/>
  <c r="Z284" i="9" l="1"/>
  <c r="P109" i="6"/>
  <c r="B28" i="2" s="1"/>
  <c r="C28" i="2" s="1"/>
  <c r="AA104" i="9"/>
  <c r="AB104" i="9" s="1"/>
  <c r="U106" i="9" s="1"/>
  <c r="AA105" i="9"/>
  <c r="AB105" i="9" s="1"/>
  <c r="U107" i="9" s="1"/>
  <c r="Y35" i="9"/>
  <c r="Z35" i="9" s="1"/>
  <c r="Y36" i="9"/>
  <c r="Z36" i="9" s="1"/>
  <c r="D28" i="2"/>
  <c r="Y222" i="9"/>
  <c r="Z222" i="9" s="1"/>
  <c r="Y223" i="9"/>
  <c r="Z223" i="9" s="1"/>
  <c r="O32" i="11"/>
  <c r="O31" i="11"/>
  <c r="O26" i="11"/>
  <c r="O30" i="11"/>
  <c r="O29" i="11"/>
  <c r="O28" i="11"/>
  <c r="O33" i="11"/>
  <c r="O27" i="11"/>
  <c r="H29" i="9"/>
  <c r="W16" i="9"/>
  <c r="X16" i="9" s="1"/>
  <c r="W15" i="9"/>
  <c r="X15" i="9" s="1"/>
  <c r="N7" i="9"/>
  <c r="AA143" i="9"/>
  <c r="AB143" i="9" s="1"/>
  <c r="U145" i="9" s="1"/>
  <c r="Z145" i="9" s="1"/>
  <c r="AA142" i="9"/>
  <c r="AB142" i="9" s="1"/>
  <c r="U146" i="9" s="1"/>
  <c r="Y60" i="9"/>
  <c r="Z60" i="9" s="1"/>
  <c r="Y59" i="9"/>
  <c r="Z59" i="9" s="1"/>
  <c r="Y62" i="9"/>
  <c r="Z62" i="9" s="1"/>
  <c r="Y61" i="9"/>
  <c r="AA284" i="9" l="1"/>
  <c r="AB284" i="9" s="1"/>
  <c r="G103" i="6" s="1"/>
  <c r="P103" i="6" s="1"/>
  <c r="B22" i="2" s="1"/>
  <c r="AA285" i="9"/>
  <c r="AB285" i="9" s="1"/>
  <c r="L103" i="6" s="1"/>
  <c r="H17" i="4" s="1"/>
  <c r="AA145" i="9"/>
  <c r="AA144" i="9"/>
  <c r="AB144" i="9" s="1"/>
  <c r="U147" i="9" s="1"/>
  <c r="AA59" i="9"/>
  <c r="AB59" i="9" s="1"/>
  <c r="U63" i="9" s="1"/>
  <c r="AA60" i="9"/>
  <c r="AB60" i="9" s="1"/>
  <c r="U61" i="9" s="1"/>
  <c r="Y146" i="9"/>
  <c r="Z146" i="9" s="1"/>
  <c r="Y147" i="9"/>
  <c r="J16" i="9"/>
  <c r="J15" i="9"/>
  <c r="AA222" i="9"/>
  <c r="AB222" i="9" s="1"/>
  <c r="H95" i="6" s="1"/>
  <c r="AA223" i="9"/>
  <c r="AB223" i="9" s="1"/>
  <c r="U240" i="9" s="1"/>
  <c r="K28" i="11"/>
  <c r="K37" i="11"/>
  <c r="K30" i="11"/>
  <c r="K39" i="11"/>
  <c r="K35" i="11"/>
  <c r="K33" i="11"/>
  <c r="K27" i="11"/>
  <c r="K40" i="11"/>
  <c r="K31" i="11"/>
  <c r="K38" i="11"/>
  <c r="K26" i="11"/>
  <c r="K36" i="11"/>
  <c r="K29" i="11"/>
  <c r="K32" i="11"/>
  <c r="K34" i="11"/>
  <c r="H43" i="9"/>
  <c r="Z61" i="9"/>
  <c r="V29" i="9"/>
  <c r="P30" i="9"/>
  <c r="Q30" i="9" s="1"/>
  <c r="P29" i="9"/>
  <c r="Q29" i="9" s="1"/>
  <c r="AA36" i="9"/>
  <c r="AB36" i="9" s="1"/>
  <c r="U38" i="9" s="1"/>
  <c r="AA35" i="9"/>
  <c r="AB35" i="9" s="1"/>
  <c r="U37" i="9" s="1"/>
  <c r="AB145" i="9"/>
  <c r="U152" i="9" s="1"/>
  <c r="Y107" i="9"/>
  <c r="Z107" i="9" s="1"/>
  <c r="Y106" i="9"/>
  <c r="Z106" i="9" s="1"/>
  <c r="D22" i="2" l="1"/>
  <c r="C22" i="2"/>
  <c r="AA61" i="9"/>
  <c r="AA62" i="9"/>
  <c r="AB62" i="9" s="1"/>
  <c r="U64" i="9" s="1"/>
  <c r="P43" i="9"/>
  <c r="Q43" i="9" s="1"/>
  <c r="P44" i="9"/>
  <c r="V43" i="9"/>
  <c r="Y240" i="9"/>
  <c r="Z240" i="9" s="1"/>
  <c r="Y241" i="9"/>
  <c r="Z241" i="9" s="1"/>
  <c r="M15" i="9"/>
  <c r="M16" i="9"/>
  <c r="N16" i="9" s="1"/>
  <c r="AA106" i="9"/>
  <c r="AB106" i="9" s="1"/>
  <c r="U108" i="9" s="1"/>
  <c r="AA107" i="9"/>
  <c r="AB107" i="9" s="1"/>
  <c r="U109" i="9" s="1"/>
  <c r="Z147" i="9"/>
  <c r="Y37" i="9"/>
  <c r="Z37" i="9" s="1"/>
  <c r="Y38" i="9"/>
  <c r="Z38" i="9" s="1"/>
  <c r="AB61" i="9"/>
  <c r="U66" i="9" s="1"/>
  <c r="Y64" i="9"/>
  <c r="Y63" i="9"/>
  <c r="Z63" i="9" s="1"/>
  <c r="W30" i="9"/>
  <c r="X30" i="9" s="1"/>
  <c r="W29" i="9"/>
  <c r="X29" i="9" s="1"/>
  <c r="Z64" i="9" l="1"/>
  <c r="P27" i="11"/>
  <c r="H18" i="9"/>
  <c r="N15" i="9"/>
  <c r="AA38" i="9"/>
  <c r="AB38" i="9" s="1"/>
  <c r="U40" i="9" s="1"/>
  <c r="AA37" i="9"/>
  <c r="AB37" i="9" s="1"/>
  <c r="U39" i="9" s="1"/>
  <c r="AA241" i="9"/>
  <c r="AB241" i="9" s="1"/>
  <c r="U243" i="9" s="1"/>
  <c r="AA240" i="9"/>
  <c r="AB240" i="9" s="1"/>
  <c r="U242" i="9" s="1"/>
  <c r="W44" i="9"/>
  <c r="W43" i="9"/>
  <c r="X43" i="9" s="1"/>
  <c r="J30" i="9"/>
  <c r="J29" i="9"/>
  <c r="AA63" i="9"/>
  <c r="AB63" i="9" s="1"/>
  <c r="U65" i="9" s="1"/>
  <c r="AA64" i="9"/>
  <c r="AB64" i="9" s="1"/>
  <c r="U92" i="9" s="1"/>
  <c r="AA147" i="9"/>
  <c r="AB147" i="9" s="1"/>
  <c r="U162" i="9" s="1"/>
  <c r="AA146" i="9"/>
  <c r="AB146" i="9" s="1"/>
  <c r="U153" i="9" s="1"/>
  <c r="Y109" i="9"/>
  <c r="Z109" i="9" s="1"/>
  <c r="Y108" i="9"/>
  <c r="Z108" i="9" s="1"/>
  <c r="AA108" i="9" l="1"/>
  <c r="AB108" i="9" s="1"/>
  <c r="I104" i="6" s="1"/>
  <c r="AA109" i="9"/>
  <c r="AB109" i="9" s="1"/>
  <c r="U121" i="9" s="1"/>
  <c r="Y242" i="9"/>
  <c r="Z242" i="9" s="1"/>
  <c r="Y243" i="9"/>
  <c r="Z243" i="9" s="1"/>
  <c r="M30" i="9"/>
  <c r="N30" i="9" s="1"/>
  <c r="Y40" i="9"/>
  <c r="Z40" i="9" s="1"/>
  <c r="Y39" i="9"/>
  <c r="Z39" i="9" s="1"/>
  <c r="Y153" i="9"/>
  <c r="Z153" i="9" s="1"/>
  <c r="Y152" i="9"/>
  <c r="Z152" i="9" s="1"/>
  <c r="Y155" i="9"/>
  <c r="Z155" i="9" s="1"/>
  <c r="AA155" i="9" s="1"/>
  <c r="AB155" i="9" s="1"/>
  <c r="U168" i="9" s="1"/>
  <c r="Y154" i="9"/>
  <c r="Z154" i="9" s="1"/>
  <c r="Y65" i="9"/>
  <c r="Z65" i="9" s="1"/>
  <c r="Y66" i="9"/>
  <c r="Z66" i="9" s="1"/>
  <c r="R27" i="11"/>
  <c r="H17" i="9"/>
  <c r="M29" i="9"/>
  <c r="N29" i="9" s="1"/>
  <c r="P17" i="9"/>
  <c r="P18" i="9"/>
  <c r="Q18" i="9" s="1"/>
  <c r="V18" i="9"/>
  <c r="Q17" i="9" l="1"/>
  <c r="AA154" i="9"/>
  <c r="AB154" i="9" s="1"/>
  <c r="U169" i="9" s="1"/>
  <c r="Y168" i="9" s="1"/>
  <c r="Z168" i="9" s="1"/>
  <c r="AA152" i="9"/>
  <c r="AB152" i="9" s="1"/>
  <c r="U157" i="9" s="1"/>
  <c r="AA153" i="9"/>
  <c r="AB153" i="9" s="1"/>
  <c r="U156" i="9" s="1"/>
  <c r="T34" i="11"/>
  <c r="H32" i="9"/>
  <c r="AA243" i="9"/>
  <c r="AB243" i="9" s="1"/>
  <c r="I95" i="6" s="1"/>
  <c r="AA242" i="9"/>
  <c r="AB242" i="9" s="1"/>
  <c r="J95" i="6" s="1"/>
  <c r="P95" i="6" s="1"/>
  <c r="B14" i="2" s="1"/>
  <c r="Y121" i="9"/>
  <c r="Z121" i="9" s="1"/>
  <c r="Y120" i="9"/>
  <c r="Z120" i="9" s="1"/>
  <c r="O34" i="11"/>
  <c r="H31" i="9"/>
  <c r="AA65" i="9"/>
  <c r="AB65" i="9" s="1"/>
  <c r="U82" i="9" s="1"/>
  <c r="AA66" i="9"/>
  <c r="AB66" i="9" s="1"/>
  <c r="U70" i="9" s="1"/>
  <c r="W18" i="9"/>
  <c r="X18" i="9" s="1"/>
  <c r="W17" i="9"/>
  <c r="AA39" i="9"/>
  <c r="AB39" i="9" s="1"/>
  <c r="U41" i="9" s="1"/>
  <c r="AA40" i="9"/>
  <c r="AB40" i="9" s="1"/>
  <c r="U42" i="9" s="1"/>
  <c r="V17" i="9"/>
  <c r="X17" i="9" l="1"/>
  <c r="Y83" i="9"/>
  <c r="Y82" i="9"/>
  <c r="Z82" i="9" s="1"/>
  <c r="D14" i="2"/>
  <c r="C14" i="2"/>
  <c r="AA120" i="9"/>
  <c r="AB120" i="9" s="1"/>
  <c r="U271" i="9" s="1"/>
  <c r="AA121" i="9"/>
  <c r="AB121" i="9" s="1"/>
  <c r="Y169" i="9"/>
  <c r="Z169" i="9" s="1"/>
  <c r="Y171" i="9"/>
  <c r="Y42" i="9"/>
  <c r="Z42" i="9" s="1"/>
  <c r="Y41" i="9"/>
  <c r="Z41" i="9" s="1"/>
  <c r="Y170" i="9"/>
  <c r="J18" i="9"/>
  <c r="J17" i="9"/>
  <c r="P31" i="9"/>
  <c r="Q31" i="9" s="1"/>
  <c r="P32" i="9"/>
  <c r="Q32" i="9" s="1"/>
  <c r="V31" i="9"/>
  <c r="Z70" i="9"/>
  <c r="V32" i="9"/>
  <c r="Y157" i="9"/>
  <c r="Z157" i="9" s="1"/>
  <c r="Y158" i="9"/>
  <c r="Z158" i="9" s="1"/>
  <c r="Y159" i="9"/>
  <c r="Z159" i="9" s="1"/>
  <c r="AA159" i="9" s="1"/>
  <c r="AB159" i="9" s="1"/>
  <c r="U179" i="9" s="1"/>
  <c r="Y156" i="9"/>
  <c r="Z156" i="9" s="1"/>
  <c r="U279" i="9" l="1"/>
  <c r="M18" i="9"/>
  <c r="N18" i="9" s="1"/>
  <c r="AA156" i="9"/>
  <c r="AB156" i="9" s="1"/>
  <c r="U160" i="9" s="1"/>
  <c r="AA158" i="9"/>
  <c r="AB158" i="9" s="1"/>
  <c r="U178" i="9" s="1"/>
  <c r="AA157" i="9"/>
  <c r="AB157" i="9" s="1"/>
  <c r="U161" i="9" s="1"/>
  <c r="AA42" i="9"/>
  <c r="AB42" i="9" s="1"/>
  <c r="U48" i="9" s="1"/>
  <c r="AA41" i="9"/>
  <c r="AB41" i="9" s="1"/>
  <c r="U261" i="9" s="1"/>
  <c r="Z271" i="9"/>
  <c r="AA69" i="9"/>
  <c r="AB69" i="9" s="1"/>
  <c r="B102" i="6" s="1"/>
  <c r="AA70" i="9"/>
  <c r="AB70" i="9" s="1"/>
  <c r="U80" i="9" s="1"/>
  <c r="W32" i="9"/>
  <c r="X32" i="9" s="1"/>
  <c r="W31" i="9"/>
  <c r="X31" i="9" s="1"/>
  <c r="M17" i="9"/>
  <c r="Y278" i="9" l="1"/>
  <c r="Y279" i="9"/>
  <c r="Z279" i="9" s="1"/>
  <c r="J32" i="9"/>
  <c r="J31" i="9"/>
  <c r="AA271" i="9"/>
  <c r="AB271" i="9" s="1"/>
  <c r="U273" i="9" s="1"/>
  <c r="AA270" i="9"/>
  <c r="AB270" i="9" s="1"/>
  <c r="U272" i="9" s="1"/>
  <c r="Z48" i="9"/>
  <c r="Y81" i="9"/>
  <c r="Z81" i="9" s="1"/>
  <c r="Y80" i="9"/>
  <c r="Z80" i="9" s="1"/>
  <c r="Y161" i="9"/>
  <c r="Z161" i="9" s="1"/>
  <c r="Y163" i="9"/>
  <c r="Z163" i="9" s="1"/>
  <c r="AA163" i="9" s="1"/>
  <c r="AB163" i="9" s="1"/>
  <c r="U183" i="9" s="1"/>
  <c r="Y160" i="9"/>
  <c r="Z160" i="9" s="1"/>
  <c r="Y162" i="9"/>
  <c r="Z162" i="9" s="1"/>
  <c r="P28" i="11"/>
  <c r="H20" i="9"/>
  <c r="N17" i="9"/>
  <c r="R28" i="11" l="1"/>
  <c r="H19" i="9"/>
  <c r="AA48" i="9"/>
  <c r="AB48" i="9" s="1"/>
  <c r="I93" i="6" s="1"/>
  <c r="AA47" i="9"/>
  <c r="AB47" i="9" s="1"/>
  <c r="U260" i="9" s="1"/>
  <c r="P20" i="9"/>
  <c r="Q20" i="9" s="1"/>
  <c r="P19" i="9"/>
  <c r="Q19" i="9" s="1"/>
  <c r="V20" i="9"/>
  <c r="AA162" i="9"/>
  <c r="AB162" i="9" s="1"/>
  <c r="U182" i="9" s="1"/>
  <c r="AA160" i="9"/>
  <c r="AB160" i="9" s="1"/>
  <c r="U167" i="9" s="1"/>
  <c r="AA161" i="9"/>
  <c r="AB161" i="9" s="1"/>
  <c r="U166" i="9" s="1"/>
  <c r="AA81" i="9"/>
  <c r="AB81" i="9" s="1"/>
  <c r="U85" i="9" s="1"/>
  <c r="AA80" i="9"/>
  <c r="AB80" i="9" s="1"/>
  <c r="U83" i="9" s="1"/>
  <c r="Y273" i="9"/>
  <c r="Z273" i="9" s="1"/>
  <c r="Y272" i="9"/>
  <c r="Z272" i="9" s="1"/>
  <c r="M31" i="9"/>
  <c r="N31" i="9" s="1"/>
  <c r="M32" i="9"/>
  <c r="N32" i="9" s="1"/>
  <c r="Z166" i="9" l="1"/>
  <c r="Z83" i="9"/>
  <c r="T35" i="11"/>
  <c r="H34" i="9"/>
  <c r="W20" i="9"/>
  <c r="X20" i="9" s="1"/>
  <c r="W19" i="9"/>
  <c r="Z167" i="9"/>
  <c r="AA167" i="9" s="1"/>
  <c r="AB167" i="9" s="1"/>
  <c r="U189" i="9" s="1"/>
  <c r="O35" i="11"/>
  <c r="H33" i="9"/>
  <c r="AA273" i="9"/>
  <c r="AB273" i="9" s="1"/>
  <c r="U275" i="9" s="1"/>
  <c r="AA272" i="9"/>
  <c r="AB272" i="9" s="1"/>
  <c r="U274" i="9" s="1"/>
  <c r="Y260" i="9"/>
  <c r="Z260" i="9" s="1"/>
  <c r="Y261" i="9"/>
  <c r="Z261" i="9" s="1"/>
  <c r="V19" i="9"/>
  <c r="X19" i="9" l="1"/>
  <c r="AA83" i="9"/>
  <c r="AB83" i="9" s="1"/>
  <c r="E102" i="6" s="1"/>
  <c r="E26" i="8" s="1"/>
  <c r="AA82" i="9"/>
  <c r="AB82" i="9" s="1"/>
  <c r="U84" i="9" s="1"/>
  <c r="V34" i="9"/>
  <c r="AA261" i="9"/>
  <c r="AB261" i="9" s="1"/>
  <c r="U263" i="9" s="1"/>
  <c r="AA260" i="9"/>
  <c r="AB260" i="9" s="1"/>
  <c r="U262" i="9" s="1"/>
  <c r="AA166" i="9"/>
  <c r="AB166" i="9" s="1"/>
  <c r="U188" i="9" s="1"/>
  <c r="AA165" i="9"/>
  <c r="AB165" i="9" s="1"/>
  <c r="U170" i="9" s="1"/>
  <c r="AA164" i="9"/>
  <c r="AB164" i="9" s="1"/>
  <c r="U171" i="9" s="1"/>
  <c r="J20" i="9"/>
  <c r="J19" i="9"/>
  <c r="P34" i="9"/>
  <c r="Q34" i="9" s="1"/>
  <c r="P33" i="9"/>
  <c r="Q33" i="9" s="1"/>
  <c r="V33" i="9"/>
  <c r="Y274" i="9"/>
  <c r="Z274" i="9" s="1"/>
  <c r="Y275" i="9"/>
  <c r="Z275" i="9" s="1"/>
  <c r="M20" i="9" l="1"/>
  <c r="N20" i="9" s="1"/>
  <c r="Z171" i="9"/>
  <c r="AA171" i="9" s="1"/>
  <c r="AB171" i="9" s="1"/>
  <c r="U184" i="9" s="1"/>
  <c r="Z170" i="9"/>
  <c r="Y191" i="9"/>
  <c r="Y188" i="9"/>
  <c r="Z188" i="9" s="1"/>
  <c r="Y190" i="9"/>
  <c r="Y189" i="9"/>
  <c r="Z189" i="9" s="1"/>
  <c r="Y263" i="9"/>
  <c r="Z263" i="9" s="1"/>
  <c r="Y262" i="9"/>
  <c r="Z262" i="9" s="1"/>
  <c r="Y84" i="9"/>
  <c r="Z84" i="9" s="1"/>
  <c r="Y85" i="9"/>
  <c r="Z85" i="9" s="1"/>
  <c r="M19" i="9"/>
  <c r="AA275" i="9"/>
  <c r="AB275" i="9" s="1"/>
  <c r="AA274" i="9"/>
  <c r="AB274" i="9" s="1"/>
  <c r="B104" i="6" s="1"/>
  <c r="E23" i="8" s="1"/>
  <c r="W33" i="9"/>
  <c r="X33" i="9" s="1"/>
  <c r="W34" i="9"/>
  <c r="X34" i="9" s="1"/>
  <c r="U278" i="9" l="1"/>
  <c r="J34" i="9"/>
  <c r="J33" i="9"/>
  <c r="N19" i="9"/>
  <c r="AA85" i="9"/>
  <c r="AB85" i="9" s="1"/>
  <c r="K102" i="6" s="1"/>
  <c r="E32" i="8" s="1"/>
  <c r="AA84" i="9"/>
  <c r="AB84" i="9" s="1"/>
  <c r="U93" i="9" s="1"/>
  <c r="AA168" i="9"/>
  <c r="AB168" i="9" s="1"/>
  <c r="U174" i="9" s="1"/>
  <c r="AA170" i="9"/>
  <c r="AB170" i="9" s="1"/>
  <c r="U185" i="9" s="1"/>
  <c r="Y185" i="9" s="1"/>
  <c r="Z185" i="9" s="1"/>
  <c r="AA169" i="9"/>
  <c r="AB169" i="9" s="1"/>
  <c r="U175" i="9" s="1"/>
  <c r="AA262" i="9"/>
  <c r="AB262" i="9" s="1"/>
  <c r="U264" i="9" s="1"/>
  <c r="AA263" i="9"/>
  <c r="AB263" i="9" s="1"/>
  <c r="U265" i="9" s="1"/>
  <c r="P29" i="11"/>
  <c r="H22" i="9"/>
  <c r="Z278" i="9" l="1"/>
  <c r="M34" i="9"/>
  <c r="N34" i="9" s="1"/>
  <c r="R29" i="11"/>
  <c r="H21" i="9"/>
  <c r="V22" i="9"/>
  <c r="M33" i="9"/>
  <c r="N33" i="9" s="1"/>
  <c r="Y265" i="9"/>
  <c r="Z265" i="9" s="1"/>
  <c r="Y264" i="9"/>
  <c r="Z264" i="9" s="1"/>
  <c r="Y187" i="9"/>
  <c r="Z175" i="9"/>
  <c r="AA175" i="9" s="1"/>
  <c r="AB175" i="9" s="1"/>
  <c r="U193" i="9" s="1"/>
  <c r="Z174" i="9"/>
  <c r="Y93" i="9"/>
  <c r="Z93" i="9" s="1"/>
  <c r="Y92" i="9"/>
  <c r="Z92" i="9" s="1"/>
  <c r="Y186" i="9"/>
  <c r="Y184" i="9"/>
  <c r="Z184" i="9" s="1"/>
  <c r="AA278" i="9" l="1"/>
  <c r="AB278" i="9" s="1"/>
  <c r="AA279" i="9"/>
  <c r="AB279" i="9" s="1"/>
  <c r="AA92" i="9"/>
  <c r="AB92" i="9" s="1"/>
  <c r="I102" i="6" s="1"/>
  <c r="E30" i="8" s="1"/>
  <c r="AA93" i="9"/>
  <c r="AB93" i="9" s="1"/>
  <c r="U94" i="9" s="1"/>
  <c r="AA265" i="9"/>
  <c r="AB265" i="9" s="1"/>
  <c r="U267" i="9" s="1"/>
  <c r="AA264" i="9"/>
  <c r="AB264" i="9" s="1"/>
  <c r="U266" i="9" s="1"/>
  <c r="O39" i="11"/>
  <c r="O40" i="11"/>
  <c r="O38" i="11"/>
  <c r="O36" i="11"/>
  <c r="O37" i="11"/>
  <c r="H44" i="9"/>
  <c r="P21" i="9"/>
  <c r="Q21" i="9" s="1"/>
  <c r="P22" i="9"/>
  <c r="Q22" i="9" s="1"/>
  <c r="V21" i="9"/>
  <c r="AA174" i="9"/>
  <c r="AB174" i="9" s="1"/>
  <c r="U192" i="9" s="1"/>
  <c r="AA172" i="9"/>
  <c r="AB172" i="9" s="1"/>
  <c r="U176" i="9" s="1"/>
  <c r="AA173" i="9"/>
  <c r="AB173" i="9" s="1"/>
  <c r="U177" i="9" s="1"/>
  <c r="T45" i="11"/>
  <c r="T54" i="11"/>
  <c r="T38" i="11"/>
  <c r="T47" i="11"/>
  <c r="T56" i="11"/>
  <c r="T40" i="11"/>
  <c r="T49" i="11"/>
  <c r="T58" i="11"/>
  <c r="T51" i="11"/>
  <c r="T44" i="11"/>
  <c r="T53" i="11"/>
  <c r="T46" i="11"/>
  <c r="T55" i="11"/>
  <c r="T52" i="11"/>
  <c r="T36" i="11"/>
  <c r="T37" i="11"/>
  <c r="T42" i="11"/>
  <c r="T50" i="11"/>
  <c r="T41" i="11"/>
  <c r="T43" i="11"/>
  <c r="T57" i="11"/>
  <c r="T48" i="11"/>
  <c r="T39" i="11"/>
  <c r="H81" i="9"/>
  <c r="U281" i="9" l="1"/>
  <c r="U280" i="9"/>
  <c r="V44" i="9"/>
  <c r="X44" i="9" s="1"/>
  <c r="Q44" i="9"/>
  <c r="Y266" i="9"/>
  <c r="Z266" i="9" s="1"/>
  <c r="Y267" i="9"/>
  <c r="Z267" i="9" s="1"/>
  <c r="V81" i="9"/>
  <c r="Y95" i="9"/>
  <c r="Z95" i="9" s="1"/>
  <c r="Y94" i="9"/>
  <c r="Z94" i="9" s="1"/>
  <c r="Y194" i="9"/>
  <c r="Y193" i="9"/>
  <c r="Z193" i="9" s="1"/>
  <c r="Y195" i="9"/>
  <c r="Y192" i="9"/>
  <c r="Z192" i="9" s="1"/>
  <c r="Y177" i="9"/>
  <c r="Z177" i="9" s="1"/>
  <c r="Y179" i="9"/>
  <c r="Z179" i="9" s="1"/>
  <c r="AA179" i="9" s="1"/>
  <c r="AB179" i="9" s="1"/>
  <c r="U203" i="9" s="1"/>
  <c r="Y176" i="9"/>
  <c r="Z176" i="9" s="1"/>
  <c r="Y178" i="9"/>
  <c r="Z178" i="9" s="1"/>
  <c r="W22" i="9"/>
  <c r="X22" i="9" s="1"/>
  <c r="W21" i="9"/>
  <c r="X21" i="9" s="1"/>
  <c r="Y281" i="9" l="1"/>
  <c r="Z281" i="9" s="1"/>
  <c r="AA281" i="9" s="1"/>
  <c r="AB281" i="9" s="1"/>
  <c r="Y280" i="9"/>
  <c r="Z280" i="9" s="1"/>
  <c r="AA280" i="9" s="1"/>
  <c r="AB280" i="9" s="1"/>
  <c r="J22" i="9"/>
  <c r="M22" i="9" s="1"/>
  <c r="N22" i="9" s="1"/>
  <c r="J21" i="9"/>
  <c r="AA94" i="9"/>
  <c r="AB94" i="9" s="1"/>
  <c r="U96" i="9" s="1"/>
  <c r="AA95" i="9"/>
  <c r="AB95" i="9" s="1"/>
  <c r="U97" i="9" s="1"/>
  <c r="AA177" i="9"/>
  <c r="AB177" i="9" s="1"/>
  <c r="U181" i="9" s="1"/>
  <c r="AA176" i="9"/>
  <c r="AB176" i="9" s="1"/>
  <c r="U180" i="9" s="1"/>
  <c r="AA178" i="9"/>
  <c r="AB178" i="9" s="1"/>
  <c r="U202" i="9" s="1"/>
  <c r="AA267" i="9"/>
  <c r="AB267" i="9" s="1"/>
  <c r="U269" i="9" s="1"/>
  <c r="AA266" i="9"/>
  <c r="AB266" i="9" s="1"/>
  <c r="U268" i="9" s="1"/>
  <c r="J44" i="9"/>
  <c r="M44" i="9" s="1"/>
  <c r="N44" i="9" s="1"/>
  <c r="J43" i="9"/>
  <c r="U283" i="9" l="1"/>
  <c r="U282" i="9"/>
  <c r="M43" i="9"/>
  <c r="N43" i="9" s="1"/>
  <c r="O41" i="11"/>
  <c r="O43" i="11"/>
  <c r="O45" i="11"/>
  <c r="O47" i="11"/>
  <c r="O44" i="11"/>
  <c r="O46" i="11"/>
  <c r="O42" i="11"/>
  <c r="H57" i="9"/>
  <c r="Y269" i="9"/>
  <c r="Z269" i="9" s="1"/>
  <c r="Y268" i="9"/>
  <c r="Z268" i="9" s="1"/>
  <c r="Y181" i="9"/>
  <c r="Z181" i="9" s="1"/>
  <c r="Y183" i="9"/>
  <c r="Z183" i="9" s="1"/>
  <c r="AA183" i="9" s="1"/>
  <c r="AB183" i="9" s="1"/>
  <c r="U204" i="9" s="1"/>
  <c r="Y182" i="9"/>
  <c r="Z182" i="9" s="1"/>
  <c r="Y180" i="9"/>
  <c r="Z180" i="9" s="1"/>
  <c r="M21" i="9"/>
  <c r="N21" i="9" s="1"/>
  <c r="Y97" i="9"/>
  <c r="Z97" i="9" s="1"/>
  <c r="Y96" i="9"/>
  <c r="Z96" i="9" s="1"/>
  <c r="P30" i="11"/>
  <c r="H24" i="9"/>
  <c r="Y282" i="9" l="1"/>
  <c r="Z282" i="9" s="1"/>
  <c r="AA282" i="9" s="1"/>
  <c r="AB282" i="9" s="1"/>
  <c r="G104" i="6" s="1"/>
  <c r="E28" i="8" s="1"/>
  <c r="Y283" i="9"/>
  <c r="Z283" i="9" s="1"/>
  <c r="AA283" i="9" s="1"/>
  <c r="AB283" i="9" s="1"/>
  <c r="L104" i="6" s="1"/>
  <c r="P24" i="9"/>
  <c r="Q24" i="9" s="1"/>
  <c r="P23" i="9"/>
  <c r="V24" i="9"/>
  <c r="AA269" i="9"/>
  <c r="AB269" i="9" s="1"/>
  <c r="G93" i="6" s="1"/>
  <c r="H7" i="4" s="1"/>
  <c r="AA268" i="9"/>
  <c r="AB268" i="9" s="1"/>
  <c r="B93" i="6" s="1"/>
  <c r="P93" i="6" s="1"/>
  <c r="B12" i="2" s="1"/>
  <c r="R30" i="11"/>
  <c r="H23" i="9"/>
  <c r="P58" i="9"/>
  <c r="P57" i="9"/>
  <c r="Q57" i="9" s="1"/>
  <c r="V57" i="9"/>
  <c r="AA182" i="9"/>
  <c r="AB182" i="9" s="1"/>
  <c r="K108" i="6" s="1"/>
  <c r="AA180" i="9"/>
  <c r="AB180" i="9" s="1"/>
  <c r="U186" i="9" s="1"/>
  <c r="AA181" i="9"/>
  <c r="AB181" i="9" s="1"/>
  <c r="U187" i="9" s="1"/>
  <c r="AA96" i="9"/>
  <c r="AB96" i="9" s="1"/>
  <c r="U98" i="9" s="1"/>
  <c r="AA97" i="9"/>
  <c r="AB97" i="9" s="1"/>
  <c r="U110" i="9" s="1"/>
  <c r="K41" i="11"/>
  <c r="H45" i="9"/>
  <c r="H18" i="4" l="1"/>
  <c r="P104" i="6"/>
  <c r="B23" i="2" s="1"/>
  <c r="Z186" i="9"/>
  <c r="V23" i="9"/>
  <c r="C12" i="2"/>
  <c r="D12" i="2"/>
  <c r="W24" i="9"/>
  <c r="X24" i="9" s="1"/>
  <c r="W23" i="9"/>
  <c r="X23" i="9" s="1"/>
  <c r="P45" i="9"/>
  <c r="Q45" i="9" s="1"/>
  <c r="P46" i="9"/>
  <c r="Q46" i="9" s="1"/>
  <c r="V45" i="9"/>
  <c r="Q23" i="9"/>
  <c r="Y111" i="9"/>
  <c r="Y110" i="9"/>
  <c r="Z110" i="9" s="1"/>
  <c r="Y99" i="9"/>
  <c r="Z99" i="9" s="1"/>
  <c r="Y98" i="9"/>
  <c r="Z98" i="9" s="1"/>
  <c r="W58" i="9"/>
  <c r="W57" i="9"/>
  <c r="X57" i="9" s="1"/>
  <c r="Z187" i="9"/>
  <c r="AA187" i="9" s="1"/>
  <c r="AB187" i="9" s="1"/>
  <c r="U197" i="9" s="1"/>
  <c r="D23" i="2" l="1"/>
  <c r="C23" i="2"/>
  <c r="W46" i="9"/>
  <c r="X46" i="9" s="1"/>
  <c r="W45" i="9"/>
  <c r="X45" i="9" s="1"/>
  <c r="J24" i="9"/>
  <c r="M24" i="9" s="1"/>
  <c r="N24" i="9" s="1"/>
  <c r="J23" i="9"/>
  <c r="M23" i="9" s="1"/>
  <c r="N23" i="9" s="1"/>
  <c r="AA184" i="9"/>
  <c r="AB184" i="9" s="1"/>
  <c r="U190" i="9" s="1"/>
  <c r="AA186" i="9"/>
  <c r="AB186" i="9" s="1"/>
  <c r="U196" i="9" s="1"/>
  <c r="AA185" i="9"/>
  <c r="AB185" i="9" s="1"/>
  <c r="U191" i="9" s="1"/>
  <c r="AA98" i="9"/>
  <c r="AB98" i="9" s="1"/>
  <c r="U100" i="9" s="1"/>
  <c r="AA99" i="9"/>
  <c r="AB99" i="9" s="1"/>
  <c r="U101" i="9" s="1"/>
  <c r="Y101" i="9" l="1"/>
  <c r="Z101" i="9" s="1"/>
  <c r="Y100" i="9"/>
  <c r="Z100" i="9" s="1"/>
  <c r="Z191" i="9"/>
  <c r="AA191" i="9" s="1"/>
  <c r="AB191" i="9" s="1"/>
  <c r="N108" i="6" s="1"/>
  <c r="Z190" i="9"/>
  <c r="Y199" i="9"/>
  <c r="Y196" i="9"/>
  <c r="Z196" i="9" s="1"/>
  <c r="Y198" i="9"/>
  <c r="Y197" i="9"/>
  <c r="Z197" i="9" s="1"/>
  <c r="R31" i="11"/>
  <c r="H25" i="9"/>
  <c r="P31" i="11"/>
  <c r="H26" i="9"/>
  <c r="J46" i="9"/>
  <c r="J45" i="9"/>
  <c r="AA189" i="9" l="1"/>
  <c r="AB189" i="9" s="1"/>
  <c r="U194" i="9" s="1"/>
  <c r="AA190" i="9"/>
  <c r="AB190" i="9" s="1"/>
  <c r="U205" i="9" s="1"/>
  <c r="AA188" i="9"/>
  <c r="AB188" i="9" s="1"/>
  <c r="U195" i="9" s="1"/>
  <c r="M45" i="9"/>
  <c r="N45" i="9" s="1"/>
  <c r="M46" i="9"/>
  <c r="N46" i="9" s="1"/>
  <c r="P25" i="9"/>
  <c r="Q25" i="9" s="1"/>
  <c r="P26" i="9"/>
  <c r="Q26" i="9" s="1"/>
  <c r="V26" i="9"/>
  <c r="V25" i="9"/>
  <c r="AA100" i="9"/>
  <c r="AB100" i="9" s="1"/>
  <c r="U102" i="9" s="1"/>
  <c r="AA101" i="9"/>
  <c r="AB101" i="9" s="1"/>
  <c r="U103" i="9" s="1"/>
  <c r="Y103" i="9" l="1"/>
  <c r="Z103" i="9" s="1"/>
  <c r="Y102" i="9"/>
  <c r="Z102" i="9" s="1"/>
  <c r="W26" i="9"/>
  <c r="X26" i="9" s="1"/>
  <c r="W25" i="9"/>
  <c r="X25" i="9" s="1"/>
  <c r="M43" i="11"/>
  <c r="M42" i="11"/>
  <c r="H49" i="9"/>
  <c r="K42" i="11"/>
  <c r="H47" i="9"/>
  <c r="Z195" i="9"/>
  <c r="AA195" i="9" s="1"/>
  <c r="AB195" i="9" s="1"/>
  <c r="U211" i="9" s="1"/>
  <c r="Y205" i="9"/>
  <c r="Z205" i="9" s="1"/>
  <c r="Y207" i="9"/>
  <c r="Y204" i="9"/>
  <c r="Z204" i="9" s="1"/>
  <c r="Y206" i="9"/>
  <c r="Z194" i="9"/>
  <c r="P48" i="9" l="1"/>
  <c r="P47" i="9"/>
  <c r="Q47" i="9" s="1"/>
  <c r="V47" i="9"/>
  <c r="AA194" i="9"/>
  <c r="AB194" i="9" s="1"/>
  <c r="U210" i="9" s="1"/>
  <c r="AA192" i="9"/>
  <c r="AB192" i="9" s="1"/>
  <c r="U198" i="9" s="1"/>
  <c r="AA193" i="9"/>
  <c r="AB193" i="9" s="1"/>
  <c r="U199" i="9" s="1"/>
  <c r="P50" i="9"/>
  <c r="P49" i="9"/>
  <c r="Q49" i="9" s="1"/>
  <c r="V49" i="9"/>
  <c r="J26" i="9"/>
  <c r="M26" i="9" s="1"/>
  <c r="N26" i="9" s="1"/>
  <c r="J25" i="9"/>
  <c r="M25" i="9" s="1"/>
  <c r="N25" i="9" s="1"/>
  <c r="AA102" i="9"/>
  <c r="AB102" i="9" s="1"/>
  <c r="F102" i="6" s="1"/>
  <c r="E27" i="8" s="1"/>
  <c r="AA103" i="9"/>
  <c r="AB103" i="9" s="1"/>
  <c r="U111" i="9" s="1"/>
  <c r="R32" i="11" l="1"/>
  <c r="H27" i="9"/>
  <c r="P32" i="11"/>
  <c r="H28" i="9"/>
  <c r="W49" i="9"/>
  <c r="X49" i="9" s="1"/>
  <c r="W50" i="9"/>
  <c r="Z199" i="9"/>
  <c r="AA199" i="9" s="1"/>
  <c r="AB199" i="9" s="1"/>
  <c r="U218" i="9" s="1"/>
  <c r="Z198" i="9"/>
  <c r="W47" i="9"/>
  <c r="X47" i="9" s="1"/>
  <c r="W48" i="9"/>
  <c r="Z111" i="9"/>
  <c r="AA198" i="9" l="1"/>
  <c r="AB198" i="9" s="1"/>
  <c r="U219" i="9" s="1"/>
  <c r="AA196" i="9"/>
  <c r="AB196" i="9" s="1"/>
  <c r="U200" i="9" s="1"/>
  <c r="AA197" i="9"/>
  <c r="AB197" i="9" s="1"/>
  <c r="U201" i="9" s="1"/>
  <c r="AA110" i="9"/>
  <c r="AB110" i="9" s="1"/>
  <c r="U112" i="9" s="1"/>
  <c r="AA111" i="9"/>
  <c r="AB111" i="9" s="1"/>
  <c r="U113" i="9" s="1"/>
  <c r="P27" i="9"/>
  <c r="Q27" i="9" s="1"/>
  <c r="P28" i="9"/>
  <c r="Q28" i="9" s="1"/>
  <c r="V28" i="9"/>
  <c r="V27" i="9"/>
  <c r="W28" i="9" l="1"/>
  <c r="X28" i="9" s="1"/>
  <c r="W27" i="9"/>
  <c r="X27" i="9" s="1"/>
  <c r="Y113" i="9"/>
  <c r="Z113" i="9" s="1"/>
  <c r="Y112" i="9"/>
  <c r="Z112" i="9" s="1"/>
  <c r="Y202" i="9"/>
  <c r="Z202" i="9" s="1"/>
  <c r="Y201" i="9"/>
  <c r="Z201" i="9" s="1"/>
  <c r="Y200" i="9"/>
  <c r="Z200" i="9" s="1"/>
  <c r="Y203" i="9"/>
  <c r="Z203" i="9" s="1"/>
  <c r="AA203" i="9" s="1"/>
  <c r="AB203" i="9" s="1"/>
  <c r="U212" i="9" s="1"/>
  <c r="AA200" i="9" l="1"/>
  <c r="AB200" i="9" s="1"/>
  <c r="U206" i="9" s="1"/>
  <c r="AA202" i="9"/>
  <c r="AB202" i="9" s="1"/>
  <c r="U213" i="9" s="1"/>
  <c r="AA201" i="9"/>
  <c r="AB201" i="9" s="1"/>
  <c r="U207" i="9" s="1"/>
  <c r="AA113" i="9"/>
  <c r="AB113" i="9" s="1"/>
  <c r="U115" i="9" s="1"/>
  <c r="AA112" i="9"/>
  <c r="AB112" i="9" s="1"/>
  <c r="U114" i="9" s="1"/>
  <c r="J28" i="9"/>
  <c r="M28" i="9" s="1"/>
  <c r="N28" i="9" s="1"/>
  <c r="J27" i="9"/>
  <c r="M27" i="9" s="1"/>
  <c r="N27" i="9" s="1"/>
  <c r="R36" i="11" l="1"/>
  <c r="R34" i="11"/>
  <c r="R35" i="11"/>
  <c r="R33" i="11"/>
  <c r="H36" i="9"/>
  <c r="P34" i="11"/>
  <c r="P36" i="11"/>
  <c r="P35" i="11"/>
  <c r="P33" i="11"/>
  <c r="H35" i="9"/>
  <c r="Y114" i="9"/>
  <c r="Z114" i="9" s="1"/>
  <c r="Y115" i="9"/>
  <c r="Z115" i="9" s="1"/>
  <c r="Z207" i="9"/>
  <c r="AA207" i="9" s="1"/>
  <c r="AB207" i="9" s="1"/>
  <c r="I108" i="6" s="1"/>
  <c r="Z206" i="9"/>
  <c r="Y215" i="9"/>
  <c r="Y212" i="9"/>
  <c r="Z212" i="9" s="1"/>
  <c r="Y214" i="9"/>
  <c r="Y213" i="9"/>
  <c r="Z213" i="9" s="1"/>
  <c r="AA115" i="9" l="1"/>
  <c r="AB115" i="9" s="1"/>
  <c r="U227" i="9" s="1"/>
  <c r="AA114" i="9"/>
  <c r="AB114" i="9" s="1"/>
  <c r="J102" i="6" s="1"/>
  <c r="E31" i="8" s="1"/>
  <c r="P36" i="9"/>
  <c r="Q36" i="9" s="1"/>
  <c r="P35" i="9"/>
  <c r="Q35" i="9" s="1"/>
  <c r="V35" i="9"/>
  <c r="AA206" i="9"/>
  <c r="AB206" i="9" s="1"/>
  <c r="J108" i="6" s="1"/>
  <c r="AA204" i="9"/>
  <c r="AB204" i="9" s="1"/>
  <c r="U208" i="9" s="1"/>
  <c r="AA205" i="9"/>
  <c r="AB205" i="9" s="1"/>
  <c r="U209" i="9" s="1"/>
  <c r="V36" i="9"/>
  <c r="Y211" i="9" l="1"/>
  <c r="Z211" i="9" s="1"/>
  <c r="AA211" i="9" s="1"/>
  <c r="AB211" i="9" s="1"/>
  <c r="L108" i="6" s="1"/>
  <c r="Y208" i="9"/>
  <c r="Z208" i="9" s="1"/>
  <c r="Y210" i="9"/>
  <c r="Z210" i="9" s="1"/>
  <c r="Y209" i="9"/>
  <c r="Z209" i="9" s="1"/>
  <c r="W36" i="9"/>
  <c r="X36" i="9" s="1"/>
  <c r="W35" i="9"/>
  <c r="X35" i="9" s="1"/>
  <c r="Y228" i="9"/>
  <c r="Z228" i="9" s="1"/>
  <c r="Y227" i="9"/>
  <c r="Z227" i="9" s="1"/>
  <c r="AA227" i="9" l="1"/>
  <c r="AB227" i="9" s="1"/>
  <c r="U229" i="9" s="1"/>
  <c r="AA228" i="9"/>
  <c r="AB228" i="9" s="1"/>
  <c r="U230" i="9" s="1"/>
  <c r="J36" i="9"/>
  <c r="M36" i="9" s="1"/>
  <c r="N36" i="9" s="1"/>
  <c r="J35" i="9"/>
  <c r="M35" i="9" s="1"/>
  <c r="N35" i="9" s="1"/>
  <c r="AA208" i="9"/>
  <c r="AB208" i="9" s="1"/>
  <c r="U214" i="9" s="1"/>
  <c r="AA210" i="9"/>
  <c r="AB210" i="9" s="1"/>
  <c r="H108" i="6" s="1"/>
  <c r="AA209" i="9"/>
  <c r="AB209" i="9" s="1"/>
  <c r="U215" i="9" s="1"/>
  <c r="Z215" i="9" l="1"/>
  <c r="AA215" i="9" s="1"/>
  <c r="AB215" i="9" s="1"/>
  <c r="C108" i="6" s="1"/>
  <c r="P37" i="11"/>
  <c r="H37" i="9"/>
  <c r="Z214" i="9"/>
  <c r="R37" i="11"/>
  <c r="H38" i="9"/>
  <c r="Y230" i="9"/>
  <c r="Z230" i="9" s="1"/>
  <c r="Y229" i="9"/>
  <c r="Z229" i="9" s="1"/>
  <c r="AA230" i="9" l="1"/>
  <c r="AB230" i="9" s="1"/>
  <c r="U232" i="9" s="1"/>
  <c r="AA229" i="9"/>
  <c r="AB229" i="9" s="1"/>
  <c r="U231" i="9" s="1"/>
  <c r="P38" i="9"/>
  <c r="Q38" i="9" s="1"/>
  <c r="P37" i="9"/>
  <c r="Q37" i="9" s="1"/>
  <c r="V38" i="9"/>
  <c r="AA214" i="9"/>
  <c r="AB214" i="9" s="1"/>
  <c r="B108" i="6" s="1"/>
  <c r="AA212" i="9"/>
  <c r="AB212" i="9" s="1"/>
  <c r="U216" i="9" s="1"/>
  <c r="AA213" i="9"/>
  <c r="AB213" i="9" s="1"/>
  <c r="U217" i="9" s="1"/>
  <c r="V37" i="9"/>
  <c r="Y217" i="9" l="1"/>
  <c r="Z217" i="9" s="1"/>
  <c r="Y216" i="9"/>
  <c r="Z216" i="9" s="1"/>
  <c r="Y219" i="9"/>
  <c r="Z219" i="9" s="1"/>
  <c r="AA219" i="9" s="1"/>
  <c r="AB219" i="9" s="1"/>
  <c r="F108" i="6" s="1"/>
  <c r="Y218" i="9"/>
  <c r="Z218" i="9" s="1"/>
  <c r="W37" i="9"/>
  <c r="X37" i="9" s="1"/>
  <c r="W38" i="9"/>
  <c r="X38" i="9" s="1"/>
  <c r="Y232" i="9"/>
  <c r="Z232" i="9" s="1"/>
  <c r="Y231" i="9"/>
  <c r="Z231" i="9" s="1"/>
  <c r="AA232" i="9" l="1"/>
  <c r="AB232" i="9" s="1"/>
  <c r="H102" i="6" s="1"/>
  <c r="E29" i="8" s="1"/>
  <c r="AA231" i="9"/>
  <c r="AB231" i="9" s="1"/>
  <c r="U234" i="9" s="1"/>
  <c r="AA216" i="9"/>
  <c r="AB216" i="9" s="1"/>
  <c r="M108" i="6" s="1"/>
  <c r="AA218" i="9"/>
  <c r="AB218" i="9" s="1"/>
  <c r="G108" i="6" s="1"/>
  <c r="H22" i="4" s="1"/>
  <c r="AA217" i="9"/>
  <c r="AB217" i="9" s="1"/>
  <c r="E108" i="6" s="1"/>
  <c r="J38" i="9"/>
  <c r="M38" i="9" s="1"/>
  <c r="N38" i="9" s="1"/>
  <c r="J37" i="9"/>
  <c r="M37" i="9" s="1"/>
  <c r="N37" i="9" s="1"/>
  <c r="P108" i="6" l="1"/>
  <c r="B27" i="2" s="1"/>
  <c r="P38" i="11"/>
  <c r="H39" i="9"/>
  <c r="R38" i="11"/>
  <c r="H40" i="9"/>
  <c r="C27" i="2"/>
  <c r="D27" i="2"/>
  <c r="Y234" i="9"/>
  <c r="Z234" i="9" s="1"/>
  <c r="Y233" i="9"/>
  <c r="Z233" i="9" s="1"/>
  <c r="P40" i="9" l="1"/>
  <c r="Q40" i="9" s="1"/>
  <c r="P39" i="9"/>
  <c r="Q39" i="9" s="1"/>
  <c r="V40" i="9"/>
  <c r="AA233" i="9"/>
  <c r="AB233" i="9" s="1"/>
  <c r="C102" i="6" s="1"/>
  <c r="AA234" i="9"/>
  <c r="AB234" i="9" s="1"/>
  <c r="L102" i="6" s="1"/>
  <c r="V39" i="9"/>
  <c r="E33" i="8" l="1"/>
  <c r="H16" i="4"/>
  <c r="B19" i="4" s="1"/>
  <c r="W40" i="9"/>
  <c r="X40" i="9" s="1"/>
  <c r="W39" i="9"/>
  <c r="X39" i="9" s="1"/>
  <c r="E24" i="8"/>
  <c r="F25" i="8" s="1"/>
  <c r="P102" i="6"/>
  <c r="B21" i="2" s="1"/>
  <c r="F24" i="8" l="1"/>
  <c r="F23" i="8"/>
  <c r="F28" i="8"/>
  <c r="F26" i="8"/>
  <c r="F32" i="8"/>
  <c r="F30" i="8"/>
  <c r="F27" i="8"/>
  <c r="F31" i="8"/>
  <c r="F29" i="8"/>
  <c r="J40" i="9"/>
  <c r="M40" i="9" s="1"/>
  <c r="N40" i="9" s="1"/>
  <c r="J39" i="9"/>
  <c r="M39" i="9" s="1"/>
  <c r="N39" i="9" s="1"/>
  <c r="D21" i="2"/>
  <c r="C21" i="2"/>
  <c r="F33" i="8"/>
  <c r="R39" i="11" l="1"/>
  <c r="H42" i="9"/>
  <c r="P39" i="11"/>
  <c r="H41" i="9"/>
  <c r="V41" i="9" l="1"/>
  <c r="P41" i="9"/>
  <c r="Q41" i="9" s="1"/>
  <c r="P42" i="9"/>
  <c r="Q42" i="9" s="1"/>
  <c r="V42" i="9"/>
  <c r="W42" i="9" l="1"/>
  <c r="X42" i="9" s="1"/>
  <c r="W41" i="9"/>
  <c r="X41" i="9" s="1"/>
  <c r="J42" i="9" l="1"/>
  <c r="M42" i="9" s="1"/>
  <c r="N42" i="9" s="1"/>
  <c r="J41" i="9"/>
  <c r="M41" i="9" s="1"/>
  <c r="N41" i="9" s="1"/>
  <c r="P75" i="11" l="1"/>
  <c r="P57" i="11"/>
  <c r="P41" i="11"/>
  <c r="P74" i="11"/>
  <c r="P66" i="11"/>
  <c r="P50" i="11"/>
  <c r="P59" i="11"/>
  <c r="P43" i="11"/>
  <c r="P73" i="11"/>
  <c r="P68" i="11"/>
  <c r="P52" i="11"/>
  <c r="P61" i="11"/>
  <c r="P45" i="11"/>
  <c r="P70" i="11"/>
  <c r="P54" i="11"/>
  <c r="P63" i="11"/>
  <c r="P47" i="11"/>
  <c r="P72" i="11"/>
  <c r="P56" i="11"/>
  <c r="P65" i="11"/>
  <c r="P49" i="11"/>
  <c r="P58" i="11"/>
  <c r="P77" i="11"/>
  <c r="P67" i="11"/>
  <c r="P51" i="11"/>
  <c r="P78" i="11"/>
  <c r="P76" i="11"/>
  <c r="P71" i="11"/>
  <c r="P64" i="11"/>
  <c r="P48" i="11"/>
  <c r="P44" i="11"/>
  <c r="P69" i="11"/>
  <c r="P55" i="11"/>
  <c r="P62" i="11"/>
  <c r="P46" i="11"/>
  <c r="P53" i="11"/>
  <c r="P60" i="11"/>
  <c r="P42" i="11"/>
  <c r="P40" i="11"/>
  <c r="H120" i="9"/>
  <c r="R42" i="11"/>
  <c r="R41" i="11"/>
  <c r="R40" i="11"/>
  <c r="H48" i="9"/>
  <c r="V48" i="9" l="1"/>
  <c r="X48" i="9" s="1"/>
  <c r="Q48" i="9"/>
  <c r="V120" i="9"/>
  <c r="J48" i="9" l="1"/>
  <c r="M48" i="9" s="1"/>
  <c r="N48" i="9" s="1"/>
  <c r="J47" i="9"/>
  <c r="M47" i="9" l="1"/>
  <c r="N47" i="9" s="1"/>
  <c r="R43" i="11"/>
  <c r="H50" i="9"/>
  <c r="V50" i="9" l="1"/>
  <c r="X50" i="9" s="1"/>
  <c r="Q50" i="9"/>
  <c r="K44" i="11"/>
  <c r="K46" i="11"/>
  <c r="K48" i="11"/>
  <c r="K50" i="11"/>
  <c r="K43" i="11"/>
  <c r="K52" i="11"/>
  <c r="K45" i="11"/>
  <c r="K51" i="11"/>
  <c r="K49" i="11"/>
  <c r="K47" i="11"/>
  <c r="H67" i="9"/>
  <c r="V67" i="9" l="1"/>
  <c r="X67" i="9" s="1"/>
  <c r="Q67" i="9"/>
  <c r="J50" i="9"/>
  <c r="M50" i="9" s="1"/>
  <c r="N50" i="9" s="1"/>
  <c r="J49" i="9"/>
  <c r="M49" i="9" l="1"/>
  <c r="N49" i="9" s="1"/>
  <c r="R44" i="11"/>
  <c r="H52" i="9"/>
  <c r="J67" i="9"/>
  <c r="J68" i="9"/>
  <c r="M68" i="9" l="1"/>
  <c r="N68" i="9" s="1"/>
  <c r="V52" i="9"/>
  <c r="M67" i="9"/>
  <c r="N67" i="9" s="1"/>
  <c r="M44" i="11"/>
  <c r="H51" i="9"/>
  <c r="P52" i="9" l="1"/>
  <c r="Q52" i="9" s="1"/>
  <c r="P51" i="9"/>
  <c r="Q51" i="9" s="1"/>
  <c r="V51" i="9"/>
  <c r="K53" i="11"/>
  <c r="H69" i="9"/>
  <c r="U54" i="11"/>
  <c r="U56" i="11"/>
  <c r="U58" i="11"/>
  <c r="U60" i="11"/>
  <c r="U53" i="11"/>
  <c r="U55" i="11"/>
  <c r="U61" i="11"/>
  <c r="U59" i="11"/>
  <c r="U57" i="11"/>
  <c r="H87" i="9"/>
  <c r="P70" i="9" l="1"/>
  <c r="P69" i="9"/>
  <c r="Q69" i="9" s="1"/>
  <c r="V69" i="9"/>
  <c r="W52" i="9"/>
  <c r="X52" i="9" s="1"/>
  <c r="W51" i="9"/>
  <c r="X51" i="9" s="1"/>
  <c r="V87" i="9"/>
  <c r="X87" i="9" s="1"/>
  <c r="Q87" i="9"/>
  <c r="J87" i="9" l="1"/>
  <c r="J86" i="9"/>
  <c r="J52" i="9"/>
  <c r="M52" i="9" s="1"/>
  <c r="N52" i="9" s="1"/>
  <c r="J51" i="9"/>
  <c r="W69" i="9"/>
  <c r="X69" i="9" s="1"/>
  <c r="W70" i="9"/>
  <c r="M51" i="9" l="1"/>
  <c r="N51" i="9" s="1"/>
  <c r="M86" i="9"/>
  <c r="N86" i="9" s="1"/>
  <c r="R45" i="11"/>
  <c r="H54" i="9"/>
  <c r="M87" i="9"/>
  <c r="N87" i="9" s="1"/>
  <c r="U62" i="11" l="1"/>
  <c r="H89" i="9"/>
  <c r="V54" i="9"/>
  <c r="S62" i="11"/>
  <c r="H88" i="9"/>
  <c r="M45" i="11"/>
  <c r="H53" i="9"/>
  <c r="P53" i="9" l="1"/>
  <c r="Q53" i="9" s="1"/>
  <c r="P54" i="9"/>
  <c r="Q54" i="9" s="1"/>
  <c r="V53" i="9"/>
  <c r="P88" i="9"/>
  <c r="Q88" i="9" s="1"/>
  <c r="P89" i="9"/>
  <c r="Q89" i="9" s="1"/>
  <c r="V88" i="9"/>
  <c r="V89" i="9"/>
  <c r="W89" i="9" l="1"/>
  <c r="X89" i="9" s="1"/>
  <c r="W88" i="9"/>
  <c r="X88" i="9" s="1"/>
  <c r="W54" i="9"/>
  <c r="X54" i="9" s="1"/>
  <c r="W53" i="9"/>
  <c r="X53" i="9" s="1"/>
  <c r="J54" i="9" l="1"/>
  <c r="M54" i="9" s="1"/>
  <c r="N54" i="9" s="1"/>
  <c r="J53" i="9"/>
  <c r="J89" i="9"/>
  <c r="J88" i="9"/>
  <c r="M88" i="9" l="1"/>
  <c r="N88" i="9" s="1"/>
  <c r="M53" i="9"/>
  <c r="N53" i="9" s="1"/>
  <c r="M89" i="9"/>
  <c r="N89" i="9" s="1"/>
  <c r="R46" i="11"/>
  <c r="H56" i="9"/>
  <c r="V56" i="9" l="1"/>
  <c r="U63" i="11"/>
  <c r="U65" i="11"/>
  <c r="U67" i="11"/>
  <c r="U64" i="11"/>
  <c r="U66" i="11"/>
  <c r="H99" i="9"/>
  <c r="M46" i="11"/>
  <c r="H55" i="9"/>
  <c r="S63" i="11"/>
  <c r="H91" i="9"/>
  <c r="V91" i="9" l="1"/>
  <c r="P56" i="9"/>
  <c r="Q56" i="9" s="1"/>
  <c r="P55" i="9"/>
  <c r="Q55" i="9" s="1"/>
  <c r="V55" i="9"/>
  <c r="V99" i="9"/>
  <c r="W55" i="9" l="1"/>
  <c r="X55" i="9" s="1"/>
  <c r="W56" i="9"/>
  <c r="X56" i="9" s="1"/>
  <c r="J56" i="9" l="1"/>
  <c r="M56" i="9" s="1"/>
  <c r="N56" i="9" s="1"/>
  <c r="J55" i="9"/>
  <c r="M55" i="9" s="1"/>
  <c r="N55" i="9" s="1"/>
  <c r="M55" i="11" l="1"/>
  <c r="M48" i="11"/>
  <c r="M50" i="11"/>
  <c r="M52" i="11"/>
  <c r="M54" i="11"/>
  <c r="M47" i="11"/>
  <c r="M53" i="11"/>
  <c r="M51" i="11"/>
  <c r="M49" i="11"/>
  <c r="H74" i="9"/>
  <c r="R47" i="11"/>
  <c r="H58" i="9"/>
  <c r="V58" i="9" l="1"/>
  <c r="X58" i="9" s="1"/>
  <c r="Q58" i="9"/>
  <c r="V74" i="9"/>
  <c r="J58" i="9" l="1"/>
  <c r="M58" i="9" s="1"/>
  <c r="N58" i="9" s="1"/>
  <c r="J57" i="9"/>
  <c r="M57" i="9" s="1"/>
  <c r="N57" i="9" s="1"/>
  <c r="O48" i="11" l="1"/>
  <c r="H59" i="9"/>
  <c r="R49" i="11"/>
  <c r="R48" i="11"/>
  <c r="H62" i="9"/>
  <c r="P61" i="9" l="1"/>
  <c r="P62" i="9"/>
  <c r="Q62" i="9" s="1"/>
  <c r="V62" i="9"/>
  <c r="P59" i="9"/>
  <c r="Q59" i="9" s="1"/>
  <c r="P60" i="9"/>
  <c r="Q60" i="9" s="1"/>
  <c r="V59" i="9"/>
  <c r="W60" i="9" l="1"/>
  <c r="X60" i="9" s="1"/>
  <c r="W59" i="9"/>
  <c r="X59" i="9" s="1"/>
  <c r="W62" i="9"/>
  <c r="X62" i="9" s="1"/>
  <c r="W61" i="9"/>
  <c r="J60" i="9" l="1"/>
  <c r="J59" i="9"/>
  <c r="M59" i="9" s="1"/>
  <c r="N59" i="9" s="1"/>
  <c r="O50" i="11" l="1"/>
  <c r="O49" i="11"/>
  <c r="H63" i="9"/>
  <c r="M60" i="9"/>
  <c r="N60" i="9" s="1"/>
  <c r="N49" i="11" l="1"/>
  <c r="H61" i="9"/>
  <c r="P63" i="9"/>
  <c r="Q63" i="9" s="1"/>
  <c r="P64" i="9"/>
  <c r="V63" i="9"/>
  <c r="W64" i="9" l="1"/>
  <c r="W63" i="9"/>
  <c r="X63" i="9" s="1"/>
  <c r="V61" i="9"/>
  <c r="X61" i="9" s="1"/>
  <c r="Q61" i="9"/>
  <c r="J62" i="9" l="1"/>
  <c r="M62" i="9" s="1"/>
  <c r="N62" i="9" s="1"/>
  <c r="J61" i="9"/>
  <c r="M61" i="9" l="1"/>
  <c r="N61" i="9" s="1"/>
  <c r="R50" i="11"/>
  <c r="H64" i="9"/>
  <c r="V64" i="9" l="1"/>
  <c r="X64" i="9" s="1"/>
  <c r="Q64" i="9"/>
  <c r="N50" i="11"/>
  <c r="N51" i="11"/>
  <c r="H66" i="9"/>
  <c r="V66" i="9" l="1"/>
  <c r="J63" i="9"/>
  <c r="M63" i="9" s="1"/>
  <c r="N63" i="9" s="1"/>
  <c r="J64" i="9"/>
  <c r="M64" i="9" s="1"/>
  <c r="N64" i="9" s="1"/>
  <c r="O51" i="11" l="1"/>
  <c r="H65" i="9"/>
  <c r="R52" i="11"/>
  <c r="R54" i="11"/>
  <c r="R51" i="11"/>
  <c r="R53" i="11"/>
  <c r="H71" i="9"/>
  <c r="V71" i="9" l="1"/>
  <c r="P72" i="9"/>
  <c r="P71" i="9"/>
  <c r="Q71" i="9" s="1"/>
  <c r="P66" i="9"/>
  <c r="Q66" i="9" s="1"/>
  <c r="P65" i="9"/>
  <c r="Q65" i="9" s="1"/>
  <c r="V65" i="9"/>
  <c r="W65" i="9" l="1"/>
  <c r="X65" i="9" s="1"/>
  <c r="W66" i="9"/>
  <c r="X66" i="9" s="1"/>
  <c r="W72" i="9"/>
  <c r="W71" i="9"/>
  <c r="X71" i="9" s="1"/>
  <c r="J65" i="9" l="1"/>
  <c r="M65" i="9" s="1"/>
  <c r="N65" i="9" s="1"/>
  <c r="J66" i="9"/>
  <c r="M66" i="9" l="1"/>
  <c r="N66" i="9" s="1"/>
  <c r="O57" i="11"/>
  <c r="O52" i="11"/>
  <c r="O54" i="11"/>
  <c r="O56" i="11"/>
  <c r="O55" i="11"/>
  <c r="O53" i="11"/>
  <c r="H77" i="9"/>
  <c r="P77" i="9" l="1"/>
  <c r="Q77" i="9" s="1"/>
  <c r="P78" i="9"/>
  <c r="P79" i="9"/>
  <c r="V77" i="9"/>
  <c r="N52" i="11"/>
  <c r="N53" i="11"/>
  <c r="H70" i="9"/>
  <c r="V70" i="9" l="1"/>
  <c r="X70" i="9" s="1"/>
  <c r="Q70" i="9"/>
  <c r="W79" i="9"/>
  <c r="W77" i="9"/>
  <c r="X77" i="9" s="1"/>
  <c r="W78" i="9"/>
  <c r="J70" i="9" l="1"/>
  <c r="J69" i="9"/>
  <c r="M69" i="9" s="1"/>
  <c r="N69" i="9" s="1"/>
  <c r="M70" i="9" l="1"/>
  <c r="N70" i="9" s="1"/>
  <c r="K54" i="11"/>
  <c r="H72" i="9"/>
  <c r="V72" i="9" l="1"/>
  <c r="X72" i="9" s="1"/>
  <c r="Q72" i="9"/>
  <c r="N55" i="11"/>
  <c r="N57" i="11"/>
  <c r="N54" i="11"/>
  <c r="N56" i="11"/>
  <c r="N58" i="11"/>
  <c r="H80" i="9"/>
  <c r="P81" i="9" l="1"/>
  <c r="Q81" i="9" s="1"/>
  <c r="P80" i="9"/>
  <c r="Q80" i="9" s="1"/>
  <c r="V80" i="9"/>
  <c r="J71" i="9"/>
  <c r="M71" i="9" s="1"/>
  <c r="N71" i="9" s="1"/>
  <c r="J72" i="9"/>
  <c r="M72" i="9" s="1"/>
  <c r="N72" i="9" s="1"/>
  <c r="K55" i="11" l="1"/>
  <c r="K56" i="11"/>
  <c r="H75" i="9"/>
  <c r="W80" i="9"/>
  <c r="X80" i="9" s="1"/>
  <c r="W81" i="9"/>
  <c r="X81" i="9" s="1"/>
  <c r="R55" i="11"/>
  <c r="H73" i="9"/>
  <c r="P73" i="9" l="1"/>
  <c r="Q73" i="9" s="1"/>
  <c r="P74" i="9"/>
  <c r="Q74" i="9" s="1"/>
  <c r="V73" i="9"/>
  <c r="J80" i="9"/>
  <c r="M80" i="9" s="1"/>
  <c r="N80" i="9" s="1"/>
  <c r="J81" i="9"/>
  <c r="P75" i="9"/>
  <c r="Q75" i="9" s="1"/>
  <c r="P76" i="9"/>
  <c r="V75" i="9"/>
  <c r="W76" i="9" l="1"/>
  <c r="W75" i="9"/>
  <c r="X75" i="9" s="1"/>
  <c r="N59" i="11"/>
  <c r="H83" i="9"/>
  <c r="M81" i="9"/>
  <c r="N81" i="9" s="1"/>
  <c r="W74" i="9"/>
  <c r="X74" i="9" s="1"/>
  <c r="W73" i="9"/>
  <c r="X73" i="9" s="1"/>
  <c r="J73" i="9" l="1"/>
  <c r="M73" i="9" s="1"/>
  <c r="N73" i="9" s="1"/>
  <c r="J74" i="9"/>
  <c r="M74" i="9" s="1"/>
  <c r="N74" i="9" s="1"/>
  <c r="T60" i="11"/>
  <c r="T59" i="11"/>
  <c r="H85" i="9"/>
  <c r="V83" i="9"/>
  <c r="V85" i="9" l="1"/>
  <c r="M56" i="11"/>
  <c r="H76" i="9"/>
  <c r="R56" i="11"/>
  <c r="R57" i="11"/>
  <c r="H78" i="9"/>
  <c r="V78" i="9" l="1"/>
  <c r="X78" i="9" s="1"/>
  <c r="Q78" i="9"/>
  <c r="V76" i="9"/>
  <c r="X76" i="9" s="1"/>
  <c r="Q76" i="9"/>
  <c r="J78" i="9" l="1"/>
  <c r="M78" i="9" s="1"/>
  <c r="N78" i="9" s="1"/>
  <c r="J75" i="9"/>
  <c r="M75" i="9" s="1"/>
  <c r="N75" i="9" s="1"/>
  <c r="J76" i="9"/>
  <c r="M76" i="9" s="1"/>
  <c r="N76" i="9" s="1"/>
  <c r="M57" i="11" l="1"/>
  <c r="H79" i="9"/>
  <c r="K74" i="11"/>
  <c r="K76" i="11"/>
  <c r="K78" i="11"/>
  <c r="K60" i="11"/>
  <c r="K75" i="11"/>
  <c r="K69" i="11"/>
  <c r="K62" i="11"/>
  <c r="K71" i="11"/>
  <c r="K64" i="11"/>
  <c r="K73" i="11"/>
  <c r="K57" i="11"/>
  <c r="K66" i="11"/>
  <c r="K59" i="11"/>
  <c r="K68" i="11"/>
  <c r="K61" i="11"/>
  <c r="K70" i="11"/>
  <c r="K80" i="11"/>
  <c r="K79" i="11"/>
  <c r="K77" i="11"/>
  <c r="K67" i="11"/>
  <c r="K72" i="11"/>
  <c r="K58" i="11"/>
  <c r="K65" i="11"/>
  <c r="K63" i="11"/>
  <c r="H125" i="9"/>
  <c r="R59" i="11"/>
  <c r="R61" i="11"/>
  <c r="R63" i="11"/>
  <c r="R58" i="11"/>
  <c r="R60" i="11"/>
  <c r="R62" i="11"/>
  <c r="H90" i="9"/>
  <c r="V125" i="9" l="1"/>
  <c r="P91" i="9"/>
  <c r="Q91" i="9" s="1"/>
  <c r="P90" i="9"/>
  <c r="Q90" i="9" s="1"/>
  <c r="V90" i="9"/>
  <c r="V79" i="9"/>
  <c r="X79" i="9" s="1"/>
  <c r="Q79" i="9"/>
  <c r="W90" i="9" l="1"/>
  <c r="X90" i="9" s="1"/>
  <c r="W91" i="9"/>
  <c r="X91" i="9" s="1"/>
  <c r="J79" i="9"/>
  <c r="M79" i="9" s="1"/>
  <c r="N79" i="9" s="1"/>
  <c r="J77" i="9"/>
  <c r="M77" i="9" s="1"/>
  <c r="N77" i="9" s="1"/>
  <c r="O59" i="11" l="1"/>
  <c r="O58" i="11"/>
  <c r="H82" i="9"/>
  <c r="M76" i="11"/>
  <c r="M78" i="11"/>
  <c r="M87" i="11"/>
  <c r="M80" i="11"/>
  <c r="M73" i="11"/>
  <c r="M86" i="11"/>
  <c r="M62" i="11"/>
  <c r="M71" i="11"/>
  <c r="M64" i="11"/>
  <c r="M74" i="11"/>
  <c r="M66" i="11"/>
  <c r="M59" i="11"/>
  <c r="M68" i="11"/>
  <c r="M61" i="11"/>
  <c r="M70" i="11"/>
  <c r="M63" i="11"/>
  <c r="M82" i="11"/>
  <c r="M72" i="11"/>
  <c r="M84" i="11"/>
  <c r="M85" i="11"/>
  <c r="M79" i="11"/>
  <c r="M83" i="11"/>
  <c r="M81" i="11"/>
  <c r="M75" i="11"/>
  <c r="M69" i="11"/>
  <c r="M60" i="11"/>
  <c r="M58" i="11"/>
  <c r="M67" i="11"/>
  <c r="M65" i="11"/>
  <c r="M77" i="11"/>
  <c r="H138" i="9"/>
  <c r="J91" i="9"/>
  <c r="J90" i="9"/>
  <c r="M90" i="9" s="1"/>
  <c r="N90" i="9" s="1"/>
  <c r="R64" i="11" l="1"/>
  <c r="H92" i="9"/>
  <c r="M91" i="9"/>
  <c r="N91" i="9" s="1"/>
  <c r="P83" i="9"/>
  <c r="Q83" i="9" s="1"/>
  <c r="P82" i="9"/>
  <c r="Q82" i="9" s="1"/>
  <c r="V82" i="9"/>
  <c r="P139" i="9"/>
  <c r="P138" i="9"/>
  <c r="Q138" i="9" s="1"/>
  <c r="V138" i="9"/>
  <c r="W139" i="9" l="1"/>
  <c r="W138" i="9"/>
  <c r="X138" i="9" s="1"/>
  <c r="W82" i="9"/>
  <c r="X82" i="9" s="1"/>
  <c r="W83" i="9"/>
  <c r="X83" i="9" s="1"/>
  <c r="S65" i="11"/>
  <c r="S64" i="11"/>
  <c r="H95" i="9"/>
  <c r="V92" i="9"/>
  <c r="V95" i="9" l="1"/>
  <c r="J82" i="9"/>
  <c r="M82" i="9" s="1"/>
  <c r="N82" i="9" s="1"/>
  <c r="J83" i="9"/>
  <c r="M83" i="9" s="1"/>
  <c r="N83" i="9" s="1"/>
  <c r="N80" i="11" l="1"/>
  <c r="N73" i="11"/>
  <c r="N79" i="11"/>
  <c r="N76" i="11"/>
  <c r="N71" i="11"/>
  <c r="N64" i="11"/>
  <c r="N74" i="11"/>
  <c r="N66" i="11"/>
  <c r="N68" i="11"/>
  <c r="N61" i="11"/>
  <c r="N70" i="11"/>
  <c r="N63" i="11"/>
  <c r="N72" i="11"/>
  <c r="N65" i="11"/>
  <c r="N78" i="11"/>
  <c r="N75" i="11"/>
  <c r="N69" i="11"/>
  <c r="N62" i="11"/>
  <c r="N67" i="11"/>
  <c r="N77" i="11"/>
  <c r="N60" i="11"/>
  <c r="H124" i="9"/>
  <c r="O60" i="11"/>
  <c r="H84" i="9"/>
  <c r="P85" i="9" l="1"/>
  <c r="Q85" i="9" s="1"/>
  <c r="P84" i="9"/>
  <c r="Q84" i="9" s="1"/>
  <c r="V84" i="9"/>
  <c r="P125" i="9"/>
  <c r="Q125" i="9" s="1"/>
  <c r="P124" i="9"/>
  <c r="Q124" i="9" s="1"/>
  <c r="V124" i="9"/>
  <c r="W124" i="9" l="1"/>
  <c r="X124" i="9" s="1"/>
  <c r="W125" i="9"/>
  <c r="X125" i="9" s="1"/>
  <c r="W85" i="9"/>
  <c r="X85" i="9" s="1"/>
  <c r="W84" i="9"/>
  <c r="X84" i="9" s="1"/>
  <c r="J85" i="9" l="1"/>
  <c r="J84" i="9"/>
  <c r="M84" i="9" s="1"/>
  <c r="N84" i="9" s="1"/>
  <c r="J124" i="9"/>
  <c r="M124" i="9" s="1"/>
  <c r="N124" i="9" s="1"/>
  <c r="J125" i="9"/>
  <c r="M125" i="9" s="1"/>
  <c r="N125" i="9" s="1"/>
  <c r="K81" i="11" l="1"/>
  <c r="K82" i="11"/>
  <c r="H129" i="9"/>
  <c r="O64" i="11"/>
  <c r="O61" i="11"/>
  <c r="O63" i="11"/>
  <c r="O62" i="11"/>
  <c r="H93" i="9"/>
  <c r="N85" i="11"/>
  <c r="N82" i="11"/>
  <c r="N84" i="11"/>
  <c r="N83" i="11"/>
  <c r="N81" i="11"/>
  <c r="H135" i="9"/>
  <c r="M85" i="9"/>
  <c r="N85" i="9" s="1"/>
  <c r="T75" i="11" l="1"/>
  <c r="T77" i="11"/>
  <c r="T79" i="11"/>
  <c r="T73" i="11"/>
  <c r="T61" i="11"/>
  <c r="T70" i="11"/>
  <c r="T63" i="11"/>
  <c r="T72" i="11"/>
  <c r="T65" i="11"/>
  <c r="T67" i="11"/>
  <c r="T83" i="11"/>
  <c r="T82" i="11"/>
  <c r="T81" i="11"/>
  <c r="T69" i="11"/>
  <c r="T80" i="11"/>
  <c r="T78" i="11"/>
  <c r="T62" i="11"/>
  <c r="T71" i="11"/>
  <c r="T74" i="11"/>
  <c r="T68" i="11"/>
  <c r="T64" i="11"/>
  <c r="T76" i="11"/>
  <c r="T66" i="11"/>
  <c r="H131" i="9"/>
  <c r="V135" i="9"/>
  <c r="P92" i="9"/>
  <c r="Q92" i="9" s="1"/>
  <c r="P93" i="9"/>
  <c r="Q93" i="9" s="1"/>
  <c r="V93" i="9"/>
  <c r="V129" i="9"/>
  <c r="X129" i="9" s="1"/>
  <c r="Q129" i="9"/>
  <c r="J129" i="9" l="1"/>
  <c r="M129" i="9" s="1"/>
  <c r="N129" i="9" s="1"/>
  <c r="J128" i="9"/>
  <c r="W93" i="9"/>
  <c r="X93" i="9" s="1"/>
  <c r="W92" i="9"/>
  <c r="X92" i="9" s="1"/>
  <c r="V131" i="9"/>
  <c r="J93" i="9" l="1"/>
  <c r="M93" i="9" s="1"/>
  <c r="N93" i="9" s="1"/>
  <c r="J92" i="9"/>
  <c r="M92" i="9" s="1"/>
  <c r="N92" i="9" s="1"/>
  <c r="M128" i="9"/>
  <c r="N128" i="9" s="1"/>
  <c r="K90" i="11"/>
  <c r="K92" i="11"/>
  <c r="K85" i="11"/>
  <c r="K94" i="11"/>
  <c r="K87" i="11"/>
  <c r="K84" i="11"/>
  <c r="K93" i="11"/>
  <c r="K95" i="11"/>
  <c r="K91" i="11"/>
  <c r="K89" i="11"/>
  <c r="K86" i="11"/>
  <c r="K88" i="11"/>
  <c r="K83" i="11"/>
  <c r="H163" i="9"/>
  <c r="Q84" i="11" l="1"/>
  <c r="Q86" i="11"/>
  <c r="Q85" i="11"/>
  <c r="Q83" i="11"/>
  <c r="H136" i="9"/>
  <c r="V163" i="9"/>
  <c r="R68" i="11"/>
  <c r="R70" i="11"/>
  <c r="R65" i="11"/>
  <c r="R67" i="11"/>
  <c r="R69" i="11"/>
  <c r="R66" i="11"/>
  <c r="H104" i="9"/>
  <c r="O65" i="11"/>
  <c r="H94" i="9"/>
  <c r="P105" i="9" l="1"/>
  <c r="P104" i="9"/>
  <c r="Q104" i="9" s="1"/>
  <c r="V104" i="9"/>
  <c r="P95" i="9"/>
  <c r="Q95" i="9" s="1"/>
  <c r="P94" i="9"/>
  <c r="Q94" i="9" s="1"/>
  <c r="V94" i="9"/>
  <c r="P137" i="9"/>
  <c r="P136" i="9"/>
  <c r="Q136" i="9" s="1"/>
  <c r="V136" i="9"/>
  <c r="W136" i="9" l="1"/>
  <c r="X136" i="9" s="1"/>
  <c r="W137" i="9"/>
  <c r="W94" i="9"/>
  <c r="X94" i="9" s="1"/>
  <c r="W95" i="9"/>
  <c r="X95" i="9" s="1"/>
  <c r="W105" i="9"/>
  <c r="W104" i="9"/>
  <c r="X10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68" i="11" l="1"/>
  <c r="S73" i="11"/>
  <c r="S70" i="11"/>
  <c r="S72" i="11"/>
  <c r="S67" i="11"/>
  <c r="S69" i="11"/>
  <c r="S71" i="11"/>
  <c r="H110" i="9"/>
  <c r="P99" i="9"/>
  <c r="Q99" i="9" s="1"/>
  <c r="P98" i="9"/>
  <c r="Q98" i="9" s="1"/>
  <c r="V98" i="9"/>
  <c r="W99" i="9" l="1"/>
  <c r="X99" i="9" s="1"/>
  <c r="W98" i="9"/>
  <c r="X98" i="9" s="1"/>
  <c r="P111" i="9"/>
  <c r="P110" i="9"/>
  <c r="Q110" i="9" s="1"/>
  <c r="V110" i="9"/>
  <c r="W111" i="9" l="1"/>
  <c r="W110" i="9"/>
  <c r="X110" i="9" s="1"/>
  <c r="J98" i="9"/>
  <c r="M98" i="9" s="1"/>
  <c r="N98" i="9" s="1"/>
  <c r="J99" i="9"/>
  <c r="M99" i="9" s="1"/>
  <c r="N99" i="9" s="1"/>
  <c r="U68" i="11" l="1"/>
  <c r="H101" i="9"/>
  <c r="O68" i="11"/>
  <c r="H100" i="9"/>
  <c r="P100" i="9" l="1"/>
  <c r="Q100" i="9" s="1"/>
  <c r="P101" i="9"/>
  <c r="Q101"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2" i="9" l="1"/>
  <c r="X102" i="9" s="1"/>
  <c r="W103" i="9"/>
  <c r="X103" i="9" s="1"/>
  <c r="J102" i="9" l="1"/>
  <c r="M102" i="9" s="1"/>
  <c r="N102" i="9" s="1"/>
  <c r="J103" i="9"/>
  <c r="M103" i="9" s="1"/>
  <c r="N103" i="9" s="1"/>
  <c r="U70" i="11" l="1"/>
  <c r="H105" i="9"/>
  <c r="O78" i="11"/>
  <c r="O73" i="11"/>
  <c r="O75" i="11"/>
  <c r="O74" i="11"/>
  <c r="O70" i="11"/>
  <c r="O72" i="11"/>
  <c r="O79" i="11"/>
  <c r="O76" i="11"/>
  <c r="O71" i="11"/>
  <c r="O77" i="11"/>
  <c r="H123" i="9"/>
  <c r="V123" i="9" l="1"/>
  <c r="V105" i="9"/>
  <c r="X105" i="9" s="1"/>
  <c r="Q105" i="9"/>
  <c r="J104" i="9" l="1"/>
  <c r="M104" i="9" s="1"/>
  <c r="N104" i="9" s="1"/>
  <c r="J105" i="9"/>
  <c r="M105" i="9" s="1"/>
  <c r="N105" i="9" s="1"/>
  <c r="U71" i="11" l="1"/>
  <c r="H107" i="9"/>
  <c r="R71" i="11"/>
  <c r="H106" i="9"/>
  <c r="P106" i="9" l="1"/>
  <c r="Q106" i="9" s="1"/>
  <c r="P107" i="9"/>
  <c r="Q107" i="9" s="1"/>
  <c r="V106" i="9"/>
  <c r="V107" i="9"/>
  <c r="W107" i="9" l="1"/>
  <c r="X107" i="9" s="1"/>
  <c r="W106" i="9"/>
  <c r="X106"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3" i="11" l="1"/>
  <c r="R77" i="11"/>
  <c r="R74" i="11"/>
  <c r="R79" i="11"/>
  <c r="R81" i="11"/>
  <c r="R78" i="11"/>
  <c r="R76" i="11"/>
  <c r="R80" i="11"/>
  <c r="R75" i="11"/>
  <c r="H127" i="9"/>
  <c r="U73" i="11"/>
  <c r="H111" i="9"/>
  <c r="V111" i="9" l="1"/>
  <c r="X111" i="9" s="1"/>
  <c r="Q111" i="9"/>
  <c r="V127" i="9"/>
  <c r="J110" i="9" l="1"/>
  <c r="M110" i="9" s="1"/>
  <c r="N110" i="9" s="1"/>
  <c r="J111" i="9"/>
  <c r="M111" i="9" s="1"/>
  <c r="N111" i="9" s="1"/>
  <c r="U74" i="11" l="1"/>
  <c r="H113" i="9"/>
  <c r="S74" i="11"/>
  <c r="H112" i="9"/>
  <c r="P113" i="9" l="1"/>
  <c r="Q113" i="9" s="1"/>
  <c r="P112" i="9"/>
  <c r="Q112" i="9" s="1"/>
  <c r="V112" i="9"/>
  <c r="V113" i="9"/>
  <c r="W113" i="9" l="1"/>
  <c r="X113" i="9" s="1"/>
  <c r="W112" i="9"/>
  <c r="X112" i="9" s="1"/>
  <c r="J113" i="9" l="1"/>
  <c r="M113" i="9" s="1"/>
  <c r="N113" i="9" s="1"/>
  <c r="J112" i="9"/>
  <c r="M112" i="9" s="1"/>
  <c r="N112" i="9" s="1"/>
  <c r="S75" i="11" l="1"/>
  <c r="H114" i="9"/>
  <c r="U75" i="11"/>
  <c r="H115" i="9"/>
  <c r="V115" i="9" l="1"/>
  <c r="P115" i="9"/>
  <c r="Q115" i="9" s="1"/>
  <c r="P114" i="9"/>
  <c r="Q114" i="9" s="1"/>
  <c r="V114" i="9"/>
  <c r="W114" i="9" l="1"/>
  <c r="X114" i="9" s="1"/>
  <c r="W115" i="9"/>
  <c r="X115"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77" i="11"/>
  <c r="S79" i="11"/>
  <c r="S81" i="11"/>
  <c r="S80" i="11"/>
  <c r="S78" i="11"/>
  <c r="H126" i="9"/>
  <c r="P127" i="9" l="1"/>
  <c r="Q127" i="9" s="1"/>
  <c r="V126" i="9"/>
  <c r="P126" i="9"/>
  <c r="Q126" i="9" s="1"/>
  <c r="P119" i="9"/>
  <c r="Q119" i="9" s="1"/>
  <c r="P118" i="9"/>
  <c r="Q118" i="9" s="1"/>
  <c r="V118" i="9"/>
  <c r="W119" i="9" l="1"/>
  <c r="X119" i="9" s="1"/>
  <c r="W118" i="9"/>
  <c r="X118" i="9" s="1"/>
  <c r="W126" i="9"/>
  <c r="X126" i="9" s="1"/>
  <c r="W127" i="9"/>
  <c r="X127" i="9" s="1"/>
  <c r="J127" i="9" l="1"/>
  <c r="M127" i="9" s="1"/>
  <c r="N127" i="9" s="1"/>
  <c r="J126" i="9"/>
  <c r="M126" i="9" s="1"/>
  <c r="N126" i="9" s="1"/>
  <c r="J119" i="9"/>
  <c r="J118" i="9"/>
  <c r="M118" i="9" s="1"/>
  <c r="N118" i="9" s="1"/>
  <c r="M119" i="9" l="1"/>
  <c r="N119" i="9" s="1"/>
  <c r="S82" i="11"/>
  <c r="S84" i="11"/>
  <c r="S85" i="11"/>
  <c r="S83" i="11"/>
  <c r="H134" i="9"/>
  <c r="U78" i="11"/>
  <c r="H121" i="9"/>
  <c r="R89" i="11"/>
  <c r="R91" i="11"/>
  <c r="R84" i="11"/>
  <c r="R86" i="11"/>
  <c r="R83" i="11"/>
  <c r="R92" i="11"/>
  <c r="R88" i="11"/>
  <c r="R90" i="11"/>
  <c r="R85" i="11"/>
  <c r="R82" i="11"/>
  <c r="R87" i="11"/>
  <c r="H151" i="9"/>
  <c r="P120" i="9" l="1"/>
  <c r="Q120" i="9" s="1"/>
  <c r="P121" i="9"/>
  <c r="Q121" i="9" s="1"/>
  <c r="V121" i="9"/>
  <c r="P135" i="9"/>
  <c r="Q135" i="9" s="1"/>
  <c r="P134" i="9"/>
  <c r="Q134" i="9" s="1"/>
  <c r="V134" i="9"/>
  <c r="V151" i="9"/>
  <c r="L83" i="11"/>
  <c r="L78" i="11"/>
  <c r="L80" i="11"/>
  <c r="L79" i="11"/>
  <c r="L81" i="11"/>
  <c r="L82" i="11"/>
  <c r="H130" i="9"/>
  <c r="P130" i="9" l="1"/>
  <c r="Q130" i="9" s="1"/>
  <c r="P131" i="9"/>
  <c r="Q131" i="9" s="1"/>
  <c r="V130" i="9"/>
  <c r="W120" i="9"/>
  <c r="X120" i="9" s="1"/>
  <c r="W121" i="9"/>
  <c r="X121" i="9" s="1"/>
  <c r="W134" i="9"/>
  <c r="X134" i="9" s="1"/>
  <c r="W135" i="9"/>
  <c r="X135" i="9" s="1"/>
  <c r="J134" i="9" l="1"/>
  <c r="M134" i="9" s="1"/>
  <c r="N134" i="9" s="1"/>
  <c r="J135" i="9"/>
  <c r="M135" i="9" s="1"/>
  <c r="N135" i="9" s="1"/>
  <c r="J120" i="9"/>
  <c r="M120" i="9" s="1"/>
  <c r="N120" i="9" s="1"/>
  <c r="J121" i="9"/>
  <c r="M121" i="9" s="1"/>
  <c r="N121" i="9" s="1"/>
  <c r="W131" i="9"/>
  <c r="X131" i="9" s="1"/>
  <c r="W130" i="9"/>
  <c r="X130" i="9" s="1"/>
  <c r="J130" i="9" l="1"/>
  <c r="J131" i="9"/>
  <c r="M131" i="9" s="1"/>
  <c r="N131" i="9" s="1"/>
  <c r="P79" i="11"/>
  <c r="H122" i="9"/>
  <c r="U84" i="11"/>
  <c r="U79" i="11"/>
  <c r="U81" i="11"/>
  <c r="U83" i="11"/>
  <c r="U82" i="11"/>
  <c r="U80" i="11"/>
  <c r="H132" i="9"/>
  <c r="N87" i="11"/>
  <c r="N89" i="11"/>
  <c r="N93" i="11"/>
  <c r="N91" i="11"/>
  <c r="N94" i="11"/>
  <c r="N92" i="11"/>
  <c r="N88" i="11"/>
  <c r="N86" i="11"/>
  <c r="N90" i="11"/>
  <c r="H158" i="9"/>
  <c r="S86" i="11"/>
  <c r="S92" i="11"/>
  <c r="S91" i="11"/>
  <c r="S88" i="11"/>
  <c r="S90" i="11"/>
  <c r="S89" i="11"/>
  <c r="S87" i="11"/>
  <c r="H150" i="9"/>
  <c r="P132" i="9" l="1"/>
  <c r="Q132" i="9" s="1"/>
  <c r="P133" i="9"/>
  <c r="V132" i="9"/>
  <c r="V150" i="9"/>
  <c r="V158" i="9"/>
  <c r="V122" i="9"/>
  <c r="P122" i="9"/>
  <c r="Q122" i="9" s="1"/>
  <c r="P123" i="9"/>
  <c r="Q123" i="9" s="1"/>
  <c r="T86" i="11"/>
  <c r="T85" i="11"/>
  <c r="T87" i="11"/>
  <c r="T84" i="11"/>
  <c r="H139" i="9"/>
  <c r="M130" i="9"/>
  <c r="N130" i="9" s="1"/>
  <c r="V139" i="9" l="1"/>
  <c r="X139" i="9" s="1"/>
  <c r="Q139" i="9"/>
  <c r="W122" i="9"/>
  <c r="X122" i="9" s="1"/>
  <c r="W123" i="9"/>
  <c r="X123" i="9" s="1"/>
  <c r="W133" i="9"/>
  <c r="W132" i="9"/>
  <c r="X132" i="9" s="1"/>
  <c r="L85" i="11"/>
  <c r="L94" i="11"/>
  <c r="L87" i="11"/>
  <c r="L96" i="11"/>
  <c r="L93" i="11"/>
  <c r="L95" i="11"/>
  <c r="L91" i="11"/>
  <c r="L89" i="11"/>
  <c r="L92" i="11"/>
  <c r="L86" i="11"/>
  <c r="L84" i="11"/>
  <c r="L88" i="11"/>
  <c r="L90" i="11"/>
  <c r="H164" i="9"/>
  <c r="P167" i="9" l="1"/>
  <c r="P166" i="9"/>
  <c r="P164" i="9"/>
  <c r="Q164" i="9" s="1"/>
  <c r="P165" i="9"/>
  <c r="Q165" i="9" s="1"/>
  <c r="V164" i="9"/>
  <c r="J123" i="9"/>
  <c r="M123" i="9" s="1"/>
  <c r="N123" i="9" s="1"/>
  <c r="J122" i="9"/>
  <c r="M122" i="9" s="1"/>
  <c r="N122" i="9" s="1"/>
  <c r="J139" i="9"/>
  <c r="M139" i="9" s="1"/>
  <c r="N139" i="9" s="1"/>
  <c r="J138" i="9"/>
  <c r="M138" i="9" s="1"/>
  <c r="N138" i="9" s="1"/>
  <c r="M141" i="11" l="1"/>
  <c r="M142" i="11"/>
  <c r="M139" i="11"/>
  <c r="M140" i="11"/>
  <c r="M138" i="11"/>
  <c r="M122" i="11"/>
  <c r="M106" i="11"/>
  <c r="M131" i="11"/>
  <c r="M124" i="11"/>
  <c r="M108" i="11"/>
  <c r="M92" i="11"/>
  <c r="M133" i="11"/>
  <c r="M117" i="11"/>
  <c r="M126" i="11"/>
  <c r="M110" i="11"/>
  <c r="M94" i="11"/>
  <c r="M135" i="11"/>
  <c r="M119" i="11"/>
  <c r="M103" i="11"/>
  <c r="M128" i="11"/>
  <c r="M112" i="11"/>
  <c r="M96" i="11"/>
  <c r="B4" i="12"/>
  <c r="M137" i="11"/>
  <c r="M121" i="11"/>
  <c r="M105" i="11"/>
  <c r="M89" i="11"/>
  <c r="M130" i="11"/>
  <c r="M114" i="11"/>
  <c r="M98" i="11"/>
  <c r="M132" i="11"/>
  <c r="M125" i="11"/>
  <c r="M109" i="11"/>
  <c r="M134" i="11"/>
  <c r="M118" i="11"/>
  <c r="M102" i="11"/>
  <c r="M136" i="11"/>
  <c r="M120" i="11"/>
  <c r="M104" i="11"/>
  <c r="M129" i="11"/>
  <c r="M111" i="11"/>
  <c r="M99" i="11"/>
  <c r="M100" i="11"/>
  <c r="M127" i="11"/>
  <c r="M123" i="11"/>
  <c r="M115" i="11"/>
  <c r="M95" i="11"/>
  <c r="M93" i="11"/>
  <c r="M91" i="11"/>
  <c r="M113" i="11"/>
  <c r="M101" i="11"/>
  <c r="M107" i="11"/>
  <c r="M97" i="11"/>
  <c r="M88" i="11"/>
  <c r="M90" i="11"/>
  <c r="M116" i="11"/>
  <c r="J9" i="11"/>
  <c r="T88" i="11"/>
  <c r="H140" i="9"/>
  <c r="P82" i="11"/>
  <c r="P84" i="11"/>
  <c r="P81" i="11"/>
  <c r="P83" i="11"/>
  <c r="P80" i="11"/>
  <c r="H133" i="9"/>
  <c r="O80" i="11"/>
  <c r="O89" i="11"/>
  <c r="O82" i="11"/>
  <c r="O91" i="11"/>
  <c r="O88" i="11"/>
  <c r="O84" i="11"/>
  <c r="O92" i="11"/>
  <c r="O86" i="11"/>
  <c r="O90" i="11"/>
  <c r="O87" i="11"/>
  <c r="O85" i="11"/>
  <c r="O83" i="11"/>
  <c r="O81" i="11"/>
  <c r="H149" i="9"/>
  <c r="W167" i="9"/>
  <c r="W164" i="9"/>
  <c r="X164" i="9" s="1"/>
  <c r="W166" i="9"/>
  <c r="W165" i="9"/>
  <c r="X165" i="9" s="1"/>
  <c r="V149" i="9" l="1"/>
  <c r="P141" i="9"/>
  <c r="P140" i="9"/>
  <c r="Q140" i="9" s="1"/>
  <c r="V140" i="9"/>
  <c r="F2" i="12"/>
  <c r="B9" i="11"/>
  <c r="C14" i="3"/>
  <c r="F84" i="6"/>
  <c r="S84" i="6" s="1"/>
  <c r="V133" i="9"/>
  <c r="X133" i="9" s="1"/>
  <c r="Q133" i="9"/>
  <c r="W141" i="9" l="1"/>
  <c r="W140" i="9"/>
  <c r="X140" i="9" s="1"/>
  <c r="J133" i="9"/>
  <c r="M133" i="9" s="1"/>
  <c r="N133" i="9" s="1"/>
  <c r="J132" i="9"/>
  <c r="M132" i="9" s="1"/>
  <c r="N132" i="9" s="1"/>
  <c r="S9" i="11"/>
  <c r="W9" i="11" l="1"/>
  <c r="V14" i="3"/>
  <c r="P87" i="11"/>
  <c r="P89" i="11"/>
  <c r="P91" i="11"/>
  <c r="P92" i="11"/>
  <c r="P86" i="11"/>
  <c r="P90" i="11"/>
  <c r="P88" i="11"/>
  <c r="P85" i="11"/>
  <c r="H148" i="9"/>
  <c r="U86" i="11"/>
  <c r="U85" i="11"/>
  <c r="H137" i="9"/>
  <c r="U14" i="3"/>
  <c r="V137" i="9" l="1"/>
  <c r="X137" i="9" s="1"/>
  <c r="Q137" i="9"/>
  <c r="P148" i="9"/>
  <c r="Q148" i="9" s="1"/>
  <c r="P151" i="9"/>
  <c r="Q151" i="9" s="1"/>
  <c r="P150" i="9"/>
  <c r="Q150" i="9" s="1"/>
  <c r="P149" i="9"/>
  <c r="Q149" i="9" s="1"/>
  <c r="V148" i="9"/>
  <c r="W149" i="9" l="1"/>
  <c r="X149" i="9" s="1"/>
  <c r="W148" i="9"/>
  <c r="X148" i="9" s="1"/>
  <c r="W151" i="9"/>
  <c r="X151" i="9" s="1"/>
  <c r="J151" i="9" s="1"/>
  <c r="M151" i="9" s="1"/>
  <c r="N151" i="9" s="1"/>
  <c r="W150" i="9"/>
  <c r="X150" i="9" s="1"/>
  <c r="J136" i="9"/>
  <c r="J137" i="9"/>
  <c r="M137" i="9" s="1"/>
  <c r="N137" i="9" s="1"/>
  <c r="U88" i="11" l="1"/>
  <c r="U87" i="11"/>
  <c r="H141" i="9"/>
  <c r="M136" i="9"/>
  <c r="N136" i="9" s="1"/>
  <c r="J148" i="9"/>
  <c r="M148" i="9" s="1"/>
  <c r="N148" i="9" s="1"/>
  <c r="J149" i="9"/>
  <c r="M149" i="9" s="1"/>
  <c r="N149" i="9" s="1"/>
  <c r="J150" i="9"/>
  <c r="M150" i="9" s="1"/>
  <c r="N150" i="9" s="1"/>
  <c r="R93" i="11"/>
  <c r="R95" i="11"/>
  <c r="R94" i="11"/>
  <c r="R97" i="11"/>
  <c r="R96" i="11"/>
  <c r="R98" i="11"/>
  <c r="H173" i="9"/>
  <c r="S98" i="11" l="1"/>
  <c r="S93" i="11"/>
  <c r="S95" i="11"/>
  <c r="S94" i="11"/>
  <c r="S97" i="11"/>
  <c r="S96" i="11"/>
  <c r="H172" i="9"/>
  <c r="V173" i="9"/>
  <c r="O93" i="11"/>
  <c r="H155" i="9"/>
  <c r="P93" i="11"/>
  <c r="H154" i="9"/>
  <c r="Q88" i="11"/>
  <c r="Q89" i="11"/>
  <c r="Q87" i="11"/>
  <c r="H142" i="9"/>
  <c r="V141" i="9"/>
  <c r="X141" i="9" s="1"/>
  <c r="Q141" i="9"/>
  <c r="P143" i="9" l="1"/>
  <c r="P142" i="9"/>
  <c r="Q142" i="9" s="1"/>
  <c r="V142" i="9"/>
  <c r="V154" i="9"/>
  <c r="V155" i="9"/>
  <c r="P175" i="9"/>
  <c r="P173" i="9"/>
  <c r="Q173" i="9" s="1"/>
  <c r="P174" i="9"/>
  <c r="P172" i="9"/>
  <c r="Q172" i="9" s="1"/>
  <c r="V172" i="9"/>
  <c r="J141" i="9"/>
  <c r="M141" i="9" s="1"/>
  <c r="N141" i="9" s="1"/>
  <c r="J140" i="9"/>
  <c r="M140" i="9" s="1"/>
  <c r="N140" i="9" s="1"/>
  <c r="W175" i="9" l="1"/>
  <c r="W174" i="9"/>
  <c r="W173" i="9"/>
  <c r="X173" i="9" s="1"/>
  <c r="W172" i="9"/>
  <c r="X172" i="9" s="1"/>
  <c r="T90" i="11"/>
  <c r="T89" i="11"/>
  <c r="H144" i="9"/>
  <c r="U89" i="11"/>
  <c r="H143" i="9"/>
  <c r="Q143" i="9" s="1"/>
  <c r="W143" i="9"/>
  <c r="W142" i="9"/>
  <c r="X142" i="9" s="1"/>
  <c r="V143" i="9" l="1"/>
  <c r="X143" i="9" s="1"/>
  <c r="P144" i="9"/>
  <c r="Q144" i="9" s="1"/>
  <c r="P145" i="9"/>
  <c r="V144" i="9"/>
  <c r="J142" i="9" l="1"/>
  <c r="J143" i="9"/>
  <c r="M143" i="9" s="1"/>
  <c r="N143" i="9" s="1"/>
  <c r="W145" i="9"/>
  <c r="W144" i="9"/>
  <c r="X144" i="9" s="1"/>
  <c r="U90" i="11" l="1"/>
  <c r="H145" i="9"/>
  <c r="M142" i="9"/>
  <c r="N142" i="9" s="1"/>
  <c r="Q91" i="11" l="1"/>
  <c r="Q90" i="11"/>
  <c r="H146" i="9"/>
  <c r="V145" i="9"/>
  <c r="X145" i="9" s="1"/>
  <c r="Q145" i="9"/>
  <c r="J145" i="9" l="1"/>
  <c r="M145" i="9" s="1"/>
  <c r="N145" i="9" s="1"/>
  <c r="J144" i="9"/>
  <c r="M144" i="9" s="1"/>
  <c r="N144" i="9" s="1"/>
  <c r="P147" i="9"/>
  <c r="P146" i="9"/>
  <c r="Q146" i="9" s="1"/>
  <c r="V146" i="9"/>
  <c r="W147" i="9" l="1"/>
  <c r="W146" i="9"/>
  <c r="X146" i="9" s="1"/>
  <c r="T91" i="11"/>
  <c r="H147" i="9"/>
  <c r="Q147" i="9" s="1"/>
  <c r="U93" i="11"/>
  <c r="U92" i="11"/>
  <c r="U91" i="11"/>
  <c r="H152" i="9"/>
  <c r="V152" i="9" l="1"/>
  <c r="V147" i="9"/>
  <c r="X147" i="9" s="1"/>
  <c r="J147" i="9" l="1"/>
  <c r="M147" i="9" s="1"/>
  <c r="N147" i="9" s="1"/>
  <c r="J146" i="9"/>
  <c r="M146" i="9" l="1"/>
  <c r="N146" i="9" s="1"/>
  <c r="T93" i="11"/>
  <c r="T95" i="11"/>
  <c r="T94" i="11"/>
  <c r="T92" i="11"/>
  <c r="H162" i="9"/>
  <c r="V162" i="9" l="1"/>
  <c r="Q93" i="11"/>
  <c r="Q92" i="11"/>
  <c r="H153" i="9"/>
  <c r="V153" i="9" l="1"/>
  <c r="P154" i="9"/>
  <c r="Q154" i="9" s="1"/>
  <c r="P155" i="9"/>
  <c r="Q155" i="9" s="1"/>
  <c r="P153" i="9"/>
  <c r="Q153" i="9" s="1"/>
  <c r="P152" i="9"/>
  <c r="Q152" i="9" s="1"/>
  <c r="W155" i="9" l="1"/>
  <c r="X155" i="9" s="1"/>
  <c r="J155" i="9" s="1"/>
  <c r="M155" i="9" s="1"/>
  <c r="N155" i="9" s="1"/>
  <c r="W154" i="9"/>
  <c r="X154" i="9" s="1"/>
  <c r="W153" i="9"/>
  <c r="X153" i="9" s="1"/>
  <c r="W152" i="9"/>
  <c r="X152" i="9" s="1"/>
  <c r="J154" i="9" l="1"/>
  <c r="M154" i="9" s="1"/>
  <c r="N154" i="9" s="1"/>
  <c r="J152" i="9"/>
  <c r="M152" i="9" s="1"/>
  <c r="N152" i="9" s="1"/>
  <c r="J153" i="9"/>
  <c r="M153" i="9" s="1"/>
  <c r="N153" i="9" s="1"/>
  <c r="O94" i="11"/>
  <c r="O96" i="11"/>
  <c r="O95" i="11"/>
  <c r="O97" i="11"/>
  <c r="H168" i="9"/>
  <c r="V168" i="9" l="1"/>
  <c r="Q94" i="11"/>
  <c r="H156" i="9"/>
  <c r="U94" i="11"/>
  <c r="H157" i="9"/>
  <c r="P97" i="11"/>
  <c r="P95" i="11"/>
  <c r="P96" i="11"/>
  <c r="P94" i="11"/>
  <c r="H169" i="9"/>
  <c r="V157" i="9" l="1"/>
  <c r="P156" i="9"/>
  <c r="Q156" i="9" s="1"/>
  <c r="P157" i="9"/>
  <c r="Q157" i="9" s="1"/>
  <c r="P159" i="9"/>
  <c r="Q159" i="9" s="1"/>
  <c r="P158" i="9"/>
  <c r="Q158" i="9" s="1"/>
  <c r="V156" i="9"/>
  <c r="V169" i="9"/>
  <c r="W170" i="9" s="1"/>
  <c r="P168" i="9"/>
  <c r="Q168" i="9" s="1"/>
  <c r="P169" i="9"/>
  <c r="Q169" i="9" s="1"/>
  <c r="P170" i="9"/>
  <c r="P171" i="9"/>
  <c r="W168" i="9" l="1"/>
  <c r="X168" i="9" s="1"/>
  <c r="W169" i="9"/>
  <c r="X169" i="9" s="1"/>
  <c r="W171" i="9"/>
  <c r="W159" i="9"/>
  <c r="X159" i="9" s="1"/>
  <c r="J159" i="9" s="1"/>
  <c r="W156" i="9"/>
  <c r="X156" i="9" s="1"/>
  <c r="W158" i="9"/>
  <c r="X158" i="9" s="1"/>
  <c r="W157" i="9"/>
  <c r="X157" i="9" s="1"/>
  <c r="J156" i="9" l="1"/>
  <c r="M156" i="9" s="1"/>
  <c r="N156" i="9" s="1"/>
  <c r="J157" i="9"/>
  <c r="M157" i="9" s="1"/>
  <c r="N157" i="9" s="1"/>
  <c r="J158" i="9"/>
  <c r="M158" i="9" s="1"/>
  <c r="N158" i="9" s="1"/>
  <c r="M159" i="9"/>
  <c r="N159" i="9" s="1"/>
  <c r="V95" i="11" l="1"/>
  <c r="V97" i="11"/>
  <c r="V99" i="11"/>
  <c r="V96" i="11"/>
  <c r="V98" i="11"/>
  <c r="H179" i="9"/>
  <c r="N99" i="11"/>
  <c r="N96" i="11"/>
  <c r="N98" i="11"/>
  <c r="N95" i="11"/>
  <c r="N97" i="11"/>
  <c r="H178" i="9"/>
  <c r="U95" i="11"/>
  <c r="H161" i="9"/>
  <c r="Q95" i="11"/>
  <c r="H160" i="9"/>
  <c r="P163" i="9" l="1"/>
  <c r="Q163" i="9" s="1"/>
  <c r="P160" i="9"/>
  <c r="Q160" i="9" s="1"/>
  <c r="P161" i="9"/>
  <c r="Q161" i="9" s="1"/>
  <c r="P162" i="9"/>
  <c r="Q162" i="9" s="1"/>
  <c r="V160" i="9"/>
  <c r="V161" i="9"/>
  <c r="V178" i="9"/>
  <c r="V179" i="9"/>
  <c r="W163" i="9" l="1"/>
  <c r="X163" i="9" s="1"/>
  <c r="J163" i="9" s="1"/>
  <c r="M163" i="9" s="1"/>
  <c r="N163" i="9" s="1"/>
  <c r="W162" i="9"/>
  <c r="X162" i="9" s="1"/>
  <c r="W160" i="9"/>
  <c r="X160" i="9" s="1"/>
  <c r="W161" i="9"/>
  <c r="X161" i="9" s="1"/>
  <c r="J162" i="9" l="1"/>
  <c r="M162" i="9" s="1"/>
  <c r="N162" i="9" s="1"/>
  <c r="J160" i="9"/>
  <c r="M160" i="9" s="1"/>
  <c r="N160" i="9" s="1"/>
  <c r="J161" i="9"/>
  <c r="M161" i="9" s="1"/>
  <c r="N161" i="9" s="1"/>
  <c r="K100" i="11"/>
  <c r="K99" i="11"/>
  <c r="K96" i="11"/>
  <c r="K98" i="11"/>
  <c r="K97" i="11"/>
  <c r="H183" i="9"/>
  <c r="V183" i="9" l="1"/>
  <c r="U96" i="11"/>
  <c r="H166" i="9"/>
  <c r="Q96" i="11"/>
  <c r="H167" i="9"/>
  <c r="T100" i="11"/>
  <c r="T97" i="11"/>
  <c r="T96" i="11"/>
  <c r="T98" i="11"/>
  <c r="T99" i="11"/>
  <c r="H182" i="9"/>
  <c r="V182" i="9" l="1"/>
  <c r="V167" i="9"/>
  <c r="X167" i="9" s="1"/>
  <c r="J167" i="9" s="1"/>
  <c r="M167" i="9" s="1"/>
  <c r="N167" i="9" s="1"/>
  <c r="Q167" i="9"/>
  <c r="V166" i="9"/>
  <c r="X166" i="9" s="1"/>
  <c r="Q166" i="9"/>
  <c r="Q98" i="11" l="1"/>
  <c r="Q100" i="11"/>
  <c r="Q102" i="11"/>
  <c r="Q99" i="11"/>
  <c r="Q101" i="11"/>
  <c r="Q97" i="11"/>
  <c r="H189" i="9"/>
  <c r="J166" i="9"/>
  <c r="M166" i="9" s="1"/>
  <c r="N166" i="9" s="1"/>
  <c r="J165" i="9"/>
  <c r="J164" i="9"/>
  <c r="M164" i="9" l="1"/>
  <c r="N164" i="9" s="1"/>
  <c r="M165" i="9"/>
  <c r="N165" i="9" s="1"/>
  <c r="U98" i="11"/>
  <c r="U100" i="11"/>
  <c r="U102" i="11"/>
  <c r="U97" i="11"/>
  <c r="U101" i="11"/>
  <c r="U99" i="11"/>
  <c r="H188" i="9"/>
  <c r="V189" i="9"/>
  <c r="P190" i="9" l="1"/>
  <c r="P189" i="9"/>
  <c r="Q189" i="9" s="1"/>
  <c r="P191" i="9"/>
  <c r="P188" i="9"/>
  <c r="Q188" i="9" s="1"/>
  <c r="V188" i="9"/>
  <c r="W97" i="11"/>
  <c r="H170" i="9"/>
  <c r="L97" i="11"/>
  <c r="H171" i="9"/>
  <c r="V171" i="9" l="1"/>
  <c r="X171" i="9" s="1"/>
  <c r="J171" i="9" s="1"/>
  <c r="Q171" i="9"/>
  <c r="V170" i="9"/>
  <c r="X170" i="9" s="1"/>
  <c r="Q170" i="9"/>
  <c r="W189" i="9"/>
  <c r="X189" i="9" s="1"/>
  <c r="W191" i="9"/>
  <c r="W188" i="9"/>
  <c r="X188" i="9" s="1"/>
  <c r="W190" i="9"/>
  <c r="J168" i="9" l="1"/>
  <c r="M168" i="9" s="1"/>
  <c r="N168" i="9" s="1"/>
  <c r="J170" i="9"/>
  <c r="J169" i="9"/>
  <c r="M169" i="9" s="1"/>
  <c r="N169" i="9" s="1"/>
  <c r="M171" i="9"/>
  <c r="N171" i="9" s="1"/>
  <c r="L99" i="11" l="1"/>
  <c r="L101" i="11"/>
  <c r="L100" i="11"/>
  <c r="L98" i="11"/>
  <c r="H184" i="9"/>
  <c r="P98" i="11"/>
  <c r="H175" i="9"/>
  <c r="M170" i="9"/>
  <c r="N170" i="9" s="1"/>
  <c r="O98" i="11"/>
  <c r="H174" i="9"/>
  <c r="V174" i="9" l="1"/>
  <c r="X174" i="9" s="1"/>
  <c r="Q174" i="9"/>
  <c r="W100" i="11"/>
  <c r="W99" i="11"/>
  <c r="W101" i="11"/>
  <c r="W98" i="11"/>
  <c r="H185" i="9"/>
  <c r="P185" i="9" s="1"/>
  <c r="Q185" i="9" s="1"/>
  <c r="V175" i="9"/>
  <c r="X175" i="9" s="1"/>
  <c r="J175" i="9" s="1"/>
  <c r="M175" i="9" s="1"/>
  <c r="N175" i="9" s="1"/>
  <c r="Q175" i="9"/>
  <c r="V184" i="9"/>
  <c r="P101" i="11" l="1"/>
  <c r="P103" i="11"/>
  <c r="P100" i="11"/>
  <c r="P99" i="11"/>
  <c r="P102" i="11"/>
  <c r="H193" i="9"/>
  <c r="P186" i="9"/>
  <c r="P184" i="9"/>
  <c r="Q184" i="9" s="1"/>
  <c r="P187" i="9"/>
  <c r="V185" i="9"/>
  <c r="J174" i="9"/>
  <c r="M174" i="9" s="1"/>
  <c r="N174" i="9" s="1"/>
  <c r="J172" i="9"/>
  <c r="M172" i="9" s="1"/>
  <c r="N172" i="9" s="1"/>
  <c r="J173" i="9"/>
  <c r="M173" i="9" s="1"/>
  <c r="N173" i="9" s="1"/>
  <c r="W184" i="9"/>
  <c r="X184" i="9" s="1"/>
  <c r="W186" i="9"/>
  <c r="W187" i="9"/>
  <c r="W185" i="9"/>
  <c r="X185" i="9" s="1"/>
  <c r="R99" i="11" l="1"/>
  <c r="H177" i="9"/>
  <c r="S99" i="11"/>
  <c r="H176" i="9"/>
  <c r="O100" i="11"/>
  <c r="O99" i="11"/>
  <c r="O103" i="11"/>
  <c r="O101" i="11"/>
  <c r="O102" i="11"/>
  <c r="H192" i="9"/>
  <c r="V193" i="9"/>
  <c r="P195" i="9" l="1"/>
  <c r="P192" i="9"/>
  <c r="Q192" i="9" s="1"/>
  <c r="P194" i="9"/>
  <c r="P193" i="9"/>
  <c r="Q193" i="9" s="1"/>
  <c r="V192" i="9"/>
  <c r="P176" i="9"/>
  <c r="Q176" i="9" s="1"/>
  <c r="P178" i="9"/>
  <c r="Q178" i="9" s="1"/>
  <c r="P177" i="9"/>
  <c r="Q177" i="9" s="1"/>
  <c r="P179" i="9"/>
  <c r="Q179" i="9" s="1"/>
  <c r="V176" i="9"/>
  <c r="V177" i="9"/>
  <c r="W177" i="9" l="1"/>
  <c r="X177" i="9" s="1"/>
  <c r="W179" i="9"/>
  <c r="X179" i="9" s="1"/>
  <c r="J179" i="9" s="1"/>
  <c r="W176" i="9"/>
  <c r="X176" i="9" s="1"/>
  <c r="W178" i="9"/>
  <c r="X178" i="9" s="1"/>
  <c r="W194" i="9"/>
  <c r="W193" i="9"/>
  <c r="X193" i="9" s="1"/>
  <c r="W195" i="9"/>
  <c r="W192" i="9"/>
  <c r="X192" i="9" s="1"/>
  <c r="J177" i="9" l="1"/>
  <c r="M177" i="9" s="1"/>
  <c r="N177" i="9" s="1"/>
  <c r="J178" i="9"/>
  <c r="M178" i="9" s="1"/>
  <c r="N178" i="9" s="1"/>
  <c r="J176" i="9"/>
  <c r="M176" i="9" s="1"/>
  <c r="N176" i="9" s="1"/>
  <c r="M179" i="9"/>
  <c r="N179" i="9" s="1"/>
  <c r="V104" i="11" l="1"/>
  <c r="V103" i="11"/>
  <c r="V105" i="11"/>
  <c r="V100" i="11"/>
  <c r="V101" i="11"/>
  <c r="V102" i="11"/>
  <c r="H203" i="9"/>
  <c r="S100" i="11"/>
  <c r="H180" i="9"/>
  <c r="N101" i="11"/>
  <c r="N103" i="11"/>
  <c r="N105" i="11"/>
  <c r="N102" i="11"/>
  <c r="N100" i="11"/>
  <c r="N104" i="11"/>
  <c r="H202" i="9"/>
  <c r="R100" i="11"/>
  <c r="H181" i="9"/>
  <c r="V202" i="9" l="1"/>
  <c r="P183" i="9"/>
  <c r="Q183" i="9" s="1"/>
  <c r="P180" i="9"/>
  <c r="Q180" i="9" s="1"/>
  <c r="P182" i="9"/>
  <c r="Q182" i="9" s="1"/>
  <c r="P181" i="9"/>
  <c r="Q181" i="9" s="1"/>
  <c r="V180" i="9"/>
  <c r="V203" i="9"/>
  <c r="V181" i="9"/>
  <c r="W182" i="9" l="1"/>
  <c r="X182" i="9" s="1"/>
  <c r="W181" i="9"/>
  <c r="X181" i="9" s="1"/>
  <c r="W183" i="9"/>
  <c r="X183" i="9" s="1"/>
  <c r="J183" i="9" s="1"/>
  <c r="M183" i="9" s="1"/>
  <c r="N183" i="9" s="1"/>
  <c r="W180" i="9"/>
  <c r="X180" i="9" s="1"/>
  <c r="K104" i="11" l="1"/>
  <c r="K106" i="11"/>
  <c r="K101" i="11"/>
  <c r="K103" i="11"/>
  <c r="K102" i="11"/>
  <c r="K105" i="11"/>
  <c r="H204" i="9"/>
  <c r="J182" i="9"/>
  <c r="M182" i="9" s="1"/>
  <c r="N182" i="9" s="1"/>
  <c r="J180" i="9"/>
  <c r="M180" i="9" s="1"/>
  <c r="N180" i="9" s="1"/>
  <c r="J181" i="9"/>
  <c r="M181" i="9" s="1"/>
  <c r="N181" i="9" s="1"/>
  <c r="S101" i="11" l="1"/>
  <c r="H186" i="9"/>
  <c r="R101" i="11"/>
  <c r="H187" i="9"/>
  <c r="T105" i="11"/>
  <c r="T107" i="11"/>
  <c r="T116" i="11"/>
  <c r="T109" i="11"/>
  <c r="T102" i="11"/>
  <c r="T111" i="11"/>
  <c r="T104" i="11"/>
  <c r="T113" i="11"/>
  <c r="T108" i="11"/>
  <c r="T117" i="11"/>
  <c r="T101" i="11"/>
  <c r="T103" i="11"/>
  <c r="T112" i="11"/>
  <c r="T106" i="11"/>
  <c r="T115" i="11"/>
  <c r="T110" i="11"/>
  <c r="T114" i="11"/>
  <c r="H236" i="9"/>
  <c r="V204" i="9"/>
  <c r="V236" i="9" l="1"/>
  <c r="V187" i="9"/>
  <c r="X187" i="9" s="1"/>
  <c r="J187" i="9" s="1"/>
  <c r="M187" i="9" s="1"/>
  <c r="N187" i="9" s="1"/>
  <c r="Q187" i="9"/>
  <c r="V186" i="9"/>
  <c r="X186" i="9" s="1"/>
  <c r="Q186" i="9"/>
  <c r="R103" i="11" l="1"/>
  <c r="R102" i="11"/>
  <c r="R104" i="11"/>
  <c r="H197" i="9"/>
  <c r="J184" i="9"/>
  <c r="J186" i="9"/>
  <c r="M186" i="9" s="1"/>
  <c r="N186" i="9" s="1"/>
  <c r="J185" i="9"/>
  <c r="M185" i="9" l="1"/>
  <c r="N185" i="9" s="1"/>
  <c r="S102" i="11"/>
  <c r="S104" i="11"/>
  <c r="S103" i="11"/>
  <c r="H196" i="9"/>
  <c r="M184" i="9"/>
  <c r="N184" i="9" s="1"/>
  <c r="V197" i="9"/>
  <c r="P198" i="9" l="1"/>
  <c r="P197" i="9"/>
  <c r="Q197" i="9" s="1"/>
  <c r="P196" i="9"/>
  <c r="Q196" i="9" s="1"/>
  <c r="P199" i="9"/>
  <c r="V196" i="9"/>
  <c r="L102" i="11"/>
  <c r="H190" i="9"/>
  <c r="W102" i="11"/>
  <c r="H191" i="9"/>
  <c r="V191" i="9" l="1"/>
  <c r="X191" i="9" s="1"/>
  <c r="J191" i="9" s="1"/>
  <c r="Q191" i="9"/>
  <c r="V190" i="9"/>
  <c r="X190" i="9" s="1"/>
  <c r="Q190" i="9"/>
  <c r="W197" i="9"/>
  <c r="X197" i="9" s="1"/>
  <c r="W199" i="9"/>
  <c r="W196" i="9"/>
  <c r="X196" i="9" s="1"/>
  <c r="W198" i="9"/>
  <c r="J189" i="9" l="1"/>
  <c r="M189" i="9" s="1"/>
  <c r="N189" i="9" s="1"/>
  <c r="J190" i="9"/>
  <c r="M190" i="9" s="1"/>
  <c r="N190" i="9" s="1"/>
  <c r="J188" i="9"/>
  <c r="M188" i="9" s="1"/>
  <c r="N188" i="9" s="1"/>
  <c r="M191" i="9"/>
  <c r="N191" i="9" s="1"/>
  <c r="H13" i="3"/>
  <c r="W141" i="11" l="1"/>
  <c r="W142" i="11"/>
  <c r="W139" i="11"/>
  <c r="W140" i="11"/>
  <c r="W132" i="11"/>
  <c r="W116" i="11"/>
  <c r="W134" i="11"/>
  <c r="W118" i="11"/>
  <c r="B14" i="12"/>
  <c r="W127" i="11"/>
  <c r="W136" i="11"/>
  <c r="W120" i="11"/>
  <c r="W104" i="11"/>
  <c r="W129" i="11"/>
  <c r="W113" i="11"/>
  <c r="W138" i="11"/>
  <c r="W122" i="11"/>
  <c r="W106" i="11"/>
  <c r="W131" i="11"/>
  <c r="W115" i="11"/>
  <c r="W124" i="11"/>
  <c r="W108" i="11"/>
  <c r="W133" i="11"/>
  <c r="W135" i="11"/>
  <c r="W119" i="11"/>
  <c r="W103" i="11"/>
  <c r="W128" i="11"/>
  <c r="W112" i="11"/>
  <c r="W137" i="11"/>
  <c r="W130" i="11"/>
  <c r="W114" i="11"/>
  <c r="W123" i="11"/>
  <c r="W109" i="11"/>
  <c r="W125" i="11"/>
  <c r="W117" i="11"/>
  <c r="W121" i="11"/>
  <c r="W110" i="11"/>
  <c r="W107" i="11"/>
  <c r="W126" i="11"/>
  <c r="W111" i="11"/>
  <c r="W105" i="11"/>
  <c r="J19" i="11"/>
  <c r="U103" i="11"/>
  <c r="H195" i="9"/>
  <c r="L103" i="11"/>
  <c r="L105" i="11"/>
  <c r="L106" i="11"/>
  <c r="L104" i="11"/>
  <c r="H205" i="9"/>
  <c r="Q103" i="11"/>
  <c r="H194" i="9"/>
  <c r="V195" i="9" l="1"/>
  <c r="X195" i="9" s="1"/>
  <c r="J195" i="9" s="1"/>
  <c r="M195" i="9" s="1"/>
  <c r="N195" i="9" s="1"/>
  <c r="Q195" i="9"/>
  <c r="V194" i="9"/>
  <c r="X194" i="9" s="1"/>
  <c r="Q194" i="9"/>
  <c r="P2" i="12"/>
  <c r="B19" i="11"/>
  <c r="C13" i="3"/>
  <c r="F83" i="6"/>
  <c r="V205" i="9"/>
  <c r="P207" i="9"/>
  <c r="P204" i="9"/>
  <c r="Q204" i="9" s="1"/>
  <c r="P206" i="9"/>
  <c r="P205" i="9"/>
  <c r="Q205" i="9" s="1"/>
  <c r="U104" i="11" l="1"/>
  <c r="U106" i="11"/>
  <c r="U107" i="11"/>
  <c r="U105" i="11"/>
  <c r="H211" i="9"/>
  <c r="S19" i="11"/>
  <c r="U13" i="3" s="1"/>
  <c r="W206" i="9"/>
  <c r="W205" i="9"/>
  <c r="X205" i="9" s="1"/>
  <c r="W207" i="9"/>
  <c r="W204" i="9"/>
  <c r="X204" i="9" s="1"/>
  <c r="J194" i="9"/>
  <c r="M194" i="9" s="1"/>
  <c r="N194" i="9" s="1"/>
  <c r="J193" i="9"/>
  <c r="M193" i="9" s="1"/>
  <c r="N193" i="9" s="1"/>
  <c r="J192" i="9"/>
  <c r="M192" i="9" s="1"/>
  <c r="N192" i="9" s="1"/>
  <c r="O104" i="11" l="1"/>
  <c r="H198" i="9"/>
  <c r="Q107" i="11"/>
  <c r="Q106" i="11"/>
  <c r="Q105" i="11"/>
  <c r="Q104" i="11"/>
  <c r="H210" i="9"/>
  <c r="P104" i="11"/>
  <c r="H199" i="9"/>
  <c r="W19" i="11"/>
  <c r="V13" i="3"/>
  <c r="V211" i="9"/>
  <c r="V199" i="9" l="1"/>
  <c r="X199" i="9" s="1"/>
  <c r="J199" i="9" s="1"/>
  <c r="M199" i="9" s="1"/>
  <c r="N199" i="9" s="1"/>
  <c r="Q199" i="9"/>
  <c r="V210" i="9"/>
  <c r="V198" i="9"/>
  <c r="X198" i="9" s="1"/>
  <c r="Q198" i="9"/>
  <c r="P105" i="11" l="1"/>
  <c r="P107" i="11"/>
  <c r="P109" i="11"/>
  <c r="P108" i="11"/>
  <c r="P106" i="11"/>
  <c r="H218" i="9"/>
  <c r="J197" i="9"/>
  <c r="M197" i="9" s="1"/>
  <c r="N197" i="9" s="1"/>
  <c r="J196" i="9"/>
  <c r="M196" i="9" s="1"/>
  <c r="N196" i="9" s="1"/>
  <c r="J198" i="9"/>
  <c r="M198" i="9" s="1"/>
  <c r="N198" i="9" s="1"/>
  <c r="R105" i="11" l="1"/>
  <c r="H201" i="9"/>
  <c r="O108" i="11"/>
  <c r="O105" i="11"/>
  <c r="O107" i="11"/>
  <c r="O106" i="11"/>
  <c r="O109" i="11"/>
  <c r="H219" i="9"/>
  <c r="S105" i="11"/>
  <c r="H200" i="9"/>
  <c r="V218" i="9"/>
  <c r="P201" i="9" l="1"/>
  <c r="Q201" i="9" s="1"/>
  <c r="P203" i="9"/>
  <c r="Q203" i="9" s="1"/>
  <c r="P200" i="9"/>
  <c r="Q200" i="9" s="1"/>
  <c r="P202" i="9"/>
  <c r="Q202" i="9" s="1"/>
  <c r="V200" i="9"/>
  <c r="V219" i="9"/>
  <c r="V201" i="9"/>
  <c r="W203" i="9" l="1"/>
  <c r="X203" i="9" s="1"/>
  <c r="J203" i="9" s="1"/>
  <c r="W200" i="9"/>
  <c r="X200" i="9" s="1"/>
  <c r="W202" i="9"/>
  <c r="X202" i="9" s="1"/>
  <c r="W201" i="9"/>
  <c r="X201" i="9" s="1"/>
  <c r="J201" i="9" l="1"/>
  <c r="M201" i="9" s="1"/>
  <c r="N201" i="9" s="1"/>
  <c r="J200" i="9"/>
  <c r="M200" i="9" s="1"/>
  <c r="N200" i="9" s="1"/>
  <c r="J202" i="9"/>
  <c r="M202" i="9" s="1"/>
  <c r="N202" i="9" s="1"/>
  <c r="M203" i="9"/>
  <c r="N203" i="9" s="1"/>
  <c r="V107" i="11" l="1"/>
  <c r="V106" i="11"/>
  <c r="V108" i="11"/>
  <c r="H212" i="9"/>
  <c r="N107" i="11"/>
  <c r="N108" i="11"/>
  <c r="N106" i="11"/>
  <c r="H213" i="9"/>
  <c r="S106" i="11"/>
  <c r="H206" i="9"/>
  <c r="R106" i="11"/>
  <c r="H207" i="9"/>
  <c r="V207" i="9" l="1"/>
  <c r="X207" i="9" s="1"/>
  <c r="J207" i="9" s="1"/>
  <c r="M207" i="9" s="1"/>
  <c r="N207" i="9" s="1"/>
  <c r="Q207" i="9"/>
  <c r="V206" i="9"/>
  <c r="X206" i="9" s="1"/>
  <c r="Q206" i="9"/>
  <c r="V213" i="9"/>
  <c r="P213" i="9"/>
  <c r="Q213" i="9" s="1"/>
  <c r="P215" i="9"/>
  <c r="P212" i="9"/>
  <c r="Q212" i="9" s="1"/>
  <c r="P214" i="9"/>
  <c r="V212" i="9"/>
  <c r="R107" i="11" l="1"/>
  <c r="R109" i="11"/>
  <c r="R111" i="11"/>
  <c r="R112" i="11"/>
  <c r="R110" i="11"/>
  <c r="R108" i="11"/>
  <c r="H224" i="9"/>
  <c r="W214" i="9"/>
  <c r="W213" i="9"/>
  <c r="X213" i="9" s="1"/>
  <c r="W215" i="9"/>
  <c r="W212" i="9"/>
  <c r="X212" i="9" s="1"/>
  <c r="J205" i="9"/>
  <c r="M205" i="9" s="1"/>
  <c r="N205" i="9" s="1"/>
  <c r="J206" i="9"/>
  <c r="M206" i="9" s="1"/>
  <c r="N206" i="9" s="1"/>
  <c r="J204" i="9"/>
  <c r="M204" i="9" s="1"/>
  <c r="N204" i="9" s="1"/>
  <c r="K107" i="11" l="1"/>
  <c r="H208" i="9"/>
  <c r="S109" i="11"/>
  <c r="S108" i="11"/>
  <c r="S110" i="11"/>
  <c r="S107" i="11"/>
  <c r="H221" i="9"/>
  <c r="L107" i="11"/>
  <c r="H209" i="9"/>
  <c r="P225" i="9"/>
  <c r="P224" i="9"/>
  <c r="Q224" i="9" s="1"/>
  <c r="P226" i="9"/>
  <c r="V224" i="9"/>
  <c r="V209" i="9" l="1"/>
  <c r="V221" i="9"/>
  <c r="W224" i="9"/>
  <c r="X224" i="9" s="1"/>
  <c r="W225" i="9"/>
  <c r="W226" i="9"/>
  <c r="P210" i="9"/>
  <c r="Q210" i="9" s="1"/>
  <c r="P209" i="9"/>
  <c r="Q209" i="9" s="1"/>
  <c r="P211" i="9"/>
  <c r="Q211" i="9" s="1"/>
  <c r="P208" i="9"/>
  <c r="Q208" i="9" s="1"/>
  <c r="V208" i="9"/>
  <c r="W211" i="9" l="1"/>
  <c r="X211" i="9" s="1"/>
  <c r="J211" i="9" s="1"/>
  <c r="M211" i="9" s="1"/>
  <c r="N211" i="9" s="1"/>
  <c r="W208" i="9"/>
  <c r="X208" i="9" s="1"/>
  <c r="W210" i="9"/>
  <c r="X210" i="9" s="1"/>
  <c r="W209" i="9"/>
  <c r="X209" i="9" s="1"/>
  <c r="J208" i="9" l="1"/>
  <c r="M208" i="9" s="1"/>
  <c r="N208" i="9" s="1"/>
  <c r="J210" i="9"/>
  <c r="M210" i="9" s="1"/>
  <c r="N210" i="9" s="1"/>
  <c r="J209" i="9"/>
  <c r="M209" i="9" s="1"/>
  <c r="N209" i="9" s="1"/>
  <c r="U111" i="11"/>
  <c r="U110" i="11"/>
  <c r="U112" i="11"/>
  <c r="U109" i="11"/>
  <c r="U108" i="11"/>
  <c r="H225" i="9"/>
  <c r="V225" i="9" l="1"/>
  <c r="X225" i="9" s="1"/>
  <c r="Q225" i="9"/>
  <c r="L108" i="11"/>
  <c r="H215" i="9"/>
  <c r="Q110" i="11"/>
  <c r="Q109" i="11"/>
  <c r="Q108" i="11"/>
  <c r="H220" i="9"/>
  <c r="K108" i="11"/>
  <c r="H214" i="9"/>
  <c r="P221" i="9" l="1"/>
  <c r="Q221" i="9" s="1"/>
  <c r="P220" i="9"/>
  <c r="Q220" i="9" s="1"/>
  <c r="V220" i="9"/>
  <c r="V214" i="9"/>
  <c r="X214" i="9" s="1"/>
  <c r="Q214" i="9"/>
  <c r="V215" i="9"/>
  <c r="X215" i="9" s="1"/>
  <c r="J215" i="9" s="1"/>
  <c r="M215" i="9" s="1"/>
  <c r="N215" i="9" s="1"/>
  <c r="Q215" i="9"/>
  <c r="J225" i="9"/>
  <c r="M225" i="9" s="1"/>
  <c r="N225" i="9" s="1"/>
  <c r="L113" i="11" l="1"/>
  <c r="L115" i="11"/>
  <c r="L110" i="11"/>
  <c r="L112" i="11"/>
  <c r="L116" i="11"/>
  <c r="L109" i="11"/>
  <c r="L111" i="11"/>
  <c r="L114" i="11"/>
  <c r="H233" i="9"/>
  <c r="U113" i="11"/>
  <c r="H227" i="9"/>
  <c r="W220" i="9"/>
  <c r="X220" i="9" s="1"/>
  <c r="W221" i="9"/>
  <c r="X221" i="9" s="1"/>
  <c r="J214" i="9"/>
  <c r="M214" i="9" s="1"/>
  <c r="N214" i="9" s="1"/>
  <c r="J212" i="9"/>
  <c r="J213" i="9"/>
  <c r="M213" i="9" s="1"/>
  <c r="N213" i="9" s="1"/>
  <c r="N109" i="11" l="1"/>
  <c r="H217" i="9"/>
  <c r="J220" i="9"/>
  <c r="M220" i="9" s="1"/>
  <c r="N220" i="9" s="1"/>
  <c r="J221" i="9"/>
  <c r="M221" i="9" s="1"/>
  <c r="N221" i="9" s="1"/>
  <c r="P228" i="9"/>
  <c r="P227" i="9"/>
  <c r="Q227" i="9" s="1"/>
  <c r="V227" i="9"/>
  <c r="V233" i="9"/>
  <c r="M212" i="9"/>
  <c r="N212" i="9" s="1"/>
  <c r="K120" i="11"/>
  <c r="K122" i="11"/>
  <c r="K124" i="11"/>
  <c r="K117" i="11"/>
  <c r="K126" i="11"/>
  <c r="K110" i="11"/>
  <c r="K119" i="11"/>
  <c r="K112" i="11"/>
  <c r="K123" i="11"/>
  <c r="K116" i="11"/>
  <c r="K118" i="11"/>
  <c r="K127" i="11"/>
  <c r="K114" i="11"/>
  <c r="K111" i="11"/>
  <c r="K125" i="11"/>
  <c r="K121" i="11"/>
  <c r="K109" i="11"/>
  <c r="K115" i="11"/>
  <c r="K113" i="11"/>
  <c r="H256" i="9"/>
  <c r="V109" i="11" l="1"/>
  <c r="H216" i="9"/>
  <c r="V256" i="9"/>
  <c r="W228" i="9"/>
  <c r="W227" i="9"/>
  <c r="X227" i="9" s="1"/>
  <c r="S111" i="11"/>
  <c r="H223" i="9"/>
  <c r="Q111" i="11"/>
  <c r="H222" i="9"/>
  <c r="V217" i="9"/>
  <c r="P223" i="9" l="1"/>
  <c r="Q223" i="9" s="1"/>
  <c r="P222" i="9"/>
  <c r="Q222" i="9" s="1"/>
  <c r="V222" i="9"/>
  <c r="V223" i="9"/>
  <c r="P219" i="9"/>
  <c r="Q219" i="9" s="1"/>
  <c r="P218" i="9"/>
  <c r="Q218" i="9" s="1"/>
  <c r="P217" i="9"/>
  <c r="Q217" i="9" s="1"/>
  <c r="P216" i="9"/>
  <c r="Q216" i="9" s="1"/>
  <c r="V216" i="9"/>
  <c r="W218" i="9" l="1"/>
  <c r="X218" i="9" s="1"/>
  <c r="W217" i="9"/>
  <c r="X217" i="9" s="1"/>
  <c r="W216" i="9"/>
  <c r="X216" i="9" s="1"/>
  <c r="W219" i="9"/>
  <c r="X219" i="9" s="1"/>
  <c r="J219" i="9" s="1"/>
  <c r="M219" i="9" s="1"/>
  <c r="N219" i="9" s="1"/>
  <c r="W222" i="9"/>
  <c r="X222" i="9" s="1"/>
  <c r="W223" i="9"/>
  <c r="X223" i="9" s="1"/>
  <c r="J222" i="9" l="1"/>
  <c r="M222" i="9" s="1"/>
  <c r="N222" i="9" s="1"/>
  <c r="J223" i="9"/>
  <c r="M223" i="9" s="1"/>
  <c r="N223" i="9" s="1"/>
  <c r="O110" i="11"/>
  <c r="O119" i="11"/>
  <c r="O112" i="11"/>
  <c r="O121" i="11"/>
  <c r="O114" i="11"/>
  <c r="O116" i="11"/>
  <c r="O111" i="11"/>
  <c r="O120" i="11"/>
  <c r="O122" i="11"/>
  <c r="O115" i="11"/>
  <c r="O117" i="11"/>
  <c r="O113" i="11"/>
  <c r="O118" i="11"/>
  <c r="H247" i="9"/>
  <c r="J217" i="9"/>
  <c r="M217" i="9" s="1"/>
  <c r="N217" i="9" s="1"/>
  <c r="J216" i="9"/>
  <c r="J218" i="9"/>
  <c r="M218" i="9" s="1"/>
  <c r="N218" i="9" s="1"/>
  <c r="N141" i="11" l="1"/>
  <c r="N142" i="11"/>
  <c r="N139" i="11"/>
  <c r="N140" i="11"/>
  <c r="V247" i="9"/>
  <c r="P112" i="11"/>
  <c r="P110" i="11"/>
  <c r="P111" i="11"/>
  <c r="H226" i="9"/>
  <c r="M216" i="9"/>
  <c r="N216" i="9" s="1"/>
  <c r="H12" i="3"/>
  <c r="N131" i="11"/>
  <c r="N115" i="11"/>
  <c r="N133" i="11"/>
  <c r="N117" i="11"/>
  <c r="N126" i="11"/>
  <c r="N135" i="11"/>
  <c r="N119" i="11"/>
  <c r="B5" i="12"/>
  <c r="N128" i="11"/>
  <c r="N112" i="11"/>
  <c r="N137" i="11"/>
  <c r="N121" i="11"/>
  <c r="N130" i="11"/>
  <c r="N114" i="11"/>
  <c r="N123" i="11"/>
  <c r="N132" i="11"/>
  <c r="N134" i="11"/>
  <c r="N118" i="11"/>
  <c r="N127" i="11"/>
  <c r="N111" i="11"/>
  <c r="N136" i="11"/>
  <c r="N129" i="11"/>
  <c r="N113" i="11"/>
  <c r="N138" i="11"/>
  <c r="N122" i="11"/>
  <c r="N125" i="11"/>
  <c r="N110" i="11"/>
  <c r="N116" i="11"/>
  <c r="N124" i="11"/>
  <c r="N120" i="11"/>
  <c r="J10" i="11"/>
  <c r="S112" i="11"/>
  <c r="S114" i="11"/>
  <c r="S116" i="11"/>
  <c r="S118" i="11"/>
  <c r="S115" i="11"/>
  <c r="S119" i="11"/>
  <c r="S117" i="11"/>
  <c r="S113" i="11"/>
  <c r="H240" i="9"/>
  <c r="Q112" i="11"/>
  <c r="Q113" i="11"/>
  <c r="H228" i="9"/>
  <c r="V141" i="11" l="1"/>
  <c r="V142" i="11"/>
  <c r="V139" i="11"/>
  <c r="V140" i="11"/>
  <c r="V228" i="9"/>
  <c r="X228" i="9" s="1"/>
  <c r="Q228" i="9"/>
  <c r="P241" i="9"/>
  <c r="P240" i="9"/>
  <c r="Q240" i="9" s="1"/>
  <c r="V240" i="9"/>
  <c r="G2" i="12"/>
  <c r="B10" i="11"/>
  <c r="F86" i="6"/>
  <c r="S86" i="6" s="1"/>
  <c r="C16" i="3"/>
  <c r="V123" i="11"/>
  <c r="V132" i="11"/>
  <c r="V125" i="11"/>
  <c r="V134" i="11"/>
  <c r="V118" i="11"/>
  <c r="V127" i="11"/>
  <c r="V111" i="11"/>
  <c r="B13" i="12"/>
  <c r="V136" i="11"/>
  <c r="V120" i="11"/>
  <c r="V129" i="11"/>
  <c r="V113" i="11"/>
  <c r="V138" i="11"/>
  <c r="V122" i="11"/>
  <c r="V131" i="11"/>
  <c r="V115" i="11"/>
  <c r="V133" i="11"/>
  <c r="V126" i="11"/>
  <c r="V110" i="11"/>
  <c r="V135" i="11"/>
  <c r="V119" i="11"/>
  <c r="V137" i="11"/>
  <c r="V121" i="11"/>
  <c r="V130" i="11"/>
  <c r="V112" i="11"/>
  <c r="V117" i="11"/>
  <c r="V128" i="11"/>
  <c r="V124" i="11"/>
  <c r="V116" i="11"/>
  <c r="V114" i="11"/>
  <c r="J18" i="11"/>
  <c r="V226" i="9"/>
  <c r="X226" i="9" s="1"/>
  <c r="Q226" i="9"/>
  <c r="J226" i="9" l="1"/>
  <c r="M226" i="9" s="1"/>
  <c r="N226" i="9" s="1"/>
  <c r="J224" i="9"/>
  <c r="M224" i="9" s="1"/>
  <c r="N224" i="9" s="1"/>
  <c r="S10" i="11"/>
  <c r="W241" i="9"/>
  <c r="W240" i="9"/>
  <c r="X240" i="9" s="1"/>
  <c r="J227" i="9"/>
  <c r="M227" i="9" s="1"/>
  <c r="N227" i="9" s="1"/>
  <c r="J228" i="9"/>
  <c r="M228" i="9" s="1"/>
  <c r="N228" i="9" s="1"/>
  <c r="O2" i="12"/>
  <c r="B18" i="11"/>
  <c r="C12" i="3"/>
  <c r="F82" i="6"/>
  <c r="S18" i="11" l="1"/>
  <c r="Q114" i="11"/>
  <c r="H230" i="9"/>
  <c r="W10" i="11"/>
  <c r="V16" i="3"/>
  <c r="P117" i="11"/>
  <c r="P114" i="11"/>
  <c r="P116" i="11"/>
  <c r="P113" i="11"/>
  <c r="P115" i="11"/>
  <c r="P118" i="11"/>
  <c r="H238" i="9"/>
  <c r="R116" i="11"/>
  <c r="R115" i="11"/>
  <c r="R117" i="11"/>
  <c r="R113" i="11"/>
  <c r="R114" i="11"/>
  <c r="H235" i="9"/>
  <c r="U114" i="11"/>
  <c r="H229" i="9"/>
  <c r="U16" i="3"/>
  <c r="V238" i="9" l="1"/>
  <c r="P229" i="9"/>
  <c r="Q229" i="9" s="1"/>
  <c r="P230" i="9"/>
  <c r="Q230" i="9" s="1"/>
  <c r="V229" i="9"/>
  <c r="V230" i="9"/>
  <c r="W18" i="11"/>
  <c r="V12" i="3"/>
  <c r="P236" i="9"/>
  <c r="Q236" i="9" s="1"/>
  <c r="P235" i="9"/>
  <c r="Q235" i="9" s="1"/>
  <c r="V235" i="9"/>
  <c r="U12" i="3"/>
  <c r="W236" i="9" l="1"/>
  <c r="X236" i="9" s="1"/>
  <c r="W235" i="9"/>
  <c r="X235" i="9" s="1"/>
  <c r="W230" i="9"/>
  <c r="X230" i="9" s="1"/>
  <c r="W229" i="9"/>
  <c r="X229" i="9" s="1"/>
  <c r="J229" i="9" l="1"/>
  <c r="M229" i="9" s="1"/>
  <c r="N229" i="9" s="1"/>
  <c r="J230" i="9"/>
  <c r="M230" i="9" s="1"/>
  <c r="N230" i="9" s="1"/>
  <c r="J235" i="9"/>
  <c r="M235" i="9" s="1"/>
  <c r="N235" i="9" s="1"/>
  <c r="J236" i="9"/>
  <c r="M236" i="9" s="1"/>
  <c r="N236" i="9" s="1"/>
  <c r="T141" i="11" l="1"/>
  <c r="T142" i="11"/>
  <c r="T139" i="11"/>
  <c r="T140" i="11"/>
  <c r="R118" i="11"/>
  <c r="H237" i="9"/>
  <c r="T137" i="11"/>
  <c r="T121" i="11"/>
  <c r="T130" i="11"/>
  <c r="T123" i="11"/>
  <c r="T132" i="11"/>
  <c r="T125" i="11"/>
  <c r="T134" i="11"/>
  <c r="T118" i="11"/>
  <c r="T127" i="11"/>
  <c r="T136" i="11"/>
  <c r="T120" i="11"/>
  <c r="T129" i="11"/>
  <c r="B11" i="12"/>
  <c r="T138" i="11"/>
  <c r="T131" i="11"/>
  <c r="T124" i="11"/>
  <c r="T133" i="11"/>
  <c r="T135" i="11"/>
  <c r="T119" i="11"/>
  <c r="T128" i="11"/>
  <c r="T126" i="11"/>
  <c r="T122" i="11"/>
  <c r="J16" i="11"/>
  <c r="Q115" i="11"/>
  <c r="H232" i="9"/>
  <c r="U115" i="11"/>
  <c r="H231" i="9"/>
  <c r="V232" i="9" l="1"/>
  <c r="M2" i="12"/>
  <c r="B16" i="11"/>
  <c r="C18" i="3"/>
  <c r="F87" i="6"/>
  <c r="S87" i="6" s="1"/>
  <c r="P231" i="9"/>
  <c r="Q231" i="9" s="1"/>
  <c r="P232" i="9"/>
  <c r="Q232" i="9" s="1"/>
  <c r="V231" i="9"/>
  <c r="P239" i="9"/>
  <c r="P238" i="9"/>
  <c r="Q238" i="9" s="1"/>
  <c r="P237" i="9"/>
  <c r="Q237" i="9" s="1"/>
  <c r="V237" i="9"/>
  <c r="W237" i="9" l="1"/>
  <c r="X237" i="9" s="1"/>
  <c r="W239" i="9"/>
  <c r="W238" i="9"/>
  <c r="X238" i="9" s="1"/>
  <c r="W232" i="9"/>
  <c r="X232" i="9" s="1"/>
  <c r="W231" i="9"/>
  <c r="X231" i="9" s="1"/>
  <c r="S16" i="11"/>
  <c r="W16" i="11" l="1"/>
  <c r="V18" i="3"/>
  <c r="J232" i="9"/>
  <c r="M232" i="9" s="1"/>
  <c r="N232" i="9" s="1"/>
  <c r="J231" i="9"/>
  <c r="M231" i="9" s="1"/>
  <c r="N231" i="9" s="1"/>
  <c r="J238" i="9"/>
  <c r="M238" i="9" s="1"/>
  <c r="N238" i="9" s="1"/>
  <c r="U18" i="3"/>
  <c r="Q141" i="11" l="1"/>
  <c r="Q142" i="11"/>
  <c r="Q139" i="11"/>
  <c r="Q140" i="11"/>
  <c r="U116" i="11"/>
  <c r="H234" i="9"/>
  <c r="P119" i="11"/>
  <c r="P121" i="11"/>
  <c r="P120" i="11"/>
  <c r="H244" i="9"/>
  <c r="Q126" i="11"/>
  <c r="Q135" i="11"/>
  <c r="Q128" i="11"/>
  <c r="Q137" i="11"/>
  <c r="Q121" i="11"/>
  <c r="Q130" i="11"/>
  <c r="Q123" i="11"/>
  <c r="Q132" i="11"/>
  <c r="Q116" i="11"/>
  <c r="Q125" i="11"/>
  <c r="Q134" i="11"/>
  <c r="Q118" i="11"/>
  <c r="Q136" i="11"/>
  <c r="Q129" i="11"/>
  <c r="Q138" i="11"/>
  <c r="Q122" i="11"/>
  <c r="Q131" i="11"/>
  <c r="Q124" i="11"/>
  <c r="B8" i="12"/>
  <c r="Q133" i="11"/>
  <c r="Q117" i="11"/>
  <c r="Q127" i="11"/>
  <c r="Q119" i="11"/>
  <c r="Q120" i="11"/>
  <c r="J13" i="11"/>
  <c r="J2" i="12" l="1"/>
  <c r="B13" i="11"/>
  <c r="F76" i="6"/>
  <c r="S76" i="6" s="1"/>
  <c r="C9" i="3"/>
  <c r="P245" i="9"/>
  <c r="P244" i="9"/>
  <c r="Q244" i="9" s="1"/>
  <c r="V244" i="9"/>
  <c r="P234" i="9"/>
  <c r="Q234" i="9" s="1"/>
  <c r="P233" i="9"/>
  <c r="Q233" i="9" s="1"/>
  <c r="V234" i="9"/>
  <c r="W244" i="9" l="1"/>
  <c r="X244" i="9" s="1"/>
  <c r="W245" i="9"/>
  <c r="W233" i="9"/>
  <c r="X233" i="9" s="1"/>
  <c r="W234" i="9"/>
  <c r="X234" i="9" s="1"/>
  <c r="S13" i="11"/>
  <c r="W13" i="11" l="1"/>
  <c r="V9" i="3"/>
  <c r="U9" i="3"/>
  <c r="J233" i="9"/>
  <c r="M233" i="9" s="1"/>
  <c r="N233" i="9" s="1"/>
  <c r="J234" i="9"/>
  <c r="M234" i="9" s="1"/>
  <c r="N234" i="9" s="1"/>
  <c r="L141" i="11" l="1"/>
  <c r="L142" i="11"/>
  <c r="L139" i="11"/>
  <c r="L140" i="11"/>
  <c r="U118" i="11"/>
  <c r="U117" i="11"/>
  <c r="H239" i="9"/>
  <c r="L129" i="11"/>
  <c r="L138" i="11"/>
  <c r="L131" i="11"/>
  <c r="L124" i="11"/>
  <c r="L133" i="11"/>
  <c r="L117" i="11"/>
  <c r="L126" i="11"/>
  <c r="L135" i="11"/>
  <c r="L119" i="11"/>
  <c r="L128" i="11"/>
  <c r="L137" i="11"/>
  <c r="L121" i="11"/>
  <c r="B3" i="12"/>
  <c r="L130" i="11"/>
  <c r="L132" i="11"/>
  <c r="L125" i="11"/>
  <c r="L134" i="11"/>
  <c r="L127" i="11"/>
  <c r="L136" i="11"/>
  <c r="L120" i="11"/>
  <c r="L122" i="11"/>
  <c r="L123" i="11"/>
  <c r="L118" i="11"/>
  <c r="J8" i="11"/>
  <c r="E2" i="12" l="1"/>
  <c r="B8" i="11"/>
  <c r="F81" i="6"/>
  <c r="S81" i="6" s="1"/>
  <c r="C11" i="3"/>
  <c r="V239" i="9"/>
  <c r="X239" i="9" s="1"/>
  <c r="Q239" i="9"/>
  <c r="J239" i="9" l="1"/>
  <c r="M239" i="9" s="1"/>
  <c r="N239" i="9" s="1"/>
  <c r="J237" i="9"/>
  <c r="M237" i="9" s="1"/>
  <c r="N237" i="9" s="1"/>
  <c r="S8" i="11"/>
  <c r="U11" i="3" s="1"/>
  <c r="H279" i="9" l="1"/>
  <c r="W8" i="11"/>
  <c r="V11" i="3"/>
  <c r="R119" i="11"/>
  <c r="H241" i="9"/>
  <c r="U130" i="11"/>
  <c r="U132" i="11"/>
  <c r="U125" i="11"/>
  <c r="U134" i="11"/>
  <c r="U127" i="11"/>
  <c r="U136" i="11"/>
  <c r="U120" i="11"/>
  <c r="U129" i="11"/>
  <c r="U138" i="11"/>
  <c r="U122" i="11"/>
  <c r="U131" i="11"/>
  <c r="U133" i="11"/>
  <c r="U126" i="11"/>
  <c r="U135" i="11"/>
  <c r="U128" i="11"/>
  <c r="U137" i="11"/>
  <c r="U121" i="11"/>
  <c r="U119" i="11"/>
  <c r="U123" i="11"/>
  <c r="U124" i="11"/>
  <c r="J17" i="11"/>
  <c r="P278" i="9" l="1"/>
  <c r="P279" i="9"/>
  <c r="Q279" i="9" s="1"/>
  <c r="V279" i="9"/>
  <c r="V241" i="9"/>
  <c r="X241" i="9" s="1"/>
  <c r="Q241" i="9"/>
  <c r="W278" i="9" l="1"/>
  <c r="W279" i="9"/>
  <c r="X279" i="9" s="1"/>
  <c r="J241" i="9"/>
  <c r="M241" i="9" s="1"/>
  <c r="N241" i="9" s="1"/>
  <c r="J240" i="9"/>
  <c r="M240" i="9" s="1"/>
  <c r="N240" i="9" s="1"/>
  <c r="S120" i="11" l="1"/>
  <c r="H242" i="9"/>
  <c r="R120" i="11"/>
  <c r="H243" i="9"/>
  <c r="V243" i="9" l="1"/>
  <c r="P243" i="9"/>
  <c r="Q243" i="9" s="1"/>
  <c r="P242" i="9"/>
  <c r="Q242" i="9" s="1"/>
  <c r="V242" i="9"/>
  <c r="W243" i="9" l="1"/>
  <c r="X243" i="9" s="1"/>
  <c r="W242" i="9"/>
  <c r="X242" i="9" s="1"/>
  <c r="J243" i="9" l="1"/>
  <c r="M243" i="9" s="1"/>
  <c r="N243" i="9" s="1"/>
  <c r="J242" i="9"/>
  <c r="M242" i="9" s="1"/>
  <c r="N242" i="9" s="1"/>
  <c r="S141" i="11" l="1"/>
  <c r="S142" i="11"/>
  <c r="S139" i="11"/>
  <c r="S140" i="11"/>
  <c r="S128" i="11"/>
  <c r="S137" i="11"/>
  <c r="S130" i="11"/>
  <c r="S123" i="11"/>
  <c r="S132" i="11"/>
  <c r="S125" i="11"/>
  <c r="S134" i="11"/>
  <c r="S127" i="11"/>
  <c r="S136" i="11"/>
  <c r="S138" i="11"/>
  <c r="B10" i="12"/>
  <c r="S131" i="11"/>
  <c r="S124" i="11"/>
  <c r="S133" i="11"/>
  <c r="S126" i="11"/>
  <c r="S135" i="11"/>
  <c r="S129" i="11"/>
  <c r="S121" i="11"/>
  <c r="S122" i="11"/>
  <c r="J15" i="11"/>
  <c r="R121" i="11"/>
  <c r="H245" i="9"/>
  <c r="L2" i="12" l="1"/>
  <c r="B15" i="11"/>
  <c r="F74" i="6"/>
  <c r="S74" i="6" s="1"/>
  <c r="C5" i="3"/>
  <c r="V245" i="9"/>
  <c r="X245" i="9" s="1"/>
  <c r="Q245" i="9"/>
  <c r="J245" i="9" l="1"/>
  <c r="M245" i="9" s="1"/>
  <c r="N245" i="9" s="1"/>
  <c r="J244" i="9"/>
  <c r="M244" i="9" s="1"/>
  <c r="N244" i="9" s="1"/>
  <c r="S15" i="11"/>
  <c r="W15" i="11" l="1"/>
  <c r="V5" i="3"/>
  <c r="P123" i="11"/>
  <c r="P125" i="11"/>
  <c r="P124" i="11"/>
  <c r="P127" i="11"/>
  <c r="P126" i="11"/>
  <c r="P122" i="11"/>
  <c r="H257" i="9"/>
  <c r="U5" i="3"/>
  <c r="R122" i="11"/>
  <c r="H246" i="9"/>
  <c r="P247" i="9" l="1"/>
  <c r="Q247" i="9" s="1"/>
  <c r="P246" i="9"/>
  <c r="Q246" i="9" s="1"/>
  <c r="V246" i="9"/>
  <c r="P256" i="9"/>
  <c r="Q256" i="9" s="1"/>
  <c r="P257" i="9"/>
  <c r="Q257" i="9" s="1"/>
  <c r="V257" i="9"/>
  <c r="W257" i="9" l="1"/>
  <c r="X257" i="9" s="1"/>
  <c r="W256" i="9"/>
  <c r="X256" i="9" s="1"/>
  <c r="W247" i="9"/>
  <c r="X247" i="9" s="1"/>
  <c r="W246" i="9"/>
  <c r="X246" i="9" s="1"/>
  <c r="J256" i="9" l="1"/>
  <c r="M256" i="9" s="1"/>
  <c r="N256" i="9" s="1"/>
  <c r="J257" i="9"/>
  <c r="M257" i="9" s="1"/>
  <c r="N257" i="9" s="1"/>
  <c r="J247" i="9"/>
  <c r="M247" i="9" s="1"/>
  <c r="N247" i="9" s="1"/>
  <c r="J246" i="9"/>
  <c r="M246" i="9" s="1"/>
  <c r="N246" i="9" s="1"/>
  <c r="R123" i="11" l="1"/>
  <c r="H248" i="9"/>
  <c r="O123" i="11"/>
  <c r="H249" i="9"/>
  <c r="P128" i="11"/>
  <c r="H259" i="9"/>
  <c r="K128" i="11"/>
  <c r="H258" i="9"/>
  <c r="P259" i="9" l="1"/>
  <c r="Q259" i="9" s="1"/>
  <c r="P258" i="9"/>
  <c r="Q258" i="9" s="1"/>
  <c r="V258" i="9"/>
  <c r="V259" i="9"/>
  <c r="V249" i="9"/>
  <c r="P248" i="9"/>
  <c r="Q248" i="9" s="1"/>
  <c r="P249" i="9"/>
  <c r="Q249" i="9" s="1"/>
  <c r="V248" i="9"/>
  <c r="W249" i="9" l="1"/>
  <c r="X249" i="9" s="1"/>
  <c r="W248" i="9"/>
  <c r="X248" i="9" s="1"/>
  <c r="W259" i="9"/>
  <c r="X259" i="9" s="1"/>
  <c r="W258" i="9"/>
  <c r="X258" i="9" s="1"/>
  <c r="J259" i="9" l="1"/>
  <c r="M259" i="9" s="1"/>
  <c r="N259" i="9" s="1"/>
  <c r="J258" i="9"/>
  <c r="M258" i="9" s="1"/>
  <c r="N258" i="9" s="1"/>
  <c r="J249" i="9"/>
  <c r="M249" i="9" s="1"/>
  <c r="N249" i="9" s="1"/>
  <c r="J248" i="9"/>
  <c r="M248" i="9" s="1"/>
  <c r="N248" i="9" s="1"/>
  <c r="R124" i="11" l="1"/>
  <c r="H251" i="9"/>
  <c r="K129" i="11"/>
  <c r="H260" i="9"/>
  <c r="O124" i="11"/>
  <c r="H250" i="9"/>
  <c r="P129" i="11"/>
  <c r="H261" i="9"/>
  <c r="V261" i="9" l="1"/>
  <c r="P251" i="9"/>
  <c r="Q251" i="9" s="1"/>
  <c r="P250" i="9"/>
  <c r="Q250" i="9" s="1"/>
  <c r="V250" i="9"/>
  <c r="P261" i="9"/>
  <c r="Q261" i="9" s="1"/>
  <c r="P260" i="9"/>
  <c r="Q260" i="9" s="1"/>
  <c r="V260" i="9"/>
  <c r="V251" i="9"/>
  <c r="W260" i="9" l="1"/>
  <c r="X260" i="9" s="1"/>
  <c r="W261" i="9"/>
  <c r="X261"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2" i="9"/>
  <c r="X252" i="9" s="1"/>
  <c r="W253" i="9"/>
  <c r="X253" i="9" s="1"/>
  <c r="J252" i="9" l="1"/>
  <c r="M252" i="9" s="1"/>
  <c r="N252" i="9" s="1"/>
  <c r="J253" i="9"/>
  <c r="M253" i="9" s="1"/>
  <c r="N253" i="9" s="1"/>
  <c r="J262" i="9"/>
  <c r="M262" i="9" s="1"/>
  <c r="N262" i="9" s="1"/>
  <c r="J263" i="9"/>
  <c r="M263" i="9" s="1"/>
  <c r="N263" i="9" s="1"/>
  <c r="P131" i="11" l="1"/>
  <c r="H265" i="9"/>
  <c r="K131" i="11"/>
  <c r="H264" i="9"/>
  <c r="R126" i="11"/>
  <c r="H254" i="9"/>
  <c r="O126" i="11"/>
  <c r="H255" i="9"/>
  <c r="V255" i="9" l="1"/>
  <c r="P255" i="9"/>
  <c r="Q255" i="9" s="1"/>
  <c r="P254" i="9"/>
  <c r="Q254" i="9" s="1"/>
  <c r="V254" i="9"/>
  <c r="V264" i="9"/>
  <c r="P264" i="9"/>
  <c r="Q264" i="9" s="1"/>
  <c r="P265" i="9"/>
  <c r="Q265" i="9" s="1"/>
  <c r="V265" i="9"/>
  <c r="W265" i="9" l="1"/>
  <c r="X265" i="9" s="1"/>
  <c r="W264" i="9"/>
  <c r="X264" i="9" s="1"/>
  <c r="W255" i="9"/>
  <c r="X255" i="9" s="1"/>
  <c r="W254" i="9"/>
  <c r="X254" i="9" s="1"/>
  <c r="J254" i="9" l="1"/>
  <c r="M254" i="9" s="1"/>
  <c r="N254" i="9" s="1"/>
  <c r="J14" i="11" s="1"/>
  <c r="J255" i="9"/>
  <c r="M255" i="9" s="1"/>
  <c r="N255" i="9" s="1"/>
  <c r="O142" i="11" s="1"/>
  <c r="J265" i="9"/>
  <c r="M265" i="9" s="1"/>
  <c r="N265" i="9" s="1"/>
  <c r="J264" i="9"/>
  <c r="M264" i="9" s="1"/>
  <c r="N264" i="9" s="1"/>
  <c r="O140" i="11" l="1"/>
  <c r="O141" i="11"/>
  <c r="O139" i="11"/>
  <c r="J11" i="11"/>
  <c r="P132" i="11"/>
  <c r="H267" i="9"/>
  <c r="K132" i="11"/>
  <c r="H266" i="9"/>
  <c r="O133" i="11"/>
  <c r="B6" i="12"/>
  <c r="O135" i="11"/>
  <c r="O128" i="11"/>
  <c r="O137" i="11"/>
  <c r="O130" i="11"/>
  <c r="O132" i="11"/>
  <c r="O134" i="11"/>
  <c r="O127" i="11"/>
  <c r="O136" i="11"/>
  <c r="O138" i="11"/>
  <c r="O131" i="11"/>
  <c r="O129" i="11"/>
  <c r="R135" i="11"/>
  <c r="R137" i="11"/>
  <c r="R130" i="11"/>
  <c r="R132" i="11"/>
  <c r="R134" i="11"/>
  <c r="R127" i="11"/>
  <c r="R136" i="11"/>
  <c r="R129" i="11"/>
  <c r="R131" i="11"/>
  <c r="R133" i="11"/>
  <c r="R128" i="11"/>
  <c r="H277" i="9"/>
  <c r="V277" i="9" l="1"/>
  <c r="H2" i="12"/>
  <c r="B11" i="11"/>
  <c r="C7" i="3"/>
  <c r="F75" i="6"/>
  <c r="S75" i="6" s="1"/>
  <c r="P267" i="9"/>
  <c r="Q267" i="9" s="1"/>
  <c r="P266" i="9"/>
  <c r="Q266" i="9" s="1"/>
  <c r="V266" i="9"/>
  <c r="V267" i="9"/>
  <c r="W266" i="9" l="1"/>
  <c r="X266" i="9" s="1"/>
  <c r="W267" i="9"/>
  <c r="X267" i="9" s="1"/>
  <c r="S11" i="11"/>
  <c r="U7" i="3" s="1"/>
  <c r="W11" i="11" l="1"/>
  <c r="V7" i="3"/>
  <c r="J266" i="9"/>
  <c r="M266" i="9" s="1"/>
  <c r="N266" i="9" s="1"/>
  <c r="J267" i="9"/>
  <c r="M267" i="9" s="1"/>
  <c r="N267" i="9" s="1"/>
  <c r="P133" i="11" l="1"/>
  <c r="H269" i="9"/>
  <c r="K133" i="11"/>
  <c r="H268" i="9"/>
  <c r="P269" i="9" l="1"/>
  <c r="Q269" i="9" s="1"/>
  <c r="P268" i="9"/>
  <c r="Q268" i="9" s="1"/>
  <c r="V268" i="9"/>
  <c r="V269" i="9"/>
  <c r="W269" i="9" l="1"/>
  <c r="X269" i="9" s="1"/>
  <c r="W268" i="9"/>
  <c r="X268" i="9" s="1"/>
  <c r="J268" i="9" l="1"/>
  <c r="M268" i="9" s="1"/>
  <c r="N268" i="9" s="1"/>
  <c r="J269" i="9"/>
  <c r="M269" i="9" s="1"/>
  <c r="N269" i="9" s="1"/>
  <c r="P134" i="11" l="1"/>
  <c r="H271" i="9"/>
  <c r="K134" i="11"/>
  <c r="H270" i="9"/>
  <c r="P270" i="9" l="1"/>
  <c r="Q270" i="9" s="1"/>
  <c r="P271" i="9"/>
  <c r="Q271" i="9" s="1"/>
  <c r="V270" i="9"/>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3" i="9" l="1"/>
  <c r="M273" i="9" s="1"/>
  <c r="N273" i="9" s="1"/>
  <c r="J272" i="9"/>
  <c r="M272" i="9" s="1"/>
  <c r="N272" i="9" s="1"/>
  <c r="K136" i="11" l="1"/>
  <c r="H274" i="9"/>
  <c r="P136" i="11"/>
  <c r="H275" i="9"/>
  <c r="V275" i="9" l="1"/>
  <c r="P275" i="9"/>
  <c r="Q275" i="9" s="1"/>
  <c r="P274" i="9"/>
  <c r="Q274" i="9" s="1"/>
  <c r="V274" i="9"/>
  <c r="W275" i="9" l="1"/>
  <c r="X275" i="9" s="1"/>
  <c r="W274" i="9"/>
  <c r="X274" i="9" s="1"/>
  <c r="J275" i="9" l="1"/>
  <c r="M275" i="9" s="1"/>
  <c r="N275" i="9" s="1"/>
  <c r="J12" i="11" s="1"/>
  <c r="J274" i="9"/>
  <c r="M274" i="9" s="1"/>
  <c r="N274" i="9" s="1"/>
  <c r="K142" i="11" s="1"/>
  <c r="K140" i="11" l="1"/>
  <c r="K141" i="11"/>
  <c r="K139" i="11"/>
  <c r="J7" i="11"/>
  <c r="K12" i="11" s="1"/>
  <c r="K138" i="11"/>
  <c r="B2" i="12"/>
  <c r="K137" i="11"/>
  <c r="P137" i="11"/>
  <c r="H276" i="9"/>
  <c r="K10" i="11" l="1"/>
  <c r="K20" i="11"/>
  <c r="K8" i="11"/>
  <c r="K9" i="11"/>
  <c r="K18" i="11"/>
  <c r="K7" i="11"/>
  <c r="K16" i="11"/>
  <c r="K17" i="11"/>
  <c r="K13" i="11"/>
  <c r="K19" i="11"/>
  <c r="K15" i="11"/>
  <c r="K14" i="11"/>
  <c r="K11" i="11"/>
  <c r="P276" i="9"/>
  <c r="Q276" i="9" s="1"/>
  <c r="P277" i="9"/>
  <c r="Q277" i="9" s="1"/>
  <c r="V276" i="9"/>
  <c r="D2" i="12"/>
  <c r="B7" i="11"/>
  <c r="C8" i="3"/>
  <c r="F79" i="6"/>
  <c r="S79" i="6" s="1"/>
  <c r="W277" i="9" l="1"/>
  <c r="X277" i="9" s="1"/>
  <c r="W276" i="9"/>
  <c r="X276" i="9" s="1"/>
  <c r="S7" i="11"/>
  <c r="W7" i="11" l="1"/>
  <c r="V8" i="3"/>
  <c r="J276" i="9"/>
  <c r="M276" i="9" s="1"/>
  <c r="N276" i="9" s="1"/>
  <c r="J277" i="9"/>
  <c r="U8" i="3"/>
  <c r="H278" i="9" l="1"/>
  <c r="M277" i="9"/>
  <c r="H7" i="3"/>
  <c r="H10" i="3"/>
  <c r="H8" i="3"/>
  <c r="H14" i="3"/>
  <c r="H16" i="3"/>
  <c r="H18" i="3"/>
  <c r="H5" i="3"/>
  <c r="H9" i="3"/>
  <c r="H11" i="3"/>
  <c r="P138" i="11"/>
  <c r="Q278" i="9" l="1"/>
  <c r="V278" i="9"/>
  <c r="X278" i="9" s="1"/>
  <c r="N277" i="9"/>
  <c r="R141" i="11" l="1"/>
  <c r="R142" i="11"/>
  <c r="R139" i="11"/>
  <c r="R140" i="11"/>
  <c r="J278" i="9"/>
  <c r="M278" i="9" s="1"/>
  <c r="J279" i="9"/>
  <c r="R138" i="11"/>
  <c r="B9" i="12"/>
  <c r="M279" i="9" l="1"/>
  <c r="N279" i="9" s="1"/>
  <c r="N278" i="9"/>
  <c r="K2" i="12"/>
  <c r="B14" i="11"/>
  <c r="F78" i="6"/>
  <c r="S78" i="6" s="1"/>
  <c r="C10" i="3"/>
  <c r="H281" i="9" l="1"/>
  <c r="H280" i="9"/>
  <c r="U139" i="11"/>
  <c r="P139" i="11"/>
  <c r="S14" i="11"/>
  <c r="P280" i="9" l="1"/>
  <c r="Q280" i="9" s="1"/>
  <c r="P281" i="9"/>
  <c r="Q281" i="9" s="1"/>
  <c r="V281" i="9"/>
  <c r="V280" i="9"/>
  <c r="W14" i="11"/>
  <c r="V10" i="3"/>
  <c r="U10" i="3"/>
  <c r="W280" i="9" l="1"/>
  <c r="X280" i="9" s="1"/>
  <c r="J280" i="9" s="1"/>
  <c r="W281" i="9"/>
  <c r="X281" i="9" s="1"/>
  <c r="J281" i="9" s="1"/>
  <c r="M281" i="9" l="1"/>
  <c r="N281" i="9" s="1"/>
  <c r="M280" i="9"/>
  <c r="U140" i="11"/>
  <c r="N280" i="9"/>
  <c r="H283" i="9" l="1"/>
  <c r="H282" i="9"/>
  <c r="P140" i="11"/>
  <c r="P282" i="9" l="1"/>
  <c r="Q282" i="9" s="1"/>
  <c r="P283" i="9"/>
  <c r="Q283" i="9" s="1"/>
  <c r="V283" i="9"/>
  <c r="V282" i="9"/>
  <c r="W282" i="9" l="1"/>
  <c r="X282" i="9" s="1"/>
  <c r="J282" i="9" s="1"/>
  <c r="W283" i="9"/>
  <c r="X283" i="9" s="1"/>
  <c r="J283" i="9" s="1"/>
  <c r="M283" i="9" l="1"/>
  <c r="N283" i="9" s="1"/>
  <c r="M282" i="9"/>
  <c r="U141" i="11"/>
  <c r="N282" i="9"/>
  <c r="H285" i="9" l="1"/>
  <c r="H284" i="9"/>
  <c r="P141" i="11"/>
  <c r="P284" i="9" l="1"/>
  <c r="Q284" i="9" s="1"/>
  <c r="P285" i="9"/>
  <c r="Q285" i="9" s="1"/>
  <c r="V285" i="9"/>
  <c r="V284" i="9"/>
  <c r="W285" i="9" l="1"/>
  <c r="X285" i="9" s="1"/>
  <c r="J285" i="9" s="1"/>
  <c r="W284" i="9"/>
  <c r="X284" i="9" s="1"/>
  <c r="J284" i="9" s="1"/>
  <c r="M284" i="9" l="1"/>
  <c r="H17" i="3"/>
  <c r="M285" i="9"/>
  <c r="N285" i="9" s="1"/>
  <c r="H6" i="3"/>
  <c r="B12" i="12"/>
  <c r="U142" i="11"/>
  <c r="B18" i="7"/>
  <c r="B19" i="7"/>
  <c r="H19" i="7"/>
  <c r="H18" i="7"/>
  <c r="N284" i="9"/>
  <c r="F77" i="6" l="1"/>
  <c r="S77" i="6" s="1"/>
  <c r="N2" i="12"/>
  <c r="C6" i="3"/>
  <c r="B17" i="11"/>
  <c r="S17" i="11" s="1"/>
  <c r="P142" i="11"/>
  <c r="H17" i="7"/>
  <c r="B7" i="12"/>
  <c r="B17" i="7"/>
  <c r="E18" i="7"/>
  <c r="D18" i="7"/>
  <c r="C18" i="7"/>
  <c r="F18" i="7"/>
  <c r="D19" i="7"/>
  <c r="F19" i="7"/>
  <c r="E19" i="7"/>
  <c r="C19" i="7"/>
  <c r="U6" i="3" l="1"/>
  <c r="B6" i="4"/>
  <c r="V6" i="3"/>
  <c r="W17" i="11"/>
  <c r="B24" i="4" s="1"/>
  <c r="B12" i="11"/>
  <c r="I2" i="12"/>
  <c r="C17" i="3"/>
  <c r="F80" i="6"/>
  <c r="S80" i="6" s="1"/>
  <c r="C4" i="6" s="1"/>
  <c r="E17" i="7"/>
  <c r="C17" i="7"/>
  <c r="F17" i="7"/>
  <c r="D17" i="7"/>
  <c r="A6" i="2" l="1"/>
  <c r="A5" i="2"/>
  <c r="B28" i="7" s="1"/>
  <c r="C4" i="12"/>
  <c r="C9" i="11" s="1"/>
  <c r="C13" i="12"/>
  <c r="C18" i="11" s="1"/>
  <c r="C14" i="12"/>
  <c r="C19" i="11" s="1"/>
  <c r="C9" i="12"/>
  <c r="C14" i="11" s="1"/>
  <c r="C7" i="12"/>
  <c r="C12" i="11" s="1"/>
  <c r="C2" i="12"/>
  <c r="C7" i="11" s="1"/>
  <c r="C6" i="12"/>
  <c r="C11" i="11" s="1"/>
  <c r="C3" i="12"/>
  <c r="C8" i="11" s="1"/>
  <c r="C8" i="12"/>
  <c r="C13" i="11" s="1"/>
  <c r="C12" i="12"/>
  <c r="C17" i="11" s="1"/>
  <c r="C10" i="12"/>
  <c r="C15" i="11" s="1"/>
  <c r="C11" i="12"/>
  <c r="C16" i="11" s="1"/>
  <c r="C5" i="12"/>
  <c r="C10" i="11" s="1"/>
  <c r="C15" i="12"/>
  <c r="C20" i="11" s="1"/>
  <c r="N14" i="3"/>
  <c r="N5" i="3"/>
  <c r="A6" i="3"/>
  <c r="B5" i="4" s="1"/>
  <c r="N18" i="3"/>
  <c r="N12" i="3"/>
  <c r="N15" i="3"/>
  <c r="A16" i="3"/>
  <c r="B33" i="7"/>
  <c r="A13" i="3"/>
  <c r="N8" i="3"/>
  <c r="A5" i="3"/>
  <c r="N9" i="3"/>
  <c r="N11" i="3"/>
  <c r="N7" i="3"/>
  <c r="A7" i="3"/>
  <c r="N17" i="3"/>
  <c r="A17" i="3"/>
  <c r="A10" i="3"/>
  <c r="A15" i="3"/>
  <c r="A12" i="3"/>
  <c r="N16" i="3"/>
  <c r="A14" i="3"/>
  <c r="N6" i="3"/>
  <c r="N10" i="3"/>
  <c r="A11" i="3"/>
  <c r="A8" i="3"/>
  <c r="A9" i="3"/>
  <c r="N13" i="3"/>
  <c r="A18" i="3"/>
  <c r="E12" i="11"/>
  <c r="E7" i="11"/>
  <c r="B17" i="8"/>
  <c r="S12" i="11"/>
  <c r="U17" i="3" s="1"/>
  <c r="D15" i="11"/>
  <c r="L15" i="11" s="1"/>
  <c r="Q5" i="3" s="1"/>
  <c r="E11" i="11"/>
  <c r="D9" i="11"/>
  <c r="L9" i="11" s="1"/>
  <c r="Q14" i="3" s="1"/>
  <c r="D18" i="11"/>
  <c r="L18" i="11" s="1"/>
  <c r="Q12" i="3" s="1"/>
  <c r="D20" i="11"/>
  <c r="L20" i="11" s="1"/>
  <c r="Q15" i="3" s="1"/>
  <c r="C17" i="8"/>
  <c r="D18" i="8"/>
  <c r="E17" i="11"/>
  <c r="B15" i="4" s="1"/>
  <c r="D19" i="8"/>
  <c r="A5" i="8"/>
  <c r="D8" i="11"/>
  <c r="L8" i="11" s="1"/>
  <c r="Q11" i="3" s="1"/>
  <c r="E10" i="11"/>
  <c r="E15" i="11"/>
  <c r="E13" i="11"/>
  <c r="B18" i="8"/>
  <c r="E16" i="11"/>
  <c r="D7" i="11"/>
  <c r="L7" i="11" s="1"/>
  <c r="E18" i="11"/>
  <c r="D13" i="11"/>
  <c r="L13" i="11" s="1"/>
  <c r="Q9" i="3" s="1"/>
  <c r="C19" i="8"/>
  <c r="D11" i="11"/>
  <c r="L11" i="11" s="1"/>
  <c r="Q7" i="3" s="1"/>
  <c r="C18" i="8"/>
  <c r="D19" i="11"/>
  <c r="L19" i="11" s="1"/>
  <c r="Q13" i="3" s="1"/>
  <c r="D16" i="11"/>
  <c r="L16" i="11" s="1"/>
  <c r="Q18" i="3" s="1"/>
  <c r="E9" i="11"/>
  <c r="D14" i="11"/>
  <c r="L14" i="11" s="1"/>
  <c r="Q10" i="3" s="1"/>
  <c r="E8" i="11"/>
  <c r="E14" i="11"/>
  <c r="E19" i="11"/>
  <c r="B19" i="8"/>
  <c r="D17" i="11"/>
  <c r="L17" i="11" s="1"/>
  <c r="Q6" i="3" s="1"/>
  <c r="E20" i="11"/>
  <c r="D10" i="11"/>
  <c r="L10" i="11" s="1"/>
  <c r="Q16" i="3" s="1"/>
  <c r="D12" i="11"/>
  <c r="L12" i="11" s="1"/>
  <c r="Q17" i="3" s="1"/>
  <c r="AA20" i="11" l="1"/>
  <c r="AB20" i="11" s="1"/>
  <c r="M15" i="3"/>
  <c r="M16" i="3"/>
  <c r="AA10" i="11"/>
  <c r="AB10" i="11" s="1"/>
  <c r="AF10" i="11" s="1"/>
  <c r="W16" i="3" s="1"/>
  <c r="M18" i="3"/>
  <c r="AA16" i="11"/>
  <c r="AB16" i="11" s="1"/>
  <c r="AF16" i="11" s="1"/>
  <c r="W18" i="3" s="1"/>
  <c r="AA15" i="11"/>
  <c r="AB15" i="11" s="1"/>
  <c r="AF15" i="11" s="1"/>
  <c r="W5" i="3" s="1"/>
  <c r="M5" i="3"/>
  <c r="AA17" i="11"/>
  <c r="M6" i="3"/>
  <c r="B12" i="4"/>
  <c r="M9" i="3"/>
  <c r="AA13" i="11"/>
  <c r="AB13" i="11" s="1"/>
  <c r="AF13" i="11" s="1"/>
  <c r="W9" i="3" s="1"/>
  <c r="M11" i="3"/>
  <c r="AA8" i="11"/>
  <c r="AB8" i="11" s="1"/>
  <c r="AF8" i="11" s="1"/>
  <c r="W11" i="3" s="1"/>
  <c r="AA11" i="11"/>
  <c r="AB11" i="11" s="1"/>
  <c r="AF11" i="11" s="1"/>
  <c r="W7" i="3" s="1"/>
  <c r="M7" i="3"/>
  <c r="M8" i="3"/>
  <c r="AA7" i="11"/>
  <c r="AB7" i="11" s="1"/>
  <c r="AF7" i="11" s="1"/>
  <c r="W8" i="3" s="1"/>
  <c r="M17" i="3"/>
  <c r="AA12" i="11"/>
  <c r="AA14" i="11"/>
  <c r="AB14" i="11" s="1"/>
  <c r="AF14" i="11" s="1"/>
  <c r="W10" i="3" s="1"/>
  <c r="M10" i="3"/>
  <c r="M13" i="3"/>
  <c r="AA19" i="11"/>
  <c r="AB19" i="11" s="1"/>
  <c r="M12" i="3"/>
  <c r="AA18" i="11"/>
  <c r="AB18" i="11" s="1"/>
  <c r="Q8" i="3"/>
  <c r="A8" i="8"/>
  <c r="M14" i="3"/>
  <c r="AA9" i="11"/>
  <c r="AB9" i="11" s="1"/>
  <c r="AF9" i="11" s="1"/>
  <c r="W14" i="3" s="1"/>
  <c r="W12" i="11"/>
  <c r="AB12" i="11" s="1"/>
  <c r="AF12" i="11" s="1"/>
  <c r="W17" i="3" s="1"/>
  <c r="V17" i="3"/>
  <c r="A3" i="3" s="1"/>
  <c r="AB17" i="11" l="1"/>
  <c r="B28" i="4"/>
  <c r="AF17" i="11" l="1"/>
  <c r="B23" i="4"/>
  <c r="W6" i="3" l="1"/>
  <c r="B7" i="4"/>
</calcChain>
</file>

<file path=xl/sharedStrings.xml><?xml version="1.0" encoding="utf-8"?>
<sst xmlns="http://schemas.openxmlformats.org/spreadsheetml/2006/main" count="1764" uniqueCount="421">
  <si>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</si>
  <si>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</si>
  <si>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</si>
  <si>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</si>
  <si>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</si>
  <si>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</si>
  <si>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</si>
  <si>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</si>
  <si>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</si>
  <si>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</si>
  <si>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</si>
  <si>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</si>
  <si>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</si>
  <si>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</si>
  <si>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</si>
  <si>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</si>
  <si>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</si>
  <si>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</si>
  <si>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</si>
  <si>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</si>
  <si>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</si>
  <si>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</si>
  <si>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</si>
  <si>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</si>
  <si>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</si>
  <si>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</si>
  <si>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</si>
  <si>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</si>
  <si>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</si>
  <si>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</si>
  <si>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</si>
  <si>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</si>
  <si>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</si>
  <si>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</si>
  <si>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</si>
  <si>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</si>
  <si>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</si>
  <si>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</si>
  <si>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</si>
  <si>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</si>
  <si>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</si>
  <si>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</si>
  <si>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</si>
  <si>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</si>
  <si>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</si>
  <si>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</si>
  <si>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</si>
  <si>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</si>
  <si>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</si>
  <si>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</si>
  <si>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</si>
  <si>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</si>
  <si>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</si>
  <si>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</si>
  <si>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</si>
  <si>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</si>
  <si>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</si>
  <si>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</si>
  <si>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</si>
  <si>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</si>
  <si>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</si>
  <si>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</si>
  <si>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</si>
  <si>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</si>
  <si>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</si>
  <si>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</si>
  <si>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</si>
  <si>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</si>
  <si>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</si>
  <si>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</si>
  <si>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</si>
  <si>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</si>
  <si>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</si>
  <si>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</si>
  <si>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</si>
  <si>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</si>
  <si>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</si>
  <si>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</si>
  <si>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</si>
  <si>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</si>
  <si>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</si>
  <si>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</si>
  <si>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</si>
  <si>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</si>
  <si>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</si>
  <si>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</si>
  <si>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</si>
  <si>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</si>
  <si>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</si>
  <si>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</si>
  <si>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</si>
  <si>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</si>
  <si>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</si>
  <si>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</si>
  <si>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</si>
  <si>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</si>
  <si>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</si>
  <si>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</si>
  <si>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</si>
  <si>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</si>
  <si>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</si>
  <si>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</si>
  <si>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</si>
  <si>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</si>
  <si>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</si>
  <si>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</si>
  <si>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</si>
  <si>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</si>
  <si>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</si>
  <si>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</si>
  <si>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</si>
  <si>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</si>
  <si>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</si>
  <si>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</si>
  <si>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</si>
  <si>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</si>
  <si>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</si>
  <si>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</si>
  <si>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</si>
  <si>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</si>
  <si>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</si>
  <si>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</si>
  <si>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</si>
  <si>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</si>
  <si>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</si>
  <si>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</si>
  <si>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</si>
  <si>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</si>
  <si>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</si>
  <si>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</si>
  <si>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</si>
  <si>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</si>
  <si>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</si>
  <si>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</si>
  <si>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</si>
  <si>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</si>
  <si>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</si>
  <si>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</si>
  <si>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</si>
  <si>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</si>
  <si>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</si>
  <si>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</si>
  <si>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</si>
  <si>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</si>
  <si>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</si>
  <si>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</si>
  <si>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</si>
  <si>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</si>
  <si>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</si>
  <si>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</si>
  <si>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</si>
  <si>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</si>
  <si>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</si>
  <si>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</si>
  <si>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</si>
  <si>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</si>
  <si>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</si>
  <si>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</si>
  <si>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</si>
  <si>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</si>
  <si>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</si>
  <si>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</si>
  <si>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</si>
  <si>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</si>
  <si>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</si>
  <si>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</si>
  <si>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</si>
  <si>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</si>
  <si>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</si>
  <si>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</si>
  <si>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</si>
  <si>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</si>
  <si>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</si>
  <si>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</si>
  <si>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</si>
  <si>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</si>
  <si>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</si>
  <si>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</si>
  <si>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</si>
  <si>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</si>
  <si>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</si>
  <si>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</si>
  <si>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</si>
  <si>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</si>
  <si>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</si>
  <si>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</si>
  <si>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</si>
  <si>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</si>
  <si>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</si>
  <si>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</si>
  <si>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</si>
  <si>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</si>
  <si>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</si>
  <si>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</si>
  <si>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</si>
  <si>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</si>
  <si>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</si>
  <si>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</si>
  <si>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</si>
  <si>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</si>
  <si>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</si>
  <si>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</si>
  <si>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</si>
  <si>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</si>
  <si>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</si>
  <si>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</si>
  <si>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</si>
  <si>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</si>
  <si>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</si>
  <si>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</si>
  <si>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</si>
  <si>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</si>
  <si>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</si>
  <si>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</si>
  <si>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</si>
  <si>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</si>
  <si>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</si>
  <si>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</si>
  <si>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</si>
  <si>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</si>
  <si>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</si>
  <si>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</si>
  <si>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</si>
  <si>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</si>
  <si>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</si>
  <si>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</si>
  <si>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</si>
  <si>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</si>
  <si>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</si>
  <si>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</si>
  <si>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</si>
  <si>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</si>
  <si>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</si>
  <si>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</si>
  <si>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</si>
  <si>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</si>
  <si>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</si>
  <si>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</si>
  <si>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</si>
  <si>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</si>
  <si>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</si>
  <si>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</si>
  <si>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</si>
  <si>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</si>
  <si>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</si>
  <si>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</si>
  <si>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</si>
  <si>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</si>
  <si>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</si>
  <si>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</si>
  <si>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</si>
  <si>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</si>
  <si>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</si>
  <si>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</si>
  <si>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</si>
  <si>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</si>
  <si>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</si>
  <si>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</si>
  <si>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</si>
  <si>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</si>
  <si>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</si>
  <si>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</si>
  <si>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</si>
  <si>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</si>
  <si>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</si>
  <si>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</si>
  <si>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</si>
  <si>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</si>
  <si>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</si>
  <si>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</si>
  <si>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</si>
  <si>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</si>
  <si>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</si>
  <si>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</si>
  <si>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</si>
  <si>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</si>
  <si>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</si>
  <si>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</si>
  <si>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</si>
  <si>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</si>
  <si>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</si>
  <si>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</si>
  <si>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</si>
  <si>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</si>
  <si>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</si>
  <si>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</si>
  <si>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</si>
  <si>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</si>
  <si>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</si>
  <si>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</si>
  <si>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</si>
  <si>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</si>
  <si>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</si>
  <si>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</si>
  <si>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</si>
  <si>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</si>
  <si>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</si>
  <si>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</si>
  <si>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</si>
  <si>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</si>
  <si>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</si>
  <si>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</si>
  <si>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</si>
  <si>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</si>
  <si>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</si>
  <si>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</si>
  <si>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</si>
  <si>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</si>
  <si>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</si>
  <si>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</si>
  <si>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</si>
  <si>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</si>
  <si>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</si>
  <si>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</si>
  <si>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</si>
  <si>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</si>
  <si>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</si>
  <si>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</si>
  <si>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</si>
  <si>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</si>
  <si>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</si>
  <si>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</si>
  <si>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</si>
  <si>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</si>
  <si>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</si>
  <si>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</si>
  <si>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</si>
  <si>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</si>
  <si>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</si>
  <si>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</si>
  <si>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</si>
  <si>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</si>
  <si>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</si>
  <si>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</si>
  <si>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</si>
  <si>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</si>
  <si>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</si>
  <si>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</si>
  <si>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</si>
  <si>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</si>
  <si>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</si>
  <si>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</si>
  <si>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</si>
  <si>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</si>
  <si>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</si>
  <si>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</si>
  <si>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</si>
  <si>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</si>
  <si>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</si>
  <si>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</si>
  <si>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</si>
  <si>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</si>
  <si>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</si>
  <si>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</si>
  <si>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</si>
  <si>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</si>
  <si>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</si>
  <si>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</si>
  <si>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</si>
  <si>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</si>
  <si>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</si>
  <si>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</si>
  <si>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</si>
  <si>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</si>
  <si>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</si>
  <si>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</si>
  <si>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</si>
  <si>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</si>
  <si>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</si>
  <si>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</si>
  <si>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</si>
  <si>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Good morning and welcome to the Wrap, the only place that treats a backyard championship like the world title it actually is. Pri, I have called a lot of hot streaks in my time, but I am not sure I have ever seen anyone catch fire quite like Aaron did this week.</t>
  </si>
  <si>
    <t>ROBBO</t>
  </si>
  <si>
    <t>He has not lost in five, Macca. Five wins from five, a form rating sitting on a perfect hundred, and he did it the hard way. Ten games, seven wins, and most of them came against a bloke who has been a genuine thorn in his side for months.</t>
  </si>
  <si>
    <t>Shawn. And we will get to that little tit for tat, because it was brutal to watch.</t>
  </si>
  <si>
    <t>It was a clinic. But here is the thing nobody is saying out loud. Aaron is now the single highest rated athlete in this entire championship on the Athlete Index. Eighty one point six. That is higher than the bloke sitting on top of the ladder.</t>
  </si>
  <si>
    <t>Hang on. The man on top of the ladder is Dean B.</t>
  </si>
  <si>
    <t>Exactly my point. Hold that thought.</t>
  </si>
  <si>
    <t>THE TITLE RACE</t>
  </si>
  <si>
    <t>Let us do the ladder, because it tells two stories at once. Dean B is your number one, a rating of eleven eighty nine, clear at the top. Josh sits second on eleven forty seven. Then it is Aaron charging into third on eleven twenty five.</t>
  </si>
  <si>
    <t>And the gap from first to third is only sixty four points. In this comp that is two good nights of work. But watch what is propping Dean B up. His skill rating is ninety seven point three, the highest number anybody has posted all season. When the man plays, he is ruthless.</t>
  </si>
  <si>
    <t>I can sense a but the size of a house coming.</t>
  </si>
  <si>
    <t>He has done it across three sports, Macca. Three. His versatility score is sixty seven. Aaron, Josh, Oscar, Shawn and Daniel are all sitting on a perfect hundred for versatility because they will play anything you put in front of them. Dean B is a specialist sitting on a lead, and he did not log a single game this week.</t>
  </si>
  <si>
    <t>So the crown is real, but the throne might be wobbling.</t>
  </si>
  <si>
    <t>That is exactly how I would call it.</t>
  </si>
  <si>
    <t>THE FORM DESK</t>
  </si>
  <si>
    <t>Form desk. Aaron we have covered, the perfect five. Who else is warm?</t>
  </si>
  <si>
    <t>Oscar. And this is the one nobody is watching. Four wins from his last five, a form rating of eighty, an Athlete Index of seventy three that is line ball with Dean B and Josh, and he is sitting quietly in fifth. He did not even play this week and he is still one of the three best athletes in the comp by the numbers.</t>
  </si>
  <si>
    <t>The lurker.</t>
  </si>
  <si>
    <t>The lurker. Now for the bad news, and it is wearing Simon's colours. Rank four on the ladder, but three straight losses, and his last five reads win, win, loss, loss, loss. That arrow is pointing the wrong way in a hurry.</t>
  </si>
  <si>
    <t>From a top four seed, that one will sting.</t>
  </si>
  <si>
    <t>RIVALRY CORNER</t>
  </si>
  <si>
    <t>Right. The main event. Aaron versus Shawn. Tell them what happened.</t>
  </si>
  <si>
    <t>Seven to three. That is how their personal duel finished this week across Mario Party, FIFA and Mario Kart. And the Mario Kart leg was the killer. Aaron swept it three nil.</t>
  </si>
  <si>
    <t>Three from three on the karts. No reply.</t>
  </si>
  <si>
    <t>It pushes Aaron's all time record over Shawn out to seventy three percent across eleven decided games. When these two play, it is Aaron's world. But do not feel too sorry for Shawn, because he gave us the other great rivalry story of the week.</t>
  </si>
  <si>
    <t>The Ferret.</t>
  </si>
  <si>
    <t>Shawn and Daniel the Ferret have now shared nineteen games. Nineteen. That is the most played pairing in the history of this championship, and it is desperately tight. Shawn leads it fifty six to forty four. And this very morning Shawn snapped a four game losing skid by beating Daniel at the chess board.</t>
  </si>
  <si>
    <t>Ended the slide with his brain instead of his thumbs. I love it.</t>
  </si>
  <si>
    <t>And keep one eye on Josh and Daniel. They split their Mario Golf duel two games apiece, but the real headline was Josh knocking off the Ferret in a contest where our model gave him a twenty five percent chance. Upset of the week, no question about it.</t>
  </si>
  <si>
    <t>THE NUMBERS NOBODY IS TALKING ABOUT</t>
  </si>
  <si>
    <t>This is my favourite segment. Pri, give me the stat that changes how people see this week.</t>
  </si>
  <si>
    <t>Daniel the Ferret. Forty nine games played, across eleven different sports. Nobody in this championship has played more, and nobody has played wider. He is the Iron Man and the all rounder rolled into one human being.</t>
  </si>
  <si>
    <t>I feel another but coming on.</t>
  </si>
  <si>
    <t>His win rate is forty three percent. So the question for the Ferret is a simple one. Is it time to stop collecting new sports and start winning the ones he is already best at?</t>
  </si>
  <si>
    <t>Give me one more.</t>
  </si>
  <si>
    <t>Shawn. Everyone sees rank eleven and writes him off. But he carries one of the toughest strength of schedule numbers of any regular in the comp, seventy four point six, and he played eleven games this week, more than any other human in the championship. He is grinding the hardest road there is, and the ranking will catch up to the effort.</t>
  </si>
  <si>
    <t>And the bloke at the foot of the table?</t>
  </si>
  <si>
    <t>Cody. And I will be honest, it is grim reading. He is winless in his head to head record, nought percent against the field. But here is the twist. His strength of schedule is seventy five, the toughest in the entire comp. He is not losing to easybeats, he is losing to the very best. One win against that calibre and the dam could break.</t>
  </si>
  <si>
    <t>WHAT WE ARE WATCHING NEXT</t>
  </si>
  <si>
    <t>Next week. What are your eyes on?</t>
  </si>
  <si>
    <t>Aaron. He is twenty two points behind Josh and sixty four behind Dean B. If he holds this form for one more week, we are talking about a brand new name at the very top of this championship.</t>
  </si>
  <si>
    <t>And Dean B has a decision to make. Defend that lead, or keep sitting on it.</t>
  </si>
  <si>
    <t>Sitting still is not free in this format. Every week you do not play, the chasers close the gap. I want to see the champion come out and answer the question.</t>
  </si>
  <si>
    <t>For mine, I want game twenty of Shawn versus the Ferret. Nineteen all square in the rear view mirror, the whole rivalry balanced on a knife's edge.</t>
  </si>
  <si>
    <t>Book it.</t>
  </si>
  <si>
    <t>THE SIGN OFF</t>
  </si>
  <si>
    <t>That is the Wrap. Aaron is flying, Dean B is suddenly under pressure, and the Ferret keeps racking up the miles. Get your games in, because the numbers are watching even when we are not.</t>
  </si>
  <si>
    <t>Play more, play smart, and we will see you next Monday.</t>
  </si>
  <si>
    <t>Same chairs, fresh numbers. Cheers all.</t>
  </si>
  <si>
    <t>THE MONDAY WRAP      ·      with Macca and Robbo      ·      Week ending Monday 29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</si>
</sst>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charset val="1"/>
    </font>
    <font>
      <sz val="10"/>
      <color rgb="FF23303F"/>
      <name val="Calibri"/>
      <charset val="1"/>
    </font>
    <font>
      <b/>
      <sz val="12"/>
      <color rgb="FFB23A48"/>
      <name val="Arial"/>
      <family val="2"/>
      <charset val="1"/>
    </font>
    <font>
      <b/>
      <sz val="12"/>
      <color rgb="FF0D2240"/>
      <name val="Calibri"/>
      <charset val="1"/>
    </font>
    <font>
      <sz val="10"/>
      <name val="Arial"/>
      <family val="2"/>
      <charset val="1"/>
    </font>
    <font>
      <b/>
      <sz val="10"/>
      <color rgb="FF23303F"/>
      <name val="Calibri"/>
      <charset val="1"/>
    </font>
    <font>
      <b/>
      <sz val="11"/>
      <color rgb="FF0D2240"/>
      <name val="Calibri"/>
      <charset val="1"/>
    </font>
    <font>
      <b/>
      <sz val="11"/>
      <color rgb="FF0000FF"/>
      <name val="Arial"/>
      <family val="2"/>
      <charset val="1"/>
    </font>
    <font>
      <sz val="9"/>
      <color rgb="FF6B7280"/>
      <name val="Calibri"/>
      <charset val="1"/>
    </font>
    <font>
      <b/>
      <sz val="12"/>
      <name val="Cambria"/>
      <charset val="1"/>
    </font>
    <font>
      <i/>
      <sz val="10"/>
      <color rgb="FF6B7280"/>
      <name val="Calibri"/>
      <charset val="1"/>
    </font>
    <font>
      <b/>
      <sz val="18"/>
      <color rgb="FF0D2240"/>
      <name val="Calibri"/>
      <family val="2"/>
      <charset val="1"/>
    </font>
    <font>
      <sz val="11"/>
      <name val="Cambria"/>
      <charset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charset val="1"/>
    </font>
    <font>
      <sz val="10"/>
      <color rgb="FF6B7280"/>
      <name val="Calibri"/>
      <charset val="1"/>
    </font>
    <font>
      <b/>
      <sz val="10"/>
      <color rgb="FFFFFFFF"/>
      <name val="Calibri"/>
      <charset val="1"/>
    </font>
    <font>
      <b/>
      <sz val="11"/>
      <color rgb="FFB0892F"/>
      <name val="Calibri"/>
      <charset val="1"/>
    </font>
    <font>
      <b/>
      <sz val="10"/>
      <color rgb="FF0D2240"/>
      <name val="Calibri"/>
      <charset val="1"/>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charset val="1"/>
    </font>
    <font>
      <b/>
      <sz val="13"/>
      <color rgb="FFB0892F"/>
      <name val="Calibri"/>
      <charset val="1"/>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charset val="1"/>
    </font>
    <font>
      <b/>
      <sz val="9"/>
      <color rgb="FF23303F"/>
      <name val="Calibri"/>
      <charset val="1"/>
    </font>
    <font>
      <b/>
      <sz val="9"/>
      <color rgb="FFFFFFFF"/>
      <name val="Calibri"/>
      <charset val="1"/>
    </font>
    <font>
      <b/>
      <sz val="8"/>
      <color rgb="FFFFFFFF"/>
      <name val="Calibri"/>
      <charset val="1"/>
    </font>
    <font>
      <sz val="8"/>
      <color rgb="FF23303F"/>
      <name val="Calibri"/>
      <charset val="1"/>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3" fillId="0" borderId="0" xfId="0" applyFont="1" applyAlignment="1">
      <alignment horizontal="center" vertical="center"/>
    </xf>
    <xf numFmtId="0" fontId="0" fillId="0" borderId="0" xfId="0"/>
    <xf numFmtId="0" fontId="64" fillId="0" borderId="0" xfId="0" applyFont="1" applyAlignment="1">
      <alignment horizontal="center" vertical="center"/>
    </xf>
    <xf numFmtId="0" fontId="69" fillId="0" borderId="0" xfId="0" applyFont="1" applyAlignment="1">
      <alignment horizontal="left" vertical="top" wrapText="1"/>
    </xf>
    <xf numFmtId="0" fontId="65" fillId="4" borderId="0" xfId="0" applyFont="1" applyFill="1" applyAlignment="1">
      <alignment horizontal="left" vertical="center" indent="1"/>
    </xf>
    <xf numFmtId="0" fontId="66"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6</v>
      </c>
      <c r="D47" s="22" t="s">
        <v>54</v>
      </c>
    </row>
    <row r="48" spans="2:4" ht="18" customHeight="1" x14ac:dyDescent="0.2">
      <c r="B48" s="19" t="s">
        <v>55</v>
      </c>
      <c r="C48">
        <v>8</v>
      </c>
      <c r="D48" s="22" t="s">
        <v>56</v>
      </c>
    </row>
    <row r="49" spans="2:4" ht="18" customHeight="1" x14ac:dyDescent="0.2">
      <c r="B49" s="19" t="s">
        <v>57</v>
      </c>
      <c r="C49">
        <v>5</v>
      </c>
      <c r="D49" s="22" t="s">
        <v>58</v>
      </c>
    </row>
    <row r="50" spans="2:4" ht="4.5" customHeight="1" x14ac:dyDescent="0.2"/>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60"/>
  <sheetViews>
    <sheetView showGridLines="0" tabSelected="1"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6" t="s">
        <v>367</v>
      </c>
      <c r="B1" s="137"/>
      <c r="C1" s="137"/>
      <c r="D1" s="137"/>
      <c r="E1" s="137"/>
      <c r="F1" s="137"/>
      <c r="G1" s="137"/>
      <c r="H1" s="137"/>
    </row>
    <row r="2" spans="1:8" ht="18" customHeight="1" x14ac:dyDescent="0.2">
      <c r="A2" s="138" t="s">
        <v>420</v>
      </c>
      <c r="B2" s="137"/>
      <c r="C2" s="137"/>
      <c r="D2" s="137"/>
      <c r="E2" s="137"/>
      <c r="F2" s="137"/>
      <c r="G2" s="137"/>
      <c r="H2" s="137"/>
    </row>
    <row r="3" spans="1:8" ht="48" customHeight="1" x14ac:dyDescent="0.2">
      <c r="A3" s="139" t="s">
        <v>368</v>
      </c>
      <c r="B3" s="137"/>
      <c r="C3" s="137"/>
      <c r="D3" s="137"/>
      <c r="E3" s="137"/>
      <c r="F3" s="137"/>
      <c r="G3" s="137"/>
      <c r="H3" s="137"/>
    </row>
    <row r="6" spans="1:8" ht="22" customHeight="1" x14ac:dyDescent="0.2">
      <c r="A6" s="140" t="s">
        <v>369</v>
      </c>
      <c r="B6" s="137"/>
      <c r="C6" s="137"/>
      <c r="D6" s="137"/>
      <c r="E6" s="137"/>
      <c r="F6" s="137"/>
      <c r="G6" s="137"/>
      <c r="H6" s="137"/>
    </row>
    <row r="7" spans="1:8" ht="50.5" customHeight="1" x14ac:dyDescent="0.2">
      <c r="A7" s="134" t="s">
        <v>370</v>
      </c>
      <c r="B7" s="141" t="s">
        <v>371</v>
      </c>
      <c r="C7" s="137"/>
      <c r="D7" s="137"/>
      <c r="E7" s="137"/>
      <c r="F7" s="137"/>
      <c r="G7" s="137"/>
      <c r="H7" s="137"/>
    </row>
    <row r="8" spans="1:8" ht="50.5" customHeight="1" x14ac:dyDescent="0.2">
      <c r="A8" s="135" t="s">
        <v>372</v>
      </c>
      <c r="B8" s="141" t="s">
        <v>373</v>
      </c>
      <c r="C8" s="137"/>
      <c r="D8" s="137"/>
      <c r="E8" s="137"/>
      <c r="F8" s="137"/>
      <c r="G8" s="137"/>
      <c r="H8" s="137"/>
    </row>
    <row r="9" spans="1:8" ht="19.5" customHeight="1" x14ac:dyDescent="0.2">
      <c r="A9" s="134" t="s">
        <v>370</v>
      </c>
      <c r="B9" s="141" t="s">
        <v>374</v>
      </c>
      <c r="C9" s="137"/>
      <c r="D9" s="137"/>
      <c r="E9" s="137"/>
      <c r="F9" s="137"/>
      <c r="G9" s="137"/>
      <c r="H9" s="137"/>
    </row>
    <row r="10" spans="1:8" ht="50.5" customHeight="1" x14ac:dyDescent="0.2">
      <c r="A10" s="135" t="s">
        <v>372</v>
      </c>
      <c r="B10" s="141" t="s">
        <v>375</v>
      </c>
      <c r="C10" s="137"/>
      <c r="D10" s="137"/>
      <c r="E10" s="137"/>
      <c r="F10" s="137"/>
      <c r="G10" s="137"/>
      <c r="H10" s="137"/>
    </row>
    <row r="11" spans="1:8" ht="19.5" customHeight="1" x14ac:dyDescent="0.2">
      <c r="A11" s="134" t="s">
        <v>370</v>
      </c>
      <c r="B11" s="141" t="s">
        <v>376</v>
      </c>
      <c r="C11" s="137"/>
      <c r="D11" s="137"/>
      <c r="E11" s="137"/>
      <c r="F11" s="137"/>
      <c r="G11" s="137"/>
      <c r="H11" s="137"/>
    </row>
    <row r="12" spans="1:8" ht="19.5" customHeight="1" x14ac:dyDescent="0.2">
      <c r="A12" s="135" t="s">
        <v>372</v>
      </c>
      <c r="B12" s="141" t="s">
        <v>377</v>
      </c>
      <c r="C12" s="137"/>
      <c r="D12" s="137"/>
      <c r="E12" s="137"/>
      <c r="F12" s="137"/>
      <c r="G12" s="137"/>
      <c r="H12" s="137"/>
    </row>
    <row r="14" spans="1:8" ht="22" customHeight="1" x14ac:dyDescent="0.2">
      <c r="A14" s="140" t="s">
        <v>378</v>
      </c>
      <c r="B14" s="137"/>
      <c r="C14" s="137"/>
      <c r="D14" s="137"/>
      <c r="E14" s="137"/>
      <c r="F14" s="137"/>
      <c r="G14" s="137"/>
      <c r="H14" s="137"/>
    </row>
    <row r="15" spans="1:8" ht="50.5" customHeight="1" x14ac:dyDescent="0.2">
      <c r="A15" s="134" t="s">
        <v>370</v>
      </c>
      <c r="B15" s="141" t="s">
        <v>379</v>
      </c>
      <c r="C15" s="137"/>
      <c r="D15" s="137"/>
      <c r="E15" s="137"/>
      <c r="F15" s="137"/>
      <c r="G15" s="137"/>
      <c r="H15" s="137"/>
    </row>
    <row r="16" spans="1:8" ht="50.5" customHeight="1" x14ac:dyDescent="0.2">
      <c r="A16" s="135" t="s">
        <v>372</v>
      </c>
      <c r="B16" s="141" t="s">
        <v>380</v>
      </c>
      <c r="C16" s="137"/>
      <c r="D16" s="137"/>
      <c r="E16" s="137"/>
      <c r="F16" s="137"/>
      <c r="G16" s="137"/>
      <c r="H16" s="137"/>
    </row>
    <row r="17" spans="1:8" ht="19.5" customHeight="1" x14ac:dyDescent="0.2">
      <c r="A17" s="134" t="s">
        <v>370</v>
      </c>
      <c r="B17" s="141" t="s">
        <v>381</v>
      </c>
      <c r="C17" s="137"/>
      <c r="D17" s="137"/>
      <c r="E17" s="137"/>
      <c r="F17" s="137"/>
      <c r="G17" s="137"/>
      <c r="H17" s="137"/>
    </row>
    <row r="18" spans="1:8" ht="66" customHeight="1" x14ac:dyDescent="0.2">
      <c r="A18" s="135" t="s">
        <v>372</v>
      </c>
      <c r="B18" s="141" t="s">
        <v>382</v>
      </c>
      <c r="C18" s="137"/>
      <c r="D18" s="137"/>
      <c r="E18" s="137"/>
      <c r="F18" s="137"/>
      <c r="G18" s="137"/>
      <c r="H18" s="137"/>
    </row>
    <row r="19" spans="1:8" ht="19.5" customHeight="1" x14ac:dyDescent="0.2">
      <c r="A19" s="134" t="s">
        <v>370</v>
      </c>
      <c r="B19" s="141" t="s">
        <v>383</v>
      </c>
      <c r="C19" s="137"/>
      <c r="D19" s="137"/>
      <c r="E19" s="137"/>
      <c r="F19" s="137"/>
      <c r="G19" s="137"/>
      <c r="H19" s="137"/>
    </row>
    <row r="20" spans="1:8" ht="19.5" customHeight="1" x14ac:dyDescent="0.2">
      <c r="A20" s="135" t="s">
        <v>372</v>
      </c>
      <c r="B20" s="141" t="s">
        <v>384</v>
      </c>
      <c r="C20" s="137"/>
      <c r="D20" s="137"/>
      <c r="E20" s="137"/>
      <c r="F20" s="137"/>
      <c r="G20" s="137"/>
      <c r="H20" s="137"/>
    </row>
    <row r="22" spans="1:8" ht="22" customHeight="1" x14ac:dyDescent="0.2">
      <c r="A22" s="140" t="s">
        <v>385</v>
      </c>
      <c r="B22" s="137"/>
      <c r="C22" s="137"/>
      <c r="D22" s="137"/>
      <c r="E22" s="137"/>
      <c r="F22" s="137"/>
      <c r="G22" s="137"/>
      <c r="H22" s="137"/>
    </row>
    <row r="23" spans="1:8" ht="19.5" customHeight="1" x14ac:dyDescent="0.2">
      <c r="A23" s="134" t="s">
        <v>370</v>
      </c>
      <c r="B23" s="141" t="s">
        <v>386</v>
      </c>
      <c r="C23" s="137"/>
      <c r="D23" s="137"/>
      <c r="E23" s="137"/>
      <c r="F23" s="137"/>
      <c r="G23" s="137"/>
      <c r="H23" s="137"/>
    </row>
    <row r="24" spans="1:8" ht="66" customHeight="1" x14ac:dyDescent="0.2">
      <c r="A24" s="135" t="s">
        <v>372</v>
      </c>
      <c r="B24" s="141" t="s">
        <v>387</v>
      </c>
      <c r="C24" s="137"/>
      <c r="D24" s="137"/>
      <c r="E24" s="137"/>
      <c r="F24" s="137"/>
      <c r="G24" s="137"/>
      <c r="H24" s="137"/>
    </row>
    <row r="25" spans="1:8" ht="19.5" customHeight="1" x14ac:dyDescent="0.2">
      <c r="A25" s="134" t="s">
        <v>370</v>
      </c>
      <c r="B25" s="141" t="s">
        <v>388</v>
      </c>
      <c r="C25" s="137"/>
      <c r="D25" s="137"/>
      <c r="E25" s="137"/>
      <c r="F25" s="137"/>
      <c r="G25" s="137"/>
      <c r="H25" s="137"/>
    </row>
    <row r="26" spans="1:8" ht="50.5" customHeight="1" x14ac:dyDescent="0.2">
      <c r="A26" s="135" t="s">
        <v>372</v>
      </c>
      <c r="B26" s="141" t="s">
        <v>389</v>
      </c>
      <c r="C26" s="137"/>
      <c r="D26" s="137"/>
      <c r="E26" s="137"/>
      <c r="F26" s="137"/>
      <c r="G26" s="137"/>
      <c r="H26" s="137"/>
    </row>
    <row r="27" spans="1:8" ht="19.5" customHeight="1" x14ac:dyDescent="0.2">
      <c r="A27" s="134" t="s">
        <v>370</v>
      </c>
      <c r="B27" s="141" t="s">
        <v>390</v>
      </c>
      <c r="C27" s="137"/>
      <c r="D27" s="137"/>
      <c r="E27" s="137"/>
      <c r="F27" s="137"/>
      <c r="G27" s="137"/>
      <c r="H27" s="137"/>
    </row>
    <row r="29" spans="1:8" ht="22" customHeight="1" x14ac:dyDescent="0.2">
      <c r="A29" s="140" t="s">
        <v>391</v>
      </c>
      <c r="B29" s="137"/>
      <c r="C29" s="137"/>
      <c r="D29" s="137"/>
      <c r="E29" s="137"/>
      <c r="F29" s="137"/>
      <c r="G29" s="137"/>
      <c r="H29" s="137"/>
    </row>
    <row r="30" spans="1:8" ht="19.5" customHeight="1" x14ac:dyDescent="0.2">
      <c r="A30" s="134" t="s">
        <v>370</v>
      </c>
      <c r="B30" s="141" t="s">
        <v>392</v>
      </c>
      <c r="C30" s="137"/>
      <c r="D30" s="137"/>
      <c r="E30" s="137"/>
      <c r="F30" s="137"/>
      <c r="G30" s="137"/>
      <c r="H30" s="137"/>
    </row>
    <row r="31" spans="1:8" ht="35" customHeight="1" x14ac:dyDescent="0.2">
      <c r="A31" s="135" t="s">
        <v>372</v>
      </c>
      <c r="B31" s="141" t="s">
        <v>393</v>
      </c>
      <c r="C31" s="137"/>
      <c r="D31" s="137"/>
      <c r="E31" s="137"/>
      <c r="F31" s="137"/>
      <c r="G31" s="137"/>
      <c r="H31" s="137"/>
    </row>
    <row r="32" spans="1:8" ht="19.5" customHeight="1" x14ac:dyDescent="0.2">
      <c r="A32" s="134" t="s">
        <v>370</v>
      </c>
      <c r="B32" s="141" t="s">
        <v>394</v>
      </c>
      <c r="C32" s="137"/>
      <c r="D32" s="137"/>
      <c r="E32" s="137"/>
      <c r="F32" s="137"/>
      <c r="G32" s="137"/>
      <c r="H32" s="137"/>
    </row>
    <row r="33" spans="1:8" ht="50.5" customHeight="1" x14ac:dyDescent="0.2">
      <c r="A33" s="135" t="s">
        <v>372</v>
      </c>
      <c r="B33" s="141" t="s">
        <v>395</v>
      </c>
      <c r="C33" s="137"/>
      <c r="D33" s="137"/>
      <c r="E33" s="137"/>
      <c r="F33" s="137"/>
      <c r="G33" s="137"/>
      <c r="H33" s="137"/>
    </row>
    <row r="34" spans="1:8" ht="19.5" customHeight="1" x14ac:dyDescent="0.2">
      <c r="A34" s="134" t="s">
        <v>370</v>
      </c>
      <c r="B34" s="141" t="s">
        <v>396</v>
      </c>
      <c r="C34" s="137"/>
      <c r="D34" s="137"/>
      <c r="E34" s="137"/>
      <c r="F34" s="137"/>
      <c r="G34" s="137"/>
      <c r="H34" s="137"/>
    </row>
    <row r="35" spans="1:8" ht="66" customHeight="1" x14ac:dyDescent="0.2">
      <c r="A35" s="135" t="s">
        <v>372</v>
      </c>
      <c r="B35" s="141" t="s">
        <v>397</v>
      </c>
      <c r="C35" s="137"/>
      <c r="D35" s="137"/>
      <c r="E35" s="137"/>
      <c r="F35" s="137"/>
      <c r="G35" s="137"/>
      <c r="H35" s="137"/>
    </row>
    <row r="36" spans="1:8" ht="19.5" customHeight="1" x14ac:dyDescent="0.2">
      <c r="A36" s="134" t="s">
        <v>370</v>
      </c>
      <c r="B36" s="141" t="s">
        <v>398</v>
      </c>
      <c r="C36" s="137"/>
      <c r="D36" s="137"/>
      <c r="E36" s="137"/>
      <c r="F36" s="137"/>
      <c r="G36" s="137"/>
      <c r="H36" s="137"/>
    </row>
    <row r="37" spans="1:8" ht="50.5" customHeight="1" x14ac:dyDescent="0.2">
      <c r="A37" s="135" t="s">
        <v>372</v>
      </c>
      <c r="B37" s="141" t="s">
        <v>399</v>
      </c>
      <c r="C37" s="137"/>
      <c r="D37" s="137"/>
      <c r="E37" s="137"/>
      <c r="F37" s="137"/>
      <c r="G37" s="137"/>
      <c r="H37" s="137"/>
    </row>
    <row r="39" spans="1:8" ht="22" customHeight="1" x14ac:dyDescent="0.2">
      <c r="A39" s="140" t="s">
        <v>400</v>
      </c>
      <c r="B39" s="137"/>
      <c r="C39" s="137"/>
      <c r="D39" s="137"/>
      <c r="E39" s="137"/>
      <c r="F39" s="137"/>
      <c r="G39" s="137"/>
      <c r="H39" s="137"/>
    </row>
    <row r="40" spans="1:8" ht="19.5" customHeight="1" x14ac:dyDescent="0.2">
      <c r="A40" s="134" t="s">
        <v>370</v>
      </c>
      <c r="B40" s="141" t="s">
        <v>401</v>
      </c>
      <c r="C40" s="137"/>
      <c r="D40" s="137"/>
      <c r="E40" s="137"/>
      <c r="F40" s="137"/>
      <c r="G40" s="137"/>
      <c r="H40" s="137"/>
    </row>
    <row r="41" spans="1:8" ht="50.5" customHeight="1" x14ac:dyDescent="0.2">
      <c r="A41" s="135" t="s">
        <v>372</v>
      </c>
      <c r="B41" s="141" t="s">
        <v>402</v>
      </c>
      <c r="C41" s="137"/>
      <c r="D41" s="137"/>
      <c r="E41" s="137"/>
      <c r="F41" s="137"/>
      <c r="G41" s="137"/>
      <c r="H41" s="137"/>
    </row>
    <row r="42" spans="1:8" ht="19.5" customHeight="1" x14ac:dyDescent="0.2">
      <c r="A42" s="134" t="s">
        <v>370</v>
      </c>
      <c r="B42" s="141" t="s">
        <v>403</v>
      </c>
      <c r="C42" s="137"/>
      <c r="D42" s="137"/>
      <c r="E42" s="137"/>
      <c r="F42" s="137"/>
      <c r="G42" s="137"/>
      <c r="H42" s="137"/>
    </row>
    <row r="43" spans="1:8" ht="35" customHeight="1" x14ac:dyDescent="0.2">
      <c r="A43" s="135" t="s">
        <v>372</v>
      </c>
      <c r="B43" s="141" t="s">
        <v>404</v>
      </c>
      <c r="C43" s="137"/>
      <c r="D43" s="137"/>
      <c r="E43" s="137"/>
      <c r="F43" s="137"/>
      <c r="G43" s="137"/>
      <c r="H43" s="137"/>
    </row>
    <row r="44" spans="1:8" ht="19.5" customHeight="1" x14ac:dyDescent="0.2">
      <c r="A44" s="134" t="s">
        <v>370</v>
      </c>
      <c r="B44" s="141" t="s">
        <v>405</v>
      </c>
      <c r="C44" s="137"/>
      <c r="D44" s="137"/>
      <c r="E44" s="137"/>
      <c r="F44" s="137"/>
      <c r="G44" s="137"/>
      <c r="H44" s="137"/>
    </row>
    <row r="45" spans="1:8" ht="66" customHeight="1" x14ac:dyDescent="0.2">
      <c r="A45" s="135" t="s">
        <v>372</v>
      </c>
      <c r="B45" s="141" t="s">
        <v>406</v>
      </c>
      <c r="C45" s="137"/>
      <c r="D45" s="137"/>
      <c r="E45" s="137"/>
      <c r="F45" s="137"/>
      <c r="G45" s="137"/>
      <c r="H45" s="137"/>
    </row>
    <row r="46" spans="1:8" ht="19.5" customHeight="1" x14ac:dyDescent="0.2">
      <c r="A46" s="134" t="s">
        <v>370</v>
      </c>
      <c r="B46" s="141" t="s">
        <v>407</v>
      </c>
      <c r="C46" s="137"/>
      <c r="D46" s="137"/>
      <c r="E46" s="137"/>
      <c r="F46" s="137"/>
      <c r="G46" s="137"/>
      <c r="H46" s="137"/>
    </row>
    <row r="47" spans="1:8" ht="66" customHeight="1" x14ac:dyDescent="0.2">
      <c r="A47" s="135" t="s">
        <v>372</v>
      </c>
      <c r="B47" s="141" t="s">
        <v>408</v>
      </c>
      <c r="C47" s="137"/>
      <c r="D47" s="137"/>
      <c r="E47" s="137"/>
      <c r="F47" s="137"/>
      <c r="G47" s="137"/>
      <c r="H47" s="137"/>
    </row>
    <row r="49" spans="1:8" ht="22" customHeight="1" x14ac:dyDescent="0.2">
      <c r="A49" s="140" t="s">
        <v>409</v>
      </c>
      <c r="B49" s="137"/>
      <c r="C49" s="137"/>
      <c r="D49" s="137"/>
      <c r="E49" s="137"/>
      <c r="F49" s="137"/>
      <c r="G49" s="137"/>
      <c r="H49" s="137"/>
    </row>
    <row r="50" spans="1:8" ht="19.5" customHeight="1" x14ac:dyDescent="0.2">
      <c r="A50" s="134" t="s">
        <v>370</v>
      </c>
      <c r="B50" s="141" t="s">
        <v>410</v>
      </c>
      <c r="C50" s="137"/>
      <c r="D50" s="137"/>
      <c r="E50" s="137"/>
      <c r="F50" s="137"/>
      <c r="G50" s="137"/>
      <c r="H50" s="137"/>
    </row>
    <row r="51" spans="1:8" ht="35" customHeight="1" x14ac:dyDescent="0.2">
      <c r="A51" s="135" t="s">
        <v>372</v>
      </c>
      <c r="B51" s="141" t="s">
        <v>411</v>
      </c>
      <c r="C51" s="137"/>
      <c r="D51" s="137"/>
      <c r="E51" s="137"/>
      <c r="F51" s="137"/>
      <c r="G51" s="137"/>
      <c r="H51" s="137"/>
    </row>
    <row r="52" spans="1:8" ht="19.5" customHeight="1" x14ac:dyDescent="0.2">
      <c r="A52" s="134" t="s">
        <v>370</v>
      </c>
      <c r="B52" s="141" t="s">
        <v>412</v>
      </c>
      <c r="C52" s="137"/>
      <c r="D52" s="137"/>
      <c r="E52" s="137"/>
      <c r="F52" s="137"/>
      <c r="G52" s="137"/>
      <c r="H52" s="137"/>
    </row>
    <row r="53" spans="1:8" ht="35" customHeight="1" x14ac:dyDescent="0.2">
      <c r="A53" s="135" t="s">
        <v>372</v>
      </c>
      <c r="B53" s="141" t="s">
        <v>413</v>
      </c>
      <c r="C53" s="137"/>
      <c r="D53" s="137"/>
      <c r="E53" s="137"/>
      <c r="F53" s="137"/>
      <c r="G53" s="137"/>
      <c r="H53" s="137"/>
    </row>
    <row r="54" spans="1:8" ht="35" customHeight="1" x14ac:dyDescent="0.2">
      <c r="A54" s="134" t="s">
        <v>370</v>
      </c>
      <c r="B54" s="141" t="s">
        <v>414</v>
      </c>
      <c r="C54" s="137"/>
      <c r="D54" s="137"/>
      <c r="E54" s="137"/>
      <c r="F54" s="137"/>
      <c r="G54" s="137"/>
      <c r="H54" s="137"/>
    </row>
    <row r="55" spans="1:8" ht="19.5" customHeight="1" x14ac:dyDescent="0.2">
      <c r="A55" s="135" t="s">
        <v>372</v>
      </c>
      <c r="B55" s="141" t="s">
        <v>415</v>
      </c>
      <c r="C55" s="137"/>
      <c r="D55" s="137"/>
      <c r="E55" s="137"/>
      <c r="F55" s="137"/>
      <c r="G55" s="137"/>
      <c r="H55" s="137"/>
    </row>
    <row r="57" spans="1:8" ht="22" customHeight="1" x14ac:dyDescent="0.2">
      <c r="A57" s="140" t="s">
        <v>416</v>
      </c>
      <c r="B57" s="137"/>
      <c r="C57" s="137"/>
      <c r="D57" s="137"/>
      <c r="E57" s="137"/>
      <c r="F57" s="137"/>
      <c r="G57" s="137"/>
      <c r="H57" s="137"/>
    </row>
    <row r="58" spans="1:8" ht="35" customHeight="1" x14ac:dyDescent="0.2">
      <c r="A58" s="134" t="s">
        <v>370</v>
      </c>
      <c r="B58" s="141" t="s">
        <v>417</v>
      </c>
      <c r="C58" s="137"/>
      <c r="D58" s="137"/>
      <c r="E58" s="137"/>
      <c r="F58" s="137"/>
      <c r="G58" s="137"/>
      <c r="H58" s="137"/>
    </row>
    <row r="59" spans="1:8" ht="19.5" customHeight="1" x14ac:dyDescent="0.2">
      <c r="A59" s="135" t="s">
        <v>372</v>
      </c>
      <c r="B59" s="141" t="s">
        <v>418</v>
      </c>
      <c r="C59" s="137"/>
      <c r="D59" s="137"/>
      <c r="E59" s="137"/>
      <c r="F59" s="137"/>
      <c r="G59" s="137"/>
      <c r="H59" s="137"/>
    </row>
    <row r="60" spans="1:8" ht="19.5" customHeight="1" x14ac:dyDescent="0.2">
      <c r="A60" s="134" t="s">
        <v>370</v>
      </c>
      <c r="B60" s="141" t="s">
        <v>419</v>
      </c>
      <c r="C60" s="137"/>
      <c r="D60" s="137"/>
      <c r="E60" s="137"/>
      <c r="F60" s="137"/>
      <c r="G60" s="137"/>
      <c r="H60" s="137"/>
    </row>
  </sheetData>
  <mergeCells count="52">
    <mergeCell ref="B59:H59"/>
    <mergeCell ref="B60:H60"/>
    <mergeCell ref="B53:H53"/>
    <mergeCell ref="B54:H54"/>
    <mergeCell ref="B55:H55"/>
    <mergeCell ref="A57:H57"/>
    <mergeCell ref="B58:H58"/>
    <mergeCell ref="B47:H47"/>
    <mergeCell ref="A49:H49"/>
    <mergeCell ref="B50:H50"/>
    <mergeCell ref="B51:H51"/>
    <mergeCell ref="B52:H52"/>
    <mergeCell ref="B42:H42"/>
    <mergeCell ref="B43:H43"/>
    <mergeCell ref="B44:H44"/>
    <mergeCell ref="B45:H45"/>
    <mergeCell ref="B46:H46"/>
    <mergeCell ref="B36:H36"/>
    <mergeCell ref="B37:H37"/>
    <mergeCell ref="A39:H39"/>
    <mergeCell ref="B40:H40"/>
    <mergeCell ref="B41:H41"/>
    <mergeCell ref="B31:H31"/>
    <mergeCell ref="B32:H32"/>
    <mergeCell ref="B33:H33"/>
    <mergeCell ref="B34:H34"/>
    <mergeCell ref="B35:H35"/>
    <mergeCell ref="B25:H25"/>
    <mergeCell ref="B26:H26"/>
    <mergeCell ref="B27:H27"/>
    <mergeCell ref="A29:H29"/>
    <mergeCell ref="B30:H30"/>
    <mergeCell ref="B19:H19"/>
    <mergeCell ref="B20:H20"/>
    <mergeCell ref="A22:H22"/>
    <mergeCell ref="B23:H23"/>
    <mergeCell ref="B24:H24"/>
    <mergeCell ref="A14:H14"/>
    <mergeCell ref="B15:H15"/>
    <mergeCell ref="B16:H16"/>
    <mergeCell ref="B17:H17"/>
    <mergeCell ref="B18:H18"/>
    <mergeCell ref="B8:H8"/>
    <mergeCell ref="B9:H9"/>
    <mergeCell ref="B10:H10"/>
    <mergeCell ref="B11:H11"/>
    <mergeCell ref="B12:H12"/>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8"/>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Log'!$D$4:$D$311,'Sport Records'!$C$4,'Match Log'!$E$4:$E$311,"Win")&amp;" wins, "&amp;(COUNTIF('Match Log'!$D$4:$D$311,'Sport Records'!$C$4)-COUNTIFS('Match Log'!$D$4:$D$311,'Sport Records'!$C$4,'Match Log'!$E$4:$E$311,"Win"))&amp;"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Log'!$D$4:$D$311,$B10,'Match Log'!$C$4:$C$311,$A10,'Match Log'!$E$4:$E$311,"Win")&amp;"–"&amp;(COUNTIFS('Match Log'!$D$4:$D$311,$B10,'Match Log'!$C$4:$C$311,$A10)-COUNTIFS('Match Log'!$D$4:$D$311,$B10,'Match Log'!$C$4:$C$311,$A10,'Match Log'!$E$4:$E$311,"Win")))</f>
        <v>2–0</v>
      </c>
      <c r="E10" s="30">
        <f>IFERROR('Sport Records'!$P$8,0)</f>
        <v>1</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Log'!$D$4:$D$311,$B11,'Match Log'!$C$4:$C$311,$A11,'Match Log'!$E$4:$E$311,"Win")&amp;"–"&amp;(COUNTIFS('Match Log'!$D$4:$D$311,$B11,'Match Log'!$C$4:$C$311,$A11)-COUNTIFS('Match Log'!$D$4:$D$311,$B11,'Match Log'!$C$4:$C$311,$A11,'Match Log'!$E$4:$E$311,"Win")))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Log'!$D$4:$D$311,$B12,'Match Log'!$C$4:$C$311,$A12,'Match Log'!$E$4:$E$311,"Win")&amp;"–"&amp;(COUNTIFS('Match Log'!$D$4:$D$311,$B12,'Match Log'!$C$4:$C$311,$A12)-COUNTIFS('Match Log'!$D$4:$D$311,$B12,'Match Log'!$C$4:$C$311,$A12,'Match Log'!$E$4:$E$311,"Win")))</f>
        <v>6–2</v>
      </c>
      <c r="E12" s="30">
        <f>IFERROR('Sport Records'!$P$10,0)</f>
        <v>4</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Log'!$D$4:$D$311,$B13,'Match Log'!$C$4:$C$311,$A13,'Match Log'!$E$4:$E$311,"Win")&amp;"–"&amp;(COUNTIFS('Match Log'!$D$4:$D$311,$B13,'Match Log'!$C$4:$C$311,$A13)-COUNTIFS('Match Log'!$D$4:$D$311,$B13,'Match Log'!$C$4:$C$311,$A13,'Match Log'!$E$4:$E$311,"Win")))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Log'!$D$4:$D$311,$B14,'Match Log'!$C$4:$C$311,$A14,'Match Log'!$E$4:$E$311,"Win")&amp;"–"&amp;(COUNTIFS('Match Log'!$D$4:$D$311,$B14,'Match Log'!$C$4:$C$311,$A14)-COUNTIFS('Match Log'!$D$4:$D$311,$B14,'Match Log'!$C$4:$C$311,$A14,'Match Log'!$E$4:$E$311,"Win")))</f>
        <v>2–0</v>
      </c>
      <c r="E14" s="30">
        <f>IFERROR('Sport Records'!$P$12,0)</f>
        <v>3</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Log'!$D$4:$D$311,$B15,'Match Log'!$C$4:$C$311,$A15,'Match Log'!$E$4:$E$311,"Win")&amp;"–"&amp;(COUNTIFS('Match Log'!$D$4:$D$311,$B15,'Match Log'!$C$4:$C$311,$A15)-COUNTIFS('Match Log'!$D$4:$D$311,$B15,'Match Log'!$C$4:$C$311,$A15,'Match Log'!$E$4:$E$311,"Win")))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Log'!$D$4:$D$311,$B16,'Match Log'!$C$4:$C$311,$A16,'Match Log'!$E$4:$E$311,"Win")&amp;"–"&amp;(COUNTIFS('Match Log'!$D$4:$D$311,$B16,'Match Log'!$C$4:$C$311,$A16)-COUNTIFS('Match Log'!$D$4:$D$311,$B16,'Match Log'!$C$4:$C$311,$A16,'Match Log'!$E$4:$E$311,"Win")))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Log'!$D$4:$D$311,$B17,'Match Log'!$C$4:$C$311,$A17,'Match Log'!$E$4:$E$311,"Win")&amp;"–"&amp;(COUNTIFS('Match Log'!$D$4:$D$311,$B17,'Match Log'!$C$4:$C$311,$A17)-COUNTIFS('Match Log'!$D$4:$D$311,$B17,'Match Log'!$C$4:$C$311,$A17,'Match Log'!$E$4:$E$311,"Win")))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Log'!$D$4:$D$311,$B18,'Match Log'!$C$4:$C$311,$A18,'Match Log'!$E$4:$E$311,"Win")&amp;"–"&amp;(COUNTIFS('Match Log'!$D$4:$D$311,$B18,'Match Log'!$C$4:$C$311,$A18)-COUNTIFS('Match Log'!$D$4:$D$311,$B18,'Match Log'!$C$4:$C$311,$A18,'Match Log'!$E$4:$E$311,"Win")))</f>
        <v>1–0</v>
      </c>
      <c r="E18" s="30">
        <f>IFERROR('Sport Records'!$P$16,0)</f>
        <v>2</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Log'!$D$4:$D$311,$B19,'Match Log'!$C$4:$C$311,$A19,'Match Log'!$E$4:$E$311,"Win")&amp;"–"&amp;(COUNTIFS('Match Log'!$D$4:$D$311,$B19,'Match Log'!$C$4:$C$311,$A19)-COUNTIFS('Match Log'!$D$4:$D$311,$B19,'Match Log'!$C$4:$C$311,$A19,'Match Log'!$E$4:$E$311,"Win")))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Log'!$D$4:$D$311,$B20,'Match Log'!$C$4:$C$311,$A20,'Match Log'!$E$4:$E$311,"Win")&amp;"–"&amp;(COUNTIFS('Match Log'!$D$4:$D$311,$B20,'Match Log'!$C$4:$C$311,$A20)-COUNTIFS('Match Log'!$D$4:$D$311,$B20,'Match Log'!$C$4:$C$311,$A20,'Match Log'!$E$4:$E$311,"Win")))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Log'!$D$4:$D$311,$B21,'Match Log'!$C$4:$C$311,$A21,'Match Log'!$E$4:$E$311,"Win")&amp;"–"&amp;(COUNTIFS('Match Log'!$D$4:$D$311,$B21,'Match Log'!$C$4:$C$311,$A21)-COUNTIFS('Match Log'!$D$4:$D$311,$B21,'Match Log'!$C$4:$C$311,$A21,'Match Log'!$E$4:$E$311,"Win")))</f>
        <v>13–2</v>
      </c>
      <c r="E21" s="30">
        <f>IFERROR('Sport Records'!$P$19,0)</f>
        <v>29</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1045</v>
      </c>
      <c r="D22" s="30" t="str">
        <f>IF(OR($B22="—",$B22=""),"—",COUNTIFS('Match Log'!$D$4:$D$311,$B22,'Match Log'!$C$4:$C$311,$A22,'Match Log'!$E$4:$E$311,"Win")&amp;"–"&amp;(COUNTIFS('Match Log'!$D$4:$D$311,$B22,'Match Log'!$C$4:$C$311,$A22)-COUNTIFS('Match Log'!$D$4:$D$311,$B22,'Match Log'!$C$4:$C$311,$A22,'Match Log'!$E$4:$E$311,"Win")))</f>
        <v>3–0</v>
      </c>
      <c r="E22" s="30">
        <f>IFERROR('Sport Records'!$P$20,0)</f>
        <v>7</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Log'!$D$4:$D$311,$B23,'Match Log'!$C$4:$C$311,$A23,'Match Log'!$E$4:$E$311,"Win")&amp;"–"&amp;(COUNTIFS('Match Log'!$D$4:$D$311,$B23,'Match Log'!$C$4:$C$311,$A23)-COUNTIFS('Match Log'!$D$4:$D$311,$B23,'Match Log'!$C$4:$C$311,$A23,'Match Log'!$E$4:$E$311,"Win")))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Log'!$D$4:$D$311,$B24,'Match Log'!$C$4:$C$311,$A24,'Match Log'!$E$4:$E$311,"Win")&amp;"–"&amp;(COUNTIFS('Match Log'!$D$4:$D$311,$B24,'Match Log'!$C$4:$C$311,$A24)-COUNTIFS('Match Log'!$D$4:$D$311,$B24,'Match Log'!$C$4:$C$311,$A24,'Match Log'!$E$4:$E$311,"Win")))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Log'!$D$4:$D$311,$B25,'Match Log'!$C$4:$C$311,$A25,'Match Log'!$E$4:$E$311,"Win")&amp;"–"&amp;(COUNTIFS('Match Log'!$D$4:$D$311,$B25,'Match Log'!$C$4:$C$311,$A25)-COUNTIFS('Match Log'!$D$4:$D$311,$B25,'Match Log'!$C$4:$C$311,$A25,'Match Log'!$E$4:$E$311,"Win")))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Log'!$D$4:$D$311,$B26,'Match Log'!$C$4:$C$311,$A26,'Match Log'!$E$4:$E$311,"Win")&amp;"–"&amp;(COUNTIFS('Match Log'!$D$4:$D$311,$B26,'Match Log'!$C$4:$C$311,$A26)-COUNTIFS('Match Log'!$D$4:$D$311,$B26,'Match Log'!$C$4:$C$311,$A26,'Match Log'!$E$4:$E$311,"Win")))</f>
        <v>1–0</v>
      </c>
      <c r="E26" s="30">
        <f>IFERROR('Sport Records'!$P$24,0)</f>
        <v>2</v>
      </c>
    </row>
    <row r="27" spans="1:9" ht="15" customHeight="1" x14ac:dyDescent="0.2">
      <c r="A27" s="28" t="str">
        <f>IF(Lists!$C$19="","",Lists!$C$19)</f>
        <v>ShuffleBoard</v>
      </c>
      <c r="B27" s="29" t="str">
        <f>IFERROR('Sport Records'!$P$108,"—")</f>
        <v>Simon</v>
      </c>
      <c r="C27" s="30">
        <f>IF(OR($B27="—",$B27=""),"",ROUND(MAX('Sport Records'!$B$108:$O$108),0))</f>
        <v>1060</v>
      </c>
      <c r="D27" s="30" t="str">
        <f>IF(OR($B27="—",$B27=""),"—",COUNTIFS('Match Log'!$D$4:$D$311,$B27,'Match Log'!$C$4:$C$311,$A27,'Match Log'!$E$4:$E$311,"Win")&amp;"–"&amp;(COUNTIFS('Match Log'!$D$4:$D$311,$B27,'Match Log'!$C$4:$C$311,$A27)-COUNTIFS('Match Log'!$D$4:$D$311,$B27,'Match Log'!$C$4:$C$311,$A27,'Match Log'!$E$4:$E$311,"Win")))</f>
        <v>8–3</v>
      </c>
      <c r="E27" s="30">
        <f>IFERROR('Sport Records'!$P$25,0)</f>
        <v>49</v>
      </c>
    </row>
    <row r="28" spans="1:9" ht="15" customHeight="1" x14ac:dyDescent="0.2">
      <c r="A28" s="28" t="str">
        <f>IF(Lists!$C$20="","",Lists!$C$20)</f>
        <v>Mario Golf</v>
      </c>
      <c r="B28" s="29" t="str">
        <f>'Sport Records'!$P$109</f>
        <v>Josh</v>
      </c>
      <c r="C28" s="30">
        <f>IF(OR($B28="—",$B28=""),"",ROUND(MAX('Sport Records'!$B$109:$O$109),0))</f>
        <v>1005</v>
      </c>
      <c r="D28" s="30" t="str">
        <f>IF(OR($B28="—",$B28=""),"—",COUNTIFS('Match Log'!$D$4:$D$311,$B28,'Match Log'!$C$4:$C$311,$A28,'Match Log'!$E$4:$E$311,"Win")&amp;"–"&amp;(COUNTIFS('Match Log'!$D$4:$D$311,$B28,'Match Log'!$C$4:$C$311,$A28)-COUNTIFS('Match Log'!$D$4:$D$311,$B28,'Match Log'!$C$4:$C$311,$A28,'Match Log'!$E$4:$E$311,"Win")))</f>
        <v>2–2</v>
      </c>
      <c r="E28" s="30">
        <f>'Sport Records'!$P$26</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Log'!$A$4:$A$311)&amp;"  ·  "&amp;TEXT(MAX('Match Log'!$B$4:$B$311),"d mmm yyyy")</f>
        <v>Standings as of Game 118  ·  4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 t="shared" ref="A5:A18" si="0">SUMPRODUCT(($C$5:$C$18&gt;$C5)*1)+SUMPRODUCT(($C$5:$C$18=$C5)*($D$5:$D$18&gt;$D5)*1)+1</f>
        <v>1</v>
      </c>
      <c r="B5" s="51" t="s">
        <v>174</v>
      </c>
      <c r="C5" s="52">
        <f>INDEX(Engine!$B$2:$B$15,MATCH($B5,Engine!$A$2:$A$15,0))</f>
        <v>1189.3765078898728</v>
      </c>
      <c r="D5" s="53">
        <f>COUNTIF('Match Log'!$D$4:$D$311,$B5)</f>
        <v>23</v>
      </c>
      <c r="E5" s="53">
        <f>COUNTIFS('Match Log'!$D$4:$D$311,$B5,'Match Log'!$E$4:$E$311,"Win")</f>
        <v>15</v>
      </c>
      <c r="F5" s="53">
        <f t="shared" ref="F5:F18" si="1">$D5-$E5</f>
        <v>8</v>
      </c>
      <c r="G5" s="54">
        <f t="shared" ref="G5:G18" si="2">IF($D5=0,"",$E5/$D5)</f>
        <v>0.65217391304347827</v>
      </c>
      <c r="H5" s="55">
        <f>SUMIF('Match Log'!$D$4:$D$311,$B5,'Match Log'!$J$4:$J$311)</f>
        <v>80.736145770043876</v>
      </c>
      <c r="I5" s="55">
        <f>SUMIF('Match Log'!$D$4:$D$311,$B5,'Match Log'!$K$4:$K$311)</f>
        <v>56.640362119828737</v>
      </c>
      <c r="J5" s="55">
        <f>SUMIF('Match Log'!$D$4:$D$311,$B5,'Match Log'!$L$4:$L$311)</f>
        <v>52</v>
      </c>
      <c r="K5" s="53">
        <f>SUMPRODUCT(--(COUNTIFS('Match Log'!$D$4:$D$311,$B5,'Match Log'!$C$4:$C$311,Lists!$C$2:$C$20)&gt;0))</f>
        <v>3</v>
      </c>
      <c r="L5" s="53" t="str">
        <f>IF($D5=0,"No games",IF(AND($D5&gt;='Guide &amp; Settings'!$C$45,$K5&gt;='Guide &amp; Settings'!$C$46),"Eligible","Provisional"))</f>
        <v>Eligible</v>
      </c>
      <c r="M5" s="52">
        <f>IFERROR(INDEX(Calcs!$C$7:$C$20,MATCH($B5,Calcs!$A$7:$A$20,0)),"")</f>
        <v>1074.1779562705763</v>
      </c>
      <c r="N5" s="52">
        <f t="shared" ref="N5:N18" si="3">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2.6</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 t="shared" si="0"/>
        <v>2</v>
      </c>
      <c r="B6" s="51" t="s">
        <v>176</v>
      </c>
      <c r="C6" s="52">
        <f>INDEX(Engine!$B$2:$B$15,MATCH($B6,Engine!$A$2:$A$15,0))</f>
        <v>1154.7503552131154</v>
      </c>
      <c r="D6" s="53">
        <f>COUNTIF('Match Log'!$D$4:$D$311,$B6)</f>
        <v>39</v>
      </c>
      <c r="E6" s="53">
        <f>COUNTIFS('Match Log'!$D$4:$D$311,$B6,'Match Log'!$E$4:$E$311,"Win")</f>
        <v>19</v>
      </c>
      <c r="F6" s="53">
        <f t="shared" si="1"/>
        <v>20</v>
      </c>
      <c r="G6" s="54">
        <f t="shared" si="2"/>
        <v>0.48717948717948717</v>
      </c>
      <c r="H6" s="55">
        <f>SUMIF('Match Log'!$D$4:$D$311,$B6,'Match Log'!$J$4:$J$311)</f>
        <v>61.056380472485557</v>
      </c>
      <c r="I6" s="55">
        <f>SUMIF('Match Log'!$D$4:$D$311,$B6,'Match Log'!$K$4:$K$311)</f>
        <v>32.693974740630075</v>
      </c>
      <c r="J6" s="55">
        <f>SUMIF('Match Log'!$D$4:$D$311,$B6,'Match Log'!$L$4:$L$311)</f>
        <v>61</v>
      </c>
      <c r="K6" s="53">
        <f>SUMPRODUCT(--(COUNTIFS('Match Log'!$D$4:$D$311,$B6,'Match Log'!$C$4:$C$311,Lists!$C$2:$C$20)&gt;0))</f>
        <v>7</v>
      </c>
      <c r="L6" s="53" t="str">
        <f>IF($D6=0,"No games",IF(AND($D6&gt;='Guide &amp; Settings'!$C$45,$K6&gt;='Guide &amp; Settings'!$C$46),"Eligible","Provisional"))</f>
        <v>Eligible</v>
      </c>
      <c r="M6" s="52">
        <f>IFERROR(INDEX(Calcs!$C$7:$C$20,MATCH($B6,Calcs!$A$7:$A$20,0)),"")</f>
        <v>1062.7009143720043</v>
      </c>
      <c r="N6" s="52">
        <f t="shared" si="3"/>
        <v>34.626152676757329</v>
      </c>
      <c r="O6" s="53" t="str">
        <f>IFERROR(INDEX(Calcs!$H$7:$H$20,MATCH($B6,Calcs!$A$7:$A$20,0)),"")</f>
        <v>W4</v>
      </c>
      <c r="P6" s="53" t="str">
        <f>IFERROR(INDEX(Calcs!$I$7:$I$20,MATCH($B6,Calcs!$A$7:$A$20,0)),"")</f>
        <v>LWWWW</v>
      </c>
      <c r="Q6" s="53" t="str">
        <f>IFERROR(IF(INDEX(Calcs!$L$7:$L$20,MATCH($B6,Calcs!$A$7:$A$20,0))&gt;0,"▲"&amp;INDEX(Calcs!$L$7:$L$20,MATCH($B6,Calcs!$A$7:$A$20,0)),IF(INDEX(Calcs!$L$7:$L$20,MATCH($B6,Calcs!$A$7:$A$20,0))&lt;0,"▼"&amp;ABS(INDEX(Calcs!$L$7:$L$20,MATCH($B6,Calcs!$A$7:$A$20,0))),"–")),"")</f>
        <v>▲3</v>
      </c>
      <c r="R6" s="53" t="str">
        <f>IFERROR(IF(INDEX(Calcs!$P$7:$P$20,MATCH($B6,Calcs!$A$7:$A$20,0))=0,"—",TEXT(INDEX(Calcs!$P$7:$P$20,MATCH($B6,Calcs!$A$7:$A$20,0)),"d mmm")),"")</f>
        <v>4 Jul</v>
      </c>
      <c r="S6" s="53">
        <f>IFERROR(ROUND(INDEX(Calcs!$Q$7:$Q$20,MATCH($B6,Calcs!$A$7:$A$20,0)),1),"")</f>
        <v>0</v>
      </c>
      <c r="T6" s="53" t="str">
        <f>IFERROR(INDEX(Calcs!$T$7:$T$20,MATCH($B6,Calcs!$A$7:$A$20,0)),"")</f>
        <v>Active</v>
      </c>
      <c r="U6" s="55">
        <f>IFERROR(MAX(0,ROUND($C6-INDEX(Calcs!$S$7:$S$20,MATCH($B6,Calcs!$A$7:$A$20,0)),0)),0)</f>
        <v>0</v>
      </c>
      <c r="V6" s="55">
        <f>IFERROR(ROUND(INDEX(Calcs!$S$7:$S$20,MATCH($B6,Calcs!$A$7:$A$20,0)),0),"")</f>
        <v>1155</v>
      </c>
      <c r="W6" s="53" t="str">
        <f>IFERROR(INDEX(Calcs!$AF$7:$AF$20,MATCH($B6,Calcs!$A$7:$A$20,0)),"")</f>
        <v>Elite</v>
      </c>
    </row>
    <row r="7" spans="1:23" ht="15" customHeight="1" x14ac:dyDescent="0.2">
      <c r="A7" s="50">
        <f t="shared" si="0"/>
        <v>3</v>
      </c>
      <c r="B7" s="51" t="s">
        <v>144</v>
      </c>
      <c r="C7" s="52">
        <f>INDEX(Engine!$B$2:$B$15,MATCH($B7,Engine!$A$2:$A$15,0))</f>
        <v>1147.1945550051951</v>
      </c>
      <c r="D7" s="53">
        <f>COUNTIF('Match Log'!$D$4:$D$311,$B7)</f>
        <v>32</v>
      </c>
      <c r="E7" s="53">
        <f>COUNTIFS('Match Log'!$D$4:$D$311,$B7,'Match Log'!$E$4:$E$311,"Win")</f>
        <v>20</v>
      </c>
      <c r="F7" s="53">
        <f t="shared" si="1"/>
        <v>12</v>
      </c>
      <c r="G7" s="54">
        <f t="shared" si="2"/>
        <v>0.625</v>
      </c>
      <c r="H7" s="55">
        <f>SUMIF('Match Log'!$D$4:$D$311,$B7,'Match Log'!$J$4:$J$311)</f>
        <v>35.723163059660365</v>
      </c>
      <c r="I7" s="55">
        <f>SUMIF('Match Log'!$D$4:$D$311,$B7,'Match Log'!$K$4:$K$311)</f>
        <v>51.471391945534876</v>
      </c>
      <c r="J7" s="55">
        <f>SUMIF('Match Log'!$D$4:$D$311,$B7,'Match Log'!$L$4:$L$311)</f>
        <v>60</v>
      </c>
      <c r="K7" s="53">
        <f>SUMPRODUCT(--(COUNTIFS('Match Log'!$D$4:$D$311,$B7,'Match Log'!$C$4:$C$311,Lists!$C$2:$C$20)&gt;0))</f>
        <v>8</v>
      </c>
      <c r="L7" s="53" t="str">
        <f>IF($D7=0,"No games",IF(AND($D7&gt;='Guide &amp; Settings'!$C$45,$K7&gt;='Guide &amp; Settings'!$C$46),"Eligible","Provisional"))</f>
        <v>Eligible</v>
      </c>
      <c r="M7" s="52">
        <f>IFERROR(INDEX(Calcs!$C$7:$C$20,MATCH($B7,Calcs!$A$7:$A$20,0)),"")</f>
        <v>1050.7513326385229</v>
      </c>
      <c r="N7" s="52">
        <f t="shared" si="3"/>
        <v>42.181952884677685</v>
      </c>
      <c r="O7" s="53" t="str">
        <f>IFERROR(INDEX(Calcs!$H$7:$H$20,MATCH($B7,Calcs!$A$7:$A$20,0)),"")</f>
        <v>L1</v>
      </c>
      <c r="P7" s="53" t="str">
        <f>IFERROR(INDEX(Calcs!$I$7:$I$20,MATCH($B7,Calcs!$A$7:$A$20,0)),"")</f>
        <v>LLWWL</v>
      </c>
      <c r="Q7" s="53" t="str">
        <f>IFERROR(IF(INDEX(Calcs!$L$7:$L$20,MATCH($B7,Calcs!$A$7:$A$20,0))&gt;0,"▲"&amp;INDEX(Calcs!$L$7:$L$20,MATCH($B7,Calcs!$A$7:$A$20,0)),IF(INDEX(Calcs!$L$7:$L$20,MATCH($B7,Calcs!$A$7:$A$20,0))&lt;0,"▼"&amp;ABS(INDEX(Calcs!$L$7:$L$20,MATCH($B7,Calcs!$A$7:$A$20,0))),"–")),"")</f>
        <v>▼1</v>
      </c>
      <c r="R7" s="53" t="str">
        <f>IFERROR(IF(INDEX(Calcs!$P$7:$P$20,MATCH($B7,Calcs!$A$7:$A$20,0))=0,"—",TEXT(INDEX(Calcs!$P$7:$P$20,MATCH($B7,Calcs!$A$7:$A$20,0)),"d mmm")),"")</f>
        <v>26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1147</v>
      </c>
      <c r="W7" s="53" t="str">
        <f>IFERROR(INDEX(Calcs!$AF$7:$AF$20,MATCH($B7,Calcs!$A$7:$A$20,0)),"")</f>
        <v>Elite</v>
      </c>
    </row>
    <row r="8" spans="1:23" ht="15" customHeight="1" x14ac:dyDescent="0.2">
      <c r="A8" s="50">
        <f t="shared" si="0"/>
        <v>4</v>
      </c>
      <c r="B8" s="51" t="s">
        <v>145</v>
      </c>
      <c r="C8" s="52">
        <f>INDEX(Engine!$B$2:$B$15,MATCH($B8,Engine!$A$2:$A$15,0))</f>
        <v>1125.1080177960646</v>
      </c>
      <c r="D8" s="53">
        <f>COUNTIF('Match Log'!$D$4:$D$311,$B8)</f>
        <v>25</v>
      </c>
      <c r="E8" s="53">
        <f>COUNTIFS('Match Log'!$D$4:$D$311,$B8,'Match Log'!$E$4:$E$311,"Win")</f>
        <v>15</v>
      </c>
      <c r="F8" s="53">
        <f t="shared" si="1"/>
        <v>10</v>
      </c>
      <c r="G8" s="54">
        <f t="shared" si="2"/>
        <v>0.6</v>
      </c>
      <c r="H8" s="55">
        <f>SUMIF('Match Log'!$D$4:$D$311,$B8,'Match Log'!$J$4:$J$311)</f>
        <v>41.705142857640425</v>
      </c>
      <c r="I8" s="55">
        <f>SUMIF('Match Log'!$D$4:$D$311,$B8,'Match Log'!$K$4:$K$311)</f>
        <v>39.402874938423857</v>
      </c>
      <c r="J8" s="55">
        <f>SUMIF('Match Log'!$D$4:$D$311,$B8,'Match Log'!$L$4:$L$311)</f>
        <v>44</v>
      </c>
      <c r="K8" s="53">
        <f>SUMPRODUCT(--(COUNTIFS('Match Log'!$D$4:$D$311,$B8,'Match Log'!$C$4:$C$311,Lists!$C$2:$C$20)&gt;0))</f>
        <v>7</v>
      </c>
      <c r="L8" s="53" t="str">
        <f>IF($D8=0,"No games",IF(AND($D8&gt;='Guide &amp; Settings'!$C$45,$K8&gt;='Guide &amp; Settings'!$C$46),"Eligible","Provisional"))</f>
        <v>Eligible</v>
      </c>
      <c r="M8" s="52">
        <f>IFERROR(INDEX(Calcs!$C$7:$C$20,MATCH($B8,Calcs!$A$7:$A$20,0)),"")</f>
        <v>1037.6239185820834</v>
      </c>
      <c r="N8" s="52">
        <f t="shared" si="3"/>
        <v>64.268490093808168</v>
      </c>
      <c r="O8" s="53" t="str">
        <f>IFERROR(INDEX(Calcs!$H$7:$H$20,MATCH($B8,Calcs!$A$7:$A$20,0)),"")</f>
        <v>W5</v>
      </c>
      <c r="P8" s="53" t="str">
        <f>IFERROR(INDEX(Calcs!$I$7:$I$20,MATCH($B8,Calcs!$A$7:$A$20,0)),"")</f>
        <v>WWWWW</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27 Jun</v>
      </c>
      <c r="S8" s="53">
        <f>IFERROR(ROUND(INDEX(Calcs!$Q$7:$Q$20,MATCH($B8,Calcs!$A$7:$A$20,0)),1),"")</f>
        <v>1</v>
      </c>
      <c r="T8" s="53" t="str">
        <f>IFERROR(INDEX(Calcs!$T$7:$T$20,MATCH($B8,Calcs!$A$7:$A$20,0)),"")</f>
        <v>Active</v>
      </c>
      <c r="U8" s="55">
        <f>IFERROR(MAX(0,ROUND($C8-INDEX(Calcs!$S$7:$S$20,MATCH($B8,Calcs!$A$7:$A$20,0)),0)),0)</f>
        <v>0</v>
      </c>
      <c r="V8" s="55">
        <f>IFERROR(ROUND(INDEX(Calcs!$S$7:$S$20,MATCH($B8,Calcs!$A$7:$A$20,0)),0),"")</f>
        <v>1125</v>
      </c>
      <c r="W8" s="53" t="str">
        <f>IFERROR(INDEX(Calcs!$AF$7:$AF$20,MATCH($B8,Calcs!$A$7:$A$20,0)),"")</f>
        <v>Elite</v>
      </c>
    </row>
    <row r="9" spans="1:23" ht="15" customHeight="1" x14ac:dyDescent="0.2">
      <c r="A9" s="50">
        <f t="shared" si="0"/>
        <v>5</v>
      </c>
      <c r="B9" s="51" t="s">
        <v>175</v>
      </c>
      <c r="C9" s="52">
        <f>INDEX(Engine!$B$2:$B$15,MATCH($B9,Engine!$A$2:$A$15,0))</f>
        <v>1099.9035033078371</v>
      </c>
      <c r="D9" s="53">
        <f>COUNTIF('Match Log'!$D$4:$D$311,$B9)</f>
        <v>17</v>
      </c>
      <c r="E9" s="53">
        <f>COUNTIFS('Match Log'!$D$4:$D$311,$B9,'Match Log'!$E$4:$E$311,"Win")</f>
        <v>10</v>
      </c>
      <c r="F9" s="53">
        <f t="shared" si="1"/>
        <v>7</v>
      </c>
      <c r="G9" s="54">
        <f t="shared" si="2"/>
        <v>0.58823529411764708</v>
      </c>
      <c r="H9" s="55">
        <f>SUMIF('Match Log'!$D$4:$D$311,$B9,'Match Log'!$J$4:$J$311)</f>
        <v>18.993138966169308</v>
      </c>
      <c r="I9" s="55">
        <f>SUMIF('Match Log'!$D$4:$D$311,$B9,'Match Log'!$K$4:$K$311)</f>
        <v>28.910364341667837</v>
      </c>
      <c r="J9" s="55">
        <f>SUMIF('Match Log'!$D$4:$D$311,$B9,'Match Log'!$L$4:$L$311)</f>
        <v>52</v>
      </c>
      <c r="K9" s="53">
        <f>SUMPRODUCT(--(COUNTIFS('Match Log'!$D$4:$D$311,$B9,'Match Log'!$C$4:$C$311,Lists!$C$2:$C$20)&gt;0))</f>
        <v>4</v>
      </c>
      <c r="L9" s="53" t="str">
        <f>IF($D9=0,"No games",IF(AND($D9&gt;='Guide &amp; Settings'!$C$45,$K9&gt;='Guide &amp; Settings'!$C$46),"Eligible","Provisional"))</f>
        <v>Eligible</v>
      </c>
      <c r="M9" s="52">
        <f>IFERROR(INDEX(Calcs!$C$7:$C$20,MATCH($B9,Calcs!$A$7:$A$20,0)),"")</f>
        <v>1089.4921020396014</v>
      </c>
      <c r="N9" s="52">
        <f t="shared" si="3"/>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2.7</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 t="shared" si="0"/>
        <v>6</v>
      </c>
      <c r="B10" s="51" t="s">
        <v>177</v>
      </c>
      <c r="C10" s="52">
        <f>INDEX(Engine!$B$2:$B$15,MATCH($B10,Engine!$A$2:$A$15,0))</f>
        <v>1069.478840506906</v>
      </c>
      <c r="D10" s="53">
        <f>COUNTIF('Match Log'!$D$4:$D$311,$B10)</f>
        <v>49</v>
      </c>
      <c r="E10" s="53">
        <f>COUNTIFS('Match Log'!$D$4:$D$311,$B10,'Match Log'!$E$4:$E$311,"Win")</f>
        <v>21</v>
      </c>
      <c r="F10" s="53">
        <f t="shared" si="1"/>
        <v>28</v>
      </c>
      <c r="G10" s="54">
        <f t="shared" si="2"/>
        <v>0.42857142857142855</v>
      </c>
      <c r="H10" s="55">
        <f>SUMIF('Match Log'!$D$4:$D$311,$B10,'Match Log'!$J$4:$J$311)</f>
        <v>-33.313102598619778</v>
      </c>
      <c r="I10" s="55">
        <f>SUMIF('Match Log'!$D$4:$D$311,$B10,'Match Log'!$K$4:$K$311)</f>
        <v>27.791943105525881</v>
      </c>
      <c r="J10" s="55">
        <f>SUMIF('Match Log'!$D$4:$D$311,$B10,'Match Log'!$L$4:$L$311)</f>
        <v>75</v>
      </c>
      <c r="K10" s="53">
        <f>SUMPRODUCT(--(COUNTIFS('Match Log'!$D$4:$D$311,$B10,'Match Log'!$C$4:$C$311,Lists!$C$2:$C$20)&gt;0))</f>
        <v>11</v>
      </c>
      <c r="L10" s="53" t="str">
        <f>IF($D10=0,"No games",IF(AND($D10&gt;='Guide &amp; Settings'!$C$45,$K10&gt;='Guide &amp; Settings'!$C$46),"Eligible","Provisional"))</f>
        <v>Eligible</v>
      </c>
      <c r="M10" s="52">
        <f>IFERROR(INDEX(Calcs!$C$7:$C$20,MATCH($B10,Calcs!$A$7:$A$20,0)),"")</f>
        <v>1068.9293037026482</v>
      </c>
      <c r="N10" s="52">
        <f t="shared" si="3"/>
        <v>119.8976673829668</v>
      </c>
      <c r="O10" s="53" t="str">
        <f>IFERROR(INDEX(Calcs!$H$7:$H$20,MATCH($B10,Calcs!$A$7:$A$20,0)),"")</f>
        <v>L1</v>
      </c>
      <c r="P10" s="53" t="str">
        <f>IFERROR(INDEX(Calcs!$I$7:$I$20,MATCH($B10,Calcs!$A$7:$A$20,0)),"")</f>
        <v>WLLWL</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29 Jun</v>
      </c>
      <c r="S10" s="53">
        <f>IFERROR(ROUND(INDEX(Calcs!$Q$7:$Q$20,MATCH($B10,Calcs!$A$7:$A$20,0)),1),"")</f>
        <v>0.7</v>
      </c>
      <c r="T10" s="53" t="str">
        <f>IFERROR(INDEX(Calcs!$T$7:$T$20,MATCH($B10,Calcs!$A$7:$A$20,0)),"")</f>
        <v>Active</v>
      </c>
      <c r="U10" s="55">
        <f>IFERROR(MAX(0,ROUND($C10-INDEX(Calcs!$S$7:$S$20,MATCH($B10,Calcs!$A$7:$A$20,0)),0)),0)</f>
        <v>0</v>
      </c>
      <c r="V10" s="55">
        <f>IFERROR(ROUND(INDEX(Calcs!$S$7:$S$20,MATCH($B10,Calcs!$A$7:$A$20,0)),0),"")</f>
        <v>1069</v>
      </c>
      <c r="W10" s="53" t="str">
        <f>IFERROR(INDEX(Calcs!$AF$7:$AF$20,MATCH($B10,Calcs!$A$7:$A$20,0)),"")</f>
        <v>Strong</v>
      </c>
    </row>
    <row r="11" spans="1:23" ht="15" customHeight="1" x14ac:dyDescent="0.2">
      <c r="A11" s="50">
        <f t="shared" si="0"/>
        <v>7</v>
      </c>
      <c r="B11" s="51" t="s">
        <v>142</v>
      </c>
      <c r="C11" s="52">
        <f>INDEX(Engine!$B$2:$B$15,MATCH($B11,Engine!$A$2:$A$15,0))</f>
        <v>1044.8691565259944</v>
      </c>
      <c r="D11" s="53">
        <f>COUNTIF('Match Log'!$D$4:$D$311,$B11)</f>
        <v>10</v>
      </c>
      <c r="E11" s="53">
        <f>COUNTIFS('Match Log'!$D$4:$D$311,$B11,'Match Log'!$E$4:$E$311,"Win")</f>
        <v>5</v>
      </c>
      <c r="F11" s="53">
        <f t="shared" si="1"/>
        <v>5</v>
      </c>
      <c r="G11" s="54">
        <f t="shared" si="2"/>
        <v>0.5</v>
      </c>
      <c r="H11" s="55">
        <f>SUMIF('Match Log'!$D$4:$D$311,$B11,'Match Log'!$J$4:$J$311)</f>
        <v>-15.210558333280616</v>
      </c>
      <c r="I11" s="55">
        <f>SUMIF('Match Log'!$D$4:$D$311,$B11,'Match Log'!$K$4:$K$311)</f>
        <v>16.079714859275072</v>
      </c>
      <c r="J11" s="55">
        <f>SUMIF('Match Log'!$D$4:$D$311,$B11,'Match Log'!$L$4:$L$311)</f>
        <v>44</v>
      </c>
      <c r="K11" s="53">
        <f>SUMPRODUCT(--(COUNTIFS('Match Log'!$D$4:$D$311,$B11,'Match Log'!$C$4:$C$311,Lists!$C$2:$C$20)&gt;0))</f>
        <v>3</v>
      </c>
      <c r="L11" s="53" t="str">
        <f>IF($D11=0,"No games",IF(AND($D11&gt;='Guide &amp; Settings'!$C$45,$K11&gt;='Guide &amp; Settings'!$C$46),"Eligible","Provisional"))</f>
        <v>Eligible</v>
      </c>
      <c r="M11" s="52">
        <f>IFERROR(INDEX(Calcs!$C$7:$C$20,MATCH($B11,Calcs!$A$7:$A$20,0)),"")</f>
        <v>1089.5487055180556</v>
      </c>
      <c r="N11" s="52">
        <f t="shared" si="3"/>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2.7</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 t="shared" si="0"/>
        <v>8</v>
      </c>
      <c r="B12" s="51" t="s">
        <v>178</v>
      </c>
      <c r="C12" s="52">
        <f>INDEX(Engine!$B$2:$B$15,MATCH($B12,Engine!$A$2:$A$15,0))</f>
        <v>1039.5415973556721</v>
      </c>
      <c r="D12" s="53">
        <f>COUNTIF('Match Log'!$D$4:$D$311,$B12)</f>
        <v>5</v>
      </c>
      <c r="E12" s="53">
        <f>COUNTIFS('Match Log'!$D$4:$D$311,$B12,'Match Log'!$E$4:$E$311,"Win")</f>
        <v>2</v>
      </c>
      <c r="F12" s="53">
        <f t="shared" si="1"/>
        <v>3</v>
      </c>
      <c r="G12" s="54">
        <f t="shared" si="2"/>
        <v>0.4</v>
      </c>
      <c r="H12" s="55">
        <f>SUMIF('Match Log'!$D$4:$D$311,$B12,'Match Log'!$J$4:$J$311)</f>
        <v>-1.9252751900484864</v>
      </c>
      <c r="I12" s="55">
        <f>SUMIF('Match Log'!$D$4:$D$311,$B12,'Match Log'!$K$4:$K$311)</f>
        <v>13.466872545720536</v>
      </c>
      <c r="J12" s="55">
        <f>SUMIF('Match Log'!$D$4:$D$311,$B12,'Match Log'!$L$4:$L$311)</f>
        <v>28</v>
      </c>
      <c r="K12" s="53">
        <f>SUMPRODUCT(--(COUNTIFS('Match Log'!$D$4:$D$311,$B12,'Match Log'!$C$4:$C$311,Lists!$C$2:$C$20)&gt;0))</f>
        <v>1</v>
      </c>
      <c r="L12" s="53" t="str">
        <f>IF($D12=0,"No games",IF(AND($D12&gt;='Guide &amp; Settings'!$C$45,$K12&gt;='Guide &amp; Settings'!$C$46),"Eligible","Provisional"))</f>
        <v>Provisional</v>
      </c>
      <c r="M12" s="52">
        <f>IFERROR(INDEX(Calcs!$C$7:$C$20,MATCH($B12,Calcs!$A$7:$A$20,0)),"")</f>
        <v>1066.7168830610779</v>
      </c>
      <c r="N12" s="52">
        <f t="shared" si="3"/>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2.7</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 t="shared" si="0"/>
        <v>9</v>
      </c>
      <c r="B13" s="51" t="s">
        <v>179</v>
      </c>
      <c r="C13" s="52">
        <f>INDEX(Engine!$B$2:$B$15,MATCH($B13,Engine!$A$2:$A$15,0))</f>
        <v>1038.5016461247724</v>
      </c>
      <c r="D13" s="53">
        <f>COUNTIF('Match Log'!$D$4:$D$311,$B13)</f>
        <v>4</v>
      </c>
      <c r="E13" s="53">
        <f>COUNTIFS('Match Log'!$D$4:$D$311,$B13,'Match Log'!$E$4:$E$311,"Win")</f>
        <v>2</v>
      </c>
      <c r="F13" s="53">
        <f t="shared" si="1"/>
        <v>2</v>
      </c>
      <c r="G13" s="54">
        <f t="shared" si="2"/>
        <v>0.5</v>
      </c>
      <c r="H13" s="55">
        <f>SUMIF('Match Log'!$D$4:$D$311,$B13,'Match Log'!$J$4:$J$311)</f>
        <v>1.6363549587646489</v>
      </c>
      <c r="I13" s="55">
        <f>SUMIF('Match Log'!$D$4:$D$311,$B13,'Match Log'!$K$4:$K$311)</f>
        <v>12.865291166007616</v>
      </c>
      <c r="J13" s="55">
        <f>SUMIF('Match Log'!$D$4:$D$311,$B13,'Match Log'!$L$4:$L$311)</f>
        <v>24</v>
      </c>
      <c r="K13" s="53">
        <f>SUMPRODUCT(--(COUNTIFS('Match Log'!$D$4:$D$311,$B13,'Match Log'!$C$4:$C$311,Lists!$C$2:$C$20)&gt;0))</f>
        <v>1</v>
      </c>
      <c r="L13" s="53" t="str">
        <f>IF($D13=0,"No games",IF(AND($D13&gt;='Guide &amp; Settings'!$C$45,$K13&gt;='Guide &amp; Settings'!$C$46),"Eligible","Provisional"))</f>
        <v>Provisional</v>
      </c>
      <c r="M13" s="52">
        <f>IFERROR(INDEX(Calcs!$C$7:$C$20,MATCH($B13,Calcs!$A$7:$A$20,0)),"")</f>
        <v>1087.6402060746505</v>
      </c>
      <c r="N13" s="52">
        <f t="shared" si="3"/>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2.7</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 t="shared" si="0"/>
        <v>10</v>
      </c>
      <c r="B14" s="51" t="s">
        <v>180</v>
      </c>
      <c r="C14" s="52">
        <f>INDEX(Engine!$B$2:$B$15,MATCH($B14,Engine!$A$2:$A$15,0))</f>
        <v>1017.3466608720325</v>
      </c>
      <c r="D14" s="53">
        <f>COUNTIF('Match Log'!$D$4:$D$311,$B14)</f>
        <v>10</v>
      </c>
      <c r="E14" s="53">
        <f>COUNTIFS('Match Log'!$D$4:$D$311,$B14,'Match Log'!$E$4:$E$311,"Win")</f>
        <v>5</v>
      </c>
      <c r="F14" s="53">
        <f t="shared" si="1"/>
        <v>5</v>
      </c>
      <c r="G14" s="54">
        <f t="shared" si="2"/>
        <v>0.5</v>
      </c>
      <c r="H14" s="55">
        <f>SUMIF('Match Log'!$D$4:$D$311,$B14,'Match Log'!$J$4:$J$311)</f>
        <v>7.9323751577466233</v>
      </c>
      <c r="I14" s="55">
        <f>SUMIF('Match Log'!$D$4:$D$311,$B14,'Match Log'!$K$4:$K$311)</f>
        <v>-1.5857142857142881</v>
      </c>
      <c r="J14" s="55">
        <f>SUMIF('Match Log'!$D$4:$D$311,$B14,'Match Log'!$L$4:$L$311)</f>
        <v>11</v>
      </c>
      <c r="K14" s="53">
        <f>SUMPRODUCT(--(COUNTIFS('Match Log'!$D$4:$D$311,$B14,'Match Log'!$C$4:$C$311,Lists!$C$2:$C$20)&gt;0))</f>
        <v>6</v>
      </c>
      <c r="L14" s="53" t="str">
        <f>IF($D14=0,"No games",IF(AND($D14&gt;='Guide &amp; Settings'!$C$45,$K14&gt;='Guide &amp; Settings'!$C$46),"Eligible","Provisional"))</f>
        <v>Eligible</v>
      </c>
      <c r="M14" s="52">
        <f>IFERROR(INDEX(Calcs!$C$7:$C$20,MATCH($B14,Calcs!$A$7:$A$20,0)),"")</f>
        <v>1073.6851802864951</v>
      </c>
      <c r="N14" s="52">
        <f t="shared" si="3"/>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2.7</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 t="shared" si="0"/>
        <v>11</v>
      </c>
      <c r="B15" s="51" t="s">
        <v>181</v>
      </c>
      <c r="C15" s="52">
        <f>INDEX(Engine!$B$2:$B$15,MATCH($B15,Engine!$A$2:$A$15,0))</f>
        <v>1000</v>
      </c>
      <c r="D15" s="53">
        <f>COUNTIF('Match Log'!$D$4:$D$311,$B15)</f>
        <v>0</v>
      </c>
      <c r="E15" s="53">
        <f>COUNTIFS('Match Log'!$D$4:$D$311,$B15,'Match Log'!$E$4:$E$311,"Win")</f>
        <v>0</v>
      </c>
      <c r="F15" s="53">
        <f t="shared" si="1"/>
        <v>0</v>
      </c>
      <c r="G15" s="54" t="str">
        <f t="shared" si="2"/>
        <v/>
      </c>
      <c r="H15" s="55">
        <f>SUMIF('Match Log'!$D$4:$D$311,$B15,'Match Log'!$J$4:$J$311)</f>
        <v>0</v>
      </c>
      <c r="I15" s="55">
        <f>SUMIF('Match Log'!$D$4:$D$311,$B15,'Match Log'!$K$4:$K$311)</f>
        <v>0</v>
      </c>
      <c r="J15" s="55">
        <f>SUMIF('Match Log'!$D$4:$D$311,$B15,'Match Log'!$L$4:$L$311)</f>
        <v>0</v>
      </c>
      <c r="K15" s="53">
        <f>SUMPRODUCT(--(COUNTIFS('Match Log'!$D$4:$D$311,$B15,'Match Log'!$C$4:$C$311,Lists!$C$2:$C$20)&gt;0))</f>
        <v>0</v>
      </c>
      <c r="L15" s="53" t="str">
        <f>IF($D15=0,"No games",IF(AND($D15&gt;='Guide &amp; Settings'!$C$45,$K15&gt;='Guide &amp; Settings'!$C$46),"Eligible","Provisional"))</f>
        <v>No games</v>
      </c>
      <c r="M15" s="52" t="str">
        <f>IFERROR(INDEX(Calcs!$C$7:$C$20,MATCH($B15,Calcs!$A$7:$A$20,0)),"")</f>
        <v/>
      </c>
      <c r="N15" s="52">
        <f t="shared" si="3"/>
        <v>189.37650788987276</v>
      </c>
      <c r="O15" s="53" t="str">
        <f>IFERROR(INDEX(Calcs!$H$7:$H$20,MATCH($B15,Calcs!$A$7:$A$20,0)),"")</f>
        <v/>
      </c>
      <c r="P15" s="53" t="str">
        <f>IFERROR(INDEX(Calcs!$I$7:$I$20,MATCH($B15,Calcs!$A$7:$A$20,0)),"")</f>
        <v/>
      </c>
      <c r="Q15" s="53" t="str">
        <f>IFERROR(IF(INDEX(Calcs!$L$7:$L$20,MATCH($B15,Calcs!$A$7:$A$20,0))&gt;0,"▲"&amp;INDEX(Calcs!$L$7:$L$20,MATCH($B15,Calcs!$A$7:$A$20,0)),IF(INDEX(Calcs!$L$7:$L$20,MATCH($B15,Calcs!$A$7:$A$20,0))&lt;0,"▼"&amp;ABS(INDEX(Calcs!$L$7:$L$20,MATCH($B15,Calcs!$A$7:$A$20,0))),"–")),"")</f>
        <v>–</v>
      </c>
      <c r="R15" s="53" t="str">
        <f>IFERROR(IF(INDEX(Calcs!$P$7:$P$20,MATCH($B15,Calcs!$A$7:$A$20,0))=0,"—",TEXT(INDEX(Calcs!$P$7:$P$20,MATCH($B15,Calcs!$A$7:$A$20,0)),"d mmm")),"")</f>
        <v>—</v>
      </c>
      <c r="S15" s="53" t="str">
        <f>IFERROR(ROUND(INDEX(Calcs!$Q$7:$Q$20,MATCH($B15,Calcs!$A$7:$A$20,0)),1),"")</f>
        <v/>
      </c>
      <c r="T15" s="53" t="str">
        <f>IFERROR(INDEX(Calcs!$T$7:$T$20,MATCH($B15,Calcs!$A$7:$A$20,0)),"")</f>
        <v>No games</v>
      </c>
      <c r="U15" s="55">
        <f>IFERROR(MAX(0,ROUND($C15-INDEX(Calcs!$S$7:$S$20,MATCH($B15,Calcs!$A$7:$A$20,0)),0)),0)</f>
        <v>0</v>
      </c>
      <c r="V15" s="55">
        <f>IFERROR(ROUND(INDEX(Calcs!$S$7:$S$20,MATCH($B15,Calcs!$A$7:$A$20,0)),0),"")</f>
        <v>1000</v>
      </c>
      <c r="W15" s="53" t="str">
        <f>IFERROR(INDEX(Calcs!$AF$7:$AF$20,MATCH($B15,Calcs!$A$7:$A$20,0)),"")</f>
        <v>No games</v>
      </c>
    </row>
    <row r="16" spans="1:23" ht="15" customHeight="1" x14ac:dyDescent="0.2">
      <c r="A16" s="50">
        <f t="shared" si="0"/>
        <v>12</v>
      </c>
      <c r="B16" s="51" t="s">
        <v>147</v>
      </c>
      <c r="C16" s="52">
        <f>INDEX(Engine!$B$2:$B$15,MATCH($B16,Engine!$A$2:$A$15,0))</f>
        <v>990.8737469852914</v>
      </c>
      <c r="D16" s="53">
        <f>COUNTIF('Match Log'!$D$4:$D$311,$B16)</f>
        <v>14</v>
      </c>
      <c r="E16" s="53">
        <f>COUNTIFS('Match Log'!$D$4:$D$311,$B16,'Match Log'!$E$4:$E$311,"Win")</f>
        <v>4</v>
      </c>
      <c r="F16" s="53">
        <f t="shared" si="1"/>
        <v>10</v>
      </c>
      <c r="G16" s="54">
        <f t="shared" si="2"/>
        <v>0.2857142857142857</v>
      </c>
      <c r="H16" s="55">
        <f>SUMIF('Match Log'!$D$4:$D$311,$B16,'Match Log'!$J$4:$J$311)</f>
        <v>-39.088800752958761</v>
      </c>
      <c r="I16" s="55">
        <f>SUMIF('Match Log'!$D$4:$D$311,$B16,'Match Log'!$K$4:$K$311)</f>
        <v>-6.0374522617496993</v>
      </c>
      <c r="J16" s="55">
        <f>SUMIF('Match Log'!$D$4:$D$311,$B16,'Match Log'!$L$4:$L$311)</f>
        <v>36</v>
      </c>
      <c r="K16" s="53">
        <f>SUMPRODUCT(--(COUNTIFS('Match Log'!$D$4:$D$311,$B16,'Match Log'!$C$4:$C$311,Lists!$C$2:$C$20)&gt;0))</f>
        <v>3</v>
      </c>
      <c r="L16" s="53" t="str">
        <f>IF($D16=0,"No games",IF(AND($D16&gt;='Guide &amp; Settings'!$C$45,$K16&gt;='Guide &amp; Settings'!$C$46),"Eligible","Provisional"))</f>
        <v>Eligible</v>
      </c>
      <c r="M16" s="52">
        <f>IFERROR(INDEX(Calcs!$C$7:$C$20,MATCH($B16,Calcs!$A$7:$A$20,0)),"")</f>
        <v>1088.6528297296986</v>
      </c>
      <c r="N16" s="52">
        <f t="shared" si="3"/>
        <v>198.50276090458135</v>
      </c>
      <c r="O16" s="53" t="str">
        <f>IFERROR(INDEX(Calcs!$H$7:$H$20,MATCH($B16,Calcs!$A$7:$A$20,0)),"")</f>
        <v>W2</v>
      </c>
      <c r="P16" s="53" t="str">
        <f>IFERROR(INDEX(Calcs!$I$7:$I$20,MATCH($B16,Calcs!$A$7:$A$20,0)),"")</f>
        <v>LLLWW</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15 Jun</v>
      </c>
      <c r="S16" s="53">
        <f>IFERROR(ROUND(INDEX(Calcs!$Q$7:$Q$20,MATCH($B16,Calcs!$A$7:$A$20,0)),1),"")</f>
        <v>2.7</v>
      </c>
      <c r="T16" s="53" t="str">
        <f>IFERROR(INDEX(Calcs!$T$7:$T$20,MATCH($B16,Calcs!$A$7:$A$20,0)),"")</f>
        <v>Active</v>
      </c>
      <c r="U16" s="55">
        <f>IFERROR(MAX(0,ROUND($C16-INDEX(Calcs!$S$7:$S$20,MATCH($B16,Calcs!$A$7:$A$20,0)),0)),0)</f>
        <v>0</v>
      </c>
      <c r="V16" s="55">
        <f>IFERROR(ROUND(INDEX(Calcs!$S$7:$S$20,MATCH($B16,Calcs!$A$7:$A$20,0)),0),"")</f>
        <v>991</v>
      </c>
      <c r="W16" s="53" t="str">
        <f>IFERROR(INDEX(Calcs!$AF$7:$AF$20,MATCH($B16,Calcs!$A$7:$A$20,0)),"")</f>
        <v>Developing</v>
      </c>
    </row>
    <row r="17" spans="1:23" ht="15" customHeight="1" x14ac:dyDescent="0.2">
      <c r="A17" s="50">
        <f t="shared" si="0"/>
        <v>13</v>
      </c>
      <c r="B17" s="51" t="s">
        <v>141</v>
      </c>
      <c r="C17" s="52">
        <f>INDEX(Engine!$B$2:$B$15,MATCH($B17,Engine!$A$2:$A$15,0))</f>
        <v>956.84822634794841</v>
      </c>
      <c r="D17" s="53">
        <f>COUNTIF('Match Log'!$D$4:$D$311,$B17)</f>
        <v>41</v>
      </c>
      <c r="E17" s="53">
        <f>COUNTIFS('Match Log'!$D$4:$D$311,$B17,'Match Log'!$E$4:$E$311,"Win")</f>
        <v>16</v>
      </c>
      <c r="F17" s="53">
        <f t="shared" si="1"/>
        <v>25</v>
      </c>
      <c r="G17" s="54">
        <f t="shared" si="2"/>
        <v>0.3902439024390244</v>
      </c>
      <c r="H17" s="55">
        <f>SUMIF('Match Log'!$D$4:$D$311,$B17,'Match Log'!$J$4:$J$311)</f>
        <v>-78.065253471056408</v>
      </c>
      <c r="I17" s="55">
        <f>SUMIF('Match Log'!$D$4:$D$311,$B17,'Match Log'!$K$4:$K$311)</f>
        <v>-22.086520180995294</v>
      </c>
      <c r="J17" s="55">
        <f>SUMIF('Match Log'!$D$4:$D$311,$B17,'Match Log'!$L$4:$L$311)</f>
        <v>57</v>
      </c>
      <c r="K17" s="53">
        <f>SUMPRODUCT(--(COUNTIFS('Match Log'!$D$4:$D$311,$B17,'Match Log'!$C$4:$C$311,Lists!$C$2:$C$20)&gt;0))</f>
        <v>8</v>
      </c>
      <c r="L17" s="53" t="str">
        <f>IF($D17=0,"No games",IF(AND($D17&gt;='Guide &amp; Settings'!$C$45,$K17&gt;='Guide &amp; Settings'!$C$46),"Eligible","Provisional"))</f>
        <v>Eligible</v>
      </c>
      <c r="M17" s="52">
        <f>IFERROR(INDEX(Calcs!$C$7:$C$20,MATCH($B17,Calcs!$A$7:$A$20,0)),"")</f>
        <v>1109.6106651006162</v>
      </c>
      <c r="N17" s="52">
        <f t="shared" si="3"/>
        <v>232.52828154192434</v>
      </c>
      <c r="O17" s="53" t="str">
        <f>IFERROR(INDEX(Calcs!$H$7:$H$20,MATCH($B17,Calcs!$A$7:$A$20,0)),"")</f>
        <v>L4</v>
      </c>
      <c r="P17" s="53" t="str">
        <f>IFERROR(INDEX(Calcs!$I$7:$I$20,MATCH($B17,Calcs!$A$7:$A$20,0)),"")</f>
        <v>WLLLL</v>
      </c>
      <c r="Q17" s="53" t="str">
        <f>IFERROR(IF(INDEX(Calcs!$L$7:$L$20,MATCH($B17,Calcs!$A$7:$A$20,0))&gt;0,"▲"&amp;INDEX(Calcs!$L$7:$L$20,MATCH($B17,Calcs!$A$7:$A$20,0)),IF(INDEX(Calcs!$L$7:$L$20,MATCH($B17,Calcs!$A$7:$A$20,0))&lt;0,"▼"&amp;ABS(INDEX(Calcs!$L$7:$L$20,MATCH($B17,Calcs!$A$7:$A$20,0))),"–")),"")</f>
        <v>▼1</v>
      </c>
      <c r="R17" s="53" t="str">
        <f>IFERROR(IF(INDEX(Calcs!$P$7:$P$20,MATCH($B17,Calcs!$A$7:$A$20,0))=0,"—",TEXT(INDEX(Calcs!$P$7:$P$20,MATCH($B17,Calcs!$A$7:$A$20,0)),"d mmm")),"")</f>
        <v>4 Jul</v>
      </c>
      <c r="S17" s="53">
        <f>IFERROR(ROUND(INDEX(Calcs!$Q$7:$Q$20,MATCH($B17,Calcs!$A$7:$A$20,0)),1),"")</f>
        <v>0</v>
      </c>
      <c r="T17" s="53" t="str">
        <f>IFERROR(INDEX(Calcs!$T$7:$T$20,MATCH($B17,Calcs!$A$7:$A$20,0)),"")</f>
        <v>Active</v>
      </c>
      <c r="U17" s="55">
        <f>IFERROR(MAX(0,ROUND($C17-INDEX(Calcs!$S$7:$S$20,MATCH($B17,Calcs!$A$7:$A$20,0)),0)),0)</f>
        <v>0</v>
      </c>
      <c r="V17" s="55">
        <f>IFERROR(ROUND(INDEX(Calcs!$S$7:$S$20,MATCH($B17,Calcs!$A$7:$A$20,0)),0),"")</f>
        <v>957</v>
      </c>
      <c r="W17" s="53" t="str">
        <f>IFERROR(INDEX(Calcs!$AF$7:$AF$20,MATCH($B17,Calcs!$A$7:$A$20,0)),"")</f>
        <v>Mid</v>
      </c>
    </row>
    <row r="18" spans="1:23" ht="15" customHeight="1" x14ac:dyDescent="0.2">
      <c r="A18" s="50">
        <f t="shared" si="0"/>
        <v>14</v>
      </c>
      <c r="B18" s="51" t="s">
        <v>182</v>
      </c>
      <c r="C18" s="52">
        <f>INDEX(Engine!$B$2:$B$15,MATCH($B18,Engine!$A$2:$A$15,0))</f>
        <v>894.20718606929802</v>
      </c>
      <c r="D18" s="53">
        <f>COUNTIF('Match Log'!$D$4:$D$311,$B18)</f>
        <v>13</v>
      </c>
      <c r="E18" s="53">
        <f>COUNTIFS('Match Log'!$D$4:$D$311,$B18,'Match Log'!$E$4:$E$311,"Win")</f>
        <v>2</v>
      </c>
      <c r="F18" s="53">
        <f t="shared" si="1"/>
        <v>11</v>
      </c>
      <c r="G18" s="54">
        <f t="shared" si="2"/>
        <v>0.15384615384615385</v>
      </c>
      <c r="H18" s="55">
        <f>SUMIF('Match Log'!$D$4:$D$311,$B18,'Match Log'!$J$4:$J$311)</f>
        <v>-80.179710896546737</v>
      </c>
      <c r="I18" s="55">
        <f>SUMIF('Match Log'!$D$4:$D$311,$B18,'Match Log'!$K$4:$K$311)</f>
        <v>-33.613103034155223</v>
      </c>
      <c r="J18" s="55">
        <f>SUMIF('Match Log'!$D$4:$D$311,$B18,'Match Log'!$L$4:$L$311)</f>
        <v>8</v>
      </c>
      <c r="K18" s="53">
        <f>SUMPRODUCT(--(COUNTIFS('Match Log'!$D$4:$D$311,$B18,'Match Log'!$C$4:$C$311,Lists!$C$2:$C$20)&gt;0))</f>
        <v>3</v>
      </c>
      <c r="L18" s="53" t="str">
        <f>IF($D18=0,"No games",IF(AND($D18&gt;='Guide &amp; Settings'!$C$45,$K18&gt;='Guide &amp; Settings'!$C$46),"Eligible","Provisional"))</f>
        <v>Eligible</v>
      </c>
      <c r="M18" s="52">
        <f>IFERROR(INDEX(Calcs!$C$7:$C$20,MATCH($B18,Calcs!$A$7:$A$20,0)),"")</f>
        <v>1110.8515341855841</v>
      </c>
      <c r="N18" s="52">
        <f t="shared" si="3"/>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2.7</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2</v>
      </c>
      <c r="D5" s="61" t="s">
        <v>189</v>
      </c>
      <c r="E5" s="36">
        <f>COUNTIFS('Match Log'!$D$4:$D$311,$B$3,'Match Log'!$C$4:$C$311,$D5)</f>
        <v>0</v>
      </c>
      <c r="F5" s="36">
        <f>COUNTIFS('Match Log'!$D$4:$D$311,$B$3,'Match Log'!$C$4:$C$311,$D5,'Match Log'!$E$4:$E$311,"Win")</f>
        <v>0</v>
      </c>
      <c r="G5" s="62" t="str">
        <f t="shared" ref="G5:G23" si="0">IF($E5=0,"",$F5/$E5)</f>
        <v/>
      </c>
      <c r="H5" s="63" t="str">
        <f>IFERROR(IF($E5=0,"",INDEX('Sport Records'!$B$91:$O$109,MATCH($D5,'Sport Records'!$A$91:$A$109,0),MATCH($B$3,'Sport Records'!$B$90:$O$90,0))),"")</f>
        <v/>
      </c>
    </row>
    <row r="6" spans="1:8" ht="15" customHeight="1" x14ac:dyDescent="0.2">
      <c r="A6" s="59" t="s">
        <v>75</v>
      </c>
      <c r="B6" s="64">
        <f>IFERROR(INDEX(Dashboard!$C$5:$C$18,MATCH($B$3,Dashboard!$B$5:$B$18,0)),"")</f>
        <v>1154.7503552131154</v>
      </c>
      <c r="D6" s="65" t="s">
        <v>190</v>
      </c>
      <c r="E6" s="39">
        <f>COUNTIFS('Match Log'!$D$4:$D$311,$B$3,'Match Log'!$C$4:$C$311,$D6)</f>
        <v>0</v>
      </c>
      <c r="F6" s="39">
        <f>COUNTIFS('Match Log'!$D$4:$D$311,$B$3,'Match Log'!$C$4:$C$311,$D6,'Match Log'!$E$4:$E$311,"Win")</f>
        <v>0</v>
      </c>
      <c r="G6" s="66" t="str">
        <f t="shared" si="0"/>
        <v/>
      </c>
      <c r="H6" s="67" t="str">
        <f>IFERROR(IF($E6=0,"",INDEX('Sport Records'!$B$91:$O$109,MATCH($D6,'Sport Records'!$A$91:$A$109,0),MATCH($B$3,'Sport Records'!$B$90:$O$90,0))),"")</f>
        <v/>
      </c>
    </row>
    <row r="7" spans="1:8" ht="15" customHeight="1" x14ac:dyDescent="0.2">
      <c r="A7" s="59" t="s">
        <v>105</v>
      </c>
      <c r="B7" s="60" t="str">
        <f>IFERROR(INDEX(Calcs!$AF$7:$AF$20,MATCH($B$3,Calcs!$A$7:$A$20,0)),"")</f>
        <v>Elite</v>
      </c>
      <c r="D7" s="61" t="s">
        <v>191</v>
      </c>
      <c r="E7" s="36">
        <f>COUNTIFS('Match Log'!$D$4:$D$311,$B$3,'Match Log'!$C$4:$C$311,$D7)</f>
        <v>0</v>
      </c>
      <c r="F7" s="36">
        <f>COUNTIFS('Match Log'!$D$4:$D$311,$B$3,'Match Log'!$C$4:$C$311,$D7,'Match Log'!$E$4:$E$311,"Win")</f>
        <v>0</v>
      </c>
      <c r="G7" s="62" t="str">
        <f t="shared" si="0"/>
        <v/>
      </c>
      <c r="H7" s="63" t="str">
        <f>IFERROR(IF($E7=0,"",INDEX('Sport Records'!$B$91:$O$109,MATCH($D7,'Sport Records'!$A$91:$A$109,0),MATCH($B$3,'Sport Records'!$B$90:$O$90,0))),"")</f>
        <v/>
      </c>
    </row>
    <row r="8" spans="1:8" ht="15" customHeight="1" x14ac:dyDescent="0.2">
      <c r="A8" s="59" t="s">
        <v>133</v>
      </c>
      <c r="B8" s="60" t="str">
        <f>IFERROR(INDEX(Dashboard!$E$5:$E$18,MATCH($B$3,Dashboard!$B$5:$B$18,0))&amp;"–"&amp;INDEX(Dashboard!$F$5:$F$18,MATCH($B$3,Dashboard!$B$5:$B$18,0)),"")</f>
        <v>19–20</v>
      </c>
      <c r="D8" s="65" t="s">
        <v>192</v>
      </c>
      <c r="E8" s="39">
        <f>COUNTIFS('Match Log'!$D$4:$D$311,$B$3,'Match Log'!$C$4:$C$311,$D8)</f>
        <v>0</v>
      </c>
      <c r="F8" s="39">
        <f>COUNTIFS('Match Log'!$D$4:$D$311,$B$3,'Match Log'!$C$4:$C$311,$D8,'Match Log'!$E$4:$E$311,"Win")</f>
        <v>0</v>
      </c>
      <c r="G8" s="66" t="str">
        <f t="shared" si="0"/>
        <v/>
      </c>
      <c r="H8" s="67" t="str">
        <f>IFERROR(IF($E8=0,"",INDEX('Sport Records'!$B$91:$O$109,MATCH($D8,'Sport Records'!$A$91:$A$109,0),MATCH($B$3,'Sport Records'!$B$90:$O$90,0))),"")</f>
        <v/>
      </c>
    </row>
    <row r="9" spans="1:8" ht="15" customHeight="1" x14ac:dyDescent="0.2">
      <c r="A9" s="59" t="s">
        <v>109</v>
      </c>
      <c r="B9" s="68">
        <f>IFERROR(INDEX(Dashboard!$G$5:$G$18,MATCH($B$3,Dashboard!$B$5:$B$18,0)),"")</f>
        <v>0.48717948717948717</v>
      </c>
      <c r="D9" s="61" t="s">
        <v>193</v>
      </c>
      <c r="E9" s="36">
        <f>COUNTIFS('Match Log'!$D$4:$D$311,$B$3,'Match Log'!$C$4:$C$311,$D9)</f>
        <v>4</v>
      </c>
      <c r="F9" s="36">
        <f>COUNTIFS('Match Log'!$D$4:$D$311,$B$3,'Match Log'!$C$4:$C$311,$D9,'Match Log'!$E$4:$E$311,"Win")</f>
        <v>2</v>
      </c>
      <c r="G9" s="62">
        <f t="shared" si="0"/>
        <v>0.5</v>
      </c>
      <c r="H9" s="63">
        <f>IFERROR(IF($E9=0,"",INDEX('Sport Records'!$B$91:$O$109,MATCH($D9,'Sport Records'!$A$91:$A$109,0),MATCH($B$3,'Sport Records'!$B$90:$O$90,0))),"")</f>
        <v>1004.0463383766044</v>
      </c>
    </row>
    <row r="10" spans="1:8" ht="15" customHeight="1" x14ac:dyDescent="0.2">
      <c r="A10" s="59" t="s">
        <v>134</v>
      </c>
      <c r="B10" s="60">
        <f>IFERROR(INDEX(Dashboard!$D$5:$D$18,MATCH($B$3,Dashboard!$B$5:$B$18,0)),"")</f>
        <v>39</v>
      </c>
      <c r="D10" s="65" t="s">
        <v>194</v>
      </c>
      <c r="E10" s="39">
        <f>COUNTIFS('Match Log'!$D$4:$D$311,$B$3,'Match Log'!$C$4:$C$311,$D10)</f>
        <v>1</v>
      </c>
      <c r="F10" s="39">
        <f>COUNTIFS('Match Log'!$D$4:$D$311,$B$3,'Match Log'!$C$4:$C$311,$D10,'Match Log'!$E$4:$E$311,"Win")</f>
        <v>0</v>
      </c>
      <c r="G10" s="66">
        <f t="shared" si="0"/>
        <v>0</v>
      </c>
      <c r="H10" s="67">
        <f>IFERROR(IF($E10=0,"",INDEX('Sport Records'!$B$91:$O$109,MATCH($D10,'Sport Records'!$A$91:$A$109,0),MATCH($B$3,'Sport Records'!$B$90:$O$90,0))),"")</f>
        <v>997.71428571428567</v>
      </c>
    </row>
    <row r="11" spans="1:8" ht="15" customHeight="1" x14ac:dyDescent="0.2">
      <c r="A11" s="59" t="s">
        <v>195</v>
      </c>
      <c r="B11" s="60">
        <f>IFERROR(INDEX(Dashboard!$K$5:$K$18,MATCH($B$3,Dashboard!$B$5:$B$18,0)),"")</f>
        <v>7</v>
      </c>
      <c r="D11" s="61" t="s">
        <v>196</v>
      </c>
      <c r="E11" s="36">
        <f>COUNTIFS('Match Log'!$D$4:$D$311,$B$3,'Match Log'!$C$4:$C$311,$D11)</f>
        <v>0</v>
      </c>
      <c r="F11" s="36">
        <f>COUNTIFS('Match Log'!$D$4:$D$311,$B$3,'Match Log'!$C$4:$C$311,$D11,'Match Log'!$E$4:$E$311,"Win")</f>
        <v>0</v>
      </c>
      <c r="G11" s="62" t="str">
        <f t="shared" si="0"/>
        <v/>
      </c>
      <c r="H11" s="63" t="str">
        <f>IFERROR(IF($E11=0,"",INDEX('Sport Records'!$B$91:$O$109,MATCH($D11,'Sport Records'!$A$91:$A$109,0),MATCH($B$3,'Sport Records'!$B$90:$O$90,0))),"")</f>
        <v/>
      </c>
    </row>
    <row r="12" spans="1:8" ht="15" customHeight="1" x14ac:dyDescent="0.2">
      <c r="A12" s="59" t="s">
        <v>197</v>
      </c>
      <c r="B12" s="64">
        <f>IFERROR(INDEX(Calcs!$C$7:$C$20,MATCH($B$3,Calcs!$A$7:$A$20,0)),"")</f>
        <v>1062.7009143720043</v>
      </c>
      <c r="D12" s="65" t="s">
        <v>198</v>
      </c>
      <c r="E12" s="39">
        <f>COUNTIFS('Match Log'!$D$4:$D$311,$B$3,'Match Log'!$C$4:$C$311,$D12)</f>
        <v>0</v>
      </c>
      <c r="F12" s="39">
        <f>COUNTIFS('Match Log'!$D$4:$D$311,$B$3,'Match Log'!$C$4:$C$311,$D12,'Match Log'!$E$4:$E$311,"Win")</f>
        <v>0</v>
      </c>
      <c r="G12" s="66" t="str">
        <f t="shared" si="0"/>
        <v/>
      </c>
      <c r="H12" s="67" t="str">
        <f>IFERROR(IF($E12=0,"",INDEX('Sport Records'!$B$91:$O$109,MATCH($D12,'Sport Records'!$A$91:$A$109,0),MATCH($B$3,'Sport Records'!$B$90:$O$90,0))),"")</f>
        <v/>
      </c>
    </row>
    <row r="13" spans="1:8" ht="15" customHeight="1" x14ac:dyDescent="0.2">
      <c r="A13" s="59" t="s">
        <v>199</v>
      </c>
      <c r="B13" s="60" t="str">
        <f>IFERROR(INDEX(Calcs!$H$7:$H$20,MATCH($B$3,Calcs!$A$7:$A$20,0)),"")</f>
        <v>W4</v>
      </c>
      <c r="D13" s="61" t="s">
        <v>200</v>
      </c>
      <c r="E13" s="36">
        <f>COUNTIFS('Match Log'!$D$4:$D$311,$B$3,'Match Log'!$C$4:$C$311,$D13)</f>
        <v>1</v>
      </c>
      <c r="F13" s="36">
        <f>COUNTIFS('Match Log'!$D$4:$D$311,$B$3,'Match Log'!$C$4:$C$311,$D13,'Match Log'!$E$4:$E$311,"Win")</f>
        <v>0</v>
      </c>
      <c r="G13" s="62">
        <f t="shared" si="0"/>
        <v>0</v>
      </c>
      <c r="H13" s="63">
        <f>IFERROR(IF($E13=0,"",INDEX('Sport Records'!$B$91:$O$109,MATCH($D13,'Sport Records'!$A$91:$A$109,0),MATCH($B$3,'Sport Records'!$B$90:$O$90,0))),"")</f>
        <v>992</v>
      </c>
    </row>
    <row r="14" spans="1:8" ht="15" customHeight="1" x14ac:dyDescent="0.2">
      <c r="A14" s="59" t="s">
        <v>169</v>
      </c>
      <c r="B14" s="60" t="str">
        <f>IFERROR(INDEX(Calcs!$I$7:$I$20,MATCH($B$3,Calcs!$A$7:$A$20,0)),"")</f>
        <v>LWWWW</v>
      </c>
      <c r="D14" s="65" t="s">
        <v>201</v>
      </c>
      <c r="E14" s="39">
        <f>COUNTIFS('Match Log'!$D$4:$D$311,$B$3,'Match Log'!$C$4:$C$311,$D14)</f>
        <v>0</v>
      </c>
      <c r="F14" s="39">
        <f>COUNTIFS('Match Log'!$D$4:$D$311,$B$3,'Match Log'!$C$4:$C$311,$D14,'Match Log'!$E$4:$E$311,"Win")</f>
        <v>0</v>
      </c>
      <c r="G14" s="66" t="str">
        <f t="shared" si="0"/>
        <v/>
      </c>
      <c r="H14" s="67" t="str">
        <f>IFERROR(IF($E14=0,"",INDEX('Sport Records'!$B$91:$O$109,MATCH($D14,'Sport Records'!$A$91:$A$109,0),MATCH($B$3,'Sport Records'!$B$90:$O$90,0))),"")</f>
        <v/>
      </c>
    </row>
    <row r="15" spans="1:8" ht="15" customHeight="1" x14ac:dyDescent="0.2">
      <c r="A15" s="59" t="s">
        <v>119</v>
      </c>
      <c r="B15" s="64">
        <f>IFERROR(INDEX(Calcs!$E$7:$E$20,MATCH($B$3,Calcs!$A$7:$A$20,0)),"")</f>
        <v>34.626152676757329</v>
      </c>
      <c r="D15" s="61" t="s">
        <v>202</v>
      </c>
      <c r="E15" s="36">
        <f>COUNTIFS('Match Log'!$D$4:$D$311,$B$3,'Match Log'!$C$4:$C$311,$D15)</f>
        <v>0</v>
      </c>
      <c r="F15" s="36">
        <f>COUNTIFS('Match Log'!$D$4:$D$311,$B$3,'Match Log'!$C$4:$C$311,$D15,'Match Log'!$E$4:$E$311,"Win")</f>
        <v>0</v>
      </c>
      <c r="G15" s="62" t="str">
        <f t="shared" si="0"/>
        <v/>
      </c>
      <c r="H15" s="63" t="str">
        <f>IFERROR(IF($E15=0,"",INDEX('Sport Records'!$B$91:$O$109,MATCH($D15,'Sport Records'!$A$91:$A$109,0),MATCH($B$3,'Sport Records'!$B$90:$O$90,0))),"")</f>
        <v/>
      </c>
    </row>
    <row r="16" spans="1:8" ht="15" customHeight="1" x14ac:dyDescent="0.2">
      <c r="A16" s="59" t="s">
        <v>107</v>
      </c>
      <c r="B16" s="60" t="str">
        <f>IFERROR(INDEX(Dashboard!$L$5:$L$18,MATCH($B$3,Dashboard!$B$5:$B$18,0)),"")</f>
        <v>Eligible</v>
      </c>
      <c r="D16" s="65" t="s">
        <v>203</v>
      </c>
      <c r="E16" s="39">
        <f>COUNTIFS('Match Log'!$D$4:$D$311,$B$3,'Match Log'!$C$4:$C$311,$D16)</f>
        <v>11</v>
      </c>
      <c r="F16" s="39">
        <f>COUNTIFS('Match Log'!$D$4:$D$311,$B$3,'Match Log'!$C$4:$C$311,$D16,'Match Log'!$E$4:$E$311,"Win")</f>
        <v>6</v>
      </c>
      <c r="G16" s="66">
        <f t="shared" si="0"/>
        <v>0.54545454545454541</v>
      </c>
      <c r="H16" s="67">
        <f>IFERROR(IF($E16=0,"",INDEX('Sport Records'!$B$91:$O$109,MATCH($D16,'Sport Records'!$A$91:$A$109,0),MATCH($B$3,'Sport Records'!$B$90:$O$90,0))),"")</f>
        <v>1033.6165842741636</v>
      </c>
    </row>
    <row r="17" spans="1:8" ht="15" customHeight="1" x14ac:dyDescent="0.2">
      <c r="A17" s="69" t="s">
        <v>204</v>
      </c>
      <c r="B17" s="70" t="str">
        <f>IFERROR(TEXT(INDEX(Calcs!$P$7:$P$20,MATCH($B$3,Calcs!$A$7:$A$20,0)),"d mmm")&amp;"  ·  "&amp;INDEX(Calcs!$T$7:$T$20,MATCH($B$3,Calcs!$A$7:$A$20,0)),"")</f>
        <v>4 Jul  ·  Active</v>
      </c>
      <c r="D17" s="61" t="s">
        <v>205</v>
      </c>
      <c r="E17" s="36">
        <f>COUNTIFS('Match Log'!$D$4:$D$311,$B$3,'Match Log'!$C$4:$C$311,$D17)</f>
        <v>3</v>
      </c>
      <c r="F17" s="36">
        <f>COUNTIFS('Match Log'!$D$4:$D$311,$B$3,'Match Log'!$C$4:$C$311,$D17,'Match Log'!$E$4:$E$311,"Win")</f>
        <v>1</v>
      </c>
      <c r="G17" s="62">
        <f t="shared" si="0"/>
        <v>0.33333333333333331</v>
      </c>
      <c r="H17" s="63">
        <f>IFERROR(IF($E17=0,"",INDEX('Sport Records'!$B$91:$O$109,MATCH($D17,'Sport Records'!$A$91:$A$109,0),MATCH($B$3,'Sport Records'!$B$90:$O$90,0))),"")</f>
        <v>1000.5463997736937</v>
      </c>
    </row>
    <row r="18" spans="1:8" ht="15" customHeight="1" x14ac:dyDescent="0.2">
      <c r="A18" s="12" t="s">
        <v>206</v>
      </c>
      <c r="D18" s="65" t="s">
        <v>207</v>
      </c>
      <c r="E18" s="39">
        <f>COUNTIFS('Match Log'!$D$4:$D$311,$B$3,'Match Log'!$C$4:$C$311,$D18)</f>
        <v>7</v>
      </c>
      <c r="F18" s="39">
        <f>COUNTIFS('Match Log'!$D$4:$D$311,$B$3,'Match Log'!$C$4:$C$311,$D18,'Match Log'!$E$4:$E$311,"Win")</f>
        <v>5</v>
      </c>
      <c r="G18" s="66">
        <f t="shared" si="0"/>
        <v>0.7142857142857143</v>
      </c>
      <c r="H18" s="67">
        <f>IFERROR(IF($E18=0,"",INDEX('Sport Records'!$B$91:$O$109,MATCH($D18,'Sport Records'!$A$91:$A$109,0),MATCH($B$3,'Sport Records'!$B$90:$O$90,0))),"")</f>
        <v>1034.9676314940889</v>
      </c>
    </row>
    <row r="19" spans="1:8" ht="15" customHeight="1" x14ac:dyDescent="0.2">
      <c r="A19" s="69" t="s">
        <v>208</v>
      </c>
      <c r="B19" s="71" t="str">
        <f>IFERROR(INDEX($D$5:$D$23,MATCH(MAX($H$5:$H$23),$H$5:$H$23,0)),"")</f>
        <v>Mario Kart</v>
      </c>
      <c r="D19" s="61" t="s">
        <v>209</v>
      </c>
      <c r="E19" s="36">
        <f>COUNTIFS('Match Log'!$D$4:$D$311,$B$3,'Match Log'!$C$4:$C$311,$D19)</f>
        <v>0</v>
      </c>
      <c r="F19" s="36">
        <f>COUNTIFS('Match Log'!$D$4:$D$311,$B$3,'Match Log'!$C$4:$C$311,$D19,'Match Log'!$E$4:$E$311,"Win")</f>
        <v>0</v>
      </c>
      <c r="G19" s="62" t="str">
        <f t="shared" si="0"/>
        <v/>
      </c>
      <c r="H19" s="63" t="str">
        <f>IFERROR(IF($E19=0,"",INDEX('Sport Records'!$B$91:$O$109,MATCH($D19,'Sport Records'!$A$91:$A$109,0),MATCH($B$3,'Sport Records'!$B$90:$O$90,0))),"")</f>
        <v/>
      </c>
    </row>
    <row r="20" spans="1:8" ht="15" customHeight="1" x14ac:dyDescent="0.2">
      <c r="A20" s="69" t="s">
        <v>210</v>
      </c>
      <c r="B20" s="71" t="str">
        <f>IFERROR(INDEX($D$5:$D$23,MATCH(MAX($E$5:$E$23),$E$5:$E$23,0)),"")</f>
        <v>ShuffleBoard</v>
      </c>
      <c r="D20" s="65" t="s">
        <v>211</v>
      </c>
      <c r="E20" s="39">
        <f>COUNTIFS('Match Log'!$D$4:$D$311,$B$3,'Match Log'!$C$4:$C$311,$D20)</f>
        <v>0</v>
      </c>
      <c r="F20" s="39">
        <f>COUNTIFS('Match Log'!$D$4:$D$311,$B$3,'Match Log'!$C$4:$C$311,$D20,'Match Log'!$E$4:$E$311,"Win")</f>
        <v>0</v>
      </c>
      <c r="G20" s="66" t="str">
        <f t="shared" si="0"/>
        <v/>
      </c>
      <c r="H20" s="67" t="str">
        <f>IFERROR(IF($E20=0,"",INDEX('Sport Records'!$B$91:$O$109,MATCH($D20,'Sport Records'!$A$91:$A$109,0),MATCH($B$3,'Sport Records'!$B$90:$O$90,0))),"")</f>
        <v/>
      </c>
    </row>
    <row r="21" spans="1:8" ht="15" customHeight="1" x14ac:dyDescent="0.2">
      <c r="D21" s="61" t="s">
        <v>212</v>
      </c>
      <c r="E21" s="36">
        <f>COUNTIFS('Match Log'!$D$4:$D$311,$B$3,'Match Log'!$C$4:$C$311,$D21)</f>
        <v>0</v>
      </c>
      <c r="F21" s="36">
        <f>COUNTIFS('Match Log'!$D$4:$D$311,$B$3,'Match Log'!$C$4:$C$311,$D21,'Match Log'!$E$4:$E$311,"Win")</f>
        <v>0</v>
      </c>
      <c r="G21" s="62" t="str">
        <f t="shared" si="0"/>
        <v/>
      </c>
      <c r="H21" s="63" t="str">
        <f>IFERROR(IF($E21=0,"",INDEX('Sport Records'!$B$91:$O$109,MATCH($D21,'Sport Records'!$A$91:$A$109,0),MATCH($B$3,'Sport Records'!$B$90:$O$90,0))),"")</f>
        <v/>
      </c>
    </row>
    <row r="22" spans="1:8" ht="15" customHeight="1" x14ac:dyDescent="0.2">
      <c r="A22" s="12" t="s">
        <v>213</v>
      </c>
      <c r="D22" s="65" t="s">
        <v>214</v>
      </c>
      <c r="E22" s="39">
        <f>COUNTIFS('Match Log'!$D$4:$D$311,$B$3,'Match Log'!$C$4:$C$311,$D22)</f>
        <v>12</v>
      </c>
      <c r="F22" s="39">
        <f>COUNTIFS('Match Log'!$D$4:$D$311,$B$3,'Match Log'!$C$4:$C$311,$D22,'Match Log'!$E$4:$E$311,"Win")</f>
        <v>5</v>
      </c>
      <c r="G22" s="66">
        <f t="shared" si="0"/>
        <v>0.41666666666666669</v>
      </c>
      <c r="H22" s="67">
        <f>IFERROR(IF($E22=0,"",INDEX('Sport Records'!$B$91:$O$109,MATCH($D22,'Sport Records'!$A$91:$A$109,0),MATCH($B$3,'Sport Records'!$B$90:$O$90,0))),"")</f>
        <v>959.92547606336859</v>
      </c>
    </row>
    <row r="23" spans="1:8" ht="15" customHeight="1" x14ac:dyDescent="0.2">
      <c r="A23" s="69" t="s">
        <v>215</v>
      </c>
      <c r="B23" s="72">
        <f>IFERROR(ROUND(INDEX(Calcs!$AB$7:$AB$20,MATCH($B$3,Calcs!$A$7:$A$20,0)),0),"")</f>
        <v>79</v>
      </c>
      <c r="D23" s="61" t="s">
        <v>216</v>
      </c>
      <c r="E23" s="36">
        <f>COUNTIFS('Match Log'!$D$4:$D$311,$B$3,'Match Log'!$C$4:$C$311,$D23)</f>
        <v>0</v>
      </c>
      <c r="F23" s="36">
        <f>COUNTIFS('Match Log'!$D$4:$D$311,$B$3,'Match Log'!$C$4:$C$311,$D23,'Match Log'!$E$4:$E$311,"Win")</f>
        <v>0</v>
      </c>
      <c r="G23" s="62" t="str">
        <f t="shared" si="0"/>
        <v/>
      </c>
      <c r="H23" s="63" t="str">
        <f>IFERROR(IF($E23=0,"",INDEX('Sport Records'!$B$91:$O$109,MATCH($D23,'Sport Records'!$A$91:$A$109,0),MATCH($B$3,'Sport Records'!$B$90:$O$90,0))),"")</f>
        <v/>
      </c>
    </row>
    <row r="24" spans="1:8" x14ac:dyDescent="0.2">
      <c r="A24" s="69" t="s">
        <v>217</v>
      </c>
      <c r="B24" s="70">
        <f>IFERROR(ROUND(INDEX(Calcs!$W$7:$W$20,MATCH($B$3,Calcs!$A$7:$A$20,0)),0),"")</f>
        <v>89</v>
      </c>
    </row>
    <row r="25" spans="1:8" x14ac:dyDescent="0.2">
      <c r="A25" s="69" t="s">
        <v>218</v>
      </c>
      <c r="B25" s="70">
        <f>IFERROR(ROUND(INDEX(Calcs!$X$7:$X$20,MATCH($B$3,Calcs!$A$7:$A$20,0)),0),"")</f>
        <v>49</v>
      </c>
    </row>
    <row r="26" spans="1:8" x14ac:dyDescent="0.2">
      <c r="A26" s="69" t="s">
        <v>219</v>
      </c>
      <c r="B26" s="70">
        <f>IFERROR(ROUND(INDEX(Calcs!$Y$7:$Y$20,MATCH($B$3,Calcs!$A$7:$A$20,0)),0),"")</f>
        <v>100</v>
      </c>
    </row>
    <row r="27" spans="1:8" x14ac:dyDescent="0.2">
      <c r="A27" s="69" t="s">
        <v>220</v>
      </c>
      <c r="B27" s="70">
        <f>IFERROR(ROUND(INDEX(Calcs!$Z$7:$Z$20,MATCH($B$3,Calcs!$A$7:$A$20,0)),0),"")</f>
        <v>80</v>
      </c>
    </row>
    <row r="28" spans="1:8" x14ac:dyDescent="0.2">
      <c r="A28" s="69" t="s">
        <v>221</v>
      </c>
      <c r="B28" s="70">
        <f>IFERROR(ROUND(INDEX(Calcs!$AA$7:$AA$20,MATCH($B$3,Calcs!$A$7:$A$20,0)),0),"")</f>
        <v>66</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Log'!$D$4:$D$311=$A5)*('Match Log'!$E$4:$E$311="Win")*COUNTIFS('Match Log'!$A$4:$A$311,'Match Log'!$A$4:$A$311,'Match Log'!$D$4:$D$311,B$4,'Match Log'!$E$4:$E$311,"Loss"))+SUMPRODUCT(('Match Log'!$D$4:$D$311=B$4)*('Match Log'!$E$4:$E$311="Win")*COUNTIFS('Match Log'!$A$4:$A$311,'Match Log'!$A$4:$A$311,'Match Log'!$D$4:$D$311,$A5,'Match Log'!$E$4:$E$311,"Loss")))=0,"",TEXT(SUMPRODUCT(('Match Log'!$D$4:$D$311=$A5)*('Match Log'!$E$4:$E$311="Win")*COUNTIFS('Match Log'!$A$4:$A$311,'Match Log'!$A$4:$A$311,'Match Log'!$D$4:$D$311,B$4,'Match Log'!$E$4:$E$311,"Loss"))/(SUMPRODUCT(('Match Log'!$D$4:$D$311=$A5)*('Match Log'!$E$4:$E$311="Win")*COUNTIFS('Match Log'!$A$4:$A$311,'Match Log'!$A$4:$A$311,'Match Log'!$D$4:$D$311,B$4,'Match Log'!$E$4:$E$311,"Loss"))+SUMPRODUCT(('Match Log'!$D$4:$D$311=B$4)*('Match Log'!$E$4:$E$311="Win")*COUNTIFS('Match Log'!$A$4:$A$311,'Match Log'!$A$4:$A$311,'Match Log'!$D$4:$D$311,$A5,'Match Log'!$E$4:$E$311,"Loss"))),"0%")&amp;" of "&amp;(SUMPRODUCT(('Match Log'!$D$4:$D$311=$A5)*('Match Log'!$E$4:$E$311="Win")*COUNTIFS('Match Log'!$A$4:$A$311,'Match Log'!$A$4:$A$311,'Match Log'!$D$4:$D$311,B$4,'Match Log'!$E$4:$E$311,"Loss"))+SUMPRODUCT(('Match Log'!$D$4:$D$311=B$4)*('Match Log'!$E$4:$E$311="Win")*COUNTIFS('Match Log'!$A$4:$A$311,'Match Log'!$A$4:$A$311,'Match Log'!$D$4:$D$311,$A5,'Match Log'!$E$4:$E$311,"Loss")))))</f>
        <v>—</v>
      </c>
      <c r="C5" s="54" t="str">
        <f>IF($A5=C$4,"—",IF((SUMPRODUCT(('Match Log'!$D$4:$D$311=$A5)*('Match Log'!$E$4:$E$311="Win")*COUNTIFS('Match Log'!$A$4:$A$311,'Match Log'!$A$4:$A$311,'Match Log'!$D$4:$D$311,C$4,'Match Log'!$E$4:$E$311,"Loss"))+SUMPRODUCT(('Match Log'!$D$4:$D$311=C$4)*('Match Log'!$E$4:$E$311="Win")*COUNTIFS('Match Log'!$A$4:$A$311,'Match Log'!$A$4:$A$311,'Match Log'!$D$4:$D$311,$A5,'Match Log'!$E$4:$E$311,"Loss")))=0,"",TEXT(SUMPRODUCT(('Match Log'!$D$4:$D$311=$A5)*('Match Log'!$E$4:$E$311="Win")*COUNTIFS('Match Log'!$A$4:$A$311,'Match Log'!$A$4:$A$311,'Match Log'!$D$4:$D$311,C$4,'Match Log'!$E$4:$E$311,"Loss"))/(SUMPRODUCT(('Match Log'!$D$4:$D$311=$A5)*('Match Log'!$E$4:$E$311="Win")*COUNTIFS('Match Log'!$A$4:$A$311,'Match Log'!$A$4:$A$311,'Match Log'!$D$4:$D$311,C$4,'Match Log'!$E$4:$E$311,"Loss"))+SUMPRODUCT(('Match Log'!$D$4:$D$311=C$4)*('Match Log'!$E$4:$E$311="Win")*COUNTIFS('Match Log'!$A$4:$A$311,'Match Log'!$A$4:$A$311,'Match Log'!$D$4:$D$311,$A5,'Match Log'!$E$4:$E$311,"Loss"))),"0%")&amp;" of "&amp;(SUMPRODUCT(('Match Log'!$D$4:$D$311=$A5)*('Match Log'!$E$4:$E$311="Win")*COUNTIFS('Match Log'!$A$4:$A$311,'Match Log'!$A$4:$A$311,'Match Log'!$D$4:$D$311,C$4,'Match Log'!$E$4:$E$311,"Loss"))+SUMPRODUCT(('Match Log'!$D$4:$D$311=C$4)*('Match Log'!$E$4:$E$311="Win")*COUNTIFS('Match Log'!$A$4:$A$311,'Match Log'!$A$4:$A$311,'Match Log'!$D$4:$D$311,$A5,'Match Log'!$E$4:$E$311,"Loss")))))</f>
        <v/>
      </c>
      <c r="D5" s="54" t="str">
        <f>IF($A5=D$4,"—",IF((SUMPRODUCT(('Match Log'!$D$4:$D$311=$A5)*('Match Log'!$E$4:$E$311="Win")*COUNTIFS('Match Log'!$A$4:$A$311,'Match Log'!$A$4:$A$311,'Match Log'!$D$4:$D$311,D$4,'Match Log'!$E$4:$E$311,"Loss"))+SUMPRODUCT(('Match Log'!$D$4:$D$311=D$4)*('Match Log'!$E$4:$E$311="Win")*COUNTIFS('Match Log'!$A$4:$A$311,'Match Log'!$A$4:$A$311,'Match Log'!$D$4:$D$311,$A5,'Match Log'!$E$4:$E$311,"Loss")))=0,"",TEXT(SUMPRODUCT(('Match Log'!$D$4:$D$311=$A5)*('Match Log'!$E$4:$E$311="Win")*COUNTIFS('Match Log'!$A$4:$A$311,'Match Log'!$A$4:$A$311,'Match Log'!$D$4:$D$311,D$4,'Match Log'!$E$4:$E$311,"Loss"))/(SUMPRODUCT(('Match Log'!$D$4:$D$311=$A5)*('Match Log'!$E$4:$E$311="Win")*COUNTIFS('Match Log'!$A$4:$A$311,'Match Log'!$A$4:$A$311,'Match Log'!$D$4:$D$311,D$4,'Match Log'!$E$4:$E$311,"Loss"))+SUMPRODUCT(('Match Log'!$D$4:$D$311=D$4)*('Match Log'!$E$4:$E$311="Win")*COUNTIFS('Match Log'!$A$4:$A$311,'Match Log'!$A$4:$A$311,'Match Log'!$D$4:$D$311,$A5,'Match Log'!$E$4:$E$311,"Loss"))),"0%")&amp;" of "&amp;(SUMPRODUCT(('Match Log'!$D$4:$D$311=$A5)*('Match Log'!$E$4:$E$311="Win")*COUNTIFS('Match Log'!$A$4:$A$311,'Match Log'!$A$4:$A$311,'Match Log'!$D$4:$D$311,D$4,'Match Log'!$E$4:$E$311,"Loss"))+SUMPRODUCT(('Match Log'!$D$4:$D$311=D$4)*('Match Log'!$E$4:$E$311="Win")*COUNTIFS('Match Log'!$A$4:$A$311,'Match Log'!$A$4:$A$311,'Match Log'!$D$4:$D$311,$A5,'Match Log'!$E$4:$E$311,"Loss")))))</f>
        <v>100% of 3</v>
      </c>
      <c r="E5" s="54" t="str">
        <f>IF($A5=E$4,"—",IF((SUMPRODUCT(('Match Log'!$D$4:$D$311=$A5)*('Match Log'!$E$4:$E$311="Win")*COUNTIFS('Match Log'!$A$4:$A$311,'Match Log'!$A$4:$A$311,'Match Log'!$D$4:$D$311,E$4,'Match Log'!$E$4:$E$311,"Loss"))+SUMPRODUCT(('Match Log'!$D$4:$D$311=E$4)*('Match Log'!$E$4:$E$311="Win")*COUNTIFS('Match Log'!$A$4:$A$311,'Match Log'!$A$4:$A$311,'Match Log'!$D$4:$D$311,$A5,'Match Log'!$E$4:$E$311,"Loss")))=0,"",TEXT(SUMPRODUCT(('Match Log'!$D$4:$D$311=$A5)*('Match Log'!$E$4:$E$311="Win")*COUNTIFS('Match Log'!$A$4:$A$311,'Match Log'!$A$4:$A$311,'Match Log'!$D$4:$D$311,E$4,'Match Log'!$E$4:$E$311,"Loss"))/(SUMPRODUCT(('Match Log'!$D$4:$D$311=$A5)*('Match Log'!$E$4:$E$311="Win")*COUNTIFS('Match Log'!$A$4:$A$311,'Match Log'!$A$4:$A$311,'Match Log'!$D$4:$D$311,E$4,'Match Log'!$E$4:$E$311,"Loss"))+SUMPRODUCT(('Match Log'!$D$4:$D$311=E$4)*('Match Log'!$E$4:$E$311="Win")*COUNTIFS('Match Log'!$A$4:$A$311,'Match Log'!$A$4:$A$311,'Match Log'!$D$4:$D$311,$A5,'Match Log'!$E$4:$E$311,"Loss"))),"0%")&amp;" of "&amp;(SUMPRODUCT(('Match Log'!$D$4:$D$311=$A5)*('Match Log'!$E$4:$E$311="Win")*COUNTIFS('Match Log'!$A$4:$A$311,'Match Log'!$A$4:$A$311,'Match Log'!$D$4:$D$311,E$4,'Match Log'!$E$4:$E$311,"Loss"))+SUMPRODUCT(('Match Log'!$D$4:$D$311=E$4)*('Match Log'!$E$4:$E$311="Win")*COUNTIFS('Match Log'!$A$4:$A$311,'Match Log'!$A$4:$A$311,'Match Log'!$D$4:$D$311,$A5,'Match Log'!$E$4:$E$311,"Loss")))))</f>
        <v>50% of 4</v>
      </c>
      <c r="F5" s="54" t="str">
        <f>IF($A5=F$4,"—",IF((SUMPRODUCT(('Match Log'!$D$4:$D$311=$A5)*('Match Log'!$E$4:$E$311="Win")*COUNTIFS('Match Log'!$A$4:$A$311,'Match Log'!$A$4:$A$311,'Match Log'!$D$4:$D$311,F$4,'Match Log'!$E$4:$E$311,"Loss"))+SUMPRODUCT(('Match Log'!$D$4:$D$311=F$4)*('Match Log'!$E$4:$E$311="Win")*COUNTIFS('Match Log'!$A$4:$A$311,'Match Log'!$A$4:$A$311,'Match Log'!$D$4:$D$311,$A5,'Match Log'!$E$4:$E$311,"Loss")))=0,"",TEXT(SUMPRODUCT(('Match Log'!$D$4:$D$311=$A5)*('Match Log'!$E$4:$E$311="Win")*COUNTIFS('Match Log'!$A$4:$A$311,'Match Log'!$A$4:$A$311,'Match Log'!$D$4:$D$311,F$4,'Match Log'!$E$4:$E$311,"Loss"))/(SUMPRODUCT(('Match Log'!$D$4:$D$311=$A5)*('Match Log'!$E$4:$E$311="Win")*COUNTIFS('Match Log'!$A$4:$A$311,'Match Log'!$A$4:$A$311,'Match Log'!$D$4:$D$311,F$4,'Match Log'!$E$4:$E$311,"Loss"))+SUMPRODUCT(('Match Log'!$D$4:$D$311=F$4)*('Match Log'!$E$4:$E$311="Win")*COUNTIFS('Match Log'!$A$4:$A$311,'Match Log'!$A$4:$A$311,'Match Log'!$D$4:$D$311,$A5,'Match Log'!$E$4:$E$311,"Loss"))),"0%")&amp;" of "&amp;(SUMPRODUCT(('Match Log'!$D$4:$D$311=$A5)*('Match Log'!$E$4:$E$311="Win")*COUNTIFS('Match Log'!$A$4:$A$311,'Match Log'!$A$4:$A$311,'Match Log'!$D$4:$D$311,F$4,'Match Log'!$E$4:$E$311,"Loss"))+SUMPRODUCT(('Match Log'!$D$4:$D$311=F$4)*('Match Log'!$E$4:$E$311="Win")*COUNTIFS('Match Log'!$A$4:$A$311,'Match Log'!$A$4:$A$311,'Match Log'!$D$4:$D$311,$A5,'Match Log'!$E$4:$E$311,"Loss")))))</f>
        <v>100% of 2</v>
      </c>
      <c r="G5" s="54" t="str">
        <f>IF($A5=G$4,"—",IF((SUMPRODUCT(('Match Log'!$D$4:$D$311=$A5)*('Match Log'!$E$4:$E$311="Win")*COUNTIFS('Match Log'!$A$4:$A$311,'Match Log'!$A$4:$A$311,'Match Log'!$D$4:$D$311,G$4,'Match Log'!$E$4:$E$311,"Loss"))+SUMPRODUCT(('Match Log'!$D$4:$D$311=G$4)*('Match Log'!$E$4:$E$311="Win")*COUNTIFS('Match Log'!$A$4:$A$311,'Match Log'!$A$4:$A$311,'Match Log'!$D$4:$D$311,$A5,'Match Log'!$E$4:$E$311,"Loss")))=0,"",TEXT(SUMPRODUCT(('Match Log'!$D$4:$D$311=$A5)*('Match Log'!$E$4:$E$311="Win")*COUNTIFS('Match Log'!$A$4:$A$311,'Match Log'!$A$4:$A$311,'Match Log'!$D$4:$D$311,G$4,'Match Log'!$E$4:$E$311,"Loss"))/(SUMPRODUCT(('Match Log'!$D$4:$D$311=$A5)*('Match Log'!$E$4:$E$311="Win")*COUNTIFS('Match Log'!$A$4:$A$311,'Match Log'!$A$4:$A$311,'Match Log'!$D$4:$D$311,G$4,'Match Log'!$E$4:$E$311,"Loss"))+SUMPRODUCT(('Match Log'!$D$4:$D$311=G$4)*('Match Log'!$E$4:$E$311="Win")*COUNTIFS('Match Log'!$A$4:$A$311,'Match Log'!$A$4:$A$311,'Match Log'!$D$4:$D$311,$A5,'Match Log'!$E$4:$E$311,"Loss"))),"0%")&amp;" of "&amp;(SUMPRODUCT(('Match Log'!$D$4:$D$311=$A5)*('Match Log'!$E$4:$E$311="Win")*COUNTIFS('Match Log'!$A$4:$A$311,'Match Log'!$A$4:$A$311,'Match Log'!$D$4:$D$311,G$4,'Match Log'!$E$4:$E$311,"Loss"))+SUMPRODUCT(('Match Log'!$D$4:$D$311=G$4)*('Match Log'!$E$4:$E$311="Win")*COUNTIFS('Match Log'!$A$4:$A$311,'Match Log'!$A$4:$A$311,'Match Log'!$D$4:$D$311,$A5,'Match Log'!$E$4:$E$311,"Loss")))))</f>
        <v>73% of 11</v>
      </c>
      <c r="H5" s="54" t="str">
        <f>IF($A5=H$4,"—",IF((SUMPRODUCT(('Match Log'!$D$4:$D$311=$A5)*('Match Log'!$E$4:$E$311="Win")*COUNTIFS('Match Log'!$A$4:$A$311,'Match Log'!$A$4:$A$311,'Match Log'!$D$4:$D$311,H$4,'Match Log'!$E$4:$E$311,"Loss"))+SUMPRODUCT(('Match Log'!$D$4:$D$311=H$4)*('Match Log'!$E$4:$E$311="Win")*COUNTIFS('Match Log'!$A$4:$A$311,'Match Log'!$A$4:$A$311,'Match Log'!$D$4:$D$311,$A5,'Match Log'!$E$4:$E$311,"Loss")))=0,"",TEXT(SUMPRODUCT(('Match Log'!$D$4:$D$311=$A5)*('Match Log'!$E$4:$E$311="Win")*COUNTIFS('Match Log'!$A$4:$A$311,'Match Log'!$A$4:$A$311,'Match Log'!$D$4:$D$311,H$4,'Match Log'!$E$4:$E$311,"Loss"))/(SUMPRODUCT(('Match Log'!$D$4:$D$311=$A5)*('Match Log'!$E$4:$E$311="Win")*COUNTIFS('Match Log'!$A$4:$A$311,'Match Log'!$A$4:$A$311,'Match Log'!$D$4:$D$311,H$4,'Match Log'!$E$4:$E$311,"Loss"))+SUMPRODUCT(('Match Log'!$D$4:$D$311=H$4)*('Match Log'!$E$4:$E$311="Win")*COUNTIFS('Match Log'!$A$4:$A$311,'Match Log'!$A$4:$A$311,'Match Log'!$D$4:$D$311,$A5,'Match Log'!$E$4:$E$311,"Loss"))),"0%")&amp;" of "&amp;(SUMPRODUCT(('Match Log'!$D$4:$D$311=$A5)*('Match Log'!$E$4:$E$311="Win")*COUNTIFS('Match Log'!$A$4:$A$311,'Match Log'!$A$4:$A$311,'Match Log'!$D$4:$D$311,H$4,'Match Log'!$E$4:$E$311,"Loss"))+SUMPRODUCT(('Match Log'!$D$4:$D$311=H$4)*('Match Log'!$E$4:$E$311="Win")*COUNTIFS('Match Log'!$A$4:$A$311,'Match Log'!$A$4:$A$311,'Match Log'!$D$4:$D$311,$A5,'Match Log'!$E$4:$E$311,"Loss")))))</f>
        <v>50% of 4</v>
      </c>
      <c r="I5" s="54" t="str">
        <f>IF($A5=I$4,"—",IF((SUMPRODUCT(('Match Log'!$D$4:$D$311=$A5)*('Match Log'!$E$4:$E$311="Win")*COUNTIFS('Match Log'!$A$4:$A$311,'Match Log'!$A$4:$A$311,'Match Log'!$D$4:$D$311,I$4,'Match Log'!$E$4:$E$311,"Loss"))+SUMPRODUCT(('Match Log'!$D$4:$D$311=I$4)*('Match Log'!$E$4:$E$311="Win")*COUNTIFS('Match Log'!$A$4:$A$311,'Match Log'!$A$4:$A$311,'Match Log'!$D$4:$D$311,$A5,'Match Log'!$E$4:$E$311,"Loss")))=0,"",TEXT(SUMPRODUCT(('Match Log'!$D$4:$D$311=$A5)*('Match Log'!$E$4:$E$311="Win")*COUNTIFS('Match Log'!$A$4:$A$311,'Match Log'!$A$4:$A$311,'Match Log'!$D$4:$D$311,I$4,'Match Log'!$E$4:$E$311,"Loss"))/(SUMPRODUCT(('Match Log'!$D$4:$D$311=$A5)*('Match Log'!$E$4:$E$311="Win")*COUNTIFS('Match Log'!$A$4:$A$311,'Match Log'!$A$4:$A$311,'Match Log'!$D$4:$D$311,I$4,'Match Log'!$E$4:$E$311,"Loss"))+SUMPRODUCT(('Match Log'!$D$4:$D$311=I$4)*('Match Log'!$E$4:$E$311="Win")*COUNTIFS('Match Log'!$A$4:$A$311,'Match Log'!$A$4:$A$311,'Match Log'!$D$4:$D$311,$A5,'Match Log'!$E$4:$E$311,"Loss"))),"0%")&amp;" of "&amp;(SUMPRODUCT(('Match Log'!$D$4:$D$311=$A5)*('Match Log'!$E$4:$E$311="Win")*COUNTIFS('Match Log'!$A$4:$A$311,'Match Log'!$A$4:$A$311,'Match Log'!$D$4:$D$311,I$4,'Match Log'!$E$4:$E$311,"Loss"))+SUMPRODUCT(('Match Log'!$D$4:$D$311=I$4)*('Match Log'!$E$4:$E$311="Win")*COUNTIFS('Match Log'!$A$4:$A$311,'Match Log'!$A$4:$A$311,'Match Log'!$D$4:$D$311,$A5,'Match Log'!$E$4:$E$311,"Loss")))))</f>
        <v>60% of 5</v>
      </c>
      <c r="J5" s="54" t="str">
        <f>IF($A5=J$4,"—",IF((SUMPRODUCT(('Match Log'!$D$4:$D$311=$A5)*('Match Log'!$E$4:$E$311="Win")*COUNTIFS('Match Log'!$A$4:$A$311,'Match Log'!$A$4:$A$311,'Match Log'!$D$4:$D$311,J$4,'Match Log'!$E$4:$E$311,"Loss"))+SUMPRODUCT(('Match Log'!$D$4:$D$311=J$4)*('Match Log'!$E$4:$E$311="Win")*COUNTIFS('Match Log'!$A$4:$A$311,'Match Log'!$A$4:$A$311,'Match Log'!$D$4:$D$311,$A5,'Match Log'!$E$4:$E$311,"Loss")))=0,"",TEXT(SUMPRODUCT(('Match Log'!$D$4:$D$311=$A5)*('Match Log'!$E$4:$E$311="Win")*COUNTIFS('Match Log'!$A$4:$A$311,'Match Log'!$A$4:$A$311,'Match Log'!$D$4:$D$311,J$4,'Match Log'!$E$4:$E$311,"Loss"))/(SUMPRODUCT(('Match Log'!$D$4:$D$311=$A5)*('Match Log'!$E$4:$E$311="Win")*COUNTIFS('Match Log'!$A$4:$A$311,'Match Log'!$A$4:$A$311,'Match Log'!$D$4:$D$311,J$4,'Match Log'!$E$4:$E$311,"Loss"))+SUMPRODUCT(('Match Log'!$D$4:$D$311=J$4)*('Match Log'!$E$4:$E$311="Win")*COUNTIFS('Match Log'!$A$4:$A$311,'Match Log'!$A$4:$A$311,'Match Log'!$D$4:$D$311,$A5,'Match Log'!$E$4:$E$311,"Loss"))),"0%")&amp;" of "&amp;(SUMPRODUCT(('Match Log'!$D$4:$D$311=$A5)*('Match Log'!$E$4:$E$311="Win")*COUNTIFS('Match Log'!$A$4:$A$311,'Match Log'!$A$4:$A$311,'Match Log'!$D$4:$D$311,J$4,'Match Log'!$E$4:$E$311,"Loss"))+SUMPRODUCT(('Match Log'!$D$4:$D$311=J$4)*('Match Log'!$E$4:$E$311="Win")*COUNTIFS('Match Log'!$A$4:$A$311,'Match Log'!$A$4:$A$311,'Match Log'!$D$4:$D$311,$A5,'Match Log'!$E$4:$E$311,"Loss")))))</f>
        <v>50% of 2</v>
      </c>
      <c r="K5" s="54" t="str">
        <f>IF($A5=K$4,"—",IF((SUMPRODUCT(('Match Log'!$D$4:$D$311=$A5)*('Match Log'!$E$4:$E$311="Win")*COUNTIFS('Match Log'!$A$4:$A$311,'Match Log'!$A$4:$A$311,'Match Log'!$D$4:$D$311,K$4,'Match Log'!$E$4:$E$311,"Loss"))+SUMPRODUCT(('Match Log'!$D$4:$D$311=K$4)*('Match Log'!$E$4:$E$311="Win")*COUNTIFS('Match Log'!$A$4:$A$311,'Match Log'!$A$4:$A$311,'Match Log'!$D$4:$D$311,$A5,'Match Log'!$E$4:$E$311,"Loss")))=0,"",TEXT(SUMPRODUCT(('Match Log'!$D$4:$D$311=$A5)*('Match Log'!$E$4:$E$311="Win")*COUNTIFS('Match Log'!$A$4:$A$311,'Match Log'!$A$4:$A$311,'Match Log'!$D$4:$D$311,K$4,'Match Log'!$E$4:$E$311,"Loss"))/(SUMPRODUCT(('Match Log'!$D$4:$D$311=$A5)*('Match Log'!$E$4:$E$311="Win")*COUNTIFS('Match Log'!$A$4:$A$311,'Match Log'!$A$4:$A$311,'Match Log'!$D$4:$D$311,K$4,'Match Log'!$E$4:$E$311,"Loss"))+SUMPRODUCT(('Match Log'!$D$4:$D$311=K$4)*('Match Log'!$E$4:$E$311="Win")*COUNTIFS('Match Log'!$A$4:$A$311,'Match Log'!$A$4:$A$311,'Match Log'!$D$4:$D$311,$A5,'Match Log'!$E$4:$E$311,"Loss"))),"0%")&amp;" of "&amp;(SUMPRODUCT(('Match Log'!$D$4:$D$311=$A5)*('Match Log'!$E$4:$E$311="Win")*COUNTIFS('Match Log'!$A$4:$A$311,'Match Log'!$A$4:$A$311,'Match Log'!$D$4:$D$311,K$4,'Match Log'!$E$4:$E$311,"Loss"))+SUMPRODUCT(('Match Log'!$D$4:$D$311=K$4)*('Match Log'!$E$4:$E$311="Win")*COUNTIFS('Match Log'!$A$4:$A$311,'Match Log'!$A$4:$A$311,'Match Log'!$D$4:$D$311,$A5,'Match Log'!$E$4:$E$311,"Loss")))))</f>
        <v/>
      </c>
      <c r="L5" s="54" t="str">
        <f>IF($A5=L$4,"—",IF((SUMPRODUCT(('Match Log'!$D$4:$D$311=$A5)*('Match Log'!$E$4:$E$311="Win")*COUNTIFS('Match Log'!$A$4:$A$311,'Match Log'!$A$4:$A$311,'Match Log'!$D$4:$D$311,L$4,'Match Log'!$E$4:$E$311,"Loss"))+SUMPRODUCT(('Match Log'!$D$4:$D$311=L$4)*('Match Log'!$E$4:$E$311="Win")*COUNTIFS('Match Log'!$A$4:$A$311,'Match Log'!$A$4:$A$311,'Match Log'!$D$4:$D$311,$A5,'Match Log'!$E$4:$E$311,"Loss")))=0,"",TEXT(SUMPRODUCT(('Match Log'!$D$4:$D$311=$A5)*('Match Log'!$E$4:$E$311="Win")*COUNTIFS('Match Log'!$A$4:$A$311,'Match Log'!$A$4:$A$311,'Match Log'!$D$4:$D$311,L$4,'Match Log'!$E$4:$E$311,"Loss"))/(SUMPRODUCT(('Match Log'!$D$4:$D$311=$A5)*('Match Log'!$E$4:$E$311="Win")*COUNTIFS('Match Log'!$A$4:$A$311,'Match Log'!$A$4:$A$311,'Match Log'!$D$4:$D$311,L$4,'Match Log'!$E$4:$E$311,"Loss"))+SUMPRODUCT(('Match Log'!$D$4:$D$311=L$4)*('Match Log'!$E$4:$E$311="Win")*COUNTIFS('Match Log'!$A$4:$A$311,'Match Log'!$A$4:$A$311,'Match Log'!$D$4:$D$311,$A5,'Match Log'!$E$4:$E$311,"Loss"))),"0%")&amp;" of "&amp;(SUMPRODUCT(('Match Log'!$D$4:$D$311=$A5)*('Match Log'!$E$4:$E$311="Win")*COUNTIFS('Match Log'!$A$4:$A$311,'Match Log'!$A$4:$A$311,'Match Log'!$D$4:$D$311,L$4,'Match Log'!$E$4:$E$311,"Loss"))+SUMPRODUCT(('Match Log'!$D$4:$D$311=L$4)*('Match Log'!$E$4:$E$311="Win")*COUNTIFS('Match Log'!$A$4:$A$311,'Match Log'!$A$4:$A$311,'Match Log'!$D$4:$D$311,$A5,'Match Log'!$E$4:$E$311,"Loss")))))</f>
        <v>50% of 4</v>
      </c>
      <c r="M5" s="54" t="str">
        <f>IF($A5=M$4,"—",IF((SUMPRODUCT(('Match Log'!$D$4:$D$311=$A5)*('Match Log'!$E$4:$E$311="Win")*COUNTIFS('Match Log'!$A$4:$A$311,'Match Log'!$A$4:$A$311,'Match Log'!$D$4:$D$311,M$4,'Match Log'!$E$4:$E$311,"Loss"))+SUMPRODUCT(('Match Log'!$D$4:$D$311=M$4)*('Match Log'!$E$4:$E$311="Win")*COUNTIFS('Match Log'!$A$4:$A$311,'Match Log'!$A$4:$A$311,'Match Log'!$D$4:$D$311,$A5,'Match Log'!$E$4:$E$311,"Loss")))=0,"",TEXT(SUMPRODUCT(('Match Log'!$D$4:$D$311=$A5)*('Match Log'!$E$4:$E$311="Win")*COUNTIFS('Match Log'!$A$4:$A$311,'Match Log'!$A$4:$A$311,'Match Log'!$D$4:$D$311,M$4,'Match Log'!$E$4:$E$311,"Loss"))/(SUMPRODUCT(('Match Log'!$D$4:$D$311=$A5)*('Match Log'!$E$4:$E$311="Win")*COUNTIFS('Match Log'!$A$4:$A$311,'Match Log'!$A$4:$A$311,'Match Log'!$D$4:$D$311,M$4,'Match Log'!$E$4:$E$311,"Loss"))+SUMPRODUCT(('Match Log'!$D$4:$D$311=M$4)*('Match Log'!$E$4:$E$311="Win")*COUNTIFS('Match Log'!$A$4:$A$311,'Match Log'!$A$4:$A$311,'Match Log'!$D$4:$D$311,$A5,'Match Log'!$E$4:$E$311,"Loss"))),"0%")&amp;" of "&amp;(SUMPRODUCT(('Match Log'!$D$4:$D$311=$A5)*('Match Log'!$E$4:$E$311="Win")*COUNTIFS('Match Log'!$A$4:$A$311,'Match Log'!$A$4:$A$311,'Match Log'!$D$4:$D$311,M$4,'Match Log'!$E$4:$E$311,"Loss"))+SUMPRODUCT(('Match Log'!$D$4:$D$311=M$4)*('Match Log'!$E$4:$E$311="Win")*COUNTIFS('Match Log'!$A$4:$A$311,'Match Log'!$A$4:$A$311,'Match Log'!$D$4:$D$311,$A5,'Match Log'!$E$4:$E$311,"Loss")))))</f>
        <v>0% of 1</v>
      </c>
      <c r="N5" s="54" t="str">
        <f>IF($A5=N$4,"—",IF((SUMPRODUCT(('Match Log'!$D$4:$D$311=$A5)*('Match Log'!$E$4:$E$311="Win")*COUNTIFS('Match Log'!$A$4:$A$311,'Match Log'!$A$4:$A$311,'Match Log'!$D$4:$D$311,N$4,'Match Log'!$E$4:$E$311,"Loss"))+SUMPRODUCT(('Match Log'!$D$4:$D$311=N$4)*('Match Log'!$E$4:$E$311="Win")*COUNTIFS('Match Log'!$A$4:$A$311,'Match Log'!$A$4:$A$311,'Match Log'!$D$4:$D$311,$A5,'Match Log'!$E$4:$E$311,"Loss")))=0,"",TEXT(SUMPRODUCT(('Match Log'!$D$4:$D$311=$A5)*('Match Log'!$E$4:$E$311="Win")*COUNTIFS('Match Log'!$A$4:$A$311,'Match Log'!$A$4:$A$311,'Match Log'!$D$4:$D$311,N$4,'Match Log'!$E$4:$E$311,"Loss"))/(SUMPRODUCT(('Match Log'!$D$4:$D$311=$A5)*('Match Log'!$E$4:$E$311="Win")*COUNTIFS('Match Log'!$A$4:$A$311,'Match Log'!$A$4:$A$311,'Match Log'!$D$4:$D$311,N$4,'Match Log'!$E$4:$E$311,"Loss"))+SUMPRODUCT(('Match Log'!$D$4:$D$311=N$4)*('Match Log'!$E$4:$E$311="Win")*COUNTIFS('Match Log'!$A$4:$A$311,'Match Log'!$A$4:$A$311,'Match Log'!$D$4:$D$311,$A5,'Match Log'!$E$4:$E$311,"Loss"))),"0%")&amp;" of "&amp;(SUMPRODUCT(('Match Log'!$D$4:$D$311=$A5)*('Match Log'!$E$4:$E$311="Win")*COUNTIFS('Match Log'!$A$4:$A$311,'Match Log'!$A$4:$A$311,'Match Log'!$D$4:$D$311,N$4,'Match Log'!$E$4:$E$311,"Loss"))+SUMPRODUCT(('Match Log'!$D$4:$D$311=N$4)*('Match Log'!$E$4:$E$311="Win")*COUNTIFS('Match Log'!$A$4:$A$311,'Match Log'!$A$4:$A$311,'Match Log'!$D$4:$D$311,$A5,'Match Log'!$E$4:$E$311,"Loss")))))</f>
        <v/>
      </c>
      <c r="O5" s="54" t="str">
        <f>IF($A5=O$4,"—",IF((SUMPRODUCT(('Match Log'!$D$4:$D$311=$A5)*('Match Log'!$E$4:$E$311="Win")*COUNTIFS('Match Log'!$A$4:$A$311,'Match Log'!$A$4:$A$311,'Match Log'!$D$4:$D$311,O$4,'Match Log'!$E$4:$E$311,"Loss"))+SUMPRODUCT(('Match Log'!$D$4:$D$311=O$4)*('Match Log'!$E$4:$E$311="Win")*COUNTIFS('Match Log'!$A$4:$A$311,'Match Log'!$A$4:$A$311,'Match Log'!$D$4:$D$311,$A5,'Match Log'!$E$4:$E$311,"Loss")))=0,"",TEXT(SUMPRODUCT(('Match Log'!$D$4:$D$311=$A5)*('Match Log'!$E$4:$E$311="Win")*COUNTIFS('Match Log'!$A$4:$A$311,'Match Log'!$A$4:$A$311,'Match Log'!$D$4:$D$311,O$4,'Match Log'!$E$4:$E$311,"Loss"))/(SUMPRODUCT(('Match Log'!$D$4:$D$311=$A5)*('Match Log'!$E$4:$E$311="Win")*COUNTIFS('Match Log'!$A$4:$A$311,'Match Log'!$A$4:$A$311,'Match Log'!$D$4:$D$311,O$4,'Match Log'!$E$4:$E$311,"Loss"))+SUMPRODUCT(('Match Log'!$D$4:$D$311=O$4)*('Match Log'!$E$4:$E$311="Win")*COUNTIFS('Match Log'!$A$4:$A$311,'Match Log'!$A$4:$A$311,'Match Log'!$D$4:$D$311,$A5,'Match Log'!$E$4:$E$311,"Loss"))),"0%")&amp;" of "&amp;(SUMPRODUCT(('Match Log'!$D$4:$D$311=$A5)*('Match Log'!$E$4:$E$311="Win")*COUNTIFS('Match Log'!$A$4:$A$311,'Match Log'!$A$4:$A$311,'Match Log'!$D$4:$D$311,O$4,'Match Log'!$E$4:$E$311,"Loss"))+SUMPRODUCT(('Match Log'!$D$4:$D$311=O$4)*('Match Log'!$E$4:$E$311="Win")*COUNTIFS('Match Log'!$A$4:$A$311,'Match Log'!$A$4:$A$311,'Match Log'!$D$4:$D$311,$A5,'Match Log'!$E$4:$E$311,"Loss")))))</f>
        <v/>
      </c>
    </row>
    <row r="6" spans="1:15" ht="15" customHeight="1" x14ac:dyDescent="0.2">
      <c r="A6" s="49" t="s">
        <v>142</v>
      </c>
      <c r="B6" s="54" t="str">
        <f>IF($A6=B$4,"—",IF((SUMPRODUCT(('Match Log'!$D$4:$D$311=$A6)*('Match Log'!$E$4:$E$311="Win")*COUNTIFS('Match Log'!$A$4:$A$311,'Match Log'!$A$4:$A$311,'Match Log'!$D$4:$D$311,B$4,'Match Log'!$E$4:$E$311,"Loss"))+SUMPRODUCT(('Match Log'!$D$4:$D$311=B$4)*('Match Log'!$E$4:$E$311="Win")*COUNTIFS('Match Log'!$A$4:$A$311,'Match Log'!$A$4:$A$311,'Match Log'!$D$4:$D$311,$A6,'Match Log'!$E$4:$E$311,"Loss")))=0,"",TEXT(SUMPRODUCT(('Match Log'!$D$4:$D$311=$A6)*('Match Log'!$E$4:$E$311="Win")*COUNTIFS('Match Log'!$A$4:$A$311,'Match Log'!$A$4:$A$311,'Match Log'!$D$4:$D$311,B$4,'Match Log'!$E$4:$E$311,"Loss"))/(SUMPRODUCT(('Match Log'!$D$4:$D$311=$A6)*('Match Log'!$E$4:$E$311="Win")*COUNTIFS('Match Log'!$A$4:$A$311,'Match Log'!$A$4:$A$311,'Match Log'!$D$4:$D$311,B$4,'Match Log'!$E$4:$E$311,"Loss"))+SUMPRODUCT(('Match Log'!$D$4:$D$311=B$4)*('Match Log'!$E$4:$E$311="Win")*COUNTIFS('Match Log'!$A$4:$A$311,'Match Log'!$A$4:$A$311,'Match Log'!$D$4:$D$311,$A6,'Match Log'!$E$4:$E$311,"Loss"))),"0%")&amp;" of "&amp;(SUMPRODUCT(('Match Log'!$D$4:$D$311=$A6)*('Match Log'!$E$4:$E$311="Win")*COUNTIFS('Match Log'!$A$4:$A$311,'Match Log'!$A$4:$A$311,'Match Log'!$D$4:$D$311,B$4,'Match Log'!$E$4:$E$311,"Loss"))+SUMPRODUCT(('Match Log'!$D$4:$D$311=B$4)*('Match Log'!$E$4:$E$311="Win")*COUNTIFS('Match Log'!$A$4:$A$311,'Match Log'!$A$4:$A$311,'Match Log'!$D$4:$D$311,$A6,'Match Log'!$E$4:$E$311,"Loss")))))</f>
        <v/>
      </c>
      <c r="C6" s="54" t="str">
        <f>IF($A6=C$4,"—",IF((SUMPRODUCT(('Match Log'!$D$4:$D$311=$A6)*('Match Log'!$E$4:$E$311="Win")*COUNTIFS('Match Log'!$A$4:$A$311,'Match Log'!$A$4:$A$311,'Match Log'!$D$4:$D$311,C$4,'Match Log'!$E$4:$E$311,"Loss"))+SUMPRODUCT(('Match Log'!$D$4:$D$311=C$4)*('Match Log'!$E$4:$E$311="Win")*COUNTIFS('Match Log'!$A$4:$A$311,'Match Log'!$A$4:$A$311,'Match Log'!$D$4:$D$311,$A6,'Match Log'!$E$4:$E$311,"Loss")))=0,"",TEXT(SUMPRODUCT(('Match Log'!$D$4:$D$311=$A6)*('Match Log'!$E$4:$E$311="Win")*COUNTIFS('Match Log'!$A$4:$A$311,'Match Log'!$A$4:$A$311,'Match Log'!$D$4:$D$311,C$4,'Match Log'!$E$4:$E$311,"Loss"))/(SUMPRODUCT(('Match Log'!$D$4:$D$311=$A6)*('Match Log'!$E$4:$E$311="Win")*COUNTIFS('Match Log'!$A$4:$A$311,'Match Log'!$A$4:$A$311,'Match Log'!$D$4:$D$311,C$4,'Match Log'!$E$4:$E$311,"Loss"))+SUMPRODUCT(('Match Log'!$D$4:$D$311=C$4)*('Match Log'!$E$4:$E$311="Win")*COUNTIFS('Match Log'!$A$4:$A$311,'Match Log'!$A$4:$A$311,'Match Log'!$D$4:$D$311,$A6,'Match Log'!$E$4:$E$311,"Loss"))),"0%")&amp;" of "&amp;(SUMPRODUCT(('Match Log'!$D$4:$D$311=$A6)*('Match Log'!$E$4:$E$311="Win")*COUNTIFS('Match Log'!$A$4:$A$311,'Match Log'!$A$4:$A$311,'Match Log'!$D$4:$D$311,C$4,'Match Log'!$E$4:$E$311,"Loss"))+SUMPRODUCT(('Match Log'!$D$4:$D$311=C$4)*('Match Log'!$E$4:$E$311="Win")*COUNTIFS('Match Log'!$A$4:$A$311,'Match Log'!$A$4:$A$311,'Match Log'!$D$4:$D$311,$A6,'Match Log'!$E$4:$E$311,"Loss")))))</f>
        <v>—</v>
      </c>
      <c r="D6" s="54" t="str">
        <f>IF($A6=D$4,"—",IF((SUMPRODUCT(('Match Log'!$D$4:$D$311=$A6)*('Match Log'!$E$4:$E$311="Win")*COUNTIFS('Match Log'!$A$4:$A$311,'Match Log'!$A$4:$A$311,'Match Log'!$D$4:$D$311,D$4,'Match Log'!$E$4:$E$311,"Loss"))+SUMPRODUCT(('Match Log'!$D$4:$D$311=D$4)*('Match Log'!$E$4:$E$311="Win")*COUNTIFS('Match Log'!$A$4:$A$311,'Match Log'!$A$4:$A$311,'Match Log'!$D$4:$D$311,$A6,'Match Log'!$E$4:$E$311,"Loss")))=0,"",TEXT(SUMPRODUCT(('Match Log'!$D$4:$D$311=$A6)*('Match Log'!$E$4:$E$311="Win")*COUNTIFS('Match Log'!$A$4:$A$311,'Match Log'!$A$4:$A$311,'Match Log'!$D$4:$D$311,D$4,'Match Log'!$E$4:$E$311,"Loss"))/(SUMPRODUCT(('Match Log'!$D$4:$D$311=$A6)*('Match Log'!$E$4:$E$311="Win")*COUNTIFS('Match Log'!$A$4:$A$311,'Match Log'!$A$4:$A$311,'Match Log'!$D$4:$D$311,D$4,'Match Log'!$E$4:$E$311,"Loss"))+SUMPRODUCT(('Match Log'!$D$4:$D$311=D$4)*('Match Log'!$E$4:$E$311="Win")*COUNTIFS('Match Log'!$A$4:$A$311,'Match Log'!$A$4:$A$311,'Match Log'!$D$4:$D$311,$A6,'Match Log'!$E$4:$E$311,"Loss"))),"0%")&amp;" of "&amp;(SUMPRODUCT(('Match Log'!$D$4:$D$311=$A6)*('Match Log'!$E$4:$E$311="Win")*COUNTIFS('Match Log'!$A$4:$A$311,'Match Log'!$A$4:$A$311,'Match Log'!$D$4:$D$311,D$4,'Match Log'!$E$4:$E$311,"Loss"))+SUMPRODUCT(('Match Log'!$D$4:$D$311=D$4)*('Match Log'!$E$4:$E$311="Win")*COUNTIFS('Match Log'!$A$4:$A$311,'Match Log'!$A$4:$A$311,'Match Log'!$D$4:$D$311,$A6,'Match Log'!$E$4:$E$311,"Loss")))))</f>
        <v/>
      </c>
      <c r="E6" s="54" t="str">
        <f>IF($A6=E$4,"—",IF((SUMPRODUCT(('Match Log'!$D$4:$D$311=$A6)*('Match Log'!$E$4:$E$311="Win")*COUNTIFS('Match Log'!$A$4:$A$311,'Match Log'!$A$4:$A$311,'Match Log'!$D$4:$D$311,E$4,'Match Log'!$E$4:$E$311,"Loss"))+SUMPRODUCT(('Match Log'!$D$4:$D$311=E$4)*('Match Log'!$E$4:$E$311="Win")*COUNTIFS('Match Log'!$A$4:$A$311,'Match Log'!$A$4:$A$311,'Match Log'!$D$4:$D$311,$A6,'Match Log'!$E$4:$E$311,"Loss")))=0,"",TEXT(SUMPRODUCT(('Match Log'!$D$4:$D$311=$A6)*('Match Log'!$E$4:$E$311="Win")*COUNTIFS('Match Log'!$A$4:$A$311,'Match Log'!$A$4:$A$311,'Match Log'!$D$4:$D$311,E$4,'Match Log'!$E$4:$E$311,"Loss"))/(SUMPRODUCT(('Match Log'!$D$4:$D$311=$A6)*('Match Log'!$E$4:$E$311="Win")*COUNTIFS('Match Log'!$A$4:$A$311,'Match Log'!$A$4:$A$311,'Match Log'!$D$4:$D$311,E$4,'Match Log'!$E$4:$E$311,"Loss"))+SUMPRODUCT(('Match Log'!$D$4:$D$311=E$4)*('Match Log'!$E$4:$E$311="Win")*COUNTIFS('Match Log'!$A$4:$A$311,'Match Log'!$A$4:$A$311,'Match Log'!$D$4:$D$311,$A6,'Match Log'!$E$4:$E$311,"Loss"))),"0%")&amp;" of "&amp;(SUMPRODUCT(('Match Log'!$D$4:$D$311=$A6)*('Match Log'!$E$4:$E$311="Win")*COUNTIFS('Match Log'!$A$4:$A$311,'Match Log'!$A$4:$A$311,'Match Log'!$D$4:$D$311,E$4,'Match Log'!$E$4:$E$311,"Loss"))+SUMPRODUCT(('Match Log'!$D$4:$D$311=E$4)*('Match Log'!$E$4:$E$311="Win")*COUNTIFS('Match Log'!$A$4:$A$311,'Match Log'!$A$4:$A$311,'Match Log'!$D$4:$D$311,$A6,'Match Log'!$E$4:$E$311,"Loss")))))</f>
        <v>0% of 1</v>
      </c>
      <c r="F6" s="54" t="str">
        <f>IF($A6=F$4,"—",IF((SUMPRODUCT(('Match Log'!$D$4:$D$311=$A6)*('Match Log'!$E$4:$E$311="Win")*COUNTIFS('Match Log'!$A$4:$A$311,'Match Log'!$A$4:$A$311,'Match Log'!$D$4:$D$311,F$4,'Match Log'!$E$4:$E$311,"Loss"))+SUMPRODUCT(('Match Log'!$D$4:$D$311=F$4)*('Match Log'!$E$4:$E$311="Win")*COUNTIFS('Match Log'!$A$4:$A$311,'Match Log'!$A$4:$A$311,'Match Log'!$D$4:$D$311,$A6,'Match Log'!$E$4:$E$311,"Loss")))=0,"",TEXT(SUMPRODUCT(('Match Log'!$D$4:$D$311=$A6)*('Match Log'!$E$4:$E$311="Win")*COUNTIFS('Match Log'!$A$4:$A$311,'Match Log'!$A$4:$A$311,'Match Log'!$D$4:$D$311,F$4,'Match Log'!$E$4:$E$311,"Loss"))/(SUMPRODUCT(('Match Log'!$D$4:$D$311=$A6)*('Match Log'!$E$4:$E$311="Win")*COUNTIFS('Match Log'!$A$4:$A$311,'Match Log'!$A$4:$A$311,'Match Log'!$D$4:$D$311,F$4,'Match Log'!$E$4:$E$311,"Loss"))+SUMPRODUCT(('Match Log'!$D$4:$D$311=F$4)*('Match Log'!$E$4:$E$311="Win")*COUNTIFS('Match Log'!$A$4:$A$311,'Match Log'!$A$4:$A$311,'Match Log'!$D$4:$D$311,$A6,'Match Log'!$E$4:$E$311,"Loss"))),"0%")&amp;" of "&amp;(SUMPRODUCT(('Match Log'!$D$4:$D$311=$A6)*('Match Log'!$E$4:$E$311="Win")*COUNTIFS('Match Log'!$A$4:$A$311,'Match Log'!$A$4:$A$311,'Match Log'!$D$4:$D$311,F$4,'Match Log'!$E$4:$E$311,"Loss"))+SUMPRODUCT(('Match Log'!$D$4:$D$311=F$4)*('Match Log'!$E$4:$E$311="Win")*COUNTIFS('Match Log'!$A$4:$A$311,'Match Log'!$A$4:$A$311,'Match Log'!$D$4:$D$311,$A6,'Match Log'!$E$4:$E$311,"Loss")))))</f>
        <v>0% of 1</v>
      </c>
      <c r="G6" s="54" t="str">
        <f>IF($A6=G$4,"—",IF((SUMPRODUCT(('Match Log'!$D$4:$D$311=$A6)*('Match Log'!$E$4:$E$311="Win")*COUNTIFS('Match Log'!$A$4:$A$311,'Match Log'!$A$4:$A$311,'Match Log'!$D$4:$D$311,G$4,'Match Log'!$E$4:$E$311,"Loss"))+SUMPRODUCT(('Match Log'!$D$4:$D$311=G$4)*('Match Log'!$E$4:$E$311="Win")*COUNTIFS('Match Log'!$A$4:$A$311,'Match Log'!$A$4:$A$311,'Match Log'!$D$4:$D$311,$A6,'Match Log'!$E$4:$E$311,"Loss")))=0,"",TEXT(SUMPRODUCT(('Match Log'!$D$4:$D$311=$A6)*('Match Log'!$E$4:$E$311="Win")*COUNTIFS('Match Log'!$A$4:$A$311,'Match Log'!$A$4:$A$311,'Match Log'!$D$4:$D$311,G$4,'Match Log'!$E$4:$E$311,"Loss"))/(SUMPRODUCT(('Match Log'!$D$4:$D$311=$A6)*('Match Log'!$E$4:$E$311="Win")*COUNTIFS('Match Log'!$A$4:$A$311,'Match Log'!$A$4:$A$311,'Match Log'!$D$4:$D$311,G$4,'Match Log'!$E$4:$E$311,"Loss"))+SUMPRODUCT(('Match Log'!$D$4:$D$311=G$4)*('Match Log'!$E$4:$E$311="Win")*COUNTIFS('Match Log'!$A$4:$A$311,'Match Log'!$A$4:$A$311,'Match Log'!$D$4:$D$311,$A6,'Match Log'!$E$4:$E$311,"Loss"))),"0%")&amp;" of "&amp;(SUMPRODUCT(('Match Log'!$D$4:$D$311=$A6)*('Match Log'!$E$4:$E$311="Win")*COUNTIFS('Match Log'!$A$4:$A$311,'Match Log'!$A$4:$A$311,'Match Log'!$D$4:$D$311,G$4,'Match Log'!$E$4:$E$311,"Loss"))+SUMPRODUCT(('Match Log'!$D$4:$D$311=G$4)*('Match Log'!$E$4:$E$311="Win")*COUNTIFS('Match Log'!$A$4:$A$311,'Match Log'!$A$4:$A$311,'Match Log'!$D$4:$D$311,$A6,'Match Log'!$E$4:$E$311,"Loss")))))</f>
        <v>0% of 1</v>
      </c>
      <c r="H6" s="54" t="str">
        <f>IF($A6=H$4,"—",IF((SUMPRODUCT(('Match Log'!$D$4:$D$311=$A6)*('Match Log'!$E$4:$E$311="Win")*COUNTIFS('Match Log'!$A$4:$A$311,'Match Log'!$A$4:$A$311,'Match Log'!$D$4:$D$311,H$4,'Match Log'!$E$4:$E$311,"Loss"))+SUMPRODUCT(('Match Log'!$D$4:$D$311=H$4)*('Match Log'!$E$4:$E$311="Win")*COUNTIFS('Match Log'!$A$4:$A$311,'Match Log'!$A$4:$A$311,'Match Log'!$D$4:$D$311,$A6,'Match Log'!$E$4:$E$311,"Loss")))=0,"",TEXT(SUMPRODUCT(('Match Log'!$D$4:$D$311=$A6)*('Match Log'!$E$4:$E$311="Win")*COUNTIFS('Match Log'!$A$4:$A$311,'Match Log'!$A$4:$A$311,'Match Log'!$D$4:$D$311,H$4,'Match Log'!$E$4:$E$311,"Loss"))/(SUMPRODUCT(('Match Log'!$D$4:$D$311=$A6)*('Match Log'!$E$4:$E$311="Win")*COUNTIFS('Match Log'!$A$4:$A$311,'Match Log'!$A$4:$A$311,'Match Log'!$D$4:$D$311,H$4,'Match Log'!$E$4:$E$311,"Loss"))+SUMPRODUCT(('Match Log'!$D$4:$D$311=H$4)*('Match Log'!$E$4:$E$311="Win")*COUNTIFS('Match Log'!$A$4:$A$311,'Match Log'!$A$4:$A$311,'Match Log'!$D$4:$D$311,$A6,'Match Log'!$E$4:$E$311,"Loss"))),"0%")&amp;" of "&amp;(SUMPRODUCT(('Match Log'!$D$4:$D$311=$A6)*('Match Log'!$E$4:$E$311="Win")*COUNTIFS('Match Log'!$A$4:$A$311,'Match Log'!$A$4:$A$311,'Match Log'!$D$4:$D$311,H$4,'Match Log'!$E$4:$E$311,"Loss"))+SUMPRODUCT(('Match Log'!$D$4:$D$311=H$4)*('Match Log'!$E$4:$E$311="Win")*COUNTIFS('Match Log'!$A$4:$A$311,'Match Log'!$A$4:$A$311,'Match Log'!$D$4:$D$311,$A6,'Match Log'!$E$4:$E$311,"Loss")))))</f>
        <v>67% of 3</v>
      </c>
      <c r="I6" s="54" t="str">
        <f>IF($A6=I$4,"—",IF((SUMPRODUCT(('Match Log'!$D$4:$D$311=$A6)*('Match Log'!$E$4:$E$311="Win")*COUNTIFS('Match Log'!$A$4:$A$311,'Match Log'!$A$4:$A$311,'Match Log'!$D$4:$D$311,I$4,'Match Log'!$E$4:$E$311,"Loss"))+SUMPRODUCT(('Match Log'!$D$4:$D$311=I$4)*('Match Log'!$E$4:$E$311="Win")*COUNTIFS('Match Log'!$A$4:$A$311,'Match Log'!$A$4:$A$311,'Match Log'!$D$4:$D$311,$A6,'Match Log'!$E$4:$E$311,"Loss")))=0,"",TEXT(SUMPRODUCT(('Match Log'!$D$4:$D$311=$A6)*('Match Log'!$E$4:$E$311="Win")*COUNTIFS('Match Log'!$A$4:$A$311,'Match Log'!$A$4:$A$311,'Match Log'!$D$4:$D$311,I$4,'Match Log'!$E$4:$E$311,"Loss"))/(SUMPRODUCT(('Match Log'!$D$4:$D$311=$A6)*('Match Log'!$E$4:$E$311="Win")*COUNTIFS('Match Log'!$A$4:$A$311,'Match Log'!$A$4:$A$311,'Match Log'!$D$4:$D$311,I$4,'Match Log'!$E$4:$E$311,"Loss"))+SUMPRODUCT(('Match Log'!$D$4:$D$311=I$4)*('Match Log'!$E$4:$E$311="Win")*COUNTIFS('Match Log'!$A$4:$A$311,'Match Log'!$A$4:$A$311,'Match Log'!$D$4:$D$311,$A6,'Match Log'!$E$4:$E$311,"Loss"))),"0%")&amp;" of "&amp;(SUMPRODUCT(('Match Log'!$D$4:$D$311=$A6)*('Match Log'!$E$4:$E$311="Win")*COUNTIFS('Match Log'!$A$4:$A$311,'Match Log'!$A$4:$A$311,'Match Log'!$D$4:$D$311,I$4,'Match Log'!$E$4:$E$311,"Loss"))+SUMPRODUCT(('Match Log'!$D$4:$D$311=I$4)*('Match Log'!$E$4:$E$311="Win")*COUNTIFS('Match Log'!$A$4:$A$311,'Match Log'!$A$4:$A$311,'Match Log'!$D$4:$D$311,$A6,'Match Log'!$E$4:$E$311,"Loss")))))</f>
        <v>100% of 2</v>
      </c>
      <c r="J6" s="54" t="str">
        <f>IF($A6=J$4,"—",IF((SUMPRODUCT(('Match Log'!$D$4:$D$311=$A6)*('Match Log'!$E$4:$E$311="Win")*COUNTIFS('Match Log'!$A$4:$A$311,'Match Log'!$A$4:$A$311,'Match Log'!$D$4:$D$311,J$4,'Match Log'!$E$4:$E$311,"Loss"))+SUMPRODUCT(('Match Log'!$D$4:$D$311=J$4)*('Match Log'!$E$4:$E$311="Win")*COUNTIFS('Match Log'!$A$4:$A$311,'Match Log'!$A$4:$A$311,'Match Log'!$D$4:$D$311,$A6,'Match Log'!$E$4:$E$311,"Loss")))=0,"",TEXT(SUMPRODUCT(('Match Log'!$D$4:$D$311=$A6)*('Match Log'!$E$4:$E$311="Win")*COUNTIFS('Match Log'!$A$4:$A$311,'Match Log'!$A$4:$A$311,'Match Log'!$D$4:$D$311,J$4,'Match Log'!$E$4:$E$311,"Loss"))/(SUMPRODUCT(('Match Log'!$D$4:$D$311=$A6)*('Match Log'!$E$4:$E$311="Win")*COUNTIFS('Match Log'!$A$4:$A$311,'Match Log'!$A$4:$A$311,'Match Log'!$D$4:$D$311,J$4,'Match Log'!$E$4:$E$311,"Loss"))+SUMPRODUCT(('Match Log'!$D$4:$D$311=J$4)*('Match Log'!$E$4:$E$311="Win")*COUNTIFS('Match Log'!$A$4:$A$311,'Match Log'!$A$4:$A$311,'Match Log'!$D$4:$D$311,$A6,'Match Log'!$E$4:$E$311,"Loss"))),"0%")&amp;" of "&amp;(SUMPRODUCT(('Match Log'!$D$4:$D$311=$A6)*('Match Log'!$E$4:$E$311="Win")*COUNTIFS('Match Log'!$A$4:$A$311,'Match Log'!$A$4:$A$311,'Match Log'!$D$4:$D$311,J$4,'Match Log'!$E$4:$E$311,"Loss"))+SUMPRODUCT(('Match Log'!$D$4:$D$311=J$4)*('Match Log'!$E$4:$E$311="Win")*COUNTIFS('Match Log'!$A$4:$A$311,'Match Log'!$A$4:$A$311,'Match Log'!$D$4:$D$311,$A6,'Match Log'!$E$4:$E$311,"Loss")))))</f>
        <v>100% of 2</v>
      </c>
      <c r="K6" s="54" t="str">
        <f>IF($A6=K$4,"—",IF((SUMPRODUCT(('Match Log'!$D$4:$D$311=$A6)*('Match Log'!$E$4:$E$311="Win")*COUNTIFS('Match Log'!$A$4:$A$311,'Match Log'!$A$4:$A$311,'Match Log'!$D$4:$D$311,K$4,'Match Log'!$E$4:$E$311,"Loss"))+SUMPRODUCT(('Match Log'!$D$4:$D$311=K$4)*('Match Log'!$E$4:$E$311="Win")*COUNTIFS('Match Log'!$A$4:$A$311,'Match Log'!$A$4:$A$311,'Match Log'!$D$4:$D$311,$A6,'Match Log'!$E$4:$E$311,"Loss")))=0,"",TEXT(SUMPRODUCT(('Match Log'!$D$4:$D$311=$A6)*('Match Log'!$E$4:$E$311="Win")*COUNTIFS('Match Log'!$A$4:$A$311,'Match Log'!$A$4:$A$311,'Match Log'!$D$4:$D$311,K$4,'Match Log'!$E$4:$E$311,"Loss"))/(SUMPRODUCT(('Match Log'!$D$4:$D$311=$A6)*('Match Log'!$E$4:$E$311="Win")*COUNTIFS('Match Log'!$A$4:$A$311,'Match Log'!$A$4:$A$311,'Match Log'!$D$4:$D$311,K$4,'Match Log'!$E$4:$E$311,"Loss"))+SUMPRODUCT(('Match Log'!$D$4:$D$311=K$4)*('Match Log'!$E$4:$E$311="Win")*COUNTIFS('Match Log'!$A$4:$A$311,'Match Log'!$A$4:$A$311,'Match Log'!$D$4:$D$311,$A6,'Match Log'!$E$4:$E$311,"Loss"))),"0%")&amp;" of "&amp;(SUMPRODUCT(('Match Log'!$D$4:$D$311=$A6)*('Match Log'!$E$4:$E$311="Win")*COUNTIFS('Match Log'!$A$4:$A$311,'Match Log'!$A$4:$A$311,'Match Log'!$D$4:$D$311,K$4,'Match Log'!$E$4:$E$311,"Loss"))+SUMPRODUCT(('Match Log'!$D$4:$D$311=K$4)*('Match Log'!$E$4:$E$311="Win")*COUNTIFS('Match Log'!$A$4:$A$311,'Match Log'!$A$4:$A$311,'Match Log'!$D$4:$D$311,$A6,'Match Log'!$E$4:$E$311,"Loss")))))</f>
        <v>100% of 1</v>
      </c>
      <c r="L6" s="54" t="str">
        <f>IF($A6=L$4,"—",IF((SUMPRODUCT(('Match Log'!$D$4:$D$311=$A6)*('Match Log'!$E$4:$E$311="Win")*COUNTIFS('Match Log'!$A$4:$A$311,'Match Log'!$A$4:$A$311,'Match Log'!$D$4:$D$311,L$4,'Match Log'!$E$4:$E$311,"Loss"))+SUMPRODUCT(('Match Log'!$D$4:$D$311=L$4)*('Match Log'!$E$4:$E$311="Win")*COUNTIFS('Match Log'!$A$4:$A$311,'Match Log'!$A$4:$A$311,'Match Log'!$D$4:$D$311,$A6,'Match Log'!$E$4:$E$311,"Loss")))=0,"",TEXT(SUMPRODUCT(('Match Log'!$D$4:$D$311=$A6)*('Match Log'!$E$4:$E$311="Win")*COUNTIFS('Match Log'!$A$4:$A$311,'Match Log'!$A$4:$A$311,'Match Log'!$D$4:$D$311,L$4,'Match Log'!$E$4:$E$311,"Loss"))/(SUMPRODUCT(('Match Log'!$D$4:$D$311=$A6)*('Match Log'!$E$4:$E$311="Win")*COUNTIFS('Match Log'!$A$4:$A$311,'Match Log'!$A$4:$A$311,'Match Log'!$D$4:$D$311,L$4,'Match Log'!$E$4:$E$311,"Loss"))+SUMPRODUCT(('Match Log'!$D$4:$D$311=L$4)*('Match Log'!$E$4:$E$311="Win")*COUNTIFS('Match Log'!$A$4:$A$311,'Match Log'!$A$4:$A$311,'Match Log'!$D$4:$D$311,$A6,'Match Log'!$E$4:$E$311,"Loss"))),"0%")&amp;" of "&amp;(SUMPRODUCT(('Match Log'!$D$4:$D$311=$A6)*('Match Log'!$E$4:$E$311="Win")*COUNTIFS('Match Log'!$A$4:$A$311,'Match Log'!$A$4:$A$311,'Match Log'!$D$4:$D$311,L$4,'Match Log'!$E$4:$E$311,"Loss"))+SUMPRODUCT(('Match Log'!$D$4:$D$311=L$4)*('Match Log'!$E$4:$E$311="Win")*COUNTIFS('Match Log'!$A$4:$A$311,'Match Log'!$A$4:$A$311,'Match Log'!$D$4:$D$311,$A6,'Match Log'!$E$4:$E$311,"Loss")))))</f>
        <v>40% of 5</v>
      </c>
      <c r="M6" s="54" t="str">
        <f>IF($A6=M$4,"—",IF((SUMPRODUCT(('Match Log'!$D$4:$D$311=$A6)*('Match Log'!$E$4:$E$311="Win")*COUNTIFS('Match Log'!$A$4:$A$311,'Match Log'!$A$4:$A$311,'Match Log'!$D$4:$D$311,M$4,'Match Log'!$E$4:$E$311,"Loss"))+SUMPRODUCT(('Match Log'!$D$4:$D$311=M$4)*('Match Log'!$E$4:$E$311="Win")*COUNTIFS('Match Log'!$A$4:$A$311,'Match Log'!$A$4:$A$311,'Match Log'!$D$4:$D$311,$A6,'Match Log'!$E$4:$E$311,"Loss")))=0,"",TEXT(SUMPRODUCT(('Match Log'!$D$4:$D$311=$A6)*('Match Log'!$E$4:$E$311="Win")*COUNTIFS('Match Log'!$A$4:$A$311,'Match Log'!$A$4:$A$311,'Match Log'!$D$4:$D$311,M$4,'Match Log'!$E$4:$E$311,"Loss"))/(SUMPRODUCT(('Match Log'!$D$4:$D$311=$A6)*('Match Log'!$E$4:$E$311="Win")*COUNTIFS('Match Log'!$A$4:$A$311,'Match Log'!$A$4:$A$311,'Match Log'!$D$4:$D$311,M$4,'Match Log'!$E$4:$E$311,"Loss"))+SUMPRODUCT(('Match Log'!$D$4:$D$311=M$4)*('Match Log'!$E$4:$E$311="Win")*COUNTIFS('Match Log'!$A$4:$A$311,'Match Log'!$A$4:$A$311,'Match Log'!$D$4:$D$311,$A6,'Match Log'!$E$4:$E$311,"Loss"))),"0%")&amp;" of "&amp;(SUMPRODUCT(('Match Log'!$D$4:$D$311=$A6)*('Match Log'!$E$4:$E$311="Win")*COUNTIFS('Match Log'!$A$4:$A$311,'Match Log'!$A$4:$A$311,'Match Log'!$D$4:$D$311,M$4,'Match Log'!$E$4:$E$311,"Loss"))+SUMPRODUCT(('Match Log'!$D$4:$D$311=M$4)*('Match Log'!$E$4:$E$311="Win")*COUNTIFS('Match Log'!$A$4:$A$311,'Match Log'!$A$4:$A$311,'Match Log'!$D$4:$D$311,$A6,'Match Log'!$E$4:$E$311,"Loss")))))</f>
        <v>0% of 1</v>
      </c>
      <c r="N6" s="54" t="str">
        <f>IF($A6=N$4,"—",IF((SUMPRODUCT(('Match Log'!$D$4:$D$311=$A6)*('Match Log'!$E$4:$E$311="Win")*COUNTIFS('Match Log'!$A$4:$A$311,'Match Log'!$A$4:$A$311,'Match Log'!$D$4:$D$311,N$4,'Match Log'!$E$4:$E$311,"Loss"))+SUMPRODUCT(('Match Log'!$D$4:$D$311=N$4)*('Match Log'!$E$4:$E$311="Win")*COUNTIFS('Match Log'!$A$4:$A$311,'Match Log'!$A$4:$A$311,'Match Log'!$D$4:$D$311,$A6,'Match Log'!$E$4:$E$311,"Loss")))=0,"",TEXT(SUMPRODUCT(('Match Log'!$D$4:$D$311=$A6)*('Match Log'!$E$4:$E$311="Win")*COUNTIFS('Match Log'!$A$4:$A$311,'Match Log'!$A$4:$A$311,'Match Log'!$D$4:$D$311,N$4,'Match Log'!$E$4:$E$311,"Loss"))/(SUMPRODUCT(('Match Log'!$D$4:$D$311=$A6)*('Match Log'!$E$4:$E$311="Win")*COUNTIFS('Match Log'!$A$4:$A$311,'Match Log'!$A$4:$A$311,'Match Log'!$D$4:$D$311,N$4,'Match Log'!$E$4:$E$311,"Loss"))+SUMPRODUCT(('Match Log'!$D$4:$D$311=N$4)*('Match Log'!$E$4:$E$311="Win")*COUNTIFS('Match Log'!$A$4:$A$311,'Match Log'!$A$4:$A$311,'Match Log'!$D$4:$D$311,$A6,'Match Log'!$E$4:$E$311,"Loss"))),"0%")&amp;" of "&amp;(SUMPRODUCT(('Match Log'!$D$4:$D$311=$A6)*('Match Log'!$E$4:$E$311="Win")*COUNTIFS('Match Log'!$A$4:$A$311,'Match Log'!$A$4:$A$311,'Match Log'!$D$4:$D$311,N$4,'Match Log'!$E$4:$E$311,"Loss"))+SUMPRODUCT(('Match Log'!$D$4:$D$311=N$4)*('Match Log'!$E$4:$E$311="Win")*COUNTIFS('Match Log'!$A$4:$A$311,'Match Log'!$A$4:$A$311,'Match Log'!$D$4:$D$311,$A6,'Match Log'!$E$4:$E$311,"Loss")))))</f>
        <v/>
      </c>
      <c r="O6" s="54" t="str">
        <f>IF($A6=O$4,"—",IF((SUMPRODUCT(('Match Log'!$D$4:$D$311=$A6)*('Match Log'!$E$4:$E$311="Win")*COUNTIFS('Match Log'!$A$4:$A$311,'Match Log'!$A$4:$A$311,'Match Log'!$D$4:$D$311,O$4,'Match Log'!$E$4:$E$311,"Loss"))+SUMPRODUCT(('Match Log'!$D$4:$D$311=O$4)*('Match Log'!$E$4:$E$311="Win")*COUNTIFS('Match Log'!$A$4:$A$311,'Match Log'!$A$4:$A$311,'Match Log'!$D$4:$D$311,$A6,'Match Log'!$E$4:$E$311,"Loss")))=0,"",TEXT(SUMPRODUCT(('Match Log'!$D$4:$D$311=$A6)*('Match Log'!$E$4:$E$311="Win")*COUNTIFS('Match Log'!$A$4:$A$311,'Match Log'!$A$4:$A$311,'Match Log'!$D$4:$D$311,O$4,'Match Log'!$E$4:$E$311,"Loss"))/(SUMPRODUCT(('Match Log'!$D$4:$D$311=$A6)*('Match Log'!$E$4:$E$311="Win")*COUNTIFS('Match Log'!$A$4:$A$311,'Match Log'!$A$4:$A$311,'Match Log'!$D$4:$D$311,O$4,'Match Log'!$E$4:$E$311,"Loss"))+SUMPRODUCT(('Match Log'!$D$4:$D$311=O$4)*('Match Log'!$E$4:$E$311="Win")*COUNTIFS('Match Log'!$A$4:$A$311,'Match Log'!$A$4:$A$311,'Match Log'!$D$4:$D$311,$A6,'Match Log'!$E$4:$E$311,"Loss"))),"0%")&amp;" of "&amp;(SUMPRODUCT(('Match Log'!$D$4:$D$311=$A6)*('Match Log'!$E$4:$E$311="Win")*COUNTIFS('Match Log'!$A$4:$A$311,'Match Log'!$A$4:$A$311,'Match Log'!$D$4:$D$311,O$4,'Match Log'!$E$4:$E$311,"Loss"))+SUMPRODUCT(('Match Log'!$D$4:$D$311=O$4)*('Match Log'!$E$4:$E$311="Win")*COUNTIFS('Match Log'!$A$4:$A$311,'Match Log'!$A$4:$A$311,'Match Log'!$D$4:$D$311,$A6,'Match Log'!$E$4:$E$311,"Loss")))))</f>
        <v/>
      </c>
    </row>
    <row r="7" spans="1:15" ht="15" customHeight="1" x14ac:dyDescent="0.2">
      <c r="A7" s="49" t="s">
        <v>180</v>
      </c>
      <c r="B7" s="54" t="str">
        <f>IF($A7=B$4,"—",IF((SUMPRODUCT(('Match Log'!$D$4:$D$311=$A7)*('Match Log'!$E$4:$E$311="Win")*COUNTIFS('Match Log'!$A$4:$A$311,'Match Log'!$A$4:$A$311,'Match Log'!$D$4:$D$311,B$4,'Match Log'!$E$4:$E$311,"Loss"))+SUMPRODUCT(('Match Log'!$D$4:$D$311=B$4)*('Match Log'!$E$4:$E$311="Win")*COUNTIFS('Match Log'!$A$4:$A$311,'Match Log'!$A$4:$A$311,'Match Log'!$D$4:$D$311,$A7,'Match Log'!$E$4:$E$311,"Loss")))=0,"",TEXT(SUMPRODUCT(('Match Log'!$D$4:$D$311=$A7)*('Match Log'!$E$4:$E$311="Win")*COUNTIFS('Match Log'!$A$4:$A$311,'Match Log'!$A$4:$A$311,'Match Log'!$D$4:$D$311,B$4,'Match Log'!$E$4:$E$311,"Loss"))/(SUMPRODUCT(('Match Log'!$D$4:$D$311=$A7)*('Match Log'!$E$4:$E$311="Win")*COUNTIFS('Match Log'!$A$4:$A$311,'Match Log'!$A$4:$A$311,'Match Log'!$D$4:$D$311,B$4,'Match Log'!$E$4:$E$311,"Loss"))+SUMPRODUCT(('Match Log'!$D$4:$D$311=B$4)*('Match Log'!$E$4:$E$311="Win")*COUNTIFS('Match Log'!$A$4:$A$311,'Match Log'!$A$4:$A$311,'Match Log'!$D$4:$D$311,$A7,'Match Log'!$E$4:$E$311,"Loss"))),"0%")&amp;" of "&amp;(SUMPRODUCT(('Match Log'!$D$4:$D$311=$A7)*('Match Log'!$E$4:$E$311="Win")*COUNTIFS('Match Log'!$A$4:$A$311,'Match Log'!$A$4:$A$311,'Match Log'!$D$4:$D$311,B$4,'Match Log'!$E$4:$E$311,"Loss"))+SUMPRODUCT(('Match Log'!$D$4:$D$311=B$4)*('Match Log'!$E$4:$E$311="Win")*COUNTIFS('Match Log'!$A$4:$A$311,'Match Log'!$A$4:$A$311,'Match Log'!$D$4:$D$311,$A7,'Match Log'!$E$4:$E$311,"Loss")))))</f>
        <v>0% of 3</v>
      </c>
      <c r="C7" s="54" t="str">
        <f>IF($A7=C$4,"—",IF((SUMPRODUCT(('Match Log'!$D$4:$D$311=$A7)*('Match Log'!$E$4:$E$311="Win")*COUNTIFS('Match Log'!$A$4:$A$311,'Match Log'!$A$4:$A$311,'Match Log'!$D$4:$D$311,C$4,'Match Log'!$E$4:$E$311,"Loss"))+SUMPRODUCT(('Match Log'!$D$4:$D$311=C$4)*('Match Log'!$E$4:$E$311="Win")*COUNTIFS('Match Log'!$A$4:$A$311,'Match Log'!$A$4:$A$311,'Match Log'!$D$4:$D$311,$A7,'Match Log'!$E$4:$E$311,"Loss")))=0,"",TEXT(SUMPRODUCT(('Match Log'!$D$4:$D$311=$A7)*('Match Log'!$E$4:$E$311="Win")*COUNTIFS('Match Log'!$A$4:$A$311,'Match Log'!$A$4:$A$311,'Match Log'!$D$4:$D$311,C$4,'Match Log'!$E$4:$E$311,"Loss"))/(SUMPRODUCT(('Match Log'!$D$4:$D$311=$A7)*('Match Log'!$E$4:$E$311="Win")*COUNTIFS('Match Log'!$A$4:$A$311,'Match Log'!$A$4:$A$311,'Match Log'!$D$4:$D$311,C$4,'Match Log'!$E$4:$E$311,"Loss"))+SUMPRODUCT(('Match Log'!$D$4:$D$311=C$4)*('Match Log'!$E$4:$E$311="Win")*COUNTIFS('Match Log'!$A$4:$A$311,'Match Log'!$A$4:$A$311,'Match Log'!$D$4:$D$311,$A7,'Match Log'!$E$4:$E$311,"Loss"))),"0%")&amp;" of "&amp;(SUMPRODUCT(('Match Log'!$D$4:$D$311=$A7)*('Match Log'!$E$4:$E$311="Win")*COUNTIFS('Match Log'!$A$4:$A$311,'Match Log'!$A$4:$A$311,'Match Log'!$D$4:$D$311,C$4,'Match Log'!$E$4:$E$311,"Loss"))+SUMPRODUCT(('Match Log'!$D$4:$D$311=C$4)*('Match Log'!$E$4:$E$311="Win")*COUNTIFS('Match Log'!$A$4:$A$311,'Match Log'!$A$4:$A$311,'Match Log'!$D$4:$D$311,$A7,'Match Log'!$E$4:$E$311,"Loss")))))</f>
        <v/>
      </c>
      <c r="D7" s="54" t="str">
        <f>IF($A7=D$4,"—",IF((SUMPRODUCT(('Match Log'!$D$4:$D$311=$A7)*('Match Log'!$E$4:$E$311="Win")*COUNTIFS('Match Log'!$A$4:$A$311,'Match Log'!$A$4:$A$311,'Match Log'!$D$4:$D$311,D$4,'Match Log'!$E$4:$E$311,"Loss"))+SUMPRODUCT(('Match Log'!$D$4:$D$311=D$4)*('Match Log'!$E$4:$E$311="Win")*COUNTIFS('Match Log'!$A$4:$A$311,'Match Log'!$A$4:$A$311,'Match Log'!$D$4:$D$311,$A7,'Match Log'!$E$4:$E$311,"Loss")))=0,"",TEXT(SUMPRODUCT(('Match Log'!$D$4:$D$311=$A7)*('Match Log'!$E$4:$E$311="Win")*COUNTIFS('Match Log'!$A$4:$A$311,'Match Log'!$A$4:$A$311,'Match Log'!$D$4:$D$311,D$4,'Match Log'!$E$4:$E$311,"Loss"))/(SUMPRODUCT(('Match Log'!$D$4:$D$311=$A7)*('Match Log'!$E$4:$E$311="Win")*COUNTIFS('Match Log'!$A$4:$A$311,'Match Log'!$A$4:$A$311,'Match Log'!$D$4:$D$311,D$4,'Match Log'!$E$4:$E$311,"Loss"))+SUMPRODUCT(('Match Log'!$D$4:$D$311=D$4)*('Match Log'!$E$4:$E$311="Win")*COUNTIFS('Match Log'!$A$4:$A$311,'Match Log'!$A$4:$A$311,'Match Log'!$D$4:$D$311,$A7,'Match Log'!$E$4:$E$311,"Loss"))),"0%")&amp;" of "&amp;(SUMPRODUCT(('Match Log'!$D$4:$D$311=$A7)*('Match Log'!$E$4:$E$311="Win")*COUNTIFS('Match Log'!$A$4:$A$311,'Match Log'!$A$4:$A$311,'Match Log'!$D$4:$D$311,D$4,'Match Log'!$E$4:$E$311,"Loss"))+SUMPRODUCT(('Match Log'!$D$4:$D$311=D$4)*('Match Log'!$E$4:$E$311="Win")*COUNTIFS('Match Log'!$A$4:$A$311,'Match Log'!$A$4:$A$311,'Match Log'!$D$4:$D$311,$A7,'Match Log'!$E$4:$E$311,"Loss")))))</f>
        <v>—</v>
      </c>
      <c r="E7" s="54" t="str">
        <f>IF($A7=E$4,"—",IF((SUMPRODUCT(('Match Log'!$D$4:$D$311=$A7)*('Match Log'!$E$4:$E$311="Win")*COUNTIFS('Match Log'!$A$4:$A$311,'Match Log'!$A$4:$A$311,'Match Log'!$D$4:$D$311,E$4,'Match Log'!$E$4:$E$311,"Loss"))+SUMPRODUCT(('Match Log'!$D$4:$D$311=E$4)*('Match Log'!$E$4:$E$311="Win")*COUNTIFS('Match Log'!$A$4:$A$311,'Match Log'!$A$4:$A$311,'Match Log'!$D$4:$D$311,$A7,'Match Log'!$E$4:$E$311,"Loss")))=0,"",TEXT(SUMPRODUCT(('Match Log'!$D$4:$D$311=$A7)*('Match Log'!$E$4:$E$311="Win")*COUNTIFS('Match Log'!$A$4:$A$311,'Match Log'!$A$4:$A$311,'Match Log'!$D$4:$D$311,E$4,'Match Log'!$E$4:$E$311,"Loss"))/(SUMPRODUCT(('Match Log'!$D$4:$D$311=$A7)*('Match Log'!$E$4:$E$311="Win")*COUNTIFS('Match Log'!$A$4:$A$311,'Match Log'!$A$4:$A$311,'Match Log'!$D$4:$D$311,E$4,'Match Log'!$E$4:$E$311,"Loss"))+SUMPRODUCT(('Match Log'!$D$4:$D$311=E$4)*('Match Log'!$E$4:$E$311="Win")*COUNTIFS('Match Log'!$A$4:$A$311,'Match Log'!$A$4:$A$311,'Match Log'!$D$4:$D$311,$A7,'Match Log'!$E$4:$E$311,"Loss"))),"0%")&amp;" of "&amp;(SUMPRODUCT(('Match Log'!$D$4:$D$311=$A7)*('Match Log'!$E$4:$E$311="Win")*COUNTIFS('Match Log'!$A$4:$A$311,'Match Log'!$A$4:$A$311,'Match Log'!$D$4:$D$311,E$4,'Match Log'!$E$4:$E$311,"Loss"))+SUMPRODUCT(('Match Log'!$D$4:$D$311=E$4)*('Match Log'!$E$4:$E$311="Win")*COUNTIFS('Match Log'!$A$4:$A$311,'Match Log'!$A$4:$A$311,'Match Log'!$D$4:$D$311,$A7,'Match Log'!$E$4:$E$311,"Loss")))))</f>
        <v/>
      </c>
      <c r="F7" s="54" t="str">
        <f>IF($A7=F$4,"—",IF((SUMPRODUCT(('Match Log'!$D$4:$D$311=$A7)*('Match Log'!$E$4:$E$311="Win")*COUNTIFS('Match Log'!$A$4:$A$311,'Match Log'!$A$4:$A$311,'Match Log'!$D$4:$D$311,F$4,'Match Log'!$E$4:$E$311,"Loss"))+SUMPRODUCT(('Match Log'!$D$4:$D$311=F$4)*('Match Log'!$E$4:$E$311="Win")*COUNTIFS('Match Log'!$A$4:$A$311,'Match Log'!$A$4:$A$311,'Match Log'!$D$4:$D$311,$A7,'Match Log'!$E$4:$E$311,"Loss")))=0,"",TEXT(SUMPRODUCT(('Match Log'!$D$4:$D$311=$A7)*('Match Log'!$E$4:$E$311="Win")*COUNTIFS('Match Log'!$A$4:$A$311,'Match Log'!$A$4:$A$311,'Match Log'!$D$4:$D$311,F$4,'Match Log'!$E$4:$E$311,"Loss"))/(SUMPRODUCT(('Match Log'!$D$4:$D$311=$A7)*('Match Log'!$E$4:$E$311="Win")*COUNTIFS('Match Log'!$A$4:$A$311,'Match Log'!$A$4:$A$311,'Match Log'!$D$4:$D$311,F$4,'Match Log'!$E$4:$E$311,"Loss"))+SUMPRODUCT(('Match Log'!$D$4:$D$311=F$4)*('Match Log'!$E$4:$E$311="Win")*COUNTIFS('Match Log'!$A$4:$A$311,'Match Log'!$A$4:$A$311,'Match Log'!$D$4:$D$311,$A7,'Match Log'!$E$4:$E$311,"Loss"))),"0%")&amp;" of "&amp;(SUMPRODUCT(('Match Log'!$D$4:$D$311=$A7)*('Match Log'!$E$4:$E$311="Win")*COUNTIFS('Match Log'!$A$4:$A$311,'Match Log'!$A$4:$A$311,'Match Log'!$D$4:$D$311,F$4,'Match Log'!$E$4:$E$311,"Loss"))+SUMPRODUCT(('Match Log'!$D$4:$D$311=F$4)*('Match Log'!$E$4:$E$311="Win")*COUNTIFS('Match Log'!$A$4:$A$311,'Match Log'!$A$4:$A$311,'Match Log'!$D$4:$D$311,$A7,'Match Log'!$E$4:$E$311,"Loss")))))</f>
        <v>0% of 1</v>
      </c>
      <c r="G7" s="54" t="str">
        <f>IF($A7=G$4,"—",IF((SUMPRODUCT(('Match Log'!$D$4:$D$311=$A7)*('Match Log'!$E$4:$E$311="Win")*COUNTIFS('Match Log'!$A$4:$A$311,'Match Log'!$A$4:$A$311,'Match Log'!$D$4:$D$311,G$4,'Match Log'!$E$4:$E$311,"Loss"))+SUMPRODUCT(('Match Log'!$D$4:$D$311=G$4)*('Match Log'!$E$4:$E$311="Win")*COUNTIFS('Match Log'!$A$4:$A$311,'Match Log'!$A$4:$A$311,'Match Log'!$D$4:$D$311,$A7,'Match Log'!$E$4:$E$311,"Loss")))=0,"",TEXT(SUMPRODUCT(('Match Log'!$D$4:$D$311=$A7)*('Match Log'!$E$4:$E$311="Win")*COUNTIFS('Match Log'!$A$4:$A$311,'Match Log'!$A$4:$A$311,'Match Log'!$D$4:$D$311,G$4,'Match Log'!$E$4:$E$311,"Loss"))/(SUMPRODUCT(('Match Log'!$D$4:$D$311=$A7)*('Match Log'!$E$4:$E$311="Win")*COUNTIFS('Match Log'!$A$4:$A$311,'Match Log'!$A$4:$A$311,'Match Log'!$D$4:$D$311,G$4,'Match Log'!$E$4:$E$311,"Loss"))+SUMPRODUCT(('Match Log'!$D$4:$D$311=G$4)*('Match Log'!$E$4:$E$311="Win")*COUNTIFS('Match Log'!$A$4:$A$311,'Match Log'!$A$4:$A$311,'Match Log'!$D$4:$D$311,$A7,'Match Log'!$E$4:$E$311,"Loss"))),"0%")&amp;" of "&amp;(SUMPRODUCT(('Match Log'!$D$4:$D$311=$A7)*('Match Log'!$E$4:$E$311="Win")*COUNTIFS('Match Log'!$A$4:$A$311,'Match Log'!$A$4:$A$311,'Match Log'!$D$4:$D$311,G$4,'Match Log'!$E$4:$E$311,"Loss"))+SUMPRODUCT(('Match Log'!$D$4:$D$311=G$4)*('Match Log'!$E$4:$E$311="Win")*COUNTIFS('Match Log'!$A$4:$A$311,'Match Log'!$A$4:$A$311,'Match Log'!$D$4:$D$311,$A7,'Match Log'!$E$4:$E$311,"Loss")))))</f>
        <v/>
      </c>
      <c r="H7" s="54" t="str">
        <f>IF($A7=H$4,"—",IF((SUMPRODUCT(('Match Log'!$D$4:$D$311=$A7)*('Match Log'!$E$4:$E$311="Win")*COUNTIFS('Match Log'!$A$4:$A$311,'Match Log'!$A$4:$A$311,'Match Log'!$D$4:$D$311,H$4,'Match Log'!$E$4:$E$311,"Loss"))+SUMPRODUCT(('Match Log'!$D$4:$D$311=H$4)*('Match Log'!$E$4:$E$311="Win")*COUNTIFS('Match Log'!$A$4:$A$311,'Match Log'!$A$4:$A$311,'Match Log'!$D$4:$D$311,$A7,'Match Log'!$E$4:$E$311,"Loss")))=0,"",TEXT(SUMPRODUCT(('Match Log'!$D$4:$D$311=$A7)*('Match Log'!$E$4:$E$311="Win")*COUNTIFS('Match Log'!$A$4:$A$311,'Match Log'!$A$4:$A$311,'Match Log'!$D$4:$D$311,H$4,'Match Log'!$E$4:$E$311,"Loss"))/(SUMPRODUCT(('Match Log'!$D$4:$D$311=$A7)*('Match Log'!$E$4:$E$311="Win")*COUNTIFS('Match Log'!$A$4:$A$311,'Match Log'!$A$4:$A$311,'Match Log'!$D$4:$D$311,H$4,'Match Log'!$E$4:$E$311,"Loss"))+SUMPRODUCT(('Match Log'!$D$4:$D$311=H$4)*('Match Log'!$E$4:$E$311="Win")*COUNTIFS('Match Log'!$A$4:$A$311,'Match Log'!$A$4:$A$311,'Match Log'!$D$4:$D$311,$A7,'Match Log'!$E$4:$E$311,"Loss"))),"0%")&amp;" of "&amp;(SUMPRODUCT(('Match Log'!$D$4:$D$311=$A7)*('Match Log'!$E$4:$E$311="Win")*COUNTIFS('Match Log'!$A$4:$A$311,'Match Log'!$A$4:$A$311,'Match Log'!$D$4:$D$311,H$4,'Match Log'!$E$4:$E$311,"Loss"))+SUMPRODUCT(('Match Log'!$D$4:$D$311=H$4)*('Match Log'!$E$4:$E$311="Win")*COUNTIFS('Match Log'!$A$4:$A$311,'Match Log'!$A$4:$A$311,'Match Log'!$D$4:$D$311,$A7,'Match Log'!$E$4:$E$311,"Loss")))))</f>
        <v/>
      </c>
      <c r="I7" s="54" t="str">
        <f>IF($A7=I$4,"—",IF((SUMPRODUCT(('Match Log'!$D$4:$D$311=$A7)*('Match Log'!$E$4:$E$311="Win")*COUNTIFS('Match Log'!$A$4:$A$311,'Match Log'!$A$4:$A$311,'Match Log'!$D$4:$D$311,I$4,'Match Log'!$E$4:$E$311,"Loss"))+SUMPRODUCT(('Match Log'!$D$4:$D$311=I$4)*('Match Log'!$E$4:$E$311="Win")*COUNTIFS('Match Log'!$A$4:$A$311,'Match Log'!$A$4:$A$311,'Match Log'!$D$4:$D$311,$A7,'Match Log'!$E$4:$E$311,"Loss")))=0,"",TEXT(SUMPRODUCT(('Match Log'!$D$4:$D$311=$A7)*('Match Log'!$E$4:$E$311="Win")*COUNTIFS('Match Log'!$A$4:$A$311,'Match Log'!$A$4:$A$311,'Match Log'!$D$4:$D$311,I$4,'Match Log'!$E$4:$E$311,"Loss"))/(SUMPRODUCT(('Match Log'!$D$4:$D$311=$A7)*('Match Log'!$E$4:$E$311="Win")*COUNTIFS('Match Log'!$A$4:$A$311,'Match Log'!$A$4:$A$311,'Match Log'!$D$4:$D$311,I$4,'Match Log'!$E$4:$E$311,"Loss"))+SUMPRODUCT(('Match Log'!$D$4:$D$311=I$4)*('Match Log'!$E$4:$E$311="Win")*COUNTIFS('Match Log'!$A$4:$A$311,'Match Log'!$A$4:$A$311,'Match Log'!$D$4:$D$311,$A7,'Match Log'!$E$4:$E$311,"Loss"))),"0%")&amp;" of "&amp;(SUMPRODUCT(('Match Log'!$D$4:$D$311=$A7)*('Match Log'!$E$4:$E$311="Win")*COUNTIFS('Match Log'!$A$4:$A$311,'Match Log'!$A$4:$A$311,'Match Log'!$D$4:$D$311,I$4,'Match Log'!$E$4:$E$311,"Loss"))+SUMPRODUCT(('Match Log'!$D$4:$D$311=I$4)*('Match Log'!$E$4:$E$311="Win")*COUNTIFS('Match Log'!$A$4:$A$311,'Match Log'!$A$4:$A$311,'Match Log'!$D$4:$D$311,$A7,'Match Log'!$E$4:$E$311,"Loss")))))</f>
        <v>80% of 5</v>
      </c>
      <c r="J7" s="54" t="str">
        <f>IF($A7=J$4,"—",IF((SUMPRODUCT(('Match Log'!$D$4:$D$311=$A7)*('Match Log'!$E$4:$E$311="Win")*COUNTIFS('Match Log'!$A$4:$A$311,'Match Log'!$A$4:$A$311,'Match Log'!$D$4:$D$311,J$4,'Match Log'!$E$4:$E$311,"Loss"))+SUMPRODUCT(('Match Log'!$D$4:$D$311=J$4)*('Match Log'!$E$4:$E$311="Win")*COUNTIFS('Match Log'!$A$4:$A$311,'Match Log'!$A$4:$A$311,'Match Log'!$D$4:$D$311,$A7,'Match Log'!$E$4:$E$311,"Loss")))=0,"",TEXT(SUMPRODUCT(('Match Log'!$D$4:$D$311=$A7)*('Match Log'!$E$4:$E$311="Win")*COUNTIFS('Match Log'!$A$4:$A$311,'Match Log'!$A$4:$A$311,'Match Log'!$D$4:$D$311,J$4,'Match Log'!$E$4:$E$311,"Loss"))/(SUMPRODUCT(('Match Log'!$D$4:$D$311=$A7)*('Match Log'!$E$4:$E$311="Win")*COUNTIFS('Match Log'!$A$4:$A$311,'Match Log'!$A$4:$A$311,'Match Log'!$D$4:$D$311,J$4,'Match Log'!$E$4:$E$311,"Loss"))+SUMPRODUCT(('Match Log'!$D$4:$D$311=J$4)*('Match Log'!$E$4:$E$311="Win")*COUNTIFS('Match Log'!$A$4:$A$311,'Match Log'!$A$4:$A$311,'Match Log'!$D$4:$D$311,$A7,'Match Log'!$E$4:$E$311,"Loss"))),"0%")&amp;" of "&amp;(SUMPRODUCT(('Match Log'!$D$4:$D$311=$A7)*('Match Log'!$E$4:$E$311="Win")*COUNTIFS('Match Log'!$A$4:$A$311,'Match Log'!$A$4:$A$311,'Match Log'!$D$4:$D$311,J$4,'Match Log'!$E$4:$E$311,"Loss"))+SUMPRODUCT(('Match Log'!$D$4:$D$311=J$4)*('Match Log'!$E$4:$E$311="Win")*COUNTIFS('Match Log'!$A$4:$A$311,'Match Log'!$A$4:$A$311,'Match Log'!$D$4:$D$311,$A7,'Match Log'!$E$4:$E$311,"Loss")))))</f>
        <v/>
      </c>
      <c r="K7" s="54" t="str">
        <f>IF($A7=K$4,"—",IF((SUMPRODUCT(('Match Log'!$D$4:$D$311=$A7)*('Match Log'!$E$4:$E$311="Win")*COUNTIFS('Match Log'!$A$4:$A$311,'Match Log'!$A$4:$A$311,'Match Log'!$D$4:$D$311,K$4,'Match Log'!$E$4:$E$311,"Loss"))+SUMPRODUCT(('Match Log'!$D$4:$D$311=K$4)*('Match Log'!$E$4:$E$311="Win")*COUNTIFS('Match Log'!$A$4:$A$311,'Match Log'!$A$4:$A$311,'Match Log'!$D$4:$D$311,$A7,'Match Log'!$E$4:$E$311,"Loss")))=0,"",TEXT(SUMPRODUCT(('Match Log'!$D$4:$D$311=$A7)*('Match Log'!$E$4:$E$311="Win")*COUNTIFS('Match Log'!$A$4:$A$311,'Match Log'!$A$4:$A$311,'Match Log'!$D$4:$D$311,K$4,'Match Log'!$E$4:$E$311,"Loss"))/(SUMPRODUCT(('Match Log'!$D$4:$D$311=$A7)*('Match Log'!$E$4:$E$311="Win")*COUNTIFS('Match Log'!$A$4:$A$311,'Match Log'!$A$4:$A$311,'Match Log'!$D$4:$D$311,K$4,'Match Log'!$E$4:$E$311,"Loss"))+SUMPRODUCT(('Match Log'!$D$4:$D$311=K$4)*('Match Log'!$E$4:$E$311="Win")*COUNTIFS('Match Log'!$A$4:$A$311,'Match Log'!$A$4:$A$311,'Match Log'!$D$4:$D$311,$A7,'Match Log'!$E$4:$E$311,"Loss"))),"0%")&amp;" of "&amp;(SUMPRODUCT(('Match Log'!$D$4:$D$311=$A7)*('Match Log'!$E$4:$E$311="Win")*COUNTIFS('Match Log'!$A$4:$A$311,'Match Log'!$A$4:$A$311,'Match Log'!$D$4:$D$311,K$4,'Match Log'!$E$4:$E$311,"Loss"))+SUMPRODUCT(('Match Log'!$D$4:$D$311=K$4)*('Match Log'!$E$4:$E$311="Win")*COUNTIFS('Match Log'!$A$4:$A$311,'Match Log'!$A$4:$A$311,'Match Log'!$D$4:$D$311,$A7,'Match Log'!$E$4:$E$311,"Loss")))))</f>
        <v>100% of 1</v>
      </c>
      <c r="L7" s="54" t="str">
        <f>IF($A7=L$4,"—",IF((SUMPRODUCT(('Match Log'!$D$4:$D$311=$A7)*('Match Log'!$E$4:$E$311="Win")*COUNTIFS('Match Log'!$A$4:$A$311,'Match Log'!$A$4:$A$311,'Match Log'!$D$4:$D$311,L$4,'Match Log'!$E$4:$E$311,"Loss"))+SUMPRODUCT(('Match Log'!$D$4:$D$311=L$4)*('Match Log'!$E$4:$E$311="Win")*COUNTIFS('Match Log'!$A$4:$A$311,'Match Log'!$A$4:$A$311,'Match Log'!$D$4:$D$311,$A7,'Match Log'!$E$4:$E$311,"Loss")))=0,"",TEXT(SUMPRODUCT(('Match Log'!$D$4:$D$311=$A7)*('Match Log'!$E$4:$E$311="Win")*COUNTIFS('Match Log'!$A$4:$A$311,'Match Log'!$A$4:$A$311,'Match Log'!$D$4:$D$311,L$4,'Match Log'!$E$4:$E$311,"Loss"))/(SUMPRODUCT(('Match Log'!$D$4:$D$311=$A7)*('Match Log'!$E$4:$E$311="Win")*COUNTIFS('Match Log'!$A$4:$A$311,'Match Log'!$A$4:$A$311,'Match Log'!$D$4:$D$311,L$4,'Match Log'!$E$4:$E$311,"Loss"))+SUMPRODUCT(('Match Log'!$D$4:$D$311=L$4)*('Match Log'!$E$4:$E$311="Win")*COUNTIFS('Match Log'!$A$4:$A$311,'Match Log'!$A$4:$A$311,'Match Log'!$D$4:$D$311,$A7,'Match Log'!$E$4:$E$311,"Loss"))),"0%")&amp;" of "&amp;(SUMPRODUCT(('Match Log'!$D$4:$D$311=$A7)*('Match Log'!$E$4:$E$311="Win")*COUNTIFS('Match Log'!$A$4:$A$311,'Match Log'!$A$4:$A$311,'Match Log'!$D$4:$D$311,L$4,'Match Log'!$E$4:$E$311,"Loss"))+SUMPRODUCT(('Match Log'!$D$4:$D$311=L$4)*('Match Log'!$E$4:$E$311="Win")*COUNTIFS('Match Log'!$A$4:$A$311,'Match Log'!$A$4:$A$311,'Match Log'!$D$4:$D$311,$A7,'Match Log'!$E$4:$E$311,"Loss")))))</f>
        <v/>
      </c>
      <c r="M7" s="54" t="str">
        <f>IF($A7=M$4,"—",IF((SUMPRODUCT(('Match Log'!$D$4:$D$311=$A7)*('Match Log'!$E$4:$E$311="Win")*COUNTIFS('Match Log'!$A$4:$A$311,'Match Log'!$A$4:$A$311,'Match Log'!$D$4:$D$311,M$4,'Match Log'!$E$4:$E$311,"Loss"))+SUMPRODUCT(('Match Log'!$D$4:$D$311=M$4)*('Match Log'!$E$4:$E$311="Win")*COUNTIFS('Match Log'!$A$4:$A$311,'Match Log'!$A$4:$A$311,'Match Log'!$D$4:$D$311,$A7,'Match Log'!$E$4:$E$311,"Loss")))=0,"",TEXT(SUMPRODUCT(('Match Log'!$D$4:$D$311=$A7)*('Match Log'!$E$4:$E$311="Win")*COUNTIFS('Match Log'!$A$4:$A$311,'Match Log'!$A$4:$A$311,'Match Log'!$D$4:$D$311,M$4,'Match Log'!$E$4:$E$311,"Loss"))/(SUMPRODUCT(('Match Log'!$D$4:$D$311=$A7)*('Match Log'!$E$4:$E$311="Win")*COUNTIFS('Match Log'!$A$4:$A$311,'Match Log'!$A$4:$A$311,'Match Log'!$D$4:$D$311,M$4,'Match Log'!$E$4:$E$311,"Loss"))+SUMPRODUCT(('Match Log'!$D$4:$D$311=M$4)*('Match Log'!$E$4:$E$311="Win")*COUNTIFS('Match Log'!$A$4:$A$311,'Match Log'!$A$4:$A$311,'Match Log'!$D$4:$D$311,$A7,'Match Log'!$E$4:$E$311,"Loss"))),"0%")&amp;" of "&amp;(SUMPRODUCT(('Match Log'!$D$4:$D$311=$A7)*('Match Log'!$E$4:$E$311="Win")*COUNTIFS('Match Log'!$A$4:$A$311,'Match Log'!$A$4:$A$311,'Match Log'!$D$4:$D$311,M$4,'Match Log'!$E$4:$E$311,"Loss"))+SUMPRODUCT(('Match Log'!$D$4:$D$311=M$4)*('Match Log'!$E$4:$E$311="Win")*COUNTIFS('Match Log'!$A$4:$A$311,'Match Log'!$A$4:$A$311,'Match Log'!$D$4:$D$311,$A7,'Match Log'!$E$4:$E$311,"Loss")))))</f>
        <v/>
      </c>
      <c r="N7" s="54" t="str">
        <f>IF($A7=N$4,"—",IF((SUMPRODUCT(('Match Log'!$D$4:$D$311=$A7)*('Match Log'!$E$4:$E$311="Win")*COUNTIFS('Match Log'!$A$4:$A$311,'Match Log'!$A$4:$A$311,'Match Log'!$D$4:$D$311,N$4,'Match Log'!$E$4:$E$311,"Loss"))+SUMPRODUCT(('Match Log'!$D$4:$D$311=N$4)*('Match Log'!$E$4:$E$311="Win")*COUNTIFS('Match Log'!$A$4:$A$311,'Match Log'!$A$4:$A$311,'Match Log'!$D$4:$D$311,$A7,'Match Log'!$E$4:$E$311,"Loss")))=0,"",TEXT(SUMPRODUCT(('Match Log'!$D$4:$D$311=$A7)*('Match Log'!$E$4:$E$311="Win")*COUNTIFS('Match Log'!$A$4:$A$311,'Match Log'!$A$4:$A$311,'Match Log'!$D$4:$D$311,N$4,'Match Log'!$E$4:$E$311,"Loss"))/(SUMPRODUCT(('Match Log'!$D$4:$D$311=$A7)*('Match Log'!$E$4:$E$311="Win")*COUNTIFS('Match Log'!$A$4:$A$311,'Match Log'!$A$4:$A$311,'Match Log'!$D$4:$D$311,N$4,'Match Log'!$E$4:$E$311,"Loss"))+SUMPRODUCT(('Match Log'!$D$4:$D$311=N$4)*('Match Log'!$E$4:$E$311="Win")*COUNTIFS('Match Log'!$A$4:$A$311,'Match Log'!$A$4:$A$311,'Match Log'!$D$4:$D$311,$A7,'Match Log'!$E$4:$E$311,"Loss"))),"0%")&amp;" of "&amp;(SUMPRODUCT(('Match Log'!$D$4:$D$311=$A7)*('Match Log'!$E$4:$E$311="Win")*COUNTIFS('Match Log'!$A$4:$A$311,'Match Log'!$A$4:$A$311,'Match Log'!$D$4:$D$311,N$4,'Match Log'!$E$4:$E$311,"Loss"))+SUMPRODUCT(('Match Log'!$D$4:$D$311=N$4)*('Match Log'!$E$4:$E$311="Win")*COUNTIFS('Match Log'!$A$4:$A$311,'Match Log'!$A$4:$A$311,'Match Log'!$D$4:$D$311,$A7,'Match Log'!$E$4:$E$311,"Loss")))))</f>
        <v/>
      </c>
      <c r="O7" s="54" t="str">
        <f>IF($A7=O$4,"—",IF((SUMPRODUCT(('Match Log'!$D$4:$D$311=$A7)*('Match Log'!$E$4:$E$311="Win")*COUNTIFS('Match Log'!$A$4:$A$311,'Match Log'!$A$4:$A$311,'Match Log'!$D$4:$D$311,O$4,'Match Log'!$E$4:$E$311,"Loss"))+SUMPRODUCT(('Match Log'!$D$4:$D$311=O$4)*('Match Log'!$E$4:$E$311="Win")*COUNTIFS('Match Log'!$A$4:$A$311,'Match Log'!$A$4:$A$311,'Match Log'!$D$4:$D$311,$A7,'Match Log'!$E$4:$E$311,"Loss")))=0,"",TEXT(SUMPRODUCT(('Match Log'!$D$4:$D$311=$A7)*('Match Log'!$E$4:$E$311="Win")*COUNTIFS('Match Log'!$A$4:$A$311,'Match Log'!$A$4:$A$311,'Match Log'!$D$4:$D$311,O$4,'Match Log'!$E$4:$E$311,"Loss"))/(SUMPRODUCT(('Match Log'!$D$4:$D$311=$A7)*('Match Log'!$E$4:$E$311="Win")*COUNTIFS('Match Log'!$A$4:$A$311,'Match Log'!$A$4:$A$311,'Match Log'!$D$4:$D$311,O$4,'Match Log'!$E$4:$E$311,"Loss"))+SUMPRODUCT(('Match Log'!$D$4:$D$311=O$4)*('Match Log'!$E$4:$E$311="Win")*COUNTIFS('Match Log'!$A$4:$A$311,'Match Log'!$A$4:$A$311,'Match Log'!$D$4:$D$311,$A7,'Match Log'!$E$4:$E$311,"Loss"))),"0%")&amp;" of "&amp;(SUMPRODUCT(('Match Log'!$D$4:$D$311=$A7)*('Match Log'!$E$4:$E$311="Win")*COUNTIFS('Match Log'!$A$4:$A$311,'Match Log'!$A$4:$A$311,'Match Log'!$D$4:$D$311,O$4,'Match Log'!$E$4:$E$311,"Loss"))+SUMPRODUCT(('Match Log'!$D$4:$D$311=O$4)*('Match Log'!$E$4:$E$311="Win")*COUNTIFS('Match Log'!$A$4:$A$311,'Match Log'!$A$4:$A$311,'Match Log'!$D$4:$D$311,$A7,'Match Log'!$E$4:$E$311,"Loss")))))</f>
        <v/>
      </c>
    </row>
    <row r="8" spans="1:15" ht="15" customHeight="1" x14ac:dyDescent="0.2">
      <c r="A8" s="49" t="s">
        <v>147</v>
      </c>
      <c r="B8" s="54" t="str">
        <f>IF($A8=B$4,"—",IF((SUMPRODUCT(('Match Log'!$D$4:$D$311=$A8)*('Match Log'!$E$4:$E$311="Win")*COUNTIFS('Match Log'!$A$4:$A$311,'Match Log'!$A$4:$A$311,'Match Log'!$D$4:$D$311,B$4,'Match Log'!$E$4:$E$311,"Loss"))+SUMPRODUCT(('Match Log'!$D$4:$D$311=B$4)*('Match Log'!$E$4:$E$311="Win")*COUNTIFS('Match Log'!$A$4:$A$311,'Match Log'!$A$4:$A$311,'Match Log'!$D$4:$D$311,$A8,'Match Log'!$E$4:$E$311,"Loss")))=0,"",TEXT(SUMPRODUCT(('Match Log'!$D$4:$D$311=$A8)*('Match Log'!$E$4:$E$311="Win")*COUNTIFS('Match Log'!$A$4:$A$311,'Match Log'!$A$4:$A$311,'Match Log'!$D$4:$D$311,B$4,'Match Log'!$E$4:$E$311,"Loss"))/(SUMPRODUCT(('Match Log'!$D$4:$D$311=$A8)*('Match Log'!$E$4:$E$311="Win")*COUNTIFS('Match Log'!$A$4:$A$311,'Match Log'!$A$4:$A$311,'Match Log'!$D$4:$D$311,B$4,'Match Log'!$E$4:$E$311,"Loss"))+SUMPRODUCT(('Match Log'!$D$4:$D$311=B$4)*('Match Log'!$E$4:$E$311="Win")*COUNTIFS('Match Log'!$A$4:$A$311,'Match Log'!$A$4:$A$311,'Match Log'!$D$4:$D$311,$A8,'Match Log'!$E$4:$E$311,"Loss"))),"0%")&amp;" of "&amp;(SUMPRODUCT(('Match Log'!$D$4:$D$311=$A8)*('Match Log'!$E$4:$E$311="Win")*COUNTIFS('Match Log'!$A$4:$A$311,'Match Log'!$A$4:$A$311,'Match Log'!$D$4:$D$311,B$4,'Match Log'!$E$4:$E$311,"Loss"))+SUMPRODUCT(('Match Log'!$D$4:$D$311=B$4)*('Match Log'!$E$4:$E$311="Win")*COUNTIFS('Match Log'!$A$4:$A$311,'Match Log'!$A$4:$A$311,'Match Log'!$D$4:$D$311,$A8,'Match Log'!$E$4:$E$311,"Loss")))))</f>
        <v>50% of 4</v>
      </c>
      <c r="C8" s="54" t="str">
        <f>IF($A8=C$4,"—",IF((SUMPRODUCT(('Match Log'!$D$4:$D$311=$A8)*('Match Log'!$E$4:$E$311="Win")*COUNTIFS('Match Log'!$A$4:$A$311,'Match Log'!$A$4:$A$311,'Match Log'!$D$4:$D$311,C$4,'Match Log'!$E$4:$E$311,"Loss"))+SUMPRODUCT(('Match Log'!$D$4:$D$311=C$4)*('Match Log'!$E$4:$E$311="Win")*COUNTIFS('Match Log'!$A$4:$A$311,'Match Log'!$A$4:$A$311,'Match Log'!$D$4:$D$311,$A8,'Match Log'!$E$4:$E$311,"Loss")))=0,"",TEXT(SUMPRODUCT(('Match Log'!$D$4:$D$311=$A8)*('Match Log'!$E$4:$E$311="Win")*COUNTIFS('Match Log'!$A$4:$A$311,'Match Log'!$A$4:$A$311,'Match Log'!$D$4:$D$311,C$4,'Match Log'!$E$4:$E$311,"Loss"))/(SUMPRODUCT(('Match Log'!$D$4:$D$311=$A8)*('Match Log'!$E$4:$E$311="Win")*COUNTIFS('Match Log'!$A$4:$A$311,'Match Log'!$A$4:$A$311,'Match Log'!$D$4:$D$311,C$4,'Match Log'!$E$4:$E$311,"Loss"))+SUMPRODUCT(('Match Log'!$D$4:$D$311=C$4)*('Match Log'!$E$4:$E$311="Win")*COUNTIFS('Match Log'!$A$4:$A$311,'Match Log'!$A$4:$A$311,'Match Log'!$D$4:$D$311,$A8,'Match Log'!$E$4:$E$311,"Loss"))),"0%")&amp;" of "&amp;(SUMPRODUCT(('Match Log'!$D$4:$D$311=$A8)*('Match Log'!$E$4:$E$311="Win")*COUNTIFS('Match Log'!$A$4:$A$311,'Match Log'!$A$4:$A$311,'Match Log'!$D$4:$D$311,C$4,'Match Log'!$E$4:$E$311,"Loss"))+SUMPRODUCT(('Match Log'!$D$4:$D$311=C$4)*('Match Log'!$E$4:$E$311="Win")*COUNTIFS('Match Log'!$A$4:$A$311,'Match Log'!$A$4:$A$311,'Match Log'!$D$4:$D$311,$A8,'Match Log'!$E$4:$E$311,"Loss")))))</f>
        <v>100% of 1</v>
      </c>
      <c r="D8" s="54" t="str">
        <f>IF($A8=D$4,"—",IF((SUMPRODUCT(('Match Log'!$D$4:$D$311=$A8)*('Match Log'!$E$4:$E$311="Win")*COUNTIFS('Match Log'!$A$4:$A$311,'Match Log'!$A$4:$A$311,'Match Log'!$D$4:$D$311,D$4,'Match Log'!$E$4:$E$311,"Loss"))+SUMPRODUCT(('Match Log'!$D$4:$D$311=D$4)*('Match Log'!$E$4:$E$311="Win")*COUNTIFS('Match Log'!$A$4:$A$311,'Match Log'!$A$4:$A$311,'Match Log'!$D$4:$D$311,$A8,'Match Log'!$E$4:$E$311,"Loss")))=0,"",TEXT(SUMPRODUCT(('Match Log'!$D$4:$D$311=$A8)*('Match Log'!$E$4:$E$311="Win")*COUNTIFS('Match Log'!$A$4:$A$311,'Match Log'!$A$4:$A$311,'Match Log'!$D$4:$D$311,D$4,'Match Log'!$E$4:$E$311,"Loss"))/(SUMPRODUCT(('Match Log'!$D$4:$D$311=$A8)*('Match Log'!$E$4:$E$311="Win")*COUNTIFS('Match Log'!$A$4:$A$311,'Match Log'!$A$4:$A$311,'Match Log'!$D$4:$D$311,D$4,'Match Log'!$E$4:$E$311,"Loss"))+SUMPRODUCT(('Match Log'!$D$4:$D$311=D$4)*('Match Log'!$E$4:$E$311="Win")*COUNTIFS('Match Log'!$A$4:$A$311,'Match Log'!$A$4:$A$311,'Match Log'!$D$4:$D$311,$A8,'Match Log'!$E$4:$E$311,"Loss"))),"0%")&amp;" of "&amp;(SUMPRODUCT(('Match Log'!$D$4:$D$311=$A8)*('Match Log'!$E$4:$E$311="Win")*COUNTIFS('Match Log'!$A$4:$A$311,'Match Log'!$A$4:$A$311,'Match Log'!$D$4:$D$311,D$4,'Match Log'!$E$4:$E$311,"Loss"))+SUMPRODUCT(('Match Log'!$D$4:$D$311=D$4)*('Match Log'!$E$4:$E$311="Win")*COUNTIFS('Match Log'!$A$4:$A$311,'Match Log'!$A$4:$A$311,'Match Log'!$D$4:$D$311,$A8,'Match Log'!$E$4:$E$311,"Loss")))))</f>
        <v/>
      </c>
      <c r="E8" s="54" t="str">
        <f>IF($A8=E$4,"—",IF((SUMPRODUCT(('Match Log'!$D$4:$D$311=$A8)*('Match Log'!$E$4:$E$311="Win")*COUNTIFS('Match Log'!$A$4:$A$311,'Match Log'!$A$4:$A$311,'Match Log'!$D$4:$D$311,E$4,'Match Log'!$E$4:$E$311,"Loss"))+SUMPRODUCT(('Match Log'!$D$4:$D$311=E$4)*('Match Log'!$E$4:$E$311="Win")*COUNTIFS('Match Log'!$A$4:$A$311,'Match Log'!$A$4:$A$311,'Match Log'!$D$4:$D$311,$A8,'Match Log'!$E$4:$E$311,"Loss")))=0,"",TEXT(SUMPRODUCT(('Match Log'!$D$4:$D$311=$A8)*('Match Log'!$E$4:$E$311="Win")*COUNTIFS('Match Log'!$A$4:$A$311,'Match Log'!$A$4:$A$311,'Match Log'!$D$4:$D$311,E$4,'Match Log'!$E$4:$E$311,"Loss"))/(SUMPRODUCT(('Match Log'!$D$4:$D$311=$A8)*('Match Log'!$E$4:$E$311="Win")*COUNTIFS('Match Log'!$A$4:$A$311,'Match Log'!$A$4:$A$311,'Match Log'!$D$4:$D$311,E$4,'Match Log'!$E$4:$E$311,"Loss"))+SUMPRODUCT(('Match Log'!$D$4:$D$311=E$4)*('Match Log'!$E$4:$E$311="Win")*COUNTIFS('Match Log'!$A$4:$A$311,'Match Log'!$A$4:$A$311,'Match Log'!$D$4:$D$311,$A8,'Match Log'!$E$4:$E$311,"Loss"))),"0%")&amp;" of "&amp;(SUMPRODUCT(('Match Log'!$D$4:$D$311=$A8)*('Match Log'!$E$4:$E$311="Win")*COUNTIFS('Match Log'!$A$4:$A$311,'Match Log'!$A$4:$A$311,'Match Log'!$D$4:$D$311,E$4,'Match Log'!$E$4:$E$311,"Loss"))+SUMPRODUCT(('Match Log'!$D$4:$D$311=E$4)*('Match Log'!$E$4:$E$311="Win")*COUNTIFS('Match Log'!$A$4:$A$311,'Match Log'!$A$4:$A$311,'Match Log'!$D$4:$D$311,$A8,'Match Log'!$E$4:$E$311,"Loss")))))</f>
        <v>—</v>
      </c>
      <c r="F8" s="54" t="str">
        <f>IF($A8=F$4,"—",IF((SUMPRODUCT(('Match Log'!$D$4:$D$311=$A8)*('Match Log'!$E$4:$E$311="Win")*COUNTIFS('Match Log'!$A$4:$A$311,'Match Log'!$A$4:$A$311,'Match Log'!$D$4:$D$311,F$4,'Match Log'!$E$4:$E$311,"Loss"))+SUMPRODUCT(('Match Log'!$D$4:$D$311=F$4)*('Match Log'!$E$4:$E$311="Win")*COUNTIFS('Match Log'!$A$4:$A$311,'Match Log'!$A$4:$A$311,'Match Log'!$D$4:$D$311,$A8,'Match Log'!$E$4:$E$311,"Loss")))=0,"",TEXT(SUMPRODUCT(('Match Log'!$D$4:$D$311=$A8)*('Match Log'!$E$4:$E$311="Win")*COUNTIFS('Match Log'!$A$4:$A$311,'Match Log'!$A$4:$A$311,'Match Log'!$D$4:$D$311,F$4,'Match Log'!$E$4:$E$311,"Loss"))/(SUMPRODUCT(('Match Log'!$D$4:$D$311=$A8)*('Match Log'!$E$4:$E$311="Win")*COUNTIFS('Match Log'!$A$4:$A$311,'Match Log'!$A$4:$A$311,'Match Log'!$D$4:$D$311,F$4,'Match Log'!$E$4:$E$311,"Loss"))+SUMPRODUCT(('Match Log'!$D$4:$D$311=F$4)*('Match Log'!$E$4:$E$311="Win")*COUNTIFS('Match Log'!$A$4:$A$311,'Match Log'!$A$4:$A$311,'Match Log'!$D$4:$D$311,$A8,'Match Log'!$E$4:$E$311,"Loss"))),"0%")&amp;" of "&amp;(SUMPRODUCT(('Match Log'!$D$4:$D$311=$A8)*('Match Log'!$E$4:$E$311="Win")*COUNTIFS('Match Log'!$A$4:$A$311,'Match Log'!$A$4:$A$311,'Match Log'!$D$4:$D$311,F$4,'Match Log'!$E$4:$E$311,"Loss"))+SUMPRODUCT(('Match Log'!$D$4:$D$311=F$4)*('Match Log'!$E$4:$E$311="Win")*COUNTIFS('Match Log'!$A$4:$A$311,'Match Log'!$A$4:$A$311,'Match Log'!$D$4:$D$311,$A8,'Match Log'!$E$4:$E$311,"Loss")))))</f>
        <v>25% of 4</v>
      </c>
      <c r="G8" s="54" t="str">
        <f>IF($A8=G$4,"—",IF((SUMPRODUCT(('Match Log'!$D$4:$D$311=$A8)*('Match Log'!$E$4:$E$311="Win")*COUNTIFS('Match Log'!$A$4:$A$311,'Match Log'!$A$4:$A$311,'Match Log'!$D$4:$D$311,G$4,'Match Log'!$E$4:$E$311,"Loss"))+SUMPRODUCT(('Match Log'!$D$4:$D$311=G$4)*('Match Log'!$E$4:$E$311="Win")*COUNTIFS('Match Log'!$A$4:$A$311,'Match Log'!$A$4:$A$311,'Match Log'!$D$4:$D$311,$A8,'Match Log'!$E$4:$E$311,"Loss")))=0,"",TEXT(SUMPRODUCT(('Match Log'!$D$4:$D$311=$A8)*('Match Log'!$E$4:$E$311="Win")*COUNTIFS('Match Log'!$A$4:$A$311,'Match Log'!$A$4:$A$311,'Match Log'!$D$4:$D$311,G$4,'Match Log'!$E$4:$E$311,"Loss"))/(SUMPRODUCT(('Match Log'!$D$4:$D$311=$A8)*('Match Log'!$E$4:$E$311="Win")*COUNTIFS('Match Log'!$A$4:$A$311,'Match Log'!$A$4:$A$311,'Match Log'!$D$4:$D$311,G$4,'Match Log'!$E$4:$E$311,"Loss"))+SUMPRODUCT(('Match Log'!$D$4:$D$311=G$4)*('Match Log'!$E$4:$E$311="Win")*COUNTIFS('Match Log'!$A$4:$A$311,'Match Log'!$A$4:$A$311,'Match Log'!$D$4:$D$311,$A8,'Match Log'!$E$4:$E$311,"Loss"))),"0%")&amp;" of "&amp;(SUMPRODUCT(('Match Log'!$D$4:$D$311=$A8)*('Match Log'!$E$4:$E$311="Win")*COUNTIFS('Match Log'!$A$4:$A$311,'Match Log'!$A$4:$A$311,'Match Log'!$D$4:$D$311,G$4,'Match Log'!$E$4:$E$311,"Loss"))+SUMPRODUCT(('Match Log'!$D$4:$D$311=G$4)*('Match Log'!$E$4:$E$311="Win")*COUNTIFS('Match Log'!$A$4:$A$311,'Match Log'!$A$4:$A$311,'Match Log'!$D$4:$D$311,$A8,'Match Log'!$E$4:$E$311,"Loss")))))</f>
        <v>100% of 1</v>
      </c>
      <c r="H8" s="54" t="str">
        <f>IF($A8=H$4,"—",IF((SUMPRODUCT(('Match Log'!$D$4:$D$311=$A8)*('Match Log'!$E$4:$E$311="Win")*COUNTIFS('Match Log'!$A$4:$A$311,'Match Log'!$A$4:$A$311,'Match Log'!$D$4:$D$311,H$4,'Match Log'!$E$4:$E$311,"Loss"))+SUMPRODUCT(('Match Log'!$D$4:$D$311=H$4)*('Match Log'!$E$4:$E$311="Win")*COUNTIFS('Match Log'!$A$4:$A$311,'Match Log'!$A$4:$A$311,'Match Log'!$D$4:$D$311,$A8,'Match Log'!$E$4:$E$311,"Loss")))=0,"",TEXT(SUMPRODUCT(('Match Log'!$D$4:$D$311=$A8)*('Match Log'!$E$4:$E$311="Win")*COUNTIFS('Match Log'!$A$4:$A$311,'Match Log'!$A$4:$A$311,'Match Log'!$D$4:$D$311,H$4,'Match Log'!$E$4:$E$311,"Loss"))/(SUMPRODUCT(('Match Log'!$D$4:$D$311=$A8)*('Match Log'!$E$4:$E$311="Win")*COUNTIFS('Match Log'!$A$4:$A$311,'Match Log'!$A$4:$A$311,'Match Log'!$D$4:$D$311,H$4,'Match Log'!$E$4:$E$311,"Loss"))+SUMPRODUCT(('Match Log'!$D$4:$D$311=H$4)*('Match Log'!$E$4:$E$311="Win")*COUNTIFS('Match Log'!$A$4:$A$311,'Match Log'!$A$4:$A$311,'Match Log'!$D$4:$D$311,$A8,'Match Log'!$E$4:$E$311,"Loss"))),"0%")&amp;" of "&amp;(SUMPRODUCT(('Match Log'!$D$4:$D$311=$A8)*('Match Log'!$E$4:$E$311="Win")*COUNTIFS('Match Log'!$A$4:$A$311,'Match Log'!$A$4:$A$311,'Match Log'!$D$4:$D$311,H$4,'Match Log'!$E$4:$E$311,"Loss"))+SUMPRODUCT(('Match Log'!$D$4:$D$311=H$4)*('Match Log'!$E$4:$E$311="Win")*COUNTIFS('Match Log'!$A$4:$A$311,'Match Log'!$A$4:$A$311,'Match Log'!$D$4:$D$311,$A8,'Match Log'!$E$4:$E$311,"Loss")))))</f>
        <v>0% of 1</v>
      </c>
      <c r="I8" s="54" t="str">
        <f>IF($A8=I$4,"—",IF((SUMPRODUCT(('Match Log'!$D$4:$D$311=$A8)*('Match Log'!$E$4:$E$311="Win")*COUNTIFS('Match Log'!$A$4:$A$311,'Match Log'!$A$4:$A$311,'Match Log'!$D$4:$D$311,I$4,'Match Log'!$E$4:$E$311,"Loss"))+SUMPRODUCT(('Match Log'!$D$4:$D$311=I$4)*('Match Log'!$E$4:$E$311="Win")*COUNTIFS('Match Log'!$A$4:$A$311,'Match Log'!$A$4:$A$311,'Match Log'!$D$4:$D$311,$A8,'Match Log'!$E$4:$E$311,"Loss")))=0,"",TEXT(SUMPRODUCT(('Match Log'!$D$4:$D$311=$A8)*('Match Log'!$E$4:$E$311="Win")*COUNTIFS('Match Log'!$A$4:$A$311,'Match Log'!$A$4:$A$311,'Match Log'!$D$4:$D$311,I$4,'Match Log'!$E$4:$E$311,"Loss"))/(SUMPRODUCT(('Match Log'!$D$4:$D$311=$A8)*('Match Log'!$E$4:$E$311="Win")*COUNTIFS('Match Log'!$A$4:$A$311,'Match Log'!$A$4:$A$311,'Match Log'!$D$4:$D$311,I$4,'Match Log'!$E$4:$E$311,"Loss"))+SUMPRODUCT(('Match Log'!$D$4:$D$311=I$4)*('Match Log'!$E$4:$E$311="Win")*COUNTIFS('Match Log'!$A$4:$A$311,'Match Log'!$A$4:$A$311,'Match Log'!$D$4:$D$311,$A8,'Match Log'!$E$4:$E$311,"Loss"))),"0%")&amp;" of "&amp;(SUMPRODUCT(('Match Log'!$D$4:$D$311=$A8)*('Match Log'!$E$4:$E$311="Win")*COUNTIFS('Match Log'!$A$4:$A$311,'Match Log'!$A$4:$A$311,'Match Log'!$D$4:$D$311,I$4,'Match Log'!$E$4:$E$311,"Loss"))+SUMPRODUCT(('Match Log'!$D$4:$D$311=I$4)*('Match Log'!$E$4:$E$311="Win")*COUNTIFS('Match Log'!$A$4:$A$311,'Match Log'!$A$4:$A$311,'Match Log'!$D$4:$D$311,$A8,'Match Log'!$E$4:$E$311,"Loss")))))</f>
        <v>0% of 3</v>
      </c>
      <c r="J8" s="54" t="str">
        <f>IF($A8=J$4,"—",IF((SUMPRODUCT(('Match Log'!$D$4:$D$311=$A8)*('Match Log'!$E$4:$E$311="Win")*COUNTIFS('Match Log'!$A$4:$A$311,'Match Log'!$A$4:$A$311,'Match Log'!$D$4:$D$311,J$4,'Match Log'!$E$4:$E$311,"Loss"))+SUMPRODUCT(('Match Log'!$D$4:$D$311=J$4)*('Match Log'!$E$4:$E$311="Win")*COUNTIFS('Match Log'!$A$4:$A$311,'Match Log'!$A$4:$A$311,'Match Log'!$D$4:$D$311,$A8,'Match Log'!$E$4:$E$311,"Loss")))=0,"",TEXT(SUMPRODUCT(('Match Log'!$D$4:$D$311=$A8)*('Match Log'!$E$4:$E$311="Win")*COUNTIFS('Match Log'!$A$4:$A$311,'Match Log'!$A$4:$A$311,'Match Log'!$D$4:$D$311,J$4,'Match Log'!$E$4:$E$311,"Loss"))/(SUMPRODUCT(('Match Log'!$D$4:$D$311=$A8)*('Match Log'!$E$4:$E$311="Win")*COUNTIFS('Match Log'!$A$4:$A$311,'Match Log'!$A$4:$A$311,'Match Log'!$D$4:$D$311,J$4,'Match Log'!$E$4:$E$311,"Loss"))+SUMPRODUCT(('Match Log'!$D$4:$D$311=J$4)*('Match Log'!$E$4:$E$311="Win")*COUNTIFS('Match Log'!$A$4:$A$311,'Match Log'!$A$4:$A$311,'Match Log'!$D$4:$D$311,$A8,'Match Log'!$E$4:$E$311,"Loss"))),"0%")&amp;" of "&amp;(SUMPRODUCT(('Match Log'!$D$4:$D$311=$A8)*('Match Log'!$E$4:$E$311="Win")*COUNTIFS('Match Log'!$A$4:$A$311,'Match Log'!$A$4:$A$311,'Match Log'!$D$4:$D$311,J$4,'Match Log'!$E$4:$E$311,"Loss"))+SUMPRODUCT(('Match Log'!$D$4:$D$311=J$4)*('Match Log'!$E$4:$E$311="Win")*COUNTIFS('Match Log'!$A$4:$A$311,'Match Log'!$A$4:$A$311,'Match Log'!$D$4:$D$311,$A8,'Match Log'!$E$4:$E$311,"Loss")))))</f>
        <v>0% of 3</v>
      </c>
      <c r="K8" s="54" t="str">
        <f>IF($A8=K$4,"—",IF((SUMPRODUCT(('Match Log'!$D$4:$D$311=$A8)*('Match Log'!$E$4:$E$311="Win")*COUNTIFS('Match Log'!$A$4:$A$311,'Match Log'!$A$4:$A$311,'Match Log'!$D$4:$D$311,K$4,'Match Log'!$E$4:$E$311,"Loss"))+SUMPRODUCT(('Match Log'!$D$4:$D$311=K$4)*('Match Log'!$E$4:$E$311="Win")*COUNTIFS('Match Log'!$A$4:$A$311,'Match Log'!$A$4:$A$311,'Match Log'!$D$4:$D$311,$A8,'Match Log'!$E$4:$E$311,"Loss")))=0,"",TEXT(SUMPRODUCT(('Match Log'!$D$4:$D$311=$A8)*('Match Log'!$E$4:$E$311="Win")*COUNTIFS('Match Log'!$A$4:$A$311,'Match Log'!$A$4:$A$311,'Match Log'!$D$4:$D$311,K$4,'Match Log'!$E$4:$E$311,"Loss"))/(SUMPRODUCT(('Match Log'!$D$4:$D$311=$A8)*('Match Log'!$E$4:$E$311="Win")*COUNTIFS('Match Log'!$A$4:$A$311,'Match Log'!$A$4:$A$311,'Match Log'!$D$4:$D$311,K$4,'Match Log'!$E$4:$E$311,"Loss"))+SUMPRODUCT(('Match Log'!$D$4:$D$311=K$4)*('Match Log'!$E$4:$E$311="Win")*COUNTIFS('Match Log'!$A$4:$A$311,'Match Log'!$A$4:$A$311,'Match Log'!$D$4:$D$311,$A8,'Match Log'!$E$4:$E$311,"Loss"))),"0%")&amp;" of "&amp;(SUMPRODUCT(('Match Log'!$D$4:$D$311=$A8)*('Match Log'!$E$4:$E$311="Win")*COUNTIFS('Match Log'!$A$4:$A$311,'Match Log'!$A$4:$A$311,'Match Log'!$D$4:$D$311,K$4,'Match Log'!$E$4:$E$311,"Loss"))+SUMPRODUCT(('Match Log'!$D$4:$D$311=K$4)*('Match Log'!$E$4:$E$311="Win")*COUNTIFS('Match Log'!$A$4:$A$311,'Match Log'!$A$4:$A$311,'Match Log'!$D$4:$D$311,$A8,'Match Log'!$E$4:$E$311,"Loss")))))</f>
        <v>100% of 1</v>
      </c>
      <c r="L8" s="54" t="str">
        <f>IF($A8=L$4,"—",IF((SUMPRODUCT(('Match Log'!$D$4:$D$311=$A8)*('Match Log'!$E$4:$E$311="Win")*COUNTIFS('Match Log'!$A$4:$A$311,'Match Log'!$A$4:$A$311,'Match Log'!$D$4:$D$311,L$4,'Match Log'!$E$4:$E$311,"Loss"))+SUMPRODUCT(('Match Log'!$D$4:$D$311=L$4)*('Match Log'!$E$4:$E$311="Win")*COUNTIFS('Match Log'!$A$4:$A$311,'Match Log'!$A$4:$A$311,'Match Log'!$D$4:$D$311,$A8,'Match Log'!$E$4:$E$311,"Loss")))=0,"",TEXT(SUMPRODUCT(('Match Log'!$D$4:$D$311=$A8)*('Match Log'!$E$4:$E$311="Win")*COUNTIFS('Match Log'!$A$4:$A$311,'Match Log'!$A$4:$A$311,'Match Log'!$D$4:$D$311,L$4,'Match Log'!$E$4:$E$311,"Loss"))/(SUMPRODUCT(('Match Log'!$D$4:$D$311=$A8)*('Match Log'!$E$4:$E$311="Win")*COUNTIFS('Match Log'!$A$4:$A$311,'Match Log'!$A$4:$A$311,'Match Log'!$D$4:$D$311,L$4,'Match Log'!$E$4:$E$311,"Loss"))+SUMPRODUCT(('Match Log'!$D$4:$D$311=L$4)*('Match Log'!$E$4:$E$311="Win")*COUNTIFS('Match Log'!$A$4:$A$311,'Match Log'!$A$4:$A$311,'Match Log'!$D$4:$D$311,$A8,'Match Log'!$E$4:$E$311,"Loss"))),"0%")&amp;" of "&amp;(SUMPRODUCT(('Match Log'!$D$4:$D$311=$A8)*('Match Log'!$E$4:$E$311="Win")*COUNTIFS('Match Log'!$A$4:$A$311,'Match Log'!$A$4:$A$311,'Match Log'!$D$4:$D$311,L$4,'Match Log'!$E$4:$E$311,"Loss"))+SUMPRODUCT(('Match Log'!$D$4:$D$311=L$4)*('Match Log'!$E$4:$E$311="Win")*COUNTIFS('Match Log'!$A$4:$A$311,'Match Log'!$A$4:$A$311,'Match Log'!$D$4:$D$311,$A8,'Match Log'!$E$4:$E$311,"Loss")))))</f>
        <v>0% of 1</v>
      </c>
      <c r="M8" s="54" t="str">
        <f>IF($A8=M$4,"—",IF((SUMPRODUCT(('Match Log'!$D$4:$D$311=$A8)*('Match Log'!$E$4:$E$311="Win")*COUNTIFS('Match Log'!$A$4:$A$311,'Match Log'!$A$4:$A$311,'Match Log'!$D$4:$D$311,M$4,'Match Log'!$E$4:$E$311,"Loss"))+SUMPRODUCT(('Match Log'!$D$4:$D$311=M$4)*('Match Log'!$E$4:$E$311="Win")*COUNTIFS('Match Log'!$A$4:$A$311,'Match Log'!$A$4:$A$311,'Match Log'!$D$4:$D$311,$A8,'Match Log'!$E$4:$E$311,"Loss")))=0,"",TEXT(SUMPRODUCT(('Match Log'!$D$4:$D$311=$A8)*('Match Log'!$E$4:$E$311="Win")*COUNTIFS('Match Log'!$A$4:$A$311,'Match Log'!$A$4:$A$311,'Match Log'!$D$4:$D$311,M$4,'Match Log'!$E$4:$E$311,"Loss"))/(SUMPRODUCT(('Match Log'!$D$4:$D$311=$A8)*('Match Log'!$E$4:$E$311="Win")*COUNTIFS('Match Log'!$A$4:$A$311,'Match Log'!$A$4:$A$311,'Match Log'!$D$4:$D$311,M$4,'Match Log'!$E$4:$E$311,"Loss"))+SUMPRODUCT(('Match Log'!$D$4:$D$311=M$4)*('Match Log'!$E$4:$E$311="Win")*COUNTIFS('Match Log'!$A$4:$A$311,'Match Log'!$A$4:$A$311,'Match Log'!$D$4:$D$311,$A8,'Match Log'!$E$4:$E$311,"Loss"))),"0%")&amp;" of "&amp;(SUMPRODUCT(('Match Log'!$D$4:$D$311=$A8)*('Match Log'!$E$4:$E$311="Win")*COUNTIFS('Match Log'!$A$4:$A$311,'Match Log'!$A$4:$A$311,'Match Log'!$D$4:$D$311,M$4,'Match Log'!$E$4:$E$311,"Loss"))+SUMPRODUCT(('Match Log'!$D$4:$D$311=M$4)*('Match Log'!$E$4:$E$311="Win")*COUNTIFS('Match Log'!$A$4:$A$311,'Match Log'!$A$4:$A$311,'Match Log'!$D$4:$D$311,$A8,'Match Log'!$E$4:$E$311,"Loss")))))</f>
        <v/>
      </c>
      <c r="N8" s="54" t="str">
        <f>IF($A8=N$4,"—",IF((SUMPRODUCT(('Match Log'!$D$4:$D$311=$A8)*('Match Log'!$E$4:$E$311="Win")*COUNTIFS('Match Log'!$A$4:$A$311,'Match Log'!$A$4:$A$311,'Match Log'!$D$4:$D$311,N$4,'Match Log'!$E$4:$E$311,"Loss"))+SUMPRODUCT(('Match Log'!$D$4:$D$311=N$4)*('Match Log'!$E$4:$E$311="Win")*COUNTIFS('Match Log'!$A$4:$A$311,'Match Log'!$A$4:$A$311,'Match Log'!$D$4:$D$311,$A8,'Match Log'!$E$4:$E$311,"Loss")))=0,"",TEXT(SUMPRODUCT(('Match Log'!$D$4:$D$311=$A8)*('Match Log'!$E$4:$E$311="Win")*COUNTIFS('Match Log'!$A$4:$A$311,'Match Log'!$A$4:$A$311,'Match Log'!$D$4:$D$311,N$4,'Match Log'!$E$4:$E$311,"Loss"))/(SUMPRODUCT(('Match Log'!$D$4:$D$311=$A8)*('Match Log'!$E$4:$E$311="Win")*COUNTIFS('Match Log'!$A$4:$A$311,'Match Log'!$A$4:$A$311,'Match Log'!$D$4:$D$311,N$4,'Match Log'!$E$4:$E$311,"Loss"))+SUMPRODUCT(('Match Log'!$D$4:$D$311=N$4)*('Match Log'!$E$4:$E$311="Win")*COUNTIFS('Match Log'!$A$4:$A$311,'Match Log'!$A$4:$A$311,'Match Log'!$D$4:$D$311,$A8,'Match Log'!$E$4:$E$311,"Loss"))),"0%")&amp;" of "&amp;(SUMPRODUCT(('Match Log'!$D$4:$D$311=$A8)*('Match Log'!$E$4:$E$311="Win")*COUNTIFS('Match Log'!$A$4:$A$311,'Match Log'!$A$4:$A$311,'Match Log'!$D$4:$D$311,N$4,'Match Log'!$E$4:$E$311,"Loss"))+SUMPRODUCT(('Match Log'!$D$4:$D$311=N$4)*('Match Log'!$E$4:$E$311="Win")*COUNTIFS('Match Log'!$A$4:$A$311,'Match Log'!$A$4:$A$311,'Match Log'!$D$4:$D$311,$A8,'Match Log'!$E$4:$E$311,"Loss")))))</f>
        <v/>
      </c>
      <c r="O8" s="54" t="str">
        <f>IF($A8=O$4,"—",IF((SUMPRODUCT(('Match Log'!$D$4:$D$311=$A8)*('Match Log'!$E$4:$E$311="Win")*COUNTIFS('Match Log'!$A$4:$A$311,'Match Log'!$A$4:$A$311,'Match Log'!$D$4:$D$311,O$4,'Match Log'!$E$4:$E$311,"Loss"))+SUMPRODUCT(('Match Log'!$D$4:$D$311=O$4)*('Match Log'!$E$4:$E$311="Win")*COUNTIFS('Match Log'!$A$4:$A$311,'Match Log'!$A$4:$A$311,'Match Log'!$D$4:$D$311,$A8,'Match Log'!$E$4:$E$311,"Loss")))=0,"",TEXT(SUMPRODUCT(('Match Log'!$D$4:$D$311=$A8)*('Match Log'!$E$4:$E$311="Win")*COUNTIFS('Match Log'!$A$4:$A$311,'Match Log'!$A$4:$A$311,'Match Log'!$D$4:$D$311,O$4,'Match Log'!$E$4:$E$311,"Loss"))/(SUMPRODUCT(('Match Log'!$D$4:$D$311=$A8)*('Match Log'!$E$4:$E$311="Win")*COUNTIFS('Match Log'!$A$4:$A$311,'Match Log'!$A$4:$A$311,'Match Log'!$D$4:$D$311,O$4,'Match Log'!$E$4:$E$311,"Loss"))+SUMPRODUCT(('Match Log'!$D$4:$D$311=O$4)*('Match Log'!$E$4:$E$311="Win")*COUNTIFS('Match Log'!$A$4:$A$311,'Match Log'!$A$4:$A$311,'Match Log'!$D$4:$D$311,$A8,'Match Log'!$E$4:$E$311,"Loss"))),"0%")&amp;" of "&amp;(SUMPRODUCT(('Match Log'!$D$4:$D$311=$A8)*('Match Log'!$E$4:$E$311="Win")*COUNTIFS('Match Log'!$A$4:$A$311,'Match Log'!$A$4:$A$311,'Match Log'!$D$4:$D$311,O$4,'Match Log'!$E$4:$E$311,"Loss"))+SUMPRODUCT(('Match Log'!$D$4:$D$311=O$4)*('Match Log'!$E$4:$E$311="Win")*COUNTIFS('Match Log'!$A$4:$A$311,'Match Log'!$A$4:$A$311,'Match Log'!$D$4:$D$311,$A8,'Match Log'!$E$4:$E$311,"Loss")))))</f>
        <v/>
      </c>
    </row>
    <row r="9" spans="1:15" ht="15" customHeight="1" x14ac:dyDescent="0.2">
      <c r="A9" s="49" t="s">
        <v>144</v>
      </c>
      <c r="B9" s="54" t="str">
        <f>IF($A9=B$4,"—",IF((SUMPRODUCT(('Match Log'!$D$4:$D$311=$A9)*('Match Log'!$E$4:$E$311="Win")*COUNTIFS('Match Log'!$A$4:$A$311,'Match Log'!$A$4:$A$311,'Match Log'!$D$4:$D$311,B$4,'Match Log'!$E$4:$E$311,"Loss"))+SUMPRODUCT(('Match Log'!$D$4:$D$311=B$4)*('Match Log'!$E$4:$E$311="Win")*COUNTIFS('Match Log'!$A$4:$A$311,'Match Log'!$A$4:$A$311,'Match Log'!$D$4:$D$311,$A9,'Match Log'!$E$4:$E$311,"Loss")))=0,"",TEXT(SUMPRODUCT(('Match Log'!$D$4:$D$311=$A9)*('Match Log'!$E$4:$E$311="Win")*COUNTIFS('Match Log'!$A$4:$A$311,'Match Log'!$A$4:$A$311,'Match Log'!$D$4:$D$311,B$4,'Match Log'!$E$4:$E$311,"Loss"))/(SUMPRODUCT(('Match Log'!$D$4:$D$311=$A9)*('Match Log'!$E$4:$E$311="Win")*COUNTIFS('Match Log'!$A$4:$A$311,'Match Log'!$A$4:$A$311,'Match Log'!$D$4:$D$311,B$4,'Match Log'!$E$4:$E$311,"Loss"))+SUMPRODUCT(('Match Log'!$D$4:$D$311=B$4)*('Match Log'!$E$4:$E$311="Win")*COUNTIFS('Match Log'!$A$4:$A$311,'Match Log'!$A$4:$A$311,'Match Log'!$D$4:$D$311,$A9,'Match Log'!$E$4:$E$311,"Loss"))),"0%")&amp;" of "&amp;(SUMPRODUCT(('Match Log'!$D$4:$D$311=$A9)*('Match Log'!$E$4:$E$311="Win")*COUNTIFS('Match Log'!$A$4:$A$311,'Match Log'!$A$4:$A$311,'Match Log'!$D$4:$D$311,B$4,'Match Log'!$E$4:$E$311,"Loss"))+SUMPRODUCT(('Match Log'!$D$4:$D$311=B$4)*('Match Log'!$E$4:$E$311="Win")*COUNTIFS('Match Log'!$A$4:$A$311,'Match Log'!$A$4:$A$311,'Match Log'!$D$4:$D$311,$A9,'Match Log'!$E$4:$E$311,"Loss")))))</f>
        <v>0% of 2</v>
      </c>
      <c r="C9" s="54" t="str">
        <f>IF($A9=C$4,"—",IF((SUMPRODUCT(('Match Log'!$D$4:$D$311=$A9)*('Match Log'!$E$4:$E$311="Win")*COUNTIFS('Match Log'!$A$4:$A$311,'Match Log'!$A$4:$A$311,'Match Log'!$D$4:$D$311,C$4,'Match Log'!$E$4:$E$311,"Loss"))+SUMPRODUCT(('Match Log'!$D$4:$D$311=C$4)*('Match Log'!$E$4:$E$311="Win")*COUNTIFS('Match Log'!$A$4:$A$311,'Match Log'!$A$4:$A$311,'Match Log'!$D$4:$D$311,$A9,'Match Log'!$E$4:$E$311,"Loss")))=0,"",TEXT(SUMPRODUCT(('Match Log'!$D$4:$D$311=$A9)*('Match Log'!$E$4:$E$311="Win")*COUNTIFS('Match Log'!$A$4:$A$311,'Match Log'!$A$4:$A$311,'Match Log'!$D$4:$D$311,C$4,'Match Log'!$E$4:$E$311,"Loss"))/(SUMPRODUCT(('Match Log'!$D$4:$D$311=$A9)*('Match Log'!$E$4:$E$311="Win")*COUNTIFS('Match Log'!$A$4:$A$311,'Match Log'!$A$4:$A$311,'Match Log'!$D$4:$D$311,C$4,'Match Log'!$E$4:$E$311,"Loss"))+SUMPRODUCT(('Match Log'!$D$4:$D$311=C$4)*('Match Log'!$E$4:$E$311="Win")*COUNTIFS('Match Log'!$A$4:$A$311,'Match Log'!$A$4:$A$311,'Match Log'!$D$4:$D$311,$A9,'Match Log'!$E$4:$E$311,"Loss"))),"0%")&amp;" of "&amp;(SUMPRODUCT(('Match Log'!$D$4:$D$311=$A9)*('Match Log'!$E$4:$E$311="Win")*COUNTIFS('Match Log'!$A$4:$A$311,'Match Log'!$A$4:$A$311,'Match Log'!$D$4:$D$311,C$4,'Match Log'!$E$4:$E$311,"Loss"))+SUMPRODUCT(('Match Log'!$D$4:$D$311=C$4)*('Match Log'!$E$4:$E$311="Win")*COUNTIFS('Match Log'!$A$4:$A$311,'Match Log'!$A$4:$A$311,'Match Log'!$D$4:$D$311,$A9,'Match Log'!$E$4:$E$311,"Loss")))))</f>
        <v>100% of 1</v>
      </c>
      <c r="D9" s="54" t="str">
        <f>IF($A9=D$4,"—",IF((SUMPRODUCT(('Match Log'!$D$4:$D$311=$A9)*('Match Log'!$E$4:$E$311="Win")*COUNTIFS('Match Log'!$A$4:$A$311,'Match Log'!$A$4:$A$311,'Match Log'!$D$4:$D$311,D$4,'Match Log'!$E$4:$E$311,"Loss"))+SUMPRODUCT(('Match Log'!$D$4:$D$311=D$4)*('Match Log'!$E$4:$E$311="Win")*COUNTIFS('Match Log'!$A$4:$A$311,'Match Log'!$A$4:$A$311,'Match Log'!$D$4:$D$311,$A9,'Match Log'!$E$4:$E$311,"Loss")))=0,"",TEXT(SUMPRODUCT(('Match Log'!$D$4:$D$311=$A9)*('Match Log'!$E$4:$E$311="Win")*COUNTIFS('Match Log'!$A$4:$A$311,'Match Log'!$A$4:$A$311,'Match Log'!$D$4:$D$311,D$4,'Match Log'!$E$4:$E$311,"Loss"))/(SUMPRODUCT(('Match Log'!$D$4:$D$311=$A9)*('Match Log'!$E$4:$E$311="Win")*COUNTIFS('Match Log'!$A$4:$A$311,'Match Log'!$A$4:$A$311,'Match Log'!$D$4:$D$311,D$4,'Match Log'!$E$4:$E$311,"Loss"))+SUMPRODUCT(('Match Log'!$D$4:$D$311=D$4)*('Match Log'!$E$4:$E$311="Win")*COUNTIFS('Match Log'!$A$4:$A$311,'Match Log'!$A$4:$A$311,'Match Log'!$D$4:$D$311,$A9,'Match Log'!$E$4:$E$311,"Loss"))),"0%")&amp;" of "&amp;(SUMPRODUCT(('Match Log'!$D$4:$D$311=$A9)*('Match Log'!$E$4:$E$311="Win")*COUNTIFS('Match Log'!$A$4:$A$311,'Match Log'!$A$4:$A$311,'Match Log'!$D$4:$D$311,D$4,'Match Log'!$E$4:$E$311,"Loss"))+SUMPRODUCT(('Match Log'!$D$4:$D$311=D$4)*('Match Log'!$E$4:$E$311="Win")*COUNTIFS('Match Log'!$A$4:$A$311,'Match Log'!$A$4:$A$311,'Match Log'!$D$4:$D$311,$A9,'Match Log'!$E$4:$E$311,"Loss")))))</f>
        <v>100% of 1</v>
      </c>
      <c r="E9" s="54" t="str">
        <f>IF($A9=E$4,"—",IF((SUMPRODUCT(('Match Log'!$D$4:$D$311=$A9)*('Match Log'!$E$4:$E$311="Win")*COUNTIFS('Match Log'!$A$4:$A$311,'Match Log'!$A$4:$A$311,'Match Log'!$D$4:$D$311,E$4,'Match Log'!$E$4:$E$311,"Loss"))+SUMPRODUCT(('Match Log'!$D$4:$D$311=E$4)*('Match Log'!$E$4:$E$311="Win")*COUNTIFS('Match Log'!$A$4:$A$311,'Match Log'!$A$4:$A$311,'Match Log'!$D$4:$D$311,$A9,'Match Log'!$E$4:$E$311,"Loss")))=0,"",TEXT(SUMPRODUCT(('Match Log'!$D$4:$D$311=$A9)*('Match Log'!$E$4:$E$311="Win")*COUNTIFS('Match Log'!$A$4:$A$311,'Match Log'!$A$4:$A$311,'Match Log'!$D$4:$D$311,E$4,'Match Log'!$E$4:$E$311,"Loss"))/(SUMPRODUCT(('Match Log'!$D$4:$D$311=$A9)*('Match Log'!$E$4:$E$311="Win")*COUNTIFS('Match Log'!$A$4:$A$311,'Match Log'!$A$4:$A$311,'Match Log'!$D$4:$D$311,E$4,'Match Log'!$E$4:$E$311,"Loss"))+SUMPRODUCT(('Match Log'!$D$4:$D$311=E$4)*('Match Log'!$E$4:$E$311="Win")*COUNTIFS('Match Log'!$A$4:$A$311,'Match Log'!$A$4:$A$311,'Match Log'!$D$4:$D$311,$A9,'Match Log'!$E$4:$E$311,"Loss"))),"0%")&amp;" of "&amp;(SUMPRODUCT(('Match Log'!$D$4:$D$311=$A9)*('Match Log'!$E$4:$E$311="Win")*COUNTIFS('Match Log'!$A$4:$A$311,'Match Log'!$A$4:$A$311,'Match Log'!$D$4:$D$311,E$4,'Match Log'!$E$4:$E$311,"Loss"))+SUMPRODUCT(('Match Log'!$D$4:$D$311=E$4)*('Match Log'!$E$4:$E$311="Win")*COUNTIFS('Match Log'!$A$4:$A$311,'Match Log'!$A$4:$A$311,'Match Log'!$D$4:$D$311,$A9,'Match Log'!$E$4:$E$311,"Loss")))))</f>
        <v>75% of 4</v>
      </c>
      <c r="F9" s="54" t="str">
        <f>IF($A9=F$4,"—",IF((SUMPRODUCT(('Match Log'!$D$4:$D$311=$A9)*('Match Log'!$E$4:$E$311="Win")*COUNTIFS('Match Log'!$A$4:$A$311,'Match Log'!$A$4:$A$311,'Match Log'!$D$4:$D$311,F$4,'Match Log'!$E$4:$E$311,"Loss"))+SUMPRODUCT(('Match Log'!$D$4:$D$311=F$4)*('Match Log'!$E$4:$E$311="Win")*COUNTIFS('Match Log'!$A$4:$A$311,'Match Log'!$A$4:$A$311,'Match Log'!$D$4:$D$311,$A9,'Match Log'!$E$4:$E$311,"Loss")))=0,"",TEXT(SUMPRODUCT(('Match Log'!$D$4:$D$311=$A9)*('Match Log'!$E$4:$E$311="Win")*COUNTIFS('Match Log'!$A$4:$A$311,'Match Log'!$A$4:$A$311,'Match Log'!$D$4:$D$311,F$4,'Match Log'!$E$4:$E$311,"Loss"))/(SUMPRODUCT(('Match Log'!$D$4:$D$311=$A9)*('Match Log'!$E$4:$E$311="Win")*COUNTIFS('Match Log'!$A$4:$A$311,'Match Log'!$A$4:$A$311,'Match Log'!$D$4:$D$311,F$4,'Match Log'!$E$4:$E$311,"Loss"))+SUMPRODUCT(('Match Log'!$D$4:$D$311=F$4)*('Match Log'!$E$4:$E$311="Win")*COUNTIFS('Match Log'!$A$4:$A$311,'Match Log'!$A$4:$A$311,'Match Log'!$D$4:$D$311,$A9,'Match Log'!$E$4:$E$311,"Loss"))),"0%")&amp;" of "&amp;(SUMPRODUCT(('Match Log'!$D$4:$D$311=$A9)*('Match Log'!$E$4:$E$311="Win")*COUNTIFS('Match Log'!$A$4:$A$311,'Match Log'!$A$4:$A$311,'Match Log'!$D$4:$D$311,F$4,'Match Log'!$E$4:$E$311,"Loss"))+SUMPRODUCT(('Match Log'!$D$4:$D$311=F$4)*('Match Log'!$E$4:$E$311="Win")*COUNTIFS('Match Log'!$A$4:$A$311,'Match Log'!$A$4:$A$311,'Match Log'!$D$4:$D$311,$A9,'Match Log'!$E$4:$E$311,"Loss")))))</f>
        <v>—</v>
      </c>
      <c r="G9" s="54" t="str">
        <f>IF($A9=G$4,"—",IF((SUMPRODUCT(('Match Log'!$D$4:$D$311=$A9)*('Match Log'!$E$4:$E$311="Win")*COUNTIFS('Match Log'!$A$4:$A$311,'Match Log'!$A$4:$A$311,'Match Log'!$D$4:$D$311,G$4,'Match Log'!$E$4:$E$311,"Loss"))+SUMPRODUCT(('Match Log'!$D$4:$D$311=G$4)*('Match Log'!$E$4:$E$311="Win")*COUNTIFS('Match Log'!$A$4:$A$311,'Match Log'!$A$4:$A$311,'Match Log'!$D$4:$D$311,$A9,'Match Log'!$E$4:$E$311,"Loss")))=0,"",TEXT(SUMPRODUCT(('Match Log'!$D$4:$D$311=$A9)*('Match Log'!$E$4:$E$311="Win")*COUNTIFS('Match Log'!$A$4:$A$311,'Match Log'!$A$4:$A$311,'Match Log'!$D$4:$D$311,G$4,'Match Log'!$E$4:$E$311,"Loss"))/(SUMPRODUCT(('Match Log'!$D$4:$D$311=$A9)*('Match Log'!$E$4:$E$311="Win")*COUNTIFS('Match Log'!$A$4:$A$311,'Match Log'!$A$4:$A$311,'Match Log'!$D$4:$D$311,G$4,'Match Log'!$E$4:$E$311,"Loss"))+SUMPRODUCT(('Match Log'!$D$4:$D$311=G$4)*('Match Log'!$E$4:$E$311="Win")*COUNTIFS('Match Log'!$A$4:$A$311,'Match Log'!$A$4:$A$311,'Match Log'!$D$4:$D$311,$A9,'Match Log'!$E$4:$E$311,"Loss"))),"0%")&amp;" of "&amp;(SUMPRODUCT(('Match Log'!$D$4:$D$311=$A9)*('Match Log'!$E$4:$E$311="Win")*COUNTIFS('Match Log'!$A$4:$A$311,'Match Log'!$A$4:$A$311,'Match Log'!$D$4:$D$311,G$4,'Match Log'!$E$4:$E$311,"Loss"))+SUMPRODUCT(('Match Log'!$D$4:$D$311=G$4)*('Match Log'!$E$4:$E$311="Win")*COUNTIFS('Match Log'!$A$4:$A$311,'Match Log'!$A$4:$A$311,'Match Log'!$D$4:$D$311,$A9,'Match Log'!$E$4:$E$311,"Loss")))))</f>
        <v>50% of 2</v>
      </c>
      <c r="H9" s="54" t="str">
        <f>IF($A9=H$4,"—",IF((SUMPRODUCT(('Match Log'!$D$4:$D$311=$A9)*('Match Log'!$E$4:$E$311="Win")*COUNTIFS('Match Log'!$A$4:$A$311,'Match Log'!$A$4:$A$311,'Match Log'!$D$4:$D$311,H$4,'Match Log'!$E$4:$E$311,"Loss"))+SUMPRODUCT(('Match Log'!$D$4:$D$311=H$4)*('Match Log'!$E$4:$E$311="Win")*COUNTIFS('Match Log'!$A$4:$A$311,'Match Log'!$A$4:$A$311,'Match Log'!$D$4:$D$311,$A9,'Match Log'!$E$4:$E$311,"Loss")))=0,"",TEXT(SUMPRODUCT(('Match Log'!$D$4:$D$311=$A9)*('Match Log'!$E$4:$E$311="Win")*COUNTIFS('Match Log'!$A$4:$A$311,'Match Log'!$A$4:$A$311,'Match Log'!$D$4:$D$311,H$4,'Match Log'!$E$4:$E$311,"Loss"))/(SUMPRODUCT(('Match Log'!$D$4:$D$311=$A9)*('Match Log'!$E$4:$E$311="Win")*COUNTIFS('Match Log'!$A$4:$A$311,'Match Log'!$A$4:$A$311,'Match Log'!$D$4:$D$311,H$4,'Match Log'!$E$4:$E$311,"Loss"))+SUMPRODUCT(('Match Log'!$D$4:$D$311=H$4)*('Match Log'!$E$4:$E$311="Win")*COUNTIFS('Match Log'!$A$4:$A$311,'Match Log'!$A$4:$A$311,'Match Log'!$D$4:$D$311,$A9,'Match Log'!$E$4:$E$311,"Loss"))),"0%")&amp;" of "&amp;(SUMPRODUCT(('Match Log'!$D$4:$D$311=$A9)*('Match Log'!$E$4:$E$311="Win")*COUNTIFS('Match Log'!$A$4:$A$311,'Match Log'!$A$4:$A$311,'Match Log'!$D$4:$D$311,H$4,'Match Log'!$E$4:$E$311,"Loss"))+SUMPRODUCT(('Match Log'!$D$4:$D$311=H$4)*('Match Log'!$E$4:$E$311="Win")*COUNTIFS('Match Log'!$A$4:$A$311,'Match Log'!$A$4:$A$311,'Match Log'!$D$4:$D$311,$A9,'Match Log'!$E$4:$E$311,"Loss")))))</f>
        <v>50% of 2</v>
      </c>
      <c r="I9" s="54" t="str">
        <f>IF($A9=I$4,"—",IF((SUMPRODUCT(('Match Log'!$D$4:$D$311=$A9)*('Match Log'!$E$4:$E$311="Win")*COUNTIFS('Match Log'!$A$4:$A$311,'Match Log'!$A$4:$A$311,'Match Log'!$D$4:$D$311,I$4,'Match Log'!$E$4:$E$311,"Loss"))+SUMPRODUCT(('Match Log'!$D$4:$D$311=I$4)*('Match Log'!$E$4:$E$311="Win")*COUNTIFS('Match Log'!$A$4:$A$311,'Match Log'!$A$4:$A$311,'Match Log'!$D$4:$D$311,$A9,'Match Log'!$E$4:$E$311,"Loss")))=0,"",TEXT(SUMPRODUCT(('Match Log'!$D$4:$D$311=$A9)*('Match Log'!$E$4:$E$311="Win")*COUNTIFS('Match Log'!$A$4:$A$311,'Match Log'!$A$4:$A$311,'Match Log'!$D$4:$D$311,I$4,'Match Log'!$E$4:$E$311,"Loss"))/(SUMPRODUCT(('Match Log'!$D$4:$D$311=$A9)*('Match Log'!$E$4:$E$311="Win")*COUNTIFS('Match Log'!$A$4:$A$311,'Match Log'!$A$4:$A$311,'Match Log'!$D$4:$D$311,I$4,'Match Log'!$E$4:$E$311,"Loss"))+SUMPRODUCT(('Match Log'!$D$4:$D$311=I$4)*('Match Log'!$E$4:$E$311="Win")*COUNTIFS('Match Log'!$A$4:$A$311,'Match Log'!$A$4:$A$311,'Match Log'!$D$4:$D$311,$A9,'Match Log'!$E$4:$E$311,"Loss"))),"0%")&amp;" of "&amp;(SUMPRODUCT(('Match Log'!$D$4:$D$311=$A9)*('Match Log'!$E$4:$E$311="Win")*COUNTIFS('Match Log'!$A$4:$A$311,'Match Log'!$A$4:$A$311,'Match Log'!$D$4:$D$311,I$4,'Match Log'!$E$4:$E$311,"Loss"))+SUMPRODUCT(('Match Log'!$D$4:$D$311=I$4)*('Match Log'!$E$4:$E$311="Win")*COUNTIFS('Match Log'!$A$4:$A$311,'Match Log'!$A$4:$A$311,'Match Log'!$D$4:$D$311,$A9,'Match Log'!$E$4:$E$311,"Loss")))))</f>
        <v>58% of 12</v>
      </c>
      <c r="J9" s="54" t="str">
        <f>IF($A9=J$4,"—",IF((SUMPRODUCT(('Match Log'!$D$4:$D$311=$A9)*('Match Log'!$E$4:$E$311="Win")*COUNTIFS('Match Log'!$A$4:$A$311,'Match Log'!$A$4:$A$311,'Match Log'!$D$4:$D$311,J$4,'Match Log'!$E$4:$E$311,"Loss"))+SUMPRODUCT(('Match Log'!$D$4:$D$311=J$4)*('Match Log'!$E$4:$E$311="Win")*COUNTIFS('Match Log'!$A$4:$A$311,'Match Log'!$A$4:$A$311,'Match Log'!$D$4:$D$311,$A9,'Match Log'!$E$4:$E$311,"Loss")))=0,"",TEXT(SUMPRODUCT(('Match Log'!$D$4:$D$311=$A9)*('Match Log'!$E$4:$E$311="Win")*COUNTIFS('Match Log'!$A$4:$A$311,'Match Log'!$A$4:$A$311,'Match Log'!$D$4:$D$311,J$4,'Match Log'!$E$4:$E$311,"Loss"))/(SUMPRODUCT(('Match Log'!$D$4:$D$311=$A9)*('Match Log'!$E$4:$E$311="Win")*COUNTIFS('Match Log'!$A$4:$A$311,'Match Log'!$A$4:$A$311,'Match Log'!$D$4:$D$311,J$4,'Match Log'!$E$4:$E$311,"Loss"))+SUMPRODUCT(('Match Log'!$D$4:$D$311=J$4)*('Match Log'!$E$4:$E$311="Win")*COUNTIFS('Match Log'!$A$4:$A$311,'Match Log'!$A$4:$A$311,'Match Log'!$D$4:$D$311,$A9,'Match Log'!$E$4:$E$311,"Loss"))),"0%")&amp;" of "&amp;(SUMPRODUCT(('Match Log'!$D$4:$D$311=$A9)*('Match Log'!$E$4:$E$311="Win")*COUNTIFS('Match Log'!$A$4:$A$311,'Match Log'!$A$4:$A$311,'Match Log'!$D$4:$D$311,J$4,'Match Log'!$E$4:$E$311,"Loss"))+SUMPRODUCT(('Match Log'!$D$4:$D$311=J$4)*('Match Log'!$E$4:$E$311="Win")*COUNTIFS('Match Log'!$A$4:$A$311,'Match Log'!$A$4:$A$311,'Match Log'!$D$4:$D$311,$A9,'Match Log'!$E$4:$E$311,"Loss")))))</f>
        <v>40% of 5</v>
      </c>
      <c r="K9" s="54" t="str">
        <f>IF($A9=K$4,"—",IF((SUMPRODUCT(('Match Log'!$D$4:$D$311=$A9)*('Match Log'!$E$4:$E$311="Win")*COUNTIFS('Match Log'!$A$4:$A$311,'Match Log'!$A$4:$A$311,'Match Log'!$D$4:$D$311,K$4,'Match Log'!$E$4:$E$311,"Loss"))+SUMPRODUCT(('Match Log'!$D$4:$D$311=K$4)*('Match Log'!$E$4:$E$311="Win")*COUNTIFS('Match Log'!$A$4:$A$311,'Match Log'!$A$4:$A$311,'Match Log'!$D$4:$D$311,$A9,'Match Log'!$E$4:$E$311,"Loss")))=0,"",TEXT(SUMPRODUCT(('Match Log'!$D$4:$D$311=$A9)*('Match Log'!$E$4:$E$311="Win")*COUNTIFS('Match Log'!$A$4:$A$311,'Match Log'!$A$4:$A$311,'Match Log'!$D$4:$D$311,K$4,'Match Log'!$E$4:$E$311,"Loss"))/(SUMPRODUCT(('Match Log'!$D$4:$D$311=$A9)*('Match Log'!$E$4:$E$311="Win")*COUNTIFS('Match Log'!$A$4:$A$311,'Match Log'!$A$4:$A$311,'Match Log'!$D$4:$D$311,K$4,'Match Log'!$E$4:$E$311,"Loss"))+SUMPRODUCT(('Match Log'!$D$4:$D$311=K$4)*('Match Log'!$E$4:$E$311="Win")*COUNTIFS('Match Log'!$A$4:$A$311,'Match Log'!$A$4:$A$311,'Match Log'!$D$4:$D$311,$A9,'Match Log'!$E$4:$E$311,"Loss"))),"0%")&amp;" of "&amp;(SUMPRODUCT(('Match Log'!$D$4:$D$311=$A9)*('Match Log'!$E$4:$E$311="Win")*COUNTIFS('Match Log'!$A$4:$A$311,'Match Log'!$A$4:$A$311,'Match Log'!$D$4:$D$311,K$4,'Match Log'!$E$4:$E$311,"Loss"))+SUMPRODUCT(('Match Log'!$D$4:$D$311=K$4)*('Match Log'!$E$4:$E$311="Win")*COUNTIFS('Match Log'!$A$4:$A$311,'Match Log'!$A$4:$A$311,'Match Log'!$D$4:$D$311,$A9,'Match Log'!$E$4:$E$311,"Loss")))))</f>
        <v>100% of 4</v>
      </c>
      <c r="L9" s="54" t="str">
        <f>IF($A9=L$4,"—",IF((SUMPRODUCT(('Match Log'!$D$4:$D$311=$A9)*('Match Log'!$E$4:$E$311="Win")*COUNTIFS('Match Log'!$A$4:$A$311,'Match Log'!$A$4:$A$311,'Match Log'!$D$4:$D$311,L$4,'Match Log'!$E$4:$E$311,"Loss"))+SUMPRODUCT(('Match Log'!$D$4:$D$311=L$4)*('Match Log'!$E$4:$E$311="Win")*COUNTIFS('Match Log'!$A$4:$A$311,'Match Log'!$A$4:$A$311,'Match Log'!$D$4:$D$311,$A9,'Match Log'!$E$4:$E$311,"Loss")))=0,"",TEXT(SUMPRODUCT(('Match Log'!$D$4:$D$311=$A9)*('Match Log'!$E$4:$E$311="Win")*COUNTIFS('Match Log'!$A$4:$A$311,'Match Log'!$A$4:$A$311,'Match Log'!$D$4:$D$311,L$4,'Match Log'!$E$4:$E$311,"Loss"))/(SUMPRODUCT(('Match Log'!$D$4:$D$311=$A9)*('Match Log'!$E$4:$E$311="Win")*COUNTIFS('Match Log'!$A$4:$A$311,'Match Log'!$A$4:$A$311,'Match Log'!$D$4:$D$311,L$4,'Match Log'!$E$4:$E$311,"Loss"))+SUMPRODUCT(('Match Log'!$D$4:$D$311=L$4)*('Match Log'!$E$4:$E$311="Win")*COUNTIFS('Match Log'!$A$4:$A$311,'Match Log'!$A$4:$A$311,'Match Log'!$D$4:$D$311,$A9,'Match Log'!$E$4:$E$311,"Loss"))),"0%")&amp;" of "&amp;(SUMPRODUCT(('Match Log'!$D$4:$D$311=$A9)*('Match Log'!$E$4:$E$311="Win")*COUNTIFS('Match Log'!$A$4:$A$311,'Match Log'!$A$4:$A$311,'Match Log'!$D$4:$D$311,L$4,'Match Log'!$E$4:$E$311,"Loss"))+SUMPRODUCT(('Match Log'!$D$4:$D$311=L$4)*('Match Log'!$E$4:$E$311="Win")*COUNTIFS('Match Log'!$A$4:$A$311,'Match Log'!$A$4:$A$311,'Match Log'!$D$4:$D$311,$A9,'Match Log'!$E$4:$E$311,"Loss")))))</f>
        <v>67% of 6</v>
      </c>
      <c r="M9" s="54" t="str">
        <f>IF($A9=M$4,"—",IF((SUMPRODUCT(('Match Log'!$D$4:$D$311=$A9)*('Match Log'!$E$4:$E$311="Win")*COUNTIFS('Match Log'!$A$4:$A$311,'Match Log'!$A$4:$A$311,'Match Log'!$D$4:$D$311,M$4,'Match Log'!$E$4:$E$311,"Loss"))+SUMPRODUCT(('Match Log'!$D$4:$D$311=M$4)*('Match Log'!$E$4:$E$311="Win")*COUNTIFS('Match Log'!$A$4:$A$311,'Match Log'!$A$4:$A$311,'Match Log'!$D$4:$D$311,$A9,'Match Log'!$E$4:$E$311,"Loss")))=0,"",TEXT(SUMPRODUCT(('Match Log'!$D$4:$D$311=$A9)*('Match Log'!$E$4:$E$311="Win")*COUNTIFS('Match Log'!$A$4:$A$311,'Match Log'!$A$4:$A$311,'Match Log'!$D$4:$D$311,M$4,'Match Log'!$E$4:$E$311,"Loss"))/(SUMPRODUCT(('Match Log'!$D$4:$D$311=$A9)*('Match Log'!$E$4:$E$311="Win")*COUNTIFS('Match Log'!$A$4:$A$311,'Match Log'!$A$4:$A$311,'Match Log'!$D$4:$D$311,M$4,'Match Log'!$E$4:$E$311,"Loss"))+SUMPRODUCT(('Match Log'!$D$4:$D$311=M$4)*('Match Log'!$E$4:$E$311="Win")*COUNTIFS('Match Log'!$A$4:$A$311,'Match Log'!$A$4:$A$311,'Match Log'!$D$4:$D$311,$A9,'Match Log'!$E$4:$E$311,"Loss"))),"0%")&amp;" of "&amp;(SUMPRODUCT(('Match Log'!$D$4:$D$311=$A9)*('Match Log'!$E$4:$E$311="Win")*COUNTIFS('Match Log'!$A$4:$A$311,'Match Log'!$A$4:$A$311,'Match Log'!$D$4:$D$311,M$4,'Match Log'!$E$4:$E$311,"Loss"))+SUMPRODUCT(('Match Log'!$D$4:$D$311=M$4)*('Match Log'!$E$4:$E$311="Win")*COUNTIFS('Match Log'!$A$4:$A$311,'Match Log'!$A$4:$A$311,'Match Log'!$D$4:$D$311,$A9,'Match Log'!$E$4:$E$311,"Loss")))))</f>
        <v>0% of 1</v>
      </c>
      <c r="N9" s="54" t="str">
        <f>IF($A9=N$4,"—",IF((SUMPRODUCT(('Match Log'!$D$4:$D$311=$A9)*('Match Log'!$E$4:$E$311="Win")*COUNTIFS('Match Log'!$A$4:$A$311,'Match Log'!$A$4:$A$311,'Match Log'!$D$4:$D$311,N$4,'Match Log'!$E$4:$E$311,"Loss"))+SUMPRODUCT(('Match Log'!$D$4:$D$311=N$4)*('Match Log'!$E$4:$E$311="Win")*COUNTIFS('Match Log'!$A$4:$A$311,'Match Log'!$A$4:$A$311,'Match Log'!$D$4:$D$311,$A9,'Match Log'!$E$4:$E$311,"Loss")))=0,"",TEXT(SUMPRODUCT(('Match Log'!$D$4:$D$311=$A9)*('Match Log'!$E$4:$E$311="Win")*COUNTIFS('Match Log'!$A$4:$A$311,'Match Log'!$A$4:$A$311,'Match Log'!$D$4:$D$311,N$4,'Match Log'!$E$4:$E$311,"Loss"))/(SUMPRODUCT(('Match Log'!$D$4:$D$311=$A9)*('Match Log'!$E$4:$E$311="Win")*COUNTIFS('Match Log'!$A$4:$A$311,'Match Log'!$A$4:$A$311,'Match Log'!$D$4:$D$311,N$4,'Match Log'!$E$4:$E$311,"Loss"))+SUMPRODUCT(('Match Log'!$D$4:$D$311=N$4)*('Match Log'!$E$4:$E$311="Win")*COUNTIFS('Match Log'!$A$4:$A$311,'Match Log'!$A$4:$A$311,'Match Log'!$D$4:$D$311,$A9,'Match Log'!$E$4:$E$311,"Loss"))),"0%")&amp;" of "&amp;(SUMPRODUCT(('Match Log'!$D$4:$D$311=$A9)*('Match Log'!$E$4:$E$311="Win")*COUNTIFS('Match Log'!$A$4:$A$311,'Match Log'!$A$4:$A$311,'Match Log'!$D$4:$D$311,N$4,'Match Log'!$E$4:$E$311,"Loss"))+SUMPRODUCT(('Match Log'!$D$4:$D$311=N$4)*('Match Log'!$E$4:$E$311="Win")*COUNTIFS('Match Log'!$A$4:$A$311,'Match Log'!$A$4:$A$311,'Match Log'!$D$4:$D$311,$A9,'Match Log'!$E$4:$E$311,"Loss")))))</f>
        <v>100% of 1</v>
      </c>
      <c r="O9" s="54" t="str">
        <f>IF($A9=O$4,"—",IF((SUMPRODUCT(('Match Log'!$D$4:$D$311=$A9)*('Match Log'!$E$4:$E$311="Win")*COUNTIFS('Match Log'!$A$4:$A$311,'Match Log'!$A$4:$A$311,'Match Log'!$D$4:$D$311,O$4,'Match Log'!$E$4:$E$311,"Loss"))+SUMPRODUCT(('Match Log'!$D$4:$D$311=O$4)*('Match Log'!$E$4:$E$311="Win")*COUNTIFS('Match Log'!$A$4:$A$311,'Match Log'!$A$4:$A$311,'Match Log'!$D$4:$D$311,$A9,'Match Log'!$E$4:$E$311,"Loss")))=0,"",TEXT(SUMPRODUCT(('Match Log'!$D$4:$D$311=$A9)*('Match Log'!$E$4:$E$311="Win")*COUNTIFS('Match Log'!$A$4:$A$311,'Match Log'!$A$4:$A$311,'Match Log'!$D$4:$D$311,O$4,'Match Log'!$E$4:$E$311,"Loss"))/(SUMPRODUCT(('Match Log'!$D$4:$D$311=$A9)*('Match Log'!$E$4:$E$311="Win")*COUNTIFS('Match Log'!$A$4:$A$311,'Match Log'!$A$4:$A$311,'Match Log'!$D$4:$D$311,O$4,'Match Log'!$E$4:$E$311,"Loss"))+SUMPRODUCT(('Match Log'!$D$4:$D$311=O$4)*('Match Log'!$E$4:$E$311="Win")*COUNTIFS('Match Log'!$A$4:$A$311,'Match Log'!$A$4:$A$311,'Match Log'!$D$4:$D$311,$A9,'Match Log'!$E$4:$E$311,"Loss"))),"0%")&amp;" of "&amp;(SUMPRODUCT(('Match Log'!$D$4:$D$311=$A9)*('Match Log'!$E$4:$E$311="Win")*COUNTIFS('Match Log'!$A$4:$A$311,'Match Log'!$A$4:$A$311,'Match Log'!$D$4:$D$311,O$4,'Match Log'!$E$4:$E$311,"Loss"))+SUMPRODUCT(('Match Log'!$D$4:$D$311=O$4)*('Match Log'!$E$4:$E$311="Win")*COUNTIFS('Match Log'!$A$4:$A$311,'Match Log'!$A$4:$A$311,'Match Log'!$D$4:$D$311,$A9,'Match Log'!$E$4:$E$311,"Loss")))))</f>
        <v/>
      </c>
    </row>
    <row r="10" spans="1:15" ht="15" customHeight="1" x14ac:dyDescent="0.2">
      <c r="A10" s="49" t="s">
        <v>141</v>
      </c>
      <c r="B10" s="54" t="str">
        <f>IF($A10=B$4,"—",IF((SUMPRODUCT(('Match Log'!$D$4:$D$311=$A10)*('Match Log'!$E$4:$E$311="Win")*COUNTIFS('Match Log'!$A$4:$A$311,'Match Log'!$A$4:$A$311,'Match Log'!$D$4:$D$311,B$4,'Match Log'!$E$4:$E$311,"Loss"))+SUMPRODUCT(('Match Log'!$D$4:$D$311=B$4)*('Match Log'!$E$4:$E$311="Win")*COUNTIFS('Match Log'!$A$4:$A$311,'Match Log'!$A$4:$A$311,'Match Log'!$D$4:$D$311,$A10,'Match Log'!$E$4:$E$311,"Loss")))=0,"",TEXT(SUMPRODUCT(('Match Log'!$D$4:$D$311=$A10)*('Match Log'!$E$4:$E$311="Win")*COUNTIFS('Match Log'!$A$4:$A$311,'Match Log'!$A$4:$A$311,'Match Log'!$D$4:$D$311,B$4,'Match Log'!$E$4:$E$311,"Loss"))/(SUMPRODUCT(('Match Log'!$D$4:$D$311=$A10)*('Match Log'!$E$4:$E$311="Win")*COUNTIFS('Match Log'!$A$4:$A$311,'Match Log'!$A$4:$A$311,'Match Log'!$D$4:$D$311,B$4,'Match Log'!$E$4:$E$311,"Loss"))+SUMPRODUCT(('Match Log'!$D$4:$D$311=B$4)*('Match Log'!$E$4:$E$311="Win")*COUNTIFS('Match Log'!$A$4:$A$311,'Match Log'!$A$4:$A$311,'Match Log'!$D$4:$D$311,$A10,'Match Log'!$E$4:$E$311,"Loss"))),"0%")&amp;" of "&amp;(SUMPRODUCT(('Match Log'!$D$4:$D$311=$A10)*('Match Log'!$E$4:$E$311="Win")*COUNTIFS('Match Log'!$A$4:$A$311,'Match Log'!$A$4:$A$311,'Match Log'!$D$4:$D$311,B$4,'Match Log'!$E$4:$E$311,"Loss"))+SUMPRODUCT(('Match Log'!$D$4:$D$311=B$4)*('Match Log'!$E$4:$E$311="Win")*COUNTIFS('Match Log'!$A$4:$A$311,'Match Log'!$A$4:$A$311,'Match Log'!$D$4:$D$311,$A10,'Match Log'!$E$4:$E$311,"Loss")))))</f>
        <v>27% of 11</v>
      </c>
      <c r="C10" s="54" t="str">
        <f>IF($A10=C$4,"—",IF((SUMPRODUCT(('Match Log'!$D$4:$D$311=$A10)*('Match Log'!$E$4:$E$311="Win")*COUNTIFS('Match Log'!$A$4:$A$311,'Match Log'!$A$4:$A$311,'Match Log'!$D$4:$D$311,C$4,'Match Log'!$E$4:$E$311,"Loss"))+SUMPRODUCT(('Match Log'!$D$4:$D$311=C$4)*('Match Log'!$E$4:$E$311="Win")*COUNTIFS('Match Log'!$A$4:$A$311,'Match Log'!$A$4:$A$311,'Match Log'!$D$4:$D$311,$A10,'Match Log'!$E$4:$E$311,"Loss")))=0,"",TEXT(SUMPRODUCT(('Match Log'!$D$4:$D$311=$A10)*('Match Log'!$E$4:$E$311="Win")*COUNTIFS('Match Log'!$A$4:$A$311,'Match Log'!$A$4:$A$311,'Match Log'!$D$4:$D$311,C$4,'Match Log'!$E$4:$E$311,"Loss"))/(SUMPRODUCT(('Match Log'!$D$4:$D$311=$A10)*('Match Log'!$E$4:$E$311="Win")*COUNTIFS('Match Log'!$A$4:$A$311,'Match Log'!$A$4:$A$311,'Match Log'!$D$4:$D$311,C$4,'Match Log'!$E$4:$E$311,"Loss"))+SUMPRODUCT(('Match Log'!$D$4:$D$311=C$4)*('Match Log'!$E$4:$E$311="Win")*COUNTIFS('Match Log'!$A$4:$A$311,'Match Log'!$A$4:$A$311,'Match Log'!$D$4:$D$311,$A10,'Match Log'!$E$4:$E$311,"Loss"))),"0%")&amp;" of "&amp;(SUMPRODUCT(('Match Log'!$D$4:$D$311=$A10)*('Match Log'!$E$4:$E$311="Win")*COUNTIFS('Match Log'!$A$4:$A$311,'Match Log'!$A$4:$A$311,'Match Log'!$D$4:$D$311,C$4,'Match Log'!$E$4:$E$311,"Loss"))+SUMPRODUCT(('Match Log'!$D$4:$D$311=C$4)*('Match Log'!$E$4:$E$311="Win")*COUNTIFS('Match Log'!$A$4:$A$311,'Match Log'!$A$4:$A$311,'Match Log'!$D$4:$D$311,$A10,'Match Log'!$E$4:$E$311,"Loss")))))</f>
        <v>100% of 1</v>
      </c>
      <c r="D10" s="54" t="str">
        <f>IF($A10=D$4,"—",IF((SUMPRODUCT(('Match Log'!$D$4:$D$311=$A10)*('Match Log'!$E$4:$E$311="Win")*COUNTIFS('Match Log'!$A$4:$A$311,'Match Log'!$A$4:$A$311,'Match Log'!$D$4:$D$311,D$4,'Match Log'!$E$4:$E$311,"Loss"))+SUMPRODUCT(('Match Log'!$D$4:$D$311=D$4)*('Match Log'!$E$4:$E$311="Win")*COUNTIFS('Match Log'!$A$4:$A$311,'Match Log'!$A$4:$A$311,'Match Log'!$D$4:$D$311,$A10,'Match Log'!$E$4:$E$311,"Loss")))=0,"",TEXT(SUMPRODUCT(('Match Log'!$D$4:$D$311=$A10)*('Match Log'!$E$4:$E$311="Win")*COUNTIFS('Match Log'!$A$4:$A$311,'Match Log'!$A$4:$A$311,'Match Log'!$D$4:$D$311,D$4,'Match Log'!$E$4:$E$311,"Loss"))/(SUMPRODUCT(('Match Log'!$D$4:$D$311=$A10)*('Match Log'!$E$4:$E$311="Win")*COUNTIFS('Match Log'!$A$4:$A$311,'Match Log'!$A$4:$A$311,'Match Log'!$D$4:$D$311,D$4,'Match Log'!$E$4:$E$311,"Loss"))+SUMPRODUCT(('Match Log'!$D$4:$D$311=D$4)*('Match Log'!$E$4:$E$311="Win")*COUNTIFS('Match Log'!$A$4:$A$311,'Match Log'!$A$4:$A$311,'Match Log'!$D$4:$D$311,$A10,'Match Log'!$E$4:$E$311,"Loss"))),"0%")&amp;" of "&amp;(SUMPRODUCT(('Match Log'!$D$4:$D$311=$A10)*('Match Log'!$E$4:$E$311="Win")*COUNTIFS('Match Log'!$A$4:$A$311,'Match Log'!$A$4:$A$311,'Match Log'!$D$4:$D$311,D$4,'Match Log'!$E$4:$E$311,"Loss"))+SUMPRODUCT(('Match Log'!$D$4:$D$311=D$4)*('Match Log'!$E$4:$E$311="Win")*COUNTIFS('Match Log'!$A$4:$A$311,'Match Log'!$A$4:$A$311,'Match Log'!$D$4:$D$311,$A10,'Match Log'!$E$4:$E$311,"Loss")))))</f>
        <v/>
      </c>
      <c r="E10" s="54" t="str">
        <f>IF($A10=E$4,"—",IF((SUMPRODUCT(('Match Log'!$D$4:$D$311=$A10)*('Match Log'!$E$4:$E$311="Win")*COUNTIFS('Match Log'!$A$4:$A$311,'Match Log'!$A$4:$A$311,'Match Log'!$D$4:$D$311,E$4,'Match Log'!$E$4:$E$311,"Loss"))+SUMPRODUCT(('Match Log'!$D$4:$D$311=E$4)*('Match Log'!$E$4:$E$311="Win")*COUNTIFS('Match Log'!$A$4:$A$311,'Match Log'!$A$4:$A$311,'Match Log'!$D$4:$D$311,$A10,'Match Log'!$E$4:$E$311,"Loss")))=0,"",TEXT(SUMPRODUCT(('Match Log'!$D$4:$D$311=$A10)*('Match Log'!$E$4:$E$311="Win")*COUNTIFS('Match Log'!$A$4:$A$311,'Match Log'!$A$4:$A$311,'Match Log'!$D$4:$D$311,E$4,'Match Log'!$E$4:$E$311,"Loss"))/(SUMPRODUCT(('Match Log'!$D$4:$D$311=$A10)*('Match Log'!$E$4:$E$311="Win")*COUNTIFS('Match Log'!$A$4:$A$311,'Match Log'!$A$4:$A$311,'Match Log'!$D$4:$D$311,E$4,'Match Log'!$E$4:$E$311,"Loss"))+SUMPRODUCT(('Match Log'!$D$4:$D$311=E$4)*('Match Log'!$E$4:$E$311="Win")*COUNTIFS('Match Log'!$A$4:$A$311,'Match Log'!$A$4:$A$311,'Match Log'!$D$4:$D$311,$A10,'Match Log'!$E$4:$E$311,"Loss"))),"0%")&amp;" of "&amp;(SUMPRODUCT(('Match Log'!$D$4:$D$311=$A10)*('Match Log'!$E$4:$E$311="Win")*COUNTIFS('Match Log'!$A$4:$A$311,'Match Log'!$A$4:$A$311,'Match Log'!$D$4:$D$311,E$4,'Match Log'!$E$4:$E$311,"Loss"))+SUMPRODUCT(('Match Log'!$D$4:$D$311=E$4)*('Match Log'!$E$4:$E$311="Win")*COUNTIFS('Match Log'!$A$4:$A$311,'Match Log'!$A$4:$A$311,'Match Log'!$D$4:$D$311,$A10,'Match Log'!$E$4:$E$311,"Loss")))))</f>
        <v>0% of 1</v>
      </c>
      <c r="F10" s="54" t="str">
        <f>IF($A10=F$4,"—",IF((SUMPRODUCT(('Match Log'!$D$4:$D$311=$A10)*('Match Log'!$E$4:$E$311="Win")*COUNTIFS('Match Log'!$A$4:$A$311,'Match Log'!$A$4:$A$311,'Match Log'!$D$4:$D$311,F$4,'Match Log'!$E$4:$E$311,"Loss"))+SUMPRODUCT(('Match Log'!$D$4:$D$311=F$4)*('Match Log'!$E$4:$E$311="Win")*COUNTIFS('Match Log'!$A$4:$A$311,'Match Log'!$A$4:$A$311,'Match Log'!$D$4:$D$311,$A10,'Match Log'!$E$4:$E$311,"Loss")))=0,"",TEXT(SUMPRODUCT(('Match Log'!$D$4:$D$311=$A10)*('Match Log'!$E$4:$E$311="Win")*COUNTIFS('Match Log'!$A$4:$A$311,'Match Log'!$A$4:$A$311,'Match Log'!$D$4:$D$311,F$4,'Match Log'!$E$4:$E$311,"Loss"))/(SUMPRODUCT(('Match Log'!$D$4:$D$311=$A10)*('Match Log'!$E$4:$E$311="Win")*COUNTIFS('Match Log'!$A$4:$A$311,'Match Log'!$A$4:$A$311,'Match Log'!$D$4:$D$311,F$4,'Match Log'!$E$4:$E$311,"Loss"))+SUMPRODUCT(('Match Log'!$D$4:$D$311=F$4)*('Match Log'!$E$4:$E$311="Win")*COUNTIFS('Match Log'!$A$4:$A$311,'Match Log'!$A$4:$A$311,'Match Log'!$D$4:$D$311,$A10,'Match Log'!$E$4:$E$311,"Loss"))),"0%")&amp;" of "&amp;(SUMPRODUCT(('Match Log'!$D$4:$D$311=$A10)*('Match Log'!$E$4:$E$311="Win")*COUNTIFS('Match Log'!$A$4:$A$311,'Match Log'!$A$4:$A$311,'Match Log'!$D$4:$D$311,F$4,'Match Log'!$E$4:$E$311,"Loss"))+SUMPRODUCT(('Match Log'!$D$4:$D$311=F$4)*('Match Log'!$E$4:$E$311="Win")*COUNTIFS('Match Log'!$A$4:$A$311,'Match Log'!$A$4:$A$311,'Match Log'!$D$4:$D$311,$A10,'Match Log'!$E$4:$E$311,"Loss")))))</f>
        <v>50% of 2</v>
      </c>
      <c r="G10" s="54" t="str">
        <f>IF($A10=G$4,"—",IF((SUMPRODUCT(('Match Log'!$D$4:$D$311=$A10)*('Match Log'!$E$4:$E$311="Win")*COUNTIFS('Match Log'!$A$4:$A$311,'Match Log'!$A$4:$A$311,'Match Log'!$D$4:$D$311,G$4,'Match Log'!$E$4:$E$311,"Loss"))+SUMPRODUCT(('Match Log'!$D$4:$D$311=G$4)*('Match Log'!$E$4:$E$311="Win")*COUNTIFS('Match Log'!$A$4:$A$311,'Match Log'!$A$4:$A$311,'Match Log'!$D$4:$D$311,$A10,'Match Log'!$E$4:$E$311,"Loss")))=0,"",TEXT(SUMPRODUCT(('Match Log'!$D$4:$D$311=$A10)*('Match Log'!$E$4:$E$311="Win")*COUNTIFS('Match Log'!$A$4:$A$311,'Match Log'!$A$4:$A$311,'Match Log'!$D$4:$D$311,G$4,'Match Log'!$E$4:$E$311,"Loss"))/(SUMPRODUCT(('Match Log'!$D$4:$D$311=$A10)*('Match Log'!$E$4:$E$311="Win")*COUNTIFS('Match Log'!$A$4:$A$311,'Match Log'!$A$4:$A$311,'Match Log'!$D$4:$D$311,G$4,'Match Log'!$E$4:$E$311,"Loss"))+SUMPRODUCT(('Match Log'!$D$4:$D$311=G$4)*('Match Log'!$E$4:$E$311="Win")*COUNTIFS('Match Log'!$A$4:$A$311,'Match Log'!$A$4:$A$311,'Match Log'!$D$4:$D$311,$A10,'Match Log'!$E$4:$E$311,"Loss"))),"0%")&amp;" of "&amp;(SUMPRODUCT(('Match Log'!$D$4:$D$311=$A10)*('Match Log'!$E$4:$E$311="Win")*COUNTIFS('Match Log'!$A$4:$A$311,'Match Log'!$A$4:$A$311,'Match Log'!$D$4:$D$311,G$4,'Match Log'!$E$4:$E$311,"Loss"))+SUMPRODUCT(('Match Log'!$D$4:$D$311=G$4)*('Match Log'!$E$4:$E$311="Win")*COUNTIFS('Match Log'!$A$4:$A$311,'Match Log'!$A$4:$A$311,'Match Log'!$D$4:$D$311,$A10,'Match Log'!$E$4:$E$311,"Loss")))))</f>
        <v>—</v>
      </c>
      <c r="H10" s="54" t="str">
        <f>IF($A10=H$4,"—",IF((SUMPRODUCT(('Match Log'!$D$4:$D$311=$A10)*('Match Log'!$E$4:$E$311="Win")*COUNTIFS('Match Log'!$A$4:$A$311,'Match Log'!$A$4:$A$311,'Match Log'!$D$4:$D$311,H$4,'Match Log'!$E$4:$E$311,"Loss"))+SUMPRODUCT(('Match Log'!$D$4:$D$311=H$4)*('Match Log'!$E$4:$E$311="Win")*COUNTIFS('Match Log'!$A$4:$A$311,'Match Log'!$A$4:$A$311,'Match Log'!$D$4:$D$311,$A10,'Match Log'!$E$4:$E$311,"Loss")))=0,"",TEXT(SUMPRODUCT(('Match Log'!$D$4:$D$311=$A10)*('Match Log'!$E$4:$E$311="Win")*COUNTIFS('Match Log'!$A$4:$A$311,'Match Log'!$A$4:$A$311,'Match Log'!$D$4:$D$311,H$4,'Match Log'!$E$4:$E$311,"Loss"))/(SUMPRODUCT(('Match Log'!$D$4:$D$311=$A10)*('Match Log'!$E$4:$E$311="Win")*COUNTIFS('Match Log'!$A$4:$A$311,'Match Log'!$A$4:$A$311,'Match Log'!$D$4:$D$311,H$4,'Match Log'!$E$4:$E$311,"Loss"))+SUMPRODUCT(('Match Log'!$D$4:$D$311=H$4)*('Match Log'!$E$4:$E$311="Win")*COUNTIFS('Match Log'!$A$4:$A$311,'Match Log'!$A$4:$A$311,'Match Log'!$D$4:$D$311,$A10,'Match Log'!$E$4:$E$311,"Loss"))),"0%")&amp;" of "&amp;(SUMPRODUCT(('Match Log'!$D$4:$D$311=$A10)*('Match Log'!$E$4:$E$311="Win")*COUNTIFS('Match Log'!$A$4:$A$311,'Match Log'!$A$4:$A$311,'Match Log'!$D$4:$D$311,H$4,'Match Log'!$E$4:$E$311,"Loss"))+SUMPRODUCT(('Match Log'!$D$4:$D$311=H$4)*('Match Log'!$E$4:$E$311="Win")*COUNTIFS('Match Log'!$A$4:$A$311,'Match Log'!$A$4:$A$311,'Match Log'!$D$4:$D$311,$A10,'Match Log'!$E$4:$E$311,"Loss")))))</f>
        <v>50% of 2</v>
      </c>
      <c r="I10" s="54" t="str">
        <f>IF($A10=I$4,"—",IF((SUMPRODUCT(('Match Log'!$D$4:$D$311=$A10)*('Match Log'!$E$4:$E$311="Win")*COUNTIFS('Match Log'!$A$4:$A$311,'Match Log'!$A$4:$A$311,'Match Log'!$D$4:$D$311,I$4,'Match Log'!$E$4:$E$311,"Loss"))+SUMPRODUCT(('Match Log'!$D$4:$D$311=I$4)*('Match Log'!$E$4:$E$311="Win")*COUNTIFS('Match Log'!$A$4:$A$311,'Match Log'!$A$4:$A$311,'Match Log'!$D$4:$D$311,$A10,'Match Log'!$E$4:$E$311,"Loss")))=0,"",TEXT(SUMPRODUCT(('Match Log'!$D$4:$D$311=$A10)*('Match Log'!$E$4:$E$311="Win")*COUNTIFS('Match Log'!$A$4:$A$311,'Match Log'!$A$4:$A$311,'Match Log'!$D$4:$D$311,I$4,'Match Log'!$E$4:$E$311,"Loss"))/(SUMPRODUCT(('Match Log'!$D$4:$D$311=$A10)*('Match Log'!$E$4:$E$311="Win")*COUNTIFS('Match Log'!$A$4:$A$311,'Match Log'!$A$4:$A$311,'Match Log'!$D$4:$D$311,I$4,'Match Log'!$E$4:$E$311,"Loss"))+SUMPRODUCT(('Match Log'!$D$4:$D$311=I$4)*('Match Log'!$E$4:$E$311="Win")*COUNTIFS('Match Log'!$A$4:$A$311,'Match Log'!$A$4:$A$311,'Match Log'!$D$4:$D$311,$A10,'Match Log'!$E$4:$E$311,"Loss"))),"0%")&amp;" of "&amp;(SUMPRODUCT(('Match Log'!$D$4:$D$311=$A10)*('Match Log'!$E$4:$E$311="Win")*COUNTIFS('Match Log'!$A$4:$A$311,'Match Log'!$A$4:$A$311,'Match Log'!$D$4:$D$311,I$4,'Match Log'!$E$4:$E$311,"Loss"))+SUMPRODUCT(('Match Log'!$D$4:$D$311=I$4)*('Match Log'!$E$4:$E$311="Win")*COUNTIFS('Match Log'!$A$4:$A$311,'Match Log'!$A$4:$A$311,'Match Log'!$D$4:$D$311,$A10,'Match Log'!$E$4:$E$311,"Loss")))))</f>
        <v>56% of 18</v>
      </c>
      <c r="J10" s="54" t="str">
        <f>IF($A10=J$4,"—",IF((SUMPRODUCT(('Match Log'!$D$4:$D$311=$A10)*('Match Log'!$E$4:$E$311="Win")*COUNTIFS('Match Log'!$A$4:$A$311,'Match Log'!$A$4:$A$311,'Match Log'!$D$4:$D$311,J$4,'Match Log'!$E$4:$E$311,"Loss"))+SUMPRODUCT(('Match Log'!$D$4:$D$311=J$4)*('Match Log'!$E$4:$E$311="Win")*COUNTIFS('Match Log'!$A$4:$A$311,'Match Log'!$A$4:$A$311,'Match Log'!$D$4:$D$311,$A10,'Match Log'!$E$4:$E$311,"Loss")))=0,"",TEXT(SUMPRODUCT(('Match Log'!$D$4:$D$311=$A10)*('Match Log'!$E$4:$E$311="Win")*COUNTIFS('Match Log'!$A$4:$A$311,'Match Log'!$A$4:$A$311,'Match Log'!$D$4:$D$311,J$4,'Match Log'!$E$4:$E$311,"Loss"))/(SUMPRODUCT(('Match Log'!$D$4:$D$311=$A10)*('Match Log'!$E$4:$E$311="Win")*COUNTIFS('Match Log'!$A$4:$A$311,'Match Log'!$A$4:$A$311,'Match Log'!$D$4:$D$311,J$4,'Match Log'!$E$4:$E$311,"Loss"))+SUMPRODUCT(('Match Log'!$D$4:$D$311=J$4)*('Match Log'!$E$4:$E$311="Win")*COUNTIFS('Match Log'!$A$4:$A$311,'Match Log'!$A$4:$A$311,'Match Log'!$D$4:$D$311,$A10,'Match Log'!$E$4:$E$311,"Loss"))),"0%")&amp;" of "&amp;(SUMPRODUCT(('Match Log'!$D$4:$D$311=$A10)*('Match Log'!$E$4:$E$311="Win")*COUNTIFS('Match Log'!$A$4:$A$311,'Match Log'!$A$4:$A$311,'Match Log'!$D$4:$D$311,J$4,'Match Log'!$E$4:$E$311,"Loss"))+SUMPRODUCT(('Match Log'!$D$4:$D$311=J$4)*('Match Log'!$E$4:$E$311="Win")*COUNTIFS('Match Log'!$A$4:$A$311,'Match Log'!$A$4:$A$311,'Match Log'!$D$4:$D$311,$A10,'Match Log'!$E$4:$E$311,"Loss")))))</f>
        <v>33% of 3</v>
      </c>
      <c r="K10" s="54" t="str">
        <f>IF($A10=K$4,"—",IF((SUMPRODUCT(('Match Log'!$D$4:$D$311=$A10)*('Match Log'!$E$4:$E$311="Win")*COUNTIFS('Match Log'!$A$4:$A$311,'Match Log'!$A$4:$A$311,'Match Log'!$D$4:$D$311,K$4,'Match Log'!$E$4:$E$311,"Loss"))+SUMPRODUCT(('Match Log'!$D$4:$D$311=K$4)*('Match Log'!$E$4:$E$311="Win")*COUNTIFS('Match Log'!$A$4:$A$311,'Match Log'!$A$4:$A$311,'Match Log'!$D$4:$D$311,$A10,'Match Log'!$E$4:$E$311,"Loss")))=0,"",TEXT(SUMPRODUCT(('Match Log'!$D$4:$D$311=$A10)*('Match Log'!$E$4:$E$311="Win")*COUNTIFS('Match Log'!$A$4:$A$311,'Match Log'!$A$4:$A$311,'Match Log'!$D$4:$D$311,K$4,'Match Log'!$E$4:$E$311,"Loss"))/(SUMPRODUCT(('Match Log'!$D$4:$D$311=$A10)*('Match Log'!$E$4:$E$311="Win")*COUNTIFS('Match Log'!$A$4:$A$311,'Match Log'!$A$4:$A$311,'Match Log'!$D$4:$D$311,K$4,'Match Log'!$E$4:$E$311,"Loss"))+SUMPRODUCT(('Match Log'!$D$4:$D$311=K$4)*('Match Log'!$E$4:$E$311="Win")*COUNTIFS('Match Log'!$A$4:$A$311,'Match Log'!$A$4:$A$311,'Match Log'!$D$4:$D$311,$A10,'Match Log'!$E$4:$E$311,"Loss"))),"0%")&amp;" of "&amp;(SUMPRODUCT(('Match Log'!$D$4:$D$311=$A10)*('Match Log'!$E$4:$E$311="Win")*COUNTIFS('Match Log'!$A$4:$A$311,'Match Log'!$A$4:$A$311,'Match Log'!$D$4:$D$311,K$4,'Match Log'!$E$4:$E$311,"Loss"))+SUMPRODUCT(('Match Log'!$D$4:$D$311=K$4)*('Match Log'!$E$4:$E$311="Win")*COUNTIFS('Match Log'!$A$4:$A$311,'Match Log'!$A$4:$A$311,'Match Log'!$D$4:$D$311,$A10,'Match Log'!$E$4:$E$311,"Loss")))))</f>
        <v/>
      </c>
      <c r="L10" s="54" t="str">
        <f>IF($A10=L$4,"—",IF((SUMPRODUCT(('Match Log'!$D$4:$D$311=$A10)*('Match Log'!$E$4:$E$311="Win")*COUNTIFS('Match Log'!$A$4:$A$311,'Match Log'!$A$4:$A$311,'Match Log'!$D$4:$D$311,L$4,'Match Log'!$E$4:$E$311,"Loss"))+SUMPRODUCT(('Match Log'!$D$4:$D$311=L$4)*('Match Log'!$E$4:$E$311="Win")*COUNTIFS('Match Log'!$A$4:$A$311,'Match Log'!$A$4:$A$311,'Match Log'!$D$4:$D$311,$A10,'Match Log'!$E$4:$E$311,"Loss")))=0,"",TEXT(SUMPRODUCT(('Match Log'!$D$4:$D$311=$A10)*('Match Log'!$E$4:$E$311="Win")*COUNTIFS('Match Log'!$A$4:$A$311,'Match Log'!$A$4:$A$311,'Match Log'!$D$4:$D$311,L$4,'Match Log'!$E$4:$E$311,"Loss"))/(SUMPRODUCT(('Match Log'!$D$4:$D$311=$A10)*('Match Log'!$E$4:$E$311="Win")*COUNTIFS('Match Log'!$A$4:$A$311,'Match Log'!$A$4:$A$311,'Match Log'!$D$4:$D$311,L$4,'Match Log'!$E$4:$E$311,"Loss"))+SUMPRODUCT(('Match Log'!$D$4:$D$311=L$4)*('Match Log'!$E$4:$E$311="Win")*COUNTIFS('Match Log'!$A$4:$A$311,'Match Log'!$A$4:$A$311,'Match Log'!$D$4:$D$311,$A10,'Match Log'!$E$4:$E$311,"Loss"))),"0%")&amp;" of "&amp;(SUMPRODUCT(('Match Log'!$D$4:$D$311=$A10)*('Match Log'!$E$4:$E$311="Win")*COUNTIFS('Match Log'!$A$4:$A$311,'Match Log'!$A$4:$A$311,'Match Log'!$D$4:$D$311,L$4,'Match Log'!$E$4:$E$311,"Loss"))+SUMPRODUCT(('Match Log'!$D$4:$D$311=L$4)*('Match Log'!$E$4:$E$311="Win")*COUNTIFS('Match Log'!$A$4:$A$311,'Match Log'!$A$4:$A$311,'Match Log'!$D$4:$D$311,$A10,'Match Log'!$E$4:$E$311,"Loss")))))</f>
        <v>13% of 8</v>
      </c>
      <c r="M10" s="54" t="str">
        <f>IF($A10=M$4,"—",IF((SUMPRODUCT(('Match Log'!$D$4:$D$311=$A10)*('Match Log'!$E$4:$E$311="Win")*COUNTIFS('Match Log'!$A$4:$A$311,'Match Log'!$A$4:$A$311,'Match Log'!$D$4:$D$311,M$4,'Match Log'!$E$4:$E$311,"Loss"))+SUMPRODUCT(('Match Log'!$D$4:$D$311=M$4)*('Match Log'!$E$4:$E$311="Win")*COUNTIFS('Match Log'!$A$4:$A$311,'Match Log'!$A$4:$A$311,'Match Log'!$D$4:$D$311,$A10,'Match Log'!$E$4:$E$311,"Loss")))=0,"",TEXT(SUMPRODUCT(('Match Log'!$D$4:$D$311=$A10)*('Match Log'!$E$4:$E$311="Win")*COUNTIFS('Match Log'!$A$4:$A$311,'Match Log'!$A$4:$A$311,'Match Log'!$D$4:$D$311,M$4,'Match Log'!$E$4:$E$311,"Loss"))/(SUMPRODUCT(('Match Log'!$D$4:$D$311=$A10)*('Match Log'!$E$4:$E$311="Win")*COUNTIFS('Match Log'!$A$4:$A$311,'Match Log'!$A$4:$A$311,'Match Log'!$D$4:$D$311,M$4,'Match Log'!$E$4:$E$311,"Loss"))+SUMPRODUCT(('Match Log'!$D$4:$D$311=M$4)*('Match Log'!$E$4:$E$311="Win")*COUNTIFS('Match Log'!$A$4:$A$311,'Match Log'!$A$4:$A$311,'Match Log'!$D$4:$D$311,$A10,'Match Log'!$E$4:$E$311,"Loss"))),"0%")&amp;" of "&amp;(SUMPRODUCT(('Match Log'!$D$4:$D$311=$A10)*('Match Log'!$E$4:$E$311="Win")*COUNTIFS('Match Log'!$A$4:$A$311,'Match Log'!$A$4:$A$311,'Match Log'!$D$4:$D$311,M$4,'Match Log'!$E$4:$E$311,"Loss"))+SUMPRODUCT(('Match Log'!$D$4:$D$311=M$4)*('Match Log'!$E$4:$E$311="Win")*COUNTIFS('Match Log'!$A$4:$A$311,'Match Log'!$A$4:$A$311,'Match Log'!$D$4:$D$311,$A10,'Match Log'!$E$4:$E$311,"Loss")))))</f>
        <v>0% of 1</v>
      </c>
      <c r="N10" s="54" t="str">
        <f>IF($A10=N$4,"—",IF((SUMPRODUCT(('Match Log'!$D$4:$D$311=$A10)*('Match Log'!$E$4:$E$311="Win")*COUNTIFS('Match Log'!$A$4:$A$311,'Match Log'!$A$4:$A$311,'Match Log'!$D$4:$D$311,N$4,'Match Log'!$E$4:$E$311,"Loss"))+SUMPRODUCT(('Match Log'!$D$4:$D$311=N$4)*('Match Log'!$E$4:$E$311="Win")*COUNTIFS('Match Log'!$A$4:$A$311,'Match Log'!$A$4:$A$311,'Match Log'!$D$4:$D$311,$A10,'Match Log'!$E$4:$E$311,"Loss")))=0,"",TEXT(SUMPRODUCT(('Match Log'!$D$4:$D$311=$A10)*('Match Log'!$E$4:$E$311="Win")*COUNTIFS('Match Log'!$A$4:$A$311,'Match Log'!$A$4:$A$311,'Match Log'!$D$4:$D$311,N$4,'Match Log'!$E$4:$E$311,"Loss"))/(SUMPRODUCT(('Match Log'!$D$4:$D$311=$A10)*('Match Log'!$E$4:$E$311="Win")*COUNTIFS('Match Log'!$A$4:$A$311,'Match Log'!$A$4:$A$311,'Match Log'!$D$4:$D$311,N$4,'Match Log'!$E$4:$E$311,"Loss"))+SUMPRODUCT(('Match Log'!$D$4:$D$311=N$4)*('Match Log'!$E$4:$E$311="Win")*COUNTIFS('Match Log'!$A$4:$A$311,'Match Log'!$A$4:$A$311,'Match Log'!$D$4:$D$311,$A10,'Match Log'!$E$4:$E$311,"Loss"))),"0%")&amp;" of "&amp;(SUMPRODUCT(('Match Log'!$D$4:$D$311=$A10)*('Match Log'!$E$4:$E$311="Win")*COUNTIFS('Match Log'!$A$4:$A$311,'Match Log'!$A$4:$A$311,'Match Log'!$D$4:$D$311,N$4,'Match Log'!$E$4:$E$311,"Loss"))+SUMPRODUCT(('Match Log'!$D$4:$D$311=N$4)*('Match Log'!$E$4:$E$311="Win")*COUNTIFS('Match Log'!$A$4:$A$311,'Match Log'!$A$4:$A$311,'Match Log'!$D$4:$D$311,$A10,'Match Log'!$E$4:$E$311,"Loss")))))</f>
        <v>100% of 1</v>
      </c>
      <c r="O10" s="54" t="str">
        <f>IF($A10=O$4,"—",IF((SUMPRODUCT(('Match Log'!$D$4:$D$311=$A10)*('Match Log'!$E$4:$E$311="Win")*COUNTIFS('Match Log'!$A$4:$A$311,'Match Log'!$A$4:$A$311,'Match Log'!$D$4:$D$311,O$4,'Match Log'!$E$4:$E$311,"Loss"))+SUMPRODUCT(('Match Log'!$D$4:$D$311=O$4)*('Match Log'!$E$4:$E$311="Win")*COUNTIFS('Match Log'!$A$4:$A$311,'Match Log'!$A$4:$A$311,'Match Log'!$D$4:$D$311,$A10,'Match Log'!$E$4:$E$311,"Loss")))=0,"",TEXT(SUMPRODUCT(('Match Log'!$D$4:$D$311=$A10)*('Match Log'!$E$4:$E$311="Win")*COUNTIFS('Match Log'!$A$4:$A$311,'Match Log'!$A$4:$A$311,'Match Log'!$D$4:$D$311,O$4,'Match Log'!$E$4:$E$311,"Loss"))/(SUMPRODUCT(('Match Log'!$D$4:$D$311=$A10)*('Match Log'!$E$4:$E$311="Win")*COUNTIFS('Match Log'!$A$4:$A$311,'Match Log'!$A$4:$A$311,'Match Log'!$D$4:$D$311,O$4,'Match Log'!$E$4:$E$311,"Loss"))+SUMPRODUCT(('Match Log'!$D$4:$D$311=O$4)*('Match Log'!$E$4:$E$311="Win")*COUNTIFS('Match Log'!$A$4:$A$311,'Match Log'!$A$4:$A$311,'Match Log'!$D$4:$D$311,$A10,'Match Log'!$E$4:$E$311,"Loss"))),"0%")&amp;" of "&amp;(SUMPRODUCT(('Match Log'!$D$4:$D$311=$A10)*('Match Log'!$E$4:$E$311="Win")*COUNTIFS('Match Log'!$A$4:$A$311,'Match Log'!$A$4:$A$311,'Match Log'!$D$4:$D$311,O$4,'Match Log'!$E$4:$E$311,"Loss"))+SUMPRODUCT(('Match Log'!$D$4:$D$311=O$4)*('Match Log'!$E$4:$E$311="Win")*COUNTIFS('Match Log'!$A$4:$A$311,'Match Log'!$A$4:$A$311,'Match Log'!$D$4:$D$311,$A10,'Match Log'!$E$4:$E$311,"Loss")))))</f>
        <v/>
      </c>
    </row>
    <row r="11" spans="1:15" ht="15" customHeight="1" x14ac:dyDescent="0.2">
      <c r="A11" s="49" t="s">
        <v>175</v>
      </c>
      <c r="B11" s="54" t="str">
        <f>IF($A11=B$4,"—",IF((SUMPRODUCT(('Match Log'!$D$4:$D$311=$A11)*('Match Log'!$E$4:$E$311="Win")*COUNTIFS('Match Log'!$A$4:$A$311,'Match Log'!$A$4:$A$311,'Match Log'!$D$4:$D$311,B$4,'Match Log'!$E$4:$E$311,"Loss"))+SUMPRODUCT(('Match Log'!$D$4:$D$311=B$4)*('Match Log'!$E$4:$E$311="Win")*COUNTIFS('Match Log'!$A$4:$A$311,'Match Log'!$A$4:$A$311,'Match Log'!$D$4:$D$311,$A11,'Match Log'!$E$4:$E$311,"Loss")))=0,"",TEXT(SUMPRODUCT(('Match Log'!$D$4:$D$311=$A11)*('Match Log'!$E$4:$E$311="Win")*COUNTIFS('Match Log'!$A$4:$A$311,'Match Log'!$A$4:$A$311,'Match Log'!$D$4:$D$311,B$4,'Match Log'!$E$4:$E$311,"Loss"))/(SUMPRODUCT(('Match Log'!$D$4:$D$311=$A11)*('Match Log'!$E$4:$E$311="Win")*COUNTIFS('Match Log'!$A$4:$A$311,'Match Log'!$A$4:$A$311,'Match Log'!$D$4:$D$311,B$4,'Match Log'!$E$4:$E$311,"Loss"))+SUMPRODUCT(('Match Log'!$D$4:$D$311=B$4)*('Match Log'!$E$4:$E$311="Win")*COUNTIFS('Match Log'!$A$4:$A$311,'Match Log'!$A$4:$A$311,'Match Log'!$D$4:$D$311,$A11,'Match Log'!$E$4:$E$311,"Loss"))),"0%")&amp;" of "&amp;(SUMPRODUCT(('Match Log'!$D$4:$D$311=$A11)*('Match Log'!$E$4:$E$311="Win")*COUNTIFS('Match Log'!$A$4:$A$311,'Match Log'!$A$4:$A$311,'Match Log'!$D$4:$D$311,B$4,'Match Log'!$E$4:$E$311,"Loss"))+SUMPRODUCT(('Match Log'!$D$4:$D$311=B$4)*('Match Log'!$E$4:$E$311="Win")*COUNTIFS('Match Log'!$A$4:$A$311,'Match Log'!$A$4:$A$311,'Match Log'!$D$4:$D$311,$A11,'Match Log'!$E$4:$E$311,"Loss")))))</f>
        <v>50% of 4</v>
      </c>
      <c r="C11" s="54" t="str">
        <f>IF($A11=C$4,"—",IF((SUMPRODUCT(('Match Log'!$D$4:$D$311=$A11)*('Match Log'!$E$4:$E$311="Win")*COUNTIFS('Match Log'!$A$4:$A$311,'Match Log'!$A$4:$A$311,'Match Log'!$D$4:$D$311,C$4,'Match Log'!$E$4:$E$311,"Loss"))+SUMPRODUCT(('Match Log'!$D$4:$D$311=C$4)*('Match Log'!$E$4:$E$311="Win")*COUNTIFS('Match Log'!$A$4:$A$311,'Match Log'!$A$4:$A$311,'Match Log'!$D$4:$D$311,$A11,'Match Log'!$E$4:$E$311,"Loss")))=0,"",TEXT(SUMPRODUCT(('Match Log'!$D$4:$D$311=$A11)*('Match Log'!$E$4:$E$311="Win")*COUNTIFS('Match Log'!$A$4:$A$311,'Match Log'!$A$4:$A$311,'Match Log'!$D$4:$D$311,C$4,'Match Log'!$E$4:$E$311,"Loss"))/(SUMPRODUCT(('Match Log'!$D$4:$D$311=$A11)*('Match Log'!$E$4:$E$311="Win")*COUNTIFS('Match Log'!$A$4:$A$311,'Match Log'!$A$4:$A$311,'Match Log'!$D$4:$D$311,C$4,'Match Log'!$E$4:$E$311,"Loss"))+SUMPRODUCT(('Match Log'!$D$4:$D$311=C$4)*('Match Log'!$E$4:$E$311="Win")*COUNTIFS('Match Log'!$A$4:$A$311,'Match Log'!$A$4:$A$311,'Match Log'!$D$4:$D$311,$A11,'Match Log'!$E$4:$E$311,"Loss"))),"0%")&amp;" of "&amp;(SUMPRODUCT(('Match Log'!$D$4:$D$311=$A11)*('Match Log'!$E$4:$E$311="Win")*COUNTIFS('Match Log'!$A$4:$A$311,'Match Log'!$A$4:$A$311,'Match Log'!$D$4:$D$311,C$4,'Match Log'!$E$4:$E$311,"Loss"))+SUMPRODUCT(('Match Log'!$D$4:$D$311=C$4)*('Match Log'!$E$4:$E$311="Win")*COUNTIFS('Match Log'!$A$4:$A$311,'Match Log'!$A$4:$A$311,'Match Log'!$D$4:$D$311,$A11,'Match Log'!$E$4:$E$311,"Loss")))))</f>
        <v>33% of 3</v>
      </c>
      <c r="D11" s="54" t="str">
        <f>IF($A11=D$4,"—",IF((SUMPRODUCT(('Match Log'!$D$4:$D$311=$A11)*('Match Log'!$E$4:$E$311="Win")*COUNTIFS('Match Log'!$A$4:$A$311,'Match Log'!$A$4:$A$311,'Match Log'!$D$4:$D$311,D$4,'Match Log'!$E$4:$E$311,"Loss"))+SUMPRODUCT(('Match Log'!$D$4:$D$311=D$4)*('Match Log'!$E$4:$E$311="Win")*COUNTIFS('Match Log'!$A$4:$A$311,'Match Log'!$A$4:$A$311,'Match Log'!$D$4:$D$311,$A11,'Match Log'!$E$4:$E$311,"Loss")))=0,"",TEXT(SUMPRODUCT(('Match Log'!$D$4:$D$311=$A11)*('Match Log'!$E$4:$E$311="Win")*COUNTIFS('Match Log'!$A$4:$A$311,'Match Log'!$A$4:$A$311,'Match Log'!$D$4:$D$311,D$4,'Match Log'!$E$4:$E$311,"Loss"))/(SUMPRODUCT(('Match Log'!$D$4:$D$311=$A11)*('Match Log'!$E$4:$E$311="Win")*COUNTIFS('Match Log'!$A$4:$A$311,'Match Log'!$A$4:$A$311,'Match Log'!$D$4:$D$311,D$4,'Match Log'!$E$4:$E$311,"Loss"))+SUMPRODUCT(('Match Log'!$D$4:$D$311=D$4)*('Match Log'!$E$4:$E$311="Win")*COUNTIFS('Match Log'!$A$4:$A$311,'Match Log'!$A$4:$A$311,'Match Log'!$D$4:$D$311,$A11,'Match Log'!$E$4:$E$311,"Loss"))),"0%")&amp;" of "&amp;(SUMPRODUCT(('Match Log'!$D$4:$D$311=$A11)*('Match Log'!$E$4:$E$311="Win")*COUNTIFS('Match Log'!$A$4:$A$311,'Match Log'!$A$4:$A$311,'Match Log'!$D$4:$D$311,D$4,'Match Log'!$E$4:$E$311,"Loss"))+SUMPRODUCT(('Match Log'!$D$4:$D$311=D$4)*('Match Log'!$E$4:$E$311="Win")*COUNTIFS('Match Log'!$A$4:$A$311,'Match Log'!$A$4:$A$311,'Match Log'!$D$4:$D$311,$A11,'Match Log'!$E$4:$E$311,"Loss")))))</f>
        <v/>
      </c>
      <c r="E11" s="54" t="str">
        <f>IF($A11=E$4,"—",IF((SUMPRODUCT(('Match Log'!$D$4:$D$311=$A11)*('Match Log'!$E$4:$E$311="Win")*COUNTIFS('Match Log'!$A$4:$A$311,'Match Log'!$A$4:$A$311,'Match Log'!$D$4:$D$311,E$4,'Match Log'!$E$4:$E$311,"Loss"))+SUMPRODUCT(('Match Log'!$D$4:$D$311=E$4)*('Match Log'!$E$4:$E$311="Win")*COUNTIFS('Match Log'!$A$4:$A$311,'Match Log'!$A$4:$A$311,'Match Log'!$D$4:$D$311,$A11,'Match Log'!$E$4:$E$311,"Loss")))=0,"",TEXT(SUMPRODUCT(('Match Log'!$D$4:$D$311=$A11)*('Match Log'!$E$4:$E$311="Win")*COUNTIFS('Match Log'!$A$4:$A$311,'Match Log'!$A$4:$A$311,'Match Log'!$D$4:$D$311,E$4,'Match Log'!$E$4:$E$311,"Loss"))/(SUMPRODUCT(('Match Log'!$D$4:$D$311=$A11)*('Match Log'!$E$4:$E$311="Win")*COUNTIFS('Match Log'!$A$4:$A$311,'Match Log'!$A$4:$A$311,'Match Log'!$D$4:$D$311,E$4,'Match Log'!$E$4:$E$311,"Loss"))+SUMPRODUCT(('Match Log'!$D$4:$D$311=E$4)*('Match Log'!$E$4:$E$311="Win")*COUNTIFS('Match Log'!$A$4:$A$311,'Match Log'!$A$4:$A$311,'Match Log'!$D$4:$D$311,$A11,'Match Log'!$E$4:$E$311,"Loss"))),"0%")&amp;" of "&amp;(SUMPRODUCT(('Match Log'!$D$4:$D$311=$A11)*('Match Log'!$E$4:$E$311="Win")*COUNTIFS('Match Log'!$A$4:$A$311,'Match Log'!$A$4:$A$311,'Match Log'!$D$4:$D$311,E$4,'Match Log'!$E$4:$E$311,"Loss"))+SUMPRODUCT(('Match Log'!$D$4:$D$311=E$4)*('Match Log'!$E$4:$E$311="Win")*COUNTIFS('Match Log'!$A$4:$A$311,'Match Log'!$A$4:$A$311,'Match Log'!$D$4:$D$311,$A11,'Match Log'!$E$4:$E$311,"Loss")))))</f>
        <v>100% of 1</v>
      </c>
      <c r="F11" s="54" t="str">
        <f>IF($A11=F$4,"—",IF((SUMPRODUCT(('Match Log'!$D$4:$D$311=$A11)*('Match Log'!$E$4:$E$311="Win")*COUNTIFS('Match Log'!$A$4:$A$311,'Match Log'!$A$4:$A$311,'Match Log'!$D$4:$D$311,F$4,'Match Log'!$E$4:$E$311,"Loss"))+SUMPRODUCT(('Match Log'!$D$4:$D$311=F$4)*('Match Log'!$E$4:$E$311="Win")*COUNTIFS('Match Log'!$A$4:$A$311,'Match Log'!$A$4:$A$311,'Match Log'!$D$4:$D$311,$A11,'Match Log'!$E$4:$E$311,"Loss")))=0,"",TEXT(SUMPRODUCT(('Match Log'!$D$4:$D$311=$A11)*('Match Log'!$E$4:$E$311="Win")*COUNTIFS('Match Log'!$A$4:$A$311,'Match Log'!$A$4:$A$311,'Match Log'!$D$4:$D$311,F$4,'Match Log'!$E$4:$E$311,"Loss"))/(SUMPRODUCT(('Match Log'!$D$4:$D$311=$A11)*('Match Log'!$E$4:$E$311="Win")*COUNTIFS('Match Log'!$A$4:$A$311,'Match Log'!$A$4:$A$311,'Match Log'!$D$4:$D$311,F$4,'Match Log'!$E$4:$E$311,"Loss"))+SUMPRODUCT(('Match Log'!$D$4:$D$311=F$4)*('Match Log'!$E$4:$E$311="Win")*COUNTIFS('Match Log'!$A$4:$A$311,'Match Log'!$A$4:$A$311,'Match Log'!$D$4:$D$311,$A11,'Match Log'!$E$4:$E$311,"Loss"))),"0%")&amp;" of "&amp;(SUMPRODUCT(('Match Log'!$D$4:$D$311=$A11)*('Match Log'!$E$4:$E$311="Win")*COUNTIFS('Match Log'!$A$4:$A$311,'Match Log'!$A$4:$A$311,'Match Log'!$D$4:$D$311,F$4,'Match Log'!$E$4:$E$311,"Loss"))+SUMPRODUCT(('Match Log'!$D$4:$D$311=F$4)*('Match Log'!$E$4:$E$311="Win")*COUNTIFS('Match Log'!$A$4:$A$311,'Match Log'!$A$4:$A$311,'Match Log'!$D$4:$D$311,$A11,'Match Log'!$E$4:$E$311,"Loss")))))</f>
        <v>50% of 2</v>
      </c>
      <c r="G11" s="54" t="str">
        <f>IF($A11=G$4,"—",IF((SUMPRODUCT(('Match Log'!$D$4:$D$311=$A11)*('Match Log'!$E$4:$E$311="Win")*COUNTIFS('Match Log'!$A$4:$A$311,'Match Log'!$A$4:$A$311,'Match Log'!$D$4:$D$311,G$4,'Match Log'!$E$4:$E$311,"Loss"))+SUMPRODUCT(('Match Log'!$D$4:$D$311=G$4)*('Match Log'!$E$4:$E$311="Win")*COUNTIFS('Match Log'!$A$4:$A$311,'Match Log'!$A$4:$A$311,'Match Log'!$D$4:$D$311,$A11,'Match Log'!$E$4:$E$311,"Loss")))=0,"",TEXT(SUMPRODUCT(('Match Log'!$D$4:$D$311=$A11)*('Match Log'!$E$4:$E$311="Win")*COUNTIFS('Match Log'!$A$4:$A$311,'Match Log'!$A$4:$A$311,'Match Log'!$D$4:$D$311,G$4,'Match Log'!$E$4:$E$311,"Loss"))/(SUMPRODUCT(('Match Log'!$D$4:$D$311=$A11)*('Match Log'!$E$4:$E$311="Win")*COUNTIFS('Match Log'!$A$4:$A$311,'Match Log'!$A$4:$A$311,'Match Log'!$D$4:$D$311,G$4,'Match Log'!$E$4:$E$311,"Loss"))+SUMPRODUCT(('Match Log'!$D$4:$D$311=G$4)*('Match Log'!$E$4:$E$311="Win")*COUNTIFS('Match Log'!$A$4:$A$311,'Match Log'!$A$4:$A$311,'Match Log'!$D$4:$D$311,$A11,'Match Log'!$E$4:$E$311,"Loss"))),"0%")&amp;" of "&amp;(SUMPRODUCT(('Match Log'!$D$4:$D$311=$A11)*('Match Log'!$E$4:$E$311="Win")*COUNTIFS('Match Log'!$A$4:$A$311,'Match Log'!$A$4:$A$311,'Match Log'!$D$4:$D$311,G$4,'Match Log'!$E$4:$E$311,"Loss"))+SUMPRODUCT(('Match Log'!$D$4:$D$311=G$4)*('Match Log'!$E$4:$E$311="Win")*COUNTIFS('Match Log'!$A$4:$A$311,'Match Log'!$A$4:$A$311,'Match Log'!$D$4:$D$311,$A11,'Match Log'!$E$4:$E$311,"Loss")))))</f>
        <v>50% of 2</v>
      </c>
      <c r="H11" s="54" t="str">
        <f>IF($A11=H$4,"—",IF((SUMPRODUCT(('Match Log'!$D$4:$D$311=$A11)*('Match Log'!$E$4:$E$311="Win")*COUNTIFS('Match Log'!$A$4:$A$311,'Match Log'!$A$4:$A$311,'Match Log'!$D$4:$D$311,H$4,'Match Log'!$E$4:$E$311,"Loss"))+SUMPRODUCT(('Match Log'!$D$4:$D$311=H$4)*('Match Log'!$E$4:$E$311="Win")*COUNTIFS('Match Log'!$A$4:$A$311,'Match Log'!$A$4:$A$311,'Match Log'!$D$4:$D$311,$A11,'Match Log'!$E$4:$E$311,"Loss")))=0,"",TEXT(SUMPRODUCT(('Match Log'!$D$4:$D$311=$A11)*('Match Log'!$E$4:$E$311="Win")*COUNTIFS('Match Log'!$A$4:$A$311,'Match Log'!$A$4:$A$311,'Match Log'!$D$4:$D$311,H$4,'Match Log'!$E$4:$E$311,"Loss"))/(SUMPRODUCT(('Match Log'!$D$4:$D$311=$A11)*('Match Log'!$E$4:$E$311="Win")*COUNTIFS('Match Log'!$A$4:$A$311,'Match Log'!$A$4:$A$311,'Match Log'!$D$4:$D$311,H$4,'Match Log'!$E$4:$E$311,"Loss"))+SUMPRODUCT(('Match Log'!$D$4:$D$311=H$4)*('Match Log'!$E$4:$E$311="Win")*COUNTIFS('Match Log'!$A$4:$A$311,'Match Log'!$A$4:$A$311,'Match Log'!$D$4:$D$311,$A11,'Match Log'!$E$4:$E$311,"Loss"))),"0%")&amp;" of "&amp;(SUMPRODUCT(('Match Log'!$D$4:$D$311=$A11)*('Match Log'!$E$4:$E$311="Win")*COUNTIFS('Match Log'!$A$4:$A$311,'Match Log'!$A$4:$A$311,'Match Log'!$D$4:$D$311,H$4,'Match Log'!$E$4:$E$311,"Loss"))+SUMPRODUCT(('Match Log'!$D$4:$D$311=H$4)*('Match Log'!$E$4:$E$311="Win")*COUNTIFS('Match Log'!$A$4:$A$311,'Match Log'!$A$4:$A$311,'Match Log'!$D$4:$D$311,$A11,'Match Log'!$E$4:$E$311,"Loss")))))</f>
        <v>—</v>
      </c>
      <c r="I11" s="54" t="str">
        <f>IF($A11=I$4,"—",IF((SUMPRODUCT(('Match Log'!$D$4:$D$311=$A11)*('Match Log'!$E$4:$E$311="Win")*COUNTIFS('Match Log'!$A$4:$A$311,'Match Log'!$A$4:$A$311,'Match Log'!$D$4:$D$311,I$4,'Match Log'!$E$4:$E$311,"Loss"))+SUMPRODUCT(('Match Log'!$D$4:$D$311=I$4)*('Match Log'!$E$4:$E$311="Win")*COUNTIFS('Match Log'!$A$4:$A$311,'Match Log'!$A$4:$A$311,'Match Log'!$D$4:$D$311,$A11,'Match Log'!$E$4:$E$311,"Loss")))=0,"",TEXT(SUMPRODUCT(('Match Log'!$D$4:$D$311=$A11)*('Match Log'!$E$4:$E$311="Win")*COUNTIFS('Match Log'!$A$4:$A$311,'Match Log'!$A$4:$A$311,'Match Log'!$D$4:$D$311,I$4,'Match Log'!$E$4:$E$311,"Loss"))/(SUMPRODUCT(('Match Log'!$D$4:$D$311=$A11)*('Match Log'!$E$4:$E$311="Win")*COUNTIFS('Match Log'!$A$4:$A$311,'Match Log'!$A$4:$A$311,'Match Log'!$D$4:$D$311,I$4,'Match Log'!$E$4:$E$311,"Loss"))+SUMPRODUCT(('Match Log'!$D$4:$D$311=I$4)*('Match Log'!$E$4:$E$311="Win")*COUNTIFS('Match Log'!$A$4:$A$311,'Match Log'!$A$4:$A$311,'Match Log'!$D$4:$D$311,$A11,'Match Log'!$E$4:$E$311,"Loss"))),"0%")&amp;" of "&amp;(SUMPRODUCT(('Match Log'!$D$4:$D$311=$A11)*('Match Log'!$E$4:$E$311="Win")*COUNTIFS('Match Log'!$A$4:$A$311,'Match Log'!$A$4:$A$311,'Match Log'!$D$4:$D$311,I$4,'Match Log'!$E$4:$E$311,"Loss"))+SUMPRODUCT(('Match Log'!$D$4:$D$311=I$4)*('Match Log'!$E$4:$E$311="Win")*COUNTIFS('Match Log'!$A$4:$A$311,'Match Log'!$A$4:$A$311,'Match Log'!$D$4:$D$311,$A11,'Match Log'!$E$4:$E$311,"Loss")))))</f>
        <v/>
      </c>
      <c r="J11" s="54" t="str">
        <f>IF($A11=J$4,"—",IF((SUMPRODUCT(('Match Log'!$D$4:$D$311=$A11)*('Match Log'!$E$4:$E$311="Win")*COUNTIFS('Match Log'!$A$4:$A$311,'Match Log'!$A$4:$A$311,'Match Log'!$D$4:$D$311,J$4,'Match Log'!$E$4:$E$311,"Loss"))+SUMPRODUCT(('Match Log'!$D$4:$D$311=J$4)*('Match Log'!$E$4:$E$311="Win")*COUNTIFS('Match Log'!$A$4:$A$311,'Match Log'!$A$4:$A$311,'Match Log'!$D$4:$D$311,$A11,'Match Log'!$E$4:$E$311,"Loss")))=0,"",TEXT(SUMPRODUCT(('Match Log'!$D$4:$D$311=$A11)*('Match Log'!$E$4:$E$311="Win")*COUNTIFS('Match Log'!$A$4:$A$311,'Match Log'!$A$4:$A$311,'Match Log'!$D$4:$D$311,J$4,'Match Log'!$E$4:$E$311,"Loss"))/(SUMPRODUCT(('Match Log'!$D$4:$D$311=$A11)*('Match Log'!$E$4:$E$311="Win")*COUNTIFS('Match Log'!$A$4:$A$311,'Match Log'!$A$4:$A$311,'Match Log'!$D$4:$D$311,J$4,'Match Log'!$E$4:$E$311,"Loss"))+SUMPRODUCT(('Match Log'!$D$4:$D$311=J$4)*('Match Log'!$E$4:$E$311="Win")*COUNTIFS('Match Log'!$A$4:$A$311,'Match Log'!$A$4:$A$311,'Match Log'!$D$4:$D$311,$A11,'Match Log'!$E$4:$E$311,"Loss"))),"0%")&amp;" of "&amp;(SUMPRODUCT(('Match Log'!$D$4:$D$311=$A11)*('Match Log'!$E$4:$E$311="Win")*COUNTIFS('Match Log'!$A$4:$A$311,'Match Log'!$A$4:$A$311,'Match Log'!$D$4:$D$311,J$4,'Match Log'!$E$4:$E$311,"Loss"))+SUMPRODUCT(('Match Log'!$D$4:$D$311=J$4)*('Match Log'!$E$4:$E$311="Win")*COUNTIFS('Match Log'!$A$4:$A$311,'Match Log'!$A$4:$A$311,'Match Log'!$D$4:$D$311,$A11,'Match Log'!$E$4:$E$311,"Loss")))))</f>
        <v>100% of 2</v>
      </c>
      <c r="K11" s="54" t="str">
        <f>IF($A11=K$4,"—",IF((SUMPRODUCT(('Match Log'!$D$4:$D$311=$A11)*('Match Log'!$E$4:$E$311="Win")*COUNTIFS('Match Log'!$A$4:$A$311,'Match Log'!$A$4:$A$311,'Match Log'!$D$4:$D$311,K$4,'Match Log'!$E$4:$E$311,"Loss"))+SUMPRODUCT(('Match Log'!$D$4:$D$311=K$4)*('Match Log'!$E$4:$E$311="Win")*COUNTIFS('Match Log'!$A$4:$A$311,'Match Log'!$A$4:$A$311,'Match Log'!$D$4:$D$311,$A11,'Match Log'!$E$4:$E$311,"Loss")))=0,"",TEXT(SUMPRODUCT(('Match Log'!$D$4:$D$311=$A11)*('Match Log'!$E$4:$E$311="Win")*COUNTIFS('Match Log'!$A$4:$A$311,'Match Log'!$A$4:$A$311,'Match Log'!$D$4:$D$311,K$4,'Match Log'!$E$4:$E$311,"Loss"))/(SUMPRODUCT(('Match Log'!$D$4:$D$311=$A11)*('Match Log'!$E$4:$E$311="Win")*COUNTIFS('Match Log'!$A$4:$A$311,'Match Log'!$A$4:$A$311,'Match Log'!$D$4:$D$311,K$4,'Match Log'!$E$4:$E$311,"Loss"))+SUMPRODUCT(('Match Log'!$D$4:$D$311=K$4)*('Match Log'!$E$4:$E$311="Win")*COUNTIFS('Match Log'!$A$4:$A$311,'Match Log'!$A$4:$A$311,'Match Log'!$D$4:$D$311,$A11,'Match Log'!$E$4:$E$311,"Loss"))),"0%")&amp;" of "&amp;(SUMPRODUCT(('Match Log'!$D$4:$D$311=$A11)*('Match Log'!$E$4:$E$311="Win")*COUNTIFS('Match Log'!$A$4:$A$311,'Match Log'!$A$4:$A$311,'Match Log'!$D$4:$D$311,K$4,'Match Log'!$E$4:$E$311,"Loss"))+SUMPRODUCT(('Match Log'!$D$4:$D$311=K$4)*('Match Log'!$E$4:$E$311="Win")*COUNTIFS('Match Log'!$A$4:$A$311,'Match Log'!$A$4:$A$311,'Match Log'!$D$4:$D$311,$A11,'Match Log'!$E$4:$E$311,"Loss")))))</f>
        <v>100% of 2</v>
      </c>
      <c r="L11" s="54" t="str">
        <f>IF($A11=L$4,"—",IF((SUMPRODUCT(('Match Log'!$D$4:$D$311=$A11)*('Match Log'!$E$4:$E$311="Win")*COUNTIFS('Match Log'!$A$4:$A$311,'Match Log'!$A$4:$A$311,'Match Log'!$D$4:$D$311,L$4,'Match Log'!$E$4:$E$311,"Loss"))+SUMPRODUCT(('Match Log'!$D$4:$D$311=L$4)*('Match Log'!$E$4:$E$311="Win")*COUNTIFS('Match Log'!$A$4:$A$311,'Match Log'!$A$4:$A$311,'Match Log'!$D$4:$D$311,$A11,'Match Log'!$E$4:$E$311,"Loss")))=0,"",TEXT(SUMPRODUCT(('Match Log'!$D$4:$D$311=$A11)*('Match Log'!$E$4:$E$311="Win")*COUNTIFS('Match Log'!$A$4:$A$311,'Match Log'!$A$4:$A$311,'Match Log'!$D$4:$D$311,L$4,'Match Log'!$E$4:$E$311,"Loss"))/(SUMPRODUCT(('Match Log'!$D$4:$D$311=$A11)*('Match Log'!$E$4:$E$311="Win")*COUNTIFS('Match Log'!$A$4:$A$311,'Match Log'!$A$4:$A$311,'Match Log'!$D$4:$D$311,L$4,'Match Log'!$E$4:$E$311,"Loss"))+SUMPRODUCT(('Match Log'!$D$4:$D$311=L$4)*('Match Log'!$E$4:$E$311="Win")*COUNTIFS('Match Log'!$A$4:$A$311,'Match Log'!$A$4:$A$311,'Match Log'!$D$4:$D$311,$A11,'Match Log'!$E$4:$E$311,"Loss"))),"0%")&amp;" of "&amp;(SUMPRODUCT(('Match Log'!$D$4:$D$311=$A11)*('Match Log'!$E$4:$E$311="Win")*COUNTIFS('Match Log'!$A$4:$A$311,'Match Log'!$A$4:$A$311,'Match Log'!$D$4:$D$311,L$4,'Match Log'!$E$4:$E$311,"Loss"))+SUMPRODUCT(('Match Log'!$D$4:$D$311=L$4)*('Match Log'!$E$4:$E$311="Win")*COUNTIFS('Match Log'!$A$4:$A$311,'Match Log'!$A$4:$A$311,'Match Log'!$D$4:$D$311,$A11,'Match Log'!$E$4:$E$311,"Loss")))))</f>
        <v>40% of 5</v>
      </c>
      <c r="M11" s="54" t="str">
        <f>IF($A11=M$4,"—",IF((SUMPRODUCT(('Match Log'!$D$4:$D$311=$A11)*('Match Log'!$E$4:$E$311="Win")*COUNTIFS('Match Log'!$A$4:$A$311,'Match Log'!$A$4:$A$311,'Match Log'!$D$4:$D$311,M$4,'Match Log'!$E$4:$E$311,"Loss"))+SUMPRODUCT(('Match Log'!$D$4:$D$311=M$4)*('Match Log'!$E$4:$E$311="Win")*COUNTIFS('Match Log'!$A$4:$A$311,'Match Log'!$A$4:$A$311,'Match Log'!$D$4:$D$311,$A11,'Match Log'!$E$4:$E$311,"Loss")))=0,"",TEXT(SUMPRODUCT(('Match Log'!$D$4:$D$311=$A11)*('Match Log'!$E$4:$E$311="Win")*COUNTIFS('Match Log'!$A$4:$A$311,'Match Log'!$A$4:$A$311,'Match Log'!$D$4:$D$311,M$4,'Match Log'!$E$4:$E$311,"Loss"))/(SUMPRODUCT(('Match Log'!$D$4:$D$311=$A11)*('Match Log'!$E$4:$E$311="Win")*COUNTIFS('Match Log'!$A$4:$A$311,'Match Log'!$A$4:$A$311,'Match Log'!$D$4:$D$311,M$4,'Match Log'!$E$4:$E$311,"Loss"))+SUMPRODUCT(('Match Log'!$D$4:$D$311=M$4)*('Match Log'!$E$4:$E$311="Win")*COUNTIFS('Match Log'!$A$4:$A$311,'Match Log'!$A$4:$A$311,'Match Log'!$D$4:$D$311,$A11,'Match Log'!$E$4:$E$311,"Loss"))),"0%")&amp;" of "&amp;(SUMPRODUCT(('Match Log'!$D$4:$D$311=$A11)*('Match Log'!$E$4:$E$311="Win")*COUNTIFS('Match Log'!$A$4:$A$311,'Match Log'!$A$4:$A$311,'Match Log'!$D$4:$D$311,M$4,'Match Log'!$E$4:$E$311,"Loss"))+SUMPRODUCT(('Match Log'!$D$4:$D$311=M$4)*('Match Log'!$E$4:$E$311="Win")*COUNTIFS('Match Log'!$A$4:$A$311,'Match Log'!$A$4:$A$311,'Match Log'!$D$4:$D$311,$A11,'Match Log'!$E$4:$E$311,"Loss")))))</f>
        <v>100% of 1</v>
      </c>
      <c r="N11" s="54" t="str">
        <f>IF($A11=N$4,"—",IF((SUMPRODUCT(('Match Log'!$D$4:$D$311=$A11)*('Match Log'!$E$4:$E$311="Win")*COUNTIFS('Match Log'!$A$4:$A$311,'Match Log'!$A$4:$A$311,'Match Log'!$D$4:$D$311,N$4,'Match Log'!$E$4:$E$311,"Loss"))+SUMPRODUCT(('Match Log'!$D$4:$D$311=N$4)*('Match Log'!$E$4:$E$311="Win")*COUNTIFS('Match Log'!$A$4:$A$311,'Match Log'!$A$4:$A$311,'Match Log'!$D$4:$D$311,$A11,'Match Log'!$E$4:$E$311,"Loss")))=0,"",TEXT(SUMPRODUCT(('Match Log'!$D$4:$D$311=$A11)*('Match Log'!$E$4:$E$311="Win")*COUNTIFS('Match Log'!$A$4:$A$311,'Match Log'!$A$4:$A$311,'Match Log'!$D$4:$D$311,N$4,'Match Log'!$E$4:$E$311,"Loss"))/(SUMPRODUCT(('Match Log'!$D$4:$D$311=$A11)*('Match Log'!$E$4:$E$311="Win")*COUNTIFS('Match Log'!$A$4:$A$311,'Match Log'!$A$4:$A$311,'Match Log'!$D$4:$D$311,N$4,'Match Log'!$E$4:$E$311,"Loss"))+SUMPRODUCT(('Match Log'!$D$4:$D$311=N$4)*('Match Log'!$E$4:$E$311="Win")*COUNTIFS('Match Log'!$A$4:$A$311,'Match Log'!$A$4:$A$311,'Match Log'!$D$4:$D$311,$A11,'Match Log'!$E$4:$E$311,"Loss"))),"0%")&amp;" of "&amp;(SUMPRODUCT(('Match Log'!$D$4:$D$311=$A11)*('Match Log'!$E$4:$E$311="Win")*COUNTIFS('Match Log'!$A$4:$A$311,'Match Log'!$A$4:$A$311,'Match Log'!$D$4:$D$311,N$4,'Match Log'!$E$4:$E$311,"Loss"))+SUMPRODUCT(('Match Log'!$D$4:$D$311=N$4)*('Match Log'!$E$4:$E$311="Win")*COUNTIFS('Match Log'!$A$4:$A$311,'Match Log'!$A$4:$A$311,'Match Log'!$D$4:$D$311,$A11,'Match Log'!$E$4:$E$311,"Loss")))))</f>
        <v>50% of 2</v>
      </c>
      <c r="O11" s="54" t="str">
        <f>IF($A11=O$4,"—",IF((SUMPRODUCT(('Match Log'!$D$4:$D$311=$A11)*('Match Log'!$E$4:$E$311="Win")*COUNTIFS('Match Log'!$A$4:$A$311,'Match Log'!$A$4:$A$311,'Match Log'!$D$4:$D$311,O$4,'Match Log'!$E$4:$E$311,"Loss"))+SUMPRODUCT(('Match Log'!$D$4:$D$311=O$4)*('Match Log'!$E$4:$E$311="Win")*COUNTIFS('Match Log'!$A$4:$A$311,'Match Log'!$A$4:$A$311,'Match Log'!$D$4:$D$311,$A11,'Match Log'!$E$4:$E$311,"Loss")))=0,"",TEXT(SUMPRODUCT(('Match Log'!$D$4:$D$311=$A11)*('Match Log'!$E$4:$E$311="Win")*COUNTIFS('Match Log'!$A$4:$A$311,'Match Log'!$A$4:$A$311,'Match Log'!$D$4:$D$311,O$4,'Match Log'!$E$4:$E$311,"Loss"))/(SUMPRODUCT(('Match Log'!$D$4:$D$311=$A11)*('Match Log'!$E$4:$E$311="Win")*COUNTIFS('Match Log'!$A$4:$A$311,'Match Log'!$A$4:$A$311,'Match Log'!$D$4:$D$311,O$4,'Match Log'!$E$4:$E$311,"Loss"))+SUMPRODUCT(('Match Log'!$D$4:$D$311=O$4)*('Match Log'!$E$4:$E$311="Win")*COUNTIFS('Match Log'!$A$4:$A$311,'Match Log'!$A$4:$A$311,'Match Log'!$D$4:$D$311,$A11,'Match Log'!$E$4:$E$311,"Loss"))),"0%")&amp;" of "&amp;(SUMPRODUCT(('Match Log'!$D$4:$D$311=$A11)*('Match Log'!$E$4:$E$311="Win")*COUNTIFS('Match Log'!$A$4:$A$311,'Match Log'!$A$4:$A$311,'Match Log'!$D$4:$D$311,O$4,'Match Log'!$E$4:$E$311,"Loss"))+SUMPRODUCT(('Match Log'!$D$4:$D$311=O$4)*('Match Log'!$E$4:$E$311="Win")*COUNTIFS('Match Log'!$A$4:$A$311,'Match Log'!$A$4:$A$311,'Match Log'!$D$4:$D$311,$A11,'Match Log'!$E$4:$E$311,"Loss")))))</f>
        <v/>
      </c>
    </row>
    <row r="12" spans="1:15" ht="15" customHeight="1" x14ac:dyDescent="0.2">
      <c r="A12" s="49" t="s">
        <v>177</v>
      </c>
      <c r="B12" s="54" t="str">
        <f>IF($A12=B$4,"—",IF((SUMPRODUCT(('Match Log'!$D$4:$D$311=$A12)*('Match Log'!$E$4:$E$311="Win")*COUNTIFS('Match Log'!$A$4:$A$311,'Match Log'!$A$4:$A$311,'Match Log'!$D$4:$D$311,B$4,'Match Log'!$E$4:$E$311,"Loss"))+SUMPRODUCT(('Match Log'!$D$4:$D$311=B$4)*('Match Log'!$E$4:$E$311="Win")*COUNTIFS('Match Log'!$A$4:$A$311,'Match Log'!$A$4:$A$311,'Match Log'!$D$4:$D$311,$A12,'Match Log'!$E$4:$E$311,"Loss")))=0,"",TEXT(SUMPRODUCT(('Match Log'!$D$4:$D$311=$A12)*('Match Log'!$E$4:$E$311="Win")*COUNTIFS('Match Log'!$A$4:$A$311,'Match Log'!$A$4:$A$311,'Match Log'!$D$4:$D$311,B$4,'Match Log'!$E$4:$E$311,"Loss"))/(SUMPRODUCT(('Match Log'!$D$4:$D$311=$A12)*('Match Log'!$E$4:$E$311="Win")*COUNTIFS('Match Log'!$A$4:$A$311,'Match Log'!$A$4:$A$311,'Match Log'!$D$4:$D$311,B$4,'Match Log'!$E$4:$E$311,"Loss"))+SUMPRODUCT(('Match Log'!$D$4:$D$311=B$4)*('Match Log'!$E$4:$E$311="Win")*COUNTIFS('Match Log'!$A$4:$A$311,'Match Log'!$A$4:$A$311,'Match Log'!$D$4:$D$311,$A12,'Match Log'!$E$4:$E$311,"Loss"))),"0%")&amp;" of "&amp;(SUMPRODUCT(('Match Log'!$D$4:$D$311=$A12)*('Match Log'!$E$4:$E$311="Win")*COUNTIFS('Match Log'!$A$4:$A$311,'Match Log'!$A$4:$A$311,'Match Log'!$D$4:$D$311,B$4,'Match Log'!$E$4:$E$311,"Loss"))+SUMPRODUCT(('Match Log'!$D$4:$D$311=B$4)*('Match Log'!$E$4:$E$311="Win")*COUNTIFS('Match Log'!$A$4:$A$311,'Match Log'!$A$4:$A$311,'Match Log'!$D$4:$D$311,$A12,'Match Log'!$E$4:$E$311,"Loss")))))</f>
        <v>40% of 5</v>
      </c>
      <c r="C12" s="54" t="str">
        <f>IF($A12=C$4,"—",IF((SUMPRODUCT(('Match Log'!$D$4:$D$311=$A12)*('Match Log'!$E$4:$E$311="Win")*COUNTIFS('Match Log'!$A$4:$A$311,'Match Log'!$A$4:$A$311,'Match Log'!$D$4:$D$311,C$4,'Match Log'!$E$4:$E$311,"Loss"))+SUMPRODUCT(('Match Log'!$D$4:$D$311=C$4)*('Match Log'!$E$4:$E$311="Win")*COUNTIFS('Match Log'!$A$4:$A$311,'Match Log'!$A$4:$A$311,'Match Log'!$D$4:$D$311,$A12,'Match Log'!$E$4:$E$311,"Loss")))=0,"",TEXT(SUMPRODUCT(('Match Log'!$D$4:$D$311=$A12)*('Match Log'!$E$4:$E$311="Win")*COUNTIFS('Match Log'!$A$4:$A$311,'Match Log'!$A$4:$A$311,'Match Log'!$D$4:$D$311,C$4,'Match Log'!$E$4:$E$311,"Loss"))/(SUMPRODUCT(('Match Log'!$D$4:$D$311=$A12)*('Match Log'!$E$4:$E$311="Win")*COUNTIFS('Match Log'!$A$4:$A$311,'Match Log'!$A$4:$A$311,'Match Log'!$D$4:$D$311,C$4,'Match Log'!$E$4:$E$311,"Loss"))+SUMPRODUCT(('Match Log'!$D$4:$D$311=C$4)*('Match Log'!$E$4:$E$311="Win")*COUNTIFS('Match Log'!$A$4:$A$311,'Match Log'!$A$4:$A$311,'Match Log'!$D$4:$D$311,$A12,'Match Log'!$E$4:$E$311,"Loss"))),"0%")&amp;" of "&amp;(SUMPRODUCT(('Match Log'!$D$4:$D$311=$A12)*('Match Log'!$E$4:$E$311="Win")*COUNTIFS('Match Log'!$A$4:$A$311,'Match Log'!$A$4:$A$311,'Match Log'!$D$4:$D$311,C$4,'Match Log'!$E$4:$E$311,"Loss"))+SUMPRODUCT(('Match Log'!$D$4:$D$311=C$4)*('Match Log'!$E$4:$E$311="Win")*COUNTIFS('Match Log'!$A$4:$A$311,'Match Log'!$A$4:$A$311,'Match Log'!$D$4:$D$311,$A12,'Match Log'!$E$4:$E$311,"Loss")))))</f>
        <v>0% of 2</v>
      </c>
      <c r="D12" s="54" t="str">
        <f>IF($A12=D$4,"—",IF((SUMPRODUCT(('Match Log'!$D$4:$D$311=$A12)*('Match Log'!$E$4:$E$311="Win")*COUNTIFS('Match Log'!$A$4:$A$311,'Match Log'!$A$4:$A$311,'Match Log'!$D$4:$D$311,D$4,'Match Log'!$E$4:$E$311,"Loss"))+SUMPRODUCT(('Match Log'!$D$4:$D$311=D$4)*('Match Log'!$E$4:$E$311="Win")*COUNTIFS('Match Log'!$A$4:$A$311,'Match Log'!$A$4:$A$311,'Match Log'!$D$4:$D$311,$A12,'Match Log'!$E$4:$E$311,"Loss")))=0,"",TEXT(SUMPRODUCT(('Match Log'!$D$4:$D$311=$A12)*('Match Log'!$E$4:$E$311="Win")*COUNTIFS('Match Log'!$A$4:$A$311,'Match Log'!$A$4:$A$311,'Match Log'!$D$4:$D$311,D$4,'Match Log'!$E$4:$E$311,"Loss"))/(SUMPRODUCT(('Match Log'!$D$4:$D$311=$A12)*('Match Log'!$E$4:$E$311="Win")*COUNTIFS('Match Log'!$A$4:$A$311,'Match Log'!$A$4:$A$311,'Match Log'!$D$4:$D$311,D$4,'Match Log'!$E$4:$E$311,"Loss"))+SUMPRODUCT(('Match Log'!$D$4:$D$311=D$4)*('Match Log'!$E$4:$E$311="Win")*COUNTIFS('Match Log'!$A$4:$A$311,'Match Log'!$A$4:$A$311,'Match Log'!$D$4:$D$311,$A12,'Match Log'!$E$4:$E$311,"Loss"))),"0%")&amp;" of "&amp;(SUMPRODUCT(('Match Log'!$D$4:$D$311=$A12)*('Match Log'!$E$4:$E$311="Win")*COUNTIFS('Match Log'!$A$4:$A$311,'Match Log'!$A$4:$A$311,'Match Log'!$D$4:$D$311,D$4,'Match Log'!$E$4:$E$311,"Loss"))+SUMPRODUCT(('Match Log'!$D$4:$D$311=D$4)*('Match Log'!$E$4:$E$311="Win")*COUNTIFS('Match Log'!$A$4:$A$311,'Match Log'!$A$4:$A$311,'Match Log'!$D$4:$D$311,$A12,'Match Log'!$E$4:$E$311,"Loss")))))</f>
        <v>20% of 5</v>
      </c>
      <c r="E12" s="54" t="str">
        <f>IF($A12=E$4,"—",IF((SUMPRODUCT(('Match Log'!$D$4:$D$311=$A12)*('Match Log'!$E$4:$E$311="Win")*COUNTIFS('Match Log'!$A$4:$A$311,'Match Log'!$A$4:$A$311,'Match Log'!$D$4:$D$311,E$4,'Match Log'!$E$4:$E$311,"Loss"))+SUMPRODUCT(('Match Log'!$D$4:$D$311=E$4)*('Match Log'!$E$4:$E$311="Win")*COUNTIFS('Match Log'!$A$4:$A$311,'Match Log'!$A$4:$A$311,'Match Log'!$D$4:$D$311,$A12,'Match Log'!$E$4:$E$311,"Loss")))=0,"",TEXT(SUMPRODUCT(('Match Log'!$D$4:$D$311=$A12)*('Match Log'!$E$4:$E$311="Win")*COUNTIFS('Match Log'!$A$4:$A$311,'Match Log'!$A$4:$A$311,'Match Log'!$D$4:$D$311,E$4,'Match Log'!$E$4:$E$311,"Loss"))/(SUMPRODUCT(('Match Log'!$D$4:$D$311=$A12)*('Match Log'!$E$4:$E$311="Win")*COUNTIFS('Match Log'!$A$4:$A$311,'Match Log'!$A$4:$A$311,'Match Log'!$D$4:$D$311,E$4,'Match Log'!$E$4:$E$311,"Loss"))+SUMPRODUCT(('Match Log'!$D$4:$D$311=E$4)*('Match Log'!$E$4:$E$311="Win")*COUNTIFS('Match Log'!$A$4:$A$311,'Match Log'!$A$4:$A$311,'Match Log'!$D$4:$D$311,$A12,'Match Log'!$E$4:$E$311,"Loss"))),"0%")&amp;" of "&amp;(SUMPRODUCT(('Match Log'!$D$4:$D$311=$A12)*('Match Log'!$E$4:$E$311="Win")*COUNTIFS('Match Log'!$A$4:$A$311,'Match Log'!$A$4:$A$311,'Match Log'!$D$4:$D$311,E$4,'Match Log'!$E$4:$E$311,"Loss"))+SUMPRODUCT(('Match Log'!$D$4:$D$311=E$4)*('Match Log'!$E$4:$E$311="Win")*COUNTIFS('Match Log'!$A$4:$A$311,'Match Log'!$A$4:$A$311,'Match Log'!$D$4:$D$311,$A12,'Match Log'!$E$4:$E$311,"Loss")))))</f>
        <v>100% of 3</v>
      </c>
      <c r="F12" s="54" t="str">
        <f>IF($A12=F$4,"—",IF((SUMPRODUCT(('Match Log'!$D$4:$D$311=$A12)*('Match Log'!$E$4:$E$311="Win")*COUNTIFS('Match Log'!$A$4:$A$311,'Match Log'!$A$4:$A$311,'Match Log'!$D$4:$D$311,F$4,'Match Log'!$E$4:$E$311,"Loss"))+SUMPRODUCT(('Match Log'!$D$4:$D$311=F$4)*('Match Log'!$E$4:$E$311="Win")*COUNTIFS('Match Log'!$A$4:$A$311,'Match Log'!$A$4:$A$311,'Match Log'!$D$4:$D$311,$A12,'Match Log'!$E$4:$E$311,"Loss")))=0,"",TEXT(SUMPRODUCT(('Match Log'!$D$4:$D$311=$A12)*('Match Log'!$E$4:$E$311="Win")*COUNTIFS('Match Log'!$A$4:$A$311,'Match Log'!$A$4:$A$311,'Match Log'!$D$4:$D$311,F$4,'Match Log'!$E$4:$E$311,"Loss"))/(SUMPRODUCT(('Match Log'!$D$4:$D$311=$A12)*('Match Log'!$E$4:$E$311="Win")*COUNTIFS('Match Log'!$A$4:$A$311,'Match Log'!$A$4:$A$311,'Match Log'!$D$4:$D$311,F$4,'Match Log'!$E$4:$E$311,"Loss"))+SUMPRODUCT(('Match Log'!$D$4:$D$311=F$4)*('Match Log'!$E$4:$E$311="Win")*COUNTIFS('Match Log'!$A$4:$A$311,'Match Log'!$A$4:$A$311,'Match Log'!$D$4:$D$311,$A12,'Match Log'!$E$4:$E$311,"Loss"))),"0%")&amp;" of "&amp;(SUMPRODUCT(('Match Log'!$D$4:$D$311=$A12)*('Match Log'!$E$4:$E$311="Win")*COUNTIFS('Match Log'!$A$4:$A$311,'Match Log'!$A$4:$A$311,'Match Log'!$D$4:$D$311,F$4,'Match Log'!$E$4:$E$311,"Loss"))+SUMPRODUCT(('Match Log'!$D$4:$D$311=F$4)*('Match Log'!$E$4:$E$311="Win")*COUNTIFS('Match Log'!$A$4:$A$311,'Match Log'!$A$4:$A$311,'Match Log'!$D$4:$D$311,$A12,'Match Log'!$E$4:$E$311,"Loss")))))</f>
        <v>42% of 12</v>
      </c>
      <c r="G12" s="54" t="str">
        <f>IF($A12=G$4,"—",IF((SUMPRODUCT(('Match Log'!$D$4:$D$311=$A12)*('Match Log'!$E$4:$E$311="Win")*COUNTIFS('Match Log'!$A$4:$A$311,'Match Log'!$A$4:$A$311,'Match Log'!$D$4:$D$311,G$4,'Match Log'!$E$4:$E$311,"Loss"))+SUMPRODUCT(('Match Log'!$D$4:$D$311=G$4)*('Match Log'!$E$4:$E$311="Win")*COUNTIFS('Match Log'!$A$4:$A$311,'Match Log'!$A$4:$A$311,'Match Log'!$D$4:$D$311,$A12,'Match Log'!$E$4:$E$311,"Loss")))=0,"",TEXT(SUMPRODUCT(('Match Log'!$D$4:$D$311=$A12)*('Match Log'!$E$4:$E$311="Win")*COUNTIFS('Match Log'!$A$4:$A$311,'Match Log'!$A$4:$A$311,'Match Log'!$D$4:$D$311,G$4,'Match Log'!$E$4:$E$311,"Loss"))/(SUMPRODUCT(('Match Log'!$D$4:$D$311=$A12)*('Match Log'!$E$4:$E$311="Win")*COUNTIFS('Match Log'!$A$4:$A$311,'Match Log'!$A$4:$A$311,'Match Log'!$D$4:$D$311,G$4,'Match Log'!$E$4:$E$311,"Loss"))+SUMPRODUCT(('Match Log'!$D$4:$D$311=G$4)*('Match Log'!$E$4:$E$311="Win")*COUNTIFS('Match Log'!$A$4:$A$311,'Match Log'!$A$4:$A$311,'Match Log'!$D$4:$D$311,$A12,'Match Log'!$E$4:$E$311,"Loss"))),"0%")&amp;" of "&amp;(SUMPRODUCT(('Match Log'!$D$4:$D$311=$A12)*('Match Log'!$E$4:$E$311="Win")*COUNTIFS('Match Log'!$A$4:$A$311,'Match Log'!$A$4:$A$311,'Match Log'!$D$4:$D$311,G$4,'Match Log'!$E$4:$E$311,"Loss"))+SUMPRODUCT(('Match Log'!$D$4:$D$311=G$4)*('Match Log'!$E$4:$E$311="Win")*COUNTIFS('Match Log'!$A$4:$A$311,'Match Log'!$A$4:$A$311,'Match Log'!$D$4:$D$311,$A12,'Match Log'!$E$4:$E$311,"Loss")))))</f>
        <v>44% of 18</v>
      </c>
      <c r="H12" s="54" t="str">
        <f>IF($A12=H$4,"—",IF((SUMPRODUCT(('Match Log'!$D$4:$D$311=$A12)*('Match Log'!$E$4:$E$311="Win")*COUNTIFS('Match Log'!$A$4:$A$311,'Match Log'!$A$4:$A$311,'Match Log'!$D$4:$D$311,H$4,'Match Log'!$E$4:$E$311,"Loss"))+SUMPRODUCT(('Match Log'!$D$4:$D$311=H$4)*('Match Log'!$E$4:$E$311="Win")*COUNTIFS('Match Log'!$A$4:$A$311,'Match Log'!$A$4:$A$311,'Match Log'!$D$4:$D$311,$A12,'Match Log'!$E$4:$E$311,"Loss")))=0,"",TEXT(SUMPRODUCT(('Match Log'!$D$4:$D$311=$A12)*('Match Log'!$E$4:$E$311="Win")*COUNTIFS('Match Log'!$A$4:$A$311,'Match Log'!$A$4:$A$311,'Match Log'!$D$4:$D$311,H$4,'Match Log'!$E$4:$E$311,"Loss"))/(SUMPRODUCT(('Match Log'!$D$4:$D$311=$A12)*('Match Log'!$E$4:$E$311="Win")*COUNTIFS('Match Log'!$A$4:$A$311,'Match Log'!$A$4:$A$311,'Match Log'!$D$4:$D$311,H$4,'Match Log'!$E$4:$E$311,"Loss"))+SUMPRODUCT(('Match Log'!$D$4:$D$311=H$4)*('Match Log'!$E$4:$E$311="Win")*COUNTIFS('Match Log'!$A$4:$A$311,'Match Log'!$A$4:$A$311,'Match Log'!$D$4:$D$311,$A12,'Match Log'!$E$4:$E$311,"Loss"))),"0%")&amp;" of "&amp;(SUMPRODUCT(('Match Log'!$D$4:$D$311=$A12)*('Match Log'!$E$4:$E$311="Win")*COUNTIFS('Match Log'!$A$4:$A$311,'Match Log'!$A$4:$A$311,'Match Log'!$D$4:$D$311,H$4,'Match Log'!$E$4:$E$311,"Loss"))+SUMPRODUCT(('Match Log'!$D$4:$D$311=H$4)*('Match Log'!$E$4:$E$311="Win")*COUNTIFS('Match Log'!$A$4:$A$311,'Match Log'!$A$4:$A$311,'Match Log'!$D$4:$D$311,$A12,'Match Log'!$E$4:$E$311,"Loss")))))</f>
        <v/>
      </c>
      <c r="I12" s="54" t="str">
        <f>IF($A12=I$4,"—",IF((SUMPRODUCT(('Match Log'!$D$4:$D$311=$A12)*('Match Log'!$E$4:$E$311="Win")*COUNTIFS('Match Log'!$A$4:$A$311,'Match Log'!$A$4:$A$311,'Match Log'!$D$4:$D$311,I$4,'Match Log'!$E$4:$E$311,"Loss"))+SUMPRODUCT(('Match Log'!$D$4:$D$311=I$4)*('Match Log'!$E$4:$E$311="Win")*COUNTIFS('Match Log'!$A$4:$A$311,'Match Log'!$A$4:$A$311,'Match Log'!$D$4:$D$311,$A12,'Match Log'!$E$4:$E$311,"Loss")))=0,"",TEXT(SUMPRODUCT(('Match Log'!$D$4:$D$311=$A12)*('Match Log'!$E$4:$E$311="Win")*COUNTIFS('Match Log'!$A$4:$A$311,'Match Log'!$A$4:$A$311,'Match Log'!$D$4:$D$311,I$4,'Match Log'!$E$4:$E$311,"Loss"))/(SUMPRODUCT(('Match Log'!$D$4:$D$311=$A12)*('Match Log'!$E$4:$E$311="Win")*COUNTIFS('Match Log'!$A$4:$A$311,'Match Log'!$A$4:$A$311,'Match Log'!$D$4:$D$311,I$4,'Match Log'!$E$4:$E$311,"Loss"))+SUMPRODUCT(('Match Log'!$D$4:$D$311=I$4)*('Match Log'!$E$4:$E$311="Win")*COUNTIFS('Match Log'!$A$4:$A$311,'Match Log'!$A$4:$A$311,'Match Log'!$D$4:$D$311,$A12,'Match Log'!$E$4:$E$311,"Loss"))),"0%")&amp;" of "&amp;(SUMPRODUCT(('Match Log'!$D$4:$D$311=$A12)*('Match Log'!$E$4:$E$311="Win")*COUNTIFS('Match Log'!$A$4:$A$311,'Match Log'!$A$4:$A$311,'Match Log'!$D$4:$D$311,I$4,'Match Log'!$E$4:$E$311,"Loss"))+SUMPRODUCT(('Match Log'!$D$4:$D$311=I$4)*('Match Log'!$E$4:$E$311="Win")*COUNTIFS('Match Log'!$A$4:$A$311,'Match Log'!$A$4:$A$311,'Match Log'!$D$4:$D$311,$A12,'Match Log'!$E$4:$E$311,"Loss")))))</f>
        <v>—</v>
      </c>
      <c r="J12" s="54" t="str">
        <f>IF($A12=J$4,"—",IF((SUMPRODUCT(('Match Log'!$D$4:$D$311=$A12)*('Match Log'!$E$4:$E$311="Win")*COUNTIFS('Match Log'!$A$4:$A$311,'Match Log'!$A$4:$A$311,'Match Log'!$D$4:$D$311,J$4,'Match Log'!$E$4:$E$311,"Loss"))+SUMPRODUCT(('Match Log'!$D$4:$D$311=J$4)*('Match Log'!$E$4:$E$311="Win")*COUNTIFS('Match Log'!$A$4:$A$311,'Match Log'!$A$4:$A$311,'Match Log'!$D$4:$D$311,$A12,'Match Log'!$E$4:$E$311,"Loss")))=0,"",TEXT(SUMPRODUCT(('Match Log'!$D$4:$D$311=$A12)*('Match Log'!$E$4:$E$311="Win")*COUNTIFS('Match Log'!$A$4:$A$311,'Match Log'!$A$4:$A$311,'Match Log'!$D$4:$D$311,J$4,'Match Log'!$E$4:$E$311,"Loss"))/(SUMPRODUCT(('Match Log'!$D$4:$D$311=$A12)*('Match Log'!$E$4:$E$311="Win")*COUNTIFS('Match Log'!$A$4:$A$311,'Match Log'!$A$4:$A$311,'Match Log'!$D$4:$D$311,J$4,'Match Log'!$E$4:$E$311,"Loss"))+SUMPRODUCT(('Match Log'!$D$4:$D$311=J$4)*('Match Log'!$E$4:$E$311="Win")*COUNTIFS('Match Log'!$A$4:$A$311,'Match Log'!$A$4:$A$311,'Match Log'!$D$4:$D$311,$A12,'Match Log'!$E$4:$E$311,"Loss"))),"0%")&amp;" of "&amp;(SUMPRODUCT(('Match Log'!$D$4:$D$311=$A12)*('Match Log'!$E$4:$E$311="Win")*COUNTIFS('Match Log'!$A$4:$A$311,'Match Log'!$A$4:$A$311,'Match Log'!$D$4:$D$311,J$4,'Match Log'!$E$4:$E$311,"Loss"))+SUMPRODUCT(('Match Log'!$D$4:$D$311=J$4)*('Match Log'!$E$4:$E$311="Win")*COUNTIFS('Match Log'!$A$4:$A$311,'Match Log'!$A$4:$A$311,'Match Log'!$D$4:$D$311,$A12,'Match Log'!$E$4:$E$311,"Loss")))))</f>
        <v>25% of 4</v>
      </c>
      <c r="K12" s="54" t="str">
        <f>IF($A12=K$4,"—",IF((SUMPRODUCT(('Match Log'!$D$4:$D$311=$A12)*('Match Log'!$E$4:$E$311="Win")*COUNTIFS('Match Log'!$A$4:$A$311,'Match Log'!$A$4:$A$311,'Match Log'!$D$4:$D$311,K$4,'Match Log'!$E$4:$E$311,"Loss"))+SUMPRODUCT(('Match Log'!$D$4:$D$311=K$4)*('Match Log'!$E$4:$E$311="Win")*COUNTIFS('Match Log'!$A$4:$A$311,'Match Log'!$A$4:$A$311,'Match Log'!$D$4:$D$311,$A12,'Match Log'!$E$4:$E$311,"Loss")))=0,"",TEXT(SUMPRODUCT(('Match Log'!$D$4:$D$311=$A12)*('Match Log'!$E$4:$E$311="Win")*COUNTIFS('Match Log'!$A$4:$A$311,'Match Log'!$A$4:$A$311,'Match Log'!$D$4:$D$311,K$4,'Match Log'!$E$4:$E$311,"Loss"))/(SUMPRODUCT(('Match Log'!$D$4:$D$311=$A12)*('Match Log'!$E$4:$E$311="Win")*COUNTIFS('Match Log'!$A$4:$A$311,'Match Log'!$A$4:$A$311,'Match Log'!$D$4:$D$311,K$4,'Match Log'!$E$4:$E$311,"Loss"))+SUMPRODUCT(('Match Log'!$D$4:$D$311=K$4)*('Match Log'!$E$4:$E$311="Win")*COUNTIFS('Match Log'!$A$4:$A$311,'Match Log'!$A$4:$A$311,'Match Log'!$D$4:$D$311,$A12,'Match Log'!$E$4:$E$311,"Loss"))),"0%")&amp;" of "&amp;(SUMPRODUCT(('Match Log'!$D$4:$D$311=$A12)*('Match Log'!$E$4:$E$311="Win")*COUNTIFS('Match Log'!$A$4:$A$311,'Match Log'!$A$4:$A$311,'Match Log'!$D$4:$D$311,K$4,'Match Log'!$E$4:$E$311,"Loss"))+SUMPRODUCT(('Match Log'!$D$4:$D$311=K$4)*('Match Log'!$E$4:$E$311="Win")*COUNTIFS('Match Log'!$A$4:$A$311,'Match Log'!$A$4:$A$311,'Match Log'!$D$4:$D$311,$A12,'Match Log'!$E$4:$E$311,"Loss")))))</f>
        <v>100% of 2</v>
      </c>
      <c r="L12" s="54" t="str">
        <f>IF($A12=L$4,"—",IF((SUMPRODUCT(('Match Log'!$D$4:$D$311=$A12)*('Match Log'!$E$4:$E$311="Win")*COUNTIFS('Match Log'!$A$4:$A$311,'Match Log'!$A$4:$A$311,'Match Log'!$D$4:$D$311,L$4,'Match Log'!$E$4:$E$311,"Loss"))+SUMPRODUCT(('Match Log'!$D$4:$D$311=L$4)*('Match Log'!$E$4:$E$311="Win")*COUNTIFS('Match Log'!$A$4:$A$311,'Match Log'!$A$4:$A$311,'Match Log'!$D$4:$D$311,$A12,'Match Log'!$E$4:$E$311,"Loss")))=0,"",TEXT(SUMPRODUCT(('Match Log'!$D$4:$D$311=$A12)*('Match Log'!$E$4:$E$311="Win")*COUNTIFS('Match Log'!$A$4:$A$311,'Match Log'!$A$4:$A$311,'Match Log'!$D$4:$D$311,L$4,'Match Log'!$E$4:$E$311,"Loss"))/(SUMPRODUCT(('Match Log'!$D$4:$D$311=$A12)*('Match Log'!$E$4:$E$311="Win")*COUNTIFS('Match Log'!$A$4:$A$311,'Match Log'!$A$4:$A$311,'Match Log'!$D$4:$D$311,L$4,'Match Log'!$E$4:$E$311,"Loss"))+SUMPRODUCT(('Match Log'!$D$4:$D$311=L$4)*('Match Log'!$E$4:$E$311="Win")*COUNTIFS('Match Log'!$A$4:$A$311,'Match Log'!$A$4:$A$311,'Match Log'!$D$4:$D$311,$A12,'Match Log'!$E$4:$E$311,"Loss"))),"0%")&amp;" of "&amp;(SUMPRODUCT(('Match Log'!$D$4:$D$311=$A12)*('Match Log'!$E$4:$E$311="Win")*COUNTIFS('Match Log'!$A$4:$A$311,'Match Log'!$A$4:$A$311,'Match Log'!$D$4:$D$311,L$4,'Match Log'!$E$4:$E$311,"Loss"))+SUMPRODUCT(('Match Log'!$D$4:$D$311=L$4)*('Match Log'!$E$4:$E$311="Win")*COUNTIFS('Match Log'!$A$4:$A$311,'Match Log'!$A$4:$A$311,'Match Log'!$D$4:$D$311,$A12,'Match Log'!$E$4:$E$311,"Loss")))))</f>
        <v>80% of 5</v>
      </c>
      <c r="M12" s="54" t="str">
        <f>IF($A12=M$4,"—",IF((SUMPRODUCT(('Match Log'!$D$4:$D$311=$A12)*('Match Log'!$E$4:$E$311="Win")*COUNTIFS('Match Log'!$A$4:$A$311,'Match Log'!$A$4:$A$311,'Match Log'!$D$4:$D$311,M$4,'Match Log'!$E$4:$E$311,"Loss"))+SUMPRODUCT(('Match Log'!$D$4:$D$311=M$4)*('Match Log'!$E$4:$E$311="Win")*COUNTIFS('Match Log'!$A$4:$A$311,'Match Log'!$A$4:$A$311,'Match Log'!$D$4:$D$311,$A12,'Match Log'!$E$4:$E$311,"Loss")))=0,"",TEXT(SUMPRODUCT(('Match Log'!$D$4:$D$311=$A12)*('Match Log'!$E$4:$E$311="Win")*COUNTIFS('Match Log'!$A$4:$A$311,'Match Log'!$A$4:$A$311,'Match Log'!$D$4:$D$311,M$4,'Match Log'!$E$4:$E$311,"Loss"))/(SUMPRODUCT(('Match Log'!$D$4:$D$311=$A12)*('Match Log'!$E$4:$E$311="Win")*COUNTIFS('Match Log'!$A$4:$A$311,'Match Log'!$A$4:$A$311,'Match Log'!$D$4:$D$311,M$4,'Match Log'!$E$4:$E$311,"Loss"))+SUMPRODUCT(('Match Log'!$D$4:$D$311=M$4)*('Match Log'!$E$4:$E$311="Win")*COUNTIFS('Match Log'!$A$4:$A$311,'Match Log'!$A$4:$A$311,'Match Log'!$D$4:$D$311,$A12,'Match Log'!$E$4:$E$311,"Loss"))),"0%")&amp;" of "&amp;(SUMPRODUCT(('Match Log'!$D$4:$D$311=$A12)*('Match Log'!$E$4:$E$311="Win")*COUNTIFS('Match Log'!$A$4:$A$311,'Match Log'!$A$4:$A$311,'Match Log'!$D$4:$D$311,M$4,'Match Log'!$E$4:$E$311,"Loss"))+SUMPRODUCT(('Match Log'!$D$4:$D$311=M$4)*('Match Log'!$E$4:$E$311="Win")*COUNTIFS('Match Log'!$A$4:$A$311,'Match Log'!$A$4:$A$311,'Match Log'!$D$4:$D$311,$A12,'Match Log'!$E$4:$E$311,"Loss")))))</f>
        <v>100% of 2</v>
      </c>
      <c r="N12" s="54" t="str">
        <f>IF($A12=N$4,"—",IF((SUMPRODUCT(('Match Log'!$D$4:$D$311=$A12)*('Match Log'!$E$4:$E$311="Win")*COUNTIFS('Match Log'!$A$4:$A$311,'Match Log'!$A$4:$A$311,'Match Log'!$D$4:$D$311,N$4,'Match Log'!$E$4:$E$311,"Loss"))+SUMPRODUCT(('Match Log'!$D$4:$D$311=N$4)*('Match Log'!$E$4:$E$311="Win")*COUNTIFS('Match Log'!$A$4:$A$311,'Match Log'!$A$4:$A$311,'Match Log'!$D$4:$D$311,$A12,'Match Log'!$E$4:$E$311,"Loss")))=0,"",TEXT(SUMPRODUCT(('Match Log'!$D$4:$D$311=$A12)*('Match Log'!$E$4:$E$311="Win")*COUNTIFS('Match Log'!$A$4:$A$311,'Match Log'!$A$4:$A$311,'Match Log'!$D$4:$D$311,N$4,'Match Log'!$E$4:$E$311,"Loss"))/(SUMPRODUCT(('Match Log'!$D$4:$D$311=$A12)*('Match Log'!$E$4:$E$311="Win")*COUNTIFS('Match Log'!$A$4:$A$311,'Match Log'!$A$4:$A$311,'Match Log'!$D$4:$D$311,N$4,'Match Log'!$E$4:$E$311,"Loss"))+SUMPRODUCT(('Match Log'!$D$4:$D$311=N$4)*('Match Log'!$E$4:$E$311="Win")*COUNTIFS('Match Log'!$A$4:$A$311,'Match Log'!$A$4:$A$311,'Match Log'!$D$4:$D$311,$A12,'Match Log'!$E$4:$E$311,"Loss"))),"0%")&amp;" of "&amp;(SUMPRODUCT(('Match Log'!$D$4:$D$311=$A12)*('Match Log'!$E$4:$E$311="Win")*COUNTIFS('Match Log'!$A$4:$A$311,'Match Log'!$A$4:$A$311,'Match Log'!$D$4:$D$311,N$4,'Match Log'!$E$4:$E$311,"Loss"))+SUMPRODUCT(('Match Log'!$D$4:$D$311=N$4)*('Match Log'!$E$4:$E$311="Win")*COUNTIFS('Match Log'!$A$4:$A$311,'Match Log'!$A$4:$A$311,'Match Log'!$D$4:$D$311,$A12,'Match Log'!$E$4:$E$311,"Loss")))))</f>
        <v>0% of 1</v>
      </c>
      <c r="O12" s="54" t="str">
        <f>IF($A12=O$4,"—",IF((SUMPRODUCT(('Match Log'!$D$4:$D$311=$A12)*('Match Log'!$E$4:$E$311="Win")*COUNTIFS('Match Log'!$A$4:$A$311,'Match Log'!$A$4:$A$311,'Match Log'!$D$4:$D$311,O$4,'Match Log'!$E$4:$E$311,"Loss"))+SUMPRODUCT(('Match Log'!$D$4:$D$311=O$4)*('Match Log'!$E$4:$E$311="Win")*COUNTIFS('Match Log'!$A$4:$A$311,'Match Log'!$A$4:$A$311,'Match Log'!$D$4:$D$311,$A12,'Match Log'!$E$4:$E$311,"Loss")))=0,"",TEXT(SUMPRODUCT(('Match Log'!$D$4:$D$311=$A12)*('Match Log'!$E$4:$E$311="Win")*COUNTIFS('Match Log'!$A$4:$A$311,'Match Log'!$A$4:$A$311,'Match Log'!$D$4:$D$311,O$4,'Match Log'!$E$4:$E$311,"Loss"))/(SUMPRODUCT(('Match Log'!$D$4:$D$311=$A12)*('Match Log'!$E$4:$E$311="Win")*COUNTIFS('Match Log'!$A$4:$A$311,'Match Log'!$A$4:$A$311,'Match Log'!$D$4:$D$311,O$4,'Match Log'!$E$4:$E$311,"Loss"))+SUMPRODUCT(('Match Log'!$D$4:$D$311=O$4)*('Match Log'!$E$4:$E$311="Win")*COUNTIFS('Match Log'!$A$4:$A$311,'Match Log'!$A$4:$A$311,'Match Log'!$D$4:$D$311,$A12,'Match Log'!$E$4:$E$311,"Loss"))),"0%")&amp;" of "&amp;(SUMPRODUCT(('Match Log'!$D$4:$D$311=$A12)*('Match Log'!$E$4:$E$311="Win")*COUNTIFS('Match Log'!$A$4:$A$311,'Match Log'!$A$4:$A$311,'Match Log'!$D$4:$D$311,O$4,'Match Log'!$E$4:$E$311,"Loss"))+SUMPRODUCT(('Match Log'!$D$4:$D$311=O$4)*('Match Log'!$E$4:$E$311="Win")*COUNTIFS('Match Log'!$A$4:$A$311,'Match Log'!$A$4:$A$311,'Match Log'!$D$4:$D$311,$A12,'Match Log'!$E$4:$E$311,"Loss")))))</f>
        <v/>
      </c>
    </row>
    <row r="13" spans="1:15" ht="15" customHeight="1" x14ac:dyDescent="0.2">
      <c r="A13" s="49" t="s">
        <v>174</v>
      </c>
      <c r="B13" s="54" t="str">
        <f>IF($A13=B$4,"—",IF((SUMPRODUCT(('Match Log'!$D$4:$D$311=$A13)*('Match Log'!$E$4:$E$311="Win")*COUNTIFS('Match Log'!$A$4:$A$311,'Match Log'!$A$4:$A$311,'Match Log'!$D$4:$D$311,B$4,'Match Log'!$E$4:$E$311,"Loss"))+SUMPRODUCT(('Match Log'!$D$4:$D$311=B$4)*('Match Log'!$E$4:$E$311="Win")*COUNTIFS('Match Log'!$A$4:$A$311,'Match Log'!$A$4:$A$311,'Match Log'!$D$4:$D$311,$A13,'Match Log'!$E$4:$E$311,"Loss")))=0,"",TEXT(SUMPRODUCT(('Match Log'!$D$4:$D$311=$A13)*('Match Log'!$E$4:$E$311="Win")*COUNTIFS('Match Log'!$A$4:$A$311,'Match Log'!$A$4:$A$311,'Match Log'!$D$4:$D$311,B$4,'Match Log'!$E$4:$E$311,"Loss"))/(SUMPRODUCT(('Match Log'!$D$4:$D$311=$A13)*('Match Log'!$E$4:$E$311="Win")*COUNTIFS('Match Log'!$A$4:$A$311,'Match Log'!$A$4:$A$311,'Match Log'!$D$4:$D$311,B$4,'Match Log'!$E$4:$E$311,"Loss"))+SUMPRODUCT(('Match Log'!$D$4:$D$311=B$4)*('Match Log'!$E$4:$E$311="Win")*COUNTIFS('Match Log'!$A$4:$A$311,'Match Log'!$A$4:$A$311,'Match Log'!$D$4:$D$311,$A13,'Match Log'!$E$4:$E$311,"Loss"))),"0%")&amp;" of "&amp;(SUMPRODUCT(('Match Log'!$D$4:$D$311=$A13)*('Match Log'!$E$4:$E$311="Win")*COUNTIFS('Match Log'!$A$4:$A$311,'Match Log'!$A$4:$A$311,'Match Log'!$D$4:$D$311,B$4,'Match Log'!$E$4:$E$311,"Loss"))+SUMPRODUCT(('Match Log'!$D$4:$D$311=B$4)*('Match Log'!$E$4:$E$311="Win")*COUNTIFS('Match Log'!$A$4:$A$311,'Match Log'!$A$4:$A$311,'Match Log'!$D$4:$D$311,$A13,'Match Log'!$E$4:$E$311,"Loss")))))</f>
        <v>50% of 2</v>
      </c>
      <c r="C13" s="54" t="str">
        <f>IF($A13=C$4,"—",IF((SUMPRODUCT(('Match Log'!$D$4:$D$311=$A13)*('Match Log'!$E$4:$E$311="Win")*COUNTIFS('Match Log'!$A$4:$A$311,'Match Log'!$A$4:$A$311,'Match Log'!$D$4:$D$311,C$4,'Match Log'!$E$4:$E$311,"Loss"))+SUMPRODUCT(('Match Log'!$D$4:$D$311=C$4)*('Match Log'!$E$4:$E$311="Win")*COUNTIFS('Match Log'!$A$4:$A$311,'Match Log'!$A$4:$A$311,'Match Log'!$D$4:$D$311,$A13,'Match Log'!$E$4:$E$311,"Loss")))=0,"",TEXT(SUMPRODUCT(('Match Log'!$D$4:$D$311=$A13)*('Match Log'!$E$4:$E$311="Win")*COUNTIFS('Match Log'!$A$4:$A$311,'Match Log'!$A$4:$A$311,'Match Log'!$D$4:$D$311,C$4,'Match Log'!$E$4:$E$311,"Loss"))/(SUMPRODUCT(('Match Log'!$D$4:$D$311=$A13)*('Match Log'!$E$4:$E$311="Win")*COUNTIFS('Match Log'!$A$4:$A$311,'Match Log'!$A$4:$A$311,'Match Log'!$D$4:$D$311,C$4,'Match Log'!$E$4:$E$311,"Loss"))+SUMPRODUCT(('Match Log'!$D$4:$D$311=C$4)*('Match Log'!$E$4:$E$311="Win")*COUNTIFS('Match Log'!$A$4:$A$311,'Match Log'!$A$4:$A$311,'Match Log'!$D$4:$D$311,$A13,'Match Log'!$E$4:$E$311,"Loss"))),"0%")&amp;" of "&amp;(SUMPRODUCT(('Match Log'!$D$4:$D$311=$A13)*('Match Log'!$E$4:$E$311="Win")*COUNTIFS('Match Log'!$A$4:$A$311,'Match Log'!$A$4:$A$311,'Match Log'!$D$4:$D$311,C$4,'Match Log'!$E$4:$E$311,"Loss"))+SUMPRODUCT(('Match Log'!$D$4:$D$311=C$4)*('Match Log'!$E$4:$E$311="Win")*COUNTIFS('Match Log'!$A$4:$A$311,'Match Log'!$A$4:$A$311,'Match Log'!$D$4:$D$311,$A13,'Match Log'!$E$4:$E$311,"Loss")))))</f>
        <v>0% of 2</v>
      </c>
      <c r="D13" s="54" t="str">
        <f>IF($A13=D$4,"—",IF((SUMPRODUCT(('Match Log'!$D$4:$D$311=$A13)*('Match Log'!$E$4:$E$311="Win")*COUNTIFS('Match Log'!$A$4:$A$311,'Match Log'!$A$4:$A$311,'Match Log'!$D$4:$D$311,D$4,'Match Log'!$E$4:$E$311,"Loss"))+SUMPRODUCT(('Match Log'!$D$4:$D$311=D$4)*('Match Log'!$E$4:$E$311="Win")*COUNTIFS('Match Log'!$A$4:$A$311,'Match Log'!$A$4:$A$311,'Match Log'!$D$4:$D$311,$A13,'Match Log'!$E$4:$E$311,"Loss")))=0,"",TEXT(SUMPRODUCT(('Match Log'!$D$4:$D$311=$A13)*('Match Log'!$E$4:$E$311="Win")*COUNTIFS('Match Log'!$A$4:$A$311,'Match Log'!$A$4:$A$311,'Match Log'!$D$4:$D$311,D$4,'Match Log'!$E$4:$E$311,"Loss"))/(SUMPRODUCT(('Match Log'!$D$4:$D$311=$A13)*('Match Log'!$E$4:$E$311="Win")*COUNTIFS('Match Log'!$A$4:$A$311,'Match Log'!$A$4:$A$311,'Match Log'!$D$4:$D$311,D$4,'Match Log'!$E$4:$E$311,"Loss"))+SUMPRODUCT(('Match Log'!$D$4:$D$311=D$4)*('Match Log'!$E$4:$E$311="Win")*COUNTIFS('Match Log'!$A$4:$A$311,'Match Log'!$A$4:$A$311,'Match Log'!$D$4:$D$311,$A13,'Match Log'!$E$4:$E$311,"Loss"))),"0%")&amp;" of "&amp;(SUMPRODUCT(('Match Log'!$D$4:$D$311=$A13)*('Match Log'!$E$4:$E$311="Win")*COUNTIFS('Match Log'!$A$4:$A$311,'Match Log'!$A$4:$A$311,'Match Log'!$D$4:$D$311,D$4,'Match Log'!$E$4:$E$311,"Loss"))+SUMPRODUCT(('Match Log'!$D$4:$D$311=D$4)*('Match Log'!$E$4:$E$311="Win")*COUNTIFS('Match Log'!$A$4:$A$311,'Match Log'!$A$4:$A$311,'Match Log'!$D$4:$D$311,$A13,'Match Log'!$E$4:$E$311,"Loss")))))</f>
        <v/>
      </c>
      <c r="E13" s="54" t="str">
        <f>IF($A13=E$4,"—",IF((SUMPRODUCT(('Match Log'!$D$4:$D$311=$A13)*('Match Log'!$E$4:$E$311="Win")*COUNTIFS('Match Log'!$A$4:$A$311,'Match Log'!$A$4:$A$311,'Match Log'!$D$4:$D$311,E$4,'Match Log'!$E$4:$E$311,"Loss"))+SUMPRODUCT(('Match Log'!$D$4:$D$311=E$4)*('Match Log'!$E$4:$E$311="Win")*COUNTIFS('Match Log'!$A$4:$A$311,'Match Log'!$A$4:$A$311,'Match Log'!$D$4:$D$311,$A13,'Match Log'!$E$4:$E$311,"Loss")))=0,"",TEXT(SUMPRODUCT(('Match Log'!$D$4:$D$311=$A13)*('Match Log'!$E$4:$E$311="Win")*COUNTIFS('Match Log'!$A$4:$A$311,'Match Log'!$A$4:$A$311,'Match Log'!$D$4:$D$311,E$4,'Match Log'!$E$4:$E$311,"Loss"))/(SUMPRODUCT(('Match Log'!$D$4:$D$311=$A13)*('Match Log'!$E$4:$E$311="Win")*COUNTIFS('Match Log'!$A$4:$A$311,'Match Log'!$A$4:$A$311,'Match Log'!$D$4:$D$311,E$4,'Match Log'!$E$4:$E$311,"Loss"))+SUMPRODUCT(('Match Log'!$D$4:$D$311=E$4)*('Match Log'!$E$4:$E$311="Win")*COUNTIFS('Match Log'!$A$4:$A$311,'Match Log'!$A$4:$A$311,'Match Log'!$D$4:$D$311,$A13,'Match Log'!$E$4:$E$311,"Loss"))),"0%")&amp;" of "&amp;(SUMPRODUCT(('Match Log'!$D$4:$D$311=$A13)*('Match Log'!$E$4:$E$311="Win")*COUNTIFS('Match Log'!$A$4:$A$311,'Match Log'!$A$4:$A$311,'Match Log'!$D$4:$D$311,E$4,'Match Log'!$E$4:$E$311,"Loss"))+SUMPRODUCT(('Match Log'!$D$4:$D$311=E$4)*('Match Log'!$E$4:$E$311="Win")*COUNTIFS('Match Log'!$A$4:$A$311,'Match Log'!$A$4:$A$311,'Match Log'!$D$4:$D$311,$A13,'Match Log'!$E$4:$E$311,"Loss")))))</f>
        <v>100% of 3</v>
      </c>
      <c r="F13" s="54" t="str">
        <f>IF($A13=F$4,"—",IF((SUMPRODUCT(('Match Log'!$D$4:$D$311=$A13)*('Match Log'!$E$4:$E$311="Win")*COUNTIFS('Match Log'!$A$4:$A$311,'Match Log'!$A$4:$A$311,'Match Log'!$D$4:$D$311,F$4,'Match Log'!$E$4:$E$311,"Loss"))+SUMPRODUCT(('Match Log'!$D$4:$D$311=F$4)*('Match Log'!$E$4:$E$311="Win")*COUNTIFS('Match Log'!$A$4:$A$311,'Match Log'!$A$4:$A$311,'Match Log'!$D$4:$D$311,$A13,'Match Log'!$E$4:$E$311,"Loss")))=0,"",TEXT(SUMPRODUCT(('Match Log'!$D$4:$D$311=$A13)*('Match Log'!$E$4:$E$311="Win")*COUNTIFS('Match Log'!$A$4:$A$311,'Match Log'!$A$4:$A$311,'Match Log'!$D$4:$D$311,F$4,'Match Log'!$E$4:$E$311,"Loss"))/(SUMPRODUCT(('Match Log'!$D$4:$D$311=$A13)*('Match Log'!$E$4:$E$311="Win")*COUNTIFS('Match Log'!$A$4:$A$311,'Match Log'!$A$4:$A$311,'Match Log'!$D$4:$D$311,F$4,'Match Log'!$E$4:$E$311,"Loss"))+SUMPRODUCT(('Match Log'!$D$4:$D$311=F$4)*('Match Log'!$E$4:$E$311="Win")*COUNTIFS('Match Log'!$A$4:$A$311,'Match Log'!$A$4:$A$311,'Match Log'!$D$4:$D$311,$A13,'Match Log'!$E$4:$E$311,"Loss"))),"0%")&amp;" of "&amp;(SUMPRODUCT(('Match Log'!$D$4:$D$311=$A13)*('Match Log'!$E$4:$E$311="Win")*COUNTIFS('Match Log'!$A$4:$A$311,'Match Log'!$A$4:$A$311,'Match Log'!$D$4:$D$311,F$4,'Match Log'!$E$4:$E$311,"Loss"))+SUMPRODUCT(('Match Log'!$D$4:$D$311=F$4)*('Match Log'!$E$4:$E$311="Win")*COUNTIFS('Match Log'!$A$4:$A$311,'Match Log'!$A$4:$A$311,'Match Log'!$D$4:$D$311,$A13,'Match Log'!$E$4:$E$311,"Loss")))))</f>
        <v>60% of 5</v>
      </c>
      <c r="G13" s="54" t="str">
        <f>IF($A13=G$4,"—",IF((SUMPRODUCT(('Match Log'!$D$4:$D$311=$A13)*('Match Log'!$E$4:$E$311="Win")*COUNTIFS('Match Log'!$A$4:$A$311,'Match Log'!$A$4:$A$311,'Match Log'!$D$4:$D$311,G$4,'Match Log'!$E$4:$E$311,"Loss"))+SUMPRODUCT(('Match Log'!$D$4:$D$311=G$4)*('Match Log'!$E$4:$E$311="Win")*COUNTIFS('Match Log'!$A$4:$A$311,'Match Log'!$A$4:$A$311,'Match Log'!$D$4:$D$311,$A13,'Match Log'!$E$4:$E$311,"Loss")))=0,"",TEXT(SUMPRODUCT(('Match Log'!$D$4:$D$311=$A13)*('Match Log'!$E$4:$E$311="Win")*COUNTIFS('Match Log'!$A$4:$A$311,'Match Log'!$A$4:$A$311,'Match Log'!$D$4:$D$311,G$4,'Match Log'!$E$4:$E$311,"Loss"))/(SUMPRODUCT(('Match Log'!$D$4:$D$311=$A13)*('Match Log'!$E$4:$E$311="Win")*COUNTIFS('Match Log'!$A$4:$A$311,'Match Log'!$A$4:$A$311,'Match Log'!$D$4:$D$311,G$4,'Match Log'!$E$4:$E$311,"Loss"))+SUMPRODUCT(('Match Log'!$D$4:$D$311=G$4)*('Match Log'!$E$4:$E$311="Win")*COUNTIFS('Match Log'!$A$4:$A$311,'Match Log'!$A$4:$A$311,'Match Log'!$D$4:$D$311,$A13,'Match Log'!$E$4:$E$311,"Loss"))),"0%")&amp;" of "&amp;(SUMPRODUCT(('Match Log'!$D$4:$D$311=$A13)*('Match Log'!$E$4:$E$311="Win")*COUNTIFS('Match Log'!$A$4:$A$311,'Match Log'!$A$4:$A$311,'Match Log'!$D$4:$D$311,G$4,'Match Log'!$E$4:$E$311,"Loss"))+SUMPRODUCT(('Match Log'!$D$4:$D$311=G$4)*('Match Log'!$E$4:$E$311="Win")*COUNTIFS('Match Log'!$A$4:$A$311,'Match Log'!$A$4:$A$311,'Match Log'!$D$4:$D$311,$A13,'Match Log'!$E$4:$E$311,"Loss")))))</f>
        <v>67% of 3</v>
      </c>
      <c r="H13" s="54" t="str">
        <f>IF($A13=H$4,"—",IF((SUMPRODUCT(('Match Log'!$D$4:$D$311=$A13)*('Match Log'!$E$4:$E$311="Win")*COUNTIFS('Match Log'!$A$4:$A$311,'Match Log'!$A$4:$A$311,'Match Log'!$D$4:$D$311,H$4,'Match Log'!$E$4:$E$311,"Loss"))+SUMPRODUCT(('Match Log'!$D$4:$D$311=H$4)*('Match Log'!$E$4:$E$311="Win")*COUNTIFS('Match Log'!$A$4:$A$311,'Match Log'!$A$4:$A$311,'Match Log'!$D$4:$D$311,$A13,'Match Log'!$E$4:$E$311,"Loss")))=0,"",TEXT(SUMPRODUCT(('Match Log'!$D$4:$D$311=$A13)*('Match Log'!$E$4:$E$311="Win")*COUNTIFS('Match Log'!$A$4:$A$311,'Match Log'!$A$4:$A$311,'Match Log'!$D$4:$D$311,H$4,'Match Log'!$E$4:$E$311,"Loss"))/(SUMPRODUCT(('Match Log'!$D$4:$D$311=$A13)*('Match Log'!$E$4:$E$311="Win")*COUNTIFS('Match Log'!$A$4:$A$311,'Match Log'!$A$4:$A$311,'Match Log'!$D$4:$D$311,H$4,'Match Log'!$E$4:$E$311,"Loss"))+SUMPRODUCT(('Match Log'!$D$4:$D$311=H$4)*('Match Log'!$E$4:$E$311="Win")*COUNTIFS('Match Log'!$A$4:$A$311,'Match Log'!$A$4:$A$311,'Match Log'!$D$4:$D$311,$A13,'Match Log'!$E$4:$E$311,"Loss"))),"0%")&amp;" of "&amp;(SUMPRODUCT(('Match Log'!$D$4:$D$311=$A13)*('Match Log'!$E$4:$E$311="Win")*COUNTIFS('Match Log'!$A$4:$A$311,'Match Log'!$A$4:$A$311,'Match Log'!$D$4:$D$311,H$4,'Match Log'!$E$4:$E$311,"Loss"))+SUMPRODUCT(('Match Log'!$D$4:$D$311=H$4)*('Match Log'!$E$4:$E$311="Win")*COUNTIFS('Match Log'!$A$4:$A$311,'Match Log'!$A$4:$A$311,'Match Log'!$D$4:$D$311,$A13,'Match Log'!$E$4:$E$311,"Loss")))))</f>
        <v>0% of 2</v>
      </c>
      <c r="I13" s="54" t="str">
        <f>IF($A13=I$4,"—",IF((SUMPRODUCT(('Match Log'!$D$4:$D$311=$A13)*('Match Log'!$E$4:$E$311="Win")*COUNTIFS('Match Log'!$A$4:$A$311,'Match Log'!$A$4:$A$311,'Match Log'!$D$4:$D$311,I$4,'Match Log'!$E$4:$E$311,"Loss"))+SUMPRODUCT(('Match Log'!$D$4:$D$311=I$4)*('Match Log'!$E$4:$E$311="Win")*COUNTIFS('Match Log'!$A$4:$A$311,'Match Log'!$A$4:$A$311,'Match Log'!$D$4:$D$311,$A13,'Match Log'!$E$4:$E$311,"Loss")))=0,"",TEXT(SUMPRODUCT(('Match Log'!$D$4:$D$311=$A13)*('Match Log'!$E$4:$E$311="Win")*COUNTIFS('Match Log'!$A$4:$A$311,'Match Log'!$A$4:$A$311,'Match Log'!$D$4:$D$311,I$4,'Match Log'!$E$4:$E$311,"Loss"))/(SUMPRODUCT(('Match Log'!$D$4:$D$311=$A13)*('Match Log'!$E$4:$E$311="Win")*COUNTIFS('Match Log'!$A$4:$A$311,'Match Log'!$A$4:$A$311,'Match Log'!$D$4:$D$311,I$4,'Match Log'!$E$4:$E$311,"Loss"))+SUMPRODUCT(('Match Log'!$D$4:$D$311=I$4)*('Match Log'!$E$4:$E$311="Win")*COUNTIFS('Match Log'!$A$4:$A$311,'Match Log'!$A$4:$A$311,'Match Log'!$D$4:$D$311,$A13,'Match Log'!$E$4:$E$311,"Loss"))),"0%")&amp;" of "&amp;(SUMPRODUCT(('Match Log'!$D$4:$D$311=$A13)*('Match Log'!$E$4:$E$311="Win")*COUNTIFS('Match Log'!$A$4:$A$311,'Match Log'!$A$4:$A$311,'Match Log'!$D$4:$D$311,I$4,'Match Log'!$E$4:$E$311,"Loss"))+SUMPRODUCT(('Match Log'!$D$4:$D$311=I$4)*('Match Log'!$E$4:$E$311="Win")*COUNTIFS('Match Log'!$A$4:$A$311,'Match Log'!$A$4:$A$311,'Match Log'!$D$4:$D$311,$A13,'Match Log'!$E$4:$E$311,"Loss")))))</f>
        <v>75% of 4</v>
      </c>
      <c r="J13" s="54" t="str">
        <f>IF($A13=J$4,"—",IF((SUMPRODUCT(('Match Log'!$D$4:$D$311=$A13)*('Match Log'!$E$4:$E$311="Win")*COUNTIFS('Match Log'!$A$4:$A$311,'Match Log'!$A$4:$A$311,'Match Log'!$D$4:$D$311,J$4,'Match Log'!$E$4:$E$311,"Loss"))+SUMPRODUCT(('Match Log'!$D$4:$D$311=J$4)*('Match Log'!$E$4:$E$311="Win")*COUNTIFS('Match Log'!$A$4:$A$311,'Match Log'!$A$4:$A$311,'Match Log'!$D$4:$D$311,$A13,'Match Log'!$E$4:$E$311,"Loss")))=0,"",TEXT(SUMPRODUCT(('Match Log'!$D$4:$D$311=$A13)*('Match Log'!$E$4:$E$311="Win")*COUNTIFS('Match Log'!$A$4:$A$311,'Match Log'!$A$4:$A$311,'Match Log'!$D$4:$D$311,J$4,'Match Log'!$E$4:$E$311,"Loss"))/(SUMPRODUCT(('Match Log'!$D$4:$D$311=$A13)*('Match Log'!$E$4:$E$311="Win")*COUNTIFS('Match Log'!$A$4:$A$311,'Match Log'!$A$4:$A$311,'Match Log'!$D$4:$D$311,J$4,'Match Log'!$E$4:$E$311,"Loss"))+SUMPRODUCT(('Match Log'!$D$4:$D$311=J$4)*('Match Log'!$E$4:$E$311="Win")*COUNTIFS('Match Log'!$A$4:$A$311,'Match Log'!$A$4:$A$311,'Match Log'!$D$4:$D$311,$A13,'Match Log'!$E$4:$E$311,"Loss"))),"0%")&amp;" of "&amp;(SUMPRODUCT(('Match Log'!$D$4:$D$311=$A13)*('Match Log'!$E$4:$E$311="Win")*COUNTIFS('Match Log'!$A$4:$A$311,'Match Log'!$A$4:$A$311,'Match Log'!$D$4:$D$311,J$4,'Match Log'!$E$4:$E$311,"Loss"))+SUMPRODUCT(('Match Log'!$D$4:$D$311=J$4)*('Match Log'!$E$4:$E$311="Win")*COUNTIFS('Match Log'!$A$4:$A$311,'Match Log'!$A$4:$A$311,'Match Log'!$D$4:$D$311,$A13,'Match Log'!$E$4:$E$311,"Loss")))))</f>
        <v>—</v>
      </c>
      <c r="K13" s="54" t="str">
        <f>IF($A13=K$4,"—",IF((SUMPRODUCT(('Match Log'!$D$4:$D$311=$A13)*('Match Log'!$E$4:$E$311="Win")*COUNTIFS('Match Log'!$A$4:$A$311,'Match Log'!$A$4:$A$311,'Match Log'!$D$4:$D$311,K$4,'Match Log'!$E$4:$E$311,"Loss"))+SUMPRODUCT(('Match Log'!$D$4:$D$311=K$4)*('Match Log'!$E$4:$E$311="Win")*COUNTIFS('Match Log'!$A$4:$A$311,'Match Log'!$A$4:$A$311,'Match Log'!$D$4:$D$311,$A13,'Match Log'!$E$4:$E$311,"Loss")))=0,"",TEXT(SUMPRODUCT(('Match Log'!$D$4:$D$311=$A13)*('Match Log'!$E$4:$E$311="Win")*COUNTIFS('Match Log'!$A$4:$A$311,'Match Log'!$A$4:$A$311,'Match Log'!$D$4:$D$311,K$4,'Match Log'!$E$4:$E$311,"Loss"))/(SUMPRODUCT(('Match Log'!$D$4:$D$311=$A13)*('Match Log'!$E$4:$E$311="Win")*COUNTIFS('Match Log'!$A$4:$A$311,'Match Log'!$A$4:$A$311,'Match Log'!$D$4:$D$311,K$4,'Match Log'!$E$4:$E$311,"Loss"))+SUMPRODUCT(('Match Log'!$D$4:$D$311=K$4)*('Match Log'!$E$4:$E$311="Win")*COUNTIFS('Match Log'!$A$4:$A$311,'Match Log'!$A$4:$A$311,'Match Log'!$D$4:$D$311,$A13,'Match Log'!$E$4:$E$311,"Loss"))),"0%")&amp;" of "&amp;(SUMPRODUCT(('Match Log'!$D$4:$D$311=$A13)*('Match Log'!$E$4:$E$311="Win")*COUNTIFS('Match Log'!$A$4:$A$311,'Match Log'!$A$4:$A$311,'Match Log'!$D$4:$D$311,K$4,'Match Log'!$E$4:$E$311,"Loss"))+SUMPRODUCT(('Match Log'!$D$4:$D$311=K$4)*('Match Log'!$E$4:$E$311="Win")*COUNTIFS('Match Log'!$A$4:$A$311,'Match Log'!$A$4:$A$311,'Match Log'!$D$4:$D$311,$A13,'Match Log'!$E$4:$E$311,"Loss")))))</f>
        <v>100% of 1</v>
      </c>
      <c r="L13" s="54" t="str">
        <f>IF($A13=L$4,"—",IF((SUMPRODUCT(('Match Log'!$D$4:$D$311=$A13)*('Match Log'!$E$4:$E$311="Win")*COUNTIFS('Match Log'!$A$4:$A$311,'Match Log'!$A$4:$A$311,'Match Log'!$D$4:$D$311,L$4,'Match Log'!$E$4:$E$311,"Loss"))+SUMPRODUCT(('Match Log'!$D$4:$D$311=L$4)*('Match Log'!$E$4:$E$311="Win")*COUNTIFS('Match Log'!$A$4:$A$311,'Match Log'!$A$4:$A$311,'Match Log'!$D$4:$D$311,$A13,'Match Log'!$E$4:$E$311,"Loss")))=0,"",TEXT(SUMPRODUCT(('Match Log'!$D$4:$D$311=$A13)*('Match Log'!$E$4:$E$311="Win")*COUNTIFS('Match Log'!$A$4:$A$311,'Match Log'!$A$4:$A$311,'Match Log'!$D$4:$D$311,L$4,'Match Log'!$E$4:$E$311,"Loss"))/(SUMPRODUCT(('Match Log'!$D$4:$D$311=$A13)*('Match Log'!$E$4:$E$311="Win")*COUNTIFS('Match Log'!$A$4:$A$311,'Match Log'!$A$4:$A$311,'Match Log'!$D$4:$D$311,L$4,'Match Log'!$E$4:$E$311,"Loss"))+SUMPRODUCT(('Match Log'!$D$4:$D$311=L$4)*('Match Log'!$E$4:$E$311="Win")*COUNTIFS('Match Log'!$A$4:$A$311,'Match Log'!$A$4:$A$311,'Match Log'!$D$4:$D$311,$A13,'Match Log'!$E$4:$E$311,"Loss"))),"0%")&amp;" of "&amp;(SUMPRODUCT(('Match Log'!$D$4:$D$311=$A13)*('Match Log'!$E$4:$E$311="Win")*COUNTIFS('Match Log'!$A$4:$A$311,'Match Log'!$A$4:$A$311,'Match Log'!$D$4:$D$311,L$4,'Match Log'!$E$4:$E$311,"Loss"))+SUMPRODUCT(('Match Log'!$D$4:$D$311=L$4)*('Match Log'!$E$4:$E$311="Win")*COUNTIFS('Match Log'!$A$4:$A$311,'Match Log'!$A$4:$A$311,'Match Log'!$D$4:$D$311,$A13,'Match Log'!$E$4:$E$311,"Loss")))))</f>
        <v>83% of 6</v>
      </c>
      <c r="M13" s="54" t="str">
        <f>IF($A13=M$4,"—",IF((SUMPRODUCT(('Match Log'!$D$4:$D$311=$A13)*('Match Log'!$E$4:$E$311="Win")*COUNTIFS('Match Log'!$A$4:$A$311,'Match Log'!$A$4:$A$311,'Match Log'!$D$4:$D$311,M$4,'Match Log'!$E$4:$E$311,"Loss"))+SUMPRODUCT(('Match Log'!$D$4:$D$311=M$4)*('Match Log'!$E$4:$E$311="Win")*COUNTIFS('Match Log'!$A$4:$A$311,'Match Log'!$A$4:$A$311,'Match Log'!$D$4:$D$311,$A13,'Match Log'!$E$4:$E$311,"Loss")))=0,"",TEXT(SUMPRODUCT(('Match Log'!$D$4:$D$311=$A13)*('Match Log'!$E$4:$E$311="Win")*COUNTIFS('Match Log'!$A$4:$A$311,'Match Log'!$A$4:$A$311,'Match Log'!$D$4:$D$311,M$4,'Match Log'!$E$4:$E$311,"Loss"))/(SUMPRODUCT(('Match Log'!$D$4:$D$311=$A13)*('Match Log'!$E$4:$E$311="Win")*COUNTIFS('Match Log'!$A$4:$A$311,'Match Log'!$A$4:$A$311,'Match Log'!$D$4:$D$311,M$4,'Match Log'!$E$4:$E$311,"Loss"))+SUMPRODUCT(('Match Log'!$D$4:$D$311=M$4)*('Match Log'!$E$4:$E$311="Win")*COUNTIFS('Match Log'!$A$4:$A$311,'Match Log'!$A$4:$A$311,'Match Log'!$D$4:$D$311,$A13,'Match Log'!$E$4:$E$311,"Loss"))),"0%")&amp;" of "&amp;(SUMPRODUCT(('Match Log'!$D$4:$D$311=$A13)*('Match Log'!$E$4:$E$311="Win")*COUNTIFS('Match Log'!$A$4:$A$311,'Match Log'!$A$4:$A$311,'Match Log'!$D$4:$D$311,M$4,'Match Log'!$E$4:$E$311,"Loss"))+SUMPRODUCT(('Match Log'!$D$4:$D$311=M$4)*('Match Log'!$E$4:$E$311="Win")*COUNTIFS('Match Log'!$A$4:$A$311,'Match Log'!$A$4:$A$311,'Match Log'!$D$4:$D$311,$A13,'Match Log'!$E$4:$E$311,"Loss")))))</f>
        <v>100% of 2</v>
      </c>
      <c r="N13" s="54" t="str">
        <f>IF($A13=N$4,"—",IF((SUMPRODUCT(('Match Log'!$D$4:$D$311=$A13)*('Match Log'!$E$4:$E$311="Win")*COUNTIFS('Match Log'!$A$4:$A$311,'Match Log'!$A$4:$A$311,'Match Log'!$D$4:$D$311,N$4,'Match Log'!$E$4:$E$311,"Loss"))+SUMPRODUCT(('Match Log'!$D$4:$D$311=N$4)*('Match Log'!$E$4:$E$311="Win")*COUNTIFS('Match Log'!$A$4:$A$311,'Match Log'!$A$4:$A$311,'Match Log'!$D$4:$D$311,$A13,'Match Log'!$E$4:$E$311,"Loss")))=0,"",TEXT(SUMPRODUCT(('Match Log'!$D$4:$D$311=$A13)*('Match Log'!$E$4:$E$311="Win")*COUNTIFS('Match Log'!$A$4:$A$311,'Match Log'!$A$4:$A$311,'Match Log'!$D$4:$D$311,N$4,'Match Log'!$E$4:$E$311,"Loss"))/(SUMPRODUCT(('Match Log'!$D$4:$D$311=$A13)*('Match Log'!$E$4:$E$311="Win")*COUNTIFS('Match Log'!$A$4:$A$311,'Match Log'!$A$4:$A$311,'Match Log'!$D$4:$D$311,N$4,'Match Log'!$E$4:$E$311,"Loss"))+SUMPRODUCT(('Match Log'!$D$4:$D$311=N$4)*('Match Log'!$E$4:$E$311="Win")*COUNTIFS('Match Log'!$A$4:$A$311,'Match Log'!$A$4:$A$311,'Match Log'!$D$4:$D$311,$A13,'Match Log'!$E$4:$E$311,"Loss"))),"0%")&amp;" of "&amp;(SUMPRODUCT(('Match Log'!$D$4:$D$311=$A13)*('Match Log'!$E$4:$E$311="Win")*COUNTIFS('Match Log'!$A$4:$A$311,'Match Log'!$A$4:$A$311,'Match Log'!$D$4:$D$311,N$4,'Match Log'!$E$4:$E$311,"Loss"))+SUMPRODUCT(('Match Log'!$D$4:$D$311=N$4)*('Match Log'!$E$4:$E$311="Win")*COUNTIFS('Match Log'!$A$4:$A$311,'Match Log'!$A$4:$A$311,'Match Log'!$D$4:$D$311,$A13,'Match Log'!$E$4:$E$311,"Loss")))))</f>
        <v>0% of 1</v>
      </c>
      <c r="O13" s="54" t="str">
        <f>IF($A13=O$4,"—",IF((SUMPRODUCT(('Match Log'!$D$4:$D$311=$A13)*('Match Log'!$E$4:$E$311="Win")*COUNTIFS('Match Log'!$A$4:$A$311,'Match Log'!$A$4:$A$311,'Match Log'!$D$4:$D$311,O$4,'Match Log'!$E$4:$E$311,"Loss"))+SUMPRODUCT(('Match Log'!$D$4:$D$311=O$4)*('Match Log'!$E$4:$E$311="Win")*COUNTIFS('Match Log'!$A$4:$A$311,'Match Log'!$A$4:$A$311,'Match Log'!$D$4:$D$311,$A13,'Match Log'!$E$4:$E$311,"Loss")))=0,"",TEXT(SUMPRODUCT(('Match Log'!$D$4:$D$311=$A13)*('Match Log'!$E$4:$E$311="Win")*COUNTIFS('Match Log'!$A$4:$A$311,'Match Log'!$A$4:$A$311,'Match Log'!$D$4:$D$311,O$4,'Match Log'!$E$4:$E$311,"Loss"))/(SUMPRODUCT(('Match Log'!$D$4:$D$311=$A13)*('Match Log'!$E$4:$E$311="Win")*COUNTIFS('Match Log'!$A$4:$A$311,'Match Log'!$A$4:$A$311,'Match Log'!$D$4:$D$311,O$4,'Match Log'!$E$4:$E$311,"Loss"))+SUMPRODUCT(('Match Log'!$D$4:$D$311=O$4)*('Match Log'!$E$4:$E$311="Win")*COUNTIFS('Match Log'!$A$4:$A$311,'Match Log'!$A$4:$A$311,'Match Log'!$D$4:$D$311,$A13,'Match Log'!$E$4:$E$311,"Loss"))),"0%")&amp;" of "&amp;(SUMPRODUCT(('Match Log'!$D$4:$D$311=$A13)*('Match Log'!$E$4:$E$311="Win")*COUNTIFS('Match Log'!$A$4:$A$311,'Match Log'!$A$4:$A$311,'Match Log'!$D$4:$D$311,O$4,'Match Log'!$E$4:$E$311,"Loss"))+SUMPRODUCT(('Match Log'!$D$4:$D$311=O$4)*('Match Log'!$E$4:$E$311="Win")*COUNTIFS('Match Log'!$A$4:$A$311,'Match Log'!$A$4:$A$311,'Match Log'!$D$4:$D$311,$A13,'Match Log'!$E$4:$E$311,"Loss")))))</f>
        <v/>
      </c>
    </row>
    <row r="14" spans="1:15" ht="15" customHeight="1" x14ac:dyDescent="0.2">
      <c r="A14" s="49" t="s">
        <v>182</v>
      </c>
      <c r="B14" s="54" t="str">
        <f>IF($A14=B$4,"—",IF((SUMPRODUCT(('Match Log'!$D$4:$D$311=$A14)*('Match Log'!$E$4:$E$311="Win")*COUNTIFS('Match Log'!$A$4:$A$311,'Match Log'!$A$4:$A$311,'Match Log'!$D$4:$D$311,B$4,'Match Log'!$E$4:$E$311,"Loss"))+SUMPRODUCT(('Match Log'!$D$4:$D$311=B$4)*('Match Log'!$E$4:$E$311="Win")*COUNTIFS('Match Log'!$A$4:$A$311,'Match Log'!$A$4:$A$311,'Match Log'!$D$4:$D$311,$A14,'Match Log'!$E$4:$E$311,"Loss")))=0,"",TEXT(SUMPRODUCT(('Match Log'!$D$4:$D$311=$A14)*('Match Log'!$E$4:$E$311="Win")*COUNTIFS('Match Log'!$A$4:$A$311,'Match Log'!$A$4:$A$311,'Match Log'!$D$4:$D$311,B$4,'Match Log'!$E$4:$E$311,"Loss"))/(SUMPRODUCT(('Match Log'!$D$4:$D$311=$A14)*('Match Log'!$E$4:$E$311="Win")*COUNTIFS('Match Log'!$A$4:$A$311,'Match Log'!$A$4:$A$311,'Match Log'!$D$4:$D$311,B$4,'Match Log'!$E$4:$E$311,"Loss"))+SUMPRODUCT(('Match Log'!$D$4:$D$311=B$4)*('Match Log'!$E$4:$E$311="Win")*COUNTIFS('Match Log'!$A$4:$A$311,'Match Log'!$A$4:$A$311,'Match Log'!$D$4:$D$311,$A14,'Match Log'!$E$4:$E$311,"Loss"))),"0%")&amp;" of "&amp;(SUMPRODUCT(('Match Log'!$D$4:$D$311=$A14)*('Match Log'!$E$4:$E$311="Win")*COUNTIFS('Match Log'!$A$4:$A$311,'Match Log'!$A$4:$A$311,'Match Log'!$D$4:$D$311,B$4,'Match Log'!$E$4:$E$311,"Loss"))+SUMPRODUCT(('Match Log'!$D$4:$D$311=B$4)*('Match Log'!$E$4:$E$311="Win")*COUNTIFS('Match Log'!$A$4:$A$311,'Match Log'!$A$4:$A$311,'Match Log'!$D$4:$D$311,$A14,'Match Log'!$E$4:$E$311,"Loss")))))</f>
        <v/>
      </c>
      <c r="C14" s="54" t="str">
        <f>IF($A14=C$4,"—",IF((SUMPRODUCT(('Match Log'!$D$4:$D$311=$A14)*('Match Log'!$E$4:$E$311="Win")*COUNTIFS('Match Log'!$A$4:$A$311,'Match Log'!$A$4:$A$311,'Match Log'!$D$4:$D$311,C$4,'Match Log'!$E$4:$E$311,"Loss"))+SUMPRODUCT(('Match Log'!$D$4:$D$311=C$4)*('Match Log'!$E$4:$E$311="Win")*COUNTIFS('Match Log'!$A$4:$A$311,'Match Log'!$A$4:$A$311,'Match Log'!$D$4:$D$311,$A14,'Match Log'!$E$4:$E$311,"Loss")))=0,"",TEXT(SUMPRODUCT(('Match Log'!$D$4:$D$311=$A14)*('Match Log'!$E$4:$E$311="Win")*COUNTIFS('Match Log'!$A$4:$A$311,'Match Log'!$A$4:$A$311,'Match Log'!$D$4:$D$311,C$4,'Match Log'!$E$4:$E$311,"Loss"))/(SUMPRODUCT(('Match Log'!$D$4:$D$311=$A14)*('Match Log'!$E$4:$E$311="Win")*COUNTIFS('Match Log'!$A$4:$A$311,'Match Log'!$A$4:$A$311,'Match Log'!$D$4:$D$311,C$4,'Match Log'!$E$4:$E$311,"Loss"))+SUMPRODUCT(('Match Log'!$D$4:$D$311=C$4)*('Match Log'!$E$4:$E$311="Win")*COUNTIFS('Match Log'!$A$4:$A$311,'Match Log'!$A$4:$A$311,'Match Log'!$D$4:$D$311,$A14,'Match Log'!$E$4:$E$311,"Loss"))),"0%")&amp;" of "&amp;(SUMPRODUCT(('Match Log'!$D$4:$D$311=$A14)*('Match Log'!$E$4:$E$311="Win")*COUNTIFS('Match Log'!$A$4:$A$311,'Match Log'!$A$4:$A$311,'Match Log'!$D$4:$D$311,C$4,'Match Log'!$E$4:$E$311,"Loss"))+SUMPRODUCT(('Match Log'!$D$4:$D$311=C$4)*('Match Log'!$E$4:$E$311="Win")*COUNTIFS('Match Log'!$A$4:$A$311,'Match Log'!$A$4:$A$311,'Match Log'!$D$4:$D$311,$A14,'Match Log'!$E$4:$E$311,"Loss")))))</f>
        <v>0% of 1</v>
      </c>
      <c r="D14" s="54" t="str">
        <f>IF($A14=D$4,"—",IF((SUMPRODUCT(('Match Log'!$D$4:$D$311=$A14)*('Match Log'!$E$4:$E$311="Win")*COUNTIFS('Match Log'!$A$4:$A$311,'Match Log'!$A$4:$A$311,'Match Log'!$D$4:$D$311,D$4,'Match Log'!$E$4:$E$311,"Loss"))+SUMPRODUCT(('Match Log'!$D$4:$D$311=D$4)*('Match Log'!$E$4:$E$311="Win")*COUNTIFS('Match Log'!$A$4:$A$311,'Match Log'!$A$4:$A$311,'Match Log'!$D$4:$D$311,$A14,'Match Log'!$E$4:$E$311,"Loss")))=0,"",TEXT(SUMPRODUCT(('Match Log'!$D$4:$D$311=$A14)*('Match Log'!$E$4:$E$311="Win")*COUNTIFS('Match Log'!$A$4:$A$311,'Match Log'!$A$4:$A$311,'Match Log'!$D$4:$D$311,D$4,'Match Log'!$E$4:$E$311,"Loss"))/(SUMPRODUCT(('Match Log'!$D$4:$D$311=$A14)*('Match Log'!$E$4:$E$311="Win")*COUNTIFS('Match Log'!$A$4:$A$311,'Match Log'!$A$4:$A$311,'Match Log'!$D$4:$D$311,D$4,'Match Log'!$E$4:$E$311,"Loss"))+SUMPRODUCT(('Match Log'!$D$4:$D$311=D$4)*('Match Log'!$E$4:$E$311="Win")*COUNTIFS('Match Log'!$A$4:$A$311,'Match Log'!$A$4:$A$311,'Match Log'!$D$4:$D$311,$A14,'Match Log'!$E$4:$E$311,"Loss"))),"0%")&amp;" of "&amp;(SUMPRODUCT(('Match Log'!$D$4:$D$311=$A14)*('Match Log'!$E$4:$E$311="Win")*COUNTIFS('Match Log'!$A$4:$A$311,'Match Log'!$A$4:$A$311,'Match Log'!$D$4:$D$311,D$4,'Match Log'!$E$4:$E$311,"Loss"))+SUMPRODUCT(('Match Log'!$D$4:$D$311=D$4)*('Match Log'!$E$4:$E$311="Win")*COUNTIFS('Match Log'!$A$4:$A$311,'Match Log'!$A$4:$A$311,'Match Log'!$D$4:$D$311,$A14,'Match Log'!$E$4:$E$311,"Loss")))))</f>
        <v>0% of 1</v>
      </c>
      <c r="E14" s="54" t="str">
        <f>IF($A14=E$4,"—",IF((SUMPRODUCT(('Match Log'!$D$4:$D$311=$A14)*('Match Log'!$E$4:$E$311="Win")*COUNTIFS('Match Log'!$A$4:$A$311,'Match Log'!$A$4:$A$311,'Match Log'!$D$4:$D$311,E$4,'Match Log'!$E$4:$E$311,"Loss"))+SUMPRODUCT(('Match Log'!$D$4:$D$311=E$4)*('Match Log'!$E$4:$E$311="Win")*COUNTIFS('Match Log'!$A$4:$A$311,'Match Log'!$A$4:$A$311,'Match Log'!$D$4:$D$311,$A14,'Match Log'!$E$4:$E$311,"Loss")))=0,"",TEXT(SUMPRODUCT(('Match Log'!$D$4:$D$311=$A14)*('Match Log'!$E$4:$E$311="Win")*COUNTIFS('Match Log'!$A$4:$A$311,'Match Log'!$A$4:$A$311,'Match Log'!$D$4:$D$311,E$4,'Match Log'!$E$4:$E$311,"Loss"))/(SUMPRODUCT(('Match Log'!$D$4:$D$311=$A14)*('Match Log'!$E$4:$E$311="Win")*COUNTIFS('Match Log'!$A$4:$A$311,'Match Log'!$A$4:$A$311,'Match Log'!$D$4:$D$311,E$4,'Match Log'!$E$4:$E$311,"Loss"))+SUMPRODUCT(('Match Log'!$D$4:$D$311=E$4)*('Match Log'!$E$4:$E$311="Win")*COUNTIFS('Match Log'!$A$4:$A$311,'Match Log'!$A$4:$A$311,'Match Log'!$D$4:$D$311,$A14,'Match Log'!$E$4:$E$311,"Loss"))),"0%")&amp;" of "&amp;(SUMPRODUCT(('Match Log'!$D$4:$D$311=$A14)*('Match Log'!$E$4:$E$311="Win")*COUNTIFS('Match Log'!$A$4:$A$311,'Match Log'!$A$4:$A$311,'Match Log'!$D$4:$D$311,E$4,'Match Log'!$E$4:$E$311,"Loss"))+SUMPRODUCT(('Match Log'!$D$4:$D$311=E$4)*('Match Log'!$E$4:$E$311="Win")*COUNTIFS('Match Log'!$A$4:$A$311,'Match Log'!$A$4:$A$311,'Match Log'!$D$4:$D$311,$A14,'Match Log'!$E$4:$E$311,"Loss")))))</f>
        <v>0% of 1</v>
      </c>
      <c r="F14" s="54" t="str">
        <f>IF($A14=F$4,"—",IF((SUMPRODUCT(('Match Log'!$D$4:$D$311=$A14)*('Match Log'!$E$4:$E$311="Win")*COUNTIFS('Match Log'!$A$4:$A$311,'Match Log'!$A$4:$A$311,'Match Log'!$D$4:$D$311,F$4,'Match Log'!$E$4:$E$311,"Loss"))+SUMPRODUCT(('Match Log'!$D$4:$D$311=F$4)*('Match Log'!$E$4:$E$311="Win")*COUNTIFS('Match Log'!$A$4:$A$311,'Match Log'!$A$4:$A$311,'Match Log'!$D$4:$D$311,$A14,'Match Log'!$E$4:$E$311,"Loss")))=0,"",TEXT(SUMPRODUCT(('Match Log'!$D$4:$D$311=$A14)*('Match Log'!$E$4:$E$311="Win")*COUNTIFS('Match Log'!$A$4:$A$311,'Match Log'!$A$4:$A$311,'Match Log'!$D$4:$D$311,F$4,'Match Log'!$E$4:$E$311,"Loss"))/(SUMPRODUCT(('Match Log'!$D$4:$D$311=$A14)*('Match Log'!$E$4:$E$311="Win")*COUNTIFS('Match Log'!$A$4:$A$311,'Match Log'!$A$4:$A$311,'Match Log'!$D$4:$D$311,F$4,'Match Log'!$E$4:$E$311,"Loss"))+SUMPRODUCT(('Match Log'!$D$4:$D$311=F$4)*('Match Log'!$E$4:$E$311="Win")*COUNTIFS('Match Log'!$A$4:$A$311,'Match Log'!$A$4:$A$311,'Match Log'!$D$4:$D$311,$A14,'Match Log'!$E$4:$E$311,"Loss"))),"0%")&amp;" of "&amp;(SUMPRODUCT(('Match Log'!$D$4:$D$311=$A14)*('Match Log'!$E$4:$E$311="Win")*COUNTIFS('Match Log'!$A$4:$A$311,'Match Log'!$A$4:$A$311,'Match Log'!$D$4:$D$311,F$4,'Match Log'!$E$4:$E$311,"Loss"))+SUMPRODUCT(('Match Log'!$D$4:$D$311=F$4)*('Match Log'!$E$4:$E$311="Win")*COUNTIFS('Match Log'!$A$4:$A$311,'Match Log'!$A$4:$A$311,'Match Log'!$D$4:$D$311,$A14,'Match Log'!$E$4:$E$311,"Loss")))))</f>
        <v>0% of 4</v>
      </c>
      <c r="G14" s="54" t="str">
        <f>IF($A14=G$4,"—",IF((SUMPRODUCT(('Match Log'!$D$4:$D$311=$A14)*('Match Log'!$E$4:$E$311="Win")*COUNTIFS('Match Log'!$A$4:$A$311,'Match Log'!$A$4:$A$311,'Match Log'!$D$4:$D$311,G$4,'Match Log'!$E$4:$E$311,"Loss"))+SUMPRODUCT(('Match Log'!$D$4:$D$311=G$4)*('Match Log'!$E$4:$E$311="Win")*COUNTIFS('Match Log'!$A$4:$A$311,'Match Log'!$A$4:$A$311,'Match Log'!$D$4:$D$311,$A14,'Match Log'!$E$4:$E$311,"Loss")))=0,"",TEXT(SUMPRODUCT(('Match Log'!$D$4:$D$311=$A14)*('Match Log'!$E$4:$E$311="Win")*COUNTIFS('Match Log'!$A$4:$A$311,'Match Log'!$A$4:$A$311,'Match Log'!$D$4:$D$311,G$4,'Match Log'!$E$4:$E$311,"Loss"))/(SUMPRODUCT(('Match Log'!$D$4:$D$311=$A14)*('Match Log'!$E$4:$E$311="Win")*COUNTIFS('Match Log'!$A$4:$A$311,'Match Log'!$A$4:$A$311,'Match Log'!$D$4:$D$311,G$4,'Match Log'!$E$4:$E$311,"Loss"))+SUMPRODUCT(('Match Log'!$D$4:$D$311=G$4)*('Match Log'!$E$4:$E$311="Win")*COUNTIFS('Match Log'!$A$4:$A$311,'Match Log'!$A$4:$A$311,'Match Log'!$D$4:$D$311,$A14,'Match Log'!$E$4:$E$311,"Loss"))),"0%")&amp;" of "&amp;(SUMPRODUCT(('Match Log'!$D$4:$D$311=$A14)*('Match Log'!$E$4:$E$311="Win")*COUNTIFS('Match Log'!$A$4:$A$311,'Match Log'!$A$4:$A$311,'Match Log'!$D$4:$D$311,G$4,'Match Log'!$E$4:$E$311,"Loss"))+SUMPRODUCT(('Match Log'!$D$4:$D$311=G$4)*('Match Log'!$E$4:$E$311="Win")*COUNTIFS('Match Log'!$A$4:$A$311,'Match Log'!$A$4:$A$311,'Match Log'!$D$4:$D$311,$A14,'Match Log'!$E$4:$E$311,"Loss")))))</f>
        <v/>
      </c>
      <c r="H14" s="54" t="str">
        <f>IF($A14=H$4,"—",IF((SUMPRODUCT(('Match Log'!$D$4:$D$311=$A14)*('Match Log'!$E$4:$E$311="Win")*COUNTIFS('Match Log'!$A$4:$A$311,'Match Log'!$A$4:$A$311,'Match Log'!$D$4:$D$311,H$4,'Match Log'!$E$4:$E$311,"Loss"))+SUMPRODUCT(('Match Log'!$D$4:$D$311=H$4)*('Match Log'!$E$4:$E$311="Win")*COUNTIFS('Match Log'!$A$4:$A$311,'Match Log'!$A$4:$A$311,'Match Log'!$D$4:$D$311,$A14,'Match Log'!$E$4:$E$311,"Loss")))=0,"",TEXT(SUMPRODUCT(('Match Log'!$D$4:$D$311=$A14)*('Match Log'!$E$4:$E$311="Win")*COUNTIFS('Match Log'!$A$4:$A$311,'Match Log'!$A$4:$A$311,'Match Log'!$D$4:$D$311,H$4,'Match Log'!$E$4:$E$311,"Loss"))/(SUMPRODUCT(('Match Log'!$D$4:$D$311=$A14)*('Match Log'!$E$4:$E$311="Win")*COUNTIFS('Match Log'!$A$4:$A$311,'Match Log'!$A$4:$A$311,'Match Log'!$D$4:$D$311,H$4,'Match Log'!$E$4:$E$311,"Loss"))+SUMPRODUCT(('Match Log'!$D$4:$D$311=H$4)*('Match Log'!$E$4:$E$311="Win")*COUNTIFS('Match Log'!$A$4:$A$311,'Match Log'!$A$4:$A$311,'Match Log'!$D$4:$D$311,$A14,'Match Log'!$E$4:$E$311,"Loss"))),"0%")&amp;" of "&amp;(SUMPRODUCT(('Match Log'!$D$4:$D$311=$A14)*('Match Log'!$E$4:$E$311="Win")*COUNTIFS('Match Log'!$A$4:$A$311,'Match Log'!$A$4:$A$311,'Match Log'!$D$4:$D$311,H$4,'Match Log'!$E$4:$E$311,"Loss"))+SUMPRODUCT(('Match Log'!$D$4:$D$311=H$4)*('Match Log'!$E$4:$E$311="Win")*COUNTIFS('Match Log'!$A$4:$A$311,'Match Log'!$A$4:$A$311,'Match Log'!$D$4:$D$311,$A14,'Match Log'!$E$4:$E$311,"Loss")))))</f>
        <v>0% of 2</v>
      </c>
      <c r="I14" s="54" t="str">
        <f>IF($A14=I$4,"—",IF((SUMPRODUCT(('Match Log'!$D$4:$D$311=$A14)*('Match Log'!$E$4:$E$311="Win")*COUNTIFS('Match Log'!$A$4:$A$311,'Match Log'!$A$4:$A$311,'Match Log'!$D$4:$D$311,I$4,'Match Log'!$E$4:$E$311,"Loss"))+SUMPRODUCT(('Match Log'!$D$4:$D$311=I$4)*('Match Log'!$E$4:$E$311="Win")*COUNTIFS('Match Log'!$A$4:$A$311,'Match Log'!$A$4:$A$311,'Match Log'!$D$4:$D$311,$A14,'Match Log'!$E$4:$E$311,"Loss")))=0,"",TEXT(SUMPRODUCT(('Match Log'!$D$4:$D$311=$A14)*('Match Log'!$E$4:$E$311="Win")*COUNTIFS('Match Log'!$A$4:$A$311,'Match Log'!$A$4:$A$311,'Match Log'!$D$4:$D$311,I$4,'Match Log'!$E$4:$E$311,"Loss"))/(SUMPRODUCT(('Match Log'!$D$4:$D$311=$A14)*('Match Log'!$E$4:$E$311="Win")*COUNTIFS('Match Log'!$A$4:$A$311,'Match Log'!$A$4:$A$311,'Match Log'!$D$4:$D$311,I$4,'Match Log'!$E$4:$E$311,"Loss"))+SUMPRODUCT(('Match Log'!$D$4:$D$311=I$4)*('Match Log'!$E$4:$E$311="Win")*COUNTIFS('Match Log'!$A$4:$A$311,'Match Log'!$A$4:$A$311,'Match Log'!$D$4:$D$311,$A14,'Match Log'!$E$4:$E$311,"Loss"))),"0%")&amp;" of "&amp;(SUMPRODUCT(('Match Log'!$D$4:$D$311=$A14)*('Match Log'!$E$4:$E$311="Win")*COUNTIFS('Match Log'!$A$4:$A$311,'Match Log'!$A$4:$A$311,'Match Log'!$D$4:$D$311,I$4,'Match Log'!$E$4:$E$311,"Loss"))+SUMPRODUCT(('Match Log'!$D$4:$D$311=I$4)*('Match Log'!$E$4:$E$311="Win")*COUNTIFS('Match Log'!$A$4:$A$311,'Match Log'!$A$4:$A$311,'Match Log'!$D$4:$D$311,$A14,'Match Log'!$E$4:$E$311,"Loss")))))</f>
        <v>0% of 2</v>
      </c>
      <c r="J14" s="54" t="str">
        <f>IF($A14=J$4,"—",IF((SUMPRODUCT(('Match Log'!$D$4:$D$311=$A14)*('Match Log'!$E$4:$E$311="Win")*COUNTIFS('Match Log'!$A$4:$A$311,'Match Log'!$A$4:$A$311,'Match Log'!$D$4:$D$311,J$4,'Match Log'!$E$4:$E$311,"Loss"))+SUMPRODUCT(('Match Log'!$D$4:$D$311=J$4)*('Match Log'!$E$4:$E$311="Win")*COUNTIFS('Match Log'!$A$4:$A$311,'Match Log'!$A$4:$A$311,'Match Log'!$D$4:$D$311,$A14,'Match Log'!$E$4:$E$311,"Loss")))=0,"",TEXT(SUMPRODUCT(('Match Log'!$D$4:$D$311=$A14)*('Match Log'!$E$4:$E$311="Win")*COUNTIFS('Match Log'!$A$4:$A$311,'Match Log'!$A$4:$A$311,'Match Log'!$D$4:$D$311,J$4,'Match Log'!$E$4:$E$311,"Loss"))/(SUMPRODUCT(('Match Log'!$D$4:$D$311=$A14)*('Match Log'!$E$4:$E$311="Win")*COUNTIFS('Match Log'!$A$4:$A$311,'Match Log'!$A$4:$A$311,'Match Log'!$D$4:$D$311,J$4,'Match Log'!$E$4:$E$311,"Loss"))+SUMPRODUCT(('Match Log'!$D$4:$D$311=J$4)*('Match Log'!$E$4:$E$311="Win")*COUNTIFS('Match Log'!$A$4:$A$311,'Match Log'!$A$4:$A$311,'Match Log'!$D$4:$D$311,$A14,'Match Log'!$E$4:$E$311,"Loss"))),"0%")&amp;" of "&amp;(SUMPRODUCT(('Match Log'!$D$4:$D$311=$A14)*('Match Log'!$E$4:$E$311="Win")*COUNTIFS('Match Log'!$A$4:$A$311,'Match Log'!$A$4:$A$311,'Match Log'!$D$4:$D$311,J$4,'Match Log'!$E$4:$E$311,"Loss"))+SUMPRODUCT(('Match Log'!$D$4:$D$311=J$4)*('Match Log'!$E$4:$E$311="Win")*COUNTIFS('Match Log'!$A$4:$A$311,'Match Log'!$A$4:$A$311,'Match Log'!$D$4:$D$311,$A14,'Match Log'!$E$4:$E$311,"Loss")))))</f>
        <v>0% of 1</v>
      </c>
      <c r="K14" s="54" t="str">
        <f>IF($A14=K$4,"—",IF((SUMPRODUCT(('Match Log'!$D$4:$D$311=$A14)*('Match Log'!$E$4:$E$311="Win")*COUNTIFS('Match Log'!$A$4:$A$311,'Match Log'!$A$4:$A$311,'Match Log'!$D$4:$D$311,K$4,'Match Log'!$E$4:$E$311,"Loss"))+SUMPRODUCT(('Match Log'!$D$4:$D$311=K$4)*('Match Log'!$E$4:$E$311="Win")*COUNTIFS('Match Log'!$A$4:$A$311,'Match Log'!$A$4:$A$311,'Match Log'!$D$4:$D$311,$A14,'Match Log'!$E$4:$E$311,"Loss")))=0,"",TEXT(SUMPRODUCT(('Match Log'!$D$4:$D$311=$A14)*('Match Log'!$E$4:$E$311="Win")*COUNTIFS('Match Log'!$A$4:$A$311,'Match Log'!$A$4:$A$311,'Match Log'!$D$4:$D$311,K$4,'Match Log'!$E$4:$E$311,"Loss"))/(SUMPRODUCT(('Match Log'!$D$4:$D$311=$A14)*('Match Log'!$E$4:$E$311="Win")*COUNTIFS('Match Log'!$A$4:$A$311,'Match Log'!$A$4:$A$311,'Match Log'!$D$4:$D$311,K$4,'Match Log'!$E$4:$E$311,"Loss"))+SUMPRODUCT(('Match Log'!$D$4:$D$311=K$4)*('Match Log'!$E$4:$E$311="Win")*COUNTIFS('Match Log'!$A$4:$A$311,'Match Log'!$A$4:$A$311,'Match Log'!$D$4:$D$311,$A14,'Match Log'!$E$4:$E$311,"Loss"))),"0%")&amp;" of "&amp;(SUMPRODUCT(('Match Log'!$D$4:$D$311=$A14)*('Match Log'!$E$4:$E$311="Win")*COUNTIFS('Match Log'!$A$4:$A$311,'Match Log'!$A$4:$A$311,'Match Log'!$D$4:$D$311,K$4,'Match Log'!$E$4:$E$311,"Loss"))+SUMPRODUCT(('Match Log'!$D$4:$D$311=K$4)*('Match Log'!$E$4:$E$311="Win")*COUNTIFS('Match Log'!$A$4:$A$311,'Match Log'!$A$4:$A$311,'Match Log'!$D$4:$D$311,$A14,'Match Log'!$E$4:$E$311,"Loss")))))</f>
        <v>—</v>
      </c>
      <c r="L14" s="54" t="str">
        <f>IF($A14=L$4,"—",IF((SUMPRODUCT(('Match Log'!$D$4:$D$311=$A14)*('Match Log'!$E$4:$E$311="Win")*COUNTIFS('Match Log'!$A$4:$A$311,'Match Log'!$A$4:$A$311,'Match Log'!$D$4:$D$311,L$4,'Match Log'!$E$4:$E$311,"Loss"))+SUMPRODUCT(('Match Log'!$D$4:$D$311=L$4)*('Match Log'!$E$4:$E$311="Win")*COUNTIFS('Match Log'!$A$4:$A$311,'Match Log'!$A$4:$A$311,'Match Log'!$D$4:$D$311,$A14,'Match Log'!$E$4:$E$311,"Loss")))=0,"",TEXT(SUMPRODUCT(('Match Log'!$D$4:$D$311=$A14)*('Match Log'!$E$4:$E$311="Win")*COUNTIFS('Match Log'!$A$4:$A$311,'Match Log'!$A$4:$A$311,'Match Log'!$D$4:$D$311,L$4,'Match Log'!$E$4:$E$311,"Loss"))/(SUMPRODUCT(('Match Log'!$D$4:$D$311=$A14)*('Match Log'!$E$4:$E$311="Win")*COUNTIFS('Match Log'!$A$4:$A$311,'Match Log'!$A$4:$A$311,'Match Log'!$D$4:$D$311,L$4,'Match Log'!$E$4:$E$311,"Loss"))+SUMPRODUCT(('Match Log'!$D$4:$D$311=L$4)*('Match Log'!$E$4:$E$311="Win")*COUNTIFS('Match Log'!$A$4:$A$311,'Match Log'!$A$4:$A$311,'Match Log'!$D$4:$D$311,$A14,'Match Log'!$E$4:$E$311,"Loss"))),"0%")&amp;" of "&amp;(SUMPRODUCT(('Match Log'!$D$4:$D$311=$A14)*('Match Log'!$E$4:$E$311="Win")*COUNTIFS('Match Log'!$A$4:$A$311,'Match Log'!$A$4:$A$311,'Match Log'!$D$4:$D$311,L$4,'Match Log'!$E$4:$E$311,"Loss"))+SUMPRODUCT(('Match Log'!$D$4:$D$311=L$4)*('Match Log'!$E$4:$E$311="Win")*COUNTIFS('Match Log'!$A$4:$A$311,'Match Log'!$A$4:$A$311,'Match Log'!$D$4:$D$311,$A14,'Match Log'!$E$4:$E$311,"Loss")))))</f>
        <v>67% of 3</v>
      </c>
      <c r="M14" s="54" t="str">
        <f>IF($A14=M$4,"—",IF((SUMPRODUCT(('Match Log'!$D$4:$D$311=$A14)*('Match Log'!$E$4:$E$311="Win")*COUNTIFS('Match Log'!$A$4:$A$311,'Match Log'!$A$4:$A$311,'Match Log'!$D$4:$D$311,M$4,'Match Log'!$E$4:$E$311,"Loss"))+SUMPRODUCT(('Match Log'!$D$4:$D$311=M$4)*('Match Log'!$E$4:$E$311="Win")*COUNTIFS('Match Log'!$A$4:$A$311,'Match Log'!$A$4:$A$311,'Match Log'!$D$4:$D$311,$A14,'Match Log'!$E$4:$E$311,"Loss")))=0,"",TEXT(SUMPRODUCT(('Match Log'!$D$4:$D$311=$A14)*('Match Log'!$E$4:$E$311="Win")*COUNTIFS('Match Log'!$A$4:$A$311,'Match Log'!$A$4:$A$311,'Match Log'!$D$4:$D$311,M$4,'Match Log'!$E$4:$E$311,"Loss"))/(SUMPRODUCT(('Match Log'!$D$4:$D$311=$A14)*('Match Log'!$E$4:$E$311="Win")*COUNTIFS('Match Log'!$A$4:$A$311,'Match Log'!$A$4:$A$311,'Match Log'!$D$4:$D$311,M$4,'Match Log'!$E$4:$E$311,"Loss"))+SUMPRODUCT(('Match Log'!$D$4:$D$311=M$4)*('Match Log'!$E$4:$E$311="Win")*COUNTIFS('Match Log'!$A$4:$A$311,'Match Log'!$A$4:$A$311,'Match Log'!$D$4:$D$311,$A14,'Match Log'!$E$4:$E$311,"Loss"))),"0%")&amp;" of "&amp;(SUMPRODUCT(('Match Log'!$D$4:$D$311=$A14)*('Match Log'!$E$4:$E$311="Win")*COUNTIFS('Match Log'!$A$4:$A$311,'Match Log'!$A$4:$A$311,'Match Log'!$D$4:$D$311,M$4,'Match Log'!$E$4:$E$311,"Loss"))+SUMPRODUCT(('Match Log'!$D$4:$D$311=M$4)*('Match Log'!$E$4:$E$311="Win")*COUNTIFS('Match Log'!$A$4:$A$311,'Match Log'!$A$4:$A$311,'Match Log'!$D$4:$D$311,$A14,'Match Log'!$E$4:$E$311,"Loss")))))</f>
        <v/>
      </c>
      <c r="N14" s="54" t="str">
        <f>IF($A14=N$4,"—",IF((SUMPRODUCT(('Match Log'!$D$4:$D$311=$A14)*('Match Log'!$E$4:$E$311="Win")*COUNTIFS('Match Log'!$A$4:$A$311,'Match Log'!$A$4:$A$311,'Match Log'!$D$4:$D$311,N$4,'Match Log'!$E$4:$E$311,"Loss"))+SUMPRODUCT(('Match Log'!$D$4:$D$311=N$4)*('Match Log'!$E$4:$E$311="Win")*COUNTIFS('Match Log'!$A$4:$A$311,'Match Log'!$A$4:$A$311,'Match Log'!$D$4:$D$311,$A14,'Match Log'!$E$4:$E$311,"Loss")))=0,"",TEXT(SUMPRODUCT(('Match Log'!$D$4:$D$311=$A14)*('Match Log'!$E$4:$E$311="Win")*COUNTIFS('Match Log'!$A$4:$A$311,'Match Log'!$A$4:$A$311,'Match Log'!$D$4:$D$311,N$4,'Match Log'!$E$4:$E$311,"Loss"))/(SUMPRODUCT(('Match Log'!$D$4:$D$311=$A14)*('Match Log'!$E$4:$E$311="Win")*COUNTIFS('Match Log'!$A$4:$A$311,'Match Log'!$A$4:$A$311,'Match Log'!$D$4:$D$311,N$4,'Match Log'!$E$4:$E$311,"Loss"))+SUMPRODUCT(('Match Log'!$D$4:$D$311=N$4)*('Match Log'!$E$4:$E$311="Win")*COUNTIFS('Match Log'!$A$4:$A$311,'Match Log'!$A$4:$A$311,'Match Log'!$D$4:$D$311,$A14,'Match Log'!$E$4:$E$311,"Loss"))),"0%")&amp;" of "&amp;(SUMPRODUCT(('Match Log'!$D$4:$D$311=$A14)*('Match Log'!$E$4:$E$311="Win")*COUNTIFS('Match Log'!$A$4:$A$311,'Match Log'!$A$4:$A$311,'Match Log'!$D$4:$D$311,N$4,'Match Log'!$E$4:$E$311,"Loss"))+SUMPRODUCT(('Match Log'!$D$4:$D$311=N$4)*('Match Log'!$E$4:$E$311="Win")*COUNTIFS('Match Log'!$A$4:$A$311,'Match Log'!$A$4:$A$311,'Match Log'!$D$4:$D$311,$A14,'Match Log'!$E$4:$E$311,"Loss")))))</f>
        <v/>
      </c>
      <c r="O14" s="54" t="str">
        <f>IF($A14=O$4,"—",IF((SUMPRODUCT(('Match Log'!$D$4:$D$311=$A14)*('Match Log'!$E$4:$E$311="Win")*COUNTIFS('Match Log'!$A$4:$A$311,'Match Log'!$A$4:$A$311,'Match Log'!$D$4:$D$311,O$4,'Match Log'!$E$4:$E$311,"Loss"))+SUMPRODUCT(('Match Log'!$D$4:$D$311=O$4)*('Match Log'!$E$4:$E$311="Win")*COUNTIFS('Match Log'!$A$4:$A$311,'Match Log'!$A$4:$A$311,'Match Log'!$D$4:$D$311,$A14,'Match Log'!$E$4:$E$311,"Loss")))=0,"",TEXT(SUMPRODUCT(('Match Log'!$D$4:$D$311=$A14)*('Match Log'!$E$4:$E$311="Win")*COUNTIFS('Match Log'!$A$4:$A$311,'Match Log'!$A$4:$A$311,'Match Log'!$D$4:$D$311,O$4,'Match Log'!$E$4:$E$311,"Loss"))/(SUMPRODUCT(('Match Log'!$D$4:$D$311=$A14)*('Match Log'!$E$4:$E$311="Win")*COUNTIFS('Match Log'!$A$4:$A$311,'Match Log'!$A$4:$A$311,'Match Log'!$D$4:$D$311,O$4,'Match Log'!$E$4:$E$311,"Loss"))+SUMPRODUCT(('Match Log'!$D$4:$D$311=O$4)*('Match Log'!$E$4:$E$311="Win")*COUNTIFS('Match Log'!$A$4:$A$311,'Match Log'!$A$4:$A$311,'Match Log'!$D$4:$D$311,$A14,'Match Log'!$E$4:$E$311,"Loss"))),"0%")&amp;" of "&amp;(SUMPRODUCT(('Match Log'!$D$4:$D$311=$A14)*('Match Log'!$E$4:$E$311="Win")*COUNTIFS('Match Log'!$A$4:$A$311,'Match Log'!$A$4:$A$311,'Match Log'!$D$4:$D$311,O$4,'Match Log'!$E$4:$E$311,"Loss"))+SUMPRODUCT(('Match Log'!$D$4:$D$311=O$4)*('Match Log'!$E$4:$E$311="Win")*COUNTIFS('Match Log'!$A$4:$A$311,'Match Log'!$A$4:$A$311,'Match Log'!$D$4:$D$311,$A14,'Match Log'!$E$4:$E$311,"Loss")))))</f>
        <v/>
      </c>
    </row>
    <row r="15" spans="1:15" ht="15" customHeight="1" x14ac:dyDescent="0.2">
      <c r="A15" s="49" t="s">
        <v>176</v>
      </c>
      <c r="B15" s="54" t="str">
        <f>IF($A15=B$4,"—",IF((SUMPRODUCT(('Match Log'!$D$4:$D$311=$A15)*('Match Log'!$E$4:$E$311="Win")*COUNTIFS('Match Log'!$A$4:$A$311,'Match Log'!$A$4:$A$311,'Match Log'!$D$4:$D$311,B$4,'Match Log'!$E$4:$E$311,"Loss"))+SUMPRODUCT(('Match Log'!$D$4:$D$311=B$4)*('Match Log'!$E$4:$E$311="Win")*COUNTIFS('Match Log'!$A$4:$A$311,'Match Log'!$A$4:$A$311,'Match Log'!$D$4:$D$311,$A15,'Match Log'!$E$4:$E$311,"Loss")))=0,"",TEXT(SUMPRODUCT(('Match Log'!$D$4:$D$311=$A15)*('Match Log'!$E$4:$E$311="Win")*COUNTIFS('Match Log'!$A$4:$A$311,'Match Log'!$A$4:$A$311,'Match Log'!$D$4:$D$311,B$4,'Match Log'!$E$4:$E$311,"Loss"))/(SUMPRODUCT(('Match Log'!$D$4:$D$311=$A15)*('Match Log'!$E$4:$E$311="Win")*COUNTIFS('Match Log'!$A$4:$A$311,'Match Log'!$A$4:$A$311,'Match Log'!$D$4:$D$311,B$4,'Match Log'!$E$4:$E$311,"Loss"))+SUMPRODUCT(('Match Log'!$D$4:$D$311=B$4)*('Match Log'!$E$4:$E$311="Win")*COUNTIFS('Match Log'!$A$4:$A$311,'Match Log'!$A$4:$A$311,'Match Log'!$D$4:$D$311,$A15,'Match Log'!$E$4:$E$311,"Loss"))),"0%")&amp;" of "&amp;(SUMPRODUCT(('Match Log'!$D$4:$D$311=$A15)*('Match Log'!$E$4:$E$311="Win")*COUNTIFS('Match Log'!$A$4:$A$311,'Match Log'!$A$4:$A$311,'Match Log'!$D$4:$D$311,B$4,'Match Log'!$E$4:$E$311,"Loss"))+SUMPRODUCT(('Match Log'!$D$4:$D$311=B$4)*('Match Log'!$E$4:$E$311="Win")*COUNTIFS('Match Log'!$A$4:$A$311,'Match Log'!$A$4:$A$311,'Match Log'!$D$4:$D$311,$A15,'Match Log'!$E$4:$E$311,"Loss")))))</f>
        <v>50% of 4</v>
      </c>
      <c r="C15" s="54" t="str">
        <f>IF($A15=C$4,"—",IF((SUMPRODUCT(('Match Log'!$D$4:$D$311=$A15)*('Match Log'!$E$4:$E$311="Win")*COUNTIFS('Match Log'!$A$4:$A$311,'Match Log'!$A$4:$A$311,'Match Log'!$D$4:$D$311,C$4,'Match Log'!$E$4:$E$311,"Loss"))+SUMPRODUCT(('Match Log'!$D$4:$D$311=C$4)*('Match Log'!$E$4:$E$311="Win")*COUNTIFS('Match Log'!$A$4:$A$311,'Match Log'!$A$4:$A$311,'Match Log'!$D$4:$D$311,$A15,'Match Log'!$E$4:$E$311,"Loss")))=0,"",TEXT(SUMPRODUCT(('Match Log'!$D$4:$D$311=$A15)*('Match Log'!$E$4:$E$311="Win")*COUNTIFS('Match Log'!$A$4:$A$311,'Match Log'!$A$4:$A$311,'Match Log'!$D$4:$D$311,C$4,'Match Log'!$E$4:$E$311,"Loss"))/(SUMPRODUCT(('Match Log'!$D$4:$D$311=$A15)*('Match Log'!$E$4:$E$311="Win")*COUNTIFS('Match Log'!$A$4:$A$311,'Match Log'!$A$4:$A$311,'Match Log'!$D$4:$D$311,C$4,'Match Log'!$E$4:$E$311,"Loss"))+SUMPRODUCT(('Match Log'!$D$4:$D$311=C$4)*('Match Log'!$E$4:$E$311="Win")*COUNTIFS('Match Log'!$A$4:$A$311,'Match Log'!$A$4:$A$311,'Match Log'!$D$4:$D$311,$A15,'Match Log'!$E$4:$E$311,"Loss"))),"0%")&amp;" of "&amp;(SUMPRODUCT(('Match Log'!$D$4:$D$311=$A15)*('Match Log'!$E$4:$E$311="Win")*COUNTIFS('Match Log'!$A$4:$A$311,'Match Log'!$A$4:$A$311,'Match Log'!$D$4:$D$311,C$4,'Match Log'!$E$4:$E$311,"Loss"))+SUMPRODUCT(('Match Log'!$D$4:$D$311=C$4)*('Match Log'!$E$4:$E$311="Win")*COUNTIFS('Match Log'!$A$4:$A$311,'Match Log'!$A$4:$A$311,'Match Log'!$D$4:$D$311,$A15,'Match Log'!$E$4:$E$311,"Loss")))))</f>
        <v>60% of 5</v>
      </c>
      <c r="D15" s="54" t="str">
        <f>IF($A15=D$4,"—",IF((SUMPRODUCT(('Match Log'!$D$4:$D$311=$A15)*('Match Log'!$E$4:$E$311="Win")*COUNTIFS('Match Log'!$A$4:$A$311,'Match Log'!$A$4:$A$311,'Match Log'!$D$4:$D$311,D$4,'Match Log'!$E$4:$E$311,"Loss"))+SUMPRODUCT(('Match Log'!$D$4:$D$311=D$4)*('Match Log'!$E$4:$E$311="Win")*COUNTIFS('Match Log'!$A$4:$A$311,'Match Log'!$A$4:$A$311,'Match Log'!$D$4:$D$311,$A15,'Match Log'!$E$4:$E$311,"Loss")))=0,"",TEXT(SUMPRODUCT(('Match Log'!$D$4:$D$311=$A15)*('Match Log'!$E$4:$E$311="Win")*COUNTIFS('Match Log'!$A$4:$A$311,'Match Log'!$A$4:$A$311,'Match Log'!$D$4:$D$311,D$4,'Match Log'!$E$4:$E$311,"Loss"))/(SUMPRODUCT(('Match Log'!$D$4:$D$311=$A15)*('Match Log'!$E$4:$E$311="Win")*COUNTIFS('Match Log'!$A$4:$A$311,'Match Log'!$A$4:$A$311,'Match Log'!$D$4:$D$311,D$4,'Match Log'!$E$4:$E$311,"Loss"))+SUMPRODUCT(('Match Log'!$D$4:$D$311=D$4)*('Match Log'!$E$4:$E$311="Win")*COUNTIFS('Match Log'!$A$4:$A$311,'Match Log'!$A$4:$A$311,'Match Log'!$D$4:$D$311,$A15,'Match Log'!$E$4:$E$311,"Loss"))),"0%")&amp;" of "&amp;(SUMPRODUCT(('Match Log'!$D$4:$D$311=$A15)*('Match Log'!$E$4:$E$311="Win")*COUNTIFS('Match Log'!$A$4:$A$311,'Match Log'!$A$4:$A$311,'Match Log'!$D$4:$D$311,D$4,'Match Log'!$E$4:$E$311,"Loss"))+SUMPRODUCT(('Match Log'!$D$4:$D$311=D$4)*('Match Log'!$E$4:$E$311="Win")*COUNTIFS('Match Log'!$A$4:$A$311,'Match Log'!$A$4:$A$311,'Match Log'!$D$4:$D$311,$A15,'Match Log'!$E$4:$E$311,"Loss")))))</f>
        <v/>
      </c>
      <c r="E15" s="54" t="str">
        <f>IF($A15=E$4,"—",IF((SUMPRODUCT(('Match Log'!$D$4:$D$311=$A15)*('Match Log'!$E$4:$E$311="Win")*COUNTIFS('Match Log'!$A$4:$A$311,'Match Log'!$A$4:$A$311,'Match Log'!$D$4:$D$311,E$4,'Match Log'!$E$4:$E$311,"Loss"))+SUMPRODUCT(('Match Log'!$D$4:$D$311=E$4)*('Match Log'!$E$4:$E$311="Win")*COUNTIFS('Match Log'!$A$4:$A$311,'Match Log'!$A$4:$A$311,'Match Log'!$D$4:$D$311,$A15,'Match Log'!$E$4:$E$311,"Loss")))=0,"",TEXT(SUMPRODUCT(('Match Log'!$D$4:$D$311=$A15)*('Match Log'!$E$4:$E$311="Win")*COUNTIFS('Match Log'!$A$4:$A$311,'Match Log'!$A$4:$A$311,'Match Log'!$D$4:$D$311,E$4,'Match Log'!$E$4:$E$311,"Loss"))/(SUMPRODUCT(('Match Log'!$D$4:$D$311=$A15)*('Match Log'!$E$4:$E$311="Win")*COUNTIFS('Match Log'!$A$4:$A$311,'Match Log'!$A$4:$A$311,'Match Log'!$D$4:$D$311,E$4,'Match Log'!$E$4:$E$311,"Loss"))+SUMPRODUCT(('Match Log'!$D$4:$D$311=E$4)*('Match Log'!$E$4:$E$311="Win")*COUNTIFS('Match Log'!$A$4:$A$311,'Match Log'!$A$4:$A$311,'Match Log'!$D$4:$D$311,$A15,'Match Log'!$E$4:$E$311,"Loss"))),"0%")&amp;" of "&amp;(SUMPRODUCT(('Match Log'!$D$4:$D$311=$A15)*('Match Log'!$E$4:$E$311="Win")*COUNTIFS('Match Log'!$A$4:$A$311,'Match Log'!$A$4:$A$311,'Match Log'!$D$4:$D$311,E$4,'Match Log'!$E$4:$E$311,"Loss"))+SUMPRODUCT(('Match Log'!$D$4:$D$311=E$4)*('Match Log'!$E$4:$E$311="Win")*COUNTIFS('Match Log'!$A$4:$A$311,'Match Log'!$A$4:$A$311,'Match Log'!$D$4:$D$311,$A15,'Match Log'!$E$4:$E$311,"Loss")))))</f>
        <v>100% of 1</v>
      </c>
      <c r="F15" s="54" t="str">
        <f>IF($A15=F$4,"—",IF((SUMPRODUCT(('Match Log'!$D$4:$D$311=$A15)*('Match Log'!$E$4:$E$311="Win")*COUNTIFS('Match Log'!$A$4:$A$311,'Match Log'!$A$4:$A$311,'Match Log'!$D$4:$D$311,F$4,'Match Log'!$E$4:$E$311,"Loss"))+SUMPRODUCT(('Match Log'!$D$4:$D$311=F$4)*('Match Log'!$E$4:$E$311="Win")*COUNTIFS('Match Log'!$A$4:$A$311,'Match Log'!$A$4:$A$311,'Match Log'!$D$4:$D$311,$A15,'Match Log'!$E$4:$E$311,"Loss")))=0,"",TEXT(SUMPRODUCT(('Match Log'!$D$4:$D$311=$A15)*('Match Log'!$E$4:$E$311="Win")*COUNTIFS('Match Log'!$A$4:$A$311,'Match Log'!$A$4:$A$311,'Match Log'!$D$4:$D$311,F$4,'Match Log'!$E$4:$E$311,"Loss"))/(SUMPRODUCT(('Match Log'!$D$4:$D$311=$A15)*('Match Log'!$E$4:$E$311="Win")*COUNTIFS('Match Log'!$A$4:$A$311,'Match Log'!$A$4:$A$311,'Match Log'!$D$4:$D$311,F$4,'Match Log'!$E$4:$E$311,"Loss"))+SUMPRODUCT(('Match Log'!$D$4:$D$311=F$4)*('Match Log'!$E$4:$E$311="Win")*COUNTIFS('Match Log'!$A$4:$A$311,'Match Log'!$A$4:$A$311,'Match Log'!$D$4:$D$311,$A15,'Match Log'!$E$4:$E$311,"Loss"))),"0%")&amp;" of "&amp;(SUMPRODUCT(('Match Log'!$D$4:$D$311=$A15)*('Match Log'!$E$4:$E$311="Win")*COUNTIFS('Match Log'!$A$4:$A$311,'Match Log'!$A$4:$A$311,'Match Log'!$D$4:$D$311,F$4,'Match Log'!$E$4:$E$311,"Loss"))+SUMPRODUCT(('Match Log'!$D$4:$D$311=F$4)*('Match Log'!$E$4:$E$311="Win")*COUNTIFS('Match Log'!$A$4:$A$311,'Match Log'!$A$4:$A$311,'Match Log'!$D$4:$D$311,$A15,'Match Log'!$E$4:$E$311,"Loss")))))</f>
        <v>33% of 6</v>
      </c>
      <c r="G15" s="54" t="str">
        <f>IF($A15=G$4,"—",IF((SUMPRODUCT(('Match Log'!$D$4:$D$311=$A15)*('Match Log'!$E$4:$E$311="Win")*COUNTIFS('Match Log'!$A$4:$A$311,'Match Log'!$A$4:$A$311,'Match Log'!$D$4:$D$311,G$4,'Match Log'!$E$4:$E$311,"Loss"))+SUMPRODUCT(('Match Log'!$D$4:$D$311=G$4)*('Match Log'!$E$4:$E$311="Win")*COUNTIFS('Match Log'!$A$4:$A$311,'Match Log'!$A$4:$A$311,'Match Log'!$D$4:$D$311,$A15,'Match Log'!$E$4:$E$311,"Loss")))=0,"",TEXT(SUMPRODUCT(('Match Log'!$D$4:$D$311=$A15)*('Match Log'!$E$4:$E$311="Win")*COUNTIFS('Match Log'!$A$4:$A$311,'Match Log'!$A$4:$A$311,'Match Log'!$D$4:$D$311,G$4,'Match Log'!$E$4:$E$311,"Loss"))/(SUMPRODUCT(('Match Log'!$D$4:$D$311=$A15)*('Match Log'!$E$4:$E$311="Win")*COUNTIFS('Match Log'!$A$4:$A$311,'Match Log'!$A$4:$A$311,'Match Log'!$D$4:$D$311,G$4,'Match Log'!$E$4:$E$311,"Loss"))+SUMPRODUCT(('Match Log'!$D$4:$D$311=G$4)*('Match Log'!$E$4:$E$311="Win")*COUNTIFS('Match Log'!$A$4:$A$311,'Match Log'!$A$4:$A$311,'Match Log'!$D$4:$D$311,$A15,'Match Log'!$E$4:$E$311,"Loss"))),"0%")&amp;" of "&amp;(SUMPRODUCT(('Match Log'!$D$4:$D$311=$A15)*('Match Log'!$E$4:$E$311="Win")*COUNTIFS('Match Log'!$A$4:$A$311,'Match Log'!$A$4:$A$311,'Match Log'!$D$4:$D$311,G$4,'Match Log'!$E$4:$E$311,"Loss"))+SUMPRODUCT(('Match Log'!$D$4:$D$311=G$4)*('Match Log'!$E$4:$E$311="Win")*COUNTIFS('Match Log'!$A$4:$A$311,'Match Log'!$A$4:$A$311,'Match Log'!$D$4:$D$311,$A15,'Match Log'!$E$4:$E$311,"Loss")))))</f>
        <v>88% of 8</v>
      </c>
      <c r="H15" s="54" t="str">
        <f>IF($A15=H$4,"—",IF((SUMPRODUCT(('Match Log'!$D$4:$D$311=$A15)*('Match Log'!$E$4:$E$311="Win")*COUNTIFS('Match Log'!$A$4:$A$311,'Match Log'!$A$4:$A$311,'Match Log'!$D$4:$D$311,H$4,'Match Log'!$E$4:$E$311,"Loss"))+SUMPRODUCT(('Match Log'!$D$4:$D$311=H$4)*('Match Log'!$E$4:$E$311="Win")*COUNTIFS('Match Log'!$A$4:$A$311,'Match Log'!$A$4:$A$311,'Match Log'!$D$4:$D$311,$A15,'Match Log'!$E$4:$E$311,"Loss")))=0,"",TEXT(SUMPRODUCT(('Match Log'!$D$4:$D$311=$A15)*('Match Log'!$E$4:$E$311="Win")*COUNTIFS('Match Log'!$A$4:$A$311,'Match Log'!$A$4:$A$311,'Match Log'!$D$4:$D$311,H$4,'Match Log'!$E$4:$E$311,"Loss"))/(SUMPRODUCT(('Match Log'!$D$4:$D$311=$A15)*('Match Log'!$E$4:$E$311="Win")*COUNTIFS('Match Log'!$A$4:$A$311,'Match Log'!$A$4:$A$311,'Match Log'!$D$4:$D$311,H$4,'Match Log'!$E$4:$E$311,"Loss"))+SUMPRODUCT(('Match Log'!$D$4:$D$311=H$4)*('Match Log'!$E$4:$E$311="Win")*COUNTIFS('Match Log'!$A$4:$A$311,'Match Log'!$A$4:$A$311,'Match Log'!$D$4:$D$311,$A15,'Match Log'!$E$4:$E$311,"Loss"))),"0%")&amp;" of "&amp;(SUMPRODUCT(('Match Log'!$D$4:$D$311=$A15)*('Match Log'!$E$4:$E$311="Win")*COUNTIFS('Match Log'!$A$4:$A$311,'Match Log'!$A$4:$A$311,'Match Log'!$D$4:$D$311,H$4,'Match Log'!$E$4:$E$311,"Loss"))+SUMPRODUCT(('Match Log'!$D$4:$D$311=H$4)*('Match Log'!$E$4:$E$311="Win")*COUNTIFS('Match Log'!$A$4:$A$311,'Match Log'!$A$4:$A$311,'Match Log'!$D$4:$D$311,$A15,'Match Log'!$E$4:$E$311,"Loss")))))</f>
        <v>60% of 5</v>
      </c>
      <c r="I15" s="54" t="str">
        <f>IF($A15=I$4,"—",IF((SUMPRODUCT(('Match Log'!$D$4:$D$311=$A15)*('Match Log'!$E$4:$E$311="Win")*COUNTIFS('Match Log'!$A$4:$A$311,'Match Log'!$A$4:$A$311,'Match Log'!$D$4:$D$311,I$4,'Match Log'!$E$4:$E$311,"Loss"))+SUMPRODUCT(('Match Log'!$D$4:$D$311=I$4)*('Match Log'!$E$4:$E$311="Win")*COUNTIFS('Match Log'!$A$4:$A$311,'Match Log'!$A$4:$A$311,'Match Log'!$D$4:$D$311,$A15,'Match Log'!$E$4:$E$311,"Loss")))=0,"",TEXT(SUMPRODUCT(('Match Log'!$D$4:$D$311=$A15)*('Match Log'!$E$4:$E$311="Win")*COUNTIFS('Match Log'!$A$4:$A$311,'Match Log'!$A$4:$A$311,'Match Log'!$D$4:$D$311,I$4,'Match Log'!$E$4:$E$311,"Loss"))/(SUMPRODUCT(('Match Log'!$D$4:$D$311=$A15)*('Match Log'!$E$4:$E$311="Win")*COUNTIFS('Match Log'!$A$4:$A$311,'Match Log'!$A$4:$A$311,'Match Log'!$D$4:$D$311,I$4,'Match Log'!$E$4:$E$311,"Loss"))+SUMPRODUCT(('Match Log'!$D$4:$D$311=I$4)*('Match Log'!$E$4:$E$311="Win")*COUNTIFS('Match Log'!$A$4:$A$311,'Match Log'!$A$4:$A$311,'Match Log'!$D$4:$D$311,$A15,'Match Log'!$E$4:$E$311,"Loss"))),"0%")&amp;" of "&amp;(SUMPRODUCT(('Match Log'!$D$4:$D$311=$A15)*('Match Log'!$E$4:$E$311="Win")*COUNTIFS('Match Log'!$A$4:$A$311,'Match Log'!$A$4:$A$311,'Match Log'!$D$4:$D$311,I$4,'Match Log'!$E$4:$E$311,"Loss"))+SUMPRODUCT(('Match Log'!$D$4:$D$311=I$4)*('Match Log'!$E$4:$E$311="Win")*COUNTIFS('Match Log'!$A$4:$A$311,'Match Log'!$A$4:$A$311,'Match Log'!$D$4:$D$311,$A15,'Match Log'!$E$4:$E$311,"Loss")))))</f>
        <v>20% of 5</v>
      </c>
      <c r="J15" s="54" t="str">
        <f>IF($A15=J$4,"—",IF((SUMPRODUCT(('Match Log'!$D$4:$D$311=$A15)*('Match Log'!$E$4:$E$311="Win")*COUNTIFS('Match Log'!$A$4:$A$311,'Match Log'!$A$4:$A$311,'Match Log'!$D$4:$D$311,J$4,'Match Log'!$E$4:$E$311,"Loss"))+SUMPRODUCT(('Match Log'!$D$4:$D$311=J$4)*('Match Log'!$E$4:$E$311="Win")*COUNTIFS('Match Log'!$A$4:$A$311,'Match Log'!$A$4:$A$311,'Match Log'!$D$4:$D$311,$A15,'Match Log'!$E$4:$E$311,"Loss")))=0,"",TEXT(SUMPRODUCT(('Match Log'!$D$4:$D$311=$A15)*('Match Log'!$E$4:$E$311="Win")*COUNTIFS('Match Log'!$A$4:$A$311,'Match Log'!$A$4:$A$311,'Match Log'!$D$4:$D$311,J$4,'Match Log'!$E$4:$E$311,"Loss"))/(SUMPRODUCT(('Match Log'!$D$4:$D$311=$A15)*('Match Log'!$E$4:$E$311="Win")*COUNTIFS('Match Log'!$A$4:$A$311,'Match Log'!$A$4:$A$311,'Match Log'!$D$4:$D$311,J$4,'Match Log'!$E$4:$E$311,"Loss"))+SUMPRODUCT(('Match Log'!$D$4:$D$311=J$4)*('Match Log'!$E$4:$E$311="Win")*COUNTIFS('Match Log'!$A$4:$A$311,'Match Log'!$A$4:$A$311,'Match Log'!$D$4:$D$311,$A15,'Match Log'!$E$4:$E$311,"Loss"))),"0%")&amp;" of "&amp;(SUMPRODUCT(('Match Log'!$D$4:$D$311=$A15)*('Match Log'!$E$4:$E$311="Win")*COUNTIFS('Match Log'!$A$4:$A$311,'Match Log'!$A$4:$A$311,'Match Log'!$D$4:$D$311,J$4,'Match Log'!$E$4:$E$311,"Loss"))+SUMPRODUCT(('Match Log'!$D$4:$D$311=J$4)*('Match Log'!$E$4:$E$311="Win")*COUNTIFS('Match Log'!$A$4:$A$311,'Match Log'!$A$4:$A$311,'Match Log'!$D$4:$D$311,$A15,'Match Log'!$E$4:$E$311,"Loss")))))</f>
        <v>17% of 6</v>
      </c>
      <c r="K15" s="54" t="str">
        <f>IF($A15=K$4,"—",IF((SUMPRODUCT(('Match Log'!$D$4:$D$311=$A15)*('Match Log'!$E$4:$E$311="Win")*COUNTIFS('Match Log'!$A$4:$A$311,'Match Log'!$A$4:$A$311,'Match Log'!$D$4:$D$311,K$4,'Match Log'!$E$4:$E$311,"Loss"))+SUMPRODUCT(('Match Log'!$D$4:$D$311=K$4)*('Match Log'!$E$4:$E$311="Win")*COUNTIFS('Match Log'!$A$4:$A$311,'Match Log'!$A$4:$A$311,'Match Log'!$D$4:$D$311,$A15,'Match Log'!$E$4:$E$311,"Loss")))=0,"",TEXT(SUMPRODUCT(('Match Log'!$D$4:$D$311=$A15)*('Match Log'!$E$4:$E$311="Win")*COUNTIFS('Match Log'!$A$4:$A$311,'Match Log'!$A$4:$A$311,'Match Log'!$D$4:$D$311,K$4,'Match Log'!$E$4:$E$311,"Loss"))/(SUMPRODUCT(('Match Log'!$D$4:$D$311=$A15)*('Match Log'!$E$4:$E$311="Win")*COUNTIFS('Match Log'!$A$4:$A$311,'Match Log'!$A$4:$A$311,'Match Log'!$D$4:$D$311,K$4,'Match Log'!$E$4:$E$311,"Loss"))+SUMPRODUCT(('Match Log'!$D$4:$D$311=K$4)*('Match Log'!$E$4:$E$311="Win")*COUNTIFS('Match Log'!$A$4:$A$311,'Match Log'!$A$4:$A$311,'Match Log'!$D$4:$D$311,$A15,'Match Log'!$E$4:$E$311,"Loss"))),"0%")&amp;" of "&amp;(SUMPRODUCT(('Match Log'!$D$4:$D$311=$A15)*('Match Log'!$E$4:$E$311="Win")*COUNTIFS('Match Log'!$A$4:$A$311,'Match Log'!$A$4:$A$311,'Match Log'!$D$4:$D$311,K$4,'Match Log'!$E$4:$E$311,"Loss"))+SUMPRODUCT(('Match Log'!$D$4:$D$311=K$4)*('Match Log'!$E$4:$E$311="Win")*COUNTIFS('Match Log'!$A$4:$A$311,'Match Log'!$A$4:$A$311,'Match Log'!$D$4:$D$311,$A15,'Match Log'!$E$4:$E$311,"Loss")))))</f>
        <v>33% of 3</v>
      </c>
      <c r="L15" s="54" t="str">
        <f>IF($A15=L$4,"—",IF((SUMPRODUCT(('Match Log'!$D$4:$D$311=$A15)*('Match Log'!$E$4:$E$311="Win")*COUNTIFS('Match Log'!$A$4:$A$311,'Match Log'!$A$4:$A$311,'Match Log'!$D$4:$D$311,L$4,'Match Log'!$E$4:$E$311,"Loss"))+SUMPRODUCT(('Match Log'!$D$4:$D$311=L$4)*('Match Log'!$E$4:$E$311="Win")*COUNTIFS('Match Log'!$A$4:$A$311,'Match Log'!$A$4:$A$311,'Match Log'!$D$4:$D$311,$A15,'Match Log'!$E$4:$E$311,"Loss")))=0,"",TEXT(SUMPRODUCT(('Match Log'!$D$4:$D$311=$A15)*('Match Log'!$E$4:$E$311="Win")*COUNTIFS('Match Log'!$A$4:$A$311,'Match Log'!$A$4:$A$311,'Match Log'!$D$4:$D$311,L$4,'Match Log'!$E$4:$E$311,"Loss"))/(SUMPRODUCT(('Match Log'!$D$4:$D$311=$A15)*('Match Log'!$E$4:$E$311="Win")*COUNTIFS('Match Log'!$A$4:$A$311,'Match Log'!$A$4:$A$311,'Match Log'!$D$4:$D$311,L$4,'Match Log'!$E$4:$E$311,"Loss"))+SUMPRODUCT(('Match Log'!$D$4:$D$311=L$4)*('Match Log'!$E$4:$E$311="Win")*COUNTIFS('Match Log'!$A$4:$A$311,'Match Log'!$A$4:$A$311,'Match Log'!$D$4:$D$311,$A15,'Match Log'!$E$4:$E$311,"Loss"))),"0%")&amp;" of "&amp;(SUMPRODUCT(('Match Log'!$D$4:$D$311=$A15)*('Match Log'!$E$4:$E$311="Win")*COUNTIFS('Match Log'!$A$4:$A$311,'Match Log'!$A$4:$A$311,'Match Log'!$D$4:$D$311,L$4,'Match Log'!$E$4:$E$311,"Loss"))+SUMPRODUCT(('Match Log'!$D$4:$D$311=L$4)*('Match Log'!$E$4:$E$311="Win")*COUNTIFS('Match Log'!$A$4:$A$311,'Match Log'!$A$4:$A$311,'Match Log'!$D$4:$D$311,$A15,'Match Log'!$E$4:$E$311,"Loss")))))</f>
        <v>—</v>
      </c>
      <c r="M15" s="54" t="str">
        <f>IF($A15=M$4,"—",IF((SUMPRODUCT(('Match Log'!$D$4:$D$311=$A15)*('Match Log'!$E$4:$E$311="Win")*COUNTIFS('Match Log'!$A$4:$A$311,'Match Log'!$A$4:$A$311,'Match Log'!$D$4:$D$311,M$4,'Match Log'!$E$4:$E$311,"Loss"))+SUMPRODUCT(('Match Log'!$D$4:$D$311=M$4)*('Match Log'!$E$4:$E$311="Win")*COUNTIFS('Match Log'!$A$4:$A$311,'Match Log'!$A$4:$A$311,'Match Log'!$D$4:$D$311,$A15,'Match Log'!$E$4:$E$311,"Loss")))=0,"",TEXT(SUMPRODUCT(('Match Log'!$D$4:$D$311=$A15)*('Match Log'!$E$4:$E$311="Win")*COUNTIFS('Match Log'!$A$4:$A$311,'Match Log'!$A$4:$A$311,'Match Log'!$D$4:$D$311,M$4,'Match Log'!$E$4:$E$311,"Loss"))/(SUMPRODUCT(('Match Log'!$D$4:$D$311=$A15)*('Match Log'!$E$4:$E$311="Win")*COUNTIFS('Match Log'!$A$4:$A$311,'Match Log'!$A$4:$A$311,'Match Log'!$D$4:$D$311,M$4,'Match Log'!$E$4:$E$311,"Loss"))+SUMPRODUCT(('Match Log'!$D$4:$D$311=M$4)*('Match Log'!$E$4:$E$311="Win")*COUNTIFS('Match Log'!$A$4:$A$311,'Match Log'!$A$4:$A$311,'Match Log'!$D$4:$D$311,$A15,'Match Log'!$E$4:$E$311,"Loss"))),"0%")&amp;" of "&amp;(SUMPRODUCT(('Match Log'!$D$4:$D$311=$A15)*('Match Log'!$E$4:$E$311="Win")*COUNTIFS('Match Log'!$A$4:$A$311,'Match Log'!$A$4:$A$311,'Match Log'!$D$4:$D$311,M$4,'Match Log'!$E$4:$E$311,"Loss"))+SUMPRODUCT(('Match Log'!$D$4:$D$311=M$4)*('Match Log'!$E$4:$E$311="Win")*COUNTIFS('Match Log'!$A$4:$A$311,'Match Log'!$A$4:$A$311,'Match Log'!$D$4:$D$311,$A15,'Match Log'!$E$4:$E$311,"Loss")))))</f>
        <v>100% of 1</v>
      </c>
      <c r="N15" s="54" t="str">
        <f>IF($A15=N$4,"—",IF((SUMPRODUCT(('Match Log'!$D$4:$D$311=$A15)*('Match Log'!$E$4:$E$311="Win")*COUNTIFS('Match Log'!$A$4:$A$311,'Match Log'!$A$4:$A$311,'Match Log'!$D$4:$D$311,N$4,'Match Log'!$E$4:$E$311,"Loss"))+SUMPRODUCT(('Match Log'!$D$4:$D$311=N$4)*('Match Log'!$E$4:$E$311="Win")*COUNTIFS('Match Log'!$A$4:$A$311,'Match Log'!$A$4:$A$311,'Match Log'!$D$4:$D$311,$A15,'Match Log'!$E$4:$E$311,"Loss")))=0,"",TEXT(SUMPRODUCT(('Match Log'!$D$4:$D$311=$A15)*('Match Log'!$E$4:$E$311="Win")*COUNTIFS('Match Log'!$A$4:$A$311,'Match Log'!$A$4:$A$311,'Match Log'!$D$4:$D$311,N$4,'Match Log'!$E$4:$E$311,"Loss"))/(SUMPRODUCT(('Match Log'!$D$4:$D$311=$A15)*('Match Log'!$E$4:$E$311="Win")*COUNTIFS('Match Log'!$A$4:$A$311,'Match Log'!$A$4:$A$311,'Match Log'!$D$4:$D$311,N$4,'Match Log'!$E$4:$E$311,"Loss"))+SUMPRODUCT(('Match Log'!$D$4:$D$311=N$4)*('Match Log'!$E$4:$E$311="Win")*COUNTIFS('Match Log'!$A$4:$A$311,'Match Log'!$A$4:$A$311,'Match Log'!$D$4:$D$311,$A15,'Match Log'!$E$4:$E$311,"Loss"))),"0%")&amp;" of "&amp;(SUMPRODUCT(('Match Log'!$D$4:$D$311=$A15)*('Match Log'!$E$4:$E$311="Win")*COUNTIFS('Match Log'!$A$4:$A$311,'Match Log'!$A$4:$A$311,'Match Log'!$D$4:$D$311,N$4,'Match Log'!$E$4:$E$311,"Loss"))+SUMPRODUCT(('Match Log'!$D$4:$D$311=N$4)*('Match Log'!$E$4:$E$311="Win")*COUNTIFS('Match Log'!$A$4:$A$311,'Match Log'!$A$4:$A$311,'Match Log'!$D$4:$D$311,$A15,'Match Log'!$E$4:$E$311,"Loss")))))</f>
        <v>50% of 2</v>
      </c>
      <c r="O15" s="54" t="str">
        <f>IF($A15=O$4,"—",IF((SUMPRODUCT(('Match Log'!$D$4:$D$311=$A15)*('Match Log'!$E$4:$E$311="Win")*COUNTIFS('Match Log'!$A$4:$A$311,'Match Log'!$A$4:$A$311,'Match Log'!$D$4:$D$311,O$4,'Match Log'!$E$4:$E$311,"Loss"))+SUMPRODUCT(('Match Log'!$D$4:$D$311=O$4)*('Match Log'!$E$4:$E$311="Win")*COUNTIFS('Match Log'!$A$4:$A$311,'Match Log'!$A$4:$A$311,'Match Log'!$D$4:$D$311,$A15,'Match Log'!$E$4:$E$311,"Loss")))=0,"",TEXT(SUMPRODUCT(('Match Log'!$D$4:$D$311=$A15)*('Match Log'!$E$4:$E$311="Win")*COUNTIFS('Match Log'!$A$4:$A$311,'Match Log'!$A$4:$A$311,'Match Log'!$D$4:$D$311,O$4,'Match Log'!$E$4:$E$311,"Loss"))/(SUMPRODUCT(('Match Log'!$D$4:$D$311=$A15)*('Match Log'!$E$4:$E$311="Win")*COUNTIFS('Match Log'!$A$4:$A$311,'Match Log'!$A$4:$A$311,'Match Log'!$D$4:$D$311,O$4,'Match Log'!$E$4:$E$311,"Loss"))+SUMPRODUCT(('Match Log'!$D$4:$D$311=O$4)*('Match Log'!$E$4:$E$311="Win")*COUNTIFS('Match Log'!$A$4:$A$311,'Match Log'!$A$4:$A$311,'Match Log'!$D$4:$D$311,$A15,'Match Log'!$E$4:$E$311,"Loss"))),"0%")&amp;" of "&amp;(SUMPRODUCT(('Match Log'!$D$4:$D$311=$A15)*('Match Log'!$E$4:$E$311="Win")*COUNTIFS('Match Log'!$A$4:$A$311,'Match Log'!$A$4:$A$311,'Match Log'!$D$4:$D$311,O$4,'Match Log'!$E$4:$E$311,"Loss"))+SUMPRODUCT(('Match Log'!$D$4:$D$311=O$4)*('Match Log'!$E$4:$E$311="Win")*COUNTIFS('Match Log'!$A$4:$A$311,'Match Log'!$A$4:$A$311,'Match Log'!$D$4:$D$311,$A15,'Match Log'!$E$4:$E$311,"Loss")))))</f>
        <v/>
      </c>
    </row>
    <row r="16" spans="1:15" ht="15" customHeight="1" x14ac:dyDescent="0.2">
      <c r="A16" s="49" t="s">
        <v>178</v>
      </c>
      <c r="B16" s="54" t="str">
        <f>IF($A16=B$4,"—",IF((SUMPRODUCT(('Match Log'!$D$4:$D$311=$A16)*('Match Log'!$E$4:$E$311="Win")*COUNTIFS('Match Log'!$A$4:$A$311,'Match Log'!$A$4:$A$311,'Match Log'!$D$4:$D$311,B$4,'Match Log'!$E$4:$E$311,"Loss"))+SUMPRODUCT(('Match Log'!$D$4:$D$311=B$4)*('Match Log'!$E$4:$E$311="Win")*COUNTIFS('Match Log'!$A$4:$A$311,'Match Log'!$A$4:$A$311,'Match Log'!$D$4:$D$311,$A16,'Match Log'!$E$4:$E$311,"Loss")))=0,"",TEXT(SUMPRODUCT(('Match Log'!$D$4:$D$311=$A16)*('Match Log'!$E$4:$E$311="Win")*COUNTIFS('Match Log'!$A$4:$A$311,'Match Log'!$A$4:$A$311,'Match Log'!$D$4:$D$311,B$4,'Match Log'!$E$4:$E$311,"Loss"))/(SUMPRODUCT(('Match Log'!$D$4:$D$311=$A16)*('Match Log'!$E$4:$E$311="Win")*COUNTIFS('Match Log'!$A$4:$A$311,'Match Log'!$A$4:$A$311,'Match Log'!$D$4:$D$311,B$4,'Match Log'!$E$4:$E$311,"Loss"))+SUMPRODUCT(('Match Log'!$D$4:$D$311=B$4)*('Match Log'!$E$4:$E$311="Win")*COUNTIFS('Match Log'!$A$4:$A$311,'Match Log'!$A$4:$A$311,'Match Log'!$D$4:$D$311,$A16,'Match Log'!$E$4:$E$311,"Loss"))),"0%")&amp;" of "&amp;(SUMPRODUCT(('Match Log'!$D$4:$D$311=$A16)*('Match Log'!$E$4:$E$311="Win")*COUNTIFS('Match Log'!$A$4:$A$311,'Match Log'!$A$4:$A$311,'Match Log'!$D$4:$D$311,B$4,'Match Log'!$E$4:$E$311,"Loss"))+SUMPRODUCT(('Match Log'!$D$4:$D$311=B$4)*('Match Log'!$E$4:$E$311="Win")*COUNTIFS('Match Log'!$A$4:$A$311,'Match Log'!$A$4:$A$311,'Match Log'!$D$4:$D$311,$A16,'Match Log'!$E$4:$E$311,"Loss")))))</f>
        <v>100% of 1</v>
      </c>
      <c r="C16" s="54" t="str">
        <f>IF($A16=C$4,"—",IF((SUMPRODUCT(('Match Log'!$D$4:$D$311=$A16)*('Match Log'!$E$4:$E$311="Win")*COUNTIFS('Match Log'!$A$4:$A$311,'Match Log'!$A$4:$A$311,'Match Log'!$D$4:$D$311,C$4,'Match Log'!$E$4:$E$311,"Loss"))+SUMPRODUCT(('Match Log'!$D$4:$D$311=C$4)*('Match Log'!$E$4:$E$311="Win")*COUNTIFS('Match Log'!$A$4:$A$311,'Match Log'!$A$4:$A$311,'Match Log'!$D$4:$D$311,$A16,'Match Log'!$E$4:$E$311,"Loss")))=0,"",TEXT(SUMPRODUCT(('Match Log'!$D$4:$D$311=$A16)*('Match Log'!$E$4:$E$311="Win")*COUNTIFS('Match Log'!$A$4:$A$311,'Match Log'!$A$4:$A$311,'Match Log'!$D$4:$D$311,C$4,'Match Log'!$E$4:$E$311,"Loss"))/(SUMPRODUCT(('Match Log'!$D$4:$D$311=$A16)*('Match Log'!$E$4:$E$311="Win")*COUNTIFS('Match Log'!$A$4:$A$311,'Match Log'!$A$4:$A$311,'Match Log'!$D$4:$D$311,C$4,'Match Log'!$E$4:$E$311,"Loss"))+SUMPRODUCT(('Match Log'!$D$4:$D$311=C$4)*('Match Log'!$E$4:$E$311="Win")*COUNTIFS('Match Log'!$A$4:$A$311,'Match Log'!$A$4:$A$311,'Match Log'!$D$4:$D$311,$A16,'Match Log'!$E$4:$E$311,"Loss"))),"0%")&amp;" of "&amp;(SUMPRODUCT(('Match Log'!$D$4:$D$311=$A16)*('Match Log'!$E$4:$E$311="Win")*COUNTIFS('Match Log'!$A$4:$A$311,'Match Log'!$A$4:$A$311,'Match Log'!$D$4:$D$311,C$4,'Match Log'!$E$4:$E$311,"Loss"))+SUMPRODUCT(('Match Log'!$D$4:$D$311=C$4)*('Match Log'!$E$4:$E$311="Win")*COUNTIFS('Match Log'!$A$4:$A$311,'Match Log'!$A$4:$A$311,'Match Log'!$D$4:$D$311,$A16,'Match Log'!$E$4:$E$311,"Loss")))))</f>
        <v>100% of 1</v>
      </c>
      <c r="D16" s="54" t="str">
        <f>IF($A16=D$4,"—",IF((SUMPRODUCT(('Match Log'!$D$4:$D$311=$A16)*('Match Log'!$E$4:$E$311="Win")*COUNTIFS('Match Log'!$A$4:$A$311,'Match Log'!$A$4:$A$311,'Match Log'!$D$4:$D$311,D$4,'Match Log'!$E$4:$E$311,"Loss"))+SUMPRODUCT(('Match Log'!$D$4:$D$311=D$4)*('Match Log'!$E$4:$E$311="Win")*COUNTIFS('Match Log'!$A$4:$A$311,'Match Log'!$A$4:$A$311,'Match Log'!$D$4:$D$311,$A16,'Match Log'!$E$4:$E$311,"Loss")))=0,"",TEXT(SUMPRODUCT(('Match Log'!$D$4:$D$311=$A16)*('Match Log'!$E$4:$E$311="Win")*COUNTIFS('Match Log'!$A$4:$A$311,'Match Log'!$A$4:$A$311,'Match Log'!$D$4:$D$311,D$4,'Match Log'!$E$4:$E$311,"Loss"))/(SUMPRODUCT(('Match Log'!$D$4:$D$311=$A16)*('Match Log'!$E$4:$E$311="Win")*COUNTIFS('Match Log'!$A$4:$A$311,'Match Log'!$A$4:$A$311,'Match Log'!$D$4:$D$311,D$4,'Match Log'!$E$4:$E$311,"Loss"))+SUMPRODUCT(('Match Log'!$D$4:$D$311=D$4)*('Match Log'!$E$4:$E$311="Win")*COUNTIFS('Match Log'!$A$4:$A$311,'Match Log'!$A$4:$A$311,'Match Log'!$D$4:$D$311,$A16,'Match Log'!$E$4:$E$311,"Loss"))),"0%")&amp;" of "&amp;(SUMPRODUCT(('Match Log'!$D$4:$D$311=$A16)*('Match Log'!$E$4:$E$311="Win")*COUNTIFS('Match Log'!$A$4:$A$311,'Match Log'!$A$4:$A$311,'Match Log'!$D$4:$D$311,D$4,'Match Log'!$E$4:$E$311,"Loss"))+SUMPRODUCT(('Match Log'!$D$4:$D$311=D$4)*('Match Log'!$E$4:$E$311="Win")*COUNTIFS('Match Log'!$A$4:$A$311,'Match Log'!$A$4:$A$311,'Match Log'!$D$4:$D$311,$A16,'Match Log'!$E$4:$E$311,"Loss")))))</f>
        <v/>
      </c>
      <c r="E16" s="54" t="str">
        <f>IF($A16=E$4,"—",IF((SUMPRODUCT(('Match Log'!$D$4:$D$311=$A16)*('Match Log'!$E$4:$E$311="Win")*COUNTIFS('Match Log'!$A$4:$A$311,'Match Log'!$A$4:$A$311,'Match Log'!$D$4:$D$311,E$4,'Match Log'!$E$4:$E$311,"Loss"))+SUMPRODUCT(('Match Log'!$D$4:$D$311=E$4)*('Match Log'!$E$4:$E$311="Win")*COUNTIFS('Match Log'!$A$4:$A$311,'Match Log'!$A$4:$A$311,'Match Log'!$D$4:$D$311,$A16,'Match Log'!$E$4:$E$311,"Loss")))=0,"",TEXT(SUMPRODUCT(('Match Log'!$D$4:$D$311=$A16)*('Match Log'!$E$4:$E$311="Win")*COUNTIFS('Match Log'!$A$4:$A$311,'Match Log'!$A$4:$A$311,'Match Log'!$D$4:$D$311,E$4,'Match Log'!$E$4:$E$311,"Loss"))/(SUMPRODUCT(('Match Log'!$D$4:$D$311=$A16)*('Match Log'!$E$4:$E$311="Win")*COUNTIFS('Match Log'!$A$4:$A$311,'Match Log'!$A$4:$A$311,'Match Log'!$D$4:$D$311,E$4,'Match Log'!$E$4:$E$311,"Loss"))+SUMPRODUCT(('Match Log'!$D$4:$D$311=E$4)*('Match Log'!$E$4:$E$311="Win")*COUNTIFS('Match Log'!$A$4:$A$311,'Match Log'!$A$4:$A$311,'Match Log'!$D$4:$D$311,$A16,'Match Log'!$E$4:$E$311,"Loss"))),"0%")&amp;" of "&amp;(SUMPRODUCT(('Match Log'!$D$4:$D$311=$A16)*('Match Log'!$E$4:$E$311="Win")*COUNTIFS('Match Log'!$A$4:$A$311,'Match Log'!$A$4:$A$311,'Match Log'!$D$4:$D$311,E$4,'Match Log'!$E$4:$E$311,"Loss"))+SUMPRODUCT(('Match Log'!$D$4:$D$311=E$4)*('Match Log'!$E$4:$E$311="Win")*COUNTIFS('Match Log'!$A$4:$A$311,'Match Log'!$A$4:$A$311,'Match Log'!$D$4:$D$311,$A16,'Match Log'!$E$4:$E$311,"Loss")))))</f>
        <v/>
      </c>
      <c r="F16" s="54" t="str">
        <f>IF($A16=F$4,"—",IF((SUMPRODUCT(('Match Log'!$D$4:$D$311=$A16)*('Match Log'!$E$4:$E$311="Win")*COUNTIFS('Match Log'!$A$4:$A$311,'Match Log'!$A$4:$A$311,'Match Log'!$D$4:$D$311,F$4,'Match Log'!$E$4:$E$311,"Loss"))+SUMPRODUCT(('Match Log'!$D$4:$D$311=F$4)*('Match Log'!$E$4:$E$311="Win")*COUNTIFS('Match Log'!$A$4:$A$311,'Match Log'!$A$4:$A$311,'Match Log'!$D$4:$D$311,$A16,'Match Log'!$E$4:$E$311,"Loss")))=0,"",TEXT(SUMPRODUCT(('Match Log'!$D$4:$D$311=$A16)*('Match Log'!$E$4:$E$311="Win")*COUNTIFS('Match Log'!$A$4:$A$311,'Match Log'!$A$4:$A$311,'Match Log'!$D$4:$D$311,F$4,'Match Log'!$E$4:$E$311,"Loss"))/(SUMPRODUCT(('Match Log'!$D$4:$D$311=$A16)*('Match Log'!$E$4:$E$311="Win")*COUNTIFS('Match Log'!$A$4:$A$311,'Match Log'!$A$4:$A$311,'Match Log'!$D$4:$D$311,F$4,'Match Log'!$E$4:$E$311,"Loss"))+SUMPRODUCT(('Match Log'!$D$4:$D$311=F$4)*('Match Log'!$E$4:$E$311="Win")*COUNTIFS('Match Log'!$A$4:$A$311,'Match Log'!$A$4:$A$311,'Match Log'!$D$4:$D$311,$A16,'Match Log'!$E$4:$E$311,"Loss"))),"0%")&amp;" of "&amp;(SUMPRODUCT(('Match Log'!$D$4:$D$311=$A16)*('Match Log'!$E$4:$E$311="Win")*COUNTIFS('Match Log'!$A$4:$A$311,'Match Log'!$A$4:$A$311,'Match Log'!$D$4:$D$311,F$4,'Match Log'!$E$4:$E$311,"Loss"))+SUMPRODUCT(('Match Log'!$D$4:$D$311=F$4)*('Match Log'!$E$4:$E$311="Win")*COUNTIFS('Match Log'!$A$4:$A$311,'Match Log'!$A$4:$A$311,'Match Log'!$D$4:$D$311,$A16,'Match Log'!$E$4:$E$311,"Loss")))))</f>
        <v>100% of 1</v>
      </c>
      <c r="G16" s="54" t="str">
        <f>IF($A16=G$4,"—",IF((SUMPRODUCT(('Match Log'!$D$4:$D$311=$A16)*('Match Log'!$E$4:$E$311="Win")*COUNTIFS('Match Log'!$A$4:$A$311,'Match Log'!$A$4:$A$311,'Match Log'!$D$4:$D$311,G$4,'Match Log'!$E$4:$E$311,"Loss"))+SUMPRODUCT(('Match Log'!$D$4:$D$311=G$4)*('Match Log'!$E$4:$E$311="Win")*COUNTIFS('Match Log'!$A$4:$A$311,'Match Log'!$A$4:$A$311,'Match Log'!$D$4:$D$311,$A16,'Match Log'!$E$4:$E$311,"Loss")))=0,"",TEXT(SUMPRODUCT(('Match Log'!$D$4:$D$311=$A16)*('Match Log'!$E$4:$E$311="Win")*COUNTIFS('Match Log'!$A$4:$A$311,'Match Log'!$A$4:$A$311,'Match Log'!$D$4:$D$311,G$4,'Match Log'!$E$4:$E$311,"Loss"))/(SUMPRODUCT(('Match Log'!$D$4:$D$311=$A16)*('Match Log'!$E$4:$E$311="Win")*COUNTIFS('Match Log'!$A$4:$A$311,'Match Log'!$A$4:$A$311,'Match Log'!$D$4:$D$311,G$4,'Match Log'!$E$4:$E$311,"Loss"))+SUMPRODUCT(('Match Log'!$D$4:$D$311=G$4)*('Match Log'!$E$4:$E$311="Win")*COUNTIFS('Match Log'!$A$4:$A$311,'Match Log'!$A$4:$A$311,'Match Log'!$D$4:$D$311,$A16,'Match Log'!$E$4:$E$311,"Loss"))),"0%")&amp;" of "&amp;(SUMPRODUCT(('Match Log'!$D$4:$D$311=$A16)*('Match Log'!$E$4:$E$311="Win")*COUNTIFS('Match Log'!$A$4:$A$311,'Match Log'!$A$4:$A$311,'Match Log'!$D$4:$D$311,G$4,'Match Log'!$E$4:$E$311,"Loss"))+SUMPRODUCT(('Match Log'!$D$4:$D$311=G$4)*('Match Log'!$E$4:$E$311="Win")*COUNTIFS('Match Log'!$A$4:$A$311,'Match Log'!$A$4:$A$311,'Match Log'!$D$4:$D$311,$A16,'Match Log'!$E$4:$E$311,"Loss")))))</f>
        <v>100% of 1</v>
      </c>
      <c r="H16" s="54" t="str">
        <f>IF($A16=H$4,"—",IF((SUMPRODUCT(('Match Log'!$D$4:$D$311=$A16)*('Match Log'!$E$4:$E$311="Win")*COUNTIFS('Match Log'!$A$4:$A$311,'Match Log'!$A$4:$A$311,'Match Log'!$D$4:$D$311,H$4,'Match Log'!$E$4:$E$311,"Loss"))+SUMPRODUCT(('Match Log'!$D$4:$D$311=H$4)*('Match Log'!$E$4:$E$311="Win")*COUNTIFS('Match Log'!$A$4:$A$311,'Match Log'!$A$4:$A$311,'Match Log'!$D$4:$D$311,$A16,'Match Log'!$E$4:$E$311,"Loss")))=0,"",TEXT(SUMPRODUCT(('Match Log'!$D$4:$D$311=$A16)*('Match Log'!$E$4:$E$311="Win")*COUNTIFS('Match Log'!$A$4:$A$311,'Match Log'!$A$4:$A$311,'Match Log'!$D$4:$D$311,H$4,'Match Log'!$E$4:$E$311,"Loss"))/(SUMPRODUCT(('Match Log'!$D$4:$D$311=$A16)*('Match Log'!$E$4:$E$311="Win")*COUNTIFS('Match Log'!$A$4:$A$311,'Match Log'!$A$4:$A$311,'Match Log'!$D$4:$D$311,H$4,'Match Log'!$E$4:$E$311,"Loss"))+SUMPRODUCT(('Match Log'!$D$4:$D$311=H$4)*('Match Log'!$E$4:$E$311="Win")*COUNTIFS('Match Log'!$A$4:$A$311,'Match Log'!$A$4:$A$311,'Match Log'!$D$4:$D$311,$A16,'Match Log'!$E$4:$E$311,"Loss"))),"0%")&amp;" of "&amp;(SUMPRODUCT(('Match Log'!$D$4:$D$311=$A16)*('Match Log'!$E$4:$E$311="Win")*COUNTIFS('Match Log'!$A$4:$A$311,'Match Log'!$A$4:$A$311,'Match Log'!$D$4:$D$311,H$4,'Match Log'!$E$4:$E$311,"Loss"))+SUMPRODUCT(('Match Log'!$D$4:$D$311=H$4)*('Match Log'!$E$4:$E$311="Win")*COUNTIFS('Match Log'!$A$4:$A$311,'Match Log'!$A$4:$A$311,'Match Log'!$D$4:$D$311,$A16,'Match Log'!$E$4:$E$311,"Loss")))))</f>
        <v>0% of 1</v>
      </c>
      <c r="I16" s="54" t="str">
        <f>IF($A16=I$4,"—",IF((SUMPRODUCT(('Match Log'!$D$4:$D$311=$A16)*('Match Log'!$E$4:$E$311="Win")*COUNTIFS('Match Log'!$A$4:$A$311,'Match Log'!$A$4:$A$311,'Match Log'!$D$4:$D$311,I$4,'Match Log'!$E$4:$E$311,"Loss"))+SUMPRODUCT(('Match Log'!$D$4:$D$311=I$4)*('Match Log'!$E$4:$E$311="Win")*COUNTIFS('Match Log'!$A$4:$A$311,'Match Log'!$A$4:$A$311,'Match Log'!$D$4:$D$311,$A16,'Match Log'!$E$4:$E$311,"Loss")))=0,"",TEXT(SUMPRODUCT(('Match Log'!$D$4:$D$311=$A16)*('Match Log'!$E$4:$E$311="Win")*COUNTIFS('Match Log'!$A$4:$A$311,'Match Log'!$A$4:$A$311,'Match Log'!$D$4:$D$311,I$4,'Match Log'!$E$4:$E$311,"Loss"))/(SUMPRODUCT(('Match Log'!$D$4:$D$311=$A16)*('Match Log'!$E$4:$E$311="Win")*COUNTIFS('Match Log'!$A$4:$A$311,'Match Log'!$A$4:$A$311,'Match Log'!$D$4:$D$311,I$4,'Match Log'!$E$4:$E$311,"Loss"))+SUMPRODUCT(('Match Log'!$D$4:$D$311=I$4)*('Match Log'!$E$4:$E$311="Win")*COUNTIFS('Match Log'!$A$4:$A$311,'Match Log'!$A$4:$A$311,'Match Log'!$D$4:$D$311,$A16,'Match Log'!$E$4:$E$311,"Loss"))),"0%")&amp;" of "&amp;(SUMPRODUCT(('Match Log'!$D$4:$D$311=$A16)*('Match Log'!$E$4:$E$311="Win")*COUNTIFS('Match Log'!$A$4:$A$311,'Match Log'!$A$4:$A$311,'Match Log'!$D$4:$D$311,I$4,'Match Log'!$E$4:$E$311,"Loss"))+SUMPRODUCT(('Match Log'!$D$4:$D$311=I$4)*('Match Log'!$E$4:$E$311="Win")*COUNTIFS('Match Log'!$A$4:$A$311,'Match Log'!$A$4:$A$311,'Match Log'!$D$4:$D$311,$A16,'Match Log'!$E$4:$E$311,"Loss")))))</f>
        <v>0% of 2</v>
      </c>
      <c r="J16" s="54" t="str">
        <f>IF($A16=J$4,"—",IF((SUMPRODUCT(('Match Log'!$D$4:$D$311=$A16)*('Match Log'!$E$4:$E$311="Win")*COUNTIFS('Match Log'!$A$4:$A$311,'Match Log'!$A$4:$A$311,'Match Log'!$D$4:$D$311,J$4,'Match Log'!$E$4:$E$311,"Loss"))+SUMPRODUCT(('Match Log'!$D$4:$D$311=J$4)*('Match Log'!$E$4:$E$311="Win")*COUNTIFS('Match Log'!$A$4:$A$311,'Match Log'!$A$4:$A$311,'Match Log'!$D$4:$D$311,$A16,'Match Log'!$E$4:$E$311,"Loss")))=0,"",TEXT(SUMPRODUCT(('Match Log'!$D$4:$D$311=$A16)*('Match Log'!$E$4:$E$311="Win")*COUNTIFS('Match Log'!$A$4:$A$311,'Match Log'!$A$4:$A$311,'Match Log'!$D$4:$D$311,J$4,'Match Log'!$E$4:$E$311,"Loss"))/(SUMPRODUCT(('Match Log'!$D$4:$D$311=$A16)*('Match Log'!$E$4:$E$311="Win")*COUNTIFS('Match Log'!$A$4:$A$311,'Match Log'!$A$4:$A$311,'Match Log'!$D$4:$D$311,J$4,'Match Log'!$E$4:$E$311,"Loss"))+SUMPRODUCT(('Match Log'!$D$4:$D$311=J$4)*('Match Log'!$E$4:$E$311="Win")*COUNTIFS('Match Log'!$A$4:$A$311,'Match Log'!$A$4:$A$311,'Match Log'!$D$4:$D$311,$A16,'Match Log'!$E$4:$E$311,"Loss"))),"0%")&amp;" of "&amp;(SUMPRODUCT(('Match Log'!$D$4:$D$311=$A16)*('Match Log'!$E$4:$E$311="Win")*COUNTIFS('Match Log'!$A$4:$A$311,'Match Log'!$A$4:$A$311,'Match Log'!$D$4:$D$311,J$4,'Match Log'!$E$4:$E$311,"Loss"))+SUMPRODUCT(('Match Log'!$D$4:$D$311=J$4)*('Match Log'!$E$4:$E$311="Win")*COUNTIFS('Match Log'!$A$4:$A$311,'Match Log'!$A$4:$A$311,'Match Log'!$D$4:$D$311,$A16,'Match Log'!$E$4:$E$311,"Loss")))))</f>
        <v>0% of 2</v>
      </c>
      <c r="K16" s="54" t="str">
        <f>IF($A16=K$4,"—",IF((SUMPRODUCT(('Match Log'!$D$4:$D$311=$A16)*('Match Log'!$E$4:$E$311="Win")*COUNTIFS('Match Log'!$A$4:$A$311,'Match Log'!$A$4:$A$311,'Match Log'!$D$4:$D$311,K$4,'Match Log'!$E$4:$E$311,"Loss"))+SUMPRODUCT(('Match Log'!$D$4:$D$311=K$4)*('Match Log'!$E$4:$E$311="Win")*COUNTIFS('Match Log'!$A$4:$A$311,'Match Log'!$A$4:$A$311,'Match Log'!$D$4:$D$311,$A16,'Match Log'!$E$4:$E$311,"Loss")))=0,"",TEXT(SUMPRODUCT(('Match Log'!$D$4:$D$311=$A16)*('Match Log'!$E$4:$E$311="Win")*COUNTIFS('Match Log'!$A$4:$A$311,'Match Log'!$A$4:$A$311,'Match Log'!$D$4:$D$311,K$4,'Match Log'!$E$4:$E$311,"Loss"))/(SUMPRODUCT(('Match Log'!$D$4:$D$311=$A16)*('Match Log'!$E$4:$E$311="Win")*COUNTIFS('Match Log'!$A$4:$A$311,'Match Log'!$A$4:$A$311,'Match Log'!$D$4:$D$311,K$4,'Match Log'!$E$4:$E$311,"Loss"))+SUMPRODUCT(('Match Log'!$D$4:$D$311=K$4)*('Match Log'!$E$4:$E$311="Win")*COUNTIFS('Match Log'!$A$4:$A$311,'Match Log'!$A$4:$A$311,'Match Log'!$D$4:$D$311,$A16,'Match Log'!$E$4:$E$311,"Loss"))),"0%")&amp;" of "&amp;(SUMPRODUCT(('Match Log'!$D$4:$D$311=$A16)*('Match Log'!$E$4:$E$311="Win")*COUNTIFS('Match Log'!$A$4:$A$311,'Match Log'!$A$4:$A$311,'Match Log'!$D$4:$D$311,K$4,'Match Log'!$E$4:$E$311,"Loss"))+SUMPRODUCT(('Match Log'!$D$4:$D$311=K$4)*('Match Log'!$E$4:$E$311="Win")*COUNTIFS('Match Log'!$A$4:$A$311,'Match Log'!$A$4:$A$311,'Match Log'!$D$4:$D$311,$A16,'Match Log'!$E$4:$E$311,"Loss")))))</f>
        <v/>
      </c>
      <c r="L16" s="54" t="str">
        <f>IF($A16=L$4,"—",IF((SUMPRODUCT(('Match Log'!$D$4:$D$311=$A16)*('Match Log'!$E$4:$E$311="Win")*COUNTIFS('Match Log'!$A$4:$A$311,'Match Log'!$A$4:$A$311,'Match Log'!$D$4:$D$311,L$4,'Match Log'!$E$4:$E$311,"Loss"))+SUMPRODUCT(('Match Log'!$D$4:$D$311=L$4)*('Match Log'!$E$4:$E$311="Win")*COUNTIFS('Match Log'!$A$4:$A$311,'Match Log'!$A$4:$A$311,'Match Log'!$D$4:$D$311,$A16,'Match Log'!$E$4:$E$311,"Loss")))=0,"",TEXT(SUMPRODUCT(('Match Log'!$D$4:$D$311=$A16)*('Match Log'!$E$4:$E$311="Win")*COUNTIFS('Match Log'!$A$4:$A$311,'Match Log'!$A$4:$A$311,'Match Log'!$D$4:$D$311,L$4,'Match Log'!$E$4:$E$311,"Loss"))/(SUMPRODUCT(('Match Log'!$D$4:$D$311=$A16)*('Match Log'!$E$4:$E$311="Win")*COUNTIFS('Match Log'!$A$4:$A$311,'Match Log'!$A$4:$A$311,'Match Log'!$D$4:$D$311,L$4,'Match Log'!$E$4:$E$311,"Loss"))+SUMPRODUCT(('Match Log'!$D$4:$D$311=L$4)*('Match Log'!$E$4:$E$311="Win")*COUNTIFS('Match Log'!$A$4:$A$311,'Match Log'!$A$4:$A$311,'Match Log'!$D$4:$D$311,$A16,'Match Log'!$E$4:$E$311,"Loss"))),"0%")&amp;" of "&amp;(SUMPRODUCT(('Match Log'!$D$4:$D$311=$A16)*('Match Log'!$E$4:$E$311="Win")*COUNTIFS('Match Log'!$A$4:$A$311,'Match Log'!$A$4:$A$311,'Match Log'!$D$4:$D$311,L$4,'Match Log'!$E$4:$E$311,"Loss"))+SUMPRODUCT(('Match Log'!$D$4:$D$311=L$4)*('Match Log'!$E$4:$E$311="Win")*COUNTIFS('Match Log'!$A$4:$A$311,'Match Log'!$A$4:$A$311,'Match Log'!$D$4:$D$311,$A16,'Match Log'!$E$4:$E$311,"Loss")))))</f>
        <v>0% of 1</v>
      </c>
      <c r="M16" s="54" t="str">
        <f>IF($A16=M$4,"—",IF((SUMPRODUCT(('Match Log'!$D$4:$D$311=$A16)*('Match Log'!$E$4:$E$311="Win")*COUNTIFS('Match Log'!$A$4:$A$311,'Match Log'!$A$4:$A$311,'Match Log'!$D$4:$D$311,M$4,'Match Log'!$E$4:$E$311,"Loss"))+SUMPRODUCT(('Match Log'!$D$4:$D$311=M$4)*('Match Log'!$E$4:$E$311="Win")*COUNTIFS('Match Log'!$A$4:$A$311,'Match Log'!$A$4:$A$311,'Match Log'!$D$4:$D$311,$A16,'Match Log'!$E$4:$E$311,"Loss")))=0,"",TEXT(SUMPRODUCT(('Match Log'!$D$4:$D$311=$A16)*('Match Log'!$E$4:$E$311="Win")*COUNTIFS('Match Log'!$A$4:$A$311,'Match Log'!$A$4:$A$311,'Match Log'!$D$4:$D$311,M$4,'Match Log'!$E$4:$E$311,"Loss"))/(SUMPRODUCT(('Match Log'!$D$4:$D$311=$A16)*('Match Log'!$E$4:$E$311="Win")*COUNTIFS('Match Log'!$A$4:$A$311,'Match Log'!$A$4:$A$311,'Match Log'!$D$4:$D$311,M$4,'Match Log'!$E$4:$E$311,"Loss"))+SUMPRODUCT(('Match Log'!$D$4:$D$311=M$4)*('Match Log'!$E$4:$E$311="Win")*COUNTIFS('Match Log'!$A$4:$A$311,'Match Log'!$A$4:$A$311,'Match Log'!$D$4:$D$311,$A16,'Match Log'!$E$4:$E$311,"Loss"))),"0%")&amp;" of "&amp;(SUMPRODUCT(('Match Log'!$D$4:$D$311=$A16)*('Match Log'!$E$4:$E$311="Win")*COUNTIFS('Match Log'!$A$4:$A$311,'Match Log'!$A$4:$A$311,'Match Log'!$D$4:$D$311,M$4,'Match Log'!$E$4:$E$311,"Loss"))+SUMPRODUCT(('Match Log'!$D$4:$D$311=M$4)*('Match Log'!$E$4:$E$311="Win")*COUNTIFS('Match Log'!$A$4:$A$311,'Match Log'!$A$4:$A$311,'Match Log'!$D$4:$D$311,$A16,'Match Log'!$E$4:$E$311,"Loss")))))</f>
        <v>—</v>
      </c>
      <c r="N16" s="54" t="str">
        <f>IF($A16=N$4,"—",IF((SUMPRODUCT(('Match Log'!$D$4:$D$311=$A16)*('Match Log'!$E$4:$E$311="Win")*COUNTIFS('Match Log'!$A$4:$A$311,'Match Log'!$A$4:$A$311,'Match Log'!$D$4:$D$311,N$4,'Match Log'!$E$4:$E$311,"Loss"))+SUMPRODUCT(('Match Log'!$D$4:$D$311=N$4)*('Match Log'!$E$4:$E$311="Win")*COUNTIFS('Match Log'!$A$4:$A$311,'Match Log'!$A$4:$A$311,'Match Log'!$D$4:$D$311,$A16,'Match Log'!$E$4:$E$311,"Loss")))=0,"",TEXT(SUMPRODUCT(('Match Log'!$D$4:$D$311=$A16)*('Match Log'!$E$4:$E$311="Win")*COUNTIFS('Match Log'!$A$4:$A$311,'Match Log'!$A$4:$A$311,'Match Log'!$D$4:$D$311,N$4,'Match Log'!$E$4:$E$311,"Loss"))/(SUMPRODUCT(('Match Log'!$D$4:$D$311=$A16)*('Match Log'!$E$4:$E$311="Win")*COUNTIFS('Match Log'!$A$4:$A$311,'Match Log'!$A$4:$A$311,'Match Log'!$D$4:$D$311,N$4,'Match Log'!$E$4:$E$311,"Loss"))+SUMPRODUCT(('Match Log'!$D$4:$D$311=N$4)*('Match Log'!$E$4:$E$311="Win")*COUNTIFS('Match Log'!$A$4:$A$311,'Match Log'!$A$4:$A$311,'Match Log'!$D$4:$D$311,$A16,'Match Log'!$E$4:$E$311,"Loss"))),"0%")&amp;" of "&amp;(SUMPRODUCT(('Match Log'!$D$4:$D$311=$A16)*('Match Log'!$E$4:$E$311="Win")*COUNTIFS('Match Log'!$A$4:$A$311,'Match Log'!$A$4:$A$311,'Match Log'!$D$4:$D$311,N$4,'Match Log'!$E$4:$E$311,"Loss"))+SUMPRODUCT(('Match Log'!$D$4:$D$311=N$4)*('Match Log'!$E$4:$E$311="Win")*COUNTIFS('Match Log'!$A$4:$A$311,'Match Log'!$A$4:$A$311,'Match Log'!$D$4:$D$311,$A16,'Match Log'!$E$4:$E$311,"Loss")))))</f>
        <v/>
      </c>
      <c r="O16" s="54" t="str">
        <f>IF($A16=O$4,"—",IF((SUMPRODUCT(('Match Log'!$D$4:$D$311=$A16)*('Match Log'!$E$4:$E$311="Win")*COUNTIFS('Match Log'!$A$4:$A$311,'Match Log'!$A$4:$A$311,'Match Log'!$D$4:$D$311,O$4,'Match Log'!$E$4:$E$311,"Loss"))+SUMPRODUCT(('Match Log'!$D$4:$D$311=O$4)*('Match Log'!$E$4:$E$311="Win")*COUNTIFS('Match Log'!$A$4:$A$311,'Match Log'!$A$4:$A$311,'Match Log'!$D$4:$D$311,$A16,'Match Log'!$E$4:$E$311,"Loss")))=0,"",TEXT(SUMPRODUCT(('Match Log'!$D$4:$D$311=$A16)*('Match Log'!$E$4:$E$311="Win")*COUNTIFS('Match Log'!$A$4:$A$311,'Match Log'!$A$4:$A$311,'Match Log'!$D$4:$D$311,O$4,'Match Log'!$E$4:$E$311,"Loss"))/(SUMPRODUCT(('Match Log'!$D$4:$D$311=$A16)*('Match Log'!$E$4:$E$311="Win")*COUNTIFS('Match Log'!$A$4:$A$311,'Match Log'!$A$4:$A$311,'Match Log'!$D$4:$D$311,O$4,'Match Log'!$E$4:$E$311,"Loss"))+SUMPRODUCT(('Match Log'!$D$4:$D$311=O$4)*('Match Log'!$E$4:$E$311="Win")*COUNTIFS('Match Log'!$A$4:$A$311,'Match Log'!$A$4:$A$311,'Match Log'!$D$4:$D$311,$A16,'Match Log'!$E$4:$E$311,"Loss"))),"0%")&amp;" of "&amp;(SUMPRODUCT(('Match Log'!$D$4:$D$311=$A16)*('Match Log'!$E$4:$E$311="Win")*COUNTIFS('Match Log'!$A$4:$A$311,'Match Log'!$A$4:$A$311,'Match Log'!$D$4:$D$311,O$4,'Match Log'!$E$4:$E$311,"Loss"))+SUMPRODUCT(('Match Log'!$D$4:$D$311=O$4)*('Match Log'!$E$4:$E$311="Win")*COUNTIFS('Match Log'!$A$4:$A$311,'Match Log'!$A$4:$A$311,'Match Log'!$D$4:$D$311,$A16,'Match Log'!$E$4:$E$311,"Loss")))))</f>
        <v/>
      </c>
    </row>
    <row r="17" spans="1:15" ht="15" customHeight="1" x14ac:dyDescent="0.2">
      <c r="A17" s="49" t="s">
        <v>179</v>
      </c>
      <c r="B17" s="54" t="str">
        <f>IF($A17=B$4,"—",IF((SUMPRODUCT(('Match Log'!$D$4:$D$311=$A17)*('Match Log'!$E$4:$E$311="Win")*COUNTIFS('Match Log'!$A$4:$A$311,'Match Log'!$A$4:$A$311,'Match Log'!$D$4:$D$311,B$4,'Match Log'!$E$4:$E$311,"Loss"))+SUMPRODUCT(('Match Log'!$D$4:$D$311=B$4)*('Match Log'!$E$4:$E$311="Win")*COUNTIFS('Match Log'!$A$4:$A$311,'Match Log'!$A$4:$A$311,'Match Log'!$D$4:$D$311,$A17,'Match Log'!$E$4:$E$311,"Loss")))=0,"",TEXT(SUMPRODUCT(('Match Log'!$D$4:$D$311=$A17)*('Match Log'!$E$4:$E$311="Win")*COUNTIFS('Match Log'!$A$4:$A$311,'Match Log'!$A$4:$A$311,'Match Log'!$D$4:$D$311,B$4,'Match Log'!$E$4:$E$311,"Loss"))/(SUMPRODUCT(('Match Log'!$D$4:$D$311=$A17)*('Match Log'!$E$4:$E$311="Win")*COUNTIFS('Match Log'!$A$4:$A$311,'Match Log'!$A$4:$A$311,'Match Log'!$D$4:$D$311,B$4,'Match Log'!$E$4:$E$311,"Loss"))+SUMPRODUCT(('Match Log'!$D$4:$D$311=B$4)*('Match Log'!$E$4:$E$311="Win")*COUNTIFS('Match Log'!$A$4:$A$311,'Match Log'!$A$4:$A$311,'Match Log'!$D$4:$D$311,$A17,'Match Log'!$E$4:$E$311,"Loss"))),"0%")&amp;" of "&amp;(SUMPRODUCT(('Match Log'!$D$4:$D$311=$A17)*('Match Log'!$E$4:$E$311="Win")*COUNTIFS('Match Log'!$A$4:$A$311,'Match Log'!$A$4:$A$311,'Match Log'!$D$4:$D$311,B$4,'Match Log'!$E$4:$E$311,"Loss"))+SUMPRODUCT(('Match Log'!$D$4:$D$311=B$4)*('Match Log'!$E$4:$E$311="Win")*COUNTIFS('Match Log'!$A$4:$A$311,'Match Log'!$A$4:$A$311,'Match Log'!$D$4:$D$311,$A17,'Match Log'!$E$4:$E$311,"Loss")))))</f>
        <v/>
      </c>
      <c r="C17" s="54" t="str">
        <f>IF($A17=C$4,"—",IF((SUMPRODUCT(('Match Log'!$D$4:$D$311=$A17)*('Match Log'!$E$4:$E$311="Win")*COUNTIFS('Match Log'!$A$4:$A$311,'Match Log'!$A$4:$A$311,'Match Log'!$D$4:$D$311,C$4,'Match Log'!$E$4:$E$311,"Loss"))+SUMPRODUCT(('Match Log'!$D$4:$D$311=C$4)*('Match Log'!$E$4:$E$311="Win")*COUNTIFS('Match Log'!$A$4:$A$311,'Match Log'!$A$4:$A$311,'Match Log'!$D$4:$D$311,$A17,'Match Log'!$E$4:$E$311,"Loss")))=0,"",TEXT(SUMPRODUCT(('Match Log'!$D$4:$D$311=$A17)*('Match Log'!$E$4:$E$311="Win")*COUNTIFS('Match Log'!$A$4:$A$311,'Match Log'!$A$4:$A$311,'Match Log'!$D$4:$D$311,C$4,'Match Log'!$E$4:$E$311,"Loss"))/(SUMPRODUCT(('Match Log'!$D$4:$D$311=$A17)*('Match Log'!$E$4:$E$311="Win")*COUNTIFS('Match Log'!$A$4:$A$311,'Match Log'!$A$4:$A$311,'Match Log'!$D$4:$D$311,C$4,'Match Log'!$E$4:$E$311,"Loss"))+SUMPRODUCT(('Match Log'!$D$4:$D$311=C$4)*('Match Log'!$E$4:$E$311="Win")*COUNTIFS('Match Log'!$A$4:$A$311,'Match Log'!$A$4:$A$311,'Match Log'!$D$4:$D$311,$A17,'Match Log'!$E$4:$E$311,"Loss"))),"0%")&amp;" of "&amp;(SUMPRODUCT(('Match Log'!$D$4:$D$311=$A17)*('Match Log'!$E$4:$E$311="Win")*COUNTIFS('Match Log'!$A$4:$A$311,'Match Log'!$A$4:$A$311,'Match Log'!$D$4:$D$311,C$4,'Match Log'!$E$4:$E$311,"Loss"))+SUMPRODUCT(('Match Log'!$D$4:$D$311=C$4)*('Match Log'!$E$4:$E$311="Win")*COUNTIFS('Match Log'!$A$4:$A$311,'Match Log'!$A$4:$A$311,'Match Log'!$D$4:$D$311,$A17,'Match Log'!$E$4:$E$311,"Loss")))))</f>
        <v/>
      </c>
      <c r="D17" s="54" t="str">
        <f>IF($A17=D$4,"—",IF((SUMPRODUCT(('Match Log'!$D$4:$D$311=$A17)*('Match Log'!$E$4:$E$311="Win")*COUNTIFS('Match Log'!$A$4:$A$311,'Match Log'!$A$4:$A$311,'Match Log'!$D$4:$D$311,D$4,'Match Log'!$E$4:$E$311,"Loss"))+SUMPRODUCT(('Match Log'!$D$4:$D$311=D$4)*('Match Log'!$E$4:$E$311="Win")*COUNTIFS('Match Log'!$A$4:$A$311,'Match Log'!$A$4:$A$311,'Match Log'!$D$4:$D$311,$A17,'Match Log'!$E$4:$E$311,"Loss")))=0,"",TEXT(SUMPRODUCT(('Match Log'!$D$4:$D$311=$A17)*('Match Log'!$E$4:$E$311="Win")*COUNTIFS('Match Log'!$A$4:$A$311,'Match Log'!$A$4:$A$311,'Match Log'!$D$4:$D$311,D$4,'Match Log'!$E$4:$E$311,"Loss"))/(SUMPRODUCT(('Match Log'!$D$4:$D$311=$A17)*('Match Log'!$E$4:$E$311="Win")*COUNTIFS('Match Log'!$A$4:$A$311,'Match Log'!$A$4:$A$311,'Match Log'!$D$4:$D$311,D$4,'Match Log'!$E$4:$E$311,"Loss"))+SUMPRODUCT(('Match Log'!$D$4:$D$311=D$4)*('Match Log'!$E$4:$E$311="Win")*COUNTIFS('Match Log'!$A$4:$A$311,'Match Log'!$A$4:$A$311,'Match Log'!$D$4:$D$311,$A17,'Match Log'!$E$4:$E$311,"Loss"))),"0%")&amp;" of "&amp;(SUMPRODUCT(('Match Log'!$D$4:$D$311=$A17)*('Match Log'!$E$4:$E$311="Win")*COUNTIFS('Match Log'!$A$4:$A$311,'Match Log'!$A$4:$A$311,'Match Log'!$D$4:$D$311,D$4,'Match Log'!$E$4:$E$311,"Loss"))+SUMPRODUCT(('Match Log'!$D$4:$D$311=D$4)*('Match Log'!$E$4:$E$311="Win")*COUNTIFS('Match Log'!$A$4:$A$311,'Match Log'!$A$4:$A$311,'Match Log'!$D$4:$D$311,$A17,'Match Log'!$E$4:$E$311,"Loss")))))</f>
        <v/>
      </c>
      <c r="E17" s="54" t="str">
        <f>IF($A17=E$4,"—",IF((SUMPRODUCT(('Match Log'!$D$4:$D$311=$A17)*('Match Log'!$E$4:$E$311="Win")*COUNTIFS('Match Log'!$A$4:$A$311,'Match Log'!$A$4:$A$311,'Match Log'!$D$4:$D$311,E$4,'Match Log'!$E$4:$E$311,"Loss"))+SUMPRODUCT(('Match Log'!$D$4:$D$311=E$4)*('Match Log'!$E$4:$E$311="Win")*COUNTIFS('Match Log'!$A$4:$A$311,'Match Log'!$A$4:$A$311,'Match Log'!$D$4:$D$311,$A17,'Match Log'!$E$4:$E$311,"Loss")))=0,"",TEXT(SUMPRODUCT(('Match Log'!$D$4:$D$311=$A17)*('Match Log'!$E$4:$E$311="Win")*COUNTIFS('Match Log'!$A$4:$A$311,'Match Log'!$A$4:$A$311,'Match Log'!$D$4:$D$311,E$4,'Match Log'!$E$4:$E$311,"Loss"))/(SUMPRODUCT(('Match Log'!$D$4:$D$311=$A17)*('Match Log'!$E$4:$E$311="Win")*COUNTIFS('Match Log'!$A$4:$A$311,'Match Log'!$A$4:$A$311,'Match Log'!$D$4:$D$311,E$4,'Match Log'!$E$4:$E$311,"Loss"))+SUMPRODUCT(('Match Log'!$D$4:$D$311=E$4)*('Match Log'!$E$4:$E$311="Win")*COUNTIFS('Match Log'!$A$4:$A$311,'Match Log'!$A$4:$A$311,'Match Log'!$D$4:$D$311,$A17,'Match Log'!$E$4:$E$311,"Loss"))),"0%")&amp;" of "&amp;(SUMPRODUCT(('Match Log'!$D$4:$D$311=$A17)*('Match Log'!$E$4:$E$311="Win")*COUNTIFS('Match Log'!$A$4:$A$311,'Match Log'!$A$4:$A$311,'Match Log'!$D$4:$D$311,E$4,'Match Log'!$E$4:$E$311,"Loss"))+SUMPRODUCT(('Match Log'!$D$4:$D$311=E$4)*('Match Log'!$E$4:$E$311="Win")*COUNTIFS('Match Log'!$A$4:$A$311,'Match Log'!$A$4:$A$311,'Match Log'!$D$4:$D$311,$A17,'Match Log'!$E$4:$E$311,"Loss")))))</f>
        <v/>
      </c>
      <c r="F17" s="54" t="str">
        <f>IF($A17=F$4,"—",IF((SUMPRODUCT(('Match Log'!$D$4:$D$311=$A17)*('Match Log'!$E$4:$E$311="Win")*COUNTIFS('Match Log'!$A$4:$A$311,'Match Log'!$A$4:$A$311,'Match Log'!$D$4:$D$311,F$4,'Match Log'!$E$4:$E$311,"Loss"))+SUMPRODUCT(('Match Log'!$D$4:$D$311=F$4)*('Match Log'!$E$4:$E$311="Win")*COUNTIFS('Match Log'!$A$4:$A$311,'Match Log'!$A$4:$A$311,'Match Log'!$D$4:$D$311,$A17,'Match Log'!$E$4:$E$311,"Loss")))=0,"",TEXT(SUMPRODUCT(('Match Log'!$D$4:$D$311=$A17)*('Match Log'!$E$4:$E$311="Win")*COUNTIFS('Match Log'!$A$4:$A$311,'Match Log'!$A$4:$A$311,'Match Log'!$D$4:$D$311,F$4,'Match Log'!$E$4:$E$311,"Loss"))/(SUMPRODUCT(('Match Log'!$D$4:$D$311=$A17)*('Match Log'!$E$4:$E$311="Win")*COUNTIFS('Match Log'!$A$4:$A$311,'Match Log'!$A$4:$A$311,'Match Log'!$D$4:$D$311,F$4,'Match Log'!$E$4:$E$311,"Loss"))+SUMPRODUCT(('Match Log'!$D$4:$D$311=F$4)*('Match Log'!$E$4:$E$311="Win")*COUNTIFS('Match Log'!$A$4:$A$311,'Match Log'!$A$4:$A$311,'Match Log'!$D$4:$D$311,$A17,'Match Log'!$E$4:$E$311,"Loss"))),"0%")&amp;" of "&amp;(SUMPRODUCT(('Match Log'!$D$4:$D$311=$A17)*('Match Log'!$E$4:$E$311="Win")*COUNTIFS('Match Log'!$A$4:$A$311,'Match Log'!$A$4:$A$311,'Match Log'!$D$4:$D$311,F$4,'Match Log'!$E$4:$E$311,"Loss"))+SUMPRODUCT(('Match Log'!$D$4:$D$311=F$4)*('Match Log'!$E$4:$E$311="Win")*COUNTIFS('Match Log'!$A$4:$A$311,'Match Log'!$A$4:$A$311,'Match Log'!$D$4:$D$311,$A17,'Match Log'!$E$4:$E$311,"Loss")))))</f>
        <v>0% of 1</v>
      </c>
      <c r="G17" s="54" t="str">
        <f>IF($A17=G$4,"—",IF((SUMPRODUCT(('Match Log'!$D$4:$D$311=$A17)*('Match Log'!$E$4:$E$311="Win")*COUNTIFS('Match Log'!$A$4:$A$311,'Match Log'!$A$4:$A$311,'Match Log'!$D$4:$D$311,G$4,'Match Log'!$E$4:$E$311,"Loss"))+SUMPRODUCT(('Match Log'!$D$4:$D$311=G$4)*('Match Log'!$E$4:$E$311="Win")*COUNTIFS('Match Log'!$A$4:$A$311,'Match Log'!$A$4:$A$311,'Match Log'!$D$4:$D$311,$A17,'Match Log'!$E$4:$E$311,"Loss")))=0,"",TEXT(SUMPRODUCT(('Match Log'!$D$4:$D$311=$A17)*('Match Log'!$E$4:$E$311="Win")*COUNTIFS('Match Log'!$A$4:$A$311,'Match Log'!$A$4:$A$311,'Match Log'!$D$4:$D$311,G$4,'Match Log'!$E$4:$E$311,"Loss"))/(SUMPRODUCT(('Match Log'!$D$4:$D$311=$A17)*('Match Log'!$E$4:$E$311="Win")*COUNTIFS('Match Log'!$A$4:$A$311,'Match Log'!$A$4:$A$311,'Match Log'!$D$4:$D$311,G$4,'Match Log'!$E$4:$E$311,"Loss"))+SUMPRODUCT(('Match Log'!$D$4:$D$311=G$4)*('Match Log'!$E$4:$E$311="Win")*COUNTIFS('Match Log'!$A$4:$A$311,'Match Log'!$A$4:$A$311,'Match Log'!$D$4:$D$311,$A17,'Match Log'!$E$4:$E$311,"Loss"))),"0%")&amp;" of "&amp;(SUMPRODUCT(('Match Log'!$D$4:$D$311=$A17)*('Match Log'!$E$4:$E$311="Win")*COUNTIFS('Match Log'!$A$4:$A$311,'Match Log'!$A$4:$A$311,'Match Log'!$D$4:$D$311,G$4,'Match Log'!$E$4:$E$311,"Loss"))+SUMPRODUCT(('Match Log'!$D$4:$D$311=G$4)*('Match Log'!$E$4:$E$311="Win")*COUNTIFS('Match Log'!$A$4:$A$311,'Match Log'!$A$4:$A$311,'Match Log'!$D$4:$D$311,$A17,'Match Log'!$E$4:$E$311,"Loss")))))</f>
        <v>0% of 1</v>
      </c>
      <c r="H17" s="54" t="str">
        <f>IF($A17=H$4,"—",IF((SUMPRODUCT(('Match Log'!$D$4:$D$311=$A17)*('Match Log'!$E$4:$E$311="Win")*COUNTIFS('Match Log'!$A$4:$A$311,'Match Log'!$A$4:$A$311,'Match Log'!$D$4:$D$311,H$4,'Match Log'!$E$4:$E$311,"Loss"))+SUMPRODUCT(('Match Log'!$D$4:$D$311=H$4)*('Match Log'!$E$4:$E$311="Win")*COUNTIFS('Match Log'!$A$4:$A$311,'Match Log'!$A$4:$A$311,'Match Log'!$D$4:$D$311,$A17,'Match Log'!$E$4:$E$311,"Loss")))=0,"",TEXT(SUMPRODUCT(('Match Log'!$D$4:$D$311=$A17)*('Match Log'!$E$4:$E$311="Win")*COUNTIFS('Match Log'!$A$4:$A$311,'Match Log'!$A$4:$A$311,'Match Log'!$D$4:$D$311,H$4,'Match Log'!$E$4:$E$311,"Loss"))/(SUMPRODUCT(('Match Log'!$D$4:$D$311=$A17)*('Match Log'!$E$4:$E$311="Win")*COUNTIFS('Match Log'!$A$4:$A$311,'Match Log'!$A$4:$A$311,'Match Log'!$D$4:$D$311,H$4,'Match Log'!$E$4:$E$311,"Loss"))+SUMPRODUCT(('Match Log'!$D$4:$D$311=H$4)*('Match Log'!$E$4:$E$311="Win")*COUNTIFS('Match Log'!$A$4:$A$311,'Match Log'!$A$4:$A$311,'Match Log'!$D$4:$D$311,$A17,'Match Log'!$E$4:$E$311,"Loss"))),"0%")&amp;" of "&amp;(SUMPRODUCT(('Match Log'!$D$4:$D$311=$A17)*('Match Log'!$E$4:$E$311="Win")*COUNTIFS('Match Log'!$A$4:$A$311,'Match Log'!$A$4:$A$311,'Match Log'!$D$4:$D$311,H$4,'Match Log'!$E$4:$E$311,"Loss"))+SUMPRODUCT(('Match Log'!$D$4:$D$311=H$4)*('Match Log'!$E$4:$E$311="Win")*COUNTIFS('Match Log'!$A$4:$A$311,'Match Log'!$A$4:$A$311,'Match Log'!$D$4:$D$311,$A17,'Match Log'!$E$4:$E$311,"Loss")))))</f>
        <v>50% of 2</v>
      </c>
      <c r="I17" s="54" t="str">
        <f>IF($A17=I$4,"—",IF((SUMPRODUCT(('Match Log'!$D$4:$D$311=$A17)*('Match Log'!$E$4:$E$311="Win")*COUNTIFS('Match Log'!$A$4:$A$311,'Match Log'!$A$4:$A$311,'Match Log'!$D$4:$D$311,I$4,'Match Log'!$E$4:$E$311,"Loss"))+SUMPRODUCT(('Match Log'!$D$4:$D$311=I$4)*('Match Log'!$E$4:$E$311="Win")*COUNTIFS('Match Log'!$A$4:$A$311,'Match Log'!$A$4:$A$311,'Match Log'!$D$4:$D$311,$A17,'Match Log'!$E$4:$E$311,"Loss")))=0,"",TEXT(SUMPRODUCT(('Match Log'!$D$4:$D$311=$A17)*('Match Log'!$E$4:$E$311="Win")*COUNTIFS('Match Log'!$A$4:$A$311,'Match Log'!$A$4:$A$311,'Match Log'!$D$4:$D$311,I$4,'Match Log'!$E$4:$E$311,"Loss"))/(SUMPRODUCT(('Match Log'!$D$4:$D$311=$A17)*('Match Log'!$E$4:$E$311="Win")*COUNTIFS('Match Log'!$A$4:$A$311,'Match Log'!$A$4:$A$311,'Match Log'!$D$4:$D$311,I$4,'Match Log'!$E$4:$E$311,"Loss"))+SUMPRODUCT(('Match Log'!$D$4:$D$311=I$4)*('Match Log'!$E$4:$E$311="Win")*COUNTIFS('Match Log'!$A$4:$A$311,'Match Log'!$A$4:$A$311,'Match Log'!$D$4:$D$311,$A17,'Match Log'!$E$4:$E$311,"Loss"))),"0%")&amp;" of "&amp;(SUMPRODUCT(('Match Log'!$D$4:$D$311=$A17)*('Match Log'!$E$4:$E$311="Win")*COUNTIFS('Match Log'!$A$4:$A$311,'Match Log'!$A$4:$A$311,'Match Log'!$D$4:$D$311,I$4,'Match Log'!$E$4:$E$311,"Loss"))+SUMPRODUCT(('Match Log'!$D$4:$D$311=I$4)*('Match Log'!$E$4:$E$311="Win")*COUNTIFS('Match Log'!$A$4:$A$311,'Match Log'!$A$4:$A$311,'Match Log'!$D$4:$D$311,$A17,'Match Log'!$E$4:$E$311,"Loss")))))</f>
        <v>100% of 1</v>
      </c>
      <c r="J17" s="54" t="str">
        <f>IF($A17=J$4,"—",IF((SUMPRODUCT(('Match Log'!$D$4:$D$311=$A17)*('Match Log'!$E$4:$E$311="Win")*COUNTIFS('Match Log'!$A$4:$A$311,'Match Log'!$A$4:$A$311,'Match Log'!$D$4:$D$311,J$4,'Match Log'!$E$4:$E$311,"Loss"))+SUMPRODUCT(('Match Log'!$D$4:$D$311=J$4)*('Match Log'!$E$4:$E$311="Win")*COUNTIFS('Match Log'!$A$4:$A$311,'Match Log'!$A$4:$A$311,'Match Log'!$D$4:$D$311,$A17,'Match Log'!$E$4:$E$311,"Loss")))=0,"",TEXT(SUMPRODUCT(('Match Log'!$D$4:$D$311=$A17)*('Match Log'!$E$4:$E$311="Win")*COUNTIFS('Match Log'!$A$4:$A$311,'Match Log'!$A$4:$A$311,'Match Log'!$D$4:$D$311,J$4,'Match Log'!$E$4:$E$311,"Loss"))/(SUMPRODUCT(('Match Log'!$D$4:$D$311=$A17)*('Match Log'!$E$4:$E$311="Win")*COUNTIFS('Match Log'!$A$4:$A$311,'Match Log'!$A$4:$A$311,'Match Log'!$D$4:$D$311,J$4,'Match Log'!$E$4:$E$311,"Loss"))+SUMPRODUCT(('Match Log'!$D$4:$D$311=J$4)*('Match Log'!$E$4:$E$311="Win")*COUNTIFS('Match Log'!$A$4:$A$311,'Match Log'!$A$4:$A$311,'Match Log'!$D$4:$D$311,$A17,'Match Log'!$E$4:$E$311,"Loss"))),"0%")&amp;" of "&amp;(SUMPRODUCT(('Match Log'!$D$4:$D$311=$A17)*('Match Log'!$E$4:$E$311="Win")*COUNTIFS('Match Log'!$A$4:$A$311,'Match Log'!$A$4:$A$311,'Match Log'!$D$4:$D$311,J$4,'Match Log'!$E$4:$E$311,"Loss"))+SUMPRODUCT(('Match Log'!$D$4:$D$311=J$4)*('Match Log'!$E$4:$E$311="Win")*COUNTIFS('Match Log'!$A$4:$A$311,'Match Log'!$A$4:$A$311,'Match Log'!$D$4:$D$311,$A17,'Match Log'!$E$4:$E$311,"Loss")))))</f>
        <v>100% of 1</v>
      </c>
      <c r="K17" s="54" t="str">
        <f>IF($A17=K$4,"—",IF((SUMPRODUCT(('Match Log'!$D$4:$D$311=$A17)*('Match Log'!$E$4:$E$311="Win")*COUNTIFS('Match Log'!$A$4:$A$311,'Match Log'!$A$4:$A$311,'Match Log'!$D$4:$D$311,K$4,'Match Log'!$E$4:$E$311,"Loss"))+SUMPRODUCT(('Match Log'!$D$4:$D$311=K$4)*('Match Log'!$E$4:$E$311="Win")*COUNTIFS('Match Log'!$A$4:$A$311,'Match Log'!$A$4:$A$311,'Match Log'!$D$4:$D$311,$A17,'Match Log'!$E$4:$E$311,"Loss")))=0,"",TEXT(SUMPRODUCT(('Match Log'!$D$4:$D$311=$A17)*('Match Log'!$E$4:$E$311="Win")*COUNTIFS('Match Log'!$A$4:$A$311,'Match Log'!$A$4:$A$311,'Match Log'!$D$4:$D$311,K$4,'Match Log'!$E$4:$E$311,"Loss"))/(SUMPRODUCT(('Match Log'!$D$4:$D$311=$A17)*('Match Log'!$E$4:$E$311="Win")*COUNTIFS('Match Log'!$A$4:$A$311,'Match Log'!$A$4:$A$311,'Match Log'!$D$4:$D$311,K$4,'Match Log'!$E$4:$E$311,"Loss"))+SUMPRODUCT(('Match Log'!$D$4:$D$311=K$4)*('Match Log'!$E$4:$E$311="Win")*COUNTIFS('Match Log'!$A$4:$A$311,'Match Log'!$A$4:$A$311,'Match Log'!$D$4:$D$311,$A17,'Match Log'!$E$4:$E$311,"Loss"))),"0%")&amp;" of "&amp;(SUMPRODUCT(('Match Log'!$D$4:$D$311=$A17)*('Match Log'!$E$4:$E$311="Win")*COUNTIFS('Match Log'!$A$4:$A$311,'Match Log'!$A$4:$A$311,'Match Log'!$D$4:$D$311,K$4,'Match Log'!$E$4:$E$311,"Loss"))+SUMPRODUCT(('Match Log'!$D$4:$D$311=K$4)*('Match Log'!$E$4:$E$311="Win")*COUNTIFS('Match Log'!$A$4:$A$311,'Match Log'!$A$4:$A$311,'Match Log'!$D$4:$D$311,$A17,'Match Log'!$E$4:$E$311,"Loss")))))</f>
        <v/>
      </c>
      <c r="L17" s="54" t="str">
        <f>IF($A17=L$4,"—",IF((SUMPRODUCT(('Match Log'!$D$4:$D$311=$A17)*('Match Log'!$E$4:$E$311="Win")*COUNTIFS('Match Log'!$A$4:$A$311,'Match Log'!$A$4:$A$311,'Match Log'!$D$4:$D$311,L$4,'Match Log'!$E$4:$E$311,"Loss"))+SUMPRODUCT(('Match Log'!$D$4:$D$311=L$4)*('Match Log'!$E$4:$E$311="Win")*COUNTIFS('Match Log'!$A$4:$A$311,'Match Log'!$A$4:$A$311,'Match Log'!$D$4:$D$311,$A17,'Match Log'!$E$4:$E$311,"Loss")))=0,"",TEXT(SUMPRODUCT(('Match Log'!$D$4:$D$311=$A17)*('Match Log'!$E$4:$E$311="Win")*COUNTIFS('Match Log'!$A$4:$A$311,'Match Log'!$A$4:$A$311,'Match Log'!$D$4:$D$311,L$4,'Match Log'!$E$4:$E$311,"Loss"))/(SUMPRODUCT(('Match Log'!$D$4:$D$311=$A17)*('Match Log'!$E$4:$E$311="Win")*COUNTIFS('Match Log'!$A$4:$A$311,'Match Log'!$A$4:$A$311,'Match Log'!$D$4:$D$311,L$4,'Match Log'!$E$4:$E$311,"Loss"))+SUMPRODUCT(('Match Log'!$D$4:$D$311=L$4)*('Match Log'!$E$4:$E$311="Win")*COUNTIFS('Match Log'!$A$4:$A$311,'Match Log'!$A$4:$A$311,'Match Log'!$D$4:$D$311,$A17,'Match Log'!$E$4:$E$311,"Loss"))),"0%")&amp;" of "&amp;(SUMPRODUCT(('Match Log'!$D$4:$D$311=$A17)*('Match Log'!$E$4:$E$311="Win")*COUNTIFS('Match Log'!$A$4:$A$311,'Match Log'!$A$4:$A$311,'Match Log'!$D$4:$D$311,L$4,'Match Log'!$E$4:$E$311,"Loss"))+SUMPRODUCT(('Match Log'!$D$4:$D$311=L$4)*('Match Log'!$E$4:$E$311="Win")*COUNTIFS('Match Log'!$A$4:$A$311,'Match Log'!$A$4:$A$311,'Match Log'!$D$4:$D$311,$A17,'Match Log'!$E$4:$E$311,"Loss")))))</f>
        <v>50% of 2</v>
      </c>
      <c r="M17" s="54" t="str">
        <f>IF($A17=M$4,"—",IF((SUMPRODUCT(('Match Log'!$D$4:$D$311=$A17)*('Match Log'!$E$4:$E$311="Win")*COUNTIFS('Match Log'!$A$4:$A$311,'Match Log'!$A$4:$A$311,'Match Log'!$D$4:$D$311,M$4,'Match Log'!$E$4:$E$311,"Loss"))+SUMPRODUCT(('Match Log'!$D$4:$D$311=M$4)*('Match Log'!$E$4:$E$311="Win")*COUNTIFS('Match Log'!$A$4:$A$311,'Match Log'!$A$4:$A$311,'Match Log'!$D$4:$D$311,$A17,'Match Log'!$E$4:$E$311,"Loss")))=0,"",TEXT(SUMPRODUCT(('Match Log'!$D$4:$D$311=$A17)*('Match Log'!$E$4:$E$311="Win")*COUNTIFS('Match Log'!$A$4:$A$311,'Match Log'!$A$4:$A$311,'Match Log'!$D$4:$D$311,M$4,'Match Log'!$E$4:$E$311,"Loss"))/(SUMPRODUCT(('Match Log'!$D$4:$D$311=$A17)*('Match Log'!$E$4:$E$311="Win")*COUNTIFS('Match Log'!$A$4:$A$311,'Match Log'!$A$4:$A$311,'Match Log'!$D$4:$D$311,M$4,'Match Log'!$E$4:$E$311,"Loss"))+SUMPRODUCT(('Match Log'!$D$4:$D$311=M$4)*('Match Log'!$E$4:$E$311="Win")*COUNTIFS('Match Log'!$A$4:$A$311,'Match Log'!$A$4:$A$311,'Match Log'!$D$4:$D$311,$A17,'Match Log'!$E$4:$E$311,"Loss"))),"0%")&amp;" of "&amp;(SUMPRODUCT(('Match Log'!$D$4:$D$311=$A17)*('Match Log'!$E$4:$E$311="Win")*COUNTIFS('Match Log'!$A$4:$A$311,'Match Log'!$A$4:$A$311,'Match Log'!$D$4:$D$311,M$4,'Match Log'!$E$4:$E$311,"Loss"))+SUMPRODUCT(('Match Log'!$D$4:$D$311=M$4)*('Match Log'!$E$4:$E$311="Win")*COUNTIFS('Match Log'!$A$4:$A$311,'Match Log'!$A$4:$A$311,'Match Log'!$D$4:$D$311,$A17,'Match Log'!$E$4:$E$311,"Loss")))))</f>
        <v/>
      </c>
      <c r="N17" s="54" t="str">
        <f>IF($A17=N$4,"—",IF((SUMPRODUCT(('Match Log'!$D$4:$D$311=$A17)*('Match Log'!$E$4:$E$311="Win")*COUNTIFS('Match Log'!$A$4:$A$311,'Match Log'!$A$4:$A$311,'Match Log'!$D$4:$D$311,N$4,'Match Log'!$E$4:$E$311,"Loss"))+SUMPRODUCT(('Match Log'!$D$4:$D$311=N$4)*('Match Log'!$E$4:$E$311="Win")*COUNTIFS('Match Log'!$A$4:$A$311,'Match Log'!$A$4:$A$311,'Match Log'!$D$4:$D$311,$A17,'Match Log'!$E$4:$E$311,"Loss")))=0,"",TEXT(SUMPRODUCT(('Match Log'!$D$4:$D$311=$A17)*('Match Log'!$E$4:$E$311="Win")*COUNTIFS('Match Log'!$A$4:$A$311,'Match Log'!$A$4:$A$311,'Match Log'!$D$4:$D$311,N$4,'Match Log'!$E$4:$E$311,"Loss"))/(SUMPRODUCT(('Match Log'!$D$4:$D$311=$A17)*('Match Log'!$E$4:$E$311="Win")*COUNTIFS('Match Log'!$A$4:$A$311,'Match Log'!$A$4:$A$311,'Match Log'!$D$4:$D$311,N$4,'Match Log'!$E$4:$E$311,"Loss"))+SUMPRODUCT(('Match Log'!$D$4:$D$311=N$4)*('Match Log'!$E$4:$E$311="Win")*COUNTIFS('Match Log'!$A$4:$A$311,'Match Log'!$A$4:$A$311,'Match Log'!$D$4:$D$311,$A17,'Match Log'!$E$4:$E$311,"Loss"))),"0%")&amp;" of "&amp;(SUMPRODUCT(('Match Log'!$D$4:$D$311=$A17)*('Match Log'!$E$4:$E$311="Win")*COUNTIFS('Match Log'!$A$4:$A$311,'Match Log'!$A$4:$A$311,'Match Log'!$D$4:$D$311,N$4,'Match Log'!$E$4:$E$311,"Loss"))+SUMPRODUCT(('Match Log'!$D$4:$D$311=N$4)*('Match Log'!$E$4:$E$311="Win")*COUNTIFS('Match Log'!$A$4:$A$311,'Match Log'!$A$4:$A$311,'Match Log'!$D$4:$D$311,$A17,'Match Log'!$E$4:$E$311,"Loss")))))</f>
        <v>—</v>
      </c>
      <c r="O17" s="54" t="str">
        <f>IF($A17=O$4,"—",IF((SUMPRODUCT(('Match Log'!$D$4:$D$311=$A17)*('Match Log'!$E$4:$E$311="Win")*COUNTIFS('Match Log'!$A$4:$A$311,'Match Log'!$A$4:$A$311,'Match Log'!$D$4:$D$311,O$4,'Match Log'!$E$4:$E$311,"Loss"))+SUMPRODUCT(('Match Log'!$D$4:$D$311=O$4)*('Match Log'!$E$4:$E$311="Win")*COUNTIFS('Match Log'!$A$4:$A$311,'Match Log'!$A$4:$A$311,'Match Log'!$D$4:$D$311,$A17,'Match Log'!$E$4:$E$311,"Loss")))=0,"",TEXT(SUMPRODUCT(('Match Log'!$D$4:$D$311=$A17)*('Match Log'!$E$4:$E$311="Win")*COUNTIFS('Match Log'!$A$4:$A$311,'Match Log'!$A$4:$A$311,'Match Log'!$D$4:$D$311,O$4,'Match Log'!$E$4:$E$311,"Loss"))/(SUMPRODUCT(('Match Log'!$D$4:$D$311=$A17)*('Match Log'!$E$4:$E$311="Win")*COUNTIFS('Match Log'!$A$4:$A$311,'Match Log'!$A$4:$A$311,'Match Log'!$D$4:$D$311,O$4,'Match Log'!$E$4:$E$311,"Loss"))+SUMPRODUCT(('Match Log'!$D$4:$D$311=O$4)*('Match Log'!$E$4:$E$311="Win")*COUNTIFS('Match Log'!$A$4:$A$311,'Match Log'!$A$4:$A$311,'Match Log'!$D$4:$D$311,$A17,'Match Log'!$E$4:$E$311,"Loss"))),"0%")&amp;" of "&amp;(SUMPRODUCT(('Match Log'!$D$4:$D$311=$A17)*('Match Log'!$E$4:$E$311="Win")*COUNTIFS('Match Log'!$A$4:$A$311,'Match Log'!$A$4:$A$311,'Match Log'!$D$4:$D$311,O$4,'Match Log'!$E$4:$E$311,"Loss"))+SUMPRODUCT(('Match Log'!$D$4:$D$311=O$4)*('Match Log'!$E$4:$E$311="Win")*COUNTIFS('Match Log'!$A$4:$A$311,'Match Log'!$A$4:$A$311,'Match Log'!$D$4:$D$311,$A17,'Match Log'!$E$4:$E$311,"Loss")))))</f>
        <v/>
      </c>
    </row>
    <row r="18" spans="1:15" ht="15" customHeight="1" x14ac:dyDescent="0.2">
      <c r="A18" s="49" t="s">
        <v>181</v>
      </c>
      <c r="B18" s="54" t="str">
        <f>IF($A18=B$4,"—",IF((SUMPRODUCT(('Match Log'!$D$4:$D$311=$A18)*('Match Log'!$E$4:$E$311="Win")*COUNTIFS('Match Log'!$A$4:$A$311,'Match Log'!$A$4:$A$311,'Match Log'!$D$4:$D$311,B$4,'Match Log'!$E$4:$E$311,"Loss"))+SUMPRODUCT(('Match Log'!$D$4:$D$311=B$4)*('Match Log'!$E$4:$E$311="Win")*COUNTIFS('Match Log'!$A$4:$A$311,'Match Log'!$A$4:$A$311,'Match Log'!$D$4:$D$311,$A18,'Match Log'!$E$4:$E$311,"Loss")))=0,"",TEXT(SUMPRODUCT(('Match Log'!$D$4:$D$311=$A18)*('Match Log'!$E$4:$E$311="Win")*COUNTIFS('Match Log'!$A$4:$A$311,'Match Log'!$A$4:$A$311,'Match Log'!$D$4:$D$311,B$4,'Match Log'!$E$4:$E$311,"Loss"))/(SUMPRODUCT(('Match Log'!$D$4:$D$311=$A18)*('Match Log'!$E$4:$E$311="Win")*COUNTIFS('Match Log'!$A$4:$A$311,'Match Log'!$A$4:$A$311,'Match Log'!$D$4:$D$311,B$4,'Match Log'!$E$4:$E$311,"Loss"))+SUMPRODUCT(('Match Log'!$D$4:$D$311=B$4)*('Match Log'!$E$4:$E$311="Win")*COUNTIFS('Match Log'!$A$4:$A$311,'Match Log'!$A$4:$A$311,'Match Log'!$D$4:$D$311,$A18,'Match Log'!$E$4:$E$311,"Loss"))),"0%")&amp;" of "&amp;(SUMPRODUCT(('Match Log'!$D$4:$D$311=$A18)*('Match Log'!$E$4:$E$311="Win")*COUNTIFS('Match Log'!$A$4:$A$311,'Match Log'!$A$4:$A$311,'Match Log'!$D$4:$D$311,B$4,'Match Log'!$E$4:$E$311,"Loss"))+SUMPRODUCT(('Match Log'!$D$4:$D$311=B$4)*('Match Log'!$E$4:$E$311="Win")*COUNTIFS('Match Log'!$A$4:$A$311,'Match Log'!$A$4:$A$311,'Match Log'!$D$4:$D$311,$A18,'Match Log'!$E$4:$E$311,"Loss")))))</f>
        <v/>
      </c>
      <c r="C18" s="54" t="str">
        <f>IF($A18=C$4,"—",IF((SUMPRODUCT(('Match Log'!$D$4:$D$311=$A18)*('Match Log'!$E$4:$E$311="Win")*COUNTIFS('Match Log'!$A$4:$A$311,'Match Log'!$A$4:$A$311,'Match Log'!$D$4:$D$311,C$4,'Match Log'!$E$4:$E$311,"Loss"))+SUMPRODUCT(('Match Log'!$D$4:$D$311=C$4)*('Match Log'!$E$4:$E$311="Win")*COUNTIFS('Match Log'!$A$4:$A$311,'Match Log'!$A$4:$A$311,'Match Log'!$D$4:$D$311,$A18,'Match Log'!$E$4:$E$311,"Loss")))=0,"",TEXT(SUMPRODUCT(('Match Log'!$D$4:$D$311=$A18)*('Match Log'!$E$4:$E$311="Win")*COUNTIFS('Match Log'!$A$4:$A$311,'Match Log'!$A$4:$A$311,'Match Log'!$D$4:$D$311,C$4,'Match Log'!$E$4:$E$311,"Loss"))/(SUMPRODUCT(('Match Log'!$D$4:$D$311=$A18)*('Match Log'!$E$4:$E$311="Win")*COUNTIFS('Match Log'!$A$4:$A$311,'Match Log'!$A$4:$A$311,'Match Log'!$D$4:$D$311,C$4,'Match Log'!$E$4:$E$311,"Loss"))+SUMPRODUCT(('Match Log'!$D$4:$D$311=C$4)*('Match Log'!$E$4:$E$311="Win")*COUNTIFS('Match Log'!$A$4:$A$311,'Match Log'!$A$4:$A$311,'Match Log'!$D$4:$D$311,$A18,'Match Log'!$E$4:$E$311,"Loss"))),"0%")&amp;" of "&amp;(SUMPRODUCT(('Match Log'!$D$4:$D$311=$A18)*('Match Log'!$E$4:$E$311="Win")*COUNTIFS('Match Log'!$A$4:$A$311,'Match Log'!$A$4:$A$311,'Match Log'!$D$4:$D$311,C$4,'Match Log'!$E$4:$E$311,"Loss"))+SUMPRODUCT(('Match Log'!$D$4:$D$311=C$4)*('Match Log'!$E$4:$E$311="Win")*COUNTIFS('Match Log'!$A$4:$A$311,'Match Log'!$A$4:$A$311,'Match Log'!$D$4:$D$311,$A18,'Match Log'!$E$4:$E$311,"Loss")))))</f>
        <v/>
      </c>
      <c r="D18" s="54" t="str">
        <f>IF($A18=D$4,"—",IF((SUMPRODUCT(('Match Log'!$D$4:$D$311=$A18)*('Match Log'!$E$4:$E$311="Win")*COUNTIFS('Match Log'!$A$4:$A$311,'Match Log'!$A$4:$A$311,'Match Log'!$D$4:$D$311,D$4,'Match Log'!$E$4:$E$311,"Loss"))+SUMPRODUCT(('Match Log'!$D$4:$D$311=D$4)*('Match Log'!$E$4:$E$311="Win")*COUNTIFS('Match Log'!$A$4:$A$311,'Match Log'!$A$4:$A$311,'Match Log'!$D$4:$D$311,$A18,'Match Log'!$E$4:$E$311,"Loss")))=0,"",TEXT(SUMPRODUCT(('Match Log'!$D$4:$D$311=$A18)*('Match Log'!$E$4:$E$311="Win")*COUNTIFS('Match Log'!$A$4:$A$311,'Match Log'!$A$4:$A$311,'Match Log'!$D$4:$D$311,D$4,'Match Log'!$E$4:$E$311,"Loss"))/(SUMPRODUCT(('Match Log'!$D$4:$D$311=$A18)*('Match Log'!$E$4:$E$311="Win")*COUNTIFS('Match Log'!$A$4:$A$311,'Match Log'!$A$4:$A$311,'Match Log'!$D$4:$D$311,D$4,'Match Log'!$E$4:$E$311,"Loss"))+SUMPRODUCT(('Match Log'!$D$4:$D$311=D$4)*('Match Log'!$E$4:$E$311="Win")*COUNTIFS('Match Log'!$A$4:$A$311,'Match Log'!$A$4:$A$311,'Match Log'!$D$4:$D$311,$A18,'Match Log'!$E$4:$E$311,"Loss"))),"0%")&amp;" of "&amp;(SUMPRODUCT(('Match Log'!$D$4:$D$311=$A18)*('Match Log'!$E$4:$E$311="Win")*COUNTIFS('Match Log'!$A$4:$A$311,'Match Log'!$A$4:$A$311,'Match Log'!$D$4:$D$311,D$4,'Match Log'!$E$4:$E$311,"Loss"))+SUMPRODUCT(('Match Log'!$D$4:$D$311=D$4)*('Match Log'!$E$4:$E$311="Win")*COUNTIFS('Match Log'!$A$4:$A$311,'Match Log'!$A$4:$A$311,'Match Log'!$D$4:$D$311,$A18,'Match Log'!$E$4:$E$311,"Loss")))))</f>
        <v/>
      </c>
      <c r="E18" s="54" t="str">
        <f>IF($A18=E$4,"—",IF((SUMPRODUCT(('Match Log'!$D$4:$D$311=$A18)*('Match Log'!$E$4:$E$311="Win")*COUNTIFS('Match Log'!$A$4:$A$311,'Match Log'!$A$4:$A$311,'Match Log'!$D$4:$D$311,E$4,'Match Log'!$E$4:$E$311,"Loss"))+SUMPRODUCT(('Match Log'!$D$4:$D$311=E$4)*('Match Log'!$E$4:$E$311="Win")*COUNTIFS('Match Log'!$A$4:$A$311,'Match Log'!$A$4:$A$311,'Match Log'!$D$4:$D$311,$A18,'Match Log'!$E$4:$E$311,"Loss")))=0,"",TEXT(SUMPRODUCT(('Match Log'!$D$4:$D$311=$A18)*('Match Log'!$E$4:$E$311="Win")*COUNTIFS('Match Log'!$A$4:$A$311,'Match Log'!$A$4:$A$311,'Match Log'!$D$4:$D$311,E$4,'Match Log'!$E$4:$E$311,"Loss"))/(SUMPRODUCT(('Match Log'!$D$4:$D$311=$A18)*('Match Log'!$E$4:$E$311="Win")*COUNTIFS('Match Log'!$A$4:$A$311,'Match Log'!$A$4:$A$311,'Match Log'!$D$4:$D$311,E$4,'Match Log'!$E$4:$E$311,"Loss"))+SUMPRODUCT(('Match Log'!$D$4:$D$311=E$4)*('Match Log'!$E$4:$E$311="Win")*COUNTIFS('Match Log'!$A$4:$A$311,'Match Log'!$A$4:$A$311,'Match Log'!$D$4:$D$311,$A18,'Match Log'!$E$4:$E$311,"Loss"))),"0%")&amp;" of "&amp;(SUMPRODUCT(('Match Log'!$D$4:$D$311=$A18)*('Match Log'!$E$4:$E$311="Win")*COUNTIFS('Match Log'!$A$4:$A$311,'Match Log'!$A$4:$A$311,'Match Log'!$D$4:$D$311,E$4,'Match Log'!$E$4:$E$311,"Loss"))+SUMPRODUCT(('Match Log'!$D$4:$D$311=E$4)*('Match Log'!$E$4:$E$311="Win")*COUNTIFS('Match Log'!$A$4:$A$311,'Match Log'!$A$4:$A$311,'Match Log'!$D$4:$D$311,$A18,'Match Log'!$E$4:$E$311,"Loss")))))</f>
        <v/>
      </c>
      <c r="F18" s="54" t="str">
        <f>IF($A18=F$4,"—",IF((SUMPRODUCT(('Match Log'!$D$4:$D$311=$A18)*('Match Log'!$E$4:$E$311="Win")*COUNTIFS('Match Log'!$A$4:$A$311,'Match Log'!$A$4:$A$311,'Match Log'!$D$4:$D$311,F$4,'Match Log'!$E$4:$E$311,"Loss"))+SUMPRODUCT(('Match Log'!$D$4:$D$311=F$4)*('Match Log'!$E$4:$E$311="Win")*COUNTIFS('Match Log'!$A$4:$A$311,'Match Log'!$A$4:$A$311,'Match Log'!$D$4:$D$311,$A18,'Match Log'!$E$4:$E$311,"Loss")))=0,"",TEXT(SUMPRODUCT(('Match Log'!$D$4:$D$311=$A18)*('Match Log'!$E$4:$E$311="Win")*COUNTIFS('Match Log'!$A$4:$A$311,'Match Log'!$A$4:$A$311,'Match Log'!$D$4:$D$311,F$4,'Match Log'!$E$4:$E$311,"Loss"))/(SUMPRODUCT(('Match Log'!$D$4:$D$311=$A18)*('Match Log'!$E$4:$E$311="Win")*COUNTIFS('Match Log'!$A$4:$A$311,'Match Log'!$A$4:$A$311,'Match Log'!$D$4:$D$311,F$4,'Match Log'!$E$4:$E$311,"Loss"))+SUMPRODUCT(('Match Log'!$D$4:$D$311=F$4)*('Match Log'!$E$4:$E$311="Win")*COUNTIFS('Match Log'!$A$4:$A$311,'Match Log'!$A$4:$A$311,'Match Log'!$D$4:$D$311,$A18,'Match Log'!$E$4:$E$311,"Loss"))),"0%")&amp;" of "&amp;(SUMPRODUCT(('Match Log'!$D$4:$D$311=$A18)*('Match Log'!$E$4:$E$311="Win")*COUNTIFS('Match Log'!$A$4:$A$311,'Match Log'!$A$4:$A$311,'Match Log'!$D$4:$D$311,F$4,'Match Log'!$E$4:$E$311,"Loss"))+SUMPRODUCT(('Match Log'!$D$4:$D$311=F$4)*('Match Log'!$E$4:$E$311="Win")*COUNTIFS('Match Log'!$A$4:$A$311,'Match Log'!$A$4:$A$311,'Match Log'!$D$4:$D$311,$A18,'Match Log'!$E$4:$E$311,"Loss")))))</f>
        <v/>
      </c>
      <c r="G18" s="54" t="str">
        <f>IF($A18=G$4,"—",IF((SUMPRODUCT(('Match Log'!$D$4:$D$311=$A18)*('Match Log'!$E$4:$E$311="Win")*COUNTIFS('Match Log'!$A$4:$A$311,'Match Log'!$A$4:$A$311,'Match Log'!$D$4:$D$311,G$4,'Match Log'!$E$4:$E$311,"Loss"))+SUMPRODUCT(('Match Log'!$D$4:$D$311=G$4)*('Match Log'!$E$4:$E$311="Win")*COUNTIFS('Match Log'!$A$4:$A$311,'Match Log'!$A$4:$A$311,'Match Log'!$D$4:$D$311,$A18,'Match Log'!$E$4:$E$311,"Loss")))=0,"",TEXT(SUMPRODUCT(('Match Log'!$D$4:$D$311=$A18)*('Match Log'!$E$4:$E$311="Win")*COUNTIFS('Match Log'!$A$4:$A$311,'Match Log'!$A$4:$A$311,'Match Log'!$D$4:$D$311,G$4,'Match Log'!$E$4:$E$311,"Loss"))/(SUMPRODUCT(('Match Log'!$D$4:$D$311=$A18)*('Match Log'!$E$4:$E$311="Win")*COUNTIFS('Match Log'!$A$4:$A$311,'Match Log'!$A$4:$A$311,'Match Log'!$D$4:$D$311,G$4,'Match Log'!$E$4:$E$311,"Loss"))+SUMPRODUCT(('Match Log'!$D$4:$D$311=G$4)*('Match Log'!$E$4:$E$311="Win")*COUNTIFS('Match Log'!$A$4:$A$311,'Match Log'!$A$4:$A$311,'Match Log'!$D$4:$D$311,$A18,'Match Log'!$E$4:$E$311,"Loss"))),"0%")&amp;" of "&amp;(SUMPRODUCT(('Match Log'!$D$4:$D$311=$A18)*('Match Log'!$E$4:$E$311="Win")*COUNTIFS('Match Log'!$A$4:$A$311,'Match Log'!$A$4:$A$311,'Match Log'!$D$4:$D$311,G$4,'Match Log'!$E$4:$E$311,"Loss"))+SUMPRODUCT(('Match Log'!$D$4:$D$311=G$4)*('Match Log'!$E$4:$E$311="Win")*COUNTIFS('Match Log'!$A$4:$A$311,'Match Log'!$A$4:$A$311,'Match Log'!$D$4:$D$311,$A18,'Match Log'!$E$4:$E$311,"Loss")))))</f>
        <v/>
      </c>
      <c r="H18" s="54" t="str">
        <f>IF($A18=H$4,"—",IF((SUMPRODUCT(('Match Log'!$D$4:$D$311=$A18)*('Match Log'!$E$4:$E$311="Win")*COUNTIFS('Match Log'!$A$4:$A$311,'Match Log'!$A$4:$A$311,'Match Log'!$D$4:$D$311,H$4,'Match Log'!$E$4:$E$311,"Loss"))+SUMPRODUCT(('Match Log'!$D$4:$D$311=H$4)*('Match Log'!$E$4:$E$311="Win")*COUNTIFS('Match Log'!$A$4:$A$311,'Match Log'!$A$4:$A$311,'Match Log'!$D$4:$D$311,$A18,'Match Log'!$E$4:$E$311,"Loss")))=0,"",TEXT(SUMPRODUCT(('Match Log'!$D$4:$D$311=$A18)*('Match Log'!$E$4:$E$311="Win")*COUNTIFS('Match Log'!$A$4:$A$311,'Match Log'!$A$4:$A$311,'Match Log'!$D$4:$D$311,H$4,'Match Log'!$E$4:$E$311,"Loss"))/(SUMPRODUCT(('Match Log'!$D$4:$D$311=$A18)*('Match Log'!$E$4:$E$311="Win")*COUNTIFS('Match Log'!$A$4:$A$311,'Match Log'!$A$4:$A$311,'Match Log'!$D$4:$D$311,H$4,'Match Log'!$E$4:$E$311,"Loss"))+SUMPRODUCT(('Match Log'!$D$4:$D$311=H$4)*('Match Log'!$E$4:$E$311="Win")*COUNTIFS('Match Log'!$A$4:$A$311,'Match Log'!$A$4:$A$311,'Match Log'!$D$4:$D$311,$A18,'Match Log'!$E$4:$E$311,"Loss"))),"0%")&amp;" of "&amp;(SUMPRODUCT(('Match Log'!$D$4:$D$311=$A18)*('Match Log'!$E$4:$E$311="Win")*COUNTIFS('Match Log'!$A$4:$A$311,'Match Log'!$A$4:$A$311,'Match Log'!$D$4:$D$311,H$4,'Match Log'!$E$4:$E$311,"Loss"))+SUMPRODUCT(('Match Log'!$D$4:$D$311=H$4)*('Match Log'!$E$4:$E$311="Win")*COUNTIFS('Match Log'!$A$4:$A$311,'Match Log'!$A$4:$A$311,'Match Log'!$D$4:$D$311,$A18,'Match Log'!$E$4:$E$311,"Loss")))))</f>
        <v/>
      </c>
      <c r="I18" s="54" t="str">
        <f>IF($A18=I$4,"—",IF((SUMPRODUCT(('Match Log'!$D$4:$D$311=$A18)*('Match Log'!$E$4:$E$311="Win")*COUNTIFS('Match Log'!$A$4:$A$311,'Match Log'!$A$4:$A$311,'Match Log'!$D$4:$D$311,I$4,'Match Log'!$E$4:$E$311,"Loss"))+SUMPRODUCT(('Match Log'!$D$4:$D$311=I$4)*('Match Log'!$E$4:$E$311="Win")*COUNTIFS('Match Log'!$A$4:$A$311,'Match Log'!$A$4:$A$311,'Match Log'!$D$4:$D$311,$A18,'Match Log'!$E$4:$E$311,"Loss")))=0,"",TEXT(SUMPRODUCT(('Match Log'!$D$4:$D$311=$A18)*('Match Log'!$E$4:$E$311="Win")*COUNTIFS('Match Log'!$A$4:$A$311,'Match Log'!$A$4:$A$311,'Match Log'!$D$4:$D$311,I$4,'Match Log'!$E$4:$E$311,"Loss"))/(SUMPRODUCT(('Match Log'!$D$4:$D$311=$A18)*('Match Log'!$E$4:$E$311="Win")*COUNTIFS('Match Log'!$A$4:$A$311,'Match Log'!$A$4:$A$311,'Match Log'!$D$4:$D$311,I$4,'Match Log'!$E$4:$E$311,"Loss"))+SUMPRODUCT(('Match Log'!$D$4:$D$311=I$4)*('Match Log'!$E$4:$E$311="Win")*COUNTIFS('Match Log'!$A$4:$A$311,'Match Log'!$A$4:$A$311,'Match Log'!$D$4:$D$311,$A18,'Match Log'!$E$4:$E$311,"Loss"))),"0%")&amp;" of "&amp;(SUMPRODUCT(('Match Log'!$D$4:$D$311=$A18)*('Match Log'!$E$4:$E$311="Win")*COUNTIFS('Match Log'!$A$4:$A$311,'Match Log'!$A$4:$A$311,'Match Log'!$D$4:$D$311,I$4,'Match Log'!$E$4:$E$311,"Loss"))+SUMPRODUCT(('Match Log'!$D$4:$D$311=I$4)*('Match Log'!$E$4:$E$311="Win")*COUNTIFS('Match Log'!$A$4:$A$311,'Match Log'!$A$4:$A$311,'Match Log'!$D$4:$D$311,$A18,'Match Log'!$E$4:$E$311,"Loss")))))</f>
        <v/>
      </c>
      <c r="J18" s="54" t="str">
        <f>IF($A18=J$4,"—",IF((SUMPRODUCT(('Match Log'!$D$4:$D$311=$A18)*('Match Log'!$E$4:$E$311="Win")*COUNTIFS('Match Log'!$A$4:$A$311,'Match Log'!$A$4:$A$311,'Match Log'!$D$4:$D$311,J$4,'Match Log'!$E$4:$E$311,"Loss"))+SUMPRODUCT(('Match Log'!$D$4:$D$311=J$4)*('Match Log'!$E$4:$E$311="Win")*COUNTIFS('Match Log'!$A$4:$A$311,'Match Log'!$A$4:$A$311,'Match Log'!$D$4:$D$311,$A18,'Match Log'!$E$4:$E$311,"Loss")))=0,"",TEXT(SUMPRODUCT(('Match Log'!$D$4:$D$311=$A18)*('Match Log'!$E$4:$E$311="Win")*COUNTIFS('Match Log'!$A$4:$A$311,'Match Log'!$A$4:$A$311,'Match Log'!$D$4:$D$311,J$4,'Match Log'!$E$4:$E$311,"Loss"))/(SUMPRODUCT(('Match Log'!$D$4:$D$311=$A18)*('Match Log'!$E$4:$E$311="Win")*COUNTIFS('Match Log'!$A$4:$A$311,'Match Log'!$A$4:$A$311,'Match Log'!$D$4:$D$311,J$4,'Match Log'!$E$4:$E$311,"Loss"))+SUMPRODUCT(('Match Log'!$D$4:$D$311=J$4)*('Match Log'!$E$4:$E$311="Win")*COUNTIFS('Match Log'!$A$4:$A$311,'Match Log'!$A$4:$A$311,'Match Log'!$D$4:$D$311,$A18,'Match Log'!$E$4:$E$311,"Loss"))),"0%")&amp;" of "&amp;(SUMPRODUCT(('Match Log'!$D$4:$D$311=$A18)*('Match Log'!$E$4:$E$311="Win")*COUNTIFS('Match Log'!$A$4:$A$311,'Match Log'!$A$4:$A$311,'Match Log'!$D$4:$D$311,J$4,'Match Log'!$E$4:$E$311,"Loss"))+SUMPRODUCT(('Match Log'!$D$4:$D$311=J$4)*('Match Log'!$E$4:$E$311="Win")*COUNTIFS('Match Log'!$A$4:$A$311,'Match Log'!$A$4:$A$311,'Match Log'!$D$4:$D$311,$A18,'Match Log'!$E$4:$E$311,"Loss")))))</f>
        <v/>
      </c>
      <c r="K18" s="54" t="str">
        <f>IF($A18=K$4,"—",IF((SUMPRODUCT(('Match Log'!$D$4:$D$311=$A18)*('Match Log'!$E$4:$E$311="Win")*COUNTIFS('Match Log'!$A$4:$A$311,'Match Log'!$A$4:$A$311,'Match Log'!$D$4:$D$311,K$4,'Match Log'!$E$4:$E$311,"Loss"))+SUMPRODUCT(('Match Log'!$D$4:$D$311=K$4)*('Match Log'!$E$4:$E$311="Win")*COUNTIFS('Match Log'!$A$4:$A$311,'Match Log'!$A$4:$A$311,'Match Log'!$D$4:$D$311,$A18,'Match Log'!$E$4:$E$311,"Loss")))=0,"",TEXT(SUMPRODUCT(('Match Log'!$D$4:$D$311=$A18)*('Match Log'!$E$4:$E$311="Win")*COUNTIFS('Match Log'!$A$4:$A$311,'Match Log'!$A$4:$A$311,'Match Log'!$D$4:$D$311,K$4,'Match Log'!$E$4:$E$311,"Loss"))/(SUMPRODUCT(('Match Log'!$D$4:$D$311=$A18)*('Match Log'!$E$4:$E$311="Win")*COUNTIFS('Match Log'!$A$4:$A$311,'Match Log'!$A$4:$A$311,'Match Log'!$D$4:$D$311,K$4,'Match Log'!$E$4:$E$311,"Loss"))+SUMPRODUCT(('Match Log'!$D$4:$D$311=K$4)*('Match Log'!$E$4:$E$311="Win")*COUNTIFS('Match Log'!$A$4:$A$311,'Match Log'!$A$4:$A$311,'Match Log'!$D$4:$D$311,$A18,'Match Log'!$E$4:$E$311,"Loss"))),"0%")&amp;" of "&amp;(SUMPRODUCT(('Match Log'!$D$4:$D$311=$A18)*('Match Log'!$E$4:$E$311="Win")*COUNTIFS('Match Log'!$A$4:$A$311,'Match Log'!$A$4:$A$311,'Match Log'!$D$4:$D$311,K$4,'Match Log'!$E$4:$E$311,"Loss"))+SUMPRODUCT(('Match Log'!$D$4:$D$311=K$4)*('Match Log'!$E$4:$E$311="Win")*COUNTIFS('Match Log'!$A$4:$A$311,'Match Log'!$A$4:$A$311,'Match Log'!$D$4:$D$311,$A18,'Match Log'!$E$4:$E$311,"Loss")))))</f>
        <v/>
      </c>
      <c r="L18" s="54" t="str">
        <f>IF($A18=L$4,"—",IF((SUMPRODUCT(('Match Log'!$D$4:$D$311=$A18)*('Match Log'!$E$4:$E$311="Win")*COUNTIFS('Match Log'!$A$4:$A$311,'Match Log'!$A$4:$A$311,'Match Log'!$D$4:$D$311,L$4,'Match Log'!$E$4:$E$311,"Loss"))+SUMPRODUCT(('Match Log'!$D$4:$D$311=L$4)*('Match Log'!$E$4:$E$311="Win")*COUNTIFS('Match Log'!$A$4:$A$311,'Match Log'!$A$4:$A$311,'Match Log'!$D$4:$D$311,$A18,'Match Log'!$E$4:$E$311,"Loss")))=0,"",TEXT(SUMPRODUCT(('Match Log'!$D$4:$D$311=$A18)*('Match Log'!$E$4:$E$311="Win")*COUNTIFS('Match Log'!$A$4:$A$311,'Match Log'!$A$4:$A$311,'Match Log'!$D$4:$D$311,L$4,'Match Log'!$E$4:$E$311,"Loss"))/(SUMPRODUCT(('Match Log'!$D$4:$D$311=$A18)*('Match Log'!$E$4:$E$311="Win")*COUNTIFS('Match Log'!$A$4:$A$311,'Match Log'!$A$4:$A$311,'Match Log'!$D$4:$D$311,L$4,'Match Log'!$E$4:$E$311,"Loss"))+SUMPRODUCT(('Match Log'!$D$4:$D$311=L$4)*('Match Log'!$E$4:$E$311="Win")*COUNTIFS('Match Log'!$A$4:$A$311,'Match Log'!$A$4:$A$311,'Match Log'!$D$4:$D$311,$A18,'Match Log'!$E$4:$E$311,"Loss"))),"0%")&amp;" of "&amp;(SUMPRODUCT(('Match Log'!$D$4:$D$311=$A18)*('Match Log'!$E$4:$E$311="Win")*COUNTIFS('Match Log'!$A$4:$A$311,'Match Log'!$A$4:$A$311,'Match Log'!$D$4:$D$311,L$4,'Match Log'!$E$4:$E$311,"Loss"))+SUMPRODUCT(('Match Log'!$D$4:$D$311=L$4)*('Match Log'!$E$4:$E$311="Win")*COUNTIFS('Match Log'!$A$4:$A$311,'Match Log'!$A$4:$A$311,'Match Log'!$D$4:$D$311,$A18,'Match Log'!$E$4:$E$311,"Loss")))))</f>
        <v/>
      </c>
      <c r="M18" s="54" t="str">
        <f>IF($A18=M$4,"—",IF((SUMPRODUCT(('Match Log'!$D$4:$D$311=$A18)*('Match Log'!$E$4:$E$311="Win")*COUNTIFS('Match Log'!$A$4:$A$311,'Match Log'!$A$4:$A$311,'Match Log'!$D$4:$D$311,M$4,'Match Log'!$E$4:$E$311,"Loss"))+SUMPRODUCT(('Match Log'!$D$4:$D$311=M$4)*('Match Log'!$E$4:$E$311="Win")*COUNTIFS('Match Log'!$A$4:$A$311,'Match Log'!$A$4:$A$311,'Match Log'!$D$4:$D$311,$A18,'Match Log'!$E$4:$E$311,"Loss")))=0,"",TEXT(SUMPRODUCT(('Match Log'!$D$4:$D$311=$A18)*('Match Log'!$E$4:$E$311="Win")*COUNTIFS('Match Log'!$A$4:$A$311,'Match Log'!$A$4:$A$311,'Match Log'!$D$4:$D$311,M$4,'Match Log'!$E$4:$E$311,"Loss"))/(SUMPRODUCT(('Match Log'!$D$4:$D$311=$A18)*('Match Log'!$E$4:$E$311="Win")*COUNTIFS('Match Log'!$A$4:$A$311,'Match Log'!$A$4:$A$311,'Match Log'!$D$4:$D$311,M$4,'Match Log'!$E$4:$E$311,"Loss"))+SUMPRODUCT(('Match Log'!$D$4:$D$311=M$4)*('Match Log'!$E$4:$E$311="Win")*COUNTIFS('Match Log'!$A$4:$A$311,'Match Log'!$A$4:$A$311,'Match Log'!$D$4:$D$311,$A18,'Match Log'!$E$4:$E$311,"Loss"))),"0%")&amp;" of "&amp;(SUMPRODUCT(('Match Log'!$D$4:$D$311=$A18)*('Match Log'!$E$4:$E$311="Win")*COUNTIFS('Match Log'!$A$4:$A$311,'Match Log'!$A$4:$A$311,'Match Log'!$D$4:$D$311,M$4,'Match Log'!$E$4:$E$311,"Loss"))+SUMPRODUCT(('Match Log'!$D$4:$D$311=M$4)*('Match Log'!$E$4:$E$311="Win")*COUNTIFS('Match Log'!$A$4:$A$311,'Match Log'!$A$4:$A$311,'Match Log'!$D$4:$D$311,$A18,'Match Log'!$E$4:$E$311,"Loss")))))</f>
        <v/>
      </c>
      <c r="N18" s="54" t="str">
        <f>IF($A18=N$4,"—",IF((SUMPRODUCT(('Match Log'!$D$4:$D$311=$A18)*('Match Log'!$E$4:$E$311="Win")*COUNTIFS('Match Log'!$A$4:$A$311,'Match Log'!$A$4:$A$311,'Match Log'!$D$4:$D$311,N$4,'Match Log'!$E$4:$E$311,"Loss"))+SUMPRODUCT(('Match Log'!$D$4:$D$311=N$4)*('Match Log'!$E$4:$E$311="Win")*COUNTIFS('Match Log'!$A$4:$A$311,'Match Log'!$A$4:$A$311,'Match Log'!$D$4:$D$311,$A18,'Match Log'!$E$4:$E$311,"Loss")))=0,"",TEXT(SUMPRODUCT(('Match Log'!$D$4:$D$311=$A18)*('Match Log'!$E$4:$E$311="Win")*COUNTIFS('Match Log'!$A$4:$A$311,'Match Log'!$A$4:$A$311,'Match Log'!$D$4:$D$311,N$4,'Match Log'!$E$4:$E$311,"Loss"))/(SUMPRODUCT(('Match Log'!$D$4:$D$311=$A18)*('Match Log'!$E$4:$E$311="Win")*COUNTIFS('Match Log'!$A$4:$A$311,'Match Log'!$A$4:$A$311,'Match Log'!$D$4:$D$311,N$4,'Match Log'!$E$4:$E$311,"Loss"))+SUMPRODUCT(('Match Log'!$D$4:$D$311=N$4)*('Match Log'!$E$4:$E$311="Win")*COUNTIFS('Match Log'!$A$4:$A$311,'Match Log'!$A$4:$A$311,'Match Log'!$D$4:$D$311,$A18,'Match Log'!$E$4:$E$311,"Loss"))),"0%")&amp;" of "&amp;(SUMPRODUCT(('Match Log'!$D$4:$D$311=$A18)*('Match Log'!$E$4:$E$311="Win")*COUNTIFS('Match Log'!$A$4:$A$311,'Match Log'!$A$4:$A$311,'Match Log'!$D$4:$D$311,N$4,'Match Log'!$E$4:$E$311,"Loss"))+SUMPRODUCT(('Match Log'!$D$4:$D$311=N$4)*('Match Log'!$E$4:$E$311="Win")*COUNTIFS('Match Log'!$A$4:$A$311,'Match Log'!$A$4:$A$311,'Match Log'!$D$4:$D$311,$A18,'Match Log'!$E$4:$E$311,"Loss")))))</f>
        <v/>
      </c>
      <c r="O18" s="54" t="str">
        <f>IF($A18=O$4,"—",IF((SUMPRODUCT(('Match Log'!$D$4:$D$311=$A18)*('Match Log'!$E$4:$E$311="Win")*COUNTIFS('Match Log'!$A$4:$A$311,'Match Log'!$A$4:$A$311,'Match Log'!$D$4:$D$311,O$4,'Match Log'!$E$4:$E$311,"Loss"))+SUMPRODUCT(('Match Log'!$D$4:$D$311=O$4)*('Match Log'!$E$4:$E$311="Win")*COUNTIFS('Match Log'!$A$4:$A$311,'Match Log'!$A$4:$A$311,'Match Log'!$D$4:$D$311,$A18,'Match Log'!$E$4:$E$311,"Loss")))=0,"",TEXT(SUMPRODUCT(('Match Log'!$D$4:$D$311=$A18)*('Match Log'!$E$4:$E$311="Win")*COUNTIFS('Match Log'!$A$4:$A$311,'Match Log'!$A$4:$A$311,'Match Log'!$D$4:$D$311,O$4,'Match Log'!$E$4:$E$311,"Loss"))/(SUMPRODUCT(('Match Log'!$D$4:$D$311=$A18)*('Match Log'!$E$4:$E$311="Win")*COUNTIFS('Match Log'!$A$4:$A$311,'Match Log'!$A$4:$A$311,'Match Log'!$D$4:$D$311,O$4,'Match Log'!$E$4:$E$311,"Loss"))+SUMPRODUCT(('Match Log'!$D$4:$D$311=O$4)*('Match Log'!$E$4:$E$311="Win")*COUNTIFS('Match Log'!$A$4:$A$311,'Match Log'!$A$4:$A$311,'Match Log'!$D$4:$D$311,$A18,'Match Log'!$E$4:$E$311,"Loss"))),"0%")&amp;" of "&amp;(SUMPRODUCT(('Match Log'!$D$4:$D$311=$A18)*('Match Log'!$E$4:$E$311="Win")*COUNTIFS('Match Log'!$A$4:$A$311,'Match Log'!$A$4:$A$311,'Match Log'!$D$4:$D$311,O$4,'Match Log'!$E$4:$E$311,"Loss"))+SUMPRODUCT(('Match Log'!$D$4:$D$311=O$4)*('Match Log'!$E$4:$E$311="Win")*COUNTIFS('Match Log'!$A$4:$A$311,'Match Log'!$A$4:$A$311,'Match Log'!$D$4:$D$311,$A18,'Match Log'!$E$4:$E$311,"Loss")))))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Log'!$D$4:$D$311=$A22)*(COUNTIFS('Match Log'!$A$4:$A$311,'Match Log'!$A$4:$A$311,'Match Log'!$D$4:$D$311,B$21)&gt;0)))</f>
        <v>0</v>
      </c>
      <c r="C22" s="75">
        <f>IF($A22=C$21,0,SUMPRODUCT(('Match Log'!$D$4:$D$311=$A22)*(COUNTIFS('Match Log'!$A$4:$A$311,'Match Log'!$A$4:$A$311,'Match Log'!$D$4:$D$311,C$21)&gt;0)))</f>
        <v>3</v>
      </c>
      <c r="D22" s="75">
        <f>IF($A22=D$21,0,SUMPRODUCT(('Match Log'!$D$4:$D$311=$A22)*(COUNTIFS('Match Log'!$A$4:$A$311,'Match Log'!$A$4:$A$311,'Match Log'!$D$4:$D$311,D$21)&gt;0)))</f>
        <v>3</v>
      </c>
      <c r="E22" s="75">
        <f>IF($A22=E$21,0,SUMPRODUCT(('Match Log'!$D$4:$D$311=$A22)*(COUNTIFS('Match Log'!$A$4:$A$311,'Match Log'!$A$4:$A$311,'Match Log'!$D$4:$D$311,E$21)&gt;0)))</f>
        <v>4</v>
      </c>
      <c r="F22" s="75">
        <f>IF($A22=F$21,0,SUMPRODUCT(('Match Log'!$D$4:$D$311=$A22)*(COUNTIFS('Match Log'!$A$4:$A$311,'Match Log'!$A$4:$A$311,'Match Log'!$D$4:$D$311,F$21)&gt;0)))</f>
        <v>2</v>
      </c>
      <c r="G22" s="75">
        <f>IF($A22=G$21,0,SUMPRODUCT(('Match Log'!$D$4:$D$311=$A22)*(COUNTIFS('Match Log'!$A$4:$A$311,'Match Log'!$A$4:$A$311,'Match Log'!$D$4:$D$311,G$21)&gt;0)))</f>
        <v>11</v>
      </c>
      <c r="H22" s="75">
        <f>IF($A22=H$21,0,SUMPRODUCT(('Match Log'!$D$4:$D$311=$A22)*(COUNTIFS('Match Log'!$A$4:$A$311,'Match Log'!$A$4:$A$311,'Match Log'!$D$4:$D$311,H$21)&gt;0)))</f>
        <v>4</v>
      </c>
      <c r="I22" s="75">
        <f>IF($A22=I$21,0,SUMPRODUCT(('Match Log'!$D$4:$D$311=$A22)*(COUNTIFS('Match Log'!$A$4:$A$311,'Match Log'!$A$4:$A$311,'Match Log'!$D$4:$D$311,I$21)&gt;0)))</f>
        <v>5</v>
      </c>
      <c r="J22" s="75">
        <f>IF($A22=J$21,0,SUMPRODUCT(('Match Log'!$D$4:$D$311=$A22)*(COUNTIFS('Match Log'!$A$4:$A$311,'Match Log'!$A$4:$A$311,'Match Log'!$D$4:$D$311,J$21)&gt;0)))</f>
        <v>2</v>
      </c>
      <c r="K22" s="75">
        <f>IF($A22=K$21,0,SUMPRODUCT(('Match Log'!$D$4:$D$311=$A22)*(COUNTIFS('Match Log'!$A$4:$A$311,'Match Log'!$A$4:$A$311,'Match Log'!$D$4:$D$311,K$21)&gt;0)))</f>
        <v>2</v>
      </c>
      <c r="L22" s="75">
        <f>IF($A22=L$21,0,SUMPRODUCT(('Match Log'!$D$4:$D$311=$A22)*(COUNTIFS('Match Log'!$A$4:$A$311,'Match Log'!$A$4:$A$311,'Match Log'!$D$4:$D$311,L$21)&gt;0)))</f>
        <v>4</v>
      </c>
      <c r="M22" s="75">
        <f>IF($A22=M$21,0,SUMPRODUCT(('Match Log'!$D$4:$D$311=$A22)*(COUNTIFS('Match Log'!$A$4:$A$311,'Match Log'!$A$4:$A$311,'Match Log'!$D$4:$D$311,M$21)&gt;0)))</f>
        <v>1</v>
      </c>
      <c r="N22" s="75">
        <f>IF($A22=N$21,0,SUMPRODUCT(('Match Log'!$D$4:$D$311=$A22)*(COUNTIFS('Match Log'!$A$4:$A$311,'Match Log'!$A$4:$A$311,'Match Log'!$D$4:$D$311,N$21)&gt;0)))</f>
        <v>0</v>
      </c>
      <c r="O22" s="75">
        <f>IF($A22=O$21,0,SUMPRODUCT(('Match Log'!$D$4:$D$311=$A22)*(COUNTIFS('Match Log'!$A$4:$A$311,'Match Log'!$A$4:$A$311,'Match Log'!$D$4:$D$311,O$21)&gt;0)))</f>
        <v>0</v>
      </c>
    </row>
    <row r="23" spans="1:15" ht="15" customHeight="1" x14ac:dyDescent="0.2">
      <c r="A23" s="49" t="s">
        <v>142</v>
      </c>
      <c r="B23" s="75">
        <f>IF($A23=B$21,0,SUMPRODUCT(('Match Log'!$D$4:$D$311=$A23)*(COUNTIFS('Match Log'!$A$4:$A$311,'Match Log'!$A$4:$A$311,'Match Log'!$D$4:$D$311,B$21)&gt;0)))</f>
        <v>3</v>
      </c>
      <c r="C23" s="75">
        <f>IF($A23=C$21,0,SUMPRODUCT(('Match Log'!$D$4:$D$311=$A23)*(COUNTIFS('Match Log'!$A$4:$A$311,'Match Log'!$A$4:$A$311,'Match Log'!$D$4:$D$311,C$21)&gt;0)))</f>
        <v>0</v>
      </c>
      <c r="D23" s="75">
        <f>IF($A23=D$21,0,SUMPRODUCT(('Match Log'!$D$4:$D$311=$A23)*(COUNTIFS('Match Log'!$A$4:$A$311,'Match Log'!$A$4:$A$311,'Match Log'!$D$4:$D$311,D$21)&gt;0)))</f>
        <v>0</v>
      </c>
      <c r="E23" s="75">
        <f>IF($A23=E$21,0,SUMPRODUCT(('Match Log'!$D$4:$D$311=$A23)*(COUNTIFS('Match Log'!$A$4:$A$311,'Match Log'!$A$4:$A$311,'Match Log'!$D$4:$D$311,E$21)&gt;0)))</f>
        <v>1</v>
      </c>
      <c r="F23" s="75">
        <f>IF($A23=F$21,0,SUMPRODUCT(('Match Log'!$D$4:$D$311=$A23)*(COUNTIFS('Match Log'!$A$4:$A$311,'Match Log'!$A$4:$A$311,'Match Log'!$D$4:$D$311,F$21)&gt;0)))</f>
        <v>1</v>
      </c>
      <c r="G23" s="75">
        <f>IF($A23=G$21,0,SUMPRODUCT(('Match Log'!$D$4:$D$311=$A23)*(COUNTIFS('Match Log'!$A$4:$A$311,'Match Log'!$A$4:$A$311,'Match Log'!$D$4:$D$311,G$21)&gt;0)))</f>
        <v>1</v>
      </c>
      <c r="H23" s="75">
        <f>IF($A23=H$21,0,SUMPRODUCT(('Match Log'!$D$4:$D$311=$A23)*(COUNTIFS('Match Log'!$A$4:$A$311,'Match Log'!$A$4:$A$311,'Match Log'!$D$4:$D$311,H$21)&gt;0)))</f>
        <v>3</v>
      </c>
      <c r="I23" s="75">
        <f>IF($A23=I$21,0,SUMPRODUCT(('Match Log'!$D$4:$D$311=$A23)*(COUNTIFS('Match Log'!$A$4:$A$311,'Match Log'!$A$4:$A$311,'Match Log'!$D$4:$D$311,I$21)&gt;0)))</f>
        <v>2</v>
      </c>
      <c r="J23" s="75">
        <f>IF($A23=J$21,0,SUMPRODUCT(('Match Log'!$D$4:$D$311=$A23)*(COUNTIFS('Match Log'!$A$4:$A$311,'Match Log'!$A$4:$A$311,'Match Log'!$D$4:$D$311,J$21)&gt;0)))</f>
        <v>2</v>
      </c>
      <c r="K23" s="75">
        <f>IF($A23=K$21,0,SUMPRODUCT(('Match Log'!$D$4:$D$311=$A23)*(COUNTIFS('Match Log'!$A$4:$A$311,'Match Log'!$A$4:$A$311,'Match Log'!$D$4:$D$311,K$21)&gt;0)))</f>
        <v>1</v>
      </c>
      <c r="L23" s="75">
        <f>IF($A23=L$21,0,SUMPRODUCT(('Match Log'!$D$4:$D$311=$A23)*(COUNTIFS('Match Log'!$A$4:$A$311,'Match Log'!$A$4:$A$311,'Match Log'!$D$4:$D$311,L$21)&gt;0)))</f>
        <v>5</v>
      </c>
      <c r="M23" s="75">
        <f>IF($A23=M$21,0,SUMPRODUCT(('Match Log'!$D$4:$D$311=$A23)*(COUNTIFS('Match Log'!$A$4:$A$311,'Match Log'!$A$4:$A$311,'Match Log'!$D$4:$D$311,M$21)&gt;0)))</f>
        <v>1</v>
      </c>
      <c r="N23" s="75">
        <f>IF($A23=N$21,0,SUMPRODUCT(('Match Log'!$D$4:$D$311=$A23)*(COUNTIFS('Match Log'!$A$4:$A$311,'Match Log'!$A$4:$A$311,'Match Log'!$D$4:$D$311,N$21)&gt;0)))</f>
        <v>4</v>
      </c>
      <c r="O23" s="75">
        <f>IF($A23=O$21,0,SUMPRODUCT(('Match Log'!$D$4:$D$311=$A23)*(COUNTIFS('Match Log'!$A$4:$A$311,'Match Log'!$A$4:$A$311,'Match Log'!$D$4:$D$311,O$21)&gt;0)))</f>
        <v>0</v>
      </c>
    </row>
    <row r="24" spans="1:15" ht="15" customHeight="1" x14ac:dyDescent="0.2">
      <c r="A24" s="49" t="s">
        <v>180</v>
      </c>
      <c r="B24" s="75">
        <f>IF($A24=B$21,0,SUMPRODUCT(('Match Log'!$D$4:$D$311=$A24)*(COUNTIFS('Match Log'!$A$4:$A$311,'Match Log'!$A$4:$A$311,'Match Log'!$D$4:$D$311,B$21)&gt;0)))</f>
        <v>3</v>
      </c>
      <c r="C24" s="75">
        <f>IF($A24=C$21,0,SUMPRODUCT(('Match Log'!$D$4:$D$311=$A24)*(COUNTIFS('Match Log'!$A$4:$A$311,'Match Log'!$A$4:$A$311,'Match Log'!$D$4:$D$311,C$21)&gt;0)))</f>
        <v>0</v>
      </c>
      <c r="D24" s="75">
        <f>IF($A24=D$21,0,SUMPRODUCT(('Match Log'!$D$4:$D$311=$A24)*(COUNTIFS('Match Log'!$A$4:$A$311,'Match Log'!$A$4:$A$311,'Match Log'!$D$4:$D$311,D$21)&gt;0)))</f>
        <v>0</v>
      </c>
      <c r="E24" s="75">
        <f>IF($A24=E$21,0,SUMPRODUCT(('Match Log'!$D$4:$D$311=$A24)*(COUNTIFS('Match Log'!$A$4:$A$311,'Match Log'!$A$4:$A$311,'Match Log'!$D$4:$D$311,E$21)&gt;0)))</f>
        <v>1</v>
      </c>
      <c r="F24" s="75">
        <f>IF($A24=F$21,0,SUMPRODUCT(('Match Log'!$D$4:$D$311=$A24)*(COUNTIFS('Match Log'!$A$4:$A$311,'Match Log'!$A$4:$A$311,'Match Log'!$D$4:$D$311,F$21)&gt;0)))</f>
        <v>2</v>
      </c>
      <c r="G24" s="75">
        <f>IF($A24=G$21,0,SUMPRODUCT(('Match Log'!$D$4:$D$311=$A24)*(COUNTIFS('Match Log'!$A$4:$A$311,'Match Log'!$A$4:$A$311,'Match Log'!$D$4:$D$311,G$21)&gt;0)))</f>
        <v>1</v>
      </c>
      <c r="H24" s="75">
        <f>IF($A24=H$21,0,SUMPRODUCT(('Match Log'!$D$4:$D$311=$A24)*(COUNTIFS('Match Log'!$A$4:$A$311,'Match Log'!$A$4:$A$311,'Match Log'!$D$4:$D$311,H$21)&gt;0)))</f>
        <v>1</v>
      </c>
      <c r="I24" s="75">
        <f>IF($A24=I$21,0,SUMPRODUCT(('Match Log'!$D$4:$D$311=$A24)*(COUNTIFS('Match Log'!$A$4:$A$311,'Match Log'!$A$4:$A$311,'Match Log'!$D$4:$D$311,I$21)&gt;0)))</f>
        <v>7</v>
      </c>
      <c r="J24" s="75">
        <f>IF($A24=J$21,0,SUMPRODUCT(('Match Log'!$D$4:$D$311=$A24)*(COUNTIFS('Match Log'!$A$4:$A$311,'Match Log'!$A$4:$A$311,'Match Log'!$D$4:$D$311,J$21)&gt;0)))</f>
        <v>0</v>
      </c>
      <c r="K24" s="75">
        <f>IF($A24=K$21,0,SUMPRODUCT(('Match Log'!$D$4:$D$311=$A24)*(COUNTIFS('Match Log'!$A$4:$A$311,'Match Log'!$A$4:$A$311,'Match Log'!$D$4:$D$311,K$21)&gt;0)))</f>
        <v>1</v>
      </c>
      <c r="L24" s="75">
        <f>IF($A24=L$21,0,SUMPRODUCT(('Match Log'!$D$4:$D$311=$A24)*(COUNTIFS('Match Log'!$A$4:$A$311,'Match Log'!$A$4:$A$311,'Match Log'!$D$4:$D$311,L$21)&gt;0)))</f>
        <v>1</v>
      </c>
      <c r="M24" s="75">
        <f>IF($A24=M$21,0,SUMPRODUCT(('Match Log'!$D$4:$D$311=$A24)*(COUNTIFS('Match Log'!$A$4:$A$311,'Match Log'!$A$4:$A$311,'Match Log'!$D$4:$D$311,M$21)&gt;0)))</f>
        <v>0</v>
      </c>
      <c r="N24" s="75">
        <f>IF($A24=N$21,0,SUMPRODUCT(('Match Log'!$D$4:$D$311=$A24)*(COUNTIFS('Match Log'!$A$4:$A$311,'Match Log'!$A$4:$A$311,'Match Log'!$D$4:$D$311,N$21)&gt;0)))</f>
        <v>0</v>
      </c>
      <c r="O24" s="75">
        <f>IF($A24=O$21,0,SUMPRODUCT(('Match Log'!$D$4:$D$311=$A24)*(COUNTIFS('Match Log'!$A$4:$A$311,'Match Log'!$A$4:$A$311,'Match Log'!$D$4:$D$311,O$21)&gt;0)))</f>
        <v>0</v>
      </c>
    </row>
    <row r="25" spans="1:15" ht="15" customHeight="1" x14ac:dyDescent="0.2">
      <c r="A25" s="49" t="s">
        <v>147</v>
      </c>
      <c r="B25" s="75">
        <f>IF($A25=B$21,0,SUMPRODUCT(('Match Log'!$D$4:$D$311=$A25)*(COUNTIFS('Match Log'!$A$4:$A$311,'Match Log'!$A$4:$A$311,'Match Log'!$D$4:$D$311,B$21)&gt;0)))</f>
        <v>4</v>
      </c>
      <c r="C25" s="75">
        <f>IF($A25=C$21,0,SUMPRODUCT(('Match Log'!$D$4:$D$311=$A25)*(COUNTIFS('Match Log'!$A$4:$A$311,'Match Log'!$A$4:$A$311,'Match Log'!$D$4:$D$311,C$21)&gt;0)))</f>
        <v>1</v>
      </c>
      <c r="D25" s="75">
        <f>IF($A25=D$21,0,SUMPRODUCT(('Match Log'!$D$4:$D$311=$A25)*(COUNTIFS('Match Log'!$A$4:$A$311,'Match Log'!$A$4:$A$311,'Match Log'!$D$4:$D$311,D$21)&gt;0)))</f>
        <v>1</v>
      </c>
      <c r="E25" s="75">
        <f>IF($A25=E$21,0,SUMPRODUCT(('Match Log'!$D$4:$D$311=$A25)*(COUNTIFS('Match Log'!$A$4:$A$311,'Match Log'!$A$4:$A$311,'Match Log'!$D$4:$D$311,E$21)&gt;0)))</f>
        <v>0</v>
      </c>
      <c r="F25" s="75">
        <f>IF($A25=F$21,0,SUMPRODUCT(('Match Log'!$D$4:$D$311=$A25)*(COUNTIFS('Match Log'!$A$4:$A$311,'Match Log'!$A$4:$A$311,'Match Log'!$D$4:$D$311,F$21)&gt;0)))</f>
        <v>5</v>
      </c>
      <c r="G25" s="75">
        <f>IF($A25=G$21,0,SUMPRODUCT(('Match Log'!$D$4:$D$311=$A25)*(COUNTIFS('Match Log'!$A$4:$A$311,'Match Log'!$A$4:$A$311,'Match Log'!$D$4:$D$311,G$21)&gt;0)))</f>
        <v>2</v>
      </c>
      <c r="H25" s="75">
        <f>IF($A25=H$21,0,SUMPRODUCT(('Match Log'!$D$4:$D$311=$A25)*(COUNTIFS('Match Log'!$A$4:$A$311,'Match Log'!$A$4:$A$311,'Match Log'!$D$4:$D$311,H$21)&gt;0)))</f>
        <v>2</v>
      </c>
      <c r="I25" s="75">
        <f>IF($A25=I$21,0,SUMPRODUCT(('Match Log'!$D$4:$D$311=$A25)*(COUNTIFS('Match Log'!$A$4:$A$311,'Match Log'!$A$4:$A$311,'Match Log'!$D$4:$D$311,I$21)&gt;0)))</f>
        <v>4</v>
      </c>
      <c r="J25" s="75">
        <f>IF($A25=J$21,0,SUMPRODUCT(('Match Log'!$D$4:$D$311=$A25)*(COUNTIFS('Match Log'!$A$4:$A$311,'Match Log'!$A$4:$A$311,'Match Log'!$D$4:$D$311,J$21)&gt;0)))</f>
        <v>3</v>
      </c>
      <c r="K25" s="75">
        <f>IF($A25=K$21,0,SUMPRODUCT(('Match Log'!$D$4:$D$311=$A25)*(COUNTIFS('Match Log'!$A$4:$A$311,'Match Log'!$A$4:$A$311,'Match Log'!$D$4:$D$311,K$21)&gt;0)))</f>
        <v>1</v>
      </c>
      <c r="L25" s="75">
        <f>IF($A25=L$21,0,SUMPRODUCT(('Match Log'!$D$4:$D$311=$A25)*(COUNTIFS('Match Log'!$A$4:$A$311,'Match Log'!$A$4:$A$311,'Match Log'!$D$4:$D$311,L$21)&gt;0)))</f>
        <v>2</v>
      </c>
      <c r="M25" s="75">
        <f>IF($A25=M$21,0,SUMPRODUCT(('Match Log'!$D$4:$D$311=$A25)*(COUNTIFS('Match Log'!$A$4:$A$311,'Match Log'!$A$4:$A$311,'Match Log'!$D$4:$D$311,M$21)&gt;0)))</f>
        <v>5</v>
      </c>
      <c r="N25" s="75">
        <f>IF($A25=N$21,0,SUMPRODUCT(('Match Log'!$D$4:$D$311=$A25)*(COUNTIFS('Match Log'!$A$4:$A$311,'Match Log'!$A$4:$A$311,'Match Log'!$D$4:$D$311,N$21)&gt;0)))</f>
        <v>0</v>
      </c>
      <c r="O25" s="75">
        <f>IF($A25=O$21,0,SUMPRODUCT(('Match Log'!$D$4:$D$311=$A25)*(COUNTIFS('Match Log'!$A$4:$A$311,'Match Log'!$A$4:$A$311,'Match Log'!$D$4:$D$311,O$21)&gt;0)))</f>
        <v>0</v>
      </c>
    </row>
    <row r="26" spans="1:15" ht="15" customHeight="1" x14ac:dyDescent="0.2">
      <c r="A26" s="49" t="s">
        <v>144</v>
      </c>
      <c r="B26" s="75">
        <f>IF($A26=B$21,0,SUMPRODUCT(('Match Log'!$D$4:$D$311=$A26)*(COUNTIFS('Match Log'!$A$4:$A$311,'Match Log'!$A$4:$A$311,'Match Log'!$D$4:$D$311,B$21)&gt;0)))</f>
        <v>2</v>
      </c>
      <c r="C26" s="75">
        <f>IF($A26=C$21,0,SUMPRODUCT(('Match Log'!$D$4:$D$311=$A26)*(COUNTIFS('Match Log'!$A$4:$A$311,'Match Log'!$A$4:$A$311,'Match Log'!$D$4:$D$311,C$21)&gt;0)))</f>
        <v>1</v>
      </c>
      <c r="D26" s="75">
        <f>IF($A26=D$21,0,SUMPRODUCT(('Match Log'!$D$4:$D$311=$A26)*(COUNTIFS('Match Log'!$A$4:$A$311,'Match Log'!$A$4:$A$311,'Match Log'!$D$4:$D$311,D$21)&gt;0)))</f>
        <v>2</v>
      </c>
      <c r="E26" s="75">
        <f>IF($A26=E$21,0,SUMPRODUCT(('Match Log'!$D$4:$D$311=$A26)*(COUNTIFS('Match Log'!$A$4:$A$311,'Match Log'!$A$4:$A$311,'Match Log'!$D$4:$D$311,E$21)&gt;0)))</f>
        <v>5</v>
      </c>
      <c r="F26" s="75">
        <f>IF($A26=F$21,0,SUMPRODUCT(('Match Log'!$D$4:$D$311=$A26)*(COUNTIFS('Match Log'!$A$4:$A$311,'Match Log'!$A$4:$A$311,'Match Log'!$D$4:$D$311,F$21)&gt;0)))</f>
        <v>0</v>
      </c>
      <c r="G26" s="75">
        <f>IF($A26=G$21,0,SUMPRODUCT(('Match Log'!$D$4:$D$311=$A26)*(COUNTIFS('Match Log'!$A$4:$A$311,'Match Log'!$A$4:$A$311,'Match Log'!$D$4:$D$311,G$21)&gt;0)))</f>
        <v>10</v>
      </c>
      <c r="H26" s="75">
        <f>IF($A26=H$21,0,SUMPRODUCT(('Match Log'!$D$4:$D$311=$A26)*(COUNTIFS('Match Log'!$A$4:$A$311,'Match Log'!$A$4:$A$311,'Match Log'!$D$4:$D$311,H$21)&gt;0)))</f>
        <v>3</v>
      </c>
      <c r="I26" s="75">
        <f>IF($A26=I$21,0,SUMPRODUCT(('Match Log'!$D$4:$D$311=$A26)*(COUNTIFS('Match Log'!$A$4:$A$311,'Match Log'!$A$4:$A$311,'Match Log'!$D$4:$D$311,I$21)&gt;0)))</f>
        <v>13</v>
      </c>
      <c r="J26" s="75">
        <f>IF($A26=J$21,0,SUMPRODUCT(('Match Log'!$D$4:$D$311=$A26)*(COUNTIFS('Match Log'!$A$4:$A$311,'Match Log'!$A$4:$A$311,'Match Log'!$D$4:$D$311,J$21)&gt;0)))</f>
        <v>5</v>
      </c>
      <c r="K26" s="75">
        <f>IF($A26=K$21,0,SUMPRODUCT(('Match Log'!$D$4:$D$311=$A26)*(COUNTIFS('Match Log'!$A$4:$A$311,'Match Log'!$A$4:$A$311,'Match Log'!$D$4:$D$311,K$21)&gt;0)))</f>
        <v>4</v>
      </c>
      <c r="L26" s="75">
        <f>IF($A26=L$21,0,SUMPRODUCT(('Match Log'!$D$4:$D$311=$A26)*(COUNTIFS('Match Log'!$A$4:$A$311,'Match Log'!$A$4:$A$311,'Match Log'!$D$4:$D$311,L$21)&gt;0)))</f>
        <v>7</v>
      </c>
      <c r="M26" s="75">
        <f>IF($A26=M$21,0,SUMPRODUCT(('Match Log'!$D$4:$D$311=$A26)*(COUNTIFS('Match Log'!$A$4:$A$311,'Match Log'!$A$4:$A$311,'Match Log'!$D$4:$D$311,M$21)&gt;0)))</f>
        <v>1</v>
      </c>
      <c r="N26" s="75">
        <f>IF($A26=N$21,0,SUMPRODUCT(('Match Log'!$D$4:$D$311=$A26)*(COUNTIFS('Match Log'!$A$4:$A$311,'Match Log'!$A$4:$A$311,'Match Log'!$D$4:$D$311,N$21)&gt;0)))</f>
        <v>1</v>
      </c>
      <c r="O26" s="75">
        <f>IF($A26=O$21,0,SUMPRODUCT(('Match Log'!$D$4:$D$311=$A26)*(COUNTIFS('Match Log'!$A$4:$A$311,'Match Log'!$A$4:$A$311,'Match Log'!$D$4:$D$311,O$21)&gt;0)))</f>
        <v>0</v>
      </c>
    </row>
    <row r="27" spans="1:15" ht="15" customHeight="1" x14ac:dyDescent="0.2">
      <c r="A27" s="49" t="s">
        <v>141</v>
      </c>
      <c r="B27" s="75">
        <f>IF($A27=B$21,0,SUMPRODUCT(('Match Log'!$D$4:$D$311=$A27)*(COUNTIFS('Match Log'!$A$4:$A$311,'Match Log'!$A$4:$A$311,'Match Log'!$D$4:$D$311,B$21)&gt;0)))</f>
        <v>11</v>
      </c>
      <c r="C27" s="75">
        <f>IF($A27=C$21,0,SUMPRODUCT(('Match Log'!$D$4:$D$311=$A27)*(COUNTIFS('Match Log'!$A$4:$A$311,'Match Log'!$A$4:$A$311,'Match Log'!$D$4:$D$311,C$21)&gt;0)))</f>
        <v>1</v>
      </c>
      <c r="D27" s="75">
        <f>IF($A27=D$21,0,SUMPRODUCT(('Match Log'!$D$4:$D$311=$A27)*(COUNTIFS('Match Log'!$A$4:$A$311,'Match Log'!$A$4:$A$311,'Match Log'!$D$4:$D$311,D$21)&gt;0)))</f>
        <v>1</v>
      </c>
      <c r="E27" s="75">
        <f>IF($A27=E$21,0,SUMPRODUCT(('Match Log'!$D$4:$D$311=$A27)*(COUNTIFS('Match Log'!$A$4:$A$311,'Match Log'!$A$4:$A$311,'Match Log'!$D$4:$D$311,E$21)&gt;0)))</f>
        <v>2</v>
      </c>
      <c r="F27" s="75">
        <f>IF($A27=F$21,0,SUMPRODUCT(('Match Log'!$D$4:$D$311=$A27)*(COUNTIFS('Match Log'!$A$4:$A$311,'Match Log'!$A$4:$A$311,'Match Log'!$D$4:$D$311,F$21)&gt;0)))</f>
        <v>10</v>
      </c>
      <c r="G27" s="75">
        <f>IF($A27=G$21,0,SUMPRODUCT(('Match Log'!$D$4:$D$311=$A27)*(COUNTIFS('Match Log'!$A$4:$A$311,'Match Log'!$A$4:$A$311,'Match Log'!$D$4:$D$311,G$21)&gt;0)))</f>
        <v>0</v>
      </c>
      <c r="H27" s="75">
        <f>IF($A27=H$21,0,SUMPRODUCT(('Match Log'!$D$4:$D$311=$A27)*(COUNTIFS('Match Log'!$A$4:$A$311,'Match Log'!$A$4:$A$311,'Match Log'!$D$4:$D$311,H$21)&gt;0)))</f>
        <v>3</v>
      </c>
      <c r="I27" s="75">
        <f>IF($A27=I$21,0,SUMPRODUCT(('Match Log'!$D$4:$D$311=$A27)*(COUNTIFS('Match Log'!$A$4:$A$311,'Match Log'!$A$4:$A$311,'Match Log'!$D$4:$D$311,I$21)&gt;0)))</f>
        <v>19</v>
      </c>
      <c r="J27" s="75">
        <f>IF($A27=J$21,0,SUMPRODUCT(('Match Log'!$D$4:$D$311=$A27)*(COUNTIFS('Match Log'!$A$4:$A$311,'Match Log'!$A$4:$A$311,'Match Log'!$D$4:$D$311,J$21)&gt;0)))</f>
        <v>3</v>
      </c>
      <c r="K27" s="75">
        <f>IF($A27=K$21,0,SUMPRODUCT(('Match Log'!$D$4:$D$311=$A27)*(COUNTIFS('Match Log'!$A$4:$A$311,'Match Log'!$A$4:$A$311,'Match Log'!$D$4:$D$311,K$21)&gt;0)))</f>
        <v>0</v>
      </c>
      <c r="L27" s="75">
        <f>IF($A27=L$21,0,SUMPRODUCT(('Match Log'!$D$4:$D$311=$A27)*(COUNTIFS('Match Log'!$A$4:$A$311,'Match Log'!$A$4:$A$311,'Match Log'!$D$4:$D$311,L$21)&gt;0)))</f>
        <v>12</v>
      </c>
      <c r="M27" s="75">
        <f>IF($A27=M$21,0,SUMPRODUCT(('Match Log'!$D$4:$D$311=$A27)*(COUNTIFS('Match Log'!$A$4:$A$311,'Match Log'!$A$4:$A$311,'Match Log'!$D$4:$D$311,M$21)&gt;0)))</f>
        <v>1</v>
      </c>
      <c r="N27" s="75">
        <f>IF($A27=N$21,0,SUMPRODUCT(('Match Log'!$D$4:$D$311=$A27)*(COUNTIFS('Match Log'!$A$4:$A$311,'Match Log'!$A$4:$A$311,'Match Log'!$D$4:$D$311,N$21)&gt;0)))</f>
        <v>1</v>
      </c>
      <c r="O27" s="75">
        <f>IF($A27=O$21,0,SUMPRODUCT(('Match Log'!$D$4:$D$311=$A27)*(COUNTIFS('Match Log'!$A$4:$A$311,'Match Log'!$A$4:$A$311,'Match Log'!$D$4:$D$311,O$21)&gt;0)))</f>
        <v>0</v>
      </c>
    </row>
    <row r="28" spans="1:15" ht="15" customHeight="1" x14ac:dyDescent="0.2">
      <c r="A28" s="49" t="s">
        <v>175</v>
      </c>
      <c r="B28" s="75">
        <f>IF($A28=B$21,0,SUMPRODUCT(('Match Log'!$D$4:$D$311=$A28)*(COUNTIFS('Match Log'!$A$4:$A$311,'Match Log'!$A$4:$A$311,'Match Log'!$D$4:$D$311,B$21)&gt;0)))</f>
        <v>4</v>
      </c>
      <c r="C28" s="75">
        <f>IF($A28=C$21,0,SUMPRODUCT(('Match Log'!$D$4:$D$311=$A28)*(COUNTIFS('Match Log'!$A$4:$A$311,'Match Log'!$A$4:$A$311,'Match Log'!$D$4:$D$311,C$21)&gt;0)))</f>
        <v>3</v>
      </c>
      <c r="D28" s="75">
        <f>IF($A28=D$21,0,SUMPRODUCT(('Match Log'!$D$4:$D$311=$A28)*(COUNTIFS('Match Log'!$A$4:$A$311,'Match Log'!$A$4:$A$311,'Match Log'!$D$4:$D$311,D$21)&gt;0)))</f>
        <v>1</v>
      </c>
      <c r="E28" s="75">
        <f>IF($A28=E$21,0,SUMPRODUCT(('Match Log'!$D$4:$D$311=$A28)*(COUNTIFS('Match Log'!$A$4:$A$311,'Match Log'!$A$4:$A$311,'Match Log'!$D$4:$D$311,E$21)&gt;0)))</f>
        <v>2</v>
      </c>
      <c r="F28" s="75">
        <f>IF($A28=F$21,0,SUMPRODUCT(('Match Log'!$D$4:$D$311=$A28)*(COUNTIFS('Match Log'!$A$4:$A$311,'Match Log'!$A$4:$A$311,'Match Log'!$D$4:$D$311,F$21)&gt;0)))</f>
        <v>3</v>
      </c>
      <c r="G28" s="75">
        <f>IF($A28=G$21,0,SUMPRODUCT(('Match Log'!$D$4:$D$311=$A28)*(COUNTIFS('Match Log'!$A$4:$A$311,'Match Log'!$A$4:$A$311,'Match Log'!$D$4:$D$311,G$21)&gt;0)))</f>
        <v>3</v>
      </c>
      <c r="H28" s="75">
        <f>IF($A28=H$21,0,SUMPRODUCT(('Match Log'!$D$4:$D$311=$A28)*(COUNTIFS('Match Log'!$A$4:$A$311,'Match Log'!$A$4:$A$311,'Match Log'!$D$4:$D$311,H$21)&gt;0)))</f>
        <v>0</v>
      </c>
      <c r="I28" s="75">
        <f>IF($A28=I$21,0,SUMPRODUCT(('Match Log'!$D$4:$D$311=$A28)*(COUNTIFS('Match Log'!$A$4:$A$311,'Match Log'!$A$4:$A$311,'Match Log'!$D$4:$D$311,I$21)&gt;0)))</f>
        <v>1</v>
      </c>
      <c r="J28" s="75">
        <f>IF($A28=J$21,0,SUMPRODUCT(('Match Log'!$D$4:$D$311=$A28)*(COUNTIFS('Match Log'!$A$4:$A$311,'Match Log'!$A$4:$A$311,'Match Log'!$D$4:$D$311,J$21)&gt;0)))</f>
        <v>2</v>
      </c>
      <c r="K28" s="75">
        <f>IF($A28=K$21,0,SUMPRODUCT(('Match Log'!$D$4:$D$311=$A28)*(COUNTIFS('Match Log'!$A$4:$A$311,'Match Log'!$A$4:$A$311,'Match Log'!$D$4:$D$311,K$21)&gt;0)))</f>
        <v>2</v>
      </c>
      <c r="L28" s="75">
        <f>IF($A28=L$21,0,SUMPRODUCT(('Match Log'!$D$4:$D$311=$A28)*(COUNTIFS('Match Log'!$A$4:$A$311,'Match Log'!$A$4:$A$311,'Match Log'!$D$4:$D$311,L$21)&gt;0)))</f>
        <v>13</v>
      </c>
      <c r="M28" s="75">
        <f>IF($A28=M$21,0,SUMPRODUCT(('Match Log'!$D$4:$D$311=$A28)*(COUNTIFS('Match Log'!$A$4:$A$311,'Match Log'!$A$4:$A$311,'Match Log'!$D$4:$D$311,M$21)&gt;0)))</f>
        <v>1</v>
      </c>
      <c r="N28" s="75">
        <f>IF($A28=N$21,0,SUMPRODUCT(('Match Log'!$D$4:$D$311=$A28)*(COUNTIFS('Match Log'!$A$4:$A$311,'Match Log'!$A$4:$A$311,'Match Log'!$D$4:$D$311,N$21)&gt;0)))</f>
        <v>2</v>
      </c>
      <c r="O28" s="75">
        <f>IF($A28=O$21,0,SUMPRODUCT(('Match Log'!$D$4:$D$311=$A28)*(COUNTIFS('Match Log'!$A$4:$A$311,'Match Log'!$A$4:$A$311,'Match Log'!$D$4:$D$311,O$21)&gt;0)))</f>
        <v>0</v>
      </c>
    </row>
    <row r="29" spans="1:15" ht="15" customHeight="1" x14ac:dyDescent="0.2">
      <c r="A29" s="49" t="s">
        <v>177</v>
      </c>
      <c r="B29" s="75">
        <f>IF($A29=B$21,0,SUMPRODUCT(('Match Log'!$D$4:$D$311=$A29)*(COUNTIFS('Match Log'!$A$4:$A$311,'Match Log'!$A$4:$A$311,'Match Log'!$D$4:$D$311,B$21)&gt;0)))</f>
        <v>5</v>
      </c>
      <c r="C29" s="75">
        <f>IF($A29=C$21,0,SUMPRODUCT(('Match Log'!$D$4:$D$311=$A29)*(COUNTIFS('Match Log'!$A$4:$A$311,'Match Log'!$A$4:$A$311,'Match Log'!$D$4:$D$311,C$21)&gt;0)))</f>
        <v>2</v>
      </c>
      <c r="D29" s="75">
        <f>IF($A29=D$21,0,SUMPRODUCT(('Match Log'!$D$4:$D$311=$A29)*(COUNTIFS('Match Log'!$A$4:$A$311,'Match Log'!$A$4:$A$311,'Match Log'!$D$4:$D$311,D$21)&gt;0)))</f>
        <v>7</v>
      </c>
      <c r="E29" s="75">
        <f>IF($A29=E$21,0,SUMPRODUCT(('Match Log'!$D$4:$D$311=$A29)*(COUNTIFS('Match Log'!$A$4:$A$311,'Match Log'!$A$4:$A$311,'Match Log'!$D$4:$D$311,E$21)&gt;0)))</f>
        <v>4</v>
      </c>
      <c r="F29" s="75">
        <f>IF($A29=F$21,0,SUMPRODUCT(('Match Log'!$D$4:$D$311=$A29)*(COUNTIFS('Match Log'!$A$4:$A$311,'Match Log'!$A$4:$A$311,'Match Log'!$D$4:$D$311,F$21)&gt;0)))</f>
        <v>13</v>
      </c>
      <c r="G29" s="75">
        <f>IF($A29=G$21,0,SUMPRODUCT(('Match Log'!$D$4:$D$311=$A29)*(COUNTIFS('Match Log'!$A$4:$A$311,'Match Log'!$A$4:$A$311,'Match Log'!$D$4:$D$311,G$21)&gt;0)))</f>
        <v>19</v>
      </c>
      <c r="H29" s="75">
        <f>IF($A29=H$21,0,SUMPRODUCT(('Match Log'!$D$4:$D$311=$A29)*(COUNTIFS('Match Log'!$A$4:$A$311,'Match Log'!$A$4:$A$311,'Match Log'!$D$4:$D$311,H$21)&gt;0)))</f>
        <v>1</v>
      </c>
      <c r="I29" s="75">
        <f>IF($A29=I$21,0,SUMPRODUCT(('Match Log'!$D$4:$D$311=$A29)*(COUNTIFS('Match Log'!$A$4:$A$311,'Match Log'!$A$4:$A$311,'Match Log'!$D$4:$D$311,I$21)&gt;0)))</f>
        <v>0</v>
      </c>
      <c r="J29" s="75">
        <f>IF($A29=J$21,0,SUMPRODUCT(('Match Log'!$D$4:$D$311=$A29)*(COUNTIFS('Match Log'!$A$4:$A$311,'Match Log'!$A$4:$A$311,'Match Log'!$D$4:$D$311,J$21)&gt;0)))</f>
        <v>12</v>
      </c>
      <c r="K29" s="75">
        <f>IF($A29=K$21,0,SUMPRODUCT(('Match Log'!$D$4:$D$311=$A29)*(COUNTIFS('Match Log'!$A$4:$A$311,'Match Log'!$A$4:$A$311,'Match Log'!$D$4:$D$311,K$21)&gt;0)))</f>
        <v>2</v>
      </c>
      <c r="L29" s="75">
        <f>IF($A29=L$21,0,SUMPRODUCT(('Match Log'!$D$4:$D$311=$A29)*(COUNTIFS('Match Log'!$A$4:$A$311,'Match Log'!$A$4:$A$311,'Match Log'!$D$4:$D$311,L$21)&gt;0)))</f>
        <v>6</v>
      </c>
      <c r="M29" s="75">
        <f>IF($A29=M$21,0,SUMPRODUCT(('Match Log'!$D$4:$D$311=$A29)*(COUNTIFS('Match Log'!$A$4:$A$311,'Match Log'!$A$4:$A$311,'Match Log'!$D$4:$D$311,M$21)&gt;0)))</f>
        <v>2</v>
      </c>
      <c r="N29" s="75">
        <f>IF($A29=N$21,0,SUMPRODUCT(('Match Log'!$D$4:$D$311=$A29)*(COUNTIFS('Match Log'!$A$4:$A$311,'Match Log'!$A$4:$A$311,'Match Log'!$D$4:$D$311,N$21)&gt;0)))</f>
        <v>1</v>
      </c>
      <c r="O29" s="75">
        <f>IF($A29=O$21,0,SUMPRODUCT(('Match Log'!$D$4:$D$311=$A29)*(COUNTIFS('Match Log'!$A$4:$A$311,'Match Log'!$A$4:$A$311,'Match Log'!$D$4:$D$311,O$21)&gt;0)))</f>
        <v>0</v>
      </c>
    </row>
    <row r="30" spans="1:15" ht="15" customHeight="1" x14ac:dyDescent="0.2">
      <c r="A30" s="49" t="s">
        <v>174</v>
      </c>
      <c r="B30" s="75">
        <f>IF($A30=B$21,0,SUMPRODUCT(('Match Log'!$D$4:$D$311=$A30)*(COUNTIFS('Match Log'!$A$4:$A$311,'Match Log'!$A$4:$A$311,'Match Log'!$D$4:$D$311,B$21)&gt;0)))</f>
        <v>2</v>
      </c>
      <c r="C30" s="75">
        <f>IF($A30=C$21,0,SUMPRODUCT(('Match Log'!$D$4:$D$311=$A30)*(COUNTIFS('Match Log'!$A$4:$A$311,'Match Log'!$A$4:$A$311,'Match Log'!$D$4:$D$311,C$21)&gt;0)))</f>
        <v>2</v>
      </c>
      <c r="D30" s="75">
        <f>IF($A30=D$21,0,SUMPRODUCT(('Match Log'!$D$4:$D$311=$A30)*(COUNTIFS('Match Log'!$A$4:$A$311,'Match Log'!$A$4:$A$311,'Match Log'!$D$4:$D$311,D$21)&gt;0)))</f>
        <v>0</v>
      </c>
      <c r="E30" s="75">
        <f>IF($A30=E$21,0,SUMPRODUCT(('Match Log'!$D$4:$D$311=$A30)*(COUNTIFS('Match Log'!$A$4:$A$311,'Match Log'!$A$4:$A$311,'Match Log'!$D$4:$D$311,E$21)&gt;0)))</f>
        <v>3</v>
      </c>
      <c r="F30" s="75">
        <f>IF($A30=F$21,0,SUMPRODUCT(('Match Log'!$D$4:$D$311=$A30)*(COUNTIFS('Match Log'!$A$4:$A$311,'Match Log'!$A$4:$A$311,'Match Log'!$D$4:$D$311,F$21)&gt;0)))</f>
        <v>5</v>
      </c>
      <c r="G30" s="75">
        <f>IF($A30=G$21,0,SUMPRODUCT(('Match Log'!$D$4:$D$311=$A30)*(COUNTIFS('Match Log'!$A$4:$A$311,'Match Log'!$A$4:$A$311,'Match Log'!$D$4:$D$311,G$21)&gt;0)))</f>
        <v>3</v>
      </c>
      <c r="H30" s="75">
        <f>IF($A30=H$21,0,SUMPRODUCT(('Match Log'!$D$4:$D$311=$A30)*(COUNTIFS('Match Log'!$A$4:$A$311,'Match Log'!$A$4:$A$311,'Match Log'!$D$4:$D$311,H$21)&gt;0)))</f>
        <v>2</v>
      </c>
      <c r="I30" s="75">
        <f>IF($A30=I$21,0,SUMPRODUCT(('Match Log'!$D$4:$D$311=$A30)*(COUNTIFS('Match Log'!$A$4:$A$311,'Match Log'!$A$4:$A$311,'Match Log'!$D$4:$D$311,I$21)&gt;0)))</f>
        <v>12</v>
      </c>
      <c r="J30" s="75">
        <f>IF($A30=J$21,0,SUMPRODUCT(('Match Log'!$D$4:$D$311=$A30)*(COUNTIFS('Match Log'!$A$4:$A$311,'Match Log'!$A$4:$A$311,'Match Log'!$D$4:$D$311,J$21)&gt;0)))</f>
        <v>0</v>
      </c>
      <c r="K30" s="75">
        <f>IF($A30=K$21,0,SUMPRODUCT(('Match Log'!$D$4:$D$311=$A30)*(COUNTIFS('Match Log'!$A$4:$A$311,'Match Log'!$A$4:$A$311,'Match Log'!$D$4:$D$311,K$21)&gt;0)))</f>
        <v>1</v>
      </c>
      <c r="L30" s="75">
        <f>IF($A30=L$21,0,SUMPRODUCT(('Match Log'!$D$4:$D$311=$A30)*(COUNTIFS('Match Log'!$A$4:$A$311,'Match Log'!$A$4:$A$311,'Match Log'!$D$4:$D$311,L$21)&gt;0)))</f>
        <v>6</v>
      </c>
      <c r="M30" s="75">
        <f>IF($A30=M$21,0,SUMPRODUCT(('Match Log'!$D$4:$D$311=$A30)*(COUNTIFS('Match Log'!$A$4:$A$311,'Match Log'!$A$4:$A$311,'Match Log'!$D$4:$D$311,M$21)&gt;0)))</f>
        <v>2</v>
      </c>
      <c r="N30" s="75">
        <f>IF($A30=N$21,0,SUMPRODUCT(('Match Log'!$D$4:$D$311=$A30)*(COUNTIFS('Match Log'!$A$4:$A$311,'Match Log'!$A$4:$A$311,'Match Log'!$D$4:$D$311,N$21)&gt;0)))</f>
        <v>1</v>
      </c>
      <c r="O30" s="75">
        <f>IF($A30=O$21,0,SUMPRODUCT(('Match Log'!$D$4:$D$311=$A30)*(COUNTIFS('Match Log'!$A$4:$A$311,'Match Log'!$A$4:$A$311,'Match Log'!$D$4:$D$311,O$21)&gt;0)))</f>
        <v>0</v>
      </c>
    </row>
    <row r="31" spans="1:15" ht="15" customHeight="1" x14ac:dyDescent="0.2">
      <c r="A31" s="49" t="s">
        <v>182</v>
      </c>
      <c r="B31" s="75">
        <f>IF($A31=B$21,0,SUMPRODUCT(('Match Log'!$D$4:$D$311=$A31)*(COUNTIFS('Match Log'!$A$4:$A$311,'Match Log'!$A$4:$A$311,'Match Log'!$D$4:$D$311,B$21)&gt;0)))</f>
        <v>2</v>
      </c>
      <c r="C31" s="75">
        <f>IF($A31=C$21,0,SUMPRODUCT(('Match Log'!$D$4:$D$311=$A31)*(COUNTIFS('Match Log'!$A$4:$A$311,'Match Log'!$A$4:$A$311,'Match Log'!$D$4:$D$311,C$21)&gt;0)))</f>
        <v>1</v>
      </c>
      <c r="D31" s="75">
        <f>IF($A31=D$21,0,SUMPRODUCT(('Match Log'!$D$4:$D$311=$A31)*(COUNTIFS('Match Log'!$A$4:$A$311,'Match Log'!$A$4:$A$311,'Match Log'!$D$4:$D$311,D$21)&gt;0)))</f>
        <v>1</v>
      </c>
      <c r="E31" s="75">
        <f>IF($A31=E$21,0,SUMPRODUCT(('Match Log'!$D$4:$D$311=$A31)*(COUNTIFS('Match Log'!$A$4:$A$311,'Match Log'!$A$4:$A$311,'Match Log'!$D$4:$D$311,E$21)&gt;0)))</f>
        <v>1</v>
      </c>
      <c r="F31" s="75">
        <f>IF($A31=F$21,0,SUMPRODUCT(('Match Log'!$D$4:$D$311=$A31)*(COUNTIFS('Match Log'!$A$4:$A$311,'Match Log'!$A$4:$A$311,'Match Log'!$D$4:$D$311,F$21)&gt;0)))</f>
        <v>4</v>
      </c>
      <c r="G31" s="75">
        <f>IF($A31=G$21,0,SUMPRODUCT(('Match Log'!$D$4:$D$311=$A31)*(COUNTIFS('Match Log'!$A$4:$A$311,'Match Log'!$A$4:$A$311,'Match Log'!$D$4:$D$311,G$21)&gt;0)))</f>
        <v>0</v>
      </c>
      <c r="H31" s="75">
        <f>IF($A31=H$21,0,SUMPRODUCT(('Match Log'!$D$4:$D$311=$A31)*(COUNTIFS('Match Log'!$A$4:$A$311,'Match Log'!$A$4:$A$311,'Match Log'!$D$4:$D$311,H$21)&gt;0)))</f>
        <v>2</v>
      </c>
      <c r="I31" s="75">
        <f>IF($A31=I$21,0,SUMPRODUCT(('Match Log'!$D$4:$D$311=$A31)*(COUNTIFS('Match Log'!$A$4:$A$311,'Match Log'!$A$4:$A$311,'Match Log'!$D$4:$D$311,I$21)&gt;0)))</f>
        <v>2</v>
      </c>
      <c r="J31" s="75">
        <f>IF($A31=J$21,0,SUMPRODUCT(('Match Log'!$D$4:$D$311=$A31)*(COUNTIFS('Match Log'!$A$4:$A$311,'Match Log'!$A$4:$A$311,'Match Log'!$D$4:$D$311,J$21)&gt;0)))</f>
        <v>1</v>
      </c>
      <c r="K31" s="75">
        <f>IF($A31=K$21,0,SUMPRODUCT(('Match Log'!$D$4:$D$311=$A31)*(COUNTIFS('Match Log'!$A$4:$A$311,'Match Log'!$A$4:$A$311,'Match Log'!$D$4:$D$311,K$21)&gt;0)))</f>
        <v>0</v>
      </c>
      <c r="L31" s="75">
        <f>IF($A31=L$21,0,SUMPRODUCT(('Match Log'!$D$4:$D$311=$A31)*(COUNTIFS('Match Log'!$A$4:$A$311,'Match Log'!$A$4:$A$311,'Match Log'!$D$4:$D$311,L$21)&gt;0)))</f>
        <v>3</v>
      </c>
      <c r="M31" s="75">
        <f>IF($A31=M$21,0,SUMPRODUCT(('Match Log'!$D$4:$D$311=$A31)*(COUNTIFS('Match Log'!$A$4:$A$311,'Match Log'!$A$4:$A$311,'Match Log'!$D$4:$D$311,M$21)&gt;0)))</f>
        <v>0</v>
      </c>
      <c r="N31" s="75">
        <f>IF($A31=N$21,0,SUMPRODUCT(('Match Log'!$D$4:$D$311=$A31)*(COUNTIFS('Match Log'!$A$4:$A$311,'Match Log'!$A$4:$A$311,'Match Log'!$D$4:$D$311,N$21)&gt;0)))</f>
        <v>0</v>
      </c>
      <c r="O31" s="75">
        <f>IF($A31=O$21,0,SUMPRODUCT(('Match Log'!$D$4:$D$311=$A31)*(COUNTIFS('Match Log'!$A$4:$A$311,'Match Log'!$A$4:$A$311,'Match Log'!$D$4:$D$311,O$21)&gt;0)))</f>
        <v>0</v>
      </c>
    </row>
    <row r="32" spans="1:15" ht="15" customHeight="1" x14ac:dyDescent="0.2">
      <c r="A32" s="49" t="s">
        <v>176</v>
      </c>
      <c r="B32" s="75">
        <f>IF($A32=B$21,0,SUMPRODUCT(('Match Log'!$D$4:$D$311=$A32)*(COUNTIFS('Match Log'!$A$4:$A$311,'Match Log'!$A$4:$A$311,'Match Log'!$D$4:$D$311,B$21)&gt;0)))</f>
        <v>4</v>
      </c>
      <c r="C32" s="75">
        <f>IF($A32=C$21,0,SUMPRODUCT(('Match Log'!$D$4:$D$311=$A32)*(COUNTIFS('Match Log'!$A$4:$A$311,'Match Log'!$A$4:$A$311,'Match Log'!$D$4:$D$311,C$21)&gt;0)))</f>
        <v>5</v>
      </c>
      <c r="D32" s="75">
        <f>IF($A32=D$21,0,SUMPRODUCT(('Match Log'!$D$4:$D$311=$A32)*(COUNTIFS('Match Log'!$A$4:$A$311,'Match Log'!$A$4:$A$311,'Match Log'!$D$4:$D$311,D$21)&gt;0)))</f>
        <v>1</v>
      </c>
      <c r="E32" s="75">
        <f>IF($A32=E$21,0,SUMPRODUCT(('Match Log'!$D$4:$D$311=$A32)*(COUNTIFS('Match Log'!$A$4:$A$311,'Match Log'!$A$4:$A$311,'Match Log'!$D$4:$D$311,E$21)&gt;0)))</f>
        <v>2</v>
      </c>
      <c r="F32" s="75">
        <f>IF($A32=F$21,0,SUMPRODUCT(('Match Log'!$D$4:$D$311=$A32)*(COUNTIFS('Match Log'!$A$4:$A$311,'Match Log'!$A$4:$A$311,'Match Log'!$D$4:$D$311,F$21)&gt;0)))</f>
        <v>7</v>
      </c>
      <c r="G32" s="75">
        <f>IF($A32=G$21,0,SUMPRODUCT(('Match Log'!$D$4:$D$311=$A32)*(COUNTIFS('Match Log'!$A$4:$A$311,'Match Log'!$A$4:$A$311,'Match Log'!$D$4:$D$311,G$21)&gt;0)))</f>
        <v>12</v>
      </c>
      <c r="H32" s="75">
        <f>IF($A32=H$21,0,SUMPRODUCT(('Match Log'!$D$4:$D$311=$A32)*(COUNTIFS('Match Log'!$A$4:$A$311,'Match Log'!$A$4:$A$311,'Match Log'!$D$4:$D$311,H$21)&gt;0)))</f>
        <v>13</v>
      </c>
      <c r="I32" s="75">
        <f>IF($A32=I$21,0,SUMPRODUCT(('Match Log'!$D$4:$D$311=$A32)*(COUNTIFS('Match Log'!$A$4:$A$311,'Match Log'!$A$4:$A$311,'Match Log'!$D$4:$D$311,I$21)&gt;0)))</f>
        <v>6</v>
      </c>
      <c r="J32" s="75">
        <f>IF($A32=J$21,0,SUMPRODUCT(('Match Log'!$D$4:$D$311=$A32)*(COUNTIFS('Match Log'!$A$4:$A$311,'Match Log'!$A$4:$A$311,'Match Log'!$D$4:$D$311,J$21)&gt;0)))</f>
        <v>6</v>
      </c>
      <c r="K32" s="75">
        <f>IF($A32=K$21,0,SUMPRODUCT(('Match Log'!$D$4:$D$311=$A32)*(COUNTIFS('Match Log'!$A$4:$A$311,'Match Log'!$A$4:$A$311,'Match Log'!$D$4:$D$311,K$21)&gt;0)))</f>
        <v>3</v>
      </c>
      <c r="L32" s="75">
        <f>IF($A32=L$21,0,SUMPRODUCT(('Match Log'!$D$4:$D$311=$A32)*(COUNTIFS('Match Log'!$A$4:$A$311,'Match Log'!$A$4:$A$311,'Match Log'!$D$4:$D$311,L$21)&gt;0)))</f>
        <v>0</v>
      </c>
      <c r="M32" s="75">
        <f>IF($A32=M$21,0,SUMPRODUCT(('Match Log'!$D$4:$D$311=$A32)*(COUNTIFS('Match Log'!$A$4:$A$311,'Match Log'!$A$4:$A$311,'Match Log'!$D$4:$D$311,M$21)&gt;0)))</f>
        <v>1</v>
      </c>
      <c r="N32" s="75">
        <f>IF($A32=N$21,0,SUMPRODUCT(('Match Log'!$D$4:$D$311=$A32)*(COUNTIFS('Match Log'!$A$4:$A$311,'Match Log'!$A$4:$A$311,'Match Log'!$D$4:$D$311,N$21)&gt;0)))</f>
        <v>2</v>
      </c>
      <c r="O32" s="75">
        <f>IF($A32=O$21,0,SUMPRODUCT(('Match Log'!$D$4:$D$311=$A32)*(COUNTIFS('Match Log'!$A$4:$A$311,'Match Log'!$A$4:$A$311,'Match Log'!$D$4:$D$311,O$21)&gt;0)))</f>
        <v>0</v>
      </c>
    </row>
    <row r="33" spans="1:15" ht="15" customHeight="1" x14ac:dyDescent="0.2">
      <c r="A33" s="49" t="s">
        <v>178</v>
      </c>
      <c r="B33" s="75">
        <f>IF($A33=B$21,0,SUMPRODUCT(('Match Log'!$D$4:$D$311=$A33)*(COUNTIFS('Match Log'!$A$4:$A$311,'Match Log'!$A$4:$A$311,'Match Log'!$D$4:$D$311,B$21)&gt;0)))</f>
        <v>1</v>
      </c>
      <c r="C33" s="75">
        <f>IF($A33=C$21,0,SUMPRODUCT(('Match Log'!$D$4:$D$311=$A33)*(COUNTIFS('Match Log'!$A$4:$A$311,'Match Log'!$A$4:$A$311,'Match Log'!$D$4:$D$311,C$21)&gt;0)))</f>
        <v>1</v>
      </c>
      <c r="D33" s="75">
        <f>IF($A33=D$21,0,SUMPRODUCT(('Match Log'!$D$4:$D$311=$A33)*(COUNTIFS('Match Log'!$A$4:$A$311,'Match Log'!$A$4:$A$311,'Match Log'!$D$4:$D$311,D$21)&gt;0)))</f>
        <v>0</v>
      </c>
      <c r="E33" s="75">
        <f>IF($A33=E$21,0,SUMPRODUCT(('Match Log'!$D$4:$D$311=$A33)*(COUNTIFS('Match Log'!$A$4:$A$311,'Match Log'!$A$4:$A$311,'Match Log'!$D$4:$D$311,E$21)&gt;0)))</f>
        <v>5</v>
      </c>
      <c r="F33" s="75">
        <f>IF($A33=F$21,0,SUMPRODUCT(('Match Log'!$D$4:$D$311=$A33)*(COUNTIFS('Match Log'!$A$4:$A$311,'Match Log'!$A$4:$A$311,'Match Log'!$D$4:$D$311,F$21)&gt;0)))</f>
        <v>1</v>
      </c>
      <c r="G33" s="75">
        <f>IF($A33=G$21,0,SUMPRODUCT(('Match Log'!$D$4:$D$311=$A33)*(COUNTIFS('Match Log'!$A$4:$A$311,'Match Log'!$A$4:$A$311,'Match Log'!$D$4:$D$311,G$21)&gt;0)))</f>
        <v>1</v>
      </c>
      <c r="H33" s="75">
        <f>IF($A33=H$21,0,SUMPRODUCT(('Match Log'!$D$4:$D$311=$A33)*(COUNTIFS('Match Log'!$A$4:$A$311,'Match Log'!$A$4:$A$311,'Match Log'!$D$4:$D$311,H$21)&gt;0)))</f>
        <v>1</v>
      </c>
      <c r="I33" s="75">
        <f>IF($A33=I$21,0,SUMPRODUCT(('Match Log'!$D$4:$D$311=$A33)*(COUNTIFS('Match Log'!$A$4:$A$311,'Match Log'!$A$4:$A$311,'Match Log'!$D$4:$D$311,I$21)&gt;0)))</f>
        <v>2</v>
      </c>
      <c r="J33" s="75">
        <f>IF($A33=J$21,0,SUMPRODUCT(('Match Log'!$D$4:$D$311=$A33)*(COUNTIFS('Match Log'!$A$4:$A$311,'Match Log'!$A$4:$A$311,'Match Log'!$D$4:$D$311,J$21)&gt;0)))</f>
        <v>2</v>
      </c>
      <c r="K33" s="75">
        <f>IF($A33=K$21,0,SUMPRODUCT(('Match Log'!$D$4:$D$311=$A33)*(COUNTIFS('Match Log'!$A$4:$A$311,'Match Log'!$A$4:$A$311,'Match Log'!$D$4:$D$311,K$21)&gt;0)))</f>
        <v>0</v>
      </c>
      <c r="L33" s="75">
        <f>IF($A33=L$21,0,SUMPRODUCT(('Match Log'!$D$4:$D$311=$A33)*(COUNTIFS('Match Log'!$A$4:$A$311,'Match Log'!$A$4:$A$311,'Match Log'!$D$4:$D$311,L$21)&gt;0)))</f>
        <v>1</v>
      </c>
      <c r="M33" s="75">
        <f>IF($A33=M$21,0,SUMPRODUCT(('Match Log'!$D$4:$D$311=$A33)*(COUNTIFS('Match Log'!$A$4:$A$311,'Match Log'!$A$4:$A$311,'Match Log'!$D$4:$D$311,M$21)&gt;0)))</f>
        <v>0</v>
      </c>
      <c r="N33" s="75">
        <f>IF($A33=N$21,0,SUMPRODUCT(('Match Log'!$D$4:$D$311=$A33)*(COUNTIFS('Match Log'!$A$4:$A$311,'Match Log'!$A$4:$A$311,'Match Log'!$D$4:$D$311,N$21)&gt;0)))</f>
        <v>0</v>
      </c>
      <c r="O33" s="75">
        <f>IF($A33=O$21,0,SUMPRODUCT(('Match Log'!$D$4:$D$311=$A33)*(COUNTIFS('Match Log'!$A$4:$A$311,'Match Log'!$A$4:$A$311,'Match Log'!$D$4:$D$311,O$21)&gt;0)))</f>
        <v>0</v>
      </c>
    </row>
    <row r="34" spans="1:15" ht="15" customHeight="1" x14ac:dyDescent="0.2">
      <c r="A34" s="49" t="s">
        <v>179</v>
      </c>
      <c r="B34" s="75">
        <f>IF($A34=B$21,0,SUMPRODUCT(('Match Log'!$D$4:$D$311=$A34)*(COUNTIFS('Match Log'!$A$4:$A$311,'Match Log'!$A$4:$A$311,'Match Log'!$D$4:$D$311,B$21)&gt;0)))</f>
        <v>0</v>
      </c>
      <c r="C34" s="75">
        <f>IF($A34=C$21,0,SUMPRODUCT(('Match Log'!$D$4:$D$311=$A34)*(COUNTIFS('Match Log'!$A$4:$A$311,'Match Log'!$A$4:$A$311,'Match Log'!$D$4:$D$311,C$21)&gt;0)))</f>
        <v>4</v>
      </c>
      <c r="D34" s="75">
        <f>IF($A34=D$21,0,SUMPRODUCT(('Match Log'!$D$4:$D$311=$A34)*(COUNTIFS('Match Log'!$A$4:$A$311,'Match Log'!$A$4:$A$311,'Match Log'!$D$4:$D$311,D$21)&gt;0)))</f>
        <v>0</v>
      </c>
      <c r="E34" s="75">
        <f>IF($A34=E$21,0,SUMPRODUCT(('Match Log'!$D$4:$D$311=$A34)*(COUNTIFS('Match Log'!$A$4:$A$311,'Match Log'!$A$4:$A$311,'Match Log'!$D$4:$D$311,E$21)&gt;0)))</f>
        <v>0</v>
      </c>
      <c r="F34" s="75">
        <f>IF($A34=F$21,0,SUMPRODUCT(('Match Log'!$D$4:$D$311=$A34)*(COUNTIFS('Match Log'!$A$4:$A$311,'Match Log'!$A$4:$A$311,'Match Log'!$D$4:$D$311,F$21)&gt;0)))</f>
        <v>1</v>
      </c>
      <c r="G34" s="75">
        <f>IF($A34=G$21,0,SUMPRODUCT(('Match Log'!$D$4:$D$311=$A34)*(COUNTIFS('Match Log'!$A$4:$A$311,'Match Log'!$A$4:$A$311,'Match Log'!$D$4:$D$311,G$21)&gt;0)))</f>
        <v>1</v>
      </c>
      <c r="H34" s="75">
        <f>IF($A34=H$21,0,SUMPRODUCT(('Match Log'!$D$4:$D$311=$A34)*(COUNTIFS('Match Log'!$A$4:$A$311,'Match Log'!$A$4:$A$311,'Match Log'!$D$4:$D$311,H$21)&gt;0)))</f>
        <v>2</v>
      </c>
      <c r="I34" s="75">
        <f>IF($A34=I$21,0,SUMPRODUCT(('Match Log'!$D$4:$D$311=$A34)*(COUNTIFS('Match Log'!$A$4:$A$311,'Match Log'!$A$4:$A$311,'Match Log'!$D$4:$D$311,I$21)&gt;0)))</f>
        <v>1</v>
      </c>
      <c r="J34" s="75">
        <f>IF($A34=J$21,0,SUMPRODUCT(('Match Log'!$D$4:$D$311=$A34)*(COUNTIFS('Match Log'!$A$4:$A$311,'Match Log'!$A$4:$A$311,'Match Log'!$D$4:$D$311,J$21)&gt;0)))</f>
        <v>1</v>
      </c>
      <c r="K34" s="75">
        <f>IF($A34=K$21,0,SUMPRODUCT(('Match Log'!$D$4:$D$311=$A34)*(COUNTIFS('Match Log'!$A$4:$A$311,'Match Log'!$A$4:$A$311,'Match Log'!$D$4:$D$311,K$21)&gt;0)))</f>
        <v>0</v>
      </c>
      <c r="L34" s="75">
        <f>IF($A34=L$21,0,SUMPRODUCT(('Match Log'!$D$4:$D$311=$A34)*(COUNTIFS('Match Log'!$A$4:$A$311,'Match Log'!$A$4:$A$311,'Match Log'!$D$4:$D$311,L$21)&gt;0)))</f>
        <v>2</v>
      </c>
      <c r="M34" s="75">
        <f>IF($A34=M$21,0,SUMPRODUCT(('Match Log'!$D$4:$D$311=$A34)*(COUNTIFS('Match Log'!$A$4:$A$311,'Match Log'!$A$4:$A$311,'Match Log'!$D$4:$D$311,M$21)&gt;0)))</f>
        <v>0</v>
      </c>
      <c r="N34" s="75">
        <f>IF($A34=N$21,0,SUMPRODUCT(('Match Log'!$D$4:$D$311=$A34)*(COUNTIFS('Match Log'!$A$4:$A$311,'Match Log'!$A$4:$A$311,'Match Log'!$D$4:$D$311,N$21)&gt;0)))</f>
        <v>0</v>
      </c>
      <c r="O34" s="75">
        <f>IF($A34=O$21,0,SUMPRODUCT(('Match Log'!$D$4:$D$311=$A34)*(COUNTIFS('Match Log'!$A$4:$A$311,'Match Log'!$A$4:$A$311,'Match Log'!$D$4:$D$311,O$21)&gt;0)))</f>
        <v>0</v>
      </c>
    </row>
    <row r="35" spans="1:15" ht="15" customHeight="1" x14ac:dyDescent="0.2">
      <c r="A35" s="49" t="s">
        <v>181</v>
      </c>
      <c r="B35" s="75">
        <f>IF($A35=B$21,0,SUMPRODUCT(('Match Log'!$D$4:$D$311=$A35)*(COUNTIFS('Match Log'!$A$4:$A$311,'Match Log'!$A$4:$A$311,'Match Log'!$D$4:$D$311,B$21)&gt;0)))</f>
        <v>0</v>
      </c>
      <c r="C35" s="75">
        <f>IF($A35=C$21,0,SUMPRODUCT(('Match Log'!$D$4:$D$311=$A35)*(COUNTIFS('Match Log'!$A$4:$A$311,'Match Log'!$A$4:$A$311,'Match Log'!$D$4:$D$311,C$21)&gt;0)))</f>
        <v>0</v>
      </c>
      <c r="D35" s="75">
        <f>IF($A35=D$21,0,SUMPRODUCT(('Match Log'!$D$4:$D$311=$A35)*(COUNTIFS('Match Log'!$A$4:$A$311,'Match Log'!$A$4:$A$311,'Match Log'!$D$4:$D$311,D$21)&gt;0)))</f>
        <v>0</v>
      </c>
      <c r="E35" s="75">
        <f>IF($A35=E$21,0,SUMPRODUCT(('Match Log'!$D$4:$D$311=$A35)*(COUNTIFS('Match Log'!$A$4:$A$311,'Match Log'!$A$4:$A$311,'Match Log'!$D$4:$D$311,E$21)&gt;0)))</f>
        <v>0</v>
      </c>
      <c r="F35" s="75">
        <f>IF($A35=F$21,0,SUMPRODUCT(('Match Log'!$D$4:$D$311=$A35)*(COUNTIFS('Match Log'!$A$4:$A$311,'Match Log'!$A$4:$A$311,'Match Log'!$D$4:$D$311,F$21)&gt;0)))</f>
        <v>0</v>
      </c>
      <c r="G35" s="75">
        <f>IF($A35=G$21,0,SUMPRODUCT(('Match Log'!$D$4:$D$311=$A35)*(COUNTIFS('Match Log'!$A$4:$A$311,'Match Log'!$A$4:$A$311,'Match Log'!$D$4:$D$311,G$21)&gt;0)))</f>
        <v>0</v>
      </c>
      <c r="H35" s="75">
        <f>IF($A35=H$21,0,SUMPRODUCT(('Match Log'!$D$4:$D$311=$A35)*(COUNTIFS('Match Log'!$A$4:$A$311,'Match Log'!$A$4:$A$311,'Match Log'!$D$4:$D$311,H$21)&gt;0)))</f>
        <v>0</v>
      </c>
      <c r="I35" s="75">
        <f>IF($A35=I$21,0,SUMPRODUCT(('Match Log'!$D$4:$D$311=$A35)*(COUNTIFS('Match Log'!$A$4:$A$311,'Match Log'!$A$4:$A$311,'Match Log'!$D$4:$D$311,I$21)&gt;0)))</f>
        <v>0</v>
      </c>
      <c r="J35" s="75">
        <f>IF($A35=J$21,0,SUMPRODUCT(('Match Log'!$D$4:$D$311=$A35)*(COUNTIFS('Match Log'!$A$4:$A$311,'Match Log'!$A$4:$A$311,'Match Log'!$D$4:$D$311,J$21)&gt;0)))</f>
        <v>0</v>
      </c>
      <c r="K35" s="75">
        <f>IF($A35=K$21,0,SUMPRODUCT(('Match Log'!$D$4:$D$311=$A35)*(COUNTIFS('Match Log'!$A$4:$A$311,'Match Log'!$A$4:$A$311,'Match Log'!$D$4:$D$311,K$21)&gt;0)))</f>
        <v>0</v>
      </c>
      <c r="L35" s="75">
        <f>IF($A35=L$21,0,SUMPRODUCT(('Match Log'!$D$4:$D$311=$A35)*(COUNTIFS('Match Log'!$A$4:$A$311,'Match Log'!$A$4:$A$311,'Match Log'!$D$4:$D$311,L$21)&gt;0)))</f>
        <v>0</v>
      </c>
      <c r="M35" s="75">
        <f>IF($A35=M$21,0,SUMPRODUCT(('Match Log'!$D$4:$D$311=$A35)*(COUNTIFS('Match Log'!$A$4:$A$311,'Match Log'!$A$4:$A$311,'Match Log'!$D$4:$D$311,M$21)&gt;0)))</f>
        <v>0</v>
      </c>
      <c r="N35" s="75">
        <f>IF($A35=N$21,0,SUMPRODUCT(('Match Log'!$D$4:$D$311=$A35)*(COUNTIFS('Match Log'!$A$4:$A$311,'Match Log'!$A$4:$A$311,'Match Log'!$D$4:$D$311,N$21)&gt;0)))</f>
        <v>0</v>
      </c>
      <c r="O35" s="75">
        <f>IF($A35=O$21,0,SUMPRODUCT(('Match Log'!$D$4:$D$311=$A35)*(COUNTIFS('Match Log'!$A$4:$A$311,'Match Log'!$A$4:$A$311,'Match Log'!$D$4:$D$311,O$21)&gt;0)))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09"/>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SUM($P$8:$P$25)</f>
        <v>115</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Log'!$D$4:$D$311,B$7,'Match Log'!$C$4:$C$311,$A8)</f>
        <v>0</v>
      </c>
      <c r="C8" s="82">
        <f>COUNTIFS('Match Log'!$D$4:$D$311,C$7,'Match Log'!$C$4:$C$311,$A8)</f>
        <v>0</v>
      </c>
      <c r="D8" s="82">
        <f>COUNTIFS('Match Log'!$D$4:$D$311,D$7,'Match Log'!$C$4:$C$311,$A8)</f>
        <v>0</v>
      </c>
      <c r="E8" s="82">
        <f>COUNTIFS('Match Log'!$D$4:$D$311,E$7,'Match Log'!$C$4:$C$311,$A8)</f>
        <v>0</v>
      </c>
      <c r="F8" s="82">
        <f>COUNTIFS('Match Log'!$D$4:$D$311,F$7,'Match Log'!$C$4:$C$311,$A8)</f>
        <v>0</v>
      </c>
      <c r="G8" s="82">
        <f>COUNTIFS('Match Log'!$D$4:$D$311,G$7,'Match Log'!$C$4:$C$311,$A8)</f>
        <v>2</v>
      </c>
      <c r="H8" s="82">
        <f>COUNTIFS('Match Log'!$D$4:$D$311,H$7,'Match Log'!$C$4:$C$311,$A8)</f>
        <v>0</v>
      </c>
      <c r="I8" s="82">
        <f>COUNTIFS('Match Log'!$D$4:$D$311,I$7,'Match Log'!$C$4:$C$311,$A8)</f>
        <v>2</v>
      </c>
      <c r="J8" s="82">
        <f>COUNTIFS('Match Log'!$D$4:$D$311,J$7,'Match Log'!$C$4:$C$311,$A8)</f>
        <v>0</v>
      </c>
      <c r="K8" s="82">
        <f>COUNTIFS('Match Log'!$D$4:$D$311,K$7,'Match Log'!$C$4:$C$311,$A8)</f>
        <v>0</v>
      </c>
      <c r="L8" s="82">
        <f>COUNTIFS('Match Log'!$D$4:$D$311,L$7,'Match Log'!$C$4:$C$311,$A8)</f>
        <v>0</v>
      </c>
      <c r="M8" s="82">
        <f>COUNTIFS('Match Log'!$D$4:$D$311,M$7,'Match Log'!$C$4:$C$311,$A8)</f>
        <v>0</v>
      </c>
      <c r="N8" s="82">
        <f>COUNTIFS('Match Log'!$D$4:$D$311,N$7,'Match Log'!$C$4:$C$311,$A8)</f>
        <v>0</v>
      </c>
      <c r="O8" s="82">
        <f>COUNTIFS('Match Log'!$D$4:$D$311,O$7,'Match Log'!$C$4:$C$311,$A8)</f>
        <v>0</v>
      </c>
      <c r="P8" s="83">
        <f>ROUND(SUMPRODUCT(('Match Log'!$C$4:$C$311=$A8)*IFERROR(1/'Match Log'!$F$4:$F$311,0)),0)</f>
        <v>1</v>
      </c>
      <c r="Q8" s="84" t="str">
        <f t="shared" ref="Q8:Q26" si="0">IF($P8=0,"—",INDEX($B$29:$O$29,MATCH(MAX($B30:$O30),$B30:$O30,0)))</f>
        <v>Shawn</v>
      </c>
      <c r="R8" s="83">
        <f t="shared" ref="R8:R26" si="1">IF($P8=0,"—",MAX($B30:$O30))</f>
        <v>2</v>
      </c>
    </row>
    <row r="9" spans="1:18" ht="15" customHeight="1" x14ac:dyDescent="0.2">
      <c r="A9" s="81" t="s">
        <v>190</v>
      </c>
      <c r="B9" s="82">
        <f>COUNTIFS('Match Log'!$D$4:$D$311,B$7,'Match Log'!$C$4:$C$311,$A9)</f>
        <v>0</v>
      </c>
      <c r="C9" s="82">
        <f>COUNTIFS('Match Log'!$D$4:$D$311,C$7,'Match Log'!$C$4:$C$311,$A9)</f>
        <v>0</v>
      </c>
      <c r="D9" s="82">
        <f>COUNTIFS('Match Log'!$D$4:$D$311,D$7,'Match Log'!$C$4:$C$311,$A9)</f>
        <v>0</v>
      </c>
      <c r="E9" s="82">
        <f>COUNTIFS('Match Log'!$D$4:$D$311,E$7,'Match Log'!$C$4:$C$311,$A9)</f>
        <v>0</v>
      </c>
      <c r="F9" s="82">
        <f>COUNTIFS('Match Log'!$D$4:$D$311,F$7,'Match Log'!$C$4:$C$311,$A9)</f>
        <v>0</v>
      </c>
      <c r="G9" s="82">
        <f>COUNTIFS('Match Log'!$D$4:$D$311,G$7,'Match Log'!$C$4:$C$311,$A9)</f>
        <v>0</v>
      </c>
      <c r="H9" s="82">
        <f>COUNTIFS('Match Log'!$D$4:$D$311,H$7,'Match Log'!$C$4:$C$311,$A9)</f>
        <v>0</v>
      </c>
      <c r="I9" s="82">
        <f>COUNTIFS('Match Log'!$D$4:$D$311,I$7,'Match Log'!$C$4:$C$311,$A9)</f>
        <v>0</v>
      </c>
      <c r="J9" s="82">
        <f>COUNTIFS('Match Log'!$D$4:$D$311,J$7,'Match Log'!$C$4:$C$311,$A9)</f>
        <v>0</v>
      </c>
      <c r="K9" s="82">
        <f>COUNTIFS('Match Log'!$D$4:$D$311,K$7,'Match Log'!$C$4:$C$311,$A9)</f>
        <v>0</v>
      </c>
      <c r="L9" s="82">
        <f>COUNTIFS('Match Log'!$D$4:$D$311,L$7,'Match Log'!$C$4:$C$311,$A9)</f>
        <v>0</v>
      </c>
      <c r="M9" s="82">
        <f>COUNTIFS('Match Log'!$D$4:$D$311,M$7,'Match Log'!$C$4:$C$311,$A9)</f>
        <v>0</v>
      </c>
      <c r="N9" s="82">
        <f>COUNTIFS('Match Log'!$D$4:$D$311,N$7,'Match Log'!$C$4:$C$311,$A9)</f>
        <v>0</v>
      </c>
      <c r="O9" s="82">
        <f>COUNTIFS('Match Log'!$D$4:$D$311,O$7,'Match Log'!$C$4:$C$311,$A9)</f>
        <v>0</v>
      </c>
      <c r="P9" s="83">
        <f>ROUND(SUMPRODUCT(('Match Log'!$C$4:$C$311=$A9)*IFERROR(1/'Match Log'!$F$4:$F$311,0)),0)</f>
        <v>0</v>
      </c>
      <c r="Q9" s="84" t="str">
        <f t="shared" si="0"/>
        <v>—</v>
      </c>
      <c r="R9" s="83" t="str">
        <f t="shared" si="1"/>
        <v>—</v>
      </c>
    </row>
    <row r="10" spans="1:18" ht="15" customHeight="1" x14ac:dyDescent="0.2">
      <c r="A10" s="81" t="s">
        <v>191</v>
      </c>
      <c r="B10" s="82">
        <f>COUNTIFS('Match Log'!$D$4:$D$311,B$7,'Match Log'!$C$4:$C$311,$A10)</f>
        <v>8</v>
      </c>
      <c r="C10" s="82">
        <f>COUNTIFS('Match Log'!$D$4:$D$311,C$7,'Match Log'!$C$4:$C$311,$A10)</f>
        <v>0</v>
      </c>
      <c r="D10" s="82">
        <f>COUNTIFS('Match Log'!$D$4:$D$311,D$7,'Match Log'!$C$4:$C$311,$A10)</f>
        <v>1</v>
      </c>
      <c r="E10" s="82">
        <f>COUNTIFS('Match Log'!$D$4:$D$311,E$7,'Match Log'!$C$4:$C$311,$A10)</f>
        <v>0</v>
      </c>
      <c r="F10" s="82">
        <f>COUNTIFS('Match Log'!$D$4:$D$311,F$7,'Match Log'!$C$4:$C$311,$A10)</f>
        <v>1</v>
      </c>
      <c r="G10" s="82">
        <f>COUNTIFS('Match Log'!$D$4:$D$311,G$7,'Match Log'!$C$4:$C$311,$A10)</f>
        <v>13</v>
      </c>
      <c r="H10" s="82">
        <f>COUNTIFS('Match Log'!$D$4:$D$311,H$7,'Match Log'!$C$4:$C$311,$A10)</f>
        <v>0</v>
      </c>
      <c r="I10" s="82">
        <f>COUNTIFS('Match Log'!$D$4:$D$311,I$7,'Match Log'!$C$4:$C$311,$A10)</f>
        <v>9</v>
      </c>
      <c r="J10" s="82">
        <f>COUNTIFS('Match Log'!$D$4:$D$311,J$7,'Match Log'!$C$4:$C$311,$A10)</f>
        <v>0</v>
      </c>
      <c r="K10" s="82">
        <f>COUNTIFS('Match Log'!$D$4:$D$311,K$7,'Match Log'!$C$4:$C$311,$A10)</f>
        <v>0</v>
      </c>
      <c r="L10" s="82">
        <f>COUNTIFS('Match Log'!$D$4:$D$311,L$7,'Match Log'!$C$4:$C$311,$A10)</f>
        <v>0</v>
      </c>
      <c r="M10" s="82">
        <f>COUNTIFS('Match Log'!$D$4:$D$311,M$7,'Match Log'!$C$4:$C$311,$A10)</f>
        <v>0</v>
      </c>
      <c r="N10" s="82">
        <f>COUNTIFS('Match Log'!$D$4:$D$311,N$7,'Match Log'!$C$4:$C$311,$A10)</f>
        <v>0</v>
      </c>
      <c r="O10" s="82">
        <f>COUNTIFS('Match Log'!$D$4:$D$311,O$7,'Match Log'!$C$4:$C$311,$A10)</f>
        <v>0</v>
      </c>
      <c r="P10" s="83">
        <f>ROUND(SUMPRODUCT(('Match Log'!$C$4:$C$311=$A10)*IFERROR(1/'Match Log'!$F$4:$F$311,0)),0)</f>
        <v>4</v>
      </c>
      <c r="Q10" s="84" t="str">
        <f t="shared" si="0"/>
        <v>Aaron</v>
      </c>
      <c r="R10" s="83">
        <f t="shared" si="1"/>
        <v>6</v>
      </c>
    </row>
    <row r="11" spans="1:18" ht="15" customHeight="1" x14ac:dyDescent="0.2">
      <c r="A11" s="81" t="s">
        <v>192</v>
      </c>
      <c r="B11" s="82">
        <f>COUNTIFS('Match Log'!$D$4:$D$311,B$7,'Match Log'!$C$4:$C$311,$A11)</f>
        <v>0</v>
      </c>
      <c r="C11" s="82">
        <f>COUNTIFS('Match Log'!$D$4:$D$311,C$7,'Match Log'!$C$4:$C$311,$A11)</f>
        <v>0</v>
      </c>
      <c r="D11" s="82">
        <f>COUNTIFS('Match Log'!$D$4:$D$311,D$7,'Match Log'!$C$4:$C$311,$A11)</f>
        <v>0</v>
      </c>
      <c r="E11" s="82">
        <f>COUNTIFS('Match Log'!$D$4:$D$311,E$7,'Match Log'!$C$4:$C$311,$A11)</f>
        <v>0</v>
      </c>
      <c r="F11" s="82">
        <f>COUNTIFS('Match Log'!$D$4:$D$311,F$7,'Match Log'!$C$4:$C$311,$A11)</f>
        <v>0</v>
      </c>
      <c r="G11" s="82">
        <f>COUNTIFS('Match Log'!$D$4:$D$311,G$7,'Match Log'!$C$4:$C$311,$A11)</f>
        <v>0</v>
      </c>
      <c r="H11" s="82">
        <f>COUNTIFS('Match Log'!$D$4:$D$311,H$7,'Match Log'!$C$4:$C$311,$A11)</f>
        <v>0</v>
      </c>
      <c r="I11" s="82">
        <f>COUNTIFS('Match Log'!$D$4:$D$311,I$7,'Match Log'!$C$4:$C$311,$A11)</f>
        <v>0</v>
      </c>
      <c r="J11" s="82">
        <f>COUNTIFS('Match Log'!$D$4:$D$311,J$7,'Match Log'!$C$4:$C$311,$A11)</f>
        <v>0</v>
      </c>
      <c r="K11" s="82">
        <f>COUNTIFS('Match Log'!$D$4:$D$311,K$7,'Match Log'!$C$4:$C$311,$A11)</f>
        <v>0</v>
      </c>
      <c r="L11" s="82">
        <f>COUNTIFS('Match Log'!$D$4:$D$311,L$7,'Match Log'!$C$4:$C$311,$A11)</f>
        <v>0</v>
      </c>
      <c r="M11" s="82">
        <f>COUNTIFS('Match Log'!$D$4:$D$311,M$7,'Match Log'!$C$4:$C$311,$A11)</f>
        <v>0</v>
      </c>
      <c r="N11" s="82">
        <f>COUNTIFS('Match Log'!$D$4:$D$311,N$7,'Match Log'!$C$4:$C$311,$A11)</f>
        <v>0</v>
      </c>
      <c r="O11" s="82">
        <f>COUNTIFS('Match Log'!$D$4:$D$311,O$7,'Match Log'!$C$4:$C$311,$A11)</f>
        <v>0</v>
      </c>
      <c r="P11" s="83">
        <f>ROUND(SUMPRODUCT(('Match Log'!$C$4:$C$311=$A11)*IFERROR(1/'Match Log'!$F$4:$F$311,0)),0)</f>
        <v>0</v>
      </c>
      <c r="Q11" s="84" t="str">
        <f t="shared" si="0"/>
        <v>—</v>
      </c>
      <c r="R11" s="83" t="str">
        <f t="shared" si="1"/>
        <v>—</v>
      </c>
    </row>
    <row r="12" spans="1:18" ht="15" customHeight="1" x14ac:dyDescent="0.2">
      <c r="A12" s="81" t="s">
        <v>193</v>
      </c>
      <c r="B12" s="82">
        <f>COUNTIFS('Match Log'!$D$4:$D$311,B$7,'Match Log'!$C$4:$C$311,$A12)</f>
        <v>0</v>
      </c>
      <c r="C12" s="82">
        <f>COUNTIFS('Match Log'!$D$4:$D$311,C$7,'Match Log'!$C$4:$C$311,$A12)</f>
        <v>1</v>
      </c>
      <c r="D12" s="82">
        <f>COUNTIFS('Match Log'!$D$4:$D$311,D$7,'Match Log'!$C$4:$C$311,$A12)</f>
        <v>0</v>
      </c>
      <c r="E12" s="82">
        <f>COUNTIFS('Match Log'!$D$4:$D$311,E$7,'Match Log'!$C$4:$C$311,$A12)</f>
        <v>0</v>
      </c>
      <c r="F12" s="82">
        <f>COUNTIFS('Match Log'!$D$4:$D$311,F$7,'Match Log'!$C$4:$C$311,$A12)</f>
        <v>0</v>
      </c>
      <c r="G12" s="82">
        <f>COUNTIFS('Match Log'!$D$4:$D$311,G$7,'Match Log'!$C$4:$C$311,$A12)</f>
        <v>0</v>
      </c>
      <c r="H12" s="82">
        <f>COUNTIFS('Match Log'!$D$4:$D$311,H$7,'Match Log'!$C$4:$C$311,$A12)</f>
        <v>2</v>
      </c>
      <c r="I12" s="82">
        <f>COUNTIFS('Match Log'!$D$4:$D$311,I$7,'Match Log'!$C$4:$C$311,$A12)</f>
        <v>4</v>
      </c>
      <c r="J12" s="82">
        <f>COUNTIFS('Match Log'!$D$4:$D$311,J$7,'Match Log'!$C$4:$C$311,$A12)</f>
        <v>8</v>
      </c>
      <c r="K12" s="82">
        <f>COUNTIFS('Match Log'!$D$4:$D$311,K$7,'Match Log'!$C$4:$C$311,$A12)</f>
        <v>1</v>
      </c>
      <c r="L12" s="82">
        <f>COUNTIFS('Match Log'!$D$4:$D$311,L$7,'Match Log'!$C$4:$C$311,$A12)</f>
        <v>4</v>
      </c>
      <c r="M12" s="82">
        <f>COUNTIFS('Match Log'!$D$4:$D$311,M$7,'Match Log'!$C$4:$C$311,$A12)</f>
        <v>0</v>
      </c>
      <c r="N12" s="82">
        <f>COUNTIFS('Match Log'!$D$4:$D$311,N$7,'Match Log'!$C$4:$C$311,$A12)</f>
        <v>0</v>
      </c>
      <c r="O12" s="82">
        <f>COUNTIFS('Match Log'!$D$4:$D$311,O$7,'Match Log'!$C$4:$C$311,$A12)</f>
        <v>0</v>
      </c>
      <c r="P12" s="83">
        <f>ROUND(SUMPRODUCT(('Match Log'!$C$4:$C$311=$A12)*IFERROR(1/'Match Log'!$F$4:$F$311,0)),0)</f>
        <v>3</v>
      </c>
      <c r="Q12" s="84" t="str">
        <f t="shared" si="0"/>
        <v>Dean B</v>
      </c>
      <c r="R12" s="83">
        <f t="shared" si="1"/>
        <v>4</v>
      </c>
    </row>
    <row r="13" spans="1:18" ht="15" customHeight="1" x14ac:dyDescent="0.2">
      <c r="A13" s="81" t="s">
        <v>194</v>
      </c>
      <c r="B13" s="82">
        <f>COUNTIFS('Match Log'!$D$4:$D$311,B$7,'Match Log'!$C$4:$C$311,$A13)</f>
        <v>1</v>
      </c>
      <c r="C13" s="82">
        <f>COUNTIFS('Match Log'!$D$4:$D$311,C$7,'Match Log'!$C$4:$C$311,$A13)</f>
        <v>0</v>
      </c>
      <c r="D13" s="82">
        <f>COUNTIFS('Match Log'!$D$4:$D$311,D$7,'Match Log'!$C$4:$C$311,$A13)</f>
        <v>1</v>
      </c>
      <c r="E13" s="82">
        <f>COUNTIFS('Match Log'!$D$4:$D$311,E$7,'Match Log'!$C$4:$C$311,$A13)</f>
        <v>1</v>
      </c>
      <c r="F13" s="82">
        <f>COUNTIFS('Match Log'!$D$4:$D$311,F$7,'Match Log'!$C$4:$C$311,$A13)</f>
        <v>1</v>
      </c>
      <c r="G13" s="82">
        <f>COUNTIFS('Match Log'!$D$4:$D$311,G$7,'Match Log'!$C$4:$C$311,$A13)</f>
        <v>1</v>
      </c>
      <c r="H13" s="82">
        <f>COUNTIFS('Match Log'!$D$4:$D$311,H$7,'Match Log'!$C$4:$C$311,$A13)</f>
        <v>1</v>
      </c>
      <c r="I13" s="82">
        <f>COUNTIFS('Match Log'!$D$4:$D$311,I$7,'Match Log'!$C$4:$C$311,$A13)</f>
        <v>1</v>
      </c>
      <c r="J13" s="82">
        <f>COUNTIFS('Match Log'!$D$4:$D$311,J$7,'Match Log'!$C$4:$C$311,$A13)</f>
        <v>0</v>
      </c>
      <c r="K13" s="82">
        <f>COUNTIFS('Match Log'!$D$4:$D$311,K$7,'Match Log'!$C$4:$C$311,$A13)</f>
        <v>0</v>
      </c>
      <c r="L13" s="82">
        <f>COUNTIFS('Match Log'!$D$4:$D$311,L$7,'Match Log'!$C$4:$C$311,$A13)</f>
        <v>1</v>
      </c>
      <c r="M13" s="82">
        <f>COUNTIFS('Match Log'!$D$4:$D$311,M$7,'Match Log'!$C$4:$C$311,$A13)</f>
        <v>0</v>
      </c>
      <c r="N13" s="82">
        <f>COUNTIFS('Match Log'!$D$4:$D$311,N$7,'Match Log'!$C$4:$C$311,$A13)</f>
        <v>0</v>
      </c>
      <c r="O13" s="82">
        <f>COUNTIFS('Match Log'!$D$4:$D$311,O$7,'Match Log'!$C$4:$C$311,$A13)</f>
        <v>0</v>
      </c>
      <c r="P13" s="83">
        <f>ROUND(SUMPRODUCT(('Match Log'!$C$4:$C$311=$A13)*IFERROR(1/'Match Log'!$F$4:$F$311,0)),0)</f>
        <v>1</v>
      </c>
      <c r="Q13" s="84" t="str">
        <f t="shared" si="0"/>
        <v>Aaron</v>
      </c>
      <c r="R13" s="83">
        <f t="shared" si="1"/>
        <v>1</v>
      </c>
    </row>
    <row r="14" spans="1:18" ht="15" customHeight="1" x14ac:dyDescent="0.2">
      <c r="A14" s="81" t="s">
        <v>196</v>
      </c>
      <c r="B14" s="82">
        <f>COUNTIFS('Match Log'!$D$4:$D$311,B$7,'Match Log'!$C$4:$C$311,$A14)</f>
        <v>0</v>
      </c>
      <c r="C14" s="82">
        <f>COUNTIFS('Match Log'!$D$4:$D$311,C$7,'Match Log'!$C$4:$C$311,$A14)</f>
        <v>0</v>
      </c>
      <c r="D14" s="82">
        <f>COUNTIFS('Match Log'!$D$4:$D$311,D$7,'Match Log'!$C$4:$C$311,$A14)</f>
        <v>0</v>
      </c>
      <c r="E14" s="82">
        <f>COUNTIFS('Match Log'!$D$4:$D$311,E$7,'Match Log'!$C$4:$C$311,$A14)</f>
        <v>0</v>
      </c>
      <c r="F14" s="82">
        <f>COUNTIFS('Match Log'!$D$4:$D$311,F$7,'Match Log'!$C$4:$C$311,$A14)</f>
        <v>0</v>
      </c>
      <c r="G14" s="82">
        <f>COUNTIFS('Match Log'!$D$4:$D$311,G$7,'Match Log'!$C$4:$C$311,$A14)</f>
        <v>0</v>
      </c>
      <c r="H14" s="82">
        <f>COUNTIFS('Match Log'!$D$4:$D$311,H$7,'Match Log'!$C$4:$C$311,$A14)</f>
        <v>0</v>
      </c>
      <c r="I14" s="82">
        <f>COUNTIFS('Match Log'!$D$4:$D$311,I$7,'Match Log'!$C$4:$C$311,$A14)</f>
        <v>0</v>
      </c>
      <c r="J14" s="82">
        <f>COUNTIFS('Match Log'!$D$4:$D$311,J$7,'Match Log'!$C$4:$C$311,$A14)</f>
        <v>0</v>
      </c>
      <c r="K14" s="82">
        <f>COUNTIFS('Match Log'!$D$4:$D$311,K$7,'Match Log'!$C$4:$C$311,$A14)</f>
        <v>0</v>
      </c>
      <c r="L14" s="82">
        <f>COUNTIFS('Match Log'!$D$4:$D$311,L$7,'Match Log'!$C$4:$C$311,$A14)</f>
        <v>0</v>
      </c>
      <c r="M14" s="82">
        <f>COUNTIFS('Match Log'!$D$4:$D$311,M$7,'Match Log'!$C$4:$C$311,$A14)</f>
        <v>0</v>
      </c>
      <c r="N14" s="82">
        <f>COUNTIFS('Match Log'!$D$4:$D$311,N$7,'Match Log'!$C$4:$C$311,$A14)</f>
        <v>0</v>
      </c>
      <c r="O14" s="82">
        <f>COUNTIFS('Match Log'!$D$4:$D$311,O$7,'Match Log'!$C$4:$C$311,$A14)</f>
        <v>0</v>
      </c>
      <c r="P14" s="83">
        <f>ROUND(SUMPRODUCT(('Match Log'!$C$4:$C$311=$A14)*IFERROR(1/'Match Log'!$F$4:$F$311,0)),0)</f>
        <v>0</v>
      </c>
      <c r="Q14" s="84" t="str">
        <f t="shared" si="0"/>
        <v>—</v>
      </c>
      <c r="R14" s="83" t="str">
        <f t="shared" si="1"/>
        <v>—</v>
      </c>
    </row>
    <row r="15" spans="1:18" ht="15" customHeight="1" x14ac:dyDescent="0.2">
      <c r="A15" s="81" t="s">
        <v>198</v>
      </c>
      <c r="B15" s="82">
        <f>COUNTIFS('Match Log'!$D$4:$D$311,B$7,'Match Log'!$C$4:$C$311,$A15)</f>
        <v>0</v>
      </c>
      <c r="C15" s="82">
        <f>COUNTIFS('Match Log'!$D$4:$D$311,C$7,'Match Log'!$C$4:$C$311,$A15)</f>
        <v>0</v>
      </c>
      <c r="D15" s="82">
        <f>COUNTIFS('Match Log'!$D$4:$D$311,D$7,'Match Log'!$C$4:$C$311,$A15)</f>
        <v>0</v>
      </c>
      <c r="E15" s="82">
        <f>COUNTIFS('Match Log'!$D$4:$D$311,E$7,'Match Log'!$C$4:$C$311,$A15)</f>
        <v>0</v>
      </c>
      <c r="F15" s="82">
        <f>COUNTIFS('Match Log'!$D$4:$D$311,F$7,'Match Log'!$C$4:$C$311,$A15)</f>
        <v>0</v>
      </c>
      <c r="G15" s="82">
        <f>COUNTIFS('Match Log'!$D$4:$D$311,G$7,'Match Log'!$C$4:$C$311,$A15)</f>
        <v>0</v>
      </c>
      <c r="H15" s="82">
        <f>COUNTIFS('Match Log'!$D$4:$D$311,H$7,'Match Log'!$C$4:$C$311,$A15)</f>
        <v>0</v>
      </c>
      <c r="I15" s="82">
        <f>COUNTIFS('Match Log'!$D$4:$D$311,I$7,'Match Log'!$C$4:$C$311,$A15)</f>
        <v>0</v>
      </c>
      <c r="J15" s="82">
        <f>COUNTIFS('Match Log'!$D$4:$D$311,J$7,'Match Log'!$C$4:$C$311,$A15)</f>
        <v>0</v>
      </c>
      <c r="K15" s="82">
        <f>COUNTIFS('Match Log'!$D$4:$D$311,K$7,'Match Log'!$C$4:$C$311,$A15)</f>
        <v>0</v>
      </c>
      <c r="L15" s="82">
        <f>COUNTIFS('Match Log'!$D$4:$D$311,L$7,'Match Log'!$C$4:$C$311,$A15)</f>
        <v>0</v>
      </c>
      <c r="M15" s="82">
        <f>COUNTIFS('Match Log'!$D$4:$D$311,M$7,'Match Log'!$C$4:$C$311,$A15)</f>
        <v>0</v>
      </c>
      <c r="N15" s="82">
        <f>COUNTIFS('Match Log'!$D$4:$D$311,N$7,'Match Log'!$C$4:$C$311,$A15)</f>
        <v>0</v>
      </c>
      <c r="O15" s="82">
        <f>COUNTIFS('Match Log'!$D$4:$D$311,O$7,'Match Log'!$C$4:$C$311,$A15)</f>
        <v>0</v>
      </c>
      <c r="P15" s="83">
        <f>ROUND(SUMPRODUCT(('Match Log'!$C$4:$C$311=$A15)*IFERROR(1/'Match Log'!$F$4:$F$311,0)),0)</f>
        <v>0</v>
      </c>
      <c r="Q15" s="84" t="str">
        <f t="shared" si="0"/>
        <v>—</v>
      </c>
      <c r="R15" s="83" t="str">
        <f t="shared" si="1"/>
        <v>—</v>
      </c>
    </row>
    <row r="16" spans="1:18" ht="15" customHeight="1" x14ac:dyDescent="0.2">
      <c r="A16" s="81" t="s">
        <v>200</v>
      </c>
      <c r="B16" s="82">
        <f>COUNTIFS('Match Log'!$D$4:$D$311,B$7,'Match Log'!$C$4:$C$311,$A16)</f>
        <v>0</v>
      </c>
      <c r="C16" s="82">
        <f>COUNTIFS('Match Log'!$D$4:$D$311,C$7,'Match Log'!$C$4:$C$311,$A16)</f>
        <v>0</v>
      </c>
      <c r="D16" s="82">
        <f>COUNTIFS('Match Log'!$D$4:$D$311,D$7,'Match Log'!$C$4:$C$311,$A16)</f>
        <v>0</v>
      </c>
      <c r="E16" s="82">
        <f>COUNTIFS('Match Log'!$D$4:$D$311,E$7,'Match Log'!$C$4:$C$311,$A16)</f>
        <v>0</v>
      </c>
      <c r="F16" s="82">
        <f>COUNTIFS('Match Log'!$D$4:$D$311,F$7,'Match Log'!$C$4:$C$311,$A16)</f>
        <v>1</v>
      </c>
      <c r="G16" s="82">
        <f>COUNTIFS('Match Log'!$D$4:$D$311,G$7,'Match Log'!$C$4:$C$311,$A16)</f>
        <v>1</v>
      </c>
      <c r="H16" s="82">
        <f>COUNTIFS('Match Log'!$D$4:$D$311,H$7,'Match Log'!$C$4:$C$311,$A16)</f>
        <v>0</v>
      </c>
      <c r="I16" s="82">
        <f>COUNTIFS('Match Log'!$D$4:$D$311,I$7,'Match Log'!$C$4:$C$311,$A16)</f>
        <v>0</v>
      </c>
      <c r="J16" s="82">
        <f>COUNTIFS('Match Log'!$D$4:$D$311,J$7,'Match Log'!$C$4:$C$311,$A16)</f>
        <v>0</v>
      </c>
      <c r="K16" s="82">
        <f>COUNTIFS('Match Log'!$D$4:$D$311,K$7,'Match Log'!$C$4:$C$311,$A16)</f>
        <v>0</v>
      </c>
      <c r="L16" s="82">
        <f>COUNTIFS('Match Log'!$D$4:$D$311,L$7,'Match Log'!$C$4:$C$311,$A16)</f>
        <v>1</v>
      </c>
      <c r="M16" s="82">
        <f>COUNTIFS('Match Log'!$D$4:$D$311,M$7,'Match Log'!$C$4:$C$311,$A16)</f>
        <v>0</v>
      </c>
      <c r="N16" s="82">
        <f>COUNTIFS('Match Log'!$D$4:$D$311,N$7,'Match Log'!$C$4:$C$311,$A16)</f>
        <v>0</v>
      </c>
      <c r="O16" s="82">
        <f>COUNTIFS('Match Log'!$D$4:$D$311,O$7,'Match Log'!$C$4:$C$311,$A16)</f>
        <v>0</v>
      </c>
      <c r="P16" s="83">
        <f>ROUND(SUMPRODUCT(('Match Log'!$C$4:$C$311=$A16)*IFERROR(1/'Match Log'!$F$4:$F$311,0)),0)</f>
        <v>2</v>
      </c>
      <c r="Q16" s="84" t="str">
        <f t="shared" si="0"/>
        <v>Josh</v>
      </c>
      <c r="R16" s="83">
        <f t="shared" si="1"/>
        <v>1</v>
      </c>
    </row>
    <row r="17" spans="1:18" ht="15" customHeight="1" x14ac:dyDescent="0.2">
      <c r="A17" s="81" t="s">
        <v>201</v>
      </c>
      <c r="B17" s="82">
        <f>COUNTIFS('Match Log'!$D$4:$D$311,B$7,'Match Log'!$C$4:$C$311,$A17)</f>
        <v>0</v>
      </c>
      <c r="C17" s="82">
        <f>COUNTIFS('Match Log'!$D$4:$D$311,C$7,'Match Log'!$C$4:$C$311,$A17)</f>
        <v>0</v>
      </c>
      <c r="D17" s="82">
        <f>COUNTIFS('Match Log'!$D$4:$D$311,D$7,'Match Log'!$C$4:$C$311,$A17)</f>
        <v>0</v>
      </c>
      <c r="E17" s="82">
        <f>COUNTIFS('Match Log'!$D$4:$D$311,E$7,'Match Log'!$C$4:$C$311,$A17)</f>
        <v>0</v>
      </c>
      <c r="F17" s="82">
        <f>COUNTIFS('Match Log'!$D$4:$D$311,F$7,'Match Log'!$C$4:$C$311,$A17)</f>
        <v>0</v>
      </c>
      <c r="G17" s="82">
        <f>COUNTIFS('Match Log'!$D$4:$D$311,G$7,'Match Log'!$C$4:$C$311,$A17)</f>
        <v>0</v>
      </c>
      <c r="H17" s="82">
        <f>COUNTIFS('Match Log'!$D$4:$D$311,H$7,'Match Log'!$C$4:$C$311,$A17)</f>
        <v>0</v>
      </c>
      <c r="I17" s="82">
        <f>COUNTIFS('Match Log'!$D$4:$D$311,I$7,'Match Log'!$C$4:$C$311,$A17)</f>
        <v>0</v>
      </c>
      <c r="J17" s="82">
        <f>COUNTIFS('Match Log'!$D$4:$D$311,J$7,'Match Log'!$C$4:$C$311,$A17)</f>
        <v>0</v>
      </c>
      <c r="K17" s="82">
        <f>COUNTIFS('Match Log'!$D$4:$D$311,K$7,'Match Log'!$C$4:$C$311,$A17)</f>
        <v>0</v>
      </c>
      <c r="L17" s="82">
        <f>COUNTIFS('Match Log'!$D$4:$D$311,L$7,'Match Log'!$C$4:$C$311,$A17)</f>
        <v>0</v>
      </c>
      <c r="M17" s="82">
        <f>COUNTIFS('Match Log'!$D$4:$D$311,M$7,'Match Log'!$C$4:$C$311,$A17)</f>
        <v>0</v>
      </c>
      <c r="N17" s="82">
        <f>COUNTIFS('Match Log'!$D$4:$D$311,N$7,'Match Log'!$C$4:$C$311,$A17)</f>
        <v>0</v>
      </c>
      <c r="O17" s="82">
        <f>COUNTIFS('Match Log'!$D$4:$D$311,O$7,'Match Log'!$C$4:$C$311,$A17)</f>
        <v>0</v>
      </c>
      <c r="P17" s="83">
        <f>ROUND(SUMPRODUCT(('Match Log'!$C$4:$C$311=$A17)*IFERROR(1/'Match Log'!$F$4:$F$311,0)),0)</f>
        <v>0</v>
      </c>
      <c r="Q17" s="84" t="str">
        <f t="shared" si="0"/>
        <v>—</v>
      </c>
      <c r="R17" s="83" t="str">
        <f t="shared" si="1"/>
        <v>—</v>
      </c>
    </row>
    <row r="18" spans="1:18" ht="15" customHeight="1" x14ac:dyDescent="0.2">
      <c r="A18" s="81" t="s">
        <v>202</v>
      </c>
      <c r="B18" s="82">
        <f>COUNTIFS('Match Log'!$D$4:$D$311,B$7,'Match Log'!$C$4:$C$311,$A18)</f>
        <v>0</v>
      </c>
      <c r="C18" s="82">
        <f>COUNTIFS('Match Log'!$D$4:$D$311,C$7,'Match Log'!$C$4:$C$311,$A18)</f>
        <v>0</v>
      </c>
      <c r="D18" s="82">
        <f>COUNTIFS('Match Log'!$D$4:$D$311,D$7,'Match Log'!$C$4:$C$311,$A18)</f>
        <v>0</v>
      </c>
      <c r="E18" s="82">
        <f>COUNTIFS('Match Log'!$D$4:$D$311,E$7,'Match Log'!$C$4:$C$311,$A18)</f>
        <v>0</v>
      </c>
      <c r="F18" s="82">
        <f>COUNTIFS('Match Log'!$D$4:$D$311,F$7,'Match Log'!$C$4:$C$311,$A18)</f>
        <v>0</v>
      </c>
      <c r="G18" s="82">
        <f>COUNTIFS('Match Log'!$D$4:$D$311,G$7,'Match Log'!$C$4:$C$311,$A18)</f>
        <v>0</v>
      </c>
      <c r="H18" s="82">
        <f>COUNTIFS('Match Log'!$D$4:$D$311,H$7,'Match Log'!$C$4:$C$311,$A18)</f>
        <v>0</v>
      </c>
      <c r="I18" s="82">
        <f>COUNTIFS('Match Log'!$D$4:$D$311,I$7,'Match Log'!$C$4:$C$311,$A18)</f>
        <v>0</v>
      </c>
      <c r="J18" s="82">
        <f>COUNTIFS('Match Log'!$D$4:$D$311,J$7,'Match Log'!$C$4:$C$311,$A18)</f>
        <v>0</v>
      </c>
      <c r="K18" s="82">
        <f>COUNTIFS('Match Log'!$D$4:$D$311,K$7,'Match Log'!$C$4:$C$311,$A18)</f>
        <v>0</v>
      </c>
      <c r="L18" s="82">
        <f>COUNTIFS('Match Log'!$D$4:$D$311,L$7,'Match Log'!$C$4:$C$311,$A18)</f>
        <v>0</v>
      </c>
      <c r="M18" s="82">
        <f>COUNTIFS('Match Log'!$D$4:$D$311,M$7,'Match Log'!$C$4:$C$311,$A18)</f>
        <v>0</v>
      </c>
      <c r="N18" s="82">
        <f>COUNTIFS('Match Log'!$D$4:$D$311,N$7,'Match Log'!$C$4:$C$311,$A18)</f>
        <v>0</v>
      </c>
      <c r="O18" s="82">
        <f>COUNTIFS('Match Log'!$D$4:$D$311,O$7,'Match Log'!$C$4:$C$311,$A18)</f>
        <v>0</v>
      </c>
      <c r="P18" s="83">
        <f>ROUND(SUMPRODUCT(('Match Log'!$C$4:$C$311=$A18)*IFERROR(1/'Match Log'!$F$4:$F$311,0)),0)</f>
        <v>0</v>
      </c>
      <c r="Q18" s="84" t="str">
        <f t="shared" si="0"/>
        <v>—</v>
      </c>
      <c r="R18" s="83" t="str">
        <f t="shared" si="1"/>
        <v>—</v>
      </c>
    </row>
    <row r="19" spans="1:18" ht="15" customHeight="1" x14ac:dyDescent="0.2">
      <c r="A19" s="81" t="s">
        <v>203</v>
      </c>
      <c r="B19" s="82">
        <f>COUNTIFS('Match Log'!$D$4:$D$311,B$7,'Match Log'!$C$4:$C$311,$A19)</f>
        <v>2</v>
      </c>
      <c r="C19" s="82">
        <f>COUNTIFS('Match Log'!$D$4:$D$311,C$7,'Match Log'!$C$4:$C$311,$A19)</f>
        <v>1</v>
      </c>
      <c r="D19" s="82">
        <f>COUNTIFS('Match Log'!$D$4:$D$311,D$7,'Match Log'!$C$4:$C$311,$A19)</f>
        <v>0</v>
      </c>
      <c r="E19" s="82">
        <f>COUNTIFS('Match Log'!$D$4:$D$311,E$7,'Match Log'!$C$4:$C$311,$A19)</f>
        <v>6</v>
      </c>
      <c r="F19" s="82">
        <f>COUNTIFS('Match Log'!$D$4:$D$311,F$7,'Match Log'!$C$4:$C$311,$A19)</f>
        <v>15</v>
      </c>
      <c r="G19" s="82">
        <f>COUNTIFS('Match Log'!$D$4:$D$311,G$7,'Match Log'!$C$4:$C$311,$A19)</f>
        <v>3</v>
      </c>
      <c r="H19" s="82">
        <f>COUNTIFS('Match Log'!$D$4:$D$311,H$7,'Match Log'!$C$4:$C$311,$A19)</f>
        <v>3</v>
      </c>
      <c r="I19" s="82">
        <f>COUNTIFS('Match Log'!$D$4:$D$311,I$7,'Match Log'!$C$4:$C$311,$A19)</f>
        <v>7</v>
      </c>
      <c r="J19" s="82">
        <f>COUNTIFS('Match Log'!$D$4:$D$311,J$7,'Match Log'!$C$4:$C$311,$A19)</f>
        <v>5</v>
      </c>
      <c r="K19" s="82">
        <f>COUNTIFS('Match Log'!$D$4:$D$311,K$7,'Match Log'!$C$4:$C$311,$A19)</f>
        <v>5</v>
      </c>
      <c r="L19" s="82">
        <f>COUNTIFS('Match Log'!$D$4:$D$311,L$7,'Match Log'!$C$4:$C$311,$A19)</f>
        <v>11</v>
      </c>
      <c r="M19" s="82">
        <f>COUNTIFS('Match Log'!$D$4:$D$311,M$7,'Match Log'!$C$4:$C$311,$A19)</f>
        <v>0</v>
      </c>
      <c r="N19" s="82">
        <f>COUNTIFS('Match Log'!$D$4:$D$311,N$7,'Match Log'!$C$4:$C$311,$A19)</f>
        <v>0</v>
      </c>
      <c r="O19" s="82">
        <f>COUNTIFS('Match Log'!$D$4:$D$311,O$7,'Match Log'!$C$4:$C$311,$A19)</f>
        <v>0</v>
      </c>
      <c r="P19" s="83">
        <f>ROUND(SUMPRODUCT(('Match Log'!$C$4:$C$311=$A19)*IFERROR(1/'Match Log'!$F$4:$F$311,0)),0)</f>
        <v>29</v>
      </c>
      <c r="Q19" s="84" t="str">
        <f t="shared" si="0"/>
        <v>Josh</v>
      </c>
      <c r="R19" s="83">
        <f t="shared" si="1"/>
        <v>13</v>
      </c>
    </row>
    <row r="20" spans="1:18" ht="15" customHeight="1" x14ac:dyDescent="0.2">
      <c r="A20" s="81" t="s">
        <v>205</v>
      </c>
      <c r="B20" s="82">
        <f>COUNTIFS('Match Log'!$D$4:$D$311,B$7,'Match Log'!$C$4:$C$311,$A20)</f>
        <v>2</v>
      </c>
      <c r="C20" s="82">
        <f>COUNTIFS('Match Log'!$D$4:$D$311,C$7,'Match Log'!$C$4:$C$311,$A20)</f>
        <v>0</v>
      </c>
      <c r="D20" s="82">
        <f>COUNTIFS('Match Log'!$D$4:$D$311,D$7,'Match Log'!$C$4:$C$311,$A20)</f>
        <v>0</v>
      </c>
      <c r="E20" s="82">
        <f>COUNTIFS('Match Log'!$D$4:$D$311,E$7,'Match Log'!$C$4:$C$311,$A20)</f>
        <v>0</v>
      </c>
      <c r="F20" s="82">
        <f>COUNTIFS('Match Log'!$D$4:$D$311,F$7,'Match Log'!$C$4:$C$311,$A20)</f>
        <v>1</v>
      </c>
      <c r="G20" s="82">
        <f>COUNTIFS('Match Log'!$D$4:$D$311,G$7,'Match Log'!$C$4:$C$311,$A20)</f>
        <v>5</v>
      </c>
      <c r="H20" s="82">
        <f>COUNTIFS('Match Log'!$D$4:$D$311,H$7,'Match Log'!$C$4:$C$311,$A20)</f>
        <v>0</v>
      </c>
      <c r="I20" s="82">
        <f>COUNTIFS('Match Log'!$D$4:$D$311,I$7,'Match Log'!$C$4:$C$311,$A20)</f>
        <v>3</v>
      </c>
      <c r="J20" s="82">
        <f>COUNTIFS('Match Log'!$D$4:$D$311,J$7,'Match Log'!$C$4:$C$311,$A20)</f>
        <v>0</v>
      </c>
      <c r="K20" s="82">
        <f>COUNTIFS('Match Log'!$D$4:$D$311,K$7,'Match Log'!$C$4:$C$311,$A20)</f>
        <v>0</v>
      </c>
      <c r="L20" s="82">
        <f>COUNTIFS('Match Log'!$D$4:$D$311,L$7,'Match Log'!$C$4:$C$311,$A20)</f>
        <v>3</v>
      </c>
      <c r="M20" s="82">
        <f>COUNTIFS('Match Log'!$D$4:$D$311,M$7,'Match Log'!$C$4:$C$311,$A20)</f>
        <v>0</v>
      </c>
      <c r="N20" s="82">
        <f>COUNTIFS('Match Log'!$D$4:$D$311,N$7,'Match Log'!$C$4:$C$311,$A20)</f>
        <v>0</v>
      </c>
      <c r="O20" s="82">
        <f>COUNTIFS('Match Log'!$D$4:$D$311,O$7,'Match Log'!$C$4:$C$311,$A20)</f>
        <v>0</v>
      </c>
      <c r="P20" s="83">
        <f>ROUND(SUMPRODUCT(('Match Log'!$C$4:$C$311=$A20)*IFERROR(1/'Match Log'!$F$4:$F$311,0)),0)</f>
        <v>7</v>
      </c>
      <c r="Q20" s="84" t="str">
        <f t="shared" si="0"/>
        <v>Daniel (Ferret)</v>
      </c>
      <c r="R20" s="83">
        <f t="shared" si="1"/>
        <v>3</v>
      </c>
    </row>
    <row r="21" spans="1:18" ht="15" customHeight="1" x14ac:dyDescent="0.2">
      <c r="A21" s="81" t="s">
        <v>207</v>
      </c>
      <c r="B21" s="82">
        <f>COUNTIFS('Match Log'!$D$4:$D$311,B$7,'Match Log'!$C$4:$C$311,$A21)</f>
        <v>3</v>
      </c>
      <c r="C21" s="82">
        <f>COUNTIFS('Match Log'!$D$4:$D$311,C$7,'Match Log'!$C$4:$C$311,$A21)</f>
        <v>0</v>
      </c>
      <c r="D21" s="82">
        <f>COUNTIFS('Match Log'!$D$4:$D$311,D$7,'Match Log'!$C$4:$C$311,$A21)</f>
        <v>4</v>
      </c>
      <c r="E21" s="82">
        <f>COUNTIFS('Match Log'!$D$4:$D$311,E$7,'Match Log'!$C$4:$C$311,$A21)</f>
        <v>0</v>
      </c>
      <c r="F21" s="82">
        <f>COUNTIFS('Match Log'!$D$4:$D$311,F$7,'Match Log'!$C$4:$C$311,$A21)</f>
        <v>0</v>
      </c>
      <c r="G21" s="82">
        <f>COUNTIFS('Match Log'!$D$4:$D$311,G$7,'Match Log'!$C$4:$C$311,$A21)</f>
        <v>7</v>
      </c>
      <c r="H21" s="82">
        <f>COUNTIFS('Match Log'!$D$4:$D$311,H$7,'Match Log'!$C$4:$C$311,$A21)</f>
        <v>0</v>
      </c>
      <c r="I21" s="82">
        <f>COUNTIFS('Match Log'!$D$4:$D$311,I$7,'Match Log'!$C$4:$C$311,$A21)</f>
        <v>7</v>
      </c>
      <c r="J21" s="82">
        <f>COUNTIFS('Match Log'!$D$4:$D$311,J$7,'Match Log'!$C$4:$C$311,$A21)</f>
        <v>0</v>
      </c>
      <c r="K21" s="82">
        <f>COUNTIFS('Match Log'!$D$4:$D$311,K$7,'Match Log'!$C$4:$C$311,$A21)</f>
        <v>0</v>
      </c>
      <c r="L21" s="82">
        <f>COUNTIFS('Match Log'!$D$4:$D$311,L$7,'Match Log'!$C$4:$C$311,$A21)</f>
        <v>7</v>
      </c>
      <c r="M21" s="82">
        <f>COUNTIFS('Match Log'!$D$4:$D$311,M$7,'Match Log'!$C$4:$C$311,$A21)</f>
        <v>0</v>
      </c>
      <c r="N21" s="82">
        <f>COUNTIFS('Match Log'!$D$4:$D$311,N$7,'Match Log'!$C$4:$C$311,$A21)</f>
        <v>0</v>
      </c>
      <c r="O21" s="82">
        <f>COUNTIFS('Match Log'!$D$4:$D$311,O$7,'Match Log'!$C$4:$C$311,$A21)</f>
        <v>0</v>
      </c>
      <c r="P21" s="83">
        <f>ROUND(SUMPRODUCT(('Match Log'!$C$4:$C$311=$A21)*IFERROR(1/'Match Log'!$F$4:$F$311,0)),0)</f>
        <v>14</v>
      </c>
      <c r="Q21" s="84" t="str">
        <f t="shared" si="0"/>
        <v>Oscar</v>
      </c>
      <c r="R21" s="83">
        <f t="shared" si="1"/>
        <v>5</v>
      </c>
    </row>
    <row r="22" spans="1:18" ht="15" customHeight="1" x14ac:dyDescent="0.2">
      <c r="A22" s="81" t="s">
        <v>209</v>
      </c>
      <c r="B22" s="82">
        <f>COUNTIFS('Match Log'!$D$4:$D$311,B$7,'Match Log'!$C$4:$C$311,$A22)</f>
        <v>0</v>
      </c>
      <c r="C22" s="82">
        <f>COUNTIFS('Match Log'!$D$4:$D$311,C$7,'Match Log'!$C$4:$C$311,$A22)</f>
        <v>0</v>
      </c>
      <c r="D22" s="82">
        <f>COUNTIFS('Match Log'!$D$4:$D$311,D$7,'Match Log'!$C$4:$C$311,$A22)</f>
        <v>0</v>
      </c>
      <c r="E22" s="82">
        <f>COUNTIFS('Match Log'!$D$4:$D$311,E$7,'Match Log'!$C$4:$C$311,$A22)</f>
        <v>0</v>
      </c>
      <c r="F22" s="82">
        <f>COUNTIFS('Match Log'!$D$4:$D$311,F$7,'Match Log'!$C$4:$C$311,$A22)</f>
        <v>0</v>
      </c>
      <c r="G22" s="82">
        <f>COUNTIFS('Match Log'!$D$4:$D$311,G$7,'Match Log'!$C$4:$C$311,$A22)</f>
        <v>0</v>
      </c>
      <c r="H22" s="82">
        <f>COUNTIFS('Match Log'!$D$4:$D$311,H$7,'Match Log'!$C$4:$C$311,$A22)</f>
        <v>0</v>
      </c>
      <c r="I22" s="82">
        <f>COUNTIFS('Match Log'!$D$4:$D$311,I$7,'Match Log'!$C$4:$C$311,$A22)</f>
        <v>0</v>
      </c>
      <c r="J22" s="82">
        <f>COUNTIFS('Match Log'!$D$4:$D$311,J$7,'Match Log'!$C$4:$C$311,$A22)</f>
        <v>0</v>
      </c>
      <c r="K22" s="82">
        <f>COUNTIFS('Match Log'!$D$4:$D$311,K$7,'Match Log'!$C$4:$C$311,$A22)</f>
        <v>0</v>
      </c>
      <c r="L22" s="82">
        <f>COUNTIFS('Match Log'!$D$4:$D$311,L$7,'Match Log'!$C$4:$C$311,$A22)</f>
        <v>0</v>
      </c>
      <c r="M22" s="82">
        <f>COUNTIFS('Match Log'!$D$4:$D$311,M$7,'Match Log'!$C$4:$C$311,$A22)</f>
        <v>0</v>
      </c>
      <c r="N22" s="82">
        <f>COUNTIFS('Match Log'!$D$4:$D$311,N$7,'Match Log'!$C$4:$C$311,$A22)</f>
        <v>0</v>
      </c>
      <c r="O22" s="82">
        <f>COUNTIFS('Match Log'!$D$4:$D$311,O$7,'Match Log'!$C$4:$C$311,$A22)</f>
        <v>0</v>
      </c>
      <c r="P22" s="83">
        <f>ROUND(SUMPRODUCT(('Match Log'!$C$4:$C$311=$A22)*IFERROR(1/'Match Log'!$F$4:$F$311,0)),0)</f>
        <v>0</v>
      </c>
      <c r="Q22" s="84" t="str">
        <f t="shared" si="0"/>
        <v>—</v>
      </c>
      <c r="R22" s="83" t="str">
        <f t="shared" si="1"/>
        <v>—</v>
      </c>
    </row>
    <row r="23" spans="1:18" ht="15" customHeight="1" x14ac:dyDescent="0.2">
      <c r="A23" s="81" t="s">
        <v>211</v>
      </c>
      <c r="B23" s="82">
        <f>COUNTIFS('Match Log'!$D$4:$D$311,B$7,'Match Log'!$C$4:$C$311,$A23)</f>
        <v>2</v>
      </c>
      <c r="C23" s="82">
        <f>COUNTIFS('Match Log'!$D$4:$D$311,C$7,'Match Log'!$C$4:$C$311,$A23)</f>
        <v>0</v>
      </c>
      <c r="D23" s="82">
        <f>COUNTIFS('Match Log'!$D$4:$D$311,D$7,'Match Log'!$C$4:$C$311,$A23)</f>
        <v>2</v>
      </c>
      <c r="E23" s="82">
        <f>COUNTIFS('Match Log'!$D$4:$D$311,E$7,'Match Log'!$C$4:$C$311,$A23)</f>
        <v>0</v>
      </c>
      <c r="F23" s="82">
        <f>COUNTIFS('Match Log'!$D$4:$D$311,F$7,'Match Log'!$C$4:$C$311,$A23)</f>
        <v>0</v>
      </c>
      <c r="G23" s="82">
        <f>COUNTIFS('Match Log'!$D$4:$D$311,G$7,'Match Log'!$C$4:$C$311,$A23)</f>
        <v>0</v>
      </c>
      <c r="H23" s="82">
        <f>COUNTIFS('Match Log'!$D$4:$D$311,H$7,'Match Log'!$C$4:$C$311,$A23)</f>
        <v>0</v>
      </c>
      <c r="I23" s="82">
        <f>COUNTIFS('Match Log'!$D$4:$D$311,I$7,'Match Log'!$C$4:$C$311,$A23)</f>
        <v>2</v>
      </c>
      <c r="J23" s="82">
        <f>COUNTIFS('Match Log'!$D$4:$D$311,J$7,'Match Log'!$C$4:$C$311,$A23)</f>
        <v>0</v>
      </c>
      <c r="K23" s="82">
        <f>COUNTIFS('Match Log'!$D$4:$D$311,K$7,'Match Log'!$C$4:$C$311,$A23)</f>
        <v>0</v>
      </c>
      <c r="L23" s="82">
        <f>COUNTIFS('Match Log'!$D$4:$D$311,L$7,'Match Log'!$C$4:$C$311,$A23)</f>
        <v>0</v>
      </c>
      <c r="M23" s="82">
        <f>COUNTIFS('Match Log'!$D$4:$D$311,M$7,'Match Log'!$C$4:$C$311,$A23)</f>
        <v>0</v>
      </c>
      <c r="N23" s="82">
        <f>COUNTIFS('Match Log'!$D$4:$D$311,N$7,'Match Log'!$C$4:$C$311,$A23)</f>
        <v>0</v>
      </c>
      <c r="O23" s="82">
        <f>COUNTIFS('Match Log'!$D$4:$D$311,O$7,'Match Log'!$C$4:$C$311,$A23)</f>
        <v>0</v>
      </c>
      <c r="P23" s="83">
        <f>ROUND(SUMPRODUCT(('Match Log'!$C$4:$C$311=$A23)*IFERROR(1/'Match Log'!$F$4:$F$311,0)),0)</f>
        <v>3</v>
      </c>
      <c r="Q23" s="84" t="str">
        <f t="shared" si="0"/>
        <v>Daniel (Ferret)</v>
      </c>
      <c r="R23" s="83">
        <f t="shared" si="1"/>
        <v>2</v>
      </c>
    </row>
    <row r="24" spans="1:18" ht="15" customHeight="1" x14ac:dyDescent="0.2">
      <c r="A24" s="81" t="s">
        <v>212</v>
      </c>
      <c r="B24" s="82">
        <f>COUNTIFS('Match Log'!$D$4:$D$311,B$7,'Match Log'!$C$4:$C$311,$A24)</f>
        <v>0</v>
      </c>
      <c r="C24" s="82">
        <f>COUNTIFS('Match Log'!$D$4:$D$311,C$7,'Match Log'!$C$4:$C$311,$A24)</f>
        <v>0</v>
      </c>
      <c r="D24" s="82">
        <f>COUNTIFS('Match Log'!$D$4:$D$311,D$7,'Match Log'!$C$4:$C$311,$A24)</f>
        <v>1</v>
      </c>
      <c r="E24" s="82">
        <f>COUNTIFS('Match Log'!$D$4:$D$311,E$7,'Match Log'!$C$4:$C$311,$A24)</f>
        <v>0</v>
      </c>
      <c r="F24" s="82">
        <f>COUNTIFS('Match Log'!$D$4:$D$311,F$7,'Match Log'!$C$4:$C$311,$A24)</f>
        <v>1</v>
      </c>
      <c r="G24" s="82">
        <f>COUNTIFS('Match Log'!$D$4:$D$311,G$7,'Match Log'!$C$4:$C$311,$A24)</f>
        <v>0</v>
      </c>
      <c r="H24" s="82">
        <f>COUNTIFS('Match Log'!$D$4:$D$311,H$7,'Match Log'!$C$4:$C$311,$A24)</f>
        <v>0</v>
      </c>
      <c r="I24" s="82">
        <f>COUNTIFS('Match Log'!$D$4:$D$311,I$7,'Match Log'!$C$4:$C$311,$A24)</f>
        <v>1</v>
      </c>
      <c r="J24" s="82">
        <f>COUNTIFS('Match Log'!$D$4:$D$311,J$7,'Match Log'!$C$4:$C$311,$A24)</f>
        <v>0</v>
      </c>
      <c r="K24" s="82">
        <f>COUNTIFS('Match Log'!$D$4:$D$311,K$7,'Match Log'!$C$4:$C$311,$A24)</f>
        <v>0</v>
      </c>
      <c r="L24" s="82">
        <f>COUNTIFS('Match Log'!$D$4:$D$311,L$7,'Match Log'!$C$4:$C$311,$A24)</f>
        <v>0</v>
      </c>
      <c r="M24" s="82">
        <f>COUNTIFS('Match Log'!$D$4:$D$311,M$7,'Match Log'!$C$4:$C$311,$A24)</f>
        <v>0</v>
      </c>
      <c r="N24" s="82">
        <f>COUNTIFS('Match Log'!$D$4:$D$311,N$7,'Match Log'!$C$4:$C$311,$A24)</f>
        <v>0</v>
      </c>
      <c r="O24" s="82">
        <f>COUNTIFS('Match Log'!$D$4:$D$311,O$7,'Match Log'!$C$4:$C$311,$A24)</f>
        <v>0</v>
      </c>
      <c r="P24" s="83">
        <f>ROUND(SUMPRODUCT(('Match Log'!$C$4:$C$311=$A24)*IFERROR(1/'Match Log'!$F$4:$F$311,0)),0)</f>
        <v>2</v>
      </c>
      <c r="Q24" s="84" t="str">
        <f t="shared" si="0"/>
        <v>Josh</v>
      </c>
      <c r="R24" s="83">
        <f t="shared" si="1"/>
        <v>1</v>
      </c>
    </row>
    <row r="25" spans="1:18" ht="15" customHeight="1" x14ac:dyDescent="0.2">
      <c r="A25" s="81" t="s">
        <v>214</v>
      </c>
      <c r="B25" s="82">
        <f>COUNTIFS('Match Log'!$D$4:$D$311,B$7,'Match Log'!$C$4:$C$311,$A25)</f>
        <v>7</v>
      </c>
      <c r="C25" s="82">
        <f>COUNTIFS('Match Log'!$D$4:$D$311,C$7,'Match Log'!$C$4:$C$311,$A25)</f>
        <v>8</v>
      </c>
      <c r="D25" s="82">
        <f>COUNTIFS('Match Log'!$D$4:$D$311,D$7,'Match Log'!$C$4:$C$311,$A25)</f>
        <v>1</v>
      </c>
      <c r="E25" s="82">
        <f>COUNTIFS('Match Log'!$D$4:$D$311,E$7,'Match Log'!$C$4:$C$311,$A25)</f>
        <v>7</v>
      </c>
      <c r="F25" s="82">
        <f>COUNTIFS('Match Log'!$D$4:$D$311,F$7,'Match Log'!$C$4:$C$311,$A25)</f>
        <v>8</v>
      </c>
      <c r="G25" s="82">
        <f>COUNTIFS('Match Log'!$D$4:$D$311,G$7,'Match Log'!$C$4:$C$311,$A25)</f>
        <v>9</v>
      </c>
      <c r="H25" s="82">
        <f>COUNTIFS('Match Log'!$D$4:$D$311,H$7,'Match Log'!$C$4:$C$311,$A25)</f>
        <v>11</v>
      </c>
      <c r="I25" s="82">
        <f>COUNTIFS('Match Log'!$D$4:$D$311,I$7,'Match Log'!$C$4:$C$311,$A25)</f>
        <v>9</v>
      </c>
      <c r="J25" s="82">
        <f>COUNTIFS('Match Log'!$D$4:$D$311,J$7,'Match Log'!$C$4:$C$311,$A25)</f>
        <v>10</v>
      </c>
      <c r="K25" s="82">
        <f>COUNTIFS('Match Log'!$D$4:$D$311,K$7,'Match Log'!$C$4:$C$311,$A25)</f>
        <v>7</v>
      </c>
      <c r="L25" s="82">
        <f>COUNTIFS('Match Log'!$D$4:$D$311,L$7,'Match Log'!$C$4:$C$311,$A25)</f>
        <v>12</v>
      </c>
      <c r="M25" s="82">
        <f>COUNTIFS('Match Log'!$D$4:$D$311,M$7,'Match Log'!$C$4:$C$311,$A25)</f>
        <v>5</v>
      </c>
      <c r="N25" s="82">
        <f>COUNTIFS('Match Log'!$D$4:$D$311,N$7,'Match Log'!$C$4:$C$311,$A25)</f>
        <v>4</v>
      </c>
      <c r="O25" s="82">
        <f>COUNTIFS('Match Log'!$D$4:$D$311,O$7,'Match Log'!$C$4:$C$311,$A25)</f>
        <v>0</v>
      </c>
      <c r="P25" s="83">
        <f>ROUND(SUMPRODUCT(('Match Log'!$C$4:$C$311=$A25)*IFERROR(1/'Match Log'!$F$4:$F$311,0)),0)</f>
        <v>49</v>
      </c>
      <c r="Q25" s="84" t="str">
        <f t="shared" si="0"/>
        <v>Simon</v>
      </c>
      <c r="R25" s="83">
        <f t="shared" si="1"/>
        <v>8</v>
      </c>
    </row>
    <row r="26" spans="1:18" ht="15" customHeight="1" x14ac:dyDescent="0.2">
      <c r="A26" s="81" t="s">
        <v>216</v>
      </c>
      <c r="B26" s="82">
        <f>COUNTIFS('Match Log'!$D$4:$D$311,B$7,'Match Log'!$C$4:$C$311,$A26)</f>
        <v>0</v>
      </c>
      <c r="C26" s="82">
        <f>COUNTIFS('Match Log'!$D$4:$D$311,C$7,'Match Log'!$C$4:$C$311,$A26)</f>
        <v>0</v>
      </c>
      <c r="D26" s="82">
        <f>COUNTIFS('Match Log'!$D$4:$D$311,D$7,'Match Log'!$C$4:$C$311,$A26)</f>
        <v>0</v>
      </c>
      <c r="E26" s="82">
        <f>COUNTIFS('Match Log'!$D$4:$D$311,E$7,'Match Log'!$C$4:$C$311,$A26)</f>
        <v>0</v>
      </c>
      <c r="F26" s="82">
        <f>COUNTIFS('Match Log'!$D$4:$D$311,F$7,'Match Log'!$C$4:$C$311,$A26)</f>
        <v>4</v>
      </c>
      <c r="G26" s="82">
        <f>COUNTIFS('Match Log'!$D$4:$D$311,G$7,'Match Log'!$C$4:$C$311,$A26)</f>
        <v>0</v>
      </c>
      <c r="H26" s="82">
        <f>COUNTIFS('Match Log'!$D$4:$D$311,H$7,'Match Log'!$C$4:$C$311,$A26)</f>
        <v>0</v>
      </c>
      <c r="I26" s="82">
        <f>COUNTIFS('Match Log'!$D$4:$D$311,I$7,'Match Log'!$C$4:$C$311,$A26)</f>
        <v>4</v>
      </c>
      <c r="J26" s="82">
        <f>COUNTIFS('Match Log'!$D$4:$D$311,J$7,'Match Log'!$C$4:$C$311,$A26)</f>
        <v>0</v>
      </c>
      <c r="K26" s="82">
        <f>COUNTIFS('Match Log'!$D$4:$D$311,K$7,'Match Log'!$C$4:$C$311,$A26)</f>
        <v>0</v>
      </c>
      <c r="L26" s="82">
        <f>COUNTIFS('Match Log'!$D$4:$D$311,L$7,'Match Log'!$C$4:$C$311,$A26)</f>
        <v>0</v>
      </c>
      <c r="M26" s="82">
        <f>COUNTIFS('Match Log'!$D$4:$D$311,M$7,'Match Log'!$C$4:$C$311,$A26)</f>
        <v>0</v>
      </c>
      <c r="N26" s="82">
        <f>COUNTIFS('Match Log'!$D$4:$D$311,N$7,'Match Log'!$C$4:$C$311,$A26)</f>
        <v>0</v>
      </c>
      <c r="O26" s="82">
        <f>COUNTIFS('Match Log'!$D$4:$D$311,O$7,'Match Log'!$C$4:$C$311,$A26)</f>
        <v>0</v>
      </c>
      <c r="P26" s="83">
        <f>ROUND(SUMPRODUCT(('Match Log'!$C$4:$C$311=$A26)*IFERROR(1/'Match Log'!$F$4:$F$311,0)),0)</f>
        <v>4</v>
      </c>
      <c r="Q26" s="84" t="str">
        <f t="shared" si="0"/>
        <v>Josh</v>
      </c>
      <c r="R26" s="83">
        <f t="shared" si="1"/>
        <v>2</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Log'!$D$4:$D$311,B$29,'Match Log'!$C$4:$C$311,$A30,'Match Log'!$E$4:$E$311,"Win")</f>
        <v>0</v>
      </c>
      <c r="C30" s="82">
        <f>COUNTIFS('Match Log'!$D$4:$D$311,C$29,'Match Log'!$C$4:$C$311,$A30,'Match Log'!$E$4:$E$311,"Win")</f>
        <v>0</v>
      </c>
      <c r="D30" s="82">
        <f>COUNTIFS('Match Log'!$D$4:$D$311,D$29,'Match Log'!$C$4:$C$311,$A30,'Match Log'!$E$4:$E$311,"Win")</f>
        <v>0</v>
      </c>
      <c r="E30" s="82">
        <f>COUNTIFS('Match Log'!$D$4:$D$311,E$29,'Match Log'!$C$4:$C$311,$A30,'Match Log'!$E$4:$E$311,"Win")</f>
        <v>0</v>
      </c>
      <c r="F30" s="82">
        <f>COUNTIFS('Match Log'!$D$4:$D$311,F$29,'Match Log'!$C$4:$C$311,$A30,'Match Log'!$E$4:$E$311,"Win")</f>
        <v>0</v>
      </c>
      <c r="G30" s="82">
        <f>COUNTIFS('Match Log'!$D$4:$D$311,G$29,'Match Log'!$C$4:$C$311,$A30,'Match Log'!$E$4:$E$311,"Win")</f>
        <v>2</v>
      </c>
      <c r="H30" s="82">
        <f>COUNTIFS('Match Log'!$D$4:$D$311,H$29,'Match Log'!$C$4:$C$311,$A30,'Match Log'!$E$4:$E$311,"Win")</f>
        <v>0</v>
      </c>
      <c r="I30" s="82">
        <f>COUNTIFS('Match Log'!$D$4:$D$311,I$29,'Match Log'!$C$4:$C$311,$A30,'Match Log'!$E$4:$E$311,"Win")</f>
        <v>0</v>
      </c>
      <c r="J30" s="82">
        <f>COUNTIFS('Match Log'!$D$4:$D$311,J$29,'Match Log'!$C$4:$C$311,$A30,'Match Log'!$E$4:$E$311,"Win")</f>
        <v>0</v>
      </c>
      <c r="K30" s="82">
        <f>COUNTIFS('Match Log'!$D$4:$D$311,K$29,'Match Log'!$C$4:$C$311,$A30,'Match Log'!$E$4:$E$311,"Win")</f>
        <v>0</v>
      </c>
      <c r="L30" s="82">
        <f>COUNTIFS('Match Log'!$D$4:$D$311,L$29,'Match Log'!$C$4:$C$311,$A30,'Match Log'!$E$4:$E$311,"Win")</f>
        <v>0</v>
      </c>
      <c r="M30" s="82">
        <f>COUNTIFS('Match Log'!$D$4:$D$311,M$29,'Match Log'!$C$4:$C$311,$A30,'Match Log'!$E$4:$E$311,"Win")</f>
        <v>0</v>
      </c>
      <c r="N30" s="82">
        <f>COUNTIFS('Match Log'!$D$4:$D$311,N$29,'Match Log'!$C$4:$C$311,$A30,'Match Log'!$E$4:$E$311,"Win")</f>
        <v>0</v>
      </c>
      <c r="O30" s="82">
        <f>COUNTIFS('Match Log'!$D$4:$D$311,O$29,'Match Log'!$C$4:$C$311,$A30,'Match Log'!$E$4:$E$311,"Win")</f>
        <v>0</v>
      </c>
    </row>
    <row r="31" spans="1:18" ht="15" customHeight="1" x14ac:dyDescent="0.2">
      <c r="A31" s="81" t="s">
        <v>190</v>
      </c>
      <c r="B31" s="82">
        <f>COUNTIFS('Match Log'!$D$4:$D$311,B$29,'Match Log'!$C$4:$C$311,$A31,'Match Log'!$E$4:$E$311,"Win")</f>
        <v>0</v>
      </c>
      <c r="C31" s="82">
        <f>COUNTIFS('Match Log'!$D$4:$D$311,C$29,'Match Log'!$C$4:$C$311,$A31,'Match Log'!$E$4:$E$311,"Win")</f>
        <v>0</v>
      </c>
      <c r="D31" s="82">
        <f>COUNTIFS('Match Log'!$D$4:$D$311,D$29,'Match Log'!$C$4:$C$311,$A31,'Match Log'!$E$4:$E$311,"Win")</f>
        <v>0</v>
      </c>
      <c r="E31" s="82">
        <f>COUNTIFS('Match Log'!$D$4:$D$311,E$29,'Match Log'!$C$4:$C$311,$A31,'Match Log'!$E$4:$E$311,"Win")</f>
        <v>0</v>
      </c>
      <c r="F31" s="82">
        <f>COUNTIFS('Match Log'!$D$4:$D$311,F$29,'Match Log'!$C$4:$C$311,$A31,'Match Log'!$E$4:$E$311,"Win")</f>
        <v>0</v>
      </c>
      <c r="G31" s="82">
        <f>COUNTIFS('Match Log'!$D$4:$D$311,G$29,'Match Log'!$C$4:$C$311,$A31,'Match Log'!$E$4:$E$311,"Win")</f>
        <v>0</v>
      </c>
      <c r="H31" s="82">
        <f>COUNTIFS('Match Log'!$D$4:$D$311,H$29,'Match Log'!$C$4:$C$311,$A31,'Match Log'!$E$4:$E$311,"Win")</f>
        <v>0</v>
      </c>
      <c r="I31" s="82">
        <f>COUNTIFS('Match Log'!$D$4:$D$311,I$29,'Match Log'!$C$4:$C$311,$A31,'Match Log'!$E$4:$E$311,"Win")</f>
        <v>0</v>
      </c>
      <c r="J31" s="82">
        <f>COUNTIFS('Match Log'!$D$4:$D$311,J$29,'Match Log'!$C$4:$C$311,$A31,'Match Log'!$E$4:$E$311,"Win")</f>
        <v>0</v>
      </c>
      <c r="K31" s="82">
        <f>COUNTIFS('Match Log'!$D$4:$D$311,K$29,'Match Log'!$C$4:$C$311,$A31,'Match Log'!$E$4:$E$311,"Win")</f>
        <v>0</v>
      </c>
      <c r="L31" s="82">
        <f>COUNTIFS('Match Log'!$D$4:$D$311,L$29,'Match Log'!$C$4:$C$311,$A31,'Match Log'!$E$4:$E$311,"Win")</f>
        <v>0</v>
      </c>
      <c r="M31" s="82">
        <f>COUNTIFS('Match Log'!$D$4:$D$311,M$29,'Match Log'!$C$4:$C$311,$A31,'Match Log'!$E$4:$E$311,"Win")</f>
        <v>0</v>
      </c>
      <c r="N31" s="82">
        <f>COUNTIFS('Match Log'!$D$4:$D$311,N$29,'Match Log'!$C$4:$C$311,$A31,'Match Log'!$E$4:$E$311,"Win")</f>
        <v>0</v>
      </c>
      <c r="O31" s="82">
        <f>COUNTIFS('Match Log'!$D$4:$D$311,O$29,'Match Log'!$C$4:$C$311,$A31,'Match Log'!$E$4:$E$311,"Win")</f>
        <v>0</v>
      </c>
    </row>
    <row r="32" spans="1:18" ht="15" customHeight="1" x14ac:dyDescent="0.2">
      <c r="A32" s="81" t="s">
        <v>191</v>
      </c>
      <c r="B32" s="82">
        <f>COUNTIFS('Match Log'!$D$4:$D$311,B$29,'Match Log'!$C$4:$C$311,$A32,'Match Log'!$E$4:$E$311,"Win")</f>
        <v>6</v>
      </c>
      <c r="C32" s="82">
        <f>COUNTIFS('Match Log'!$D$4:$D$311,C$29,'Match Log'!$C$4:$C$311,$A32,'Match Log'!$E$4:$E$311,"Win")</f>
        <v>0</v>
      </c>
      <c r="D32" s="82">
        <f>COUNTIFS('Match Log'!$D$4:$D$311,D$29,'Match Log'!$C$4:$C$311,$A32,'Match Log'!$E$4:$E$311,"Win")</f>
        <v>0</v>
      </c>
      <c r="E32" s="82">
        <f>COUNTIFS('Match Log'!$D$4:$D$311,E$29,'Match Log'!$C$4:$C$311,$A32,'Match Log'!$E$4:$E$311,"Win")</f>
        <v>0</v>
      </c>
      <c r="F32" s="82">
        <f>COUNTIFS('Match Log'!$D$4:$D$311,F$29,'Match Log'!$C$4:$C$311,$A32,'Match Log'!$E$4:$E$311,"Win")</f>
        <v>0</v>
      </c>
      <c r="G32" s="82">
        <f>COUNTIFS('Match Log'!$D$4:$D$311,G$29,'Match Log'!$C$4:$C$311,$A32,'Match Log'!$E$4:$E$311,"Win")</f>
        <v>6</v>
      </c>
      <c r="H32" s="82">
        <f>COUNTIFS('Match Log'!$D$4:$D$311,H$29,'Match Log'!$C$4:$C$311,$A32,'Match Log'!$E$4:$E$311,"Win")</f>
        <v>0</v>
      </c>
      <c r="I32" s="82">
        <f>COUNTIFS('Match Log'!$D$4:$D$311,I$29,'Match Log'!$C$4:$C$311,$A32,'Match Log'!$E$4:$E$311,"Win")</f>
        <v>4</v>
      </c>
      <c r="J32" s="82">
        <f>COUNTIFS('Match Log'!$D$4:$D$311,J$29,'Match Log'!$C$4:$C$311,$A32,'Match Log'!$E$4:$E$311,"Win")</f>
        <v>0</v>
      </c>
      <c r="K32" s="82">
        <f>COUNTIFS('Match Log'!$D$4:$D$311,K$29,'Match Log'!$C$4:$C$311,$A32,'Match Log'!$E$4:$E$311,"Win")</f>
        <v>0</v>
      </c>
      <c r="L32" s="82">
        <f>COUNTIFS('Match Log'!$D$4:$D$311,L$29,'Match Log'!$C$4:$C$311,$A32,'Match Log'!$E$4:$E$311,"Win")</f>
        <v>0</v>
      </c>
      <c r="M32" s="82">
        <f>COUNTIFS('Match Log'!$D$4:$D$311,M$29,'Match Log'!$C$4:$C$311,$A32,'Match Log'!$E$4:$E$311,"Win")</f>
        <v>0</v>
      </c>
      <c r="N32" s="82">
        <f>COUNTIFS('Match Log'!$D$4:$D$311,N$29,'Match Log'!$C$4:$C$311,$A32,'Match Log'!$E$4:$E$311,"Win")</f>
        <v>0</v>
      </c>
      <c r="O32" s="82">
        <f>COUNTIFS('Match Log'!$D$4:$D$311,O$29,'Match Log'!$C$4:$C$311,$A32,'Match Log'!$E$4:$E$311,"Win")</f>
        <v>0</v>
      </c>
    </row>
    <row r="33" spans="1:15" ht="15" customHeight="1" x14ac:dyDescent="0.2">
      <c r="A33" s="81" t="s">
        <v>192</v>
      </c>
      <c r="B33" s="82">
        <f>COUNTIFS('Match Log'!$D$4:$D$311,B$29,'Match Log'!$C$4:$C$311,$A33,'Match Log'!$E$4:$E$311,"Win")</f>
        <v>0</v>
      </c>
      <c r="C33" s="82">
        <f>COUNTIFS('Match Log'!$D$4:$D$311,C$29,'Match Log'!$C$4:$C$311,$A33,'Match Log'!$E$4:$E$311,"Win")</f>
        <v>0</v>
      </c>
      <c r="D33" s="82">
        <f>COUNTIFS('Match Log'!$D$4:$D$311,D$29,'Match Log'!$C$4:$C$311,$A33,'Match Log'!$E$4:$E$311,"Win")</f>
        <v>0</v>
      </c>
      <c r="E33" s="82">
        <f>COUNTIFS('Match Log'!$D$4:$D$311,E$29,'Match Log'!$C$4:$C$311,$A33,'Match Log'!$E$4:$E$311,"Win")</f>
        <v>0</v>
      </c>
      <c r="F33" s="82">
        <f>COUNTIFS('Match Log'!$D$4:$D$311,F$29,'Match Log'!$C$4:$C$311,$A33,'Match Log'!$E$4:$E$311,"Win")</f>
        <v>0</v>
      </c>
      <c r="G33" s="82">
        <f>COUNTIFS('Match Log'!$D$4:$D$311,G$29,'Match Log'!$C$4:$C$311,$A33,'Match Log'!$E$4:$E$311,"Win")</f>
        <v>0</v>
      </c>
      <c r="H33" s="82">
        <f>COUNTIFS('Match Log'!$D$4:$D$311,H$29,'Match Log'!$C$4:$C$311,$A33,'Match Log'!$E$4:$E$311,"Win")</f>
        <v>0</v>
      </c>
      <c r="I33" s="82">
        <f>COUNTIFS('Match Log'!$D$4:$D$311,I$29,'Match Log'!$C$4:$C$311,$A33,'Match Log'!$E$4:$E$311,"Win")</f>
        <v>0</v>
      </c>
      <c r="J33" s="82">
        <f>COUNTIFS('Match Log'!$D$4:$D$311,J$29,'Match Log'!$C$4:$C$311,$A33,'Match Log'!$E$4:$E$311,"Win")</f>
        <v>0</v>
      </c>
      <c r="K33" s="82">
        <f>COUNTIFS('Match Log'!$D$4:$D$311,K$29,'Match Log'!$C$4:$C$311,$A33,'Match Log'!$E$4:$E$311,"Win")</f>
        <v>0</v>
      </c>
      <c r="L33" s="82">
        <f>COUNTIFS('Match Log'!$D$4:$D$311,L$29,'Match Log'!$C$4:$C$311,$A33,'Match Log'!$E$4:$E$311,"Win")</f>
        <v>0</v>
      </c>
      <c r="M33" s="82">
        <f>COUNTIFS('Match Log'!$D$4:$D$311,M$29,'Match Log'!$C$4:$C$311,$A33,'Match Log'!$E$4:$E$311,"Win")</f>
        <v>0</v>
      </c>
      <c r="N33" s="82">
        <f>COUNTIFS('Match Log'!$D$4:$D$311,N$29,'Match Log'!$C$4:$C$311,$A33,'Match Log'!$E$4:$E$311,"Win")</f>
        <v>0</v>
      </c>
      <c r="O33" s="82">
        <f>COUNTIFS('Match Log'!$D$4:$D$311,O$29,'Match Log'!$C$4:$C$311,$A33,'Match Log'!$E$4:$E$311,"Win")</f>
        <v>0</v>
      </c>
    </row>
    <row r="34" spans="1:15" ht="15" customHeight="1" x14ac:dyDescent="0.2">
      <c r="A34" s="81" t="s">
        <v>193</v>
      </c>
      <c r="B34" s="82">
        <f>COUNTIFS('Match Log'!$D$4:$D$311,B$29,'Match Log'!$C$4:$C$311,$A34,'Match Log'!$E$4:$E$311,"Win")</f>
        <v>0</v>
      </c>
      <c r="C34" s="82">
        <f>COUNTIFS('Match Log'!$D$4:$D$311,C$29,'Match Log'!$C$4:$C$311,$A34,'Match Log'!$E$4:$E$311,"Win")</f>
        <v>0</v>
      </c>
      <c r="D34" s="82">
        <f>COUNTIFS('Match Log'!$D$4:$D$311,D$29,'Match Log'!$C$4:$C$311,$A34,'Match Log'!$E$4:$E$311,"Win")</f>
        <v>0</v>
      </c>
      <c r="E34" s="82">
        <f>COUNTIFS('Match Log'!$D$4:$D$311,E$29,'Match Log'!$C$4:$C$311,$A34,'Match Log'!$E$4:$E$311,"Win")</f>
        <v>0</v>
      </c>
      <c r="F34" s="82">
        <f>COUNTIFS('Match Log'!$D$4:$D$311,F$29,'Match Log'!$C$4:$C$311,$A34,'Match Log'!$E$4:$E$311,"Win")</f>
        <v>0</v>
      </c>
      <c r="G34" s="82">
        <f>COUNTIFS('Match Log'!$D$4:$D$311,G$29,'Match Log'!$C$4:$C$311,$A34,'Match Log'!$E$4:$E$311,"Win")</f>
        <v>0</v>
      </c>
      <c r="H34" s="82">
        <f>COUNTIFS('Match Log'!$D$4:$D$311,H$29,'Match Log'!$C$4:$C$311,$A34,'Match Log'!$E$4:$E$311,"Win")</f>
        <v>2</v>
      </c>
      <c r="I34" s="82">
        <f>COUNTIFS('Match Log'!$D$4:$D$311,I$29,'Match Log'!$C$4:$C$311,$A34,'Match Log'!$E$4:$E$311,"Win")</f>
        <v>2</v>
      </c>
      <c r="J34" s="82">
        <f>COUNTIFS('Match Log'!$D$4:$D$311,J$29,'Match Log'!$C$4:$C$311,$A34,'Match Log'!$E$4:$E$311,"Win")</f>
        <v>4</v>
      </c>
      <c r="K34" s="82">
        <f>COUNTIFS('Match Log'!$D$4:$D$311,K$29,'Match Log'!$C$4:$C$311,$A34,'Match Log'!$E$4:$E$311,"Win")</f>
        <v>0</v>
      </c>
      <c r="L34" s="82">
        <f>COUNTIFS('Match Log'!$D$4:$D$311,L$29,'Match Log'!$C$4:$C$311,$A34,'Match Log'!$E$4:$E$311,"Win")</f>
        <v>2</v>
      </c>
      <c r="M34" s="82">
        <f>COUNTIFS('Match Log'!$D$4:$D$311,M$29,'Match Log'!$C$4:$C$311,$A34,'Match Log'!$E$4:$E$311,"Win")</f>
        <v>0</v>
      </c>
      <c r="N34" s="82">
        <f>COUNTIFS('Match Log'!$D$4:$D$311,N$29,'Match Log'!$C$4:$C$311,$A34,'Match Log'!$E$4:$E$311,"Win")</f>
        <v>0</v>
      </c>
      <c r="O34" s="82">
        <f>COUNTIFS('Match Log'!$D$4:$D$311,O$29,'Match Log'!$C$4:$C$311,$A34,'Match Log'!$E$4:$E$311,"Win")</f>
        <v>0</v>
      </c>
    </row>
    <row r="35" spans="1:15" ht="15" customHeight="1" x14ac:dyDescent="0.2">
      <c r="A35" s="81" t="s">
        <v>194</v>
      </c>
      <c r="B35" s="82">
        <f>COUNTIFS('Match Log'!$D$4:$D$311,B$29,'Match Log'!$C$4:$C$311,$A35,'Match Log'!$E$4:$E$311,"Win")</f>
        <v>1</v>
      </c>
      <c r="C35" s="82">
        <f>COUNTIFS('Match Log'!$D$4:$D$311,C$29,'Match Log'!$C$4:$C$311,$A35,'Match Log'!$E$4:$E$311,"Win")</f>
        <v>0</v>
      </c>
      <c r="D35" s="82">
        <f>COUNTIFS('Match Log'!$D$4:$D$311,D$29,'Match Log'!$C$4:$C$311,$A35,'Match Log'!$E$4:$E$311,"Win")</f>
        <v>0</v>
      </c>
      <c r="E35" s="82">
        <f>COUNTIFS('Match Log'!$D$4:$D$311,E$29,'Match Log'!$C$4:$C$311,$A35,'Match Log'!$E$4:$E$311,"Win")</f>
        <v>0</v>
      </c>
      <c r="F35" s="82">
        <f>COUNTIFS('Match Log'!$D$4:$D$311,F$29,'Match Log'!$C$4:$C$311,$A35,'Match Log'!$E$4:$E$311,"Win")</f>
        <v>0</v>
      </c>
      <c r="G35" s="82">
        <f>COUNTIFS('Match Log'!$D$4:$D$311,G$29,'Match Log'!$C$4:$C$311,$A35,'Match Log'!$E$4:$E$311,"Win")</f>
        <v>0</v>
      </c>
      <c r="H35" s="82">
        <f>COUNTIFS('Match Log'!$D$4:$D$311,H$29,'Match Log'!$C$4:$C$311,$A35,'Match Log'!$E$4:$E$311,"Win")</f>
        <v>0</v>
      </c>
      <c r="I35" s="82">
        <f>COUNTIFS('Match Log'!$D$4:$D$311,I$29,'Match Log'!$C$4:$C$311,$A35,'Match Log'!$E$4:$E$311,"Win")</f>
        <v>0</v>
      </c>
      <c r="J35" s="82">
        <f>COUNTIFS('Match Log'!$D$4:$D$311,J$29,'Match Log'!$C$4:$C$311,$A35,'Match Log'!$E$4:$E$311,"Win")</f>
        <v>0</v>
      </c>
      <c r="K35" s="82">
        <f>COUNTIFS('Match Log'!$D$4:$D$311,K$29,'Match Log'!$C$4:$C$311,$A35,'Match Log'!$E$4:$E$311,"Win")</f>
        <v>0</v>
      </c>
      <c r="L35" s="82">
        <f>COUNTIFS('Match Log'!$D$4:$D$311,L$29,'Match Log'!$C$4:$C$311,$A35,'Match Log'!$E$4:$E$311,"Win")</f>
        <v>0</v>
      </c>
      <c r="M35" s="82">
        <f>COUNTIFS('Match Log'!$D$4:$D$311,M$29,'Match Log'!$C$4:$C$311,$A35,'Match Log'!$E$4:$E$311,"Win")</f>
        <v>0</v>
      </c>
      <c r="N35" s="82">
        <f>COUNTIFS('Match Log'!$D$4:$D$311,N$29,'Match Log'!$C$4:$C$311,$A35,'Match Log'!$E$4:$E$311,"Win")</f>
        <v>0</v>
      </c>
      <c r="O35" s="82">
        <f>COUNTIFS('Match Log'!$D$4:$D$311,O$29,'Match Log'!$C$4:$C$311,$A35,'Match Log'!$E$4:$E$311,"Win")</f>
        <v>0</v>
      </c>
    </row>
    <row r="36" spans="1:15" ht="15" customHeight="1" x14ac:dyDescent="0.2">
      <c r="A36" s="81" t="s">
        <v>196</v>
      </c>
      <c r="B36" s="82">
        <f>COUNTIFS('Match Log'!$D$4:$D$311,B$29,'Match Log'!$C$4:$C$311,$A36,'Match Log'!$E$4:$E$311,"Win")</f>
        <v>0</v>
      </c>
      <c r="C36" s="82">
        <f>COUNTIFS('Match Log'!$D$4:$D$311,C$29,'Match Log'!$C$4:$C$311,$A36,'Match Log'!$E$4:$E$311,"Win")</f>
        <v>0</v>
      </c>
      <c r="D36" s="82">
        <f>COUNTIFS('Match Log'!$D$4:$D$311,D$29,'Match Log'!$C$4:$C$311,$A36,'Match Log'!$E$4:$E$311,"Win")</f>
        <v>0</v>
      </c>
      <c r="E36" s="82">
        <f>COUNTIFS('Match Log'!$D$4:$D$311,E$29,'Match Log'!$C$4:$C$311,$A36,'Match Log'!$E$4:$E$311,"Win")</f>
        <v>0</v>
      </c>
      <c r="F36" s="82">
        <f>COUNTIFS('Match Log'!$D$4:$D$311,F$29,'Match Log'!$C$4:$C$311,$A36,'Match Log'!$E$4:$E$311,"Win")</f>
        <v>0</v>
      </c>
      <c r="G36" s="82">
        <f>COUNTIFS('Match Log'!$D$4:$D$311,G$29,'Match Log'!$C$4:$C$311,$A36,'Match Log'!$E$4:$E$311,"Win")</f>
        <v>0</v>
      </c>
      <c r="H36" s="82">
        <f>COUNTIFS('Match Log'!$D$4:$D$311,H$29,'Match Log'!$C$4:$C$311,$A36,'Match Log'!$E$4:$E$311,"Win")</f>
        <v>0</v>
      </c>
      <c r="I36" s="82">
        <f>COUNTIFS('Match Log'!$D$4:$D$311,I$29,'Match Log'!$C$4:$C$311,$A36,'Match Log'!$E$4:$E$311,"Win")</f>
        <v>0</v>
      </c>
      <c r="J36" s="82">
        <f>COUNTIFS('Match Log'!$D$4:$D$311,J$29,'Match Log'!$C$4:$C$311,$A36,'Match Log'!$E$4:$E$311,"Win")</f>
        <v>0</v>
      </c>
      <c r="K36" s="82">
        <f>COUNTIFS('Match Log'!$D$4:$D$311,K$29,'Match Log'!$C$4:$C$311,$A36,'Match Log'!$E$4:$E$311,"Win")</f>
        <v>0</v>
      </c>
      <c r="L36" s="82">
        <f>COUNTIFS('Match Log'!$D$4:$D$311,L$29,'Match Log'!$C$4:$C$311,$A36,'Match Log'!$E$4:$E$311,"Win")</f>
        <v>0</v>
      </c>
      <c r="M36" s="82">
        <f>COUNTIFS('Match Log'!$D$4:$D$311,M$29,'Match Log'!$C$4:$C$311,$A36,'Match Log'!$E$4:$E$311,"Win")</f>
        <v>0</v>
      </c>
      <c r="N36" s="82">
        <f>COUNTIFS('Match Log'!$D$4:$D$311,N$29,'Match Log'!$C$4:$C$311,$A36,'Match Log'!$E$4:$E$311,"Win")</f>
        <v>0</v>
      </c>
      <c r="O36" s="82">
        <f>COUNTIFS('Match Log'!$D$4:$D$311,O$29,'Match Log'!$C$4:$C$311,$A36,'Match Log'!$E$4:$E$311,"Win")</f>
        <v>0</v>
      </c>
    </row>
    <row r="37" spans="1:15" ht="15" customHeight="1" x14ac:dyDescent="0.2">
      <c r="A37" s="81" t="s">
        <v>198</v>
      </c>
      <c r="B37" s="82">
        <f>COUNTIFS('Match Log'!$D$4:$D$311,B$29,'Match Log'!$C$4:$C$311,$A37,'Match Log'!$E$4:$E$311,"Win")</f>
        <v>0</v>
      </c>
      <c r="C37" s="82">
        <f>COUNTIFS('Match Log'!$D$4:$D$311,C$29,'Match Log'!$C$4:$C$311,$A37,'Match Log'!$E$4:$E$311,"Win")</f>
        <v>0</v>
      </c>
      <c r="D37" s="82">
        <f>COUNTIFS('Match Log'!$D$4:$D$311,D$29,'Match Log'!$C$4:$C$311,$A37,'Match Log'!$E$4:$E$311,"Win")</f>
        <v>0</v>
      </c>
      <c r="E37" s="82">
        <f>COUNTIFS('Match Log'!$D$4:$D$311,E$29,'Match Log'!$C$4:$C$311,$A37,'Match Log'!$E$4:$E$311,"Win")</f>
        <v>0</v>
      </c>
      <c r="F37" s="82">
        <f>COUNTIFS('Match Log'!$D$4:$D$311,F$29,'Match Log'!$C$4:$C$311,$A37,'Match Log'!$E$4:$E$311,"Win")</f>
        <v>0</v>
      </c>
      <c r="G37" s="82">
        <f>COUNTIFS('Match Log'!$D$4:$D$311,G$29,'Match Log'!$C$4:$C$311,$A37,'Match Log'!$E$4:$E$311,"Win")</f>
        <v>0</v>
      </c>
      <c r="H37" s="82">
        <f>COUNTIFS('Match Log'!$D$4:$D$311,H$29,'Match Log'!$C$4:$C$311,$A37,'Match Log'!$E$4:$E$311,"Win")</f>
        <v>0</v>
      </c>
      <c r="I37" s="82">
        <f>COUNTIFS('Match Log'!$D$4:$D$311,I$29,'Match Log'!$C$4:$C$311,$A37,'Match Log'!$E$4:$E$311,"Win")</f>
        <v>0</v>
      </c>
      <c r="J37" s="82">
        <f>COUNTIFS('Match Log'!$D$4:$D$311,J$29,'Match Log'!$C$4:$C$311,$A37,'Match Log'!$E$4:$E$311,"Win")</f>
        <v>0</v>
      </c>
      <c r="K37" s="82">
        <f>COUNTIFS('Match Log'!$D$4:$D$311,K$29,'Match Log'!$C$4:$C$311,$A37,'Match Log'!$E$4:$E$311,"Win")</f>
        <v>0</v>
      </c>
      <c r="L37" s="82">
        <f>COUNTIFS('Match Log'!$D$4:$D$311,L$29,'Match Log'!$C$4:$C$311,$A37,'Match Log'!$E$4:$E$311,"Win")</f>
        <v>0</v>
      </c>
      <c r="M37" s="82">
        <f>COUNTIFS('Match Log'!$D$4:$D$311,M$29,'Match Log'!$C$4:$C$311,$A37,'Match Log'!$E$4:$E$311,"Win")</f>
        <v>0</v>
      </c>
      <c r="N37" s="82">
        <f>COUNTIFS('Match Log'!$D$4:$D$311,N$29,'Match Log'!$C$4:$C$311,$A37,'Match Log'!$E$4:$E$311,"Win")</f>
        <v>0</v>
      </c>
      <c r="O37" s="82">
        <f>COUNTIFS('Match Log'!$D$4:$D$311,O$29,'Match Log'!$C$4:$C$311,$A37,'Match Log'!$E$4:$E$311,"Win")</f>
        <v>0</v>
      </c>
    </row>
    <row r="38" spans="1:15" ht="15" customHeight="1" x14ac:dyDescent="0.2">
      <c r="A38" s="81" t="s">
        <v>200</v>
      </c>
      <c r="B38" s="82">
        <f>COUNTIFS('Match Log'!$D$4:$D$311,B$29,'Match Log'!$C$4:$C$311,$A38,'Match Log'!$E$4:$E$311,"Win")</f>
        <v>0</v>
      </c>
      <c r="C38" s="82">
        <f>COUNTIFS('Match Log'!$D$4:$D$311,C$29,'Match Log'!$C$4:$C$311,$A38,'Match Log'!$E$4:$E$311,"Win")</f>
        <v>0</v>
      </c>
      <c r="D38" s="82">
        <f>COUNTIFS('Match Log'!$D$4:$D$311,D$29,'Match Log'!$C$4:$C$311,$A38,'Match Log'!$E$4:$E$311,"Win")</f>
        <v>0</v>
      </c>
      <c r="E38" s="82">
        <f>COUNTIFS('Match Log'!$D$4:$D$311,E$29,'Match Log'!$C$4:$C$311,$A38,'Match Log'!$E$4:$E$311,"Win")</f>
        <v>0</v>
      </c>
      <c r="F38" s="82">
        <f>COUNTIFS('Match Log'!$D$4:$D$311,F$29,'Match Log'!$C$4:$C$311,$A38,'Match Log'!$E$4:$E$311,"Win")</f>
        <v>1</v>
      </c>
      <c r="G38" s="82">
        <f>COUNTIFS('Match Log'!$D$4:$D$311,G$29,'Match Log'!$C$4:$C$311,$A38,'Match Log'!$E$4:$E$311,"Win")</f>
        <v>0</v>
      </c>
      <c r="H38" s="82">
        <f>COUNTIFS('Match Log'!$D$4:$D$311,H$29,'Match Log'!$C$4:$C$311,$A38,'Match Log'!$E$4:$E$311,"Win")</f>
        <v>0</v>
      </c>
      <c r="I38" s="82">
        <f>COUNTIFS('Match Log'!$D$4:$D$311,I$29,'Match Log'!$C$4:$C$311,$A38,'Match Log'!$E$4:$E$311,"Win")</f>
        <v>0</v>
      </c>
      <c r="J38" s="82">
        <f>COUNTIFS('Match Log'!$D$4:$D$311,J$29,'Match Log'!$C$4:$C$311,$A38,'Match Log'!$E$4:$E$311,"Win")</f>
        <v>0</v>
      </c>
      <c r="K38" s="82">
        <f>COUNTIFS('Match Log'!$D$4:$D$311,K$29,'Match Log'!$C$4:$C$311,$A38,'Match Log'!$E$4:$E$311,"Win")</f>
        <v>0</v>
      </c>
      <c r="L38" s="82">
        <f>COUNTIFS('Match Log'!$D$4:$D$311,L$29,'Match Log'!$C$4:$C$311,$A38,'Match Log'!$E$4:$E$311,"Win")</f>
        <v>0</v>
      </c>
      <c r="M38" s="82">
        <f>COUNTIFS('Match Log'!$D$4:$D$311,M$29,'Match Log'!$C$4:$C$311,$A38,'Match Log'!$E$4:$E$311,"Win")</f>
        <v>0</v>
      </c>
      <c r="N38" s="82">
        <f>COUNTIFS('Match Log'!$D$4:$D$311,N$29,'Match Log'!$C$4:$C$311,$A38,'Match Log'!$E$4:$E$311,"Win")</f>
        <v>0</v>
      </c>
      <c r="O38" s="82">
        <f>COUNTIFS('Match Log'!$D$4:$D$311,O$29,'Match Log'!$C$4:$C$311,$A38,'Match Log'!$E$4:$E$311,"Win")</f>
        <v>0</v>
      </c>
    </row>
    <row r="39" spans="1:15" ht="15" customHeight="1" x14ac:dyDescent="0.2">
      <c r="A39" s="81" t="s">
        <v>201</v>
      </c>
      <c r="B39" s="82">
        <f>COUNTIFS('Match Log'!$D$4:$D$311,B$29,'Match Log'!$C$4:$C$311,$A39,'Match Log'!$E$4:$E$311,"Win")</f>
        <v>0</v>
      </c>
      <c r="C39" s="82">
        <f>COUNTIFS('Match Log'!$D$4:$D$311,C$29,'Match Log'!$C$4:$C$311,$A39,'Match Log'!$E$4:$E$311,"Win")</f>
        <v>0</v>
      </c>
      <c r="D39" s="82">
        <f>COUNTIFS('Match Log'!$D$4:$D$311,D$29,'Match Log'!$C$4:$C$311,$A39,'Match Log'!$E$4:$E$311,"Win")</f>
        <v>0</v>
      </c>
      <c r="E39" s="82">
        <f>COUNTIFS('Match Log'!$D$4:$D$311,E$29,'Match Log'!$C$4:$C$311,$A39,'Match Log'!$E$4:$E$311,"Win")</f>
        <v>0</v>
      </c>
      <c r="F39" s="82">
        <f>COUNTIFS('Match Log'!$D$4:$D$311,F$29,'Match Log'!$C$4:$C$311,$A39,'Match Log'!$E$4:$E$311,"Win")</f>
        <v>0</v>
      </c>
      <c r="G39" s="82">
        <f>COUNTIFS('Match Log'!$D$4:$D$311,G$29,'Match Log'!$C$4:$C$311,$A39,'Match Log'!$E$4:$E$311,"Win")</f>
        <v>0</v>
      </c>
      <c r="H39" s="82">
        <f>COUNTIFS('Match Log'!$D$4:$D$311,H$29,'Match Log'!$C$4:$C$311,$A39,'Match Log'!$E$4:$E$311,"Win")</f>
        <v>0</v>
      </c>
      <c r="I39" s="82">
        <f>COUNTIFS('Match Log'!$D$4:$D$311,I$29,'Match Log'!$C$4:$C$311,$A39,'Match Log'!$E$4:$E$311,"Win")</f>
        <v>0</v>
      </c>
      <c r="J39" s="82">
        <f>COUNTIFS('Match Log'!$D$4:$D$311,J$29,'Match Log'!$C$4:$C$311,$A39,'Match Log'!$E$4:$E$311,"Win")</f>
        <v>0</v>
      </c>
      <c r="K39" s="82">
        <f>COUNTIFS('Match Log'!$D$4:$D$311,K$29,'Match Log'!$C$4:$C$311,$A39,'Match Log'!$E$4:$E$311,"Win")</f>
        <v>0</v>
      </c>
      <c r="L39" s="82">
        <f>COUNTIFS('Match Log'!$D$4:$D$311,L$29,'Match Log'!$C$4:$C$311,$A39,'Match Log'!$E$4:$E$311,"Win")</f>
        <v>0</v>
      </c>
      <c r="M39" s="82">
        <f>COUNTIFS('Match Log'!$D$4:$D$311,M$29,'Match Log'!$C$4:$C$311,$A39,'Match Log'!$E$4:$E$311,"Win")</f>
        <v>0</v>
      </c>
      <c r="N39" s="82">
        <f>COUNTIFS('Match Log'!$D$4:$D$311,N$29,'Match Log'!$C$4:$C$311,$A39,'Match Log'!$E$4:$E$311,"Win")</f>
        <v>0</v>
      </c>
      <c r="O39" s="82">
        <f>COUNTIFS('Match Log'!$D$4:$D$311,O$29,'Match Log'!$C$4:$C$311,$A39,'Match Log'!$E$4:$E$311,"Win")</f>
        <v>0</v>
      </c>
    </row>
    <row r="40" spans="1:15" ht="15" customHeight="1" x14ac:dyDescent="0.2">
      <c r="A40" s="81" t="s">
        <v>202</v>
      </c>
      <c r="B40" s="82">
        <f>COUNTIFS('Match Log'!$D$4:$D$311,B$29,'Match Log'!$C$4:$C$311,$A40,'Match Log'!$E$4:$E$311,"Win")</f>
        <v>0</v>
      </c>
      <c r="C40" s="82">
        <f>COUNTIFS('Match Log'!$D$4:$D$311,C$29,'Match Log'!$C$4:$C$311,$A40,'Match Log'!$E$4:$E$311,"Win")</f>
        <v>0</v>
      </c>
      <c r="D40" s="82">
        <f>COUNTIFS('Match Log'!$D$4:$D$311,D$29,'Match Log'!$C$4:$C$311,$A40,'Match Log'!$E$4:$E$311,"Win")</f>
        <v>0</v>
      </c>
      <c r="E40" s="82">
        <f>COUNTIFS('Match Log'!$D$4:$D$311,E$29,'Match Log'!$C$4:$C$311,$A40,'Match Log'!$E$4:$E$311,"Win")</f>
        <v>0</v>
      </c>
      <c r="F40" s="82">
        <f>COUNTIFS('Match Log'!$D$4:$D$311,F$29,'Match Log'!$C$4:$C$311,$A40,'Match Log'!$E$4:$E$311,"Win")</f>
        <v>0</v>
      </c>
      <c r="G40" s="82">
        <f>COUNTIFS('Match Log'!$D$4:$D$311,G$29,'Match Log'!$C$4:$C$311,$A40,'Match Log'!$E$4:$E$311,"Win")</f>
        <v>0</v>
      </c>
      <c r="H40" s="82">
        <f>COUNTIFS('Match Log'!$D$4:$D$311,H$29,'Match Log'!$C$4:$C$311,$A40,'Match Log'!$E$4:$E$311,"Win")</f>
        <v>0</v>
      </c>
      <c r="I40" s="82">
        <f>COUNTIFS('Match Log'!$D$4:$D$311,I$29,'Match Log'!$C$4:$C$311,$A40,'Match Log'!$E$4:$E$311,"Win")</f>
        <v>0</v>
      </c>
      <c r="J40" s="82">
        <f>COUNTIFS('Match Log'!$D$4:$D$311,J$29,'Match Log'!$C$4:$C$311,$A40,'Match Log'!$E$4:$E$311,"Win")</f>
        <v>0</v>
      </c>
      <c r="K40" s="82">
        <f>COUNTIFS('Match Log'!$D$4:$D$311,K$29,'Match Log'!$C$4:$C$311,$A40,'Match Log'!$E$4:$E$311,"Win")</f>
        <v>0</v>
      </c>
      <c r="L40" s="82">
        <f>COUNTIFS('Match Log'!$D$4:$D$311,L$29,'Match Log'!$C$4:$C$311,$A40,'Match Log'!$E$4:$E$311,"Win")</f>
        <v>0</v>
      </c>
      <c r="M40" s="82">
        <f>COUNTIFS('Match Log'!$D$4:$D$311,M$29,'Match Log'!$C$4:$C$311,$A40,'Match Log'!$E$4:$E$311,"Win")</f>
        <v>0</v>
      </c>
      <c r="N40" s="82">
        <f>COUNTIFS('Match Log'!$D$4:$D$311,N$29,'Match Log'!$C$4:$C$311,$A40,'Match Log'!$E$4:$E$311,"Win")</f>
        <v>0</v>
      </c>
      <c r="O40" s="82">
        <f>COUNTIFS('Match Log'!$D$4:$D$311,O$29,'Match Log'!$C$4:$C$311,$A40,'Match Log'!$E$4:$E$311,"Win")</f>
        <v>0</v>
      </c>
    </row>
    <row r="41" spans="1:15" ht="15" customHeight="1" x14ac:dyDescent="0.2">
      <c r="A41" s="81" t="s">
        <v>203</v>
      </c>
      <c r="B41" s="82">
        <f>COUNTIFS('Match Log'!$D$4:$D$311,B$29,'Match Log'!$C$4:$C$311,$A41,'Match Log'!$E$4:$E$311,"Win")</f>
        <v>1</v>
      </c>
      <c r="C41" s="82">
        <f>COUNTIFS('Match Log'!$D$4:$D$311,C$29,'Match Log'!$C$4:$C$311,$A41,'Match Log'!$E$4:$E$311,"Win")</f>
        <v>0</v>
      </c>
      <c r="D41" s="82">
        <f>COUNTIFS('Match Log'!$D$4:$D$311,D$29,'Match Log'!$C$4:$C$311,$A41,'Match Log'!$E$4:$E$311,"Win")</f>
        <v>0</v>
      </c>
      <c r="E41" s="82">
        <f>COUNTIFS('Match Log'!$D$4:$D$311,E$29,'Match Log'!$C$4:$C$311,$A41,'Match Log'!$E$4:$E$311,"Win")</f>
        <v>1</v>
      </c>
      <c r="F41" s="82">
        <f>COUNTIFS('Match Log'!$D$4:$D$311,F$29,'Match Log'!$C$4:$C$311,$A41,'Match Log'!$E$4:$E$311,"Win")</f>
        <v>13</v>
      </c>
      <c r="G41" s="82">
        <f>COUNTIFS('Match Log'!$D$4:$D$311,G$29,'Match Log'!$C$4:$C$311,$A41,'Match Log'!$E$4:$E$311,"Win")</f>
        <v>3</v>
      </c>
      <c r="H41" s="82">
        <f>COUNTIFS('Match Log'!$D$4:$D$311,H$29,'Match Log'!$C$4:$C$311,$A41,'Match Log'!$E$4:$E$311,"Win")</f>
        <v>0</v>
      </c>
      <c r="I41" s="82">
        <f>COUNTIFS('Match Log'!$D$4:$D$311,I$29,'Match Log'!$C$4:$C$311,$A41,'Match Log'!$E$4:$E$311,"Win")</f>
        <v>1</v>
      </c>
      <c r="J41" s="82">
        <f>COUNTIFS('Match Log'!$D$4:$D$311,J$29,'Match Log'!$C$4:$C$311,$A41,'Match Log'!$E$4:$E$311,"Win")</f>
        <v>4</v>
      </c>
      <c r="K41" s="82">
        <f>COUNTIFS('Match Log'!$D$4:$D$311,K$29,'Match Log'!$C$4:$C$311,$A41,'Match Log'!$E$4:$E$311,"Win")</f>
        <v>0</v>
      </c>
      <c r="L41" s="82">
        <f>COUNTIFS('Match Log'!$D$4:$D$311,L$29,'Match Log'!$C$4:$C$311,$A41,'Match Log'!$E$4:$E$311,"Win")</f>
        <v>6</v>
      </c>
      <c r="M41" s="82">
        <f>COUNTIFS('Match Log'!$D$4:$D$311,M$29,'Match Log'!$C$4:$C$311,$A41,'Match Log'!$E$4:$E$311,"Win")</f>
        <v>0</v>
      </c>
      <c r="N41" s="82">
        <f>COUNTIFS('Match Log'!$D$4:$D$311,N$29,'Match Log'!$C$4:$C$311,$A41,'Match Log'!$E$4:$E$311,"Win")</f>
        <v>0</v>
      </c>
      <c r="O41" s="82">
        <f>COUNTIFS('Match Log'!$D$4:$D$311,O$29,'Match Log'!$C$4:$C$311,$A41,'Match Log'!$E$4:$E$311,"Win")</f>
        <v>0</v>
      </c>
    </row>
    <row r="42" spans="1:15" ht="15" customHeight="1" x14ac:dyDescent="0.2">
      <c r="A42" s="81" t="s">
        <v>205</v>
      </c>
      <c r="B42" s="82">
        <f>COUNTIFS('Match Log'!$D$4:$D$311,B$29,'Match Log'!$C$4:$C$311,$A42,'Match Log'!$E$4:$E$311,"Win")</f>
        <v>1</v>
      </c>
      <c r="C42" s="82">
        <f>COUNTIFS('Match Log'!$D$4:$D$311,C$29,'Match Log'!$C$4:$C$311,$A42,'Match Log'!$E$4:$E$311,"Win")</f>
        <v>0</v>
      </c>
      <c r="D42" s="82">
        <f>COUNTIFS('Match Log'!$D$4:$D$311,D$29,'Match Log'!$C$4:$C$311,$A42,'Match Log'!$E$4:$E$311,"Win")</f>
        <v>0</v>
      </c>
      <c r="E42" s="82">
        <f>COUNTIFS('Match Log'!$D$4:$D$311,E$29,'Match Log'!$C$4:$C$311,$A42,'Match Log'!$E$4:$E$311,"Win")</f>
        <v>0</v>
      </c>
      <c r="F42" s="82">
        <f>COUNTIFS('Match Log'!$D$4:$D$311,F$29,'Match Log'!$C$4:$C$311,$A42,'Match Log'!$E$4:$E$311,"Win")</f>
        <v>0</v>
      </c>
      <c r="G42" s="82">
        <f>COUNTIFS('Match Log'!$D$4:$D$311,G$29,'Match Log'!$C$4:$C$311,$A42,'Match Log'!$E$4:$E$311,"Win")</f>
        <v>1</v>
      </c>
      <c r="H42" s="82">
        <f>COUNTIFS('Match Log'!$D$4:$D$311,H$29,'Match Log'!$C$4:$C$311,$A42,'Match Log'!$E$4:$E$311,"Win")</f>
        <v>0</v>
      </c>
      <c r="I42" s="82">
        <f>COUNTIFS('Match Log'!$D$4:$D$311,I$29,'Match Log'!$C$4:$C$311,$A42,'Match Log'!$E$4:$E$311,"Win")</f>
        <v>3</v>
      </c>
      <c r="J42" s="82">
        <f>COUNTIFS('Match Log'!$D$4:$D$311,J$29,'Match Log'!$C$4:$C$311,$A42,'Match Log'!$E$4:$E$311,"Win")</f>
        <v>0</v>
      </c>
      <c r="K42" s="82">
        <f>COUNTIFS('Match Log'!$D$4:$D$311,K$29,'Match Log'!$C$4:$C$311,$A42,'Match Log'!$E$4:$E$311,"Win")</f>
        <v>0</v>
      </c>
      <c r="L42" s="82">
        <f>COUNTIFS('Match Log'!$D$4:$D$311,L$29,'Match Log'!$C$4:$C$311,$A42,'Match Log'!$E$4:$E$311,"Win")</f>
        <v>1</v>
      </c>
      <c r="M42" s="82">
        <f>COUNTIFS('Match Log'!$D$4:$D$311,M$29,'Match Log'!$C$4:$C$311,$A42,'Match Log'!$E$4:$E$311,"Win")</f>
        <v>0</v>
      </c>
      <c r="N42" s="82">
        <f>COUNTIFS('Match Log'!$D$4:$D$311,N$29,'Match Log'!$C$4:$C$311,$A42,'Match Log'!$E$4:$E$311,"Win")</f>
        <v>0</v>
      </c>
      <c r="O42" s="82">
        <f>COUNTIFS('Match Log'!$D$4:$D$311,O$29,'Match Log'!$C$4:$C$311,$A42,'Match Log'!$E$4:$E$311,"Win")</f>
        <v>0</v>
      </c>
    </row>
    <row r="43" spans="1:15" ht="15" customHeight="1" x14ac:dyDescent="0.2">
      <c r="A43" s="81" t="s">
        <v>207</v>
      </c>
      <c r="B43" s="82">
        <f>COUNTIFS('Match Log'!$D$4:$D$311,B$29,'Match Log'!$C$4:$C$311,$A43,'Match Log'!$E$4:$E$311,"Win")</f>
        <v>3</v>
      </c>
      <c r="C43" s="82">
        <f>COUNTIFS('Match Log'!$D$4:$D$311,C$29,'Match Log'!$C$4:$C$311,$A43,'Match Log'!$E$4:$E$311,"Win")</f>
        <v>0</v>
      </c>
      <c r="D43" s="82">
        <f>COUNTIFS('Match Log'!$D$4:$D$311,D$29,'Match Log'!$C$4:$C$311,$A43,'Match Log'!$E$4:$E$311,"Win")</f>
        <v>4</v>
      </c>
      <c r="E43" s="82">
        <f>COUNTIFS('Match Log'!$D$4:$D$311,E$29,'Match Log'!$C$4:$C$311,$A43,'Match Log'!$E$4:$E$311,"Win")</f>
        <v>0</v>
      </c>
      <c r="F43" s="82">
        <f>COUNTIFS('Match Log'!$D$4:$D$311,F$29,'Match Log'!$C$4:$C$311,$A43,'Match Log'!$E$4:$E$311,"Win")</f>
        <v>0</v>
      </c>
      <c r="G43" s="82">
        <f>COUNTIFS('Match Log'!$D$4:$D$311,G$29,'Match Log'!$C$4:$C$311,$A43,'Match Log'!$E$4:$E$311,"Win")</f>
        <v>0</v>
      </c>
      <c r="H43" s="82">
        <f>COUNTIFS('Match Log'!$D$4:$D$311,H$29,'Match Log'!$C$4:$C$311,$A43,'Match Log'!$E$4:$E$311,"Win")</f>
        <v>0</v>
      </c>
      <c r="I43" s="82">
        <f>COUNTIFS('Match Log'!$D$4:$D$311,I$29,'Match Log'!$C$4:$C$311,$A43,'Match Log'!$E$4:$E$311,"Win")</f>
        <v>2</v>
      </c>
      <c r="J43" s="82">
        <f>COUNTIFS('Match Log'!$D$4:$D$311,J$29,'Match Log'!$C$4:$C$311,$A43,'Match Log'!$E$4:$E$311,"Win")</f>
        <v>0</v>
      </c>
      <c r="K43" s="82">
        <f>COUNTIFS('Match Log'!$D$4:$D$311,K$29,'Match Log'!$C$4:$C$311,$A43,'Match Log'!$E$4:$E$311,"Win")</f>
        <v>0</v>
      </c>
      <c r="L43" s="82">
        <f>COUNTIFS('Match Log'!$D$4:$D$311,L$29,'Match Log'!$C$4:$C$311,$A43,'Match Log'!$E$4:$E$311,"Win")</f>
        <v>5</v>
      </c>
      <c r="M43" s="82">
        <f>COUNTIFS('Match Log'!$D$4:$D$311,M$29,'Match Log'!$C$4:$C$311,$A43,'Match Log'!$E$4:$E$311,"Win")</f>
        <v>0</v>
      </c>
      <c r="N43" s="82">
        <f>COUNTIFS('Match Log'!$D$4:$D$311,N$29,'Match Log'!$C$4:$C$311,$A43,'Match Log'!$E$4:$E$311,"Win")</f>
        <v>0</v>
      </c>
      <c r="O43" s="82">
        <f>COUNTIFS('Match Log'!$D$4:$D$311,O$29,'Match Log'!$C$4:$C$311,$A43,'Match Log'!$E$4:$E$311,"Win")</f>
        <v>0</v>
      </c>
    </row>
    <row r="44" spans="1:15" ht="15" customHeight="1" x14ac:dyDescent="0.2">
      <c r="A44" s="81" t="s">
        <v>209</v>
      </c>
      <c r="B44" s="82">
        <f>COUNTIFS('Match Log'!$D$4:$D$311,B$29,'Match Log'!$C$4:$C$311,$A44,'Match Log'!$E$4:$E$311,"Win")</f>
        <v>0</v>
      </c>
      <c r="C44" s="82">
        <f>COUNTIFS('Match Log'!$D$4:$D$311,C$29,'Match Log'!$C$4:$C$311,$A44,'Match Log'!$E$4:$E$311,"Win")</f>
        <v>0</v>
      </c>
      <c r="D44" s="82">
        <f>COUNTIFS('Match Log'!$D$4:$D$311,D$29,'Match Log'!$C$4:$C$311,$A44,'Match Log'!$E$4:$E$311,"Win")</f>
        <v>0</v>
      </c>
      <c r="E44" s="82">
        <f>COUNTIFS('Match Log'!$D$4:$D$311,E$29,'Match Log'!$C$4:$C$311,$A44,'Match Log'!$E$4:$E$311,"Win")</f>
        <v>0</v>
      </c>
      <c r="F44" s="82">
        <f>COUNTIFS('Match Log'!$D$4:$D$311,F$29,'Match Log'!$C$4:$C$311,$A44,'Match Log'!$E$4:$E$311,"Win")</f>
        <v>0</v>
      </c>
      <c r="G44" s="82">
        <f>COUNTIFS('Match Log'!$D$4:$D$311,G$29,'Match Log'!$C$4:$C$311,$A44,'Match Log'!$E$4:$E$311,"Win")</f>
        <v>0</v>
      </c>
      <c r="H44" s="82">
        <f>COUNTIFS('Match Log'!$D$4:$D$311,H$29,'Match Log'!$C$4:$C$311,$A44,'Match Log'!$E$4:$E$311,"Win")</f>
        <v>0</v>
      </c>
      <c r="I44" s="82">
        <f>COUNTIFS('Match Log'!$D$4:$D$311,I$29,'Match Log'!$C$4:$C$311,$A44,'Match Log'!$E$4:$E$311,"Win")</f>
        <v>0</v>
      </c>
      <c r="J44" s="82">
        <f>COUNTIFS('Match Log'!$D$4:$D$311,J$29,'Match Log'!$C$4:$C$311,$A44,'Match Log'!$E$4:$E$311,"Win")</f>
        <v>0</v>
      </c>
      <c r="K44" s="82">
        <f>COUNTIFS('Match Log'!$D$4:$D$311,K$29,'Match Log'!$C$4:$C$311,$A44,'Match Log'!$E$4:$E$311,"Win")</f>
        <v>0</v>
      </c>
      <c r="L44" s="82">
        <f>COUNTIFS('Match Log'!$D$4:$D$311,L$29,'Match Log'!$C$4:$C$311,$A44,'Match Log'!$E$4:$E$311,"Win")</f>
        <v>0</v>
      </c>
      <c r="M44" s="82">
        <f>COUNTIFS('Match Log'!$D$4:$D$311,M$29,'Match Log'!$C$4:$C$311,$A44,'Match Log'!$E$4:$E$311,"Win")</f>
        <v>0</v>
      </c>
      <c r="N44" s="82">
        <f>COUNTIFS('Match Log'!$D$4:$D$311,N$29,'Match Log'!$C$4:$C$311,$A44,'Match Log'!$E$4:$E$311,"Win")</f>
        <v>0</v>
      </c>
      <c r="O44" s="82">
        <f>COUNTIFS('Match Log'!$D$4:$D$311,O$29,'Match Log'!$C$4:$C$311,$A44,'Match Log'!$E$4:$E$311,"Win")</f>
        <v>0</v>
      </c>
    </row>
    <row r="45" spans="1:15" ht="15" customHeight="1" x14ac:dyDescent="0.2">
      <c r="A45" s="81" t="s">
        <v>211</v>
      </c>
      <c r="B45" s="82">
        <f>COUNTIFS('Match Log'!$D$4:$D$311,B$29,'Match Log'!$C$4:$C$311,$A45,'Match Log'!$E$4:$E$311,"Win")</f>
        <v>1</v>
      </c>
      <c r="C45" s="82">
        <f>COUNTIFS('Match Log'!$D$4:$D$311,C$29,'Match Log'!$C$4:$C$311,$A45,'Match Log'!$E$4:$E$311,"Win")</f>
        <v>0</v>
      </c>
      <c r="D45" s="82">
        <f>COUNTIFS('Match Log'!$D$4:$D$311,D$29,'Match Log'!$C$4:$C$311,$A45,'Match Log'!$E$4:$E$311,"Win")</f>
        <v>0</v>
      </c>
      <c r="E45" s="82">
        <f>COUNTIFS('Match Log'!$D$4:$D$311,E$29,'Match Log'!$C$4:$C$311,$A45,'Match Log'!$E$4:$E$311,"Win")</f>
        <v>0</v>
      </c>
      <c r="F45" s="82">
        <f>COUNTIFS('Match Log'!$D$4:$D$311,F$29,'Match Log'!$C$4:$C$311,$A45,'Match Log'!$E$4:$E$311,"Win")</f>
        <v>0</v>
      </c>
      <c r="G45" s="82">
        <f>COUNTIFS('Match Log'!$D$4:$D$311,G$29,'Match Log'!$C$4:$C$311,$A45,'Match Log'!$E$4:$E$311,"Win")</f>
        <v>0</v>
      </c>
      <c r="H45" s="82">
        <f>COUNTIFS('Match Log'!$D$4:$D$311,H$29,'Match Log'!$C$4:$C$311,$A45,'Match Log'!$E$4:$E$311,"Win")</f>
        <v>0</v>
      </c>
      <c r="I45" s="82">
        <f>COUNTIFS('Match Log'!$D$4:$D$311,I$29,'Match Log'!$C$4:$C$311,$A45,'Match Log'!$E$4:$E$311,"Win")</f>
        <v>2</v>
      </c>
      <c r="J45" s="82">
        <f>COUNTIFS('Match Log'!$D$4:$D$311,J$29,'Match Log'!$C$4:$C$311,$A45,'Match Log'!$E$4:$E$311,"Win")</f>
        <v>0</v>
      </c>
      <c r="K45" s="82">
        <f>COUNTIFS('Match Log'!$D$4:$D$311,K$29,'Match Log'!$C$4:$C$311,$A45,'Match Log'!$E$4:$E$311,"Win")</f>
        <v>0</v>
      </c>
      <c r="L45" s="82">
        <f>COUNTIFS('Match Log'!$D$4:$D$311,L$29,'Match Log'!$C$4:$C$311,$A45,'Match Log'!$E$4:$E$311,"Win")</f>
        <v>0</v>
      </c>
      <c r="M45" s="82">
        <f>COUNTIFS('Match Log'!$D$4:$D$311,M$29,'Match Log'!$C$4:$C$311,$A45,'Match Log'!$E$4:$E$311,"Win")</f>
        <v>0</v>
      </c>
      <c r="N45" s="82">
        <f>COUNTIFS('Match Log'!$D$4:$D$311,N$29,'Match Log'!$C$4:$C$311,$A45,'Match Log'!$E$4:$E$311,"Win")</f>
        <v>0</v>
      </c>
      <c r="O45" s="82">
        <f>COUNTIFS('Match Log'!$D$4:$D$311,O$29,'Match Log'!$C$4:$C$311,$A45,'Match Log'!$E$4:$E$311,"Win")</f>
        <v>0</v>
      </c>
    </row>
    <row r="46" spans="1:15" ht="15" customHeight="1" x14ac:dyDescent="0.2">
      <c r="A46" s="81" t="s">
        <v>212</v>
      </c>
      <c r="B46" s="82">
        <f>COUNTIFS('Match Log'!$D$4:$D$311,B$29,'Match Log'!$C$4:$C$311,$A46,'Match Log'!$E$4:$E$311,"Win")</f>
        <v>0</v>
      </c>
      <c r="C46" s="82">
        <f>COUNTIFS('Match Log'!$D$4:$D$311,C$29,'Match Log'!$C$4:$C$311,$A46,'Match Log'!$E$4:$E$311,"Win")</f>
        <v>0</v>
      </c>
      <c r="D46" s="82">
        <f>COUNTIFS('Match Log'!$D$4:$D$311,D$29,'Match Log'!$C$4:$C$311,$A46,'Match Log'!$E$4:$E$311,"Win")</f>
        <v>0</v>
      </c>
      <c r="E46" s="82">
        <f>COUNTIFS('Match Log'!$D$4:$D$311,E$29,'Match Log'!$C$4:$C$311,$A46,'Match Log'!$E$4:$E$311,"Win")</f>
        <v>0</v>
      </c>
      <c r="F46" s="82">
        <f>COUNTIFS('Match Log'!$D$4:$D$311,F$29,'Match Log'!$C$4:$C$311,$A46,'Match Log'!$E$4:$E$311,"Win")</f>
        <v>1</v>
      </c>
      <c r="G46" s="82">
        <f>COUNTIFS('Match Log'!$D$4:$D$311,G$29,'Match Log'!$C$4:$C$311,$A46,'Match Log'!$E$4:$E$311,"Win")</f>
        <v>0</v>
      </c>
      <c r="H46" s="82">
        <f>COUNTIFS('Match Log'!$D$4:$D$311,H$29,'Match Log'!$C$4:$C$311,$A46,'Match Log'!$E$4:$E$311,"Win")</f>
        <v>0</v>
      </c>
      <c r="I46" s="82">
        <f>COUNTIFS('Match Log'!$D$4:$D$311,I$29,'Match Log'!$C$4:$C$311,$A46,'Match Log'!$E$4:$E$311,"Win")</f>
        <v>0</v>
      </c>
      <c r="J46" s="82">
        <f>COUNTIFS('Match Log'!$D$4:$D$311,J$29,'Match Log'!$C$4:$C$311,$A46,'Match Log'!$E$4:$E$311,"Win")</f>
        <v>0</v>
      </c>
      <c r="K46" s="82">
        <f>COUNTIFS('Match Log'!$D$4:$D$311,K$29,'Match Log'!$C$4:$C$311,$A46,'Match Log'!$E$4:$E$311,"Win")</f>
        <v>0</v>
      </c>
      <c r="L46" s="82">
        <f>COUNTIFS('Match Log'!$D$4:$D$311,L$29,'Match Log'!$C$4:$C$311,$A46,'Match Log'!$E$4:$E$311,"Win")</f>
        <v>0</v>
      </c>
      <c r="M46" s="82">
        <f>COUNTIFS('Match Log'!$D$4:$D$311,M$29,'Match Log'!$C$4:$C$311,$A46,'Match Log'!$E$4:$E$311,"Win")</f>
        <v>0</v>
      </c>
      <c r="N46" s="82">
        <f>COUNTIFS('Match Log'!$D$4:$D$311,N$29,'Match Log'!$C$4:$C$311,$A46,'Match Log'!$E$4:$E$311,"Win")</f>
        <v>0</v>
      </c>
      <c r="O46" s="82">
        <f>COUNTIFS('Match Log'!$D$4:$D$311,O$29,'Match Log'!$C$4:$C$311,$A46,'Match Log'!$E$4:$E$311,"Win")</f>
        <v>0</v>
      </c>
    </row>
    <row r="47" spans="1:15" ht="15" customHeight="1" x14ac:dyDescent="0.2">
      <c r="A47" s="81" t="s">
        <v>214</v>
      </c>
      <c r="B47" s="82">
        <f>COUNTIFS('Match Log'!$D$4:$D$311,B$29,'Match Log'!$C$4:$C$311,$A47,'Match Log'!$E$4:$E$311,"Win")</f>
        <v>2</v>
      </c>
      <c r="C47" s="82">
        <f>COUNTIFS('Match Log'!$D$4:$D$311,C$29,'Match Log'!$C$4:$C$311,$A47,'Match Log'!$E$4:$E$311,"Win")</f>
        <v>5</v>
      </c>
      <c r="D47" s="82">
        <f>COUNTIFS('Match Log'!$D$4:$D$311,D$29,'Match Log'!$C$4:$C$311,$A47,'Match Log'!$E$4:$E$311,"Win")</f>
        <v>1</v>
      </c>
      <c r="E47" s="82">
        <f>COUNTIFS('Match Log'!$D$4:$D$311,E$29,'Match Log'!$C$4:$C$311,$A47,'Match Log'!$E$4:$E$311,"Win")</f>
        <v>3</v>
      </c>
      <c r="F47" s="82">
        <f>COUNTIFS('Match Log'!$D$4:$D$311,F$29,'Match Log'!$C$4:$C$311,$A47,'Match Log'!$E$4:$E$311,"Win")</f>
        <v>3</v>
      </c>
      <c r="G47" s="82">
        <f>COUNTIFS('Match Log'!$D$4:$D$311,G$29,'Match Log'!$C$4:$C$311,$A47,'Match Log'!$E$4:$E$311,"Win")</f>
        <v>4</v>
      </c>
      <c r="H47" s="82">
        <f>COUNTIFS('Match Log'!$D$4:$D$311,H$29,'Match Log'!$C$4:$C$311,$A47,'Match Log'!$E$4:$E$311,"Win")</f>
        <v>8</v>
      </c>
      <c r="I47" s="82">
        <f>COUNTIFS('Match Log'!$D$4:$D$311,I$29,'Match Log'!$C$4:$C$311,$A47,'Match Log'!$E$4:$E$311,"Win")</f>
        <v>5</v>
      </c>
      <c r="J47" s="82">
        <f>COUNTIFS('Match Log'!$D$4:$D$311,J$29,'Match Log'!$C$4:$C$311,$A47,'Match Log'!$E$4:$E$311,"Win")</f>
        <v>7</v>
      </c>
      <c r="K47" s="82">
        <f>COUNTIFS('Match Log'!$D$4:$D$311,K$29,'Match Log'!$C$4:$C$311,$A47,'Match Log'!$E$4:$E$311,"Win")</f>
        <v>2</v>
      </c>
      <c r="L47" s="82">
        <f>COUNTIFS('Match Log'!$D$4:$D$311,L$29,'Match Log'!$C$4:$C$311,$A47,'Match Log'!$E$4:$E$311,"Win")</f>
        <v>5</v>
      </c>
      <c r="M47" s="82">
        <f>COUNTIFS('Match Log'!$D$4:$D$311,M$29,'Match Log'!$C$4:$C$311,$A47,'Match Log'!$E$4:$E$311,"Win")</f>
        <v>2</v>
      </c>
      <c r="N47" s="82">
        <f>COUNTIFS('Match Log'!$D$4:$D$311,N$29,'Match Log'!$C$4:$C$311,$A47,'Match Log'!$E$4:$E$311,"Win")</f>
        <v>2</v>
      </c>
      <c r="O47" s="82">
        <f>COUNTIFS('Match Log'!$D$4:$D$311,O$29,'Match Log'!$C$4:$C$311,$A47,'Match Log'!$E$4:$E$311,"Win")</f>
        <v>0</v>
      </c>
    </row>
    <row r="48" spans="1:15" ht="15" customHeight="1" x14ac:dyDescent="0.2">
      <c r="A48" s="81" t="s">
        <v>216</v>
      </c>
      <c r="B48" s="82">
        <f>COUNTIFS('Match Log'!$D$4:$D$311,B$29,'Match Log'!$C$4:$C$311,$A48,'Match Log'!$E$4:$E$311,"Win")</f>
        <v>0</v>
      </c>
      <c r="C48" s="82">
        <f>COUNTIFS('Match Log'!$D$4:$D$311,C$29,'Match Log'!$C$4:$C$311,$A48,'Match Log'!$E$4:$E$311,"Win")</f>
        <v>0</v>
      </c>
      <c r="D48" s="82">
        <f>COUNTIFS('Match Log'!$D$4:$D$311,D$29,'Match Log'!$C$4:$C$311,$A48,'Match Log'!$E$4:$E$311,"Win")</f>
        <v>0</v>
      </c>
      <c r="E48" s="82">
        <f>COUNTIFS('Match Log'!$D$4:$D$311,E$29,'Match Log'!$C$4:$C$311,$A48,'Match Log'!$E$4:$E$311,"Win")</f>
        <v>0</v>
      </c>
      <c r="F48" s="82">
        <f>COUNTIFS('Match Log'!$D$4:$D$311,F$29,'Match Log'!$C$4:$C$311,$A48,'Match Log'!$E$4:$E$311,"Win")</f>
        <v>2</v>
      </c>
      <c r="G48" s="82">
        <f>COUNTIFS('Match Log'!$D$4:$D$311,G$29,'Match Log'!$C$4:$C$311,$A48,'Match Log'!$E$4:$E$311,"Win")</f>
        <v>0</v>
      </c>
      <c r="H48" s="82">
        <f>COUNTIFS('Match Log'!$D$4:$D$311,H$29,'Match Log'!$C$4:$C$311,$A48,'Match Log'!$E$4:$E$311,"Win")</f>
        <v>0</v>
      </c>
      <c r="I48" s="82">
        <f>COUNTIFS('Match Log'!$D$4:$D$311,I$29,'Match Log'!$C$4:$C$311,$A48,'Match Log'!$E$4:$E$311,"Win")</f>
        <v>2</v>
      </c>
      <c r="J48" s="82">
        <f>COUNTIFS('Match Log'!$D$4:$D$311,J$29,'Match Log'!$C$4:$C$311,$A48,'Match Log'!$E$4:$E$311,"Win")</f>
        <v>0</v>
      </c>
      <c r="K48" s="82">
        <f>COUNTIFS('Match Log'!$D$4:$D$311,K$29,'Match Log'!$C$4:$C$311,$A48,'Match Log'!$E$4:$E$311,"Win")</f>
        <v>0</v>
      </c>
      <c r="L48" s="82">
        <f>COUNTIFS('Match Log'!$D$4:$D$311,L$29,'Match Log'!$C$4:$C$311,$A48,'Match Log'!$E$4:$E$311,"Win")</f>
        <v>0</v>
      </c>
      <c r="M48" s="82">
        <f>COUNTIFS('Match Log'!$D$4:$D$311,M$29,'Match Log'!$C$4:$C$311,$A48,'Match Log'!$E$4:$E$311,"Win")</f>
        <v>0</v>
      </c>
      <c r="N48" s="82">
        <f>COUNTIFS('Match Log'!$D$4:$D$311,N$29,'Match Log'!$C$4:$C$311,$A48,'Match Log'!$E$4:$E$311,"Win")</f>
        <v>0</v>
      </c>
      <c r="O48" s="82">
        <f>COUNTIFS('Match Log'!$D$4:$D$311,O$29,'Match Log'!$C$4:$C$311,$A48,'Match Log'!$E$4:$E$311,"Win")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0.54545454545454541</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v>
      </c>
      <c r="H64" s="85" t="str">
        <f t="shared" si="14"/>
        <v/>
      </c>
      <c r="I64" s="85">
        <f t="shared" si="14"/>
        <v>1</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Log'!$D$4:$D$311,$A74)</f>
        <v>23</v>
      </c>
      <c r="C74" s="82">
        <f>SUMPRODUCT(--(COUNTIFS('Match Log'!$D$4:$D$311,$A74,'Match Log'!$C$4:$C$311,Lists!$C$2:$C$20)&gt;0))</f>
        <v>3</v>
      </c>
      <c r="D74" s="82">
        <f>COUNTIFS('Match Log'!$D$4:$D$311,$A74,'Match Log'!$E$4:$E$311,"Win")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Log'!$D$4:$D$311,$A75)</f>
        <v>32</v>
      </c>
      <c r="C75" s="82">
        <f>SUMPRODUCT(--(COUNTIFS('Match Log'!$D$4:$D$311,$A75,'Match Log'!$C$4:$C$311,Lists!$C$2:$C$20)&gt;0))</f>
        <v>8</v>
      </c>
      <c r="D75" s="82">
        <f>COUNTIFS('Match Log'!$D$4:$D$311,$A75,'Match Log'!$E$4:$E$311,"Win")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Log'!$D$4:$D$311,$A76)</f>
        <v>17</v>
      </c>
      <c r="C76" s="82">
        <f>SUMPRODUCT(--(COUNTIFS('Match Log'!$D$4:$D$311,$A76,'Match Log'!$C$4:$C$311,Lists!$C$2:$C$20)&gt;0))</f>
        <v>4</v>
      </c>
      <c r="D76" s="82">
        <f>COUNTIFS('Match Log'!$D$4:$D$311,$A76,'Match Log'!$E$4:$E$311,"Win")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Log'!$D$4:$D$311,$A77)</f>
        <v>39</v>
      </c>
      <c r="C77" s="82">
        <f>SUMPRODUCT(--(COUNTIFS('Match Log'!$D$4:$D$311,$A77,'Match Log'!$C$4:$C$311,Lists!$C$2:$C$20)&gt;0))</f>
        <v>7</v>
      </c>
      <c r="D77" s="82">
        <f>COUNTIFS('Match Log'!$D$4:$D$311,$A77,'Match Log'!$E$4:$E$311,"Win")</f>
        <v>19</v>
      </c>
      <c r="E77" s="85">
        <f t="shared" si="21"/>
        <v>0.48717948717948717</v>
      </c>
      <c r="F77" s="87">
        <f>IFERROR(INDEX(Engine!$B$2:$B$15,MATCH($A77,Engine!$A$2:$A$15,0)),"")</f>
        <v>1154.7503552131154</v>
      </c>
      <c r="G77" s="82" t="str">
        <f>IF($B77=0,"No games",IF(AND($B77&gt;='Guide &amp; Settings'!$C$45,$C77&gt;='Guide &amp; Settings'!$C$46),"Eligible","Provisional"))</f>
        <v>Eligible</v>
      </c>
      <c r="S77" s="88">
        <f t="shared" si="22"/>
        <v>1154.7503552131154</v>
      </c>
    </row>
    <row r="78" spans="1:19" ht="15" customHeight="1" x14ac:dyDescent="0.2">
      <c r="A78" s="81" t="s">
        <v>177</v>
      </c>
      <c r="B78" s="82">
        <f>COUNTIF('Match Log'!$D$4:$D$311,$A78)</f>
        <v>49</v>
      </c>
      <c r="C78" s="82">
        <f>SUMPRODUCT(--(COUNTIFS('Match Log'!$D$4:$D$311,$A78,'Match Log'!$C$4:$C$311,Lists!$C$2:$C$20)&gt;0))</f>
        <v>11</v>
      </c>
      <c r="D78" s="82">
        <f>COUNTIFS('Match Log'!$D$4:$D$311,$A78,'Match Log'!$E$4:$E$311,"Win")</f>
        <v>21</v>
      </c>
      <c r="E78" s="85">
        <f t="shared" si="21"/>
        <v>0.42857142857142855</v>
      </c>
      <c r="F78" s="87">
        <f>IFERROR(INDEX(Engine!$B$2:$B$15,MATCH($A78,Engine!$A$2:$A$15,0)),"")</f>
        <v>1069.478840506906</v>
      </c>
      <c r="G78" s="82" t="str">
        <f>IF($B78=0,"No games",IF(AND($B78&gt;='Guide &amp; Settings'!$C$45,$C78&gt;='Guide &amp; Settings'!$C$46),"Eligible","Provisional"))</f>
        <v>Eligible</v>
      </c>
      <c r="S78" s="88">
        <f t="shared" si="22"/>
        <v>1069.478840506906</v>
      </c>
    </row>
    <row r="79" spans="1:19" ht="15" customHeight="1" x14ac:dyDescent="0.2">
      <c r="A79" s="81" t="s">
        <v>145</v>
      </c>
      <c r="B79" s="82">
        <f>COUNTIF('Match Log'!$D$4:$D$311,$A79)</f>
        <v>25</v>
      </c>
      <c r="C79" s="82">
        <f>SUMPRODUCT(--(COUNTIFS('Match Log'!$D$4:$D$311,$A79,'Match Log'!$C$4:$C$311,Lists!$C$2:$C$20)&gt;0))</f>
        <v>7</v>
      </c>
      <c r="D79" s="82">
        <f>COUNTIFS('Match Log'!$D$4:$D$311,$A79,'Match Log'!$E$4:$E$311,"Win")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Log'!$D$4:$D$311,$A80)</f>
        <v>41</v>
      </c>
      <c r="C80" s="82">
        <f>SUMPRODUCT(--(COUNTIFS('Match Log'!$D$4:$D$311,$A80,'Match Log'!$C$4:$C$311,Lists!$C$2:$C$20)&gt;0))</f>
        <v>8</v>
      </c>
      <c r="D80" s="82">
        <f>COUNTIFS('Match Log'!$D$4:$D$311,$A80,'Match Log'!$E$4:$E$311,"Win")</f>
        <v>16</v>
      </c>
      <c r="E80" s="85">
        <f t="shared" si="21"/>
        <v>0.3902439024390244</v>
      </c>
      <c r="F80" s="87">
        <f>IFERROR(INDEX(Engine!$B$2:$B$15,MATCH($A80,Engine!$A$2:$A$15,0)),"")</f>
        <v>956.84822634794841</v>
      </c>
      <c r="G80" s="82" t="str">
        <f>IF($B80=0,"No games",IF(AND($B80&gt;='Guide &amp; Settings'!$C$45,$C80&gt;='Guide &amp; Settings'!$C$46),"Eligible","Provisional"))</f>
        <v>Eligible</v>
      </c>
      <c r="S80" s="88">
        <f t="shared" si="22"/>
        <v>956.84822634794841</v>
      </c>
    </row>
    <row r="81" spans="1:19" ht="15" customHeight="1" x14ac:dyDescent="0.2">
      <c r="A81" s="81" t="s">
        <v>142</v>
      </c>
      <c r="B81" s="82">
        <f>COUNTIF('Match Log'!$D$4:$D$311,$A81)</f>
        <v>10</v>
      </c>
      <c r="C81" s="82">
        <f>SUMPRODUCT(--(COUNTIFS('Match Log'!$D$4:$D$311,$A81,'Match Log'!$C$4:$C$311,Lists!$C$2:$C$20)&gt;0))</f>
        <v>3</v>
      </c>
      <c r="D81" s="82">
        <f>COUNTIFS('Match Log'!$D$4:$D$311,$A81,'Match Log'!$E$4:$E$311,"Win")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Log'!$D$4:$D$311,$A82)</f>
        <v>5</v>
      </c>
      <c r="C82" s="82">
        <f>SUMPRODUCT(--(COUNTIFS('Match Log'!$D$4:$D$311,$A82,'Match Log'!$C$4:$C$311,Lists!$C$2:$C$20)&gt;0))</f>
        <v>1</v>
      </c>
      <c r="D82" s="82">
        <f>COUNTIFS('Match Log'!$D$4:$D$311,$A82,'Match Log'!$E$4:$E$311,"Win")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Log'!$D$4:$D$311,$A83)</f>
        <v>4</v>
      </c>
      <c r="C83" s="82">
        <f>SUMPRODUCT(--(COUNTIFS('Match Log'!$D$4:$D$311,$A83,'Match Log'!$C$4:$C$311,Lists!$C$2:$C$20)&gt;0))</f>
        <v>1</v>
      </c>
      <c r="D83" s="82">
        <f>COUNTIFS('Match Log'!$D$4:$D$311,$A83,'Match Log'!$E$4:$E$311,"Win")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Log'!$D$4:$D$311,$A84)</f>
        <v>10</v>
      </c>
      <c r="C84" s="82">
        <f>SUMPRODUCT(--(COUNTIFS('Match Log'!$D$4:$D$311,$A84,'Match Log'!$C$4:$C$311,Lists!$C$2:$C$20)&gt;0))</f>
        <v>6</v>
      </c>
      <c r="D84" s="82">
        <f>COUNTIFS('Match Log'!$D$4:$D$311,$A84,'Match Log'!$E$4:$E$311,"Win")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Log'!$D$4:$D$311,$A85)</f>
        <v>0</v>
      </c>
      <c r="C85" s="82">
        <f>SUMPRODUCT(--(COUNTIFS('Match Log'!$D$4:$D$311,$A85,'Match Log'!$C$4:$C$311,Lists!$C$2:$C$20)&gt;0))</f>
        <v>0</v>
      </c>
      <c r="D85" s="82">
        <f>COUNTIFS('Match Log'!$D$4:$D$311,$A85,'Match Log'!$E$4:$E$311,"Win")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Log'!$D$4:$D$311,$A86)</f>
        <v>14</v>
      </c>
      <c r="C86" s="82">
        <f>SUMPRODUCT(--(COUNTIFS('Match Log'!$D$4:$D$311,$A86,'Match Log'!$C$4:$C$311,Lists!$C$2:$C$20)&gt;0))</f>
        <v>3</v>
      </c>
      <c r="D86" s="82">
        <f>COUNTIFS('Match Log'!$D$4:$D$311,$A86,'Match Log'!$E$4:$E$311,"Win")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Log'!$D$4:$D$311,$A87)</f>
        <v>13</v>
      </c>
      <c r="C87" s="82">
        <f>SUMPRODUCT(--(COUNTIFS('Match Log'!$D$4:$D$311,$A87,'Match Log'!$C$4:$C$311,Lists!$C$2:$C$20)&gt;0))</f>
        <v>3</v>
      </c>
      <c r="D87" s="82">
        <f>COUNTIFS('Match Log'!$D$4:$D$311,$A87,'Match Log'!$E$4:$E$311,"Win")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Log'!$D$4:$D$311=B$90)*('Match Log'!$C$4:$C$311=$A91)),'Match Log'!$AB$4:$AB$311),"")</f>
        <v/>
      </c>
      <c r="C91" s="87" t="str">
        <f>IFERROR(LOOKUP(2,1/(('Match Log'!$D$4:$D$311=C$90)*('Match Log'!$C$4:$C$311=$A91)),'Match Log'!$AB$4:$AB$311),"")</f>
        <v/>
      </c>
      <c r="D91" s="87" t="str">
        <f>IFERROR(LOOKUP(2,1/(('Match Log'!$D$4:$D$311=D$90)*('Match Log'!$C$4:$C$311=$A91)),'Match Log'!$AB$4:$AB$311),"")</f>
        <v/>
      </c>
      <c r="E91" s="87" t="str">
        <f>IFERROR(LOOKUP(2,1/(('Match Log'!$D$4:$D$311=E$90)*('Match Log'!$C$4:$C$311=$A91)),'Match Log'!$AB$4:$AB$311),"")</f>
        <v/>
      </c>
      <c r="F91" s="87" t="str">
        <f>IFERROR(LOOKUP(2,1/(('Match Log'!$D$4:$D$311=F$90)*('Match Log'!$C$4:$C$311=$A91)),'Match Log'!$AB$4:$AB$311),"")</f>
        <v/>
      </c>
      <c r="G91" s="87">
        <f>IFERROR(LOOKUP(2,1/(('Match Log'!$D$4:$D$311=G$90)*('Match Log'!$C$4:$C$311=$A91)),'Match Log'!$AB$4:$AB$311),"")</f>
        <v>1030.5304984710244</v>
      </c>
      <c r="H91" s="87" t="str">
        <f>IFERROR(LOOKUP(2,1/(('Match Log'!$D$4:$D$311=H$90)*('Match Log'!$C$4:$C$311=$A91)),'Match Log'!$AB$4:$AB$311),"")</f>
        <v/>
      </c>
      <c r="I91" s="87">
        <f>IFERROR(LOOKUP(2,1/(('Match Log'!$D$4:$D$311=I$90)*('Match Log'!$C$4:$C$311=$A91)),'Match Log'!$AB$4:$AB$311),"")</f>
        <v>969.46950152897546</v>
      </c>
      <c r="J91" s="87" t="str">
        <f>IFERROR(LOOKUP(2,1/(('Match Log'!$D$4:$D$311=J$90)*('Match Log'!$C$4:$C$311=$A91)),'Match Log'!$AB$4:$AB$311),"")</f>
        <v/>
      </c>
      <c r="K91" s="87" t="str">
        <f>IFERROR(LOOKUP(2,1/(('Match Log'!$D$4:$D$311=K$90)*('Match Log'!$C$4:$C$311=$A91)),'Match Log'!$AB$4:$AB$311),"")</f>
        <v/>
      </c>
      <c r="L91" s="87" t="str">
        <f>IFERROR(LOOKUP(2,1/(('Match Log'!$D$4:$D$311=L$90)*('Match Log'!$C$4:$C$311=$A91)),'Match Log'!$AB$4:$AB$311),"")</f>
        <v/>
      </c>
      <c r="M91" s="87" t="str">
        <f>IFERROR(LOOKUP(2,1/(('Match Log'!$D$4:$D$311=M$90)*('Match Log'!$C$4:$C$311=$A91)),'Match Log'!$AB$4:$AB$311),"")</f>
        <v/>
      </c>
      <c r="N91" s="87" t="str">
        <f>IFERROR(LOOKUP(2,1/(('Match Log'!$D$4:$D$311=N$90)*('Match Log'!$C$4:$C$311=$A91)),'Match Log'!$AB$4:$AB$311),"")</f>
        <v/>
      </c>
      <c r="O91" s="87" t="str">
        <f>IFERROR(LOOKUP(2,1/(('Match Log'!$D$4:$D$311=O$90)*('Match Log'!$C$4:$C$311=$A91)),'Match Log'!$AB$4:$AB$311),"")</f>
        <v/>
      </c>
      <c r="P91" s="84" t="str">
        <f t="shared" ref="P91:P109" si="23">IFERROR(INDEX($B$90:$O$90,MATCH(MAX($B91:$O91),$B91:$O91,0)),"—")</f>
        <v>Shawn</v>
      </c>
    </row>
    <row r="92" spans="1:19" ht="15" customHeight="1" x14ac:dyDescent="0.2">
      <c r="A92" s="81" t="s">
        <v>190</v>
      </c>
      <c r="B92" s="87" t="str">
        <f>IFERROR(LOOKUP(2,1/(('Match Log'!$D$4:$D$311=B$90)*('Match Log'!$C$4:$C$311=$A92)),'Match Log'!$AB$4:$AB$311),"")</f>
        <v/>
      </c>
      <c r="C92" s="87" t="str">
        <f>IFERROR(LOOKUP(2,1/(('Match Log'!$D$4:$D$311=C$90)*('Match Log'!$C$4:$C$311=$A92)),'Match Log'!$AB$4:$AB$311),"")</f>
        <v/>
      </c>
      <c r="D92" s="87" t="str">
        <f>IFERROR(LOOKUP(2,1/(('Match Log'!$D$4:$D$311=D$90)*('Match Log'!$C$4:$C$311=$A92)),'Match Log'!$AB$4:$AB$311),"")</f>
        <v/>
      </c>
      <c r="E92" s="87" t="str">
        <f>IFERROR(LOOKUP(2,1/(('Match Log'!$D$4:$D$311=E$90)*('Match Log'!$C$4:$C$311=$A92)),'Match Log'!$AB$4:$AB$311),"")</f>
        <v/>
      </c>
      <c r="F92" s="87" t="str">
        <f>IFERROR(LOOKUP(2,1/(('Match Log'!$D$4:$D$311=F$90)*('Match Log'!$C$4:$C$311=$A92)),'Match Log'!$AB$4:$AB$311),"")</f>
        <v/>
      </c>
      <c r="G92" s="87" t="str">
        <f>IFERROR(LOOKUP(2,1/(('Match Log'!$D$4:$D$311=G$90)*('Match Log'!$C$4:$C$311=$A92)),'Match Log'!$AB$4:$AB$311),"")</f>
        <v/>
      </c>
      <c r="H92" s="87" t="str">
        <f>IFERROR(LOOKUP(2,1/(('Match Log'!$D$4:$D$311=H$90)*('Match Log'!$C$4:$C$311=$A92)),'Match Log'!$AB$4:$AB$311),"")</f>
        <v/>
      </c>
      <c r="I92" s="87" t="str">
        <f>IFERROR(LOOKUP(2,1/(('Match Log'!$D$4:$D$311=I$90)*('Match Log'!$C$4:$C$311=$A92)),'Match Log'!$AB$4:$AB$311),"")</f>
        <v/>
      </c>
      <c r="J92" s="87" t="str">
        <f>IFERROR(LOOKUP(2,1/(('Match Log'!$D$4:$D$311=J$90)*('Match Log'!$C$4:$C$311=$A92)),'Match Log'!$AB$4:$AB$311),"")</f>
        <v/>
      </c>
      <c r="K92" s="87" t="str">
        <f>IFERROR(LOOKUP(2,1/(('Match Log'!$D$4:$D$311=K$90)*('Match Log'!$C$4:$C$311=$A92)),'Match Log'!$AB$4:$AB$311),"")</f>
        <v/>
      </c>
      <c r="L92" s="87" t="str">
        <f>IFERROR(LOOKUP(2,1/(('Match Log'!$D$4:$D$311=L$90)*('Match Log'!$C$4:$C$311=$A92)),'Match Log'!$AB$4:$AB$311),"")</f>
        <v/>
      </c>
      <c r="M92" s="87" t="str">
        <f>IFERROR(LOOKUP(2,1/(('Match Log'!$D$4:$D$311=M$90)*('Match Log'!$C$4:$C$311=$A92)),'Match Log'!$AB$4:$AB$311),"")</f>
        <v/>
      </c>
      <c r="N92" s="87" t="str">
        <f>IFERROR(LOOKUP(2,1/(('Match Log'!$D$4:$D$311=N$90)*('Match Log'!$C$4:$C$311=$A92)),'Match Log'!$AB$4:$AB$311),"")</f>
        <v/>
      </c>
      <c r="O92" s="87" t="str">
        <f>IFERROR(LOOKUP(2,1/(('Match Log'!$D$4:$D$311=O$90)*('Match Log'!$C$4:$C$311=$A92)),'Match Log'!$AB$4:$AB$311),"")</f>
        <v/>
      </c>
      <c r="P92" s="84" t="str">
        <f t="shared" si="23"/>
        <v>—</v>
      </c>
    </row>
    <row r="93" spans="1:19" ht="15" customHeight="1" x14ac:dyDescent="0.2">
      <c r="A93" s="81" t="s">
        <v>191</v>
      </c>
      <c r="B93" s="87">
        <f>IFERROR(LOOKUP(2,1/(('Match Log'!$D$4:$D$311=B$90)*('Match Log'!$C$4:$C$311=$A93)),'Match Log'!$AB$4:$AB$311),"")</f>
        <v>1050.9933109481403</v>
      </c>
      <c r="C93" s="87" t="str">
        <f>IFERROR(LOOKUP(2,1/(('Match Log'!$D$4:$D$311=C$90)*('Match Log'!$C$4:$C$311=$A93)),'Match Log'!$AB$4:$AB$311),"")</f>
        <v/>
      </c>
      <c r="D93" s="87">
        <f>IFERROR(LOOKUP(2,1/(('Match Log'!$D$4:$D$311=D$90)*('Match Log'!$C$4:$C$311=$A93)),'Match Log'!$AB$4:$AB$311),"")</f>
        <v>984.73630679352198</v>
      </c>
      <c r="E93" s="87" t="str">
        <f>IFERROR(LOOKUP(2,1/(('Match Log'!$D$4:$D$311=E$90)*('Match Log'!$C$4:$C$311=$A93)),'Match Log'!$AB$4:$AB$311),"")</f>
        <v/>
      </c>
      <c r="F93" s="87">
        <f>IFERROR(LOOKUP(2,1/(('Match Log'!$D$4:$D$311=F$90)*('Match Log'!$C$4:$C$311=$A93)),'Match Log'!$AB$4:$AB$311),"")</f>
        <v>984</v>
      </c>
      <c r="G93" s="87">
        <f>IFERROR(LOOKUP(2,1/(('Match Log'!$D$4:$D$311=G$90)*('Match Log'!$C$4:$C$311=$A93)),'Match Log'!$AB$4:$AB$311),"")</f>
        <v>980.03504858236033</v>
      </c>
      <c r="H93" s="87" t="str">
        <f>IFERROR(LOOKUP(2,1/(('Match Log'!$D$4:$D$311=H$90)*('Match Log'!$C$4:$C$311=$A93)),'Match Log'!$AB$4:$AB$311),"")</f>
        <v/>
      </c>
      <c r="I93" s="87">
        <f>IFERROR(LOOKUP(2,1/(('Match Log'!$D$4:$D$311=I$90)*('Match Log'!$C$4:$C$311=$A93)),'Match Log'!$AB$4:$AB$311),"")</f>
        <v>1000.2353336759772</v>
      </c>
      <c r="J93" s="87" t="str">
        <f>IFERROR(LOOKUP(2,1/(('Match Log'!$D$4:$D$311=J$90)*('Match Log'!$C$4:$C$311=$A93)),'Match Log'!$AB$4:$AB$311),"")</f>
        <v/>
      </c>
      <c r="K93" s="87" t="str">
        <f>IFERROR(LOOKUP(2,1/(('Match Log'!$D$4:$D$311=K$90)*('Match Log'!$C$4:$C$311=$A93)),'Match Log'!$AB$4:$AB$311),"")</f>
        <v/>
      </c>
      <c r="L93" s="87" t="str">
        <f>IFERROR(LOOKUP(2,1/(('Match Log'!$D$4:$D$311=L$90)*('Match Log'!$C$4:$C$311=$A93)),'Match Log'!$AB$4:$AB$311),"")</f>
        <v/>
      </c>
      <c r="M93" s="87" t="str">
        <f>IFERROR(LOOKUP(2,1/(('Match Log'!$D$4:$D$311=M$90)*('Match Log'!$C$4:$C$311=$A93)),'Match Log'!$AB$4:$AB$311),"")</f>
        <v/>
      </c>
      <c r="N93" s="87" t="str">
        <f>IFERROR(LOOKUP(2,1/(('Match Log'!$D$4:$D$311=N$90)*('Match Log'!$C$4:$C$311=$A93)),'Match Log'!$AB$4:$AB$311),"")</f>
        <v/>
      </c>
      <c r="O93" s="87" t="str">
        <f>IFERROR(LOOKUP(2,1/(('Match Log'!$D$4:$D$311=O$90)*('Match Log'!$C$4:$C$311=$A93)),'Match Log'!$AB$4:$AB$311),"")</f>
        <v/>
      </c>
      <c r="P93" s="84" t="str">
        <f t="shared" si="23"/>
        <v>Aaron</v>
      </c>
    </row>
    <row r="94" spans="1:19" ht="15" customHeight="1" x14ac:dyDescent="0.2">
      <c r="A94" s="81" t="s">
        <v>192</v>
      </c>
      <c r="B94" s="87" t="str">
        <f>IFERROR(LOOKUP(2,1/(('Match Log'!$D$4:$D$311=B$90)*('Match Log'!$C$4:$C$311=$A94)),'Match Log'!$AB$4:$AB$311),"")</f>
        <v/>
      </c>
      <c r="C94" s="87" t="str">
        <f>IFERROR(LOOKUP(2,1/(('Match Log'!$D$4:$D$311=C$90)*('Match Log'!$C$4:$C$311=$A94)),'Match Log'!$AB$4:$AB$311),"")</f>
        <v/>
      </c>
      <c r="D94" s="87" t="str">
        <f>IFERROR(LOOKUP(2,1/(('Match Log'!$D$4:$D$311=D$90)*('Match Log'!$C$4:$C$311=$A94)),'Match Log'!$AB$4:$AB$311),"")</f>
        <v/>
      </c>
      <c r="E94" s="87" t="str">
        <f>IFERROR(LOOKUP(2,1/(('Match Log'!$D$4:$D$311=E$90)*('Match Log'!$C$4:$C$311=$A94)),'Match Log'!$AB$4:$AB$311),"")</f>
        <v/>
      </c>
      <c r="F94" s="87" t="str">
        <f>IFERROR(LOOKUP(2,1/(('Match Log'!$D$4:$D$311=F$90)*('Match Log'!$C$4:$C$311=$A94)),'Match Log'!$AB$4:$AB$311),"")</f>
        <v/>
      </c>
      <c r="G94" s="87" t="str">
        <f>IFERROR(LOOKUP(2,1/(('Match Log'!$D$4:$D$311=G$90)*('Match Log'!$C$4:$C$311=$A94)),'Match Log'!$AB$4:$AB$311),"")</f>
        <v/>
      </c>
      <c r="H94" s="87" t="str">
        <f>IFERROR(LOOKUP(2,1/(('Match Log'!$D$4:$D$311=H$90)*('Match Log'!$C$4:$C$311=$A94)),'Match Log'!$AB$4:$AB$311),"")</f>
        <v/>
      </c>
      <c r="I94" s="87" t="str">
        <f>IFERROR(LOOKUP(2,1/(('Match Log'!$D$4:$D$311=I$90)*('Match Log'!$C$4:$C$311=$A94)),'Match Log'!$AB$4:$AB$311),"")</f>
        <v/>
      </c>
      <c r="J94" s="87" t="str">
        <f>IFERROR(LOOKUP(2,1/(('Match Log'!$D$4:$D$311=J$90)*('Match Log'!$C$4:$C$311=$A94)),'Match Log'!$AB$4:$AB$311),"")</f>
        <v/>
      </c>
      <c r="K94" s="87" t="str">
        <f>IFERROR(LOOKUP(2,1/(('Match Log'!$D$4:$D$311=K$90)*('Match Log'!$C$4:$C$311=$A94)),'Match Log'!$AB$4:$AB$311),"")</f>
        <v/>
      </c>
      <c r="L94" s="87" t="str">
        <f>IFERROR(LOOKUP(2,1/(('Match Log'!$D$4:$D$311=L$90)*('Match Log'!$C$4:$C$311=$A94)),'Match Log'!$AB$4:$AB$311),"")</f>
        <v/>
      </c>
      <c r="M94" s="87" t="str">
        <f>IFERROR(LOOKUP(2,1/(('Match Log'!$D$4:$D$311=M$90)*('Match Log'!$C$4:$C$311=$A94)),'Match Log'!$AB$4:$AB$311),"")</f>
        <v/>
      </c>
      <c r="N94" s="87" t="str">
        <f>IFERROR(LOOKUP(2,1/(('Match Log'!$D$4:$D$311=N$90)*('Match Log'!$C$4:$C$311=$A94)),'Match Log'!$AB$4:$AB$311),"")</f>
        <v/>
      </c>
      <c r="O94" s="87" t="str">
        <f>IFERROR(LOOKUP(2,1/(('Match Log'!$D$4:$D$311=O$90)*('Match Log'!$C$4:$C$311=$A94)),'Match Log'!$AB$4:$AB$311),"")</f>
        <v/>
      </c>
      <c r="P94" s="84" t="str">
        <f t="shared" si="23"/>
        <v>—</v>
      </c>
    </row>
    <row r="95" spans="1:19" ht="15" customHeight="1" x14ac:dyDescent="0.2">
      <c r="A95" s="81" t="s">
        <v>193</v>
      </c>
      <c r="B95" s="87" t="str">
        <f>IFERROR(LOOKUP(2,1/(('Match Log'!$D$4:$D$311=B$90)*('Match Log'!$C$4:$C$311=$A95)),'Match Log'!$AB$4:$AB$311),"")</f>
        <v/>
      </c>
      <c r="C95" s="87">
        <f>IFERROR(LOOKUP(2,1/(('Match Log'!$D$4:$D$311=C$90)*('Match Log'!$C$4:$C$311=$A95)),'Match Log'!$AB$4:$AB$311),"")</f>
        <v>983.42320102843655</v>
      </c>
      <c r="D95" s="87" t="str">
        <f>IFERROR(LOOKUP(2,1/(('Match Log'!$D$4:$D$311=D$90)*('Match Log'!$C$4:$C$311=$A95)),'Match Log'!$AB$4:$AB$311),"")</f>
        <v/>
      </c>
      <c r="E95" s="87" t="str">
        <f>IFERROR(LOOKUP(2,1/(('Match Log'!$D$4:$D$311=E$90)*('Match Log'!$C$4:$C$311=$A95)),'Match Log'!$AB$4:$AB$311),"")</f>
        <v/>
      </c>
      <c r="F95" s="87" t="str">
        <f>IFERROR(LOOKUP(2,1/(('Match Log'!$D$4:$D$311=F$90)*('Match Log'!$C$4:$C$311=$A95)),'Match Log'!$AB$4:$AB$311),"")</f>
        <v/>
      </c>
      <c r="G95" s="87" t="str">
        <f>IFERROR(LOOKUP(2,1/(('Match Log'!$D$4:$D$311=G$90)*('Match Log'!$C$4:$C$311=$A95)),'Match Log'!$AB$4:$AB$311),"")</f>
        <v/>
      </c>
      <c r="H95" s="87">
        <f>IFERROR(LOOKUP(2,1/(('Match Log'!$D$4:$D$311=H$90)*('Match Log'!$C$4:$C$311=$A95)),'Match Log'!$AB$4:$AB$311),"")</f>
        <v>1030.1044213761372</v>
      </c>
      <c r="I95" s="87">
        <f>IFERROR(LOOKUP(2,1/(('Match Log'!$D$4:$D$311=I$90)*('Match Log'!$C$4:$C$311=$A95)),'Match Log'!$AB$4:$AB$311),"")</f>
        <v>996.17609348029987</v>
      </c>
      <c r="J95" s="87">
        <f>IFERROR(LOOKUP(2,1/(('Match Log'!$D$4:$D$311=J$90)*('Match Log'!$C$4:$C$311=$A95)),'Match Log'!$AB$4:$AB$311),"")</f>
        <v>1001.4492063389166</v>
      </c>
      <c r="K95" s="87">
        <f>IFERROR(LOOKUP(2,1/(('Match Log'!$D$4:$D$311=K$90)*('Match Log'!$C$4:$C$311=$A95)),'Match Log'!$AB$4:$AB$311),"")</f>
        <v>984.80073939960539</v>
      </c>
      <c r="L95" s="87">
        <f>IFERROR(LOOKUP(2,1/(('Match Log'!$D$4:$D$311=L$90)*('Match Log'!$C$4:$C$311=$A95)),'Match Log'!$AB$4:$AB$311),"")</f>
        <v>1004.0463383766044</v>
      </c>
      <c r="M95" s="87" t="str">
        <f>IFERROR(LOOKUP(2,1/(('Match Log'!$D$4:$D$311=M$90)*('Match Log'!$C$4:$C$311=$A95)),'Match Log'!$AB$4:$AB$311),"")</f>
        <v/>
      </c>
      <c r="N95" s="87" t="str">
        <f>IFERROR(LOOKUP(2,1/(('Match Log'!$D$4:$D$311=N$90)*('Match Log'!$C$4:$C$311=$A95)),'Match Log'!$AB$4:$AB$311),"")</f>
        <v/>
      </c>
      <c r="O95" s="87" t="str">
        <f>IFERROR(LOOKUP(2,1/(('Match Log'!$D$4:$D$311=O$90)*('Match Log'!$C$4:$C$311=$A95)),'Match Log'!$AB$4:$AB$311),"")</f>
        <v/>
      </c>
      <c r="P95" s="84" t="str">
        <f t="shared" si="23"/>
        <v>Simon</v>
      </c>
    </row>
    <row r="96" spans="1:19" ht="15" customHeight="1" x14ac:dyDescent="0.2">
      <c r="A96" s="81" t="s">
        <v>194</v>
      </c>
      <c r="B96" s="87">
        <f>IFERROR(LOOKUP(2,1/(('Match Log'!$D$4:$D$311=B$90)*('Match Log'!$C$4:$C$311=$A96)),'Match Log'!$AB$4:$AB$311),"")</f>
        <v>1016</v>
      </c>
      <c r="C96" s="87" t="str">
        <f>IFERROR(LOOKUP(2,1/(('Match Log'!$D$4:$D$311=C$90)*('Match Log'!$C$4:$C$311=$A96)),'Match Log'!$AB$4:$AB$311),"")</f>
        <v/>
      </c>
      <c r="D96" s="87">
        <f>IFERROR(LOOKUP(2,1/(('Match Log'!$D$4:$D$311=D$90)*('Match Log'!$C$4:$C$311=$A96)),'Match Log'!$AB$4:$AB$311),"")</f>
        <v>997.71428571428567</v>
      </c>
      <c r="E96" s="87">
        <f>IFERROR(LOOKUP(2,1/(('Match Log'!$D$4:$D$311=E$90)*('Match Log'!$C$4:$C$311=$A96)),'Match Log'!$AB$4:$AB$311),"")</f>
        <v>997.71428571428567</v>
      </c>
      <c r="F96" s="87">
        <f>IFERROR(LOOKUP(2,1/(('Match Log'!$D$4:$D$311=F$90)*('Match Log'!$C$4:$C$311=$A96)),'Match Log'!$AB$4:$AB$311),"")</f>
        <v>997.71428571428567</v>
      </c>
      <c r="G96" s="87">
        <f>IFERROR(LOOKUP(2,1/(('Match Log'!$D$4:$D$311=G$90)*('Match Log'!$C$4:$C$311=$A96)),'Match Log'!$AB$4:$AB$311),"")</f>
        <v>997.71428571428567</v>
      </c>
      <c r="H96" s="87">
        <f>IFERROR(LOOKUP(2,1/(('Match Log'!$D$4:$D$311=H$90)*('Match Log'!$C$4:$C$311=$A96)),'Match Log'!$AB$4:$AB$311),"")</f>
        <v>997.71428571428567</v>
      </c>
      <c r="I96" s="87">
        <f>IFERROR(LOOKUP(2,1/(('Match Log'!$D$4:$D$311=I$90)*('Match Log'!$C$4:$C$311=$A96)),'Match Log'!$AB$4:$AB$311),"")</f>
        <v>997.71428571428567</v>
      </c>
      <c r="J96" s="87" t="str">
        <f>IFERROR(LOOKUP(2,1/(('Match Log'!$D$4:$D$311=J$90)*('Match Log'!$C$4:$C$311=$A96)),'Match Log'!$AB$4:$AB$311),"")</f>
        <v/>
      </c>
      <c r="K96" s="87" t="str">
        <f>IFERROR(LOOKUP(2,1/(('Match Log'!$D$4:$D$311=K$90)*('Match Log'!$C$4:$C$311=$A96)),'Match Log'!$AB$4:$AB$311),"")</f>
        <v/>
      </c>
      <c r="L96" s="87">
        <f>IFERROR(LOOKUP(2,1/(('Match Log'!$D$4:$D$311=L$90)*('Match Log'!$C$4:$C$311=$A96)),'Match Log'!$AB$4:$AB$311),"")</f>
        <v>997.71428571428567</v>
      </c>
      <c r="M96" s="87" t="str">
        <f>IFERROR(LOOKUP(2,1/(('Match Log'!$D$4:$D$311=M$90)*('Match Log'!$C$4:$C$311=$A96)),'Match Log'!$AB$4:$AB$311),"")</f>
        <v/>
      </c>
      <c r="N96" s="87" t="str">
        <f>IFERROR(LOOKUP(2,1/(('Match Log'!$D$4:$D$311=N$90)*('Match Log'!$C$4:$C$311=$A96)),'Match Log'!$AB$4:$AB$311),"")</f>
        <v/>
      </c>
      <c r="O96" s="87" t="str">
        <f>IFERROR(LOOKUP(2,1/(('Match Log'!$D$4:$D$311=O$90)*('Match Log'!$C$4:$C$311=$A96)),'Match Log'!$AB$4:$AB$311),"")</f>
        <v/>
      </c>
      <c r="P96" s="84" t="str">
        <f t="shared" si="23"/>
        <v>Aaron</v>
      </c>
    </row>
    <row r="97" spans="1:16" ht="15" customHeight="1" x14ac:dyDescent="0.2">
      <c r="A97" s="81" t="s">
        <v>196</v>
      </c>
      <c r="B97" s="87" t="str">
        <f>IFERROR(LOOKUP(2,1/(('Match Log'!$D$4:$D$311=B$90)*('Match Log'!$C$4:$C$311=$A97)),'Match Log'!$AB$4:$AB$311),"")</f>
        <v/>
      </c>
      <c r="C97" s="87" t="str">
        <f>IFERROR(LOOKUP(2,1/(('Match Log'!$D$4:$D$311=C$90)*('Match Log'!$C$4:$C$311=$A97)),'Match Log'!$AB$4:$AB$311),"")</f>
        <v/>
      </c>
      <c r="D97" s="87" t="str">
        <f>IFERROR(LOOKUP(2,1/(('Match Log'!$D$4:$D$311=D$90)*('Match Log'!$C$4:$C$311=$A97)),'Match Log'!$AB$4:$AB$311),"")</f>
        <v/>
      </c>
      <c r="E97" s="87" t="str">
        <f>IFERROR(LOOKUP(2,1/(('Match Log'!$D$4:$D$311=E$90)*('Match Log'!$C$4:$C$311=$A97)),'Match Log'!$AB$4:$AB$311),"")</f>
        <v/>
      </c>
      <c r="F97" s="87" t="str">
        <f>IFERROR(LOOKUP(2,1/(('Match Log'!$D$4:$D$311=F$90)*('Match Log'!$C$4:$C$311=$A97)),'Match Log'!$AB$4:$AB$311),"")</f>
        <v/>
      </c>
      <c r="G97" s="87" t="str">
        <f>IFERROR(LOOKUP(2,1/(('Match Log'!$D$4:$D$311=G$90)*('Match Log'!$C$4:$C$311=$A97)),'Match Log'!$AB$4:$AB$311),"")</f>
        <v/>
      </c>
      <c r="H97" s="87" t="str">
        <f>IFERROR(LOOKUP(2,1/(('Match Log'!$D$4:$D$311=H$90)*('Match Log'!$C$4:$C$311=$A97)),'Match Log'!$AB$4:$AB$311),"")</f>
        <v/>
      </c>
      <c r="I97" s="87" t="str">
        <f>IFERROR(LOOKUP(2,1/(('Match Log'!$D$4:$D$311=I$90)*('Match Log'!$C$4:$C$311=$A97)),'Match Log'!$AB$4:$AB$311),"")</f>
        <v/>
      </c>
      <c r="J97" s="87" t="str">
        <f>IFERROR(LOOKUP(2,1/(('Match Log'!$D$4:$D$311=J$90)*('Match Log'!$C$4:$C$311=$A97)),'Match Log'!$AB$4:$AB$311),"")</f>
        <v/>
      </c>
      <c r="K97" s="87" t="str">
        <f>IFERROR(LOOKUP(2,1/(('Match Log'!$D$4:$D$311=K$90)*('Match Log'!$C$4:$C$311=$A97)),'Match Log'!$AB$4:$AB$311),"")</f>
        <v/>
      </c>
      <c r="L97" s="87" t="str">
        <f>IFERROR(LOOKUP(2,1/(('Match Log'!$D$4:$D$311=L$90)*('Match Log'!$C$4:$C$311=$A97)),'Match Log'!$AB$4:$AB$311),"")</f>
        <v/>
      </c>
      <c r="M97" s="87" t="str">
        <f>IFERROR(LOOKUP(2,1/(('Match Log'!$D$4:$D$311=M$90)*('Match Log'!$C$4:$C$311=$A97)),'Match Log'!$AB$4:$AB$311),"")</f>
        <v/>
      </c>
      <c r="N97" s="87" t="str">
        <f>IFERROR(LOOKUP(2,1/(('Match Log'!$D$4:$D$311=N$90)*('Match Log'!$C$4:$C$311=$A97)),'Match Log'!$AB$4:$AB$311),"")</f>
        <v/>
      </c>
      <c r="O97" s="87" t="str">
        <f>IFERROR(LOOKUP(2,1/(('Match Log'!$D$4:$D$311=O$90)*('Match Log'!$C$4:$C$311=$A97)),'Match Log'!$AB$4:$AB$311),"")</f>
        <v/>
      </c>
      <c r="P97" s="84" t="str">
        <f t="shared" si="23"/>
        <v>—</v>
      </c>
    </row>
    <row r="98" spans="1:16" ht="15" customHeight="1" x14ac:dyDescent="0.2">
      <c r="A98" s="81" t="s">
        <v>198</v>
      </c>
      <c r="B98" s="87" t="str">
        <f>IFERROR(LOOKUP(2,1/(('Match Log'!$D$4:$D$311=B$90)*('Match Log'!$C$4:$C$311=$A98)),'Match Log'!$AB$4:$AB$311),"")</f>
        <v/>
      </c>
      <c r="C98" s="87" t="str">
        <f>IFERROR(LOOKUP(2,1/(('Match Log'!$D$4:$D$311=C$90)*('Match Log'!$C$4:$C$311=$A98)),'Match Log'!$AB$4:$AB$311),"")</f>
        <v/>
      </c>
      <c r="D98" s="87" t="str">
        <f>IFERROR(LOOKUP(2,1/(('Match Log'!$D$4:$D$311=D$90)*('Match Log'!$C$4:$C$311=$A98)),'Match Log'!$AB$4:$AB$311),"")</f>
        <v/>
      </c>
      <c r="E98" s="87" t="str">
        <f>IFERROR(LOOKUP(2,1/(('Match Log'!$D$4:$D$311=E$90)*('Match Log'!$C$4:$C$311=$A98)),'Match Log'!$AB$4:$AB$311),"")</f>
        <v/>
      </c>
      <c r="F98" s="87" t="str">
        <f>IFERROR(LOOKUP(2,1/(('Match Log'!$D$4:$D$311=F$90)*('Match Log'!$C$4:$C$311=$A98)),'Match Log'!$AB$4:$AB$311),"")</f>
        <v/>
      </c>
      <c r="G98" s="87" t="str">
        <f>IFERROR(LOOKUP(2,1/(('Match Log'!$D$4:$D$311=G$90)*('Match Log'!$C$4:$C$311=$A98)),'Match Log'!$AB$4:$AB$311),"")</f>
        <v/>
      </c>
      <c r="H98" s="87" t="str">
        <f>IFERROR(LOOKUP(2,1/(('Match Log'!$D$4:$D$311=H$90)*('Match Log'!$C$4:$C$311=$A98)),'Match Log'!$AB$4:$AB$311),"")</f>
        <v/>
      </c>
      <c r="I98" s="87" t="str">
        <f>IFERROR(LOOKUP(2,1/(('Match Log'!$D$4:$D$311=I$90)*('Match Log'!$C$4:$C$311=$A98)),'Match Log'!$AB$4:$AB$311),"")</f>
        <v/>
      </c>
      <c r="J98" s="87" t="str">
        <f>IFERROR(LOOKUP(2,1/(('Match Log'!$D$4:$D$311=J$90)*('Match Log'!$C$4:$C$311=$A98)),'Match Log'!$AB$4:$AB$311),"")</f>
        <v/>
      </c>
      <c r="K98" s="87" t="str">
        <f>IFERROR(LOOKUP(2,1/(('Match Log'!$D$4:$D$311=K$90)*('Match Log'!$C$4:$C$311=$A98)),'Match Log'!$AB$4:$AB$311),"")</f>
        <v/>
      </c>
      <c r="L98" s="87" t="str">
        <f>IFERROR(LOOKUP(2,1/(('Match Log'!$D$4:$D$311=L$90)*('Match Log'!$C$4:$C$311=$A98)),'Match Log'!$AB$4:$AB$311),"")</f>
        <v/>
      </c>
      <c r="M98" s="87" t="str">
        <f>IFERROR(LOOKUP(2,1/(('Match Log'!$D$4:$D$311=M$90)*('Match Log'!$C$4:$C$311=$A98)),'Match Log'!$AB$4:$AB$311),"")</f>
        <v/>
      </c>
      <c r="N98" s="87" t="str">
        <f>IFERROR(LOOKUP(2,1/(('Match Log'!$D$4:$D$311=N$90)*('Match Log'!$C$4:$C$311=$A98)),'Match Log'!$AB$4:$AB$311),"")</f>
        <v/>
      </c>
      <c r="O98" s="87" t="str">
        <f>IFERROR(LOOKUP(2,1/(('Match Log'!$D$4:$D$311=O$90)*('Match Log'!$C$4:$C$311=$A98)),'Match Log'!$AB$4:$AB$311),"")</f>
        <v/>
      </c>
      <c r="P98" s="84" t="str">
        <f t="shared" si="23"/>
        <v>—</v>
      </c>
    </row>
    <row r="99" spans="1:16" ht="15" customHeight="1" x14ac:dyDescent="0.2">
      <c r="A99" s="81" t="s">
        <v>200</v>
      </c>
      <c r="B99" s="87" t="str">
        <f>IFERROR(LOOKUP(2,1/(('Match Log'!$D$4:$D$311=B$90)*('Match Log'!$C$4:$C$311=$A99)),'Match Log'!$AB$4:$AB$311),"")</f>
        <v/>
      </c>
      <c r="C99" s="87" t="str">
        <f>IFERROR(LOOKUP(2,1/(('Match Log'!$D$4:$D$311=C$90)*('Match Log'!$C$4:$C$311=$A99)),'Match Log'!$AB$4:$AB$311),"")</f>
        <v/>
      </c>
      <c r="D99" s="87" t="str">
        <f>IFERROR(LOOKUP(2,1/(('Match Log'!$D$4:$D$311=D$90)*('Match Log'!$C$4:$C$311=$A99)),'Match Log'!$AB$4:$AB$311),"")</f>
        <v/>
      </c>
      <c r="E99" s="87" t="str">
        <f>IFERROR(LOOKUP(2,1/(('Match Log'!$D$4:$D$311=E$90)*('Match Log'!$C$4:$C$311=$A99)),'Match Log'!$AB$4:$AB$311),"")</f>
        <v/>
      </c>
      <c r="F99" s="87">
        <f>IFERROR(LOOKUP(2,1/(('Match Log'!$D$4:$D$311=F$90)*('Match Log'!$C$4:$C$311=$A99)),'Match Log'!$AB$4:$AB$311),"")</f>
        <v>1016</v>
      </c>
      <c r="G99" s="87">
        <f>IFERROR(LOOKUP(2,1/(('Match Log'!$D$4:$D$311=G$90)*('Match Log'!$C$4:$C$311=$A99)),'Match Log'!$AB$4:$AB$311),"")</f>
        <v>992</v>
      </c>
      <c r="H99" s="87" t="str">
        <f>IFERROR(LOOKUP(2,1/(('Match Log'!$D$4:$D$311=H$90)*('Match Log'!$C$4:$C$311=$A99)),'Match Log'!$AB$4:$AB$311),"")</f>
        <v/>
      </c>
      <c r="I99" s="87" t="str">
        <f>IFERROR(LOOKUP(2,1/(('Match Log'!$D$4:$D$311=I$90)*('Match Log'!$C$4:$C$311=$A99)),'Match Log'!$AB$4:$AB$311),"")</f>
        <v/>
      </c>
      <c r="J99" s="87" t="str">
        <f>IFERROR(LOOKUP(2,1/(('Match Log'!$D$4:$D$311=J$90)*('Match Log'!$C$4:$C$311=$A99)),'Match Log'!$AB$4:$AB$311),"")</f>
        <v/>
      </c>
      <c r="K99" s="87" t="str">
        <f>IFERROR(LOOKUP(2,1/(('Match Log'!$D$4:$D$311=K$90)*('Match Log'!$C$4:$C$311=$A99)),'Match Log'!$AB$4:$AB$311),"")</f>
        <v/>
      </c>
      <c r="L99" s="87">
        <f>IFERROR(LOOKUP(2,1/(('Match Log'!$D$4:$D$311=L$90)*('Match Log'!$C$4:$C$311=$A99)),'Match Log'!$AB$4:$AB$311),"")</f>
        <v>992</v>
      </c>
      <c r="M99" s="87" t="str">
        <f>IFERROR(LOOKUP(2,1/(('Match Log'!$D$4:$D$311=M$90)*('Match Log'!$C$4:$C$311=$A99)),'Match Log'!$AB$4:$AB$311),"")</f>
        <v/>
      </c>
      <c r="N99" s="87" t="str">
        <f>IFERROR(LOOKUP(2,1/(('Match Log'!$D$4:$D$311=N$90)*('Match Log'!$C$4:$C$311=$A99)),'Match Log'!$AB$4:$AB$311),"")</f>
        <v/>
      </c>
      <c r="O99" s="87" t="str">
        <f>IFERROR(LOOKUP(2,1/(('Match Log'!$D$4:$D$311=O$90)*('Match Log'!$C$4:$C$311=$A99)),'Match Log'!$AB$4:$AB$311),"")</f>
        <v/>
      </c>
      <c r="P99" s="84" t="str">
        <f t="shared" si="23"/>
        <v>Josh</v>
      </c>
    </row>
    <row r="100" spans="1:16" ht="15" customHeight="1" x14ac:dyDescent="0.2">
      <c r="A100" s="81" t="s">
        <v>201</v>
      </c>
      <c r="B100" s="87" t="str">
        <f>IFERROR(LOOKUP(2,1/(('Match Log'!$D$4:$D$311=B$90)*('Match Log'!$C$4:$C$311=$A100)),'Match Log'!$AB$4:$AB$311),"")</f>
        <v/>
      </c>
      <c r="C100" s="87" t="str">
        <f>IFERROR(LOOKUP(2,1/(('Match Log'!$D$4:$D$311=C$90)*('Match Log'!$C$4:$C$311=$A100)),'Match Log'!$AB$4:$AB$311),"")</f>
        <v/>
      </c>
      <c r="D100" s="87" t="str">
        <f>IFERROR(LOOKUP(2,1/(('Match Log'!$D$4:$D$311=D$90)*('Match Log'!$C$4:$C$311=$A100)),'Match Log'!$AB$4:$AB$311),"")</f>
        <v/>
      </c>
      <c r="E100" s="87" t="str">
        <f>IFERROR(LOOKUP(2,1/(('Match Log'!$D$4:$D$311=E$90)*('Match Log'!$C$4:$C$311=$A100)),'Match Log'!$AB$4:$AB$311),"")</f>
        <v/>
      </c>
      <c r="F100" s="87" t="str">
        <f>IFERROR(LOOKUP(2,1/(('Match Log'!$D$4:$D$311=F$90)*('Match Log'!$C$4:$C$311=$A100)),'Match Log'!$AB$4:$AB$311),"")</f>
        <v/>
      </c>
      <c r="G100" s="87" t="str">
        <f>IFERROR(LOOKUP(2,1/(('Match Log'!$D$4:$D$311=G$90)*('Match Log'!$C$4:$C$311=$A100)),'Match Log'!$AB$4:$AB$311),"")</f>
        <v/>
      </c>
      <c r="H100" s="87" t="str">
        <f>IFERROR(LOOKUP(2,1/(('Match Log'!$D$4:$D$311=H$90)*('Match Log'!$C$4:$C$311=$A100)),'Match Log'!$AB$4:$AB$311),"")</f>
        <v/>
      </c>
      <c r="I100" s="87" t="str">
        <f>IFERROR(LOOKUP(2,1/(('Match Log'!$D$4:$D$311=I$90)*('Match Log'!$C$4:$C$311=$A100)),'Match Log'!$AB$4:$AB$311),"")</f>
        <v/>
      </c>
      <c r="J100" s="87" t="str">
        <f>IFERROR(LOOKUP(2,1/(('Match Log'!$D$4:$D$311=J$90)*('Match Log'!$C$4:$C$311=$A100)),'Match Log'!$AB$4:$AB$311),"")</f>
        <v/>
      </c>
      <c r="K100" s="87" t="str">
        <f>IFERROR(LOOKUP(2,1/(('Match Log'!$D$4:$D$311=K$90)*('Match Log'!$C$4:$C$311=$A100)),'Match Log'!$AB$4:$AB$311),"")</f>
        <v/>
      </c>
      <c r="L100" s="87" t="str">
        <f>IFERROR(LOOKUP(2,1/(('Match Log'!$D$4:$D$311=L$90)*('Match Log'!$C$4:$C$311=$A100)),'Match Log'!$AB$4:$AB$311),"")</f>
        <v/>
      </c>
      <c r="M100" s="87" t="str">
        <f>IFERROR(LOOKUP(2,1/(('Match Log'!$D$4:$D$311=M$90)*('Match Log'!$C$4:$C$311=$A100)),'Match Log'!$AB$4:$AB$311),"")</f>
        <v/>
      </c>
      <c r="N100" s="87" t="str">
        <f>IFERROR(LOOKUP(2,1/(('Match Log'!$D$4:$D$311=N$90)*('Match Log'!$C$4:$C$311=$A100)),'Match Log'!$AB$4:$AB$311),"")</f>
        <v/>
      </c>
      <c r="O100" s="87" t="str">
        <f>IFERROR(LOOKUP(2,1/(('Match Log'!$D$4:$D$311=O$90)*('Match Log'!$C$4:$C$311=$A100)),'Match Log'!$AB$4:$AB$311),"")</f>
        <v/>
      </c>
      <c r="P100" s="84" t="str">
        <f t="shared" si="23"/>
        <v>—</v>
      </c>
    </row>
    <row r="101" spans="1:16" ht="15" customHeight="1" x14ac:dyDescent="0.2">
      <c r="A101" s="81" t="s">
        <v>202</v>
      </c>
      <c r="B101" s="87" t="str">
        <f>IFERROR(LOOKUP(2,1/(('Match Log'!$D$4:$D$311=B$90)*('Match Log'!$C$4:$C$311=$A101)),'Match Log'!$AB$4:$AB$311),"")</f>
        <v/>
      </c>
      <c r="C101" s="87" t="str">
        <f>IFERROR(LOOKUP(2,1/(('Match Log'!$D$4:$D$311=C$90)*('Match Log'!$C$4:$C$311=$A101)),'Match Log'!$AB$4:$AB$311),"")</f>
        <v/>
      </c>
      <c r="D101" s="87" t="str">
        <f>IFERROR(LOOKUP(2,1/(('Match Log'!$D$4:$D$311=D$90)*('Match Log'!$C$4:$C$311=$A101)),'Match Log'!$AB$4:$AB$311),"")</f>
        <v/>
      </c>
      <c r="E101" s="87" t="str">
        <f>IFERROR(LOOKUP(2,1/(('Match Log'!$D$4:$D$311=E$90)*('Match Log'!$C$4:$C$311=$A101)),'Match Log'!$AB$4:$AB$311),"")</f>
        <v/>
      </c>
      <c r="F101" s="87" t="str">
        <f>IFERROR(LOOKUP(2,1/(('Match Log'!$D$4:$D$311=F$90)*('Match Log'!$C$4:$C$311=$A101)),'Match Log'!$AB$4:$AB$311),"")</f>
        <v/>
      </c>
      <c r="G101" s="87" t="str">
        <f>IFERROR(LOOKUP(2,1/(('Match Log'!$D$4:$D$311=G$90)*('Match Log'!$C$4:$C$311=$A101)),'Match Log'!$AB$4:$AB$311),"")</f>
        <v/>
      </c>
      <c r="H101" s="87" t="str">
        <f>IFERROR(LOOKUP(2,1/(('Match Log'!$D$4:$D$311=H$90)*('Match Log'!$C$4:$C$311=$A101)),'Match Log'!$AB$4:$AB$311),"")</f>
        <v/>
      </c>
      <c r="I101" s="87" t="str">
        <f>IFERROR(LOOKUP(2,1/(('Match Log'!$D$4:$D$311=I$90)*('Match Log'!$C$4:$C$311=$A101)),'Match Log'!$AB$4:$AB$311),"")</f>
        <v/>
      </c>
      <c r="J101" s="87" t="str">
        <f>IFERROR(LOOKUP(2,1/(('Match Log'!$D$4:$D$311=J$90)*('Match Log'!$C$4:$C$311=$A101)),'Match Log'!$AB$4:$AB$311),"")</f>
        <v/>
      </c>
      <c r="K101" s="87" t="str">
        <f>IFERROR(LOOKUP(2,1/(('Match Log'!$D$4:$D$311=K$90)*('Match Log'!$C$4:$C$311=$A101)),'Match Log'!$AB$4:$AB$311),"")</f>
        <v/>
      </c>
      <c r="L101" s="87" t="str">
        <f>IFERROR(LOOKUP(2,1/(('Match Log'!$D$4:$D$311=L$90)*('Match Log'!$C$4:$C$311=$A101)),'Match Log'!$AB$4:$AB$311),"")</f>
        <v/>
      </c>
      <c r="M101" s="87" t="str">
        <f>IFERROR(LOOKUP(2,1/(('Match Log'!$D$4:$D$311=M$90)*('Match Log'!$C$4:$C$311=$A101)),'Match Log'!$AB$4:$AB$311),"")</f>
        <v/>
      </c>
      <c r="N101" s="87" t="str">
        <f>IFERROR(LOOKUP(2,1/(('Match Log'!$D$4:$D$311=N$90)*('Match Log'!$C$4:$C$311=$A101)),'Match Log'!$AB$4:$AB$311),"")</f>
        <v/>
      </c>
      <c r="O101" s="87" t="str">
        <f>IFERROR(LOOKUP(2,1/(('Match Log'!$D$4:$D$311=O$90)*('Match Log'!$C$4:$C$311=$A101)),'Match Log'!$AB$4:$AB$311),"")</f>
        <v/>
      </c>
      <c r="P101" s="84" t="str">
        <f t="shared" si="23"/>
        <v>—</v>
      </c>
    </row>
    <row r="102" spans="1:16" ht="15" customHeight="1" x14ac:dyDescent="0.2">
      <c r="A102" s="81" t="s">
        <v>203</v>
      </c>
      <c r="B102" s="87">
        <f>IFERROR(LOOKUP(2,1/(('Match Log'!$D$4:$D$311=B$90)*('Match Log'!$C$4:$C$311=$A102)),'Match Log'!$AB$4:$AB$311),"")</f>
        <v>998.78601149183976</v>
      </c>
      <c r="C102" s="87">
        <f>IFERROR(LOOKUP(2,1/(('Match Log'!$D$4:$D$311=C$90)*('Match Log'!$C$4:$C$311=$A102)),'Match Log'!$AB$4:$AB$311),"")</f>
        <v>984.84959931593869</v>
      </c>
      <c r="D102" s="87" t="str">
        <f>IFERROR(LOOKUP(2,1/(('Match Log'!$D$4:$D$311=D$90)*('Match Log'!$C$4:$C$311=$A102)),'Match Log'!$AB$4:$AB$311),"")</f>
        <v/>
      </c>
      <c r="E102" s="87">
        <f>IFERROR(LOOKUP(2,1/(('Match Log'!$D$4:$D$311=E$90)*('Match Log'!$C$4:$C$311=$A102)),'Match Log'!$AB$4:$AB$311),"")</f>
        <v>949.22600883289385</v>
      </c>
      <c r="F102" s="87">
        <f>IFERROR(LOOKUP(2,1/(('Match Log'!$D$4:$D$311=F$90)*('Match Log'!$C$4:$C$311=$A102)),'Match Log'!$AB$4:$AB$311),"")</f>
        <v>1109.0218511200758</v>
      </c>
      <c r="G102" s="87">
        <f>IFERROR(LOOKUP(2,1/(('Match Log'!$D$4:$D$311=G$90)*('Match Log'!$C$4:$C$311=$A102)),'Match Log'!$AB$4:$AB$311),"")</f>
        <v>1043.7471336336109</v>
      </c>
      <c r="H102" s="87">
        <f>IFERROR(LOOKUP(2,1/(('Match Log'!$D$4:$D$311=H$90)*('Match Log'!$C$4:$C$311=$A102)),'Match Log'!$AB$4:$AB$311),"")</f>
        <v>952.64656852410087</v>
      </c>
      <c r="I102" s="87">
        <f>IFERROR(LOOKUP(2,1/(('Match Log'!$D$4:$D$311=I$90)*('Match Log'!$C$4:$C$311=$A102)),'Match Log'!$AB$4:$AB$311),"")</f>
        <v>941.80241083787075</v>
      </c>
      <c r="J102" s="87">
        <f>IFERROR(LOOKUP(2,1/(('Match Log'!$D$4:$D$311=J$90)*('Match Log'!$C$4:$C$311=$A102)),'Match Log'!$AB$4:$AB$311),"")</f>
        <v>1055.7052432790952</v>
      </c>
      <c r="K102" s="87">
        <f>IFERROR(LOOKUP(2,1/(('Match Log'!$D$4:$D$311=K$90)*('Match Log'!$C$4:$C$311=$A102)),'Match Log'!$AB$4:$AB$311),"")</f>
        <v>930.59858869041068</v>
      </c>
      <c r="L102" s="87">
        <f>IFERROR(LOOKUP(2,1/(('Match Log'!$D$4:$D$311=L$90)*('Match Log'!$C$4:$C$311=$A102)),'Match Log'!$AB$4:$AB$311),"")</f>
        <v>1033.6165842741636</v>
      </c>
      <c r="M102" s="87" t="str">
        <f>IFERROR(LOOKUP(2,1/(('Match Log'!$D$4:$D$311=M$90)*('Match Log'!$C$4:$C$311=$A102)),'Match Log'!$AB$4:$AB$311),"")</f>
        <v/>
      </c>
      <c r="N102" s="87" t="str">
        <f>IFERROR(LOOKUP(2,1/(('Match Log'!$D$4:$D$311=N$90)*('Match Log'!$C$4:$C$311=$A102)),'Match Log'!$AB$4:$AB$311),"")</f>
        <v/>
      </c>
      <c r="O102" s="87" t="str">
        <f>IFERROR(LOOKUP(2,1/(('Match Log'!$D$4:$D$311=O$90)*('Match Log'!$C$4:$C$311=$A102)),'Match Log'!$AB$4:$AB$311),"")</f>
        <v/>
      </c>
      <c r="P102" s="84" t="str">
        <f t="shared" si="23"/>
        <v>Josh</v>
      </c>
    </row>
    <row r="103" spans="1:16" ht="15" customHeight="1" x14ac:dyDescent="0.2">
      <c r="A103" s="81" t="s">
        <v>205</v>
      </c>
      <c r="B103" s="87">
        <f>IFERROR(LOOKUP(2,1/(('Match Log'!$D$4:$D$311=B$90)*('Match Log'!$C$4:$C$311=$A103)),'Match Log'!$AB$4:$AB$311),"")</f>
        <v>1000.1160292001913</v>
      </c>
      <c r="C103" s="87" t="str">
        <f>IFERROR(LOOKUP(2,1/(('Match Log'!$D$4:$D$311=C$90)*('Match Log'!$C$4:$C$311=$A103)),'Match Log'!$AB$4:$AB$311),"")</f>
        <v/>
      </c>
      <c r="D103" s="87" t="str">
        <f>IFERROR(LOOKUP(2,1/(('Match Log'!$D$4:$D$311=D$90)*('Match Log'!$C$4:$C$311=$A103)),'Match Log'!$AB$4:$AB$311),"")</f>
        <v/>
      </c>
      <c r="E103" s="87" t="str">
        <f>IFERROR(LOOKUP(2,1/(('Match Log'!$D$4:$D$311=E$90)*('Match Log'!$C$4:$C$311=$A103)),'Match Log'!$AB$4:$AB$311),"")</f>
        <v/>
      </c>
      <c r="F103" s="87">
        <f>IFERROR(LOOKUP(2,1/(('Match Log'!$D$4:$D$311=F$90)*('Match Log'!$C$4:$C$311=$A103)),'Match Log'!$AB$4:$AB$311),"")</f>
        <v>985.41909823644232</v>
      </c>
      <c r="G103" s="87">
        <f>IFERROR(LOOKUP(2,1/(('Match Log'!$D$4:$D$311=G$90)*('Match Log'!$C$4:$C$311=$A103)),'Match Log'!$AB$4:$AB$311),"")</f>
        <v>968.44105725737359</v>
      </c>
      <c r="H103" s="87" t="str">
        <f>IFERROR(LOOKUP(2,1/(('Match Log'!$D$4:$D$311=H$90)*('Match Log'!$C$4:$C$311=$A103)),'Match Log'!$AB$4:$AB$311),"")</f>
        <v/>
      </c>
      <c r="I103" s="87">
        <f>IFERROR(LOOKUP(2,1/(('Match Log'!$D$4:$D$311=I$90)*('Match Log'!$C$4:$C$311=$A103)),'Match Log'!$AB$4:$AB$311),"")</f>
        <v>1045.4774155322991</v>
      </c>
      <c r="J103" s="87" t="str">
        <f>IFERROR(LOOKUP(2,1/(('Match Log'!$D$4:$D$311=J$90)*('Match Log'!$C$4:$C$311=$A103)),'Match Log'!$AB$4:$AB$311),"")</f>
        <v/>
      </c>
      <c r="K103" s="87" t="str">
        <f>IFERROR(LOOKUP(2,1/(('Match Log'!$D$4:$D$311=K$90)*('Match Log'!$C$4:$C$311=$A103)),'Match Log'!$AB$4:$AB$311),"")</f>
        <v/>
      </c>
      <c r="L103" s="87">
        <f>IFERROR(LOOKUP(2,1/(('Match Log'!$D$4:$D$311=L$90)*('Match Log'!$C$4:$C$311=$A103)),'Match Log'!$AB$4:$AB$311),"")</f>
        <v>1000.5463997736937</v>
      </c>
      <c r="M103" s="87" t="str">
        <f>IFERROR(LOOKUP(2,1/(('Match Log'!$D$4:$D$311=M$90)*('Match Log'!$C$4:$C$311=$A103)),'Match Log'!$AB$4:$AB$311),"")</f>
        <v/>
      </c>
      <c r="N103" s="87" t="str">
        <f>IFERROR(LOOKUP(2,1/(('Match Log'!$D$4:$D$311=N$90)*('Match Log'!$C$4:$C$311=$A103)),'Match Log'!$AB$4:$AB$311),"")</f>
        <v/>
      </c>
      <c r="O103" s="87" t="str">
        <f>IFERROR(LOOKUP(2,1/(('Match Log'!$D$4:$D$311=O$90)*('Match Log'!$C$4:$C$311=$A103)),'Match Log'!$AB$4:$AB$311),"")</f>
        <v/>
      </c>
      <c r="P103" s="84" t="str">
        <f t="shared" si="23"/>
        <v>Daniel (Ferret)</v>
      </c>
    </row>
    <row r="104" spans="1:16" ht="15" customHeight="1" x14ac:dyDescent="0.2">
      <c r="A104" s="81" t="s">
        <v>207</v>
      </c>
      <c r="B104" s="87">
        <f>IFERROR(LOOKUP(2,1/(('Match Log'!$D$4:$D$311=B$90)*('Match Log'!$C$4:$C$311=$A104)),'Match Log'!$AB$4:$AB$311),"")</f>
        <v>1041.6585373017128</v>
      </c>
      <c r="C104" s="87" t="str">
        <f>IFERROR(LOOKUP(2,1/(('Match Log'!$D$4:$D$311=C$90)*('Match Log'!$C$4:$C$311=$A104)),'Match Log'!$AB$4:$AB$311),"")</f>
        <v/>
      </c>
      <c r="D104" s="87">
        <f>IFERROR(LOOKUP(2,1/(('Match Log'!$D$4:$D$311=D$90)*('Match Log'!$C$4:$C$311=$A104)),'Match Log'!$AB$4:$AB$311),"")</f>
        <v>1055.8009426289977</v>
      </c>
      <c r="E104" s="87" t="str">
        <f>IFERROR(LOOKUP(2,1/(('Match Log'!$D$4:$D$311=E$90)*('Match Log'!$C$4:$C$311=$A104)),'Match Log'!$AB$4:$AB$311),"")</f>
        <v/>
      </c>
      <c r="F104" s="87" t="str">
        <f>IFERROR(LOOKUP(2,1/(('Match Log'!$D$4:$D$311=F$90)*('Match Log'!$C$4:$C$311=$A104)),'Match Log'!$AB$4:$AB$311),"")</f>
        <v/>
      </c>
      <c r="G104" s="87">
        <f>IFERROR(LOOKUP(2,1/(('Match Log'!$D$4:$D$311=G$90)*('Match Log'!$C$4:$C$311=$A104)),'Match Log'!$AB$4:$AB$311),"")</f>
        <v>904.65647514018167</v>
      </c>
      <c r="H104" s="87" t="str">
        <f>IFERROR(LOOKUP(2,1/(('Match Log'!$D$4:$D$311=H$90)*('Match Log'!$C$4:$C$311=$A104)),'Match Log'!$AB$4:$AB$311),"")</f>
        <v/>
      </c>
      <c r="I104" s="87">
        <f>IFERROR(LOOKUP(2,1/(('Match Log'!$D$4:$D$311=I$90)*('Match Log'!$C$4:$C$311=$A104)),'Match Log'!$AB$4:$AB$311),"")</f>
        <v>962.91641343501885</v>
      </c>
      <c r="J104" s="87" t="str">
        <f>IFERROR(LOOKUP(2,1/(('Match Log'!$D$4:$D$311=J$90)*('Match Log'!$C$4:$C$311=$A104)),'Match Log'!$AB$4:$AB$311),"")</f>
        <v/>
      </c>
      <c r="K104" s="87" t="str">
        <f>IFERROR(LOOKUP(2,1/(('Match Log'!$D$4:$D$311=K$90)*('Match Log'!$C$4:$C$311=$A104)),'Match Log'!$AB$4:$AB$311),"")</f>
        <v/>
      </c>
      <c r="L104" s="87">
        <f>IFERROR(LOOKUP(2,1/(('Match Log'!$D$4:$D$311=L$90)*('Match Log'!$C$4:$C$311=$A104)),'Match Log'!$AB$4:$AB$311),"")</f>
        <v>1034.9676314940889</v>
      </c>
      <c r="M104" s="87" t="str">
        <f>IFERROR(LOOKUP(2,1/(('Match Log'!$D$4:$D$311=M$90)*('Match Log'!$C$4:$C$311=$A104)),'Match Log'!$AB$4:$AB$311),"")</f>
        <v/>
      </c>
      <c r="N104" s="87" t="str">
        <f>IFERROR(LOOKUP(2,1/(('Match Log'!$D$4:$D$311=N$90)*('Match Log'!$C$4:$C$311=$A104)),'Match Log'!$AB$4:$AB$311),"")</f>
        <v/>
      </c>
      <c r="O104" s="87" t="str">
        <f>IFERROR(LOOKUP(2,1/(('Match Log'!$D$4:$D$311=O$90)*('Match Log'!$C$4:$C$311=$A104)),'Match Log'!$AB$4:$AB$311),"")</f>
        <v/>
      </c>
      <c r="P104" s="84" t="str">
        <f t="shared" si="23"/>
        <v>Chase</v>
      </c>
    </row>
    <row r="105" spans="1:16" ht="15" customHeight="1" x14ac:dyDescent="0.2">
      <c r="A105" s="81" t="s">
        <v>209</v>
      </c>
      <c r="B105" s="87" t="str">
        <f>IFERROR(LOOKUP(2,1/(('Match Log'!$D$4:$D$311=B$90)*('Match Log'!$C$4:$C$311=$A105)),'Match Log'!$AB$4:$AB$311),"")</f>
        <v/>
      </c>
      <c r="C105" s="87" t="str">
        <f>IFERROR(LOOKUP(2,1/(('Match Log'!$D$4:$D$311=C$90)*('Match Log'!$C$4:$C$311=$A105)),'Match Log'!$AB$4:$AB$311),"")</f>
        <v/>
      </c>
      <c r="D105" s="87" t="str">
        <f>IFERROR(LOOKUP(2,1/(('Match Log'!$D$4:$D$311=D$90)*('Match Log'!$C$4:$C$311=$A105)),'Match Log'!$AB$4:$AB$311),"")</f>
        <v/>
      </c>
      <c r="E105" s="87" t="str">
        <f>IFERROR(LOOKUP(2,1/(('Match Log'!$D$4:$D$311=E$90)*('Match Log'!$C$4:$C$311=$A105)),'Match Log'!$AB$4:$AB$311),"")</f>
        <v/>
      </c>
      <c r="F105" s="87" t="str">
        <f>IFERROR(LOOKUP(2,1/(('Match Log'!$D$4:$D$311=F$90)*('Match Log'!$C$4:$C$311=$A105)),'Match Log'!$AB$4:$AB$311),"")</f>
        <v/>
      </c>
      <c r="G105" s="87" t="str">
        <f>IFERROR(LOOKUP(2,1/(('Match Log'!$D$4:$D$311=G$90)*('Match Log'!$C$4:$C$311=$A105)),'Match Log'!$AB$4:$AB$311),"")</f>
        <v/>
      </c>
      <c r="H105" s="87" t="str">
        <f>IFERROR(LOOKUP(2,1/(('Match Log'!$D$4:$D$311=H$90)*('Match Log'!$C$4:$C$311=$A105)),'Match Log'!$AB$4:$AB$311),"")</f>
        <v/>
      </c>
      <c r="I105" s="87" t="str">
        <f>IFERROR(LOOKUP(2,1/(('Match Log'!$D$4:$D$311=I$90)*('Match Log'!$C$4:$C$311=$A105)),'Match Log'!$AB$4:$AB$311),"")</f>
        <v/>
      </c>
      <c r="J105" s="87" t="str">
        <f>IFERROR(LOOKUP(2,1/(('Match Log'!$D$4:$D$311=J$90)*('Match Log'!$C$4:$C$311=$A105)),'Match Log'!$AB$4:$AB$311),"")</f>
        <v/>
      </c>
      <c r="K105" s="87" t="str">
        <f>IFERROR(LOOKUP(2,1/(('Match Log'!$D$4:$D$311=K$90)*('Match Log'!$C$4:$C$311=$A105)),'Match Log'!$AB$4:$AB$311),"")</f>
        <v/>
      </c>
      <c r="L105" s="87" t="str">
        <f>IFERROR(LOOKUP(2,1/(('Match Log'!$D$4:$D$311=L$90)*('Match Log'!$C$4:$C$311=$A105)),'Match Log'!$AB$4:$AB$311),"")</f>
        <v/>
      </c>
      <c r="M105" s="87" t="str">
        <f>IFERROR(LOOKUP(2,1/(('Match Log'!$D$4:$D$311=M$90)*('Match Log'!$C$4:$C$311=$A105)),'Match Log'!$AB$4:$AB$311),"")</f>
        <v/>
      </c>
      <c r="N105" s="87" t="str">
        <f>IFERROR(LOOKUP(2,1/(('Match Log'!$D$4:$D$311=N$90)*('Match Log'!$C$4:$C$311=$A105)),'Match Log'!$AB$4:$AB$311),"")</f>
        <v/>
      </c>
      <c r="O105" s="87" t="str">
        <f>IFERROR(LOOKUP(2,1/(('Match Log'!$D$4:$D$311=O$90)*('Match Log'!$C$4:$C$311=$A105)),'Match Log'!$AB$4:$AB$311),"")</f>
        <v/>
      </c>
      <c r="P105" s="84" t="str">
        <f t="shared" si="23"/>
        <v>—</v>
      </c>
    </row>
    <row r="106" spans="1:16" ht="15" customHeight="1" x14ac:dyDescent="0.2">
      <c r="A106" s="81" t="s">
        <v>211</v>
      </c>
      <c r="B106" s="87">
        <f>IFERROR(LOOKUP(2,1/(('Match Log'!$D$4:$D$311=B$90)*('Match Log'!$C$4:$C$311=$A106)),'Match Log'!$AB$4:$AB$311),"")</f>
        <v>1000.0339081301692</v>
      </c>
      <c r="C106" s="87" t="str">
        <f>IFERROR(LOOKUP(2,1/(('Match Log'!$D$4:$D$311=C$90)*('Match Log'!$C$4:$C$311=$A106)),'Match Log'!$AB$4:$AB$311),"")</f>
        <v/>
      </c>
      <c r="D106" s="87">
        <f>IFERROR(LOOKUP(2,1/(('Match Log'!$D$4:$D$311=D$90)*('Match Log'!$C$4:$C$311=$A106)),'Match Log'!$AB$4:$AB$311),"")</f>
        <v>968.70239866335282</v>
      </c>
      <c r="E106" s="87" t="str">
        <f>IFERROR(LOOKUP(2,1/(('Match Log'!$D$4:$D$311=E$90)*('Match Log'!$C$4:$C$311=$A106)),'Match Log'!$AB$4:$AB$311),"")</f>
        <v/>
      </c>
      <c r="F106" s="87" t="str">
        <f>IFERROR(LOOKUP(2,1/(('Match Log'!$D$4:$D$311=F$90)*('Match Log'!$C$4:$C$311=$A106)),'Match Log'!$AB$4:$AB$311),"")</f>
        <v/>
      </c>
      <c r="G106" s="87" t="str">
        <f>IFERROR(LOOKUP(2,1/(('Match Log'!$D$4:$D$311=G$90)*('Match Log'!$C$4:$C$311=$A106)),'Match Log'!$AB$4:$AB$311),"")</f>
        <v/>
      </c>
      <c r="H106" s="87" t="str">
        <f>IFERROR(LOOKUP(2,1/(('Match Log'!$D$4:$D$311=H$90)*('Match Log'!$C$4:$C$311=$A106)),'Match Log'!$AB$4:$AB$311),"")</f>
        <v/>
      </c>
      <c r="I106" s="87">
        <f>IFERROR(LOOKUP(2,1/(('Match Log'!$D$4:$D$311=I$90)*('Match Log'!$C$4:$C$311=$A106)),'Match Log'!$AB$4:$AB$311),"")</f>
        <v>1031.2636932064779</v>
      </c>
      <c r="J106" s="87" t="str">
        <f>IFERROR(LOOKUP(2,1/(('Match Log'!$D$4:$D$311=J$90)*('Match Log'!$C$4:$C$311=$A106)),'Match Log'!$AB$4:$AB$311),"")</f>
        <v/>
      </c>
      <c r="K106" s="87" t="str">
        <f>IFERROR(LOOKUP(2,1/(('Match Log'!$D$4:$D$311=K$90)*('Match Log'!$C$4:$C$311=$A106)),'Match Log'!$AB$4:$AB$311),"")</f>
        <v/>
      </c>
      <c r="L106" s="87" t="str">
        <f>IFERROR(LOOKUP(2,1/(('Match Log'!$D$4:$D$311=L$90)*('Match Log'!$C$4:$C$311=$A106)),'Match Log'!$AB$4:$AB$311),"")</f>
        <v/>
      </c>
      <c r="M106" s="87" t="str">
        <f>IFERROR(LOOKUP(2,1/(('Match Log'!$D$4:$D$311=M$90)*('Match Log'!$C$4:$C$311=$A106)),'Match Log'!$AB$4:$AB$311),"")</f>
        <v/>
      </c>
      <c r="N106" s="87" t="str">
        <f>IFERROR(LOOKUP(2,1/(('Match Log'!$D$4:$D$311=N$90)*('Match Log'!$C$4:$C$311=$A106)),'Match Log'!$AB$4:$AB$311),"")</f>
        <v/>
      </c>
      <c r="O106" s="87" t="str">
        <f>IFERROR(LOOKUP(2,1/(('Match Log'!$D$4:$D$311=O$90)*('Match Log'!$C$4:$C$311=$A106)),'Match Log'!$AB$4:$AB$311),"")</f>
        <v/>
      </c>
      <c r="P106" s="84" t="str">
        <f t="shared" si="23"/>
        <v>Daniel (Ferret)</v>
      </c>
    </row>
    <row r="107" spans="1:16" ht="15" customHeight="1" x14ac:dyDescent="0.2">
      <c r="A107" s="81" t="s">
        <v>212</v>
      </c>
      <c r="B107" s="87" t="str">
        <f>IFERROR(LOOKUP(2,1/(('Match Log'!$D$4:$D$311=B$90)*('Match Log'!$C$4:$C$311=$A107)),'Match Log'!$AB$4:$AB$311),"")</f>
        <v/>
      </c>
      <c r="C107" s="87" t="str">
        <f>IFERROR(LOOKUP(2,1/(('Match Log'!$D$4:$D$311=C$90)*('Match Log'!$C$4:$C$311=$A107)),'Match Log'!$AB$4:$AB$311),"")</f>
        <v/>
      </c>
      <c r="D107" s="87">
        <f>IFERROR(LOOKUP(2,1/(('Match Log'!$D$4:$D$311=D$90)*('Match Log'!$C$4:$C$311=$A107)),'Match Log'!$AB$4:$AB$311),"")</f>
        <v>992</v>
      </c>
      <c r="E107" s="87" t="str">
        <f>IFERROR(LOOKUP(2,1/(('Match Log'!$D$4:$D$311=E$90)*('Match Log'!$C$4:$C$311=$A107)),'Match Log'!$AB$4:$AB$311),"")</f>
        <v/>
      </c>
      <c r="F107" s="87">
        <f>IFERROR(LOOKUP(2,1/(('Match Log'!$D$4:$D$311=F$90)*('Match Log'!$C$4:$C$311=$A107)),'Match Log'!$AB$4:$AB$311),"")</f>
        <v>1016</v>
      </c>
      <c r="G107" s="87" t="str">
        <f>IFERROR(LOOKUP(2,1/(('Match Log'!$D$4:$D$311=G$90)*('Match Log'!$C$4:$C$311=$A107)),'Match Log'!$AB$4:$AB$311),"")</f>
        <v/>
      </c>
      <c r="H107" s="87" t="str">
        <f>IFERROR(LOOKUP(2,1/(('Match Log'!$D$4:$D$311=H$90)*('Match Log'!$C$4:$C$311=$A107)),'Match Log'!$AB$4:$AB$311),"")</f>
        <v/>
      </c>
      <c r="I107" s="87">
        <f>IFERROR(LOOKUP(2,1/(('Match Log'!$D$4:$D$311=I$90)*('Match Log'!$C$4:$C$311=$A107)),'Match Log'!$AB$4:$AB$311),"")</f>
        <v>992</v>
      </c>
      <c r="J107" s="87" t="str">
        <f>IFERROR(LOOKUP(2,1/(('Match Log'!$D$4:$D$311=J$90)*('Match Log'!$C$4:$C$311=$A107)),'Match Log'!$AB$4:$AB$311),"")</f>
        <v/>
      </c>
      <c r="K107" s="87" t="str">
        <f>IFERROR(LOOKUP(2,1/(('Match Log'!$D$4:$D$311=K$90)*('Match Log'!$C$4:$C$311=$A107)),'Match Log'!$AB$4:$AB$311),"")</f>
        <v/>
      </c>
      <c r="L107" s="87" t="str">
        <f>IFERROR(LOOKUP(2,1/(('Match Log'!$D$4:$D$311=L$90)*('Match Log'!$C$4:$C$311=$A107)),'Match Log'!$AB$4:$AB$311),"")</f>
        <v/>
      </c>
      <c r="M107" s="87" t="str">
        <f>IFERROR(LOOKUP(2,1/(('Match Log'!$D$4:$D$311=M$90)*('Match Log'!$C$4:$C$311=$A107)),'Match Log'!$AB$4:$AB$311),"")</f>
        <v/>
      </c>
      <c r="N107" s="87" t="str">
        <f>IFERROR(LOOKUP(2,1/(('Match Log'!$D$4:$D$311=N$90)*('Match Log'!$C$4:$C$311=$A107)),'Match Log'!$AB$4:$AB$311),"")</f>
        <v/>
      </c>
      <c r="O107" s="87" t="str">
        <f>IFERROR(LOOKUP(2,1/(('Match Log'!$D$4:$D$311=O$90)*('Match Log'!$C$4:$C$311=$A107)),'Match Log'!$AB$4:$AB$311),"")</f>
        <v/>
      </c>
      <c r="P107" s="84" t="str">
        <f t="shared" si="23"/>
        <v>Josh</v>
      </c>
    </row>
    <row r="108" spans="1:16" ht="15" customHeight="1" x14ac:dyDescent="0.2">
      <c r="A108" s="81" t="s">
        <v>214</v>
      </c>
      <c r="B108" s="87">
        <f>IFERROR(LOOKUP(2,1/(('Match Log'!$D$4:$D$311=B$90)*('Match Log'!$C$4:$C$311=$A108)),'Match Log'!$AB$4:$AB$311),"")</f>
        <v>965.94883287862285</v>
      </c>
      <c r="C108" s="87">
        <f>IFERROR(LOOKUP(2,1/(('Match Log'!$D$4:$D$311=C$90)*('Match Log'!$C$4:$C$311=$A108)),'Match Log'!$AB$4:$AB$311),"")</f>
        <v>1021.3645876209866</v>
      </c>
      <c r="D108" s="87">
        <f>IFERROR(LOOKUP(2,1/(('Match Log'!$D$4:$D$311=D$90)*('Match Log'!$C$4:$C$311=$A108)),'Match Log'!$AB$4:$AB$311),"")</f>
        <v>1015.263693206478</v>
      </c>
      <c r="E108" s="87">
        <f>IFERROR(LOOKUP(2,1/(('Match Log'!$D$4:$D$311=E$90)*('Match Log'!$C$4:$C$311=$A108)),'Match Log'!$AB$4:$AB$311),"")</f>
        <v>995.72748489903177</v>
      </c>
      <c r="F108" s="87">
        <f>IFERROR(LOOKUP(2,1/(('Match Log'!$D$4:$D$311=F$90)*('Match Log'!$C$4:$C$311=$A108)),'Match Log'!$AB$4:$AB$311),"")</f>
        <v>980.52721563547436</v>
      </c>
      <c r="G108" s="87">
        <f>IFERROR(LOOKUP(2,1/(('Match Log'!$D$4:$D$311=G$90)*('Match Log'!$C$4:$C$311=$A108)),'Match Log'!$AB$4:$AB$311),"")</f>
        <v>994.87575697010811</v>
      </c>
      <c r="H108" s="87">
        <f>IFERROR(LOOKUP(2,1/(('Match Log'!$D$4:$D$311=H$90)*('Match Log'!$C$4:$C$311=$A108)),'Match Log'!$AB$4:$AB$311),"")</f>
        <v>1060.1693378874229</v>
      </c>
      <c r="I108" s="87">
        <f>IFERROR(LOOKUP(2,1/(('Match Log'!$D$4:$D$311=I$90)*('Match Log'!$C$4:$C$311=$A108)),'Match Log'!$AB$4:$AB$311),"")</f>
        <v>993.32139176969508</v>
      </c>
      <c r="J108" s="87">
        <f>IFERROR(LOOKUP(2,1/(('Match Log'!$D$4:$D$311=J$90)*('Match Log'!$C$4:$C$311=$A108)),'Match Log'!$AB$4:$AB$311),"")</f>
        <v>1039.1570131462133</v>
      </c>
      <c r="K108" s="87">
        <f>IFERROR(LOOKUP(2,1/(('Match Log'!$D$4:$D$311=K$90)*('Match Log'!$C$4:$C$311=$A108)),'Match Log'!$AB$4:$AB$311),"")</f>
        <v>977.68101586373621</v>
      </c>
      <c r="L108" s="87">
        <f>IFERROR(LOOKUP(2,1/(('Match Log'!$D$4:$D$311=L$90)*('Match Log'!$C$4:$C$311=$A108)),'Match Log'!$AB$4:$AB$311),"")</f>
        <v>959.92547606336859</v>
      </c>
      <c r="M108" s="87">
        <f>IFERROR(LOOKUP(2,1/(('Match Log'!$D$4:$D$311=M$90)*('Match Log'!$C$4:$C$311=$A108)),'Match Log'!$AB$4:$AB$311),"")</f>
        <v>995.72748489903177</v>
      </c>
      <c r="N108" s="87">
        <f>IFERROR(LOOKUP(2,1/(('Match Log'!$D$4:$D$311=N$90)*('Match Log'!$C$4:$C$311=$A108)),'Match Log'!$AB$4:$AB$311),"")</f>
        <v>1000.3107091598305</v>
      </c>
      <c r="O108" s="87" t="str">
        <f>IFERROR(LOOKUP(2,1/(('Match Log'!$D$4:$D$311=O$90)*('Match Log'!$C$4:$C$311=$A108)),'Match Log'!$AB$4:$AB$311),"")</f>
        <v/>
      </c>
      <c r="P108" s="84" t="str">
        <f t="shared" si="23"/>
        <v>Simon</v>
      </c>
    </row>
    <row r="109" spans="1:16" ht="15" customHeight="1" x14ac:dyDescent="0.2">
      <c r="A109" s="81" t="s">
        <v>216</v>
      </c>
      <c r="B109" s="87" t="str">
        <f>IFERROR(LOOKUP(2,1/(('Match Log'!$D$4:$D$311=B$90)*('Match Log'!$C$4:$C$311=$A109)),'Match Log'!$AB$4:$AB$311),"")</f>
        <v/>
      </c>
      <c r="C109" s="87" t="str">
        <f>IFERROR(LOOKUP(2,1/(('Match Log'!$D$4:$D$311=C$90)*('Match Log'!$C$4:$C$311=$A109)),'Match Log'!$AB$4:$AB$311),"")</f>
        <v/>
      </c>
      <c r="D109" s="87" t="str">
        <f>IFERROR(LOOKUP(2,1/(('Match Log'!$D$4:$D$311=D$90)*('Match Log'!$C$4:$C$311=$A109)),'Match Log'!$AB$4:$AB$311),"")</f>
        <v/>
      </c>
      <c r="E109" s="87" t="str">
        <f>IFERROR(LOOKUP(2,1/(('Match Log'!$D$4:$D$311=E$90)*('Match Log'!$C$4:$C$311=$A109)),'Match Log'!$AB$4:$AB$311),"")</f>
        <v/>
      </c>
      <c r="F109" s="87">
        <f>IFERROR(LOOKUP(2,1/(('Match Log'!$D$4:$D$311=F$90)*('Match Log'!$C$4:$C$311=$A109)),'Match Log'!$AB$4:$AB$311),"")</f>
        <v>1005.3331712136038</v>
      </c>
      <c r="G109" s="87" t="str">
        <f>IFERROR(LOOKUP(2,1/(('Match Log'!$D$4:$D$311=G$90)*('Match Log'!$C$4:$C$311=$A109)),'Match Log'!$AB$4:$AB$311),"")</f>
        <v/>
      </c>
      <c r="H109" s="87" t="str">
        <f>IFERROR(LOOKUP(2,1/(('Match Log'!$D$4:$D$311=H$90)*('Match Log'!$C$4:$C$311=$A109)),'Match Log'!$AB$4:$AB$311),"")</f>
        <v/>
      </c>
      <c r="I109" s="87">
        <f>IFERROR(LOOKUP(2,1/(('Match Log'!$D$4:$D$311=I$90)*('Match Log'!$C$4:$C$311=$A109)),'Match Log'!$AB$4:$AB$311),"")</f>
        <v>994.66682878639608</v>
      </c>
      <c r="J109" s="87" t="str">
        <f>IFERROR(LOOKUP(2,1/(('Match Log'!$D$4:$D$311=J$90)*('Match Log'!$C$4:$C$311=$A109)),'Match Log'!$AB$4:$AB$311),"")</f>
        <v/>
      </c>
      <c r="K109" s="87" t="str">
        <f>IFERROR(LOOKUP(2,1/(('Match Log'!$D$4:$D$311=K$90)*('Match Log'!$C$4:$C$311=$A109)),'Match Log'!$AB$4:$AB$311),"")</f>
        <v/>
      </c>
      <c r="L109" s="87" t="str">
        <f>IFERROR(LOOKUP(2,1/(('Match Log'!$D$4:$D$311=L$90)*('Match Log'!$C$4:$C$311=$A109)),'Match Log'!$AB$4:$AB$311),"")</f>
        <v/>
      </c>
      <c r="M109" s="87" t="str">
        <f>IFERROR(LOOKUP(2,1/(('Match Log'!$D$4:$D$311=M$90)*('Match Log'!$C$4:$C$311=$A109)),'Match Log'!$AB$4:$AB$311),"")</f>
        <v/>
      </c>
      <c r="N109" s="87" t="str">
        <f>IFERROR(LOOKUP(2,1/(('Match Log'!$D$4:$D$311=N$90)*('Match Log'!$C$4:$C$311=$A109)),'Match Log'!$AB$4:$AB$311),"")</f>
        <v/>
      </c>
      <c r="O109" s="87" t="str">
        <f>IFERROR(LOOKUP(2,1/(('Match Log'!$D$4:$D$311=O$90)*('Match Log'!$C$4:$C$311=$A109)),'Match Log'!$AB$4:$AB$311),"")</f>
        <v/>
      </c>
      <c r="P109" s="84" t="str">
        <f t="shared" si="23"/>
        <v>Josh</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IFERROR(INDEX(Calcs!$D$25:$D$144,MATCH(LARGE(Calcs!$I$25:$I$144,1),Calcs!$I$25:$I$144,0)),"")</f>
        <v>Daniel (Ferret)</v>
      </c>
      <c r="C6" s="90" t="str">
        <f>IFERROR(INDEX(Calcs!$H$25:$H$144,MATCH(LARGE(Calcs!$I$25:$I$144,1),Calcs!$I$25:$I$144,0)),"")</f>
        <v>Shawn</v>
      </c>
      <c r="D6" s="90" t="str">
        <f>IFERROR(INDEX(Calcs!$C$25:$C$144,MATCH(LARGE(Calcs!$I$25:$I$144,1),Calcs!$I$25:$I$144,0)),"")</f>
        <v>FIFA</v>
      </c>
      <c r="E6" s="90" t="str">
        <f>IFERROR(TEXT(INDEX(Calcs!$F$25:$F$144,MATCH(LARGE(Calcs!$I$25:$I$144,1),Calcs!$I$25:$I$144,0)),"0%"),"")</f>
        <v>20%</v>
      </c>
      <c r="F6" s="90" t="str">
        <f>IFERROR(TEXT(INDEX(Calcs!$B$25:$B$144,MATCH(LARGE(Calcs!$I$25:$I$144,1),Calcs!$I$25:$I$144,0)),"d mmm"),"")</f>
        <v>30 May</v>
      </c>
    </row>
    <row r="7" spans="1:6" ht="15" customHeight="1" x14ac:dyDescent="0.2">
      <c r="A7" s="65">
        <v>2</v>
      </c>
      <c r="B7" s="39" t="str">
        <f>IFERROR(INDEX(Calcs!$D$25:$D$144,MATCH(LARGE(Calcs!$I$25:$I$144,2),Calcs!$I$25:$I$144,0)),"")</f>
        <v>Daniel (Ferret)</v>
      </c>
      <c r="C7" s="39" t="str">
        <f>IFERROR(INDEX(Calcs!$H$25:$H$144,MATCH(LARGE(Calcs!$I$25:$I$144,2),Calcs!$I$25:$I$144,0)),"")</f>
        <v>Oscar</v>
      </c>
      <c r="D7" s="39" t="str">
        <f>IFERROR(INDEX(Calcs!$C$25:$C$144,MATCH(LARGE(Calcs!$I$25:$I$144,2),Calcs!$I$25:$I$144,0)),"")</f>
        <v>Mario Kart</v>
      </c>
      <c r="E7" s="39" t="str">
        <f>IFERROR(TEXT(INDEX(Calcs!$F$25:$F$144,MATCH(LARGE(Calcs!$I$25:$I$144,2),Calcs!$I$25:$I$144,0)),"0%"),"")</f>
        <v>25%</v>
      </c>
      <c r="F7" s="39" t="str">
        <f>IFERROR(TEXT(INDEX(Calcs!$B$25:$B$144,MATCH(LARGE(Calcs!$I$25:$I$144,2),Calcs!$I$25:$I$144,0)),"d mmm"),"")</f>
        <v>3 Jun</v>
      </c>
    </row>
    <row r="8" spans="1:6" ht="15" customHeight="1" x14ac:dyDescent="0.2">
      <c r="A8" s="61">
        <v>3</v>
      </c>
      <c r="B8" s="36" t="str">
        <f>IFERROR(INDEX(Calcs!$D$25:$D$144,MATCH(LARGE(Calcs!$I$25:$I$144,3),Calcs!$I$25:$I$144,0)),"")</f>
        <v>Josh</v>
      </c>
      <c r="C8" s="36" t="str">
        <f>IFERROR(INDEX(Calcs!$H$25:$H$144,MATCH(LARGE(Calcs!$I$25:$I$144,3),Calcs!$I$25:$I$144,0)),"")</f>
        <v>Daniel (Ferret)</v>
      </c>
      <c r="D8" s="36" t="str">
        <f>IFERROR(INDEX(Calcs!$C$25:$C$144,MATCH(LARGE(Calcs!$I$25:$I$144,3),Calcs!$I$25:$I$144,0)),"")</f>
        <v>Mario Golf</v>
      </c>
      <c r="E8" s="36" t="str">
        <f>IFERROR(TEXT(INDEX(Calcs!$F$25:$F$144,MATCH(LARGE(Calcs!$I$25:$I$144,3),Calcs!$I$25:$I$144,0)),"0%"),"")</f>
        <v>25%</v>
      </c>
      <c r="F8" s="36" t="str">
        <f>IFERROR(TEXT(INDEX(Calcs!$B$25:$B$144,MATCH(LARGE(Calcs!$I$25:$I$144,3),Calcs!$I$25:$I$144,0)),"d mmm"),"")</f>
        <v>26 Jun</v>
      </c>
    </row>
    <row r="9" spans="1:6" ht="15" customHeight="1" x14ac:dyDescent="0.2">
      <c r="A9" s="65">
        <v>4</v>
      </c>
      <c r="B9" s="39" t="str">
        <f>IFERROR(INDEX(Calcs!$D$25:$D$144,MATCH(LARGE(Calcs!$I$25:$I$144,4),Calcs!$I$25:$I$144,0)),"")</f>
        <v>Dean B</v>
      </c>
      <c r="C9" s="39" t="str">
        <f>IFERROR(INDEX(Calcs!$H$25:$H$144,MATCH(LARGE(Calcs!$I$25:$I$144,4),Calcs!$I$25:$I$144,0)),"")</f>
        <v>Josh</v>
      </c>
      <c r="D9" s="39" t="str">
        <f>IFERROR(INDEX(Calcs!$C$25:$C$144,MATCH(LARGE(Calcs!$I$25:$I$144,4),Calcs!$I$25:$I$144,0)),"")</f>
        <v>Table Tennis</v>
      </c>
      <c r="E9" s="39" t="str">
        <f>IFERROR(TEXT(INDEX(Calcs!$F$25:$F$144,MATCH(LARGE(Calcs!$I$25:$I$144,4),Calcs!$I$25:$I$144,0)),"0%"),"")</f>
        <v>27%</v>
      </c>
      <c r="F9" s="39" t="str">
        <f>IFERROR(TEXT(INDEX(Calcs!$B$25:$B$144,MATCH(LARGE(Calcs!$I$25:$I$144,4),Calcs!$I$25:$I$144,0)),"d mmm"),"")</f>
        <v>3 Jun</v>
      </c>
    </row>
    <row r="10" spans="1:6" ht="15" customHeight="1" x14ac:dyDescent="0.2">
      <c r="A10" s="61">
        <v>5</v>
      </c>
      <c r="B10" s="36" t="str">
        <f>IFERROR(INDEX(Calcs!$D$25:$D$144,MATCH(LARGE(Calcs!$I$25:$I$144,5),Calcs!$I$25:$I$144,0)),"")</f>
        <v>Daniel (Ferret)</v>
      </c>
      <c r="C10" s="36" t="str">
        <f>IFERROR(INDEX(Calcs!$H$25:$H$144,MATCH(LARGE(Calcs!$I$25:$I$144,5),Calcs!$I$25:$I$144,0)),"")</f>
        <v>Shawn</v>
      </c>
      <c r="D10" s="36" t="str">
        <f>IFERROR(INDEX(Calcs!$C$25:$C$144,MATCH(LARGE(Calcs!$I$25:$I$144,5),Calcs!$I$25:$I$144,0)),"")</f>
        <v>FIFA</v>
      </c>
      <c r="E10" s="36" t="str">
        <f>IFERROR(TEXT(INDEX(Calcs!$F$25:$F$144,MATCH(LARGE(Calcs!$I$25:$I$144,5),Calcs!$I$25:$I$144,0)),"0%"),"")</f>
        <v>29%</v>
      </c>
      <c r="F10" s="36" t="str">
        <f>IFERROR(TEXT(INDEX(Calcs!$B$25:$B$144,MATCH(LARGE(Calcs!$I$25:$I$144,5),Calcs!$I$25:$I$144,0)),"d mmm"),"")</f>
        <v>31 May</v>
      </c>
    </row>
    <row r="11" spans="1:6" ht="15" customHeight="1" x14ac:dyDescent="0.2">
      <c r="A11" s="65">
        <v>6</v>
      </c>
      <c r="B11" s="39" t="str">
        <f>IFERROR(INDEX(Calcs!$D$25:$D$144,MATCH(LARGE(Calcs!$I$25:$I$144,6),Calcs!$I$25:$I$144,0)),"")</f>
        <v>Oscar</v>
      </c>
      <c r="C11" s="39" t="str">
        <f>IFERROR(INDEX(Calcs!$H$25:$H$144,MATCH(LARGE(Calcs!$I$25:$I$144,6),Calcs!$I$25:$I$144,0)),"")</f>
        <v>Dean B</v>
      </c>
      <c r="D11" s="39" t="str">
        <f>IFERROR(INDEX(Calcs!$C$25:$C$144,MATCH(LARGE(Calcs!$I$25:$I$144,6),Calcs!$I$25:$I$144,0)),"")</f>
        <v>Pool</v>
      </c>
      <c r="E11" s="39" t="str">
        <f>IFERROR(TEXT(INDEX(Calcs!$F$25:$F$144,MATCH(LARGE(Calcs!$I$25:$I$144,6),Calcs!$I$25:$I$144,0)),"0%"),"")</f>
        <v>29%</v>
      </c>
      <c r="F11" s="39" t="str">
        <f>IFERROR(TEXT(INDEX(Calcs!$B$25:$B$144,MATCH(LARGE(Calcs!$I$25:$I$144,6),Calcs!$I$25:$I$144,0)),"d mmm"),"")</f>
        <v>4 Jun</v>
      </c>
    </row>
    <row r="12" spans="1:6" ht="15" customHeight="1" x14ac:dyDescent="0.2">
      <c r="A12" s="61">
        <v>7</v>
      </c>
      <c r="B12" s="36" t="str">
        <f>IFERROR(INDEX(Calcs!$D$25:$D$144,MATCH(LARGE(Calcs!$I$25:$I$144,7),Calcs!$I$25:$I$144,0)),"")</f>
        <v>Oscar</v>
      </c>
      <c r="C12" s="36" t="str">
        <f>IFERROR(INDEX(Calcs!$H$25:$H$144,MATCH(LARGE(Calcs!$I$25:$I$144,7),Calcs!$I$25:$I$144,0)),"")</f>
        <v>Josh</v>
      </c>
      <c r="D12" s="36" t="str">
        <f>IFERROR(INDEX(Calcs!$C$25:$C$144,MATCH(LARGE(Calcs!$I$25:$I$144,7),Calcs!$I$25:$I$144,0)),"")</f>
        <v>Table Tennis</v>
      </c>
      <c r="E12" s="36" t="str">
        <f>IFERROR(TEXT(INDEX(Calcs!$F$25:$F$144,MATCH(LARGE(Calcs!$I$25:$I$144,7),Calcs!$I$25:$I$144,0)),"0%"),"")</f>
        <v>31%</v>
      </c>
      <c r="F12" s="36" t="str">
        <f>IFERROR(TEXT(INDEX(Calcs!$B$25:$B$144,MATCH(LARGE(Calcs!$I$25:$I$144,7),Calcs!$I$25:$I$144,0)),"d mmm"),"")</f>
        <v>3 Jun</v>
      </c>
    </row>
    <row r="13" spans="1:6" ht="15" customHeight="1" x14ac:dyDescent="0.2">
      <c r="A13" s="65">
        <v>8</v>
      </c>
      <c r="B13" s="39" t="str">
        <f>IFERROR(INDEX(Calcs!$D$25:$D$144,MATCH(LARGE(Calcs!$I$25:$I$144,8),Calcs!$I$25:$I$144,0)),"")</f>
        <v>Daniel (Ferret)</v>
      </c>
      <c r="C13" s="39" t="str">
        <f>IFERROR(INDEX(Calcs!$H$25:$H$144,MATCH(LARGE(Calcs!$I$25:$I$144,8),Calcs!$I$25:$I$144,0)),"")</f>
        <v>David</v>
      </c>
      <c r="D13" s="39" t="str">
        <f>IFERROR(INDEX(Calcs!$C$25:$C$144,MATCH(LARGE(Calcs!$I$25:$I$144,8),Calcs!$I$25:$I$144,0)),"")</f>
        <v>Table Tennis</v>
      </c>
      <c r="E13" s="39" t="str">
        <f>IFERROR(TEXT(INDEX(Calcs!$F$25:$F$144,MATCH(LARGE(Calcs!$I$25:$I$144,8),Calcs!$I$25:$I$144,0)),"0%"),"")</f>
        <v>33%</v>
      </c>
      <c r="F13" s="39" t="str">
        <f>IFERROR(TEXT(INDEX(Calcs!$B$25:$B$144,MATCH(LARGE(Calcs!$I$25:$I$144,8),Calcs!$I$25:$I$144,0)),"d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Log'!$N$4:$N$311),"0")</f>
        <v>1191</v>
      </c>
      <c r="C17" s="36" t="str">
        <f>INDEX('Match Log'!$D$4:$D$311,$H17)</f>
        <v>Josh</v>
      </c>
      <c r="D17" s="36" t="str">
        <f>INDEX('Match Log'!$C$4:$C$311,$H17)</f>
        <v>Table Tennis</v>
      </c>
      <c r="E17" s="36" t="str">
        <f>TEXT(INDEX('Match Log'!$B$4:$B$311,$H17),"d mmm yyyy")</f>
        <v>3 Jun 2026</v>
      </c>
      <c r="F17" s="36" t="str">
        <f>IFERROR(IF(INDEX('Match Log'!$F$4:$F$311,$H17)=2,"vs "&amp;LOOKUP(2,1/(('Match Log'!$A$4:$A$311=INDEX('Match Log'!$A$4:$A$311,$H17))*('Match Log'!$D$4:$D$311&lt;&gt;$C17)),'Match Log'!$D$4:$D$311),INDEX('Match Log'!$F$4:$F$311,$H17)&amp;"-player game"),"")</f>
        <v>vs Dean B</v>
      </c>
      <c r="H17">
        <f>MATCH(MAX('Match Log'!$N$4:$N$311),'Match Log'!$N$4:$N$311,0)</f>
        <v>91</v>
      </c>
    </row>
    <row r="18" spans="1:8" ht="15" customHeight="1" x14ac:dyDescent="0.2">
      <c r="A18" s="92" t="s">
        <v>256</v>
      </c>
      <c r="B18" s="39" t="str">
        <f>TEXT(MAX('Match Log'!$M$4:$M$311),"+0")</f>
        <v>+43</v>
      </c>
      <c r="C18" s="39" t="str">
        <f>INDEX('Match Log'!$D$4:$D$311,$H18)</f>
        <v>Aaron</v>
      </c>
      <c r="D18" s="39" t="str">
        <f>INDEX('Match Log'!$C$4:$C$311,$H18)</f>
        <v>Kelly Pool</v>
      </c>
      <c r="E18" s="39" t="str">
        <f>TEXT(INDEX('Match Log'!$B$4:$B$311,$H18),"d mmm yyyy")</f>
        <v>2 Jun 2026</v>
      </c>
      <c r="F18" s="39" t="str">
        <f>IFERROR(IF(INDEX('Match Log'!$F$4:$F$311,$H18)=2,"beat "&amp;LOOKUP(2,1/(('Match Log'!$A$4:$A$311=INDEX('Match Log'!$A$4:$A$311,$H18))*('Match Log'!$D$4:$D$311&lt;&gt;$C18)),'Match Log'!$D$4:$D$311),"won "&amp;INDEX('Match Log'!$F$4:$F$311,$H18)&amp;"-player game"),"")</f>
        <v>won 8-player game</v>
      </c>
      <c r="H18">
        <f>MATCH(MAX('Match Log'!$M$4:$M$311),'Match Log'!$M$4:$M$311,0)</f>
        <v>4</v>
      </c>
    </row>
    <row r="19" spans="1:8" ht="15" customHeight="1" x14ac:dyDescent="0.2">
      <c r="A19" s="91" t="s">
        <v>257</v>
      </c>
      <c r="B19" s="36" t="str">
        <f>TEXT(MIN('Match Log'!$M$4:$M$311),"0")</f>
        <v>-32</v>
      </c>
      <c r="C19" s="36" t="str">
        <f>INDEX('Match Log'!$D$4:$D$311,$H19)</f>
        <v>Josh</v>
      </c>
      <c r="D19" s="36" t="str">
        <f>INDEX('Match Log'!$C$4:$C$311,$H19)</f>
        <v>Table Tennis</v>
      </c>
      <c r="E19" s="36" t="str">
        <f>TEXT(INDEX('Match Log'!$B$4:$B$311,$H19),"d mmm yyyy")</f>
        <v>3 Jun 2026</v>
      </c>
      <c r="F19" s="36" t="str">
        <f>IFERROR("lost to "&amp;INDEX('Match Log'!$G$4:$G$311,$H19),"")</f>
        <v>lost to Oscar</v>
      </c>
      <c r="H19">
        <f>MATCH(MIN('Match Log'!$M$4:$M$311),'Match Log'!$M$4:$M$311,0)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49</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"&amp;COUNTA(Lists!$C$2:$C$20)&amp;" sports available"</f>
        <v>of 19 sports available</v>
      </c>
    </row>
    <row r="23" spans="1:8" ht="15" customHeight="1" x14ac:dyDescent="0.2">
      <c r="A23" s="91" t="s">
        <v>262</v>
      </c>
      <c r="B23" s="36" t="str">
        <f>TEXT(MAX('Sport Records'!$P$8:$P$26),"0")&amp;" games"</f>
        <v>49 games</v>
      </c>
      <c r="C23" s="36" t="str">
        <f>INDEX('Sport Records'!$A$8:$A$26,MATCH(MAX('Sport Records'!$P$8:$P$26),'Sport Records'!$P$8:$P$26,0))</f>
        <v>ShuffleBoard</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35 points clear of Oscar.</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Shawn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Oscar is surging — up 3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49 games, more than anyone.</v>
      </c>
      <c r="B10" s="98"/>
      <c r="C10" s="98"/>
      <c r="D10" s="99"/>
      <c r="E10" s="100"/>
      <c r="F10" s="98"/>
    </row>
    <row r="11" spans="1:6" ht="15" customHeight="1" x14ac:dyDescent="0.2">
      <c r="A11" s="95" t="str">
        <f>"🎯  "&amp;INDEX('Sport Records'!$Q$8:$Q$26,MATCH(MAX('Sport Records'!$P$8:$P$26),'Sport Records'!$P$8:$P$26,0))&amp;" rules "&amp;INDEX('Sport Records'!$A$8:$A$26,MATCH(MAX('Sport Records'!$P$8:$P$26),'Sport Records'!$P$8:$P$26,0))&amp;" — the family's most-played game with "&amp;MAX('Sport Records'!$P$8:$P$26)&amp;" contests."</f>
        <v>🎯  Simon rules ShuffleBoard — the family's most-played game with 49 contests.</v>
      </c>
      <c r="B11" s="96"/>
      <c r="C11" s="96"/>
      <c r="D11" s="101"/>
      <c r="E11" s="102"/>
      <c r="F11" s="96"/>
    </row>
    <row r="12" spans="1:6" ht="15" customHeight="1" x14ac:dyDescent="0.2">
      <c r="A12" s="97" t="str">
        <f>"🎲  "&amp;MAX('Match Log'!$A$4:$A$311)&amp;" games played across "&amp;COUNTIF('Sport Records'!$P$8:$P$26,"&gt;0")&amp;" different sports — and counting."</f>
        <v>🎲  118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Oscar</v>
      </c>
      <c r="C18" s="109">
        <f>ROUND(LARGE(Calcs!$B$7:$B$20,2),0)</f>
        <v>1155</v>
      </c>
      <c r="D18" s="110" t="str">
        <f>IF(2=1,"— leader —",ROUND(MAX(Calcs!$B$7:$B$20)-LARGE(Calcs!$B$7:$B$20,2),0)&amp;" behind")</f>
        <v>35 behind</v>
      </c>
      <c r="E18" s="104"/>
      <c r="F18" s="26"/>
    </row>
    <row r="19" spans="1:6" ht="15" customHeight="1" x14ac:dyDescent="0.2">
      <c r="A19" s="109">
        <v>3</v>
      </c>
      <c r="B19" s="60" t="str">
        <f>INDEX(Calcs!$A$7:$A$20,MATCH(LARGE(Calcs!$B$7:$B$20,3),Calcs!$B$7:$B$20,0))</f>
        <v>Josh</v>
      </c>
      <c r="C19" s="109">
        <f>ROUND(LARGE(Calcs!$B$7:$B$20,3),0)</f>
        <v>1147</v>
      </c>
      <c r="D19" s="110" t="str">
        <f>IF(3=1,"— leader —",ROUND(MAX(Calcs!$B$7:$B$20)-LARGE(Calcs!$B$7:$B$20,3),0)&amp;" behind")</f>
        <v>42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Log'!$D$4:$D$311,$A23,'Match Log'!$C$4:$C$311,$D$21)</f>
        <v>3</v>
      </c>
      <c r="C23" s="36">
        <f>COUNTIFS('Match Log'!$D$4:$D$311,$A23,'Match Log'!$C$4:$C$311,$D$21,'Match Log'!$E$4:$E$311,"Win")</f>
        <v>3</v>
      </c>
      <c r="D23" s="62">
        <f t="shared" ref="D23:D36" si="0">IF($B23=0,"",$C23/$B23)</f>
        <v>1</v>
      </c>
      <c r="E23" s="63">
        <f>IFERROR(IF($B23=0,"",INDEX('Sport Records'!$B$91:$O$109,MATCH($D$21,'Sport Records'!$A$91:$A$109,0),MATCH($A23,'Sport Records'!$B$90:$O$90,0))),"")</f>
        <v>1041.6585373017128</v>
      </c>
      <c r="F23" s="36">
        <f t="shared" ref="F23:F36" si="1">IF($E23="","",RANK($E23,$E$23:$E$36))</f>
        <v>2</v>
      </c>
    </row>
    <row r="24" spans="1:6" x14ac:dyDescent="0.2">
      <c r="A24" s="65" t="s">
        <v>142</v>
      </c>
      <c r="B24" s="39">
        <f>COUNTIFS('Match Log'!$D$4:$D$311,$A24,'Match Log'!$C$4:$C$311,$D$21)</f>
        <v>0</v>
      </c>
      <c r="C24" s="39">
        <f>COUNTIFS('Match Log'!$D$4:$D$311,$A24,'Match Log'!$C$4:$C$311,$D$21,'Match Log'!$E$4:$E$311,"Win")</f>
        <v>0</v>
      </c>
      <c r="D24" s="66" t="str">
        <f t="shared" si="0"/>
        <v/>
      </c>
      <c r="E24" s="67" t="str">
        <f>IFERROR(IF($B24=0,"",INDEX('Sport Records'!$B$91:$O$109,MATCH($D$21,'Sport Records'!$A$91:$A$109,0),MATCH($A24,'Sport Records'!$B$90:$O$90,0))),"")</f>
        <v/>
      </c>
      <c r="F24" s="39" t="str">
        <f t="shared" si="1"/>
        <v/>
      </c>
    </row>
    <row r="25" spans="1:6" x14ac:dyDescent="0.2">
      <c r="A25" s="61" t="s">
        <v>180</v>
      </c>
      <c r="B25" s="36">
        <f>COUNTIFS('Match Log'!$D$4:$D$311,$A25,'Match Log'!$C$4:$C$311,$D$21)</f>
        <v>4</v>
      </c>
      <c r="C25" s="36">
        <f>COUNTIFS('Match Log'!$D$4:$D$311,$A25,'Match Log'!$C$4:$C$311,$D$21,'Match Log'!$E$4:$E$311,"Win")</f>
        <v>4</v>
      </c>
      <c r="D25" s="62">
        <f t="shared" si="0"/>
        <v>1</v>
      </c>
      <c r="E25" s="63">
        <f>IFERROR(IF($B25=0,"",INDEX('Sport Records'!$B$91:$O$109,MATCH($D$21,'Sport Records'!$A$91:$A$109,0),MATCH($A25,'Sport Records'!$B$90:$O$90,0))),"")</f>
        <v>1055.8009426289977</v>
      </c>
      <c r="F25" s="36">
        <f t="shared" si="1"/>
        <v>1</v>
      </c>
    </row>
    <row r="26" spans="1:6" x14ac:dyDescent="0.2">
      <c r="A26" s="65" t="s">
        <v>147</v>
      </c>
      <c r="B26" s="39">
        <f>COUNTIFS('Match Log'!$D$4:$D$311,$A26,'Match Log'!$C$4:$C$311,$D$21)</f>
        <v>0</v>
      </c>
      <c r="C26" s="39">
        <f>COUNTIFS('Match Log'!$D$4:$D$311,$A26,'Match Log'!$C$4:$C$311,$D$21,'Match Log'!$E$4:$E$311,"Win")</f>
        <v>0</v>
      </c>
      <c r="D26" s="66" t="str">
        <f t="shared" si="0"/>
        <v/>
      </c>
      <c r="E26" s="67" t="str">
        <f>IFERROR(IF($B26=0,"",INDEX('Sport Records'!$B$91:$O$109,MATCH($D$21,'Sport Records'!$A$91:$A$109,0),MATCH($A26,'Sport Records'!$B$90:$O$90,0))),"")</f>
        <v/>
      </c>
      <c r="F26" s="39" t="str">
        <f t="shared" si="1"/>
        <v/>
      </c>
    </row>
    <row r="27" spans="1:6" x14ac:dyDescent="0.2">
      <c r="A27" s="61" t="s">
        <v>144</v>
      </c>
      <c r="B27" s="36">
        <f>COUNTIFS('Match Log'!$D$4:$D$311,$A27,'Match Log'!$C$4:$C$311,$D$21)</f>
        <v>0</v>
      </c>
      <c r="C27" s="36">
        <f>COUNTIFS('Match Log'!$D$4:$D$311,$A27,'Match Log'!$C$4:$C$311,$D$21,'Match Log'!$E$4:$E$311,"Win")</f>
        <v>0</v>
      </c>
      <c r="D27" s="62" t="str">
        <f t="shared" si="0"/>
        <v/>
      </c>
      <c r="E27" s="63" t="str">
        <f>IFERROR(IF($B27=0,"",INDEX('Sport Records'!$B$91:$O$109,MATCH($D$21,'Sport Records'!$A$91:$A$109,0),MATCH($A27,'Sport Records'!$B$90:$O$90,0))),"")</f>
        <v/>
      </c>
      <c r="F27" s="36" t="str">
        <f t="shared" si="1"/>
        <v/>
      </c>
    </row>
    <row r="28" spans="1:6" x14ac:dyDescent="0.2">
      <c r="A28" s="65" t="s">
        <v>141</v>
      </c>
      <c r="B28" s="39">
        <f>COUNTIFS('Match Log'!$D$4:$D$311,$A28,'Match Log'!$C$4:$C$311,$D$21)</f>
        <v>7</v>
      </c>
      <c r="C28" s="39">
        <f>COUNTIFS('Match Log'!$D$4:$D$311,$A28,'Match Log'!$C$4:$C$311,$D$21,'Match Log'!$E$4:$E$311,"Win")</f>
        <v>0</v>
      </c>
      <c r="D28" s="66">
        <f t="shared" si="0"/>
        <v>0</v>
      </c>
      <c r="E28" s="67">
        <f>IFERROR(IF($B28=0,"",INDEX('Sport Records'!$B$91:$O$109,MATCH($D$21,'Sport Records'!$A$91:$A$109,0),MATCH($A28,'Sport Records'!$B$90:$O$90,0))),"")</f>
        <v>904.65647514018167</v>
      </c>
      <c r="F28" s="39">
        <f t="shared" si="1"/>
        <v>5</v>
      </c>
    </row>
    <row r="29" spans="1:6" x14ac:dyDescent="0.2">
      <c r="A29" s="61" t="s">
        <v>175</v>
      </c>
      <c r="B29" s="36">
        <f>COUNTIFS('Match Log'!$D$4:$D$311,$A29,'Match Log'!$C$4:$C$311,$D$21)</f>
        <v>0</v>
      </c>
      <c r="C29" s="36">
        <f>COUNTIFS('Match Log'!$D$4:$D$311,$A29,'Match Log'!$C$4:$C$311,$D$21,'Match Log'!$E$4:$E$311,"Win")</f>
        <v>0</v>
      </c>
      <c r="D29" s="62" t="str">
        <f t="shared" si="0"/>
        <v/>
      </c>
      <c r="E29" s="63" t="str">
        <f>IFERROR(IF($B29=0,"",INDEX('Sport Records'!$B$91:$O$109,MATCH($D$21,'Sport Records'!$A$91:$A$109,0),MATCH($A29,'Sport Records'!$B$90:$O$90,0))),"")</f>
        <v/>
      </c>
      <c r="F29" s="36" t="str">
        <f t="shared" si="1"/>
        <v/>
      </c>
    </row>
    <row r="30" spans="1:6" x14ac:dyDescent="0.2">
      <c r="A30" s="65" t="s">
        <v>177</v>
      </c>
      <c r="B30" s="39">
        <f>COUNTIFS('Match Log'!$D$4:$D$311,$A30,'Match Log'!$C$4:$C$311,$D$21)</f>
        <v>7</v>
      </c>
      <c r="C30" s="39">
        <f>COUNTIFS('Match Log'!$D$4:$D$311,$A30,'Match Log'!$C$4:$C$311,$D$21,'Match Log'!$E$4:$E$311,"Win")</f>
        <v>2</v>
      </c>
      <c r="D30" s="66">
        <f t="shared" si="0"/>
        <v>0.2857142857142857</v>
      </c>
      <c r="E30" s="67">
        <f>IFERROR(IF($B30=0,"",INDEX('Sport Records'!$B$91:$O$109,MATCH($D$21,'Sport Records'!$A$91:$A$109,0),MATCH($A30,'Sport Records'!$B$90:$O$90,0))),"")</f>
        <v>962.91641343501885</v>
      </c>
      <c r="F30" s="39">
        <f t="shared" si="1"/>
        <v>4</v>
      </c>
    </row>
    <row r="31" spans="1:6" x14ac:dyDescent="0.2">
      <c r="A31" s="61" t="s">
        <v>174</v>
      </c>
      <c r="B31" s="36">
        <f>COUNTIFS('Match Log'!$D$4:$D$311,$A31,'Match Log'!$C$4:$C$311,$D$21)</f>
        <v>0</v>
      </c>
      <c r="C31" s="36">
        <f>COUNTIFS('Match Log'!$D$4:$D$311,$A31,'Match Log'!$C$4:$C$311,$D$21,'Match Log'!$E$4:$E$311,"Win")</f>
        <v>0</v>
      </c>
      <c r="D31" s="62" t="str">
        <f t="shared" si="0"/>
        <v/>
      </c>
      <c r="E31" s="63" t="str">
        <f>IFERROR(IF($B31=0,"",INDEX('Sport Records'!$B$91:$O$109,MATCH($D$21,'Sport Records'!$A$91:$A$109,0),MATCH($A31,'Sport Records'!$B$90:$O$90,0))),"")</f>
        <v/>
      </c>
      <c r="F31" s="36" t="str">
        <f t="shared" si="1"/>
        <v/>
      </c>
    </row>
    <row r="32" spans="1:6" x14ac:dyDescent="0.2">
      <c r="A32" s="65" t="s">
        <v>182</v>
      </c>
      <c r="B32" s="39">
        <f>COUNTIFS('Match Log'!$D$4:$D$311,$A32,'Match Log'!$C$4:$C$311,$D$21)</f>
        <v>0</v>
      </c>
      <c r="C32" s="39">
        <f>COUNTIFS('Match Log'!$D$4:$D$311,$A32,'Match Log'!$C$4:$C$311,$D$21,'Match Log'!$E$4:$E$311,"Win")</f>
        <v>0</v>
      </c>
      <c r="D32" s="66" t="str">
        <f t="shared" si="0"/>
        <v/>
      </c>
      <c r="E32" s="67" t="str">
        <f>IFERROR(IF($B32=0,"",INDEX('Sport Records'!$B$91:$O$109,MATCH($D$21,'Sport Records'!$A$91:$A$109,0),MATCH($A32,'Sport Records'!$B$90:$O$90,0))),"")</f>
        <v/>
      </c>
      <c r="F32" s="39" t="str">
        <f t="shared" si="1"/>
        <v/>
      </c>
    </row>
    <row r="33" spans="1:21" x14ac:dyDescent="0.2">
      <c r="A33" s="61" t="s">
        <v>176</v>
      </c>
      <c r="B33" s="36">
        <f>COUNTIFS('Match Log'!$D$4:$D$311,$A33,'Match Log'!$C$4:$C$311,$D$21)</f>
        <v>7</v>
      </c>
      <c r="C33" s="36">
        <f>COUNTIFS('Match Log'!$D$4:$D$311,$A33,'Match Log'!$C$4:$C$311,$D$21,'Match Log'!$E$4:$E$311,"Win")</f>
        <v>5</v>
      </c>
      <c r="D33" s="62">
        <f t="shared" si="0"/>
        <v>0.7142857142857143</v>
      </c>
      <c r="E33" s="63">
        <f>IFERROR(IF($B33=0,"",INDEX('Sport Records'!$B$91:$O$109,MATCH($D$21,'Sport Records'!$A$91:$A$109,0),MATCH($A33,'Sport Records'!$B$90:$O$90,0))),"")</f>
        <v>1034.9676314940889</v>
      </c>
      <c r="F33" s="36">
        <f t="shared" si="1"/>
        <v>3</v>
      </c>
    </row>
    <row r="34" spans="1:21" x14ac:dyDescent="0.2">
      <c r="A34" s="65" t="s">
        <v>178</v>
      </c>
      <c r="B34" s="39">
        <f>COUNTIFS('Match Log'!$D$4:$D$311,$A34,'Match Log'!$C$4:$C$311,$D$21)</f>
        <v>0</v>
      </c>
      <c r="C34" s="39">
        <f>COUNTIFS('Match Log'!$D$4:$D$311,$A34,'Match Log'!$C$4:$C$311,$D$21,'Match Log'!$E$4:$E$311,"Win")</f>
        <v>0</v>
      </c>
      <c r="D34" s="66" t="str">
        <f t="shared" si="0"/>
        <v/>
      </c>
      <c r="E34" s="67" t="str">
        <f>IFERROR(IF($B34=0,"",INDEX('Sport Records'!$B$91:$O$109,MATCH($D$21,'Sport Records'!$A$91:$A$109,0),MATCH($A34,'Sport Records'!$B$90:$O$90,0))),"")</f>
        <v/>
      </c>
      <c r="F34" s="39" t="str">
        <f t="shared" si="1"/>
        <v/>
      </c>
    </row>
    <row r="35" spans="1:21" x14ac:dyDescent="0.2">
      <c r="A35" s="61" t="s">
        <v>179</v>
      </c>
      <c r="B35" s="36">
        <f>COUNTIFS('Match Log'!$D$4:$D$311,$A35,'Match Log'!$C$4:$C$311,$D$21)</f>
        <v>0</v>
      </c>
      <c r="C35" s="36">
        <f>COUNTIFS('Match Log'!$D$4:$D$311,$A35,'Match Log'!$C$4:$C$311,$D$21,'Match Log'!$E$4:$E$311,"Win")</f>
        <v>0</v>
      </c>
      <c r="D35" s="62" t="str">
        <f t="shared" si="0"/>
        <v/>
      </c>
      <c r="E35" s="63" t="str">
        <f>IFERROR(IF($B35=0,"",INDEX('Sport Records'!$B$91:$O$109,MATCH($D$21,'Sport Records'!$A$91:$A$109,0),MATCH($A35,'Sport Records'!$B$90:$O$90,0))),"")</f>
        <v/>
      </c>
      <c r="F35" s="36" t="str">
        <f t="shared" si="1"/>
        <v/>
      </c>
    </row>
    <row r="36" spans="1:21" x14ac:dyDescent="0.2">
      <c r="A36" s="65" t="s">
        <v>181</v>
      </c>
      <c r="B36" s="39">
        <f>COUNTIFS('Match Log'!$D$4:$D$311,$A36,'Match Log'!$C$4:$C$311,$D$21)</f>
        <v>0</v>
      </c>
      <c r="C36" s="39">
        <f>COUNTIFS('Match Log'!$D$4:$D$311,$A36,'Match Log'!$C$4:$C$311,$D$21,'Match Log'!$E$4:$E$311,"Win")</f>
        <v>0</v>
      </c>
      <c r="D36" s="66" t="str">
        <f t="shared" si="0"/>
        <v/>
      </c>
      <c r="E36" s="67" t="str">
        <f>IFERROR(IF($B36=0,"",INDEX('Sport Records'!$B$91:$O$109,MATCH($D$21,'Sport Records'!$A$91:$A$109,0),MATCH($A36,'Sport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Log'!$E$1:$E$311,_xlfn.AGGREGATE(14,6,ROW('Match Log'!$A$4:$A$311)/('Match Log'!$D$4:$D$311=$A40),10))="Win","W","L"),"")</f>
        <v>L</v>
      </c>
      <c r="C40" s="112" t="str">
        <f>IFERROR(IF(INDEX('Match Log'!$E$1:$E$311,_xlfn.AGGREGATE(14,6,ROW('Match Log'!$A$4:$A$311)/('Match Log'!$D$4:$D$311=$A40),9))="Win","W","L"),"")</f>
        <v>W</v>
      </c>
      <c r="D40" s="112" t="str">
        <f>IFERROR(IF(INDEX('Match Log'!$E$1:$E$311,_xlfn.AGGREGATE(14,6,ROW('Match Log'!$A$4:$A$311)/('Match Log'!$D$4:$D$311=$A40),8))="Win","W","L"),"")</f>
        <v>W</v>
      </c>
      <c r="E40" s="112" t="str">
        <f>IFERROR(IF(INDEX('Match Log'!$E$1:$E$311,_xlfn.AGGREGATE(14,6,ROW('Match Log'!$A$4:$A$311)/('Match Log'!$D$4:$D$311=$A40),7))="Win","W","L"),"")</f>
        <v>L</v>
      </c>
      <c r="F40" s="112" t="str">
        <f>IFERROR(IF(INDEX('Match Log'!$E$1:$E$311,_xlfn.AGGREGATE(14,6,ROW('Match Log'!$A$4:$A$311)/('Match Log'!$D$4:$D$311=$A40),6))="Win","W","L"),"")</f>
        <v>L</v>
      </c>
      <c r="G40" s="112" t="str">
        <f>IFERROR(IF(INDEX('Match Log'!$E$1:$E$311,_xlfn.AGGREGATE(14,6,ROW('Match Log'!$A$4:$A$311)/('Match Log'!$D$4:$D$311=$A40),5))="Win","W","L"),"")</f>
        <v>W</v>
      </c>
      <c r="H40" s="112" t="str">
        <f>IFERROR(IF(INDEX('Match Log'!$E$1:$E$311,_xlfn.AGGREGATE(14,6,ROW('Match Log'!$A$4:$A$311)/('Match Log'!$D$4:$D$311=$A40),4))="Win","W","L"),"")</f>
        <v>W</v>
      </c>
      <c r="I40" s="112" t="str">
        <f>IFERROR(IF(INDEX('Match Log'!$E$1:$E$311,_xlfn.AGGREGATE(14,6,ROW('Match Log'!$A$4:$A$311)/('Match Log'!$D$4:$D$311=$A40),3))="Win","W","L"),"")</f>
        <v>W</v>
      </c>
      <c r="J40" s="112" t="str">
        <f>IFERROR(IF(INDEX('Match Log'!$E$1:$E$311,_xlfn.AGGREGATE(14,6,ROW('Match Log'!$A$4:$A$311)/('Match Log'!$D$4:$D$311=$A40),2))="Win","W","L"),"")</f>
        <v>W</v>
      </c>
      <c r="K40" s="112" t="str">
        <f>IFERROR(IF(INDEX('Match Log'!$E$1:$E$311,_xlfn.AGGREGATE(14,6,ROW('Match Log'!$A$4:$A$311)/('Match Log'!$D$4:$D$311=$A40),1))="Win","W","L"),"")</f>
        <v>W</v>
      </c>
    </row>
    <row r="41" spans="1:21" x14ac:dyDescent="0.2">
      <c r="A41" s="91" t="s">
        <v>142</v>
      </c>
      <c r="B41" s="112" t="str">
        <f>IFERROR(IF(INDEX('Match Log'!$E$1:$E$311,_xlfn.AGGREGATE(14,6,ROW('Match Log'!$A$4:$A$311)/('Match Log'!$D$4:$D$311=$A41),10))="Win","W","L"),"")</f>
        <v>L</v>
      </c>
      <c r="C41" s="112" t="str">
        <f>IFERROR(IF(INDEX('Match Log'!$E$1:$E$311,_xlfn.AGGREGATE(14,6,ROW('Match Log'!$A$4:$A$311)/('Match Log'!$D$4:$D$311=$A41),9))="Win","W","L"),"")</f>
        <v>W</v>
      </c>
      <c r="D41" s="112" t="str">
        <f>IFERROR(IF(INDEX('Match Log'!$E$1:$E$311,_xlfn.AGGREGATE(14,6,ROW('Match Log'!$A$4:$A$311)/('Match Log'!$D$4:$D$311=$A41),8))="Win","W","L"),"")</f>
        <v>W</v>
      </c>
      <c r="E41" s="112" t="str">
        <f>IFERROR(IF(INDEX('Match Log'!$E$1:$E$311,_xlfn.AGGREGATE(14,6,ROW('Match Log'!$A$4:$A$311)/('Match Log'!$D$4:$D$311=$A41),7))="Win","W","L"),"")</f>
        <v>L</v>
      </c>
      <c r="F41" s="112" t="str">
        <f>IFERROR(IF(INDEX('Match Log'!$E$1:$E$311,_xlfn.AGGREGATE(14,6,ROW('Match Log'!$A$4:$A$311)/('Match Log'!$D$4:$D$311=$A41),6))="Win","W","L"),"")</f>
        <v>W</v>
      </c>
      <c r="G41" s="112" t="str">
        <f>IFERROR(IF(INDEX('Match Log'!$E$1:$E$311,_xlfn.AGGREGATE(14,6,ROW('Match Log'!$A$4:$A$311)/('Match Log'!$D$4:$D$311=$A41),5))="Win","W","L"),"")</f>
        <v>L</v>
      </c>
      <c r="H41" s="112" t="str">
        <f>IFERROR(IF(INDEX('Match Log'!$E$1:$E$311,_xlfn.AGGREGATE(14,6,ROW('Match Log'!$A$4:$A$311)/('Match Log'!$D$4:$D$311=$A41),4))="Win","W","L"),"")</f>
        <v>W</v>
      </c>
      <c r="I41" s="112" t="str">
        <f>IFERROR(IF(INDEX('Match Log'!$E$1:$E$311,_xlfn.AGGREGATE(14,6,ROW('Match Log'!$A$4:$A$311)/('Match Log'!$D$4:$D$311=$A41),3))="Win","W","L"),"")</f>
        <v>W</v>
      </c>
      <c r="J41" s="112" t="str">
        <f>IFERROR(IF(INDEX('Match Log'!$E$1:$E$311,_xlfn.AGGREGATE(14,6,ROW('Match Log'!$A$4:$A$311)/('Match Log'!$D$4:$D$311=$A41),2))="Win","W","L"),"")</f>
        <v>L</v>
      </c>
      <c r="K41" s="112" t="str">
        <f>IFERROR(IF(INDEX('Match Log'!$E$1:$E$311,_xlfn.AGGREGATE(14,6,ROW('Match Log'!$A$4:$A$311)/('Match Log'!$D$4:$D$311=$A41),1))="Win","W","L"),"")</f>
        <v>L</v>
      </c>
    </row>
    <row r="42" spans="1:21" x14ac:dyDescent="0.2">
      <c r="A42" s="91" t="s">
        <v>180</v>
      </c>
      <c r="B42" s="112" t="str">
        <f>IFERROR(IF(INDEX('Match Log'!$E$1:$E$311,_xlfn.AGGREGATE(14,6,ROW('Match Log'!$A$4:$A$311)/('Match Log'!$D$4:$D$311=$A42),10))="Win","W","L"),"")</f>
        <v>L</v>
      </c>
      <c r="C42" s="112" t="str">
        <f>IFERROR(IF(INDEX('Match Log'!$E$1:$E$311,_xlfn.AGGREGATE(14,6,ROW('Match Log'!$A$4:$A$311)/('Match Log'!$D$4:$D$311=$A42),9))="Win","W","L"),"")</f>
        <v>L</v>
      </c>
      <c r="D42" s="112" t="str">
        <f>IFERROR(IF(INDEX('Match Log'!$E$1:$E$311,_xlfn.AGGREGATE(14,6,ROW('Match Log'!$A$4:$A$311)/('Match Log'!$D$4:$D$311=$A42),8))="Win","W","L"),"")</f>
        <v>W</v>
      </c>
      <c r="E42" s="112" t="str">
        <f>IFERROR(IF(INDEX('Match Log'!$E$1:$E$311,_xlfn.AGGREGATE(14,6,ROW('Match Log'!$A$4:$A$311)/('Match Log'!$D$4:$D$311=$A42),7))="Win","W","L"),"")</f>
        <v>W</v>
      </c>
      <c r="F42" s="112" t="str">
        <f>IFERROR(IF(INDEX('Match Log'!$E$1:$E$311,_xlfn.AGGREGATE(14,6,ROW('Match Log'!$A$4:$A$311)/('Match Log'!$D$4:$D$311=$A42),6))="Win","W","L"),"")</f>
        <v>W</v>
      </c>
      <c r="G42" s="112" t="str">
        <f>IFERROR(IF(INDEX('Match Log'!$E$1:$E$311,_xlfn.AGGREGATE(14,6,ROW('Match Log'!$A$4:$A$311)/('Match Log'!$D$4:$D$311=$A42),5))="Win","W","L"),"")</f>
        <v>W</v>
      </c>
      <c r="H42" s="112" t="str">
        <f>IFERROR(IF(INDEX('Match Log'!$E$1:$E$311,_xlfn.AGGREGATE(14,6,ROW('Match Log'!$A$4:$A$311)/('Match Log'!$D$4:$D$311=$A42),4))="Win","W","L"),"")</f>
        <v>L</v>
      </c>
      <c r="I42" s="112" t="str">
        <f>IFERROR(IF(INDEX('Match Log'!$E$1:$E$311,_xlfn.AGGREGATE(14,6,ROW('Match Log'!$A$4:$A$311)/('Match Log'!$D$4:$D$311=$A42),3))="Win","W","L"),"")</f>
        <v>L</v>
      </c>
      <c r="J42" s="112" t="str">
        <f>IFERROR(IF(INDEX('Match Log'!$E$1:$E$311,_xlfn.AGGREGATE(14,6,ROW('Match Log'!$A$4:$A$311)/('Match Log'!$D$4:$D$311=$A42),2))="Win","W","L"),"")</f>
        <v>L</v>
      </c>
      <c r="K42" s="112" t="str">
        <f>IFERROR(IF(INDEX('Match Log'!$E$1:$E$311,_xlfn.AGGREGATE(14,6,ROW('Match Log'!$A$4:$A$311)/('Match Log'!$D$4:$D$311=$A42),1))="Win","W","L"),"")</f>
        <v>W</v>
      </c>
    </row>
    <row r="43" spans="1:21" x14ac:dyDescent="0.2">
      <c r="A43" s="91" t="s">
        <v>147</v>
      </c>
      <c r="B43" s="112" t="str">
        <f>IFERROR(IF(INDEX('Match Log'!$E$1:$E$311,_xlfn.AGGREGATE(14,6,ROW('Match Log'!$A$4:$A$311)/('Match Log'!$D$4:$D$311=$A43),10))="Win","W","L"),"")</f>
        <v>L</v>
      </c>
      <c r="C43" s="112" t="str">
        <f>IFERROR(IF(INDEX('Match Log'!$E$1:$E$311,_xlfn.AGGREGATE(14,6,ROW('Match Log'!$A$4:$A$311)/('Match Log'!$D$4:$D$311=$A43),9))="Win","W","L"),"")</f>
        <v>W</v>
      </c>
      <c r="D43" s="112" t="str">
        <f>IFERROR(IF(INDEX('Match Log'!$E$1:$E$311,_xlfn.AGGREGATE(14,6,ROW('Match Log'!$A$4:$A$311)/('Match Log'!$D$4:$D$311=$A43),8))="Win","W","L"),"")</f>
        <v>L</v>
      </c>
      <c r="E43" s="112" t="str">
        <f>IFERROR(IF(INDEX('Match Log'!$E$1:$E$311,_xlfn.AGGREGATE(14,6,ROW('Match Log'!$A$4:$A$311)/('Match Log'!$D$4:$D$311=$A43),7))="Win","W","L"),"")</f>
        <v>W</v>
      </c>
      <c r="F43" s="112" t="str">
        <f>IFERROR(IF(INDEX('Match Log'!$E$1:$E$311,_xlfn.AGGREGATE(14,6,ROW('Match Log'!$A$4:$A$311)/('Match Log'!$D$4:$D$311=$A43),6))="Win","W","L"),"")</f>
        <v>L</v>
      </c>
      <c r="G43" s="112" t="str">
        <f>IFERROR(IF(INDEX('Match Log'!$E$1:$E$311,_xlfn.AGGREGATE(14,6,ROW('Match Log'!$A$4:$A$311)/('Match Log'!$D$4:$D$311=$A43),5))="Win","W","L"),"")</f>
        <v>L</v>
      </c>
      <c r="H43" s="112" t="str">
        <f>IFERROR(IF(INDEX('Match Log'!$E$1:$E$311,_xlfn.AGGREGATE(14,6,ROW('Match Log'!$A$4:$A$311)/('Match Log'!$D$4:$D$311=$A43),4))="Win","W","L"),"")</f>
        <v>L</v>
      </c>
      <c r="I43" s="112" t="str">
        <f>IFERROR(IF(INDEX('Match Log'!$E$1:$E$311,_xlfn.AGGREGATE(14,6,ROW('Match Log'!$A$4:$A$311)/('Match Log'!$D$4:$D$311=$A43),3))="Win","W","L"),"")</f>
        <v>L</v>
      </c>
      <c r="J43" s="112" t="str">
        <f>IFERROR(IF(INDEX('Match Log'!$E$1:$E$311,_xlfn.AGGREGATE(14,6,ROW('Match Log'!$A$4:$A$311)/('Match Log'!$D$4:$D$311=$A43),2))="Win","W","L"),"")</f>
        <v>W</v>
      </c>
      <c r="K43" s="112" t="str">
        <f>IFERROR(IF(INDEX('Match Log'!$E$1:$E$311,_xlfn.AGGREGATE(14,6,ROW('Match Log'!$A$4:$A$311)/('Match Log'!$D$4:$D$311=$A43),1))="Win","W","L"),"")</f>
        <v>W</v>
      </c>
    </row>
    <row r="44" spans="1:21" x14ac:dyDescent="0.2">
      <c r="A44" s="91" t="s">
        <v>144</v>
      </c>
      <c r="B44" s="112" t="str">
        <f>IFERROR(IF(INDEX('Match Log'!$E$1:$E$311,_xlfn.AGGREGATE(14,6,ROW('Match Log'!$A$4:$A$311)/('Match Log'!$D$4:$D$311=$A44),10))="Win","W","L"),"")</f>
        <v>W</v>
      </c>
      <c r="C44" s="112" t="str">
        <f>IFERROR(IF(INDEX('Match Log'!$E$1:$E$311,_xlfn.AGGREGATE(14,6,ROW('Match Log'!$A$4:$A$311)/('Match Log'!$D$4:$D$311=$A44),9))="Win","W","L"),"")</f>
        <v>L</v>
      </c>
      <c r="D44" s="112" t="str">
        <f>IFERROR(IF(INDEX('Match Log'!$E$1:$E$311,_xlfn.AGGREGATE(14,6,ROW('Match Log'!$A$4:$A$311)/('Match Log'!$D$4:$D$311=$A44),8))="Win","W","L"),"")</f>
        <v>W</v>
      </c>
      <c r="E44" s="112" t="str">
        <f>IFERROR(IF(INDEX('Match Log'!$E$1:$E$311,_xlfn.AGGREGATE(14,6,ROW('Match Log'!$A$4:$A$311)/('Match Log'!$D$4:$D$311=$A44),7))="Win","W","L"),"")</f>
        <v>L</v>
      </c>
      <c r="F44" s="112" t="str">
        <f>IFERROR(IF(INDEX('Match Log'!$E$1:$E$311,_xlfn.AGGREGATE(14,6,ROW('Match Log'!$A$4:$A$311)/('Match Log'!$D$4:$D$311=$A44),6))="Win","W","L"),"")</f>
        <v>L</v>
      </c>
      <c r="G44" s="112" t="str">
        <f>IFERROR(IF(INDEX('Match Log'!$E$1:$E$311,_xlfn.AGGREGATE(14,6,ROW('Match Log'!$A$4:$A$311)/('Match Log'!$D$4:$D$311=$A44),5))="Win","W","L"),"")</f>
        <v>L</v>
      </c>
      <c r="H44" s="112" t="str">
        <f>IFERROR(IF(INDEX('Match Log'!$E$1:$E$311,_xlfn.AGGREGATE(14,6,ROW('Match Log'!$A$4:$A$311)/('Match Log'!$D$4:$D$311=$A44),4))="Win","W","L"),"")</f>
        <v>L</v>
      </c>
      <c r="I44" s="112" t="str">
        <f>IFERROR(IF(INDEX('Match Log'!$E$1:$E$311,_xlfn.AGGREGATE(14,6,ROW('Match Log'!$A$4:$A$311)/('Match Log'!$D$4:$D$311=$A44),3))="Win","W","L"),"")</f>
        <v>W</v>
      </c>
      <c r="J44" s="112" t="str">
        <f>IFERROR(IF(INDEX('Match Log'!$E$1:$E$311,_xlfn.AGGREGATE(14,6,ROW('Match Log'!$A$4:$A$311)/('Match Log'!$D$4:$D$311=$A44),2))="Win","W","L"),"")</f>
        <v>W</v>
      </c>
      <c r="K44" s="112" t="str">
        <f>IFERROR(IF(INDEX('Match Log'!$E$1:$E$311,_xlfn.AGGREGATE(14,6,ROW('Match Log'!$A$4:$A$311)/('Match Log'!$D$4:$D$311=$A44),1))="Win","W","L"),"")</f>
        <v>L</v>
      </c>
    </row>
    <row r="45" spans="1:21" x14ac:dyDescent="0.2">
      <c r="A45" s="91" t="s">
        <v>141</v>
      </c>
      <c r="B45" s="112" t="str">
        <f>IFERROR(IF(INDEX('Match Log'!$E$1:$E$311,_xlfn.AGGREGATE(14,6,ROW('Match Log'!$A$4:$A$311)/('Match Log'!$D$4:$D$311=$A45),10))="Win","W","L"),"")</f>
        <v>L</v>
      </c>
      <c r="C45" s="112" t="str">
        <f>IFERROR(IF(INDEX('Match Log'!$E$1:$E$311,_xlfn.AGGREGATE(14,6,ROW('Match Log'!$A$4:$A$311)/('Match Log'!$D$4:$D$311=$A45),9))="Win","W","L"),"")</f>
        <v>L</v>
      </c>
      <c r="D45" s="112" t="str">
        <f>IFERROR(IF(INDEX('Match Log'!$E$1:$E$311,_xlfn.AGGREGATE(14,6,ROW('Match Log'!$A$4:$A$311)/('Match Log'!$D$4:$D$311=$A45),8))="Win","W","L"),"")</f>
        <v>L</v>
      </c>
      <c r="E45" s="112" t="str">
        <f>IFERROR(IF(INDEX('Match Log'!$E$1:$E$311,_xlfn.AGGREGATE(14,6,ROW('Match Log'!$A$4:$A$311)/('Match Log'!$D$4:$D$311=$A45),7))="Win","W","L"),"")</f>
        <v>L</v>
      </c>
      <c r="F45" s="112" t="str">
        <f>IFERROR(IF(INDEX('Match Log'!$E$1:$E$311,_xlfn.AGGREGATE(14,6,ROW('Match Log'!$A$4:$A$311)/('Match Log'!$D$4:$D$311=$A45),6))="Win","W","L"),"")</f>
        <v>L</v>
      </c>
      <c r="G45" s="112" t="str">
        <f>IFERROR(IF(INDEX('Match Log'!$E$1:$E$311,_xlfn.AGGREGATE(14,6,ROW('Match Log'!$A$4:$A$311)/('Match Log'!$D$4:$D$311=$A45),5))="Win","W","L"),"")</f>
        <v>W</v>
      </c>
      <c r="H45" s="112" t="str">
        <f>IFERROR(IF(INDEX('Match Log'!$E$1:$E$311,_xlfn.AGGREGATE(14,6,ROW('Match Log'!$A$4:$A$311)/('Match Log'!$D$4:$D$311=$A45),4))="Win","W","L"),"")</f>
        <v>L</v>
      </c>
      <c r="I45" s="112" t="str">
        <f>IFERROR(IF(INDEX('Match Log'!$E$1:$E$311,_xlfn.AGGREGATE(14,6,ROW('Match Log'!$A$4:$A$311)/('Match Log'!$D$4:$D$311=$A45),3))="Win","W","L"),"")</f>
        <v>L</v>
      </c>
      <c r="J45" s="112" t="str">
        <f>IFERROR(IF(INDEX('Match Log'!$E$1:$E$311,_xlfn.AGGREGATE(14,6,ROW('Match Log'!$A$4:$A$311)/('Match Log'!$D$4:$D$311=$A45),2))="Win","W","L"),"")</f>
        <v>L</v>
      </c>
      <c r="K45" s="112" t="str">
        <f>IFERROR(IF(INDEX('Match Log'!$E$1:$E$311,_xlfn.AGGREGATE(14,6,ROW('Match Log'!$A$4:$A$311)/('Match Log'!$D$4:$D$311=$A45),1))="Win","W","L"),"")</f>
        <v>L</v>
      </c>
    </row>
    <row r="46" spans="1:21" x14ac:dyDescent="0.2">
      <c r="A46" s="91" t="s">
        <v>175</v>
      </c>
      <c r="B46" s="112" t="str">
        <f>IFERROR(IF(INDEX('Match Log'!$E$1:$E$311,_xlfn.AGGREGATE(14,6,ROW('Match Log'!$A$4:$A$311)/('Match Log'!$D$4:$D$311=$A46),10))="Win","W","L"),"")</f>
        <v>W</v>
      </c>
      <c r="C46" s="112" t="str">
        <f>IFERROR(IF(INDEX('Match Log'!$E$1:$E$311,_xlfn.AGGREGATE(14,6,ROW('Match Log'!$A$4:$A$311)/('Match Log'!$D$4:$D$311=$A46),9))="Win","W","L"),"")</f>
        <v>L</v>
      </c>
      <c r="D46" s="112" t="str">
        <f>IFERROR(IF(INDEX('Match Log'!$E$1:$E$311,_xlfn.AGGREGATE(14,6,ROW('Match Log'!$A$4:$A$311)/('Match Log'!$D$4:$D$311=$A46),8))="Win","W","L"),"")</f>
        <v>W</v>
      </c>
      <c r="E46" s="112" t="str">
        <f>IFERROR(IF(INDEX('Match Log'!$E$1:$E$311,_xlfn.AGGREGATE(14,6,ROW('Match Log'!$A$4:$A$311)/('Match Log'!$D$4:$D$311=$A46),7))="Win","W","L"),"")</f>
        <v>L</v>
      </c>
      <c r="F46" s="112" t="str">
        <f>IFERROR(IF(INDEX('Match Log'!$E$1:$E$311,_xlfn.AGGREGATE(14,6,ROW('Match Log'!$A$4:$A$311)/('Match Log'!$D$4:$D$311=$A46),6))="Win","W","L"),"")</f>
        <v>L</v>
      </c>
      <c r="G46" s="112" t="str">
        <f>IFERROR(IF(INDEX('Match Log'!$E$1:$E$311,_xlfn.AGGREGATE(14,6,ROW('Match Log'!$A$4:$A$311)/('Match Log'!$D$4:$D$311=$A46),5))="Win","W","L"),"")</f>
        <v>W</v>
      </c>
      <c r="H46" s="112" t="str">
        <f>IFERROR(IF(INDEX('Match Log'!$E$1:$E$311,_xlfn.AGGREGATE(14,6,ROW('Match Log'!$A$4:$A$311)/('Match Log'!$D$4:$D$311=$A46),4))="Win","W","L"),"")</f>
        <v>W</v>
      </c>
      <c r="I46" s="112" t="str">
        <f>IFERROR(IF(INDEX('Match Log'!$E$1:$E$311,_xlfn.AGGREGATE(14,6,ROW('Match Log'!$A$4:$A$311)/('Match Log'!$D$4:$D$311=$A46),3))="Win","W","L"),"")</f>
        <v>L</v>
      </c>
      <c r="J46" s="112" t="str">
        <f>IFERROR(IF(INDEX('Match Log'!$E$1:$E$311,_xlfn.AGGREGATE(14,6,ROW('Match Log'!$A$4:$A$311)/('Match Log'!$D$4:$D$311=$A46),2))="Win","W","L"),"")</f>
        <v>L</v>
      </c>
      <c r="K46" s="112" t="str">
        <f>IFERROR(IF(INDEX('Match Log'!$E$1:$E$311,_xlfn.AGGREGATE(14,6,ROW('Match Log'!$A$4:$A$311)/('Match Log'!$D$4:$D$311=$A46),1))="Win","W","L"),"")</f>
        <v>L</v>
      </c>
      <c r="L46" s="26"/>
      <c r="M46" s="26"/>
      <c r="N46" s="26"/>
      <c r="O46" s="26"/>
      <c r="P46" s="26"/>
      <c r="Q46" s="26"/>
      <c r="R46" s="26"/>
      <c r="S46" s="26"/>
      <c r="T46" s="26"/>
      <c r="U46" s="26"/>
    </row>
    <row r="47" spans="1:21" x14ac:dyDescent="0.2">
      <c r="A47" s="91" t="s">
        <v>177</v>
      </c>
      <c r="B47" s="112" t="str">
        <f>IFERROR(IF(INDEX('Match Log'!$E$1:$E$311,_xlfn.AGGREGATE(14,6,ROW('Match Log'!$A$4:$A$311)/('Match Log'!$D$4:$D$311=$A47),10))="Win","W","L"),"")</f>
        <v>W</v>
      </c>
      <c r="C47" s="112" t="str">
        <f>IFERROR(IF(INDEX('Match Log'!$E$1:$E$311,_xlfn.AGGREGATE(14,6,ROW('Match Log'!$A$4:$A$311)/('Match Log'!$D$4:$D$311=$A47),9))="Win","W","L"),"")</f>
        <v>L</v>
      </c>
      <c r="D47" s="112" t="str">
        <f>IFERROR(IF(INDEX('Match Log'!$E$1:$E$311,_xlfn.AGGREGATE(14,6,ROW('Match Log'!$A$4:$A$311)/('Match Log'!$D$4:$D$311=$A47),8))="Win","W","L"),"")</f>
        <v>L</v>
      </c>
      <c r="E47" s="112" t="str">
        <f>IFERROR(IF(INDEX('Match Log'!$E$1:$E$311,_xlfn.AGGREGATE(14,6,ROW('Match Log'!$A$4:$A$311)/('Match Log'!$D$4:$D$311=$A47),7))="Win","W","L"),"")</f>
        <v>L</v>
      </c>
      <c r="F47" s="112" t="str">
        <f>IFERROR(IF(INDEX('Match Log'!$E$1:$E$311,_xlfn.AGGREGATE(14,6,ROW('Match Log'!$A$4:$A$311)/('Match Log'!$D$4:$D$311=$A47),6))="Win","W","L"),"")</f>
        <v>W</v>
      </c>
      <c r="G47" s="112" t="str">
        <f>IFERROR(IF(INDEX('Match Log'!$E$1:$E$311,_xlfn.AGGREGATE(14,6,ROW('Match Log'!$A$4:$A$311)/('Match Log'!$D$4:$D$311=$A47),5))="Win","W","L"),"")</f>
        <v>W</v>
      </c>
      <c r="H47" s="112" t="str">
        <f>IFERROR(IF(INDEX('Match Log'!$E$1:$E$311,_xlfn.AGGREGATE(14,6,ROW('Match Log'!$A$4:$A$311)/('Match Log'!$D$4:$D$311=$A47),4))="Win","W","L"),"")</f>
        <v>L</v>
      </c>
      <c r="I47" s="112" t="str">
        <f>IFERROR(IF(INDEX('Match Log'!$E$1:$E$311,_xlfn.AGGREGATE(14,6,ROW('Match Log'!$A$4:$A$311)/('Match Log'!$D$4:$D$311=$A47),3))="Win","W","L"),"")</f>
        <v>L</v>
      </c>
      <c r="J47" s="112" t="str">
        <f>IFERROR(IF(INDEX('Match Log'!$E$1:$E$311,_xlfn.AGGREGATE(14,6,ROW('Match Log'!$A$4:$A$311)/('Match Log'!$D$4:$D$311=$A47),2))="Win","W","L"),"")</f>
        <v>W</v>
      </c>
      <c r="K47" s="112" t="str">
        <f>IFERROR(IF(INDEX('Match Log'!$E$1:$E$311,_xlfn.AGGREGATE(14,6,ROW('Match Log'!$A$4:$A$311)/('Match Log'!$D$4:$D$311=$A47),1))="Win","W","L"),"")</f>
        <v>L</v>
      </c>
      <c r="L47" s="26"/>
      <c r="M47" s="26"/>
      <c r="N47" s="26"/>
      <c r="O47" s="26"/>
      <c r="P47" s="26"/>
      <c r="Q47" s="26"/>
      <c r="R47" s="26"/>
      <c r="S47" s="26"/>
      <c r="T47" s="26"/>
      <c r="U47" s="26"/>
    </row>
    <row r="48" spans="1:21" ht="15.75" customHeight="1" x14ac:dyDescent="0.2">
      <c r="A48" s="91" t="s">
        <v>174</v>
      </c>
      <c r="B48" s="112" t="str">
        <f>IFERROR(IF(INDEX('Match Log'!$E$1:$E$311,_xlfn.AGGREGATE(14,6,ROW('Match Log'!$A$4:$A$311)/('Match Log'!$D$4:$D$311=$A48),10))="Win","W","L"),"")</f>
        <v>W</v>
      </c>
      <c r="C48" s="112" t="str">
        <f>IFERROR(IF(INDEX('Match Log'!$E$1:$E$311,_xlfn.AGGREGATE(14,6,ROW('Match Log'!$A$4:$A$311)/('Match Log'!$D$4:$D$311=$A48),9))="Win","W","L"),"")</f>
        <v>W</v>
      </c>
      <c r="D48" s="112" t="str">
        <f>IFERROR(IF(INDEX('Match Log'!$E$1:$E$311,_xlfn.AGGREGATE(14,6,ROW('Match Log'!$A$4:$A$311)/('Match Log'!$D$4:$D$311=$A48),8))="Win","W","L"),"")</f>
        <v>L</v>
      </c>
      <c r="E48" s="112" t="str">
        <f>IFERROR(IF(INDEX('Match Log'!$E$1:$E$311,_xlfn.AGGREGATE(14,6,ROW('Match Log'!$A$4:$A$311)/('Match Log'!$D$4:$D$311=$A48),7))="Win","W","L"),"")</f>
        <v>W</v>
      </c>
      <c r="F48" s="112" t="str">
        <f>IFERROR(IF(INDEX('Match Log'!$E$1:$E$311,_xlfn.AGGREGATE(14,6,ROW('Match Log'!$A$4:$A$311)/('Match Log'!$D$4:$D$311=$A48),6))="Win","W","L"),"")</f>
        <v>W</v>
      </c>
      <c r="G48" s="112" t="str">
        <f>IFERROR(IF(INDEX('Match Log'!$E$1:$E$311,_xlfn.AGGREGATE(14,6,ROW('Match Log'!$A$4:$A$311)/('Match Log'!$D$4:$D$311=$A48),5))="Win","W","L"),"")</f>
        <v>L</v>
      </c>
      <c r="H48" s="112" t="str">
        <f>IFERROR(IF(INDEX('Match Log'!$E$1:$E$311,_xlfn.AGGREGATE(14,6,ROW('Match Log'!$A$4:$A$311)/('Match Log'!$D$4:$D$311=$A48),4))="Win","W","L"),"")</f>
        <v>L</v>
      </c>
      <c r="I48" s="112" t="str">
        <f>IFERROR(IF(INDEX('Match Log'!$E$1:$E$311,_xlfn.AGGREGATE(14,6,ROW('Match Log'!$A$4:$A$311)/('Match Log'!$D$4:$D$311=$A48),3))="Win","W","L"),"")</f>
        <v>L</v>
      </c>
      <c r="J48" s="112" t="str">
        <f>IFERROR(IF(INDEX('Match Log'!$E$1:$E$311,_xlfn.AGGREGATE(14,6,ROW('Match Log'!$A$4:$A$311)/('Match Log'!$D$4:$D$311=$A48),2))="Win","W","L"),"")</f>
        <v>W</v>
      </c>
      <c r="K48" s="112" t="str">
        <f>IFERROR(IF(INDEX('Match Log'!$E$1:$E$311,_xlfn.AGGREGATE(14,6,ROW('Match Log'!$A$4:$A$311)/('Match Log'!$D$4:$D$311=$A48),1))="Win","W","L"),"")</f>
        <v>W</v>
      </c>
      <c r="L48" s="26"/>
      <c r="M48" s="26"/>
      <c r="N48" s="26"/>
      <c r="O48" s="26"/>
      <c r="P48" s="26"/>
      <c r="Q48" s="26"/>
      <c r="R48" s="26"/>
      <c r="S48" s="26"/>
      <c r="T48" s="26"/>
      <c r="U48" s="26"/>
    </row>
    <row r="49" spans="1:21" x14ac:dyDescent="0.2">
      <c r="A49" s="91" t="s">
        <v>182</v>
      </c>
      <c r="B49" s="112" t="str">
        <f>IFERROR(IF(INDEX('Match Log'!$E$1:$E$311,_xlfn.AGGREGATE(14,6,ROW('Match Log'!$A$4:$A$311)/('Match Log'!$D$4:$D$311=$A49),10))="Win","W","L"),"")</f>
        <v>L</v>
      </c>
      <c r="C49" s="112" t="str">
        <f>IFERROR(IF(INDEX('Match Log'!$E$1:$E$311,_xlfn.AGGREGATE(14,6,ROW('Match Log'!$A$4:$A$311)/('Match Log'!$D$4:$D$311=$A49),9))="Win","W","L"),"")</f>
        <v>L</v>
      </c>
      <c r="D49" s="112" t="str">
        <f>IFERROR(IF(INDEX('Match Log'!$E$1:$E$311,_xlfn.AGGREGATE(14,6,ROW('Match Log'!$A$4:$A$311)/('Match Log'!$D$4:$D$311=$A49),8))="Win","W","L"),"")</f>
        <v>L</v>
      </c>
      <c r="E49" s="112" t="str">
        <f>IFERROR(IF(INDEX('Match Log'!$E$1:$E$311,_xlfn.AGGREGATE(14,6,ROW('Match Log'!$A$4:$A$311)/('Match Log'!$D$4:$D$311=$A49),7))="Win","W","L"),"")</f>
        <v>L</v>
      </c>
      <c r="F49" s="112" t="str">
        <f>IFERROR(IF(INDEX('Match Log'!$E$1:$E$311,_xlfn.AGGREGATE(14,6,ROW('Match Log'!$A$4:$A$311)/('Match Log'!$D$4:$D$311=$A49),6))="Win","W","L"),"")</f>
        <v>W</v>
      </c>
      <c r="G49" s="112" t="str">
        <f>IFERROR(IF(INDEX('Match Log'!$E$1:$E$311,_xlfn.AGGREGATE(14,6,ROW('Match Log'!$A$4:$A$311)/('Match Log'!$D$4:$D$311=$A49),5))="Win","W","L"),"")</f>
        <v>W</v>
      </c>
      <c r="H49" s="112" t="str">
        <f>IFERROR(IF(INDEX('Match Log'!$E$1:$E$311,_xlfn.AGGREGATE(14,6,ROW('Match Log'!$A$4:$A$311)/('Match Log'!$D$4:$D$311=$A49),4))="Win","W","L"),"")</f>
        <v>L</v>
      </c>
      <c r="I49" s="112" t="str">
        <f>IFERROR(IF(INDEX('Match Log'!$E$1:$E$311,_xlfn.AGGREGATE(14,6,ROW('Match Log'!$A$4:$A$311)/('Match Log'!$D$4:$D$311=$A49),3))="Win","W","L"),"")</f>
        <v>L</v>
      </c>
      <c r="J49" s="112" t="str">
        <f>IFERROR(IF(INDEX('Match Log'!$E$1:$E$311,_xlfn.AGGREGATE(14,6,ROW('Match Log'!$A$4:$A$311)/('Match Log'!$D$4:$D$311=$A49),2))="Win","W","L"),"")</f>
        <v>L</v>
      </c>
      <c r="K49" s="112" t="str">
        <f>IFERROR(IF(INDEX('Match Log'!$E$1:$E$311,_xlfn.AGGREGATE(14,6,ROW('Match Log'!$A$4:$A$311)/('Match Log'!$D$4:$D$311=$A49),1))="Win","W","L"),"")</f>
        <v>L</v>
      </c>
      <c r="L49" s="26"/>
      <c r="M49" s="26"/>
      <c r="N49" s="26"/>
      <c r="O49" s="26"/>
      <c r="P49" s="26"/>
      <c r="Q49" s="26"/>
      <c r="R49" s="26"/>
      <c r="S49" s="26"/>
      <c r="T49" s="26"/>
      <c r="U49" s="26"/>
    </row>
    <row r="50" spans="1:21" x14ac:dyDescent="0.2">
      <c r="A50" s="91" t="s">
        <v>176</v>
      </c>
      <c r="B50" s="112" t="str">
        <f>IFERROR(IF(INDEX('Match Log'!$E$1:$E$311,_xlfn.AGGREGATE(14,6,ROW('Match Log'!$A$4:$A$311)/('Match Log'!$D$4:$D$311=$A50),10))="Win","W","L"),"")</f>
        <v>L</v>
      </c>
      <c r="C50" s="112" t="str">
        <f>IFERROR(IF(INDEX('Match Log'!$E$1:$E$311,_xlfn.AGGREGATE(14,6,ROW('Match Log'!$A$4:$A$311)/('Match Log'!$D$4:$D$311=$A50),9))="Win","W","L"),"")</f>
        <v>W</v>
      </c>
      <c r="D50" s="112" t="str">
        <f>IFERROR(IF(INDEX('Match Log'!$E$1:$E$311,_xlfn.AGGREGATE(14,6,ROW('Match Log'!$A$4:$A$311)/('Match Log'!$D$4:$D$311=$A50),8))="Win","W","L"),"")</f>
        <v>W</v>
      </c>
      <c r="E50" s="112" t="str">
        <f>IFERROR(IF(INDEX('Match Log'!$E$1:$E$311,_xlfn.AGGREGATE(14,6,ROW('Match Log'!$A$4:$A$311)/('Match Log'!$D$4:$D$311=$A50),7))="Win","W","L"),"")</f>
        <v>W</v>
      </c>
      <c r="F50" s="112" t="str">
        <f>IFERROR(IF(INDEX('Match Log'!$E$1:$E$311,_xlfn.AGGREGATE(14,6,ROW('Match Log'!$A$4:$A$311)/('Match Log'!$D$4:$D$311=$A50),6))="Win","W","L"),"")</f>
        <v>W</v>
      </c>
      <c r="G50" s="112" t="str">
        <f>IFERROR(IF(INDEX('Match Log'!$E$1:$E$311,_xlfn.AGGREGATE(14,6,ROW('Match Log'!$A$4:$A$311)/('Match Log'!$D$4:$D$311=$A50),5))="Win","W","L"),"")</f>
        <v>L</v>
      </c>
      <c r="H50" s="112" t="str">
        <f>IFERROR(IF(INDEX('Match Log'!$E$1:$E$311,_xlfn.AGGREGATE(14,6,ROW('Match Log'!$A$4:$A$311)/('Match Log'!$D$4:$D$311=$A50),4))="Win","W","L"),"")</f>
        <v>W</v>
      </c>
      <c r="I50" s="112" t="str">
        <f>IFERROR(IF(INDEX('Match Log'!$E$1:$E$311,_xlfn.AGGREGATE(14,6,ROW('Match Log'!$A$4:$A$311)/('Match Log'!$D$4:$D$311=$A50),3))="Win","W","L"),"")</f>
        <v>W</v>
      </c>
      <c r="J50" s="112" t="str">
        <f>IFERROR(IF(INDEX('Match Log'!$E$1:$E$311,_xlfn.AGGREGATE(14,6,ROW('Match Log'!$A$4:$A$311)/('Match Log'!$D$4:$D$311=$A50),2))="Win","W","L"),"")</f>
        <v>W</v>
      </c>
      <c r="K50" s="112" t="str">
        <f>IFERROR(IF(INDEX('Match Log'!$E$1:$E$311,_xlfn.AGGREGATE(14,6,ROW('Match Log'!$A$4:$A$311)/('Match Log'!$D$4:$D$311=$A50),1))="Win","W","L"),"")</f>
        <v>W</v>
      </c>
      <c r="L50" s="26"/>
      <c r="M50" s="26"/>
      <c r="N50" s="26"/>
      <c r="O50" s="26"/>
      <c r="P50" s="26"/>
      <c r="Q50" s="26"/>
      <c r="R50" s="26"/>
      <c r="S50" s="26"/>
      <c r="T50" s="26"/>
      <c r="U50" s="26"/>
    </row>
    <row r="51" spans="1:21" x14ac:dyDescent="0.2">
      <c r="A51" s="91" t="s">
        <v>178</v>
      </c>
      <c r="B51" s="112" t="str">
        <f>IFERROR(IF(INDEX('Match Log'!$E$1:$E$311,_xlfn.AGGREGATE(14,6,ROW('Match Log'!$A$4:$A$311)/('Match Log'!$D$4:$D$311=$A51),10))="Win","W","L"),"")</f>
        <v/>
      </c>
      <c r="C51" s="112" t="str">
        <f>IFERROR(IF(INDEX('Match Log'!$E$1:$E$311,_xlfn.AGGREGATE(14,6,ROW('Match Log'!$A$4:$A$311)/('Match Log'!$D$4:$D$311=$A51),9))="Win","W","L"),"")</f>
        <v/>
      </c>
      <c r="D51" s="112" t="str">
        <f>IFERROR(IF(INDEX('Match Log'!$E$1:$E$311,_xlfn.AGGREGATE(14,6,ROW('Match Log'!$A$4:$A$311)/('Match Log'!$D$4:$D$311=$A51),8))="Win","W","L"),"")</f>
        <v/>
      </c>
      <c r="E51" s="112" t="str">
        <f>IFERROR(IF(INDEX('Match Log'!$E$1:$E$311,_xlfn.AGGREGATE(14,6,ROW('Match Log'!$A$4:$A$311)/('Match Log'!$D$4:$D$311=$A51),7))="Win","W","L"),"")</f>
        <v/>
      </c>
      <c r="F51" s="112" t="str">
        <f>IFERROR(IF(INDEX('Match Log'!$E$1:$E$311,_xlfn.AGGREGATE(14,6,ROW('Match Log'!$A$4:$A$311)/('Match Log'!$D$4:$D$311=$A51),6))="Win","W","L"),"")</f>
        <v/>
      </c>
      <c r="G51" s="112" t="str">
        <f>IFERROR(IF(INDEX('Match Log'!$E$1:$E$311,_xlfn.AGGREGATE(14,6,ROW('Match Log'!$A$4:$A$311)/('Match Log'!$D$4:$D$311=$A51),5))="Win","W","L"),"")</f>
        <v>L</v>
      </c>
      <c r="H51" s="112" t="str">
        <f>IFERROR(IF(INDEX('Match Log'!$E$1:$E$311,_xlfn.AGGREGATE(14,6,ROW('Match Log'!$A$4:$A$311)/('Match Log'!$D$4:$D$311=$A51),4))="Win","W","L"),"")</f>
        <v>L</v>
      </c>
      <c r="I51" s="112" t="str">
        <f>IFERROR(IF(INDEX('Match Log'!$E$1:$E$311,_xlfn.AGGREGATE(14,6,ROW('Match Log'!$A$4:$A$311)/('Match Log'!$D$4:$D$311=$A51),3))="Win","W","L"),"")</f>
        <v>L</v>
      </c>
      <c r="J51" s="112" t="str">
        <f>IFERROR(IF(INDEX('Match Log'!$E$1:$E$311,_xlfn.AGGREGATE(14,6,ROW('Match Log'!$A$4:$A$311)/('Match Log'!$D$4:$D$311=$A51),2))="Win","W","L"),"")</f>
        <v>W</v>
      </c>
      <c r="K51" s="112" t="str">
        <f>IFERROR(IF(INDEX('Match Log'!$E$1:$E$311,_xlfn.AGGREGATE(14,6,ROW('Match Log'!$A$4:$A$311)/('Match Log'!$D$4:$D$311=$A51),1))="Win","W","L"),"")</f>
        <v>W</v>
      </c>
      <c r="L51" s="26"/>
      <c r="M51" s="26"/>
      <c r="N51" s="26"/>
      <c r="O51" s="26"/>
      <c r="P51" s="26"/>
      <c r="Q51" s="26"/>
      <c r="R51" s="26"/>
      <c r="S51" s="26"/>
      <c r="T51" s="26"/>
      <c r="U51" s="26"/>
    </row>
    <row r="52" spans="1:21" x14ac:dyDescent="0.2">
      <c r="A52" s="91" t="s">
        <v>179</v>
      </c>
      <c r="B52" s="112" t="str">
        <f>IFERROR(IF(INDEX('Match Log'!$E$1:$E$311,_xlfn.AGGREGATE(14,6,ROW('Match Log'!$A$4:$A$311)/('Match Log'!$D$4:$D$311=$A52),10))="Win","W","L"),"")</f>
        <v/>
      </c>
      <c r="C52" s="112" t="str">
        <f>IFERROR(IF(INDEX('Match Log'!$E$1:$E$311,_xlfn.AGGREGATE(14,6,ROW('Match Log'!$A$4:$A$311)/('Match Log'!$D$4:$D$311=$A52),9))="Win","W","L"),"")</f>
        <v/>
      </c>
      <c r="D52" s="112" t="str">
        <f>IFERROR(IF(INDEX('Match Log'!$E$1:$E$311,_xlfn.AGGREGATE(14,6,ROW('Match Log'!$A$4:$A$311)/('Match Log'!$D$4:$D$311=$A52),8))="Win","W","L"),"")</f>
        <v/>
      </c>
      <c r="E52" s="112" t="str">
        <f>IFERROR(IF(INDEX('Match Log'!$E$1:$E$311,_xlfn.AGGREGATE(14,6,ROW('Match Log'!$A$4:$A$311)/('Match Log'!$D$4:$D$311=$A52),7))="Win","W","L"),"")</f>
        <v/>
      </c>
      <c r="F52" s="112" t="str">
        <f>IFERROR(IF(INDEX('Match Log'!$E$1:$E$311,_xlfn.AGGREGATE(14,6,ROW('Match Log'!$A$4:$A$311)/('Match Log'!$D$4:$D$311=$A52),6))="Win","W","L"),"")</f>
        <v/>
      </c>
      <c r="G52" s="112" t="str">
        <f>IFERROR(IF(INDEX('Match Log'!$E$1:$E$311,_xlfn.AGGREGATE(14,6,ROW('Match Log'!$A$4:$A$311)/('Match Log'!$D$4:$D$311=$A52),5))="Win","W","L"),"")</f>
        <v/>
      </c>
      <c r="H52" s="112" t="str">
        <f>IFERROR(IF(INDEX('Match Log'!$E$1:$E$311,_xlfn.AGGREGATE(14,6,ROW('Match Log'!$A$4:$A$311)/('Match Log'!$D$4:$D$311=$A52),4))="Win","W","L"),"")</f>
        <v>W</v>
      </c>
      <c r="I52" s="112" t="str">
        <f>IFERROR(IF(INDEX('Match Log'!$E$1:$E$311,_xlfn.AGGREGATE(14,6,ROW('Match Log'!$A$4:$A$311)/('Match Log'!$D$4:$D$311=$A52),3))="Win","W","L"),"")</f>
        <v>L</v>
      </c>
      <c r="J52" s="112" t="str">
        <f>IFERROR(IF(INDEX('Match Log'!$E$1:$E$311,_xlfn.AGGREGATE(14,6,ROW('Match Log'!$A$4:$A$311)/('Match Log'!$D$4:$D$311=$A52),2))="Win","W","L"),"")</f>
        <v>W</v>
      </c>
      <c r="K52" s="112" t="str">
        <f>IFERROR(IF(INDEX('Match Log'!$E$1:$E$311,_xlfn.AGGREGATE(14,6,ROW('Match Log'!$A$4:$A$311)/('Match Log'!$D$4:$D$311=$A52),1))="Win","W","L"),"")</f>
        <v>L</v>
      </c>
      <c r="L52" s="26"/>
      <c r="M52" s="26"/>
      <c r="N52" s="26"/>
      <c r="O52" s="26"/>
      <c r="P52" s="26"/>
      <c r="Q52" s="26"/>
      <c r="R52" s="26"/>
      <c r="S52" s="26"/>
      <c r="T52" s="26"/>
      <c r="U52" s="26"/>
    </row>
    <row r="53" spans="1:21" x14ac:dyDescent="0.2">
      <c r="A53" s="91" t="s">
        <v>181</v>
      </c>
      <c r="B53" s="112" t="str">
        <f>IFERROR(IF(INDEX('Match Log'!$E$1:$E$311,_xlfn.AGGREGATE(14,6,ROW('Match Log'!$A$4:$A$311)/('Match Log'!$D$4:$D$311=$A53),10))="Win","W","L"),"")</f>
        <v/>
      </c>
      <c r="C53" s="112" t="str">
        <f>IFERROR(IF(INDEX('Match Log'!$E$1:$E$311,_xlfn.AGGREGATE(14,6,ROW('Match Log'!$A$4:$A$311)/('Match Log'!$D$4:$D$311=$A53),9))="Win","W","L"),"")</f>
        <v/>
      </c>
      <c r="D53" s="112" t="str">
        <f>IFERROR(IF(INDEX('Match Log'!$E$1:$E$311,_xlfn.AGGREGATE(14,6,ROW('Match Log'!$A$4:$A$311)/('Match Log'!$D$4:$D$311=$A53),8))="Win","W","L"),"")</f>
        <v/>
      </c>
      <c r="E53" s="112" t="str">
        <f>IFERROR(IF(INDEX('Match Log'!$E$1:$E$311,_xlfn.AGGREGATE(14,6,ROW('Match Log'!$A$4:$A$311)/('Match Log'!$D$4:$D$311=$A53),7))="Win","W","L"),"")</f>
        <v/>
      </c>
      <c r="F53" s="112" t="str">
        <f>IFERROR(IF(INDEX('Match Log'!$E$1:$E$311,_xlfn.AGGREGATE(14,6,ROW('Match Log'!$A$4:$A$311)/('Match Log'!$D$4:$D$311=$A53),6))="Win","W","L"),"")</f>
        <v/>
      </c>
      <c r="G53" s="112" t="str">
        <f>IFERROR(IF(INDEX('Match Log'!$E$1:$E$311,_xlfn.AGGREGATE(14,6,ROW('Match Log'!$A$4:$A$311)/('Match Log'!$D$4:$D$311=$A53),5))="Win","W","L"),"")</f>
        <v/>
      </c>
      <c r="H53" s="112" t="str">
        <f>IFERROR(IF(INDEX('Match Log'!$E$1:$E$311,_xlfn.AGGREGATE(14,6,ROW('Match Log'!$A$4:$A$311)/('Match Log'!$D$4:$D$311=$A53),4))="Win","W","L"),"")</f>
        <v/>
      </c>
      <c r="I53" s="112" t="str">
        <f>IFERROR(IF(INDEX('Match Log'!$E$1:$E$311,_xlfn.AGGREGATE(14,6,ROW('Match Log'!$A$4:$A$311)/('Match Log'!$D$4:$D$311=$A53),3))="Win","W","L"),"")</f>
        <v/>
      </c>
      <c r="J53" s="112" t="str">
        <f>IFERROR(IF(INDEX('Match Log'!$E$1:$E$311,_xlfn.AGGREGATE(14,6,ROW('Match Log'!$A$4:$A$311)/('Match Log'!$D$4:$D$311=$A53),2))="Win","W","L"),"")</f>
        <v/>
      </c>
      <c r="K53" s="112" t="str">
        <f>IFERROR(IF(INDEX('Match Log'!$E$1:$E$311,_xlfn.AGGREGATE(14,6,ROW('Match Log'!$A$4:$A$311)/('Match Log'!$D$4:$D$311=$A53),1))="Win","W","L"),"")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row>
    <row r="58" spans="1:21" x14ac:dyDescent="0.2">
      <c r="A58" s="91" t="s">
        <v>145</v>
      </c>
      <c r="B58" s="115" t="str">
        <f>IFERROR(INDEX('Sport Records'!$B$52:$O$70,MATCH($B$57,'Sport Records'!$A$52:$A$70,0),MATCH($A58,'Sport Records'!$B$51:$O$51,0)),"")</f>
        <v/>
      </c>
      <c r="C58" s="115" t="str">
        <f>IFERROR(INDEX('Sport Records'!$B$52:$O$70,MATCH($C$57,'Sport Records'!$A$52:$A$70,0),MATCH($A58,'Sport Records'!$B$51:$O$51,0)),"")</f>
        <v/>
      </c>
      <c r="D58" s="115">
        <f>IFERROR(INDEX('Sport Records'!$B$52:$O$70,MATCH($D$57,'Sport Records'!$A$52:$A$70,0),MATCH($A58,'Sport Records'!$B$51:$O$51,0)),"")</f>
        <v>0.75</v>
      </c>
      <c r="E58" s="115" t="str">
        <f>IFERROR(INDEX('Sport Records'!$B$52:$O$70,MATCH($E$57,'Sport Records'!$A$52:$A$70,0),MATCH($A58,'Sport Records'!$B$51:$O$51,0)),"")</f>
        <v/>
      </c>
      <c r="F58" s="115" t="str">
        <f>IFERROR(INDEX('Sport Records'!$B$52:$O$70,MATCH($F$57,'Sport Records'!$A$52:$A$70,0),MATCH($A58,'Sport Records'!$B$51:$O$51,0)),"")</f>
        <v/>
      </c>
      <c r="G58" s="115">
        <f>IFERROR(INDEX('Sport Records'!$B$52:$O$70,MATCH($G$57,'Sport Records'!$A$52:$A$70,0),MATCH($A58,'Sport Records'!$B$51:$O$51,0)),"")</f>
        <v>1</v>
      </c>
      <c r="H58" s="115" t="str">
        <f>IFERROR(INDEX('Sport Records'!$B$52:$O$70,MATCH($H$57,'Sport Records'!$A$52:$A$70,0),MATCH($A58,'Sport Records'!$B$51:$O$51,0)),"")</f>
        <v/>
      </c>
      <c r="I58" s="115" t="str">
        <f>IFERROR(INDEX('Sport Records'!$B$52:$O$70,MATCH($I$57,'Sport Records'!$A$52:$A$70,0),MATCH($A58,'Sport Records'!$B$51:$O$51,0)),"")</f>
        <v/>
      </c>
      <c r="J58" s="115" t="str">
        <f>IFERROR(INDEX('Sport Records'!$B$52:$O$70,MATCH($J$57,'Sport Records'!$A$52:$A$70,0),MATCH($A58,'Sport Records'!$B$51:$O$51,0)),"")</f>
        <v/>
      </c>
      <c r="K58" s="115" t="str">
        <f>IFERROR(INDEX('Sport Records'!$B$52:$O$70,MATCH($K$57,'Sport Records'!$A$52:$A$70,0),MATCH($A58,'Sport Records'!$B$51:$O$51,0)),"")</f>
        <v/>
      </c>
      <c r="L58" s="115" t="str">
        <f>IFERROR(INDEX('Sport Records'!$B$52:$O$70,MATCH($L$57,'Sport Records'!$A$52:$A$70,0),MATCH($A58,'Sport Records'!$B$51:$O$51,0)),"")</f>
        <v/>
      </c>
      <c r="M58" s="115">
        <f>IFERROR(INDEX('Sport Records'!$B$52:$O$70,MATCH($M$57,'Sport Records'!$A$52:$A$70,0),MATCH($A58,'Sport Records'!$B$51:$O$51,0)),"")</f>
        <v>0.5</v>
      </c>
      <c r="N58" s="115">
        <f>IFERROR(INDEX('Sport Records'!$B$52:$O$70,MATCH($N$57,'Sport Records'!$A$52:$A$70,0),MATCH($A58,'Sport Records'!$B$51:$O$51,0)),"")</f>
        <v>0.5</v>
      </c>
      <c r="O58" s="115">
        <f>IFERROR(INDEX('Sport Records'!$B$52:$O$70,MATCH($O$57,'Sport Records'!$A$52:$A$70,0),MATCH($A58,'Sport Records'!$B$51:$O$51,0)),"")</f>
        <v>1</v>
      </c>
      <c r="P58" s="115" t="str">
        <f>IFERROR(INDEX('Sport Records'!$B$52:$O$70,MATCH($P$57,'Sport Records'!$A$52:$A$70,0),MATCH($A58,'Sport Records'!$B$51:$O$51,0)),"")</f>
        <v/>
      </c>
      <c r="Q58" s="115">
        <f>IFERROR(INDEX('Sport Records'!$B$52:$O$70,MATCH($Q$57,'Sport Records'!$A$52:$A$70,0),MATCH($A58,'Sport Records'!$B$51:$O$51,0)),"")</f>
        <v>0.5</v>
      </c>
      <c r="R58" s="115" t="str">
        <f>IFERROR(INDEX('Sport Records'!$B$52:$O$70,MATCH($R$57,'Sport Records'!$A$52:$A$70,0),MATCH($A58,'Sport Records'!$B$51:$O$51,0)),"")</f>
        <v/>
      </c>
      <c r="S58" s="115">
        <f>IFERROR(INDEX('Sport Records'!$B$52:$O$70,MATCH($S$57,'Sport Records'!$A$52:$A$70,0),MATCH($A58,'Sport Records'!$B$51:$O$51,0)),"")</f>
        <v>0.2857142857142857</v>
      </c>
      <c r="T58" s="115" t="str">
        <f>IFERROR(INDEX('Sport Records'!$B$52:$O$70,MATCH($T$57,'Sport Records'!$A$52:$A$70,0),MATCH($A58,'Sport Records'!$B$51:$O$51,0)),"")</f>
        <v/>
      </c>
      <c r="U58" s="26"/>
    </row>
    <row r="59" spans="1:21" x14ac:dyDescent="0.2">
      <c r="A59" s="91" t="s">
        <v>142</v>
      </c>
      <c r="B59" s="115" t="str">
        <f>IFERROR(INDEX('Sport Records'!$B$52:$O$70,MATCH($B$57,'Sport Records'!$A$52:$A$70,0),MATCH($A59,'Sport Records'!$B$51:$O$51,0)),"")</f>
        <v/>
      </c>
      <c r="C59" s="115" t="str">
        <f>IFERROR(INDEX('Sport Records'!$B$52:$O$70,MATCH($C$57,'Sport Records'!$A$52:$A$70,0),MATCH($A59,'Sport Records'!$B$51:$O$51,0)),"")</f>
        <v/>
      </c>
      <c r="D59" s="115" t="str">
        <f>IFERROR(INDEX('Sport Records'!$B$52:$O$70,MATCH($D$57,'Sport Records'!$A$52:$A$70,0),MATCH($A59,'Sport Records'!$B$51:$O$51,0)),"")</f>
        <v/>
      </c>
      <c r="E59" s="115" t="str">
        <f>IFERROR(INDEX('Sport Records'!$B$52:$O$70,MATCH($E$57,'Sport Records'!$A$52:$A$70,0),MATCH($A59,'Sport Records'!$B$51:$O$51,0)),"")</f>
        <v/>
      </c>
      <c r="F59" s="115">
        <f>IFERROR(INDEX('Sport Records'!$B$52:$O$70,MATCH($F$57,'Sport Records'!$A$52:$A$70,0),MATCH($A59,'Sport Records'!$B$51:$O$51,0)),"")</f>
        <v>0</v>
      </c>
      <c r="G59" s="115" t="str">
        <f>IFERROR(INDEX('Sport Records'!$B$52:$O$70,MATCH($G$57,'Sport Records'!$A$52:$A$70,0),MATCH($A59,'Sport Records'!$B$51:$O$51,0)),"")</f>
        <v/>
      </c>
      <c r="H59" s="115" t="str">
        <f>IFERROR(INDEX('Sport Records'!$B$52:$O$70,MATCH($H$57,'Sport Records'!$A$52:$A$70,0),MATCH($A59,'Sport Records'!$B$51:$O$51,0)),"")</f>
        <v/>
      </c>
      <c r="I59" s="115" t="str">
        <f>IFERROR(INDEX('Sport Records'!$B$52:$O$70,MATCH($I$57,'Sport Records'!$A$52:$A$70,0),MATCH($A59,'Sport Records'!$B$51:$O$51,0)),"")</f>
        <v/>
      </c>
      <c r="J59" s="115" t="str">
        <f>IFERROR(INDEX('Sport Records'!$B$52:$O$70,MATCH($J$57,'Sport Records'!$A$52:$A$70,0),MATCH($A59,'Sport Records'!$B$51:$O$51,0)),"")</f>
        <v/>
      </c>
      <c r="K59" s="115" t="str">
        <f>IFERROR(INDEX('Sport Records'!$B$52:$O$70,MATCH($K$57,'Sport Records'!$A$52:$A$70,0),MATCH($A59,'Sport Records'!$B$51:$O$51,0)),"")</f>
        <v/>
      </c>
      <c r="L59" s="115" t="str">
        <f>IFERROR(INDEX('Sport Records'!$B$52:$O$70,MATCH($L$57,'Sport Records'!$A$52:$A$70,0),MATCH($A59,'Sport Records'!$B$51:$O$51,0)),"")</f>
        <v/>
      </c>
      <c r="M59" s="115">
        <f>IFERROR(INDEX('Sport Records'!$B$52:$O$70,MATCH($M$57,'Sport Records'!$A$52:$A$70,0),MATCH($A59,'Sport Records'!$B$51:$O$51,0)),"")</f>
        <v>0</v>
      </c>
      <c r="N59" s="115" t="str">
        <f>IFERROR(INDEX('Sport Records'!$B$52:$O$70,MATCH($N$57,'Sport Records'!$A$52:$A$70,0),MATCH($A59,'Sport Records'!$B$51:$O$51,0)),"")</f>
        <v/>
      </c>
      <c r="O59" s="115" t="str">
        <f>IFERROR(INDEX('Sport Records'!$B$52:$O$70,MATCH($O$57,'Sport Records'!$A$52:$A$70,0),MATCH($A59,'Sport Records'!$B$51:$O$51,0)),"")</f>
        <v/>
      </c>
      <c r="P59" s="115" t="str">
        <f>IFERROR(INDEX('Sport Records'!$B$52:$O$70,MATCH($P$57,'Sport Records'!$A$52:$A$70,0),MATCH($A59,'Sport Records'!$B$51:$O$51,0)),"")</f>
        <v/>
      </c>
      <c r="Q59" s="115" t="str">
        <f>IFERROR(INDEX('Sport Records'!$B$52:$O$70,MATCH($Q$57,'Sport Records'!$A$52:$A$70,0),MATCH($A59,'Sport Records'!$B$51:$O$51,0)),"")</f>
        <v/>
      </c>
      <c r="R59" s="115" t="str">
        <f>IFERROR(INDEX('Sport Records'!$B$52:$O$70,MATCH($R$57,'Sport Records'!$A$52:$A$70,0),MATCH($A59,'Sport Records'!$B$51:$O$51,0)),"")</f>
        <v/>
      </c>
      <c r="S59" s="115">
        <f>IFERROR(INDEX('Sport Records'!$B$52:$O$70,MATCH($S$57,'Sport Records'!$A$52:$A$70,0),MATCH($A59,'Sport Records'!$B$51:$O$51,0)),"")</f>
        <v>0.625</v>
      </c>
      <c r="T59" s="115" t="str">
        <f>IFERROR(INDEX('Sport Records'!$B$52:$O$70,MATCH($T$57,'Sport Records'!$A$52:$A$70,0),MATCH($A59,'Sport Records'!$B$51:$O$51,0)),"")</f>
        <v/>
      </c>
      <c r="U59" s="26"/>
    </row>
    <row r="60" spans="1:21" x14ac:dyDescent="0.2">
      <c r="A60" s="91" t="s">
        <v>180</v>
      </c>
      <c r="B60" s="115" t="str">
        <f>IFERROR(INDEX('Sport Records'!$B$52:$O$70,MATCH($B$57,'Sport Records'!$A$52:$A$70,0),MATCH($A60,'Sport Records'!$B$51:$O$51,0)),"")</f>
        <v/>
      </c>
      <c r="C60" s="115" t="str">
        <f>IFERROR(INDEX('Sport Records'!$B$52:$O$70,MATCH($C$57,'Sport Records'!$A$52:$A$70,0),MATCH($A60,'Sport Records'!$B$51:$O$51,0)),"")</f>
        <v/>
      </c>
      <c r="D60" s="115">
        <f>IFERROR(INDEX('Sport Records'!$B$52:$O$70,MATCH($D$57,'Sport Records'!$A$52:$A$70,0),MATCH($A60,'Sport Records'!$B$51:$O$51,0)),"")</f>
        <v>0</v>
      </c>
      <c r="E60" s="115" t="str">
        <f>IFERROR(INDEX('Sport Records'!$B$52:$O$70,MATCH($E$57,'Sport Records'!$A$52:$A$70,0),MATCH($A60,'Sport Records'!$B$51:$O$51,0)),"")</f>
        <v/>
      </c>
      <c r="F60" s="115" t="str">
        <f>IFERROR(INDEX('Sport Records'!$B$52:$O$70,MATCH($F$57,'Sport Records'!$A$52:$A$70,0),MATCH($A60,'Sport Records'!$B$51:$O$51,0)),"")</f>
        <v/>
      </c>
      <c r="G60" s="115">
        <f>IFERROR(INDEX('Sport Records'!$B$52:$O$70,MATCH($G$57,'Sport Records'!$A$52:$A$70,0),MATCH($A60,'Sport Records'!$B$51:$O$51,0)),"")</f>
        <v>0</v>
      </c>
      <c r="H60" s="115" t="str">
        <f>IFERROR(INDEX('Sport Records'!$B$52:$O$70,MATCH($H$57,'Sport Records'!$A$52:$A$70,0),MATCH($A60,'Sport Records'!$B$51:$O$51,0)),"")</f>
        <v/>
      </c>
      <c r="I60" s="115" t="str">
        <f>IFERROR(INDEX('Sport Records'!$B$52:$O$70,MATCH($I$57,'Sport Records'!$A$52:$A$70,0),MATCH($A60,'Sport Records'!$B$51:$O$51,0)),"")</f>
        <v/>
      </c>
      <c r="J60" s="115" t="str">
        <f>IFERROR(INDEX('Sport Records'!$B$52:$O$70,MATCH($J$57,'Sport Records'!$A$52:$A$70,0),MATCH($A60,'Sport Records'!$B$51:$O$51,0)),"")</f>
        <v/>
      </c>
      <c r="K60" s="115" t="str">
        <f>IFERROR(INDEX('Sport Records'!$B$52:$O$70,MATCH($K$57,'Sport Records'!$A$52:$A$70,0),MATCH($A60,'Sport Records'!$B$51:$O$51,0)),"")</f>
        <v/>
      </c>
      <c r="L60" s="115" t="str">
        <f>IFERROR(INDEX('Sport Records'!$B$52:$O$70,MATCH($L$57,'Sport Records'!$A$52:$A$70,0),MATCH($A60,'Sport Records'!$B$51:$O$51,0)),"")</f>
        <v/>
      </c>
      <c r="M60" s="115" t="str">
        <f>IFERROR(INDEX('Sport Records'!$B$52:$O$70,MATCH($M$57,'Sport Records'!$A$52:$A$70,0),MATCH($A60,'Sport Records'!$B$51:$O$51,0)),"")</f>
        <v/>
      </c>
      <c r="N60" s="115" t="str">
        <f>IFERROR(INDEX('Sport Records'!$B$52:$O$70,MATCH($N$57,'Sport Records'!$A$52:$A$70,0),MATCH($A60,'Sport Records'!$B$51:$O$51,0)),"")</f>
        <v/>
      </c>
      <c r="O60" s="115">
        <f>IFERROR(INDEX('Sport Records'!$B$52:$O$70,MATCH($O$57,'Sport Records'!$A$52:$A$70,0),MATCH($A60,'Sport Records'!$B$51:$O$51,0)),"")</f>
        <v>1</v>
      </c>
      <c r="P60" s="115" t="str">
        <f>IFERROR(INDEX('Sport Records'!$B$52:$O$70,MATCH($P$57,'Sport Records'!$A$52:$A$70,0),MATCH($A60,'Sport Records'!$B$51:$O$51,0)),"")</f>
        <v/>
      </c>
      <c r="Q60" s="115">
        <f>IFERROR(INDEX('Sport Records'!$B$52:$O$70,MATCH($Q$57,'Sport Records'!$A$52:$A$70,0),MATCH($A60,'Sport Records'!$B$51:$O$51,0)),"")</f>
        <v>0</v>
      </c>
      <c r="R60" s="115">
        <f>IFERROR(INDEX('Sport Records'!$B$52:$O$70,MATCH($R$57,'Sport Records'!$A$52:$A$70,0),MATCH($A60,'Sport Records'!$B$51:$O$51,0)),"")</f>
        <v>0</v>
      </c>
      <c r="S60" s="115">
        <f>IFERROR(INDEX('Sport Records'!$B$52:$O$70,MATCH($S$57,'Sport Records'!$A$52:$A$70,0),MATCH($A60,'Sport Records'!$B$51:$O$51,0)),"")</f>
        <v>1</v>
      </c>
      <c r="T60" s="115" t="str">
        <f>IFERROR(INDEX('Sport Records'!$B$52:$O$70,MATCH($T$57,'Sport Records'!$A$52:$A$70,0),MATCH($A60,'Sport Records'!$B$51:$O$51,0)),"")</f>
        <v/>
      </c>
      <c r="U60" s="26"/>
    </row>
    <row r="61" spans="1:21" x14ac:dyDescent="0.2">
      <c r="A61" s="91" t="s">
        <v>147</v>
      </c>
      <c r="B61" s="115" t="str">
        <f>IFERROR(INDEX('Sport Records'!$B$52:$O$70,MATCH($B$57,'Sport Records'!$A$52:$A$70,0),MATCH($A61,'Sport Records'!$B$51:$O$51,0)),"")</f>
        <v/>
      </c>
      <c r="C61" s="115" t="str">
        <f>IFERROR(INDEX('Sport Records'!$B$52:$O$70,MATCH($C$57,'Sport Records'!$A$52:$A$70,0),MATCH($A61,'Sport Records'!$B$51:$O$51,0)),"")</f>
        <v/>
      </c>
      <c r="D61" s="115" t="str">
        <f>IFERROR(INDEX('Sport Records'!$B$52:$O$70,MATCH($D$57,'Sport Records'!$A$52:$A$70,0),MATCH($A61,'Sport Records'!$B$51:$O$51,0)),"")</f>
        <v/>
      </c>
      <c r="E61" s="115" t="str">
        <f>IFERROR(INDEX('Sport Records'!$B$52:$O$70,MATCH($E$57,'Sport Records'!$A$52:$A$70,0),MATCH($A61,'Sport Records'!$B$51:$O$51,0)),"")</f>
        <v/>
      </c>
      <c r="F61" s="115" t="str">
        <f>IFERROR(INDEX('Sport Records'!$B$52:$O$70,MATCH($F$57,'Sport Records'!$A$52:$A$70,0),MATCH($A61,'Sport Records'!$B$51:$O$51,0)),"")</f>
        <v/>
      </c>
      <c r="G61" s="115">
        <f>IFERROR(INDEX('Sport Records'!$B$52:$O$70,MATCH($G$57,'Sport Records'!$A$52:$A$70,0),MATCH($A61,'Sport Records'!$B$51:$O$51,0)),"")</f>
        <v>0</v>
      </c>
      <c r="H61" s="115" t="str">
        <f>IFERROR(INDEX('Sport Records'!$B$52:$O$70,MATCH($H$57,'Sport Records'!$A$52:$A$70,0),MATCH($A61,'Sport Records'!$B$51:$O$51,0)),"")</f>
        <v/>
      </c>
      <c r="I61" s="115" t="str">
        <f>IFERROR(INDEX('Sport Records'!$B$52:$O$70,MATCH($I$57,'Sport Records'!$A$52:$A$70,0),MATCH($A61,'Sport Records'!$B$51:$O$51,0)),"")</f>
        <v/>
      </c>
      <c r="J61" s="115" t="str">
        <f>IFERROR(INDEX('Sport Records'!$B$52:$O$70,MATCH($J$57,'Sport Records'!$A$52:$A$70,0),MATCH($A61,'Sport Records'!$B$51:$O$51,0)),"")</f>
        <v/>
      </c>
      <c r="K61" s="115" t="str">
        <f>IFERROR(INDEX('Sport Records'!$B$52:$O$70,MATCH($K$57,'Sport Records'!$A$52:$A$70,0),MATCH($A61,'Sport Records'!$B$51:$O$51,0)),"")</f>
        <v/>
      </c>
      <c r="L61" s="115" t="str">
        <f>IFERROR(INDEX('Sport Records'!$B$52:$O$70,MATCH($L$57,'Sport Records'!$A$52:$A$70,0),MATCH($A61,'Sport Records'!$B$51:$O$51,0)),"")</f>
        <v/>
      </c>
      <c r="M61" s="115">
        <f>IFERROR(INDEX('Sport Records'!$B$52:$O$70,MATCH($M$57,'Sport Records'!$A$52:$A$70,0),MATCH($A61,'Sport Records'!$B$51:$O$51,0)),"")</f>
        <v>0.16666666666666666</v>
      </c>
      <c r="N61" s="115" t="str">
        <f>IFERROR(INDEX('Sport Records'!$B$52:$O$70,MATCH($N$57,'Sport Records'!$A$52:$A$70,0),MATCH($A61,'Sport Records'!$B$51:$O$51,0)),"")</f>
        <v/>
      </c>
      <c r="O61" s="115" t="str">
        <f>IFERROR(INDEX('Sport Records'!$B$52:$O$70,MATCH($O$57,'Sport Records'!$A$52:$A$70,0),MATCH($A61,'Sport Records'!$B$51:$O$51,0)),"")</f>
        <v/>
      </c>
      <c r="P61" s="115" t="str">
        <f>IFERROR(INDEX('Sport Records'!$B$52:$O$70,MATCH($P$57,'Sport Records'!$A$52:$A$70,0),MATCH($A61,'Sport Records'!$B$51:$O$51,0)),"")</f>
        <v/>
      </c>
      <c r="Q61" s="115" t="str">
        <f>IFERROR(INDEX('Sport Records'!$B$52:$O$70,MATCH($Q$57,'Sport Records'!$A$52:$A$70,0),MATCH($A61,'Sport Records'!$B$51:$O$51,0)),"")</f>
        <v/>
      </c>
      <c r="R61" s="115" t="str">
        <f>IFERROR(INDEX('Sport Records'!$B$52:$O$70,MATCH($R$57,'Sport Records'!$A$52:$A$70,0),MATCH($A61,'Sport Records'!$B$51:$O$51,0)),"")</f>
        <v/>
      </c>
      <c r="S61" s="115">
        <f>IFERROR(INDEX('Sport Records'!$B$52:$O$70,MATCH($S$57,'Sport Records'!$A$52:$A$70,0),MATCH($A61,'Sport Records'!$B$51:$O$51,0)),"")</f>
        <v>0.42857142857142855</v>
      </c>
      <c r="T61" s="115" t="str">
        <f>IFERROR(INDEX('Sport Records'!$B$52:$O$70,MATCH($T$57,'Sport Records'!$A$52:$A$70,0),MATCH($A61,'Sport Records'!$B$51:$O$51,0)),"")</f>
        <v/>
      </c>
      <c r="U61" s="26"/>
    </row>
    <row r="62" spans="1:21" x14ac:dyDescent="0.2">
      <c r="A62" s="91" t="s">
        <v>144</v>
      </c>
      <c r="B62" s="115" t="str">
        <f>IFERROR(INDEX('Sport Records'!$B$52:$O$70,MATCH($B$57,'Sport Records'!$A$52:$A$70,0),MATCH($A62,'Sport Records'!$B$51:$O$51,0)),"")</f>
        <v/>
      </c>
      <c r="C62" s="115" t="str">
        <f>IFERROR(INDEX('Sport Records'!$B$52:$O$70,MATCH($C$57,'Sport Records'!$A$52:$A$70,0),MATCH($A62,'Sport Records'!$B$51:$O$51,0)),"")</f>
        <v/>
      </c>
      <c r="D62" s="115">
        <f>IFERROR(INDEX('Sport Records'!$B$52:$O$70,MATCH($D$57,'Sport Records'!$A$52:$A$70,0),MATCH($A62,'Sport Records'!$B$51:$O$51,0)),"")</f>
        <v>0</v>
      </c>
      <c r="E62" s="115" t="str">
        <f>IFERROR(INDEX('Sport Records'!$B$52:$O$70,MATCH($E$57,'Sport Records'!$A$52:$A$70,0),MATCH($A62,'Sport Records'!$B$51:$O$51,0)),"")</f>
        <v/>
      </c>
      <c r="F62" s="115" t="str">
        <f>IFERROR(INDEX('Sport Records'!$B$52:$O$70,MATCH($F$57,'Sport Records'!$A$52:$A$70,0),MATCH($A62,'Sport Records'!$B$51:$O$51,0)),"")</f>
        <v/>
      </c>
      <c r="G62" s="115">
        <f>IFERROR(INDEX('Sport Records'!$B$52:$O$70,MATCH($G$57,'Sport Records'!$A$52:$A$70,0),MATCH($A62,'Sport Records'!$B$51:$O$51,0)),"")</f>
        <v>0</v>
      </c>
      <c r="H62" s="115" t="str">
        <f>IFERROR(INDEX('Sport Records'!$B$52:$O$70,MATCH($H$57,'Sport Records'!$A$52:$A$70,0),MATCH($A62,'Sport Records'!$B$51:$O$51,0)),"")</f>
        <v/>
      </c>
      <c r="I62" s="115" t="str">
        <f>IFERROR(INDEX('Sport Records'!$B$52:$O$70,MATCH($I$57,'Sport Records'!$A$52:$A$70,0),MATCH($A62,'Sport Records'!$B$51:$O$51,0)),"")</f>
        <v/>
      </c>
      <c r="J62" s="115">
        <f>IFERROR(INDEX('Sport Records'!$B$52:$O$70,MATCH($J$57,'Sport Records'!$A$52:$A$70,0),MATCH($A62,'Sport Records'!$B$51:$O$51,0)),"")</f>
        <v>1</v>
      </c>
      <c r="K62" s="115" t="str">
        <f>IFERROR(INDEX('Sport Records'!$B$52:$O$70,MATCH($K$57,'Sport Records'!$A$52:$A$70,0),MATCH($A62,'Sport Records'!$B$51:$O$51,0)),"")</f>
        <v/>
      </c>
      <c r="L62" s="115" t="str">
        <f>IFERROR(INDEX('Sport Records'!$B$52:$O$70,MATCH($L$57,'Sport Records'!$A$52:$A$70,0),MATCH($A62,'Sport Records'!$B$51:$O$51,0)),"")</f>
        <v/>
      </c>
      <c r="M62" s="115">
        <f>IFERROR(INDEX('Sport Records'!$B$52:$O$70,MATCH($M$57,'Sport Records'!$A$52:$A$70,0),MATCH($A62,'Sport Records'!$B$51:$O$51,0)),"")</f>
        <v>0.8666666666666667</v>
      </c>
      <c r="N62" s="115">
        <f>IFERROR(INDEX('Sport Records'!$B$52:$O$70,MATCH($N$57,'Sport Records'!$A$52:$A$70,0),MATCH($A62,'Sport Records'!$B$51:$O$51,0)),"")</f>
        <v>0</v>
      </c>
      <c r="O62" s="115" t="str">
        <f>IFERROR(INDEX('Sport Records'!$B$52:$O$70,MATCH($O$57,'Sport Records'!$A$52:$A$70,0),MATCH($A62,'Sport Records'!$B$51:$O$51,0)),"")</f>
        <v/>
      </c>
      <c r="P62" s="115" t="str">
        <f>IFERROR(INDEX('Sport Records'!$B$52:$O$70,MATCH($P$57,'Sport Records'!$A$52:$A$70,0),MATCH($A62,'Sport Records'!$B$51:$O$51,0)),"")</f>
        <v/>
      </c>
      <c r="Q62" s="115" t="str">
        <f>IFERROR(INDEX('Sport Records'!$B$52:$O$70,MATCH($Q$57,'Sport Records'!$A$52:$A$70,0),MATCH($A62,'Sport Records'!$B$51:$O$51,0)),"")</f>
        <v/>
      </c>
      <c r="R62" s="115">
        <f>IFERROR(INDEX('Sport Records'!$B$52:$O$70,MATCH($R$57,'Sport Records'!$A$52:$A$70,0),MATCH($A62,'Sport Records'!$B$51:$O$51,0)),"")</f>
        <v>1</v>
      </c>
      <c r="S62" s="115">
        <f>IFERROR(INDEX('Sport Records'!$B$52:$O$70,MATCH($S$57,'Sport Records'!$A$52:$A$70,0),MATCH($A62,'Sport Records'!$B$51:$O$51,0)),"")</f>
        <v>0.375</v>
      </c>
      <c r="T62" s="115">
        <f>IFERROR(INDEX('Sport Records'!$B$52:$O$70,MATCH($T$57,'Sport Records'!$A$52:$A$70,0),MATCH($A62,'Sport Records'!$B$51:$O$51,0)),"")</f>
        <v>0.5</v>
      </c>
      <c r="U62" s="26"/>
    </row>
    <row r="63" spans="1:21" x14ac:dyDescent="0.2">
      <c r="A63" s="91" t="s">
        <v>141</v>
      </c>
      <c r="B63" s="115">
        <f>IFERROR(INDEX('Sport Records'!$B$52:$O$70,MATCH($B$57,'Sport Records'!$A$52:$A$70,0),MATCH($A63,'Sport Records'!$B$51:$O$51,0)),"")</f>
        <v>1</v>
      </c>
      <c r="C63" s="115" t="str">
        <f>IFERROR(INDEX('Sport Records'!$B$52:$O$70,MATCH($C$57,'Sport Records'!$A$52:$A$70,0),MATCH($A63,'Sport Records'!$B$51:$O$51,0)),"")</f>
        <v/>
      </c>
      <c r="D63" s="115">
        <f>IFERROR(INDEX('Sport Records'!$B$52:$O$70,MATCH($D$57,'Sport Records'!$A$52:$A$70,0),MATCH($A63,'Sport Records'!$B$51:$O$51,0)),"")</f>
        <v>0.46153846153846156</v>
      </c>
      <c r="E63" s="115" t="str">
        <f>IFERROR(INDEX('Sport Records'!$B$52:$O$70,MATCH($E$57,'Sport Records'!$A$52:$A$70,0),MATCH($A63,'Sport Records'!$B$51:$O$51,0)),"")</f>
        <v/>
      </c>
      <c r="F63" s="115" t="str">
        <f>IFERROR(INDEX('Sport Records'!$B$52:$O$70,MATCH($F$57,'Sport Records'!$A$52:$A$70,0),MATCH($A63,'Sport Records'!$B$51:$O$51,0)),"")</f>
        <v/>
      </c>
      <c r="G63" s="115">
        <f>IFERROR(INDEX('Sport Records'!$B$52:$O$70,MATCH($G$57,'Sport Records'!$A$52:$A$70,0),MATCH($A63,'Sport Records'!$B$51:$O$51,0)),"")</f>
        <v>0</v>
      </c>
      <c r="H63" s="115" t="str">
        <f>IFERROR(INDEX('Sport Records'!$B$52:$O$70,MATCH($H$57,'Sport Records'!$A$52:$A$70,0),MATCH($A63,'Sport Records'!$B$51:$O$51,0)),"")</f>
        <v/>
      </c>
      <c r="I63" s="115" t="str">
        <f>IFERROR(INDEX('Sport Records'!$B$52:$O$70,MATCH($I$57,'Sport Records'!$A$52:$A$70,0),MATCH($A63,'Sport Records'!$B$51:$O$51,0)),"")</f>
        <v/>
      </c>
      <c r="J63" s="115">
        <f>IFERROR(INDEX('Sport Records'!$B$52:$O$70,MATCH($J$57,'Sport Records'!$A$52:$A$70,0),MATCH($A63,'Sport Records'!$B$51:$O$51,0)),"")</f>
        <v>0</v>
      </c>
      <c r="K63" s="115" t="str">
        <f>IFERROR(INDEX('Sport Records'!$B$52:$O$70,MATCH($K$57,'Sport Records'!$A$52:$A$70,0),MATCH($A63,'Sport Records'!$B$51:$O$51,0)),"")</f>
        <v/>
      </c>
      <c r="L63" s="115" t="str">
        <f>IFERROR(INDEX('Sport Records'!$B$52:$O$70,MATCH($L$57,'Sport Records'!$A$52:$A$70,0),MATCH($A63,'Sport Records'!$B$51:$O$51,0)),"")</f>
        <v/>
      </c>
      <c r="M63" s="115">
        <f>IFERROR(INDEX('Sport Records'!$B$52:$O$70,MATCH($M$57,'Sport Records'!$A$52:$A$70,0),MATCH($A63,'Sport Records'!$B$51:$O$51,0)),"")</f>
        <v>1</v>
      </c>
      <c r="N63" s="115">
        <f>IFERROR(INDEX('Sport Records'!$B$52:$O$70,MATCH($N$57,'Sport Records'!$A$52:$A$70,0),MATCH($A63,'Sport Records'!$B$51:$O$51,0)),"")</f>
        <v>0.2</v>
      </c>
      <c r="O63" s="115">
        <f>IFERROR(INDEX('Sport Records'!$B$52:$O$70,MATCH($O$57,'Sport Records'!$A$52:$A$70,0),MATCH($A63,'Sport Records'!$B$51:$O$51,0)),"")</f>
        <v>0</v>
      </c>
      <c r="P63" s="115" t="str">
        <f>IFERROR(INDEX('Sport Records'!$B$52:$O$70,MATCH($P$57,'Sport Records'!$A$52:$A$70,0),MATCH($A63,'Sport Records'!$B$51:$O$51,0)),"")</f>
        <v/>
      </c>
      <c r="Q63" s="115" t="str">
        <f>IFERROR(INDEX('Sport Records'!$B$52:$O$70,MATCH($Q$57,'Sport Records'!$A$52:$A$70,0),MATCH($A63,'Sport Records'!$B$51:$O$51,0)),"")</f>
        <v/>
      </c>
      <c r="R63" s="115" t="str">
        <f>IFERROR(INDEX('Sport Records'!$B$52:$O$70,MATCH($R$57,'Sport Records'!$A$52:$A$70,0),MATCH($A63,'Sport Records'!$B$51:$O$51,0)),"")</f>
        <v/>
      </c>
      <c r="S63" s="115">
        <f>IFERROR(INDEX('Sport Records'!$B$52:$O$70,MATCH($S$57,'Sport Records'!$A$52:$A$70,0),MATCH($A63,'Sport Records'!$B$51:$O$51,0)),"")</f>
        <v>0.44444444444444442</v>
      </c>
      <c r="T63" s="115" t="str">
        <f>IFERROR(INDEX('Sport Records'!$B$52:$O$70,MATCH($T$57,'Sport Records'!$A$52:$A$70,0),MATCH($A63,'Sport Records'!$B$51:$O$51,0)),"")</f>
        <v/>
      </c>
      <c r="U63" s="26"/>
    </row>
    <row r="64" spans="1:21" x14ac:dyDescent="0.2">
      <c r="A64" s="91" t="s">
        <v>175</v>
      </c>
      <c r="B64" s="115" t="str">
        <f>IFERROR(INDEX('Sport Records'!$B$52:$O$70,MATCH($B$57,'Sport Records'!$A$52:$A$70,0),MATCH($A64,'Sport Records'!$B$51:$O$51,0)),"")</f>
        <v/>
      </c>
      <c r="C64" s="115" t="str">
        <f>IFERROR(INDEX('Sport Records'!$B$52:$O$70,MATCH($C$57,'Sport Records'!$A$52:$A$70,0),MATCH($A64,'Sport Records'!$B$51:$O$51,0)),"")</f>
        <v/>
      </c>
      <c r="D64" s="115" t="str">
        <f>IFERROR(INDEX('Sport Records'!$B$52:$O$70,MATCH($D$57,'Sport Records'!$A$52:$A$70,0),MATCH($A64,'Sport Records'!$B$51:$O$51,0)),"")</f>
        <v/>
      </c>
      <c r="E64" s="115" t="str">
        <f>IFERROR(INDEX('Sport Records'!$B$52:$O$70,MATCH($E$57,'Sport Records'!$A$52:$A$70,0),MATCH($A64,'Sport Records'!$B$51:$O$51,0)),"")</f>
        <v/>
      </c>
      <c r="F64" s="115">
        <f>IFERROR(INDEX('Sport Records'!$B$52:$O$70,MATCH($F$57,'Sport Records'!$A$52:$A$70,0),MATCH($A64,'Sport Records'!$B$51:$O$51,0)),"")</f>
        <v>1</v>
      </c>
      <c r="G64" s="115">
        <f>IFERROR(INDEX('Sport Records'!$B$52:$O$70,MATCH($G$57,'Sport Records'!$A$52:$A$70,0),MATCH($A64,'Sport Records'!$B$51:$O$51,0)),"")</f>
        <v>0</v>
      </c>
      <c r="H64" s="115" t="str">
        <f>IFERROR(INDEX('Sport Records'!$B$52:$O$70,MATCH($H$57,'Sport Records'!$A$52:$A$70,0),MATCH($A64,'Sport Records'!$B$51:$O$51,0)),"")</f>
        <v/>
      </c>
      <c r="I64" s="115" t="str">
        <f>IFERROR(INDEX('Sport Records'!$B$52:$O$70,MATCH($I$57,'Sport Records'!$A$52:$A$70,0),MATCH($A64,'Sport Records'!$B$51:$O$51,0)),"")</f>
        <v/>
      </c>
      <c r="J64" s="115" t="str">
        <f>IFERROR(INDEX('Sport Records'!$B$52:$O$70,MATCH($J$57,'Sport Records'!$A$52:$A$70,0),MATCH($A64,'Sport Records'!$B$51:$O$51,0)),"")</f>
        <v/>
      </c>
      <c r="K64" s="115" t="str">
        <f>IFERROR(INDEX('Sport Records'!$B$52:$O$70,MATCH($K$57,'Sport Records'!$A$52:$A$70,0),MATCH($A64,'Sport Records'!$B$51:$O$51,0)),"")</f>
        <v/>
      </c>
      <c r="L64" s="115" t="str">
        <f>IFERROR(INDEX('Sport Records'!$B$52:$O$70,MATCH($L$57,'Sport Records'!$A$52:$A$70,0),MATCH($A64,'Sport Records'!$B$51:$O$51,0)),"")</f>
        <v/>
      </c>
      <c r="M64" s="115">
        <f>IFERROR(INDEX('Sport Records'!$B$52:$O$70,MATCH($M$57,'Sport Records'!$A$52:$A$70,0),MATCH($A64,'Sport Records'!$B$51:$O$51,0)),"")</f>
        <v>0</v>
      </c>
      <c r="N64" s="115" t="str">
        <f>IFERROR(INDEX('Sport Records'!$B$52:$O$70,MATCH($N$57,'Sport Records'!$A$52:$A$70,0),MATCH($A64,'Sport Records'!$B$51:$O$51,0)),"")</f>
        <v/>
      </c>
      <c r="O64" s="115" t="str">
        <f>IFERROR(INDEX('Sport Records'!$B$52:$O$70,MATCH($O$57,'Sport Records'!$A$52:$A$70,0),MATCH($A64,'Sport Records'!$B$51:$O$51,0)),"")</f>
        <v/>
      </c>
      <c r="P64" s="115" t="str">
        <f>IFERROR(INDEX('Sport Records'!$B$52:$O$70,MATCH($P$57,'Sport Records'!$A$52:$A$70,0),MATCH($A64,'Sport Records'!$B$51:$O$51,0)),"")</f>
        <v/>
      </c>
      <c r="Q64" s="115" t="str">
        <f>IFERROR(INDEX('Sport Records'!$B$52:$O$70,MATCH($Q$57,'Sport Records'!$A$52:$A$70,0),MATCH($A64,'Sport Records'!$B$51:$O$51,0)),"")</f>
        <v/>
      </c>
      <c r="R64" s="115" t="str">
        <f>IFERROR(INDEX('Sport Records'!$B$52:$O$70,MATCH($R$57,'Sport Records'!$A$52:$A$70,0),MATCH($A64,'Sport Records'!$B$51:$O$51,0)),"")</f>
        <v/>
      </c>
      <c r="S64" s="115">
        <f>IFERROR(INDEX('Sport Records'!$B$52:$O$70,MATCH($S$57,'Sport Records'!$A$52:$A$70,0),MATCH($A64,'Sport Records'!$B$51:$O$51,0)),"")</f>
        <v>0.72727272727272729</v>
      </c>
      <c r="T64" s="115" t="str">
        <f>IFERROR(INDEX('Sport Records'!$B$52:$O$70,MATCH($T$57,'Sport Records'!$A$52:$A$70,0),MATCH($A64,'Sport Records'!$B$51:$O$51,0)),"")</f>
        <v/>
      </c>
      <c r="U64" s="26"/>
    </row>
    <row r="65" spans="1:21" ht="15.75" customHeight="1" x14ac:dyDescent="0.2">
      <c r="A65" s="91" t="s">
        <v>177</v>
      </c>
      <c r="B65" s="115">
        <f>IFERROR(INDEX('Sport Records'!$B$52:$O$70,MATCH($B$57,'Sport Records'!$A$52:$A$70,0),MATCH($A65,'Sport Records'!$B$51:$O$51,0)),"")</f>
        <v>0</v>
      </c>
      <c r="C65" s="115" t="str">
        <f>IFERROR(INDEX('Sport Records'!$B$52:$O$70,MATCH($C$57,'Sport Records'!$A$52:$A$70,0),MATCH($A65,'Sport Records'!$B$51:$O$51,0)),"")</f>
        <v/>
      </c>
      <c r="D65" s="115">
        <f>IFERROR(INDEX('Sport Records'!$B$52:$O$70,MATCH($D$57,'Sport Records'!$A$52:$A$70,0),MATCH($A65,'Sport Records'!$B$51:$O$51,0)),"")</f>
        <v>0.44444444444444442</v>
      </c>
      <c r="E65" s="115" t="str">
        <f>IFERROR(INDEX('Sport Records'!$B$52:$O$70,MATCH($E$57,'Sport Records'!$A$52:$A$70,0),MATCH($A65,'Sport Records'!$B$51:$O$51,0)),"")</f>
        <v/>
      </c>
      <c r="F65" s="115">
        <f>IFERROR(INDEX('Sport Records'!$B$52:$O$70,MATCH($F$57,'Sport Records'!$A$52:$A$70,0),MATCH($A65,'Sport Records'!$B$51:$O$51,0)),"")</f>
        <v>0.5</v>
      </c>
      <c r="G65" s="115">
        <f>IFERROR(INDEX('Sport Records'!$B$52:$O$70,MATCH($G$57,'Sport Records'!$A$52:$A$70,0),MATCH($A65,'Sport Records'!$B$51:$O$51,0)),"")</f>
        <v>0</v>
      </c>
      <c r="H65" s="115" t="str">
        <f>IFERROR(INDEX('Sport Records'!$B$52:$O$70,MATCH($H$57,'Sport Records'!$A$52:$A$70,0),MATCH($A65,'Sport Records'!$B$51:$O$51,0)),"")</f>
        <v/>
      </c>
      <c r="I65" s="115" t="str">
        <f>IFERROR(INDEX('Sport Records'!$B$52:$O$70,MATCH($I$57,'Sport Records'!$A$52:$A$70,0),MATCH($A65,'Sport Records'!$B$51:$O$51,0)),"")</f>
        <v/>
      </c>
      <c r="J65" s="115" t="str">
        <f>IFERROR(INDEX('Sport Records'!$B$52:$O$70,MATCH($J$57,'Sport Records'!$A$52:$A$70,0),MATCH($A65,'Sport Records'!$B$51:$O$51,0)),"")</f>
        <v/>
      </c>
      <c r="K65" s="115" t="str">
        <f>IFERROR(INDEX('Sport Records'!$B$52:$O$70,MATCH($K$57,'Sport Records'!$A$52:$A$70,0),MATCH($A65,'Sport Records'!$B$51:$O$51,0)),"")</f>
        <v/>
      </c>
      <c r="L65" s="115" t="str">
        <f>IFERROR(INDEX('Sport Records'!$B$52:$O$70,MATCH($L$57,'Sport Records'!$A$52:$A$70,0),MATCH($A65,'Sport Records'!$B$51:$O$51,0)),"")</f>
        <v/>
      </c>
      <c r="M65" s="115">
        <f>IFERROR(INDEX('Sport Records'!$B$52:$O$70,MATCH($M$57,'Sport Records'!$A$52:$A$70,0),MATCH($A65,'Sport Records'!$B$51:$O$51,0)),"")</f>
        <v>0.14285714285714285</v>
      </c>
      <c r="N65" s="115">
        <f>IFERROR(INDEX('Sport Records'!$B$52:$O$70,MATCH($N$57,'Sport Records'!$A$52:$A$70,0),MATCH($A65,'Sport Records'!$B$51:$O$51,0)),"")</f>
        <v>1</v>
      </c>
      <c r="O65" s="115">
        <f>IFERROR(INDEX('Sport Records'!$B$52:$O$70,MATCH($O$57,'Sport Records'!$A$52:$A$70,0),MATCH($A65,'Sport Records'!$B$51:$O$51,0)),"")</f>
        <v>0.2857142857142857</v>
      </c>
      <c r="P65" s="115" t="str">
        <f>IFERROR(INDEX('Sport Records'!$B$52:$O$70,MATCH($P$57,'Sport Records'!$A$52:$A$70,0),MATCH($A65,'Sport Records'!$B$51:$O$51,0)),"")</f>
        <v/>
      </c>
      <c r="Q65" s="115">
        <f>IFERROR(INDEX('Sport Records'!$B$52:$O$70,MATCH($Q$57,'Sport Records'!$A$52:$A$70,0),MATCH($A65,'Sport Records'!$B$51:$O$51,0)),"")</f>
        <v>1</v>
      </c>
      <c r="R65" s="115">
        <f>IFERROR(INDEX('Sport Records'!$B$52:$O$70,MATCH($R$57,'Sport Records'!$A$52:$A$70,0),MATCH($A65,'Sport Records'!$B$51:$O$51,0)),"")</f>
        <v>0</v>
      </c>
      <c r="S65" s="115">
        <f>IFERROR(INDEX('Sport Records'!$B$52:$O$70,MATCH($S$57,'Sport Records'!$A$52:$A$70,0),MATCH($A65,'Sport Records'!$B$51:$O$51,0)),"")</f>
        <v>0.55555555555555558</v>
      </c>
      <c r="T65" s="115">
        <f>IFERROR(INDEX('Sport Records'!$B$52:$O$70,MATCH($T$57,'Sport Records'!$A$52:$A$70,0),MATCH($A65,'Sport Records'!$B$51:$O$51,0)),"")</f>
        <v>0.5</v>
      </c>
      <c r="U65" s="26"/>
    </row>
    <row r="66" spans="1:21" x14ac:dyDescent="0.2">
      <c r="A66" s="91" t="s">
        <v>174</v>
      </c>
      <c r="B66" s="115" t="str">
        <f>IFERROR(INDEX('Sport Records'!$B$52:$O$70,MATCH($B$57,'Sport Records'!$A$52:$A$70,0),MATCH($A66,'Sport Records'!$B$51:$O$51,0)),"")</f>
        <v/>
      </c>
      <c r="C66" s="115" t="str">
        <f>IFERROR(INDEX('Sport Records'!$B$52:$O$70,MATCH($C$57,'Sport Records'!$A$52:$A$70,0),MATCH($A66,'Sport Records'!$B$51:$O$51,0)),"")</f>
        <v/>
      </c>
      <c r="D66" s="115" t="str">
        <f>IFERROR(INDEX('Sport Records'!$B$52:$O$70,MATCH($D$57,'Sport Records'!$A$52:$A$70,0),MATCH($A66,'Sport Records'!$B$51:$O$51,0)),"")</f>
        <v/>
      </c>
      <c r="E66" s="115" t="str">
        <f>IFERROR(INDEX('Sport Records'!$B$52:$O$70,MATCH($E$57,'Sport Records'!$A$52:$A$70,0),MATCH($A66,'Sport Records'!$B$51:$O$51,0)),"")</f>
        <v/>
      </c>
      <c r="F66" s="115">
        <f>IFERROR(INDEX('Sport Records'!$B$52:$O$70,MATCH($F$57,'Sport Records'!$A$52:$A$70,0),MATCH($A66,'Sport Records'!$B$51:$O$51,0)),"")</f>
        <v>0.5</v>
      </c>
      <c r="G66" s="115" t="str">
        <f>IFERROR(INDEX('Sport Records'!$B$52:$O$70,MATCH($G$57,'Sport Records'!$A$52:$A$70,0),MATCH($A66,'Sport Records'!$B$51:$O$51,0)),"")</f>
        <v/>
      </c>
      <c r="H66" s="115" t="str">
        <f>IFERROR(INDEX('Sport Records'!$B$52:$O$70,MATCH($H$57,'Sport Records'!$A$52:$A$70,0),MATCH($A66,'Sport Records'!$B$51:$O$51,0)),"")</f>
        <v/>
      </c>
      <c r="I66" s="115" t="str">
        <f>IFERROR(INDEX('Sport Records'!$B$52:$O$70,MATCH($I$57,'Sport Records'!$A$52:$A$70,0),MATCH($A66,'Sport Records'!$B$51:$O$51,0)),"")</f>
        <v/>
      </c>
      <c r="J66" s="115" t="str">
        <f>IFERROR(INDEX('Sport Records'!$B$52:$O$70,MATCH($J$57,'Sport Records'!$A$52:$A$70,0),MATCH($A66,'Sport Records'!$B$51:$O$51,0)),"")</f>
        <v/>
      </c>
      <c r="K66" s="115" t="str">
        <f>IFERROR(INDEX('Sport Records'!$B$52:$O$70,MATCH($K$57,'Sport Records'!$A$52:$A$70,0),MATCH($A66,'Sport Records'!$B$51:$O$51,0)),"")</f>
        <v/>
      </c>
      <c r="L66" s="115" t="str">
        <f>IFERROR(INDEX('Sport Records'!$B$52:$O$70,MATCH($L$57,'Sport Records'!$A$52:$A$70,0),MATCH($A66,'Sport Records'!$B$51:$O$51,0)),"")</f>
        <v/>
      </c>
      <c r="M66" s="115">
        <f>IFERROR(INDEX('Sport Records'!$B$52:$O$70,MATCH($M$57,'Sport Records'!$A$52:$A$70,0),MATCH($A66,'Sport Records'!$B$51:$O$51,0)),"")</f>
        <v>0.8</v>
      </c>
      <c r="N66" s="115" t="str">
        <f>IFERROR(INDEX('Sport Records'!$B$52:$O$70,MATCH($N$57,'Sport Records'!$A$52:$A$70,0),MATCH($A66,'Sport Records'!$B$51:$O$51,0)),"")</f>
        <v/>
      </c>
      <c r="O66" s="115" t="str">
        <f>IFERROR(INDEX('Sport Records'!$B$52:$O$70,MATCH($O$57,'Sport Records'!$A$52:$A$70,0),MATCH($A66,'Sport Records'!$B$51:$O$51,0)),"")</f>
        <v/>
      </c>
      <c r="P66" s="115" t="str">
        <f>IFERROR(INDEX('Sport Records'!$B$52:$O$70,MATCH($P$57,'Sport Records'!$A$52:$A$70,0),MATCH($A66,'Sport Records'!$B$51:$O$51,0)),"")</f>
        <v/>
      </c>
      <c r="Q66" s="115" t="str">
        <f>IFERROR(INDEX('Sport Records'!$B$52:$O$70,MATCH($Q$57,'Sport Records'!$A$52:$A$70,0),MATCH($A66,'Sport Records'!$B$51:$O$51,0)),"")</f>
        <v/>
      </c>
      <c r="R66" s="115" t="str">
        <f>IFERROR(INDEX('Sport Records'!$B$52:$O$70,MATCH($R$57,'Sport Records'!$A$52:$A$70,0),MATCH($A66,'Sport Records'!$B$51:$O$51,0)),"")</f>
        <v/>
      </c>
      <c r="S66" s="115">
        <f>IFERROR(INDEX('Sport Records'!$B$52:$O$70,MATCH($S$57,'Sport Records'!$A$52:$A$70,0),MATCH($A66,'Sport Records'!$B$51:$O$51,0)),"")</f>
        <v>0.7</v>
      </c>
      <c r="T66" s="115" t="str">
        <f>IFERROR(INDEX('Sport Records'!$B$52:$O$70,MATCH($T$57,'Sport Records'!$A$52:$A$70,0),MATCH($A66,'Sport Records'!$B$51:$O$51,0)),"")</f>
        <v/>
      </c>
      <c r="U66" s="26"/>
    </row>
    <row r="67" spans="1:21" x14ac:dyDescent="0.2">
      <c r="A67" s="91" t="s">
        <v>182</v>
      </c>
      <c r="B67" s="115" t="str">
        <f>IFERROR(INDEX('Sport Records'!$B$52:$O$70,MATCH($B$57,'Sport Records'!$A$52:$A$70,0),MATCH($A67,'Sport Records'!$B$51:$O$51,0)),"")</f>
        <v/>
      </c>
      <c r="C67" s="115" t="str">
        <f>IFERROR(INDEX('Sport Records'!$B$52:$O$70,MATCH($C$57,'Sport Records'!$A$52:$A$70,0),MATCH($A67,'Sport Records'!$B$51:$O$51,0)),"")</f>
        <v/>
      </c>
      <c r="D67" s="115" t="str">
        <f>IFERROR(INDEX('Sport Records'!$B$52:$O$70,MATCH($D$57,'Sport Records'!$A$52:$A$70,0),MATCH($A67,'Sport Records'!$B$51:$O$51,0)),"")</f>
        <v/>
      </c>
      <c r="E67" s="115" t="str">
        <f>IFERROR(INDEX('Sport Records'!$B$52:$O$70,MATCH($E$57,'Sport Records'!$A$52:$A$70,0),MATCH($A67,'Sport Records'!$B$51:$O$51,0)),"")</f>
        <v/>
      </c>
      <c r="F67" s="115">
        <f>IFERROR(INDEX('Sport Records'!$B$52:$O$70,MATCH($F$57,'Sport Records'!$A$52:$A$70,0),MATCH($A67,'Sport Records'!$B$51:$O$51,0)),"")</f>
        <v>0</v>
      </c>
      <c r="G67" s="115" t="str">
        <f>IFERROR(INDEX('Sport Records'!$B$52:$O$70,MATCH($G$57,'Sport Records'!$A$52:$A$70,0),MATCH($A67,'Sport Records'!$B$51:$O$51,0)),"")</f>
        <v/>
      </c>
      <c r="H67" s="115" t="str">
        <f>IFERROR(INDEX('Sport Records'!$B$52:$O$70,MATCH($H$57,'Sport Records'!$A$52:$A$70,0),MATCH($A67,'Sport Records'!$B$51:$O$51,0)),"")</f>
        <v/>
      </c>
      <c r="I67" s="115" t="str">
        <f>IFERROR(INDEX('Sport Records'!$B$52:$O$70,MATCH($I$57,'Sport Records'!$A$52:$A$70,0),MATCH($A67,'Sport Records'!$B$51:$O$51,0)),"")</f>
        <v/>
      </c>
      <c r="J67" s="115" t="str">
        <f>IFERROR(INDEX('Sport Records'!$B$52:$O$70,MATCH($J$57,'Sport Records'!$A$52:$A$70,0),MATCH($A67,'Sport Records'!$B$51:$O$51,0)),"")</f>
        <v/>
      </c>
      <c r="K67" s="115" t="str">
        <f>IFERROR(INDEX('Sport Records'!$B$52:$O$70,MATCH($K$57,'Sport Records'!$A$52:$A$70,0),MATCH($A67,'Sport Records'!$B$51:$O$51,0)),"")</f>
        <v/>
      </c>
      <c r="L67" s="115" t="str">
        <f>IFERROR(INDEX('Sport Records'!$B$52:$O$70,MATCH($L$57,'Sport Records'!$A$52:$A$70,0),MATCH($A67,'Sport Records'!$B$51:$O$51,0)),"")</f>
        <v/>
      </c>
      <c r="M67" s="115">
        <f>IFERROR(INDEX('Sport Records'!$B$52:$O$70,MATCH($M$57,'Sport Records'!$A$52:$A$70,0),MATCH($A67,'Sport Records'!$B$51:$O$51,0)),"")</f>
        <v>0</v>
      </c>
      <c r="N67" s="115" t="str">
        <f>IFERROR(INDEX('Sport Records'!$B$52:$O$70,MATCH($N$57,'Sport Records'!$A$52:$A$70,0),MATCH($A67,'Sport Records'!$B$51:$O$51,0)),"")</f>
        <v/>
      </c>
      <c r="O67" s="115" t="str">
        <f>IFERROR(INDEX('Sport Records'!$B$52:$O$70,MATCH($O$57,'Sport Records'!$A$52:$A$70,0),MATCH($A67,'Sport Records'!$B$51:$O$51,0)),"")</f>
        <v/>
      </c>
      <c r="P67" s="115" t="str">
        <f>IFERROR(INDEX('Sport Records'!$B$52:$O$70,MATCH($P$57,'Sport Records'!$A$52:$A$70,0),MATCH($A67,'Sport Records'!$B$51:$O$51,0)),"")</f>
        <v/>
      </c>
      <c r="Q67" s="115" t="str">
        <f>IFERROR(INDEX('Sport Records'!$B$52:$O$70,MATCH($Q$57,'Sport Records'!$A$52:$A$70,0),MATCH($A67,'Sport Records'!$B$51:$O$51,0)),"")</f>
        <v/>
      </c>
      <c r="R67" s="115" t="str">
        <f>IFERROR(INDEX('Sport Records'!$B$52:$O$70,MATCH($R$57,'Sport Records'!$A$52:$A$70,0),MATCH($A67,'Sport Records'!$B$51:$O$51,0)),"")</f>
        <v/>
      </c>
      <c r="S67" s="115">
        <f>IFERROR(INDEX('Sport Records'!$B$52:$O$70,MATCH($S$57,'Sport Records'!$A$52:$A$70,0),MATCH($A67,'Sport Records'!$B$51:$O$51,0)),"")</f>
        <v>0.2857142857142857</v>
      </c>
      <c r="T67" s="115" t="str">
        <f>IFERROR(INDEX('Sport Records'!$B$52:$O$70,MATCH($T$57,'Sport Records'!$A$52:$A$70,0),MATCH($A67,'Sport Records'!$B$51:$O$51,0)),"")</f>
        <v/>
      </c>
      <c r="U67" s="26"/>
    </row>
    <row r="68" spans="1:21" x14ac:dyDescent="0.2">
      <c r="A68" s="91" t="s">
        <v>176</v>
      </c>
      <c r="B68" s="115" t="str">
        <f>IFERROR(INDEX('Sport Records'!$B$52:$O$70,MATCH($B$57,'Sport Records'!$A$52:$A$70,0),MATCH($A68,'Sport Records'!$B$51:$O$51,0)),"")</f>
        <v/>
      </c>
      <c r="C68" s="115" t="str">
        <f>IFERROR(INDEX('Sport Records'!$B$52:$O$70,MATCH($C$57,'Sport Records'!$A$52:$A$70,0),MATCH($A68,'Sport Records'!$B$51:$O$51,0)),"")</f>
        <v/>
      </c>
      <c r="D68" s="115" t="str">
        <f>IFERROR(INDEX('Sport Records'!$B$52:$O$70,MATCH($D$57,'Sport Records'!$A$52:$A$70,0),MATCH($A68,'Sport Records'!$B$51:$O$51,0)),"")</f>
        <v/>
      </c>
      <c r="E68" s="115" t="str">
        <f>IFERROR(INDEX('Sport Records'!$B$52:$O$70,MATCH($E$57,'Sport Records'!$A$52:$A$70,0),MATCH($A68,'Sport Records'!$B$51:$O$51,0)),"")</f>
        <v/>
      </c>
      <c r="F68" s="115">
        <f>IFERROR(INDEX('Sport Records'!$B$52:$O$70,MATCH($F$57,'Sport Records'!$A$52:$A$70,0),MATCH($A68,'Sport Records'!$B$51:$O$51,0)),"")</f>
        <v>0.5</v>
      </c>
      <c r="G68" s="115">
        <f>IFERROR(INDEX('Sport Records'!$B$52:$O$70,MATCH($G$57,'Sport Records'!$A$52:$A$70,0),MATCH($A68,'Sport Records'!$B$51:$O$51,0)),"")</f>
        <v>0</v>
      </c>
      <c r="H68" s="115" t="str">
        <f>IFERROR(INDEX('Sport Records'!$B$52:$O$70,MATCH($H$57,'Sport Records'!$A$52:$A$70,0),MATCH($A68,'Sport Records'!$B$51:$O$51,0)),"")</f>
        <v/>
      </c>
      <c r="I68" s="115" t="str">
        <f>IFERROR(INDEX('Sport Records'!$B$52:$O$70,MATCH($I$57,'Sport Records'!$A$52:$A$70,0),MATCH($A68,'Sport Records'!$B$51:$O$51,0)),"")</f>
        <v/>
      </c>
      <c r="J68" s="115">
        <f>IFERROR(INDEX('Sport Records'!$B$52:$O$70,MATCH($J$57,'Sport Records'!$A$52:$A$70,0),MATCH($A68,'Sport Records'!$B$51:$O$51,0)),"")</f>
        <v>0</v>
      </c>
      <c r="K68" s="115" t="str">
        <f>IFERROR(INDEX('Sport Records'!$B$52:$O$70,MATCH($K$57,'Sport Records'!$A$52:$A$70,0),MATCH($A68,'Sport Records'!$B$51:$O$51,0)),"")</f>
        <v/>
      </c>
      <c r="L68" s="115" t="str">
        <f>IFERROR(INDEX('Sport Records'!$B$52:$O$70,MATCH($L$57,'Sport Records'!$A$52:$A$70,0),MATCH($A68,'Sport Records'!$B$51:$O$51,0)),"")</f>
        <v/>
      </c>
      <c r="M68" s="115">
        <f>IFERROR(INDEX('Sport Records'!$B$52:$O$70,MATCH($M$57,'Sport Records'!$A$52:$A$70,0),MATCH($A68,'Sport Records'!$B$51:$O$51,0)),"")</f>
        <v>0.54545454545454541</v>
      </c>
      <c r="N68" s="115">
        <f>IFERROR(INDEX('Sport Records'!$B$52:$O$70,MATCH($N$57,'Sport Records'!$A$52:$A$70,0),MATCH($A68,'Sport Records'!$B$51:$O$51,0)),"")</f>
        <v>0.33333333333333331</v>
      </c>
      <c r="O68" s="115">
        <f>IFERROR(INDEX('Sport Records'!$B$52:$O$70,MATCH($O$57,'Sport Records'!$A$52:$A$70,0),MATCH($A68,'Sport Records'!$B$51:$O$51,0)),"")</f>
        <v>0.7142857142857143</v>
      </c>
      <c r="P68" s="115" t="str">
        <f>IFERROR(INDEX('Sport Records'!$B$52:$O$70,MATCH($P$57,'Sport Records'!$A$52:$A$70,0),MATCH($A68,'Sport Records'!$B$51:$O$51,0)),"")</f>
        <v/>
      </c>
      <c r="Q68" s="115" t="str">
        <f>IFERROR(INDEX('Sport Records'!$B$52:$O$70,MATCH($Q$57,'Sport Records'!$A$52:$A$70,0),MATCH($A68,'Sport Records'!$B$51:$O$51,0)),"")</f>
        <v/>
      </c>
      <c r="R68" s="115" t="str">
        <f>IFERROR(INDEX('Sport Records'!$B$52:$O$70,MATCH($R$57,'Sport Records'!$A$52:$A$70,0),MATCH($A68,'Sport Records'!$B$51:$O$51,0)),"")</f>
        <v/>
      </c>
      <c r="S68" s="115">
        <f>IFERROR(INDEX('Sport Records'!$B$52:$O$70,MATCH($S$57,'Sport Records'!$A$52:$A$70,0),MATCH($A68,'Sport Records'!$B$51:$O$51,0)),"")</f>
        <v>0.41666666666666669</v>
      </c>
      <c r="T68" s="115" t="str">
        <f>IFERROR(INDEX('Sport Records'!$B$52:$O$70,MATCH($T$57,'Sport Records'!$A$52:$A$70,0),MATCH($A68,'Sport Records'!$B$51:$O$51,0)),"")</f>
        <v/>
      </c>
      <c r="U68" s="26"/>
    </row>
    <row r="69" spans="1:21" x14ac:dyDescent="0.2">
      <c r="A69" s="91" t="s">
        <v>178</v>
      </c>
      <c r="B69" s="115" t="str">
        <f>IFERROR(INDEX('Sport Records'!$B$52:$O$70,MATCH($B$57,'Sport Records'!$A$52:$A$70,0),MATCH($A69,'Sport Records'!$B$51:$O$51,0)),"")</f>
        <v/>
      </c>
      <c r="C69" s="115" t="str">
        <f>IFERROR(INDEX('Sport Records'!$B$52:$O$70,MATCH($C$57,'Sport Records'!$A$52:$A$70,0),MATCH($A69,'Sport Records'!$B$51:$O$51,0)),"")</f>
        <v/>
      </c>
      <c r="D69" s="115" t="str">
        <f>IFERROR(INDEX('Sport Records'!$B$52:$O$70,MATCH($D$57,'Sport Records'!$A$52:$A$70,0),MATCH($A69,'Sport Records'!$B$51:$O$51,0)),"")</f>
        <v/>
      </c>
      <c r="E69" s="115" t="str">
        <f>IFERROR(INDEX('Sport Records'!$B$52:$O$70,MATCH($E$57,'Sport Records'!$A$52:$A$70,0),MATCH($A69,'Sport Records'!$B$51:$O$51,0)),"")</f>
        <v/>
      </c>
      <c r="F69" s="115" t="str">
        <f>IFERROR(INDEX('Sport Records'!$B$52:$O$70,MATCH($F$57,'Sport Records'!$A$52:$A$70,0),MATCH($A69,'Sport Records'!$B$51:$O$51,0)),"")</f>
        <v/>
      </c>
      <c r="G69" s="115" t="str">
        <f>IFERROR(INDEX('Sport Records'!$B$52:$O$70,MATCH($G$57,'Sport Records'!$A$52:$A$70,0),MATCH($A69,'Sport Records'!$B$51:$O$51,0)),"")</f>
        <v/>
      </c>
      <c r="H69" s="115" t="str">
        <f>IFERROR(INDEX('Sport Records'!$B$52:$O$70,MATCH($H$57,'Sport Records'!$A$52:$A$70,0),MATCH($A69,'Sport Records'!$B$51:$O$51,0)),"")</f>
        <v/>
      </c>
      <c r="I69" s="115" t="str">
        <f>IFERROR(INDEX('Sport Records'!$B$52:$O$70,MATCH($I$57,'Sport Records'!$A$52:$A$70,0),MATCH($A69,'Sport Records'!$B$51:$O$51,0)),"")</f>
        <v/>
      </c>
      <c r="J69" s="115" t="str">
        <f>IFERROR(INDEX('Sport Records'!$B$52:$O$70,MATCH($J$57,'Sport Records'!$A$52:$A$70,0),MATCH($A69,'Sport Records'!$B$51:$O$51,0)),"")</f>
        <v/>
      </c>
      <c r="K69" s="115" t="str">
        <f>IFERROR(INDEX('Sport Records'!$B$52:$O$70,MATCH($K$57,'Sport Records'!$A$52:$A$70,0),MATCH($A69,'Sport Records'!$B$51:$O$51,0)),"")</f>
        <v/>
      </c>
      <c r="L69" s="115" t="str">
        <f>IFERROR(INDEX('Sport Records'!$B$52:$O$70,MATCH($L$57,'Sport Records'!$A$52:$A$70,0),MATCH($A69,'Sport Records'!$B$51:$O$51,0)),"")</f>
        <v/>
      </c>
      <c r="M69" s="115" t="str">
        <f>IFERROR(INDEX('Sport Records'!$B$52:$O$70,MATCH($M$57,'Sport Records'!$A$52:$A$70,0),MATCH($A69,'Sport Records'!$B$51:$O$51,0)),"")</f>
        <v/>
      </c>
      <c r="N69" s="115" t="str">
        <f>IFERROR(INDEX('Sport Records'!$B$52:$O$70,MATCH($N$57,'Sport Records'!$A$52:$A$70,0),MATCH($A69,'Sport Records'!$B$51:$O$51,0)),"")</f>
        <v/>
      </c>
      <c r="O69" s="115" t="str">
        <f>IFERROR(INDEX('Sport Records'!$B$52:$O$70,MATCH($O$57,'Sport Records'!$A$52:$A$70,0),MATCH($A69,'Sport Records'!$B$51:$O$51,0)),"")</f>
        <v/>
      </c>
      <c r="P69" s="115" t="str">
        <f>IFERROR(INDEX('Sport Records'!$B$52:$O$70,MATCH($P$57,'Sport Records'!$A$52:$A$70,0),MATCH($A69,'Sport Records'!$B$51:$O$51,0)),"")</f>
        <v/>
      </c>
      <c r="Q69" s="115" t="str">
        <f>IFERROR(INDEX('Sport Records'!$B$52:$O$70,MATCH($Q$57,'Sport Records'!$A$52:$A$70,0),MATCH($A69,'Sport Records'!$B$51:$O$51,0)),"")</f>
        <v/>
      </c>
      <c r="R69" s="115" t="str">
        <f>IFERROR(INDEX('Sport Records'!$B$52:$O$70,MATCH($R$57,'Sport Records'!$A$52:$A$70,0),MATCH($A69,'Sport Records'!$B$51:$O$51,0)),"")</f>
        <v/>
      </c>
      <c r="S69" s="115">
        <f>IFERROR(INDEX('Sport Records'!$B$52:$O$70,MATCH($S$57,'Sport Records'!$A$52:$A$70,0),MATCH($A69,'Sport Records'!$B$51:$O$51,0)),"")</f>
        <v>0.4</v>
      </c>
      <c r="T69" s="115" t="str">
        <f>IFERROR(INDEX('Sport Records'!$B$52:$O$70,MATCH($T$57,'Sport Records'!$A$52:$A$70,0),MATCH($A69,'Sport Records'!$B$51:$O$51,0)),"")</f>
        <v/>
      </c>
      <c r="U69" s="26"/>
    </row>
    <row r="70" spans="1:21" x14ac:dyDescent="0.2">
      <c r="A70" s="91" t="s">
        <v>179</v>
      </c>
      <c r="B70" s="115" t="str">
        <f>IFERROR(INDEX('Sport Records'!$B$52:$O$70,MATCH($B$57,'Sport Records'!$A$52:$A$70,0),MATCH($A70,'Sport Records'!$B$51:$O$51,0)),"")</f>
        <v/>
      </c>
      <c r="C70" s="115" t="str">
        <f>IFERROR(INDEX('Sport Records'!$B$52:$O$70,MATCH($C$57,'Sport Records'!$A$52:$A$70,0),MATCH($A70,'Sport Records'!$B$51:$O$51,0)),"")</f>
        <v/>
      </c>
      <c r="D70" s="115" t="str">
        <f>IFERROR(INDEX('Sport Records'!$B$52:$O$70,MATCH($D$57,'Sport Records'!$A$52:$A$70,0),MATCH($A70,'Sport Records'!$B$51:$O$51,0)),"")</f>
        <v/>
      </c>
      <c r="E70" s="115" t="str">
        <f>IFERROR(INDEX('Sport Records'!$B$52:$O$70,MATCH($E$57,'Sport Records'!$A$52:$A$70,0),MATCH($A70,'Sport Records'!$B$51:$O$51,0)),"")</f>
        <v/>
      </c>
      <c r="F70" s="115" t="str">
        <f>IFERROR(INDEX('Sport Records'!$B$52:$O$70,MATCH($F$57,'Sport Records'!$A$52:$A$70,0),MATCH($A70,'Sport Records'!$B$51:$O$51,0)),"")</f>
        <v/>
      </c>
      <c r="G70" s="115" t="str">
        <f>IFERROR(INDEX('Sport Records'!$B$52:$O$70,MATCH($G$57,'Sport Records'!$A$52:$A$70,0),MATCH($A70,'Sport Records'!$B$51:$O$51,0)),"")</f>
        <v/>
      </c>
      <c r="H70" s="115" t="str">
        <f>IFERROR(INDEX('Sport Records'!$B$52:$O$70,MATCH($H$57,'Sport Records'!$A$52:$A$70,0),MATCH($A70,'Sport Records'!$B$51:$O$51,0)),"")</f>
        <v/>
      </c>
      <c r="I70" s="115" t="str">
        <f>IFERROR(INDEX('Sport Records'!$B$52:$O$70,MATCH($I$57,'Sport Records'!$A$52:$A$70,0),MATCH($A70,'Sport Records'!$B$51:$O$51,0)),"")</f>
        <v/>
      </c>
      <c r="J70" s="115" t="str">
        <f>IFERROR(INDEX('Sport Records'!$B$52:$O$70,MATCH($J$57,'Sport Records'!$A$52:$A$70,0),MATCH($A70,'Sport Records'!$B$51:$O$51,0)),"")</f>
        <v/>
      </c>
      <c r="K70" s="115" t="str">
        <f>IFERROR(INDEX('Sport Records'!$B$52:$O$70,MATCH($K$57,'Sport Records'!$A$52:$A$70,0),MATCH($A70,'Sport Records'!$B$51:$O$51,0)),"")</f>
        <v/>
      </c>
      <c r="L70" s="115" t="str">
        <f>IFERROR(INDEX('Sport Records'!$B$52:$O$70,MATCH($L$57,'Sport Records'!$A$52:$A$70,0),MATCH($A70,'Sport Records'!$B$51:$O$51,0)),"")</f>
        <v/>
      </c>
      <c r="M70" s="115" t="str">
        <f>IFERROR(INDEX('Sport Records'!$B$52:$O$70,MATCH($M$57,'Sport Records'!$A$52:$A$70,0),MATCH($A70,'Sport Records'!$B$51:$O$51,0)),"")</f>
        <v/>
      </c>
      <c r="N70" s="115" t="str">
        <f>IFERROR(INDEX('Sport Records'!$B$52:$O$70,MATCH($N$57,'Sport Records'!$A$52:$A$70,0),MATCH($A70,'Sport Records'!$B$51:$O$51,0)),"")</f>
        <v/>
      </c>
      <c r="O70" s="115" t="str">
        <f>IFERROR(INDEX('Sport Records'!$B$52:$O$70,MATCH($O$57,'Sport Records'!$A$52:$A$70,0),MATCH($A70,'Sport Records'!$B$51:$O$51,0)),"")</f>
        <v/>
      </c>
      <c r="P70" s="115" t="str">
        <f>IFERROR(INDEX('Sport Records'!$B$52:$O$70,MATCH($P$57,'Sport Records'!$A$52:$A$70,0),MATCH($A70,'Sport Records'!$B$51:$O$51,0)),"")</f>
        <v/>
      </c>
      <c r="Q70" s="115" t="str">
        <f>IFERROR(INDEX('Sport Records'!$B$52:$O$70,MATCH($Q$57,'Sport Records'!$A$52:$A$70,0),MATCH($A70,'Sport Records'!$B$51:$O$51,0)),"")</f>
        <v/>
      </c>
      <c r="R70" s="115" t="str">
        <f>IFERROR(INDEX('Sport Records'!$B$52:$O$70,MATCH($R$57,'Sport Records'!$A$52:$A$70,0),MATCH($A70,'Sport Records'!$B$51:$O$51,0)),"")</f>
        <v/>
      </c>
      <c r="S70" s="115">
        <f>IFERROR(INDEX('Sport Records'!$B$52:$O$70,MATCH($S$57,'Sport Records'!$A$52:$A$70,0),MATCH($A70,'Sport Records'!$B$51:$O$51,0)),"")</f>
        <v>0.5</v>
      </c>
      <c r="T70" s="115" t="str">
        <f>IFERROR(INDEX('Sport Records'!$B$52:$O$70,MATCH($T$57,'Sport Records'!$A$52:$A$70,0),MATCH($A70,'Sport Records'!$B$51:$O$51,0)),"")</f>
        <v/>
      </c>
      <c r="U70" s="26"/>
    </row>
    <row r="71" spans="1:21" x14ac:dyDescent="0.2">
      <c r="A71" s="91" t="s">
        <v>181</v>
      </c>
      <c r="B71" s="115" t="str">
        <f>IFERROR(INDEX('Sport Records'!$B$52:$O$70,MATCH($B$57,'Sport Records'!$A$52:$A$70,0),MATCH($A71,'Sport Records'!$B$51:$O$51,0)),"")</f>
        <v/>
      </c>
      <c r="C71" s="115" t="str">
        <f>IFERROR(INDEX('Sport Records'!$B$52:$O$70,MATCH($C$57,'Sport Records'!$A$52:$A$70,0),MATCH($A71,'Sport Records'!$B$51:$O$51,0)),"")</f>
        <v/>
      </c>
      <c r="D71" s="115" t="str">
        <f>IFERROR(INDEX('Sport Records'!$B$52:$O$70,MATCH($D$57,'Sport Records'!$A$52:$A$70,0),MATCH($A71,'Sport Records'!$B$51:$O$51,0)),"")</f>
        <v/>
      </c>
      <c r="E71" s="115" t="str">
        <f>IFERROR(INDEX('Sport Records'!$B$52:$O$70,MATCH($E$57,'Sport Records'!$A$52:$A$70,0),MATCH($A71,'Sport Records'!$B$51:$O$51,0)),"")</f>
        <v/>
      </c>
      <c r="F71" s="115" t="str">
        <f>IFERROR(INDEX('Sport Records'!$B$52:$O$70,MATCH($F$57,'Sport Records'!$A$52:$A$70,0),MATCH($A71,'Sport Records'!$B$51:$O$51,0)),"")</f>
        <v/>
      </c>
      <c r="G71" s="115" t="str">
        <f>IFERROR(INDEX('Sport Records'!$B$52:$O$70,MATCH($G$57,'Sport Records'!$A$52:$A$70,0),MATCH($A71,'Sport Records'!$B$51:$O$51,0)),"")</f>
        <v/>
      </c>
      <c r="H71" s="115" t="str">
        <f>IFERROR(INDEX('Sport Records'!$B$52:$O$70,MATCH($H$57,'Sport Records'!$A$52:$A$70,0),MATCH($A71,'Sport Records'!$B$51:$O$51,0)),"")</f>
        <v/>
      </c>
      <c r="I71" s="115" t="str">
        <f>IFERROR(INDEX('Sport Records'!$B$52:$O$70,MATCH($I$57,'Sport Records'!$A$52:$A$70,0),MATCH($A71,'Sport Records'!$B$51:$O$51,0)),"")</f>
        <v/>
      </c>
      <c r="J71" s="115" t="str">
        <f>IFERROR(INDEX('Sport Records'!$B$52:$O$70,MATCH($J$57,'Sport Records'!$A$52:$A$70,0),MATCH($A71,'Sport Records'!$B$51:$O$51,0)),"")</f>
        <v/>
      </c>
      <c r="K71" s="115" t="str">
        <f>IFERROR(INDEX('Sport Records'!$B$52:$O$70,MATCH($K$57,'Sport Records'!$A$52:$A$70,0),MATCH($A71,'Sport Records'!$B$51:$O$51,0)),"")</f>
        <v/>
      </c>
      <c r="L71" s="115" t="str">
        <f>IFERROR(INDEX('Sport Records'!$B$52:$O$70,MATCH($L$57,'Sport Records'!$A$52:$A$70,0),MATCH($A71,'Sport Records'!$B$51:$O$51,0)),"")</f>
        <v/>
      </c>
      <c r="M71" s="115" t="str">
        <f>IFERROR(INDEX('Sport Records'!$B$52:$O$70,MATCH($M$57,'Sport Records'!$A$52:$A$70,0),MATCH($A71,'Sport Records'!$B$51:$O$51,0)),"")</f>
        <v/>
      </c>
      <c r="N71" s="115" t="str">
        <f>IFERROR(INDEX('Sport Records'!$B$52:$O$70,MATCH($N$57,'Sport Records'!$A$52:$A$70,0),MATCH($A71,'Sport Records'!$B$51:$O$51,0)),"")</f>
        <v/>
      </c>
      <c r="O71" s="115" t="str">
        <f>IFERROR(INDEX('Sport Records'!$B$52:$O$70,MATCH($O$57,'Sport Records'!$A$52:$A$70,0),MATCH($A71,'Sport Records'!$B$51:$O$51,0)),"")</f>
        <v/>
      </c>
      <c r="P71" s="115" t="str">
        <f>IFERROR(INDEX('Sport Records'!$B$52:$O$70,MATCH($P$57,'Sport Records'!$A$52:$A$70,0),MATCH($A71,'Sport Records'!$B$51:$O$51,0)),"")</f>
        <v/>
      </c>
      <c r="Q71" s="115" t="str">
        <f>IFERROR(INDEX('Sport Records'!$B$52:$O$70,MATCH($Q$57,'Sport Records'!$A$52:$A$70,0),MATCH($A71,'Sport Records'!$B$51:$O$51,0)),"")</f>
        <v/>
      </c>
      <c r="R71" s="115" t="str">
        <f>IFERROR(INDEX('Sport Records'!$B$52:$O$70,MATCH($R$57,'Sport Records'!$A$52:$A$70,0),MATCH($A71,'Sport Records'!$B$51:$O$51,0)),"")</f>
        <v/>
      </c>
      <c r="S71" s="115" t="str">
        <f>IFERROR(INDEX('Sport Records'!$B$52:$O$70,MATCH($S$57,'Sport Records'!$A$52:$A$70,0),MATCH($A71,'Sport Records'!$B$51:$O$51,0)),"")</f>
        <v/>
      </c>
      <c r="T71" s="115" t="str">
        <f>IFERROR(INDEX('Sport Records'!$B$52:$O$70,MATCH($T$57,'Sport Records'!$A$52:$A$70,0),MATCH($A71,'Sport Records'!$B$51:$O$51,0)),"")</f>
        <v/>
      </c>
      <c r="U71" s="26"/>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Lists!$C$2:$C$20</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311"/>
  <sheetViews>
    <sheetView zoomScale="118" zoomScaleNormal="118" workbookViewId="0">
      <pane xSplit="5" ySplit="3" topLeftCell="F249" activePane="bottomRight" state="frozen"/>
      <selection pane="topRight" activeCell="F1" sqref="F1"/>
      <selection pane="bottomLeft" activeCell="A244" sqref="A244"/>
      <selection pane="bottomRight" activeCell="E286" sqref="E28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IF($D4="",0,COUNTIF($A$4:$A$311,$A4))</f>
        <v>3</v>
      </c>
      <c r="G4" s="120" t="str">
        <f t="shared" ref="G4:G67" si="1">IF($D4="","",IFERROR(LOOKUP(2,1/(($A$4:$A$311=$A4)*($E$4:$E$311="Win")),$D$4:$D$311),"(no winner)"))</f>
        <v>Josh</v>
      </c>
      <c r="H4" s="121">
        <f>IF($D4="",0,IFERROR(LOOKUP(2,1/(($D$3:D3=$D4)*($A$3:A3&lt;$A4)),$N$3:N3),'Guide &amp; Settings'!$C$41))</f>
        <v>1000</v>
      </c>
      <c r="I4" s="122">
        <f t="shared" ref="I4:I67" si="2">IF($D4="",0,IF($S4=0,0,$R4/$S4))</f>
        <v>0.33333333333333331</v>
      </c>
      <c r="J4" s="123">
        <f>IF($D4="",0,IF($F4&lt;2,0,IF($E4="Win",('Guide &amp; Settings'!$C$42/(($F4-1)*COUNTIFS($A$4:$A$311,$A4,$E$4:$E$311,"Win")))*SUMIFS($X$4:$X$311,$A$4:$A$311,$A4,$E$4:$E$311,"Loss"),-('Guide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IF($D4="","",IF(COUNTIFS($A$4:$A$311,$A4,$E$4:$E$311,"Win")=0,"need a winner",IF(COUNTIFS($A$4:$A$311,$A4,$E$4:$E$311,"Loss")=0,"need a loser",IF(COUNTIFS($A$4:$A$311,$A4,$D$4:$D$311,$D4)&gt;1,"duplicate player","OK"))))</f>
        <v>OK</v>
      </c>
      <c r="P4">
        <f t="shared" ref="P4:P67" si="6">IF($D4="",0,IFERROR(SUMIFS($H$4:$H$311,$A$4:$A$311,$A4,$E$4:$E$311,"Win")/COUNTIFS($A$4:$A$311,$A4,$E$4:$E$311,"Win"),0))</f>
        <v>1000</v>
      </c>
      <c r="Q4">
        <f t="shared" ref="Q4:Q67" si="7">IF($D4="",0,1/(1+10^(($P4-$H4)/400)))</f>
        <v>0.5</v>
      </c>
      <c r="R4">
        <f t="shared" ref="R4:R67" si="8">IF($D4="",0,(COUNTIFS($D$4:$D$311,$D4,$C$4:$C$311,$C4,$E$4:$E$311,"Win",$A$4:$A$311,"&lt;"&amp;$A4)+1)/(COUNTIFS($D$4:$D$311,$D4,$C$4:$C$311,$C4,$A$4:$A$311,"&lt;"&amp;$A4)+2))</f>
        <v>0.5</v>
      </c>
      <c r="S4">
        <f t="shared" ref="S4:S67" si="9">IF($D4="",0,SUMIFS($R$4:$R$311,$A$4:$A$311,$A4))</f>
        <v>1.5</v>
      </c>
      <c r="T4" s="88">
        <f t="shared" ref="T4:T67" si="10">IF($D4="",0,COUNTIFS($D$4:$D$311,$D4,$C$4:$C$311,$C4,$A$4:$A$311,"&lt;"&amp;$A4))</f>
        <v>0</v>
      </c>
      <c r="U4" s="125">
        <f>IF($D4="",0,IFERROR(LOOKUP(2,1/(($D$3:D3=$D4)*($C$3:C3=$C4)*($A$3:A3&lt;$A4)),$AB$3:AB3),1000))</f>
        <v>1000</v>
      </c>
      <c r="V4" s="125">
        <f t="shared" ref="V4:V67" si="11">IF($D4="",0,$U4*($T4/($T4+5))+$H4*(1-$T4/($T4+5)))</f>
        <v>1000</v>
      </c>
      <c r="W4">
        <f t="shared" ref="W4:W67" si="12">IF($D4="",0,IFERROR(SUMIFS($V$4:$V$311,$A$4:$A$311,$A4,$E$4:$E$311,"Win")/COUNTIFS($A$4:$A$311,$A4,$E$4:$E$311,"Win"),0))</f>
        <v>1000</v>
      </c>
      <c r="X4">
        <f t="shared" ref="X4:X67" si="13">IF($D4="",0,1/(1+10^(($W4-$V4)/400)))</f>
        <v>0.5</v>
      </c>
      <c r="Y4">
        <f t="shared" ref="Y4:Y67" si="14">IF($D4="",0,IFERROR(SUMIFS($U$4:$U$311,$A$4:$A$311,$A4,$E$4:$E$311,"Win")/COUNTIFS($A$4:$A$311,$A4,$E$4:$E$311,"Win"),0))</f>
        <v>1000</v>
      </c>
      <c r="Z4">
        <f t="shared" ref="Z4:Z67" si="15">IF($D4="",0,1/(1+10^(($Y4-$U4)/400)))</f>
        <v>0.5</v>
      </c>
      <c r="AA4">
        <f>IF($D4="",0,IF($F4&lt;2,0,IF($E4="Win",('Guide &amp; Settings'!$C$42/(($F4-1)*COUNTIFS($A$4:$A$311,$A4,$E$4:$E$311,"Win")))*SUMIFS($Z$4:$Z$311,$A$4:$A$311,$A4,$E$4:$E$311,"Loss"),-('Guide &amp; Settings'!$C$42/($F4-1))*$Z4)))</f>
        <v>16</v>
      </c>
      <c r="AB4" s="125">
        <f t="shared" ref="AB4:AB67" si="16">IF($D4="",0,$U4+$AA4)</f>
        <v>1016</v>
      </c>
      <c r="AC4" s="125">
        <f>IF($D4="","",IF(SUMPRODUCT(MAX(($D$4:$D$311=$D4)*($B$4:$B$311&lt;$B4)*$B$4:$B$311))=0,0,MAX(($B4-SUMPRODUCT(MAX(($D$4:$D$311=$D4)*($B$4:$B$311&lt;$B4)*$B$4:$B$311)))/7-'Guide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Settings'!$C$42/(($F5-1)*COUNTIFS($A$4:$A$311,$A5,$E$4:$E$311,"Win")))*SUMIFS($X$4:$X$311,$A$4:$A$311,$A5,$E$4:$E$311,"Loss"),-('Guide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Settings'!$C$42/(($F5-1)*COUNTIFS($A$4:$A$311,$A5,$E$4:$E$311,"Win")))*SUMIFS($Z$4:$Z$311,$A$4:$A$311,$A5,$E$4:$E$311,"Loss"),-('Guide &amp; Settings'!$C$42/($F5-1))*$Z5)))</f>
        <v>-8</v>
      </c>
      <c r="AB5" s="125">
        <f t="shared" si="16"/>
        <v>992</v>
      </c>
      <c r="AC5" s="125">
        <f>IF($D5="","",IF(SUMPRODUCT(MAX(($D$4:$D$311=$D5)*($B$4:$B$311&lt;$B5)*$B$4:$B$311))=0,0,MAX(($B5-SUMPRODUCT(MAX(($D$4:$D$311=$D5)*($B$4:$B$311&lt;$B5)*$B$4:$B$311)))/7-'Guide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Settings'!$C$42/(($F6-1)*COUNTIFS($A$4:$A$311,$A6,$E$4:$E$311,"Win")))*SUMIFS($X$4:$X$311,$A$4:$A$311,$A6,$E$4:$E$311,"Loss"),-('Guide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Settings'!$C$42/(($F6-1)*COUNTIFS($A$4:$A$311,$A6,$E$4:$E$311,"Win")))*SUMIFS($Z$4:$Z$311,$A$4:$A$311,$A6,$E$4:$E$311,"Loss"),-('Guide &amp; Settings'!$C$42/($F6-1))*$Z6)))</f>
        <v>-8</v>
      </c>
      <c r="AB6" s="125">
        <f t="shared" si="16"/>
        <v>992</v>
      </c>
      <c r="AC6" s="125">
        <f>IF($D6="","",IF(SUMPRODUCT(MAX(($D$4:$D$311=$D6)*($B$4:$B$311&lt;$B6)*$B$4:$B$311))=0,0,MAX(($B6-SUMPRODUCT(MAX(($D$4:$D$311=$D6)*($B$4:$B$311&lt;$B6)*$B$4:$B$311)))/7-'Guide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Settings'!$C$42/(($F7-1)*COUNTIFS($A$4:$A$311,$A7,$E$4:$E$311,"Win")))*SUMIFS($X$4:$X$311,$A$4:$A$311,$A7,$E$4:$E$311,"Loss"),-('Guide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Settings'!$C$42/(($F7-1)*COUNTIFS($A$4:$A$311,$A7,$E$4:$E$311,"Win")))*SUMIFS($Z$4:$Z$311,$A$4:$A$311,$A7,$E$4:$E$311,"Loss"),-('Guide &amp; Settings'!$C$42/($F7-1))*$Z7)))</f>
        <v>16</v>
      </c>
      <c r="AB7" s="125">
        <f t="shared" si="16"/>
        <v>1016</v>
      </c>
      <c r="AC7" s="125">
        <f>IF($D7="","",IF(SUMPRODUCT(MAX(($D$4:$D$311=$D7)*($B$4:$B$311&lt;$B7)*$B$4:$B$311))=0,0,MAX(($B7-SUMPRODUCT(MAX(($D$4:$D$311=$D7)*($B$4:$B$311&lt;$B7)*$B$4:$B$311)))/7-'Guide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Settings'!$C$42/(($F8-1)*COUNTIFS($A$4:$A$311,$A8,$E$4:$E$311,"Win")))*SUMIFS($X$4:$X$311,$A$4:$A$311,$A8,$E$4:$E$311,"Loss"),-('Guide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Settings'!$C$42/(($F8-1)*COUNTIFS($A$4:$A$311,$A8,$E$4:$E$311,"Win")))*SUMIFS($Z$4:$Z$311,$A$4:$A$311,$A8,$E$4:$E$311,"Loss"),-('Guide &amp; Settings'!$C$42/($F8-1))*$Z8)))</f>
        <v>-2.2857142857142856</v>
      </c>
      <c r="AB8" s="125">
        <f t="shared" si="16"/>
        <v>997.71428571428567</v>
      </c>
      <c r="AC8" s="125">
        <f>IF($D8="","",IF(SUMPRODUCT(MAX(($D$4:$D$311=$D8)*($B$4:$B$311&lt;$B8)*$B$4:$B$311))=0,0,MAX(($B8-SUMPRODUCT(MAX(($D$4:$D$311=$D8)*($B$4:$B$311&lt;$B8)*$B$4:$B$311)))/7-'Guide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Settings'!$C$42/(($F9-1)*COUNTIFS($A$4:$A$311,$A9,$E$4:$E$311,"Win")))*SUMIFS($X$4:$X$311,$A$4:$A$311,$A9,$E$4:$E$311,"Loss"),-('Guide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Settings'!$C$42/(($F9-1)*COUNTIFS($A$4:$A$311,$A9,$E$4:$E$311,"Win")))*SUMIFS($Z$4:$Z$311,$A$4:$A$311,$A9,$E$4:$E$311,"Loss"),-('Guide &amp; Settings'!$C$42/($F9-1))*$Z9)))</f>
        <v>-2.2857142857142856</v>
      </c>
      <c r="AB9" s="125">
        <f t="shared" si="16"/>
        <v>997.71428571428567</v>
      </c>
      <c r="AC9" s="125">
        <f>IF($D9="","",IF(SUMPRODUCT(MAX(($D$4:$D$311=$D9)*($B$4:$B$311&lt;$B9)*$B$4:$B$311))=0,0,MAX(($B9-SUMPRODUCT(MAX(($D$4:$D$311=$D9)*($B$4:$B$311&lt;$B9)*$B$4:$B$311)))/7-'Guide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Settings'!$C$42/(($F10-1)*COUNTIFS($A$4:$A$311,$A10,$E$4:$E$311,"Win")))*SUMIFS($X$4:$X$311,$A$4:$A$311,$A10,$E$4:$E$311,"Loss"),-('Guide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Settings'!$C$42/(($F10-1)*COUNTIFS($A$4:$A$311,$A10,$E$4:$E$311,"Win")))*SUMIFS($Z$4:$Z$311,$A$4:$A$311,$A10,$E$4:$E$311,"Loss"),-('Guide &amp; Settings'!$C$42/($F10-1))*$Z10)))</f>
        <v>-2.2857142857142856</v>
      </c>
      <c r="AB10" s="125">
        <f t="shared" si="16"/>
        <v>997.71428571428567</v>
      </c>
      <c r="AC10" s="125">
        <f>IF($D10="","",IF(SUMPRODUCT(MAX(($D$4:$D$311=$D10)*($B$4:$B$311&lt;$B10)*$B$4:$B$311))=0,0,MAX(($B10-SUMPRODUCT(MAX(($D$4:$D$311=$D10)*($B$4:$B$311&lt;$B10)*$B$4:$B$311)))/7-'Guide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Settings'!$C$42/(($F11-1)*COUNTIFS($A$4:$A$311,$A11,$E$4:$E$311,"Win")))*SUMIFS($X$4:$X$311,$A$4:$A$311,$A11,$E$4:$E$311,"Loss"),-('Guide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Settings'!$C$42/(($F11-1)*COUNTIFS($A$4:$A$311,$A11,$E$4:$E$311,"Win")))*SUMIFS($Z$4:$Z$311,$A$4:$A$311,$A11,$E$4:$E$311,"Loss"),-('Guide &amp; Settings'!$C$42/($F11-1))*$Z11)))</f>
        <v>-2.2857142857142856</v>
      </c>
      <c r="AB11" s="125">
        <f t="shared" si="16"/>
        <v>997.71428571428567</v>
      </c>
      <c r="AC11" s="125">
        <f>IF($D11="","",IF(SUMPRODUCT(MAX(($D$4:$D$311=$D11)*($B$4:$B$311&lt;$B11)*$B$4:$B$311))=0,0,MAX(($B11-SUMPRODUCT(MAX(($D$4:$D$311=$D11)*($B$4:$B$311&lt;$B11)*$B$4:$B$311)))/7-'Guide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Settings'!$C$42/(($F12-1)*COUNTIFS($A$4:$A$311,$A12,$E$4:$E$311,"Win")))*SUMIFS($X$4:$X$311,$A$4:$A$311,$A12,$E$4:$E$311,"Loss"),-('Guide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Settings'!$C$42/(($F12-1)*COUNTIFS($A$4:$A$311,$A12,$E$4:$E$311,"Win")))*SUMIFS($Z$4:$Z$311,$A$4:$A$311,$A12,$E$4:$E$311,"Loss"),-('Guide &amp; Settings'!$C$42/($F12-1))*$Z12)))</f>
        <v>-2.2857142857142856</v>
      </c>
      <c r="AB12" s="125">
        <f t="shared" si="16"/>
        <v>997.71428571428567</v>
      </c>
      <c r="AC12" s="125">
        <f>IF($D12="","",IF(SUMPRODUCT(MAX(($D$4:$D$311=$D12)*($B$4:$B$311&lt;$B12)*$B$4:$B$311))=0,0,MAX(($B12-SUMPRODUCT(MAX(($D$4:$D$311=$D12)*($B$4:$B$311&lt;$B12)*$B$4:$B$311)))/7-'Guide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Settings'!$C$42/(($F13-1)*COUNTIFS($A$4:$A$311,$A13,$E$4:$E$311,"Win")))*SUMIFS($X$4:$X$311,$A$4:$A$311,$A13,$E$4:$E$311,"Loss"),-('Guide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Settings'!$C$42/(($F13-1)*COUNTIFS($A$4:$A$311,$A13,$E$4:$E$311,"Win")))*SUMIFS($Z$4:$Z$311,$A$4:$A$311,$A13,$E$4:$E$311,"Loss"),-('Guide &amp; Settings'!$C$42/($F13-1))*$Z13)))</f>
        <v>-2.2857142857142856</v>
      </c>
      <c r="AB13" s="125">
        <f t="shared" si="16"/>
        <v>997.71428571428567</v>
      </c>
      <c r="AC13" s="125">
        <f>IF($D13="","",IF(SUMPRODUCT(MAX(($D$4:$D$311=$D13)*($B$4:$B$311&lt;$B13)*$B$4:$B$311))=0,0,MAX(($B13-SUMPRODUCT(MAX(($D$4:$D$311=$D13)*($B$4:$B$311&lt;$B13)*$B$4:$B$311)))/7-'Guide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Settings'!$C$42/(($F14-1)*COUNTIFS($A$4:$A$311,$A14,$E$4:$E$311,"Win")))*SUMIFS($X$4:$X$311,$A$4:$A$311,$A14,$E$4:$E$311,"Loss"),-('Guide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Settings'!$C$42/(($F14-1)*COUNTIFS($A$4:$A$311,$A14,$E$4:$E$311,"Win")))*SUMIFS($Z$4:$Z$311,$A$4:$A$311,$A14,$E$4:$E$311,"Loss"),-('Guide &amp; Settings'!$C$42/($F14-1))*$Z14)))</f>
        <v>-2.2857142857142856</v>
      </c>
      <c r="AB14" s="125">
        <f t="shared" si="16"/>
        <v>997.71428571428567</v>
      </c>
      <c r="AC14" s="125">
        <f>IF($D14="","",IF(SUMPRODUCT(MAX(($D$4:$D$311=$D14)*($B$4:$B$311&lt;$B14)*$B$4:$B$311))=0,0,MAX(($B14-SUMPRODUCT(MAX(($D$4:$D$311=$D14)*($B$4:$B$311&lt;$B14)*$B$4:$B$311)))/7-'Guide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Settings'!$C$42/(($F15-1)*COUNTIFS($A$4:$A$311,$A15,$E$4:$E$311,"Win")))*SUMIFS($X$4:$X$311,$A$4:$A$311,$A15,$E$4:$E$311,"Loss"),-('Guide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Settings'!$C$42/(($F15-1)*COUNTIFS($A$4:$A$311,$A15,$E$4:$E$311,"Win")))*SUMIFS($Z$4:$Z$311,$A$4:$A$311,$A15,$E$4:$E$311,"Loss"),-('Guide &amp; Settings'!$C$42/($F15-1))*$Z15)))</f>
        <v>-16</v>
      </c>
      <c r="AB15" s="125">
        <f t="shared" si="16"/>
        <v>984</v>
      </c>
      <c r="AC15" s="125">
        <f>IF($D15="","",IF(SUMPRODUCT(MAX(($D$4:$D$311=$D15)*($B$4:$B$311&lt;$B15)*$B$4:$B$311))=0,0,MAX(($B15-SUMPRODUCT(MAX(($D$4:$D$311=$D15)*($B$4:$B$311&lt;$B15)*$B$4:$B$311)))/7-'Guide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Settings'!$C$42/(($F16-1)*COUNTIFS($A$4:$A$311,$A16,$E$4:$E$311,"Win")))*SUMIFS($X$4:$X$311,$A$4:$A$311,$A16,$E$4:$E$311,"Loss"),-('Guide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Settings'!$C$42/(($F16-1)*COUNTIFS($A$4:$A$311,$A16,$E$4:$E$311,"Win")))*SUMIFS($Z$4:$Z$311,$A$4:$A$311,$A16,$E$4:$E$311,"Loss"),-('Guide &amp; Settings'!$C$42/($F16-1))*$Z16)))</f>
        <v>16</v>
      </c>
      <c r="AB16" s="125">
        <f t="shared" si="16"/>
        <v>1016</v>
      </c>
      <c r="AC16" s="125">
        <f>IF($D16="","",IF(SUMPRODUCT(MAX(($D$4:$D$311=$D16)*($B$4:$B$311&lt;$B16)*$B$4:$B$311))=0,0,MAX(($B16-SUMPRODUCT(MAX(($D$4:$D$311=$D16)*($B$4:$B$311&lt;$B16)*$B$4:$B$311)))/7-'Guide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Settings'!$C$42/(($F17-1)*COUNTIFS($A$4:$A$311,$A17,$E$4:$E$311,"Win")))*SUMIFS($X$4:$X$311,$A$4:$A$311,$A17,$E$4:$E$311,"Loss"),-('Guide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Settings'!$C$42/(($F17-1)*COUNTIFS($A$4:$A$311,$A17,$E$4:$E$311,"Win")))*SUMIFS($Z$4:$Z$311,$A$4:$A$311,$A17,$E$4:$E$311,"Loss"),-('Guide &amp; Settings'!$C$42/($F17-1))*$Z17)))</f>
        <v>-14.530498471024522</v>
      </c>
      <c r="AB17" s="125">
        <f t="shared" si="16"/>
        <v>969.46950152897546</v>
      </c>
      <c r="AC17" s="125">
        <f>IF($D17="","",IF(SUMPRODUCT(MAX(($D$4:$D$311=$D17)*($B$4:$B$311&lt;$B17)*$B$4:$B$311))=0,0,MAX(($B17-SUMPRODUCT(MAX(($D$4:$D$311=$D17)*($B$4:$B$311&lt;$B17)*$B$4:$B$311)))/7-'Guide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Settings'!$C$42/(($F18-1)*COUNTIFS($A$4:$A$311,$A18,$E$4:$E$311,"Win")))*SUMIFS($X$4:$X$311,$A$4:$A$311,$A18,$E$4:$E$311,"Loss"),-('Guide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Settings'!$C$42/(($F18-1)*COUNTIFS($A$4:$A$311,$A18,$E$4:$E$311,"Win")))*SUMIFS($Z$4:$Z$311,$A$4:$A$311,$A18,$E$4:$E$311,"Loss"),-('Guide &amp; Settings'!$C$42/($F18-1))*$Z18)))</f>
        <v>14.530498471024522</v>
      </c>
      <c r="AB18" s="125">
        <f t="shared" si="16"/>
        <v>1030.5304984710244</v>
      </c>
      <c r="AC18" s="125">
        <f>IF($D18="","",IF(SUMPRODUCT(MAX(($D$4:$D$311=$D18)*($B$4:$B$311&lt;$B18)*$B$4:$B$311))=0,0,MAX(($B18-SUMPRODUCT(MAX(($D$4:$D$311=$D18)*($B$4:$B$311&lt;$B18)*$B$4:$B$311)))/7-'Guide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Settings'!$C$42/(($F19-1)*COUNTIFS($A$4:$A$311,$A19,$E$4:$E$311,"Win")))*SUMIFS($X$4:$X$311,$A$4:$A$311,$A19,$E$4:$E$311,"Loss"),-('Guide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Settings'!$C$42/(($F19-1)*COUNTIFS($A$4:$A$311,$A19,$E$4:$E$311,"Win")))*SUMIFS($Z$4:$Z$311,$A$4:$A$311,$A19,$E$4:$E$311,"Loss"),-('Guide &amp; Settings'!$C$42/($F19-1))*$Z19)))</f>
        <v>-13.21663516258643</v>
      </c>
      <c r="AB19" s="125">
        <f t="shared" si="16"/>
        <v>956.25286636638907</v>
      </c>
      <c r="AC19" s="125">
        <f>IF($D19="","",IF(SUMPRODUCT(MAX(($D$4:$D$311=$D19)*($B$4:$B$311&lt;$B19)*$B$4:$B$311))=0,0,MAX(($B19-SUMPRODUCT(MAX(($D$4:$D$311=$D19)*($B$4:$B$311&lt;$B19)*$B$4:$B$311)))/7-'Guide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Settings'!$C$42/(($F20-1)*COUNTIFS($A$4:$A$311,$A20,$E$4:$E$311,"Win")))*SUMIFS($X$4:$X$311,$A$4:$A$311,$A20,$E$4:$E$311,"Loss"),-('Guide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Settings'!$C$42/(($F20-1)*COUNTIFS($A$4:$A$311,$A20,$E$4:$E$311,"Win")))*SUMIFS($Z$4:$Z$311,$A$4:$A$311,$A20,$E$4:$E$311,"Loss"),-('Guide &amp; Settings'!$C$42/($F20-1))*$Z20)))</f>
        <v>13.21663516258643</v>
      </c>
      <c r="AB20" s="125">
        <f t="shared" si="16"/>
        <v>1043.7471336336109</v>
      </c>
      <c r="AC20" s="125">
        <f>IF($D20="","",IF(SUMPRODUCT(MAX(($D$4:$D$311=$D20)*($B$4:$B$311&lt;$B20)*$B$4:$B$311))=0,0,MAX(($B20-SUMPRODUCT(MAX(($D$4:$D$311=$D20)*($B$4:$B$311&lt;$B20)*$B$4:$B$311)))/7-'Guide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Settings'!$C$42/(($F21-1)*COUNTIFS($A$4:$A$311,$A21,$E$4:$E$311,"Win")))*SUMIFS($X$4:$X$311,$A$4:$A$311,$A21,$E$4:$E$311,"Loss"),-('Guide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Settings'!$C$42/(($F21-1)*COUNTIFS($A$4:$A$311,$A21,$E$4:$E$311,"Win")))*SUMIFS($Z$4:$Z$311,$A$4:$A$311,$A21,$E$4:$E$311,"Loss"),-('Guide &amp; Settings'!$C$42/($F21-1))*$Z21)))</f>
        <v>19.94619100461318</v>
      </c>
      <c r="AB21" s="125">
        <f t="shared" si="16"/>
        <v>976.19905737100225</v>
      </c>
      <c r="AC21" s="125">
        <f>IF($D21="","",IF(SUMPRODUCT(MAX(($D$4:$D$311=$D21)*($B$4:$B$311&lt;$B21)*$B$4:$B$311))=0,0,MAX(($B21-SUMPRODUCT(MAX(($D$4:$D$311=$D21)*($B$4:$B$311&lt;$B21)*$B$4:$B$311)))/7-'Guide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Settings'!$C$42/(($F22-1)*COUNTIFS($A$4:$A$311,$A22,$E$4:$E$311,"Win")))*SUMIFS($X$4:$X$311,$A$4:$A$311,$A22,$E$4:$E$311,"Loss"),-('Guide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Settings'!$C$42/(($F22-1)*COUNTIFS($A$4:$A$311,$A22,$E$4:$E$311,"Win")))*SUMIFS($Z$4:$Z$311,$A$4:$A$311,$A22,$E$4:$E$311,"Loss"),-('Guide &amp; Settings'!$C$42/($F22-1))*$Z22)))</f>
        <v>-19.94619100461318</v>
      </c>
      <c r="AB22" s="125">
        <f t="shared" si="16"/>
        <v>1023.8009426289977</v>
      </c>
      <c r="AC22" s="125">
        <f>IF($D22="","",IF(SUMPRODUCT(MAX(($D$4:$D$311=$D22)*($B$4:$B$311&lt;$B22)*$B$4:$B$311))=0,0,MAX(($B22-SUMPRODUCT(MAX(($D$4:$D$311=$D22)*($B$4:$B$311&lt;$B22)*$B$4:$B$311)))/7-'Guide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Settings'!$C$42/(($F23-1)*COUNTIFS($A$4:$A$311,$A23,$E$4:$E$311,"Win")))*SUMIFS($X$4:$X$311,$A$4:$A$311,$A23,$E$4:$E$311,"Loss"),-('Guide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Settings'!$C$42/(($F23-1)*COUNTIFS($A$4:$A$311,$A23,$E$4:$E$311,"Win")))*SUMIFS($Z$4:$Z$311,$A$4:$A$311,$A23,$E$4:$E$311,"Loss"),-('Guide &amp; Settings'!$C$42/($F23-1))*$Z23)))</f>
        <v>-16</v>
      </c>
      <c r="AB23" s="125">
        <f t="shared" si="16"/>
        <v>984</v>
      </c>
      <c r="AC23" s="125">
        <f>IF($D23="","",IF(SUMPRODUCT(MAX(($D$4:$D$311=$D23)*($B$4:$B$311&lt;$B23)*$B$4:$B$311))=0,0,MAX(($B23-SUMPRODUCT(MAX(($D$4:$D$311=$D23)*($B$4:$B$311&lt;$B23)*$B$4:$B$311)))/7-'Guide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Settings'!$C$42/(($F24-1)*COUNTIFS($A$4:$A$311,$A24,$E$4:$E$311,"Win")))*SUMIFS($X$4:$X$311,$A$4:$A$311,$A24,$E$4:$E$311,"Loss"),-('Guide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Settings'!$C$42/(($F24-1)*COUNTIFS($A$4:$A$311,$A24,$E$4:$E$311,"Win")))*SUMIFS($Z$4:$Z$311,$A$4:$A$311,$A24,$E$4:$E$311,"Loss"),-('Guide &amp; Settings'!$C$42/($F24-1))*$Z24)))</f>
        <v>16</v>
      </c>
      <c r="AB24" s="125">
        <f t="shared" si="16"/>
        <v>1016</v>
      </c>
      <c r="AC24" s="125">
        <f>IF($D24="","",IF(SUMPRODUCT(MAX(($D$4:$D$311=$D24)*($B$4:$B$311&lt;$B24)*$B$4:$B$311))=0,0,MAX(($B24-SUMPRODUCT(MAX(($D$4:$D$311=$D24)*($B$4:$B$311&lt;$B24)*$B$4:$B$311)))/7-'Guide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Settings'!$C$42/(($F25-1)*COUNTIFS($A$4:$A$311,$A25,$E$4:$E$311,"Win")))*SUMIFS($X$4:$X$311,$A$4:$A$311,$A25,$E$4:$E$311,"Loss"),-('Guide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Settings'!$C$42/(($F25-1)*COUNTIFS($A$4:$A$311,$A25,$E$4:$E$311,"Win")))*SUMIFS($Z$4:$Z$311,$A$4:$A$311,$A25,$E$4:$E$311,"Loss"),-('Guide &amp; Settings'!$C$42/($F25-1))*$Z25)))</f>
        <v>-14.530498471024522</v>
      </c>
      <c r="AB25" s="125">
        <f t="shared" si="16"/>
        <v>969.46950152897546</v>
      </c>
      <c r="AC25" s="125">
        <f>IF($D25="","",IF(SUMPRODUCT(MAX(($D$4:$D$311=$D25)*($B$4:$B$311&lt;$B25)*$B$4:$B$311))=0,0,MAX(($B25-SUMPRODUCT(MAX(($D$4:$D$311=$D25)*($B$4:$B$311&lt;$B25)*$B$4:$B$311)))/7-'Guide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Settings'!$C$42/(($F26-1)*COUNTIFS($A$4:$A$311,$A26,$E$4:$E$311,"Win")))*SUMIFS($X$4:$X$311,$A$4:$A$311,$A26,$E$4:$E$311,"Loss"),-('Guide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Settings'!$C$42/(($F26-1)*COUNTIFS($A$4:$A$311,$A26,$E$4:$E$311,"Win")))*SUMIFS($Z$4:$Z$311,$A$4:$A$311,$A26,$E$4:$E$311,"Loss"),-('Guide &amp; Settings'!$C$42/($F26-1))*$Z26)))</f>
        <v>14.530498471024522</v>
      </c>
      <c r="AB26" s="125">
        <f t="shared" si="16"/>
        <v>1030.5304984710244</v>
      </c>
      <c r="AC26" s="125">
        <f>IF($D26="","",IF(SUMPRODUCT(MAX(($D$4:$D$311=$D26)*($B$4:$B$311&lt;$B26)*$B$4:$B$311))=0,0,MAX(($B26-SUMPRODUCT(MAX(($D$4:$D$311=$D26)*($B$4:$B$311&lt;$B26)*$B$4:$B$311)))/7-'Guide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Settings'!$C$42/(($F27-1)*COUNTIFS($A$4:$A$311,$A27,$E$4:$E$311,"Win")))*SUMIFS($X$4:$X$311,$A$4:$A$311,$A27,$E$4:$E$311,"Loss"),-('Guide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Settings'!$C$42/(($F27-1)*COUNTIFS($A$4:$A$311,$A27,$E$4:$E$311,"Win")))*SUMIFS($Z$4:$Z$311,$A$4:$A$311,$A27,$E$4:$E$311,"Loss"),-('Guide &amp; Settings'!$C$42/($F27-1))*$Z27)))</f>
        <v>-13.21663516258643</v>
      </c>
      <c r="AB27" s="125">
        <f t="shared" si="16"/>
        <v>956.25286636638907</v>
      </c>
      <c r="AC27" s="125">
        <f>IF($D27="","",IF(SUMPRODUCT(MAX(($D$4:$D$311=$D27)*($B$4:$B$311&lt;$B27)*$B$4:$B$311))=0,0,MAX(($B27-SUMPRODUCT(MAX(($D$4:$D$311=$D27)*($B$4:$B$311&lt;$B27)*$B$4:$B$311)))/7-'Guide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Settings'!$C$42/(($F28-1)*COUNTIFS($A$4:$A$311,$A28,$E$4:$E$311,"Win")))*SUMIFS($X$4:$X$311,$A$4:$A$311,$A28,$E$4:$E$311,"Loss"),-('Guide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Settings'!$C$42/(($F28-1)*COUNTIFS($A$4:$A$311,$A28,$E$4:$E$311,"Win")))*SUMIFS($Z$4:$Z$311,$A$4:$A$311,$A28,$E$4:$E$311,"Loss"),-('Guide &amp; Settings'!$C$42/($F28-1))*$Z28)))</f>
        <v>13.21663516258643</v>
      </c>
      <c r="AB28" s="125">
        <f t="shared" si="16"/>
        <v>1043.7471336336109</v>
      </c>
      <c r="AC28" s="125">
        <f>IF($D28="","",IF(SUMPRODUCT(MAX(($D$4:$D$311=$D28)*($B$4:$B$311&lt;$B28)*$B$4:$B$311))=0,0,MAX(($B28-SUMPRODUCT(MAX(($D$4:$D$311=$D28)*($B$4:$B$311&lt;$B28)*$B$4:$B$311)))/7-'Guide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Settings'!$C$42/(($F29-1)*COUNTIFS($A$4:$A$311,$A29,$E$4:$E$311,"Win")))*SUMIFS($X$4:$X$311,$A$4:$A$311,$A29,$E$4:$E$311,"Loss"),-('Guide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Settings'!$C$42/(($F29-1)*COUNTIFS($A$4:$A$311,$A29,$E$4:$E$311,"Win")))*SUMIFS($Z$4:$Z$311,$A$4:$A$311,$A29,$E$4:$E$311,"Loss"),-('Guide &amp; Settings'!$C$42/($F29-1))*$Z29)))</f>
        <v>16</v>
      </c>
      <c r="AB29" s="125">
        <f t="shared" si="16"/>
        <v>1016</v>
      </c>
      <c r="AC29" s="125">
        <f>IF($D29="","",IF(SUMPRODUCT(MAX(($D$4:$D$311=$D29)*($B$4:$B$311&lt;$B29)*$B$4:$B$311))=0,0,MAX(($B29-SUMPRODUCT(MAX(($D$4:$D$311=$D29)*($B$4:$B$311&lt;$B29)*$B$4:$B$311)))/7-'Guide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Settings'!$C$42/(($F30-1)*COUNTIFS($A$4:$A$311,$A30,$E$4:$E$311,"Win")))*SUMIFS($X$4:$X$311,$A$4:$A$311,$A30,$E$4:$E$311,"Loss"),-('Guide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Settings'!$C$42/(($F30-1)*COUNTIFS($A$4:$A$311,$A30,$E$4:$E$311,"Win")))*SUMIFS($Z$4:$Z$311,$A$4:$A$311,$A30,$E$4:$E$311,"Loss"),-('Guide &amp; Settings'!$C$42/($F30-1))*$Z30)))</f>
        <v>-16</v>
      </c>
      <c r="AB30" s="125">
        <f t="shared" si="16"/>
        <v>984</v>
      </c>
      <c r="AC30" s="125">
        <f>IF($D30="","",IF(SUMPRODUCT(MAX(($D$4:$D$311=$D30)*($B$4:$B$311&lt;$B30)*$B$4:$B$311))=0,0,MAX(($B30-SUMPRODUCT(MAX(($D$4:$D$311=$D30)*($B$4:$B$311&lt;$B30)*$B$4:$B$311)))/7-'Guide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Settings'!$C$42/(($F31-1)*COUNTIFS($A$4:$A$311,$A31,$E$4:$E$311,"Win")))*SUMIFS($X$4:$X$311,$A$4:$A$311,$A31,$E$4:$E$311,"Loss"),-('Guide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Settings'!$C$42/(($F31-1)*COUNTIFS($A$4:$A$311,$A31,$E$4:$E$311,"Win")))*SUMIFS($Z$4:$Z$311,$A$4:$A$311,$A31,$E$4:$E$311,"Loss"),-('Guide &amp; Settings'!$C$42/($F31-1))*$Z31)))</f>
        <v>14.530498471024522</v>
      </c>
      <c r="AB31" s="125">
        <f t="shared" si="16"/>
        <v>1030.5304984710244</v>
      </c>
      <c r="AC31" s="125">
        <f>IF($D31="","",IF(SUMPRODUCT(MAX(($D$4:$D$311=$D31)*($B$4:$B$311&lt;$B31)*$B$4:$B$311))=0,0,MAX(($B31-SUMPRODUCT(MAX(($D$4:$D$311=$D31)*($B$4:$B$311&lt;$B31)*$B$4:$B$311)))/7-'Guide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Settings'!$C$42/(($F32-1)*COUNTIFS($A$4:$A$311,$A32,$E$4:$E$311,"Win")))*SUMIFS($X$4:$X$311,$A$4:$A$311,$A32,$E$4:$E$311,"Loss"),-('Guide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Settings'!$C$42/(($F32-1)*COUNTIFS($A$4:$A$311,$A32,$E$4:$E$311,"Win")))*SUMIFS($Z$4:$Z$311,$A$4:$A$311,$A32,$E$4:$E$311,"Loss"),-('Guide &amp; Settings'!$C$42/($F32-1))*$Z32)))</f>
        <v>-14.530498471024522</v>
      </c>
      <c r="AB32" s="125">
        <f t="shared" si="16"/>
        <v>969.46950152897546</v>
      </c>
      <c r="AC32" s="125">
        <f>IF($D32="","",IF(SUMPRODUCT(MAX(($D$4:$D$311=$D32)*($B$4:$B$311&lt;$B32)*$B$4:$B$311))=0,0,MAX(($B32-SUMPRODUCT(MAX(($D$4:$D$311=$D32)*($B$4:$B$311&lt;$B32)*$B$4:$B$311)))/7-'Guide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Settings'!$C$42/(($F33-1)*COUNTIFS($A$4:$A$311,$A33,$E$4:$E$311,"Win")))*SUMIFS($X$4:$X$311,$A$4:$A$311,$A33,$E$4:$E$311,"Loss"),-('Guide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Settings'!$C$42/(($F33-1)*COUNTIFS($A$4:$A$311,$A33,$E$4:$E$311,"Win")))*SUMIFS($Z$4:$Z$311,$A$4:$A$311,$A33,$E$4:$E$311,"Loss"),-('Guide &amp; Settings'!$C$42/($F33-1))*$Z33)))</f>
        <v>13.21663516258643</v>
      </c>
      <c r="AB33" s="125">
        <f t="shared" si="16"/>
        <v>1043.7471336336109</v>
      </c>
      <c r="AC33" s="125">
        <f>IF($D33="","",IF(SUMPRODUCT(MAX(($D$4:$D$311=$D33)*($B$4:$B$311&lt;$B33)*$B$4:$B$311))=0,0,MAX(($B33-SUMPRODUCT(MAX(($D$4:$D$311=$D33)*($B$4:$B$311&lt;$B33)*$B$4:$B$311)))/7-'Guide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Settings'!$C$42/(($F34-1)*COUNTIFS($A$4:$A$311,$A34,$E$4:$E$311,"Win")))*SUMIFS($X$4:$X$311,$A$4:$A$311,$A34,$E$4:$E$311,"Loss"),-('Guide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Settings'!$C$42/(($F34-1)*COUNTIFS($A$4:$A$311,$A34,$E$4:$E$311,"Win")))*SUMIFS($Z$4:$Z$311,$A$4:$A$311,$A34,$E$4:$E$311,"Loss"),-('Guide &amp; Settings'!$C$42/($F34-1))*$Z34)))</f>
        <v>-13.21663516258643</v>
      </c>
      <c r="AB34" s="125">
        <f t="shared" si="16"/>
        <v>956.25286636638907</v>
      </c>
      <c r="AC34" s="125">
        <f>IF($D34="","",IF(SUMPRODUCT(MAX(($D$4:$D$311=$D34)*($B$4:$B$311&lt;$B34)*$B$4:$B$311))=0,0,MAX(($B34-SUMPRODUCT(MAX(($D$4:$D$311=$D34)*($B$4:$B$311&lt;$B34)*$B$4:$B$311)))/7-'Guide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Settings'!$C$42/(($F35-1)*COUNTIFS($A$4:$A$311,$A35,$E$4:$E$311,"Win")))*SUMIFS($X$4:$X$311,$A$4:$A$311,$A35,$E$4:$E$311,"Loss"),-('Guide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Settings'!$C$42/(($F35-1)*COUNTIFS($A$4:$A$311,$A35,$E$4:$E$311,"Win")))*SUMIFS($Z$4:$Z$311,$A$4:$A$311,$A35,$E$4:$E$311,"Loss"),-('Guide &amp; Settings'!$C$42/($F35-1))*$Z35)))</f>
        <v>13.821466613131754</v>
      </c>
      <c r="AB35" s="125">
        <f t="shared" si="16"/>
        <v>1037.6224092421296</v>
      </c>
      <c r="AC35" s="125">
        <f>IF($D35="","",IF(SUMPRODUCT(MAX(($D$4:$D$311=$D35)*($B$4:$B$311&lt;$B35)*$B$4:$B$311))=0,0,MAX(($B35-SUMPRODUCT(MAX(($D$4:$D$311=$D35)*($B$4:$B$311&lt;$B35)*$B$4:$B$311)))/7-'Guide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Settings'!$C$42/(($F36-1)*COUNTIFS($A$4:$A$311,$A36,$E$4:$E$311,"Win")))*SUMIFS($X$4:$X$311,$A$4:$A$311,$A36,$E$4:$E$311,"Loss"),-('Guide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Settings'!$C$42/(($F36-1)*COUNTIFS($A$4:$A$311,$A36,$E$4:$E$311,"Win")))*SUMIFS($Z$4:$Z$311,$A$4:$A$311,$A36,$E$4:$E$311,"Loss"),-('Guide &amp; Settings'!$C$42/($F36-1))*$Z36)))</f>
        <v>-13.821466613131754</v>
      </c>
      <c r="AB36" s="125">
        <f t="shared" si="16"/>
        <v>962.37759075787051</v>
      </c>
      <c r="AC36" s="125">
        <f>IF($D36="","",IF(SUMPRODUCT(MAX(($D$4:$D$311=$D36)*($B$4:$B$311&lt;$B36)*$B$4:$B$311))=0,0,MAX(($B36-SUMPRODUCT(MAX(($D$4:$D$311=$D36)*($B$4:$B$311&lt;$B36)*$B$4:$B$311)))/7-'Guide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Settings'!$C$42/(($F37-1)*COUNTIFS($A$4:$A$311,$A37,$E$4:$E$311,"Win")))*SUMIFS($X$4:$X$311,$A$4:$A$311,$A37,$E$4:$E$311,"Loss"),-('Guide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Settings'!$C$42/(($F37-1)*COUNTIFS($A$4:$A$311,$A37,$E$4:$E$311,"Win")))*SUMIFS($Z$4:$Z$311,$A$4:$A$311,$A37,$E$4:$E$311,"Loss"),-('Guide &amp; Settings'!$C$42/($F37-1))*$Z37)))</f>
        <v>-19.411973586973698</v>
      </c>
      <c r="AB37" s="125">
        <f t="shared" si="16"/>
        <v>1018.2104356551559</v>
      </c>
      <c r="AC37" s="125">
        <f>IF($D37="","",IF(SUMPRODUCT(MAX(($D$4:$D$311=$D37)*($B$4:$B$311&lt;$B37)*$B$4:$B$311))=0,0,MAX(($B37-SUMPRODUCT(MAX(($D$4:$D$311=$D37)*($B$4:$B$311&lt;$B37)*$B$4:$B$311)))/7-'Guide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Settings'!$C$42/(($F38-1)*COUNTIFS($A$4:$A$311,$A38,$E$4:$E$311,"Win")))*SUMIFS($X$4:$X$311,$A$4:$A$311,$A38,$E$4:$E$311,"Loss"),-('Guide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Settings'!$C$42/(($F38-1)*COUNTIFS($A$4:$A$311,$A38,$E$4:$E$311,"Win")))*SUMIFS($Z$4:$Z$311,$A$4:$A$311,$A38,$E$4:$E$311,"Loss"),-('Guide &amp; Settings'!$C$42/($F38-1))*$Z38)))</f>
        <v>19.411973586973698</v>
      </c>
      <c r="AB38" s="125">
        <f t="shared" si="16"/>
        <v>981.78956434484417</v>
      </c>
      <c r="AC38" s="125">
        <f>IF($D38="","",IF(SUMPRODUCT(MAX(($D$4:$D$311=$D38)*($B$4:$B$311&lt;$B38)*$B$4:$B$311))=0,0,MAX(($B38-SUMPRODUCT(MAX(($D$4:$D$311=$D38)*($B$4:$B$311&lt;$B38)*$B$4:$B$311)))/7-'Guide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Settings'!$C$42/(($F39-1)*COUNTIFS($A$4:$A$311,$A39,$E$4:$E$311,"Win")))*SUMIFS($X$4:$X$311,$A$4:$A$311,$A39,$E$4:$E$311,"Loss"),-('Guide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Settings'!$C$42/(($F39-1)*COUNTIFS($A$4:$A$311,$A39,$E$4:$E$311,"Win")))*SUMIFS($Z$4:$Z$311,$A$4:$A$311,$A39,$E$4:$E$311,"Loss"),-('Guide &amp; Settings'!$C$42/($F39-1))*$Z39)))</f>
        <v>-17.671126337043475</v>
      </c>
      <c r="AB39" s="125">
        <f t="shared" si="16"/>
        <v>1000.5393093181125</v>
      </c>
      <c r="AC39" s="125">
        <f>IF($D39="","",IF(SUMPRODUCT(MAX(($D$4:$D$311=$D39)*($B$4:$B$311&lt;$B39)*$B$4:$B$311))=0,0,MAX(($B39-SUMPRODUCT(MAX(($D$4:$D$311=$D39)*($B$4:$B$311&lt;$B39)*$B$4:$B$311)))/7-'Guide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Settings'!$C$42/(($F40-1)*COUNTIFS($A$4:$A$311,$A40,$E$4:$E$311,"Win")))*SUMIFS($X$4:$X$311,$A$4:$A$311,$A40,$E$4:$E$311,"Loss"),-('Guide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Settings'!$C$42/(($F40-1)*COUNTIFS($A$4:$A$311,$A40,$E$4:$E$311,"Win")))*SUMIFS($Z$4:$Z$311,$A$4:$A$311,$A40,$E$4:$E$311,"Loss"),-('Guide &amp; Settings'!$C$42/($F40-1))*$Z40)))</f>
        <v>17.671126337043475</v>
      </c>
      <c r="AB40" s="125">
        <f t="shared" si="16"/>
        <v>999.46069068188763</v>
      </c>
      <c r="AC40" s="125">
        <f>IF($D40="","",IF(SUMPRODUCT(MAX(($D$4:$D$311=$D40)*($B$4:$B$311&lt;$B40)*$B$4:$B$311))=0,0,MAX(($B40-SUMPRODUCT(MAX(($D$4:$D$311=$D40)*($B$4:$B$311&lt;$B40)*$B$4:$B$311)))/7-'Guide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Settings'!$C$42/(($F41-1)*COUNTIFS($A$4:$A$311,$A41,$E$4:$E$311,"Win")))*SUMIFS($X$4:$X$311,$A$4:$A$311,$A41,$E$4:$E$311,"Loss"),-('Guide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Settings'!$C$42/(($F41-1)*COUNTIFS($A$4:$A$311,$A41,$E$4:$E$311,"Win")))*SUMIFS($Z$4:$Z$311,$A$4:$A$311,$A41,$E$4:$E$311,"Loss"),-('Guide &amp; Settings'!$C$42/($F41-1))*$Z41)))</f>
        <v>-16.049672064276137</v>
      </c>
      <c r="AB41" s="125">
        <f t="shared" si="16"/>
        <v>984.48963725383635</v>
      </c>
      <c r="AC41" s="125">
        <f>IF($D41="","",IF(SUMPRODUCT(MAX(($D$4:$D$311=$D41)*($B$4:$B$311&lt;$B41)*$B$4:$B$311))=0,0,MAX(($B41-SUMPRODUCT(MAX(($D$4:$D$311=$D41)*($B$4:$B$311&lt;$B41)*$B$4:$B$311)))/7-'Guide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Settings'!$C$42/(($F42-1)*COUNTIFS($A$4:$A$311,$A42,$E$4:$E$311,"Win")))*SUMIFS($X$4:$X$311,$A$4:$A$311,$A42,$E$4:$E$311,"Loss"),-('Guide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Settings'!$C$42/(($F42-1)*COUNTIFS($A$4:$A$311,$A42,$E$4:$E$311,"Win")))*SUMIFS($Z$4:$Z$311,$A$4:$A$311,$A42,$E$4:$E$311,"Loss"),-('Guide &amp; Settings'!$C$42/($F42-1))*$Z42)))</f>
        <v>16.049672064276137</v>
      </c>
      <c r="AB42" s="125">
        <f t="shared" si="16"/>
        <v>1015.5103627461638</v>
      </c>
      <c r="AC42" s="125">
        <f>IF($D42="","",IF(SUMPRODUCT(MAX(($D$4:$D$311=$D42)*($B$4:$B$311&lt;$B42)*$B$4:$B$311))=0,0,MAX(($B42-SUMPRODUCT(MAX(($D$4:$D$311=$D42)*($B$4:$B$311&lt;$B42)*$B$4:$B$311)))/7-'Guide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Settings'!$C$42/(($F43-1)*COUNTIFS($A$4:$A$311,$A43,$E$4:$E$311,"Win")))*SUMIFS($X$4:$X$311,$A$4:$A$311,$A43,$E$4:$E$311,"Loss"),-('Guide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Settings'!$C$42/(($F43-1)*COUNTIFS($A$4:$A$311,$A43,$E$4:$E$311,"Win")))*SUMIFS($Z$4:$Z$311,$A$4:$A$311,$A43,$E$4:$E$311,"Loss"),-('Guide &amp; Settings'!$C$42/($F43-1))*$Z43)))</f>
        <v>16</v>
      </c>
      <c r="AB43" s="125">
        <f t="shared" si="16"/>
        <v>1016</v>
      </c>
      <c r="AC43" s="125">
        <f>IF($D43="","",IF(SUMPRODUCT(MAX(($D$4:$D$311=$D43)*($B$4:$B$311&lt;$B43)*$B$4:$B$311))=0,0,MAX(($B43-SUMPRODUCT(MAX(($D$4:$D$311=$D43)*($B$4:$B$311&lt;$B43)*$B$4:$B$311)))/7-'Guide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Settings'!$C$42/(($F44-1)*COUNTIFS($A$4:$A$311,$A44,$E$4:$E$311,"Win")))*SUMIFS($X$4:$X$311,$A$4:$A$311,$A44,$E$4:$E$311,"Loss"),-('Guide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Settings'!$C$42/(($F44-1)*COUNTIFS($A$4:$A$311,$A44,$E$4:$E$311,"Win")))*SUMIFS($Z$4:$Z$311,$A$4:$A$311,$A44,$E$4:$E$311,"Loss"),-('Guide &amp; Settings'!$C$42/($F44-1))*$Z44)))</f>
        <v>-16</v>
      </c>
      <c r="AB44" s="125">
        <f t="shared" si="16"/>
        <v>984</v>
      </c>
      <c r="AC44" s="125">
        <f>IF($D44="","",IF(SUMPRODUCT(MAX(($D$4:$D$311=$D44)*($B$4:$B$311&lt;$B44)*$B$4:$B$311))=0,0,MAX(($B44-SUMPRODUCT(MAX(($D$4:$D$311=$D44)*($B$4:$B$311&lt;$B44)*$B$4:$B$311)))/7-'Guide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Settings'!$C$42/(($F45-1)*COUNTIFS($A$4:$A$311,$A45,$E$4:$E$311,"Win")))*SUMIFS($X$4:$X$311,$A$4:$A$311,$A45,$E$4:$E$311,"Loss"),-('Guide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Settings'!$C$42/(($F45-1)*COUNTIFS($A$4:$A$311,$A45,$E$4:$E$311,"Win")))*SUMIFS($Z$4:$Z$311,$A$4:$A$311,$A45,$E$4:$E$311,"Loss"),-('Guide &amp; Settings'!$C$42/($F45-1))*$Z45)))</f>
        <v>15.263693206478006</v>
      </c>
      <c r="AB45" s="125">
        <f t="shared" si="16"/>
        <v>1031.2636932064779</v>
      </c>
      <c r="AC45" s="125">
        <f>IF($D45="","",IF(SUMPRODUCT(MAX(($D$4:$D$311=$D45)*($B$4:$B$311&lt;$B45)*$B$4:$B$311))=0,0,MAX(($B45-SUMPRODUCT(MAX(($D$4:$D$311=$D45)*($B$4:$B$311&lt;$B45)*$B$4:$B$311)))/7-'Guide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Settings'!$C$42/(($F46-1)*COUNTIFS($A$4:$A$311,$A46,$E$4:$E$311,"Win")))*SUMIFS($X$4:$X$311,$A$4:$A$311,$A46,$E$4:$E$311,"Loss"),-('Guide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Settings'!$C$42/(($F46-1)*COUNTIFS($A$4:$A$311,$A46,$E$4:$E$311,"Win")))*SUMIFS($Z$4:$Z$311,$A$4:$A$311,$A46,$E$4:$E$311,"Loss"),-('Guide &amp; Settings'!$C$42/($F46-1))*$Z46)))</f>
        <v>-15.263693206478006</v>
      </c>
      <c r="AB46" s="125">
        <f t="shared" si="16"/>
        <v>984.73630679352198</v>
      </c>
      <c r="AC46" s="125">
        <f>IF($D46="","",IF(SUMPRODUCT(MAX(($D$4:$D$311=$D46)*($B$4:$B$311&lt;$B46)*$B$4:$B$311))=0,0,MAX(($B46-SUMPRODUCT(MAX(($D$4:$D$311=$D46)*($B$4:$B$311&lt;$B46)*$B$4:$B$311)))/7-'Guide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Settings'!$C$42/(($F47-1)*COUNTIFS($A$4:$A$311,$A47,$E$4:$E$311,"Win")))*SUMIFS($X$4:$X$311,$A$4:$A$311,$A47,$E$4:$E$311,"Loss"),-('Guide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Settings'!$C$42/(($F47-1)*COUNTIFS($A$4:$A$311,$A47,$E$4:$E$311,"Win")))*SUMIFS($Z$4:$Z$311,$A$4:$A$311,$A47,$E$4:$E$311,"Loss"),-('Guide &amp; Settings'!$C$42/($F47-1))*$Z47)))</f>
        <v>15.275029070186529</v>
      </c>
      <c r="AB47" s="125">
        <f t="shared" si="16"/>
        <v>1046.5387222766644</v>
      </c>
      <c r="AC47" s="125">
        <f>IF($D47="","",IF(SUMPRODUCT(MAX(($D$4:$D$311=$D47)*($B$4:$B$311&lt;$B47)*$B$4:$B$311))=0,0,MAX(($B47-SUMPRODUCT(MAX(($D$4:$D$311=$D47)*($B$4:$B$311&lt;$B47)*$B$4:$B$311)))/7-'Guide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Settings'!$C$42/(($F48-1)*COUNTIFS($A$4:$A$311,$A48,$E$4:$E$311,"Win")))*SUMIFS($X$4:$X$311,$A$4:$A$311,$A48,$E$4:$E$311,"Loss"),-('Guide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Settings'!$C$42/(($F48-1)*COUNTIFS($A$4:$A$311,$A48,$E$4:$E$311,"Win")))*SUMIFS($Z$4:$Z$311,$A$4:$A$311,$A48,$E$4:$E$311,"Loss"),-('Guide &amp; Settings'!$C$42/($F48-1))*$Z48)))</f>
        <v>-15.275029070186529</v>
      </c>
      <c r="AB48" s="125">
        <f t="shared" si="16"/>
        <v>1000.2353336759772</v>
      </c>
      <c r="AC48" s="125">
        <f>IF($D48="","",IF(SUMPRODUCT(MAX(($D$4:$D$311=$D48)*($B$4:$B$311&lt;$B48)*$B$4:$B$311))=0,0,MAX(($B48-SUMPRODUCT(MAX(($D$4:$D$311=$D48)*($B$4:$B$311&lt;$B48)*$B$4:$B$311)))/7-'Guide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Settings'!$C$42/(($F49-1)*COUNTIFS($A$4:$A$311,$A49,$E$4:$E$311,"Win")))*SUMIFS($X$4:$X$311,$A$4:$A$311,$A49,$E$4:$E$311,"Loss"),-('Guide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Settings'!$C$42/(($F49-1)*COUNTIFS($A$4:$A$311,$A49,$E$4:$E$311,"Win")))*SUMIFS($Z$4:$Z$311,$A$4:$A$311,$A49,$E$4:$E$311,"Loss"),-('Guide &amp; Settings'!$C$42/($F49-1))*$Z49)))</f>
        <v>16</v>
      </c>
      <c r="AB49" s="125">
        <f t="shared" si="16"/>
        <v>1016</v>
      </c>
      <c r="AC49" s="125">
        <f>IF($D49="","",IF(SUMPRODUCT(MAX(($D$4:$D$311=$D49)*($B$4:$B$311&lt;$B49)*$B$4:$B$311))=0,0,MAX(($B49-SUMPRODUCT(MAX(($D$4:$D$311=$D49)*($B$4:$B$311&lt;$B49)*$B$4:$B$311)))/7-'Guide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Settings'!$C$42/(($F50-1)*COUNTIFS($A$4:$A$311,$A50,$E$4:$E$311,"Win")))*SUMIFS($X$4:$X$311,$A$4:$A$311,$A50,$E$4:$E$311,"Loss"),-('Guide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Settings'!$C$42/(($F50-1)*COUNTIFS($A$4:$A$311,$A50,$E$4:$E$311,"Win")))*SUMIFS($Z$4:$Z$311,$A$4:$A$311,$A50,$E$4:$E$311,"Loss"),-('Guide &amp; Settings'!$C$42/($F50-1))*$Z50)))</f>
        <v>-16</v>
      </c>
      <c r="AB50" s="125">
        <f t="shared" si="16"/>
        <v>984</v>
      </c>
      <c r="AC50" s="125">
        <f>IF($D50="","",IF(SUMPRODUCT(MAX(($D$4:$D$311=$D50)*($B$4:$B$311&lt;$B50)*$B$4:$B$311))=0,0,MAX(($B50-SUMPRODUCT(MAX(($D$4:$D$311=$D50)*($B$4:$B$311&lt;$B50)*$B$4:$B$311)))/7-'Guide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Settings'!$C$42/(($F51-1)*COUNTIFS($A$4:$A$311,$A51,$E$4:$E$311,"Win")))*SUMIFS($X$4:$X$311,$A$4:$A$311,$A51,$E$4:$E$311,"Loss"),-('Guide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Settings'!$C$42/(($F51-1)*COUNTIFS($A$4:$A$311,$A51,$E$4:$E$311,"Win")))*SUMIFS($Z$4:$Z$311,$A$4:$A$311,$A51,$E$4:$E$311,"Loss"),-('Guide &amp; Settings'!$C$42/($F51-1))*$Z51)))</f>
        <v>14.530498471024522</v>
      </c>
      <c r="AB51" s="125">
        <f t="shared" si="16"/>
        <v>1030.5304984710244</v>
      </c>
      <c r="AC51" s="125">
        <f>IF($D51="","",IF(SUMPRODUCT(MAX(($D$4:$D$311=$D51)*($B$4:$B$311&lt;$B51)*$B$4:$B$311))=0,0,MAX(($B51-SUMPRODUCT(MAX(($D$4:$D$311=$D51)*($B$4:$B$311&lt;$B51)*$B$4:$B$311)))/7-'Guide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Settings'!$C$42/(($F52-1)*COUNTIFS($A$4:$A$311,$A52,$E$4:$E$311,"Win")))*SUMIFS($X$4:$X$311,$A$4:$A$311,$A52,$E$4:$E$311,"Loss"),-('Guide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Settings'!$C$42/(($F52-1)*COUNTIFS($A$4:$A$311,$A52,$E$4:$E$311,"Win")))*SUMIFS($Z$4:$Z$311,$A$4:$A$311,$A52,$E$4:$E$311,"Loss"),-('Guide &amp; Settings'!$C$42/($F52-1))*$Z52)))</f>
        <v>-14.530498471024522</v>
      </c>
      <c r="AB52" s="125">
        <f t="shared" si="16"/>
        <v>969.46950152897546</v>
      </c>
      <c r="AC52" s="125">
        <f>IF($D52="","",IF(SUMPRODUCT(MAX(($D$4:$D$311=$D52)*($B$4:$B$311&lt;$B52)*$B$4:$B$311))=0,0,MAX(($B52-SUMPRODUCT(MAX(($D$4:$D$311=$D52)*($B$4:$B$311&lt;$B52)*$B$4:$B$311)))/7-'Guide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Settings'!$C$42/(($F53-1)*COUNTIFS($A$4:$A$311,$A53,$E$4:$E$311,"Win")))*SUMIFS($X$4:$X$311,$A$4:$A$311,$A53,$E$4:$E$311,"Loss"),-('Guide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Settings'!$C$42/(($F53-1)*COUNTIFS($A$4:$A$311,$A53,$E$4:$E$311,"Win")))*SUMIFS($Z$4:$Z$311,$A$4:$A$311,$A53,$E$4:$E$311,"Loss"),-('Guide &amp; Settings'!$C$42/($F53-1))*$Z53)))</f>
        <v>13.21663516258643</v>
      </c>
      <c r="AB53" s="125">
        <f t="shared" si="16"/>
        <v>1043.7471336336109</v>
      </c>
      <c r="AC53" s="125">
        <f>IF($D53="","",IF(SUMPRODUCT(MAX(($D$4:$D$311=$D53)*($B$4:$B$311&lt;$B53)*$B$4:$B$311))=0,0,MAX(($B53-SUMPRODUCT(MAX(($D$4:$D$311=$D53)*($B$4:$B$311&lt;$B53)*$B$4:$B$311)))/7-'Guide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Settings'!$C$42/(($F54-1)*COUNTIFS($A$4:$A$311,$A54,$E$4:$E$311,"Win")))*SUMIFS($X$4:$X$311,$A$4:$A$311,$A54,$E$4:$E$311,"Loss"),-('Guide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Settings'!$C$42/(($F54-1)*COUNTIFS($A$4:$A$311,$A54,$E$4:$E$311,"Win")))*SUMIFS($Z$4:$Z$311,$A$4:$A$311,$A54,$E$4:$E$311,"Loss"),-('Guide &amp; Settings'!$C$42/($F54-1))*$Z54)))</f>
        <v>-13.21663516258643</v>
      </c>
      <c r="AB54" s="125">
        <f t="shared" si="16"/>
        <v>956.25286636638907</v>
      </c>
      <c r="AC54" s="125">
        <f>IF($D54="","",IF(SUMPRODUCT(MAX(($D$4:$D$311=$D54)*($B$4:$B$311&lt;$B54)*$B$4:$B$311))=0,0,MAX(($B54-SUMPRODUCT(MAX(($D$4:$D$311=$D54)*($B$4:$B$311&lt;$B54)*$B$4:$B$311)))/7-'Guide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Settings'!$C$42/(($F55-1)*COUNTIFS($A$4:$A$311,$A55,$E$4:$E$311,"Win")))*SUMIFS($X$4:$X$311,$A$4:$A$311,$A55,$E$4:$E$311,"Loss"),-('Guide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Settings'!$C$42/(($F55-1)*COUNTIFS($A$4:$A$311,$A55,$E$4:$E$311,"Win")))*SUMIFS($Z$4:$Z$311,$A$4:$A$311,$A55,$E$4:$E$311,"Loss"),-('Guide &amp; Settings'!$C$42/($F55-1))*$Z55)))</f>
        <v>12.05380899538682</v>
      </c>
      <c r="AB55" s="125">
        <f t="shared" si="16"/>
        <v>1055.8009426289977</v>
      </c>
      <c r="AC55" s="125">
        <f>IF($D55="","",IF(SUMPRODUCT(MAX(($D$4:$D$311=$D55)*($B$4:$B$311&lt;$B55)*$B$4:$B$311))=0,0,MAX(($B55-SUMPRODUCT(MAX(($D$4:$D$311=$D55)*($B$4:$B$311&lt;$B55)*$B$4:$B$311)))/7-'Guide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Settings'!$C$42/(($F56-1)*COUNTIFS($A$4:$A$311,$A56,$E$4:$E$311,"Win")))*SUMIFS($X$4:$X$311,$A$4:$A$311,$A56,$E$4:$E$311,"Loss"),-('Guide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Settings'!$C$42/(($F56-1)*COUNTIFS($A$4:$A$311,$A56,$E$4:$E$311,"Win")))*SUMIFS($Z$4:$Z$311,$A$4:$A$311,$A56,$E$4:$E$311,"Loss"),-('Guide &amp; Settings'!$C$42/($F56-1))*$Z56)))</f>
        <v>-12.05380899538682</v>
      </c>
      <c r="AB56" s="125">
        <f t="shared" si="16"/>
        <v>944.19905737100225</v>
      </c>
      <c r="AC56" s="125">
        <f>IF($D56="","",IF(SUMPRODUCT(MAX(($D$4:$D$311=$D56)*($B$4:$B$311&lt;$B56)*$B$4:$B$311))=0,0,MAX(($B56-SUMPRODUCT(MAX(($D$4:$D$311=$D56)*($B$4:$B$311&lt;$B56)*$B$4:$B$311)))/7-'Guide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Settings'!$C$42/(($F57-1)*COUNTIFS($A$4:$A$311,$A57,$E$4:$E$311,"Win")))*SUMIFS($X$4:$X$311,$A$4:$A$311,$A57,$E$4:$E$311,"Loss"),-('Guide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Settings'!$C$42/(($F57-1)*COUNTIFS($A$4:$A$311,$A57,$E$4:$E$311,"Win")))*SUMIFS($Z$4:$Z$311,$A$4:$A$311,$A57,$E$4:$E$311,"Loss"),-('Guide &amp; Settings'!$C$42/($F57-1))*$Z57)))</f>
        <v>12.05380899538682</v>
      </c>
      <c r="AB57" s="125">
        <f t="shared" si="16"/>
        <v>1055.8009426289977</v>
      </c>
      <c r="AC57" s="125">
        <f>IF($D57="","",IF(SUMPRODUCT(MAX(($D$4:$D$311=$D57)*($B$4:$B$311&lt;$B57)*$B$4:$B$311))=0,0,MAX(($B57-SUMPRODUCT(MAX(($D$4:$D$311=$D57)*($B$4:$B$311&lt;$B57)*$B$4:$B$311)))/7-'Guide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Settings'!$C$42/(($F58-1)*COUNTIFS($A$4:$A$311,$A58,$E$4:$E$311,"Win")))*SUMIFS($X$4:$X$311,$A$4:$A$311,$A58,$E$4:$E$311,"Loss"),-('Guide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Settings'!$C$42/(($F58-1)*COUNTIFS($A$4:$A$311,$A58,$E$4:$E$311,"Win")))*SUMIFS($Z$4:$Z$311,$A$4:$A$311,$A58,$E$4:$E$311,"Loss"),-('Guide &amp; Settings'!$C$42/($F58-1))*$Z58)))</f>
        <v>-12.05380899538682</v>
      </c>
      <c r="AB58" s="125">
        <f t="shared" si="16"/>
        <v>944.19905737100225</v>
      </c>
      <c r="AC58" s="125">
        <f>IF($D58="","",IF(SUMPRODUCT(MAX(($D$4:$D$311=$D58)*($B$4:$B$311&lt;$B58)*$B$4:$B$311))=0,0,MAX(($B58-SUMPRODUCT(MAX(($D$4:$D$311=$D58)*($B$4:$B$311&lt;$B58)*$B$4:$B$311)))/7-'Guide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Settings'!$C$42/(($F59-1)*COUNTIFS($A$4:$A$311,$A59,$E$4:$E$311,"Win")))*SUMIFS($X$4:$X$311,$A$4:$A$311,$A59,$E$4:$E$311,"Loss"),-('Guide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Settings'!$C$42/(($F59-1)*COUNTIFS($A$4:$A$311,$A59,$E$4:$E$311,"Win")))*SUMIFS($Z$4:$Z$311,$A$4:$A$311,$A59,$E$4:$E$311,"Loss"),-('Guide &amp; Settings'!$C$42/($F59-1))*$Z59)))</f>
        <v>13.452141330484256</v>
      </c>
      <c r="AB59" s="125">
        <f t="shared" si="16"/>
        <v>1069.253083959482</v>
      </c>
      <c r="AC59" s="125">
        <f>IF($D59="","",IF(SUMPRODUCT(MAX(($D$4:$D$311=$D59)*($B$4:$B$311&lt;$B59)*$B$4:$B$311))=0,0,MAX(($B59-SUMPRODUCT(MAX(($D$4:$D$311=$D59)*($B$4:$B$311&lt;$B59)*$B$4:$B$311)))/7-'Guide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Settings'!$C$42/(($F60-1)*COUNTIFS($A$4:$A$311,$A60,$E$4:$E$311,"Win")))*SUMIFS($X$4:$X$311,$A$4:$A$311,$A60,$E$4:$E$311,"Loss"),-('Guide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Settings'!$C$42/(($F60-1)*COUNTIFS($A$4:$A$311,$A60,$E$4:$E$311,"Win")))*SUMIFS($Z$4:$Z$311,$A$4:$A$311,$A60,$E$4:$E$311,"Loss"),-('Guide &amp; Settings'!$C$42/($F60-1))*$Z60)))</f>
        <v>-13.452141330484256</v>
      </c>
      <c r="AB60" s="125">
        <f t="shared" si="16"/>
        <v>986.54785866951579</v>
      </c>
      <c r="AC60" s="125">
        <f>IF($D60="","",IF(SUMPRODUCT(MAX(($D$4:$D$311=$D60)*($B$4:$B$311&lt;$B60)*$B$4:$B$311))=0,0,MAX(($B60-SUMPRODUCT(MAX(($D$4:$D$311=$D60)*($B$4:$B$311&lt;$B60)*$B$4:$B$311)))/7-'Guide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Settings'!$C$42/(($F61-1)*COUNTIFS($A$4:$A$311,$A61,$E$4:$E$311,"Win")))*SUMIFS($X$4:$X$311,$A$4:$A$311,$A61,$E$4:$E$311,"Loss"),-('Guide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Settings'!$C$42/(($F61-1)*COUNTIFS($A$4:$A$311,$A61,$E$4:$E$311,"Win")))*SUMIFS($Z$4:$Z$311,$A$4:$A$311,$A61,$E$4:$E$311,"Loss"),-('Guide &amp; Settings'!$C$42/($F61-1))*$Z61)))</f>
        <v>-17.940633159089472</v>
      </c>
      <c r="AB61" s="125">
        <f t="shared" si="16"/>
        <v>968.60722551042636</v>
      </c>
      <c r="AC61" s="125">
        <f>IF($D61="","",IF(SUMPRODUCT(MAX(($D$4:$D$311=$D61)*($B$4:$B$311&lt;$B61)*$B$4:$B$311))=0,0,MAX(($B61-SUMPRODUCT(MAX(($D$4:$D$311=$D61)*($B$4:$B$311&lt;$B61)*$B$4:$B$311)))/7-'Guide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Settings'!$C$42/(($F62-1)*COUNTIFS($A$4:$A$311,$A62,$E$4:$E$311,"Win")))*SUMIFS($X$4:$X$311,$A$4:$A$311,$A62,$E$4:$E$311,"Loss"),-('Guide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Settings'!$C$42/(($F62-1)*COUNTIFS($A$4:$A$311,$A62,$E$4:$E$311,"Win")))*SUMIFS($Z$4:$Z$311,$A$4:$A$311,$A62,$E$4:$E$311,"Loss"),-('Guide &amp; Settings'!$C$42/($F62-1))*$Z62)))</f>
        <v>17.940633159089472</v>
      </c>
      <c r="AB62" s="125">
        <f t="shared" si="16"/>
        <v>962.13969053009168</v>
      </c>
      <c r="AC62" s="125">
        <f>IF($D62="","",IF(SUMPRODUCT(MAX(($D$4:$D$311=$D62)*($B$4:$B$311&lt;$B62)*$B$4:$B$311))=0,0,MAX(($B62-SUMPRODUCT(MAX(($D$4:$D$311=$D62)*($B$4:$B$311&lt;$B62)*$B$4:$B$311)))/7-'Guide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Settings'!$C$42/(($F63-1)*COUNTIFS($A$4:$A$311,$A63,$E$4:$E$311,"Win")))*SUMIFS($X$4:$X$311,$A$4:$A$311,$A63,$E$4:$E$311,"Loss"),-('Guide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Settings'!$C$42/(($F63-1)*COUNTIFS($A$4:$A$311,$A63,$E$4:$E$311,"Win")))*SUMIFS($Z$4:$Z$311,$A$4:$A$311,$A63,$E$4:$E$311,"Loss"),-('Guide &amp; Settings'!$C$42/($F63-1))*$Z63)))</f>
        <v>11.217805764397081</v>
      </c>
      <c r="AB63" s="125">
        <f t="shared" si="16"/>
        <v>1080.4708897238791</v>
      </c>
      <c r="AC63" s="125">
        <f>IF($D63="","",IF(SUMPRODUCT(MAX(($D$4:$D$311=$D63)*($B$4:$B$311&lt;$B63)*$B$4:$B$311))=0,0,MAX(($B63-SUMPRODUCT(MAX(($D$4:$D$311=$D63)*($B$4:$B$311&lt;$B63)*$B$4:$B$311)))/7-'Guide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Settings'!$C$42/(($F64-1)*COUNTIFS($A$4:$A$311,$A64,$E$4:$E$311,"Win")))*SUMIFS($X$4:$X$311,$A$4:$A$311,$A64,$E$4:$E$311,"Loss"),-('Guide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Settings'!$C$42/(($F64-1)*COUNTIFS($A$4:$A$311,$A64,$E$4:$E$311,"Win")))*SUMIFS($Z$4:$Z$311,$A$4:$A$311,$A64,$E$4:$E$311,"Loss"),-('Guide &amp; Settings'!$C$42/($F64-1))*$Z64)))</f>
        <v>-11.217805764397081</v>
      </c>
      <c r="AB64" s="125">
        <f t="shared" si="16"/>
        <v>950.92188476569459</v>
      </c>
      <c r="AC64" s="125">
        <f>IF($D64="","",IF(SUMPRODUCT(MAX(($D$4:$D$311=$D64)*($B$4:$B$311&lt;$B64)*$B$4:$B$311))=0,0,MAX(($B64-SUMPRODUCT(MAX(($D$4:$D$311=$D64)*($B$4:$B$311&lt;$B64)*$B$4:$B$311)))/7-'Guide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Settings'!$C$42/(($F65-1)*COUNTIFS($A$4:$A$311,$A65,$E$4:$E$311,"Win")))*SUMIFS($X$4:$X$311,$A$4:$A$311,$A65,$E$4:$E$311,"Loss"),-('Guide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Settings'!$C$42/(($F65-1)*COUNTIFS($A$4:$A$311,$A65,$E$4:$E$311,"Win")))*SUMIFS($Z$4:$Z$311,$A$4:$A$311,$A65,$E$4:$E$311,"Loss"),-('Guide &amp; Settings'!$C$42/($F65-1))*$Z65)))</f>
        <v>11.019413230630493</v>
      </c>
      <c r="AB65" s="125">
        <f t="shared" si="16"/>
        <v>1091.4903029545096</v>
      </c>
      <c r="AC65" s="125">
        <f>IF($D65="","",IF(SUMPRODUCT(MAX(($D$4:$D$311=$D65)*($B$4:$B$311&lt;$B65)*$B$4:$B$311))=0,0,MAX(($B65-SUMPRODUCT(MAX(($D$4:$D$311=$D65)*($B$4:$B$311&lt;$B65)*$B$4:$B$311)))/7-'Guide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Settings'!$C$42/(($F66-1)*COUNTIFS($A$4:$A$311,$A66,$E$4:$E$311,"Win")))*SUMIFS($X$4:$X$311,$A$4:$A$311,$A66,$E$4:$E$311,"Loss"),-('Guide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Settings'!$C$42/(($F66-1)*COUNTIFS($A$4:$A$311,$A66,$E$4:$E$311,"Win")))*SUMIFS($Z$4:$Z$311,$A$4:$A$311,$A66,$E$4:$E$311,"Loss"),-('Guide &amp; Settings'!$C$42/($F66-1))*$Z66)))</f>
        <v>-11.019413230630493</v>
      </c>
      <c r="AB66" s="125">
        <f t="shared" si="16"/>
        <v>957.58781227979591</v>
      </c>
      <c r="AC66" s="125">
        <f>IF($D66="","",IF(SUMPRODUCT(MAX(($D$4:$D$311=$D66)*($B$4:$B$311&lt;$B66)*$B$4:$B$311))=0,0,MAX(($B66-SUMPRODUCT(MAX(($D$4:$D$311=$D66)*($B$4:$B$311&lt;$B66)*$B$4:$B$311)))/7-'Guide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Settings'!$C$42/(($F67-1)*COUNTIFS($A$4:$A$311,$A67,$E$4:$E$311,"Win")))*SUMIFS($X$4:$X$311,$A$4:$A$311,$A67,$E$4:$E$311,"Loss"),-('Guide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Settings'!$C$42/(($F67-1)*COUNTIFS($A$4:$A$311,$A67,$E$4:$E$311,"Win")))*SUMIFS($Z$4:$Z$311,$A$4:$A$311,$A67,$E$4:$E$311,"Loss"),-('Guide &amp; Settings'!$C$42/($F67-1))*$Z67)))</f>
        <v>-16</v>
      </c>
      <c r="AB67" s="125">
        <f t="shared" si="16"/>
        <v>984</v>
      </c>
      <c r="AC67" s="125">
        <f>IF($D67="","",IF(SUMPRODUCT(MAX(($D$4:$D$311=$D67)*($B$4:$B$311&lt;$B67)*$B$4:$B$311))=0,0,MAX(($B67-SUMPRODUCT(MAX(($D$4:$D$311=$D67)*($B$4:$B$311&lt;$B67)*$B$4:$B$311)))/7-'Guide &amp; Settings'!$C$48,0)*'Guide &amp; Settings'!$C$49))</f>
        <v>0</v>
      </c>
    </row>
    <row r="68" spans="1:29" ht="15" customHeight="1" x14ac:dyDescent="0.2">
      <c r="A68" s="116">
        <v>29</v>
      </c>
      <c r="B68" s="117">
        <v>46175</v>
      </c>
      <c r="C68" s="118" t="s">
        <v>203</v>
      </c>
      <c r="D68" s="118" t="s">
        <v>176</v>
      </c>
      <c r="E68" s="116" t="s">
        <v>316</v>
      </c>
      <c r="F68" s="119">
        <f t="shared" ref="F68:F131" si="17">IF($D68="",0,COUNTIF($A$4:$A$311,$A68))</f>
        <v>2</v>
      </c>
      <c r="G68" s="120" t="str">
        <f t="shared" ref="G68:G131" si="18">IF($D68="","",IFERROR(LOOKUP(2,1/(($A$4:$A$311=$A68)*($E$4:$E$311="Win")),$D$4:$D$311),"(no winner)"))</f>
        <v>Oscar</v>
      </c>
      <c r="H68" s="121">
        <f>IF($D68="",0,IFERROR(LOOKUP(2,1/(($D$3:D67=$D68)*($A$3:A67&lt;$A68)),$N$3:N67),'Guide &amp; Settings'!$C$41))</f>
        <v>995.27348180522449</v>
      </c>
      <c r="I68" s="122">
        <f t="shared" ref="I68:I131" si="19">IF($D68="",0,IF($S68=0,0,$R68/$S68))</f>
        <v>0.5</v>
      </c>
      <c r="J68" s="123">
        <f>IF($D68="",0,IF($F68&lt;2,0,IF($E68="Win",('Guide &amp; Settings'!$C$42/(($F68-1)*COUNTIFS($A$4:$A$311,$A68,$E$4:$E$311,"Win")))*SUMIFS($X$4:$X$311,$A$4:$A$311,$A68,$E$4:$E$311,"Loss"),-('Guide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IF($D68="","",IF(COUNTIFS($A$4:$A$311,$A68,$E$4:$E$311,"Win")=0,"need a winner",IF(COUNTIFS($A$4:$A$311,$A68,$E$4:$E$311,"Loss")=0,"need a loser",IF(COUNTIFS($A$4:$A$311,$A68,$D$4:$D$311,$D68)&gt;1,"duplicate player","OK"))))</f>
        <v>OK</v>
      </c>
      <c r="P68">
        <f t="shared" ref="P68:P131" si="23">IF($D68="",0,IFERROR(SUMIFS($H$4:$H$311,$A$4:$A$311,$A68,$E$4:$E$311,"Win")/COUNTIFS($A$4:$A$311,$A68,$E$4:$E$311,"Win"),0))</f>
        <v>995.27348180522449</v>
      </c>
      <c r="Q68">
        <f t="shared" ref="Q68:Q131" si="24">IF($D68="",0,1/(1+10^(($P68-$H68)/400)))</f>
        <v>0.5</v>
      </c>
      <c r="R68">
        <f t="shared" ref="R68:R131" si="25">IF($D68="",0,(COUNTIFS($D$4:$D$311,$D68,$C$4:$C$311,$C68,$E$4:$E$311,"Win",$A$4:$A$311,"&lt;"&amp;$A68)+1)/(COUNTIFS($D$4:$D$311,$D68,$C$4:$C$311,$C68,$A$4:$A$311,"&lt;"&amp;$A68)+2))</f>
        <v>0.5</v>
      </c>
      <c r="S68">
        <f t="shared" ref="S68:S131" si="26">IF($D68="",0,SUMIFS($R$4:$R$311,$A$4:$A$311,$A68))</f>
        <v>1</v>
      </c>
      <c r="T68" s="88">
        <f t="shared" ref="T68:T131" si="27">IF($D68="",0,COUNTIFS($D$4:$D$311,$D68,$C$4:$C$311,$C68,$A$4:$A$311,"&lt;"&amp;$A68))</f>
        <v>0</v>
      </c>
      <c r="U68" s="125">
        <f>IF($D68="",0,IFERROR(LOOKUP(2,1/(($D$3:D67=$D68)*($C$3:C67=$C68)*($A$3:A67&lt;$A68)),$AB$3:AB67),1000))</f>
        <v>1000</v>
      </c>
      <c r="V68" s="125">
        <f t="shared" ref="V68:V131" si="28">IF($D68="",0,$U68*($T68/($T68+5))+$H68*(1-$T68/($T68+5)))</f>
        <v>995.27348180522449</v>
      </c>
      <c r="W68">
        <f t="shared" ref="W68:W131" si="29">IF($D68="",0,IFERROR(SUMIFS($V$4:$V$311,$A$4:$A$311,$A68,$E$4:$E$311,"Win")/COUNTIFS($A$4:$A$311,$A68,$E$4:$E$311,"Win"),0))</f>
        <v>995.27348180522449</v>
      </c>
      <c r="X68">
        <f t="shared" ref="X68:X131" si="30">IF($D68="",0,1/(1+10^(($W68-$V68)/400)))</f>
        <v>0.5</v>
      </c>
      <c r="Y68">
        <f t="shared" ref="Y68:Y131" si="31">IF($D68="",0,IFERROR(SUMIFS($U$4:$U$311,$A$4:$A$311,$A68,$E$4:$E$311,"Win")/COUNTIFS($A$4:$A$311,$A68,$E$4:$E$311,"Win"),0))</f>
        <v>1000</v>
      </c>
      <c r="Z68">
        <f t="shared" ref="Z68:Z131" si="32">IF($D68="",0,1/(1+10^(($Y68-$U68)/400)))</f>
        <v>0.5</v>
      </c>
      <c r="AA68">
        <f>IF($D68="",0,IF($F68&lt;2,0,IF($E68="Win",('Guide &amp; Settings'!$C$42/(($F68-1)*COUNTIFS($A$4:$A$311,$A68,$E$4:$E$311,"Win")))*SUMIFS($Z$4:$Z$311,$A$4:$A$311,$A68,$E$4:$E$311,"Loss"),-('Guide &amp; Settings'!$C$42/($F68-1))*$Z68)))</f>
        <v>16</v>
      </c>
      <c r="AB68" s="125">
        <f t="shared" ref="AB68:AB131" si="33">IF($D68="",0,$U68+$AA68)</f>
        <v>1016</v>
      </c>
      <c r="AC68" s="125">
        <f>IF($D68="","",IF(SUMPRODUCT(MAX(($D$4:$D$311=$D68)*($B$4:$B$311&lt;$B68)*$B$4:$B$311))=0,0,MAX(($B68-SUMPRODUCT(MAX(($D$4:$D$311=$D68)*($B$4:$B$311&lt;$B68)*$B$4:$B$311)))/7-'Guide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Settings'!$C$42/(($F69-1)*COUNTIFS($A$4:$A$311,$A69,$E$4:$E$311,"Win")))*SUMIFS($X$4:$X$311,$A$4:$A$311,$A69,$E$4:$E$311,"Loss"),-('Guide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Settings'!$C$42/(($F69-1)*COUNTIFS($A$4:$A$311,$A69,$E$4:$E$311,"Win")))*SUMIFS($Z$4:$Z$311,$A$4:$A$311,$A69,$E$4:$E$311,"Loss"),-('Guide &amp; Settings'!$C$42/($F69-1))*$Z69)))</f>
        <v>14.786011491839799</v>
      </c>
      <c r="AB69" s="125">
        <f t="shared" si="33"/>
        <v>998.78601149183976</v>
      </c>
      <c r="AC69" s="125">
        <f>IF($D69="","",IF(SUMPRODUCT(MAX(($D$4:$D$311=$D69)*($B$4:$B$311&lt;$B69)*$B$4:$B$311))=0,0,MAX(($B69-SUMPRODUCT(MAX(($D$4:$D$311=$D69)*($B$4:$B$311&lt;$B69)*$B$4:$B$311)))/7-'Guide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Settings'!$C$42/(($F70-1)*COUNTIFS($A$4:$A$311,$A70,$E$4:$E$311,"Win")))*SUMIFS($X$4:$X$311,$A$4:$A$311,$A70,$E$4:$E$311,"Loss"),-('Guide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Settings'!$C$42/(($F70-1)*COUNTIFS($A$4:$A$311,$A70,$E$4:$E$311,"Win")))*SUMIFS($Z$4:$Z$311,$A$4:$A$311,$A70,$E$4:$E$311,"Loss"),-('Guide &amp; Settings'!$C$42/($F70-1))*$Z70)))</f>
        <v>-14.786011491839799</v>
      </c>
      <c r="AB70" s="125">
        <f t="shared" si="33"/>
        <v>942.80180078795615</v>
      </c>
      <c r="AC70" s="125">
        <f>IF($D70="","",IF(SUMPRODUCT(MAX(($D$4:$D$311=$D70)*($B$4:$B$311&lt;$B70)*$B$4:$B$311))=0,0,MAX(($B70-SUMPRODUCT(MAX(($D$4:$D$311=$D70)*($B$4:$B$311&lt;$B70)*$B$4:$B$311)))/7-'Guide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Settings'!$C$42/(($F71-1)*COUNTIFS($A$4:$A$311,$A71,$E$4:$E$311,"Win")))*SUMIFS($X$4:$X$311,$A$4:$A$311,$A71,$E$4:$E$311,"Loss"),-('Guide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Settings'!$C$42/(($F71-1)*COUNTIFS($A$4:$A$311,$A71,$E$4:$E$311,"Win")))*SUMIFS($Z$4:$Z$311,$A$4:$A$311,$A71,$E$4:$E$311,"Loss"),-('Guide &amp; Settings'!$C$42/($F71-1))*$Z71)))</f>
        <v>16</v>
      </c>
      <c r="AB71" s="125">
        <f t="shared" si="33"/>
        <v>1016</v>
      </c>
      <c r="AC71" s="125">
        <f>IF($D71="","",IF(SUMPRODUCT(MAX(($D$4:$D$311=$D71)*($B$4:$B$311&lt;$B71)*$B$4:$B$311))=0,0,MAX(($B71-SUMPRODUCT(MAX(($D$4:$D$311=$D71)*($B$4:$B$311&lt;$B71)*$B$4:$B$311)))/7-'Guide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Settings'!$C$42/(($F72-1)*COUNTIFS($A$4:$A$311,$A72,$E$4:$E$311,"Win")))*SUMIFS($X$4:$X$311,$A$4:$A$311,$A72,$E$4:$E$311,"Loss"),-('Guide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Settings'!$C$42/(($F72-1)*COUNTIFS($A$4:$A$311,$A72,$E$4:$E$311,"Win")))*SUMIFS($Z$4:$Z$311,$A$4:$A$311,$A72,$E$4:$E$311,"Loss"),-('Guide &amp; Settings'!$C$42/($F72-1))*$Z72)))</f>
        <v>-16</v>
      </c>
      <c r="AB72" s="125">
        <f t="shared" si="33"/>
        <v>984</v>
      </c>
      <c r="AC72" s="125">
        <f>IF($D72="","",IF(SUMPRODUCT(MAX(($D$4:$D$311=$D72)*($B$4:$B$311&lt;$B72)*$B$4:$B$311))=0,0,MAX(($B72-SUMPRODUCT(MAX(($D$4:$D$311=$D72)*($B$4:$B$311&lt;$B72)*$B$4:$B$311)))/7-'Guide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Settings'!$C$42/(($F73-1)*COUNTIFS($A$4:$A$311,$A73,$E$4:$E$311,"Win")))*SUMIFS($X$4:$X$311,$A$4:$A$311,$A73,$E$4:$E$311,"Loss"),-('Guide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Settings'!$C$42/(($F73-1)*COUNTIFS($A$4:$A$311,$A73,$E$4:$E$311,"Win")))*SUMIFS($Z$4:$Z$311,$A$4:$A$311,$A73,$E$4:$E$311,"Loss"),-('Guide &amp; Settings'!$C$42/($F73-1))*$Z73)))</f>
        <v>15.263693206478006</v>
      </c>
      <c r="AB73" s="125">
        <f t="shared" si="33"/>
        <v>1031.2636932064779</v>
      </c>
      <c r="AC73" s="125">
        <f>IF($D73="","",IF(SUMPRODUCT(MAX(($D$4:$D$311=$D73)*($B$4:$B$311&lt;$B73)*$B$4:$B$311))=0,0,MAX(($B73-SUMPRODUCT(MAX(($D$4:$D$311=$D73)*($B$4:$B$311&lt;$B73)*$B$4:$B$311)))/7-'Guide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Settings'!$C$42/(($F74-1)*COUNTIFS($A$4:$A$311,$A74,$E$4:$E$311,"Win")))*SUMIFS($X$4:$X$311,$A$4:$A$311,$A74,$E$4:$E$311,"Loss"),-('Guide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Settings'!$C$42/(($F74-1)*COUNTIFS($A$4:$A$311,$A74,$E$4:$E$311,"Win")))*SUMIFS($Z$4:$Z$311,$A$4:$A$311,$A74,$E$4:$E$311,"Loss"),-('Guide &amp; Settings'!$C$42/($F74-1))*$Z74)))</f>
        <v>-15.263693206478006</v>
      </c>
      <c r="AB74" s="125">
        <f t="shared" si="33"/>
        <v>984.73630679352198</v>
      </c>
      <c r="AC74" s="125">
        <f>IF($D74="","",IF(SUMPRODUCT(MAX(($D$4:$D$311=$D74)*($B$4:$B$311&lt;$B74)*$B$4:$B$311))=0,0,MAX(($B74-SUMPRODUCT(MAX(($D$4:$D$311=$D74)*($B$4:$B$311&lt;$B74)*$B$4:$B$311)))/7-'Guide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Settings'!$C$42/(($F75-1)*COUNTIFS($A$4:$A$311,$A75,$E$4:$E$311,"Win")))*SUMIFS($X$4:$X$311,$A$4:$A$311,$A75,$E$4:$E$311,"Loss"),-('Guide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Settings'!$C$42/(($F75-1)*COUNTIFS($A$4:$A$311,$A75,$E$4:$E$311,"Win")))*SUMIFS($Z$4:$Z$311,$A$4:$A$311,$A75,$E$4:$E$311,"Loss"),-('Guide &amp; Settings'!$C$42/($F75-1))*$Z75)))</f>
        <v>16.033908130169188</v>
      </c>
      <c r="AB75" s="125">
        <f t="shared" si="33"/>
        <v>1000.0339081301692</v>
      </c>
      <c r="AC75" s="125">
        <f>IF($D75="","",IF(SUMPRODUCT(MAX(($D$4:$D$311=$D75)*($B$4:$B$311&lt;$B75)*$B$4:$B$311))=0,0,MAX(($B75-SUMPRODUCT(MAX(($D$4:$D$311=$D75)*($B$4:$B$311&lt;$B75)*$B$4:$B$311)))/7-'Guide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Settings'!$C$42/(($F76-1)*COUNTIFS($A$4:$A$311,$A76,$E$4:$E$311,"Win")))*SUMIFS($X$4:$X$311,$A$4:$A$311,$A76,$E$4:$E$311,"Loss"),-('Guide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Settings'!$C$42/(($F76-1)*COUNTIFS($A$4:$A$311,$A76,$E$4:$E$311,"Win")))*SUMIFS($Z$4:$Z$311,$A$4:$A$311,$A76,$E$4:$E$311,"Loss"),-('Guide &amp; Settings'!$C$42/($F76-1))*$Z76)))</f>
        <v>-16.033908130169188</v>
      </c>
      <c r="AB76" s="125">
        <f t="shared" si="33"/>
        <v>968.70239866335282</v>
      </c>
      <c r="AC76" s="125">
        <f>IF($D76="","",IF(SUMPRODUCT(MAX(($D$4:$D$311=$D76)*($B$4:$B$311&lt;$B76)*$B$4:$B$311))=0,0,MAX(($B76-SUMPRODUCT(MAX(($D$4:$D$311=$D76)*($B$4:$B$311&lt;$B76)*$B$4:$B$311)))/7-'Guide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Settings'!$C$42/(($F77-1)*COUNTIFS($A$4:$A$311,$A77,$E$4:$E$311,"Win")))*SUMIFS($X$4:$X$311,$A$4:$A$311,$A77,$E$4:$E$311,"Loss"),-('Guide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Settings'!$C$42/(($F77-1)*COUNTIFS($A$4:$A$311,$A77,$E$4:$E$311,"Win")))*SUMIFS($Z$4:$Z$311,$A$4:$A$311,$A77,$E$4:$E$311,"Loss"),-('Guide &amp; Settings'!$C$42/($F77-1))*$Z77)))</f>
        <v>16</v>
      </c>
      <c r="AB77" s="125">
        <f t="shared" si="33"/>
        <v>1016</v>
      </c>
      <c r="AC77" s="125">
        <f>IF($D77="","",IF(SUMPRODUCT(MAX(($D$4:$D$311=$D77)*($B$4:$B$311&lt;$B77)*$B$4:$B$311))=0,0,MAX(($B77-SUMPRODUCT(MAX(($D$4:$D$311=$D77)*($B$4:$B$311&lt;$B77)*$B$4:$B$311)))/7-'Guide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Settings'!$C$42/(($F78-1)*COUNTIFS($A$4:$A$311,$A78,$E$4:$E$311,"Win")))*SUMIFS($X$4:$X$311,$A$4:$A$311,$A78,$E$4:$E$311,"Loss"),-('Guide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Settings'!$C$42/(($F78-1)*COUNTIFS($A$4:$A$311,$A78,$E$4:$E$311,"Win")))*SUMIFS($Z$4:$Z$311,$A$4:$A$311,$A78,$E$4:$E$311,"Loss"),-('Guide &amp; Settings'!$C$42/($F78-1))*$Z78)))</f>
        <v>-8</v>
      </c>
      <c r="AB78" s="125">
        <f t="shared" si="33"/>
        <v>992</v>
      </c>
      <c r="AC78" s="125">
        <f>IF($D78="","",IF(SUMPRODUCT(MAX(($D$4:$D$311=$D78)*($B$4:$B$311&lt;$B78)*$B$4:$B$311))=0,0,MAX(($B78-SUMPRODUCT(MAX(($D$4:$D$311=$D78)*($B$4:$B$311&lt;$B78)*$B$4:$B$311)))/7-'Guide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Settings'!$C$42/(($F79-1)*COUNTIFS($A$4:$A$311,$A79,$E$4:$E$311,"Win")))*SUMIFS($X$4:$X$311,$A$4:$A$311,$A79,$E$4:$E$311,"Loss"),-('Guide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Settings'!$C$42/(($F79-1)*COUNTIFS($A$4:$A$311,$A79,$E$4:$E$311,"Win")))*SUMIFS($Z$4:$Z$311,$A$4:$A$311,$A79,$E$4:$E$311,"Loss"),-('Guide &amp; Settings'!$C$42/($F79-1))*$Z79)))</f>
        <v>-8</v>
      </c>
      <c r="AB79" s="125">
        <f t="shared" si="33"/>
        <v>992</v>
      </c>
      <c r="AC79" s="125">
        <f>IF($D79="","",IF(SUMPRODUCT(MAX(($D$4:$D$311=$D79)*($B$4:$B$311&lt;$B79)*$B$4:$B$311))=0,0,MAX(($B79-SUMPRODUCT(MAX(($D$4:$D$311=$D79)*($B$4:$B$311&lt;$B79)*$B$4:$B$311)))/7-'Guide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Settings'!$C$42/(($F80-1)*COUNTIFS($A$4:$A$311,$A80,$E$4:$E$311,"Win")))*SUMIFS($X$4:$X$311,$A$4:$A$311,$A80,$E$4:$E$311,"Loss"),-('Guide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Settings'!$C$42/(($F80-1)*COUNTIFS($A$4:$A$311,$A80,$E$4:$E$311,"Win")))*SUMIFS($Z$4:$Z$311,$A$4:$A$311,$A80,$E$4:$E$311,"Loss"),-('Guide &amp; Settings'!$C$42/($F80-1))*$Z80)))</f>
        <v>16.619135157668911</v>
      </c>
      <c r="AB80" s="125">
        <f t="shared" si="33"/>
        <v>959.42093594562505</v>
      </c>
      <c r="AC80" s="125">
        <f>IF($D80="","",IF(SUMPRODUCT(MAX(($D$4:$D$311=$D80)*($B$4:$B$311&lt;$B80)*$B$4:$B$311))=0,0,MAX(($B80-SUMPRODUCT(MAX(($D$4:$D$311=$D80)*($B$4:$B$311&lt;$B80)*$B$4:$B$311)))/7-'Guide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Settings'!$C$42/(($F81-1)*COUNTIFS($A$4:$A$311,$A81,$E$4:$E$311,"Win")))*SUMIFS($X$4:$X$311,$A$4:$A$311,$A81,$E$4:$E$311,"Loss"),-('Guide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Settings'!$C$42/(($F81-1)*COUNTIFS($A$4:$A$311,$A81,$E$4:$E$311,"Win")))*SUMIFS($Z$4:$Z$311,$A$4:$A$311,$A81,$E$4:$E$311,"Loss"),-('Guide &amp; Settings'!$C$42/($F81-1))*$Z81)))</f>
        <v>-16.619135157668911</v>
      </c>
      <c r="AB81" s="125">
        <f t="shared" si="33"/>
        <v>939.63373120872018</v>
      </c>
      <c r="AC81" s="125">
        <f>IF($D81="","",IF(SUMPRODUCT(MAX(($D$4:$D$311=$D81)*($B$4:$B$311&lt;$B81)*$B$4:$B$311))=0,0,MAX(($B81-SUMPRODUCT(MAX(($D$4:$D$311=$D81)*($B$4:$B$311&lt;$B81)*$B$4:$B$311)))/7-'Guide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Settings'!$C$42/(($F82-1)*COUNTIFS($A$4:$A$311,$A82,$E$4:$E$311,"Win")))*SUMIFS($X$4:$X$311,$A$4:$A$311,$A82,$E$4:$E$311,"Loss"),-('Guide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Settings'!$C$42/(($F82-1)*COUNTIFS($A$4:$A$311,$A82,$E$4:$E$311,"Win")))*SUMIFS($Z$4:$Z$311,$A$4:$A$311,$A82,$E$4:$E$311,"Loss"),-('Guide &amp; Settings'!$C$42/($F82-1))*$Z82)))</f>
        <v>10.194927112731179</v>
      </c>
      <c r="AB82" s="125">
        <f t="shared" si="33"/>
        <v>1101.6852300672408</v>
      </c>
      <c r="AC82" s="125">
        <f>IF($D82="","",IF(SUMPRODUCT(MAX(($D$4:$D$311=$D82)*($B$4:$B$311&lt;$B82)*$B$4:$B$311))=0,0,MAX(($B82-SUMPRODUCT(MAX(($D$4:$D$311=$D82)*($B$4:$B$311&lt;$B82)*$B$4:$B$311)))/7-'Guide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Settings'!$C$42/(($F83-1)*COUNTIFS($A$4:$A$311,$A83,$E$4:$E$311,"Win")))*SUMIFS($X$4:$X$311,$A$4:$A$311,$A83,$E$4:$E$311,"Loss"),-('Guide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Settings'!$C$42/(($F83-1)*COUNTIFS($A$4:$A$311,$A83,$E$4:$E$311,"Win")))*SUMIFS($Z$4:$Z$311,$A$4:$A$311,$A83,$E$4:$E$311,"Loss"),-('Guide &amp; Settings'!$C$42/($F83-1))*$Z83)))</f>
        <v>-10.194927112731179</v>
      </c>
      <c r="AB83" s="125">
        <f t="shared" si="33"/>
        <v>949.22600883289385</v>
      </c>
      <c r="AC83" s="125">
        <f>IF($D83="","",IF(SUMPRODUCT(MAX(($D$4:$D$311=$D83)*($B$4:$B$311&lt;$B83)*$B$4:$B$311))=0,0,MAX(($B83-SUMPRODUCT(MAX(($D$4:$D$311=$D83)*($B$4:$B$311&lt;$B83)*$B$4:$B$311)))/7-'Guide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Settings'!$C$42/(($F84-1)*COUNTIFS($A$4:$A$311,$A84,$E$4:$E$311,"Win")))*SUMIFS($X$4:$X$311,$A$4:$A$311,$A84,$E$4:$E$311,"Loss"),-('Guide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Settings'!$C$42/(($F84-1)*COUNTIFS($A$4:$A$311,$A84,$E$4:$E$311,"Win")))*SUMIFS($Z$4:$Z$311,$A$4:$A$311,$A84,$E$4:$E$311,"Loss"),-('Guide &amp; Settings'!$C$42/($F84-1))*$Z84)))</f>
        <v>9.0351425183095415</v>
      </c>
      <c r="AB84" s="125">
        <f t="shared" si="33"/>
        <v>1110.7203725855504</v>
      </c>
      <c r="AC84" s="125">
        <f>IF($D84="","",IF(SUMPRODUCT(MAX(($D$4:$D$311=$D84)*($B$4:$B$311&lt;$B84)*$B$4:$B$311))=0,0,MAX(($B84-SUMPRODUCT(MAX(($D$4:$D$311=$D84)*($B$4:$B$311&lt;$B84)*$B$4:$B$311)))/7-'Guide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Settings'!$C$42/(($F85-1)*COUNTIFS($A$4:$A$311,$A85,$E$4:$E$311,"Win")))*SUMIFS($X$4:$X$311,$A$4:$A$311,$A85,$E$4:$E$311,"Loss"),-('Guide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Settings'!$C$42/(($F85-1)*COUNTIFS($A$4:$A$311,$A85,$E$4:$E$311,"Win")))*SUMIFS($Z$4:$Z$311,$A$4:$A$311,$A85,$E$4:$E$311,"Loss"),-('Guide &amp; Settings'!$C$42/($F85-1))*$Z85)))</f>
        <v>-9.0351425183095415</v>
      </c>
      <c r="AB85" s="125">
        <f t="shared" si="33"/>
        <v>930.59858869041068</v>
      </c>
      <c r="AC85" s="125">
        <f>IF($D85="","",IF(SUMPRODUCT(MAX(($D$4:$D$311=$D85)*($B$4:$B$311&lt;$B85)*$B$4:$B$311))=0,0,MAX(($B85-SUMPRODUCT(MAX(($D$4:$D$311=$D85)*($B$4:$B$311&lt;$B85)*$B$4:$B$311)))/7-'Guide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Settings'!$C$42/(($F86-1)*COUNTIFS($A$4:$A$311,$A86,$E$4:$E$311,"Win")))*SUMIFS($X$4:$X$311,$A$4:$A$311,$A86,$E$4:$E$311,"Loss"),-('Guide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Settings'!$C$42/(($F86-1)*COUNTIFS($A$4:$A$311,$A86,$E$4:$E$311,"Win")))*SUMIFS($Z$4:$Z$311,$A$4:$A$311,$A86,$E$4:$E$311,"Loss"),-('Guide &amp; Settings'!$C$42/($F86-1))*$Z86)))</f>
        <v>16</v>
      </c>
      <c r="AB86" s="125">
        <f t="shared" si="33"/>
        <v>1016</v>
      </c>
      <c r="AC86" s="125">
        <f>IF($D86="","",IF(SUMPRODUCT(MAX(($D$4:$D$311=$D86)*($B$4:$B$311&lt;$B86)*$B$4:$B$311))=0,0,MAX(($B86-SUMPRODUCT(MAX(($D$4:$D$311=$D86)*($B$4:$B$311&lt;$B86)*$B$4:$B$311)))/7-'Guide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Settings'!$C$42/(($F87-1)*COUNTIFS($A$4:$A$311,$A87,$E$4:$E$311,"Win")))*SUMIFS($X$4:$X$311,$A$4:$A$311,$A87,$E$4:$E$311,"Loss"),-('Guide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Settings'!$C$42/(($F87-1)*COUNTIFS($A$4:$A$311,$A87,$E$4:$E$311,"Win")))*SUMIFS($Z$4:$Z$311,$A$4:$A$311,$A87,$E$4:$E$311,"Loss"),-('Guide &amp; Settings'!$C$42/($F87-1))*$Z87)))</f>
        <v>-16</v>
      </c>
      <c r="AB87" s="125">
        <f t="shared" si="33"/>
        <v>984</v>
      </c>
      <c r="AC87" s="125">
        <f>IF($D87="","",IF(SUMPRODUCT(MAX(($D$4:$D$311=$D87)*($B$4:$B$311&lt;$B87)*$B$4:$B$311))=0,0,MAX(($B87-SUMPRODUCT(MAX(($D$4:$D$311=$D87)*($B$4:$B$311&lt;$B87)*$B$4:$B$311)))/7-'Guide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Settings'!$C$42/(($F88-1)*COUNTIFS($A$4:$A$311,$A88,$E$4:$E$311,"Win")))*SUMIFS($X$4:$X$311,$A$4:$A$311,$A88,$E$4:$E$311,"Loss"),-('Guide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Settings'!$C$42/(($F88-1)*COUNTIFS($A$4:$A$311,$A88,$E$4:$E$311,"Win")))*SUMIFS($Z$4:$Z$311,$A$4:$A$311,$A88,$E$4:$E$311,"Loss"),-('Guide &amp; Settings'!$C$42/($F88-1))*$Z88)))</f>
        <v>14.530498471024522</v>
      </c>
      <c r="AB88" s="125">
        <f t="shared" si="33"/>
        <v>1030.5304984710244</v>
      </c>
      <c r="AC88" s="125">
        <f>IF($D88="","",IF(SUMPRODUCT(MAX(($D$4:$D$311=$D88)*($B$4:$B$311&lt;$B88)*$B$4:$B$311))=0,0,MAX(($B88-SUMPRODUCT(MAX(($D$4:$D$311=$D88)*($B$4:$B$311&lt;$B88)*$B$4:$B$311)))/7-'Guide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Settings'!$C$42/(($F89-1)*COUNTIFS($A$4:$A$311,$A89,$E$4:$E$311,"Win")))*SUMIFS($X$4:$X$311,$A$4:$A$311,$A89,$E$4:$E$311,"Loss"),-('Guide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Settings'!$C$42/(($F89-1)*COUNTIFS($A$4:$A$311,$A89,$E$4:$E$311,"Win")))*SUMIFS($Z$4:$Z$311,$A$4:$A$311,$A89,$E$4:$E$311,"Loss"),-('Guide &amp; Settings'!$C$42/($F89-1))*$Z89)))</f>
        <v>-14.530498471024522</v>
      </c>
      <c r="AB89" s="125">
        <f t="shared" si="33"/>
        <v>969.46950152897546</v>
      </c>
      <c r="AC89" s="125">
        <f>IF($D89="","",IF(SUMPRODUCT(MAX(($D$4:$D$311=$D89)*($B$4:$B$311&lt;$B89)*$B$4:$B$311))=0,0,MAX(($B89-SUMPRODUCT(MAX(($D$4:$D$311=$D89)*($B$4:$B$311&lt;$B89)*$B$4:$B$311)))/7-'Guide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Settings'!$C$42/(($F90-1)*COUNTIFS($A$4:$A$311,$A90,$E$4:$E$311,"Win")))*SUMIFS($X$4:$X$311,$A$4:$A$311,$A90,$E$4:$E$311,"Loss"),-('Guide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Settings'!$C$42/(($F90-1)*COUNTIFS($A$4:$A$311,$A90,$E$4:$E$311,"Win")))*SUMIFS($Z$4:$Z$311,$A$4:$A$311,$A90,$E$4:$E$311,"Loss"),-('Guide &amp; Settings'!$C$42/($F90-1))*$Z90)))</f>
        <v>17.402373648406023</v>
      </c>
      <c r="AB90" s="125">
        <f t="shared" si="33"/>
        <v>1017.4023736484061</v>
      </c>
      <c r="AC90" s="125">
        <f>IF($D90="","",IF(SUMPRODUCT(MAX(($D$4:$D$311=$D90)*($B$4:$B$311&lt;$B90)*$B$4:$B$311))=0,0,MAX(($B90-SUMPRODUCT(MAX(($D$4:$D$311=$D90)*($B$4:$B$311&lt;$B90)*$B$4:$B$311)))/7-'Guide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Settings'!$C$42/(($F91-1)*COUNTIFS($A$4:$A$311,$A91,$E$4:$E$311,"Win")))*SUMIFS($X$4:$X$311,$A$4:$A$311,$A91,$E$4:$E$311,"Loss"),-('Guide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Settings'!$C$42/(($F91-1)*COUNTIFS($A$4:$A$311,$A91,$E$4:$E$311,"Win")))*SUMIFS($Z$4:$Z$311,$A$4:$A$311,$A91,$E$4:$E$311,"Loss"),-('Guide &amp; Settings'!$C$42/($F91-1))*$Z91)))</f>
        <v>-17.402373648406023</v>
      </c>
      <c r="AB91" s="125">
        <f t="shared" si="33"/>
        <v>1013.1281248226184</v>
      </c>
      <c r="AC91" s="125">
        <f>IF($D91="","",IF(SUMPRODUCT(MAX(($D$4:$D$311=$D91)*($B$4:$B$311&lt;$B91)*$B$4:$B$311))=0,0,MAX(($B91-SUMPRODUCT(MAX(($D$4:$D$311=$D91)*($B$4:$B$311&lt;$B91)*$B$4:$B$311)))/7-'Guide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Settings'!$C$42/(($F92-1)*COUNTIFS($A$4:$A$311,$A92,$E$4:$E$311,"Win")))*SUMIFS($X$4:$X$311,$A$4:$A$311,$A92,$E$4:$E$311,"Loss"),-('Guide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Settings'!$C$42/(($F92-1)*COUNTIFS($A$4:$A$311,$A92,$E$4:$E$311,"Win")))*SUMIFS($Z$4:$Z$311,$A$4:$A$311,$A92,$E$4:$E$311,"Loss"),-('Guide &amp; Settings'!$C$42/($F92-1))*$Z92)))</f>
        <v>-9.119473927823794</v>
      </c>
      <c r="AB92" s="125">
        <f t="shared" si="33"/>
        <v>941.80241083787075</v>
      </c>
      <c r="AC92" s="125">
        <f>IF($D92="","",IF(SUMPRODUCT(MAX(($D$4:$D$311=$D92)*($B$4:$B$311&lt;$B92)*$B$4:$B$311))=0,0,MAX(($B92-SUMPRODUCT(MAX(($D$4:$D$311=$D92)*($B$4:$B$311&lt;$B92)*$B$4:$B$311)))/7-'Guide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Settings'!$C$42/(($F93-1)*COUNTIFS($A$4:$A$311,$A93,$E$4:$E$311,"Win")))*SUMIFS($X$4:$X$311,$A$4:$A$311,$A93,$E$4:$E$311,"Loss"),-('Guide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Settings'!$C$42/(($F93-1)*COUNTIFS($A$4:$A$311,$A93,$E$4:$E$311,"Win")))*SUMIFS($Z$4:$Z$311,$A$4:$A$311,$A93,$E$4:$E$311,"Loss"),-('Guide &amp; Settings'!$C$42/($F93-1))*$Z93)))</f>
        <v>9.119473927823794</v>
      </c>
      <c r="AB93" s="125">
        <f t="shared" si="33"/>
        <v>1119.8398465133741</v>
      </c>
      <c r="AC93" s="125">
        <f>IF($D93="","",IF(SUMPRODUCT(MAX(($D$4:$D$311=$D93)*($B$4:$B$311&lt;$B93)*$B$4:$B$311))=0,0,MAX(($B93-SUMPRODUCT(MAX(($D$4:$D$311=$D93)*($B$4:$B$311&lt;$B93)*$B$4:$B$311)))/7-'Guide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Settings'!$C$42/(($F94-1)*COUNTIFS($A$4:$A$311,$A94,$E$4:$E$311,"Win")))*SUMIFS($X$4:$X$311,$A$4:$A$311,$A94,$E$4:$E$311,"Loss"),-('Guide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Settings'!$C$42/(($F94-1)*COUNTIFS($A$4:$A$311,$A94,$E$4:$E$311,"Win")))*SUMIFS($Z$4:$Z$311,$A$4:$A$311,$A94,$E$4:$E$311,"Loss"),-('Guide &amp; Settings'!$C$42/($F94-1))*$Z94)))</f>
        <v>10.690100452875011</v>
      </c>
      <c r="AB94" s="125">
        <f t="shared" si="33"/>
        <v>1130.5299469662491</v>
      </c>
      <c r="AC94" s="125">
        <f>IF($D94="","",IF(SUMPRODUCT(MAX(($D$4:$D$311=$D94)*($B$4:$B$311&lt;$B94)*$B$4:$B$311))=0,0,MAX(($B94-SUMPRODUCT(MAX(($D$4:$D$311=$D94)*($B$4:$B$311&lt;$B94)*$B$4:$B$311)))/7-'Guide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Settings'!$C$42/(($F95-1)*COUNTIFS($A$4:$A$311,$A95,$E$4:$E$311,"Win")))*SUMIFS($X$4:$X$311,$A$4:$A$311,$A95,$E$4:$E$311,"Loss"),-('Guide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Settings'!$C$42/(($F95-1)*COUNTIFS($A$4:$A$311,$A95,$E$4:$E$311,"Win")))*SUMIFS($Z$4:$Z$311,$A$4:$A$311,$A95,$E$4:$E$311,"Loss"),-('Guide &amp; Settings'!$C$42/($F95-1))*$Z95)))</f>
        <v>-10.690100452875011</v>
      </c>
      <c r="AB95" s="125">
        <f t="shared" si="33"/>
        <v>989.30989954712504</v>
      </c>
      <c r="AC95" s="125">
        <f>IF($D95="","",IF(SUMPRODUCT(MAX(($D$4:$D$311=$D95)*($B$4:$B$311&lt;$B95)*$B$4:$B$311))=0,0,MAX(($B95-SUMPRODUCT(MAX(($D$4:$D$311=$D95)*($B$4:$B$311&lt;$B95)*$B$4:$B$311)))/7-'Guide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Settings'!$C$42/(($F96-1)*COUNTIFS($A$4:$A$311,$A96,$E$4:$E$311,"Win")))*SUMIFS($X$4:$X$311,$A$4:$A$311,$A96,$E$4:$E$311,"Loss"),-('Guide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Settings'!$C$42/(($F96-1)*COUNTIFS($A$4:$A$311,$A96,$E$4:$E$311,"Win")))*SUMIFS($Z$4:$Z$311,$A$4:$A$311,$A96,$E$4:$E$311,"Loss"),-('Guide &amp; Settings'!$C$42/($F96-1))*$Z96)))</f>
        <v>-22.167458540182444</v>
      </c>
      <c r="AB96" s="125">
        <f t="shared" si="33"/>
        <v>1108.3624884260666</v>
      </c>
      <c r="AC96" s="125">
        <f>IF($D96="","",IF(SUMPRODUCT(MAX(($D$4:$D$311=$D96)*($B$4:$B$311&lt;$B96)*$B$4:$B$311))=0,0,MAX(($B96-SUMPRODUCT(MAX(($D$4:$D$311=$D96)*($B$4:$B$311&lt;$B96)*$B$4:$B$311)))/7-'Guide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Settings'!$C$42/(($F97-1)*COUNTIFS($A$4:$A$311,$A97,$E$4:$E$311,"Win")))*SUMIFS($X$4:$X$311,$A$4:$A$311,$A97,$E$4:$E$311,"Loss"),-('Guide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Settings'!$C$42/(($F97-1)*COUNTIFS($A$4:$A$311,$A97,$E$4:$E$311,"Win")))*SUMIFS($Z$4:$Z$311,$A$4:$A$311,$A97,$E$4:$E$311,"Loss"),-('Guide &amp; Settings'!$C$42/($F97-1))*$Z97)))</f>
        <v>22.167458540182444</v>
      </c>
      <c r="AB97" s="125">
        <f t="shared" si="33"/>
        <v>1011.4773580873075</v>
      </c>
      <c r="AC97" s="125">
        <f>IF($D97="","",IF(SUMPRODUCT(MAX(($D$4:$D$311=$D97)*($B$4:$B$311&lt;$B97)*$B$4:$B$311))=0,0,MAX(($B97-SUMPRODUCT(MAX(($D$4:$D$311=$D97)*($B$4:$B$311&lt;$B97)*$B$4:$B$311)))/7-'Guide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Settings'!$C$42/(($F98-1)*COUNTIFS($A$4:$A$311,$A98,$E$4:$E$311,"Win")))*SUMIFS($X$4:$X$311,$A$4:$A$311,$A98,$E$4:$E$311,"Loss"),-('Guide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Settings'!$C$42/(($F98-1)*COUNTIFS($A$4:$A$311,$A98,$E$4:$E$311,"Win")))*SUMIFS($Z$4:$Z$311,$A$4:$A$311,$A98,$E$4:$E$311,"Loss"),-('Guide &amp; Settings'!$C$42/($F98-1))*$Z98)))</f>
        <v>11.843995360289181</v>
      </c>
      <c r="AB98" s="125">
        <f t="shared" si="33"/>
        <v>1120.2064837863559</v>
      </c>
      <c r="AC98" s="125">
        <f>IF($D98="","",IF(SUMPRODUCT(MAX(($D$4:$D$311=$D98)*($B$4:$B$311&lt;$B98)*$B$4:$B$311))=0,0,MAX(($B98-SUMPRODUCT(MAX(($D$4:$D$311=$D98)*($B$4:$B$311&lt;$B98)*$B$4:$B$311)))/7-'Guide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Settings'!$C$42/(($F99-1)*COUNTIFS($A$4:$A$311,$A99,$E$4:$E$311,"Win")))*SUMIFS($X$4:$X$311,$A$4:$A$311,$A99,$E$4:$E$311,"Loss"),-('Guide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Settings'!$C$42/(($F99-1)*COUNTIFS($A$4:$A$311,$A99,$E$4:$E$311,"Win")))*SUMIFS($Z$4:$Z$311,$A$4:$A$311,$A99,$E$4:$E$311,"Loss"),-('Guide &amp; Settings'!$C$42/($F99-1))*$Z99)))</f>
        <v>-11.843995360289181</v>
      </c>
      <c r="AB99" s="125">
        <f t="shared" si="33"/>
        <v>1004.1560046397108</v>
      </c>
      <c r="AC99" s="125">
        <f>IF($D99="","",IF(SUMPRODUCT(MAX(($D$4:$D$311=$D99)*($B$4:$B$311&lt;$B99)*$B$4:$B$311))=0,0,MAX(($B99-SUMPRODUCT(MAX(($D$4:$D$311=$D99)*($B$4:$B$311&lt;$B99)*$B$4:$B$311)))/7-'Guide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Settings'!$C$42/(($F100-1)*COUNTIFS($A$4:$A$311,$A100,$E$4:$E$311,"Win")))*SUMIFS($X$4:$X$311,$A$4:$A$311,$A100,$E$4:$E$311,"Loss"),-('Guide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Settings'!$C$42/(($F100-1)*COUNTIFS($A$4:$A$311,$A100,$E$4:$E$311,"Win")))*SUMIFS($Z$4:$Z$311,$A$4:$A$311,$A100,$E$4:$E$311,"Loss"),-('Guide &amp; Settings'!$C$42/($F100-1))*$Z100)))</f>
        <v>10.845945553347134</v>
      </c>
      <c r="AB100" s="125">
        <f t="shared" si="33"/>
        <v>1131.0524293397029</v>
      </c>
      <c r="AC100" s="125">
        <f>IF($D100="","",IF(SUMPRODUCT(MAX(($D$4:$D$311=$D100)*($B$4:$B$311&lt;$B100)*$B$4:$B$311))=0,0,MAX(($B100-SUMPRODUCT(MAX(($D$4:$D$311=$D100)*($B$4:$B$311&lt;$B100)*$B$4:$B$311)))/7-'Guide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Settings'!$C$42/(($F101-1)*COUNTIFS($A$4:$A$311,$A101,$E$4:$E$311,"Win")))*SUMIFS($X$4:$X$311,$A$4:$A$311,$A101,$E$4:$E$311,"Loss"),-('Guide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Settings'!$C$42/(($F101-1)*COUNTIFS($A$4:$A$311,$A101,$E$4:$E$311,"Win")))*SUMIFS($Z$4:$Z$311,$A$4:$A$311,$A101,$E$4:$E$311,"Loss"),-('Guide &amp; Settings'!$C$42/($F101-1))*$Z101)))</f>
        <v>-10.845945553347134</v>
      </c>
      <c r="AB101" s="125">
        <f t="shared" si="33"/>
        <v>993.31005908636359</v>
      </c>
      <c r="AC101" s="125">
        <f>IF($D101="","",IF(SUMPRODUCT(MAX(($D$4:$D$311=$D101)*($B$4:$B$311&lt;$B101)*$B$4:$B$311))=0,0,MAX(($B101-SUMPRODUCT(MAX(($D$4:$D$311=$D101)*($B$4:$B$311&lt;$B101)*$B$4:$B$311)))/7-'Guide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Settings'!$C$42/(($F102-1)*COUNTIFS($A$4:$A$311,$A102,$E$4:$E$311,"Win")))*SUMIFS($X$4:$X$311,$A$4:$A$311,$A102,$E$4:$E$311,"Loss"),-('Guide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Settings'!$C$42/(($F102-1)*COUNTIFS($A$4:$A$311,$A102,$E$4:$E$311,"Win")))*SUMIFS($Z$4:$Z$311,$A$4:$A$311,$A102,$E$4:$E$311,"Loss"),-('Guide &amp; Settings'!$C$42/($F102-1))*$Z102)))</f>
        <v>-22.030578219627049</v>
      </c>
      <c r="AB102" s="125">
        <f t="shared" si="33"/>
        <v>1109.0218511200758</v>
      </c>
      <c r="AC102" s="125">
        <f>IF($D102="","",IF(SUMPRODUCT(MAX(($D$4:$D$311=$D102)*($B$4:$B$311&lt;$B102)*$B$4:$B$311))=0,0,MAX(($B102-SUMPRODUCT(MAX(($D$4:$D$311=$D102)*($B$4:$B$311&lt;$B102)*$B$4:$B$311)))/7-'Guide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Settings'!$C$42/(($F103-1)*COUNTIFS($A$4:$A$311,$A103,$E$4:$E$311,"Win")))*SUMIFS($X$4:$X$311,$A$4:$A$311,$A103,$E$4:$E$311,"Loss"),-('Guide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Settings'!$C$42/(($F103-1)*COUNTIFS($A$4:$A$311,$A103,$E$4:$E$311,"Win")))*SUMIFS($Z$4:$Z$311,$A$4:$A$311,$A103,$E$4:$E$311,"Loss"),-('Guide &amp; Settings'!$C$42/($F103-1))*$Z103)))</f>
        <v>22.030578219627049</v>
      </c>
      <c r="AB103" s="125">
        <f t="shared" si="33"/>
        <v>1015.3406373059906</v>
      </c>
      <c r="AC103" s="125">
        <f>IF($D103="","",IF(SUMPRODUCT(MAX(($D$4:$D$311=$D103)*($B$4:$B$311&lt;$B103)*$B$4:$B$311))=0,0,MAX(($B103-SUMPRODUCT(MAX(($D$4:$D$311=$D103)*($B$4:$B$311&lt;$B103)*$B$4:$B$311)))/7-'Guide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Settings'!$C$42/(($F104-1)*COUNTIFS($A$4:$A$311,$A104,$E$4:$E$311,"Win")))*SUMIFS($X$4:$X$311,$A$4:$A$311,$A104,$E$4:$E$311,"Loss"),-('Guide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Settings'!$C$42/(($F104-1)*COUNTIFS($A$4:$A$311,$A104,$E$4:$E$311,"Win")))*SUMIFS($Z$4:$Z$311,$A$4:$A$311,$A104,$E$4:$E$311,"Loss"),-('Guide &amp; Settings'!$C$42/($F104-1))*$Z104)))</f>
        <v>18.547858669515744</v>
      </c>
      <c r="AB104" s="125">
        <f t="shared" si="33"/>
        <v>962.74691604051804</v>
      </c>
      <c r="AC104" s="125">
        <f>IF($D104="","",IF(SUMPRODUCT(MAX(($D$4:$D$311=$D104)*($B$4:$B$311&lt;$B104)*$B$4:$B$311))=0,0,MAX(($B104-SUMPRODUCT(MAX(($D$4:$D$311=$D104)*($B$4:$B$311&lt;$B104)*$B$4:$B$311)))/7-'Guide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Settings'!$C$42/(($F105-1)*COUNTIFS($A$4:$A$311,$A105,$E$4:$E$311,"Win")))*SUMIFS($X$4:$X$311,$A$4:$A$311,$A105,$E$4:$E$311,"Loss"),-('Guide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Settings'!$C$42/(($F105-1)*COUNTIFS($A$4:$A$311,$A105,$E$4:$E$311,"Win")))*SUMIFS($Z$4:$Z$311,$A$4:$A$311,$A105,$E$4:$E$311,"Loss"),-('Guide &amp; Settings'!$C$42/($F105-1))*$Z105)))</f>
        <v>-18.547858669515744</v>
      </c>
      <c r="AB105" s="125">
        <f t="shared" si="33"/>
        <v>981.45214133048421</v>
      </c>
      <c r="AC105" s="125">
        <f>IF($D105="","",IF(SUMPRODUCT(MAX(($D$4:$D$311=$D105)*($B$4:$B$311&lt;$B105)*$B$4:$B$311))=0,0,MAX(($B105-SUMPRODUCT(MAX(($D$4:$D$311=$D105)*($B$4:$B$311&lt;$B105)*$B$4:$B$311)))/7-'Guide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Settings'!$C$42/(($F106-1)*COUNTIFS($A$4:$A$311,$A106,$E$4:$E$311,"Win")))*SUMIFS($X$4:$X$311,$A$4:$A$311,$A106,$E$4:$E$311,"Loss"),-('Guide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Settings'!$C$42/(($F106-1)*COUNTIFS($A$4:$A$311,$A106,$E$4:$E$311,"Win")))*SUMIFS($Z$4:$Z$311,$A$4:$A$311,$A106,$E$4:$E$311,"Loss"),-('Guide &amp; Settings'!$C$42/($F106-1))*$Z106)))</f>
        <v>16.860576151278366</v>
      </c>
      <c r="AB106" s="125">
        <f t="shared" si="33"/>
        <v>979.60749219179638</v>
      </c>
      <c r="AC106" s="125">
        <f>IF($D106="","",IF(SUMPRODUCT(MAX(($D$4:$D$311=$D106)*($B$4:$B$311&lt;$B106)*$B$4:$B$311))=0,0,MAX(($B106-SUMPRODUCT(MAX(($D$4:$D$311=$D106)*($B$4:$B$311&lt;$B106)*$B$4:$B$311)))/7-'Guide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Settings'!$C$42/(($F107-1)*COUNTIFS($A$4:$A$311,$A107,$E$4:$E$311,"Win")))*SUMIFS($X$4:$X$311,$A$4:$A$311,$A107,$E$4:$E$311,"Loss"),-('Guide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Settings'!$C$42/(($F107-1)*COUNTIFS($A$4:$A$311,$A107,$E$4:$E$311,"Win")))*SUMIFS($Z$4:$Z$311,$A$4:$A$311,$A107,$E$4:$E$311,"Loss"),-('Guide &amp; Settings'!$C$42/($F107-1))*$Z107)))</f>
        <v>-16.860576151278366</v>
      </c>
      <c r="AB107" s="125">
        <f t="shared" si="33"/>
        <v>964.59156517920587</v>
      </c>
      <c r="AC107" s="125">
        <f>IF($D107="","",IF(SUMPRODUCT(MAX(($D$4:$D$311=$D107)*($B$4:$B$311&lt;$B107)*$B$4:$B$311))=0,0,MAX(($B107-SUMPRODUCT(MAX(($D$4:$D$311=$D107)*($B$4:$B$311&lt;$B107)*$B$4:$B$311)))/7-'Guide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Settings'!$C$42/(($F108-1)*COUNTIFS($A$4:$A$311,$A108,$E$4:$E$311,"Win")))*SUMIFS($X$4:$X$311,$A$4:$A$311,$A108,$E$4:$E$311,"Loss"),-('Guide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Settings'!$C$42/(($F108-1)*COUNTIFS($A$4:$A$311,$A108,$E$4:$E$311,"Win")))*SUMIFS($Z$4:$Z$311,$A$4:$A$311,$A108,$E$4:$E$311,"Loss"),-('Guide &amp; Settings'!$C$42/($F108-1))*$Z108)))</f>
        <v>-16.691078756777557</v>
      </c>
      <c r="AB108" s="125">
        <f t="shared" si="33"/>
        <v>962.91641343501885</v>
      </c>
      <c r="AC108" s="125">
        <f>IF($D108="","",IF(SUMPRODUCT(MAX(($D$4:$D$311=$D108)*($B$4:$B$311&lt;$B108)*$B$4:$B$311))=0,0,MAX(($B108-SUMPRODUCT(MAX(($D$4:$D$311=$D108)*($B$4:$B$311&lt;$B108)*$B$4:$B$311)))/7-'Guide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Settings'!$C$42/(($F109-1)*COUNTIFS($A$4:$A$311,$A109,$E$4:$E$311,"Win")))*SUMIFS($X$4:$X$311,$A$4:$A$311,$A109,$E$4:$E$311,"Loss"),-('Guide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Settings'!$C$42/(($F109-1)*COUNTIFS($A$4:$A$311,$A109,$E$4:$E$311,"Win")))*SUMIFS($Z$4:$Z$311,$A$4:$A$311,$A109,$E$4:$E$311,"Loss"),-('Guide &amp; Settings'!$C$42/($F109-1))*$Z109)))</f>
        <v>16.691078756777557</v>
      </c>
      <c r="AB109" s="125">
        <f t="shared" si="33"/>
        <v>981.2826439359834</v>
      </c>
      <c r="AC109" s="125">
        <f>IF($D109="","",IF(SUMPRODUCT(MAX(($D$4:$D$311=$D109)*($B$4:$B$311&lt;$B109)*$B$4:$B$311))=0,0,MAX(($B109-SUMPRODUCT(MAX(($D$4:$D$311=$D109)*($B$4:$B$311&lt;$B109)*$B$4:$B$311)))/7-'Guide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Settings'!$C$42/(($F110-1)*COUNTIFS($A$4:$A$311,$A110,$E$4:$E$311,"Win")))*SUMIFS($X$4:$X$311,$A$4:$A$311,$A110,$E$4:$E$311,"Loss"),-('Guide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Settings'!$C$42/(($F110-1)*COUNTIFS($A$4:$A$311,$A110,$E$4:$E$311,"Win")))*SUMIFS($Z$4:$Z$311,$A$4:$A$311,$A110,$E$4:$E$311,"Loss"),-('Guide &amp; Settings'!$C$42/($F110-1))*$Z110)))</f>
        <v>16.177903250777021</v>
      </c>
      <c r="AB110" s="125">
        <f t="shared" si="33"/>
        <v>1027.6552613380845</v>
      </c>
      <c r="AC110" s="125">
        <f>IF($D110="","",IF(SUMPRODUCT(MAX(($D$4:$D$311=$D110)*($B$4:$B$311&lt;$B110)*$B$4:$B$311))=0,0,MAX(($B110-SUMPRODUCT(MAX(($D$4:$D$311=$D110)*($B$4:$B$311&lt;$B110)*$B$4:$B$311)))/7-'Guide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Settings'!$C$42/(($F111-1)*COUNTIFS($A$4:$A$311,$A111,$E$4:$E$311,"Win")))*SUMIFS($X$4:$X$311,$A$4:$A$311,$A111,$E$4:$E$311,"Loss"),-('Guide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Settings'!$C$42/(($F111-1)*COUNTIFS($A$4:$A$311,$A111,$E$4:$E$311,"Win")))*SUMIFS($Z$4:$Z$311,$A$4:$A$311,$A111,$E$4:$E$311,"Loss"),-('Guide &amp; Settings'!$C$42/($F111-1))*$Z111)))</f>
        <v>-16.177903250777021</v>
      </c>
      <c r="AB111" s="125">
        <f t="shared" si="33"/>
        <v>999.1627340552136</v>
      </c>
      <c r="AC111" s="125">
        <f>IF($D111="","",IF(SUMPRODUCT(MAX(($D$4:$D$311=$D111)*($B$4:$B$311&lt;$B111)*$B$4:$B$311))=0,0,MAX(($B111-SUMPRODUCT(MAX(($D$4:$D$311=$D111)*($B$4:$B$311&lt;$B111)*$B$4:$B$311)))/7-'Guide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Settings'!$C$42/(($F112-1)*COUNTIFS($A$4:$A$311,$A112,$E$4:$E$311,"Win")))*SUMIFS($X$4:$X$311,$A$4:$A$311,$A112,$E$4:$E$311,"Loss"),-('Guide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Settings'!$C$42/(($F112-1)*COUNTIFS($A$4:$A$311,$A112,$E$4:$E$311,"Win")))*SUMIFS($Z$4:$Z$311,$A$4:$A$311,$A112,$E$4:$E$311,"Loss"),-('Guide &amp; Settings'!$C$42/($F112-1))*$Z112)))</f>
        <v>14.690804236113944</v>
      </c>
      <c r="AB112" s="125">
        <f t="shared" si="33"/>
        <v>1042.3460655741985</v>
      </c>
      <c r="AC112" s="125">
        <f>IF($D112="","",IF(SUMPRODUCT(MAX(($D$4:$D$311=$D112)*($B$4:$B$311&lt;$B112)*$B$4:$B$311))=0,0,MAX(($B112-SUMPRODUCT(MAX(($D$4:$D$311=$D112)*($B$4:$B$311&lt;$B112)*$B$4:$B$311)))/7-'Guide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Settings'!$C$42/(($F113-1)*COUNTIFS($A$4:$A$311,$A113,$E$4:$E$311,"Win")))*SUMIFS($X$4:$X$311,$A$4:$A$311,$A113,$E$4:$E$311,"Loss"),-('Guide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Settings'!$C$42/(($F113-1)*COUNTIFS($A$4:$A$311,$A113,$E$4:$E$311,"Win")))*SUMIFS($Z$4:$Z$311,$A$4:$A$311,$A113,$E$4:$E$311,"Loss"),-('Guide &amp; Settings'!$C$42/($F113-1))*$Z113)))</f>
        <v>-14.690804236113944</v>
      </c>
      <c r="AB113" s="125">
        <f t="shared" si="33"/>
        <v>984.47192981909961</v>
      </c>
      <c r="AC113" s="125">
        <f>IF($D113="","",IF(SUMPRODUCT(MAX(($D$4:$D$311=$D113)*($B$4:$B$311&lt;$B113)*$B$4:$B$311))=0,0,MAX(($B113-SUMPRODUCT(MAX(($D$4:$D$311=$D113)*($B$4:$B$311&lt;$B113)*$B$4:$B$311)))/7-'Guide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Settings'!$C$42/(($F114-1)*COUNTIFS($A$4:$A$311,$A114,$E$4:$E$311,"Win")))*SUMIFS($X$4:$X$311,$A$4:$A$311,$A114,$E$4:$E$311,"Loss"),-('Guide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Settings'!$C$42/(($F114-1)*COUNTIFS($A$4:$A$311,$A114,$E$4:$E$311,"Win")))*SUMIFS($Z$4:$Z$311,$A$4:$A$311,$A114,$E$4:$E$311,"Loss"),-('Guide &amp; Settings'!$C$42/($F114-1))*$Z114)))</f>
        <v>13.359177704896565</v>
      </c>
      <c r="AB114" s="125">
        <f t="shared" si="33"/>
        <v>1055.7052432790952</v>
      </c>
      <c r="AC114" s="125">
        <f>IF($D114="","",IF(SUMPRODUCT(MAX(($D$4:$D$311=$D114)*($B$4:$B$311&lt;$B114)*$B$4:$B$311))=0,0,MAX(($B114-SUMPRODUCT(MAX(($D$4:$D$311=$D114)*($B$4:$B$311&lt;$B114)*$B$4:$B$311)))/7-'Guide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Settings'!$C$42/(($F115-1)*COUNTIFS($A$4:$A$311,$A115,$E$4:$E$311,"Win")))*SUMIFS($X$4:$X$311,$A$4:$A$311,$A115,$E$4:$E$311,"Loss"),-('Guide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Settings'!$C$42/(($F115-1)*COUNTIFS($A$4:$A$311,$A115,$E$4:$E$311,"Win")))*SUMIFS($Z$4:$Z$311,$A$4:$A$311,$A115,$E$4:$E$311,"Loss"),-('Guide &amp; Settings'!$C$42/($F115-1))*$Z115)))</f>
        <v>-13.359177704896565</v>
      </c>
      <c r="AB115" s="125">
        <f t="shared" si="33"/>
        <v>971.11275211420309</v>
      </c>
      <c r="AC115" s="125">
        <f>IF($D115="","",IF(SUMPRODUCT(MAX(($D$4:$D$311=$D115)*($B$4:$B$311&lt;$B115)*$B$4:$B$311))=0,0,MAX(($B115-SUMPRODUCT(MAX(($D$4:$D$311=$D115)*($B$4:$B$311&lt;$B115)*$B$4:$B$311)))/7-'Guide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Settings'!$C$42/(($F116-1)*COUNTIFS($A$4:$A$311,$A116,$E$4:$E$311,"Win")))*SUMIFS($X$4:$X$311,$A$4:$A$311,$A116,$E$4:$E$311,"Loss"),-('Guide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Settings'!$C$42/(($F116-1)*COUNTIFS($A$4:$A$311,$A116,$E$4:$E$311,"Win")))*SUMIFS($Z$4:$Z$311,$A$4:$A$311,$A116,$E$4:$E$311,"Loss"),-('Guide &amp; Settings'!$C$42/($F116-1))*$Z116)))</f>
        <v>18.000037876065491</v>
      </c>
      <c r="AB116" s="125">
        <f t="shared" si="33"/>
        <v>987.4695394050409</v>
      </c>
      <c r="AC116" s="125">
        <f>IF($D116="","",IF(SUMPRODUCT(MAX(($D$4:$D$311=$D116)*($B$4:$B$311&lt;$B116)*$B$4:$B$311))=0,0,MAX(($B116-SUMPRODUCT(MAX(($D$4:$D$311=$D116)*($B$4:$B$311&lt;$B116)*$B$4:$B$311)))/7-'Guide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Settings'!$C$42/(($F117-1)*COUNTIFS($A$4:$A$311,$A117,$E$4:$E$311,"Win")))*SUMIFS($X$4:$X$311,$A$4:$A$311,$A117,$E$4:$E$311,"Loss"),-('Guide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Settings'!$C$42/(($F117-1)*COUNTIFS($A$4:$A$311,$A117,$E$4:$E$311,"Win")))*SUMIFS($Z$4:$Z$311,$A$4:$A$311,$A117,$E$4:$E$311,"Loss"),-('Guide &amp; Settings'!$C$42/($F117-1))*$Z117)))</f>
        <v>-18.000037876065491</v>
      </c>
      <c r="AB117" s="125">
        <f t="shared" si="33"/>
        <v>995.12808694655291</v>
      </c>
      <c r="AC117" s="125">
        <f>IF($D117="","",IF(SUMPRODUCT(MAX(($D$4:$D$311=$D117)*($B$4:$B$311&lt;$B117)*$B$4:$B$311))=0,0,MAX(($B117-SUMPRODUCT(MAX(($D$4:$D$311=$D117)*($B$4:$B$311&lt;$B117)*$B$4:$B$311)))/7-'Guide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Settings'!$C$42/(($F118-1)*COUNTIFS($A$4:$A$311,$A118,$E$4:$E$311,"Win")))*SUMIFS($X$4:$X$311,$A$4:$A$311,$A118,$E$4:$E$311,"Loss"),-('Guide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Settings'!$C$42/(($F118-1)*COUNTIFS($A$4:$A$311,$A118,$E$4:$E$311,"Win")))*SUMIFS($Z$4:$Z$311,$A$4:$A$311,$A118,$E$4:$E$311,"Loss"),-('Guide &amp; Settings'!$C$42/($F118-1))*$Z118)))</f>
        <v>16.576798971563427</v>
      </c>
      <c r="AB118" s="125">
        <f t="shared" si="33"/>
        <v>1004.0463383766044</v>
      </c>
      <c r="AC118" s="125">
        <f>IF($D118="","",IF(SUMPRODUCT(MAX(($D$4:$D$311=$D118)*($B$4:$B$311&lt;$B118)*$B$4:$B$311))=0,0,MAX(($B118-SUMPRODUCT(MAX(($D$4:$D$311=$D118)*($B$4:$B$311&lt;$B118)*$B$4:$B$311)))/7-'Guide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Settings'!$C$42/(($F119-1)*COUNTIFS($A$4:$A$311,$A119,$E$4:$E$311,"Win")))*SUMIFS($X$4:$X$311,$A$4:$A$311,$A119,$E$4:$E$311,"Loss"),-('Guide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Settings'!$C$42/(($F119-1)*COUNTIFS($A$4:$A$311,$A119,$E$4:$E$311,"Win")))*SUMIFS($Z$4:$Z$311,$A$4:$A$311,$A119,$E$4:$E$311,"Loss"),-('Guide &amp; Settings'!$C$42/($F119-1))*$Z119)))</f>
        <v>-16.576798971563427</v>
      </c>
      <c r="AB119" s="125">
        <f t="shared" si="33"/>
        <v>983.42320102843655</v>
      </c>
      <c r="AC119" s="125">
        <f>IF($D119="","",IF(SUMPRODUCT(MAX(($D$4:$D$311=$D119)*($B$4:$B$311&lt;$B119)*$B$4:$B$311))=0,0,MAX(($B119-SUMPRODUCT(MAX(($D$4:$D$311=$D119)*($B$4:$B$311&lt;$B119)*$B$4:$B$311)))/7-'Guide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Settings'!$C$42/(($F120-1)*COUNTIFS($A$4:$A$311,$A120,$E$4:$E$311,"Win")))*SUMIFS($X$4:$X$311,$A$4:$A$311,$A120,$E$4:$E$311,"Loss"),-('Guide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Settings'!$C$42/(($F120-1)*COUNTIFS($A$4:$A$311,$A120,$E$4:$E$311,"Win")))*SUMIFS($Z$4:$Z$311,$A$4:$A$311,$A120,$E$4:$E$311,"Loss"),-('Guide &amp; Settings'!$C$42/($F120-1))*$Z120)))</f>
        <v>-16.861133176904797</v>
      </c>
      <c r="AB120" s="125">
        <f t="shared" si="33"/>
        <v>983.13886682309521</v>
      </c>
      <c r="AC120" s="125">
        <f>IF($D120="","",IF(SUMPRODUCT(MAX(($D$4:$D$311=$D120)*($B$4:$B$311&lt;$B120)*$B$4:$B$311))=0,0,MAX(($B120-SUMPRODUCT(MAX(($D$4:$D$311=$D120)*($B$4:$B$311&lt;$B120)*$B$4:$B$311)))/7-'Guide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Settings'!$C$42/(($F121-1)*COUNTIFS($A$4:$A$311,$A121,$E$4:$E$311,"Win")))*SUMIFS($X$4:$X$311,$A$4:$A$311,$A121,$E$4:$E$311,"Loss"),-('Guide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Settings'!$C$42/(($F121-1)*COUNTIFS($A$4:$A$311,$A121,$E$4:$E$311,"Win")))*SUMIFS($Z$4:$Z$311,$A$4:$A$311,$A121,$E$4:$E$311,"Loss"),-('Guide &amp; Settings'!$C$42/($F121-1))*$Z121)))</f>
        <v>16.861133176904797</v>
      </c>
      <c r="AB121" s="125">
        <f t="shared" si="33"/>
        <v>998.14377711288819</v>
      </c>
      <c r="AC121" s="125">
        <f>IF($D121="","",IF(SUMPRODUCT(MAX(($D$4:$D$311=$D121)*($B$4:$B$311&lt;$B121)*$B$4:$B$311))=0,0,MAX(($B121-SUMPRODUCT(MAX(($D$4:$D$311=$D121)*($B$4:$B$311&lt;$B121)*$B$4:$B$311)))/7-'Guide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Settings'!$C$42/(($F122-1)*COUNTIFS($A$4:$A$311,$A122,$E$4:$E$311,"Win")))*SUMIFS($X$4:$X$311,$A$4:$A$311,$A122,$E$4:$E$311,"Loss"),-('Guide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Settings'!$C$42/(($F122-1)*COUNTIFS($A$4:$A$311,$A122,$E$4:$E$311,"Win")))*SUMIFS($Z$4:$Z$311,$A$4:$A$311,$A122,$E$4:$E$311,"Loss"),-('Guide &amp; Settings'!$C$42/($F122-1))*$Z122)))</f>
        <v>16</v>
      </c>
      <c r="AB122" s="125">
        <f t="shared" si="33"/>
        <v>1016</v>
      </c>
      <c r="AC122" s="125">
        <f>IF($D122="","",IF(SUMPRODUCT(MAX(($D$4:$D$311=$D122)*($B$4:$B$311&lt;$B122)*$B$4:$B$311))=0,0,MAX(($B122-SUMPRODUCT(MAX(($D$4:$D$311=$D122)*($B$4:$B$311&lt;$B122)*$B$4:$B$311)))/7-'Guide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Settings'!$C$42/(($F123-1)*COUNTIFS($A$4:$A$311,$A123,$E$4:$E$311,"Win")))*SUMIFS($X$4:$X$311,$A$4:$A$311,$A123,$E$4:$E$311,"Loss"),-('Guide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Settings'!$C$42/(($F123-1)*COUNTIFS($A$4:$A$311,$A123,$E$4:$E$311,"Win")))*SUMIFS($Z$4:$Z$311,$A$4:$A$311,$A123,$E$4:$E$311,"Loss"),-('Guide &amp; Settings'!$C$42/($F123-1))*$Z123)))</f>
        <v>-16</v>
      </c>
      <c r="AB123" s="125">
        <f t="shared" si="33"/>
        <v>984</v>
      </c>
      <c r="AC123" s="125">
        <f>IF($D123="","",IF(SUMPRODUCT(MAX(($D$4:$D$311=$D123)*($B$4:$B$311&lt;$B123)*$B$4:$B$311))=0,0,MAX(($B123-SUMPRODUCT(MAX(($D$4:$D$311=$D123)*($B$4:$B$311&lt;$B123)*$B$4:$B$311)))/7-'Guide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Settings'!$C$42/(($F124-1)*COUNTIFS($A$4:$A$311,$A124,$E$4:$E$311,"Win")))*SUMIFS($X$4:$X$311,$A$4:$A$311,$A124,$E$4:$E$311,"Loss"),-('Guide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Settings'!$C$42/(($F124-1)*COUNTIFS($A$4:$A$311,$A124,$E$4:$E$311,"Win")))*SUMIFS($Z$4:$Z$311,$A$4:$A$311,$A124,$E$4:$E$311,"Loss"),-('Guide &amp; Settings'!$C$42/($F124-1))*$Z124)))</f>
        <v>16</v>
      </c>
      <c r="AB124" s="125">
        <f t="shared" si="33"/>
        <v>1016</v>
      </c>
      <c r="AC124" s="125">
        <f>IF($D124="","",IF(SUMPRODUCT(MAX(($D$4:$D$311=$D124)*($B$4:$B$311&lt;$B124)*$B$4:$B$311))=0,0,MAX(($B124-SUMPRODUCT(MAX(($D$4:$D$311=$D124)*($B$4:$B$311&lt;$B124)*$B$4:$B$311)))/7-'Guide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Settings'!$C$42/(($F125-1)*COUNTIFS($A$4:$A$311,$A125,$E$4:$E$311,"Win")))*SUMIFS($X$4:$X$311,$A$4:$A$311,$A125,$E$4:$E$311,"Loss"),-('Guide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Settings'!$C$42/(($F125-1)*COUNTIFS($A$4:$A$311,$A125,$E$4:$E$311,"Win")))*SUMIFS($Z$4:$Z$311,$A$4:$A$311,$A125,$E$4:$E$311,"Loss"),-('Guide &amp; Settings'!$C$42/($F125-1))*$Z125)))</f>
        <v>-16</v>
      </c>
      <c r="AB125" s="125">
        <f t="shared" si="33"/>
        <v>984</v>
      </c>
      <c r="AC125" s="125">
        <f>IF($D125="","",IF(SUMPRODUCT(MAX(($D$4:$D$311=$D125)*($B$4:$B$311&lt;$B125)*$B$4:$B$311))=0,0,MAX(($B125-SUMPRODUCT(MAX(($D$4:$D$311=$D125)*($B$4:$B$311&lt;$B125)*$B$4:$B$311)))/7-'Guide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Settings'!$C$42/(($F126-1)*COUNTIFS($A$4:$A$311,$A126,$E$4:$E$311,"Win")))*SUMIFS($X$4:$X$311,$A$4:$A$311,$A126,$E$4:$E$311,"Loss"),-('Guide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Settings'!$C$42/(($F126-1)*COUNTIFS($A$4:$A$311,$A126,$E$4:$E$311,"Win")))*SUMIFS($Z$4:$Z$311,$A$4:$A$311,$A126,$E$4:$E$311,"Loss"),-('Guide &amp; Settings'!$C$42/($F126-1))*$Z126)))</f>
        <v>16</v>
      </c>
      <c r="AB126" s="125">
        <f t="shared" si="33"/>
        <v>1016</v>
      </c>
      <c r="AC126" s="125">
        <f>IF($D126="","",IF(SUMPRODUCT(MAX(($D$4:$D$311=$D126)*($B$4:$B$311&lt;$B126)*$B$4:$B$311))=0,0,MAX(($B126-SUMPRODUCT(MAX(($D$4:$D$311=$D126)*($B$4:$B$311&lt;$B126)*$B$4:$B$311)))/7-'Guide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Settings'!$C$42/(($F127-1)*COUNTIFS($A$4:$A$311,$A127,$E$4:$E$311,"Win")))*SUMIFS($X$4:$X$311,$A$4:$A$311,$A127,$E$4:$E$311,"Loss"),-('Guide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Settings'!$C$42/(($F127-1)*COUNTIFS($A$4:$A$311,$A127,$E$4:$E$311,"Win")))*SUMIFS($Z$4:$Z$311,$A$4:$A$311,$A127,$E$4:$E$311,"Loss"),-('Guide &amp; Settings'!$C$42/($F127-1))*$Z127)))</f>
        <v>-16</v>
      </c>
      <c r="AB127" s="125">
        <f t="shared" si="33"/>
        <v>984</v>
      </c>
      <c r="AC127" s="125">
        <f>IF($D127="","",IF(SUMPRODUCT(MAX(($D$4:$D$311=$D127)*($B$4:$B$311&lt;$B127)*$B$4:$B$311))=0,0,MAX(($B127-SUMPRODUCT(MAX(($D$4:$D$311=$D127)*($B$4:$B$311&lt;$B127)*$B$4:$B$311)))/7-'Guide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Settings'!$C$42/(($F128-1)*COUNTIFS($A$4:$A$311,$A128,$E$4:$E$311,"Win")))*SUMIFS($X$4:$X$311,$A$4:$A$311,$A128,$E$4:$E$311,"Loss"),-('Guide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Settings'!$C$42/(($F128-1)*COUNTIFS($A$4:$A$311,$A128,$E$4:$E$311,"Win")))*SUMIFS($Z$4:$Z$311,$A$4:$A$311,$A128,$E$4:$E$311,"Loss"),-('Guide &amp; Settings'!$C$42/($F128-1))*$Z128)))</f>
        <v>15.263693206478006</v>
      </c>
      <c r="AB128" s="125">
        <f t="shared" si="33"/>
        <v>1015.263693206478</v>
      </c>
      <c r="AC128" s="125">
        <f>IF($D128="","",IF(SUMPRODUCT(MAX(($D$4:$D$311=$D128)*($B$4:$B$311&lt;$B128)*$B$4:$B$311))=0,0,MAX(($B128-SUMPRODUCT(MAX(($D$4:$D$311=$D128)*($B$4:$B$311&lt;$B128)*$B$4:$B$311)))/7-'Guide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Settings'!$C$42/(($F129-1)*COUNTIFS($A$4:$A$311,$A129,$E$4:$E$311,"Win")))*SUMIFS($X$4:$X$311,$A$4:$A$311,$A129,$E$4:$E$311,"Loss"),-('Guide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Settings'!$C$42/(($F129-1)*COUNTIFS($A$4:$A$311,$A129,$E$4:$E$311,"Win")))*SUMIFS($Z$4:$Z$311,$A$4:$A$311,$A129,$E$4:$E$311,"Loss"),-('Guide &amp; Settings'!$C$42/($F129-1))*$Z129)))</f>
        <v>-15.263693206478006</v>
      </c>
      <c r="AB129" s="125">
        <f t="shared" si="33"/>
        <v>968.73630679352198</v>
      </c>
      <c r="AC129" s="125">
        <f>IF($D129="","",IF(SUMPRODUCT(MAX(($D$4:$D$311=$D129)*($B$4:$B$311&lt;$B129)*$B$4:$B$311))=0,0,MAX(($B129-SUMPRODUCT(MAX(($D$4:$D$311=$D129)*($B$4:$B$311&lt;$B129)*$B$4:$B$311)))/7-'Guide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Settings'!$C$42/(($F130-1)*COUNTIFS($A$4:$A$311,$A130,$E$4:$E$311,"Win")))*SUMIFS($X$4:$X$311,$A$4:$A$311,$A130,$E$4:$E$311,"Loss"),-('Guide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Settings'!$C$42/(($F130-1)*COUNTIFS($A$4:$A$311,$A130,$E$4:$E$311,"Win")))*SUMIFS($Z$4:$Z$311,$A$4:$A$311,$A130,$E$4:$E$311,"Loss"),-('Guide &amp; Settings'!$C$42/($F130-1))*$Z130)))</f>
        <v>16</v>
      </c>
      <c r="AB130" s="125">
        <f t="shared" si="33"/>
        <v>1016</v>
      </c>
      <c r="AC130" s="125">
        <f>IF($D130="","",IF(SUMPRODUCT(MAX(($D$4:$D$311=$D130)*($B$4:$B$311&lt;$B130)*$B$4:$B$311))=0,0,MAX(($B130-SUMPRODUCT(MAX(($D$4:$D$311=$D130)*($B$4:$B$311&lt;$B130)*$B$4:$B$311)))/7-'Guide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Settings'!$C$42/(($F131-1)*COUNTIFS($A$4:$A$311,$A131,$E$4:$E$311,"Win")))*SUMIFS($X$4:$X$311,$A$4:$A$311,$A131,$E$4:$E$311,"Loss"),-('Guide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Settings'!$C$42/(($F131-1)*COUNTIFS($A$4:$A$311,$A131,$E$4:$E$311,"Win")))*SUMIFS($Z$4:$Z$311,$A$4:$A$311,$A131,$E$4:$E$311,"Loss"),-('Guide &amp; Settings'!$C$42/($F131-1))*$Z131)))</f>
        <v>-16</v>
      </c>
      <c r="AB131" s="125">
        <f t="shared" si="33"/>
        <v>984</v>
      </c>
      <c r="AC131" s="125">
        <f>IF($D131="","",IF(SUMPRODUCT(MAX(($D$4:$D$311=$D131)*($B$4:$B$311&lt;$B131)*$B$4:$B$311))=0,0,MAX(($B131-SUMPRODUCT(MAX(($D$4:$D$311=$D131)*($B$4:$B$311&lt;$B131)*$B$4:$B$311)))/7-'Guide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IF($D132="",0,COUNTIF($A$4:$A$311,$A132))</f>
        <v>2</v>
      </c>
      <c r="G132" s="120" t="str">
        <f t="shared" ref="G132:G195" si="35">IF($D132="","",IFERROR(LOOKUP(2,1/(($A$4:$A$311=$A132)*($E$4:$E$311="Win")),$D$4:$D$311),"(no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Settings'!$C$42/(($F132-1)*COUNTIFS($A$4:$A$311,$A132,$E$4:$E$311,"Win")))*SUMIFS($X$4:$X$311,$A$4:$A$311,$A132,$E$4:$E$311,"Loss"),-('Guide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IF($D132="","",IF(COUNTIFS($A$4:$A$311,$A132,$E$4:$E$311,"Win")=0,"need a winner",IF(COUNTIFS($A$4:$A$311,$A132,$E$4:$E$311,"Loss")=0,"need a loser",IF(COUNTIFS($A$4:$A$311,$A132,$D$4:$D$311,$D132)&gt;1,"duplicate player","OK"))))</f>
        <v>OK</v>
      </c>
      <c r="P132">
        <f t="shared" ref="P132:P195" si="40">IF($D132="",0,IFERROR(SUMIFS($H$4:$H$311,$A$4:$A$311,$A132,$E$4:$E$311,"Win")/COUNTIFS($A$4:$A$311,$A132,$E$4:$E$311,"Win"),0))</f>
        <v>987.03899737278562</v>
      </c>
      <c r="Q132">
        <f t="shared" ref="Q132:Q195" si="41">IF($D132="",0,1/(1+10^(($P132-$H132)/400)))</f>
        <v>0.5</v>
      </c>
      <c r="R132">
        <f t="shared" ref="R132:R195" si="42">IF($D132="",0,(COUNTIFS($D$4:$D$311,$D132,$C$4:$C$311,$C132,$E$4:$E$311,"Win",$A$4:$A$311,"&lt;"&amp;$A132)+1)/(COUNTIFS($D$4:$D$311,$D132,$C$4:$C$311,$C132,$A$4:$A$311,"&lt;"&amp;$A132)+2))</f>
        <v>0.5</v>
      </c>
      <c r="S132">
        <f t="shared" ref="S132:S195" si="43">IF($D132="",0,SUMIFS($R$4:$R$311,$A$4:$A$311,$A132))</f>
        <v>1.1666666666666665</v>
      </c>
      <c r="T132" s="88">
        <f t="shared" ref="T132:T195" si="44">IF($D132="",0,COUNTIFS($D$4:$D$311,$D132,$C$4:$C$311,$C132,$A$4:$A$311,"&lt;"&amp;$A132))</f>
        <v>0</v>
      </c>
      <c r="U132" s="125">
        <f>IF($D132="",0,IFERROR(LOOKUP(2,1/(($D$3:D131=$D132)*($C$3:C131=$C132)*($A$3:A131&lt;$A132)),$AB$3:AB131),1000))</f>
        <v>1000</v>
      </c>
      <c r="V132" s="125">
        <f t="shared" ref="V132:V195" si="45">IF($D132="",0,$U132*($T132/($T132+5))+$H132*(1-$T132/($T132+5)))</f>
        <v>987.03899737278562</v>
      </c>
      <c r="W132">
        <f t="shared" ref="W132:W195" si="46">IF($D132="",0,IFERROR(SUMIFS($V$4:$V$311,$A$4:$A$311,$A132,$E$4:$E$311,"Win")/COUNTIFS($A$4:$A$311,$A132,$E$4:$E$311,"Win"),0))</f>
        <v>987.03899737278562</v>
      </c>
      <c r="X132">
        <f t="shared" ref="X132:X195" si="47">IF($D132="",0,1/(1+10^(($W132-$V132)/400)))</f>
        <v>0.5</v>
      </c>
      <c r="Y132">
        <f t="shared" ref="Y132:Y195" si="48">IF($D132="",0,IFERROR(SUMIFS($U$4:$U$311,$A$4:$A$311,$A132,$E$4:$E$311,"Win")/COUNTIFS($A$4:$A$311,$A132,$E$4:$E$311,"Win"),0))</f>
        <v>1000</v>
      </c>
      <c r="Z132">
        <f t="shared" ref="Z132:Z195" si="49">IF($D132="",0,1/(1+10^(($Y132-$U132)/400)))</f>
        <v>0.5</v>
      </c>
      <c r="AA132">
        <f>IF($D132="",0,IF($F132&lt;2,0,IF($E132="Win",('Guide &amp; Settings'!$C$42/(($F132-1)*COUNTIFS($A$4:$A$311,$A132,$E$4:$E$311,"Win")))*SUMIFS($Z$4:$Z$311,$A$4:$A$311,$A132,$E$4:$E$311,"Loss"),-('Guide &amp; Settings'!$C$42/($F132-1))*$Z132)))</f>
        <v>16.736306793521994</v>
      </c>
      <c r="AB132" s="125">
        <f t="shared" ref="AB132:AB195" si="50">IF($D132="",0,$U132+$AA132)</f>
        <v>1016.736306793522</v>
      </c>
      <c r="AC132" s="125">
        <f>IF($D132="","",IF(SUMPRODUCT(MAX(($D$4:$D$311=$D132)*($B$4:$B$311&lt;$B132)*$B$4:$B$311))=0,0,MAX(($B132-SUMPRODUCT(MAX(($D$4:$D$311=$D132)*($B$4:$B$311&lt;$B132)*$B$4:$B$311)))/7-'Guide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Settings'!$C$42/(($F133-1)*COUNTIFS($A$4:$A$311,$A133,$E$4:$E$311,"Win")))*SUMIFS($X$4:$X$311,$A$4:$A$311,$A133,$E$4:$E$311,"Loss"),-('Guide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Settings'!$C$42/(($F133-1)*COUNTIFS($A$4:$A$311,$A133,$E$4:$E$311,"Win")))*SUMIFS($Z$4:$Z$311,$A$4:$A$311,$A133,$E$4:$E$311,"Loss"),-('Guide &amp; Settings'!$C$42/($F133-1))*$Z133)))</f>
        <v>-16.736306793521994</v>
      </c>
      <c r="AB133" s="125">
        <f t="shared" si="50"/>
        <v>999.26369320647802</v>
      </c>
      <c r="AC133" s="125">
        <f>IF($D133="","",IF(SUMPRODUCT(MAX(($D$4:$D$311=$D133)*($B$4:$B$311&lt;$B133)*$B$4:$B$311))=0,0,MAX(($B133-SUMPRODUCT(MAX(($D$4:$D$311=$D133)*($B$4:$B$311&lt;$B133)*$B$4:$B$311)))/7-'Guide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Settings'!$C$42/(($F134-1)*COUNTIFS($A$4:$A$311,$A134,$E$4:$E$311,"Win")))*SUMIFS($X$4:$X$311,$A$4:$A$311,$A134,$E$4:$E$311,"Loss"),-('Guide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Settings'!$C$42/(($F134-1)*COUNTIFS($A$4:$A$311,$A134,$E$4:$E$311,"Win")))*SUMIFS($Z$4:$Z$311,$A$4:$A$311,$A134,$E$4:$E$311,"Loss"),-('Guide &amp; Settings'!$C$42/($F134-1))*$Z134)))</f>
        <v>16</v>
      </c>
      <c r="AB134" s="125">
        <f t="shared" si="50"/>
        <v>1032</v>
      </c>
      <c r="AC134" s="125">
        <f>IF($D134="","",IF(SUMPRODUCT(MAX(($D$4:$D$311=$D134)*($B$4:$B$311&lt;$B134)*$B$4:$B$311))=0,0,MAX(($B134-SUMPRODUCT(MAX(($D$4:$D$311=$D134)*($B$4:$B$311&lt;$B134)*$B$4:$B$311)))/7-'Guide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Settings'!$C$42/(($F135-1)*COUNTIFS($A$4:$A$311,$A135,$E$4:$E$311,"Win")))*SUMIFS($X$4:$X$311,$A$4:$A$311,$A135,$E$4:$E$311,"Loss"),-('Guide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Settings'!$C$42/(($F135-1)*COUNTIFS($A$4:$A$311,$A135,$E$4:$E$311,"Win")))*SUMIFS($Z$4:$Z$311,$A$4:$A$311,$A135,$E$4:$E$311,"Loss"),-('Guide &amp; Settings'!$C$42/($F135-1))*$Z135)))</f>
        <v>-16</v>
      </c>
      <c r="AB135" s="125">
        <f t="shared" si="50"/>
        <v>1000</v>
      </c>
      <c r="AC135" s="125">
        <f>IF($D135="","",IF(SUMPRODUCT(MAX(($D$4:$D$311=$D135)*($B$4:$B$311&lt;$B135)*$B$4:$B$311))=0,0,MAX(($B135-SUMPRODUCT(MAX(($D$4:$D$311=$D135)*($B$4:$B$311&lt;$B135)*$B$4:$B$311)))/7-'Guide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Settings'!$C$42/(($F136-1)*COUNTIFS($A$4:$A$311,$A136,$E$4:$E$311,"Win")))*SUMIFS($X$4:$X$311,$A$4:$A$311,$A136,$E$4:$E$311,"Loss"),-('Guide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Settings'!$C$42/(($F136-1)*COUNTIFS($A$4:$A$311,$A136,$E$4:$E$311,"Win")))*SUMIFS($Z$4:$Z$311,$A$4:$A$311,$A136,$E$4:$E$311,"Loss"),-('Guide &amp; Settings'!$C$42/($F136-1))*$Z136)))</f>
        <v>16.067815955759624</v>
      </c>
      <c r="AB136" s="125">
        <f t="shared" si="50"/>
        <v>1031.3315091622376</v>
      </c>
      <c r="AC136" s="125">
        <f>IF($D136="","",IF(SUMPRODUCT(MAX(($D$4:$D$311=$D136)*($B$4:$B$311&lt;$B136)*$B$4:$B$311))=0,0,MAX(($B136-SUMPRODUCT(MAX(($D$4:$D$311=$D136)*($B$4:$B$311&lt;$B136)*$B$4:$B$311)))/7-'Guide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Settings'!$C$42/(($F137-1)*COUNTIFS($A$4:$A$311,$A137,$E$4:$E$311,"Win")))*SUMIFS($X$4:$X$311,$A$4:$A$311,$A137,$E$4:$E$311,"Loss"),-('Guide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Settings'!$C$42/(($F137-1)*COUNTIFS($A$4:$A$311,$A137,$E$4:$E$311,"Win")))*SUMIFS($Z$4:$Z$311,$A$4:$A$311,$A137,$E$4:$E$311,"Loss"),-('Guide &amp; Settings'!$C$42/($F137-1))*$Z137)))</f>
        <v>-16.067815955759624</v>
      </c>
      <c r="AB137" s="125">
        <f t="shared" si="50"/>
        <v>1000.6684908377623</v>
      </c>
      <c r="AC137" s="125">
        <f>IF($D137="","",IF(SUMPRODUCT(MAX(($D$4:$D$311=$D137)*($B$4:$B$311&lt;$B137)*$B$4:$B$311))=0,0,MAX(($B137-SUMPRODUCT(MAX(($D$4:$D$311=$D137)*($B$4:$B$311&lt;$B137)*$B$4:$B$311)))/7-'Guide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Settings'!$C$42/(($F138-1)*COUNTIFS($A$4:$A$311,$A138,$E$4:$E$311,"Win")))*SUMIFS($X$4:$X$311,$A$4:$A$311,$A138,$E$4:$E$311,"Loss"),-('Guide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Settings'!$C$42/(($F138-1)*COUNTIFS($A$4:$A$311,$A138,$E$4:$E$311,"Win")))*SUMIFS($Z$4:$Z$311,$A$4:$A$311,$A138,$E$4:$E$311,"Loss"),-('Guide &amp; Settings'!$C$42/($F138-1))*$Z138)))</f>
        <v>15.263693206478006</v>
      </c>
      <c r="AB138" s="125">
        <f t="shared" si="50"/>
        <v>1015.263693206478</v>
      </c>
      <c r="AC138" s="125">
        <f>IF($D138="","",IF(SUMPRODUCT(MAX(($D$4:$D$311=$D138)*($B$4:$B$311&lt;$B138)*$B$4:$B$311))=0,0,MAX(($B138-SUMPRODUCT(MAX(($D$4:$D$311=$D138)*($B$4:$B$311&lt;$B138)*$B$4:$B$311)))/7-'Guide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Settings'!$C$42/(($F139-1)*COUNTIFS($A$4:$A$311,$A139,$E$4:$E$311,"Win")))*SUMIFS($X$4:$X$311,$A$4:$A$311,$A139,$E$4:$E$311,"Loss"),-('Guide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Settings'!$C$42/(($F139-1)*COUNTIFS($A$4:$A$311,$A139,$E$4:$E$311,"Win")))*SUMIFS($Z$4:$Z$311,$A$4:$A$311,$A139,$E$4:$E$311,"Loss"),-('Guide &amp; Settings'!$C$42/($F139-1))*$Z139)))</f>
        <v>-15.263693206478006</v>
      </c>
      <c r="AB139" s="125">
        <f t="shared" si="50"/>
        <v>968.73630679352198</v>
      </c>
      <c r="AC139" s="125">
        <f>IF($D139="","",IF(SUMPRODUCT(MAX(($D$4:$D$311=$D139)*($B$4:$B$311&lt;$B139)*$B$4:$B$311))=0,0,MAX(($B139-SUMPRODUCT(MAX(($D$4:$D$311=$D139)*($B$4:$B$311&lt;$B139)*$B$4:$B$311)))/7-'Guide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Settings'!$C$42/(($F140-1)*COUNTIFS($A$4:$A$311,$A140,$E$4:$E$311,"Win")))*SUMIFS($X$4:$X$311,$A$4:$A$311,$A140,$E$4:$E$311,"Loss"),-('Guide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Settings'!$C$42/(($F140-1)*COUNTIFS($A$4:$A$311,$A140,$E$4:$E$311,"Win")))*SUMIFS($Z$4:$Z$311,$A$4:$A$311,$A140,$E$4:$E$311,"Loss"),-('Guide &amp; Settings'!$C$42/($F140-1))*$Z140)))</f>
        <v>17.466404777079056</v>
      </c>
      <c r="AB140" s="125">
        <f t="shared" si="50"/>
        <v>986.20271157060108</v>
      </c>
      <c r="AC140" s="125">
        <f>IF($D140="","",IF(SUMPRODUCT(MAX(($D$4:$D$311=$D140)*($B$4:$B$311&lt;$B140)*$B$4:$B$311))=0,0,MAX(($B140-SUMPRODUCT(MAX(($D$4:$D$311=$D140)*($B$4:$B$311&lt;$B140)*$B$4:$B$311)))/7-'Guide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Settings'!$C$42/(($F141-1)*COUNTIFS($A$4:$A$311,$A141,$E$4:$E$311,"Win")))*SUMIFS($X$4:$X$311,$A$4:$A$311,$A141,$E$4:$E$311,"Loss"),-('Guide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Settings'!$C$42/(($F141-1)*COUNTIFS($A$4:$A$311,$A141,$E$4:$E$311,"Win")))*SUMIFS($Z$4:$Z$311,$A$4:$A$311,$A141,$E$4:$E$311,"Loss"),-('Guide &amp; Settings'!$C$42/($F141-1))*$Z141)))</f>
        <v>-17.466404777079056</v>
      </c>
      <c r="AB141" s="125">
        <f t="shared" si="50"/>
        <v>983.2020860606832</v>
      </c>
      <c r="AC141" s="125">
        <f>IF($D141="","",IF(SUMPRODUCT(MAX(($D$4:$D$311=$D141)*($B$4:$B$311&lt;$B141)*$B$4:$B$311))=0,0,MAX(($B141-SUMPRODUCT(MAX(($D$4:$D$311=$D141)*($B$4:$B$311&lt;$B141)*$B$4:$B$311)))/7-'Guide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Settings'!$C$42/(($F142-1)*COUNTIFS($A$4:$A$311,$A142,$E$4:$E$311,"Win")))*SUMIFS($X$4:$X$311,$A$4:$A$311,$A142,$E$4:$E$311,"Loss"),-('Guide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Settings'!$C$42/(($F142-1)*COUNTIFS($A$4:$A$311,$A142,$E$4:$E$311,"Win")))*SUMIFS($Z$4:$Z$311,$A$4:$A$311,$A142,$E$4:$E$311,"Loss"),-('Guide &amp; Settings'!$C$42/($F142-1))*$Z142)))</f>
        <v>13.797627933361934</v>
      </c>
      <c r="AB142" s="125">
        <f t="shared" si="50"/>
        <v>1045.1291370955996</v>
      </c>
      <c r="AC142" s="125">
        <f>IF($D142="","",IF(SUMPRODUCT(MAX(($D$4:$D$311=$D142)*($B$4:$B$311&lt;$B142)*$B$4:$B$311))=0,0,MAX(($B142-SUMPRODUCT(MAX(($D$4:$D$311=$D142)*($B$4:$B$311&lt;$B142)*$B$4:$B$311)))/7-'Guide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Settings'!$C$42/(($F143-1)*COUNTIFS($A$4:$A$311,$A143,$E$4:$E$311,"Win")))*SUMIFS($X$4:$X$311,$A$4:$A$311,$A143,$E$4:$E$311,"Loss"),-('Guide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Settings'!$C$42/(($F143-1)*COUNTIFS($A$4:$A$311,$A143,$E$4:$E$311,"Win")))*SUMIFS($Z$4:$Z$311,$A$4:$A$311,$A143,$E$4:$E$311,"Loss"),-('Guide &amp; Settings'!$C$42/($F143-1))*$Z143)))</f>
        <v>-13.797627933361934</v>
      </c>
      <c r="AB143" s="125">
        <f t="shared" si="50"/>
        <v>969.40445812732128</v>
      </c>
      <c r="AC143" s="125">
        <f>IF($D143="","",IF(SUMPRODUCT(MAX(($D$4:$D$311=$D143)*($B$4:$B$311&lt;$B143)*$B$4:$B$311))=0,0,MAX(($B143-SUMPRODUCT(MAX(($D$4:$D$311=$D143)*($B$4:$B$311&lt;$B143)*$B$4:$B$311)))/7-'Guide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Settings'!$C$42/(($F144-1)*COUNTIFS($A$4:$A$311,$A144,$E$4:$E$311,"Win")))*SUMIFS($X$4:$X$311,$A$4:$A$311,$A144,$E$4:$E$311,"Loss"),-('Guide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Settings'!$C$42/(($F144-1)*COUNTIFS($A$4:$A$311,$A144,$E$4:$E$311,"Win")))*SUMIFS($Z$4:$Z$311,$A$4:$A$311,$A144,$E$4:$E$311,"Loss"),-('Guide &amp; Settings'!$C$42/($F144-1))*$Z144)))</f>
        <v>15.227014070577207</v>
      </c>
      <c r="AB144" s="125">
        <f t="shared" si="50"/>
        <v>1001.4297256411783</v>
      </c>
      <c r="AC144" s="125">
        <f>IF($D144="","",IF(SUMPRODUCT(MAX(($D$4:$D$311=$D144)*($B$4:$B$311&lt;$B144)*$B$4:$B$311))=0,0,MAX(($B144-SUMPRODUCT(MAX(($D$4:$D$311=$D144)*($B$4:$B$311&lt;$B144)*$B$4:$B$311)))/7-'Guide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Settings'!$C$42/(($F145-1)*COUNTIFS($A$4:$A$311,$A145,$E$4:$E$311,"Win")))*SUMIFS($X$4:$X$311,$A$4:$A$311,$A145,$E$4:$E$311,"Loss"),-('Guide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Settings'!$C$42/(($F145-1)*COUNTIFS($A$4:$A$311,$A145,$E$4:$E$311,"Win")))*SUMIFS($Z$4:$Z$311,$A$4:$A$311,$A145,$E$4:$E$311,"Loss"),-('Guide &amp; Settings'!$C$42/($F145-1))*$Z145)))</f>
        <v>-15.227014070577207</v>
      </c>
      <c r="AB145" s="125">
        <f t="shared" si="50"/>
        <v>954.17744405674409</v>
      </c>
      <c r="AC145" s="125">
        <f>IF($D145="","",IF(SUMPRODUCT(MAX(($D$4:$D$311=$D145)*($B$4:$B$311&lt;$B145)*$B$4:$B$311))=0,0,MAX(($B145-SUMPRODUCT(MAX(($D$4:$D$311=$D145)*($B$4:$B$311&lt;$B145)*$B$4:$B$311)))/7-'Guide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Settings'!$C$42/(($F146-1)*COUNTIFS($A$4:$A$311,$A146,$E$4:$E$311,"Win")))*SUMIFS($X$4:$X$311,$A$4:$A$311,$A146,$E$4:$E$311,"Loss"),-('Guide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Settings'!$C$42/(($F146-1)*COUNTIFS($A$4:$A$311,$A146,$E$4:$E$311,"Win")))*SUMIFS($Z$4:$Z$311,$A$4:$A$311,$A146,$E$4:$E$311,"Loss"),-('Guide &amp; Settings'!$C$42/($F146-1))*$Z146)))</f>
        <v>13.998113137409879</v>
      </c>
      <c r="AB146" s="125">
        <f t="shared" si="50"/>
        <v>1059.1272502330096</v>
      </c>
      <c r="AC146" s="125">
        <f>IF($D146="","",IF(SUMPRODUCT(MAX(($D$4:$D$311=$D146)*($B$4:$B$311&lt;$B146)*$B$4:$B$311))=0,0,MAX(($B146-SUMPRODUCT(MAX(($D$4:$D$311=$D146)*($B$4:$B$311&lt;$B146)*$B$4:$B$311)))/7-'Guide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Settings'!$C$42/(($F147-1)*COUNTIFS($A$4:$A$311,$A147,$E$4:$E$311,"Win")))*SUMIFS($X$4:$X$311,$A$4:$A$311,$A147,$E$4:$E$311,"Loss"),-('Guide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Settings'!$C$42/(($F147-1)*COUNTIFS($A$4:$A$311,$A147,$E$4:$E$311,"Win")))*SUMIFS($Z$4:$Z$311,$A$4:$A$311,$A147,$E$4:$E$311,"Loss"),-('Guide &amp; Settings'!$C$42/($F147-1))*$Z147)))</f>
        <v>-13.998113137409879</v>
      </c>
      <c r="AB147" s="125">
        <f t="shared" si="50"/>
        <v>987.43161250376841</v>
      </c>
      <c r="AC147" s="125">
        <f>IF($D147="","",IF(SUMPRODUCT(MAX(($D$4:$D$311=$D147)*($B$4:$B$311&lt;$B147)*$B$4:$B$311))=0,0,MAX(($B147-SUMPRODUCT(MAX(($D$4:$D$311=$D147)*($B$4:$B$311&lt;$B147)*$B$4:$B$311)))/7-'Guide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Settings'!$C$42/(($F148-1)*COUNTIFS($A$4:$A$311,$A148,$E$4:$E$311,"Win")))*SUMIFS($X$4:$X$311,$A$4:$A$311,$A148,$E$4:$E$311,"Loss"),-('Guide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Settings'!$C$42/(($F148-1)*COUNTIFS($A$4:$A$311,$A148,$E$4:$E$311,"Win")))*SUMIFS($Z$4:$Z$311,$A$4:$A$311,$A148,$E$4:$E$311,"Loss"),-('Guide &amp; Settings'!$C$42/($F148-1))*$Z148)))</f>
        <v>5.583216429050422</v>
      </c>
      <c r="AB148" s="125">
        <f t="shared" si="50"/>
        <v>1004.8469096355284</v>
      </c>
      <c r="AC148" s="125">
        <f>IF($D148="","",IF(SUMPRODUCT(MAX(($D$4:$D$311=$D148)*($B$4:$B$311&lt;$B148)*$B$4:$B$311))=0,0,MAX(($B148-SUMPRODUCT(MAX(($D$4:$D$311=$D148)*($B$4:$B$311&lt;$B148)*$B$4:$B$311)))/7-'Guide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Settings'!$C$42/(($F149-1)*COUNTIFS($A$4:$A$311,$A149,$E$4:$E$311,"Win")))*SUMIFS($X$4:$X$311,$A$4:$A$311,$A149,$E$4:$E$311,"Loss"),-('Guide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Settings'!$C$42/(($F149-1)*COUNTIFS($A$4:$A$311,$A149,$E$4:$E$311,"Win")))*SUMIFS($Z$4:$Z$311,$A$4:$A$311,$A149,$E$4:$E$311,"Loss"),-('Guide &amp; Settings'!$C$42/($F149-1))*$Z149)))</f>
        <v>5.583216429050422</v>
      </c>
      <c r="AB149" s="125">
        <f t="shared" si="50"/>
        <v>989.58321642905037</v>
      </c>
      <c r="AC149" s="125">
        <f>IF($D149="","",IF(SUMPRODUCT(MAX(($D$4:$D$311=$D149)*($B$4:$B$311&lt;$B149)*$B$4:$B$311))=0,0,MAX(($B149-SUMPRODUCT(MAX(($D$4:$D$311=$D149)*($B$4:$B$311&lt;$B149)*$B$4:$B$311)))/7-'Guide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Settings'!$C$42/(($F150-1)*COUNTIFS($A$4:$A$311,$A150,$E$4:$E$311,"Win")))*SUMIFS($X$4:$X$311,$A$4:$A$311,$A150,$E$4:$E$311,"Loss"),-('Guide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Settings'!$C$42/(($F150-1)*COUNTIFS($A$4:$A$311,$A150,$E$4:$E$311,"Win")))*SUMIFS($Z$4:$Z$311,$A$4:$A$311,$A150,$E$4:$E$311,"Loss"),-('Guide &amp; Settings'!$C$42/($F150-1))*$Z150)))</f>
        <v>-5.9502338604929257</v>
      </c>
      <c r="AB150" s="125">
        <f t="shared" si="50"/>
        <v>1026.049766139507</v>
      </c>
      <c r="AC150" s="125">
        <f>IF($D150="","",IF(SUMPRODUCT(MAX(($D$4:$D$311=$D150)*($B$4:$B$311&lt;$B150)*$B$4:$B$311))=0,0,MAX(($B150-SUMPRODUCT(MAX(($D$4:$D$311=$D150)*($B$4:$B$311&lt;$B150)*$B$4:$B$311)))/7-'Guide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Settings'!$C$42/(($F151-1)*COUNTIFS($A$4:$A$311,$A151,$E$4:$E$311,"Win")))*SUMIFS($X$4:$X$311,$A$4:$A$311,$A151,$E$4:$E$311,"Loss"),-('Guide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Settings'!$C$42/(($F151-1)*COUNTIFS($A$4:$A$311,$A151,$E$4:$E$311,"Win")))*SUMIFS($Z$4:$Z$311,$A$4:$A$311,$A151,$E$4:$E$311,"Loss"),-('Guide &amp; Settings'!$C$42/($F151-1))*$Z151)))</f>
        <v>-5.2161989976079202</v>
      </c>
      <c r="AB151" s="125">
        <f t="shared" si="50"/>
        <v>978.78380100239212</v>
      </c>
      <c r="AC151" s="125">
        <f>IF($D151="","",IF(SUMPRODUCT(MAX(($D$4:$D$311=$D151)*($B$4:$B$311&lt;$B151)*$B$4:$B$311))=0,0,MAX(($B151-SUMPRODUCT(MAX(($D$4:$D$311=$D151)*($B$4:$B$311&lt;$B151)*$B$4:$B$311)))/7-'Guide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Settings'!$C$42/(($F152-1)*COUNTIFS($A$4:$A$311,$A152,$E$4:$E$311,"Win")))*SUMIFS($X$4:$X$311,$A$4:$A$311,$A152,$E$4:$E$311,"Loss"),-('Guide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Settings'!$C$42/(($F152-1)*COUNTIFS($A$4:$A$311,$A152,$E$4:$E$311,"Win")))*SUMIFS($Z$4:$Z$311,$A$4:$A$311,$A152,$E$4:$E$311,"Loss"),-('Guide &amp; Settings'!$C$42/($F152-1))*$Z152)))</f>
        <v>5.1885710960379354</v>
      </c>
      <c r="AB152" s="125">
        <f t="shared" si="50"/>
        <v>959.36601515278198</v>
      </c>
      <c r="AC152" s="125">
        <f>IF($D152="","",IF(SUMPRODUCT(MAX(($D$4:$D$311=$D152)*($B$4:$B$311&lt;$B152)*$B$4:$B$311))=0,0,MAX(($B152-SUMPRODUCT(MAX(($D$4:$D$311=$D152)*($B$4:$B$311&lt;$B152)*$B$4:$B$311)))/7-'Guide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Settings'!$C$42/(($F153-1)*COUNTIFS($A$4:$A$311,$A153,$E$4:$E$311,"Win")))*SUMIFS($X$4:$X$311,$A$4:$A$311,$A153,$E$4:$E$311,"Loss"),-('Guide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Settings'!$C$42/(($F153-1)*COUNTIFS($A$4:$A$311,$A153,$E$4:$E$311,"Win")))*SUMIFS($Z$4:$Z$311,$A$4:$A$311,$A153,$E$4:$E$311,"Loss"),-('Guide &amp; Settings'!$C$42/($F153-1))*$Z153)))</f>
        <v>5.1885710960379354</v>
      </c>
      <c r="AB153" s="125">
        <f t="shared" si="50"/>
        <v>1064.3158213290476</v>
      </c>
      <c r="AC153" s="125">
        <f>IF($D153="","",IF(SUMPRODUCT(MAX(($D$4:$D$311=$D153)*($B$4:$B$311&lt;$B153)*$B$4:$B$311))=0,0,MAX(($B153-SUMPRODUCT(MAX(($D$4:$D$311=$D153)*($B$4:$B$311&lt;$B153)*$B$4:$B$311)))/7-'Guide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Settings'!$C$42/(($F154-1)*COUNTIFS($A$4:$A$311,$A154,$E$4:$E$311,"Win")))*SUMIFS($X$4:$X$311,$A$4:$A$311,$A154,$E$4:$E$311,"Loss"),-('Guide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Settings'!$C$42/(($F154-1)*COUNTIFS($A$4:$A$311,$A154,$E$4:$E$311,"Win")))*SUMIFS($Z$4:$Z$311,$A$4:$A$311,$A154,$E$4:$E$311,"Loss"),-('Guide &amp; Settings'!$C$42/($F154-1))*$Z154)))</f>
        <v>-5.3056190928221856</v>
      </c>
      <c r="AB154" s="125">
        <f t="shared" si="50"/>
        <v>999.54129054270618</v>
      </c>
      <c r="AC154" s="125">
        <f>IF($D154="","",IF(SUMPRODUCT(MAX(($D$4:$D$311=$D154)*($B$4:$B$311&lt;$B154)*$B$4:$B$311))=0,0,MAX(($B154-SUMPRODUCT(MAX(($D$4:$D$311=$D154)*($B$4:$B$311&lt;$B154)*$B$4:$B$311)))/7-'Guide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Settings'!$C$42/(($F155-1)*COUNTIFS($A$4:$A$311,$A155,$E$4:$E$311,"Win")))*SUMIFS($X$4:$X$311,$A$4:$A$311,$A155,$E$4:$E$311,"Loss"),-('Guide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Settings'!$C$42/(($F155-1)*COUNTIFS($A$4:$A$311,$A155,$E$4:$E$311,"Win")))*SUMIFS($Z$4:$Z$311,$A$4:$A$311,$A155,$E$4:$E$311,"Loss"),-('Guide &amp; Settings'!$C$42/($F155-1))*$Z155)))</f>
        <v>-5.0715230992536853</v>
      </c>
      <c r="AB155" s="125">
        <f t="shared" si="50"/>
        <v>984.51169332979669</v>
      </c>
      <c r="AC155" s="125">
        <f>IF($D155="","",IF(SUMPRODUCT(MAX(($D$4:$D$311=$D155)*($B$4:$B$311&lt;$B155)*$B$4:$B$311))=0,0,MAX(($B155-SUMPRODUCT(MAX(($D$4:$D$311=$D155)*($B$4:$B$311&lt;$B155)*$B$4:$B$311)))/7-'Guide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Settings'!$C$42/(($F156-1)*COUNTIFS($A$4:$A$311,$A156,$E$4:$E$311,"Win")))*SUMIFS($X$4:$X$311,$A$4:$A$311,$A156,$E$4:$E$311,"Loss"),-('Guide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Settings'!$C$42/(($F156-1)*COUNTIFS($A$4:$A$311,$A156,$E$4:$E$311,"Win")))*SUMIFS($Z$4:$Z$311,$A$4:$A$311,$A156,$E$4:$E$311,"Loss"),-('Guide &amp; Settings'!$C$42/($F156-1))*$Z156)))</f>
        <v>5.1516388622153571</v>
      </c>
      <c r="AB156" s="125">
        <f t="shared" si="50"/>
        <v>1069.4674601912629</v>
      </c>
      <c r="AC156" s="125">
        <f>IF($D156="","",IF(SUMPRODUCT(MAX(($D$4:$D$311=$D156)*($B$4:$B$311&lt;$B156)*$B$4:$B$311))=0,0,MAX(($B156-SUMPRODUCT(MAX(($D$4:$D$311=$D156)*($B$4:$B$311&lt;$B156)*$B$4:$B$311)))/7-'Guide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Settings'!$C$42/(($F157-1)*COUNTIFS($A$4:$A$311,$A157,$E$4:$E$311,"Win")))*SUMIFS($X$4:$X$311,$A$4:$A$311,$A157,$E$4:$E$311,"Loss"),-('Guide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Settings'!$C$42/(($F157-1)*COUNTIFS($A$4:$A$311,$A157,$E$4:$E$311,"Win")))*SUMIFS($Z$4:$Z$311,$A$4:$A$311,$A157,$E$4:$E$311,"Loss"),-('Guide &amp; Settings'!$C$42/($F157-1))*$Z157)))</f>
        <v>5.1516388622153571</v>
      </c>
      <c r="AB157" s="125">
        <f t="shared" si="50"/>
        <v>964.51765401499733</v>
      </c>
      <c r="AC157" s="125">
        <f>IF($D157="","",IF(SUMPRODUCT(MAX(($D$4:$D$311=$D157)*($B$4:$B$311&lt;$B157)*$B$4:$B$311))=0,0,MAX(($B157-SUMPRODUCT(MAX(($D$4:$D$311=$D157)*($B$4:$B$311&lt;$B157)*$B$4:$B$311)))/7-'Guide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Settings'!$C$42/(($F158-1)*COUNTIFS($A$4:$A$311,$A158,$E$4:$E$311,"Win")))*SUMIFS($X$4:$X$311,$A$4:$A$311,$A158,$E$4:$E$311,"Loss"),-('Guide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Settings'!$C$42/(($F158-1)*COUNTIFS($A$4:$A$311,$A158,$E$4:$E$311,"Win")))*SUMIFS($Z$4:$Z$311,$A$4:$A$311,$A158,$E$4:$E$311,"Loss"),-('Guide &amp; Settings'!$C$42/($F158-1))*$Z158)))</f>
        <v>-5.1516388622153571</v>
      </c>
      <c r="AB158" s="125">
        <f t="shared" si="50"/>
        <v>994.84836113778465</v>
      </c>
      <c r="AC158" s="125">
        <f>IF($D158="","",IF(SUMPRODUCT(MAX(($D$4:$D$311=$D158)*($B$4:$B$311&lt;$B158)*$B$4:$B$311))=0,0,MAX(($B158-SUMPRODUCT(MAX(($D$4:$D$311=$D158)*($B$4:$B$311&lt;$B158)*$B$4:$B$311)))/7-'Guide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Settings'!$C$42/(($F159-1)*COUNTIFS($A$4:$A$311,$A159,$E$4:$E$311,"Win")))*SUMIFS($X$4:$X$311,$A$4:$A$311,$A159,$E$4:$E$311,"Loss"),-('Guide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Settings'!$C$42/(($F159-1)*COUNTIFS($A$4:$A$311,$A159,$E$4:$E$311,"Win")))*SUMIFS($Z$4:$Z$311,$A$4:$A$311,$A159,$E$4:$E$311,"Loss"),-('Guide &amp; Settings'!$C$42/($F159-1))*$Z159)))</f>
        <v>-5.1516388622153571</v>
      </c>
      <c r="AB159" s="125">
        <f t="shared" si="50"/>
        <v>994.84836113778465</v>
      </c>
      <c r="AC159" s="125">
        <f>IF($D159="","",IF(SUMPRODUCT(MAX(($D$4:$D$311=$D159)*($B$4:$B$311&lt;$B159)*$B$4:$B$311))=0,0,MAX(($B159-SUMPRODUCT(MAX(($D$4:$D$311=$D159)*($B$4:$B$311&lt;$B159)*$B$4:$B$311)))/7-'Guide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Settings'!$C$42/(($F160-1)*COUNTIFS($A$4:$A$311,$A160,$E$4:$E$311,"Win")))*SUMIFS($X$4:$X$311,$A$4:$A$311,$A160,$E$4:$E$311,"Loss"),-('Guide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Settings'!$C$42/(($F160-1)*COUNTIFS($A$4:$A$311,$A160,$E$4:$E$311,"Win")))*SUMIFS($Z$4:$Z$311,$A$4:$A$311,$A160,$E$4:$E$311,"Loss"),-('Guide &amp; Settings'!$C$42/($F160-1))*$Z160)))</f>
        <v>4.7389736580532942</v>
      </c>
      <c r="AB160" s="125">
        <f t="shared" si="50"/>
        <v>1074.2064338493162</v>
      </c>
      <c r="AC160" s="125">
        <f>IF($D160="","",IF(SUMPRODUCT(MAX(($D$4:$D$311=$D160)*($B$4:$B$311&lt;$B160)*$B$4:$B$311))=0,0,MAX(($B160-SUMPRODUCT(MAX(($D$4:$D$311=$D160)*($B$4:$B$311&lt;$B160)*$B$4:$B$311)))/7-'Guide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Settings'!$C$42/(($F161-1)*COUNTIFS($A$4:$A$311,$A161,$E$4:$E$311,"Win")))*SUMIFS($X$4:$X$311,$A$4:$A$311,$A161,$E$4:$E$311,"Loss"),-('Guide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Settings'!$C$42/(($F161-1)*COUNTIFS($A$4:$A$311,$A161,$E$4:$E$311,"Win")))*SUMIFS($Z$4:$Z$311,$A$4:$A$311,$A161,$E$4:$E$311,"Loss"),-('Guide &amp; Settings'!$C$42/($F161-1))*$Z161)))</f>
        <v>4.7389736580532942</v>
      </c>
      <c r="AB161" s="125">
        <f t="shared" si="50"/>
        <v>969.25662767305062</v>
      </c>
      <c r="AC161" s="125">
        <f>IF($D161="","",IF(SUMPRODUCT(MAX(($D$4:$D$311=$D161)*($B$4:$B$311&lt;$B161)*$B$4:$B$311))=0,0,MAX(($B161-SUMPRODUCT(MAX(($D$4:$D$311=$D161)*($B$4:$B$311&lt;$B161)*$B$4:$B$311)))/7-'Guide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Settings'!$C$42/(($F162-1)*COUNTIFS($A$4:$A$311,$A162,$E$4:$E$311,"Win")))*SUMIFS($X$4:$X$311,$A$4:$A$311,$A162,$E$4:$E$311,"Loss"),-('Guide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Settings'!$C$42/(($F162-1)*COUNTIFS($A$4:$A$311,$A162,$E$4:$E$311,"Win")))*SUMIFS($Z$4:$Z$311,$A$4:$A$311,$A162,$E$4:$E$311,"Loss"),-('Guide &amp; Settings'!$C$42/($F162-1))*$Z162)))</f>
        <v>-4.8806478911066904</v>
      </c>
      <c r="AB162" s="125">
        <f t="shared" si="50"/>
        <v>982.55096461266169</v>
      </c>
      <c r="AC162" s="125">
        <f>IF($D162="","",IF(SUMPRODUCT(MAX(($D$4:$D$311=$D162)*($B$4:$B$311&lt;$B162)*$B$4:$B$311))=0,0,MAX(($B162-SUMPRODUCT(MAX(($D$4:$D$311=$D162)*($B$4:$B$311&lt;$B162)*$B$4:$B$311)))/7-'Guide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Settings'!$C$42/(($F163-1)*COUNTIFS($A$4:$A$311,$A163,$E$4:$E$311,"Win")))*SUMIFS($X$4:$X$311,$A$4:$A$311,$A163,$E$4:$E$311,"Loss"),-('Guide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Settings'!$C$42/(($F163-1)*COUNTIFS($A$4:$A$311,$A163,$E$4:$E$311,"Win")))*SUMIFS($Z$4:$Z$311,$A$4:$A$311,$A163,$E$4:$E$311,"Loss"),-('Guide &amp; Settings'!$C$42/($F163-1))*$Z163)))</f>
        <v>-4.5972994249998989</v>
      </c>
      <c r="AB163" s="125">
        <f t="shared" si="50"/>
        <v>964.13900736852213</v>
      </c>
      <c r="AC163" s="125">
        <f>IF($D163="","",IF(SUMPRODUCT(MAX(($D$4:$D$311=$D163)*($B$4:$B$311&lt;$B163)*$B$4:$B$311))=0,0,MAX(($B163-SUMPRODUCT(MAX(($D$4:$D$311=$D163)*($B$4:$B$311&lt;$B163)*$B$4:$B$311)))/7-'Guide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Settings'!$C$42/(($F164-1)*COUNTIFS($A$4:$A$311,$A164,$E$4:$E$311,"Win")))*SUMIFS($X$4:$X$311,$A$4:$A$311,$A164,$E$4:$E$311,"Loss"),-('Guide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Settings'!$C$42/(($F164-1)*COUNTIFS($A$4:$A$311,$A164,$E$4:$E$311,"Win")))*SUMIFS($Z$4:$Z$311,$A$4:$A$311,$A164,$E$4:$E$311,"Loss"),-('Guide &amp; Settings'!$C$42/($F164-1))*$Z164)))</f>
        <v>5.5392839402240961</v>
      </c>
      <c r="AB164" s="125">
        <f t="shared" si="50"/>
        <v>1021.5392839402241</v>
      </c>
      <c r="AC164" s="125">
        <f>IF($D164="","",IF(SUMPRODUCT(MAX(($D$4:$D$311=$D164)*($B$4:$B$311&lt;$B164)*$B$4:$B$311))=0,0,MAX(($B164-SUMPRODUCT(MAX(($D$4:$D$311=$D164)*($B$4:$B$311&lt;$B164)*$B$4:$B$311)))/7-'Guide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Settings'!$C$42/(($F165-1)*COUNTIFS($A$4:$A$311,$A165,$E$4:$E$311,"Win")))*SUMIFS($X$4:$X$311,$A$4:$A$311,$A165,$E$4:$E$311,"Loss"),-('Guide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Settings'!$C$42/(($F165-1)*COUNTIFS($A$4:$A$311,$A165,$E$4:$E$311,"Win")))*SUMIFS($Z$4:$Z$311,$A$4:$A$311,$A165,$E$4:$E$311,"Loss"),-('Guide &amp; Settings'!$C$42/($F165-1))*$Z165)))</f>
        <v>5.5392839402240961</v>
      </c>
      <c r="AB165" s="125">
        <f t="shared" si="50"/>
        <v>1005.5392839402241</v>
      </c>
      <c r="AC165" s="125">
        <f>IF($D165="","",IF(SUMPRODUCT(MAX(($D$4:$D$311=$D165)*($B$4:$B$311&lt;$B165)*$B$4:$B$311))=0,0,MAX(($B165-SUMPRODUCT(MAX(($D$4:$D$311=$D165)*($B$4:$B$311&lt;$B165)*$B$4:$B$311)))/7-'Guide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Settings'!$C$42/(($F166-1)*COUNTIFS($A$4:$A$311,$A166,$E$4:$E$311,"Win")))*SUMIFS($X$4:$X$311,$A$4:$A$311,$A166,$E$4:$E$311,"Loss"),-('Guide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Settings'!$C$42/(($F166-1)*COUNTIFS($A$4:$A$311,$A166,$E$4:$E$311,"Win")))*SUMIFS($Z$4:$Z$311,$A$4:$A$311,$A166,$E$4:$E$311,"Loss"),-('Guide &amp; Settings'!$C$42/($F166-1))*$Z166)))</f>
        <v>-4.7410535589581206</v>
      </c>
      <c r="AB166" s="125">
        <f t="shared" si="50"/>
        <v>964.51557411409249</v>
      </c>
      <c r="AC166" s="125">
        <f>IF($D166="","",IF(SUMPRODUCT(MAX(($D$4:$D$311=$D166)*($B$4:$B$311&lt;$B166)*$B$4:$B$311))=0,0,MAX(($B166-SUMPRODUCT(MAX(($D$4:$D$311=$D166)*($B$4:$B$311&lt;$B166)*$B$4:$B$311)))/7-'Guide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Settings'!$C$42/(($F167-1)*COUNTIFS($A$4:$A$311,$A167,$E$4:$E$311,"Win")))*SUMIFS($X$4:$X$311,$A$4:$A$311,$A167,$E$4:$E$311,"Loss"),-('Guide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Settings'!$C$42/(($F167-1)*COUNTIFS($A$4:$A$311,$A167,$E$4:$E$311,"Win")))*SUMIFS($Z$4:$Z$311,$A$4:$A$311,$A167,$E$4:$E$311,"Loss"),-('Guide &amp; Settings'!$C$42/($F167-1))*$Z167)))</f>
        <v>-6.3375143214900707</v>
      </c>
      <c r="AB167" s="125">
        <f t="shared" si="50"/>
        <v>1067.8689195278262</v>
      </c>
      <c r="AC167" s="125">
        <f>IF($D167="","",IF(SUMPRODUCT(MAX(($D$4:$D$311=$D167)*($B$4:$B$311&lt;$B167)*$B$4:$B$311))=0,0,MAX(($B167-SUMPRODUCT(MAX(($D$4:$D$311=$D167)*($B$4:$B$311&lt;$B167)*$B$4:$B$311)))/7-'Guide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Settings'!$C$42/(($F168-1)*COUNTIFS($A$4:$A$311,$A168,$E$4:$E$311,"Win")))*SUMIFS($X$4:$X$311,$A$4:$A$311,$A168,$E$4:$E$311,"Loss"),-('Guide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Settings'!$C$42/(($F168-1)*COUNTIFS($A$4:$A$311,$A168,$E$4:$E$311,"Win")))*SUMIFS($Z$4:$Z$311,$A$4:$A$311,$A168,$E$4:$E$311,"Loss"),-('Guide &amp; Settings'!$C$42/($F168-1))*$Z168)))</f>
        <v>5.6629713760314075</v>
      </c>
      <c r="AB168" s="125">
        <f t="shared" si="50"/>
        <v>990.17466470582804</v>
      </c>
      <c r="AC168" s="125">
        <f>IF($D168="","",IF(SUMPRODUCT(MAX(($D$4:$D$311=$D168)*($B$4:$B$311&lt;$B168)*$B$4:$B$311))=0,0,MAX(($B168-SUMPRODUCT(MAX(($D$4:$D$311=$D168)*($B$4:$B$311&lt;$B168)*$B$4:$B$311)))/7-'Guide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Settings'!$C$42/(($F169-1)*COUNTIFS($A$4:$A$311,$A169,$E$4:$E$311,"Win")))*SUMIFS($X$4:$X$311,$A$4:$A$311,$A169,$E$4:$E$311,"Loss"),-('Guide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Settings'!$C$42/(($F169-1)*COUNTIFS($A$4:$A$311,$A169,$E$4:$E$311,"Win")))*SUMIFS($Z$4:$Z$311,$A$4:$A$311,$A169,$E$4:$E$311,"Loss"),-('Guide &amp; Settings'!$C$42/($F169-1))*$Z169)))</f>
        <v>5.6629713760314075</v>
      </c>
      <c r="AB169" s="125">
        <f t="shared" si="50"/>
        <v>1005.2042619187375</v>
      </c>
      <c r="AC169" s="125">
        <f>IF($D169="","",IF(SUMPRODUCT(MAX(($D$4:$D$311=$D169)*($B$4:$B$311&lt;$B169)*$B$4:$B$311))=0,0,MAX(($B169-SUMPRODUCT(MAX(($D$4:$D$311=$D169)*($B$4:$B$311&lt;$B169)*$B$4:$B$311)))/7-'Guide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Settings'!$C$42/(($F170-1)*COUNTIFS($A$4:$A$311,$A170,$E$4:$E$311,"Win")))*SUMIFS($X$4:$X$311,$A$4:$A$311,$A170,$E$4:$E$311,"Loss"),-('Guide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Settings'!$C$42/(($F170-1)*COUNTIFS($A$4:$A$311,$A170,$E$4:$E$311,"Win")))*SUMIFS($Z$4:$Z$311,$A$4:$A$311,$A170,$E$4:$E$311,"Loss"),-('Guide &amp; Settings'!$C$42/($F170-1))*$Z170)))</f>
        <v>-5.5406578295398115</v>
      </c>
      <c r="AB170" s="125">
        <f t="shared" si="50"/>
        <v>999.99862611068431</v>
      </c>
      <c r="AC170" s="125">
        <f>IF($D170="","",IF(SUMPRODUCT(MAX(($D$4:$D$311=$D170)*($B$4:$B$311&lt;$B170)*$B$4:$B$311))=0,0,MAX(($B170-SUMPRODUCT(MAX(($D$4:$D$311=$D170)*($B$4:$B$311&lt;$B170)*$B$4:$B$311)))/7-'Guide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Settings'!$C$42/(($F171-1)*COUNTIFS($A$4:$A$311,$A171,$E$4:$E$311,"Win")))*SUMIFS($X$4:$X$311,$A$4:$A$311,$A171,$E$4:$E$311,"Loss"),-('Guide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Settings'!$C$42/(($F171-1)*COUNTIFS($A$4:$A$311,$A171,$E$4:$E$311,"Win")))*SUMIFS($Z$4:$Z$311,$A$4:$A$311,$A171,$E$4:$E$311,"Loss"),-('Guide &amp; Settings'!$C$42/($F171-1))*$Z171)))</f>
        <v>-5.7852849225230027</v>
      </c>
      <c r="AB171" s="125">
        <f t="shared" si="50"/>
        <v>1015.7539990177011</v>
      </c>
      <c r="AC171" s="125">
        <f>IF($D171="","",IF(SUMPRODUCT(MAX(($D$4:$D$311=$D171)*($B$4:$B$311&lt;$B171)*$B$4:$B$311))=0,0,MAX(($B171-SUMPRODUCT(MAX(($D$4:$D$311=$D171)*($B$4:$B$311&lt;$B171)*$B$4:$B$311)))/7-'Guide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Settings'!$C$42/(($F172-1)*COUNTIFS($A$4:$A$311,$A172,$E$4:$E$311,"Win")))*SUMIFS($X$4:$X$311,$A$4:$A$311,$A172,$E$4:$E$311,"Loss"),-('Guide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Settings'!$C$42/(($F172-1)*COUNTIFS($A$4:$A$311,$A172,$E$4:$E$311,"Win")))*SUMIFS($Z$4:$Z$311,$A$4:$A$311,$A172,$E$4:$E$311,"Loss"),-('Guide &amp; Settings'!$C$42/($F172-1))*$Z172)))</f>
        <v>5.260804693375384</v>
      </c>
      <c r="AB172" s="125">
        <f t="shared" si="50"/>
        <v>1031.3105708328824</v>
      </c>
      <c r="AC172" s="125">
        <f>IF($D172="","",IF(SUMPRODUCT(MAX(($D$4:$D$311=$D172)*($B$4:$B$311&lt;$B172)*$B$4:$B$311))=0,0,MAX(($B172-SUMPRODUCT(MAX(($D$4:$D$311=$D172)*($B$4:$B$311&lt;$B172)*$B$4:$B$311)))/7-'Guide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Settings'!$C$42/(($F173-1)*COUNTIFS($A$4:$A$311,$A173,$E$4:$E$311,"Win")))*SUMIFS($X$4:$X$311,$A$4:$A$311,$A173,$E$4:$E$311,"Loss"),-('Guide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Settings'!$C$42/(($F173-1)*COUNTIFS($A$4:$A$311,$A173,$E$4:$E$311,"Win")))*SUMIFS($Z$4:$Z$311,$A$4:$A$311,$A173,$E$4:$E$311,"Loss"),-('Guide &amp; Settings'!$C$42/($F173-1))*$Z173)))</f>
        <v>5.260804693375384</v>
      </c>
      <c r="AB173" s="125">
        <f t="shared" si="50"/>
        <v>984.04460569576747</v>
      </c>
      <c r="AC173" s="125">
        <f>IF($D173="","",IF(SUMPRODUCT(MAX(($D$4:$D$311=$D173)*($B$4:$B$311&lt;$B173)*$B$4:$B$311))=0,0,MAX(($B173-SUMPRODUCT(MAX(($D$4:$D$311=$D173)*($B$4:$B$311&lt;$B173)*$B$4:$B$311)))/7-'Guide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Settings'!$C$42/(($F174-1)*COUNTIFS($A$4:$A$311,$A174,$E$4:$E$311,"Win")))*SUMIFS($X$4:$X$311,$A$4:$A$311,$A174,$E$4:$E$311,"Loss"),-('Guide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Settings'!$C$42/(($F174-1)*COUNTIFS($A$4:$A$311,$A174,$E$4:$E$311,"Win")))*SUMIFS($Z$4:$Z$311,$A$4:$A$311,$A174,$E$4:$E$311,"Loss"),-('Guide &amp; Settings'!$C$42/($F174-1))*$Z174)))</f>
        <v>-5.1454875975541539</v>
      </c>
      <c r="AB174" s="125">
        <f t="shared" si="50"/>
        <v>985.02917710827387</v>
      </c>
      <c r="AC174" s="125">
        <f>IF($D174="","",IF(SUMPRODUCT(MAX(($D$4:$D$311=$D174)*($B$4:$B$311&lt;$B174)*$B$4:$B$311))=0,0,MAX(($B174-SUMPRODUCT(MAX(($D$4:$D$311=$D174)*($B$4:$B$311&lt;$B174)*$B$4:$B$311)))/7-'Guide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Settings'!$C$42/(($F175-1)*COUNTIFS($A$4:$A$311,$A175,$E$4:$E$311,"Win")))*SUMIFS($X$4:$X$311,$A$4:$A$311,$A175,$E$4:$E$311,"Loss"),-('Guide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Settings'!$C$42/(($F175-1)*COUNTIFS($A$4:$A$311,$A175,$E$4:$E$311,"Win")))*SUMIFS($Z$4:$Z$311,$A$4:$A$311,$A175,$E$4:$E$311,"Loss"),-('Guide &amp; Settings'!$C$42/($F175-1))*$Z175)))</f>
        <v>-5.3761217891966133</v>
      </c>
      <c r="AB175" s="125">
        <f t="shared" si="50"/>
        <v>999.82814012954088</v>
      </c>
      <c r="AC175" s="125">
        <f>IF($D175="","",IF(SUMPRODUCT(MAX(($D$4:$D$311=$D175)*($B$4:$B$311&lt;$B175)*$B$4:$B$311))=0,0,MAX(($B175-SUMPRODUCT(MAX(($D$4:$D$311=$D175)*($B$4:$B$311&lt;$B175)*$B$4:$B$311)))/7-'Guide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Settings'!$C$42/(($F176-1)*COUNTIFS($A$4:$A$311,$A176,$E$4:$E$311,"Win")))*SUMIFS($X$4:$X$311,$A$4:$A$311,$A176,$E$4:$E$311,"Loss"),-('Guide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Settings'!$C$42/(($F176-1)*COUNTIFS($A$4:$A$311,$A176,$E$4:$E$311,"Win")))*SUMIFS($Z$4:$Z$311,$A$4:$A$311,$A176,$E$4:$E$311,"Loss"),-('Guide &amp; Settings'!$C$42/($F176-1))*$Z176)))</f>
        <v>5.1364868771082088</v>
      </c>
      <c r="AB176" s="125">
        <f t="shared" si="50"/>
        <v>1036.4470577099905</v>
      </c>
      <c r="AC176" s="125">
        <f>IF($D176="","",IF(SUMPRODUCT(MAX(($D$4:$D$311=$D176)*($B$4:$B$311&lt;$B176)*$B$4:$B$311))=0,0,MAX(($B176-SUMPRODUCT(MAX(($D$4:$D$311=$D176)*($B$4:$B$311&lt;$B176)*$B$4:$B$311)))/7-'Guide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Settings'!$C$42/(($F177-1)*COUNTIFS($A$4:$A$311,$A177,$E$4:$E$311,"Win")))*SUMIFS($X$4:$X$311,$A$4:$A$311,$A177,$E$4:$E$311,"Loss"),-('Guide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Settings'!$C$42/(($F177-1)*COUNTIFS($A$4:$A$311,$A177,$E$4:$E$311,"Win")))*SUMIFS($Z$4:$Z$311,$A$4:$A$311,$A177,$E$4:$E$311,"Loss"),-('Guide &amp; Settings'!$C$42/($F177-1))*$Z177)))</f>
        <v>5.1364868771082088</v>
      </c>
      <c r="AB177" s="125">
        <f t="shared" si="50"/>
        <v>989.18109257287563</v>
      </c>
      <c r="AC177" s="125">
        <f>IF($D177="","",IF(SUMPRODUCT(MAX(($D$4:$D$311=$D177)*($B$4:$B$311&lt;$B177)*$B$4:$B$311))=0,0,MAX(($B177-SUMPRODUCT(MAX(($D$4:$D$311=$D177)*($B$4:$B$311&lt;$B177)*$B$4:$B$311)))/7-'Guide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Settings'!$C$42/(($F178-1)*COUNTIFS($A$4:$A$311,$A178,$E$4:$E$311,"Win")))*SUMIFS($X$4:$X$311,$A$4:$A$311,$A178,$E$4:$E$311,"Loss"),-('Guide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Settings'!$C$42/(($F178-1)*COUNTIFS($A$4:$A$311,$A178,$E$4:$E$311,"Win")))*SUMIFS($Z$4:$Z$311,$A$4:$A$311,$A178,$E$4:$E$311,"Loss"),-('Guide &amp; Settings'!$C$42/($F178-1))*$Z178)))</f>
        <v>-5.1364868771082088</v>
      </c>
      <c r="AB178" s="125">
        <f t="shared" si="50"/>
        <v>989.7118742606765</v>
      </c>
      <c r="AC178" s="125">
        <f>IF($D178="","",IF(SUMPRODUCT(MAX(($D$4:$D$311=$D178)*($B$4:$B$311&lt;$B178)*$B$4:$B$311))=0,0,MAX(($B178-SUMPRODUCT(MAX(($D$4:$D$311=$D178)*($B$4:$B$311&lt;$B178)*$B$4:$B$311)))/7-'Guide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Settings'!$C$42/(($F179-1)*COUNTIFS($A$4:$A$311,$A179,$E$4:$E$311,"Win")))*SUMIFS($X$4:$X$311,$A$4:$A$311,$A179,$E$4:$E$311,"Loss"),-('Guide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Settings'!$C$42/(($F179-1)*COUNTIFS($A$4:$A$311,$A179,$E$4:$E$311,"Win")))*SUMIFS($Z$4:$Z$311,$A$4:$A$311,$A179,$E$4:$E$311,"Loss"),-('Guide &amp; Settings'!$C$42/($F179-1))*$Z179)))</f>
        <v>-5.1364868771082088</v>
      </c>
      <c r="AB179" s="125">
        <f t="shared" si="50"/>
        <v>989.7118742606765</v>
      </c>
      <c r="AC179" s="125">
        <f>IF($D179="","",IF(SUMPRODUCT(MAX(($D$4:$D$311=$D179)*($B$4:$B$311&lt;$B179)*$B$4:$B$311))=0,0,MAX(($B179-SUMPRODUCT(MAX(($D$4:$D$311=$D179)*($B$4:$B$311&lt;$B179)*$B$4:$B$311)))/7-'Guide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Settings'!$C$42/(($F180-1)*COUNTIFS($A$4:$A$311,$A180,$E$4:$E$311,"Win")))*SUMIFS($X$4:$X$311,$A$4:$A$311,$A180,$E$4:$E$311,"Loss"),-('Guide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Settings'!$C$42/(($F180-1)*COUNTIFS($A$4:$A$311,$A180,$E$4:$E$311,"Win")))*SUMIFS($Z$4:$Z$311,$A$4:$A$311,$A180,$E$4:$E$311,"Loss"),-('Guide &amp; Settings'!$C$42/($F180-1))*$Z180)))</f>
        <v>4.730471293558141</v>
      </c>
      <c r="AB180" s="125">
        <f t="shared" si="50"/>
        <v>1041.1775290035487</v>
      </c>
      <c r="AC180" s="125">
        <f>IF($D180="","",IF(SUMPRODUCT(MAX(($D$4:$D$311=$D180)*($B$4:$B$311&lt;$B180)*$B$4:$B$311))=0,0,MAX(($B180-SUMPRODUCT(MAX(($D$4:$D$311=$D180)*($B$4:$B$311&lt;$B180)*$B$4:$B$311)))/7-'Guide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Settings'!$C$42/(($F181-1)*COUNTIFS($A$4:$A$311,$A181,$E$4:$E$311,"Win")))*SUMIFS($X$4:$X$311,$A$4:$A$311,$A181,$E$4:$E$311,"Loss"),-('Guide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Settings'!$C$42/(($F181-1)*COUNTIFS($A$4:$A$311,$A181,$E$4:$E$311,"Win")))*SUMIFS($Z$4:$Z$311,$A$4:$A$311,$A181,$E$4:$E$311,"Loss"),-('Guide &amp; Settings'!$C$42/($F181-1))*$Z181)))</f>
        <v>4.730471293558141</v>
      </c>
      <c r="AB181" s="125">
        <f t="shared" si="50"/>
        <v>993.91156386643377</v>
      </c>
      <c r="AC181" s="125">
        <f>IF($D181="","",IF(SUMPRODUCT(MAX(($D$4:$D$311=$D181)*($B$4:$B$311&lt;$B181)*$B$4:$B$311))=0,0,MAX(($B181-SUMPRODUCT(MAX(($D$4:$D$311=$D181)*($B$4:$B$311&lt;$B181)*$B$4:$B$311)))/7-'Guide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Settings'!$C$42/(($F182-1)*COUNTIFS($A$4:$A$311,$A182,$E$4:$E$311,"Win")))*SUMIFS($X$4:$X$311,$A$4:$A$311,$A182,$E$4:$E$311,"Loss"),-('Guide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Settings'!$C$42/(($F182-1)*COUNTIFS($A$4:$A$311,$A182,$E$4:$E$311,"Win")))*SUMIFS($Z$4:$Z$311,$A$4:$A$311,$A182,$E$4:$E$311,"Loss"),-('Guide &amp; Settings'!$C$42/($F182-1))*$Z182)))</f>
        <v>-4.8699487489254594</v>
      </c>
      <c r="AB182" s="125">
        <f t="shared" si="50"/>
        <v>977.68101586373621</v>
      </c>
      <c r="AC182" s="125">
        <f>IF($D182="","",IF(SUMPRODUCT(MAX(($D$4:$D$311=$D182)*($B$4:$B$311&lt;$B182)*$B$4:$B$311))=0,0,MAX(($B182-SUMPRODUCT(MAX(($D$4:$D$311=$D182)*($B$4:$B$311&lt;$B182)*$B$4:$B$311)))/7-'Guide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Settings'!$C$42/(($F183-1)*COUNTIFS($A$4:$A$311,$A183,$E$4:$E$311,"Win")))*SUMIFS($X$4:$X$311,$A$4:$A$311,$A183,$E$4:$E$311,"Loss"),-('Guide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Settings'!$C$42/(($F183-1)*COUNTIFS($A$4:$A$311,$A183,$E$4:$E$311,"Win")))*SUMIFS($Z$4:$Z$311,$A$4:$A$311,$A183,$E$4:$E$311,"Loss"),-('Guide &amp; Settings'!$C$42/($F183-1))*$Z183)))</f>
        <v>-4.5909938381908217</v>
      </c>
      <c r="AB183" s="125">
        <f t="shared" si="50"/>
        <v>959.54801353033133</v>
      </c>
      <c r="AC183" s="125">
        <f>IF($D183="","",IF(SUMPRODUCT(MAX(($D$4:$D$311=$D183)*($B$4:$B$311&lt;$B183)*$B$4:$B$311))=0,0,MAX(($B183-SUMPRODUCT(MAX(($D$4:$D$311=$D183)*($B$4:$B$311&lt;$B183)*$B$4:$B$311)))/7-'Guide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Settings'!$C$42/(($F184-1)*COUNTIFS($A$4:$A$311,$A184,$E$4:$E$311,"Win")))*SUMIFS($X$4:$X$311,$A$4:$A$311,$A184,$E$4:$E$311,"Loss"),-('Guide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Settings'!$C$42/(($F184-1)*COUNTIFS($A$4:$A$311,$A184,$E$4:$E$311,"Win")))*SUMIFS($Z$4:$Z$311,$A$4:$A$311,$A184,$E$4:$E$311,"Loss"),-('Guide &amp; Settings'!$C$42/($F184-1))*$Z184)))</f>
        <v>5.4810240387817064</v>
      </c>
      <c r="AB184" s="125">
        <f t="shared" si="50"/>
        <v>1021.2350230564828</v>
      </c>
      <c r="AC184" s="125">
        <f>IF($D184="","",IF(SUMPRODUCT(MAX(($D$4:$D$311=$D184)*($B$4:$B$311&lt;$B184)*$B$4:$B$311))=0,0,MAX(($B184-SUMPRODUCT(MAX(($D$4:$D$311=$D184)*($B$4:$B$311&lt;$B184)*$B$4:$B$311)))/7-'Guide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Settings'!$C$42/(($F185-1)*COUNTIFS($A$4:$A$311,$A185,$E$4:$E$311,"Win")))*SUMIFS($X$4:$X$311,$A$4:$A$311,$A185,$E$4:$E$311,"Loss"),-('Guide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Settings'!$C$42/(($F185-1)*COUNTIFS($A$4:$A$311,$A185,$E$4:$E$311,"Win")))*SUMIFS($Z$4:$Z$311,$A$4:$A$311,$A185,$E$4:$E$311,"Loss"),-('Guide &amp; Settings'!$C$42/($F185-1))*$Z185)))</f>
        <v>5.4810240387817064</v>
      </c>
      <c r="AB185" s="125">
        <f t="shared" si="50"/>
        <v>1005.479650149466</v>
      </c>
      <c r="AC185" s="125">
        <f>IF($D185="","",IF(SUMPRODUCT(MAX(($D$4:$D$311=$D185)*($B$4:$B$311&lt;$B185)*$B$4:$B$311))=0,0,MAX(($B185-SUMPRODUCT(MAX(($D$4:$D$311=$D185)*($B$4:$B$311&lt;$B185)*$B$4:$B$311)))/7-'Guide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Settings'!$C$42/(($F186-1)*COUNTIFS($A$4:$A$311,$A186,$E$4:$E$311,"Win")))*SUMIFS($X$4:$X$311,$A$4:$A$311,$A186,$E$4:$E$311,"Loss"),-('Guide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Settings'!$C$42/(($F186-1)*COUNTIFS($A$4:$A$311,$A186,$E$4:$E$311,"Win")))*SUMIFS($Z$4:$Z$311,$A$4:$A$311,$A186,$E$4:$E$311,"Loss"),-('Guide &amp; Settings'!$C$42/($F186-1))*$Z186)))</f>
        <v>-5.8429661939346271</v>
      </c>
      <c r="AB186" s="125">
        <f t="shared" si="50"/>
        <v>1035.334562809614</v>
      </c>
      <c r="AC186" s="125">
        <f>IF($D186="","",IF(SUMPRODUCT(MAX(($D$4:$D$311=$D186)*($B$4:$B$311&lt;$B186)*$B$4:$B$311))=0,0,MAX(($B186-SUMPRODUCT(MAX(($D$4:$D$311=$D186)*($B$4:$B$311&lt;$B186)*$B$4:$B$311)))/7-'Guide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Settings'!$C$42/(($F187-1)*COUNTIFS($A$4:$A$311,$A187,$E$4:$E$311,"Win")))*SUMIFS($X$4:$X$311,$A$4:$A$311,$A187,$E$4:$E$311,"Loss"),-('Guide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Settings'!$C$42/(($F187-1)*COUNTIFS($A$4:$A$311,$A187,$E$4:$E$311,"Win")))*SUMIFS($Z$4:$Z$311,$A$4:$A$311,$A187,$E$4:$E$311,"Loss"),-('Guide &amp; Settings'!$C$42/($F187-1))*$Z187)))</f>
        <v>-5.1190818836287866</v>
      </c>
      <c r="AB187" s="125">
        <f t="shared" si="50"/>
        <v>988.79248198280493</v>
      </c>
      <c r="AC187" s="125">
        <f>IF($D187="","",IF(SUMPRODUCT(MAX(($D$4:$D$311=$D187)*($B$4:$B$311&lt;$B187)*$B$4:$B$311))=0,0,MAX(($B187-SUMPRODUCT(MAX(($D$4:$D$311=$D187)*($B$4:$B$311&lt;$B187)*$B$4:$B$311)))/7-'Guide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Settings'!$C$42/(($F188-1)*COUNTIFS($A$4:$A$311,$A188,$E$4:$E$311,"Win")))*SUMIFS($X$4:$X$311,$A$4:$A$311,$A188,$E$4:$E$311,"Loss"),-('Guide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Settings'!$C$42/(($F188-1)*COUNTIFS($A$4:$A$311,$A188,$E$4:$E$311,"Win")))*SUMIFS($Z$4:$Z$311,$A$4:$A$311,$A188,$E$4:$E$311,"Loss"),-('Guide &amp; Settings'!$C$42/($F188-1))*$Z188)))</f>
        <v>5.2898391817695778</v>
      </c>
      <c r="AB188" s="125">
        <f t="shared" si="50"/>
        <v>969.80541329586208</v>
      </c>
      <c r="AC188" s="125">
        <f>IF($D188="","",IF(SUMPRODUCT(MAX(($D$4:$D$311=$D188)*($B$4:$B$311&lt;$B188)*$B$4:$B$311))=0,0,MAX(($B188-SUMPRODUCT(MAX(($D$4:$D$311=$D188)*($B$4:$B$311&lt;$B188)*$B$4:$B$311)))/7-'Guide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Settings'!$C$42/(($F189-1)*COUNTIFS($A$4:$A$311,$A189,$E$4:$E$311,"Win")))*SUMIFS($X$4:$X$311,$A$4:$A$311,$A189,$E$4:$E$311,"Loss"),-('Guide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Settings'!$C$42/(($F189-1)*COUNTIFS($A$4:$A$311,$A189,$E$4:$E$311,"Win")))*SUMIFS($Z$4:$Z$311,$A$4:$A$311,$A189,$E$4:$E$311,"Loss"),-('Guide &amp; Settings'!$C$42/($F189-1))*$Z189)))</f>
        <v>5.2898391817695778</v>
      </c>
      <c r="AB189" s="125">
        <f t="shared" si="50"/>
        <v>1073.1587587095958</v>
      </c>
      <c r="AC189" s="125">
        <f>IF($D189="","",IF(SUMPRODUCT(MAX(($D$4:$D$311=$D189)*($B$4:$B$311&lt;$B189)*$B$4:$B$311))=0,0,MAX(($B189-SUMPRODUCT(MAX(($D$4:$D$311=$D189)*($B$4:$B$311&lt;$B189)*$B$4:$B$311)))/7-'Guide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Settings'!$C$42/(($F190-1)*COUNTIFS($A$4:$A$311,$A190,$E$4:$E$311,"Win")))*SUMIFS($X$4:$X$311,$A$4:$A$311,$A190,$E$4:$E$311,"Loss"),-('Guide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Settings'!$C$42/(($F190-1)*COUNTIFS($A$4:$A$311,$A190,$E$4:$E$311,"Win")))*SUMIFS($Z$4:$Z$311,$A$4:$A$311,$A190,$E$4:$E$311,"Loss"),-('Guide &amp; Settings'!$C$42/($F190-1))*$Z190)))</f>
        <v>-5.4107373739036291</v>
      </c>
      <c r="AB190" s="125">
        <f t="shared" si="50"/>
        <v>1015.8242856825791</v>
      </c>
      <c r="AC190" s="125">
        <f>IF($D190="","",IF(SUMPRODUCT(MAX(($D$4:$D$311=$D190)*($B$4:$B$311&lt;$B190)*$B$4:$B$311))=0,0,MAX(($B190-SUMPRODUCT(MAX(($D$4:$D$311=$D190)*($B$4:$B$311&lt;$B190)*$B$4:$B$311)))/7-'Guide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Settings'!$C$42/(($F191-1)*COUNTIFS($A$4:$A$311,$A191,$E$4:$E$311,"Win")))*SUMIFS($X$4:$X$311,$A$4:$A$311,$A191,$E$4:$E$311,"Loss"),-('Guide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Settings'!$C$42/(($F191-1)*COUNTIFS($A$4:$A$311,$A191,$E$4:$E$311,"Win")))*SUMIFS($Z$4:$Z$311,$A$4:$A$311,$A191,$E$4:$E$311,"Loss"),-('Guide &amp; Settings'!$C$42/($F191-1))*$Z191)))</f>
        <v>-5.1689409896355274</v>
      </c>
      <c r="AB191" s="125">
        <f t="shared" si="50"/>
        <v>1000.3107091598305</v>
      </c>
      <c r="AC191" s="125">
        <f>IF($D191="","",IF(SUMPRODUCT(MAX(($D$4:$D$311=$D191)*($B$4:$B$311&lt;$B191)*$B$4:$B$311))=0,0,MAX(($B191-SUMPRODUCT(MAX(($D$4:$D$311=$D191)*($B$4:$B$311&lt;$B191)*$B$4:$B$311)))/7-'Guide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Settings'!$C$42/(($F192-1)*COUNTIFS($A$4:$A$311,$A192,$E$4:$E$311,"Win")))*SUMIFS($X$4:$X$311,$A$4:$A$311,$A192,$E$4:$E$311,"Loss"),-('Guide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Settings'!$C$42/(($F192-1)*COUNTIFS($A$4:$A$311,$A192,$E$4:$E$311,"Win")))*SUMIFS($Z$4:$Z$311,$A$4:$A$311,$A192,$E$4:$E$311,"Loss"),-('Guide &amp; Settings'!$C$42/($F192-1))*$Z192)))</f>
        <v>5.7686491567091647</v>
      </c>
      <c r="AB192" s="125">
        <f t="shared" si="50"/>
        <v>990.79782626498309</v>
      </c>
      <c r="AC192" s="125">
        <f>IF($D192="","",IF(SUMPRODUCT(MAX(($D$4:$D$311=$D192)*($B$4:$B$311&lt;$B192)*$B$4:$B$311))=0,0,MAX(($B192-SUMPRODUCT(MAX(($D$4:$D$311=$D192)*($B$4:$B$311&lt;$B192)*$B$4:$B$311)))/7-'Guide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Settings'!$C$42/(($F193-1)*COUNTIFS($A$4:$A$311,$A193,$E$4:$E$311,"Win")))*SUMIFS($X$4:$X$311,$A$4:$A$311,$A193,$E$4:$E$311,"Loss"),-('Guide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Settings'!$C$42/(($F193-1)*COUNTIFS($A$4:$A$311,$A193,$E$4:$E$311,"Win")))*SUMIFS($Z$4:$Z$311,$A$4:$A$311,$A193,$E$4:$E$311,"Loss"),-('Guide &amp; Settings'!$C$42/($F193-1))*$Z193)))</f>
        <v>5.7686491567091647</v>
      </c>
      <c r="AB193" s="125">
        <f t="shared" si="50"/>
        <v>1005.5967892862501</v>
      </c>
      <c r="AC193" s="125">
        <f>IF($D193="","",IF(SUMPRODUCT(MAX(($D$4:$D$311=$D193)*($B$4:$B$311&lt;$B193)*$B$4:$B$311))=0,0,MAX(($B193-SUMPRODUCT(MAX(($D$4:$D$311=$D193)*($B$4:$B$311&lt;$B193)*$B$4:$B$311)))/7-'Guide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Settings'!$C$42/(($F194-1)*COUNTIFS($A$4:$A$311,$A194,$E$4:$E$311,"Win")))*SUMIFS($X$4:$X$311,$A$4:$A$311,$A194,$E$4:$E$311,"Loss"),-('Guide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Settings'!$C$42/(($F194-1)*COUNTIFS($A$4:$A$311,$A194,$E$4:$E$311,"Win")))*SUMIFS($Z$4:$Z$311,$A$4:$A$311,$A194,$E$4:$E$311,"Loss"),-('Guide &amp; Settings'!$C$42/($F194-1))*$Z194)))</f>
        <v>-6.5507546439911728</v>
      </c>
      <c r="AB194" s="125">
        <f t="shared" si="50"/>
        <v>1066.6080040656045</v>
      </c>
      <c r="AC194" s="125">
        <f>IF($D194="","",IF(SUMPRODUCT(MAX(($D$4:$D$311=$D194)*($B$4:$B$311&lt;$B194)*$B$4:$B$311))=0,0,MAX(($B194-SUMPRODUCT(MAX(($D$4:$D$311=$D194)*($B$4:$B$311&lt;$B194)*$B$4:$B$311)))/7-'Guide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Settings'!$C$42/(($F195-1)*COUNTIFS($A$4:$A$311,$A195,$E$4:$E$311,"Win")))*SUMIFS($X$4:$X$311,$A$4:$A$311,$A195,$E$4:$E$311,"Loss"),-('Guide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Settings'!$C$42/(($F195-1)*COUNTIFS($A$4:$A$311,$A195,$E$4:$E$311,"Win")))*SUMIFS($Z$4:$Z$311,$A$4:$A$311,$A195,$E$4:$E$311,"Loss"),-('Guide &amp; Settings'!$C$42/($F195-1))*$Z195)))</f>
        <v>-4.9865436694271574</v>
      </c>
      <c r="AB195" s="125">
        <f t="shared" si="50"/>
        <v>964.81886962643489</v>
      </c>
      <c r="AC195" s="125">
        <f>IF($D195="","",IF(SUMPRODUCT(MAX(($D$4:$D$311=$D195)*($B$4:$B$311&lt;$B195)*$B$4:$B$311))=0,0,MAX(($B195-SUMPRODUCT(MAX(($D$4:$D$311=$D195)*($B$4:$B$311&lt;$B195)*$B$4:$B$311)))/7-'Guide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IF($D196="",0,COUNTIF($A$4:$A$311,$A196))</f>
        <v>4</v>
      </c>
      <c r="G196" s="120" t="str">
        <f t="shared" ref="G196:G259" si="52">IF($D196="","",IFERROR(LOOKUP(2,1/(($A$4:$A$311=$A196)*($E$4:$E$311="Win")),$D$4:$D$311),"(no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Settings'!$C$42/(($F196-1)*COUNTIFS($A$4:$A$311,$A196,$E$4:$E$311,"Win")))*SUMIFS($X$4:$X$311,$A$4:$A$311,$A196,$E$4:$E$311,"Loss"),-('Guide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IF($D196="","",IF(COUNTIFS($A$4:$A$311,$A196,$E$4:$E$311,"Win")=0,"need a winner",IF(COUNTIFS($A$4:$A$311,$A196,$E$4:$E$311,"Loss")=0,"need a loser",IF(COUNTIFS($A$4:$A$311,$A196,$D$4:$D$311,$D196)&gt;1,"duplicate player","OK"))))</f>
        <v>OK</v>
      </c>
      <c r="P196">
        <f t="shared" ref="P196:P259" si="57">IF($D196="",0,IFERROR(SUMIFS($H$4:$H$311,$A$4:$A$311,$A196,$E$4:$E$311,"Win")/COUNTIFS($A$4:$A$311,$A196,$E$4:$E$311,"Win"),0))</f>
        <v>1088.7339183677072</v>
      </c>
      <c r="Q196">
        <f t="shared" ref="Q196:Q259" si="58">IF($D196="",0,1/(1+10^(($P196-$H196)/400)))</f>
        <v>0.57514959700206403</v>
      </c>
      <c r="R196">
        <f t="shared" ref="R196:R259" si="59">IF($D196="",0,(COUNTIFS($D$4:$D$311,$D196,$C$4:$C$311,$C196,$E$4:$E$311,"Win",$A$4:$A$311,"&lt;"&amp;$A196)+1)/(COUNTIFS($D$4:$D$311,$D196,$C$4:$C$311,$C196,$A$4:$A$311,"&lt;"&amp;$A196)+2))</f>
        <v>0.66666666666666663</v>
      </c>
      <c r="S196">
        <f t="shared" ref="S196:S259" si="60">IF($D196="",0,SUMIFS($R$4:$R$311,$A$4:$A$311,$A196))</f>
        <v>2.2222222222222223</v>
      </c>
      <c r="T196" s="88">
        <f t="shared" ref="T196:T259" si="61">IF($D196="",0,COUNTIFS($D$4:$D$311,$D196,$C$4:$C$311,$C196,$A$4:$A$311,"&lt;"&amp;$A196))</f>
        <v>7</v>
      </c>
      <c r="U196" s="125">
        <f>IF($D196="",0,IFERROR(LOOKUP(2,1/(($D$3:D195=$D196)*($C$3:C195=$C196)*($A$3:A195&lt;$A196)),$AB$3:AB195),1000))</f>
        <v>1035.334562809614</v>
      </c>
      <c r="V196" s="125">
        <f t="shared" ref="V196:V259" si="62">IF($D196="",0,$U196*($T196/($T196+5))+$H196*(1-$T196/($T196+5)))</f>
        <v>1079.5084251719668</v>
      </c>
      <c r="W196">
        <f t="shared" ref="W196:W259" si="63">IF($D196="",0,IFERROR(SUMIFS($V$4:$V$311,$A$4:$A$311,$A196,$E$4:$E$311,"Win")/COUNTIFS($A$4:$A$311,$A196,$E$4:$E$311,"Win"),0))</f>
        <v>1044.9057995486014</v>
      </c>
      <c r="X196">
        <f t="shared" ref="X196:X259" si="64">IF($D196="",0,1/(1+10^(($W196-$V196)/400)))</f>
        <v>0.54963318515945292</v>
      </c>
      <c r="Y196">
        <f t="shared" ref="Y196:Y259" si="65">IF($D196="",0,IFERROR(SUMIFS($U$4:$U$311,$A$4:$A$311,$A196,$E$4:$E$311,"Win")/COUNTIFS($A$4:$A$311,$A196,$E$4:$E$311,"Win"),0))</f>
        <v>1012.0635223962095</v>
      </c>
      <c r="Z196">
        <f t="shared" ref="Z196:Z259" si="66">IF($D196="",0,1/(1+10^(($Y196-$U196)/400)))</f>
        <v>0.5334397278984826</v>
      </c>
      <c r="AA196">
        <f>IF($D196="",0,IF($F196&lt;2,0,IF($E196="Win",('Guide &amp; Settings'!$C$42/(($F196-1)*COUNTIFS($A$4:$A$311,$A196,$E$4:$E$311,"Win")))*SUMIFS($Z$4:$Z$311,$A$4:$A$311,$A196,$E$4:$E$311,"Loss"),-('Guide &amp; Settings'!$C$42/($F196-1))*$Z196)))</f>
        <v>5.120688326447592</v>
      </c>
      <c r="AB196" s="125">
        <f t="shared" ref="AB196:AB259" si="67">IF($D196="",0,$U196+$AA196)</f>
        <v>1040.4552511360616</v>
      </c>
      <c r="AC196" s="125">
        <f>IF($D196="","",IF(SUMPRODUCT(MAX(($D$4:$D$311=$D196)*($B$4:$B$311&lt;$B196)*$B$4:$B$311))=0,0,MAX(($B196-SUMPRODUCT(MAX(($D$4:$D$311=$D196)*($B$4:$B$311&lt;$B196)*$B$4:$B$311)))/7-'Guide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Settings'!$C$42/(($F197-1)*COUNTIFS($A$4:$A$311,$A197,$E$4:$E$311,"Win")))*SUMIFS($X$4:$X$311,$A$4:$A$311,$A197,$E$4:$E$311,"Loss"),-('Guide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Settings'!$C$42/(($F197-1)*COUNTIFS($A$4:$A$311,$A197,$E$4:$E$311,"Win")))*SUMIFS($Z$4:$Z$311,$A$4:$A$311,$A197,$E$4:$E$311,"Loss"),-('Guide &amp; Settings'!$C$42/($F197-1))*$Z197)))</f>
        <v>5.120688326447592</v>
      </c>
      <c r="AB197" s="125">
        <f t="shared" si="67"/>
        <v>993.91317030925256</v>
      </c>
      <c r="AC197" s="125">
        <f>IF($D197="","",IF(SUMPRODUCT(MAX(($D$4:$D$311=$D197)*($B$4:$B$311&lt;$B197)*$B$4:$B$311))=0,0,MAX(($B197-SUMPRODUCT(MAX(($D$4:$D$311=$D197)*($B$4:$B$311&lt;$B197)*$B$4:$B$311)))/7-'Guide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Settings'!$C$42/(($F198-1)*COUNTIFS($A$4:$A$311,$A198,$E$4:$E$311,"Win")))*SUMIFS($X$4:$X$311,$A$4:$A$311,$A198,$E$4:$E$311,"Loss"),-('Guide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Settings'!$C$42/(($F198-1)*COUNTIFS($A$4:$A$311,$A198,$E$4:$E$311,"Win")))*SUMIFS($Z$4:$Z$311,$A$4:$A$311,$A198,$E$4:$E$311,"Loss"),-('Guide &amp; Settings'!$C$42/($F198-1))*$Z198)))</f>
        <v>-5.0072998795862924</v>
      </c>
      <c r="AB198" s="125">
        <f t="shared" si="67"/>
        <v>985.79052638539679</v>
      </c>
      <c r="AC198" s="125">
        <f>IF($D198="","",IF(SUMPRODUCT(MAX(($D$4:$D$311=$D198)*($B$4:$B$311&lt;$B198)*$B$4:$B$311))=0,0,MAX(($B198-SUMPRODUCT(MAX(($D$4:$D$311=$D198)*($B$4:$B$311&lt;$B198)*$B$4:$B$311)))/7-'Guide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Settings'!$C$42/(($F199-1)*COUNTIFS($A$4:$A$311,$A199,$E$4:$E$311,"Win")))*SUMIFS($X$4:$X$311,$A$4:$A$311,$A199,$E$4:$E$311,"Loss"),-('Guide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Settings'!$C$42/(($F199-1)*COUNTIFS($A$4:$A$311,$A199,$E$4:$E$311,"Win")))*SUMIFS($Z$4:$Z$311,$A$4:$A$311,$A199,$E$4:$E$311,"Loss"),-('Guide &amp; Settings'!$C$42/($F199-1))*$Z199)))</f>
        <v>-5.2340767733088907</v>
      </c>
      <c r="AB199" s="125">
        <f t="shared" si="67"/>
        <v>1000.3627125129412</v>
      </c>
      <c r="AC199" s="125">
        <f>IF($D199="","",IF(SUMPRODUCT(MAX(($D$4:$D$311=$D199)*($B$4:$B$311&lt;$B199)*$B$4:$B$311))=0,0,MAX(($B199-SUMPRODUCT(MAX(($D$4:$D$311=$D199)*($B$4:$B$311&lt;$B199)*$B$4:$B$311)))/7-'Guide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Settings'!$C$42/(($F200-1)*COUNTIFS($A$4:$A$311,$A200,$E$4:$E$311,"Win")))*SUMIFS($X$4:$X$311,$A$4:$A$311,$A200,$E$4:$E$311,"Loss"),-('Guide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Settings'!$C$42/(($F200-1)*COUNTIFS($A$4:$A$311,$A200,$E$4:$E$311,"Win")))*SUMIFS($Z$4:$Z$311,$A$4:$A$311,$A200,$E$4:$E$311,"Loss"),-('Guide &amp; Settings'!$C$42/($F200-1))*$Z200)))</f>
        <v>4.9124940952728142</v>
      </c>
      <c r="AB200" s="125">
        <f t="shared" si="67"/>
        <v>1045.3677452313345</v>
      </c>
      <c r="AC200" s="125">
        <f>IF($D200="","",IF(SUMPRODUCT(MAX(($D$4:$D$311=$D200)*($B$4:$B$311&lt;$B200)*$B$4:$B$311))=0,0,MAX(($B200-SUMPRODUCT(MAX(($D$4:$D$311=$D200)*($B$4:$B$311&lt;$B200)*$B$4:$B$311)))/7-'Guide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Settings'!$C$42/(($F201-1)*COUNTIFS($A$4:$A$311,$A201,$E$4:$E$311,"Win")))*SUMIFS($X$4:$X$311,$A$4:$A$311,$A201,$E$4:$E$311,"Loss"),-('Guide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Settings'!$C$42/(($F201-1)*COUNTIFS($A$4:$A$311,$A201,$E$4:$E$311,"Win")))*SUMIFS($Z$4:$Z$311,$A$4:$A$311,$A201,$E$4:$E$311,"Loss"),-('Guide &amp; Settings'!$C$42/($F201-1))*$Z201)))</f>
        <v>4.9124940952728142</v>
      </c>
      <c r="AB201" s="125">
        <f t="shared" si="67"/>
        <v>998.82566440452536</v>
      </c>
      <c r="AC201" s="125">
        <f>IF($D201="","",IF(SUMPRODUCT(MAX(($D$4:$D$311=$D201)*($B$4:$B$311&lt;$B201)*$B$4:$B$311))=0,0,MAX(($B201-SUMPRODUCT(MAX(($D$4:$D$311=$D201)*($B$4:$B$311&lt;$B201)*$B$4:$B$311)))/7-'Guide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Settings'!$C$42/(($F202-1)*COUNTIFS($A$4:$A$311,$A202,$E$4:$E$311,"Win")))*SUMIFS($X$4:$X$311,$A$4:$A$311,$A202,$E$4:$E$311,"Loss"),-('Guide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Settings'!$C$42/(($F202-1)*COUNTIFS($A$4:$A$311,$A202,$E$4:$E$311,"Win")))*SUMIFS($Z$4:$Z$311,$A$4:$A$311,$A202,$E$4:$E$311,"Loss"),-('Guide &amp; Settings'!$C$42/($F202-1))*$Z202)))</f>
        <v>-4.9124940952728142</v>
      </c>
      <c r="AB202" s="125">
        <f t="shared" si="67"/>
        <v>984.7993801654037</v>
      </c>
      <c r="AC202" s="125">
        <f>IF($D202="","",IF(SUMPRODUCT(MAX(($D$4:$D$311=$D202)*($B$4:$B$311&lt;$B202)*$B$4:$B$311))=0,0,MAX(($B202-SUMPRODUCT(MAX(($D$4:$D$311=$D202)*($B$4:$B$311&lt;$B202)*$B$4:$B$311)))/7-'Guide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Settings'!$C$42/(($F203-1)*COUNTIFS($A$4:$A$311,$A203,$E$4:$E$311,"Win")))*SUMIFS($X$4:$X$311,$A$4:$A$311,$A203,$E$4:$E$311,"Loss"),-('Guide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Settings'!$C$42/(($F203-1)*COUNTIFS($A$4:$A$311,$A203,$E$4:$E$311,"Win")))*SUMIFS($Z$4:$Z$311,$A$4:$A$311,$A203,$E$4:$E$311,"Loss"),-('Guide &amp; Settings'!$C$42/($F203-1))*$Z203)))</f>
        <v>-4.9124940952728142</v>
      </c>
      <c r="AB203" s="125">
        <f t="shared" si="67"/>
        <v>984.7993801654037</v>
      </c>
      <c r="AC203" s="125">
        <f>IF($D203="","",IF(SUMPRODUCT(MAX(($D$4:$D$311=$D203)*($B$4:$B$311&lt;$B203)*$B$4:$B$311))=0,0,MAX(($B203-SUMPRODUCT(MAX(($D$4:$D$311=$D203)*($B$4:$B$311&lt;$B203)*$B$4:$B$311)))/7-'Guide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Settings'!$C$42/(($F204-1)*COUNTIFS($A$4:$A$311,$A204,$E$4:$E$311,"Win")))*SUMIFS($X$4:$X$311,$A$4:$A$311,$A204,$E$4:$E$311,"Loss"),-('Guide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Settings'!$C$42/(($F204-1)*COUNTIFS($A$4:$A$311,$A204,$E$4:$E$311,"Win")))*SUMIFS($Z$4:$Z$311,$A$4:$A$311,$A204,$E$4:$E$311,"Loss"),-('Guide &amp; Settings'!$C$42/($F204-1))*$Z204)))</f>
        <v>5.8575023599757596</v>
      </c>
      <c r="AB204" s="125">
        <f t="shared" si="67"/>
        <v>965.40551589030713</v>
      </c>
      <c r="AC204" s="125">
        <f>IF($D204="","",IF(SUMPRODUCT(MAX(($D$4:$D$311=$D204)*($B$4:$B$311&lt;$B204)*$B$4:$B$311))=0,0,MAX(($B204-SUMPRODUCT(MAX(($D$4:$D$311=$D204)*($B$4:$B$311&lt;$B204)*$B$4:$B$311)))/7-'Guide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Settings'!$C$42/(($F205-1)*COUNTIFS($A$4:$A$311,$A205,$E$4:$E$311,"Win")))*SUMIFS($X$4:$X$311,$A$4:$A$311,$A205,$E$4:$E$311,"Loss"),-('Guide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Settings'!$C$42/(($F205-1)*COUNTIFS($A$4:$A$311,$A205,$E$4:$E$311,"Win")))*SUMIFS($Z$4:$Z$311,$A$4:$A$311,$A205,$E$4:$E$311,"Loss"),-('Guide &amp; Settings'!$C$42/($F205-1))*$Z205)))</f>
        <v>5.8575023599757596</v>
      </c>
      <c r="AB205" s="125">
        <f t="shared" si="67"/>
        <v>1021.6817880425549</v>
      </c>
      <c r="AC205" s="125">
        <f>IF($D205="","",IF(SUMPRODUCT(MAX(($D$4:$D$311=$D205)*($B$4:$B$311&lt;$B205)*$B$4:$B$311))=0,0,MAX(($B205-SUMPRODUCT(MAX(($D$4:$D$311=$D205)*($B$4:$B$311&lt;$B205)*$B$4:$B$311)))/7-'Guide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Settings'!$C$42/(($F206-1)*COUNTIFS($A$4:$A$311,$A206,$E$4:$E$311,"Win")))*SUMIFS($X$4:$X$311,$A$4:$A$311,$A206,$E$4:$E$311,"Loss"),-('Guide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Settings'!$C$42/(($F206-1)*COUNTIFS($A$4:$A$311,$A206,$E$4:$E$311,"Win")))*SUMIFS($Z$4:$Z$311,$A$4:$A$311,$A206,$E$4:$E$311,"Loss"),-('Guide &amp; Settings'!$C$42/($F206-1))*$Z206)))</f>
        <v>-6.2107320851212222</v>
      </c>
      <c r="AB206" s="125">
        <f t="shared" si="67"/>
        <v>1039.1570131462133</v>
      </c>
      <c r="AC206" s="125">
        <f>IF($D206="","",IF(SUMPRODUCT(MAX(($D$4:$D$311=$D206)*($B$4:$B$311&lt;$B206)*$B$4:$B$311))=0,0,MAX(($B206-SUMPRODUCT(MAX(($D$4:$D$311=$D206)*($B$4:$B$311&lt;$B206)*$B$4:$B$311)))/7-'Guide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Settings'!$C$42/(($F207-1)*COUNTIFS($A$4:$A$311,$A207,$E$4:$E$311,"Win")))*SUMIFS($X$4:$X$311,$A$4:$A$311,$A207,$E$4:$E$311,"Loss"),-('Guide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Settings'!$C$42/(($F207-1)*COUNTIFS($A$4:$A$311,$A207,$E$4:$E$311,"Win")))*SUMIFS($Z$4:$Z$311,$A$4:$A$311,$A207,$E$4:$E$311,"Loss"),-('Guide &amp; Settings'!$C$42/($F207-1))*$Z207)))</f>
        <v>-5.5042726348302979</v>
      </c>
      <c r="AB207" s="125">
        <f t="shared" si="67"/>
        <v>993.32139176969508</v>
      </c>
      <c r="AC207" s="125">
        <f>IF($D207="","",IF(SUMPRODUCT(MAX(($D$4:$D$311=$D207)*($B$4:$B$311&lt;$B207)*$B$4:$B$311))=0,0,MAX(($B207-SUMPRODUCT(MAX(($D$4:$D$311=$D207)*($B$4:$B$311&lt;$B207)*$B$4:$B$311)))/7-'Guide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Settings'!$C$42/(($F208-1)*COUNTIFS($A$4:$A$311,$A208,$E$4:$E$311,"Win")))*SUMIFS($X$4:$X$311,$A$4:$A$311,$A208,$E$4:$E$311,"Loss"),-('Guide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Settings'!$C$42/(($F208-1)*COUNTIFS($A$4:$A$311,$A208,$E$4:$E$311,"Win")))*SUMIFS($Z$4:$Z$311,$A$4:$A$311,$A208,$E$4:$E$311,"Loss"),-('Guide &amp; Settings'!$C$42/($F208-1))*$Z208)))</f>
        <v>5.6660298706239702</v>
      </c>
      <c r="AB208" s="125">
        <f t="shared" si="67"/>
        <v>971.07154576093114</v>
      </c>
      <c r="AC208" s="125">
        <f>IF($D208="","",IF(SUMPRODUCT(MAX(($D$4:$D$311=$D208)*($B$4:$B$311&lt;$B208)*$B$4:$B$311))=0,0,MAX(($B208-SUMPRODUCT(MAX(($D$4:$D$311=$D208)*($B$4:$B$311&lt;$B208)*$B$4:$B$311)))/7-'Guide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Settings'!$C$42/(($F209-1)*COUNTIFS($A$4:$A$311,$A209,$E$4:$E$311,"Win")))*SUMIFS($X$4:$X$311,$A$4:$A$311,$A209,$E$4:$E$311,"Loss"),-('Guide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Settings'!$C$42/(($F209-1)*COUNTIFS($A$4:$A$311,$A209,$E$4:$E$311,"Win")))*SUMIFS($Z$4:$Z$311,$A$4:$A$311,$A209,$E$4:$E$311,"Loss"),-('Guide &amp; Settings'!$C$42/($F209-1))*$Z209)))</f>
        <v>5.6660298706239702</v>
      </c>
      <c r="AB209" s="125">
        <f t="shared" si="67"/>
        <v>1027.3478179131789</v>
      </c>
      <c r="AC209" s="125">
        <f>IF($D209="","",IF(SUMPRODUCT(MAX(($D$4:$D$311=$D209)*($B$4:$B$311&lt;$B209)*$B$4:$B$311))=0,0,MAX(($B209-SUMPRODUCT(MAX(($D$4:$D$311=$D209)*($B$4:$B$311&lt;$B209)*$B$4:$B$311)))/7-'Guide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Settings'!$C$42/(($F210-1)*COUNTIFS($A$4:$A$311,$A210,$E$4:$E$311,"Win")))*SUMIFS($X$4:$X$311,$A$4:$A$311,$A210,$E$4:$E$311,"Loss"),-('Guide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Settings'!$C$42/(($F210-1)*COUNTIFS($A$4:$A$311,$A210,$E$4:$E$311,"Win")))*SUMIFS($Z$4:$Z$311,$A$4:$A$311,$A210,$E$4:$E$311,"Loss"),-('Guide &amp; Settings'!$C$42/($F210-1))*$Z210)))</f>
        <v>-6.4386661781816503</v>
      </c>
      <c r="AB210" s="125">
        <f t="shared" si="67"/>
        <v>1060.1693378874229</v>
      </c>
      <c r="AC210" s="125">
        <f>IF($D210="","",IF(SUMPRODUCT(MAX(($D$4:$D$311=$D210)*($B$4:$B$311&lt;$B210)*$B$4:$B$311))=0,0,MAX(($B210-SUMPRODUCT(MAX(($D$4:$D$311=$D210)*($B$4:$B$311&lt;$B210)*$B$4:$B$311)))/7-'Guide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Settings'!$C$42/(($F211-1)*COUNTIFS($A$4:$A$311,$A211,$E$4:$E$311,"Win")))*SUMIFS($X$4:$X$311,$A$4:$A$311,$A211,$E$4:$E$311,"Loss"),-('Guide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Settings'!$C$42/(($F211-1)*COUNTIFS($A$4:$A$311,$A211,$E$4:$E$311,"Win")))*SUMIFS($Z$4:$Z$311,$A$4:$A$311,$A211,$E$4:$E$311,"Loss"),-('Guide &amp; Settings'!$C$42/($F211-1))*$Z211)))</f>
        <v>-4.893393563066291</v>
      </c>
      <c r="AB211" s="125">
        <f t="shared" si="67"/>
        <v>959.92547606336859</v>
      </c>
      <c r="AC211" s="125">
        <f>IF($D211="","",IF(SUMPRODUCT(MAX(($D$4:$D$311=$D211)*($B$4:$B$311&lt;$B211)*$B$4:$B$311))=0,0,MAX(($B211-SUMPRODUCT(MAX(($D$4:$D$311=$D211)*($B$4:$B$311&lt;$B211)*$B$4:$B$311)))/7-'Guide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Settings'!$C$42/(($F212-1)*COUNTIFS($A$4:$A$311,$A212,$E$4:$E$311,"Win")))*SUMIFS($X$4:$X$311,$A$4:$A$311,$A212,$E$4:$E$311,"Loss"),-('Guide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Settings'!$C$42/(($F212-1)*COUNTIFS($A$4:$A$311,$A212,$E$4:$E$311,"Win")))*SUMIFS($Z$4:$Z$311,$A$4:$A$311,$A212,$E$4:$E$311,"Loss"),-('Guide &amp; Settings'!$C$42/($F212-1))*$Z212)))</f>
        <v>5.552971587250271</v>
      </c>
      <c r="AB212" s="125">
        <f t="shared" si="67"/>
        <v>990.35235175265393</v>
      </c>
      <c r="AC212" s="125">
        <f>IF($D212="","",IF(SUMPRODUCT(MAX(($D$4:$D$311=$D212)*($B$4:$B$311&lt;$B212)*$B$4:$B$311))=0,0,MAX(($B212-SUMPRODUCT(MAX(($D$4:$D$311=$D212)*($B$4:$B$311&lt;$B212)*$B$4:$B$311)))/7-'Guide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Settings'!$C$42/(($F213-1)*COUNTIFS($A$4:$A$311,$A213,$E$4:$E$311,"Win")))*SUMIFS($X$4:$X$311,$A$4:$A$311,$A213,$E$4:$E$311,"Loss"),-('Guide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Settings'!$C$42/(($F213-1)*COUNTIFS($A$4:$A$311,$A213,$E$4:$E$311,"Win")))*SUMIFS($Z$4:$Z$311,$A$4:$A$311,$A213,$E$4:$E$311,"Loss"),-('Guide &amp; Settings'!$C$42/($F213-1))*$Z213)))</f>
        <v>5.552971587250271</v>
      </c>
      <c r="AB213" s="125">
        <f t="shared" si="67"/>
        <v>990.35235175265393</v>
      </c>
      <c r="AC213" s="125">
        <f>IF($D213="","",IF(SUMPRODUCT(MAX(($D$4:$D$311=$D213)*($B$4:$B$311&lt;$B213)*$B$4:$B$311))=0,0,MAX(($B213-SUMPRODUCT(MAX(($D$4:$D$311=$D213)*($B$4:$B$311&lt;$B213)*$B$4:$B$311)))/7-'Guide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Settings'!$C$42/(($F214-1)*COUNTIFS($A$4:$A$311,$A214,$E$4:$E$311,"Win")))*SUMIFS($X$4:$X$311,$A$4:$A$311,$A214,$E$4:$E$311,"Loss"),-('Guide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Settings'!$C$42/(($F214-1)*COUNTIFS($A$4:$A$311,$A214,$E$4:$E$311,"Win")))*SUMIFS($Z$4:$Z$311,$A$4:$A$311,$A214,$E$4:$E$311,"Loss"),-('Guide &amp; Settings'!$C$42/($F214-1))*$Z214)))</f>
        <v>-5.1227128823082513</v>
      </c>
      <c r="AB214" s="125">
        <f t="shared" si="67"/>
        <v>965.94883287862285</v>
      </c>
      <c r="AC214" s="125">
        <f>IF($D214="","",IF(SUMPRODUCT(MAX(($D$4:$D$311=$D214)*($B$4:$B$311&lt;$B214)*$B$4:$B$311))=0,0,MAX(($B214-SUMPRODUCT(MAX(($D$4:$D$311=$D214)*($B$4:$B$311&lt;$B214)*$B$4:$B$311)))/7-'Guide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Settings'!$C$42/(($F215-1)*COUNTIFS($A$4:$A$311,$A215,$E$4:$E$311,"Win")))*SUMIFS($X$4:$X$311,$A$4:$A$311,$A215,$E$4:$E$311,"Loss"),-('Guide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Settings'!$C$42/(($F215-1)*COUNTIFS($A$4:$A$311,$A215,$E$4:$E$311,"Win")))*SUMIFS($Z$4:$Z$311,$A$4:$A$311,$A215,$E$4:$E$311,"Loss"),-('Guide &amp; Settings'!$C$42/($F215-1))*$Z215)))</f>
        <v>-5.9832302921922924</v>
      </c>
      <c r="AB215" s="125">
        <f t="shared" si="67"/>
        <v>1021.3645876209866</v>
      </c>
      <c r="AC215" s="125">
        <f>IF($D215="","",IF(SUMPRODUCT(MAX(($D$4:$D$311=$D215)*($B$4:$B$311&lt;$B215)*$B$4:$B$311))=0,0,MAX(($B215-SUMPRODUCT(MAX(($D$4:$D$311=$D215)*($B$4:$B$311&lt;$B215)*$B$4:$B$311)))/7-'Guide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Settings'!$C$42/(($F216-1)*COUNTIFS($A$4:$A$311,$A216,$E$4:$E$311,"Win")))*SUMIFS($X$4:$X$311,$A$4:$A$311,$A216,$E$4:$E$311,"Loss"),-('Guide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Settings'!$C$42/(($F216-1)*COUNTIFS($A$4:$A$311,$A216,$E$4:$E$311,"Win")))*SUMIFS($Z$4:$Z$311,$A$4:$A$311,$A216,$E$4:$E$311,"Loss"),-('Guide &amp; Settings'!$C$42/($F216-1))*$Z216)))</f>
        <v>5.3751331463777881</v>
      </c>
      <c r="AB216" s="125">
        <f t="shared" si="67"/>
        <v>995.72748489903177</v>
      </c>
      <c r="AC216" s="125">
        <f>IF($D216="","",IF(SUMPRODUCT(MAX(($D$4:$D$311=$D216)*($B$4:$B$311&lt;$B216)*$B$4:$B$311))=0,0,MAX(($B216-SUMPRODUCT(MAX(($D$4:$D$311=$D216)*($B$4:$B$311&lt;$B216)*$B$4:$B$311)))/7-'Guide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Settings'!$C$42/(($F217-1)*COUNTIFS($A$4:$A$311,$A217,$E$4:$E$311,"Win")))*SUMIFS($X$4:$X$311,$A$4:$A$311,$A217,$E$4:$E$311,"Loss"),-('Guide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Settings'!$C$42/(($F217-1)*COUNTIFS($A$4:$A$311,$A217,$E$4:$E$311,"Win")))*SUMIFS($Z$4:$Z$311,$A$4:$A$311,$A217,$E$4:$E$311,"Loss"),-('Guide &amp; Settings'!$C$42/($F217-1))*$Z217)))</f>
        <v>5.3751331463777881</v>
      </c>
      <c r="AB217" s="125">
        <f t="shared" si="67"/>
        <v>995.72748489903177</v>
      </c>
      <c r="AC217" s="125">
        <f>IF($D217="","",IF(SUMPRODUCT(MAX(($D$4:$D$311=$D217)*($B$4:$B$311&lt;$B217)*$B$4:$B$311))=0,0,MAX(($B217-SUMPRODUCT(MAX(($D$4:$D$311=$D217)*($B$4:$B$311&lt;$B217)*$B$4:$B$311)))/7-'Guide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Settings'!$C$42/(($F218-1)*COUNTIFS($A$4:$A$311,$A218,$E$4:$E$311,"Win")))*SUMIFS($X$4:$X$311,$A$4:$A$311,$A218,$E$4:$E$311,"Loss"),-('Guide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Settings'!$C$42/(($F218-1)*COUNTIFS($A$4:$A$311,$A218,$E$4:$E$311,"Win")))*SUMIFS($Z$4:$Z$311,$A$4:$A$311,$A218,$E$4:$E$311,"Loss"),-('Guide &amp; Settings'!$C$42/($F218-1))*$Z218)))</f>
        <v>-5.4869555428331367</v>
      </c>
      <c r="AB218" s="125">
        <f t="shared" si="67"/>
        <v>994.87575697010811</v>
      </c>
      <c r="AC218" s="125">
        <f>IF($D218="","",IF(SUMPRODUCT(MAX(($D$4:$D$311=$D218)*($B$4:$B$311&lt;$B218)*$B$4:$B$311))=0,0,MAX(($B218-SUMPRODUCT(MAX(($D$4:$D$311=$D218)*($B$4:$B$311&lt;$B218)*$B$4:$B$311)))/7-'Guide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Settings'!$C$42/(($F219-1)*COUNTIFS($A$4:$A$311,$A219,$E$4:$E$311,"Win")))*SUMIFS($X$4:$X$311,$A$4:$A$311,$A219,$E$4:$E$311,"Loss"),-('Guide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Settings'!$C$42/(($F219-1)*COUNTIFS($A$4:$A$311,$A219,$E$4:$E$311,"Win")))*SUMIFS($Z$4:$Z$311,$A$4:$A$311,$A219,$E$4:$E$311,"Loss"),-('Guide &amp; Settings'!$C$42/($F219-1))*$Z219)))</f>
        <v>-5.2633107499224394</v>
      </c>
      <c r="AB219" s="125">
        <f t="shared" si="67"/>
        <v>980.52721563547436</v>
      </c>
      <c r="AC219" s="125">
        <f>IF($D219="","",IF(SUMPRODUCT(MAX(($D$4:$D$311=$D219)*($B$4:$B$311&lt;$B219)*$B$4:$B$311))=0,0,MAX(($B219-SUMPRODUCT(MAX(($D$4:$D$311=$D219)*($B$4:$B$311&lt;$B219)*$B$4:$B$311)))/7-'Guide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Settings'!$C$42/(($F220-1)*COUNTIFS($A$4:$A$311,$A220,$E$4:$E$311,"Win")))*SUMIFS($X$4:$X$311,$A$4:$A$311,$A220,$E$4:$E$311,"Loss"),-('Guide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Settings'!$C$42/(($F220-1)*COUNTIFS($A$4:$A$311,$A220,$E$4:$E$311,"Win")))*SUMIFS($Z$4:$Z$311,$A$4:$A$311,$A220,$E$4:$E$311,"Loss"),-('Guide &amp; Settings'!$C$42/($F220-1))*$Z220)))</f>
        <v>15.775654816736873</v>
      </c>
      <c r="AB220" s="125">
        <f t="shared" si="67"/>
        <v>1015.7756548167368</v>
      </c>
      <c r="AC220" s="125">
        <f>IF($D220="","",IF(SUMPRODUCT(MAX(($D$4:$D$311=$D220)*($B$4:$B$311&lt;$B220)*$B$4:$B$311))=0,0,MAX(($B220-SUMPRODUCT(MAX(($D$4:$D$311=$D220)*($B$4:$B$311&lt;$B220)*$B$4:$B$311)))/7-'Guide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Settings'!$C$42/(($F221-1)*COUNTIFS($A$4:$A$311,$A221,$E$4:$E$311,"Win")))*SUMIFS($X$4:$X$311,$A$4:$A$311,$A221,$E$4:$E$311,"Loss"),-('Guide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Settings'!$C$42/(($F221-1)*COUNTIFS($A$4:$A$311,$A221,$E$4:$E$311,"Win")))*SUMIFS($Z$4:$Z$311,$A$4:$A$311,$A221,$E$4:$E$311,"Loss"),-('Guide &amp; Settings'!$C$42/($F221-1))*$Z221)))</f>
        <v>-15.775654816736873</v>
      </c>
      <c r="AB221" s="125">
        <f t="shared" si="67"/>
        <v>979.35243212981607</v>
      </c>
      <c r="AC221" s="125">
        <f>IF($D221="","",IF(SUMPRODUCT(MAX(($D$4:$D$311=$D221)*($B$4:$B$311&lt;$B221)*$B$4:$B$311))=0,0,MAX(($B221-SUMPRODUCT(MAX(($D$4:$D$311=$D221)*($B$4:$B$311&lt;$B221)*$B$4:$B$311)))/7-'Guide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Settings'!$C$42/(($F222-1)*COUNTIFS($A$4:$A$311,$A222,$E$4:$E$311,"Win")))*SUMIFS($X$4:$X$311,$A$4:$A$311,$A222,$E$4:$E$311,"Loss"),-('Guide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Settings'!$C$42/(($F222-1)*COUNTIFS($A$4:$A$311,$A222,$E$4:$E$311,"Win")))*SUMIFS($Z$4:$Z$311,$A$4:$A$311,$A222,$E$4:$E$311,"Loss"),-('Guide &amp; Settings'!$C$42/($F222-1))*$Z222)))</f>
        <v>14.328766559400348</v>
      </c>
      <c r="AB222" s="125">
        <f t="shared" si="67"/>
        <v>1030.1044213761372</v>
      </c>
      <c r="AC222" s="125">
        <f>IF($D222="","",IF(SUMPRODUCT(MAX(($D$4:$D$311=$D222)*($B$4:$B$311&lt;$B222)*$B$4:$B$311))=0,0,MAX(($B222-SUMPRODUCT(MAX(($D$4:$D$311=$D222)*($B$4:$B$311&lt;$B222)*$B$4:$B$311)))/7-'Guide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Settings'!$C$42/(($F223-1)*COUNTIFS($A$4:$A$311,$A223,$E$4:$E$311,"Win")))*SUMIFS($X$4:$X$311,$A$4:$A$311,$A223,$E$4:$E$311,"Loss"),-('Guide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Settings'!$C$42/(($F223-1)*COUNTIFS($A$4:$A$311,$A223,$E$4:$E$311,"Win")))*SUMIFS($Z$4:$Z$311,$A$4:$A$311,$A223,$E$4:$E$311,"Loss"),-('Guide &amp; Settings'!$C$42/($F223-1))*$Z223)))</f>
        <v>-14.328766559400348</v>
      </c>
      <c r="AB223" s="125">
        <f t="shared" si="67"/>
        <v>965.02366557041569</v>
      </c>
      <c r="AC223" s="125">
        <f>IF($D223="","",IF(SUMPRODUCT(MAX(($D$4:$D$311=$D223)*($B$4:$B$311&lt;$B223)*$B$4:$B$311))=0,0,MAX(($B223-SUMPRODUCT(MAX(($D$4:$D$311=$D223)*($B$4:$B$311&lt;$B223)*$B$4:$B$311)))/7-'Guide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Settings'!$C$42/(($F224-1)*COUNTIFS($A$4:$A$311,$A224,$E$4:$E$311,"Win")))*SUMIFS($X$4:$X$311,$A$4:$A$311,$A224,$E$4:$E$311,"Loss"),-('Guide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Settings'!$C$42/(($F224-1)*COUNTIFS($A$4:$A$311,$A224,$E$4:$E$311,"Win")))*SUMIFS($Z$4:$Z$311,$A$4:$A$311,$A224,$E$4:$E$311,"Loss"),-('Guide &amp; Settings'!$C$42/($F224-1))*$Z224)))</f>
        <v>16</v>
      </c>
      <c r="AB224" s="125">
        <f t="shared" si="67"/>
        <v>1016</v>
      </c>
      <c r="AC224" s="125">
        <f>IF($D224="","",IF(SUMPRODUCT(MAX(($D$4:$D$311=$D224)*($B$4:$B$311&lt;$B224)*$B$4:$B$311))=0,0,MAX(($B224-SUMPRODUCT(MAX(($D$4:$D$311=$D224)*($B$4:$B$311&lt;$B224)*$B$4:$B$311)))/7-'Guide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Settings'!$C$42/(($F225-1)*COUNTIFS($A$4:$A$311,$A225,$E$4:$E$311,"Win")))*SUMIFS($X$4:$X$311,$A$4:$A$311,$A225,$E$4:$E$311,"Loss"),-('Guide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Settings'!$C$42/(($F225-1)*COUNTIFS($A$4:$A$311,$A225,$E$4:$E$311,"Win")))*SUMIFS($Z$4:$Z$311,$A$4:$A$311,$A225,$E$4:$E$311,"Loss"),-('Guide &amp; Settings'!$C$42/($F225-1))*$Z225)))</f>
        <v>-8</v>
      </c>
      <c r="AB225" s="125">
        <f t="shared" si="67"/>
        <v>992</v>
      </c>
      <c r="AC225" s="125">
        <f>IF($D225="","",IF(SUMPRODUCT(MAX(($D$4:$D$311=$D225)*($B$4:$B$311&lt;$B225)*$B$4:$B$311))=0,0,MAX(($B225-SUMPRODUCT(MAX(($D$4:$D$311=$D225)*($B$4:$B$311&lt;$B225)*$B$4:$B$311)))/7-'Guide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Settings'!$C$42/(($F226-1)*COUNTIFS($A$4:$A$311,$A226,$E$4:$E$311,"Win")))*SUMIFS($X$4:$X$311,$A$4:$A$311,$A226,$E$4:$E$311,"Loss"),-('Guide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Settings'!$C$42/(($F226-1)*COUNTIFS($A$4:$A$311,$A226,$E$4:$E$311,"Win")))*SUMIFS($Z$4:$Z$311,$A$4:$A$311,$A226,$E$4:$E$311,"Loss"),-('Guide &amp; Settings'!$C$42/($F226-1))*$Z226)))</f>
        <v>-8</v>
      </c>
      <c r="AB226" s="125">
        <f t="shared" si="67"/>
        <v>992</v>
      </c>
      <c r="AC226" s="125">
        <f>IF($D226="","",IF(SUMPRODUCT(MAX(($D$4:$D$311=$D226)*($B$4:$B$311&lt;$B226)*$B$4:$B$311))=0,0,MAX(($B226-SUMPRODUCT(MAX(($D$4:$D$311=$D226)*($B$4:$B$311&lt;$B226)*$B$4:$B$311)))/7-'Guide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Settings'!$C$42/(($F227-1)*COUNTIFS($A$4:$A$311,$A227,$E$4:$E$311,"Win")))*SUMIFS($X$4:$X$311,$A$4:$A$311,$A227,$E$4:$E$311,"Loss"),-('Guide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Settings'!$C$42/(($F227-1)*COUNTIFS($A$4:$A$311,$A227,$E$4:$E$311,"Win")))*SUMIFS($Z$4:$Z$311,$A$4:$A$311,$A227,$E$4:$E$311,"Loss"),-('Guide &amp; Settings'!$C$42/($F227-1))*$Z227)))</f>
        <v>17.327249929355109</v>
      </c>
      <c r="AB227" s="125">
        <f t="shared" si="67"/>
        <v>988.44000204355825</v>
      </c>
      <c r="AC227" s="125">
        <f>IF($D227="","",IF(SUMPRODUCT(MAX(($D$4:$D$311=$D227)*($B$4:$B$311&lt;$B227)*$B$4:$B$311))=0,0,MAX(($B227-SUMPRODUCT(MAX(($D$4:$D$311=$D227)*($B$4:$B$311&lt;$B227)*$B$4:$B$311)))/7-'Guide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Settings'!$C$42/(($F228-1)*COUNTIFS($A$4:$A$311,$A228,$E$4:$E$311,"Win")))*SUMIFS($X$4:$X$311,$A$4:$A$311,$A228,$E$4:$E$311,"Loss"),-('Guide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Settings'!$C$42/(($F228-1)*COUNTIFS($A$4:$A$311,$A228,$E$4:$E$311,"Win")))*SUMIFS($Z$4:$Z$311,$A$4:$A$311,$A228,$E$4:$E$311,"Loss"),-('Guide &amp; Settings'!$C$42/($F228-1))*$Z228)))</f>
        <v>-17.327249929355109</v>
      </c>
      <c r="AB228" s="125">
        <f t="shared" si="67"/>
        <v>982.67275007064484</v>
      </c>
      <c r="AC228" s="125">
        <f>IF($D228="","",IF(SUMPRODUCT(MAX(($D$4:$D$311=$D228)*($B$4:$B$311&lt;$B228)*$B$4:$B$311))=0,0,MAX(($B228-SUMPRODUCT(MAX(($D$4:$D$311=$D228)*($B$4:$B$311&lt;$B228)*$B$4:$B$311)))/7-'Guide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Settings'!$C$42/(($F229-1)*COUNTIFS($A$4:$A$311,$A229,$E$4:$E$311,"Win")))*SUMIFS($X$4:$X$311,$A$4:$A$311,$A229,$E$4:$E$311,"Loss"),-('Guide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Settings'!$C$42/(($F229-1)*COUNTIFS($A$4:$A$311,$A229,$E$4:$E$311,"Win")))*SUMIFS($Z$4:$Z$311,$A$4:$A$311,$A229,$E$4:$E$311,"Loss"),-('Guide &amp; Settings'!$C$42/($F229-1))*$Z229)))</f>
        <v>15.73443262288135</v>
      </c>
      <c r="AB229" s="125">
        <f t="shared" si="67"/>
        <v>1004.1744346664397</v>
      </c>
      <c r="AC229" s="125">
        <f>IF($D229="","",IF(SUMPRODUCT(MAX(($D$4:$D$311=$D229)*($B$4:$B$311&lt;$B229)*$B$4:$B$311))=0,0,MAX(($B229-SUMPRODUCT(MAX(($D$4:$D$311=$D229)*($B$4:$B$311&lt;$B229)*$B$4:$B$311)))/7-'Guide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Settings'!$C$42/(($F230-1)*COUNTIFS($A$4:$A$311,$A230,$E$4:$E$311,"Win")))*SUMIFS($X$4:$X$311,$A$4:$A$311,$A230,$E$4:$E$311,"Loss"),-('Guide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Settings'!$C$42/(($F230-1)*COUNTIFS($A$4:$A$311,$A230,$E$4:$E$311,"Win")))*SUMIFS($Z$4:$Z$311,$A$4:$A$311,$A230,$E$4:$E$311,"Loss"),-('Guide &amp; Settings'!$C$42/($F230-1))*$Z230)))</f>
        <v>-15.73443262288135</v>
      </c>
      <c r="AB230" s="125">
        <f t="shared" si="67"/>
        <v>966.93831744776344</v>
      </c>
      <c r="AC230" s="125">
        <f>IF($D230="","",IF(SUMPRODUCT(MAX(($D$4:$D$311=$D230)*($B$4:$B$311&lt;$B230)*$B$4:$B$311))=0,0,MAX(($B230-SUMPRODUCT(MAX(($D$4:$D$311=$D230)*($B$4:$B$311&lt;$B230)*$B$4:$B$311)))/7-'Guide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Settings'!$C$42/(($F231-1)*COUNTIFS($A$4:$A$311,$A231,$E$4:$E$311,"Win")))*SUMIFS($X$4:$X$311,$A$4:$A$311,$A231,$E$4:$E$311,"Loss"),-('Guide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Settings'!$C$42/(($F231-1)*COUNTIFS($A$4:$A$311,$A231,$E$4:$E$311,"Win")))*SUMIFS($Z$4:$Z$311,$A$4:$A$311,$A231,$E$4:$E$311,"Loss"),-('Guide &amp; Settings'!$C$42/($F231-1))*$Z231)))</f>
        <v>14.291748923662567</v>
      </c>
      <c r="AB231" s="125">
        <f t="shared" si="67"/>
        <v>1018.4661835901022</v>
      </c>
      <c r="AC231" s="125">
        <f>IF($D231="","",IF(SUMPRODUCT(MAX(($D$4:$D$311=$D231)*($B$4:$B$311&lt;$B231)*$B$4:$B$311))=0,0,MAX(($B231-SUMPRODUCT(MAX(($D$4:$D$311=$D231)*($B$4:$B$311&lt;$B231)*$B$4:$B$311)))/7-'Guide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Settings'!$C$42/(($F232-1)*COUNTIFS($A$4:$A$311,$A232,$E$4:$E$311,"Win")))*SUMIFS($X$4:$X$311,$A$4:$A$311,$A232,$E$4:$E$311,"Loss"),-('Guide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Settings'!$C$42/(($F232-1)*COUNTIFS($A$4:$A$311,$A232,$E$4:$E$311,"Win")))*SUMIFS($Z$4:$Z$311,$A$4:$A$311,$A232,$E$4:$E$311,"Loss"),-('Guide &amp; Settings'!$C$42/($F232-1))*$Z232)))</f>
        <v>-14.291748923662567</v>
      </c>
      <c r="AB232" s="125">
        <f t="shared" si="67"/>
        <v>952.64656852410087</v>
      </c>
      <c r="AC232" s="125">
        <f>IF($D232="","",IF(SUMPRODUCT(MAX(($D$4:$D$311=$D232)*($B$4:$B$311&lt;$B232)*$B$4:$B$311))=0,0,MAX(($B232-SUMPRODUCT(MAX(($D$4:$D$311=$D232)*($B$4:$B$311&lt;$B232)*$B$4:$B$311)))/7-'Guide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Settings'!$C$42/(($F233-1)*COUNTIFS($A$4:$A$311,$A233,$E$4:$E$311,"Win")))*SUMIFS($X$4:$X$311,$A$4:$A$311,$A233,$E$4:$E$311,"Loss"),-('Guide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Settings'!$C$42/(($F233-1)*COUNTIFS($A$4:$A$311,$A233,$E$4:$E$311,"Win")))*SUMIFS($Z$4:$Z$311,$A$4:$A$311,$A233,$E$4:$E$311,"Loss"),-('Guide &amp; Settings'!$C$42/($F233-1))*$Z233)))</f>
        <v>-15.150400684061326</v>
      </c>
      <c r="AB233" s="125">
        <f t="shared" si="67"/>
        <v>984.84959931593869</v>
      </c>
      <c r="AC233" s="125">
        <f>IF($D233="","",IF(SUMPRODUCT(MAX(($D$4:$D$311=$D233)*($B$4:$B$311&lt;$B233)*$B$4:$B$311))=0,0,MAX(($B233-SUMPRODUCT(MAX(($D$4:$D$311=$D233)*($B$4:$B$311&lt;$B233)*$B$4:$B$311)))/7-'Guide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Settings'!$C$42/(($F234-1)*COUNTIFS($A$4:$A$311,$A234,$E$4:$E$311,"Win")))*SUMIFS($X$4:$X$311,$A$4:$A$311,$A234,$E$4:$E$311,"Loss"),-('Guide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Settings'!$C$42/(($F234-1)*COUNTIFS($A$4:$A$311,$A234,$E$4:$E$311,"Win")))*SUMIFS($Z$4:$Z$311,$A$4:$A$311,$A234,$E$4:$E$311,"Loss"),-('Guide &amp; Settings'!$C$42/($F234-1))*$Z234)))</f>
        <v>15.150400684061326</v>
      </c>
      <c r="AB234" s="125">
        <f t="shared" si="67"/>
        <v>1033.6165842741636</v>
      </c>
      <c r="AC234" s="125">
        <f>IF($D234="","",IF(SUMPRODUCT(MAX(($D$4:$D$311=$D234)*($B$4:$B$311&lt;$B234)*$B$4:$B$311))=0,0,MAX(($B234-SUMPRODUCT(MAX(($D$4:$D$311=$D234)*($B$4:$B$311&lt;$B234)*$B$4:$B$311)))/7-'Guide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Settings'!$C$42/(($F235-1)*COUNTIFS($A$4:$A$311,$A235,$E$4:$E$311,"Win")))*SUMIFS($X$4:$X$311,$A$4:$A$311,$A235,$E$4:$E$311,"Loss"),-('Guide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Settings'!$C$42/(($F235-1)*COUNTIFS($A$4:$A$311,$A235,$E$4:$E$311,"Win")))*SUMIFS($Z$4:$Z$311,$A$4:$A$311,$A235,$E$4:$E$311,"Loss"),-('Guide &amp; Settings'!$C$42/($F235-1))*$Z235)))</f>
        <v>15.199260600394643</v>
      </c>
      <c r="AB235" s="125">
        <f t="shared" si="67"/>
        <v>1032.6016342488008</v>
      </c>
      <c r="AC235" s="125">
        <f>IF($D235="","",IF(SUMPRODUCT(MAX(($D$4:$D$311=$D235)*($B$4:$B$311&lt;$B235)*$B$4:$B$311))=0,0,MAX(($B235-SUMPRODUCT(MAX(($D$4:$D$311=$D235)*($B$4:$B$311&lt;$B235)*$B$4:$B$311)))/7-'Guide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Settings'!$C$42/(($F236-1)*COUNTIFS($A$4:$A$311,$A236,$E$4:$E$311,"Win")))*SUMIFS($X$4:$X$311,$A$4:$A$311,$A236,$E$4:$E$311,"Loss"),-('Guide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Settings'!$C$42/(($F236-1)*COUNTIFS($A$4:$A$311,$A236,$E$4:$E$311,"Win")))*SUMIFS($Z$4:$Z$311,$A$4:$A$311,$A236,$E$4:$E$311,"Loss"),-('Guide &amp; Settings'!$C$42/($F236-1))*$Z236)))</f>
        <v>-15.199260600394643</v>
      </c>
      <c r="AB236" s="125">
        <f t="shared" si="67"/>
        <v>984.80073939960539</v>
      </c>
      <c r="AC236" s="125">
        <f>IF($D236="","",IF(SUMPRODUCT(MAX(($D$4:$D$311=$D236)*($B$4:$B$311&lt;$B236)*$B$4:$B$311))=0,0,MAX(($B236-SUMPRODUCT(MAX(($D$4:$D$311=$D236)*($B$4:$B$311&lt;$B236)*$B$4:$B$311)))/7-'Guide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Settings'!$C$42/(($F237-1)*COUNTIFS($A$4:$A$311,$A237,$E$4:$E$311,"Win")))*SUMIFS($X$4:$X$311,$A$4:$A$311,$A237,$E$4:$E$311,"Loss"),-('Guide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Settings'!$C$42/(($F237-1)*COUNTIFS($A$4:$A$311,$A237,$E$4:$E$311,"Win")))*SUMIFS($Z$4:$Z$311,$A$4:$A$311,$A237,$E$4:$E$311,"Loss"),-('Guide &amp; Settings'!$C$42/($F237-1))*$Z237)))</f>
        <v>14.896513768741391</v>
      </c>
      <c r="AB237" s="125">
        <f t="shared" si="67"/>
        <v>1030.8965137687414</v>
      </c>
      <c r="AC237" s="125">
        <f>IF($D237="","",IF(SUMPRODUCT(MAX(($D$4:$D$311=$D237)*($B$4:$B$311&lt;$B237)*$B$4:$B$311))=0,0,MAX(($B237-SUMPRODUCT(MAX(($D$4:$D$311=$D237)*($B$4:$B$311&lt;$B237)*$B$4:$B$311)))/7-'Guide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Settings'!$C$42/(($F238-1)*COUNTIFS($A$4:$A$311,$A238,$E$4:$E$311,"Win")))*SUMIFS($X$4:$X$311,$A$4:$A$311,$A238,$E$4:$E$311,"Loss"),-('Guide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Settings'!$C$42/(($F238-1)*COUNTIFS($A$4:$A$311,$A238,$E$4:$E$311,"Win")))*SUMIFS($Z$4:$Z$311,$A$4:$A$311,$A238,$E$4:$E$311,"Loss"),-('Guide &amp; Settings'!$C$42/($F238-1))*$Z238)))</f>
        <v>-7.4482568843706956</v>
      </c>
      <c r="AB238" s="125">
        <f t="shared" si="67"/>
        <v>984.55174311562928</v>
      </c>
      <c r="AC238" s="125">
        <f>IF($D238="","",IF(SUMPRODUCT(MAX(($D$4:$D$311=$D238)*($B$4:$B$311&lt;$B238)*$B$4:$B$311))=0,0,MAX(($B238-SUMPRODUCT(MAX(($D$4:$D$311=$D238)*($B$4:$B$311&lt;$B238)*$B$4:$B$311)))/7-'Guide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Settings'!$C$42/(($F239-1)*COUNTIFS($A$4:$A$311,$A239,$E$4:$E$311,"Win")))*SUMIFS($X$4:$X$311,$A$4:$A$311,$A239,$E$4:$E$311,"Loss"),-('Guide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Settings'!$C$42/(($F239-1)*COUNTIFS($A$4:$A$311,$A239,$E$4:$E$311,"Win")))*SUMIFS($Z$4:$Z$311,$A$4:$A$311,$A239,$E$4:$E$311,"Loss"),-('Guide &amp; Settings'!$C$42/($F239-1))*$Z239)))</f>
        <v>-7.4482568843706956</v>
      </c>
      <c r="AB239" s="125">
        <f t="shared" si="67"/>
        <v>984.55174311562928</v>
      </c>
      <c r="AC239" s="125">
        <f>IF($D239="","",IF(SUMPRODUCT(MAX(($D$4:$D$311=$D239)*($B$4:$B$311&lt;$B239)*$B$4:$B$311))=0,0,MAX(($B239-SUMPRODUCT(MAX(($D$4:$D$311=$D239)*($B$4:$B$311&lt;$B239)*$B$4:$B$311)))/7-'Guide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Settings'!$C$42/(($F240-1)*COUNTIFS($A$4:$A$311,$A240,$E$4:$E$311,"Win")))*SUMIFS($X$4:$X$311,$A$4:$A$311,$A240,$E$4:$E$311,"Loss"),-('Guide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Settings'!$C$42/(($F240-1)*COUNTIFS($A$4:$A$311,$A240,$E$4:$E$311,"Win")))*SUMIFS($Z$4:$Z$311,$A$4:$A$311,$A240,$E$4:$E$311,"Loss"),-('Guide &amp; Settings'!$C$42/($F240-1))*$Z240)))</f>
        <v>19.073419784742327</v>
      </c>
      <c r="AB240" s="125">
        <f t="shared" si="67"/>
        <v>984.09708535515801</v>
      </c>
      <c r="AC240" s="125">
        <f>IF($D240="","",IF(SUMPRODUCT(MAX(($D$4:$D$311=$D240)*($B$4:$B$311&lt;$B240)*$B$4:$B$311))=0,0,MAX(($B240-SUMPRODUCT(MAX(($D$4:$D$311=$D240)*($B$4:$B$311&lt;$B240)*$B$4:$B$311)))/7-'Guide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Settings'!$C$42/(($F241-1)*COUNTIFS($A$4:$A$311,$A241,$E$4:$E$311,"Win")))*SUMIFS($X$4:$X$311,$A$4:$A$311,$A241,$E$4:$E$311,"Loss"),-('Guide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Settings'!$C$42/(($F241-1)*COUNTIFS($A$4:$A$311,$A241,$E$4:$E$311,"Win")))*SUMIFS($Z$4:$Z$311,$A$4:$A$311,$A241,$E$4:$E$311,"Loss"),-('Guide &amp; Settings'!$C$42/($F241-1))*$Z241)))</f>
        <v>-19.073419784742327</v>
      </c>
      <c r="AB241" s="125">
        <f t="shared" si="67"/>
        <v>1013.5282144640585</v>
      </c>
      <c r="AC241" s="125">
        <f>IF($D241="","",IF(SUMPRODUCT(MAX(($D$4:$D$311=$D241)*($B$4:$B$311&lt;$B241)*$B$4:$B$311))=0,0,MAX(($B241-SUMPRODUCT(MAX(($D$4:$D$311=$D241)*($B$4:$B$311&lt;$B241)*$B$4:$B$311)))/7-'Guide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Settings'!$C$42/(($F242-1)*COUNTIFS($A$4:$A$311,$A242,$E$4:$E$311,"Win")))*SUMIFS($X$4:$X$311,$A$4:$A$311,$A242,$E$4:$E$311,"Loss"),-('Guide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Settings'!$C$42/(($F242-1)*COUNTIFS($A$4:$A$311,$A242,$E$4:$E$311,"Win")))*SUMIFS($Z$4:$Z$311,$A$4:$A$311,$A242,$E$4:$E$311,"Loss"),-('Guide &amp; Settings'!$C$42/($F242-1))*$Z242)))</f>
        <v>17.352120983758638</v>
      </c>
      <c r="AB242" s="125">
        <f t="shared" si="67"/>
        <v>1001.4492063389166</v>
      </c>
      <c r="AC242" s="125">
        <f>IF($D242="","",IF(SUMPRODUCT(MAX(($D$4:$D$311=$D242)*($B$4:$B$311&lt;$B242)*$B$4:$B$311))=0,0,MAX(($B242-SUMPRODUCT(MAX(($D$4:$D$311=$D242)*($B$4:$B$311&lt;$B242)*$B$4:$B$311)))/7-'Guide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Settings'!$C$42/(($F243-1)*COUNTIFS($A$4:$A$311,$A243,$E$4:$E$311,"Win")))*SUMIFS($X$4:$X$311,$A$4:$A$311,$A243,$E$4:$E$311,"Loss"),-('Guide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Settings'!$C$42/(($F243-1)*COUNTIFS($A$4:$A$311,$A243,$E$4:$E$311,"Win")))*SUMIFS($Z$4:$Z$311,$A$4:$A$311,$A243,$E$4:$E$311,"Loss"),-('Guide &amp; Settings'!$C$42/($F243-1))*$Z243)))</f>
        <v>-17.352120983758638</v>
      </c>
      <c r="AB243" s="125">
        <f t="shared" si="67"/>
        <v>996.17609348029987</v>
      </c>
      <c r="AC243" s="125">
        <f>IF($D243="","",IF(SUMPRODUCT(MAX(($D$4:$D$311=$D243)*($B$4:$B$311&lt;$B243)*$B$4:$B$311))=0,0,MAX(($B243-SUMPRODUCT(MAX(($D$4:$D$311=$D243)*($B$4:$B$311&lt;$B243)*$B$4:$B$311)))/7-'Guide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Settings'!$C$42/(($F244-1)*COUNTIFS($A$4:$A$311,$A244,$E$4:$E$311,"Win")))*SUMIFS($X$4:$X$311,$A$4:$A$311,$A244,$E$4:$E$311,"Loss"),-('Guide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Settings'!$C$42/(($F244-1)*COUNTIFS($A$4:$A$311,$A244,$E$4:$E$311,"Win")))*SUMIFS($Z$4:$Z$311,$A$4:$A$311,$A244,$E$4:$E$311,"Loss"),-('Guide &amp; Settings'!$C$42/($F244-1))*$Z244)))</f>
        <v>16</v>
      </c>
      <c r="AB244" s="125">
        <f t="shared" si="67"/>
        <v>1016</v>
      </c>
      <c r="AC244" s="125">
        <f>IF($D244="","",IF(SUMPRODUCT(MAX(($D$4:$D$311=$D244)*($B$4:$B$311&lt;$B244)*$B$4:$B$311))=0,0,MAX(($B244-SUMPRODUCT(MAX(($D$4:$D$311=$D244)*($B$4:$B$311&lt;$B244)*$B$4:$B$311)))/7-'Guide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Settings'!$C$42/(($F245-1)*COUNTIFS($A$4:$A$311,$A245,$E$4:$E$311,"Win")))*SUMIFS($X$4:$X$311,$A$4:$A$311,$A245,$E$4:$E$311,"Loss"),-('Guide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Settings'!$C$42/(($F245-1)*COUNTIFS($A$4:$A$311,$A245,$E$4:$E$311,"Win")))*SUMIFS($Z$4:$Z$311,$A$4:$A$311,$A245,$E$4:$E$311,"Loss"),-('Guide &amp; Settings'!$C$42/($F245-1))*$Z245)))</f>
        <v>-16</v>
      </c>
      <c r="AB245" s="125">
        <f t="shared" si="67"/>
        <v>984</v>
      </c>
      <c r="AC245" s="125">
        <f>IF($D245="","",IF(SUMPRODUCT(MAX(($D$4:$D$311=$D245)*($B$4:$B$311&lt;$B245)*$B$4:$B$311))=0,0,MAX(($B245-SUMPRODUCT(MAX(($D$4:$D$311=$D245)*($B$4:$B$311&lt;$B245)*$B$4:$B$311)))/7-'Guide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Settings'!$C$42/(($F246-1)*COUNTIFS($A$4:$A$311,$A246,$E$4:$E$311,"Win")))*SUMIFS($X$4:$X$311,$A$4:$A$311,$A246,$E$4:$E$311,"Loss"),-('Guide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Settings'!$C$42/(($F246-1)*COUNTIFS($A$4:$A$311,$A246,$E$4:$E$311,"Win")))*SUMIFS($Z$4:$Z$311,$A$4:$A$311,$A246,$E$4:$E$311,"Loss"),-('Guide &amp; Settings'!$C$42/($F246-1))*$Z246)))</f>
        <v>16</v>
      </c>
      <c r="AB246" s="125">
        <f t="shared" si="67"/>
        <v>1016</v>
      </c>
      <c r="AC246" s="125">
        <f>IF($D246="","",IF(SUMPRODUCT(MAX(($D$4:$D$311=$D246)*($B$4:$B$311&lt;$B246)*$B$4:$B$311))=0,0,MAX(($B246-SUMPRODUCT(MAX(($D$4:$D$311=$D246)*($B$4:$B$311&lt;$B246)*$B$4:$B$311)))/7-'Guide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Settings'!$C$42/(($F247-1)*COUNTIFS($A$4:$A$311,$A247,$E$4:$E$311,"Win")))*SUMIFS($X$4:$X$311,$A$4:$A$311,$A247,$E$4:$E$311,"Loss"),-('Guide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Settings'!$C$42/(($F247-1)*COUNTIFS($A$4:$A$311,$A247,$E$4:$E$311,"Win")))*SUMIFS($Z$4:$Z$311,$A$4:$A$311,$A247,$E$4:$E$311,"Loss"),-('Guide &amp; Settings'!$C$42/($F247-1))*$Z247)))</f>
        <v>-16</v>
      </c>
      <c r="AB247" s="125">
        <f t="shared" si="67"/>
        <v>984</v>
      </c>
      <c r="AC247" s="125">
        <f>IF($D247="","",IF(SUMPRODUCT(MAX(($D$4:$D$311=$D247)*($B$4:$B$311&lt;$B247)*$B$4:$B$311))=0,0,MAX(($B247-SUMPRODUCT(MAX(($D$4:$D$311=$D247)*($B$4:$B$311&lt;$B247)*$B$4:$B$311)))/7-'Guide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Settings'!$C$42/(($F248-1)*COUNTIFS($A$4:$A$311,$A248,$E$4:$E$311,"Win")))*SUMIFS($X$4:$X$311,$A$4:$A$311,$A248,$E$4:$E$311,"Loss"),-('Guide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Settings'!$C$42/(($F248-1)*COUNTIFS($A$4:$A$311,$A248,$E$4:$E$311,"Win")))*SUMIFS($Z$4:$Z$311,$A$4:$A$311,$A248,$E$4:$E$311,"Loss"),-('Guide &amp; Settings'!$C$42/($F248-1))*$Z248)))</f>
        <v>14.530498471024522</v>
      </c>
      <c r="AB248" s="125">
        <f t="shared" si="67"/>
        <v>1030.5304984710244</v>
      </c>
      <c r="AC248" s="125">
        <f>IF($D248="","",IF(SUMPRODUCT(MAX(($D$4:$D$311=$D248)*($B$4:$B$311&lt;$B248)*$B$4:$B$311))=0,0,MAX(($B248-SUMPRODUCT(MAX(($D$4:$D$311=$D248)*($B$4:$B$311&lt;$B248)*$B$4:$B$311)))/7-'Guide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Settings'!$C$42/(($F249-1)*COUNTIFS($A$4:$A$311,$A249,$E$4:$E$311,"Win")))*SUMIFS($X$4:$X$311,$A$4:$A$311,$A249,$E$4:$E$311,"Loss"),-('Guide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Settings'!$C$42/(($F249-1)*COUNTIFS($A$4:$A$311,$A249,$E$4:$E$311,"Win")))*SUMIFS($Z$4:$Z$311,$A$4:$A$311,$A249,$E$4:$E$311,"Loss"),-('Guide &amp; Settings'!$C$42/($F249-1))*$Z249)))</f>
        <v>-14.530498471024522</v>
      </c>
      <c r="AB249" s="125">
        <f t="shared" si="67"/>
        <v>969.46950152897546</v>
      </c>
      <c r="AC249" s="125">
        <f>IF($D249="","",IF(SUMPRODUCT(MAX(($D$4:$D$311=$D249)*($B$4:$B$311&lt;$B249)*$B$4:$B$311))=0,0,MAX(($B249-SUMPRODUCT(MAX(($D$4:$D$311=$D249)*($B$4:$B$311&lt;$B249)*$B$4:$B$311)))/7-'Guide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Settings'!$C$42/(($F250-1)*COUNTIFS($A$4:$A$311,$A250,$E$4:$E$311,"Win")))*SUMIFS($X$4:$X$311,$A$4:$A$311,$A250,$E$4:$E$311,"Loss"),-('Guide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Settings'!$C$42/(($F250-1)*COUNTIFS($A$4:$A$311,$A250,$E$4:$E$311,"Win")))*SUMIFS($Z$4:$Z$311,$A$4:$A$311,$A250,$E$4:$E$311,"Loss"),-('Guide &amp; Settings'!$C$42/($F250-1))*$Z250)))</f>
        <v>18.783364837413572</v>
      </c>
      <c r="AB250" s="125">
        <f t="shared" si="67"/>
        <v>988.25286636638907</v>
      </c>
      <c r="AC250" s="125">
        <f>IF($D250="","",IF(SUMPRODUCT(MAX(($D$4:$D$311=$D250)*($B$4:$B$311&lt;$B250)*$B$4:$B$311))=0,0,MAX(($B250-SUMPRODUCT(MAX(($D$4:$D$311=$D250)*($B$4:$B$311&lt;$B250)*$B$4:$B$311)))/7-'Guide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Settings'!$C$42/(($F251-1)*COUNTIFS($A$4:$A$311,$A251,$E$4:$E$311,"Win")))*SUMIFS($X$4:$X$311,$A$4:$A$311,$A251,$E$4:$E$311,"Loss"),-('Guide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Settings'!$C$42/(($F251-1)*COUNTIFS($A$4:$A$311,$A251,$E$4:$E$311,"Win")))*SUMIFS($Z$4:$Z$311,$A$4:$A$311,$A251,$E$4:$E$311,"Loss"),-('Guide &amp; Settings'!$C$42/($F251-1))*$Z251)))</f>
        <v>-18.783364837413572</v>
      </c>
      <c r="AB251" s="125">
        <f t="shared" si="67"/>
        <v>1011.7471336336108</v>
      </c>
      <c r="AC251" s="125">
        <f>IF($D251="","",IF(SUMPRODUCT(MAX(($D$4:$D$311=$D251)*($B$4:$B$311&lt;$B251)*$B$4:$B$311))=0,0,MAX(($B251-SUMPRODUCT(MAX(($D$4:$D$311=$D251)*($B$4:$B$311&lt;$B251)*$B$4:$B$311)))/7-'Guide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Settings'!$C$42/(($F252-1)*COUNTIFS($A$4:$A$311,$A252,$E$4:$E$311,"Win")))*SUMIFS($X$4:$X$311,$A$4:$A$311,$A252,$E$4:$E$311,"Loss"),-('Guide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Settings'!$C$42/(($F252-1)*COUNTIFS($A$4:$A$311,$A252,$E$4:$E$311,"Win")))*SUMIFS($Z$4:$Z$311,$A$4:$A$311,$A252,$E$4:$E$311,"Loss"),-('Guide &amp; Settings'!$C$42/($F252-1))*$Z252)))</f>
        <v>17.080304847214755</v>
      </c>
      <c r="AB252" s="125">
        <f t="shared" si="67"/>
        <v>1005.3331712136038</v>
      </c>
      <c r="AC252" s="125">
        <f>IF($D252="","",IF(SUMPRODUCT(MAX(($D$4:$D$311=$D252)*($B$4:$B$311&lt;$B252)*$B$4:$B$311))=0,0,MAX(($B252-SUMPRODUCT(MAX(($D$4:$D$311=$D252)*($B$4:$B$311&lt;$B252)*$B$4:$B$311)))/7-'Guide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Settings'!$C$42/(($F253-1)*COUNTIFS($A$4:$A$311,$A253,$E$4:$E$311,"Win")))*SUMIFS($X$4:$X$311,$A$4:$A$311,$A253,$E$4:$E$311,"Loss"),-('Guide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Settings'!$C$42/(($F253-1)*COUNTIFS($A$4:$A$311,$A253,$E$4:$E$311,"Win")))*SUMIFS($Z$4:$Z$311,$A$4:$A$311,$A253,$E$4:$E$311,"Loss"),-('Guide &amp; Settings'!$C$42/($F253-1))*$Z253)))</f>
        <v>-17.080304847214755</v>
      </c>
      <c r="AB253" s="125">
        <f t="shared" si="67"/>
        <v>994.66682878639608</v>
      </c>
      <c r="AC253" s="125">
        <f>IF($D253="","",IF(SUMPRODUCT(MAX(($D$4:$D$311=$D253)*($B$4:$B$311&lt;$B253)*$B$4:$B$311))=0,0,MAX(($B253-SUMPRODUCT(MAX(($D$4:$D$311=$D253)*($B$4:$B$311&lt;$B253)*$B$4:$B$311)))/7-'Guide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Settings'!$C$42/(($F254-1)*COUNTIFS($A$4:$A$311,$A254,$E$4:$E$311,"Win")))*SUMIFS($X$4:$X$311,$A$4:$A$311,$A254,$E$4:$E$311,"Loss"),-('Guide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Settings'!$C$42/(($F254-1)*COUNTIFS($A$4:$A$311,$A254,$E$4:$E$311,"Win")))*SUMIFS($Z$4:$Z$311,$A$4:$A$311,$A254,$E$4:$E$311,"Loss"),-('Guide &amp; Settings'!$C$42/($F254-1))*$Z254)))</f>
        <v>14.580901763557666</v>
      </c>
      <c r="AB254" s="125">
        <f t="shared" si="67"/>
        <v>1045.4774155322991</v>
      </c>
      <c r="AC254" s="125">
        <f>IF($D254="","",IF(SUMPRODUCT(MAX(($D$4:$D$311=$D254)*($B$4:$B$311&lt;$B254)*$B$4:$B$311))=0,0,MAX(($B254-SUMPRODUCT(MAX(($D$4:$D$311=$D254)*($B$4:$B$311&lt;$B254)*$B$4:$B$311)))/7-'Guide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Settings'!$C$42/(($F255-1)*COUNTIFS($A$4:$A$311,$A255,$E$4:$E$311,"Win")))*SUMIFS($X$4:$X$311,$A$4:$A$311,$A255,$E$4:$E$311,"Loss"),-('Guide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Settings'!$C$42/(($F255-1)*COUNTIFS($A$4:$A$311,$A255,$E$4:$E$311,"Win")))*SUMIFS($Z$4:$Z$311,$A$4:$A$311,$A255,$E$4:$E$311,"Loss"),-('Guide &amp; Settings'!$C$42/($F255-1))*$Z255)))</f>
        <v>-14.580901763557666</v>
      </c>
      <c r="AB255" s="125">
        <f t="shared" si="67"/>
        <v>985.41909823644232</v>
      </c>
      <c r="AC255" s="125">
        <f>IF($D255="","",IF(SUMPRODUCT(MAX(($D$4:$D$311=$D255)*($B$4:$B$311&lt;$B255)*$B$4:$B$311))=0,0,MAX(($B255-SUMPRODUCT(MAX(($D$4:$D$311=$D255)*($B$4:$B$311&lt;$B255)*$B$4:$B$311)))/7-'Guide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Settings'!$C$42/(($F256-1)*COUNTIFS($A$4:$A$311,$A256,$E$4:$E$311,"Win")))*SUMIFS($X$4:$X$311,$A$4:$A$311,$A256,$E$4:$E$311,"Loss"),-('Guide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Settings'!$C$42/(($F256-1)*COUNTIFS($A$4:$A$311,$A256,$E$4:$E$311,"Win")))*SUMIFS($Z$4:$Z$311,$A$4:$A$311,$A256,$E$4:$E$311,"Loss"),-('Guide &amp; Settings'!$C$42/($F256-1))*$Z256)))</f>
        <v>-16.710950061952136</v>
      </c>
      <c r="AB256" s="125">
        <f t="shared" si="67"/>
        <v>983.28904993804781</v>
      </c>
      <c r="AC256" s="125">
        <f>IF($D256="","",IF(SUMPRODUCT(MAX(($D$4:$D$311=$D256)*($B$4:$B$311&lt;$B256)*$B$4:$B$311))=0,0,MAX(($B256-SUMPRODUCT(MAX(($D$4:$D$311=$D256)*($B$4:$B$311&lt;$B256)*$B$4:$B$311)))/7-'Guide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Settings'!$C$42/(($F257-1)*COUNTIFS($A$4:$A$311,$A257,$E$4:$E$311,"Win")))*SUMIFS($X$4:$X$311,$A$4:$A$311,$A257,$E$4:$E$311,"Loss"),-('Guide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Settings'!$C$42/(($F257-1)*COUNTIFS($A$4:$A$311,$A257,$E$4:$E$311,"Win")))*SUMIFS($Z$4:$Z$311,$A$4:$A$311,$A257,$E$4:$E$311,"Loss"),-('Guide &amp; Settings'!$C$42/($F257-1))*$Z257)))</f>
        <v>16.710950061952136</v>
      </c>
      <c r="AB257" s="125">
        <f t="shared" si="67"/>
        <v>1001.2626931775815</v>
      </c>
      <c r="AC257" s="125">
        <f>IF($D257="","",IF(SUMPRODUCT(MAX(($D$4:$D$311=$D257)*($B$4:$B$311&lt;$B257)*$B$4:$B$311))=0,0,MAX(($B257-SUMPRODUCT(MAX(($D$4:$D$311=$D257)*($B$4:$B$311&lt;$B257)*$B$4:$B$311)))/7-'Guide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Settings'!$C$42/(($F258-1)*COUNTIFS($A$4:$A$311,$A258,$E$4:$E$311,"Win")))*SUMIFS($X$4:$X$311,$A$4:$A$311,$A258,$E$4:$E$311,"Loss"),-('Guide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Settings'!$C$42/(($F258-1)*COUNTIFS($A$4:$A$311,$A258,$E$4:$E$311,"Win")))*SUMIFS($Z$4:$Z$311,$A$4:$A$311,$A258,$E$4:$E$311,"Loss"),-('Guide &amp; Settings'!$C$42/($F258-1))*$Z258)))</f>
        <v>16.82697926214345</v>
      </c>
      <c r="AB258" s="125">
        <f t="shared" si="67"/>
        <v>1000.1160292001913</v>
      </c>
      <c r="AC258" s="125">
        <f>IF($D258="","",IF(SUMPRODUCT(MAX(($D$4:$D$311=$D258)*($B$4:$B$311&lt;$B258)*$B$4:$B$311))=0,0,MAX(($B258-SUMPRODUCT(MAX(($D$4:$D$311=$D258)*($B$4:$B$311&lt;$B258)*$B$4:$B$311)))/7-'Guide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Settings'!$C$42/(($F259-1)*COUNTIFS($A$4:$A$311,$A259,$E$4:$E$311,"Win")))*SUMIFS($X$4:$X$311,$A$4:$A$311,$A259,$E$4:$E$311,"Loss"),-('Guide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Settings'!$C$42/(($F259-1)*COUNTIFS($A$4:$A$311,$A259,$E$4:$E$311,"Win")))*SUMIFS($Z$4:$Z$311,$A$4:$A$311,$A259,$E$4:$E$311,"Loss"),-('Guide &amp; Settings'!$C$42/($F259-1))*$Z259)))</f>
        <v>-16.82697926214345</v>
      </c>
      <c r="AB259" s="125">
        <f t="shared" si="67"/>
        <v>984.43571391543799</v>
      </c>
      <c r="AC259" s="125">
        <f>IF($D259="","",IF(SUMPRODUCT(MAX(($D$4:$D$311=$D259)*($B$4:$B$311&lt;$B259)*$B$4:$B$311))=0,0,MAX(($B259-SUMPRODUCT(MAX(($D$4:$D$311=$D259)*($B$4:$B$311&lt;$B259)*$B$4:$B$311)))/7-'Guide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IF($D260="",0,COUNTIF($A$4:$A$311,$A260))</f>
        <v>2</v>
      </c>
      <c r="G260" s="120" t="str">
        <f t="shared" ref="G260:G311" si="69">IF($D260="","",IFERROR(LOOKUP(2,1/(($A$4:$A$311=$A260)*($E$4:$E$311="Win")),$D$4:$D$311),"(no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Settings'!$C$42/(($F260-1)*COUNTIFS($A$4:$A$311,$A260,$E$4:$E$311,"Win")))*SUMIFS($X$4:$X$311,$A$4:$A$311,$A260,$E$4:$E$311,"Loss"),-('Guide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IF($D260="","",IF(COUNTIFS($A$4:$A$311,$A260,$E$4:$E$311,"Win")=0,"need a winner",IF(COUNTIFS($A$4:$A$311,$A260,$E$4:$E$311,"Loss")=0,"need a loser",IF(COUNTIFS($A$4:$A$311,$A260,$D$4:$D$311,$D260)&gt;1,"duplicate player","OK"))))</f>
        <v>OK</v>
      </c>
      <c r="P260">
        <f t="shared" ref="P260:P311" si="74">IF($D260="",0,IFERROR(SUMIFS($H$4:$H$311,$A$4:$A$311,$A260,$E$4:$E$311,"Win")/COUNTIFS($A$4:$A$311,$A260,$E$4:$E$311,"Win"),0))</f>
        <v>1068.7122504858203</v>
      </c>
      <c r="Q260">
        <f t="shared" ref="Q260:Q311" si="75">IF($D260="",0,1/(1+10^(($P260-$H260)/400)))</f>
        <v>0.5</v>
      </c>
      <c r="R260">
        <f t="shared" ref="R260:R311" si="76">IF($D260="",0,(COUNTIFS($D$4:$D$311,$D260,$C$4:$C$311,$C260,$E$4:$E$311,"Win",$A$4:$A$311,"&lt;"&amp;$A260)+1)/(COUNTIFS($D$4:$D$311,$D260,$C$4:$C$311,$C260,$A$4:$A$311,"&lt;"&amp;$A260)+2))</f>
        <v>0.8</v>
      </c>
      <c r="S260">
        <f t="shared" ref="S260:S311" si="77">IF($D260="",0,SUMIFS($R$4:$R$311,$A$4:$A$311,$A260))</f>
        <v>1.3</v>
      </c>
      <c r="T260" s="88">
        <f t="shared" ref="T260:T311" si="78">IF($D260="",0,COUNTIFS($D$4:$D$311,$D260,$C$4:$C$311,$C260,$A$4:$A$311,"&lt;"&amp;$A260))</f>
        <v>3</v>
      </c>
      <c r="U260" s="125">
        <f>IF($D260="",0,IFERROR(LOOKUP(2,1/(($D$3:D259=$D260)*($C$3:C259=$C260)*($A$3:A259&lt;$A260)),$AB$3:AB259),1000))</f>
        <v>1046.5387222766644</v>
      </c>
      <c r="V260" s="125">
        <f t="shared" ref="V260:V311" si="79">IF($D260="",0,$U260*($T260/($T260+5))+$H260*(1-$T260/($T260+5)))</f>
        <v>1060.3971774073868</v>
      </c>
      <c r="W260">
        <f t="shared" ref="W260:W311" si="80">IF($D260="",0,IFERROR(SUMIFS($V$4:$V$311,$A$4:$A$311,$A260,$E$4:$E$311,"Win")/COUNTIFS($A$4:$A$311,$A260,$E$4:$E$311,"Win"),0))</f>
        <v>1060.3971774073868</v>
      </c>
      <c r="X260">
        <f t="shared" ref="X260:X311" si="81">IF($D260="",0,1/(1+10^(($W260-$V260)/400)))</f>
        <v>0.5</v>
      </c>
      <c r="Y260">
        <f t="shared" ref="Y260:Y311" si="82">IF($D260="",0,IFERROR(SUMIFS($U$4:$U$311,$A$4:$A$311,$A260,$E$4:$E$311,"Win")/COUNTIFS($A$4:$A$311,$A260,$E$4:$E$311,"Win"),0))</f>
        <v>1046.5387222766644</v>
      </c>
      <c r="Z260">
        <f t="shared" ref="Z260:Z311" si="83">IF($D260="",0,1/(1+10^(($Y260-$U260)/400)))</f>
        <v>0.5</v>
      </c>
      <c r="AA260">
        <f>IF($D260="",0,IF($F260&lt;2,0,IF($E260="Win",('Guide &amp; Settings'!$C$42/(($F260-1)*COUNTIFS($A$4:$A$311,$A260,$E$4:$E$311,"Win")))*SUMIFS($Z$4:$Z$311,$A$4:$A$311,$A260,$E$4:$E$311,"Loss"),-('Guide &amp; Settings'!$C$42/($F260-1))*$Z260)))</f>
        <v>13.172530988059659</v>
      </c>
      <c r="AB260" s="125">
        <f t="shared" ref="AB260:AB311" si="84">IF($D260="",0,$U260+$AA260)</f>
        <v>1059.7112532647241</v>
      </c>
      <c r="AC260" s="125">
        <f>IF($D260="","",IF(SUMPRODUCT(MAX(($D$4:$D$311=$D260)*($B$4:$B$311&lt;$B260)*$B$4:$B$311))=0,0,MAX(($B260-SUMPRODUCT(MAX(($D$4:$D$311=$D260)*($B$4:$B$311&lt;$B260)*$B$4:$B$311)))/7-'Guide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Settings'!$C$42/(($F261-1)*COUNTIFS($A$4:$A$311,$A261,$E$4:$E$311,"Win")))*SUMIFS($X$4:$X$311,$A$4:$A$311,$A261,$E$4:$E$311,"Loss"),-('Guide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Settings'!$C$42/(($F261-1)*COUNTIFS($A$4:$A$311,$A261,$E$4:$E$311,"Win")))*SUMIFS($Z$4:$Z$311,$A$4:$A$311,$A261,$E$4:$E$311,"Loss"),-('Guide &amp; Settings'!$C$42/($F261-1))*$Z261)))</f>
        <v>-13.172530988059659</v>
      </c>
      <c r="AB261" s="125">
        <f t="shared" si="84"/>
        <v>971.31710626577672</v>
      </c>
      <c r="AC261" s="125">
        <f>IF($D261="","",IF(SUMPRODUCT(MAX(($D$4:$D$311=$D261)*($B$4:$B$311&lt;$B261)*$B$4:$B$311))=0,0,MAX(($B261-SUMPRODUCT(MAX(($D$4:$D$311=$D261)*($B$4:$B$311&lt;$B261)*$B$4:$B$311)))/7-'Guide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Settings'!$C$42/(($F262-1)*COUNTIFS($A$4:$A$311,$A262,$E$4:$E$311,"Win")))*SUMIFS($X$4:$X$311,$A$4:$A$311,$A262,$E$4:$E$311,"Loss"),-('Guide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Settings'!$C$42/(($F262-1)*COUNTIFS($A$4:$A$311,$A262,$E$4:$E$311,"Win")))*SUMIFS($Z$4:$Z$311,$A$4:$A$311,$A262,$E$4:$E$311,"Loss"),-('Guide &amp; Settings'!$C$42/($F262-1))*$Z262)))</f>
        <v>-19.9850862178413</v>
      </c>
      <c r="AB262" s="125">
        <f t="shared" si="84"/>
        <v>1039.7261670468827</v>
      </c>
      <c r="AC262" s="125">
        <f>IF($D262="","",IF(SUMPRODUCT(MAX(($D$4:$D$311=$D262)*($B$4:$B$311&lt;$B262)*$B$4:$B$311))=0,0,MAX(($B262-SUMPRODUCT(MAX(($D$4:$D$311=$D262)*($B$4:$B$311&lt;$B262)*$B$4:$B$311)))/7-'Guide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Settings'!$C$42/(($F263-1)*COUNTIFS($A$4:$A$311,$A263,$E$4:$E$311,"Win")))*SUMIFS($X$4:$X$311,$A$4:$A$311,$A263,$E$4:$E$311,"Loss"),-('Guide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Settings'!$C$42/(($F263-1)*COUNTIFS($A$4:$A$311,$A263,$E$4:$E$311,"Win")))*SUMIFS($Z$4:$Z$311,$A$4:$A$311,$A263,$E$4:$E$311,"Loss"),-('Guide &amp; Settings'!$C$42/($F263-1))*$Z263)))</f>
        <v>19.9850862178413</v>
      </c>
      <c r="AB263" s="125">
        <f t="shared" si="84"/>
        <v>991.302192483618</v>
      </c>
      <c r="AC263" s="125">
        <f>IF($D263="","",IF(SUMPRODUCT(MAX(($D$4:$D$311=$D263)*($B$4:$B$311&lt;$B263)*$B$4:$B$311))=0,0,MAX(($B263-SUMPRODUCT(MAX(($D$4:$D$311=$D263)*($B$4:$B$311&lt;$B263)*$B$4:$B$311)))/7-'Guide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Settings'!$C$42/(($F264-1)*COUNTIFS($A$4:$A$311,$A264,$E$4:$E$311,"Win")))*SUMIFS($X$4:$X$311,$A$4:$A$311,$A264,$E$4:$E$311,"Loss"),-('Guide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Settings'!$C$42/(($F264-1)*COUNTIFS($A$4:$A$311,$A264,$E$4:$E$311,"Win")))*SUMIFS($Z$4:$Z$311,$A$4:$A$311,$A264,$E$4:$E$311,"Loss"),-('Guide &amp; Settings'!$C$42/($F264-1))*$Z264)))</f>
        <v>-18.215678097810592</v>
      </c>
      <c r="AB264" s="125">
        <f t="shared" si="84"/>
        <v>1021.5104889490721</v>
      </c>
      <c r="AC264" s="125">
        <f>IF($D264="","",IF(SUMPRODUCT(MAX(($D$4:$D$311=$D264)*($B$4:$B$311&lt;$B264)*$B$4:$B$311))=0,0,MAX(($B264-SUMPRODUCT(MAX(($D$4:$D$311=$D264)*($B$4:$B$311&lt;$B264)*$B$4:$B$311)))/7-'Guide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Settings'!$C$42/(($F265-1)*COUNTIFS($A$4:$A$311,$A265,$E$4:$E$311,"Win")))*SUMIFS($X$4:$X$311,$A$4:$A$311,$A265,$E$4:$E$311,"Loss"),-('Guide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Settings'!$C$42/(($F265-1)*COUNTIFS($A$4:$A$311,$A265,$E$4:$E$311,"Win")))*SUMIFS($Z$4:$Z$311,$A$4:$A$311,$A265,$E$4:$E$311,"Loss"),-('Guide &amp; Settings'!$C$42/($F265-1))*$Z265)))</f>
        <v>18.215678097810592</v>
      </c>
      <c r="AB265" s="125">
        <f t="shared" si="84"/>
        <v>1009.5178705814286</v>
      </c>
      <c r="AC265" s="125">
        <f>IF($D265="","",IF(SUMPRODUCT(MAX(($D$4:$D$311=$D265)*($B$4:$B$311&lt;$B265)*$B$4:$B$311))=0,0,MAX(($B265-SUMPRODUCT(MAX(($D$4:$D$311=$D265)*($B$4:$B$311&lt;$B265)*$B$4:$B$311)))/7-'Guide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Settings'!$C$42/(($F266-1)*COUNTIFS($A$4:$A$311,$A266,$E$4:$E$311,"Win")))*SUMIFS($X$4:$X$311,$A$4:$A$311,$A266,$E$4:$E$311,"Loss"),-('Guide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Settings'!$C$42/(($F266-1)*COUNTIFS($A$4:$A$311,$A266,$E$4:$E$311,"Win")))*SUMIFS($Z$4:$Z$311,$A$4:$A$311,$A266,$E$4:$E$311,"Loss"),-('Guide &amp; Settings'!$C$42/($F266-1))*$Z266)))</f>
        <v>15.44793874994804</v>
      </c>
      <c r="AB266" s="125">
        <f t="shared" si="84"/>
        <v>1036.9584276990201</v>
      </c>
      <c r="AC266" s="125">
        <f>IF($D266="","",IF(SUMPRODUCT(MAX(($D$4:$D$311=$D266)*($B$4:$B$311&lt;$B266)*$B$4:$B$311))=0,0,MAX(($B266-SUMPRODUCT(MAX(($D$4:$D$311=$D266)*($B$4:$B$311&lt;$B266)*$B$4:$B$311)))/7-'Guide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Settings'!$C$42/(($F267-1)*COUNTIFS($A$4:$A$311,$A267,$E$4:$E$311,"Win")))*SUMIFS($X$4:$X$311,$A$4:$A$311,$A267,$E$4:$E$311,"Loss"),-('Guide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Settings'!$C$42/(($F267-1)*COUNTIFS($A$4:$A$311,$A267,$E$4:$E$311,"Win")))*SUMIFS($Z$4:$Z$311,$A$4:$A$311,$A267,$E$4:$E$311,"Loss"),-('Guide &amp; Settings'!$C$42/($F267-1))*$Z267)))</f>
        <v>-15.44793874994804</v>
      </c>
      <c r="AB267" s="125">
        <f t="shared" si="84"/>
        <v>994.06993183148052</v>
      </c>
      <c r="AC267" s="125">
        <f>IF($D267="","",IF(SUMPRODUCT(MAX(($D$4:$D$311=$D267)*($B$4:$B$311&lt;$B267)*$B$4:$B$311))=0,0,MAX(($B267-SUMPRODUCT(MAX(($D$4:$D$311=$D267)*($B$4:$B$311&lt;$B267)*$B$4:$B$311)))/7-'Guide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Settings'!$C$42/(($F268-1)*COUNTIFS($A$4:$A$311,$A268,$E$4:$E$311,"Win")))*SUMIFS($X$4:$X$311,$A$4:$A$311,$A268,$E$4:$E$311,"Loss"),-('Guide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Settings'!$C$42/(($F268-1)*COUNTIFS($A$4:$A$311,$A268,$E$4:$E$311,"Win")))*SUMIFS($Z$4:$Z$311,$A$4:$A$311,$A268,$E$4:$E$311,"Loss"),-('Guide &amp; Settings'!$C$42/($F268-1))*$Z268)))</f>
        <v>14.034883249120194</v>
      </c>
      <c r="AB268" s="125">
        <f t="shared" si="84"/>
        <v>1050.9933109481403</v>
      </c>
      <c r="AC268" s="125">
        <f>IF($D268="","",IF(SUMPRODUCT(MAX(($D$4:$D$311=$D268)*($B$4:$B$311&lt;$B268)*$B$4:$B$311))=0,0,MAX(($B268-SUMPRODUCT(MAX(($D$4:$D$311=$D268)*($B$4:$B$311&lt;$B268)*$B$4:$B$311)))/7-'Guide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Settings'!$C$42/(($F269-1)*COUNTIFS($A$4:$A$311,$A269,$E$4:$E$311,"Win")))*SUMIFS($X$4:$X$311,$A$4:$A$311,$A269,$E$4:$E$311,"Loss"),-('Guide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Settings'!$C$42/(($F269-1)*COUNTIFS($A$4:$A$311,$A269,$E$4:$E$311,"Win")))*SUMIFS($Z$4:$Z$311,$A$4:$A$311,$A269,$E$4:$E$311,"Loss"),-('Guide &amp; Settings'!$C$42/($F269-1))*$Z269)))</f>
        <v>-14.034883249120194</v>
      </c>
      <c r="AB269" s="125">
        <f t="shared" si="84"/>
        <v>980.03504858236033</v>
      </c>
      <c r="AC269" s="125">
        <f>IF($D269="","",IF(SUMPRODUCT(MAX(($D$4:$D$311=$D269)*($B$4:$B$311&lt;$B269)*$B$4:$B$311))=0,0,MAX(($B269-SUMPRODUCT(MAX(($D$4:$D$311=$D269)*($B$4:$B$311&lt;$B269)*$B$4:$B$311)))/7-'Guide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Settings'!$C$42/(($F270-1)*COUNTIFS($A$4:$A$311,$A270,$E$4:$E$311,"Win")))*SUMIFS($X$4:$X$311,$A$4:$A$311,$A270,$E$4:$E$311,"Loss"),-('Guide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Settings'!$C$42/(($F270-1)*COUNTIFS($A$4:$A$311,$A270,$E$4:$E$311,"Win")))*SUMIFS($Z$4:$Z$311,$A$4:$A$311,$A270,$E$4:$E$311,"Loss"),-('Guide &amp; Settings'!$C$42/($F270-1))*$Z270)))</f>
        <v>15.224125135766659</v>
      </c>
      <c r="AB270" s="125">
        <f t="shared" si="84"/>
        <v>1015.2241251357667</v>
      </c>
      <c r="AC270" s="125">
        <f>IF($D270="","",IF(SUMPRODUCT(MAX(($D$4:$D$311=$D270)*($B$4:$B$311&lt;$B270)*$B$4:$B$311))=0,0,MAX(($B270-SUMPRODUCT(MAX(($D$4:$D$311=$D270)*($B$4:$B$311&lt;$B270)*$B$4:$B$311)))/7-'Guide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Settings'!$C$42/(($F271-1)*COUNTIFS($A$4:$A$311,$A271,$E$4:$E$311,"Win")))*SUMIFS($X$4:$X$311,$A$4:$A$311,$A271,$E$4:$E$311,"Loss"),-('Guide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Settings'!$C$42/(($F271-1)*COUNTIFS($A$4:$A$311,$A271,$E$4:$E$311,"Win")))*SUMIFS($Z$4:$Z$311,$A$4:$A$311,$A271,$E$4:$E$311,"Loss"),-('Guide &amp; Settings'!$C$42/($F271-1))*$Z271)))</f>
        <v>-15.224125135766659</v>
      </c>
      <c r="AB271" s="125">
        <f t="shared" si="84"/>
        <v>967.9147416873285</v>
      </c>
      <c r="AC271" s="125">
        <f>IF($D271="","",IF(SUMPRODUCT(MAX(($D$4:$D$311=$D271)*($B$4:$B$311&lt;$B271)*$B$4:$B$311))=0,0,MAX(($B271-SUMPRODUCT(MAX(($D$4:$D$311=$D271)*($B$4:$B$311&lt;$B271)*$B$4:$B$311)))/7-'Guide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Settings'!$C$42/(($F272-1)*COUNTIFS($A$4:$A$311,$A272,$E$4:$E$311,"Win")))*SUMIFS($X$4:$X$311,$A$4:$A$311,$A272,$E$4:$E$311,"Loss"),-('Guide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Settings'!$C$42/(($F272-1)*COUNTIFS($A$4:$A$311,$A272,$E$4:$E$311,"Win")))*SUMIFS($Z$4:$Z$311,$A$4:$A$311,$A272,$E$4:$E$311,"Loss"),-('Guide &amp; Settings'!$C$42/($F272-1))*$Z272)))</f>
        <v>13.834688606373584</v>
      </c>
      <c r="AB272" s="125">
        <f t="shared" si="84"/>
        <v>1029.0588137421403</v>
      </c>
      <c r="AC272" s="125">
        <f>IF($D272="","",IF(SUMPRODUCT(MAX(($D$4:$D$311=$D272)*($B$4:$B$311&lt;$B272)*$B$4:$B$311))=0,0,MAX(($B272-SUMPRODUCT(MAX(($D$4:$D$311=$D272)*($B$4:$B$311&lt;$B272)*$B$4:$B$311)))/7-'Guide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Settings'!$C$42/(($F273-1)*COUNTIFS($A$4:$A$311,$A273,$E$4:$E$311,"Win")))*SUMIFS($X$4:$X$311,$A$4:$A$311,$A273,$E$4:$E$311,"Loss"),-('Guide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Settings'!$C$42/(($F273-1)*COUNTIFS($A$4:$A$311,$A273,$E$4:$E$311,"Win")))*SUMIFS($Z$4:$Z$311,$A$4:$A$311,$A273,$E$4:$E$311,"Loss"),-('Guide &amp; Settings'!$C$42/($F273-1))*$Z273)))</f>
        <v>-13.834688606373584</v>
      </c>
      <c r="AB273" s="125">
        <f t="shared" si="84"/>
        <v>954.08005308095494</v>
      </c>
      <c r="AC273" s="125">
        <f>IF($D273="","",IF(SUMPRODUCT(MAX(($D$4:$D$311=$D273)*($B$4:$B$311&lt;$B273)*$B$4:$B$311))=0,0,MAX(($B273-SUMPRODUCT(MAX(($D$4:$D$311=$D273)*($B$4:$B$311&lt;$B273)*$B$4:$B$311)))/7-'Guide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Settings'!$C$42/(($F274-1)*COUNTIFS($A$4:$A$311,$A274,$E$4:$E$311,"Win")))*SUMIFS($X$4:$X$311,$A$4:$A$311,$A274,$E$4:$E$311,"Loss"),-('Guide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Settings'!$C$42/(($F274-1)*COUNTIFS($A$4:$A$311,$A274,$E$4:$E$311,"Win")))*SUMIFS($Z$4:$Z$311,$A$4:$A$311,$A274,$E$4:$E$311,"Loss"),-('Guide &amp; Settings'!$C$42/($F274-1))*$Z274)))</f>
        <v>12.599723559572594</v>
      </c>
      <c r="AB274" s="125">
        <f t="shared" si="84"/>
        <v>1041.6585373017128</v>
      </c>
      <c r="AC274" s="125">
        <f>IF($D274="","",IF(SUMPRODUCT(MAX(($D$4:$D$311=$D274)*($B$4:$B$311&lt;$B274)*$B$4:$B$311))=0,0,MAX(($B274-SUMPRODUCT(MAX(($D$4:$D$311=$D274)*($B$4:$B$311&lt;$B274)*$B$4:$B$311)))/7-'Guide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Settings'!$C$42/(($F275-1)*COUNTIFS($A$4:$A$311,$A275,$E$4:$E$311,"Win")))*SUMIFS($X$4:$X$311,$A$4:$A$311,$A275,$E$4:$E$311,"Loss"),-('Guide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Settings'!$C$42/(($F275-1)*COUNTIFS($A$4:$A$311,$A275,$E$4:$E$311,"Win")))*SUMIFS($Z$4:$Z$311,$A$4:$A$311,$A275,$E$4:$E$311,"Loss"),-('Guide &amp; Settings'!$C$42/($F275-1))*$Z275)))</f>
        <v>-12.599723559572594</v>
      </c>
      <c r="AB275" s="125">
        <f t="shared" si="84"/>
        <v>941.48032952138237</v>
      </c>
      <c r="AC275" s="125">
        <f>IF($D275="","",IF(SUMPRODUCT(MAX(($D$4:$D$311=$D275)*($B$4:$B$311&lt;$B275)*$B$4:$B$311))=0,0,MAX(($B275-SUMPRODUCT(MAX(($D$4:$D$311=$D275)*($B$4:$B$311&lt;$B275)*$B$4:$B$311)))/7-'Guide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Settings'!$C$42/(($F276-1)*COUNTIFS($A$4:$A$311,$A276,$E$4:$E$311,"Win")))*SUMIFS($X$4:$X$311,$A$4:$A$311,$A276,$E$4:$E$311,"Loss"),-('Guide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Settings'!$C$42/(($F276-1)*COUNTIFS($A$4:$A$311,$A276,$E$4:$E$311,"Win")))*SUMIFS($Z$4:$Z$311,$A$4:$A$311,$A276,$E$4:$E$311,"Loss"),-('Guide &amp; Settings'!$C$42/($F276-1))*$Z276)))</f>
        <v>14.530498471024522</v>
      </c>
      <c r="AB276" s="125">
        <f t="shared" si="84"/>
        <v>1030.5304984710244</v>
      </c>
      <c r="AC276" s="125">
        <f>IF($D276="","",IF(SUMPRODUCT(MAX(($D$4:$D$311=$D276)*($B$4:$B$311&lt;$B276)*$B$4:$B$311))=0,0,MAX(($B276-SUMPRODUCT(MAX(($D$4:$D$311=$D276)*($B$4:$B$311&lt;$B276)*$B$4:$B$311)))/7-'Guide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Settings'!$C$42/(($F277-1)*COUNTIFS($A$4:$A$311,$A277,$E$4:$E$311,"Win")))*SUMIFS($X$4:$X$311,$A$4:$A$311,$A277,$E$4:$E$311,"Loss"),-('Guide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Settings'!$C$42/(($F277-1)*COUNTIFS($A$4:$A$311,$A277,$E$4:$E$311,"Win")))*SUMIFS($Z$4:$Z$311,$A$4:$A$311,$A277,$E$4:$E$311,"Loss"),-('Guide &amp; Settings'!$C$42/($F277-1))*$Z277)))</f>
        <v>-14.530498471024522</v>
      </c>
      <c r="AB277" s="125">
        <f t="shared" si="84"/>
        <v>969.46950152897546</v>
      </c>
      <c r="AC277" s="125">
        <f>IF($D277="","",IF(SUMPRODUCT(MAX(($D$4:$D$311=$D277)*($B$4:$B$311&lt;$B277)*$B$4:$B$311))=0,0,MAX(($B277-SUMPRODUCT(MAX(($D$4:$D$311=$D277)*($B$4:$B$311&lt;$B277)*$B$4:$B$311)))/7-'Guide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Settings'!$C$42/(($F278-1)*COUNTIFS($A$4:$A$311,$A278,$E$4:$E$311,"Win")))*SUMIFS($X$4:$X$311,$A$4:$A$311,$A278,$E$4:$E$311,"Loss"),-('Guide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Settings'!$C$42/(($F278-1)*COUNTIFS($A$4:$A$311,$A278,$E$4:$E$311,"Win")))*SUMIFS($Z$4:$Z$311,$A$4:$A$311,$A278,$E$4:$E$311,"Loss"),-('Guide &amp; Settings'!$C$42/($F278-1))*$Z278)))</f>
        <v>-13.413444091438217</v>
      </c>
      <c r="AB278" s="125">
        <f t="shared" si="84"/>
        <v>928.06688542994414</v>
      </c>
      <c r="AC278" s="125">
        <f>IF($D278="","",IF(SUMPRODUCT(MAX(($D$4:$D$311=$D278)*($B$4:$B$311&lt;$B278)*$B$4:$B$311))=0,0,MAX(($B278-SUMPRODUCT(MAX(($D$4:$D$311=$D278)*($B$4:$B$311&lt;$B278)*$B$4:$B$311)))/7-'Guide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Settings'!$C$42/(($F279-1)*COUNTIFS($A$4:$A$311,$A279,$E$4:$E$311,"Win")))*SUMIFS($X$4:$X$311,$A$4:$A$311,$A279,$E$4:$E$311,"Loss"),-('Guide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Settings'!$C$42/(($F279-1)*COUNTIFS($A$4:$A$311,$A279,$E$4:$E$311,"Win")))*SUMIFS($Z$4:$Z$311,$A$4:$A$311,$A279,$E$4:$E$311,"Loss"),-('Guide &amp; Settings'!$C$42/($F279-1))*$Z279)))</f>
        <v>13.413444091438217</v>
      </c>
      <c r="AB279" s="125">
        <f t="shared" si="84"/>
        <v>1011.5572212043264</v>
      </c>
      <c r="AC279" s="125">
        <f>IF($D279="","",IF(SUMPRODUCT(MAX(($D$4:$D$311=$D279)*($B$4:$B$311&lt;$B279)*$B$4:$B$311))=0,0,MAX(($B279-SUMPRODUCT(MAX(($D$4:$D$311=$D279)*($B$4:$B$311&lt;$B279)*$B$4:$B$311)))/7-'Guide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Settings'!$C$42/(($F280-1)*COUNTIFS($A$4:$A$311,$A280,$E$4:$E$311,"Win")))*SUMIFS($X$4:$X$311,$A$4:$A$311,$A280,$E$4:$E$311,"Loss"),-('Guide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Settings'!$C$42/(($F280-1)*COUNTIFS($A$4:$A$311,$A280,$E$4:$E$311,"Win")))*SUMIFS($Z$4:$Z$311,$A$4:$A$311,$A280,$E$4:$E$311,"Loss"),-('Guide &amp; Settings'!$C$42/($F280-1))*$Z280)))</f>
        <v>-12.227466481662296</v>
      </c>
      <c r="AB280" s="125">
        <f t="shared" si="84"/>
        <v>915.83941894828183</v>
      </c>
      <c r="AC280" s="125">
        <f>IF($D280="","",IF(SUMPRODUCT(MAX(($D$4:$D$311=$D280)*($B$4:$B$311&lt;$B280)*$B$4:$B$311))=0,0,MAX(($B280-SUMPRODUCT(MAX(($D$4:$D$311=$D280)*($B$4:$B$311&lt;$B280)*$B$4:$B$311)))/7-'Guide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Settings'!$C$42/(($F281-1)*COUNTIFS($A$4:$A$311,$A281,$E$4:$E$311,"Win")))*SUMIFS($X$4:$X$311,$A$4:$A$311,$A281,$E$4:$E$311,"Loss"),-('Guide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Settings'!$C$42/(($F281-1)*COUNTIFS($A$4:$A$311,$A281,$E$4:$E$311,"Win")))*SUMIFS($Z$4:$Z$311,$A$4:$A$311,$A281,$E$4:$E$311,"Loss"),-('Guide &amp; Settings'!$C$42/($F281-1))*$Z281)))</f>
        <v>12.227466481662296</v>
      </c>
      <c r="AB281" s="125">
        <f t="shared" si="84"/>
        <v>1023.7846876859887</v>
      </c>
      <c r="AC281" s="125">
        <f>IF($D281="","",IF(SUMPRODUCT(MAX(($D$4:$D$311=$D281)*($B$4:$B$311&lt;$B281)*$B$4:$B$311))=0,0,MAX(($B281-SUMPRODUCT(MAX(($D$4:$D$311=$D281)*($B$4:$B$311&lt;$B281)*$B$4:$B$311)))/7-'Guide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Settings'!$C$42/(($F282-1)*COUNTIFS($A$4:$A$311,$A282,$E$4:$E$311,"Win")))*SUMIFS($X$4:$X$311,$A$4:$A$311,$A282,$E$4:$E$311,"Loss"),-('Guide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Settings'!$C$42/(($F282-1)*COUNTIFS($A$4:$A$311,$A282,$E$4:$E$311,"Win")))*SUMIFS($Z$4:$Z$311,$A$4:$A$311,$A282,$E$4:$E$311,"Loss"),-('Guide &amp; Settings'!$C$42/($F282-1))*$Z282)))</f>
        <v>-11.182943808100157</v>
      </c>
      <c r="AB282" s="125">
        <f t="shared" si="84"/>
        <v>904.65647514018167</v>
      </c>
      <c r="AC282" s="125">
        <f>IF($D282="","",IF(SUMPRODUCT(MAX(($D$4:$D$311=$D282)*($B$4:$B$311&lt;$B282)*$B$4:$B$311))=0,0,MAX(($B282-SUMPRODUCT(MAX(($D$4:$D$311=$D282)*($B$4:$B$311&lt;$B282)*$B$4:$B$311)))/7-'Guide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Settings'!$C$42/(($F283-1)*COUNTIFS($A$4:$A$311,$A283,$E$4:$E$311,"Win")))*SUMIFS($X$4:$X$311,$A$4:$A$311,$A283,$E$4:$E$311,"Loss"),-('Guide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Settings'!$C$42/(($F283-1)*COUNTIFS($A$4:$A$311,$A283,$E$4:$E$311,"Win")))*SUMIFS($Z$4:$Z$311,$A$4:$A$311,$A283,$E$4:$E$311,"Loss"),-('Guide &amp; Settings'!$C$42/($F283-1))*$Z283)))</f>
        <v>11.182943808100157</v>
      </c>
      <c r="AB283" s="125">
        <f t="shared" si="84"/>
        <v>1034.9676314940889</v>
      </c>
      <c r="AC283" s="125">
        <f>IF($D283="","",IF(SUMPRODUCT(MAX(($D$4:$D$311=$D283)*($B$4:$B$311&lt;$B283)*$B$4:$B$311))=0,0,MAX(($B283-SUMPRODUCT(MAX(($D$4:$D$311=$D283)*($B$4:$B$311&lt;$B283)*$B$4:$B$311)))/7-'Guide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Settings'!$C$42/(($F284-1)*COUNTIFS($A$4:$A$311,$A284,$E$4:$E$311,"Win")))*SUMIFS($X$4:$X$311,$A$4:$A$311,$A284,$E$4:$E$311,"Loss"),-('Guide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Settings'!$C$42/(($F284-1)*COUNTIFS($A$4:$A$311,$A284,$E$4:$E$311,"Win")))*SUMIFS($Z$4:$Z$311,$A$4:$A$311,$A284,$E$4:$E$311,"Loss"),-('Guide &amp; Settings'!$C$42/($F284-1))*$Z284)))</f>
        <v>-15.994656658064395</v>
      </c>
      <c r="AB284" s="125">
        <f t="shared" si="84"/>
        <v>968.44105725737359</v>
      </c>
      <c r="AC284" s="125">
        <f>IF($D284="","",IF(SUMPRODUCT(MAX(($D$4:$D$311=$D284)*($B$4:$B$311&lt;$B284)*$B$4:$B$311))=0,0,MAX(($B284-SUMPRODUCT(MAX(($D$4:$D$311=$D284)*($B$4:$B$311&lt;$B284)*$B$4:$B$311)))/7-'Guide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Settings'!$C$42/(($F285-1)*COUNTIFS($A$4:$A$311,$A285,$E$4:$E$311,"Win")))*SUMIFS($X$4:$X$311,$A$4:$A$311,$A285,$E$4:$E$311,"Loss"),-('Guide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Settings'!$C$42/(($F285-1)*COUNTIFS($A$4:$A$311,$A285,$E$4:$E$311,"Win")))*SUMIFS($Z$4:$Z$311,$A$4:$A$311,$A285,$E$4:$E$311,"Loss"),-('Guide &amp; Settings'!$C$42/($F285-1))*$Z285)))</f>
        <v>15.994656658064395</v>
      </c>
      <c r="AB285" s="125">
        <f t="shared" si="84"/>
        <v>1000.5463997736937</v>
      </c>
      <c r="AC285" s="125">
        <f>IF($D285="","",IF(SUMPRODUCT(MAX(($D$4:$D$311=$D285)*($B$4:$B$311&lt;$B285)*$B$4:$B$311))=0,0,MAX(($B285-SUMPRODUCT(MAX(($D$4:$D$311=$D285)*($B$4:$B$311&lt;$B285)*$B$4:$B$311)))/7-'Guide &amp; Settings'!$C$48,0)*'Guide &amp; Settings'!$C$49))</f>
        <v>0</v>
      </c>
    </row>
    <row r="286" spans="1:29" ht="15" customHeight="1" x14ac:dyDescent="0.2">
      <c r="A286" s="116"/>
      <c r="B286" s="117"/>
      <c r="C286" s="118"/>
      <c r="D286" s="118"/>
      <c r="E286" s="116"/>
      <c r="F286" s="119">
        <f t="shared" si="68"/>
        <v>0</v>
      </c>
      <c r="G286" s="120" t="str">
        <f t="shared" si="69"/>
        <v/>
      </c>
      <c r="H286" s="121">
        <f>IF($D286="",0,IFERROR(LOOKUP(2,1/(($D$3:D285=$D286)*($A$3:A285&lt;$A286)),$N$3:N285),'Guide &amp; Settings'!$C$41))</f>
        <v>0</v>
      </c>
      <c r="I286" s="122">
        <f t="shared" si="70"/>
        <v>0</v>
      </c>
      <c r="J286" s="123">
        <f>IF($D286="",0,IF($F286&lt;2,0,IF($E286="Win",('Guide &amp; Settings'!$C$42/(($F286-1)*COUNTIFS($A$4:$A$311,$A286,$E$4:$E$311,"Win")))*SUMIFS($X$4:$X$311,$A$4:$A$311,$A286,$E$4:$E$311,"Loss"),-('Guide &amp; Settings'!$C$42/($F286-1))*$X286)))</f>
        <v>0</v>
      </c>
      <c r="K286" s="123">
        <f>IF($D286="",0,'Guide &amp; Settings'!$C$43*(IF($E286="Win",1,0)-$I286))</f>
        <v>0</v>
      </c>
      <c r="L286" s="124">
        <f>IF($D286="",0,'Guide &amp; Settings'!$C$44*IF($F286&gt;=3,$F286+IF($E286="Win",$F286,0),0))</f>
        <v>0</v>
      </c>
      <c r="M286" s="123">
        <f t="shared" si="71"/>
        <v>0</v>
      </c>
      <c r="N286" s="121">
        <f t="shared" si="72"/>
        <v>0</v>
      </c>
      <c r="O286" s="120" t="str">
        <f t="shared" si="73"/>
        <v/>
      </c>
      <c r="P286">
        <f t="shared" si="74"/>
        <v>0</v>
      </c>
      <c r="Q286">
        <f t="shared" si="75"/>
        <v>0</v>
      </c>
      <c r="R286">
        <f t="shared" si="76"/>
        <v>0</v>
      </c>
      <c r="S286">
        <f t="shared" si="77"/>
        <v>0</v>
      </c>
      <c r="T286" s="88">
        <f t="shared" si="78"/>
        <v>0</v>
      </c>
      <c r="U286" s="125">
        <f>IF($D286="",0,IFERROR(LOOKUP(2,1/(($D$3:D285=$D286)*($C$3:C285=$C286)*($A$3:A285&lt;$A286)),$AB$3:AB285),1000))</f>
        <v>0</v>
      </c>
      <c r="V286" s="125">
        <f t="shared" si="79"/>
        <v>0</v>
      </c>
      <c r="W286">
        <f t="shared" si="80"/>
        <v>0</v>
      </c>
      <c r="X286">
        <f t="shared" si="81"/>
        <v>0</v>
      </c>
      <c r="Y286">
        <f t="shared" si="82"/>
        <v>0</v>
      </c>
      <c r="Z286">
        <f t="shared" si="83"/>
        <v>0</v>
      </c>
      <c r="AA286">
        <f>IF($D286="",0,IF($F286&lt;2,0,IF($E286="Win",('Guide &amp; Settings'!$C$42/(($F286-1)*COUNTIFS($A$4:$A$311,$A286,$E$4:$E$311,"Win")))*SUMIFS($Z$4:$Z$311,$A$4:$A$311,$A286,$E$4:$E$311,"Loss"),-('Guide &amp; Settings'!$C$42/($F286-1))*$Z286)))</f>
        <v>0</v>
      </c>
      <c r="AB286" s="125">
        <f t="shared" si="84"/>
        <v>0</v>
      </c>
      <c r="AC286" s="125" t="str">
        <f>IF($D286="","",IF(SUMPRODUCT(MAX(($D$4:$D$311=$D286)*($B$4:$B$311&lt;$B286)*$B$4:$B$311))=0,0,MAX(($B286-SUMPRODUCT(MAX(($D$4:$D$311=$D286)*($B$4:$B$311&lt;$B286)*$B$4:$B$311)))/7-'Guide &amp; Settings'!$C$48,0)*'Guide &amp; Settings'!$C$49))</f>
        <v/>
      </c>
    </row>
    <row r="287" spans="1:29" ht="15" customHeight="1" x14ac:dyDescent="0.2">
      <c r="A287" s="116"/>
      <c r="B287" s="117"/>
      <c r="C287" s="118"/>
      <c r="D287" s="118"/>
      <c r="E287" s="116"/>
      <c r="F287" s="119">
        <f t="shared" si="68"/>
        <v>0</v>
      </c>
      <c r="G287" s="120" t="str">
        <f t="shared" si="69"/>
        <v/>
      </c>
      <c r="H287" s="121">
        <f>IF($D287="",0,IFERROR(LOOKUP(2,1/(($D$3:D286=$D287)*($A$3:A286&lt;$A287)),$N$3:N286),'Guide &amp; Settings'!$C$41))</f>
        <v>0</v>
      </c>
      <c r="I287" s="122">
        <f t="shared" si="70"/>
        <v>0</v>
      </c>
      <c r="J287" s="123">
        <f>IF($D287="",0,IF($F287&lt;2,0,IF($E287="Win",('Guide &amp; Settings'!$C$42/(($F287-1)*COUNTIFS($A$4:$A$311,$A287,$E$4:$E$311,"Win")))*SUMIFS($X$4:$X$311,$A$4:$A$311,$A287,$E$4:$E$311,"Loss"),-('Guide &amp; Settings'!$C$42/($F287-1))*$X287)))</f>
        <v>0</v>
      </c>
      <c r="K287" s="123">
        <f>IF($D287="",0,'Guide &amp; Settings'!$C$43*(IF($E287="Win",1,0)-$I287))</f>
        <v>0</v>
      </c>
      <c r="L287" s="124">
        <f>IF($D287="",0,'Guide &amp; Settings'!$C$44*IF($F287&gt;=3,$F287+IF($E287="Win",$F287,0),0))</f>
        <v>0</v>
      </c>
      <c r="M287" s="123">
        <f t="shared" si="71"/>
        <v>0</v>
      </c>
      <c r="N287" s="121">
        <f t="shared" si="72"/>
        <v>0</v>
      </c>
      <c r="O287" s="120" t="str">
        <f t="shared" si="73"/>
        <v/>
      </c>
      <c r="P287">
        <f t="shared" si="74"/>
        <v>0</v>
      </c>
      <c r="Q287">
        <f t="shared" si="75"/>
        <v>0</v>
      </c>
      <c r="R287">
        <f t="shared" si="76"/>
        <v>0</v>
      </c>
      <c r="S287">
        <f t="shared" si="77"/>
        <v>0</v>
      </c>
      <c r="T287" s="88">
        <f t="shared" si="78"/>
        <v>0</v>
      </c>
      <c r="U287" s="125">
        <f>IF($D287="",0,IFERROR(LOOKUP(2,1/(($D$3:D286=$D287)*($C$3:C286=$C287)*($A$3:A286&lt;$A287)),$AB$3:AB286),1000))</f>
        <v>0</v>
      </c>
      <c r="V287" s="125">
        <f t="shared" si="79"/>
        <v>0</v>
      </c>
      <c r="W287">
        <f t="shared" si="80"/>
        <v>0</v>
      </c>
      <c r="X287">
        <f t="shared" si="81"/>
        <v>0</v>
      </c>
      <c r="Y287">
        <f t="shared" si="82"/>
        <v>0</v>
      </c>
      <c r="Z287">
        <f t="shared" si="83"/>
        <v>0</v>
      </c>
      <c r="AA287">
        <f>IF($D287="",0,IF($F287&lt;2,0,IF($E287="Win",('Guide &amp; Settings'!$C$42/(($F287-1)*COUNTIFS($A$4:$A$311,$A287,$E$4:$E$311,"Win")))*SUMIFS($Z$4:$Z$311,$A$4:$A$311,$A287,$E$4:$E$311,"Loss"),-('Guide &amp; Settings'!$C$42/($F287-1))*$Z287)))</f>
        <v>0</v>
      </c>
      <c r="AB287" s="125">
        <f t="shared" si="84"/>
        <v>0</v>
      </c>
      <c r="AC287" s="125" t="str">
        <f>IF($D287="","",IF(SUMPRODUCT(MAX(($D$4:$D$311=$D287)*($B$4:$B$311&lt;$B287)*$B$4:$B$311))=0,0,MAX(($B287-SUMPRODUCT(MAX(($D$4:$D$311=$D287)*($B$4:$B$311&lt;$B287)*$B$4:$B$311)))/7-'Guide &amp; Settings'!$C$48,0)*'Guide &amp; Settings'!$C$49))</f>
        <v/>
      </c>
    </row>
    <row r="288" spans="1:29" ht="15" customHeight="1" x14ac:dyDescent="0.2">
      <c r="A288" s="116"/>
      <c r="B288" s="117"/>
      <c r="C288" s="118"/>
      <c r="D288" s="118"/>
      <c r="E288" s="116"/>
      <c r="F288" s="119">
        <f t="shared" si="68"/>
        <v>0</v>
      </c>
      <c r="G288" s="120" t="str">
        <f t="shared" si="69"/>
        <v/>
      </c>
      <c r="H288" s="121">
        <f>IF($D288="",0,IFERROR(LOOKUP(2,1/(($D$3:D287=$D288)*($A$3:A287&lt;$A288)),$N$3:N287),'Guide &amp; Settings'!$C$41))</f>
        <v>0</v>
      </c>
      <c r="I288" s="122">
        <f t="shared" si="70"/>
        <v>0</v>
      </c>
      <c r="J288" s="123">
        <f>IF($D288="",0,IF($F288&lt;2,0,IF($E288="Win",('Guide &amp; Settings'!$C$42/(($F288-1)*COUNTIFS($A$4:$A$311,$A288,$E$4:$E$311,"Win")))*SUMIFS($X$4:$X$311,$A$4:$A$311,$A288,$E$4:$E$311,"Loss"),-('Guide &amp; Settings'!$C$42/($F288-1))*$X288)))</f>
        <v>0</v>
      </c>
      <c r="K288" s="123">
        <f>IF($D288="",0,'Guide &amp; Settings'!$C$43*(IF($E288="Win",1,0)-$I288))</f>
        <v>0</v>
      </c>
      <c r="L288" s="124">
        <f>IF($D288="",0,'Guide &amp; Settings'!$C$44*IF($F288&gt;=3,$F288+IF($E288="Win",$F288,0),0))</f>
        <v>0</v>
      </c>
      <c r="M288" s="123">
        <f t="shared" si="71"/>
        <v>0</v>
      </c>
      <c r="N288" s="121">
        <f t="shared" si="72"/>
        <v>0</v>
      </c>
      <c r="O288" s="120" t="str">
        <f t="shared" si="73"/>
        <v/>
      </c>
      <c r="P288">
        <f t="shared" si="74"/>
        <v>0</v>
      </c>
      <c r="Q288">
        <f t="shared" si="75"/>
        <v>0</v>
      </c>
      <c r="R288">
        <f t="shared" si="76"/>
        <v>0</v>
      </c>
      <c r="S288">
        <f t="shared" si="77"/>
        <v>0</v>
      </c>
      <c r="T288" s="88">
        <f t="shared" si="78"/>
        <v>0</v>
      </c>
      <c r="U288" s="125">
        <f>IF($D288="",0,IFERROR(LOOKUP(2,1/(($D$3:D287=$D288)*($C$3:C287=$C288)*($A$3:A287&lt;$A288)),$AB$3:AB287),1000))</f>
        <v>0</v>
      </c>
      <c r="V288" s="125">
        <f t="shared" si="79"/>
        <v>0</v>
      </c>
      <c r="W288">
        <f t="shared" si="80"/>
        <v>0</v>
      </c>
      <c r="X288">
        <f t="shared" si="81"/>
        <v>0</v>
      </c>
      <c r="Y288">
        <f t="shared" si="82"/>
        <v>0</v>
      </c>
      <c r="Z288">
        <f t="shared" si="83"/>
        <v>0</v>
      </c>
      <c r="AA288">
        <f>IF($D288="",0,IF($F288&lt;2,0,IF($E288="Win",('Guide &amp; Settings'!$C$42/(($F288-1)*COUNTIFS($A$4:$A$311,$A288,$E$4:$E$311,"Win")))*SUMIFS($Z$4:$Z$311,$A$4:$A$311,$A288,$E$4:$E$311,"Loss"),-('Guide &amp; Settings'!$C$42/($F288-1))*$Z288)))</f>
        <v>0</v>
      </c>
      <c r="AB288" s="125">
        <f t="shared" si="84"/>
        <v>0</v>
      </c>
      <c r="AC288" s="125" t="str">
        <f>IF($D288="","",IF(SUMPRODUCT(MAX(($D$4:$D$311=$D288)*($B$4:$B$311&lt;$B288)*$B$4:$B$311))=0,0,MAX(($B288-SUMPRODUCT(MAX(($D$4:$D$311=$D288)*($B$4:$B$311&lt;$B288)*$B$4:$B$311)))/7-'Guide &amp; Settings'!$C$48,0)*'Guide &amp; Settings'!$C$49))</f>
        <v/>
      </c>
    </row>
    <row r="289" spans="1:29" ht="15" customHeight="1" x14ac:dyDescent="0.2">
      <c r="A289" s="116"/>
      <c r="B289" s="117"/>
      <c r="C289" s="118"/>
      <c r="D289" s="118"/>
      <c r="E289" s="116"/>
      <c r="F289" s="119">
        <f t="shared" si="68"/>
        <v>0</v>
      </c>
      <c r="G289" s="120" t="str">
        <f t="shared" si="69"/>
        <v/>
      </c>
      <c r="H289" s="121">
        <f>IF($D289="",0,IFERROR(LOOKUP(2,1/(($D$3:D288=$D289)*($A$3:A288&lt;$A289)),$N$3:N288),'Guide &amp; Settings'!$C$41))</f>
        <v>0</v>
      </c>
      <c r="I289" s="122">
        <f t="shared" si="70"/>
        <v>0</v>
      </c>
      <c r="J289" s="123">
        <f>IF($D289="",0,IF($F289&lt;2,0,IF($E289="Win",('Guide &amp; Settings'!$C$42/(($F289-1)*COUNTIFS($A$4:$A$311,$A289,$E$4:$E$311,"Win")))*SUMIFS($X$4:$X$311,$A$4:$A$311,$A289,$E$4:$E$311,"Loss"),-('Guide &amp; Settings'!$C$42/($F289-1))*$X289)))</f>
        <v>0</v>
      </c>
      <c r="K289" s="123">
        <f>IF($D289="",0,'Guide &amp; Settings'!$C$43*(IF($E289="Win",1,0)-$I289))</f>
        <v>0</v>
      </c>
      <c r="L289" s="124">
        <f>IF($D289="",0,'Guide &amp; Settings'!$C$44*IF($F289&gt;=3,$F289+IF($E289="Win",$F289,0),0))</f>
        <v>0</v>
      </c>
      <c r="M289" s="123">
        <f t="shared" si="71"/>
        <v>0</v>
      </c>
      <c r="N289" s="121">
        <f t="shared" si="72"/>
        <v>0</v>
      </c>
      <c r="O289" s="120" t="str">
        <f t="shared" si="73"/>
        <v/>
      </c>
      <c r="P289">
        <f t="shared" si="74"/>
        <v>0</v>
      </c>
      <c r="Q289">
        <f t="shared" si="75"/>
        <v>0</v>
      </c>
      <c r="R289">
        <f t="shared" si="76"/>
        <v>0</v>
      </c>
      <c r="S289">
        <f t="shared" si="77"/>
        <v>0</v>
      </c>
      <c r="T289" s="88">
        <f t="shared" si="78"/>
        <v>0</v>
      </c>
      <c r="U289" s="125">
        <f>IF($D289="",0,IFERROR(LOOKUP(2,1/(($D$3:D288=$D289)*($C$3:C288=$C289)*($A$3:A288&lt;$A289)),$AB$3:AB288),1000))</f>
        <v>0</v>
      </c>
      <c r="V289" s="125">
        <f t="shared" si="79"/>
        <v>0</v>
      </c>
      <c r="W289">
        <f t="shared" si="80"/>
        <v>0</v>
      </c>
      <c r="X289">
        <f t="shared" si="81"/>
        <v>0</v>
      </c>
      <c r="Y289">
        <f t="shared" si="82"/>
        <v>0</v>
      </c>
      <c r="Z289">
        <f t="shared" si="83"/>
        <v>0</v>
      </c>
      <c r="AA289">
        <f>IF($D289="",0,IF($F289&lt;2,0,IF($E289="Win",('Guide &amp; Settings'!$C$42/(($F289-1)*COUNTIFS($A$4:$A$311,$A289,$E$4:$E$311,"Win")))*SUMIFS($Z$4:$Z$311,$A$4:$A$311,$A289,$E$4:$E$311,"Loss"),-('Guide &amp; Settings'!$C$42/($F289-1))*$Z289)))</f>
        <v>0</v>
      </c>
      <c r="AB289" s="125">
        <f t="shared" si="84"/>
        <v>0</v>
      </c>
      <c r="AC289" s="125" t="str">
        <f>IF($D289="","",IF(SUMPRODUCT(MAX(($D$4:$D$311=$D289)*($B$4:$B$311&lt;$B289)*$B$4:$B$311))=0,0,MAX(($B289-SUMPRODUCT(MAX(($D$4:$D$311=$D289)*($B$4:$B$311&lt;$B289)*$B$4:$B$311)))/7-'Guide &amp; Settings'!$C$48,0)*'Guide &amp; Settings'!$C$49))</f>
        <v/>
      </c>
    </row>
    <row r="290" spans="1:29" ht="15" customHeight="1" x14ac:dyDescent="0.2">
      <c r="A290" s="116"/>
      <c r="B290" s="117"/>
      <c r="C290" s="118"/>
      <c r="D290" s="118"/>
      <c r="E290" s="116"/>
      <c r="F290" s="119">
        <f t="shared" si="68"/>
        <v>0</v>
      </c>
      <c r="G290" s="120" t="str">
        <f t="shared" si="69"/>
        <v/>
      </c>
      <c r="H290" s="121">
        <f>IF($D290="",0,IFERROR(LOOKUP(2,1/(($D$3:D289=$D290)*($A$3:A289&lt;$A290)),$N$3:N289),'Guide &amp; Settings'!$C$41))</f>
        <v>0</v>
      </c>
      <c r="I290" s="122">
        <f t="shared" si="70"/>
        <v>0</v>
      </c>
      <c r="J290" s="123">
        <f>IF($D290="",0,IF($F290&lt;2,0,IF($E290="Win",('Guide &amp; Settings'!$C$42/(($F290-1)*COUNTIFS($A$4:$A$311,$A290,$E$4:$E$311,"Win")))*SUMIFS($X$4:$X$311,$A$4:$A$311,$A290,$E$4:$E$311,"Loss"),-('Guide &amp; Settings'!$C$42/($F290-1))*$X290)))</f>
        <v>0</v>
      </c>
      <c r="K290" s="123">
        <f>IF($D290="",0,'Guide &amp; Settings'!$C$43*(IF($E290="Win",1,0)-$I290))</f>
        <v>0</v>
      </c>
      <c r="L290" s="124">
        <f>IF($D290="",0,'Guide &amp; Settings'!$C$44*IF($F290&gt;=3,$F290+IF($E290="Win",$F290,0),0))</f>
        <v>0</v>
      </c>
      <c r="M290" s="123">
        <f t="shared" si="71"/>
        <v>0</v>
      </c>
      <c r="N290" s="121">
        <f t="shared" si="72"/>
        <v>0</v>
      </c>
      <c r="O290" s="120" t="str">
        <f t="shared" si="73"/>
        <v/>
      </c>
      <c r="P290">
        <f t="shared" si="74"/>
        <v>0</v>
      </c>
      <c r="Q290">
        <f t="shared" si="75"/>
        <v>0</v>
      </c>
      <c r="R290">
        <f t="shared" si="76"/>
        <v>0</v>
      </c>
      <c r="S290">
        <f t="shared" si="77"/>
        <v>0</v>
      </c>
      <c r="T290" s="88">
        <f t="shared" si="78"/>
        <v>0</v>
      </c>
      <c r="U290" s="125">
        <f>IF($D290="",0,IFERROR(LOOKUP(2,1/(($D$3:D289=$D290)*($C$3:C289=$C290)*($A$3:A289&lt;$A290)),$AB$3:AB289),1000))</f>
        <v>0</v>
      </c>
      <c r="V290" s="125">
        <f t="shared" si="79"/>
        <v>0</v>
      </c>
      <c r="W290">
        <f t="shared" si="80"/>
        <v>0</v>
      </c>
      <c r="X290">
        <f t="shared" si="81"/>
        <v>0</v>
      </c>
      <c r="Y290">
        <f t="shared" si="82"/>
        <v>0</v>
      </c>
      <c r="Z290">
        <f t="shared" si="83"/>
        <v>0</v>
      </c>
      <c r="AA290">
        <f>IF($D290="",0,IF($F290&lt;2,0,IF($E290="Win",('Guide &amp; Settings'!$C$42/(($F290-1)*COUNTIFS($A$4:$A$311,$A290,$E$4:$E$311,"Win")))*SUMIFS($Z$4:$Z$311,$A$4:$A$311,$A290,$E$4:$E$311,"Loss"),-('Guide &amp; Settings'!$C$42/($F290-1))*$Z290)))</f>
        <v>0</v>
      </c>
      <c r="AB290" s="125">
        <f t="shared" si="84"/>
        <v>0</v>
      </c>
      <c r="AC290" s="125" t="str">
        <f>IF($D290="","",IF(SUMPRODUCT(MAX(($D$4:$D$311=$D290)*($B$4:$B$311&lt;$B290)*$B$4:$B$311))=0,0,MAX(($B290-SUMPRODUCT(MAX(($D$4:$D$311=$D290)*($B$4:$B$311&lt;$B290)*$B$4:$B$311)))/7-'Guide &amp; Settings'!$C$48,0)*'Guide &amp; Settings'!$C$49))</f>
        <v/>
      </c>
    </row>
    <row r="291" spans="1:29" ht="15" customHeight="1" x14ac:dyDescent="0.2">
      <c r="A291" s="116"/>
      <c r="B291" s="117"/>
      <c r="C291" s="118"/>
      <c r="D291" s="118"/>
      <c r="E291" s="116"/>
      <c r="F291" s="119">
        <f t="shared" si="68"/>
        <v>0</v>
      </c>
      <c r="G291" s="120" t="str">
        <f t="shared" si="69"/>
        <v/>
      </c>
      <c r="H291" s="121">
        <f>IF($D291="",0,IFERROR(LOOKUP(2,1/(($D$3:D290=$D291)*($A$3:A290&lt;$A291)),$N$3:N290),'Guide &amp; Settings'!$C$41))</f>
        <v>0</v>
      </c>
      <c r="I291" s="122">
        <f t="shared" si="70"/>
        <v>0</v>
      </c>
      <c r="J291" s="123">
        <f>IF($D291="",0,IF($F291&lt;2,0,IF($E291="Win",('Guide &amp; Settings'!$C$42/(($F291-1)*COUNTIFS($A$4:$A$311,$A291,$E$4:$E$311,"Win")))*SUMIFS($X$4:$X$311,$A$4:$A$311,$A291,$E$4:$E$311,"Loss"),-('Guide &amp; Settings'!$C$42/($F291-1))*$X291)))</f>
        <v>0</v>
      </c>
      <c r="K291" s="123">
        <f>IF($D291="",0,'Guide &amp; Settings'!$C$43*(IF($E291="Win",1,0)-$I291))</f>
        <v>0</v>
      </c>
      <c r="L291" s="124">
        <f>IF($D291="",0,'Guide &amp; Settings'!$C$44*IF($F291&gt;=3,$F291+IF($E291="Win",$F291,0),0))</f>
        <v>0</v>
      </c>
      <c r="M291" s="123">
        <f t="shared" si="71"/>
        <v>0</v>
      </c>
      <c r="N291" s="121">
        <f t="shared" si="72"/>
        <v>0</v>
      </c>
      <c r="O291" s="120" t="str">
        <f t="shared" si="73"/>
        <v/>
      </c>
      <c r="P291">
        <f t="shared" si="74"/>
        <v>0</v>
      </c>
      <c r="Q291">
        <f t="shared" si="75"/>
        <v>0</v>
      </c>
      <c r="R291">
        <f t="shared" si="76"/>
        <v>0</v>
      </c>
      <c r="S291">
        <f t="shared" si="77"/>
        <v>0</v>
      </c>
      <c r="T291" s="88">
        <f t="shared" si="78"/>
        <v>0</v>
      </c>
      <c r="U291" s="125">
        <f>IF($D291="",0,IFERROR(LOOKUP(2,1/(($D$3:D290=$D291)*($C$3:C290=$C291)*($A$3:A290&lt;$A291)),$AB$3:AB290),1000))</f>
        <v>0</v>
      </c>
      <c r="V291" s="125">
        <f t="shared" si="79"/>
        <v>0</v>
      </c>
      <c r="W291">
        <f t="shared" si="80"/>
        <v>0</v>
      </c>
      <c r="X291">
        <f t="shared" si="81"/>
        <v>0</v>
      </c>
      <c r="Y291">
        <f t="shared" si="82"/>
        <v>0</v>
      </c>
      <c r="Z291">
        <f t="shared" si="83"/>
        <v>0</v>
      </c>
      <c r="AA291">
        <f>IF($D291="",0,IF($F291&lt;2,0,IF($E291="Win",('Guide &amp; Settings'!$C$42/(($F291-1)*COUNTIFS($A$4:$A$311,$A291,$E$4:$E$311,"Win")))*SUMIFS($Z$4:$Z$311,$A$4:$A$311,$A291,$E$4:$E$311,"Loss"),-('Guide &amp; Settings'!$C$42/($F291-1))*$Z291)))</f>
        <v>0</v>
      </c>
      <c r="AB291" s="125">
        <f t="shared" si="84"/>
        <v>0</v>
      </c>
      <c r="AC291" s="125" t="str">
        <f>IF($D291="","",IF(SUMPRODUCT(MAX(($D$4:$D$311=$D291)*($B$4:$B$311&lt;$B291)*$B$4:$B$311))=0,0,MAX(($B291-SUMPRODUCT(MAX(($D$4:$D$311=$D291)*($B$4:$B$311&lt;$B291)*$B$4:$B$311)))/7-'Guide &amp; Settings'!$C$48,0)*'Guide &amp; Settings'!$C$49))</f>
        <v/>
      </c>
    </row>
    <row r="292" spans="1:29" ht="15" customHeight="1" x14ac:dyDescent="0.2">
      <c r="A292" s="116"/>
      <c r="B292" s="117"/>
      <c r="C292" s="118"/>
      <c r="D292" s="118"/>
      <c r="E292" s="116"/>
      <c r="F292" s="119">
        <f t="shared" si="68"/>
        <v>0</v>
      </c>
      <c r="G292" s="120" t="str">
        <f t="shared" si="69"/>
        <v/>
      </c>
      <c r="H292" s="121">
        <f>IF($D292="",0,IFERROR(LOOKUP(2,1/(($D$3:D291=$D292)*($A$3:A291&lt;$A292)),$N$3:N291),'Guide &amp; Settings'!$C$41))</f>
        <v>0</v>
      </c>
      <c r="I292" s="122">
        <f t="shared" si="70"/>
        <v>0</v>
      </c>
      <c r="J292" s="123">
        <f>IF($D292="",0,IF($F292&lt;2,0,IF($E292="Win",('Guide &amp; Settings'!$C$42/(($F292-1)*COUNTIFS($A$4:$A$311,$A292,$E$4:$E$311,"Win")))*SUMIFS($X$4:$X$311,$A$4:$A$311,$A292,$E$4:$E$311,"Loss"),-('Guide &amp; Settings'!$C$42/($F292-1))*$X292)))</f>
        <v>0</v>
      </c>
      <c r="K292" s="123">
        <f>IF($D292="",0,'Guide &amp; Settings'!$C$43*(IF($E292="Win",1,0)-$I292))</f>
        <v>0</v>
      </c>
      <c r="L292" s="124">
        <f>IF($D292="",0,'Guide &amp; Settings'!$C$44*IF($F292&gt;=3,$F292+IF($E292="Win",$F292,0),0))</f>
        <v>0</v>
      </c>
      <c r="M292" s="123">
        <f t="shared" si="71"/>
        <v>0</v>
      </c>
      <c r="N292" s="121">
        <f t="shared" si="72"/>
        <v>0</v>
      </c>
      <c r="O292" s="120" t="str">
        <f t="shared" si="73"/>
        <v/>
      </c>
      <c r="P292">
        <f t="shared" si="74"/>
        <v>0</v>
      </c>
      <c r="Q292">
        <f t="shared" si="75"/>
        <v>0</v>
      </c>
      <c r="R292">
        <f t="shared" si="76"/>
        <v>0</v>
      </c>
      <c r="S292">
        <f t="shared" si="77"/>
        <v>0</v>
      </c>
      <c r="T292" s="88">
        <f t="shared" si="78"/>
        <v>0</v>
      </c>
      <c r="U292" s="125">
        <f>IF($D292="",0,IFERROR(LOOKUP(2,1/(($D$3:D291=$D292)*($C$3:C291=$C292)*($A$3:A291&lt;$A292)),$AB$3:AB291),1000))</f>
        <v>0</v>
      </c>
      <c r="V292" s="125">
        <f t="shared" si="79"/>
        <v>0</v>
      </c>
      <c r="W292">
        <f t="shared" si="80"/>
        <v>0</v>
      </c>
      <c r="X292">
        <f t="shared" si="81"/>
        <v>0</v>
      </c>
      <c r="Y292">
        <f t="shared" si="82"/>
        <v>0</v>
      </c>
      <c r="Z292">
        <f t="shared" si="83"/>
        <v>0</v>
      </c>
      <c r="AA292">
        <f>IF($D292="",0,IF($F292&lt;2,0,IF($E292="Win",('Guide &amp; Settings'!$C$42/(($F292-1)*COUNTIFS($A$4:$A$311,$A292,$E$4:$E$311,"Win")))*SUMIFS($Z$4:$Z$311,$A$4:$A$311,$A292,$E$4:$E$311,"Loss"),-('Guide &amp; Settings'!$C$42/($F292-1))*$Z292)))</f>
        <v>0</v>
      </c>
      <c r="AB292" s="125">
        <f t="shared" si="84"/>
        <v>0</v>
      </c>
      <c r="AC292" s="125" t="str">
        <f>IF($D292="","",IF(SUMPRODUCT(MAX(($D$4:$D$311=$D292)*($B$4:$B$311&lt;$B292)*$B$4:$B$311))=0,0,MAX(($B292-SUMPRODUCT(MAX(($D$4:$D$311=$D292)*($B$4:$B$311&lt;$B292)*$B$4:$B$311)))/7-'Guide &amp; Settings'!$C$48,0)*'Guide &amp; Settings'!$C$49))</f>
        <v/>
      </c>
    </row>
    <row r="293" spans="1:29" ht="15" customHeight="1" x14ac:dyDescent="0.2">
      <c r="A293" s="116"/>
      <c r="B293" s="117"/>
      <c r="C293" s="118"/>
      <c r="D293" s="118"/>
      <c r="E293" s="116"/>
      <c r="F293" s="119">
        <f t="shared" si="68"/>
        <v>0</v>
      </c>
      <c r="G293" s="120" t="str">
        <f t="shared" si="69"/>
        <v/>
      </c>
      <c r="H293" s="121">
        <f>IF($D293="",0,IFERROR(LOOKUP(2,1/(($D$3:D292=$D293)*($A$3:A292&lt;$A293)),$N$3:N292),'Guide &amp; Settings'!$C$41))</f>
        <v>0</v>
      </c>
      <c r="I293" s="122">
        <f t="shared" si="70"/>
        <v>0</v>
      </c>
      <c r="J293" s="123">
        <f>IF($D293="",0,IF($F293&lt;2,0,IF($E293="Win",('Guide &amp; Settings'!$C$42/(($F293-1)*COUNTIFS($A$4:$A$311,$A293,$E$4:$E$311,"Win")))*SUMIFS($X$4:$X$311,$A$4:$A$311,$A293,$E$4:$E$311,"Loss"),-('Guide &amp; Settings'!$C$42/($F293-1))*$X293)))</f>
        <v>0</v>
      </c>
      <c r="K293" s="123">
        <f>IF($D293="",0,'Guide &amp; Settings'!$C$43*(IF($E293="Win",1,0)-$I293))</f>
        <v>0</v>
      </c>
      <c r="L293" s="124">
        <f>IF($D293="",0,'Guide &amp; Settings'!$C$44*IF($F293&gt;=3,$F293+IF($E293="Win",$F293,0),0))</f>
        <v>0</v>
      </c>
      <c r="M293" s="123">
        <f t="shared" si="71"/>
        <v>0</v>
      </c>
      <c r="N293" s="121">
        <f t="shared" si="72"/>
        <v>0</v>
      </c>
      <c r="O293" s="120" t="str">
        <f t="shared" si="73"/>
        <v/>
      </c>
      <c r="P293">
        <f t="shared" si="74"/>
        <v>0</v>
      </c>
      <c r="Q293">
        <f t="shared" si="75"/>
        <v>0</v>
      </c>
      <c r="R293">
        <f t="shared" si="76"/>
        <v>0</v>
      </c>
      <c r="S293">
        <f t="shared" si="77"/>
        <v>0</v>
      </c>
      <c r="T293" s="88">
        <f t="shared" si="78"/>
        <v>0</v>
      </c>
      <c r="U293" s="125">
        <f>IF($D293="",0,IFERROR(LOOKUP(2,1/(($D$3:D292=$D293)*($C$3:C292=$C293)*($A$3:A292&lt;$A293)),$AB$3:AB292),1000))</f>
        <v>0</v>
      </c>
      <c r="V293" s="125">
        <f t="shared" si="79"/>
        <v>0</v>
      </c>
      <c r="W293">
        <f t="shared" si="80"/>
        <v>0</v>
      </c>
      <c r="X293">
        <f t="shared" si="81"/>
        <v>0</v>
      </c>
      <c r="Y293">
        <f t="shared" si="82"/>
        <v>0</v>
      </c>
      <c r="Z293">
        <f t="shared" si="83"/>
        <v>0</v>
      </c>
      <c r="AA293">
        <f>IF($D293="",0,IF($F293&lt;2,0,IF($E293="Win",('Guide &amp; Settings'!$C$42/(($F293-1)*COUNTIFS($A$4:$A$311,$A293,$E$4:$E$311,"Win")))*SUMIFS($Z$4:$Z$311,$A$4:$A$311,$A293,$E$4:$E$311,"Loss"),-('Guide &amp; Settings'!$C$42/($F293-1))*$Z293)))</f>
        <v>0</v>
      </c>
      <c r="AB293" s="125">
        <f t="shared" si="84"/>
        <v>0</v>
      </c>
      <c r="AC293" s="125" t="str">
        <f>IF($D293="","",IF(SUMPRODUCT(MAX(($D$4:$D$311=$D293)*($B$4:$B$311&lt;$B293)*$B$4:$B$311))=0,0,MAX(($B293-SUMPRODUCT(MAX(($D$4:$D$311=$D293)*($B$4:$B$311&lt;$B293)*$B$4:$B$311)))/7-'Guide &amp; Settings'!$C$48,0)*'Guide &amp; Settings'!$C$49))</f>
        <v/>
      </c>
    </row>
    <row r="294" spans="1:29" ht="15" customHeight="1" x14ac:dyDescent="0.2">
      <c r="A294" s="116"/>
      <c r="B294" s="117"/>
      <c r="C294" s="118"/>
      <c r="D294" s="118"/>
      <c r="E294" s="116"/>
      <c r="F294" s="119">
        <f t="shared" si="68"/>
        <v>0</v>
      </c>
      <c r="G294" s="120" t="str">
        <f t="shared" si="69"/>
        <v/>
      </c>
      <c r="H294" s="121">
        <f>IF($D294="",0,IFERROR(LOOKUP(2,1/(($D$3:D293=$D294)*($A$3:A293&lt;$A294)),$N$3:N293),'Guide &amp; Settings'!$C$41))</f>
        <v>0</v>
      </c>
      <c r="I294" s="122">
        <f t="shared" si="70"/>
        <v>0</v>
      </c>
      <c r="J294" s="123">
        <f>IF($D294="",0,IF($F294&lt;2,0,IF($E294="Win",('Guide &amp; Settings'!$C$42/(($F294-1)*COUNTIFS($A$4:$A$311,$A294,$E$4:$E$311,"Win")))*SUMIFS($X$4:$X$311,$A$4:$A$311,$A294,$E$4:$E$311,"Loss"),-('Guide &amp; Settings'!$C$42/($F294-1))*$X294)))</f>
        <v>0</v>
      </c>
      <c r="K294" s="123">
        <f>IF($D294="",0,'Guide &amp; Settings'!$C$43*(IF($E294="Win",1,0)-$I294))</f>
        <v>0</v>
      </c>
      <c r="L294" s="124">
        <f>IF($D294="",0,'Guide &amp; Settings'!$C$44*IF($F294&gt;=3,$F294+IF($E294="Win",$F294,0),0))</f>
        <v>0</v>
      </c>
      <c r="M294" s="123">
        <f t="shared" si="71"/>
        <v>0</v>
      </c>
      <c r="N294" s="121">
        <f t="shared" si="72"/>
        <v>0</v>
      </c>
      <c r="O294" s="120" t="str">
        <f t="shared" si="73"/>
        <v/>
      </c>
      <c r="P294">
        <f t="shared" si="74"/>
        <v>0</v>
      </c>
      <c r="Q294">
        <f t="shared" si="75"/>
        <v>0</v>
      </c>
      <c r="R294">
        <f t="shared" si="76"/>
        <v>0</v>
      </c>
      <c r="S294">
        <f t="shared" si="77"/>
        <v>0</v>
      </c>
      <c r="T294" s="88">
        <f t="shared" si="78"/>
        <v>0</v>
      </c>
      <c r="U294" s="125">
        <f>IF($D294="",0,IFERROR(LOOKUP(2,1/(($D$3:D293=$D294)*($C$3:C293=$C294)*($A$3:A293&lt;$A294)),$AB$3:AB293),1000))</f>
        <v>0</v>
      </c>
      <c r="V294" s="125">
        <f t="shared" si="79"/>
        <v>0</v>
      </c>
      <c r="W294">
        <f t="shared" si="80"/>
        <v>0</v>
      </c>
      <c r="X294">
        <f t="shared" si="81"/>
        <v>0</v>
      </c>
      <c r="Y294">
        <f t="shared" si="82"/>
        <v>0</v>
      </c>
      <c r="Z294">
        <f t="shared" si="83"/>
        <v>0</v>
      </c>
      <c r="AA294">
        <f>IF($D294="",0,IF($F294&lt;2,0,IF($E294="Win",('Guide &amp; Settings'!$C$42/(($F294-1)*COUNTIFS($A$4:$A$311,$A294,$E$4:$E$311,"Win")))*SUMIFS($Z$4:$Z$311,$A$4:$A$311,$A294,$E$4:$E$311,"Loss"),-('Guide &amp; Settings'!$C$42/($F294-1))*$Z294)))</f>
        <v>0</v>
      </c>
      <c r="AB294" s="125">
        <f t="shared" si="84"/>
        <v>0</v>
      </c>
      <c r="AC294" s="125" t="str">
        <f>IF($D294="","",IF(SUMPRODUCT(MAX(($D$4:$D$311=$D294)*($B$4:$B$311&lt;$B294)*$B$4:$B$311))=0,0,MAX(($B294-SUMPRODUCT(MAX(($D$4:$D$311=$D294)*($B$4:$B$311&lt;$B294)*$B$4:$B$311)))/7-'Guide &amp; Settings'!$C$48,0)*'Guide &amp; Settings'!$C$49))</f>
        <v/>
      </c>
    </row>
    <row r="295" spans="1:29" ht="15" customHeight="1" x14ac:dyDescent="0.2">
      <c r="A295" s="116"/>
      <c r="B295" s="117"/>
      <c r="C295" s="118"/>
      <c r="D295" s="118"/>
      <c r="E295" s="116"/>
      <c r="F295" s="119">
        <f t="shared" si="68"/>
        <v>0</v>
      </c>
      <c r="G295" s="120" t="str">
        <f t="shared" si="69"/>
        <v/>
      </c>
      <c r="H295" s="121">
        <f>IF($D295="",0,IFERROR(LOOKUP(2,1/(($D$3:D294=$D295)*($A$3:A294&lt;$A295)),$N$3:N294),'Guide &amp; Settings'!$C$41))</f>
        <v>0</v>
      </c>
      <c r="I295" s="122">
        <f t="shared" si="70"/>
        <v>0</v>
      </c>
      <c r="J295" s="123">
        <f>IF($D295="",0,IF($F295&lt;2,0,IF($E295="Win",('Guide &amp; Settings'!$C$42/(($F295-1)*COUNTIFS($A$4:$A$311,$A295,$E$4:$E$311,"Win")))*SUMIFS($X$4:$X$311,$A$4:$A$311,$A295,$E$4:$E$311,"Loss"),-('Guide &amp; Settings'!$C$42/($F295-1))*$X295)))</f>
        <v>0</v>
      </c>
      <c r="K295" s="123">
        <f>IF($D295="",0,'Guide &amp; Settings'!$C$43*(IF($E295="Win",1,0)-$I295))</f>
        <v>0</v>
      </c>
      <c r="L295" s="124">
        <f>IF($D295="",0,'Guide &amp; Settings'!$C$44*IF($F295&gt;=3,$F295+IF($E295="Win",$F295,0),0))</f>
        <v>0</v>
      </c>
      <c r="M295" s="123">
        <f t="shared" si="71"/>
        <v>0</v>
      </c>
      <c r="N295" s="121">
        <f t="shared" si="72"/>
        <v>0</v>
      </c>
      <c r="O295" s="120" t="str">
        <f t="shared" si="73"/>
        <v/>
      </c>
      <c r="P295">
        <f t="shared" si="74"/>
        <v>0</v>
      </c>
      <c r="Q295">
        <f t="shared" si="75"/>
        <v>0</v>
      </c>
      <c r="R295">
        <f t="shared" si="76"/>
        <v>0</v>
      </c>
      <c r="S295">
        <f t="shared" si="77"/>
        <v>0</v>
      </c>
      <c r="T295" s="88">
        <f t="shared" si="78"/>
        <v>0</v>
      </c>
      <c r="U295" s="125">
        <f>IF($D295="",0,IFERROR(LOOKUP(2,1/(($D$3:D294=$D295)*($C$3:C294=$C295)*($A$3:A294&lt;$A295)),$AB$3:AB294),1000))</f>
        <v>0</v>
      </c>
      <c r="V295" s="125">
        <f t="shared" si="79"/>
        <v>0</v>
      </c>
      <c r="W295">
        <f t="shared" si="80"/>
        <v>0</v>
      </c>
      <c r="X295">
        <f t="shared" si="81"/>
        <v>0</v>
      </c>
      <c r="Y295">
        <f t="shared" si="82"/>
        <v>0</v>
      </c>
      <c r="Z295">
        <f t="shared" si="83"/>
        <v>0</v>
      </c>
      <c r="AA295">
        <f>IF($D295="",0,IF($F295&lt;2,0,IF($E295="Win",('Guide &amp; Settings'!$C$42/(($F295-1)*COUNTIFS($A$4:$A$311,$A295,$E$4:$E$311,"Win")))*SUMIFS($Z$4:$Z$311,$A$4:$A$311,$A295,$E$4:$E$311,"Loss"),-('Guide &amp; Settings'!$C$42/($F295-1))*$Z295)))</f>
        <v>0</v>
      </c>
      <c r="AB295" s="125">
        <f t="shared" si="84"/>
        <v>0</v>
      </c>
      <c r="AC295" s="125" t="str">
        <f>IF($D295="","",IF(SUMPRODUCT(MAX(($D$4:$D$311=$D295)*($B$4:$B$311&lt;$B295)*$B$4:$B$311))=0,0,MAX(($B295-SUMPRODUCT(MAX(($D$4:$D$311=$D295)*($B$4:$B$311&lt;$B295)*$B$4:$B$311)))/7-'Guide &amp; Settings'!$C$48,0)*'Guide &amp; Settings'!$C$49))</f>
        <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Settings'!$C$42/(($F296-1)*COUNTIFS($A$4:$A$311,$A296,$E$4:$E$311,"Win")))*SUMIFS($X$4:$X$311,$A$4:$A$311,$A296,$E$4:$E$311,"Loss"),-('Guide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Settings'!$C$42/(($F296-1)*COUNTIFS($A$4:$A$311,$A296,$E$4:$E$311,"Win")))*SUMIFS($Z$4:$Z$311,$A$4:$A$311,$A296,$E$4:$E$311,"Loss"),-('Guide &amp; Settings'!$C$42/($F296-1))*$Z296)))</f>
        <v>0</v>
      </c>
      <c r="AB296" s="125">
        <f t="shared" si="84"/>
        <v>0</v>
      </c>
      <c r="AC296" s="125" t="str">
        <f>IF($D296="","",IF(SUMPRODUCT(MAX(($D$4:$D$311=$D296)*($B$4:$B$311&lt;$B296)*$B$4:$B$311))=0,0,MAX(($B296-SUMPRODUCT(MAX(($D$4:$D$311=$D296)*($B$4:$B$311&lt;$B296)*$B$4:$B$311)))/7-'Guide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Settings'!$C$42/(($F297-1)*COUNTIFS($A$4:$A$311,$A297,$E$4:$E$311,"Win")))*SUMIFS($X$4:$X$311,$A$4:$A$311,$A297,$E$4:$E$311,"Loss"),-('Guide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Settings'!$C$42/(($F297-1)*COUNTIFS($A$4:$A$311,$A297,$E$4:$E$311,"Win")))*SUMIFS($Z$4:$Z$311,$A$4:$A$311,$A297,$E$4:$E$311,"Loss"),-('Guide &amp; Settings'!$C$42/($F297-1))*$Z297)))</f>
        <v>0</v>
      </c>
      <c r="AB297" s="125">
        <f t="shared" si="84"/>
        <v>0</v>
      </c>
      <c r="AC297" s="125" t="str">
        <f>IF($D297="","",IF(SUMPRODUCT(MAX(($D$4:$D$311=$D297)*($B$4:$B$311&lt;$B297)*$B$4:$B$311))=0,0,MAX(($B297-SUMPRODUCT(MAX(($D$4:$D$311=$D297)*($B$4:$B$311&lt;$B297)*$B$4:$B$311)))/7-'Guide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Settings'!$C$42/(($F298-1)*COUNTIFS($A$4:$A$311,$A298,$E$4:$E$311,"Win")))*SUMIFS($X$4:$X$311,$A$4:$A$311,$A298,$E$4:$E$311,"Loss"),-('Guide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Settings'!$C$42/(($F298-1)*COUNTIFS($A$4:$A$311,$A298,$E$4:$E$311,"Win")))*SUMIFS($Z$4:$Z$311,$A$4:$A$311,$A298,$E$4:$E$311,"Loss"),-('Guide &amp; Settings'!$C$42/($F298-1))*$Z298)))</f>
        <v>0</v>
      </c>
      <c r="AB298" s="125">
        <f t="shared" si="84"/>
        <v>0</v>
      </c>
      <c r="AC298" s="125" t="str">
        <f>IF($D298="","",IF(SUMPRODUCT(MAX(($D$4:$D$311=$D298)*($B$4:$B$311&lt;$B298)*$B$4:$B$311))=0,0,MAX(($B298-SUMPRODUCT(MAX(($D$4:$D$311=$D298)*($B$4:$B$311&lt;$B298)*$B$4:$B$311)))/7-'Guide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Settings'!$C$42/(($F299-1)*COUNTIFS($A$4:$A$311,$A299,$E$4:$E$311,"Win")))*SUMIFS($X$4:$X$311,$A$4:$A$311,$A299,$E$4:$E$311,"Loss"),-('Guide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Settings'!$C$42/(($F299-1)*COUNTIFS($A$4:$A$311,$A299,$E$4:$E$311,"Win")))*SUMIFS($Z$4:$Z$311,$A$4:$A$311,$A299,$E$4:$E$311,"Loss"),-('Guide &amp; Settings'!$C$42/($F299-1))*$Z299)))</f>
        <v>0</v>
      </c>
      <c r="AB299" s="125">
        <f t="shared" si="84"/>
        <v>0</v>
      </c>
      <c r="AC299" s="125" t="str">
        <f>IF($D299="","",IF(SUMPRODUCT(MAX(($D$4:$D$311=$D299)*($B$4:$B$311&lt;$B299)*$B$4:$B$311))=0,0,MAX(($B299-SUMPRODUCT(MAX(($D$4:$D$311=$D299)*($B$4:$B$311&lt;$B299)*$B$4:$B$311)))/7-'Guide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Settings'!$C$42/(($F300-1)*COUNTIFS($A$4:$A$311,$A300,$E$4:$E$311,"Win")))*SUMIFS($X$4:$X$311,$A$4:$A$311,$A300,$E$4:$E$311,"Loss"),-('Guide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Settings'!$C$42/(($F300-1)*COUNTIFS($A$4:$A$311,$A300,$E$4:$E$311,"Win")))*SUMIFS($Z$4:$Z$311,$A$4:$A$311,$A300,$E$4:$E$311,"Loss"),-('Guide &amp; Settings'!$C$42/($F300-1))*$Z300)))</f>
        <v>0</v>
      </c>
      <c r="AB300" s="125">
        <f t="shared" si="84"/>
        <v>0</v>
      </c>
      <c r="AC300" s="125" t="str">
        <f>IF($D300="","",IF(SUMPRODUCT(MAX(($D$4:$D$311=$D300)*($B$4:$B$311&lt;$B300)*$B$4:$B$311))=0,0,MAX(($B300-SUMPRODUCT(MAX(($D$4:$D$311=$D300)*($B$4:$B$311&lt;$B300)*$B$4:$B$311)))/7-'Guide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Settings'!$C$42/(($F301-1)*COUNTIFS($A$4:$A$311,$A301,$E$4:$E$311,"Win")))*SUMIFS($X$4:$X$311,$A$4:$A$311,$A301,$E$4:$E$311,"Loss"),-('Guide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Settings'!$C$42/(($F301-1)*COUNTIFS($A$4:$A$311,$A301,$E$4:$E$311,"Win")))*SUMIFS($Z$4:$Z$311,$A$4:$A$311,$A301,$E$4:$E$311,"Loss"),-('Guide &amp; Settings'!$C$42/($F301-1))*$Z301)))</f>
        <v>0</v>
      </c>
      <c r="AB301" s="125">
        <f t="shared" si="84"/>
        <v>0</v>
      </c>
      <c r="AC301" s="125" t="str">
        <f>IF($D301="","",IF(SUMPRODUCT(MAX(($D$4:$D$311=$D301)*($B$4:$B$311&lt;$B301)*$B$4:$B$311))=0,0,MAX(($B301-SUMPRODUCT(MAX(($D$4:$D$311=$D301)*($B$4:$B$311&lt;$B301)*$B$4:$B$311)))/7-'Guide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Settings'!$C$42/(($F302-1)*COUNTIFS($A$4:$A$311,$A302,$E$4:$E$311,"Win")))*SUMIFS($X$4:$X$311,$A$4:$A$311,$A302,$E$4:$E$311,"Loss"),-('Guide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Settings'!$C$42/(($F302-1)*COUNTIFS($A$4:$A$311,$A302,$E$4:$E$311,"Win")))*SUMIFS($Z$4:$Z$311,$A$4:$A$311,$A302,$E$4:$E$311,"Loss"),-('Guide &amp; Settings'!$C$42/($F302-1))*$Z302)))</f>
        <v>0</v>
      </c>
      <c r="AB302" s="125">
        <f t="shared" si="84"/>
        <v>0</v>
      </c>
      <c r="AC302" s="125" t="str">
        <f>IF($D302="","",IF(SUMPRODUCT(MAX(($D$4:$D$311=$D302)*($B$4:$B$311&lt;$B302)*$B$4:$B$311))=0,0,MAX(($B302-SUMPRODUCT(MAX(($D$4:$D$311=$D302)*($B$4:$B$311&lt;$B302)*$B$4:$B$311)))/7-'Guide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Settings'!$C$42/(($F303-1)*COUNTIFS($A$4:$A$311,$A303,$E$4:$E$311,"Win")))*SUMIFS($X$4:$X$311,$A$4:$A$311,$A303,$E$4:$E$311,"Loss"),-('Guide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Settings'!$C$42/(($F303-1)*COUNTIFS($A$4:$A$311,$A303,$E$4:$E$311,"Win")))*SUMIFS($Z$4:$Z$311,$A$4:$A$311,$A303,$E$4:$E$311,"Loss"),-('Guide &amp; Settings'!$C$42/($F303-1))*$Z303)))</f>
        <v>0</v>
      </c>
      <c r="AB303" s="125">
        <f t="shared" si="84"/>
        <v>0</v>
      </c>
      <c r="AC303" s="125" t="str">
        <f>IF($D303="","",IF(SUMPRODUCT(MAX(($D$4:$D$311=$D303)*($B$4:$B$311&lt;$B303)*$B$4:$B$311))=0,0,MAX(($B303-SUMPRODUCT(MAX(($D$4:$D$311=$D303)*($B$4:$B$311&lt;$B303)*$B$4:$B$311)))/7-'Guide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Settings'!$C$42/(($F304-1)*COUNTIFS($A$4:$A$311,$A304,$E$4:$E$311,"Win")))*SUMIFS($X$4:$X$311,$A$4:$A$311,$A304,$E$4:$E$311,"Loss"),-('Guide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Settings'!$C$42/(($F304-1)*COUNTIFS($A$4:$A$311,$A304,$E$4:$E$311,"Win")))*SUMIFS($Z$4:$Z$311,$A$4:$A$311,$A304,$E$4:$E$311,"Loss"),-('Guide &amp; Settings'!$C$42/($F304-1))*$Z304)))</f>
        <v>0</v>
      </c>
      <c r="AB304" s="125">
        <f t="shared" si="84"/>
        <v>0</v>
      </c>
      <c r="AC304" s="125" t="str">
        <f>IF($D304="","",IF(SUMPRODUCT(MAX(($D$4:$D$311=$D304)*($B$4:$B$311&lt;$B304)*$B$4:$B$311))=0,0,MAX(($B304-SUMPRODUCT(MAX(($D$4:$D$311=$D304)*($B$4:$B$311&lt;$B304)*$B$4:$B$311)))/7-'Guide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Settings'!$C$42/(($F305-1)*COUNTIFS($A$4:$A$311,$A305,$E$4:$E$311,"Win")))*SUMIFS($X$4:$X$311,$A$4:$A$311,$A305,$E$4:$E$311,"Loss"),-('Guide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Settings'!$C$42/(($F305-1)*COUNTIFS($A$4:$A$311,$A305,$E$4:$E$311,"Win")))*SUMIFS($Z$4:$Z$311,$A$4:$A$311,$A305,$E$4:$E$311,"Loss"),-('Guide &amp; Settings'!$C$42/($F305-1))*$Z305)))</f>
        <v>0</v>
      </c>
      <c r="AB305" s="125">
        <f t="shared" si="84"/>
        <v>0</v>
      </c>
      <c r="AC305" s="125" t="str">
        <f>IF($D305="","",IF(SUMPRODUCT(MAX(($D$4:$D$311=$D305)*($B$4:$B$311&lt;$B305)*$B$4:$B$311))=0,0,MAX(($B305-SUMPRODUCT(MAX(($D$4:$D$311=$D305)*($B$4:$B$311&lt;$B305)*$B$4:$B$311)))/7-'Guide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Settings'!$C$42/(($F306-1)*COUNTIFS($A$4:$A$311,$A306,$E$4:$E$311,"Win")))*SUMIFS($X$4:$X$311,$A$4:$A$311,$A306,$E$4:$E$311,"Loss"),-('Guide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Settings'!$C$42/(($F306-1)*COUNTIFS($A$4:$A$311,$A306,$E$4:$E$311,"Win")))*SUMIFS($Z$4:$Z$311,$A$4:$A$311,$A306,$E$4:$E$311,"Loss"),-('Guide &amp; Settings'!$C$42/($F306-1))*$Z306)))</f>
        <v>0</v>
      </c>
      <c r="AB306" s="125">
        <f t="shared" si="84"/>
        <v>0</v>
      </c>
      <c r="AC306" s="125" t="str">
        <f>IF($D306="","",IF(SUMPRODUCT(MAX(($D$4:$D$311=$D306)*($B$4:$B$311&lt;$B306)*$B$4:$B$311))=0,0,MAX(($B306-SUMPRODUCT(MAX(($D$4:$D$311=$D306)*($B$4:$B$311&lt;$B306)*$B$4:$B$311)))/7-'Guide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Settings'!$C$42/(($F307-1)*COUNTIFS($A$4:$A$311,$A307,$E$4:$E$311,"Win")))*SUMIFS($X$4:$X$311,$A$4:$A$311,$A307,$E$4:$E$311,"Loss"),-('Guide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Settings'!$C$42/(($F307-1)*COUNTIFS($A$4:$A$311,$A307,$E$4:$E$311,"Win")))*SUMIFS($Z$4:$Z$311,$A$4:$A$311,$A307,$E$4:$E$311,"Loss"),-('Guide &amp; Settings'!$C$42/($F307-1))*$Z307)))</f>
        <v>0</v>
      </c>
      <c r="AB307" s="125">
        <f t="shared" si="84"/>
        <v>0</v>
      </c>
      <c r="AC307" s="125" t="str">
        <f>IF($D307="","",IF(SUMPRODUCT(MAX(($D$4:$D$311=$D307)*($B$4:$B$311&lt;$B307)*$B$4:$B$311))=0,0,MAX(($B307-SUMPRODUCT(MAX(($D$4:$D$311=$D307)*($B$4:$B$311&lt;$B307)*$B$4:$B$311)))/7-'Guide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Settings'!$C$42/(($F308-1)*COUNTIFS($A$4:$A$311,$A308,$E$4:$E$311,"Win")))*SUMIFS($X$4:$X$311,$A$4:$A$311,$A308,$E$4:$E$311,"Loss"),-('Guide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Settings'!$C$42/(($F308-1)*COUNTIFS($A$4:$A$311,$A308,$E$4:$E$311,"Win")))*SUMIFS($Z$4:$Z$311,$A$4:$A$311,$A308,$E$4:$E$311,"Loss"),-('Guide &amp; Settings'!$C$42/($F308-1))*$Z308)))</f>
        <v>0</v>
      </c>
      <c r="AB308" s="125">
        <f t="shared" si="84"/>
        <v>0</v>
      </c>
      <c r="AC308" s="125" t="str">
        <f>IF($D308="","",IF(SUMPRODUCT(MAX(($D$4:$D$311=$D308)*($B$4:$B$311&lt;$B308)*$B$4:$B$311))=0,0,MAX(($B308-SUMPRODUCT(MAX(($D$4:$D$311=$D308)*($B$4:$B$311&lt;$B308)*$B$4:$B$311)))/7-'Guide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Settings'!$C$42/(($F309-1)*COUNTIFS($A$4:$A$311,$A309,$E$4:$E$311,"Win")))*SUMIFS($X$4:$X$311,$A$4:$A$311,$A309,$E$4:$E$311,"Loss"),-('Guide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Settings'!$C$42/(($F309-1)*COUNTIFS($A$4:$A$311,$A309,$E$4:$E$311,"Win")))*SUMIFS($Z$4:$Z$311,$A$4:$A$311,$A309,$E$4:$E$311,"Loss"),-('Guide &amp; Settings'!$C$42/($F309-1))*$Z309)))</f>
        <v>0</v>
      </c>
      <c r="AB309" s="125">
        <f t="shared" si="84"/>
        <v>0</v>
      </c>
      <c r="AC309" s="125" t="str">
        <f>IF($D309="","",IF(SUMPRODUCT(MAX(($D$4:$D$311=$D309)*($B$4:$B$311&lt;$B309)*$B$4:$B$311))=0,0,MAX(($B309-SUMPRODUCT(MAX(($D$4:$D$311=$D309)*($B$4:$B$311&lt;$B309)*$B$4:$B$311)))/7-'Guide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Settings'!$C$42/(($F310-1)*COUNTIFS($A$4:$A$311,$A310,$E$4:$E$311,"Win")))*SUMIFS($X$4:$X$311,$A$4:$A$311,$A310,$E$4:$E$311,"Loss"),-('Guide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Settings'!$C$42/(($F310-1)*COUNTIFS($A$4:$A$311,$A310,$E$4:$E$311,"Win")))*SUMIFS($Z$4:$Z$311,$A$4:$A$311,$A310,$E$4:$E$311,"Loss"),-('Guide &amp; Settings'!$C$42/($F310-1))*$Z310)))</f>
        <v>0</v>
      </c>
      <c r="AB310" s="125">
        <f t="shared" si="84"/>
        <v>0</v>
      </c>
      <c r="AC310" s="125" t="str">
        <f>IF($D310="","",IF(SUMPRODUCT(MAX(($D$4:$D$311=$D310)*($B$4:$B$311&lt;$B310)*$B$4:$B$311))=0,0,MAX(($B310-SUMPRODUCT(MAX(($D$4:$D$311=$D310)*($B$4:$B$311&lt;$B310)*$B$4:$B$311)))/7-'Guide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Settings'!$C$42/(($F311-1)*COUNTIFS($A$4:$A$311,$A311,$E$4:$E$311,"Win")))*SUMIFS($X$4:$X$311,$A$4:$A$311,$A311,$E$4:$E$311,"Loss"),-('Guide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Settings'!$C$42/(($F311-1)*COUNTIFS($A$4:$A$311,$A311,$E$4:$E$311,"Win")))*SUMIFS($Z$4:$Z$311,$A$4:$A$311,$A311,$E$4:$E$311,"Loss"),-('Guide &amp; Settings'!$C$42/($F311-1))*$Z311)))</f>
        <v>0</v>
      </c>
      <c r="AB311" s="125">
        <f t="shared" si="84"/>
        <v>0</v>
      </c>
      <c r="AC311" s="125" t="str">
        <f>IF($D311="","",IF(SUMPRODUCT(MAX(($D$4:$D$311=$D311)*($B$4:$B$311&lt;$B311)*$B$4:$B$311))=0,0,MAX(($B311-SUMPRODUCT(MAX(($D$4:$D$311=$D311)*($B$4:$B$311&lt;$B311)*$B$4:$B$311)))/7-'Guide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Lists!$C$2:$C$20</xm:f>
          </x14:formula1>
          <xm:sqref>C4:C311</xm:sqref>
        </x14:dataValidation>
        <x14:dataValidation type="list" allowBlank="1" showInputMessage="1" showErrorMessage="1" xr:uid="{00000000-0002-0000-0800-000001000000}">
          <x14:formula1>
            <xm:f>Lists!$A$2:$A$15</xm:f>
          </x14:formula1>
          <xm:sqref>D4:D311</xm:sqref>
        </x14:dataValidation>
        <x14:dataValidation type="list" allowBlank="1" showInputMessage="1" showErrorMessage="1" xr:uid="{00000000-0002-0000-0800-000002000000}">
          <x14:formula1>
            <xm:f>Lists!$E$2:$E$3</xm:f>
          </x14:formula1>
          <xm:sqref>E4:E311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49"/>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1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Log'!$B$4:$B$311)-7</f>
        <v>46200</v>
      </c>
    </row>
    <row r="4" spans="1:34" ht="15" customHeight="1" x14ac:dyDescent="0.2">
      <c r="A4" t="s">
        <v>338</v>
      </c>
      <c r="B4" s="132">
        <f>MAX('Match Log'!$B$4:$B$311)</f>
        <v>46207</v>
      </c>
    </row>
    <row r="5" spans="1:34" x14ac:dyDescent="0.2">
      <c r="B5">
        <f ca="1">TODAY()-7</f>
        <v>46200</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1037.6239185820834</v>
      </c>
      <c r="D7">
        <f t="shared" ref="D7:D20" si="0">RANK($B7,$B$7:$B$20)</f>
        <v>4</v>
      </c>
      <c r="E7">
        <f t="shared" ref="E7:E20" si="1">MAX($B$7:$B$20)-$B7</f>
        <v>64.268490093808168</v>
      </c>
      <c r="F7" t="str">
        <f>IFERROR(LOOKUP(2,1/('Match Log'!$D$4:$D$311=$A7),'Match Log'!$E$4:$E$311),"")</f>
        <v>Win</v>
      </c>
      <c r="G7">
        <f>IF($F7="",0,SUMPRODUCT(('Match Log'!$D$4:$D$311=$A7)*(ROW('Match Log'!$A$4:$A$311)&gt;SUMPRODUCT(MAX(('Match Log'!$D$4:$D$311=$A7)*('Match Log'!$E$4:$E$311&lt;&gt;$F7)*ROW('Match Log'!$A$4:$A$311))))))</f>
        <v>5</v>
      </c>
      <c r="H7" t="str">
        <f t="shared" ref="H7:H20" si="2">IF($G7=0,"",LEFT($F7,1)&amp;$G7)</f>
        <v>W5</v>
      </c>
      <c r="I7" t="str">
        <f>IFERROR(IF(INDEX('Match Log'!$E$1:$E$311,_xlfn.AGGREGATE(14,6,ROW('Match Log'!$A$4:$A$311)/('Match Log'!$D$4:$D$311=$A7),5))="Win","W","L"),"")&amp;IFERROR(IF(INDEX('Match Log'!$E$1:$E$311,_xlfn.AGGREGATE(14,6,ROW('Match Log'!$A$4:$A$311)/('Match Log'!$D$4:$D$311=$A7),4))="Win","W","L"),"")&amp;IFERROR(IF(INDEX('Match Log'!$E$1:$E$311,_xlfn.AGGREGATE(14,6,ROW('Match Log'!$A$4:$A$311)/('Match Log'!$D$4:$D$311=$A7),3))="Win","W","L"),"")&amp;IFERROR(IF(INDEX('Match Log'!$E$1:$E$311,_xlfn.AGGREGATE(14,6,ROW('Match Log'!$A$4:$A$311)/('Match Log'!$D$4:$D$311=$A7),2))="Win","W","L"),"")&amp;IFERROR(IF(INDEX('Match Log'!$E$1:$E$311,_xlfn.AGGREGATE(14,6,ROW('Match Log'!$A$4:$A$311)/('Match Log'!$D$4:$D$311=$A7),1))="Win","W","L"),"")</f>
        <v>WWWWW</v>
      </c>
      <c r="J7">
        <f>IFERROR(LOOKUP(2,1/(('Match Log'!$D$4:$D$311=$A7)*('Match Log'!$B$4:$B$311&lt;=$B$3)),'Match Log'!$N$4:$N$311),1000)</f>
        <v>1125.1080177960646</v>
      </c>
      <c r="K7">
        <f t="shared" ref="K7:K20" si="3">RANK($J7,$J$7:$J$20)</f>
        <v>3</v>
      </c>
      <c r="L7">
        <f t="shared" ref="L7:L20" si="4">$K7-$D7</f>
        <v>-1</v>
      </c>
      <c r="M7">
        <f t="shared" ref="M7:M20" si="5">SUMPRODUCT(($D$25:$D$144=$A7)*($G$25:$G$144&gt;0.25)*($D$25:$D$144&lt;&gt;""))</f>
        <v>0</v>
      </c>
      <c r="N7">
        <f t="shared" ref="N7:N20" si="6">LEN($I7)-LEN(SUBSTITUTE($I7,"W",""))</f>
        <v>5</v>
      </c>
      <c r="O7">
        <f t="shared" ref="O7:O20" si="7">IF($F7="Win",$G7,0)</f>
        <v>5</v>
      </c>
      <c r="P7">
        <f>IFERROR(SUMPRODUCT(MAX(('Match Log'!$D$4:$D$311=$A7)*'Match Log'!$B$4:$B$311)),0)</f>
        <v>46200</v>
      </c>
      <c r="Q7">
        <f t="shared" ref="Q7:Q20" si="8">IF($P7=0,"",($B$4-$P7)/7)</f>
        <v>1</v>
      </c>
      <c r="R7">
        <f>IF($P7=0,0,MAX($Q7-'Guide &amp; Settings'!$C$48,0)*'Guide &amp; Settings'!$C$49)</f>
        <v>0</v>
      </c>
      <c r="S7">
        <f t="shared" ref="S7:S20" si="9">$B7-$R7-$U7</f>
        <v>1125.1080177960646</v>
      </c>
      <c r="T7" t="str">
        <f>IF($P7=0,"No games",IF($Q7&gt;='Guide &amp; Settings'!$C$48,"Inactive",IF($Q7&gt;='Guide &amp; Settings'!$C$47,"At risk","Active")))</f>
        <v>Active</v>
      </c>
      <c r="U7">
        <f>SUMIF('Match Log'!$D$4:$D$311,$A7,'Match Log'!$AC$4:$AC$311)</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59.405979645520858</v>
      </c>
      <c r="AB7">
        <f t="shared" ref="AB7:AB20" si="14">0.35*$W7+0.2*$X7+0.2*$Y7+0.15*$Z7+0.1*$AA7</f>
        <v>81.387549521707726</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Log'!$D$4:$D$311,$A7,'Match Log'!$B$4:$B$311,"&gt;="&amp;$B$5)</f>
        <v>6</v>
      </c>
      <c r="AH7">
        <f ca="1">COUNTIFS('Match Log'!$D$4:$D$311,$A7,'Match Log'!$B$4:$B$311,"&gt;="&amp;$B$5,'Match Log'!$E$4:$E$311,"Win")</f>
        <v>5</v>
      </c>
    </row>
    <row r="8" spans="1:34" ht="15" customHeight="1" x14ac:dyDescent="0.2">
      <c r="A8" t="s">
        <v>142</v>
      </c>
      <c r="B8">
        <f>IFERROR(INDEX(Engine!$B$2:$B$15,MATCH($A8,Engine!$A$2:$A$15,0)),1000)</f>
        <v>1044.8691565259944</v>
      </c>
      <c r="C8">
        <f>IFERROR(INDEX(Engine!$C$2:$C$15,MATCH($A8,Engine!$A$2:$A$15,0)),"")</f>
        <v>1089.5487055180556</v>
      </c>
      <c r="D8">
        <f t="shared" si="0"/>
        <v>7</v>
      </c>
      <c r="E8">
        <f t="shared" si="1"/>
        <v>144.50735136387834</v>
      </c>
      <c r="F8" t="str">
        <f>IFERROR(LOOKUP(2,1/('Match Log'!$D$4:$D$311=$A8),'Match Log'!$E$4:$E$311),"")</f>
        <v>Loss</v>
      </c>
      <c r="G8">
        <f>IF($F8="",0,SUMPRODUCT(('Match Log'!$D$4:$D$311=$A8)*(ROW('Match Log'!$A$4:$A$311)&gt;SUMPRODUCT(MAX(('Match Log'!$D$4:$D$311=$A8)*('Match Log'!$E$4:$E$311&lt;&gt;$F8)*ROW('Match Log'!$A$4:$A$311))))))</f>
        <v>2</v>
      </c>
      <c r="H8" t="str">
        <f t="shared" si="2"/>
        <v>L2</v>
      </c>
      <c r="I8" t="str">
        <f>IFERROR(IF(INDEX('Match Log'!$E$1:$E$311,_xlfn.AGGREGATE(14,6,ROW('Match Log'!$A$4:$A$311)/('Match Log'!$D$4:$D$311=$A8),5))="Win","W","L"),"")&amp;IFERROR(IF(INDEX('Match Log'!$E$1:$E$311,_xlfn.AGGREGATE(14,6,ROW('Match Log'!$A$4:$A$311)/('Match Log'!$D$4:$D$311=$A8),4))="Win","W","L"),"")&amp;IFERROR(IF(INDEX('Match Log'!$E$1:$E$311,_xlfn.AGGREGATE(14,6,ROW('Match Log'!$A$4:$A$311)/('Match Log'!$D$4:$D$311=$A8),3))="Win","W","L"),"")&amp;IFERROR(IF(INDEX('Match Log'!$E$1:$E$311,_xlfn.AGGREGATE(14,6,ROW('Match Log'!$A$4:$A$311)/('Match Log'!$D$4:$D$311=$A8),2))="Win","W","L"),"")&amp;IFERROR(IF(INDEX('Match Log'!$E$1:$E$311,_xlfn.AGGREGATE(14,6,ROW('Match Log'!$A$4:$A$311)/('Match Log'!$D$4:$D$311=$A8),1))="Win","W","L"),"")</f>
        <v>LWWLL</v>
      </c>
      <c r="J8">
        <f>IFERROR(LOOKUP(2,1/(('Match Log'!$D$4:$D$311=$A8)*('Match Log'!$B$4:$B$311&lt;=$B$3)),'Match Log'!$N$4:$N$311),1000)</f>
        <v>1044.8691565259944</v>
      </c>
      <c r="K8">
        <f t="shared" si="3"/>
        <v>7</v>
      </c>
      <c r="L8">
        <f t="shared" si="4"/>
        <v>0</v>
      </c>
      <c r="M8">
        <f t="shared" si="5"/>
        <v>0</v>
      </c>
      <c r="N8">
        <f t="shared" si="6"/>
        <v>2</v>
      </c>
      <c r="O8">
        <f t="shared" si="7"/>
        <v>0</v>
      </c>
      <c r="P8">
        <f>IFERROR(SUMPRODUCT(MAX(('Match Log'!$D$4:$D$311=$A8)*'Match Log'!$B$4:$B$311)),0)</f>
        <v>46188</v>
      </c>
      <c r="Q8">
        <f t="shared" si="8"/>
        <v>2.7142857142857144</v>
      </c>
      <c r="R8">
        <f>IF($P8=0,0,MAX($Q8-'Guide &amp; Settings'!$C$48,0)*'Guide &amp; Settings'!$C$49)</f>
        <v>0</v>
      </c>
      <c r="S8">
        <f t="shared" si="9"/>
        <v>1044.8691565259944</v>
      </c>
      <c r="T8" t="str">
        <f>IF($P8=0,"No games",IF($Q8&gt;='Guide &amp; Settings'!$C$48,"Inactive",IF($Q8&gt;='Guide &amp; Settings'!$C$47,"At risk","Active")))</f>
        <v>Active</v>
      </c>
      <c r="U8">
        <f>SUMIF('Match Log'!$D$4:$D$311,$A8,'Match Log'!$AC$4:$AC$311)</f>
        <v>0</v>
      </c>
      <c r="V8">
        <f t="shared" si="10"/>
        <v>2</v>
      </c>
      <c r="W8">
        <f t="shared" si="11"/>
        <v>61.217289131498603</v>
      </c>
      <c r="X8">
        <f>IFERROR(INDEX(Dashboard!$G$5:$G$18,MATCH($A8,Dashboard!$B$5:$B$18,0))*100,0)</f>
        <v>50</v>
      </c>
      <c r="Y8">
        <f>MIN(100,IFERROR(INDEX(Dashboard!$K$5:$K$18,MATCH($A8,Dashboard!$B$5:$B$18,0)),0)/5*50+$AC8/4*50)</f>
        <v>42.5</v>
      </c>
      <c r="Z8">
        <f t="shared" si="12"/>
        <v>40</v>
      </c>
      <c r="AA8">
        <f t="shared" si="13"/>
        <v>72.387176379513903</v>
      </c>
      <c r="AB8">
        <f t="shared" si="14"/>
        <v>53.164768833975899</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Log'!$D$4:$D$311,$A8,'Match Log'!$B$4:$B$311,"&gt;="&amp;$B$5)</f>
        <v>0</v>
      </c>
      <c r="AH8">
        <f ca="1">COUNTIFS('Match Log'!$D$4:$D$311,$A8,'Match Log'!$B$4:$B$311,"&gt;="&amp;$B$5,'Match Log'!$E$4:$E$311,"Win")</f>
        <v>0</v>
      </c>
    </row>
    <row r="9" spans="1:34" ht="15" customHeight="1" x14ac:dyDescent="0.2">
      <c r="A9" t="s">
        <v>180</v>
      </c>
      <c r="B9">
        <f>IFERROR(INDEX(Engine!$B$2:$B$15,MATCH($A9,Engine!$A$2:$A$15,0)),1000)</f>
        <v>1017.3466608720325</v>
      </c>
      <c r="C9">
        <f>IFERROR(INDEX(Engine!$C$2:$C$15,MATCH($A9,Engine!$A$2:$A$15,0)),"")</f>
        <v>1073.6851802864951</v>
      </c>
      <c r="D9">
        <f t="shared" si="0"/>
        <v>10</v>
      </c>
      <c r="E9">
        <f t="shared" si="1"/>
        <v>172.02984701784021</v>
      </c>
      <c r="F9" t="str">
        <f>IFERROR(LOOKUP(2,1/('Match Log'!$D$4:$D$311=$A9),'Match Log'!$E$4:$E$311),"")</f>
        <v>Win</v>
      </c>
      <c r="G9">
        <f>IF($F9="",0,SUMPRODUCT(('Match Log'!$D$4:$D$311=$A9)*(ROW('Match Log'!$A$4:$A$311)&gt;SUMPRODUCT(MAX(('Match Log'!$D$4:$D$311=$A9)*('Match Log'!$E$4:$E$311&lt;&gt;$F9)*ROW('Match Log'!$A$4:$A$311))))))</f>
        <v>1</v>
      </c>
      <c r="H9" t="str">
        <f t="shared" si="2"/>
        <v>W1</v>
      </c>
      <c r="I9" t="str">
        <f>IFERROR(IF(INDEX('Match Log'!$E$1:$E$311,_xlfn.AGGREGATE(14,6,ROW('Match Log'!$A$4:$A$311)/('Match Log'!$D$4:$D$311=$A9),5))="Win","W","L"),"")&amp;IFERROR(IF(INDEX('Match Log'!$E$1:$E$311,_xlfn.AGGREGATE(14,6,ROW('Match Log'!$A$4:$A$311)/('Match Log'!$D$4:$D$311=$A9),4))="Win","W","L"),"")&amp;IFERROR(IF(INDEX('Match Log'!$E$1:$E$311,_xlfn.AGGREGATE(14,6,ROW('Match Log'!$A$4:$A$311)/('Match Log'!$D$4:$D$311=$A9),3))="Win","W","L"),"")&amp;IFERROR(IF(INDEX('Match Log'!$E$1:$E$311,_xlfn.AGGREGATE(14,6,ROW('Match Log'!$A$4:$A$311)/('Match Log'!$D$4:$D$311=$A9),2))="Win","W","L"),"")&amp;IFERROR(IF(INDEX('Match Log'!$E$1:$E$311,_xlfn.AGGREGATE(14,6,ROW('Match Log'!$A$4:$A$311)/('Match Log'!$D$4:$D$311=$A9),1))="Win","W","L"),"")</f>
        <v>WLLLW</v>
      </c>
      <c r="J9">
        <f>IFERROR(LOOKUP(2,1/(('Match Log'!$D$4:$D$311=$A9)*('Match Log'!$B$4:$B$311&lt;=$B$3)),'Match Log'!$N$4:$N$311),1000)</f>
        <v>1017.3466608720325</v>
      </c>
      <c r="K9">
        <f t="shared" si="3"/>
        <v>10</v>
      </c>
      <c r="L9">
        <f t="shared" si="4"/>
        <v>0</v>
      </c>
      <c r="M9">
        <f t="shared" si="5"/>
        <v>0</v>
      </c>
      <c r="N9">
        <f t="shared" si="6"/>
        <v>2</v>
      </c>
      <c r="O9">
        <f t="shared" si="7"/>
        <v>1</v>
      </c>
      <c r="P9">
        <f>IFERROR(SUMPRODUCT(MAX(('Match Log'!$D$4:$D$311=$A9)*'Match Log'!$B$4:$B$311)),0)</f>
        <v>46188</v>
      </c>
      <c r="Q9">
        <f t="shared" si="8"/>
        <v>2.7142857142857144</v>
      </c>
      <c r="R9">
        <f>IF($P9=0,0,MAX($Q9-'Guide &amp; Settings'!$C$48,0)*'Guide &amp; Settings'!$C$49)</f>
        <v>0</v>
      </c>
      <c r="S9">
        <f t="shared" si="9"/>
        <v>1017.3466608720325</v>
      </c>
      <c r="T9" t="str">
        <f>IF($P9=0,"No games",IF($Q9&gt;='Guide &amp; Settings'!$C$48,"Inactive",IF($Q9&gt;='Guide &amp; Settings'!$C$47,"At risk","Active")))</f>
        <v>Active</v>
      </c>
      <c r="U9">
        <f>SUMIF('Match Log'!$D$4:$D$311,$A9,'Match Log'!$AC$4:$AC$311)</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68.421295071623774</v>
      </c>
      <c r="AB9">
        <f t="shared" si="14"/>
        <v>56.359962333465226</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Log'!$D$4:$D$311,$A9,'Match Log'!$B$4:$B$311,"&gt;="&amp;$B$5)</f>
        <v>0</v>
      </c>
      <c r="AH9">
        <f ca="1">COUNTIFS('Match Log'!$D$4:$D$311,$A9,'Match Log'!$B$4:$B$311,"&gt;="&amp;$B$5,'Match Log'!$E$4:$E$311,"Win")</f>
        <v>0</v>
      </c>
    </row>
    <row r="10" spans="1:34" ht="15" customHeight="1" x14ac:dyDescent="0.2">
      <c r="A10" t="s">
        <v>147</v>
      </c>
      <c r="B10">
        <f>IFERROR(INDEX(Engine!$B$2:$B$15,MATCH($A10,Engine!$A$2:$A$15,0)),1000)</f>
        <v>990.8737469852914</v>
      </c>
      <c r="C10">
        <f>IFERROR(INDEX(Engine!$C$2:$C$15,MATCH($A10,Engine!$A$2:$A$15,0)),"")</f>
        <v>1088.6528297296986</v>
      </c>
      <c r="D10">
        <f t="shared" si="0"/>
        <v>12</v>
      </c>
      <c r="E10">
        <f t="shared" si="1"/>
        <v>198.50276090458135</v>
      </c>
      <c r="F10" t="str">
        <f>IFERROR(LOOKUP(2,1/('Match Log'!$D$4:$D$311=$A10),'Match Log'!$E$4:$E$311),"")</f>
        <v>Win</v>
      </c>
      <c r="G10">
        <f>IF($F10="",0,SUMPRODUCT(('Match Log'!$D$4:$D$311=$A10)*(ROW('Match Log'!$A$4:$A$311)&gt;SUMPRODUCT(MAX(('Match Log'!$D$4:$D$311=$A10)*('Match Log'!$E$4:$E$311&lt;&gt;$F10)*ROW('Match Log'!$A$4:$A$311))))))</f>
        <v>2</v>
      </c>
      <c r="H10" t="str">
        <f t="shared" si="2"/>
        <v>W2</v>
      </c>
      <c r="I10" t="str">
        <f>IFERROR(IF(INDEX('Match Log'!$E$1:$E$311,_xlfn.AGGREGATE(14,6,ROW('Match Log'!$A$4:$A$311)/('Match Log'!$D$4:$D$311=$A10),5))="Win","W","L"),"")&amp;IFERROR(IF(INDEX('Match Log'!$E$1:$E$311,_xlfn.AGGREGATE(14,6,ROW('Match Log'!$A$4:$A$311)/('Match Log'!$D$4:$D$311=$A10),4))="Win","W","L"),"")&amp;IFERROR(IF(INDEX('Match Log'!$E$1:$E$311,_xlfn.AGGREGATE(14,6,ROW('Match Log'!$A$4:$A$311)/('Match Log'!$D$4:$D$311=$A10),3))="Win","W","L"),"")&amp;IFERROR(IF(INDEX('Match Log'!$E$1:$E$311,_xlfn.AGGREGATE(14,6,ROW('Match Log'!$A$4:$A$311)/('Match Log'!$D$4:$D$311=$A10),2))="Win","W","L"),"")&amp;IFERROR(IF(INDEX('Match Log'!$E$1:$E$311,_xlfn.AGGREGATE(14,6,ROW('Match Log'!$A$4:$A$311)/('Match Log'!$D$4:$D$311=$A10),1))="Win","W","L"),"")</f>
        <v>LLLWW</v>
      </c>
      <c r="J10">
        <f>IFERROR(LOOKUP(2,1/(('Match Log'!$D$4:$D$311=$A10)*('Match Log'!$B$4:$B$311&lt;=$B$3)),'Match Log'!$N$4:$N$311),1000)</f>
        <v>990.8737469852914</v>
      </c>
      <c r="K10">
        <f t="shared" si="3"/>
        <v>13</v>
      </c>
      <c r="L10">
        <f t="shared" si="4"/>
        <v>1</v>
      </c>
      <c r="M10">
        <f t="shared" si="5"/>
        <v>0</v>
      </c>
      <c r="N10">
        <f t="shared" si="6"/>
        <v>2</v>
      </c>
      <c r="O10">
        <f t="shared" si="7"/>
        <v>2</v>
      </c>
      <c r="P10">
        <f>IFERROR(SUMPRODUCT(MAX(('Match Log'!$D$4:$D$311=$A10)*'Match Log'!$B$4:$B$311)),0)</f>
        <v>46188</v>
      </c>
      <c r="Q10">
        <f t="shared" si="8"/>
        <v>2.7142857142857144</v>
      </c>
      <c r="R10">
        <f>IF($P10=0,0,MAX($Q10-'Guide &amp; Settings'!$C$48,0)*'Guide &amp; Settings'!$C$49)</f>
        <v>0</v>
      </c>
      <c r="S10">
        <f t="shared" si="9"/>
        <v>990.8737469852914</v>
      </c>
      <c r="T10" t="str">
        <f>IF($P10=0,"No games",IF($Q10&gt;='Guide &amp; Settings'!$C$48,"Inactive",IF($Q10&gt;='Guide &amp; Settings'!$C$47,"At risk","Active")))</f>
        <v>Active</v>
      </c>
      <c r="U10">
        <f>SUMIF('Match Log'!$D$4:$D$311,$A10,'Match Log'!$AC$4:$AC$311)</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72.163207432424656</v>
      </c>
      <c r="AB10">
        <f t="shared" si="14"/>
        <v>41.63205931874117</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Log'!$D$4:$D$311,$A10,'Match Log'!$B$4:$B$311,"&gt;="&amp;$B$5)</f>
        <v>0</v>
      </c>
      <c r="AH10">
        <f ca="1">COUNTIFS('Match Log'!$D$4:$D$311,$A10,'Match Log'!$B$4:$B$311,"&gt;="&amp;$B$5,'Match Log'!$E$4:$E$311,"Win")</f>
        <v>0</v>
      </c>
    </row>
    <row r="11" spans="1:34" ht="15" customHeight="1" x14ac:dyDescent="0.2">
      <c r="A11" t="s">
        <v>144</v>
      </c>
      <c r="B11">
        <f>IFERROR(INDEX(Engine!$B$2:$B$15,MATCH($A11,Engine!$A$2:$A$15,0)),1000)</f>
        <v>1147.1945550051951</v>
      </c>
      <c r="C11">
        <f>IFERROR(INDEX(Engine!$C$2:$C$15,MATCH($A11,Engine!$A$2:$A$15,0)),"")</f>
        <v>1050.7513326385229</v>
      </c>
      <c r="D11">
        <f t="shared" si="0"/>
        <v>3</v>
      </c>
      <c r="E11">
        <f t="shared" si="1"/>
        <v>42.181952884677685</v>
      </c>
      <c r="F11" t="str">
        <f>IFERROR(LOOKUP(2,1/('Match Log'!$D$4:$D$311=$A11),'Match Log'!$E$4:$E$311),"")</f>
        <v>Loss</v>
      </c>
      <c r="G11">
        <f>IF($F11="",0,SUMPRODUCT(('Match Log'!$D$4:$D$311=$A11)*(ROW('Match Log'!$A$4:$A$311)&gt;SUMPRODUCT(MAX(('Match Log'!$D$4:$D$311=$A11)*('Match Log'!$E$4:$E$311&lt;&gt;$F11)*ROW('Match Log'!$A$4:$A$311))))))</f>
        <v>1</v>
      </c>
      <c r="H11" t="str">
        <f t="shared" si="2"/>
        <v>L1</v>
      </c>
      <c r="I11" t="str">
        <f>IFERROR(IF(INDEX('Match Log'!$E$1:$E$311,_xlfn.AGGREGATE(14,6,ROW('Match Log'!$A$4:$A$311)/('Match Log'!$D$4:$D$311=$A11),5))="Win","W","L"),"")&amp;IFERROR(IF(INDEX('Match Log'!$E$1:$E$311,_xlfn.AGGREGATE(14,6,ROW('Match Log'!$A$4:$A$311)/('Match Log'!$D$4:$D$311=$A11),4))="Win","W","L"),"")&amp;IFERROR(IF(INDEX('Match Log'!$E$1:$E$311,_xlfn.AGGREGATE(14,6,ROW('Match Log'!$A$4:$A$311)/('Match Log'!$D$4:$D$311=$A11),3))="Win","W","L"),"")&amp;IFERROR(IF(INDEX('Match Log'!$E$1:$E$311,_xlfn.AGGREGATE(14,6,ROW('Match Log'!$A$4:$A$311)/('Match Log'!$D$4:$D$311=$A11),2))="Win","W","L"),"")&amp;IFERROR(IF(INDEX('Match Log'!$E$1:$E$311,_xlfn.AGGREGATE(14,6,ROW('Match Log'!$A$4:$A$311)/('Match Log'!$D$4:$D$311=$A11),1))="Win","W","L"),"")</f>
        <v>LLWWL</v>
      </c>
      <c r="J11">
        <f>IFERROR(LOOKUP(2,1/(('Match Log'!$D$4:$D$311=$A11)*('Match Log'!$B$4:$B$311&lt;=$B$3)),'Match Log'!$N$4:$N$311),1000)</f>
        <v>1147.1945550051951</v>
      </c>
      <c r="K11">
        <f t="shared" si="3"/>
        <v>2</v>
      </c>
      <c r="L11">
        <f t="shared" si="4"/>
        <v>-1</v>
      </c>
      <c r="M11">
        <f t="shared" si="5"/>
        <v>1</v>
      </c>
      <c r="N11">
        <f t="shared" si="6"/>
        <v>2</v>
      </c>
      <c r="O11">
        <f t="shared" si="7"/>
        <v>0</v>
      </c>
      <c r="P11">
        <f>IFERROR(SUMPRODUCT(MAX(('Match Log'!$D$4:$D$311=$A11)*'Match Log'!$B$4:$B$311)),0)</f>
        <v>46199</v>
      </c>
      <c r="Q11">
        <f t="shared" si="8"/>
        <v>1.1428571428571428</v>
      </c>
      <c r="R11">
        <f>IF($P11=0,0,MAX($Q11-'Guide &amp; Settings'!$C$48,0)*'Guide &amp; Settings'!$C$49)</f>
        <v>0</v>
      </c>
      <c r="S11">
        <f t="shared" si="9"/>
        <v>1147.1945550051951</v>
      </c>
      <c r="T11" t="str">
        <f>IF($P11=0,"No games",IF($Q11&gt;='Guide &amp; Settings'!$C$48,"Inactive",IF($Q11&gt;='Guide &amp; Settings'!$C$47,"At risk","Active")))</f>
        <v>Active</v>
      </c>
      <c r="U11">
        <f>SUMIF('Match Log'!$D$4:$D$311,$A11,'Match Log'!$AC$4:$AC$311)</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62.687833159630713</v>
      </c>
      <c r="AB11">
        <f t="shared" si="14"/>
        <v>75.148306878917651</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Log'!$D$4:$D$311,$A11,'Match Log'!$B$4:$B$311,"&gt;="&amp;$B$5)</f>
        <v>0</v>
      </c>
      <c r="AH11">
        <f ca="1">COUNTIFS('Match Log'!$D$4:$D$311,$A11,'Match Log'!$B$4:$B$311,"&gt;="&amp;$B$5,'Match Log'!$E$4:$E$311,"Win")</f>
        <v>0</v>
      </c>
    </row>
    <row r="12" spans="1:34" ht="15" customHeight="1" x14ac:dyDescent="0.2">
      <c r="A12" t="s">
        <v>141</v>
      </c>
      <c r="B12">
        <f>IFERROR(INDEX(Engine!$B$2:$B$15,MATCH($A12,Engine!$A$2:$A$15,0)),1000)</f>
        <v>956.84822634794841</v>
      </c>
      <c r="C12">
        <f>IFERROR(INDEX(Engine!$C$2:$C$15,MATCH($A12,Engine!$A$2:$A$15,0)),"")</f>
        <v>1109.6106651006162</v>
      </c>
      <c r="D12">
        <f t="shared" si="0"/>
        <v>13</v>
      </c>
      <c r="E12">
        <f t="shared" si="1"/>
        <v>232.52828154192434</v>
      </c>
      <c r="F12" t="str">
        <f>IFERROR(LOOKUP(2,1/('Match Log'!$D$4:$D$311=$A12),'Match Log'!$E$4:$E$311),"")</f>
        <v>Loss</v>
      </c>
      <c r="G12">
        <f>IF($F12="",0,SUMPRODUCT(('Match Log'!$D$4:$D$311=$A12)*(ROW('Match Log'!$A$4:$A$311)&gt;SUMPRODUCT(MAX(('Match Log'!$D$4:$D$311=$A12)*('Match Log'!$E$4:$E$311&lt;&gt;$F12)*ROW('Match Log'!$A$4:$A$311))))))</f>
        <v>4</v>
      </c>
      <c r="H12" t="str">
        <f t="shared" si="2"/>
        <v>L4</v>
      </c>
      <c r="I12" t="str">
        <f>IFERROR(IF(INDEX('Match Log'!$E$1:$E$311,_xlfn.AGGREGATE(14,6,ROW('Match Log'!$A$4:$A$311)/('Match Log'!$D$4:$D$311=$A12),5))="Win","W","L"),"")&amp;IFERROR(IF(INDEX('Match Log'!$E$1:$E$311,_xlfn.AGGREGATE(14,6,ROW('Match Log'!$A$4:$A$311)/('Match Log'!$D$4:$D$311=$A12),4))="Win","W","L"),"")&amp;IFERROR(IF(INDEX('Match Log'!$E$1:$E$311,_xlfn.AGGREGATE(14,6,ROW('Match Log'!$A$4:$A$311)/('Match Log'!$D$4:$D$311=$A12),3))="Win","W","L"),"")&amp;IFERROR(IF(INDEX('Match Log'!$E$1:$E$311,_xlfn.AGGREGATE(14,6,ROW('Match Log'!$A$4:$A$311)/('Match Log'!$D$4:$D$311=$A12),2))="Win","W","L"),"")&amp;IFERROR(IF(INDEX('Match Log'!$E$1:$E$311,_xlfn.AGGREGATE(14,6,ROW('Match Log'!$A$4:$A$311)/('Match Log'!$D$4:$D$311=$A12),1))="Win","W","L"),"")</f>
        <v>WLLLL</v>
      </c>
      <c r="J12">
        <f>IFERROR(LOOKUP(2,1/(('Match Log'!$D$4:$D$311=$A12)*('Match Log'!$B$4:$B$311&lt;=$B$3)),'Match Log'!$N$4:$N$311),1000)</f>
        <v>993.73226027923863</v>
      </c>
      <c r="K12">
        <f t="shared" si="3"/>
        <v>12</v>
      </c>
      <c r="L12">
        <f t="shared" si="4"/>
        <v>-1</v>
      </c>
      <c r="M12">
        <f t="shared" si="5"/>
        <v>2</v>
      </c>
      <c r="N12">
        <f t="shared" si="6"/>
        <v>1</v>
      </c>
      <c r="O12">
        <f t="shared" si="7"/>
        <v>0</v>
      </c>
      <c r="P12">
        <f>IFERROR(SUMPRODUCT(MAX(('Match Log'!$D$4:$D$311=$A12)*'Match Log'!$B$4:$B$311)),0)</f>
        <v>46207</v>
      </c>
      <c r="Q12">
        <f t="shared" si="8"/>
        <v>0</v>
      </c>
      <c r="R12">
        <f>IF($P12=0,0,MAX($Q12-'Guide &amp; Settings'!$C$48,0)*'Guide &amp; Settings'!$C$49)</f>
        <v>0</v>
      </c>
      <c r="S12">
        <f t="shared" si="9"/>
        <v>956.84822634794841</v>
      </c>
      <c r="T12" t="str">
        <f>IF($P12=0,"No games",IF($Q12&gt;='Guide &amp; Settings'!$C$48,"Inactive",IF($Q12&gt;='Guide &amp; Settings'!$C$47,"At risk","Active")))</f>
        <v>Active</v>
      </c>
      <c r="U12">
        <f>SUMIF('Match Log'!$D$4:$D$311,$A12,'Match Log'!$AC$4:$AC$311)</f>
        <v>0</v>
      </c>
      <c r="V12">
        <f t="shared" si="10"/>
        <v>4</v>
      </c>
      <c r="W12">
        <f t="shared" si="11"/>
        <v>39.212056586987103</v>
      </c>
      <c r="X12">
        <f>IFERROR(INDEX(Dashboard!$G$5:$G$18,MATCH($A12,Dashboard!$B$5:$B$18,0))*100,0)</f>
        <v>39.024390243902438</v>
      </c>
      <c r="Y12">
        <f>MIN(100,IFERROR(INDEX(Dashboard!$K$5:$K$18,MATCH($A12,Dashboard!$B$5:$B$18,0)),0)/5*50+$AC12/4*50)</f>
        <v>100</v>
      </c>
      <c r="Z12">
        <f t="shared" si="12"/>
        <v>20</v>
      </c>
      <c r="AA12">
        <f t="shared" si="13"/>
        <v>77.402666275154047</v>
      </c>
      <c r="AB12">
        <f t="shared" si="14"/>
        <v>52.269364481741377</v>
      </c>
      <c r="AC12">
        <f>IFERROR(SUMPRODUCT((INDEX('Sport Records'!$B$8:$O$26,0,MATCH($A12,'Sport Records'!$B$7:$O$7,0))&gt;=2)*(INDEX('Sport Records'!$B$52:$O$70,0,MATCH($A12,'Sport Records'!$B$51:$O$51,0))&gt;=0.5)),0)</f>
        <v>2</v>
      </c>
      <c r="AD12">
        <f>IFERROR(INDEX(Dashboard!$D$5:$D$18,MATCH($A12,Dashboard!$B$5:$B$18,0)),0)</f>
        <v>41</v>
      </c>
      <c r="AE12">
        <f>IFERROR(INDEX(Dashboard!$K$5:$K$18,MATCH($A12,Dashboard!$B$5:$B$18,0)),0)</f>
        <v>8</v>
      </c>
      <c r="AF12" t="str">
        <f t="shared" si="15"/>
        <v>Mid</v>
      </c>
      <c r="AG12">
        <f ca="1">COUNTIFS('Match Log'!$D$4:$D$311,$A12,'Match Log'!$B$4:$B$311,"&gt;="&amp;$B$5)</f>
        <v>11</v>
      </c>
      <c r="AH12">
        <f ca="1">COUNTIFS('Match Log'!$D$4:$D$311,$A12,'Match Log'!$B$4:$B$311,"&gt;="&amp;$B$5,'Match Log'!$E$4:$E$311,"Win")</f>
        <v>2</v>
      </c>
    </row>
    <row r="13" spans="1:34" ht="15" customHeight="1" x14ac:dyDescent="0.2">
      <c r="A13" t="s">
        <v>175</v>
      </c>
      <c r="B13">
        <f>IFERROR(INDEX(Engine!$B$2:$B$15,MATCH($A13,Engine!$A$2:$A$15,0)),1000)</f>
        <v>1099.9035033078371</v>
      </c>
      <c r="C13">
        <f>IFERROR(INDEX(Engine!$C$2:$C$15,MATCH($A13,Engine!$A$2:$A$15,0)),"")</f>
        <v>1089.4921020396014</v>
      </c>
      <c r="D13">
        <f t="shared" si="0"/>
        <v>5</v>
      </c>
      <c r="E13">
        <f t="shared" si="1"/>
        <v>89.473004582035628</v>
      </c>
      <c r="F13" t="str">
        <f>IFERROR(LOOKUP(2,1/('Match Log'!$D$4:$D$311=$A13),'Match Log'!$E$4:$E$311),"")</f>
        <v>Loss</v>
      </c>
      <c r="G13">
        <f>IF($F13="",0,SUMPRODUCT(('Match Log'!$D$4:$D$311=$A13)*(ROW('Match Log'!$A$4:$A$311)&gt;SUMPRODUCT(MAX(('Match Log'!$D$4:$D$311=$A13)*('Match Log'!$E$4:$E$311&lt;&gt;$F13)*ROW('Match Log'!$A$4:$A$311))))))</f>
        <v>3</v>
      </c>
      <c r="H13" t="str">
        <f t="shared" si="2"/>
        <v>L3</v>
      </c>
      <c r="I13" t="str">
        <f>IFERROR(IF(INDEX('Match Log'!$E$1:$E$311,_xlfn.AGGREGATE(14,6,ROW('Match Log'!$A$4:$A$311)/('Match Log'!$D$4:$D$311=$A13),5))="Win","W","L"),"")&amp;IFERROR(IF(INDEX('Match Log'!$E$1:$E$311,_xlfn.AGGREGATE(14,6,ROW('Match Log'!$A$4:$A$311)/('Match Log'!$D$4:$D$311=$A13),4))="Win","W","L"),"")&amp;IFERROR(IF(INDEX('Match Log'!$E$1:$E$311,_xlfn.AGGREGATE(14,6,ROW('Match Log'!$A$4:$A$311)/('Match Log'!$D$4:$D$311=$A13),3))="Win","W","L"),"")&amp;IFERROR(IF(INDEX('Match Log'!$E$1:$E$311,_xlfn.AGGREGATE(14,6,ROW('Match Log'!$A$4:$A$311)/('Match Log'!$D$4:$D$311=$A13),2))="Win","W","L"),"")&amp;IFERROR(IF(INDEX('Match Log'!$E$1:$E$311,_xlfn.AGGREGATE(14,6,ROW('Match Log'!$A$4:$A$311)/('Match Log'!$D$4:$D$311=$A13),1))="Win","W","L"),"")</f>
        <v>WWLLL</v>
      </c>
      <c r="J13">
        <f>IFERROR(LOOKUP(2,1/(('Match Log'!$D$4:$D$311=$A13)*('Match Log'!$B$4:$B$311&lt;=$B$3)),'Match Log'!$N$4:$N$311),1000)</f>
        <v>1099.9035033078371</v>
      </c>
      <c r="K13">
        <f t="shared" si="3"/>
        <v>4</v>
      </c>
      <c r="L13">
        <f t="shared" si="4"/>
        <v>-1</v>
      </c>
      <c r="M13">
        <f t="shared" si="5"/>
        <v>0</v>
      </c>
      <c r="N13">
        <f t="shared" si="6"/>
        <v>2</v>
      </c>
      <c r="O13">
        <f t="shared" si="7"/>
        <v>0</v>
      </c>
      <c r="P13">
        <f>IFERROR(SUMPRODUCT(MAX(('Match Log'!$D$4:$D$311=$A13)*'Match Log'!$B$4:$B$311)),0)</f>
        <v>46188</v>
      </c>
      <c r="Q13">
        <f t="shared" si="8"/>
        <v>2.7142857142857144</v>
      </c>
      <c r="R13">
        <f>IF($P13=0,0,MAX($Q13-'Guide &amp; Settings'!$C$48,0)*'Guide &amp; Settings'!$C$49)</f>
        <v>0</v>
      </c>
      <c r="S13">
        <f t="shared" si="9"/>
        <v>1099.9035033078371</v>
      </c>
      <c r="T13" t="str">
        <f>IF($P13=0,"No games",IF($Q13&gt;='Guide &amp; Settings'!$C$48,"Inactive",IF($Q13&gt;='Guide &amp; Settings'!$C$47,"At risk","Active")))</f>
        <v>Active</v>
      </c>
      <c r="U13">
        <f>SUMIF('Match Log'!$D$4:$D$311,$A13,'Match Log'!$AC$4:$AC$311)</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72.373025509900344</v>
      </c>
      <c r="AB13">
        <f t="shared" si="14"/>
        <v>64.243564972778728</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Log'!$D$4:$D$311,$A13,'Match Log'!$B$4:$B$311,"&gt;="&amp;$B$5)</f>
        <v>0</v>
      </c>
      <c r="AH13">
        <f ca="1">COUNTIFS('Match Log'!$D$4:$D$311,$A13,'Match Log'!$B$4:$B$311,"&gt;="&amp;$B$5,'Match Log'!$E$4:$E$311,"Win")</f>
        <v>0</v>
      </c>
    </row>
    <row r="14" spans="1:34" ht="15" customHeight="1" x14ac:dyDescent="0.2">
      <c r="A14" t="s">
        <v>177</v>
      </c>
      <c r="B14">
        <f>IFERROR(INDEX(Engine!$B$2:$B$15,MATCH($A14,Engine!$A$2:$A$15,0)),1000)</f>
        <v>1069.478840506906</v>
      </c>
      <c r="C14">
        <f>IFERROR(INDEX(Engine!$C$2:$C$15,MATCH($A14,Engine!$A$2:$A$15,0)),"")</f>
        <v>1068.9293037026482</v>
      </c>
      <c r="D14">
        <f t="shared" si="0"/>
        <v>6</v>
      </c>
      <c r="E14">
        <f t="shared" si="1"/>
        <v>119.8976673829668</v>
      </c>
      <c r="F14" t="str">
        <f>IFERROR(LOOKUP(2,1/('Match Log'!$D$4:$D$311=$A14),'Match Log'!$E$4:$E$311),"")</f>
        <v>Loss</v>
      </c>
      <c r="G14">
        <f>IF($F14="",0,SUMPRODUCT(('Match Log'!$D$4:$D$311=$A14)*(ROW('Match Log'!$A$4:$A$311)&gt;SUMPRODUCT(MAX(('Match Log'!$D$4:$D$311=$A14)*('Match Log'!$E$4:$E$311&lt;&gt;$F14)*ROW('Match Log'!$A$4:$A$311))))))</f>
        <v>1</v>
      </c>
      <c r="H14" t="str">
        <f t="shared" si="2"/>
        <v>L1</v>
      </c>
      <c r="I14" t="str">
        <f>IFERROR(IF(INDEX('Match Log'!$E$1:$E$311,_xlfn.AGGREGATE(14,6,ROW('Match Log'!$A$4:$A$311)/('Match Log'!$D$4:$D$311=$A14),5))="Win","W","L"),"")&amp;IFERROR(IF(INDEX('Match Log'!$E$1:$E$311,_xlfn.AGGREGATE(14,6,ROW('Match Log'!$A$4:$A$311)/('Match Log'!$D$4:$D$311=$A14),4))="Win","W","L"),"")&amp;IFERROR(IF(INDEX('Match Log'!$E$1:$E$311,_xlfn.AGGREGATE(14,6,ROW('Match Log'!$A$4:$A$311)/('Match Log'!$D$4:$D$311=$A14),3))="Win","W","L"),"")&amp;IFERROR(IF(INDEX('Match Log'!$E$1:$E$311,_xlfn.AGGREGATE(14,6,ROW('Match Log'!$A$4:$A$311)/('Match Log'!$D$4:$D$311=$A14),2))="Win","W","L"),"")&amp;IFERROR(IF(INDEX('Match Log'!$E$1:$E$311,_xlfn.AGGREGATE(14,6,ROW('Match Log'!$A$4:$A$311)/('Match Log'!$D$4:$D$311=$A14),1))="Win","W","L"),"")</f>
        <v>WLLWL</v>
      </c>
      <c r="J14">
        <f>IFERROR(LOOKUP(2,1/(('Match Log'!$D$4:$D$311=$A14)*('Match Log'!$B$4:$B$311&lt;=$B$3)),'Match Log'!$N$4:$N$311),1000)</f>
        <v>1092.9844065377026</v>
      </c>
      <c r="K14">
        <f t="shared" si="3"/>
        <v>6</v>
      </c>
      <c r="L14">
        <f t="shared" si="4"/>
        <v>0</v>
      </c>
      <c r="M14">
        <f t="shared" si="5"/>
        <v>4</v>
      </c>
      <c r="N14">
        <f t="shared" si="6"/>
        <v>2</v>
      </c>
      <c r="O14">
        <f t="shared" si="7"/>
        <v>0</v>
      </c>
      <c r="P14">
        <f>IFERROR(SUMPRODUCT(MAX(('Match Log'!$D$4:$D$311=$A14)*'Match Log'!$B$4:$B$311)),0)</f>
        <v>46202</v>
      </c>
      <c r="Q14">
        <f t="shared" si="8"/>
        <v>0.7142857142857143</v>
      </c>
      <c r="R14">
        <f>IF($P14=0,0,MAX($Q14-'Guide &amp; Settings'!$C$48,0)*'Guide &amp; Settings'!$C$49)</f>
        <v>0</v>
      </c>
      <c r="S14">
        <f t="shared" si="9"/>
        <v>1069.478840506906</v>
      </c>
      <c r="T14" t="str">
        <f>IF($P14=0,"No games",IF($Q14&gt;='Guide &amp; Settings'!$C$48,"Inactive",IF($Q14&gt;='Guide &amp; Settings'!$C$47,"At risk","Active")))</f>
        <v>Active</v>
      </c>
      <c r="U14">
        <f>SUMIF('Match Log'!$D$4:$D$311,$A14,'Match Log'!$AC$4:$AC$311)</f>
        <v>0</v>
      </c>
      <c r="V14">
        <f t="shared" si="10"/>
        <v>1</v>
      </c>
      <c r="W14">
        <f t="shared" si="11"/>
        <v>67.369710126726488</v>
      </c>
      <c r="X14">
        <f>IFERROR(INDEX(Dashboard!$G$5:$G$18,MATCH($A14,Dashboard!$B$5:$B$18,0))*100,0)</f>
        <v>42.857142857142854</v>
      </c>
      <c r="Y14">
        <f>MIN(100,IFERROR(INDEX(Dashboard!$K$5:$K$18,MATCH($A14,Dashboard!$B$5:$B$18,0)),0)/5*50+$AC14/4*50)</f>
        <v>100</v>
      </c>
      <c r="Z14">
        <f t="shared" si="12"/>
        <v>40</v>
      </c>
      <c r="AA14">
        <f t="shared" si="13"/>
        <v>67.232325925662053</v>
      </c>
      <c r="AB14">
        <f t="shared" si="14"/>
        <v>64.874059708349051</v>
      </c>
      <c r="AC14">
        <f>IFERROR(SUMPRODUCT((INDEX('Sport Records'!$B$8:$O$26,0,MATCH($A14,'Sport Records'!$B$7:$O$7,0))&gt;=2)*(INDEX('Sport Records'!$B$52:$O$70,0,MATCH($A14,'Sport Records'!$B$51:$O$51,0))&gt;=0.5)),0)</f>
        <v>5</v>
      </c>
      <c r="AD14">
        <f>IFERROR(INDEX(Dashboard!$D$5:$D$18,MATCH($A14,Dashboard!$B$5:$B$18,0)),0)</f>
        <v>49</v>
      </c>
      <c r="AE14">
        <f>IFERROR(INDEX(Dashboard!$K$5:$K$18,MATCH($A14,Dashboard!$B$5:$B$18,0)),0)</f>
        <v>11</v>
      </c>
      <c r="AF14" t="str">
        <f t="shared" si="15"/>
        <v>Strong</v>
      </c>
      <c r="AG14">
        <f ca="1">COUNTIFS('Match Log'!$D$4:$D$311,$A14,'Match Log'!$B$4:$B$311,"&gt;="&amp;$B$5)</f>
        <v>1</v>
      </c>
      <c r="AH14">
        <f ca="1">COUNTIFS('Match Log'!$D$4:$D$311,$A14,'Match Log'!$B$4:$B$311,"&gt;="&amp;$B$5,'Match Log'!$E$4:$E$311,"Win")</f>
        <v>0</v>
      </c>
    </row>
    <row r="15" spans="1:34" ht="15" customHeight="1" x14ac:dyDescent="0.2">
      <c r="A15" t="s">
        <v>174</v>
      </c>
      <c r="B15">
        <f>IFERROR(INDEX(Engine!$B$2:$B$15,MATCH($A15,Engine!$A$2:$A$15,0)),1000)</f>
        <v>1189.3765078898728</v>
      </c>
      <c r="C15">
        <f>IFERROR(INDEX(Engine!$C$2:$C$15,MATCH($A15,Engine!$A$2:$A$15,0)),"")</f>
        <v>1074.1779562705763</v>
      </c>
      <c r="D15">
        <f t="shared" si="0"/>
        <v>1</v>
      </c>
      <c r="E15">
        <f t="shared" si="1"/>
        <v>0</v>
      </c>
      <c r="F15" t="str">
        <f>IFERROR(LOOKUP(2,1/('Match Log'!$D$4:$D$311=$A15),'Match Log'!$E$4:$E$311),"")</f>
        <v>Win</v>
      </c>
      <c r="G15">
        <f>IF($F15="",0,SUMPRODUCT(('Match Log'!$D$4:$D$311=$A15)*(ROW('Match Log'!$A$4:$A$311)&gt;SUMPRODUCT(MAX(('Match Log'!$D$4:$D$311=$A15)*('Match Log'!$E$4:$E$311&lt;&gt;$F15)*ROW('Match Log'!$A$4:$A$311))))))</f>
        <v>2</v>
      </c>
      <c r="H15" t="str">
        <f t="shared" si="2"/>
        <v>W2</v>
      </c>
      <c r="I15" t="str">
        <f>IFERROR(IF(INDEX('Match Log'!$E$1:$E$311,_xlfn.AGGREGATE(14,6,ROW('Match Log'!$A$4:$A$311)/('Match Log'!$D$4:$D$311=$A15),5))="Win","W","L"),"")&amp;IFERROR(IF(INDEX('Match Log'!$E$1:$E$311,_xlfn.AGGREGATE(14,6,ROW('Match Log'!$A$4:$A$311)/('Match Log'!$D$4:$D$311=$A15),4))="Win","W","L"),"")&amp;IFERROR(IF(INDEX('Match Log'!$E$1:$E$311,_xlfn.AGGREGATE(14,6,ROW('Match Log'!$A$4:$A$311)/('Match Log'!$D$4:$D$311=$A15),3))="Win","W","L"),"")&amp;IFERROR(IF(INDEX('Match Log'!$E$1:$E$311,_xlfn.AGGREGATE(14,6,ROW('Match Log'!$A$4:$A$311)/('Match Log'!$D$4:$D$311=$A15),2))="Win","W","L"),"")&amp;IFERROR(IF(INDEX('Match Log'!$E$1:$E$311,_xlfn.AGGREGATE(14,6,ROW('Match Log'!$A$4:$A$311)/('Match Log'!$D$4:$D$311=$A15),1))="Win","W","L"),"")</f>
        <v>LLLWW</v>
      </c>
      <c r="J15">
        <f>IFERROR(LOOKUP(2,1/(('Match Log'!$D$4:$D$311=$A15)*('Match Log'!$B$4:$B$311&lt;=$B$3)),'Match Log'!$N$4:$N$311),1000)</f>
        <v>1189.3765078898728</v>
      </c>
      <c r="K15">
        <f t="shared" si="3"/>
        <v>1</v>
      </c>
      <c r="L15">
        <f t="shared" si="4"/>
        <v>0</v>
      </c>
      <c r="M15">
        <f t="shared" si="5"/>
        <v>2</v>
      </c>
      <c r="N15">
        <f t="shared" si="6"/>
        <v>2</v>
      </c>
      <c r="O15">
        <f t="shared" si="7"/>
        <v>2</v>
      </c>
      <c r="P15">
        <f>IFERROR(SUMPRODUCT(MAX(('Match Log'!$D$4:$D$311=$A15)*'Match Log'!$B$4:$B$311)),0)</f>
        <v>46189</v>
      </c>
      <c r="Q15">
        <f t="shared" si="8"/>
        <v>2.5714285714285716</v>
      </c>
      <c r="R15">
        <f>IF($P15=0,0,MAX($Q15-'Guide &amp; Settings'!$C$48,0)*'Guide &amp; Settings'!$C$49)</f>
        <v>0</v>
      </c>
      <c r="S15">
        <f t="shared" si="9"/>
        <v>1189.3765078898728</v>
      </c>
      <c r="T15" t="str">
        <f>IF($P15=0,"No games",IF($Q15&gt;='Guide &amp; Settings'!$C$48,"Inactive",IF($Q15&gt;='Guide &amp; Settings'!$C$47,"At risk","Active")))</f>
        <v>Active</v>
      </c>
      <c r="U15">
        <f>SUMIF('Match Log'!$D$4:$D$311,$A15,'Match Log'!$AC$4:$AC$311)</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68.544489067644065</v>
      </c>
      <c r="AB15">
        <f t="shared" si="14"/>
        <v>73.468371607997838</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Log'!$D$4:$D$311,$A15,'Match Log'!$B$4:$B$311,"&gt;="&amp;$B$5)</f>
        <v>0</v>
      </c>
      <c r="AH15">
        <f ca="1">COUNTIFS('Match Log'!$D$4:$D$311,$A15,'Match Log'!$B$4:$B$311,"&gt;="&amp;$B$5,'Match Log'!$E$4:$E$311,"Win")</f>
        <v>0</v>
      </c>
    </row>
    <row r="16" spans="1:34" ht="15" customHeight="1" x14ac:dyDescent="0.2">
      <c r="A16" t="s">
        <v>182</v>
      </c>
      <c r="B16">
        <f>IFERROR(INDEX(Engine!$B$2:$B$15,MATCH($A16,Engine!$A$2:$A$15,0)),1000)</f>
        <v>894.20718606929802</v>
      </c>
      <c r="C16">
        <f>IFERROR(INDEX(Engine!$C$2:$C$15,MATCH($A16,Engine!$A$2:$A$15,0)),"")</f>
        <v>1110.8515341855841</v>
      </c>
      <c r="D16">
        <f t="shared" si="0"/>
        <v>14</v>
      </c>
      <c r="E16">
        <f t="shared" si="1"/>
        <v>295.16932182057474</v>
      </c>
      <c r="F16" t="str">
        <f>IFERROR(LOOKUP(2,1/('Match Log'!$D$4:$D$311=$A16),'Match Log'!$E$4:$E$311),"")</f>
        <v>Loss</v>
      </c>
      <c r="G16">
        <f>IF($F16="",0,SUMPRODUCT(('Match Log'!$D$4:$D$311=$A16)*(ROW('Match Log'!$A$4:$A$311)&gt;SUMPRODUCT(MAX(('Match Log'!$D$4:$D$311=$A16)*('Match Log'!$E$4:$E$311&lt;&gt;$F16)*ROW('Match Log'!$A$4:$A$311))))))</f>
        <v>4</v>
      </c>
      <c r="H16" t="str">
        <f t="shared" si="2"/>
        <v>L4</v>
      </c>
      <c r="I16" t="str">
        <f>IFERROR(IF(INDEX('Match Log'!$E$1:$E$311,_xlfn.AGGREGATE(14,6,ROW('Match Log'!$A$4:$A$311)/('Match Log'!$D$4:$D$311=$A16),5))="Win","W","L"),"")&amp;IFERROR(IF(INDEX('Match Log'!$E$1:$E$311,_xlfn.AGGREGATE(14,6,ROW('Match Log'!$A$4:$A$311)/('Match Log'!$D$4:$D$311=$A16),4))="Win","W","L"),"")&amp;IFERROR(IF(INDEX('Match Log'!$E$1:$E$311,_xlfn.AGGREGATE(14,6,ROW('Match Log'!$A$4:$A$311)/('Match Log'!$D$4:$D$311=$A16),3))="Win","W","L"),"")&amp;IFERROR(IF(INDEX('Match Log'!$E$1:$E$311,_xlfn.AGGREGATE(14,6,ROW('Match Log'!$A$4:$A$311)/('Match Log'!$D$4:$D$311=$A16),2))="Win","W","L"),"")&amp;IFERROR(IF(INDEX('Match Log'!$E$1:$E$311,_xlfn.AGGREGATE(14,6,ROW('Match Log'!$A$4:$A$311)/('Match Log'!$D$4:$D$311=$A16),1))="Win","W","L"),"")</f>
        <v>WLLLL</v>
      </c>
      <c r="J16">
        <f>IFERROR(LOOKUP(2,1/(('Match Log'!$D$4:$D$311=$A16)*('Match Log'!$B$4:$B$311&lt;=$B$3)),'Match Log'!$N$4:$N$311),1000)</f>
        <v>894.20718606929802</v>
      </c>
      <c r="K16">
        <f t="shared" si="3"/>
        <v>14</v>
      </c>
      <c r="L16">
        <f t="shared" si="4"/>
        <v>0</v>
      </c>
      <c r="M16">
        <f t="shared" si="5"/>
        <v>1</v>
      </c>
      <c r="N16">
        <f t="shared" si="6"/>
        <v>1</v>
      </c>
      <c r="O16">
        <f t="shared" si="7"/>
        <v>0</v>
      </c>
      <c r="P16">
        <f>IFERROR(SUMPRODUCT(MAX(('Match Log'!$D$4:$D$311=$A16)*'Match Log'!$B$4:$B$311)),0)</f>
        <v>46188</v>
      </c>
      <c r="Q16">
        <f t="shared" si="8"/>
        <v>2.7142857142857144</v>
      </c>
      <c r="R16">
        <f>IF($P16=0,0,MAX($Q16-'Guide &amp; Settings'!$C$48,0)*'Guide &amp; Settings'!$C$49)</f>
        <v>0</v>
      </c>
      <c r="S16">
        <f t="shared" si="9"/>
        <v>894.20718606929802</v>
      </c>
      <c r="T16" t="str">
        <f>IF($P16=0,"No games",IF($Q16&gt;='Guide &amp; Settings'!$C$48,"Inactive",IF($Q16&gt;='Guide &amp; Settings'!$C$47,"At risk","Active")))</f>
        <v>Active</v>
      </c>
      <c r="U16">
        <f>SUMIF('Match Log'!$D$4:$D$311,$A16,'Match Log'!$AC$4:$AC$311)</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77.712883546396029</v>
      </c>
      <c r="AB16">
        <f t="shared" si="14"/>
        <v>28.091340212626257</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Log'!$D$4:$D$311,$A16,'Match Log'!$B$4:$B$311,"&gt;="&amp;$B$5)</f>
        <v>0</v>
      </c>
      <c r="AH16">
        <f ca="1">COUNTIFS('Match Log'!$D$4:$D$311,$A16,'Match Log'!$B$4:$B$311,"&gt;="&amp;$B$5,'Match Log'!$E$4:$E$311,"Win")</f>
        <v>0</v>
      </c>
    </row>
    <row r="17" spans="1:34" ht="15" customHeight="1" x14ac:dyDescent="0.2">
      <c r="A17" t="s">
        <v>176</v>
      </c>
      <c r="B17">
        <f>IFERROR(INDEX(Engine!$B$2:$B$15,MATCH($A17,Engine!$A$2:$A$15,0)),1000)</f>
        <v>1154.7503552131154</v>
      </c>
      <c r="C17">
        <f>IFERROR(INDEX(Engine!$C$2:$C$15,MATCH($A17,Engine!$A$2:$A$15,0)),"")</f>
        <v>1062.7009143720043</v>
      </c>
      <c r="D17">
        <f t="shared" si="0"/>
        <v>2</v>
      </c>
      <c r="E17">
        <f t="shared" si="1"/>
        <v>34.626152676757329</v>
      </c>
      <c r="F17" t="str">
        <f>IFERROR(LOOKUP(2,1/('Match Log'!$D$4:$D$311=$A17),'Match Log'!$E$4:$E$311),"")</f>
        <v>Win</v>
      </c>
      <c r="G17">
        <f>IF($F17="",0,SUMPRODUCT(('Match Log'!$D$4:$D$311=$A17)*(ROW('Match Log'!$A$4:$A$311)&gt;SUMPRODUCT(MAX(('Match Log'!$D$4:$D$311=$A17)*('Match Log'!$E$4:$E$311&lt;&gt;$F17)*ROW('Match Log'!$A$4:$A$311))))))</f>
        <v>4</v>
      </c>
      <c r="H17" t="str">
        <f t="shared" si="2"/>
        <v>W4</v>
      </c>
      <c r="I17" t="str">
        <f>IFERROR(IF(INDEX('Match Log'!$E$1:$E$311,_xlfn.AGGREGATE(14,6,ROW('Match Log'!$A$4:$A$311)/('Match Log'!$D$4:$D$311=$A17),5))="Win","W","L"),"")&amp;IFERROR(IF(INDEX('Match Log'!$E$1:$E$311,_xlfn.AGGREGATE(14,6,ROW('Match Log'!$A$4:$A$311)/('Match Log'!$D$4:$D$311=$A17),4))="Win","W","L"),"")&amp;IFERROR(IF(INDEX('Match Log'!$E$1:$E$311,_xlfn.AGGREGATE(14,6,ROW('Match Log'!$A$4:$A$311)/('Match Log'!$D$4:$D$311=$A17),3))="Win","W","L"),"")&amp;IFERROR(IF(INDEX('Match Log'!$E$1:$E$311,_xlfn.AGGREGATE(14,6,ROW('Match Log'!$A$4:$A$311)/('Match Log'!$D$4:$D$311=$A17),2))="Win","W","L"),"")&amp;IFERROR(IF(INDEX('Match Log'!$E$1:$E$311,_xlfn.AGGREGATE(14,6,ROW('Match Log'!$A$4:$A$311)/('Match Log'!$D$4:$D$311=$A17),1))="Win","W","L"),"")</f>
        <v>LWWWW</v>
      </c>
      <c r="J17">
        <f>IFERROR(LOOKUP(2,1/(('Match Log'!$D$4:$D$311=$A17)*('Match Log'!$B$4:$B$311&lt;=$B$3)),'Match Log'!$N$4:$N$311),1000)</f>
        <v>1094.3607552510286</v>
      </c>
      <c r="K17">
        <f t="shared" si="3"/>
        <v>5</v>
      </c>
      <c r="L17">
        <f t="shared" si="4"/>
        <v>3</v>
      </c>
      <c r="M17">
        <f t="shared" si="5"/>
        <v>2</v>
      </c>
      <c r="N17">
        <f t="shared" si="6"/>
        <v>4</v>
      </c>
      <c r="O17">
        <f t="shared" si="7"/>
        <v>4</v>
      </c>
      <c r="P17">
        <f>IFERROR(SUMPRODUCT(MAX(('Match Log'!$D$4:$D$311=$A17)*'Match Log'!$B$4:$B$311)),0)</f>
        <v>46207</v>
      </c>
      <c r="Q17">
        <f t="shared" si="8"/>
        <v>0</v>
      </c>
      <c r="R17">
        <f>IF($P17=0,0,MAX($Q17-'Guide &amp; Settings'!$C$48,0)*'Guide &amp; Settings'!$C$49)</f>
        <v>0</v>
      </c>
      <c r="S17">
        <f t="shared" si="9"/>
        <v>1154.7503552131154</v>
      </c>
      <c r="T17" t="str">
        <f>IF($P17=0,"No games",IF($Q17&gt;='Guide &amp; Settings'!$C$48,"Inactive",IF($Q17&gt;='Guide &amp; Settings'!$C$47,"At risk","Active")))</f>
        <v>Active</v>
      </c>
      <c r="U17">
        <f>SUMIF('Match Log'!$D$4:$D$311,$A17,'Match Log'!$AC$4:$AC$311)</f>
        <v>0</v>
      </c>
      <c r="V17">
        <f t="shared" si="10"/>
        <v>0</v>
      </c>
      <c r="W17">
        <f t="shared" si="11"/>
        <v>88.687588803278857</v>
      </c>
      <c r="X17">
        <f>IFERROR(INDEX(Dashboard!$G$5:$G$18,MATCH($A17,Dashboard!$B$5:$B$18,0))*100,0)</f>
        <v>48.717948717948715</v>
      </c>
      <c r="Y17">
        <f>MIN(100,IFERROR(INDEX(Dashboard!$K$5:$K$18,MATCH($A17,Dashboard!$B$5:$B$18,0)),0)/5*50+$AC17/4*50)</f>
        <v>100</v>
      </c>
      <c r="Z17">
        <f t="shared" si="12"/>
        <v>80</v>
      </c>
      <c r="AA17">
        <f t="shared" si="13"/>
        <v>65.675228593001066</v>
      </c>
      <c r="AB17">
        <f t="shared" si="14"/>
        <v>79.351768684037452</v>
      </c>
      <c r="AC17">
        <f>IFERROR(SUMPRODUCT((INDEX('Sport Records'!$B$8:$O$26,0,MATCH($A17,'Sport Records'!$B$7:$O$7,0))&gt;=2)*(INDEX('Sport Records'!$B$52:$O$70,0,MATCH($A17,'Sport Records'!$B$51:$O$51,0))&gt;=0.5)),0)</f>
        <v>3</v>
      </c>
      <c r="AD17">
        <f>IFERROR(INDEX(Dashboard!$D$5:$D$18,MATCH($A17,Dashboard!$B$5:$B$18,0)),0)</f>
        <v>39</v>
      </c>
      <c r="AE17">
        <f>IFERROR(INDEX(Dashboard!$K$5:$K$18,MATCH($A17,Dashboard!$B$5:$B$18,0)),0)</f>
        <v>7</v>
      </c>
      <c r="AF17" t="str">
        <f t="shared" si="15"/>
        <v>Elite</v>
      </c>
      <c r="AG17">
        <f ca="1">COUNTIFS('Match Log'!$D$4:$D$311,$A17,'Match Log'!$B$4:$B$311,"&gt;="&amp;$B$5)</f>
        <v>4</v>
      </c>
      <c r="AH17">
        <f ca="1">COUNTIFS('Match Log'!$D$4:$D$311,$A17,'Match Log'!$B$4:$B$311,"&gt;="&amp;$B$5,'Match Log'!$E$4:$E$311,"Win")</f>
        <v>4</v>
      </c>
    </row>
    <row r="18" spans="1:34" ht="15" customHeight="1" x14ac:dyDescent="0.2">
      <c r="A18" t="s">
        <v>178</v>
      </c>
      <c r="B18">
        <f>IFERROR(INDEX(Engine!$B$2:$B$15,MATCH($A18,Engine!$A$2:$A$15,0)),1000)</f>
        <v>1039.5415973556721</v>
      </c>
      <c r="C18">
        <f>IFERROR(INDEX(Engine!$C$2:$C$15,MATCH($A18,Engine!$A$2:$A$15,0)),"")</f>
        <v>1066.7168830610779</v>
      </c>
      <c r="D18">
        <f t="shared" si="0"/>
        <v>8</v>
      </c>
      <c r="E18">
        <f t="shared" si="1"/>
        <v>149.83491053420062</v>
      </c>
      <c r="F18" t="str">
        <f>IFERROR(LOOKUP(2,1/('Match Log'!$D$4:$D$311=$A18),'Match Log'!$E$4:$E$311),"")</f>
        <v>Win</v>
      </c>
      <c r="G18">
        <f>IF($F18="",0,SUMPRODUCT(('Match Log'!$D$4:$D$311=$A18)*(ROW('Match Log'!$A$4:$A$311)&gt;SUMPRODUCT(MAX(('Match Log'!$D$4:$D$311=$A18)*('Match Log'!$E$4:$E$311&lt;&gt;$F18)*ROW('Match Log'!$A$4:$A$311))))))</f>
        <v>2</v>
      </c>
      <c r="H18" t="str">
        <f t="shared" si="2"/>
        <v>W2</v>
      </c>
      <c r="I18" t="str">
        <f>IFERROR(IF(INDEX('Match Log'!$E$1:$E$311,_xlfn.AGGREGATE(14,6,ROW('Match Log'!$A$4:$A$311)/('Match Log'!$D$4:$D$311=$A18),5))="Win","W","L"),"")&amp;IFERROR(IF(INDEX('Match Log'!$E$1:$E$311,_xlfn.AGGREGATE(14,6,ROW('Match Log'!$A$4:$A$311)/('Match Log'!$D$4:$D$311=$A18),4))="Win","W","L"),"")&amp;IFERROR(IF(INDEX('Match Log'!$E$1:$E$311,_xlfn.AGGREGATE(14,6,ROW('Match Log'!$A$4:$A$311)/('Match Log'!$D$4:$D$311=$A18),3))="Win","W","L"),"")&amp;IFERROR(IF(INDEX('Match Log'!$E$1:$E$311,_xlfn.AGGREGATE(14,6,ROW('Match Log'!$A$4:$A$311)/('Match Log'!$D$4:$D$311=$A18),2))="Win","W","L"),"")&amp;IFERROR(IF(INDEX('Match Log'!$E$1:$E$311,_xlfn.AGGREGATE(14,6,ROW('Match Log'!$A$4:$A$311)/('Match Log'!$D$4:$D$311=$A18),1))="Win","W","L"),"")</f>
        <v>LLLWW</v>
      </c>
      <c r="J18">
        <f>IFERROR(LOOKUP(2,1/(('Match Log'!$D$4:$D$311=$A18)*('Match Log'!$B$4:$B$311&lt;=$B$3)),'Match Log'!$N$4:$N$311),1000)</f>
        <v>1039.5415973556721</v>
      </c>
      <c r="K18">
        <f t="shared" si="3"/>
        <v>8</v>
      </c>
      <c r="L18">
        <f t="shared" si="4"/>
        <v>0</v>
      </c>
      <c r="M18">
        <f t="shared" si="5"/>
        <v>0</v>
      </c>
      <c r="N18">
        <f t="shared" si="6"/>
        <v>2</v>
      </c>
      <c r="O18">
        <f t="shared" si="7"/>
        <v>2</v>
      </c>
      <c r="P18">
        <f>IFERROR(SUMPRODUCT(MAX(('Match Log'!$D$4:$D$311=$A18)*'Match Log'!$B$4:$B$311)),0)</f>
        <v>46188</v>
      </c>
      <c r="Q18">
        <f t="shared" si="8"/>
        <v>2.7142857142857144</v>
      </c>
      <c r="R18">
        <f>IF($P18=0,0,MAX($Q18-'Guide &amp; Settings'!$C$48,0)*'Guide &amp; Settings'!$C$49)</f>
        <v>0</v>
      </c>
      <c r="S18">
        <f t="shared" si="9"/>
        <v>1039.5415973556721</v>
      </c>
      <c r="T18" t="str">
        <f>IF($P18=0,"No games",IF($Q18&gt;='Guide &amp; Settings'!$C$48,"Inactive",IF($Q18&gt;='Guide &amp; Settings'!$C$47,"At risk","Active")))</f>
        <v>Active</v>
      </c>
      <c r="U18">
        <f>SUMIF('Match Log'!$D$4:$D$311,$A18,'Match Log'!$AC$4:$AC$311)</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66.679220765269463</v>
      </c>
      <c r="AB18">
        <f t="shared" si="14"/>
        <v>43.627811845148258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Log'!$D$4:$D$311,$A18,'Match Log'!$B$4:$B$311,"&gt;="&amp;$B$5)</f>
        <v>0</v>
      </c>
      <c r="AH18">
        <f ca="1">COUNTIFS('Match Log'!$D$4:$D$311,$A18,'Match Log'!$B$4:$B$311,"&gt;="&amp;$B$5,'Match Log'!$E$4:$E$311,"Win")</f>
        <v>0</v>
      </c>
    </row>
    <row r="19" spans="1:34" ht="15" customHeight="1" x14ac:dyDescent="0.2">
      <c r="A19" t="s">
        <v>179</v>
      </c>
      <c r="B19">
        <f>IFERROR(INDEX(Engine!$B$2:$B$15,MATCH($A19,Engine!$A$2:$A$15,0)),1000)</f>
        <v>1038.5016461247724</v>
      </c>
      <c r="C19">
        <f>IFERROR(INDEX(Engine!$C$2:$C$15,MATCH($A19,Engine!$A$2:$A$15,0)),"")</f>
        <v>1087.6402060746505</v>
      </c>
      <c r="D19">
        <f t="shared" si="0"/>
        <v>9</v>
      </c>
      <c r="E19">
        <f t="shared" si="1"/>
        <v>150.87486176510038</v>
      </c>
      <c r="F19" t="str">
        <f>IFERROR(LOOKUP(2,1/('Match Log'!$D$4:$D$311=$A19),'Match Log'!$E$4:$E$311),"")</f>
        <v>Loss</v>
      </c>
      <c r="G19">
        <f>IF($F19="",0,SUMPRODUCT(('Match Log'!$D$4:$D$311=$A19)*(ROW('Match Log'!$A$4:$A$311)&gt;SUMPRODUCT(MAX(('Match Log'!$D$4:$D$311=$A19)*('Match Log'!$E$4:$E$311&lt;&gt;$F19)*ROW('Match Log'!$A$4:$A$311))))))</f>
        <v>1</v>
      </c>
      <c r="H19" t="str">
        <f t="shared" si="2"/>
        <v>L1</v>
      </c>
      <c r="I19" t="str">
        <f>IFERROR(IF(INDEX('Match Log'!$E$1:$E$311,_xlfn.AGGREGATE(14,6,ROW('Match Log'!$A$4:$A$311)/('Match Log'!$D$4:$D$311=$A19),5))="Win","W","L"),"")&amp;IFERROR(IF(INDEX('Match Log'!$E$1:$E$311,_xlfn.AGGREGATE(14,6,ROW('Match Log'!$A$4:$A$311)/('Match Log'!$D$4:$D$311=$A19),4))="Win","W","L"),"")&amp;IFERROR(IF(INDEX('Match Log'!$E$1:$E$311,_xlfn.AGGREGATE(14,6,ROW('Match Log'!$A$4:$A$311)/('Match Log'!$D$4:$D$311=$A19),3))="Win","W","L"),"")&amp;IFERROR(IF(INDEX('Match Log'!$E$1:$E$311,_xlfn.AGGREGATE(14,6,ROW('Match Log'!$A$4:$A$311)/('Match Log'!$D$4:$D$311=$A19),2))="Win","W","L"),"")&amp;IFERROR(IF(INDEX('Match Log'!$E$1:$E$311,_xlfn.AGGREGATE(14,6,ROW('Match Log'!$A$4:$A$311)/('Match Log'!$D$4:$D$311=$A19),1))="Win","W","L"),"")</f>
        <v>WLWL</v>
      </c>
      <c r="J19">
        <f>IFERROR(LOOKUP(2,1/(('Match Log'!$D$4:$D$311=$A19)*('Match Log'!$B$4:$B$311&lt;=$B$3)),'Match Log'!$N$4:$N$311),1000)</f>
        <v>1038.5016461247724</v>
      </c>
      <c r="K19">
        <f t="shared" si="3"/>
        <v>9</v>
      </c>
      <c r="L19">
        <f t="shared" si="4"/>
        <v>0</v>
      </c>
      <c r="M19">
        <f t="shared" si="5"/>
        <v>0</v>
      </c>
      <c r="N19">
        <f t="shared" si="6"/>
        <v>2</v>
      </c>
      <c r="O19">
        <f t="shared" si="7"/>
        <v>0</v>
      </c>
      <c r="P19">
        <f>IFERROR(SUMPRODUCT(MAX(('Match Log'!$D$4:$D$311=$A19)*'Match Log'!$B$4:$B$311)),0)</f>
        <v>46188</v>
      </c>
      <c r="Q19">
        <f t="shared" si="8"/>
        <v>2.7142857142857144</v>
      </c>
      <c r="R19">
        <f>IF($P19=0,0,MAX($Q19-'Guide &amp; Settings'!$C$48,0)*'Guide &amp; Settings'!$C$49)</f>
        <v>0</v>
      </c>
      <c r="S19">
        <f t="shared" si="9"/>
        <v>1038.5016461247724</v>
      </c>
      <c r="T19" t="str">
        <f>IF($P19=0,"No games",IF($Q19&gt;='Guide &amp; Settings'!$C$48,"Inactive",IF($Q19&gt;='Guide &amp; Settings'!$C$47,"At risk","Active")))</f>
        <v>Active</v>
      </c>
      <c r="U19">
        <f>SUMIF('Match Log'!$D$4:$D$311,$A19,'Match Log'!$AC$4:$AC$311)</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71.910051518662613</v>
      </c>
      <c r="AB19">
        <f t="shared" si="14"/>
        <v>50.059899187783842</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Log'!$D$4:$D$311,$A19,'Match Log'!$B$4:$B$311,"&gt;="&amp;$B$5)</f>
        <v>0</v>
      </c>
      <c r="AH19">
        <f ca="1">COUNTIFS('Match Log'!$D$4:$D$311,$A19,'Match Log'!$B$4:$B$311,"&gt;="&amp;$B$5,'Match Log'!$E$4:$E$311,"Win")</f>
        <v>0</v>
      </c>
    </row>
    <row r="20" spans="1:34" ht="15" customHeight="1" x14ac:dyDescent="0.2">
      <c r="A20" t="s">
        <v>181</v>
      </c>
      <c r="B20">
        <f>IFERROR(INDEX(Engine!$B$2:$B$15,MATCH($A20,Engine!$A$2:$A$15,0)),1000)</f>
        <v>1000</v>
      </c>
      <c r="C20" t="str">
        <f>IFERROR(INDEX(Engine!$C$2:$C$15,MATCH($A20,Engine!$A$2:$A$15,0)),"")</f>
        <v/>
      </c>
      <c r="D20">
        <f t="shared" si="0"/>
        <v>11</v>
      </c>
      <c r="E20">
        <f t="shared" si="1"/>
        <v>189.37650788987276</v>
      </c>
      <c r="F20" t="str">
        <f>IFERROR(LOOKUP(2,1/('Match Log'!$D$4:$D$311=$A20),'Match Log'!$E$4:$E$311),"")</f>
        <v/>
      </c>
      <c r="G20">
        <f>IF($F20="",0,SUMPRODUCT(('Match Log'!$D$4:$D$311=$A20)*(ROW('Match Log'!$A$4:$A$311)&gt;SUMPRODUCT(MAX(('Match Log'!$D$4:$D$311=$A20)*('Match Log'!$E$4:$E$311&lt;&gt;$F20)*ROW('Match Log'!$A$4:$A$311))))))</f>
        <v>0</v>
      </c>
      <c r="H20" t="str">
        <f t="shared" si="2"/>
        <v/>
      </c>
      <c r="I20" t="str">
        <f>IFERROR(IF(INDEX('Match Log'!$E$1:$E$311,_xlfn.AGGREGATE(14,6,ROW('Match Log'!$A$4:$A$311)/('Match Log'!$D$4:$D$311=$A20),5))="Win","W","L"),"")&amp;IFERROR(IF(INDEX('Match Log'!$E$1:$E$311,_xlfn.AGGREGATE(14,6,ROW('Match Log'!$A$4:$A$311)/('Match Log'!$D$4:$D$311=$A20),4))="Win","W","L"),"")&amp;IFERROR(IF(INDEX('Match Log'!$E$1:$E$311,_xlfn.AGGREGATE(14,6,ROW('Match Log'!$A$4:$A$311)/('Match Log'!$D$4:$D$311=$A20),3))="Win","W","L"),"")&amp;IFERROR(IF(INDEX('Match Log'!$E$1:$E$311,_xlfn.AGGREGATE(14,6,ROW('Match Log'!$A$4:$A$311)/('Match Log'!$D$4:$D$311=$A20),2))="Win","W","L"),"")&amp;IFERROR(IF(INDEX('Match Log'!$E$1:$E$311,_xlfn.AGGREGATE(14,6,ROW('Match Log'!$A$4:$A$311)/('Match Log'!$D$4:$D$311=$A20),1))="Win","W","L"),"")</f>
        <v/>
      </c>
      <c r="J20">
        <f>IFERROR(LOOKUP(2,1/(('Match Log'!$D$4:$D$311=$A20)*('Match Log'!$B$4:$B$311&lt;=$B$3)),'Match Log'!$N$4:$N$311),1000)</f>
        <v>1000</v>
      </c>
      <c r="K20">
        <f t="shared" si="3"/>
        <v>11</v>
      </c>
      <c r="L20">
        <f t="shared" si="4"/>
        <v>0</v>
      </c>
      <c r="M20">
        <f t="shared" si="5"/>
        <v>0</v>
      </c>
      <c r="N20">
        <f t="shared" si="6"/>
        <v>0</v>
      </c>
      <c r="O20">
        <f t="shared" si="7"/>
        <v>0</v>
      </c>
      <c r="P20">
        <f>IFERROR(SUMPRODUCT(MAX(('Match Log'!$D$4:$D$311=$A20)*'Match Log'!$B$4:$B$311)),0)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Log'!$D$4:$D$311,$A20,'Match Log'!$AC$4:$AC$311)</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Log'!$D$4:$D$311,$A20,'Match Log'!$B$4:$B$311,"&gt;="&amp;$B$5)</f>
        <v>0</v>
      </c>
      <c r="AH20">
        <f ca="1">COUNTIFS('Match Log'!$D$4:$D$311,$A20,'Match Log'!$B$4:$B$311,"&gt;="&amp;$B$5,'Match Log'!$E$4:$E$311,"Win")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Log'!$B$4:$B$311,MATCH(1,'Match Log'!$A$4:$A$311,0)),"")</f>
        <v>46145</v>
      </c>
      <c r="C25" t="str">
        <f>IFERROR(INDEX('Match Log'!$C$4:$C$311,MATCH(1,'Match Log'!$A$4:$A$311,0)),"")</f>
        <v>Putt Putt</v>
      </c>
      <c r="D25" t="str">
        <f>IFERROR(INDEX('Match Log'!$G$4:$G$311,MATCH(1,'Match Log'!$A$4:$A$311,0)),"")</f>
        <v>Josh</v>
      </c>
      <c r="E25" s="133">
        <f>IFERROR(INDEX('Match Log'!$F$4:$F$311,MATCH(1,'Match Log'!$A$4:$A$311,0)),"")</f>
        <v>3</v>
      </c>
      <c r="F25">
        <f>IFERROR(SUMIFS('Match Log'!$I$4:$I$311,'Match Log'!$A$4:$A$311,1,'Match Log'!$E$4:$E$311,"Win"),"")</f>
        <v>0.33333333333333331</v>
      </c>
      <c r="G25">
        <f t="shared" ref="G25:G56" si="16">IF($D25="","",1-$F25*$E25)</f>
        <v>0</v>
      </c>
      <c r="H25" t="str">
        <f>IFERROR(IF($E25=2,LOOKUP(2,1/(('Match Log'!$A$4:$A$311=1)*('Match Log'!$E$4:$E$311="Loss")),'Match Log'!$D$4:$D$311),"the field"),"")</f>
        <v>the field</v>
      </c>
      <c r="I25">
        <f t="shared" ref="I25:I56" si="17">IF($G25="","",$G25-$A25/1000000)</f>
        <v>-9.9999999999999995E-7</v>
      </c>
      <c r="J25">
        <v>1</v>
      </c>
      <c r="K25" t="e">
        <f>IF($J25&gt;MAX('Match Log'!$A$4:$A$311),NA(),IFERROR(LOOKUP(2,1/(('Match Log'!$D$4:$D$311=$K$24)*('Match Log'!$A$4:$A$311&lt;=$J25)),'Match Log'!$N$4:$N$311),NA()))</f>
        <v>#N/A</v>
      </c>
      <c r="L25" t="e">
        <f>IF($J25&gt;MAX('Match Log'!$A$4:$A$311),NA(),IFERROR(LOOKUP(2,1/(('Match Log'!$D$4:$D$311=$L$24)*('Match Log'!$A$4:$A$311&lt;=$J25)),'Match Log'!$N$4:$N$311),NA()))</f>
        <v>#N/A</v>
      </c>
      <c r="M25" t="e">
        <f>IF($J25&gt;MAX('Match Log'!$A$4:$A$311),NA(),IFERROR(LOOKUP(2,1/(('Match Log'!$D$4:$D$311=$M$24)*('Match Log'!$A$4:$A$311&lt;=$J25)),'Match Log'!$N$4:$N$311),NA()))</f>
        <v>#N/A</v>
      </c>
      <c r="N25" t="e">
        <f>IF($J25&gt;MAX('Match Log'!$A$4:$A$311),NA(),IFERROR(LOOKUP(2,1/(('Match Log'!$D$4:$D$311=$N$24)*('Match Log'!$A$4:$A$311&lt;=$J25)),'Match Log'!$N$4:$N$311),NA()))</f>
        <v>#N/A</v>
      </c>
      <c r="O25">
        <f>IF($J25&gt;MAX('Match Log'!$A$4:$A$311),NA(),IFERROR(LOOKUP(2,1/(('Match Log'!$D$4:$D$311=$O$24)*('Match Log'!$A$4:$A$311&lt;=$J25)),'Match Log'!$N$4:$N$311),NA()))</f>
        <v>1030</v>
      </c>
      <c r="P25">
        <f>IF($J25&gt;MAX('Match Log'!$A$4:$A$311),NA(),IFERROR(LOOKUP(2,1/(('Match Log'!$D$4:$D$311=$P$24)*('Match Log'!$A$4:$A$311&lt;=$J25)),'Match Log'!$N$4:$N$311),NA()))</f>
        <v>991</v>
      </c>
      <c r="Q25" t="e">
        <f>IF($J25&gt;MAX('Match Log'!$A$4:$A$311),NA(),IFERROR(LOOKUP(2,1/(('Match Log'!$D$4:$D$311=$Q$24)*('Match Log'!$A$4:$A$311&lt;=$J25)),'Match Log'!$N$4:$N$311),NA()))</f>
        <v>#N/A</v>
      </c>
      <c r="R25" t="e">
        <f>IF($J25&gt;MAX('Match Log'!$A$4:$A$311),NA(),IFERROR(LOOKUP(2,1/(('Match Log'!$D$4:$D$311=$R$24)*('Match Log'!$A$4:$A$311&lt;=$J25)),'Match Log'!$N$4:$N$311),NA()))</f>
        <v>#N/A</v>
      </c>
      <c r="S25" t="e">
        <f>IF($J25&gt;MAX('Match Log'!$A$4:$A$311),NA(),IFERROR(LOOKUP(2,1/(('Match Log'!$D$4:$D$311=$S$24)*('Match Log'!$A$4:$A$311&lt;=$J25)),'Match Log'!$N$4:$N$311),NA()))</f>
        <v>#N/A</v>
      </c>
      <c r="T25" t="e">
        <f>IF($J25&gt;MAX('Match Log'!$A$4:$A$311),NA(),IFERROR(LOOKUP(2,1/(('Match Log'!$D$4:$D$311=$T$24)*('Match Log'!$A$4:$A$311&lt;=$J25)),'Match Log'!$N$4:$N$311),NA()))</f>
        <v>#N/A</v>
      </c>
      <c r="U25">
        <f>IF($J25&gt;MAX('Match Log'!$A$4:$A$311),NA(),IFERROR(LOOKUP(2,1/(('Match Log'!$D$4:$D$311=$U$24)*('Match Log'!$A$4:$A$311&lt;=$J25)),'Match Log'!$N$4:$N$311),NA()))</f>
        <v>991</v>
      </c>
      <c r="V25" t="e">
        <f>IF($J25&gt;MAX('Match Log'!$A$4:$A$311),NA(),IFERROR(LOOKUP(2,1/(('Match Log'!$D$4:$D$311=$V$24)*('Match Log'!$A$4:$A$311&lt;=$J25)),'Match Log'!$N$4:$N$311),NA()))</f>
        <v>#N/A</v>
      </c>
      <c r="W25" t="e">
        <f>IF($J25&gt;MAX('Match Log'!$A$4:$A$311),NA(),IFERROR(LOOKUP(2,1/(('Match Log'!$D$4:$D$311=$W$24)*('Match Log'!$A$4:$A$311&lt;=$J25)),'Match Log'!$N$4:$N$311),NA()))</f>
        <v>#N/A</v>
      </c>
      <c r="X25" t="e">
        <f>IF($J25&gt;MAX('Match Log'!$A$4:$A$311),NA(),IFERROR(LOOKUP(2,1/(('Match Log'!$D$4:$D$311=$X$24)*('Match Log'!$A$4:$A$311&lt;=$J25)),'Match Log'!$N$4:$N$311),NA()))</f>
        <v>#N/A</v>
      </c>
      <c r="Y25" t="str">
        <f t="shared" ref="Y25:Y56" ca="1" si="18">IF(AND($B25&lt;&gt;"",$B25&gt;=$B$5,$I25&lt;&gt;""),$I25,"")</f>
        <v/>
      </c>
    </row>
    <row r="26" spans="1:34" ht="15" customHeight="1" x14ac:dyDescent="0.2">
      <c r="A26">
        <v>2</v>
      </c>
      <c r="B26" s="132">
        <f>IFERROR(INDEX('Match Log'!$B$4:$B$311,MATCH(2,'Match Log'!$A$4:$A$311,0)),"")</f>
        <v>46175</v>
      </c>
      <c r="C26" t="str">
        <f>IFERROR(INDEX('Match Log'!$C$4:$C$311,MATCH(2,'Match Log'!$A$4:$A$311,0)),"")</f>
        <v>Kelly Pool</v>
      </c>
      <c r="D26" t="str">
        <f>IFERROR(INDEX('Match Log'!$G$4:$G$311,MATCH(2,'Match Log'!$A$4:$A$311,0)),"")</f>
        <v>Aaron</v>
      </c>
      <c r="E26" s="133">
        <f>IFERROR(INDEX('Match Log'!$F$4:$F$311,MATCH(2,'Match Log'!$A$4:$A$311,0)),"")</f>
        <v>8</v>
      </c>
      <c r="F26">
        <f>IFERROR(SUMIFS('Match Log'!$I$4:$I$311,'Match Log'!$A$4:$A$311,2,'Match Log'!$E$4:$E$311,"Win"),"")</f>
        <v>0.125</v>
      </c>
      <c r="G26">
        <f t="shared" si="16"/>
        <v>0</v>
      </c>
      <c r="H26" t="str">
        <f>IFERROR(IF($E26=2,LOOKUP(2,1/(('Match Log'!$A$4:$A$311=2)*('Match Log'!$E$4:$E$311="Loss")),'Match Log'!$D$4:$D$311),"the field"),"")</f>
        <v>the field</v>
      </c>
      <c r="I26">
        <f t="shared" si="17"/>
        <v>-1.9999999999999999E-6</v>
      </c>
      <c r="J26">
        <v>2</v>
      </c>
      <c r="K26">
        <f>IF($J26&gt;MAX('Match Log'!$A$4:$A$311),NA(),IFERROR(LOOKUP(2,1/(('Match Log'!$D$4:$D$311=$K$24)*('Match Log'!$A$4:$A$311&lt;=$J26)),'Match Log'!$N$4:$N$311),NA()))</f>
        <v>1042.578483210224</v>
      </c>
      <c r="L26" t="e">
        <f>IF($J26&gt;MAX('Match Log'!$A$4:$A$311),NA(),IFERROR(LOOKUP(2,1/(('Match Log'!$D$4:$D$311=$L$24)*('Match Log'!$A$4:$A$311&lt;=$J26)),'Match Log'!$N$4:$N$311),NA()))</f>
        <v>#N/A</v>
      </c>
      <c r="M26">
        <f>IF($J26&gt;MAX('Match Log'!$A$4:$A$311),NA(),IFERROR(LOOKUP(2,1/(('Match Log'!$D$4:$D$311=$M$24)*('Match Log'!$A$4:$A$311&lt;=$J26)),'Match Log'!$N$4:$N$311),NA()))</f>
        <v>1004.2142857142857</v>
      </c>
      <c r="N26">
        <f>IF($J26&gt;MAX('Match Log'!$A$4:$A$311),NA(),IFERROR(LOOKUP(2,1/(('Match Log'!$D$4:$D$311=$N$24)*('Match Log'!$A$4:$A$311&lt;=$J26)),'Match Log'!$N$4:$N$311),NA()))</f>
        <v>1004.2142857142857</v>
      </c>
      <c r="O26">
        <f>IF($J26&gt;MAX('Match Log'!$A$4:$A$311),NA(),IFERROR(LOOKUP(2,1/(('Match Log'!$D$4:$D$311=$O$24)*('Match Log'!$A$4:$A$311&lt;=$J26)),'Match Log'!$N$4:$N$311),NA()))</f>
        <v>1034.0174103221841</v>
      </c>
      <c r="P26">
        <f>IF($J26&gt;MAX('Match Log'!$A$4:$A$311),NA(),IFERROR(LOOKUP(2,1/(('Match Log'!$D$4:$D$311=$P$24)*('Match Log'!$A$4:$A$311&lt;=$J26)),'Match Log'!$N$4:$N$311),NA()))</f>
        <v>995.27348180522449</v>
      </c>
      <c r="Q26">
        <f>IF($J26&gt;MAX('Match Log'!$A$4:$A$311),NA(),IFERROR(LOOKUP(2,1/(('Match Log'!$D$4:$D$311=$Q$24)*('Match Log'!$A$4:$A$311&lt;=$J26)),'Match Log'!$N$4:$N$311),NA()))</f>
        <v>1004.2142857142857</v>
      </c>
      <c r="R26">
        <f>IF($J26&gt;MAX('Match Log'!$A$4:$A$311),NA(),IFERROR(LOOKUP(2,1/(('Match Log'!$D$4:$D$311=$R$24)*('Match Log'!$A$4:$A$311&lt;=$J26)),'Match Log'!$N$4:$N$311),NA()))</f>
        <v>1004.2142857142857</v>
      </c>
      <c r="S26" t="e">
        <f>IF($J26&gt;MAX('Match Log'!$A$4:$A$311),NA(),IFERROR(LOOKUP(2,1/(('Match Log'!$D$4:$D$311=$S$24)*('Match Log'!$A$4:$A$311&lt;=$J26)),'Match Log'!$N$4:$N$311),NA()))</f>
        <v>#N/A</v>
      </c>
      <c r="T26" t="e">
        <f>IF($J26&gt;MAX('Match Log'!$A$4:$A$311),NA(),IFERROR(LOOKUP(2,1/(('Match Log'!$D$4:$D$311=$T$24)*('Match Log'!$A$4:$A$311&lt;=$J26)),'Match Log'!$N$4:$N$311),NA()))</f>
        <v>#N/A</v>
      </c>
      <c r="U26">
        <f>IF($J26&gt;MAX('Match Log'!$A$4:$A$311),NA(),IFERROR(LOOKUP(2,1/(('Match Log'!$D$4:$D$311=$U$24)*('Match Log'!$A$4:$A$311&lt;=$J26)),'Match Log'!$N$4:$N$311),NA()))</f>
        <v>995.27348180522449</v>
      </c>
      <c r="V26" t="e">
        <f>IF($J26&gt;MAX('Match Log'!$A$4:$A$311),NA(),IFERROR(LOOKUP(2,1/(('Match Log'!$D$4:$D$311=$V$24)*('Match Log'!$A$4:$A$311&lt;=$J26)),'Match Log'!$N$4:$N$311),NA()))</f>
        <v>#N/A</v>
      </c>
      <c r="W26" t="e">
        <f>IF($J26&gt;MAX('Match Log'!$A$4:$A$311),NA(),IFERROR(LOOKUP(2,1/(('Match Log'!$D$4:$D$311=$W$24)*('Match Log'!$A$4:$A$311&lt;=$J26)),'Match Log'!$N$4:$N$311),NA()))</f>
        <v>#N/A</v>
      </c>
      <c r="X26" t="e">
        <f>IF($J26&gt;MAX('Match Log'!$A$4:$A$311),NA(),IFERROR(LOOKUP(2,1/(('Match Log'!$D$4:$D$311=$X$24)*('Match Log'!$A$4:$A$311&lt;=$J26)),'Match Log'!$N$4:$N$311),NA()))</f>
        <v>#N/A</v>
      </c>
      <c r="Y26" t="str">
        <f t="shared" ca="1" si="18"/>
        <v/>
      </c>
    </row>
    <row r="27" spans="1:34" ht="15" customHeight="1" x14ac:dyDescent="0.2">
      <c r="A27">
        <v>3</v>
      </c>
      <c r="B27" s="132">
        <f>IFERROR(INDEX('Match Log'!$B$4:$B$311,MATCH(3,'Match Log'!$A$4:$A$311,0)),"")</f>
        <v>46172</v>
      </c>
      <c r="C27" t="str">
        <f>IFERROR(INDEX('Match Log'!$C$4:$C$311,MATCH(3,'Match Log'!$A$4:$A$311,0)),"")</f>
        <v>FIFA</v>
      </c>
      <c r="D27" t="str">
        <f>IFERROR(INDEX('Match Log'!$G$4:$G$311,MATCH(3,'Match Log'!$A$4:$A$311,0)),"")</f>
        <v>Shawn</v>
      </c>
      <c r="E27" s="133">
        <f>IFERROR(INDEX('Match Log'!$F$4:$F$311,MATCH(3,'Match Log'!$A$4:$A$311,0)),"")</f>
        <v>2</v>
      </c>
      <c r="F27">
        <f>IFERROR(SUMIFS('Match Log'!$I$4:$I$311,'Match Log'!$A$4:$A$311,3,'Match Log'!$E$4:$E$311,"Win"),"")</f>
        <v>0.5</v>
      </c>
      <c r="G27">
        <f t="shared" si="16"/>
        <v>0</v>
      </c>
      <c r="H27" t="str">
        <f>IFERROR(IF($E27=2,LOOKUP(2,1/(('Match Log'!$A$4:$A$311=3)*('Match Log'!$E$4:$E$311="Loss")),'Match Log'!$D$4:$D$311),"the field"),"")</f>
        <v>Daniel (Ferret)</v>
      </c>
      <c r="I27">
        <f t="shared" si="17"/>
        <v>-3.0000000000000001E-6</v>
      </c>
      <c r="J27">
        <v>3</v>
      </c>
      <c r="K27">
        <f>IF($J27&gt;MAX('Match Log'!$A$4:$A$311),NA(),IFERROR(LOOKUP(2,1/(('Match Log'!$D$4:$D$311=$K$24)*('Match Log'!$A$4:$A$311&lt;=$J27)),'Match Log'!$N$4:$N$311),NA()))</f>
        <v>1042.578483210224</v>
      </c>
      <c r="L27" t="e">
        <f>IF($J27&gt;MAX('Match Log'!$A$4:$A$311),NA(),IFERROR(LOOKUP(2,1/(('Match Log'!$D$4:$D$311=$L$24)*('Match Log'!$A$4:$A$311&lt;=$J27)),'Match Log'!$N$4:$N$311),NA()))</f>
        <v>#N/A</v>
      </c>
      <c r="M27">
        <f>IF($J27&gt;MAX('Match Log'!$A$4:$A$311),NA(),IFERROR(LOOKUP(2,1/(('Match Log'!$D$4:$D$311=$M$24)*('Match Log'!$A$4:$A$311&lt;=$J27)),'Match Log'!$N$4:$N$311),NA()))</f>
        <v>1004.2142857142857</v>
      </c>
      <c r="N27">
        <f>IF($J27&gt;MAX('Match Log'!$A$4:$A$311),NA(),IFERROR(LOOKUP(2,1/(('Match Log'!$D$4:$D$311=$N$24)*('Match Log'!$A$4:$A$311&lt;=$J27)),'Match Log'!$N$4:$N$311),NA()))</f>
        <v>1004.2142857142857</v>
      </c>
      <c r="O27">
        <f>IF($J27&gt;MAX('Match Log'!$A$4:$A$311),NA(),IFERROR(LOOKUP(2,1/(('Match Log'!$D$4:$D$311=$O$24)*('Match Log'!$A$4:$A$311&lt;=$J27)),'Match Log'!$N$4:$N$311),NA()))</f>
        <v>1034.0174103221841</v>
      </c>
      <c r="P27">
        <f>IF($J27&gt;MAX('Match Log'!$A$4:$A$311),NA(),IFERROR(LOOKUP(2,1/(('Match Log'!$D$4:$D$311=$P$24)*('Match Log'!$A$4:$A$311&lt;=$J27)),'Match Log'!$N$4:$N$311),NA()))</f>
        <v>1017.685130177511</v>
      </c>
      <c r="Q27">
        <f>IF($J27&gt;MAX('Match Log'!$A$4:$A$311),NA(),IFERROR(LOOKUP(2,1/(('Match Log'!$D$4:$D$311=$Q$24)*('Match Log'!$A$4:$A$311&lt;=$J27)),'Match Log'!$N$4:$N$311),NA()))</f>
        <v>1004.2142857142857</v>
      </c>
      <c r="R27">
        <f>IF($J27&gt;MAX('Match Log'!$A$4:$A$311),NA(),IFERROR(LOOKUP(2,1/(('Match Log'!$D$4:$D$311=$R$24)*('Match Log'!$A$4:$A$311&lt;=$J27)),'Match Log'!$N$4:$N$311),NA()))</f>
        <v>981.80263734199912</v>
      </c>
      <c r="S27" t="e">
        <f>IF($J27&gt;MAX('Match Log'!$A$4:$A$311),NA(),IFERROR(LOOKUP(2,1/(('Match Log'!$D$4:$D$311=$S$24)*('Match Log'!$A$4:$A$311&lt;=$J27)),'Match Log'!$N$4:$N$311),NA()))</f>
        <v>#N/A</v>
      </c>
      <c r="T27" t="e">
        <f>IF($J27&gt;MAX('Match Log'!$A$4:$A$311),NA(),IFERROR(LOOKUP(2,1/(('Match Log'!$D$4:$D$311=$T$24)*('Match Log'!$A$4:$A$311&lt;=$J27)),'Match Log'!$N$4:$N$311),NA()))</f>
        <v>#N/A</v>
      </c>
      <c r="U27">
        <f>IF($J27&gt;MAX('Match Log'!$A$4:$A$311),NA(),IFERROR(LOOKUP(2,1/(('Match Log'!$D$4:$D$311=$U$24)*('Match Log'!$A$4:$A$311&lt;=$J27)),'Match Log'!$N$4:$N$311),NA()))</f>
        <v>995.27348180522449</v>
      </c>
      <c r="V27" t="e">
        <f>IF($J27&gt;MAX('Match Log'!$A$4:$A$311),NA(),IFERROR(LOOKUP(2,1/(('Match Log'!$D$4:$D$311=$V$24)*('Match Log'!$A$4:$A$311&lt;=$J27)),'Match Log'!$N$4:$N$311),NA()))</f>
        <v>#N/A</v>
      </c>
      <c r="W27" t="e">
        <f>IF($J27&gt;MAX('Match Log'!$A$4:$A$311),NA(),IFERROR(LOOKUP(2,1/(('Match Log'!$D$4:$D$311=$W$24)*('Match Log'!$A$4:$A$311&lt;=$J27)),'Match Log'!$N$4:$N$311),NA()))</f>
        <v>#N/A</v>
      </c>
      <c r="X27" t="e">
        <f>IF($J27&gt;MAX('Match Log'!$A$4:$A$311),NA(),IFERROR(LOOKUP(2,1/(('Match Log'!$D$4:$D$311=$X$24)*('Match Log'!$A$4:$A$311&lt;=$J27)),'Match Log'!$N$4:$N$311),NA()))</f>
        <v>#N/A</v>
      </c>
      <c r="Y27" t="str">
        <f t="shared" ca="1" si="18"/>
        <v/>
      </c>
    </row>
    <row r="28" spans="1:34" ht="15" customHeight="1" x14ac:dyDescent="0.2">
      <c r="A28">
        <v>4</v>
      </c>
      <c r="B28" s="132">
        <f>IFERROR(INDEX('Match Log'!$B$4:$B$311,MATCH(4,'Match Log'!$A$4:$A$311,0)),"")</f>
        <v>46172</v>
      </c>
      <c r="C28" t="str">
        <f>IFERROR(INDEX('Match Log'!$C$4:$C$311,MATCH(4,'Match Log'!$A$4:$A$311,0)),"")</f>
        <v>FIFA</v>
      </c>
      <c r="D28" t="str">
        <f>IFERROR(INDEX('Match Log'!$G$4:$G$311,MATCH(4,'Match Log'!$A$4:$A$311,0)),"")</f>
        <v>Shawn</v>
      </c>
      <c r="E28" s="133">
        <f>IFERROR(INDEX('Match Log'!$F$4:$F$311,MATCH(4,'Match Log'!$A$4:$A$311,0)),"")</f>
        <v>2</v>
      </c>
      <c r="F28">
        <f>IFERROR(SUMIFS('Match Log'!$I$4:$I$311,'Match Log'!$A$4:$A$311,4,'Match Log'!$E$4:$E$311,"Win"),"")</f>
        <v>0.66666666666666663</v>
      </c>
      <c r="G28">
        <f t="shared" si="16"/>
        <v>-0.33333333333333326</v>
      </c>
      <c r="H28" t="str">
        <f>IFERROR(IF($E28=2,LOOKUP(2,1/(('Match Log'!$A$4:$A$311=4)*('Match Log'!$E$4:$E$311="Loss")),'Match Log'!$D$4:$D$311),"the field"),"")</f>
        <v>Daniel (Ferret)</v>
      </c>
      <c r="I28">
        <f t="shared" si="17"/>
        <v>-0.33333733333333326</v>
      </c>
      <c r="J28">
        <v>4</v>
      </c>
      <c r="K28">
        <f>IF($J28&gt;MAX('Match Log'!$A$4:$A$311),NA(),IFERROR(LOOKUP(2,1/(('Match Log'!$D$4:$D$311=$K$24)*('Match Log'!$A$4:$A$311&lt;=$J28)),'Match Log'!$N$4:$N$311),NA()))</f>
        <v>1042.578483210224</v>
      </c>
      <c r="L28" t="e">
        <f>IF($J28&gt;MAX('Match Log'!$A$4:$A$311),NA(),IFERROR(LOOKUP(2,1/(('Match Log'!$D$4:$D$311=$L$24)*('Match Log'!$A$4:$A$311&lt;=$J28)),'Match Log'!$N$4:$N$311),NA()))</f>
        <v>#N/A</v>
      </c>
      <c r="M28">
        <f>IF($J28&gt;MAX('Match Log'!$A$4:$A$311),NA(),IFERROR(LOOKUP(2,1/(('Match Log'!$D$4:$D$311=$M$24)*('Match Log'!$A$4:$A$311&lt;=$J28)),'Match Log'!$N$4:$N$311),NA()))</f>
        <v>1004.2142857142857</v>
      </c>
      <c r="N28">
        <f>IF($J28&gt;MAX('Match Log'!$A$4:$A$311),NA(),IFERROR(LOOKUP(2,1/(('Match Log'!$D$4:$D$311=$N$24)*('Match Log'!$A$4:$A$311&lt;=$J28)),'Match Log'!$N$4:$N$311),NA()))</f>
        <v>1004.2142857142857</v>
      </c>
      <c r="O28">
        <f>IF($J28&gt;MAX('Match Log'!$A$4:$A$311),NA(),IFERROR(LOOKUP(2,1/(('Match Log'!$D$4:$D$311=$O$24)*('Match Log'!$A$4:$A$311&lt;=$J28)),'Match Log'!$N$4:$N$311),NA()))</f>
        <v>1034.0174103221841</v>
      </c>
      <c r="P28">
        <f>IF($J28&gt;MAX('Match Log'!$A$4:$A$311),NA(),IFERROR(LOOKUP(2,1/(('Match Log'!$D$4:$D$311=$P$24)*('Match Log'!$A$4:$A$311&lt;=$J28)),'Match Log'!$N$4:$N$311),NA()))</f>
        <v>1036.0680198186765</v>
      </c>
      <c r="Q28">
        <f>IF($J28&gt;MAX('Match Log'!$A$4:$A$311),NA(),IFERROR(LOOKUP(2,1/(('Match Log'!$D$4:$D$311=$Q$24)*('Match Log'!$A$4:$A$311&lt;=$J28)),'Match Log'!$N$4:$N$311),NA()))</f>
        <v>1004.2142857142857</v>
      </c>
      <c r="R28">
        <f>IF($J28&gt;MAX('Match Log'!$A$4:$A$311),NA(),IFERROR(LOOKUP(2,1/(('Match Log'!$D$4:$D$311=$R$24)*('Match Log'!$A$4:$A$311&lt;=$J28)),'Match Log'!$N$4:$N$311),NA()))</f>
        <v>963.4197477008338</v>
      </c>
      <c r="S28" t="e">
        <f>IF($J28&gt;MAX('Match Log'!$A$4:$A$311),NA(),IFERROR(LOOKUP(2,1/(('Match Log'!$D$4:$D$311=$S$24)*('Match Log'!$A$4:$A$311&lt;=$J28)),'Match Log'!$N$4:$N$311),NA()))</f>
        <v>#N/A</v>
      </c>
      <c r="T28" t="e">
        <f>IF($J28&gt;MAX('Match Log'!$A$4:$A$311),NA(),IFERROR(LOOKUP(2,1/(('Match Log'!$D$4:$D$311=$T$24)*('Match Log'!$A$4:$A$311&lt;=$J28)),'Match Log'!$N$4:$N$311),NA()))</f>
        <v>#N/A</v>
      </c>
      <c r="U28">
        <f>IF($J28&gt;MAX('Match Log'!$A$4:$A$311),NA(),IFERROR(LOOKUP(2,1/(('Match Log'!$D$4:$D$311=$U$24)*('Match Log'!$A$4:$A$311&lt;=$J28)),'Match Log'!$N$4:$N$311),NA()))</f>
        <v>995.27348180522449</v>
      </c>
      <c r="V28" t="e">
        <f>IF($J28&gt;MAX('Match Log'!$A$4:$A$311),NA(),IFERROR(LOOKUP(2,1/(('Match Log'!$D$4:$D$311=$V$24)*('Match Log'!$A$4:$A$311&lt;=$J28)),'Match Log'!$N$4:$N$311),NA()))</f>
        <v>#N/A</v>
      </c>
      <c r="W28" t="e">
        <f>IF($J28&gt;MAX('Match Log'!$A$4:$A$311),NA(),IFERROR(LOOKUP(2,1/(('Match Log'!$D$4:$D$311=$W$24)*('Match Log'!$A$4:$A$311&lt;=$J28)),'Match Log'!$N$4:$N$311),NA()))</f>
        <v>#N/A</v>
      </c>
      <c r="X28" t="e">
        <f>IF($J28&gt;MAX('Match Log'!$A$4:$A$311),NA(),IFERROR(LOOKUP(2,1/(('Match Log'!$D$4:$D$311=$X$24)*('Match Log'!$A$4:$A$311&lt;=$J28)),'Match Log'!$N$4:$N$311),NA()))</f>
        <v>#N/A</v>
      </c>
      <c r="Y28" t="str">
        <f t="shared" ca="1" si="18"/>
        <v/>
      </c>
    </row>
    <row r="29" spans="1:34" ht="15" customHeight="1" x14ac:dyDescent="0.2">
      <c r="A29">
        <v>5</v>
      </c>
      <c r="B29" s="132">
        <f>IFERROR(INDEX('Match Log'!$B$4:$B$311,MATCH(5,'Match Log'!$A$4:$A$311,0)),"")</f>
        <v>46172</v>
      </c>
      <c r="C29" t="str">
        <f>IFERROR(INDEX('Match Log'!$C$4:$C$311,MATCH(5,'Match Log'!$A$4:$A$311,0)),"")</f>
        <v>FIFA</v>
      </c>
      <c r="D29" t="str">
        <f>IFERROR(INDEX('Match Log'!$G$4:$G$311,MATCH(5,'Match Log'!$A$4:$A$311,0)),"")</f>
        <v>Shawn</v>
      </c>
      <c r="E29" s="133">
        <f>IFERROR(INDEX('Match Log'!$F$4:$F$311,MATCH(5,'Match Log'!$A$4:$A$311,0)),"")</f>
        <v>2</v>
      </c>
      <c r="F29">
        <f>IFERROR(SUMIFS('Match Log'!$I$4:$I$311,'Match Log'!$A$4:$A$311,5,'Match Log'!$E$4:$E$311,"Win"),"")</f>
        <v>0.75</v>
      </c>
      <c r="G29">
        <f t="shared" si="16"/>
        <v>-0.5</v>
      </c>
      <c r="H29" t="str">
        <f>IFERROR(IF($E29=2,LOOKUP(2,1/(('Match Log'!$A$4:$A$311=5)*('Match Log'!$E$4:$E$311="Loss")),'Match Log'!$D$4:$D$311),"the field"),"")</f>
        <v>Daniel (Ferret)</v>
      </c>
      <c r="I29">
        <f t="shared" si="17"/>
        <v>-0.50000500000000003</v>
      </c>
      <c r="J29">
        <v>5</v>
      </c>
      <c r="K29">
        <f>IF($J29&gt;MAX('Match Log'!$A$4:$A$311),NA(),IFERROR(LOOKUP(2,1/(('Match Log'!$D$4:$D$311=$K$24)*('Match Log'!$A$4:$A$311&lt;=$J29)),'Match Log'!$N$4:$N$311),NA()))</f>
        <v>1042.578483210224</v>
      </c>
      <c r="L29" t="e">
        <f>IF($J29&gt;MAX('Match Log'!$A$4:$A$311),NA(),IFERROR(LOOKUP(2,1/(('Match Log'!$D$4:$D$311=$L$24)*('Match Log'!$A$4:$A$311&lt;=$J29)),'Match Log'!$N$4:$N$311),NA()))</f>
        <v>#N/A</v>
      </c>
      <c r="M29">
        <f>IF($J29&gt;MAX('Match Log'!$A$4:$A$311),NA(),IFERROR(LOOKUP(2,1/(('Match Log'!$D$4:$D$311=$M$24)*('Match Log'!$A$4:$A$311&lt;=$J29)),'Match Log'!$N$4:$N$311),NA()))</f>
        <v>1004.2142857142857</v>
      </c>
      <c r="N29">
        <f>IF($J29&gt;MAX('Match Log'!$A$4:$A$311),NA(),IFERROR(LOOKUP(2,1/(('Match Log'!$D$4:$D$311=$N$24)*('Match Log'!$A$4:$A$311&lt;=$J29)),'Match Log'!$N$4:$N$311),NA()))</f>
        <v>1004.2142857142857</v>
      </c>
      <c r="O29">
        <f>IF($J29&gt;MAX('Match Log'!$A$4:$A$311),NA(),IFERROR(LOOKUP(2,1/(('Match Log'!$D$4:$D$311=$O$24)*('Match Log'!$A$4:$A$311&lt;=$J29)),'Match Log'!$N$4:$N$311),NA()))</f>
        <v>1034.0174103221841</v>
      </c>
      <c r="P29">
        <f>IF($J29&gt;MAX('Match Log'!$A$4:$A$311),NA(),IFERROR(LOOKUP(2,1/(('Match Log'!$D$4:$D$311=$P$24)*('Match Log'!$A$4:$A$311&lt;=$J29)),'Match Log'!$N$4:$N$311),NA()))</f>
        <v>1051.9166315578707</v>
      </c>
      <c r="Q29">
        <f>IF($J29&gt;MAX('Match Log'!$A$4:$A$311),NA(),IFERROR(LOOKUP(2,1/(('Match Log'!$D$4:$D$311=$Q$24)*('Match Log'!$A$4:$A$311&lt;=$J29)),'Match Log'!$N$4:$N$311),NA()))</f>
        <v>1004.2142857142857</v>
      </c>
      <c r="R29">
        <f>IF($J29&gt;MAX('Match Log'!$A$4:$A$311),NA(),IFERROR(LOOKUP(2,1/(('Match Log'!$D$4:$D$311=$R$24)*('Match Log'!$A$4:$A$311&lt;=$J29)),'Match Log'!$N$4:$N$311),NA()))</f>
        <v>947.57113596163947</v>
      </c>
      <c r="S29" t="e">
        <f>IF($J29&gt;MAX('Match Log'!$A$4:$A$311),NA(),IFERROR(LOOKUP(2,1/(('Match Log'!$D$4:$D$311=$S$24)*('Match Log'!$A$4:$A$311&lt;=$J29)),'Match Log'!$N$4:$N$311),NA()))</f>
        <v>#N/A</v>
      </c>
      <c r="T29" t="e">
        <f>IF($J29&gt;MAX('Match Log'!$A$4:$A$311),NA(),IFERROR(LOOKUP(2,1/(('Match Log'!$D$4:$D$311=$T$24)*('Match Log'!$A$4:$A$311&lt;=$J29)),'Match Log'!$N$4:$N$311),NA()))</f>
        <v>#N/A</v>
      </c>
      <c r="U29">
        <f>IF($J29&gt;MAX('Match Log'!$A$4:$A$311),NA(),IFERROR(LOOKUP(2,1/(('Match Log'!$D$4:$D$311=$U$24)*('Match Log'!$A$4:$A$311&lt;=$J29)),'Match Log'!$N$4:$N$311),NA()))</f>
        <v>995.27348180522449</v>
      </c>
      <c r="V29" t="e">
        <f>IF($J29&gt;MAX('Match Log'!$A$4:$A$311),NA(),IFERROR(LOOKUP(2,1/(('Match Log'!$D$4:$D$311=$V$24)*('Match Log'!$A$4:$A$311&lt;=$J29)),'Match Log'!$N$4:$N$311),NA()))</f>
        <v>#N/A</v>
      </c>
      <c r="W29" t="e">
        <f>IF($J29&gt;MAX('Match Log'!$A$4:$A$311),NA(),IFERROR(LOOKUP(2,1/(('Match Log'!$D$4:$D$311=$W$24)*('Match Log'!$A$4:$A$311&lt;=$J29)),'Match Log'!$N$4:$N$311),NA()))</f>
        <v>#N/A</v>
      </c>
      <c r="X29" t="e">
        <f>IF($J29&gt;MAX('Match Log'!$A$4:$A$311),NA(),IFERROR(LOOKUP(2,1/(('Match Log'!$D$4:$D$311=$X$24)*('Match Log'!$A$4:$A$311&lt;=$J29)),'Match Log'!$N$4:$N$311),NA()))</f>
        <v>#N/A</v>
      </c>
      <c r="Y29" t="str">
        <f t="shared" ca="1" si="18"/>
        <v/>
      </c>
    </row>
    <row r="30" spans="1:34" ht="15" customHeight="1" x14ac:dyDescent="0.2">
      <c r="A30">
        <v>6</v>
      </c>
      <c r="B30" s="132">
        <f>IFERROR(INDEX('Match Log'!$B$4:$B$311,MATCH(6,'Match Log'!$A$4:$A$311,0)),"")</f>
        <v>46172</v>
      </c>
      <c r="C30" t="str">
        <f>IFERROR(INDEX('Match Log'!$C$4:$C$311,MATCH(6,'Match Log'!$A$4:$A$311,0)),"")</f>
        <v>FIFA</v>
      </c>
      <c r="D30" t="str">
        <f>IFERROR(INDEX('Match Log'!$G$4:$G$311,MATCH(6,'Match Log'!$A$4:$A$311,0)),"")</f>
        <v>Daniel (Ferret)</v>
      </c>
      <c r="E30" s="133">
        <f>IFERROR(INDEX('Match Log'!$F$4:$F$311,MATCH(6,'Match Log'!$A$4:$A$311,0)),"")</f>
        <v>2</v>
      </c>
      <c r="F30">
        <f>IFERROR(SUMIFS('Match Log'!$I$4:$I$311,'Match Log'!$A$4:$A$311,6,'Match Log'!$E$4:$E$311,"Win"),"")</f>
        <v>0.2</v>
      </c>
      <c r="G30">
        <f t="shared" si="16"/>
        <v>0.6</v>
      </c>
      <c r="H30" t="str">
        <f>IFERROR(IF($E30=2,LOOKUP(2,1/(('Match Log'!$A$4:$A$311=6)*('Match Log'!$E$4:$E$311="Loss")),'Match Log'!$D$4:$D$311),"the field"),"")</f>
        <v>Shawn</v>
      </c>
      <c r="I30">
        <f t="shared" si="17"/>
        <v>0.59999400000000003</v>
      </c>
      <c r="J30">
        <v>6</v>
      </c>
      <c r="K30">
        <f>IF($J30&gt;MAX('Match Log'!$A$4:$A$311),NA(),IFERROR(LOOKUP(2,1/(('Match Log'!$D$4:$D$311=$K$24)*('Match Log'!$A$4:$A$311&lt;=$J30)),'Match Log'!$N$4:$N$311),NA()))</f>
        <v>1042.578483210224</v>
      </c>
      <c r="L30" t="e">
        <f>IF($J30&gt;MAX('Match Log'!$A$4:$A$311),NA(),IFERROR(LOOKUP(2,1/(('Match Log'!$D$4:$D$311=$L$24)*('Match Log'!$A$4:$A$311&lt;=$J30)),'Match Log'!$N$4:$N$311),NA()))</f>
        <v>#N/A</v>
      </c>
      <c r="M30">
        <f>IF($J30&gt;MAX('Match Log'!$A$4:$A$311),NA(),IFERROR(LOOKUP(2,1/(('Match Log'!$D$4:$D$311=$M$24)*('Match Log'!$A$4:$A$311&lt;=$J30)),'Match Log'!$N$4:$N$311),NA()))</f>
        <v>1004.2142857142857</v>
      </c>
      <c r="N30">
        <f>IF($J30&gt;MAX('Match Log'!$A$4:$A$311),NA(),IFERROR(LOOKUP(2,1/(('Match Log'!$D$4:$D$311=$N$24)*('Match Log'!$A$4:$A$311&lt;=$J30)),'Match Log'!$N$4:$N$311),NA()))</f>
        <v>1004.2142857142857</v>
      </c>
      <c r="O30">
        <f>IF($J30&gt;MAX('Match Log'!$A$4:$A$311),NA(),IFERROR(LOOKUP(2,1/(('Match Log'!$D$4:$D$311=$O$24)*('Match Log'!$A$4:$A$311&lt;=$J30)),'Match Log'!$N$4:$N$311),NA()))</f>
        <v>1034.0174103221841</v>
      </c>
      <c r="P30">
        <f>IF($J30&gt;MAX('Match Log'!$A$4:$A$311),NA(),IFERROR(LOOKUP(2,1/(('Match Log'!$D$4:$D$311=$P$24)*('Match Log'!$A$4:$A$311&lt;=$J30)),'Match Log'!$N$4:$N$311),NA()))</f>
        <v>1021.9184444772471</v>
      </c>
      <c r="Q30">
        <f>IF($J30&gt;MAX('Match Log'!$A$4:$A$311),NA(),IFERROR(LOOKUP(2,1/(('Match Log'!$D$4:$D$311=$Q$24)*('Match Log'!$A$4:$A$311&lt;=$J30)),'Match Log'!$N$4:$N$311),NA()))</f>
        <v>1004.2142857142857</v>
      </c>
      <c r="R30">
        <f>IF($J30&gt;MAX('Match Log'!$A$4:$A$311),NA(),IFERROR(LOOKUP(2,1/(('Match Log'!$D$4:$D$311=$R$24)*('Match Log'!$A$4:$A$311&lt;=$J30)),'Match Log'!$N$4:$N$311),NA()))</f>
        <v>977.56932304226302</v>
      </c>
      <c r="S30" t="e">
        <f>IF($J30&gt;MAX('Match Log'!$A$4:$A$311),NA(),IFERROR(LOOKUP(2,1/(('Match Log'!$D$4:$D$311=$S$24)*('Match Log'!$A$4:$A$311&lt;=$J30)),'Match Log'!$N$4:$N$311),NA()))</f>
        <v>#N/A</v>
      </c>
      <c r="T30" t="e">
        <f>IF($J30&gt;MAX('Match Log'!$A$4:$A$311),NA(),IFERROR(LOOKUP(2,1/(('Match Log'!$D$4:$D$311=$T$24)*('Match Log'!$A$4:$A$311&lt;=$J30)),'Match Log'!$N$4:$N$311),NA()))</f>
        <v>#N/A</v>
      </c>
      <c r="U30">
        <f>IF($J30&gt;MAX('Match Log'!$A$4:$A$311),NA(),IFERROR(LOOKUP(2,1/(('Match Log'!$D$4:$D$311=$U$24)*('Match Log'!$A$4:$A$311&lt;=$J30)),'Match Log'!$N$4:$N$311),NA()))</f>
        <v>995.27348180522449</v>
      </c>
      <c r="V30" t="e">
        <f>IF($J30&gt;MAX('Match Log'!$A$4:$A$311),NA(),IFERROR(LOOKUP(2,1/(('Match Log'!$D$4:$D$311=$V$24)*('Match Log'!$A$4:$A$311&lt;=$J30)),'Match Log'!$N$4:$N$311),NA()))</f>
        <v>#N/A</v>
      </c>
      <c r="W30" t="e">
        <f>IF($J30&gt;MAX('Match Log'!$A$4:$A$311),NA(),IFERROR(LOOKUP(2,1/(('Match Log'!$D$4:$D$311=$W$24)*('Match Log'!$A$4:$A$311&lt;=$J30)),'Match Log'!$N$4:$N$311),NA()))</f>
        <v>#N/A</v>
      </c>
      <c r="X30" t="e">
        <f>IF($J30&gt;MAX('Match Log'!$A$4:$A$311),NA(),IFERROR(LOOKUP(2,1/(('Match Log'!$D$4:$D$311=$X$24)*('Match Log'!$A$4:$A$311&lt;=$J30)),'Match Log'!$N$4:$N$311),NA()))</f>
        <v>#N/A</v>
      </c>
      <c r="Y30" t="str">
        <f t="shared" ca="1" si="18"/>
        <v/>
      </c>
    </row>
    <row r="31" spans="1:34" ht="15" customHeight="1" x14ac:dyDescent="0.2">
      <c r="A31">
        <v>7</v>
      </c>
      <c r="B31" s="132">
        <f>IFERROR(INDEX('Match Log'!$B$4:$B$311,MATCH(7,'Match Log'!$A$4:$A$311,0)),"")</f>
        <v>46172</v>
      </c>
      <c r="C31" t="str">
        <f>IFERROR(INDEX('Match Log'!$C$4:$C$311,MATCH(7,'Match Log'!$A$4:$A$311,0)),"")</f>
        <v>Table Tennis</v>
      </c>
      <c r="D31" t="str">
        <f>IFERROR(INDEX('Match Log'!$G$4:$G$311,MATCH(7,'Match Log'!$A$4:$A$311,0)),"")</f>
        <v>Shawn</v>
      </c>
      <c r="E31" s="133">
        <f>IFERROR(INDEX('Match Log'!$F$4:$F$311,MATCH(7,'Match Log'!$A$4:$A$311,0)),"")</f>
        <v>2</v>
      </c>
      <c r="F31">
        <f>IFERROR(SUMIFS('Match Log'!$I$4:$I$311,'Match Log'!$A$4:$A$311,7,'Match Log'!$E$4:$E$311,"Win"),"")</f>
        <v>0.5</v>
      </c>
      <c r="G31">
        <f t="shared" si="16"/>
        <v>0</v>
      </c>
      <c r="H31" t="str">
        <f>IFERROR(IF($E31=2,LOOKUP(2,1/(('Match Log'!$A$4:$A$311=7)*('Match Log'!$E$4:$E$311="Loss")),'Match Log'!$D$4:$D$311),"the field"),"")</f>
        <v>Daniel (Ferret)</v>
      </c>
      <c r="I31">
        <f t="shared" si="17"/>
        <v>-6.9999999999999999E-6</v>
      </c>
      <c r="J31">
        <v>7</v>
      </c>
      <c r="K31">
        <f>IF($J31&gt;MAX('Match Log'!$A$4:$A$311),NA(),IFERROR(LOOKUP(2,1/(('Match Log'!$D$4:$D$311=$K$24)*('Match Log'!$A$4:$A$311&lt;=$J31)),'Match Log'!$N$4:$N$311),NA()))</f>
        <v>1042.578483210224</v>
      </c>
      <c r="L31" t="e">
        <f>IF($J31&gt;MAX('Match Log'!$A$4:$A$311),NA(),IFERROR(LOOKUP(2,1/(('Match Log'!$D$4:$D$311=$L$24)*('Match Log'!$A$4:$A$311&lt;=$J31)),'Match Log'!$N$4:$N$311),NA()))</f>
        <v>#N/A</v>
      </c>
      <c r="M31">
        <f>IF($J31&gt;MAX('Match Log'!$A$4:$A$311),NA(),IFERROR(LOOKUP(2,1/(('Match Log'!$D$4:$D$311=$M$24)*('Match Log'!$A$4:$A$311&lt;=$J31)),'Match Log'!$N$4:$N$311),NA()))</f>
        <v>1004.2142857142857</v>
      </c>
      <c r="N31">
        <f>IF($J31&gt;MAX('Match Log'!$A$4:$A$311),NA(),IFERROR(LOOKUP(2,1/(('Match Log'!$D$4:$D$311=$N$24)*('Match Log'!$A$4:$A$311&lt;=$J31)),'Match Log'!$N$4:$N$311),NA()))</f>
        <v>1004.2142857142857</v>
      </c>
      <c r="O31">
        <f>IF($J31&gt;MAX('Match Log'!$A$4:$A$311),NA(),IFERROR(LOOKUP(2,1/(('Match Log'!$D$4:$D$311=$O$24)*('Match Log'!$A$4:$A$311&lt;=$J31)),'Match Log'!$N$4:$N$311),NA()))</f>
        <v>1034.0174103221841</v>
      </c>
      <c r="P31">
        <f>IF($J31&gt;MAX('Match Log'!$A$4:$A$311),NA(),IFERROR(LOOKUP(2,1/(('Match Log'!$D$4:$D$311=$P$24)*('Match Log'!$A$4:$A$311&lt;=$J31)),'Match Log'!$N$4:$N$311),NA()))</f>
        <v>1041.8871126744082</v>
      </c>
      <c r="Q31">
        <f>IF($J31&gt;MAX('Match Log'!$A$4:$A$311),NA(),IFERROR(LOOKUP(2,1/(('Match Log'!$D$4:$D$311=$Q$24)*('Match Log'!$A$4:$A$311&lt;=$J31)),'Match Log'!$N$4:$N$311),NA()))</f>
        <v>1004.2142857142857</v>
      </c>
      <c r="R31">
        <f>IF($J31&gt;MAX('Match Log'!$A$4:$A$311),NA(),IFERROR(LOOKUP(2,1/(('Match Log'!$D$4:$D$311=$R$24)*('Match Log'!$A$4:$A$311&lt;=$J31)),'Match Log'!$N$4:$N$311),NA()))</f>
        <v>957.60065484510199</v>
      </c>
      <c r="S31" t="e">
        <f>IF($J31&gt;MAX('Match Log'!$A$4:$A$311),NA(),IFERROR(LOOKUP(2,1/(('Match Log'!$D$4:$D$311=$S$24)*('Match Log'!$A$4:$A$311&lt;=$J31)),'Match Log'!$N$4:$N$311),NA()))</f>
        <v>#N/A</v>
      </c>
      <c r="T31" t="e">
        <f>IF($J31&gt;MAX('Match Log'!$A$4:$A$311),NA(),IFERROR(LOOKUP(2,1/(('Match Log'!$D$4:$D$311=$T$24)*('Match Log'!$A$4:$A$311&lt;=$J31)),'Match Log'!$N$4:$N$311),NA()))</f>
        <v>#N/A</v>
      </c>
      <c r="U31">
        <f>IF($J31&gt;MAX('Match Log'!$A$4:$A$311),NA(),IFERROR(LOOKUP(2,1/(('Match Log'!$D$4:$D$311=$U$24)*('Match Log'!$A$4:$A$311&lt;=$J31)),'Match Log'!$N$4:$N$311),NA()))</f>
        <v>995.27348180522449</v>
      </c>
      <c r="V31" t="e">
        <f>IF($J31&gt;MAX('Match Log'!$A$4:$A$311),NA(),IFERROR(LOOKUP(2,1/(('Match Log'!$D$4:$D$311=$V$24)*('Match Log'!$A$4:$A$311&lt;=$J31)),'Match Log'!$N$4:$N$311),NA()))</f>
        <v>#N/A</v>
      </c>
      <c r="W31" t="e">
        <f>IF($J31&gt;MAX('Match Log'!$A$4:$A$311),NA(),IFERROR(LOOKUP(2,1/(('Match Log'!$D$4:$D$311=$W$24)*('Match Log'!$A$4:$A$311&lt;=$J31)),'Match Log'!$N$4:$N$311),NA()))</f>
        <v>#N/A</v>
      </c>
      <c r="X31" t="e">
        <f>IF($J31&gt;MAX('Match Log'!$A$4:$A$311),NA(),IFERROR(LOOKUP(2,1/(('Match Log'!$D$4:$D$311=$X$24)*('Match Log'!$A$4:$A$311&lt;=$J31)),'Match Log'!$N$4:$N$311),NA()))</f>
        <v>#N/A</v>
      </c>
      <c r="Y31" t="str">
        <f t="shared" ca="1" si="18"/>
        <v/>
      </c>
    </row>
    <row r="32" spans="1:34" ht="15" customHeight="1" x14ac:dyDescent="0.2">
      <c r="A32">
        <v>8</v>
      </c>
      <c r="B32" s="132">
        <f>IFERROR(INDEX('Match Log'!$B$4:$B$311,MATCH(8,'Match Log'!$A$4:$A$311,0)),"")</f>
        <v>46172</v>
      </c>
      <c r="C32" t="str">
        <f>IFERROR(INDEX('Match Log'!$C$4:$C$311,MATCH(8,'Match Log'!$A$4:$A$311,0)),"")</f>
        <v>Table Tennis</v>
      </c>
      <c r="D32" t="str">
        <f>IFERROR(INDEX('Match Log'!$G$4:$G$311,MATCH(8,'Match Log'!$A$4:$A$311,0)),"")</f>
        <v>Shawn</v>
      </c>
      <c r="E32" s="133">
        <f>IFERROR(INDEX('Match Log'!$F$4:$F$311,MATCH(8,'Match Log'!$A$4:$A$311,0)),"")</f>
        <v>2</v>
      </c>
      <c r="F32">
        <f>IFERROR(SUMIFS('Match Log'!$I$4:$I$311,'Match Log'!$A$4:$A$311,8,'Match Log'!$E$4:$E$311,"Win"),"")</f>
        <v>0.66666666666666663</v>
      </c>
      <c r="G32">
        <f t="shared" si="16"/>
        <v>-0.33333333333333326</v>
      </c>
      <c r="H32" t="str">
        <f>IFERROR(IF($E32=2,LOOKUP(2,1/(('Match Log'!$A$4:$A$311=8)*('Match Log'!$E$4:$E$311="Loss")),'Match Log'!$D$4:$D$311),"the field"),"")</f>
        <v>Daniel (Ferret)</v>
      </c>
      <c r="I32">
        <f t="shared" si="17"/>
        <v>-0.33334133333333327</v>
      </c>
      <c r="J32">
        <v>8</v>
      </c>
      <c r="K32">
        <f>IF($J32&gt;MAX('Match Log'!$A$4:$A$311),NA(),IFERROR(LOOKUP(2,1/(('Match Log'!$D$4:$D$311=$K$24)*('Match Log'!$A$4:$A$311&lt;=$J32)),'Match Log'!$N$4:$N$311),NA()))</f>
        <v>1042.578483210224</v>
      </c>
      <c r="L32" t="e">
        <f>IF($J32&gt;MAX('Match Log'!$A$4:$A$311),NA(),IFERROR(LOOKUP(2,1/(('Match Log'!$D$4:$D$311=$L$24)*('Match Log'!$A$4:$A$311&lt;=$J32)),'Match Log'!$N$4:$N$311),NA()))</f>
        <v>#N/A</v>
      </c>
      <c r="M32">
        <f>IF($J32&gt;MAX('Match Log'!$A$4:$A$311),NA(),IFERROR(LOOKUP(2,1/(('Match Log'!$D$4:$D$311=$M$24)*('Match Log'!$A$4:$A$311&lt;=$J32)),'Match Log'!$N$4:$N$311),NA()))</f>
        <v>1004.2142857142857</v>
      </c>
      <c r="N32">
        <f>IF($J32&gt;MAX('Match Log'!$A$4:$A$311),NA(),IFERROR(LOOKUP(2,1/(('Match Log'!$D$4:$D$311=$N$24)*('Match Log'!$A$4:$A$311&lt;=$J32)),'Match Log'!$N$4:$N$311),NA()))</f>
        <v>1004.2142857142857</v>
      </c>
      <c r="O32">
        <f>IF($J32&gt;MAX('Match Log'!$A$4:$A$311),NA(),IFERROR(LOOKUP(2,1/(('Match Log'!$D$4:$D$311=$O$24)*('Match Log'!$A$4:$A$311&lt;=$J32)),'Match Log'!$N$4:$N$311),NA()))</f>
        <v>1034.0174103221841</v>
      </c>
      <c r="P32">
        <f>IF($J32&gt;MAX('Match Log'!$A$4:$A$311),NA(),IFERROR(LOOKUP(2,1/(('Match Log'!$D$4:$D$311=$P$24)*('Match Log'!$A$4:$A$311&lt;=$J32)),'Match Log'!$N$4:$N$311),NA()))</f>
        <v>1058.4607577779152</v>
      </c>
      <c r="Q32">
        <f>IF($J32&gt;MAX('Match Log'!$A$4:$A$311),NA(),IFERROR(LOOKUP(2,1/(('Match Log'!$D$4:$D$311=$Q$24)*('Match Log'!$A$4:$A$311&lt;=$J32)),'Match Log'!$N$4:$N$311),NA()))</f>
        <v>1004.2142857142857</v>
      </c>
      <c r="R32">
        <f>IF($J32&gt;MAX('Match Log'!$A$4:$A$311),NA(),IFERROR(LOOKUP(2,1/(('Match Log'!$D$4:$D$311=$R$24)*('Match Log'!$A$4:$A$311&lt;=$J32)),'Match Log'!$N$4:$N$311),NA()))</f>
        <v>941.02700974159495</v>
      </c>
      <c r="S32" t="e">
        <f>IF($J32&gt;MAX('Match Log'!$A$4:$A$311),NA(),IFERROR(LOOKUP(2,1/(('Match Log'!$D$4:$D$311=$S$24)*('Match Log'!$A$4:$A$311&lt;=$J32)),'Match Log'!$N$4:$N$311),NA()))</f>
        <v>#N/A</v>
      </c>
      <c r="T32" t="e">
        <f>IF($J32&gt;MAX('Match Log'!$A$4:$A$311),NA(),IFERROR(LOOKUP(2,1/(('Match Log'!$D$4:$D$311=$T$24)*('Match Log'!$A$4:$A$311&lt;=$J32)),'Match Log'!$N$4:$N$311),NA()))</f>
        <v>#N/A</v>
      </c>
      <c r="U32">
        <f>IF($J32&gt;MAX('Match Log'!$A$4:$A$311),NA(),IFERROR(LOOKUP(2,1/(('Match Log'!$D$4:$D$311=$U$24)*('Match Log'!$A$4:$A$311&lt;=$J32)),'Match Log'!$N$4:$N$311),NA()))</f>
        <v>995.27348180522449</v>
      </c>
      <c r="V32" t="e">
        <f>IF($J32&gt;MAX('Match Log'!$A$4:$A$311),NA(),IFERROR(LOOKUP(2,1/(('Match Log'!$D$4:$D$311=$V$24)*('Match Log'!$A$4:$A$311&lt;=$J32)),'Match Log'!$N$4:$N$311),NA()))</f>
        <v>#N/A</v>
      </c>
      <c r="W32" t="e">
        <f>IF($J32&gt;MAX('Match Log'!$A$4:$A$311),NA(),IFERROR(LOOKUP(2,1/(('Match Log'!$D$4:$D$311=$W$24)*('Match Log'!$A$4:$A$311&lt;=$J32)),'Match Log'!$N$4:$N$311),NA()))</f>
        <v>#N/A</v>
      </c>
      <c r="X32" t="e">
        <f>IF($J32&gt;MAX('Match Log'!$A$4:$A$311),NA(),IFERROR(LOOKUP(2,1/(('Match Log'!$D$4:$D$311=$X$24)*('Match Log'!$A$4:$A$311&lt;=$J32)),'Match Log'!$N$4:$N$311),NA()))</f>
        <v>#N/A</v>
      </c>
      <c r="Y32" t="str">
        <f t="shared" ca="1" si="18"/>
        <v/>
      </c>
    </row>
    <row r="33" spans="1:25" ht="15" customHeight="1" x14ac:dyDescent="0.2">
      <c r="A33">
        <v>9</v>
      </c>
      <c r="B33" s="132">
        <f>IFERROR(INDEX('Match Log'!$B$4:$B$311,MATCH(9,'Match Log'!$A$4:$A$311,0)),"")</f>
        <v>46172</v>
      </c>
      <c r="C33" t="str">
        <f>IFERROR(INDEX('Match Log'!$C$4:$C$311,MATCH(9,'Match Log'!$A$4:$A$311,0)),"")</f>
        <v>Table Tennis</v>
      </c>
      <c r="D33" t="str">
        <f>IFERROR(INDEX('Match Log'!$G$4:$G$311,MATCH(9,'Match Log'!$A$4:$A$311,0)),"")</f>
        <v>Shawn</v>
      </c>
      <c r="E33" s="133">
        <f>IFERROR(INDEX('Match Log'!$F$4:$F$311,MATCH(9,'Match Log'!$A$4:$A$311,0)),"")</f>
        <v>2</v>
      </c>
      <c r="F33">
        <f>IFERROR(SUMIFS('Match Log'!$I$4:$I$311,'Match Log'!$A$4:$A$311,9,'Match Log'!$E$4:$E$311,"Win"),"")</f>
        <v>0.75</v>
      </c>
      <c r="G33">
        <f t="shared" si="16"/>
        <v>-0.5</v>
      </c>
      <c r="H33" t="str">
        <f>IFERROR(IF($E33=2,LOOKUP(2,1/(('Match Log'!$A$4:$A$311=9)*('Match Log'!$E$4:$E$311="Loss")),'Match Log'!$D$4:$D$311),"the field"),"")</f>
        <v>Daniel (Ferret)</v>
      </c>
      <c r="I33">
        <f t="shared" si="17"/>
        <v>-0.50000900000000004</v>
      </c>
      <c r="J33">
        <v>9</v>
      </c>
      <c r="K33">
        <f>IF($J33&gt;MAX('Match Log'!$A$4:$A$311),NA(),IFERROR(LOOKUP(2,1/(('Match Log'!$D$4:$D$311=$K$24)*('Match Log'!$A$4:$A$311&lt;=$J33)),'Match Log'!$N$4:$N$311),NA()))</f>
        <v>1042.578483210224</v>
      </c>
      <c r="L33" t="e">
        <f>IF($J33&gt;MAX('Match Log'!$A$4:$A$311),NA(),IFERROR(LOOKUP(2,1/(('Match Log'!$D$4:$D$311=$L$24)*('Match Log'!$A$4:$A$311&lt;=$J33)),'Match Log'!$N$4:$N$311),NA()))</f>
        <v>#N/A</v>
      </c>
      <c r="M33">
        <f>IF($J33&gt;MAX('Match Log'!$A$4:$A$311),NA(),IFERROR(LOOKUP(2,1/(('Match Log'!$D$4:$D$311=$M$24)*('Match Log'!$A$4:$A$311&lt;=$J33)),'Match Log'!$N$4:$N$311),NA()))</f>
        <v>1004.2142857142857</v>
      </c>
      <c r="N33">
        <f>IF($J33&gt;MAX('Match Log'!$A$4:$A$311),NA(),IFERROR(LOOKUP(2,1/(('Match Log'!$D$4:$D$311=$N$24)*('Match Log'!$A$4:$A$311&lt;=$J33)),'Match Log'!$N$4:$N$311),NA()))</f>
        <v>1004.2142857142857</v>
      </c>
      <c r="O33">
        <f>IF($J33&gt;MAX('Match Log'!$A$4:$A$311),NA(),IFERROR(LOOKUP(2,1/(('Match Log'!$D$4:$D$311=$O$24)*('Match Log'!$A$4:$A$311&lt;=$J33)),'Match Log'!$N$4:$N$311),NA()))</f>
        <v>1034.0174103221841</v>
      </c>
      <c r="P33">
        <f>IF($J33&gt;MAX('Match Log'!$A$4:$A$311),NA(),IFERROR(LOOKUP(2,1/(('Match Log'!$D$4:$D$311=$P$24)*('Match Log'!$A$4:$A$311&lt;=$J33)),'Match Log'!$N$4:$N$311),NA()))</f>
        <v>1072.9224126693446</v>
      </c>
      <c r="Q33">
        <f>IF($J33&gt;MAX('Match Log'!$A$4:$A$311),NA(),IFERROR(LOOKUP(2,1/(('Match Log'!$D$4:$D$311=$Q$24)*('Match Log'!$A$4:$A$311&lt;=$J33)),'Match Log'!$N$4:$N$311),NA()))</f>
        <v>1004.2142857142857</v>
      </c>
      <c r="R33">
        <f>IF($J33&gt;MAX('Match Log'!$A$4:$A$311),NA(),IFERROR(LOOKUP(2,1/(('Match Log'!$D$4:$D$311=$R$24)*('Match Log'!$A$4:$A$311&lt;=$J33)),'Match Log'!$N$4:$N$311),NA()))</f>
        <v>926.56535485016559</v>
      </c>
      <c r="S33" t="e">
        <f>IF($J33&gt;MAX('Match Log'!$A$4:$A$311),NA(),IFERROR(LOOKUP(2,1/(('Match Log'!$D$4:$D$311=$S$24)*('Match Log'!$A$4:$A$311&lt;=$J33)),'Match Log'!$N$4:$N$311),NA()))</f>
        <v>#N/A</v>
      </c>
      <c r="T33" t="e">
        <f>IF($J33&gt;MAX('Match Log'!$A$4:$A$311),NA(),IFERROR(LOOKUP(2,1/(('Match Log'!$D$4:$D$311=$T$24)*('Match Log'!$A$4:$A$311&lt;=$J33)),'Match Log'!$N$4:$N$311),NA()))</f>
        <v>#N/A</v>
      </c>
      <c r="U33">
        <f>IF($J33&gt;MAX('Match Log'!$A$4:$A$311),NA(),IFERROR(LOOKUP(2,1/(('Match Log'!$D$4:$D$311=$U$24)*('Match Log'!$A$4:$A$311&lt;=$J33)),'Match Log'!$N$4:$N$311),NA()))</f>
        <v>995.27348180522449</v>
      </c>
      <c r="V33" t="e">
        <f>IF($J33&gt;MAX('Match Log'!$A$4:$A$311),NA(),IFERROR(LOOKUP(2,1/(('Match Log'!$D$4:$D$311=$V$24)*('Match Log'!$A$4:$A$311&lt;=$J33)),'Match Log'!$N$4:$N$311),NA()))</f>
        <v>#N/A</v>
      </c>
      <c r="W33" t="e">
        <f>IF($J33&gt;MAX('Match Log'!$A$4:$A$311),NA(),IFERROR(LOOKUP(2,1/(('Match Log'!$D$4:$D$311=$W$24)*('Match Log'!$A$4:$A$311&lt;=$J33)),'Match Log'!$N$4:$N$311),NA()))</f>
        <v>#N/A</v>
      </c>
      <c r="X33" t="e">
        <f>IF($J33&gt;MAX('Match Log'!$A$4:$A$311),NA(),IFERROR(LOOKUP(2,1/(('Match Log'!$D$4:$D$311=$X$24)*('Match Log'!$A$4:$A$311&lt;=$J33)),'Match Log'!$N$4:$N$311),NA()))</f>
        <v>#N/A</v>
      </c>
      <c r="Y33" t="str">
        <f t="shared" ca="1" si="18"/>
        <v/>
      </c>
    </row>
    <row r="34" spans="1:25" ht="15" customHeight="1" x14ac:dyDescent="0.2">
      <c r="A34">
        <v>10</v>
      </c>
      <c r="B34" s="132">
        <f>IFERROR(INDEX('Match Log'!$B$4:$B$311,MATCH(10,'Match Log'!$A$4:$A$311,0)),"")</f>
        <v>46172</v>
      </c>
      <c r="C34" t="str">
        <f>IFERROR(INDEX('Match Log'!$C$4:$C$311,MATCH(10,'Match Log'!$A$4:$A$311,0)),"")</f>
        <v>Table Tennis</v>
      </c>
      <c r="D34" t="str">
        <f>IFERROR(INDEX('Match Log'!$G$4:$G$311,MATCH(10,'Match Log'!$A$4:$A$311,0)),"")</f>
        <v>Josh</v>
      </c>
      <c r="E34" s="133">
        <f>IFERROR(INDEX('Match Log'!$F$4:$F$311,MATCH(10,'Match Log'!$A$4:$A$311,0)),"")</f>
        <v>2</v>
      </c>
      <c r="F34">
        <f>IFERROR(SUMIFS('Match Log'!$I$4:$I$311,'Match Log'!$A$4:$A$311,10,'Match Log'!$E$4:$E$311,"Win"),"")</f>
        <v>0.5</v>
      </c>
      <c r="G34">
        <f t="shared" si="16"/>
        <v>0</v>
      </c>
      <c r="H34" t="str">
        <f>IFERROR(IF($E34=2,LOOKUP(2,1/(('Match Log'!$A$4:$A$311=10)*('Match Log'!$E$4:$E$311="Loss")),'Match Log'!$D$4:$D$311),"the field"),"")</f>
        <v>Cody</v>
      </c>
      <c r="I34">
        <f t="shared" si="17"/>
        <v>-1.0000000000000001E-5</v>
      </c>
      <c r="J34">
        <v>10</v>
      </c>
      <c r="K34">
        <f>IF($J34&gt;MAX('Match Log'!$A$4:$A$311),NA(),IFERROR(LOOKUP(2,1/(('Match Log'!$D$4:$D$311=$K$24)*('Match Log'!$A$4:$A$311&lt;=$J34)),'Match Log'!$N$4:$N$311),NA()))</f>
        <v>1042.578483210224</v>
      </c>
      <c r="L34" t="e">
        <f>IF($J34&gt;MAX('Match Log'!$A$4:$A$311),NA(),IFERROR(LOOKUP(2,1/(('Match Log'!$D$4:$D$311=$L$24)*('Match Log'!$A$4:$A$311&lt;=$J34)),'Match Log'!$N$4:$N$311),NA()))</f>
        <v>#N/A</v>
      </c>
      <c r="M34">
        <f>IF($J34&gt;MAX('Match Log'!$A$4:$A$311),NA(),IFERROR(LOOKUP(2,1/(('Match Log'!$D$4:$D$311=$M$24)*('Match Log'!$A$4:$A$311&lt;=$J34)),'Match Log'!$N$4:$N$311),NA()))</f>
        <v>1004.2142857142857</v>
      </c>
      <c r="N34">
        <f>IF($J34&gt;MAX('Match Log'!$A$4:$A$311),NA(),IFERROR(LOOKUP(2,1/(('Match Log'!$D$4:$D$311=$N$24)*('Match Log'!$A$4:$A$311&lt;=$J34)),'Match Log'!$N$4:$N$311),NA()))</f>
        <v>1004.2142857142857</v>
      </c>
      <c r="O34">
        <f>IF($J34&gt;MAX('Match Log'!$A$4:$A$311),NA(),IFERROR(LOOKUP(2,1/(('Match Log'!$D$4:$D$311=$O$24)*('Match Log'!$A$4:$A$311&lt;=$J34)),'Match Log'!$N$4:$N$311),NA()))</f>
        <v>1054.4558374330734</v>
      </c>
      <c r="P34">
        <f>IF($J34&gt;MAX('Match Log'!$A$4:$A$311),NA(),IFERROR(LOOKUP(2,1/(('Match Log'!$D$4:$D$311=$P$24)*('Match Log'!$A$4:$A$311&lt;=$J34)),'Match Log'!$N$4:$N$311),NA()))</f>
        <v>1072.9224126693446</v>
      </c>
      <c r="Q34">
        <f>IF($J34&gt;MAX('Match Log'!$A$4:$A$311),NA(),IFERROR(LOOKUP(2,1/(('Match Log'!$D$4:$D$311=$Q$24)*('Match Log'!$A$4:$A$311&lt;=$J34)),'Match Log'!$N$4:$N$311),NA()))</f>
        <v>1004.2142857142857</v>
      </c>
      <c r="R34">
        <f>IF($J34&gt;MAX('Match Log'!$A$4:$A$311),NA(),IFERROR(LOOKUP(2,1/(('Match Log'!$D$4:$D$311=$R$24)*('Match Log'!$A$4:$A$311&lt;=$J34)),'Match Log'!$N$4:$N$311),NA()))</f>
        <v>926.56535485016559</v>
      </c>
      <c r="S34" t="e">
        <f>IF($J34&gt;MAX('Match Log'!$A$4:$A$311),NA(),IFERROR(LOOKUP(2,1/(('Match Log'!$D$4:$D$311=$S$24)*('Match Log'!$A$4:$A$311&lt;=$J34)),'Match Log'!$N$4:$N$311),NA()))</f>
        <v>#N/A</v>
      </c>
      <c r="T34">
        <f>IF($J34&gt;MAX('Match Log'!$A$4:$A$311),NA(),IFERROR(LOOKUP(2,1/(('Match Log'!$D$4:$D$311=$T$24)*('Match Log'!$A$4:$A$311&lt;=$J34)),'Match Log'!$N$4:$N$311),NA()))</f>
        <v>979.56157288911083</v>
      </c>
      <c r="U34">
        <f>IF($J34&gt;MAX('Match Log'!$A$4:$A$311),NA(),IFERROR(LOOKUP(2,1/(('Match Log'!$D$4:$D$311=$U$24)*('Match Log'!$A$4:$A$311&lt;=$J34)),'Match Log'!$N$4:$N$311),NA()))</f>
        <v>995.27348180522449</v>
      </c>
      <c r="V34" t="e">
        <f>IF($J34&gt;MAX('Match Log'!$A$4:$A$311),NA(),IFERROR(LOOKUP(2,1/(('Match Log'!$D$4:$D$311=$V$24)*('Match Log'!$A$4:$A$311&lt;=$J34)),'Match Log'!$N$4:$N$311),NA()))</f>
        <v>#N/A</v>
      </c>
      <c r="W34" t="e">
        <f>IF($J34&gt;MAX('Match Log'!$A$4:$A$311),NA(),IFERROR(LOOKUP(2,1/(('Match Log'!$D$4:$D$311=$W$24)*('Match Log'!$A$4:$A$311&lt;=$J34)),'Match Log'!$N$4:$N$311),NA()))</f>
        <v>#N/A</v>
      </c>
      <c r="X34" t="e">
        <f>IF($J34&gt;MAX('Match Log'!$A$4:$A$311),NA(),IFERROR(LOOKUP(2,1/(('Match Log'!$D$4:$D$311=$X$24)*('Match Log'!$A$4:$A$311&lt;=$J34)),'Match Log'!$N$4:$N$311),NA()))</f>
        <v>#N/A</v>
      </c>
      <c r="Y34" t="str">
        <f t="shared" ca="1" si="18"/>
        <v/>
      </c>
    </row>
    <row r="35" spans="1:25" ht="15" customHeight="1" x14ac:dyDescent="0.2">
      <c r="A35">
        <v>11</v>
      </c>
      <c r="B35" s="132">
        <f>IFERROR(INDEX('Match Log'!$B$4:$B$311,MATCH(11,'Match Log'!$A$4:$A$311,0)),"")</f>
        <v>46172</v>
      </c>
      <c r="C35" t="str">
        <f>IFERROR(INDEX('Match Log'!$C$4:$C$311,MATCH(11,'Match Log'!$A$4:$A$311,0)),"")</f>
        <v>Table Tennis</v>
      </c>
      <c r="D35" t="str">
        <f>IFERROR(INDEX('Match Log'!$G$4:$G$311,MATCH(11,'Match Log'!$A$4:$A$311,0)),"")</f>
        <v>Josh</v>
      </c>
      <c r="E35" s="133">
        <f>IFERROR(INDEX('Match Log'!$F$4:$F$311,MATCH(11,'Match Log'!$A$4:$A$311,0)),"")</f>
        <v>2</v>
      </c>
      <c r="F35">
        <f>IFERROR(SUMIFS('Match Log'!$I$4:$I$311,'Match Log'!$A$4:$A$311,11,'Match Log'!$E$4:$E$311,"Win"),"")</f>
        <v>0.66666666666666663</v>
      </c>
      <c r="G35">
        <f t="shared" si="16"/>
        <v>-0.33333333333333326</v>
      </c>
      <c r="H35" t="str">
        <f>IFERROR(IF($E35=2,LOOKUP(2,1/(('Match Log'!$A$4:$A$311=11)*('Match Log'!$E$4:$E$311="Loss")),'Match Log'!$D$4:$D$311),"the field"),"")</f>
        <v>Cody</v>
      </c>
      <c r="I35">
        <f t="shared" si="17"/>
        <v>-0.33334433333333324</v>
      </c>
      <c r="J35">
        <v>11</v>
      </c>
      <c r="K35">
        <f>IF($J35&gt;MAX('Match Log'!$A$4:$A$311),NA(),IFERROR(LOOKUP(2,1/(('Match Log'!$D$4:$D$311=$K$24)*('Match Log'!$A$4:$A$311&lt;=$J35)),'Match Log'!$N$4:$N$311),NA()))</f>
        <v>1042.578483210224</v>
      </c>
      <c r="L35" t="e">
        <f>IF($J35&gt;MAX('Match Log'!$A$4:$A$311),NA(),IFERROR(LOOKUP(2,1/(('Match Log'!$D$4:$D$311=$L$24)*('Match Log'!$A$4:$A$311&lt;=$J35)),'Match Log'!$N$4:$N$311),NA()))</f>
        <v>#N/A</v>
      </c>
      <c r="M35">
        <f>IF($J35&gt;MAX('Match Log'!$A$4:$A$311),NA(),IFERROR(LOOKUP(2,1/(('Match Log'!$D$4:$D$311=$M$24)*('Match Log'!$A$4:$A$311&lt;=$J35)),'Match Log'!$N$4:$N$311),NA()))</f>
        <v>1004.2142857142857</v>
      </c>
      <c r="N35">
        <f>IF($J35&gt;MAX('Match Log'!$A$4:$A$311),NA(),IFERROR(LOOKUP(2,1/(('Match Log'!$D$4:$D$311=$N$24)*('Match Log'!$A$4:$A$311&lt;=$J35)),'Match Log'!$N$4:$N$311),NA()))</f>
        <v>1004.2142857142857</v>
      </c>
      <c r="O35">
        <f>IF($J35&gt;MAX('Match Log'!$A$4:$A$311),NA(),IFERROR(LOOKUP(2,1/(('Match Log'!$D$4:$D$311=$O$24)*('Match Log'!$A$4:$A$311&lt;=$J35)),'Match Log'!$N$4:$N$311),NA()))</f>
        <v>1071.3750003033858</v>
      </c>
      <c r="P35">
        <f>IF($J35&gt;MAX('Match Log'!$A$4:$A$311),NA(),IFERROR(LOOKUP(2,1/(('Match Log'!$D$4:$D$311=$P$24)*('Match Log'!$A$4:$A$311&lt;=$J35)),'Match Log'!$N$4:$N$311),NA()))</f>
        <v>1072.9224126693446</v>
      </c>
      <c r="Q35">
        <f>IF($J35&gt;MAX('Match Log'!$A$4:$A$311),NA(),IFERROR(LOOKUP(2,1/(('Match Log'!$D$4:$D$311=$Q$24)*('Match Log'!$A$4:$A$311&lt;=$J35)),'Match Log'!$N$4:$N$311),NA()))</f>
        <v>1004.2142857142857</v>
      </c>
      <c r="R35">
        <f>IF($J35&gt;MAX('Match Log'!$A$4:$A$311),NA(),IFERROR(LOOKUP(2,1/(('Match Log'!$D$4:$D$311=$R$24)*('Match Log'!$A$4:$A$311&lt;=$J35)),'Match Log'!$N$4:$N$311),NA()))</f>
        <v>926.56535485016559</v>
      </c>
      <c r="S35" t="e">
        <f>IF($J35&gt;MAX('Match Log'!$A$4:$A$311),NA(),IFERROR(LOOKUP(2,1/(('Match Log'!$D$4:$D$311=$S$24)*('Match Log'!$A$4:$A$311&lt;=$J35)),'Match Log'!$N$4:$N$311),NA()))</f>
        <v>#N/A</v>
      </c>
      <c r="T35">
        <f>IF($J35&gt;MAX('Match Log'!$A$4:$A$311),NA(),IFERROR(LOOKUP(2,1/(('Match Log'!$D$4:$D$311=$T$24)*('Match Log'!$A$4:$A$311&lt;=$J35)),'Match Log'!$N$4:$N$311),NA()))</f>
        <v>962.64241001879827</v>
      </c>
      <c r="U35">
        <f>IF($J35&gt;MAX('Match Log'!$A$4:$A$311),NA(),IFERROR(LOOKUP(2,1/(('Match Log'!$D$4:$D$311=$U$24)*('Match Log'!$A$4:$A$311&lt;=$J35)),'Match Log'!$N$4:$N$311),NA()))</f>
        <v>995.27348180522449</v>
      </c>
      <c r="V35" t="e">
        <f>IF($J35&gt;MAX('Match Log'!$A$4:$A$311),NA(),IFERROR(LOOKUP(2,1/(('Match Log'!$D$4:$D$311=$V$24)*('Match Log'!$A$4:$A$311&lt;=$J35)),'Match Log'!$N$4:$N$311),NA()))</f>
        <v>#N/A</v>
      </c>
      <c r="W35" t="e">
        <f>IF($J35&gt;MAX('Match Log'!$A$4:$A$311),NA(),IFERROR(LOOKUP(2,1/(('Match Log'!$D$4:$D$311=$W$24)*('Match Log'!$A$4:$A$311&lt;=$J35)),'Match Log'!$N$4:$N$311),NA()))</f>
        <v>#N/A</v>
      </c>
      <c r="X35" t="e">
        <f>IF($J35&gt;MAX('Match Log'!$A$4:$A$311),NA(),IFERROR(LOOKUP(2,1/(('Match Log'!$D$4:$D$311=$X$24)*('Match Log'!$A$4:$A$311&lt;=$J35)),'Match Log'!$N$4:$N$311),NA()))</f>
        <v>#N/A</v>
      </c>
      <c r="Y35" t="str">
        <f t="shared" ca="1" si="18"/>
        <v/>
      </c>
    </row>
    <row r="36" spans="1:25" ht="15" customHeight="1" x14ac:dyDescent="0.2">
      <c r="A36">
        <v>12</v>
      </c>
      <c r="B36" s="132">
        <f>IFERROR(INDEX('Match Log'!$B$4:$B$311,MATCH(12,'Match Log'!$A$4:$A$311,0)),"")</f>
        <v>46172</v>
      </c>
      <c r="C36" t="str">
        <f>IFERROR(INDEX('Match Log'!$C$4:$C$311,MATCH(12,'Match Log'!$A$4:$A$311,0)),"")</f>
        <v>Table Tennis</v>
      </c>
      <c r="D36" t="str">
        <f>IFERROR(INDEX('Match Log'!$G$4:$G$311,MATCH(12,'Match Log'!$A$4:$A$311,0)),"")</f>
        <v>Josh</v>
      </c>
      <c r="E36" s="133">
        <f>IFERROR(INDEX('Match Log'!$F$4:$F$311,MATCH(12,'Match Log'!$A$4:$A$311,0)),"")</f>
        <v>2</v>
      </c>
      <c r="F36">
        <f>IFERROR(SUMIFS('Match Log'!$I$4:$I$311,'Match Log'!$A$4:$A$311,12,'Match Log'!$E$4:$E$311,"Win"),"")</f>
        <v>0.75</v>
      </c>
      <c r="G36">
        <f t="shared" si="16"/>
        <v>-0.5</v>
      </c>
      <c r="H36" t="str">
        <f>IFERROR(IF($E36=2,LOOKUP(2,1/(('Match Log'!$A$4:$A$311=12)*('Match Log'!$E$4:$E$311="Loss")),'Match Log'!$D$4:$D$311),"the field"),"")</f>
        <v>Cody</v>
      </c>
      <c r="I36">
        <f t="shared" si="17"/>
        <v>-0.50001200000000001</v>
      </c>
      <c r="J36">
        <v>12</v>
      </c>
      <c r="K36">
        <f>IF($J36&gt;MAX('Match Log'!$A$4:$A$311),NA(),IFERROR(LOOKUP(2,1/(('Match Log'!$D$4:$D$311=$K$24)*('Match Log'!$A$4:$A$311&lt;=$J36)),'Match Log'!$N$4:$N$311),NA()))</f>
        <v>1042.578483210224</v>
      </c>
      <c r="L36" t="e">
        <f>IF($J36&gt;MAX('Match Log'!$A$4:$A$311),NA(),IFERROR(LOOKUP(2,1/(('Match Log'!$D$4:$D$311=$L$24)*('Match Log'!$A$4:$A$311&lt;=$J36)),'Match Log'!$N$4:$N$311),NA()))</f>
        <v>#N/A</v>
      </c>
      <c r="M36">
        <f>IF($J36&gt;MAX('Match Log'!$A$4:$A$311),NA(),IFERROR(LOOKUP(2,1/(('Match Log'!$D$4:$D$311=$M$24)*('Match Log'!$A$4:$A$311&lt;=$J36)),'Match Log'!$N$4:$N$311),NA()))</f>
        <v>1004.2142857142857</v>
      </c>
      <c r="N36">
        <f>IF($J36&gt;MAX('Match Log'!$A$4:$A$311),NA(),IFERROR(LOOKUP(2,1/(('Match Log'!$D$4:$D$311=$N$24)*('Match Log'!$A$4:$A$311&lt;=$J36)),'Match Log'!$N$4:$N$311),NA()))</f>
        <v>1004.2142857142857</v>
      </c>
      <c r="O36">
        <f>IF($J36&gt;MAX('Match Log'!$A$4:$A$311),NA(),IFERROR(LOOKUP(2,1/(('Match Log'!$D$4:$D$311=$O$24)*('Match Log'!$A$4:$A$311&lt;=$J36)),'Match Log'!$N$4:$N$311),NA()))</f>
        <v>1086.1011579328788</v>
      </c>
      <c r="P36">
        <f>IF($J36&gt;MAX('Match Log'!$A$4:$A$311),NA(),IFERROR(LOOKUP(2,1/(('Match Log'!$D$4:$D$311=$P$24)*('Match Log'!$A$4:$A$311&lt;=$J36)),'Match Log'!$N$4:$N$311),NA()))</f>
        <v>1072.9224126693446</v>
      </c>
      <c r="Q36">
        <f>IF($J36&gt;MAX('Match Log'!$A$4:$A$311),NA(),IFERROR(LOOKUP(2,1/(('Match Log'!$D$4:$D$311=$Q$24)*('Match Log'!$A$4:$A$311&lt;=$J36)),'Match Log'!$N$4:$N$311),NA()))</f>
        <v>1004.2142857142857</v>
      </c>
      <c r="R36">
        <f>IF($J36&gt;MAX('Match Log'!$A$4:$A$311),NA(),IFERROR(LOOKUP(2,1/(('Match Log'!$D$4:$D$311=$R$24)*('Match Log'!$A$4:$A$311&lt;=$J36)),'Match Log'!$N$4:$N$311),NA()))</f>
        <v>926.56535485016559</v>
      </c>
      <c r="S36" t="e">
        <f>IF($J36&gt;MAX('Match Log'!$A$4:$A$311),NA(),IFERROR(LOOKUP(2,1/(('Match Log'!$D$4:$D$311=$S$24)*('Match Log'!$A$4:$A$311&lt;=$J36)),'Match Log'!$N$4:$N$311),NA()))</f>
        <v>#N/A</v>
      </c>
      <c r="T36">
        <f>IF($J36&gt;MAX('Match Log'!$A$4:$A$311),NA(),IFERROR(LOOKUP(2,1/(('Match Log'!$D$4:$D$311=$T$24)*('Match Log'!$A$4:$A$311&lt;=$J36)),'Match Log'!$N$4:$N$311),NA()))</f>
        <v>947.91625238930521</v>
      </c>
      <c r="U36">
        <f>IF($J36&gt;MAX('Match Log'!$A$4:$A$311),NA(),IFERROR(LOOKUP(2,1/(('Match Log'!$D$4:$D$311=$U$24)*('Match Log'!$A$4:$A$311&lt;=$J36)),'Match Log'!$N$4:$N$311),NA()))</f>
        <v>995.27348180522449</v>
      </c>
      <c r="V36" t="e">
        <f>IF($J36&gt;MAX('Match Log'!$A$4:$A$311),NA(),IFERROR(LOOKUP(2,1/(('Match Log'!$D$4:$D$311=$V$24)*('Match Log'!$A$4:$A$311&lt;=$J36)),'Match Log'!$N$4:$N$311),NA()))</f>
        <v>#N/A</v>
      </c>
      <c r="W36" t="e">
        <f>IF($J36&gt;MAX('Match Log'!$A$4:$A$311),NA(),IFERROR(LOOKUP(2,1/(('Match Log'!$D$4:$D$311=$W$24)*('Match Log'!$A$4:$A$311&lt;=$J36)),'Match Log'!$N$4:$N$311),NA()))</f>
        <v>#N/A</v>
      </c>
      <c r="X36" t="e">
        <f>IF($J36&gt;MAX('Match Log'!$A$4:$A$311),NA(),IFERROR(LOOKUP(2,1/(('Match Log'!$D$4:$D$311=$X$24)*('Match Log'!$A$4:$A$311&lt;=$J36)),'Match Log'!$N$4:$N$311),NA()))</f>
        <v>#N/A</v>
      </c>
      <c r="Y36" t="str">
        <f t="shared" ca="1" si="18"/>
        <v/>
      </c>
    </row>
    <row r="37" spans="1:25" ht="15" customHeight="1" x14ac:dyDescent="0.2">
      <c r="A37">
        <v>13</v>
      </c>
      <c r="B37" s="132">
        <f>IFERROR(INDEX('Match Log'!$B$4:$B$311,MATCH(13,'Match Log'!$A$4:$A$311,0)),"")</f>
        <v>46173</v>
      </c>
      <c r="C37" t="str">
        <f>IFERROR(INDEX('Match Log'!$C$4:$C$311,MATCH(13,'Match Log'!$A$4:$A$311,0)),"")</f>
        <v>FIFA</v>
      </c>
      <c r="D37" t="str">
        <f>IFERROR(INDEX('Match Log'!$G$4:$G$311,MATCH(13,'Match Log'!$A$4:$A$311,0)),"")</f>
        <v>Shawn</v>
      </c>
      <c r="E37" s="133">
        <f>IFERROR(INDEX('Match Log'!$F$4:$F$311,MATCH(13,'Match Log'!$A$4:$A$311,0)),"")</f>
        <v>2</v>
      </c>
      <c r="F37">
        <f>IFERROR(SUMIFS('Match Log'!$I$4:$I$311,'Match Log'!$A$4:$A$311,13,'Match Log'!$E$4:$E$311,"Win"),"")</f>
        <v>0.66666666666666663</v>
      </c>
      <c r="G37">
        <f t="shared" si="16"/>
        <v>-0.33333333333333326</v>
      </c>
      <c r="H37" t="str">
        <f>IFERROR(IF($E37=2,LOOKUP(2,1/(('Match Log'!$A$4:$A$311=13)*('Match Log'!$E$4:$E$311="Loss")),'Match Log'!$D$4:$D$311),"the field"),"")</f>
        <v>Daniel (Ferret)</v>
      </c>
      <c r="I37">
        <f t="shared" si="17"/>
        <v>-0.33334633333333324</v>
      </c>
      <c r="J37">
        <v>13</v>
      </c>
      <c r="K37">
        <f>IF($J37&gt;MAX('Match Log'!$A$4:$A$311),NA(),IFERROR(LOOKUP(2,1/(('Match Log'!$D$4:$D$311=$K$24)*('Match Log'!$A$4:$A$311&lt;=$J37)),'Match Log'!$N$4:$N$311),NA()))</f>
        <v>1042.578483210224</v>
      </c>
      <c r="L37" t="e">
        <f>IF($J37&gt;MAX('Match Log'!$A$4:$A$311),NA(),IFERROR(LOOKUP(2,1/(('Match Log'!$D$4:$D$311=$L$24)*('Match Log'!$A$4:$A$311&lt;=$J37)),'Match Log'!$N$4:$N$311),NA()))</f>
        <v>#N/A</v>
      </c>
      <c r="M37">
        <f>IF($J37&gt;MAX('Match Log'!$A$4:$A$311),NA(),IFERROR(LOOKUP(2,1/(('Match Log'!$D$4:$D$311=$M$24)*('Match Log'!$A$4:$A$311&lt;=$J37)),'Match Log'!$N$4:$N$311),NA()))</f>
        <v>1004.2142857142857</v>
      </c>
      <c r="N37">
        <f>IF($J37&gt;MAX('Match Log'!$A$4:$A$311),NA(),IFERROR(LOOKUP(2,1/(('Match Log'!$D$4:$D$311=$N$24)*('Match Log'!$A$4:$A$311&lt;=$J37)),'Match Log'!$N$4:$N$311),NA()))</f>
        <v>1004.2142857142857</v>
      </c>
      <c r="O37">
        <f>IF($J37&gt;MAX('Match Log'!$A$4:$A$311),NA(),IFERROR(LOOKUP(2,1/(('Match Log'!$D$4:$D$311=$O$24)*('Match Log'!$A$4:$A$311&lt;=$J37)),'Match Log'!$N$4:$N$311),NA()))</f>
        <v>1086.1011579328788</v>
      </c>
      <c r="P37">
        <f>IF($J37&gt;MAX('Match Log'!$A$4:$A$311),NA(),IFERROR(LOOKUP(2,1/(('Match Log'!$D$4:$D$311=$P$24)*('Match Log'!$A$4:$A$311&lt;=$J37)),'Match Log'!$N$4:$N$311),NA()))</f>
        <v>1088.3358957355647</v>
      </c>
      <c r="Q37">
        <f>IF($J37&gt;MAX('Match Log'!$A$4:$A$311),NA(),IFERROR(LOOKUP(2,1/(('Match Log'!$D$4:$D$311=$Q$24)*('Match Log'!$A$4:$A$311&lt;=$J37)),'Match Log'!$N$4:$N$311),NA()))</f>
        <v>1004.2142857142857</v>
      </c>
      <c r="R37">
        <f>IF($J37&gt;MAX('Match Log'!$A$4:$A$311),NA(),IFERROR(LOOKUP(2,1/(('Match Log'!$D$4:$D$311=$R$24)*('Match Log'!$A$4:$A$311&lt;=$J37)),'Match Log'!$N$4:$N$311),NA()))</f>
        <v>911.15187178394547</v>
      </c>
      <c r="S37" t="e">
        <f>IF($J37&gt;MAX('Match Log'!$A$4:$A$311),NA(),IFERROR(LOOKUP(2,1/(('Match Log'!$D$4:$D$311=$S$24)*('Match Log'!$A$4:$A$311&lt;=$J37)),'Match Log'!$N$4:$N$311),NA()))</f>
        <v>#N/A</v>
      </c>
      <c r="T37">
        <f>IF($J37&gt;MAX('Match Log'!$A$4:$A$311),NA(),IFERROR(LOOKUP(2,1/(('Match Log'!$D$4:$D$311=$T$24)*('Match Log'!$A$4:$A$311&lt;=$J37)),'Match Log'!$N$4:$N$311),NA()))</f>
        <v>947.91625238930521</v>
      </c>
      <c r="U37">
        <f>IF($J37&gt;MAX('Match Log'!$A$4:$A$311),NA(),IFERROR(LOOKUP(2,1/(('Match Log'!$D$4:$D$311=$U$24)*('Match Log'!$A$4:$A$311&lt;=$J37)),'Match Log'!$N$4:$N$311),NA()))</f>
        <v>995.27348180522449</v>
      </c>
      <c r="V37" t="e">
        <f>IF($J37&gt;MAX('Match Log'!$A$4:$A$311),NA(),IFERROR(LOOKUP(2,1/(('Match Log'!$D$4:$D$311=$V$24)*('Match Log'!$A$4:$A$311&lt;=$J37)),'Match Log'!$N$4:$N$311),NA()))</f>
        <v>#N/A</v>
      </c>
      <c r="W37" t="e">
        <f>IF($J37&gt;MAX('Match Log'!$A$4:$A$311),NA(),IFERROR(LOOKUP(2,1/(('Match Log'!$D$4:$D$311=$W$24)*('Match Log'!$A$4:$A$311&lt;=$J37)),'Match Log'!$N$4:$N$311),NA()))</f>
        <v>#N/A</v>
      </c>
      <c r="X37" t="e">
        <f>IF($J37&gt;MAX('Match Log'!$A$4:$A$311),NA(),IFERROR(LOOKUP(2,1/(('Match Log'!$D$4:$D$311=$X$24)*('Match Log'!$A$4:$A$311&lt;=$J37)),'Match Log'!$N$4:$N$311),NA()))</f>
        <v>#N/A</v>
      </c>
      <c r="Y37" t="str">
        <f t="shared" ca="1" si="18"/>
        <v/>
      </c>
    </row>
    <row r="38" spans="1:25" ht="15" customHeight="1" x14ac:dyDescent="0.2">
      <c r="A38">
        <v>14</v>
      </c>
      <c r="B38" s="132">
        <f>IFERROR(INDEX('Match Log'!$B$4:$B$311,MATCH(14,'Match Log'!$A$4:$A$311,0)),"")</f>
        <v>46173</v>
      </c>
      <c r="C38" t="str">
        <f>IFERROR(INDEX('Match Log'!$C$4:$C$311,MATCH(14,'Match Log'!$A$4:$A$311,0)),"")</f>
        <v>FIFA</v>
      </c>
      <c r="D38" t="str">
        <f>IFERROR(INDEX('Match Log'!$G$4:$G$311,MATCH(14,'Match Log'!$A$4:$A$311,0)),"")</f>
        <v>Daniel (Ferret)</v>
      </c>
      <c r="E38" s="133">
        <f>IFERROR(INDEX('Match Log'!$F$4:$F$311,MATCH(14,'Match Log'!$A$4:$A$311,0)),"")</f>
        <v>2</v>
      </c>
      <c r="F38">
        <f>IFERROR(SUMIFS('Match Log'!$I$4:$I$311,'Match Log'!$A$4:$A$311,14,'Match Log'!$E$4:$E$311,"Win"),"")</f>
        <v>0.2857142857142857</v>
      </c>
      <c r="G38">
        <f t="shared" si="16"/>
        <v>0.4285714285714286</v>
      </c>
      <c r="H38" t="str">
        <f>IFERROR(IF($E38=2,LOOKUP(2,1/(('Match Log'!$A$4:$A$311=14)*('Match Log'!$E$4:$E$311="Loss")),'Match Log'!$D$4:$D$311),"the field"),"")</f>
        <v>Shawn</v>
      </c>
      <c r="I38">
        <f t="shared" si="17"/>
        <v>0.42855742857142859</v>
      </c>
      <c r="J38">
        <v>14</v>
      </c>
      <c r="K38">
        <f>IF($J38&gt;MAX('Match Log'!$A$4:$A$311),NA(),IFERROR(LOOKUP(2,1/(('Match Log'!$D$4:$D$311=$K$24)*('Match Log'!$A$4:$A$311&lt;=$J38)),'Match Log'!$N$4:$N$311),NA()))</f>
        <v>1042.578483210224</v>
      </c>
      <c r="L38" t="e">
        <f>IF($J38&gt;MAX('Match Log'!$A$4:$A$311),NA(),IFERROR(LOOKUP(2,1/(('Match Log'!$D$4:$D$311=$L$24)*('Match Log'!$A$4:$A$311&lt;=$J38)),'Match Log'!$N$4:$N$311),NA()))</f>
        <v>#N/A</v>
      </c>
      <c r="M38">
        <f>IF($J38&gt;MAX('Match Log'!$A$4:$A$311),NA(),IFERROR(LOOKUP(2,1/(('Match Log'!$D$4:$D$311=$M$24)*('Match Log'!$A$4:$A$311&lt;=$J38)),'Match Log'!$N$4:$N$311),NA()))</f>
        <v>1004.2142857142857</v>
      </c>
      <c r="N38">
        <f>IF($J38&gt;MAX('Match Log'!$A$4:$A$311),NA(),IFERROR(LOOKUP(2,1/(('Match Log'!$D$4:$D$311=$N$24)*('Match Log'!$A$4:$A$311&lt;=$J38)),'Match Log'!$N$4:$N$311),NA()))</f>
        <v>1004.2142857142857</v>
      </c>
      <c r="O38">
        <f>IF($J38&gt;MAX('Match Log'!$A$4:$A$311),NA(),IFERROR(LOOKUP(2,1/(('Match Log'!$D$4:$D$311=$O$24)*('Match Log'!$A$4:$A$311&lt;=$J38)),'Match Log'!$N$4:$N$311),NA()))</f>
        <v>1086.1011579328788</v>
      </c>
      <c r="P38">
        <f>IF($J38&gt;MAX('Match Log'!$A$4:$A$311),NA(),IFERROR(LOOKUP(2,1/(('Match Log'!$D$4:$D$311=$P$24)*('Match Log'!$A$4:$A$311&lt;=$J38)),'Match Log'!$N$4:$N$311),NA()))</f>
        <v>1058.1949493150487</v>
      </c>
      <c r="Q38">
        <f>IF($J38&gt;MAX('Match Log'!$A$4:$A$311),NA(),IFERROR(LOOKUP(2,1/(('Match Log'!$D$4:$D$311=$Q$24)*('Match Log'!$A$4:$A$311&lt;=$J38)),'Match Log'!$N$4:$N$311),NA()))</f>
        <v>1004.2142857142857</v>
      </c>
      <c r="R38">
        <f>IF($J38&gt;MAX('Match Log'!$A$4:$A$311),NA(),IFERROR(LOOKUP(2,1/(('Match Log'!$D$4:$D$311=$R$24)*('Match Log'!$A$4:$A$311&lt;=$J38)),'Match Log'!$N$4:$N$311),NA()))</f>
        <v>941.29281820446158</v>
      </c>
      <c r="S38" t="e">
        <f>IF($J38&gt;MAX('Match Log'!$A$4:$A$311),NA(),IFERROR(LOOKUP(2,1/(('Match Log'!$D$4:$D$311=$S$24)*('Match Log'!$A$4:$A$311&lt;=$J38)),'Match Log'!$N$4:$N$311),NA()))</f>
        <v>#N/A</v>
      </c>
      <c r="T38">
        <f>IF($J38&gt;MAX('Match Log'!$A$4:$A$311),NA(),IFERROR(LOOKUP(2,1/(('Match Log'!$D$4:$D$311=$T$24)*('Match Log'!$A$4:$A$311&lt;=$J38)),'Match Log'!$N$4:$N$311),NA()))</f>
        <v>947.91625238930521</v>
      </c>
      <c r="U38">
        <f>IF($J38&gt;MAX('Match Log'!$A$4:$A$311),NA(),IFERROR(LOOKUP(2,1/(('Match Log'!$D$4:$D$311=$U$24)*('Match Log'!$A$4:$A$311&lt;=$J38)),'Match Log'!$N$4:$N$311),NA()))</f>
        <v>995.27348180522449</v>
      </c>
      <c r="V38" t="e">
        <f>IF($J38&gt;MAX('Match Log'!$A$4:$A$311),NA(),IFERROR(LOOKUP(2,1/(('Match Log'!$D$4:$D$311=$V$24)*('Match Log'!$A$4:$A$311&lt;=$J38)),'Match Log'!$N$4:$N$311),NA()))</f>
        <v>#N/A</v>
      </c>
      <c r="W38" t="e">
        <f>IF($J38&gt;MAX('Match Log'!$A$4:$A$311),NA(),IFERROR(LOOKUP(2,1/(('Match Log'!$D$4:$D$311=$W$24)*('Match Log'!$A$4:$A$311&lt;=$J38)),'Match Log'!$N$4:$N$311),NA()))</f>
        <v>#N/A</v>
      </c>
      <c r="X38" t="e">
        <f>IF($J38&gt;MAX('Match Log'!$A$4:$A$311),NA(),IFERROR(LOOKUP(2,1/(('Match Log'!$D$4:$D$311=$X$24)*('Match Log'!$A$4:$A$311&lt;=$J38)),'Match Log'!$N$4:$N$311),NA()))</f>
        <v>#N/A</v>
      </c>
      <c r="Y38" t="str">
        <f t="shared" ca="1" si="18"/>
        <v/>
      </c>
    </row>
    <row r="39" spans="1:25" ht="15" customHeight="1" x14ac:dyDescent="0.2">
      <c r="A39">
        <v>15</v>
      </c>
      <c r="B39" s="132">
        <f>IFERROR(INDEX('Match Log'!$B$4:$B$311,MATCH(15,'Match Log'!$A$4:$A$311,0)),"")</f>
        <v>46173</v>
      </c>
      <c r="C39" t="str">
        <f>IFERROR(INDEX('Match Log'!$C$4:$C$311,MATCH(15,'Match Log'!$A$4:$A$311,0)),"")</f>
        <v>FIFA</v>
      </c>
      <c r="D39" t="str">
        <f>IFERROR(INDEX('Match Log'!$G$4:$G$311,MATCH(15,'Match Log'!$A$4:$A$311,0)),"")</f>
        <v>Daniel (Ferret)</v>
      </c>
      <c r="E39" s="133">
        <f>IFERROR(INDEX('Match Log'!$F$4:$F$311,MATCH(15,'Match Log'!$A$4:$A$311,0)),"")</f>
        <v>2</v>
      </c>
      <c r="F39">
        <f>IFERROR(SUMIFS('Match Log'!$I$4:$I$311,'Match Log'!$A$4:$A$311,15,'Match Log'!$E$4:$E$311,"Win"),"")</f>
        <v>0.375</v>
      </c>
      <c r="G39">
        <f t="shared" si="16"/>
        <v>0.25</v>
      </c>
      <c r="H39" t="str">
        <f>IFERROR(IF($E39=2,LOOKUP(2,1/(('Match Log'!$A$4:$A$311=15)*('Match Log'!$E$4:$E$311="Loss")),'Match Log'!$D$4:$D$311),"the field"),"")</f>
        <v>Shawn</v>
      </c>
      <c r="I39">
        <f t="shared" si="17"/>
        <v>0.24998500000000001</v>
      </c>
      <c r="J39">
        <v>15</v>
      </c>
      <c r="K39">
        <f>IF($J39&gt;MAX('Match Log'!$A$4:$A$311),NA(),IFERROR(LOOKUP(2,1/(('Match Log'!$D$4:$D$311=$K$24)*('Match Log'!$A$4:$A$311&lt;=$J39)),'Match Log'!$N$4:$N$311),NA()))</f>
        <v>1042.578483210224</v>
      </c>
      <c r="L39" t="e">
        <f>IF($J39&gt;MAX('Match Log'!$A$4:$A$311),NA(),IFERROR(LOOKUP(2,1/(('Match Log'!$D$4:$D$311=$L$24)*('Match Log'!$A$4:$A$311&lt;=$J39)),'Match Log'!$N$4:$N$311),NA()))</f>
        <v>#N/A</v>
      </c>
      <c r="M39">
        <f>IF($J39&gt;MAX('Match Log'!$A$4:$A$311),NA(),IFERROR(LOOKUP(2,1/(('Match Log'!$D$4:$D$311=$M$24)*('Match Log'!$A$4:$A$311&lt;=$J39)),'Match Log'!$N$4:$N$311),NA()))</f>
        <v>1004.2142857142857</v>
      </c>
      <c r="N39">
        <f>IF($J39&gt;MAX('Match Log'!$A$4:$A$311),NA(),IFERROR(LOOKUP(2,1/(('Match Log'!$D$4:$D$311=$N$24)*('Match Log'!$A$4:$A$311&lt;=$J39)),'Match Log'!$N$4:$N$311),NA()))</f>
        <v>1004.2142857142857</v>
      </c>
      <c r="O39">
        <f>IF($J39&gt;MAX('Match Log'!$A$4:$A$311),NA(),IFERROR(LOOKUP(2,1/(('Match Log'!$D$4:$D$311=$O$24)*('Match Log'!$A$4:$A$311&lt;=$J39)),'Match Log'!$N$4:$N$311),NA()))</f>
        <v>1086.1011579328788</v>
      </c>
      <c r="P39">
        <f>IF($J39&gt;MAX('Match Log'!$A$4:$A$311),NA(),IFERROR(LOOKUP(2,1/(('Match Log'!$D$4:$D$311=$P$24)*('Match Log'!$A$4:$A$311&lt;=$J39)),'Match Log'!$N$4:$N$311),NA()))</f>
        <v>1031.3816433374927</v>
      </c>
      <c r="Q39">
        <f>IF($J39&gt;MAX('Match Log'!$A$4:$A$311),NA(),IFERROR(LOOKUP(2,1/(('Match Log'!$D$4:$D$311=$Q$24)*('Match Log'!$A$4:$A$311&lt;=$J39)),'Match Log'!$N$4:$N$311),NA()))</f>
        <v>1004.2142857142857</v>
      </c>
      <c r="R39">
        <f>IF($J39&gt;MAX('Match Log'!$A$4:$A$311),NA(),IFERROR(LOOKUP(2,1/(('Match Log'!$D$4:$D$311=$R$24)*('Match Log'!$A$4:$A$311&lt;=$J39)),'Match Log'!$N$4:$N$311),NA()))</f>
        <v>968.10612418201742</v>
      </c>
      <c r="S39" t="e">
        <f>IF($J39&gt;MAX('Match Log'!$A$4:$A$311),NA(),IFERROR(LOOKUP(2,1/(('Match Log'!$D$4:$D$311=$S$24)*('Match Log'!$A$4:$A$311&lt;=$J39)),'Match Log'!$N$4:$N$311),NA()))</f>
        <v>#N/A</v>
      </c>
      <c r="T39">
        <f>IF($J39&gt;MAX('Match Log'!$A$4:$A$311),NA(),IFERROR(LOOKUP(2,1/(('Match Log'!$D$4:$D$311=$T$24)*('Match Log'!$A$4:$A$311&lt;=$J39)),'Match Log'!$N$4:$N$311),NA()))</f>
        <v>947.91625238930521</v>
      </c>
      <c r="U39">
        <f>IF($J39&gt;MAX('Match Log'!$A$4:$A$311),NA(),IFERROR(LOOKUP(2,1/(('Match Log'!$D$4:$D$311=$U$24)*('Match Log'!$A$4:$A$311&lt;=$J39)),'Match Log'!$N$4:$N$311),NA()))</f>
        <v>995.27348180522449</v>
      </c>
      <c r="V39" t="e">
        <f>IF($J39&gt;MAX('Match Log'!$A$4:$A$311),NA(),IFERROR(LOOKUP(2,1/(('Match Log'!$D$4:$D$311=$V$24)*('Match Log'!$A$4:$A$311&lt;=$J39)),'Match Log'!$N$4:$N$311),NA()))</f>
        <v>#N/A</v>
      </c>
      <c r="W39" t="e">
        <f>IF($J39&gt;MAX('Match Log'!$A$4:$A$311),NA(),IFERROR(LOOKUP(2,1/(('Match Log'!$D$4:$D$311=$W$24)*('Match Log'!$A$4:$A$311&lt;=$J39)),'Match Log'!$N$4:$N$311),NA()))</f>
        <v>#N/A</v>
      </c>
      <c r="X39" t="e">
        <f>IF($J39&gt;MAX('Match Log'!$A$4:$A$311),NA(),IFERROR(LOOKUP(2,1/(('Match Log'!$D$4:$D$311=$X$24)*('Match Log'!$A$4:$A$311&lt;=$J39)),'Match Log'!$N$4:$N$311),NA()))</f>
        <v>#N/A</v>
      </c>
      <c r="Y39" t="str">
        <f t="shared" ca="1" si="18"/>
        <v/>
      </c>
    </row>
    <row r="40" spans="1:25" ht="15" customHeight="1" x14ac:dyDescent="0.2">
      <c r="A40">
        <v>16</v>
      </c>
      <c r="B40" s="132">
        <f>IFERROR(INDEX('Match Log'!$B$4:$B$311,MATCH(16,'Match Log'!$A$4:$A$311,0)),"")</f>
        <v>46173</v>
      </c>
      <c r="C40" t="str">
        <f>IFERROR(INDEX('Match Log'!$C$4:$C$311,MATCH(16,'Match Log'!$A$4:$A$311,0)),"")</f>
        <v>FIFA</v>
      </c>
      <c r="D40" t="str">
        <f>IFERROR(INDEX('Match Log'!$G$4:$G$311,MATCH(16,'Match Log'!$A$4:$A$311,0)),"")</f>
        <v>Daniel (Ferret)</v>
      </c>
      <c r="E40" s="133">
        <f>IFERROR(INDEX('Match Log'!$F$4:$F$311,MATCH(16,'Match Log'!$A$4:$A$311,0)),"")</f>
        <v>2</v>
      </c>
      <c r="F40">
        <f>IFERROR(SUMIFS('Match Log'!$I$4:$I$311,'Match Log'!$A$4:$A$311,16,'Match Log'!$E$4:$E$311,"Win"),"")</f>
        <v>0.44444444444444442</v>
      </c>
      <c r="G40">
        <f t="shared" si="16"/>
        <v>0.11111111111111116</v>
      </c>
      <c r="H40" t="str">
        <f>IFERROR(IF($E40=2,LOOKUP(2,1/(('Match Log'!$A$4:$A$311=16)*('Match Log'!$E$4:$E$311="Loss")),'Match Log'!$D$4:$D$311),"the field"),"")</f>
        <v>Shawn</v>
      </c>
      <c r="I40">
        <f t="shared" si="17"/>
        <v>0.11109511111111116</v>
      </c>
      <c r="J40">
        <v>16</v>
      </c>
      <c r="K40">
        <f>IF($J40&gt;MAX('Match Log'!$A$4:$A$311),NA(),IFERROR(LOOKUP(2,1/(('Match Log'!$D$4:$D$311=$K$24)*('Match Log'!$A$4:$A$311&lt;=$J40)),'Match Log'!$N$4:$N$311),NA()))</f>
        <v>1042.578483210224</v>
      </c>
      <c r="L40" t="e">
        <f>IF($J40&gt;MAX('Match Log'!$A$4:$A$311),NA(),IFERROR(LOOKUP(2,1/(('Match Log'!$D$4:$D$311=$L$24)*('Match Log'!$A$4:$A$311&lt;=$J40)),'Match Log'!$N$4:$N$311),NA()))</f>
        <v>#N/A</v>
      </c>
      <c r="M40">
        <f>IF($J40&gt;MAX('Match Log'!$A$4:$A$311),NA(),IFERROR(LOOKUP(2,1/(('Match Log'!$D$4:$D$311=$M$24)*('Match Log'!$A$4:$A$311&lt;=$J40)),'Match Log'!$N$4:$N$311),NA()))</f>
        <v>1004.2142857142857</v>
      </c>
      <c r="N40">
        <f>IF($J40&gt;MAX('Match Log'!$A$4:$A$311),NA(),IFERROR(LOOKUP(2,1/(('Match Log'!$D$4:$D$311=$N$24)*('Match Log'!$A$4:$A$311&lt;=$J40)),'Match Log'!$N$4:$N$311),NA()))</f>
        <v>1004.2142857142857</v>
      </c>
      <c r="O40">
        <f>IF($J40&gt;MAX('Match Log'!$A$4:$A$311),NA(),IFERROR(LOOKUP(2,1/(('Match Log'!$D$4:$D$311=$O$24)*('Match Log'!$A$4:$A$311&lt;=$J40)),'Match Log'!$N$4:$N$311),NA()))</f>
        <v>1086.1011579328788</v>
      </c>
      <c r="P40">
        <f>IF($J40&gt;MAX('Match Log'!$A$4:$A$311),NA(),IFERROR(LOOKUP(2,1/(('Match Log'!$D$4:$D$311=$P$24)*('Match Log'!$A$4:$A$311&lt;=$J40)),'Match Log'!$N$4:$N$311),NA()))</f>
        <v>1007.4743526549773</v>
      </c>
      <c r="Q40">
        <f>IF($J40&gt;MAX('Match Log'!$A$4:$A$311),NA(),IFERROR(LOOKUP(2,1/(('Match Log'!$D$4:$D$311=$Q$24)*('Match Log'!$A$4:$A$311&lt;=$J40)),'Match Log'!$N$4:$N$311),NA()))</f>
        <v>1004.2142857142857</v>
      </c>
      <c r="R40">
        <f>IF($J40&gt;MAX('Match Log'!$A$4:$A$311),NA(),IFERROR(LOOKUP(2,1/(('Match Log'!$D$4:$D$311=$R$24)*('Match Log'!$A$4:$A$311&lt;=$J40)),'Match Log'!$N$4:$N$311),NA()))</f>
        <v>992.01341486453282</v>
      </c>
      <c r="S40" t="e">
        <f>IF($J40&gt;MAX('Match Log'!$A$4:$A$311),NA(),IFERROR(LOOKUP(2,1/(('Match Log'!$D$4:$D$311=$S$24)*('Match Log'!$A$4:$A$311&lt;=$J40)),'Match Log'!$N$4:$N$311),NA()))</f>
        <v>#N/A</v>
      </c>
      <c r="T40">
        <f>IF($J40&gt;MAX('Match Log'!$A$4:$A$311),NA(),IFERROR(LOOKUP(2,1/(('Match Log'!$D$4:$D$311=$T$24)*('Match Log'!$A$4:$A$311&lt;=$J40)),'Match Log'!$N$4:$N$311),NA()))</f>
        <v>947.91625238930521</v>
      </c>
      <c r="U40">
        <f>IF($J40&gt;MAX('Match Log'!$A$4:$A$311),NA(),IFERROR(LOOKUP(2,1/(('Match Log'!$D$4:$D$311=$U$24)*('Match Log'!$A$4:$A$311&lt;=$J40)),'Match Log'!$N$4:$N$311),NA()))</f>
        <v>995.27348180522449</v>
      </c>
      <c r="V40" t="e">
        <f>IF($J40&gt;MAX('Match Log'!$A$4:$A$311),NA(),IFERROR(LOOKUP(2,1/(('Match Log'!$D$4:$D$311=$V$24)*('Match Log'!$A$4:$A$311&lt;=$J40)),'Match Log'!$N$4:$N$311),NA()))</f>
        <v>#N/A</v>
      </c>
      <c r="W40" t="e">
        <f>IF($J40&gt;MAX('Match Log'!$A$4:$A$311),NA(),IFERROR(LOOKUP(2,1/(('Match Log'!$D$4:$D$311=$W$24)*('Match Log'!$A$4:$A$311&lt;=$J40)),'Match Log'!$N$4:$N$311),NA()))</f>
        <v>#N/A</v>
      </c>
      <c r="X40" t="e">
        <f>IF($J40&gt;MAX('Match Log'!$A$4:$A$311),NA(),IFERROR(LOOKUP(2,1/(('Match Log'!$D$4:$D$311=$X$24)*('Match Log'!$A$4:$A$311&lt;=$J40)),'Match Log'!$N$4:$N$311),NA()))</f>
        <v>#N/A</v>
      </c>
      <c r="Y40" t="str">
        <f t="shared" ca="1" si="18"/>
        <v/>
      </c>
    </row>
    <row r="41" spans="1:25" ht="15" customHeight="1" x14ac:dyDescent="0.2">
      <c r="A41">
        <v>17</v>
      </c>
      <c r="B41" s="132">
        <f>IFERROR(INDEX('Match Log'!$B$4:$B$311,MATCH(17,'Match Log'!$A$4:$A$311,0)),"")</f>
        <v>46175</v>
      </c>
      <c r="C41" t="str">
        <f>IFERROR(INDEX('Match Log'!$C$4:$C$311,MATCH(17,'Match Log'!$A$4:$A$311,0)),"")</f>
        <v>FIFA</v>
      </c>
      <c r="D41" t="str">
        <f>IFERROR(INDEX('Match Log'!$G$4:$G$311,MATCH(17,'Match Log'!$A$4:$A$311,0)),"")</f>
        <v>Aaron</v>
      </c>
      <c r="E41" s="133">
        <f>IFERROR(INDEX('Match Log'!$F$4:$F$311,MATCH(17,'Match Log'!$A$4:$A$311,0)),"")</f>
        <v>2</v>
      </c>
      <c r="F41">
        <f>IFERROR(SUMIFS('Match Log'!$I$4:$I$311,'Match Log'!$A$4:$A$311,17,'Match Log'!$E$4:$E$311,"Win"),"")</f>
        <v>0.5</v>
      </c>
      <c r="G41">
        <f t="shared" si="16"/>
        <v>0</v>
      </c>
      <c r="H41" t="str">
        <f>IFERROR(IF($E41=2,LOOKUP(2,1/(('Match Log'!$A$4:$A$311=17)*('Match Log'!$E$4:$E$311="Loss")),'Match Log'!$D$4:$D$311),"the field"),"")</f>
        <v>Josh</v>
      </c>
      <c r="I41">
        <f t="shared" si="17"/>
        <v>-1.7E-5</v>
      </c>
      <c r="J41">
        <v>17</v>
      </c>
      <c r="K41">
        <f>IF($J41&gt;MAX('Match Log'!$A$4:$A$311),NA(),IFERROR(LOOKUP(2,1/(('Match Log'!$D$4:$D$311=$K$24)*('Match Log'!$A$4:$A$311&lt;=$J41)),'Match Log'!$N$4:$N$311),NA()))</f>
        <v>1066.5723579486566</v>
      </c>
      <c r="L41" t="e">
        <f>IF($J41&gt;MAX('Match Log'!$A$4:$A$311),NA(),IFERROR(LOOKUP(2,1/(('Match Log'!$D$4:$D$311=$L$24)*('Match Log'!$A$4:$A$311&lt;=$J41)),'Match Log'!$N$4:$N$311),NA()))</f>
        <v>#N/A</v>
      </c>
      <c r="M41">
        <f>IF($J41&gt;MAX('Match Log'!$A$4:$A$311),NA(),IFERROR(LOOKUP(2,1/(('Match Log'!$D$4:$D$311=$M$24)*('Match Log'!$A$4:$A$311&lt;=$J41)),'Match Log'!$N$4:$N$311),NA()))</f>
        <v>1004.2142857142857</v>
      </c>
      <c r="N41">
        <f>IF($J41&gt;MAX('Match Log'!$A$4:$A$311),NA(),IFERROR(LOOKUP(2,1/(('Match Log'!$D$4:$D$311=$N$24)*('Match Log'!$A$4:$A$311&lt;=$J41)),'Match Log'!$N$4:$N$311),NA()))</f>
        <v>1004.2142857142857</v>
      </c>
      <c r="O41">
        <f>IF($J41&gt;MAX('Match Log'!$A$4:$A$311),NA(),IFERROR(LOOKUP(2,1/(('Match Log'!$D$4:$D$311=$O$24)*('Match Log'!$A$4:$A$311&lt;=$J41)),'Match Log'!$N$4:$N$311),NA()))</f>
        <v>1062.1072831944462</v>
      </c>
      <c r="P41">
        <f>IF($J41&gt;MAX('Match Log'!$A$4:$A$311),NA(),IFERROR(LOOKUP(2,1/(('Match Log'!$D$4:$D$311=$P$24)*('Match Log'!$A$4:$A$311&lt;=$J41)),'Match Log'!$N$4:$N$311),NA()))</f>
        <v>1007.4743526549773</v>
      </c>
      <c r="Q41">
        <f>IF($J41&gt;MAX('Match Log'!$A$4:$A$311),NA(),IFERROR(LOOKUP(2,1/(('Match Log'!$D$4:$D$311=$Q$24)*('Match Log'!$A$4:$A$311&lt;=$J41)),'Match Log'!$N$4:$N$311),NA()))</f>
        <v>1004.2142857142857</v>
      </c>
      <c r="R41">
        <f>IF($J41&gt;MAX('Match Log'!$A$4:$A$311),NA(),IFERROR(LOOKUP(2,1/(('Match Log'!$D$4:$D$311=$R$24)*('Match Log'!$A$4:$A$311&lt;=$J41)),'Match Log'!$N$4:$N$311),NA()))</f>
        <v>992.01341486453282</v>
      </c>
      <c r="S41" t="e">
        <f>IF($J41&gt;MAX('Match Log'!$A$4:$A$311),NA(),IFERROR(LOOKUP(2,1/(('Match Log'!$D$4:$D$311=$S$24)*('Match Log'!$A$4:$A$311&lt;=$J41)),'Match Log'!$N$4:$N$311),NA()))</f>
        <v>#N/A</v>
      </c>
      <c r="T41">
        <f>IF($J41&gt;MAX('Match Log'!$A$4:$A$311),NA(),IFERROR(LOOKUP(2,1/(('Match Log'!$D$4:$D$311=$T$24)*('Match Log'!$A$4:$A$311&lt;=$J41)),'Match Log'!$N$4:$N$311),NA()))</f>
        <v>947.91625238930521</v>
      </c>
      <c r="U41">
        <f>IF($J41&gt;MAX('Match Log'!$A$4:$A$311),NA(),IFERROR(LOOKUP(2,1/(('Match Log'!$D$4:$D$311=$U$24)*('Match Log'!$A$4:$A$311&lt;=$J41)),'Match Log'!$N$4:$N$311),NA()))</f>
        <v>995.27348180522449</v>
      </c>
      <c r="V41" t="e">
        <f>IF($J41&gt;MAX('Match Log'!$A$4:$A$311),NA(),IFERROR(LOOKUP(2,1/(('Match Log'!$D$4:$D$311=$V$24)*('Match Log'!$A$4:$A$311&lt;=$J41)),'Match Log'!$N$4:$N$311),NA()))</f>
        <v>#N/A</v>
      </c>
      <c r="W41" t="e">
        <f>IF($J41&gt;MAX('Match Log'!$A$4:$A$311),NA(),IFERROR(LOOKUP(2,1/(('Match Log'!$D$4:$D$311=$W$24)*('Match Log'!$A$4:$A$311&lt;=$J41)),'Match Log'!$N$4:$N$311),NA()))</f>
        <v>#N/A</v>
      </c>
      <c r="X41" t="e">
        <f>IF($J41&gt;MAX('Match Log'!$A$4:$A$311),NA(),IFERROR(LOOKUP(2,1/(('Match Log'!$D$4:$D$311=$X$24)*('Match Log'!$A$4:$A$311&lt;=$J41)),'Match Log'!$N$4:$N$311),NA()))</f>
        <v>#N/A</v>
      </c>
      <c r="Y41" t="str">
        <f t="shared" ca="1" si="18"/>
        <v/>
      </c>
    </row>
    <row r="42" spans="1:25" ht="15" customHeight="1" x14ac:dyDescent="0.2">
      <c r="A42">
        <v>18</v>
      </c>
      <c r="B42" s="132">
        <f>IFERROR(INDEX('Match Log'!$B$4:$B$311,MATCH(18,'Match Log'!$A$4:$A$311,0)),"")</f>
        <v>46175</v>
      </c>
      <c r="C42" t="str">
        <f>IFERROR(INDEX('Match Log'!$C$4:$C$311,MATCH(18,'Match Log'!$A$4:$A$311,0)),"")</f>
        <v>FIFA</v>
      </c>
      <c r="D42" t="str">
        <f>IFERROR(INDEX('Match Log'!$G$4:$G$311,MATCH(18,'Match Log'!$A$4:$A$311,0)),"")</f>
        <v>Aaron</v>
      </c>
      <c r="E42" s="133">
        <f>IFERROR(INDEX('Match Log'!$F$4:$F$311,MATCH(18,'Match Log'!$A$4:$A$311,0)),"")</f>
        <v>2</v>
      </c>
      <c r="F42">
        <f>IFERROR(SUMIFS('Match Log'!$I$4:$I$311,'Match Log'!$A$4:$A$311,18,'Match Log'!$E$4:$E$311,"Win"),"")</f>
        <v>0.57142857142857151</v>
      </c>
      <c r="G42">
        <f t="shared" si="16"/>
        <v>-0.14285714285714302</v>
      </c>
      <c r="H42" t="str">
        <f>IFERROR(IF($E42=2,LOOKUP(2,1/(('Match Log'!$A$4:$A$311=18)*('Match Log'!$E$4:$E$311="Loss")),'Match Log'!$D$4:$D$311),"the field"),"")</f>
        <v>Chase</v>
      </c>
      <c r="I42">
        <f t="shared" si="17"/>
        <v>-0.14287514285714301</v>
      </c>
      <c r="J42">
        <v>18</v>
      </c>
      <c r="K42">
        <f>IF($J42&gt;MAX('Match Log'!$A$4:$A$311),NA(),IFERROR(LOOKUP(2,1/(('Match Log'!$D$4:$D$311=$K$24)*('Match Log'!$A$4:$A$311&lt;=$J42)),'Match Log'!$N$4:$N$311),NA()))</f>
        <v>1085.2514323545793</v>
      </c>
      <c r="L42" t="e">
        <f>IF($J42&gt;MAX('Match Log'!$A$4:$A$311),NA(),IFERROR(LOOKUP(2,1/(('Match Log'!$D$4:$D$311=$L$24)*('Match Log'!$A$4:$A$311&lt;=$J42)),'Match Log'!$N$4:$N$311),NA()))</f>
        <v>#N/A</v>
      </c>
      <c r="M42">
        <f>IF($J42&gt;MAX('Match Log'!$A$4:$A$311),NA(),IFERROR(LOOKUP(2,1/(('Match Log'!$D$4:$D$311=$M$24)*('Match Log'!$A$4:$A$311&lt;=$J42)),'Match Log'!$N$4:$N$311),NA()))</f>
        <v>985.53521130836305</v>
      </c>
      <c r="N42">
        <f>IF($J42&gt;MAX('Match Log'!$A$4:$A$311),NA(),IFERROR(LOOKUP(2,1/(('Match Log'!$D$4:$D$311=$N$24)*('Match Log'!$A$4:$A$311&lt;=$J42)),'Match Log'!$N$4:$N$311),NA()))</f>
        <v>1004.2142857142857</v>
      </c>
      <c r="O42">
        <f>IF($J42&gt;MAX('Match Log'!$A$4:$A$311),NA(),IFERROR(LOOKUP(2,1/(('Match Log'!$D$4:$D$311=$O$24)*('Match Log'!$A$4:$A$311&lt;=$J42)),'Match Log'!$N$4:$N$311),NA()))</f>
        <v>1062.1072831944462</v>
      </c>
      <c r="P42">
        <f>IF($J42&gt;MAX('Match Log'!$A$4:$A$311),NA(),IFERROR(LOOKUP(2,1/(('Match Log'!$D$4:$D$311=$P$24)*('Match Log'!$A$4:$A$311&lt;=$J42)),'Match Log'!$N$4:$N$311),NA()))</f>
        <v>1007.4743526549773</v>
      </c>
      <c r="Q42">
        <f>IF($J42&gt;MAX('Match Log'!$A$4:$A$311),NA(),IFERROR(LOOKUP(2,1/(('Match Log'!$D$4:$D$311=$Q$24)*('Match Log'!$A$4:$A$311&lt;=$J42)),'Match Log'!$N$4:$N$311),NA()))</f>
        <v>1004.2142857142857</v>
      </c>
      <c r="R42">
        <f>IF($J42&gt;MAX('Match Log'!$A$4:$A$311),NA(),IFERROR(LOOKUP(2,1/(('Match Log'!$D$4:$D$311=$R$24)*('Match Log'!$A$4:$A$311&lt;=$J42)),'Match Log'!$N$4:$N$311),NA()))</f>
        <v>992.01341486453282</v>
      </c>
      <c r="S42" t="e">
        <f>IF($J42&gt;MAX('Match Log'!$A$4:$A$311),NA(),IFERROR(LOOKUP(2,1/(('Match Log'!$D$4:$D$311=$S$24)*('Match Log'!$A$4:$A$311&lt;=$J42)),'Match Log'!$N$4:$N$311),NA()))</f>
        <v>#N/A</v>
      </c>
      <c r="T42">
        <f>IF($J42&gt;MAX('Match Log'!$A$4:$A$311),NA(),IFERROR(LOOKUP(2,1/(('Match Log'!$D$4:$D$311=$T$24)*('Match Log'!$A$4:$A$311&lt;=$J42)),'Match Log'!$N$4:$N$311),NA()))</f>
        <v>947.91625238930521</v>
      </c>
      <c r="U42">
        <f>IF($J42&gt;MAX('Match Log'!$A$4:$A$311),NA(),IFERROR(LOOKUP(2,1/(('Match Log'!$D$4:$D$311=$U$24)*('Match Log'!$A$4:$A$311&lt;=$J42)),'Match Log'!$N$4:$N$311),NA()))</f>
        <v>995.27348180522449</v>
      </c>
      <c r="V42" t="e">
        <f>IF($J42&gt;MAX('Match Log'!$A$4:$A$311),NA(),IFERROR(LOOKUP(2,1/(('Match Log'!$D$4:$D$311=$V$24)*('Match Log'!$A$4:$A$311&lt;=$J42)),'Match Log'!$N$4:$N$311),NA()))</f>
        <v>#N/A</v>
      </c>
      <c r="W42" t="e">
        <f>IF($J42&gt;MAX('Match Log'!$A$4:$A$311),NA(),IFERROR(LOOKUP(2,1/(('Match Log'!$D$4:$D$311=$W$24)*('Match Log'!$A$4:$A$311&lt;=$J42)),'Match Log'!$N$4:$N$311),NA()))</f>
        <v>#N/A</v>
      </c>
      <c r="X42" t="e">
        <f>IF($J42&gt;MAX('Match Log'!$A$4:$A$311),NA(),IFERROR(LOOKUP(2,1/(('Match Log'!$D$4:$D$311=$X$24)*('Match Log'!$A$4:$A$311&lt;=$J42)),'Match Log'!$N$4:$N$311),NA()))</f>
        <v>#N/A</v>
      </c>
      <c r="Y42" t="str">
        <f t="shared" ca="1" si="18"/>
        <v/>
      </c>
    </row>
    <row r="43" spans="1:25" ht="15" customHeight="1" x14ac:dyDescent="0.2">
      <c r="A43">
        <v>19</v>
      </c>
      <c r="B43" s="132">
        <f>IFERROR(INDEX('Match Log'!$B$4:$B$311,MATCH(19,'Match Log'!$A$4:$A$311,0)),"")</f>
        <v>46175</v>
      </c>
      <c r="C43" t="str">
        <f>IFERROR(INDEX('Match Log'!$C$4:$C$311,MATCH(19,'Match Log'!$A$4:$A$311,0)),"")</f>
        <v>FIFA</v>
      </c>
      <c r="D43" t="str">
        <f>IFERROR(INDEX('Match Log'!$G$4:$G$311,MATCH(19,'Match Log'!$A$4:$A$311,0)),"")</f>
        <v>Aaron</v>
      </c>
      <c r="E43" s="133">
        <f>IFERROR(INDEX('Match Log'!$F$4:$F$311,MATCH(19,'Match Log'!$A$4:$A$311,0)),"")</f>
        <v>2</v>
      </c>
      <c r="F43">
        <f>IFERROR(SUMIFS('Match Log'!$I$4:$I$311,'Match Log'!$A$4:$A$311,19,'Match Log'!$E$4:$E$311,"Win"),"")</f>
        <v>0.6</v>
      </c>
      <c r="G43">
        <f t="shared" si="16"/>
        <v>-0.19999999999999996</v>
      </c>
      <c r="H43" t="str">
        <f>IFERROR(IF($E43=2,LOOKUP(2,1/(('Match Log'!$A$4:$A$311=19)*('Match Log'!$E$4:$E$311="Loss")),'Match Log'!$D$4:$D$311),"the field"),"")</f>
        <v>Daniel (Ferret)</v>
      </c>
      <c r="I43">
        <f t="shared" si="17"/>
        <v>-0.20001899999999995</v>
      </c>
      <c r="J43">
        <v>19</v>
      </c>
      <c r="K43">
        <f>IF($J43&gt;MAX('Match Log'!$A$4:$A$311),NA(),IFERROR(LOOKUP(2,1/(('Match Log'!$D$4:$D$311=$K$24)*('Match Log'!$A$4:$A$311&lt;=$J43)),'Match Log'!$N$4:$N$311),NA()))</f>
        <v>1103.1658170072501</v>
      </c>
      <c r="L43" t="e">
        <f>IF($J43&gt;MAX('Match Log'!$A$4:$A$311),NA(),IFERROR(LOOKUP(2,1/(('Match Log'!$D$4:$D$311=$L$24)*('Match Log'!$A$4:$A$311&lt;=$J43)),'Match Log'!$N$4:$N$311),NA()))</f>
        <v>#N/A</v>
      </c>
      <c r="M43">
        <f>IF($J43&gt;MAX('Match Log'!$A$4:$A$311),NA(),IFERROR(LOOKUP(2,1/(('Match Log'!$D$4:$D$311=$M$24)*('Match Log'!$A$4:$A$311&lt;=$J43)),'Match Log'!$N$4:$N$311),NA()))</f>
        <v>985.53521130836305</v>
      </c>
      <c r="N43">
        <f>IF($J43&gt;MAX('Match Log'!$A$4:$A$311),NA(),IFERROR(LOOKUP(2,1/(('Match Log'!$D$4:$D$311=$N$24)*('Match Log'!$A$4:$A$311&lt;=$J43)),'Match Log'!$N$4:$N$311),NA()))</f>
        <v>1004.2142857142857</v>
      </c>
      <c r="O43">
        <f>IF($J43&gt;MAX('Match Log'!$A$4:$A$311),NA(),IFERROR(LOOKUP(2,1/(('Match Log'!$D$4:$D$311=$O$24)*('Match Log'!$A$4:$A$311&lt;=$J43)),'Match Log'!$N$4:$N$311),NA()))</f>
        <v>1062.1072831944462</v>
      </c>
      <c r="P43">
        <f>IF($J43&gt;MAX('Match Log'!$A$4:$A$311),NA(),IFERROR(LOOKUP(2,1/(('Match Log'!$D$4:$D$311=$P$24)*('Match Log'!$A$4:$A$311&lt;=$J43)),'Match Log'!$N$4:$N$311),NA()))</f>
        <v>1007.4743526549773</v>
      </c>
      <c r="Q43">
        <f>IF($J43&gt;MAX('Match Log'!$A$4:$A$311),NA(),IFERROR(LOOKUP(2,1/(('Match Log'!$D$4:$D$311=$Q$24)*('Match Log'!$A$4:$A$311&lt;=$J43)),'Match Log'!$N$4:$N$311),NA()))</f>
        <v>1004.2142857142857</v>
      </c>
      <c r="R43">
        <f>IF($J43&gt;MAX('Match Log'!$A$4:$A$311),NA(),IFERROR(LOOKUP(2,1/(('Match Log'!$D$4:$D$311=$R$24)*('Match Log'!$A$4:$A$311&lt;=$J43)),'Match Log'!$N$4:$N$311),NA()))</f>
        <v>974.09903021186199</v>
      </c>
      <c r="S43" t="e">
        <f>IF($J43&gt;MAX('Match Log'!$A$4:$A$311),NA(),IFERROR(LOOKUP(2,1/(('Match Log'!$D$4:$D$311=$S$24)*('Match Log'!$A$4:$A$311&lt;=$J43)),'Match Log'!$N$4:$N$311),NA()))</f>
        <v>#N/A</v>
      </c>
      <c r="T43">
        <f>IF($J43&gt;MAX('Match Log'!$A$4:$A$311),NA(),IFERROR(LOOKUP(2,1/(('Match Log'!$D$4:$D$311=$T$24)*('Match Log'!$A$4:$A$311&lt;=$J43)),'Match Log'!$N$4:$N$311),NA()))</f>
        <v>947.91625238930521</v>
      </c>
      <c r="U43">
        <f>IF($J43&gt;MAX('Match Log'!$A$4:$A$311),NA(),IFERROR(LOOKUP(2,1/(('Match Log'!$D$4:$D$311=$U$24)*('Match Log'!$A$4:$A$311&lt;=$J43)),'Match Log'!$N$4:$N$311),NA()))</f>
        <v>995.27348180522449</v>
      </c>
      <c r="V43" t="e">
        <f>IF($J43&gt;MAX('Match Log'!$A$4:$A$311),NA(),IFERROR(LOOKUP(2,1/(('Match Log'!$D$4:$D$311=$V$24)*('Match Log'!$A$4:$A$311&lt;=$J43)),'Match Log'!$N$4:$N$311),NA()))</f>
        <v>#N/A</v>
      </c>
      <c r="W43" t="e">
        <f>IF($J43&gt;MAX('Match Log'!$A$4:$A$311),NA(),IFERROR(LOOKUP(2,1/(('Match Log'!$D$4:$D$311=$W$24)*('Match Log'!$A$4:$A$311&lt;=$J43)),'Match Log'!$N$4:$N$311),NA()))</f>
        <v>#N/A</v>
      </c>
      <c r="X43" t="e">
        <f>IF($J43&gt;MAX('Match Log'!$A$4:$A$311),NA(),IFERROR(LOOKUP(2,1/(('Match Log'!$D$4:$D$311=$X$24)*('Match Log'!$A$4:$A$311&lt;=$J43)),'Match Log'!$N$4:$N$311),NA()))</f>
        <v>#N/A</v>
      </c>
      <c r="Y43" t="str">
        <f t="shared" ca="1" si="18"/>
        <v/>
      </c>
    </row>
    <row r="44" spans="1:25" ht="15" customHeight="1" x14ac:dyDescent="0.2">
      <c r="A44">
        <v>20</v>
      </c>
      <c r="B44" s="132">
        <f>IFERROR(INDEX('Match Log'!$B$4:$B$311,MATCH(20,'Match Log'!$A$4:$A$311,0)),"")</f>
        <v>46175</v>
      </c>
      <c r="C44" t="str">
        <f>IFERROR(INDEX('Match Log'!$C$4:$C$311,MATCH(20,'Match Log'!$A$4:$A$311,0)),"")</f>
        <v>Mario Kart</v>
      </c>
      <c r="D44" t="str">
        <f>IFERROR(INDEX('Match Log'!$G$4:$G$311,MATCH(20,'Match Log'!$A$4:$A$311,0)),"")</f>
        <v>Chase</v>
      </c>
      <c r="E44" s="133">
        <f>IFERROR(INDEX('Match Log'!$F$4:$F$311,MATCH(20,'Match Log'!$A$4:$A$311,0)),"")</f>
        <v>2</v>
      </c>
      <c r="F44">
        <f>IFERROR(SUMIFS('Match Log'!$I$4:$I$311,'Match Log'!$A$4:$A$311,20,'Match Log'!$E$4:$E$311,"Win"),"")</f>
        <v>0.5</v>
      </c>
      <c r="G44">
        <f t="shared" si="16"/>
        <v>0</v>
      </c>
      <c r="H44" t="str">
        <f>IFERROR(IF($E44=2,LOOKUP(2,1/(('Match Log'!$A$4:$A$311=20)*('Match Log'!$E$4:$E$311="Loss")),'Match Log'!$D$4:$D$311),"the field"),"")</f>
        <v>Daniel (Ferret)</v>
      </c>
      <c r="I44">
        <f t="shared" si="17"/>
        <v>-2.0000000000000002E-5</v>
      </c>
      <c r="J44">
        <v>20</v>
      </c>
      <c r="K44">
        <f>IF($J44&gt;MAX('Match Log'!$A$4:$A$311),NA(),IFERROR(LOOKUP(2,1/(('Match Log'!$D$4:$D$311=$K$24)*('Match Log'!$A$4:$A$311&lt;=$J44)),'Match Log'!$N$4:$N$311),NA()))</f>
        <v>1103.1658170072501</v>
      </c>
      <c r="L44" t="e">
        <f>IF($J44&gt;MAX('Match Log'!$A$4:$A$311),NA(),IFERROR(LOOKUP(2,1/(('Match Log'!$D$4:$D$311=$L$24)*('Match Log'!$A$4:$A$311&lt;=$J44)),'Match Log'!$N$4:$N$311),NA()))</f>
        <v>#N/A</v>
      </c>
      <c r="M44">
        <f>IF($J44&gt;MAX('Match Log'!$A$4:$A$311),NA(),IFERROR(LOOKUP(2,1/(('Match Log'!$D$4:$D$311=$M$24)*('Match Log'!$A$4:$A$311&lt;=$J44)),'Match Log'!$N$4:$N$311),NA()))</f>
        <v>1007.0087458273716</v>
      </c>
      <c r="N44">
        <f>IF($J44&gt;MAX('Match Log'!$A$4:$A$311),NA(),IFERROR(LOOKUP(2,1/(('Match Log'!$D$4:$D$311=$N$24)*('Match Log'!$A$4:$A$311&lt;=$J44)),'Match Log'!$N$4:$N$311),NA()))</f>
        <v>1004.2142857142857</v>
      </c>
      <c r="O44">
        <f>IF($J44&gt;MAX('Match Log'!$A$4:$A$311),NA(),IFERROR(LOOKUP(2,1/(('Match Log'!$D$4:$D$311=$O$24)*('Match Log'!$A$4:$A$311&lt;=$J44)),'Match Log'!$N$4:$N$311),NA()))</f>
        <v>1062.1072831944462</v>
      </c>
      <c r="P44">
        <f>IF($J44&gt;MAX('Match Log'!$A$4:$A$311),NA(),IFERROR(LOOKUP(2,1/(('Match Log'!$D$4:$D$311=$P$24)*('Match Log'!$A$4:$A$311&lt;=$J44)),'Match Log'!$N$4:$N$311),NA()))</f>
        <v>1007.4743526549773</v>
      </c>
      <c r="Q44">
        <f>IF($J44&gt;MAX('Match Log'!$A$4:$A$311),NA(),IFERROR(LOOKUP(2,1/(('Match Log'!$D$4:$D$311=$Q$24)*('Match Log'!$A$4:$A$311&lt;=$J44)),'Match Log'!$N$4:$N$311),NA()))</f>
        <v>1004.2142857142857</v>
      </c>
      <c r="R44">
        <f>IF($J44&gt;MAX('Match Log'!$A$4:$A$311),NA(),IFERROR(LOOKUP(2,1/(('Match Log'!$D$4:$D$311=$R$24)*('Match Log'!$A$4:$A$311&lt;=$J44)),'Match Log'!$N$4:$N$311),NA()))</f>
        <v>952.62549569285341</v>
      </c>
      <c r="S44" t="e">
        <f>IF($J44&gt;MAX('Match Log'!$A$4:$A$311),NA(),IFERROR(LOOKUP(2,1/(('Match Log'!$D$4:$D$311=$S$24)*('Match Log'!$A$4:$A$311&lt;=$J44)),'Match Log'!$N$4:$N$311),NA()))</f>
        <v>#N/A</v>
      </c>
      <c r="T44">
        <f>IF($J44&gt;MAX('Match Log'!$A$4:$A$311),NA(),IFERROR(LOOKUP(2,1/(('Match Log'!$D$4:$D$311=$T$24)*('Match Log'!$A$4:$A$311&lt;=$J44)),'Match Log'!$N$4:$N$311),NA()))</f>
        <v>947.91625238930521</v>
      </c>
      <c r="U44">
        <f>IF($J44&gt;MAX('Match Log'!$A$4:$A$311),NA(),IFERROR(LOOKUP(2,1/(('Match Log'!$D$4:$D$311=$U$24)*('Match Log'!$A$4:$A$311&lt;=$J44)),'Match Log'!$N$4:$N$311),NA()))</f>
        <v>995.27348180522449</v>
      </c>
      <c r="V44" t="e">
        <f>IF($J44&gt;MAX('Match Log'!$A$4:$A$311),NA(),IFERROR(LOOKUP(2,1/(('Match Log'!$D$4:$D$311=$V$24)*('Match Log'!$A$4:$A$311&lt;=$J44)),'Match Log'!$N$4:$N$311),NA()))</f>
        <v>#N/A</v>
      </c>
      <c r="W44" t="e">
        <f>IF($J44&gt;MAX('Match Log'!$A$4:$A$311),NA(),IFERROR(LOOKUP(2,1/(('Match Log'!$D$4:$D$311=$W$24)*('Match Log'!$A$4:$A$311&lt;=$J44)),'Match Log'!$N$4:$N$311),NA()))</f>
        <v>#N/A</v>
      </c>
      <c r="X44" t="e">
        <f>IF($J44&gt;MAX('Match Log'!$A$4:$A$311),NA(),IFERROR(LOOKUP(2,1/(('Match Log'!$D$4:$D$311=$X$24)*('Match Log'!$A$4:$A$311&lt;=$J44)),'Match Log'!$N$4:$N$311),NA()))</f>
        <v>#N/A</v>
      </c>
      <c r="Y44" t="str">
        <f t="shared" ca="1" si="18"/>
        <v/>
      </c>
    </row>
    <row r="45" spans="1:25" ht="15" customHeight="1" x14ac:dyDescent="0.2">
      <c r="A45">
        <v>21</v>
      </c>
      <c r="B45" s="132">
        <f>IFERROR(INDEX('Match Log'!$B$4:$B$311,MATCH(21,'Match Log'!$A$4:$A$311,0)),"")</f>
        <v>46175</v>
      </c>
      <c r="C45" t="str">
        <f>IFERROR(INDEX('Match Log'!$C$4:$C$311,MATCH(21,'Match Log'!$A$4:$A$311,0)),"")</f>
        <v>Mario Kart</v>
      </c>
      <c r="D45" t="str">
        <f>IFERROR(INDEX('Match Log'!$G$4:$G$311,MATCH(21,'Match Log'!$A$4:$A$311,0)),"")</f>
        <v>Chase</v>
      </c>
      <c r="E45" s="133">
        <f>IFERROR(INDEX('Match Log'!$F$4:$F$311,MATCH(21,'Match Log'!$A$4:$A$311,0)),"")</f>
        <v>2</v>
      </c>
      <c r="F45">
        <f>IFERROR(SUMIFS('Match Log'!$I$4:$I$311,'Match Log'!$A$4:$A$311,21,'Match Log'!$E$4:$E$311,"Win"),"")</f>
        <v>0.66666666666666663</v>
      </c>
      <c r="G45">
        <f t="shared" si="16"/>
        <v>-0.33333333333333326</v>
      </c>
      <c r="H45" t="str">
        <f>IFERROR(IF($E45=2,LOOKUP(2,1/(('Match Log'!$A$4:$A$311=21)*('Match Log'!$E$4:$E$311="Loss")),'Match Log'!$D$4:$D$311),"the field"),"")</f>
        <v>Daniel (Ferret)</v>
      </c>
      <c r="I45">
        <f t="shared" si="17"/>
        <v>-0.33335433333333325</v>
      </c>
      <c r="J45">
        <v>21</v>
      </c>
      <c r="K45">
        <f>IF($J45&gt;MAX('Match Log'!$A$4:$A$311),NA(),IFERROR(LOOKUP(2,1/(('Match Log'!$D$4:$D$311=$K$24)*('Match Log'!$A$4:$A$311&lt;=$J45)),'Match Log'!$N$4:$N$311),NA()))</f>
        <v>1103.1658170072501</v>
      </c>
      <c r="L45" t="e">
        <f>IF($J45&gt;MAX('Match Log'!$A$4:$A$311),NA(),IFERROR(LOOKUP(2,1/(('Match Log'!$D$4:$D$311=$L$24)*('Match Log'!$A$4:$A$311&lt;=$J45)),'Match Log'!$N$4:$N$311),NA()))</f>
        <v>#N/A</v>
      </c>
      <c r="M45">
        <f>IF($J45&gt;MAX('Match Log'!$A$4:$A$311),NA(),IFERROR(LOOKUP(2,1/(('Match Log'!$D$4:$D$311=$M$24)*('Match Log'!$A$4:$A$311&lt;=$J45)),'Match Log'!$N$4:$N$311),NA()))</f>
        <v>1024.6924897030115</v>
      </c>
      <c r="N45">
        <f>IF($J45&gt;MAX('Match Log'!$A$4:$A$311),NA(),IFERROR(LOOKUP(2,1/(('Match Log'!$D$4:$D$311=$N$24)*('Match Log'!$A$4:$A$311&lt;=$J45)),'Match Log'!$N$4:$N$311),NA()))</f>
        <v>1004.2142857142857</v>
      </c>
      <c r="O45">
        <f>IF($J45&gt;MAX('Match Log'!$A$4:$A$311),NA(),IFERROR(LOOKUP(2,1/(('Match Log'!$D$4:$D$311=$O$24)*('Match Log'!$A$4:$A$311&lt;=$J45)),'Match Log'!$N$4:$N$311),NA()))</f>
        <v>1062.1072831944462</v>
      </c>
      <c r="P45">
        <f>IF($J45&gt;MAX('Match Log'!$A$4:$A$311),NA(),IFERROR(LOOKUP(2,1/(('Match Log'!$D$4:$D$311=$P$24)*('Match Log'!$A$4:$A$311&lt;=$J45)),'Match Log'!$N$4:$N$311),NA()))</f>
        <v>1007.4743526549773</v>
      </c>
      <c r="Q45">
        <f>IF($J45&gt;MAX('Match Log'!$A$4:$A$311),NA(),IFERROR(LOOKUP(2,1/(('Match Log'!$D$4:$D$311=$Q$24)*('Match Log'!$A$4:$A$311&lt;=$J45)),'Match Log'!$N$4:$N$311),NA()))</f>
        <v>1004.2142857142857</v>
      </c>
      <c r="R45">
        <f>IF($J45&gt;MAX('Match Log'!$A$4:$A$311),NA(),IFERROR(LOOKUP(2,1/(('Match Log'!$D$4:$D$311=$R$24)*('Match Log'!$A$4:$A$311&lt;=$J45)),'Match Log'!$N$4:$N$311),NA()))</f>
        <v>934.94175181721369</v>
      </c>
      <c r="S45" t="e">
        <f>IF($J45&gt;MAX('Match Log'!$A$4:$A$311),NA(),IFERROR(LOOKUP(2,1/(('Match Log'!$D$4:$D$311=$S$24)*('Match Log'!$A$4:$A$311&lt;=$J45)),'Match Log'!$N$4:$N$311),NA()))</f>
        <v>#N/A</v>
      </c>
      <c r="T45">
        <f>IF($J45&gt;MAX('Match Log'!$A$4:$A$311),NA(),IFERROR(LOOKUP(2,1/(('Match Log'!$D$4:$D$311=$T$24)*('Match Log'!$A$4:$A$311&lt;=$J45)),'Match Log'!$N$4:$N$311),NA()))</f>
        <v>947.91625238930521</v>
      </c>
      <c r="U45">
        <f>IF($J45&gt;MAX('Match Log'!$A$4:$A$311),NA(),IFERROR(LOOKUP(2,1/(('Match Log'!$D$4:$D$311=$U$24)*('Match Log'!$A$4:$A$311&lt;=$J45)),'Match Log'!$N$4:$N$311),NA()))</f>
        <v>995.27348180522449</v>
      </c>
      <c r="V45" t="e">
        <f>IF($J45&gt;MAX('Match Log'!$A$4:$A$311),NA(),IFERROR(LOOKUP(2,1/(('Match Log'!$D$4:$D$311=$V$24)*('Match Log'!$A$4:$A$311&lt;=$J45)),'Match Log'!$N$4:$N$311),NA()))</f>
        <v>#N/A</v>
      </c>
      <c r="W45" t="e">
        <f>IF($J45&gt;MAX('Match Log'!$A$4:$A$311),NA(),IFERROR(LOOKUP(2,1/(('Match Log'!$D$4:$D$311=$W$24)*('Match Log'!$A$4:$A$311&lt;=$J45)),'Match Log'!$N$4:$N$311),NA()))</f>
        <v>#N/A</v>
      </c>
      <c r="X45" t="e">
        <f>IF($J45&gt;MAX('Match Log'!$A$4:$A$311),NA(),IFERROR(LOOKUP(2,1/(('Match Log'!$D$4:$D$311=$X$24)*('Match Log'!$A$4:$A$311&lt;=$J45)),'Match Log'!$N$4:$N$311),NA()))</f>
        <v>#N/A</v>
      </c>
      <c r="Y45" t="str">
        <f t="shared" ca="1" si="18"/>
        <v/>
      </c>
    </row>
    <row r="46" spans="1:25" ht="15" customHeight="1" x14ac:dyDescent="0.2">
      <c r="A46">
        <v>22</v>
      </c>
      <c r="B46" s="132">
        <f>IFERROR(INDEX('Match Log'!$B$4:$B$311,MATCH(22,'Match Log'!$A$4:$A$311,0)),"")</f>
        <v>46175</v>
      </c>
      <c r="C46" t="str">
        <f>IFERROR(INDEX('Match Log'!$C$4:$C$311,MATCH(22,'Match Log'!$A$4:$A$311,0)),"")</f>
        <v>Mario Kart</v>
      </c>
      <c r="D46" t="str">
        <f>IFERROR(INDEX('Match Log'!$G$4:$G$311,MATCH(22,'Match Log'!$A$4:$A$311,0)),"")</f>
        <v>Chase</v>
      </c>
      <c r="E46" s="133">
        <f>IFERROR(INDEX('Match Log'!$F$4:$F$311,MATCH(22,'Match Log'!$A$4:$A$311,0)),"")</f>
        <v>2</v>
      </c>
      <c r="F46">
        <f>IFERROR(SUMIFS('Match Log'!$I$4:$I$311,'Match Log'!$A$4:$A$311,22,'Match Log'!$E$4:$E$311,"Win"),"")</f>
        <v>0.75</v>
      </c>
      <c r="G46">
        <f t="shared" si="16"/>
        <v>-0.5</v>
      </c>
      <c r="H46" t="str">
        <f>IFERROR(IF($E46=2,LOOKUP(2,1/(('Match Log'!$A$4:$A$311=22)*('Match Log'!$E$4:$E$311="Loss")),'Match Log'!$D$4:$D$311),"the field"),"")</f>
        <v>Daniel (Ferret)</v>
      </c>
      <c r="I46">
        <f t="shared" si="17"/>
        <v>-0.50002199999999997</v>
      </c>
      <c r="J46">
        <v>22</v>
      </c>
      <c r="K46">
        <f>IF($J46&gt;MAX('Match Log'!$A$4:$A$311),NA(),IFERROR(LOOKUP(2,1/(('Match Log'!$D$4:$D$311=$K$24)*('Match Log'!$A$4:$A$311&lt;=$J46)),'Match Log'!$N$4:$N$311),NA()))</f>
        <v>1103.1658170072501</v>
      </c>
      <c r="L46" t="e">
        <f>IF($J46&gt;MAX('Match Log'!$A$4:$A$311),NA(),IFERROR(LOOKUP(2,1/(('Match Log'!$D$4:$D$311=$L$24)*('Match Log'!$A$4:$A$311&lt;=$J46)),'Match Log'!$N$4:$N$311),NA()))</f>
        <v>#N/A</v>
      </c>
      <c r="M46">
        <f>IF($J46&gt;MAX('Match Log'!$A$4:$A$311),NA(),IFERROR(LOOKUP(2,1/(('Match Log'!$D$4:$D$311=$M$24)*('Match Log'!$A$4:$A$311&lt;=$J46)),'Match Log'!$N$4:$N$311),NA()))</f>
        <v>1040.0042947241618</v>
      </c>
      <c r="N46">
        <f>IF($J46&gt;MAX('Match Log'!$A$4:$A$311),NA(),IFERROR(LOOKUP(2,1/(('Match Log'!$D$4:$D$311=$N$24)*('Match Log'!$A$4:$A$311&lt;=$J46)),'Match Log'!$N$4:$N$311),NA()))</f>
        <v>1004.2142857142857</v>
      </c>
      <c r="O46">
        <f>IF($J46&gt;MAX('Match Log'!$A$4:$A$311),NA(),IFERROR(LOOKUP(2,1/(('Match Log'!$D$4:$D$311=$O$24)*('Match Log'!$A$4:$A$311&lt;=$J46)),'Match Log'!$N$4:$N$311),NA()))</f>
        <v>1062.1072831944462</v>
      </c>
      <c r="P46">
        <f>IF($J46&gt;MAX('Match Log'!$A$4:$A$311),NA(),IFERROR(LOOKUP(2,1/(('Match Log'!$D$4:$D$311=$P$24)*('Match Log'!$A$4:$A$311&lt;=$J46)),'Match Log'!$N$4:$N$311),NA()))</f>
        <v>1007.4743526549773</v>
      </c>
      <c r="Q46">
        <f>IF($J46&gt;MAX('Match Log'!$A$4:$A$311),NA(),IFERROR(LOOKUP(2,1/(('Match Log'!$D$4:$D$311=$Q$24)*('Match Log'!$A$4:$A$311&lt;=$J46)),'Match Log'!$N$4:$N$311),NA()))</f>
        <v>1004.2142857142857</v>
      </c>
      <c r="R46">
        <f>IF($J46&gt;MAX('Match Log'!$A$4:$A$311),NA(),IFERROR(LOOKUP(2,1/(('Match Log'!$D$4:$D$311=$R$24)*('Match Log'!$A$4:$A$311&lt;=$J46)),'Match Log'!$N$4:$N$311),NA()))</f>
        <v>919.62994679606345</v>
      </c>
      <c r="S46" t="e">
        <f>IF($J46&gt;MAX('Match Log'!$A$4:$A$311),NA(),IFERROR(LOOKUP(2,1/(('Match Log'!$D$4:$D$311=$S$24)*('Match Log'!$A$4:$A$311&lt;=$J46)),'Match Log'!$N$4:$N$311),NA()))</f>
        <v>#N/A</v>
      </c>
      <c r="T46">
        <f>IF($J46&gt;MAX('Match Log'!$A$4:$A$311),NA(),IFERROR(LOOKUP(2,1/(('Match Log'!$D$4:$D$311=$T$24)*('Match Log'!$A$4:$A$311&lt;=$J46)),'Match Log'!$N$4:$N$311),NA()))</f>
        <v>947.91625238930521</v>
      </c>
      <c r="U46">
        <f>IF($J46&gt;MAX('Match Log'!$A$4:$A$311),NA(),IFERROR(LOOKUP(2,1/(('Match Log'!$D$4:$D$311=$U$24)*('Match Log'!$A$4:$A$311&lt;=$J46)),'Match Log'!$N$4:$N$311),NA()))</f>
        <v>995.27348180522449</v>
      </c>
      <c r="V46" t="e">
        <f>IF($J46&gt;MAX('Match Log'!$A$4:$A$311),NA(),IFERROR(LOOKUP(2,1/(('Match Log'!$D$4:$D$311=$V$24)*('Match Log'!$A$4:$A$311&lt;=$J46)),'Match Log'!$N$4:$N$311),NA()))</f>
        <v>#N/A</v>
      </c>
      <c r="W46" t="e">
        <f>IF($J46&gt;MAX('Match Log'!$A$4:$A$311),NA(),IFERROR(LOOKUP(2,1/(('Match Log'!$D$4:$D$311=$W$24)*('Match Log'!$A$4:$A$311&lt;=$J46)),'Match Log'!$N$4:$N$311),NA()))</f>
        <v>#N/A</v>
      </c>
      <c r="X46" t="e">
        <f>IF($J46&gt;MAX('Match Log'!$A$4:$A$311),NA(),IFERROR(LOOKUP(2,1/(('Match Log'!$D$4:$D$311=$X$24)*('Match Log'!$A$4:$A$311&lt;=$J46)),'Match Log'!$N$4:$N$311),NA()))</f>
        <v>#N/A</v>
      </c>
      <c r="Y46" t="str">
        <f t="shared" ca="1" si="18"/>
        <v/>
      </c>
    </row>
    <row r="47" spans="1:25" ht="15" customHeight="1" x14ac:dyDescent="0.2">
      <c r="A47">
        <v>23</v>
      </c>
      <c r="B47" s="132">
        <f>IFERROR(INDEX('Match Log'!$B$4:$B$311,MATCH(23,'Match Log'!$A$4:$A$311,0)),"")</f>
        <v>46175</v>
      </c>
      <c r="C47" t="str">
        <f>IFERROR(INDEX('Match Log'!$C$4:$C$311,MATCH(23,'Match Log'!$A$4:$A$311,0)),"")</f>
        <v>Mario Kart</v>
      </c>
      <c r="D47" t="str">
        <f>IFERROR(INDEX('Match Log'!$G$4:$G$311,MATCH(23,'Match Log'!$A$4:$A$311,0)),"")</f>
        <v>Chase</v>
      </c>
      <c r="E47" s="133">
        <f>IFERROR(INDEX('Match Log'!$F$4:$F$311,MATCH(23,'Match Log'!$A$4:$A$311,0)),"")</f>
        <v>2</v>
      </c>
      <c r="F47">
        <f>IFERROR(SUMIFS('Match Log'!$I$4:$I$311,'Match Log'!$A$4:$A$311,23,'Match Log'!$E$4:$E$311,"Win"),"")</f>
        <v>0.8</v>
      </c>
      <c r="G47">
        <f t="shared" si="16"/>
        <v>-0.60000000000000009</v>
      </c>
      <c r="H47" t="str">
        <f>IFERROR(IF($E47=2,LOOKUP(2,1/(('Match Log'!$A$4:$A$311=23)*('Match Log'!$E$4:$E$311="Loss")),'Match Log'!$D$4:$D$311),"the field"),"")</f>
        <v>Daniel (Ferret)</v>
      </c>
      <c r="I47">
        <f t="shared" si="17"/>
        <v>-0.60002300000000008</v>
      </c>
      <c r="J47">
        <v>23</v>
      </c>
      <c r="K47">
        <f>IF($J47&gt;MAX('Match Log'!$A$4:$A$311),NA(),IFERROR(LOOKUP(2,1/(('Match Log'!$D$4:$D$311=$K$24)*('Match Log'!$A$4:$A$311&lt;=$J47)),'Match Log'!$N$4:$N$311),NA()))</f>
        <v>1103.1658170072501</v>
      </c>
      <c r="L47" t="e">
        <f>IF($J47&gt;MAX('Match Log'!$A$4:$A$311),NA(),IFERROR(LOOKUP(2,1/(('Match Log'!$D$4:$D$311=$L$24)*('Match Log'!$A$4:$A$311&lt;=$J47)),'Match Log'!$N$4:$N$311),NA()))</f>
        <v>#N/A</v>
      </c>
      <c r="M47">
        <f>IF($J47&gt;MAX('Match Log'!$A$4:$A$311),NA(),IFERROR(LOOKUP(2,1/(('Match Log'!$D$4:$D$311=$M$24)*('Match Log'!$A$4:$A$311&lt;=$J47)),'Match Log'!$N$4:$N$311),NA()))</f>
        <v>1053.58309096217</v>
      </c>
      <c r="N47">
        <f>IF($J47&gt;MAX('Match Log'!$A$4:$A$311),NA(),IFERROR(LOOKUP(2,1/(('Match Log'!$D$4:$D$311=$N$24)*('Match Log'!$A$4:$A$311&lt;=$J47)),'Match Log'!$N$4:$N$311),NA()))</f>
        <v>1004.2142857142857</v>
      </c>
      <c r="O47">
        <f>IF($J47&gt;MAX('Match Log'!$A$4:$A$311),NA(),IFERROR(LOOKUP(2,1/(('Match Log'!$D$4:$D$311=$O$24)*('Match Log'!$A$4:$A$311&lt;=$J47)),'Match Log'!$N$4:$N$311),NA()))</f>
        <v>1062.1072831944462</v>
      </c>
      <c r="P47">
        <f>IF($J47&gt;MAX('Match Log'!$A$4:$A$311),NA(),IFERROR(LOOKUP(2,1/(('Match Log'!$D$4:$D$311=$P$24)*('Match Log'!$A$4:$A$311&lt;=$J47)),'Match Log'!$N$4:$N$311),NA()))</f>
        <v>1007.4743526549773</v>
      </c>
      <c r="Q47">
        <f>IF($J47&gt;MAX('Match Log'!$A$4:$A$311),NA(),IFERROR(LOOKUP(2,1/(('Match Log'!$D$4:$D$311=$Q$24)*('Match Log'!$A$4:$A$311&lt;=$J47)),'Match Log'!$N$4:$N$311),NA()))</f>
        <v>1004.2142857142857</v>
      </c>
      <c r="R47">
        <f>IF($J47&gt;MAX('Match Log'!$A$4:$A$311),NA(),IFERROR(LOOKUP(2,1/(('Match Log'!$D$4:$D$311=$R$24)*('Match Log'!$A$4:$A$311&lt;=$J47)),'Match Log'!$N$4:$N$311),NA()))</f>
        <v>906.05115055805538</v>
      </c>
      <c r="S47" t="e">
        <f>IF($J47&gt;MAX('Match Log'!$A$4:$A$311),NA(),IFERROR(LOOKUP(2,1/(('Match Log'!$D$4:$D$311=$S$24)*('Match Log'!$A$4:$A$311&lt;=$J47)),'Match Log'!$N$4:$N$311),NA()))</f>
        <v>#N/A</v>
      </c>
      <c r="T47">
        <f>IF($J47&gt;MAX('Match Log'!$A$4:$A$311),NA(),IFERROR(LOOKUP(2,1/(('Match Log'!$D$4:$D$311=$T$24)*('Match Log'!$A$4:$A$311&lt;=$J47)),'Match Log'!$N$4:$N$311),NA()))</f>
        <v>947.91625238930521</v>
      </c>
      <c r="U47">
        <f>IF($J47&gt;MAX('Match Log'!$A$4:$A$311),NA(),IFERROR(LOOKUP(2,1/(('Match Log'!$D$4:$D$311=$U$24)*('Match Log'!$A$4:$A$311&lt;=$J47)),'Match Log'!$N$4:$N$311),NA()))</f>
        <v>995.27348180522449</v>
      </c>
      <c r="V47" t="e">
        <f>IF($J47&gt;MAX('Match Log'!$A$4:$A$311),NA(),IFERROR(LOOKUP(2,1/(('Match Log'!$D$4:$D$311=$V$24)*('Match Log'!$A$4:$A$311&lt;=$J47)),'Match Log'!$N$4:$N$311),NA()))</f>
        <v>#N/A</v>
      </c>
      <c r="W47" t="e">
        <f>IF($J47&gt;MAX('Match Log'!$A$4:$A$311),NA(),IFERROR(LOOKUP(2,1/(('Match Log'!$D$4:$D$311=$W$24)*('Match Log'!$A$4:$A$311&lt;=$J47)),'Match Log'!$N$4:$N$311),NA()))</f>
        <v>#N/A</v>
      </c>
      <c r="X47" t="e">
        <f>IF($J47&gt;MAX('Match Log'!$A$4:$A$311),NA(),IFERROR(LOOKUP(2,1/(('Match Log'!$D$4:$D$311=$X$24)*('Match Log'!$A$4:$A$311&lt;=$J47)),'Match Log'!$N$4:$N$311),NA()))</f>
        <v>#N/A</v>
      </c>
      <c r="Y47" t="str">
        <f t="shared" ca="1" si="18"/>
        <v/>
      </c>
    </row>
    <row r="48" spans="1:25" ht="15" customHeight="1" x14ac:dyDescent="0.2">
      <c r="A48">
        <v>24</v>
      </c>
      <c r="B48" s="132">
        <f>IFERROR(INDEX('Match Log'!$B$4:$B$311,MATCH(24,'Match Log'!$A$4:$A$311,0)),"")</f>
        <v>46175</v>
      </c>
      <c r="C48" t="str">
        <f>IFERROR(INDEX('Match Log'!$C$4:$C$311,MATCH(24,'Match Log'!$A$4:$A$311,0)),"")</f>
        <v>Table Tennis</v>
      </c>
      <c r="D48" t="str">
        <f>IFERROR(INDEX('Match Log'!$G$4:$G$311,MATCH(24,'Match Log'!$A$4:$A$311,0)),"")</f>
        <v>Josh</v>
      </c>
      <c r="E48" s="133">
        <f>IFERROR(INDEX('Match Log'!$F$4:$F$311,MATCH(24,'Match Log'!$A$4:$A$311,0)),"")</f>
        <v>2</v>
      </c>
      <c r="F48">
        <f>IFERROR(SUMIFS('Match Log'!$I$4:$I$311,'Match Log'!$A$4:$A$311,24,'Match Log'!$E$4:$E$311,"Win"),"")</f>
        <v>0.8</v>
      </c>
      <c r="G48">
        <f t="shared" si="16"/>
        <v>-0.60000000000000009</v>
      </c>
      <c r="H48" t="str">
        <f>IFERROR(IF($E48=2,LOOKUP(2,1/(('Match Log'!$A$4:$A$311=24)*('Match Log'!$E$4:$E$311="Loss")),'Match Log'!$D$4:$D$311),"the field"),"")</f>
        <v>Daniel (Ferret)</v>
      </c>
      <c r="I48">
        <f t="shared" si="17"/>
        <v>-0.60002400000000011</v>
      </c>
      <c r="J48">
        <v>24</v>
      </c>
      <c r="K48">
        <f>IF($J48&gt;MAX('Match Log'!$A$4:$A$311),NA(),IFERROR(LOOKUP(2,1/(('Match Log'!$D$4:$D$311=$K$24)*('Match Log'!$A$4:$A$311&lt;=$J48)),'Match Log'!$N$4:$N$311),NA()))</f>
        <v>1103.1658170072501</v>
      </c>
      <c r="L48" t="e">
        <f>IF($J48&gt;MAX('Match Log'!$A$4:$A$311),NA(),IFERROR(LOOKUP(2,1/(('Match Log'!$D$4:$D$311=$L$24)*('Match Log'!$A$4:$A$311&lt;=$J48)),'Match Log'!$N$4:$N$311),NA()))</f>
        <v>#N/A</v>
      </c>
      <c r="M48">
        <f>IF($J48&gt;MAX('Match Log'!$A$4:$A$311),NA(),IFERROR(LOOKUP(2,1/(('Match Log'!$D$4:$D$311=$M$24)*('Match Log'!$A$4:$A$311&lt;=$J48)),'Match Log'!$N$4:$N$311),NA()))</f>
        <v>1053.58309096217</v>
      </c>
      <c r="N48">
        <f>IF($J48&gt;MAX('Match Log'!$A$4:$A$311),NA(),IFERROR(LOOKUP(2,1/(('Match Log'!$D$4:$D$311=$N$24)*('Match Log'!$A$4:$A$311&lt;=$J48)),'Match Log'!$N$4:$N$311),NA()))</f>
        <v>1004.2142857142857</v>
      </c>
      <c r="O48">
        <f>IF($J48&gt;MAX('Match Log'!$A$4:$A$311),NA(),IFERROR(LOOKUP(2,1/(('Match Log'!$D$4:$D$311=$O$24)*('Match Log'!$A$4:$A$311&lt;=$J48)),'Match Log'!$N$4:$N$311),NA()))</f>
        <v>1074.7712735502491</v>
      </c>
      <c r="P48">
        <f>IF($J48&gt;MAX('Match Log'!$A$4:$A$311),NA(),IFERROR(LOOKUP(2,1/(('Match Log'!$D$4:$D$311=$P$24)*('Match Log'!$A$4:$A$311&lt;=$J48)),'Match Log'!$N$4:$N$311),NA()))</f>
        <v>1007.4743526549773</v>
      </c>
      <c r="Q48">
        <f>IF($J48&gt;MAX('Match Log'!$A$4:$A$311),NA(),IFERROR(LOOKUP(2,1/(('Match Log'!$D$4:$D$311=$Q$24)*('Match Log'!$A$4:$A$311&lt;=$J48)),'Match Log'!$N$4:$N$311),NA()))</f>
        <v>1004.2142857142857</v>
      </c>
      <c r="R48">
        <f>IF($J48&gt;MAX('Match Log'!$A$4:$A$311),NA(),IFERROR(LOOKUP(2,1/(('Match Log'!$D$4:$D$311=$R$24)*('Match Log'!$A$4:$A$311&lt;=$J48)),'Match Log'!$N$4:$N$311),NA()))</f>
        <v>893.3871602022524</v>
      </c>
      <c r="S48" t="e">
        <f>IF($J48&gt;MAX('Match Log'!$A$4:$A$311),NA(),IFERROR(LOOKUP(2,1/(('Match Log'!$D$4:$D$311=$S$24)*('Match Log'!$A$4:$A$311&lt;=$J48)),'Match Log'!$N$4:$N$311),NA()))</f>
        <v>#N/A</v>
      </c>
      <c r="T48">
        <f>IF($J48&gt;MAX('Match Log'!$A$4:$A$311),NA(),IFERROR(LOOKUP(2,1/(('Match Log'!$D$4:$D$311=$T$24)*('Match Log'!$A$4:$A$311&lt;=$J48)),'Match Log'!$N$4:$N$311),NA()))</f>
        <v>947.91625238930521</v>
      </c>
      <c r="U48">
        <f>IF($J48&gt;MAX('Match Log'!$A$4:$A$311),NA(),IFERROR(LOOKUP(2,1/(('Match Log'!$D$4:$D$311=$U$24)*('Match Log'!$A$4:$A$311&lt;=$J48)),'Match Log'!$N$4:$N$311),NA()))</f>
        <v>995.27348180522449</v>
      </c>
      <c r="V48" t="e">
        <f>IF($J48&gt;MAX('Match Log'!$A$4:$A$311),NA(),IFERROR(LOOKUP(2,1/(('Match Log'!$D$4:$D$311=$V$24)*('Match Log'!$A$4:$A$311&lt;=$J48)),'Match Log'!$N$4:$N$311),NA()))</f>
        <v>#N/A</v>
      </c>
      <c r="W48" t="e">
        <f>IF($J48&gt;MAX('Match Log'!$A$4:$A$311),NA(),IFERROR(LOOKUP(2,1/(('Match Log'!$D$4:$D$311=$W$24)*('Match Log'!$A$4:$A$311&lt;=$J48)),'Match Log'!$N$4:$N$311),NA()))</f>
        <v>#N/A</v>
      </c>
      <c r="X48" t="e">
        <f>IF($J48&gt;MAX('Match Log'!$A$4:$A$311),NA(),IFERROR(LOOKUP(2,1/(('Match Log'!$D$4:$D$311=$X$24)*('Match Log'!$A$4:$A$311&lt;=$J48)),'Match Log'!$N$4:$N$311),NA()))</f>
        <v>#N/A</v>
      </c>
      <c r="Y48" t="str">
        <f t="shared" ca="1" si="18"/>
        <v/>
      </c>
    </row>
    <row r="49" spans="1:25" ht="15" customHeight="1" x14ac:dyDescent="0.2">
      <c r="A49">
        <v>25</v>
      </c>
      <c r="B49" s="132">
        <f>IFERROR(INDEX('Match Log'!$B$4:$B$311,MATCH(25,'Match Log'!$A$4:$A$311,0)),"")</f>
        <v>46175</v>
      </c>
      <c r="C49" t="str">
        <f>IFERROR(INDEX('Match Log'!$C$4:$C$311,MATCH(25,'Match Log'!$A$4:$A$311,0)),"")</f>
        <v>Table Tennis</v>
      </c>
      <c r="D49" t="str">
        <f>IFERROR(INDEX('Match Log'!$G$4:$G$311,MATCH(25,'Match Log'!$A$4:$A$311,0)),"")</f>
        <v>Josh</v>
      </c>
      <c r="E49" s="133">
        <f>IFERROR(INDEX('Match Log'!$F$4:$F$311,MATCH(25,'Match Log'!$A$4:$A$311,0)),"")</f>
        <v>2</v>
      </c>
      <c r="F49">
        <f>IFERROR(SUMIFS('Match Log'!$I$4:$I$311,'Match Log'!$A$4:$A$311,25,'Match Log'!$E$4:$E$311,"Win"),"")</f>
        <v>0.625</v>
      </c>
      <c r="G49">
        <f t="shared" si="16"/>
        <v>-0.25</v>
      </c>
      <c r="H49" t="str">
        <f>IFERROR(IF($E49=2,LOOKUP(2,1/(('Match Log'!$A$4:$A$311=25)*('Match Log'!$E$4:$E$311="Loss")),'Match Log'!$D$4:$D$311),"the field"),"")</f>
        <v>David</v>
      </c>
      <c r="I49">
        <f t="shared" si="17"/>
        <v>-0.250025</v>
      </c>
      <c r="J49">
        <v>25</v>
      </c>
      <c r="K49">
        <f>IF($J49&gt;MAX('Match Log'!$A$4:$A$311),NA(),IFERROR(LOOKUP(2,1/(('Match Log'!$D$4:$D$311=$K$24)*('Match Log'!$A$4:$A$311&lt;=$J49)),'Match Log'!$N$4:$N$311),NA()))</f>
        <v>1103.1658170072501</v>
      </c>
      <c r="L49" t="e">
        <f>IF($J49&gt;MAX('Match Log'!$A$4:$A$311),NA(),IFERROR(LOOKUP(2,1/(('Match Log'!$D$4:$D$311=$L$24)*('Match Log'!$A$4:$A$311&lt;=$J49)),'Match Log'!$N$4:$N$311),NA()))</f>
        <v>#N/A</v>
      </c>
      <c r="M49">
        <f>IF($J49&gt;MAX('Match Log'!$A$4:$A$311),NA(),IFERROR(LOOKUP(2,1/(('Match Log'!$D$4:$D$311=$M$24)*('Match Log'!$A$4:$A$311&lt;=$J49)),'Match Log'!$N$4:$N$311),NA()))</f>
        <v>1053.58309096217</v>
      </c>
      <c r="N49">
        <f>IF($J49&gt;MAX('Match Log'!$A$4:$A$311),NA(),IFERROR(LOOKUP(2,1/(('Match Log'!$D$4:$D$311=$N$24)*('Match Log'!$A$4:$A$311&lt;=$J49)),'Match Log'!$N$4:$N$311),NA()))</f>
        <v>986.54517398256769</v>
      </c>
      <c r="O49">
        <f>IF($J49&gt;MAX('Match Log'!$A$4:$A$311),NA(),IFERROR(LOOKUP(2,1/(('Match Log'!$D$4:$D$311=$O$24)*('Match Log'!$A$4:$A$311&lt;=$J49)),'Match Log'!$N$4:$N$311),NA()))</f>
        <v>1092.4403852819671</v>
      </c>
      <c r="P49">
        <f>IF($J49&gt;MAX('Match Log'!$A$4:$A$311),NA(),IFERROR(LOOKUP(2,1/(('Match Log'!$D$4:$D$311=$P$24)*('Match Log'!$A$4:$A$311&lt;=$J49)),'Match Log'!$N$4:$N$311),NA()))</f>
        <v>1007.4743526549773</v>
      </c>
      <c r="Q49">
        <f>IF($J49&gt;MAX('Match Log'!$A$4:$A$311),NA(),IFERROR(LOOKUP(2,1/(('Match Log'!$D$4:$D$311=$Q$24)*('Match Log'!$A$4:$A$311&lt;=$J49)),'Match Log'!$N$4:$N$311),NA()))</f>
        <v>1004.2142857142857</v>
      </c>
      <c r="R49">
        <f>IF($J49&gt;MAX('Match Log'!$A$4:$A$311),NA(),IFERROR(LOOKUP(2,1/(('Match Log'!$D$4:$D$311=$R$24)*('Match Log'!$A$4:$A$311&lt;=$J49)),'Match Log'!$N$4:$N$311),NA()))</f>
        <v>893.3871602022524</v>
      </c>
      <c r="S49" t="e">
        <f>IF($J49&gt;MAX('Match Log'!$A$4:$A$311),NA(),IFERROR(LOOKUP(2,1/(('Match Log'!$D$4:$D$311=$S$24)*('Match Log'!$A$4:$A$311&lt;=$J49)),'Match Log'!$N$4:$N$311),NA()))</f>
        <v>#N/A</v>
      </c>
      <c r="T49">
        <f>IF($J49&gt;MAX('Match Log'!$A$4:$A$311),NA(),IFERROR(LOOKUP(2,1/(('Match Log'!$D$4:$D$311=$T$24)*('Match Log'!$A$4:$A$311&lt;=$J49)),'Match Log'!$N$4:$N$311),NA()))</f>
        <v>947.91625238930521</v>
      </c>
      <c r="U49">
        <f>IF($J49&gt;MAX('Match Log'!$A$4:$A$311),NA(),IFERROR(LOOKUP(2,1/(('Match Log'!$D$4:$D$311=$U$24)*('Match Log'!$A$4:$A$311&lt;=$J49)),'Match Log'!$N$4:$N$311),NA()))</f>
        <v>995.27348180522449</v>
      </c>
      <c r="V49" t="e">
        <f>IF($J49&gt;MAX('Match Log'!$A$4:$A$311),NA(),IFERROR(LOOKUP(2,1/(('Match Log'!$D$4:$D$311=$V$24)*('Match Log'!$A$4:$A$311&lt;=$J49)),'Match Log'!$N$4:$N$311),NA()))</f>
        <v>#N/A</v>
      </c>
      <c r="W49" t="e">
        <f>IF($J49&gt;MAX('Match Log'!$A$4:$A$311),NA(),IFERROR(LOOKUP(2,1/(('Match Log'!$D$4:$D$311=$W$24)*('Match Log'!$A$4:$A$311&lt;=$J49)),'Match Log'!$N$4:$N$311),NA()))</f>
        <v>#N/A</v>
      </c>
      <c r="X49" t="e">
        <f>IF($J49&gt;MAX('Match Log'!$A$4:$A$311),NA(),IFERROR(LOOKUP(2,1/(('Match Log'!$D$4:$D$311=$X$24)*('Match Log'!$A$4:$A$311&lt;=$J49)),'Match Log'!$N$4:$N$311),NA()))</f>
        <v>#N/A</v>
      </c>
      <c r="Y49" t="str">
        <f t="shared" ca="1" si="18"/>
        <v/>
      </c>
    </row>
    <row r="50" spans="1:25" ht="15" customHeight="1" x14ac:dyDescent="0.2">
      <c r="A50">
        <v>26</v>
      </c>
      <c r="B50" s="132">
        <f>IFERROR(INDEX('Match Log'!$B$4:$B$311,MATCH(26,'Match Log'!$A$4:$A$311,0)),"")</f>
        <v>46175</v>
      </c>
      <c r="C50" t="str">
        <f>IFERROR(INDEX('Match Log'!$C$4:$C$311,MATCH(26,'Match Log'!$A$4:$A$311,0)),"")</f>
        <v>Table Tennis</v>
      </c>
      <c r="D50" t="str">
        <f>IFERROR(INDEX('Match Log'!$G$4:$G$311,MATCH(26,'Match Log'!$A$4:$A$311,0)),"")</f>
        <v>Daniel (Ferret)</v>
      </c>
      <c r="E50" s="133">
        <f>IFERROR(INDEX('Match Log'!$F$4:$F$311,MATCH(26,'Match Log'!$A$4:$A$311,0)),"")</f>
        <v>2</v>
      </c>
      <c r="F50">
        <f>IFERROR(SUMIFS('Match Log'!$I$4:$I$311,'Match Log'!$A$4:$A$311,26,'Match Log'!$E$4:$E$311,"Win"),"")</f>
        <v>0.33333333333333331</v>
      </c>
      <c r="G50">
        <f t="shared" si="16"/>
        <v>0.33333333333333337</v>
      </c>
      <c r="H50" t="str">
        <f>IFERROR(IF($E50=2,LOOKUP(2,1/(('Match Log'!$A$4:$A$311=26)*('Match Log'!$E$4:$E$311="Loss")),'Match Log'!$D$4:$D$311),"the field"),"")</f>
        <v>David</v>
      </c>
      <c r="I50">
        <f t="shared" si="17"/>
        <v>0.33330733333333334</v>
      </c>
      <c r="J50">
        <v>26</v>
      </c>
      <c r="K50">
        <f>IF($J50&gt;MAX('Match Log'!$A$4:$A$311),NA(),IFERROR(LOOKUP(2,1/(('Match Log'!$D$4:$D$311=$K$24)*('Match Log'!$A$4:$A$311&lt;=$J50)),'Match Log'!$N$4:$N$311),NA()))</f>
        <v>1103.1658170072501</v>
      </c>
      <c r="L50" t="e">
        <f>IF($J50&gt;MAX('Match Log'!$A$4:$A$311),NA(),IFERROR(LOOKUP(2,1/(('Match Log'!$D$4:$D$311=$L$24)*('Match Log'!$A$4:$A$311&lt;=$J50)),'Match Log'!$N$4:$N$311),NA()))</f>
        <v>#N/A</v>
      </c>
      <c r="M50">
        <f>IF($J50&gt;MAX('Match Log'!$A$4:$A$311),NA(),IFERROR(LOOKUP(2,1/(('Match Log'!$D$4:$D$311=$M$24)*('Match Log'!$A$4:$A$311&lt;=$J50)),'Match Log'!$N$4:$N$311),NA()))</f>
        <v>1053.58309096217</v>
      </c>
      <c r="N50">
        <f>IF($J50&gt;MAX('Match Log'!$A$4:$A$311),NA(),IFERROR(LOOKUP(2,1/(('Match Log'!$D$4:$D$311=$N$24)*('Match Log'!$A$4:$A$311&lt;=$J50)),'Match Log'!$N$4:$N$311),NA()))</f>
        <v>959.33903410060668</v>
      </c>
      <c r="O50">
        <f>IF($J50&gt;MAX('Match Log'!$A$4:$A$311),NA(),IFERROR(LOOKUP(2,1/(('Match Log'!$D$4:$D$311=$O$24)*('Match Log'!$A$4:$A$311&lt;=$J50)),'Match Log'!$N$4:$N$311),NA()))</f>
        <v>1092.4403852819671</v>
      </c>
      <c r="P50">
        <f>IF($J50&gt;MAX('Match Log'!$A$4:$A$311),NA(),IFERROR(LOOKUP(2,1/(('Match Log'!$D$4:$D$311=$P$24)*('Match Log'!$A$4:$A$311&lt;=$J50)),'Match Log'!$N$4:$N$311),NA()))</f>
        <v>1007.4743526549773</v>
      </c>
      <c r="Q50">
        <f>IF($J50&gt;MAX('Match Log'!$A$4:$A$311),NA(),IFERROR(LOOKUP(2,1/(('Match Log'!$D$4:$D$311=$Q$24)*('Match Log'!$A$4:$A$311&lt;=$J50)),'Match Log'!$N$4:$N$311),NA()))</f>
        <v>1004.2142857142857</v>
      </c>
      <c r="R50">
        <f>IF($J50&gt;MAX('Match Log'!$A$4:$A$311),NA(),IFERROR(LOOKUP(2,1/(('Match Log'!$D$4:$D$311=$R$24)*('Match Log'!$A$4:$A$311&lt;=$J50)),'Match Log'!$N$4:$N$311),NA()))</f>
        <v>920.59330008421341</v>
      </c>
      <c r="S50" t="e">
        <f>IF($J50&gt;MAX('Match Log'!$A$4:$A$311),NA(),IFERROR(LOOKUP(2,1/(('Match Log'!$D$4:$D$311=$S$24)*('Match Log'!$A$4:$A$311&lt;=$J50)),'Match Log'!$N$4:$N$311),NA()))</f>
        <v>#N/A</v>
      </c>
      <c r="T50">
        <f>IF($J50&gt;MAX('Match Log'!$A$4:$A$311),NA(),IFERROR(LOOKUP(2,1/(('Match Log'!$D$4:$D$311=$T$24)*('Match Log'!$A$4:$A$311&lt;=$J50)),'Match Log'!$N$4:$N$311),NA()))</f>
        <v>947.91625238930521</v>
      </c>
      <c r="U50">
        <f>IF($J50&gt;MAX('Match Log'!$A$4:$A$311),NA(),IFERROR(LOOKUP(2,1/(('Match Log'!$D$4:$D$311=$U$24)*('Match Log'!$A$4:$A$311&lt;=$J50)),'Match Log'!$N$4:$N$311),NA()))</f>
        <v>995.27348180522449</v>
      </c>
      <c r="V50" t="e">
        <f>IF($J50&gt;MAX('Match Log'!$A$4:$A$311),NA(),IFERROR(LOOKUP(2,1/(('Match Log'!$D$4:$D$311=$V$24)*('Match Log'!$A$4:$A$311&lt;=$J50)),'Match Log'!$N$4:$N$311),NA()))</f>
        <v>#N/A</v>
      </c>
      <c r="W50" t="e">
        <f>IF($J50&gt;MAX('Match Log'!$A$4:$A$311),NA(),IFERROR(LOOKUP(2,1/(('Match Log'!$D$4:$D$311=$W$24)*('Match Log'!$A$4:$A$311&lt;=$J50)),'Match Log'!$N$4:$N$311),NA()))</f>
        <v>#N/A</v>
      </c>
      <c r="X50" t="e">
        <f>IF($J50&gt;MAX('Match Log'!$A$4:$A$311),NA(),IFERROR(LOOKUP(2,1/(('Match Log'!$D$4:$D$311=$X$24)*('Match Log'!$A$4:$A$311&lt;=$J50)),'Match Log'!$N$4:$N$311),NA()))</f>
        <v>#N/A</v>
      </c>
      <c r="Y50" t="str">
        <f t="shared" ca="1" si="18"/>
        <v/>
      </c>
    </row>
    <row r="51" spans="1:25" ht="15" customHeight="1" x14ac:dyDescent="0.2">
      <c r="A51">
        <v>27</v>
      </c>
      <c r="B51" s="132">
        <f>IFERROR(INDEX('Match Log'!$B$4:$B$311,MATCH(27,'Match Log'!$A$4:$A$311,0)),"")</f>
        <v>46175</v>
      </c>
      <c r="C51" t="str">
        <f>IFERROR(INDEX('Match Log'!$C$4:$C$311,MATCH(27,'Match Log'!$A$4:$A$311,0)),"")</f>
        <v>Table Tennis</v>
      </c>
      <c r="D51" t="str">
        <f>IFERROR(INDEX('Match Log'!$G$4:$G$311,MATCH(27,'Match Log'!$A$4:$A$311,0)),"")</f>
        <v>Josh</v>
      </c>
      <c r="E51" s="133">
        <f>IFERROR(INDEX('Match Log'!$F$4:$F$311,MATCH(27,'Match Log'!$A$4:$A$311,0)),"")</f>
        <v>2</v>
      </c>
      <c r="F51">
        <f>IFERROR(SUMIFS('Match Log'!$I$4:$I$311,'Match Log'!$A$4:$A$311,27,'Match Log'!$E$4:$E$311,"Win"),"")</f>
        <v>0.75</v>
      </c>
      <c r="G51">
        <f t="shared" si="16"/>
        <v>-0.5</v>
      </c>
      <c r="H51" t="str">
        <f>IFERROR(IF($E51=2,LOOKUP(2,1/(('Match Log'!$A$4:$A$311=27)*('Match Log'!$E$4:$E$311="Loss")),'Match Log'!$D$4:$D$311),"the field"),"")</f>
        <v>Daniel (Ferret)</v>
      </c>
      <c r="I51">
        <f t="shared" si="17"/>
        <v>-0.500027</v>
      </c>
      <c r="J51">
        <v>27</v>
      </c>
      <c r="K51">
        <f>IF($J51&gt;MAX('Match Log'!$A$4:$A$311),NA(),IFERROR(LOOKUP(2,1/(('Match Log'!$D$4:$D$311=$K$24)*('Match Log'!$A$4:$A$311&lt;=$J51)),'Match Log'!$N$4:$N$311),NA()))</f>
        <v>1103.1658170072501</v>
      </c>
      <c r="L51" t="e">
        <f>IF($J51&gt;MAX('Match Log'!$A$4:$A$311),NA(),IFERROR(LOOKUP(2,1/(('Match Log'!$D$4:$D$311=$L$24)*('Match Log'!$A$4:$A$311&lt;=$J51)),'Match Log'!$N$4:$N$311),NA()))</f>
        <v>#N/A</v>
      </c>
      <c r="M51">
        <f>IF($J51&gt;MAX('Match Log'!$A$4:$A$311),NA(),IFERROR(LOOKUP(2,1/(('Match Log'!$D$4:$D$311=$M$24)*('Match Log'!$A$4:$A$311&lt;=$J51)),'Match Log'!$N$4:$N$311),NA()))</f>
        <v>1053.58309096217</v>
      </c>
      <c r="N51">
        <f>IF($J51&gt;MAX('Match Log'!$A$4:$A$311),NA(),IFERROR(LOOKUP(2,1/(('Match Log'!$D$4:$D$311=$N$24)*('Match Log'!$A$4:$A$311&lt;=$J51)),'Match Log'!$N$4:$N$311),NA()))</f>
        <v>959.33903410060668</v>
      </c>
      <c r="O51">
        <f>IF($J51&gt;MAX('Match Log'!$A$4:$A$311),NA(),IFERROR(LOOKUP(2,1/(('Match Log'!$D$4:$D$311=$O$24)*('Match Log'!$A$4:$A$311&lt;=$J51)),'Match Log'!$N$4:$N$311),NA()))</f>
        <v>1105.3412744929378</v>
      </c>
      <c r="P51">
        <f>IF($J51&gt;MAX('Match Log'!$A$4:$A$311),NA(),IFERROR(LOOKUP(2,1/(('Match Log'!$D$4:$D$311=$P$24)*('Match Log'!$A$4:$A$311&lt;=$J51)),'Match Log'!$N$4:$N$311),NA()))</f>
        <v>1007.4743526549773</v>
      </c>
      <c r="Q51">
        <f>IF($J51&gt;MAX('Match Log'!$A$4:$A$311),NA(),IFERROR(LOOKUP(2,1/(('Match Log'!$D$4:$D$311=$Q$24)*('Match Log'!$A$4:$A$311&lt;=$J51)),'Match Log'!$N$4:$N$311),NA()))</f>
        <v>1004.2142857142857</v>
      </c>
      <c r="R51">
        <f>IF($J51&gt;MAX('Match Log'!$A$4:$A$311),NA(),IFERROR(LOOKUP(2,1/(('Match Log'!$D$4:$D$311=$R$24)*('Match Log'!$A$4:$A$311&lt;=$J51)),'Match Log'!$N$4:$N$311),NA()))</f>
        <v>907.69241087324258</v>
      </c>
      <c r="S51" t="e">
        <f>IF($J51&gt;MAX('Match Log'!$A$4:$A$311),NA(),IFERROR(LOOKUP(2,1/(('Match Log'!$D$4:$D$311=$S$24)*('Match Log'!$A$4:$A$311&lt;=$J51)),'Match Log'!$N$4:$N$311),NA()))</f>
        <v>#N/A</v>
      </c>
      <c r="T51">
        <f>IF($J51&gt;MAX('Match Log'!$A$4:$A$311),NA(),IFERROR(LOOKUP(2,1/(('Match Log'!$D$4:$D$311=$T$24)*('Match Log'!$A$4:$A$311&lt;=$J51)),'Match Log'!$N$4:$N$311),NA()))</f>
        <v>947.91625238930521</v>
      </c>
      <c r="U51">
        <f>IF($J51&gt;MAX('Match Log'!$A$4:$A$311),NA(),IFERROR(LOOKUP(2,1/(('Match Log'!$D$4:$D$311=$U$24)*('Match Log'!$A$4:$A$311&lt;=$J51)),'Match Log'!$N$4:$N$311),NA()))</f>
        <v>995.27348180522449</v>
      </c>
      <c r="V51" t="e">
        <f>IF($J51&gt;MAX('Match Log'!$A$4:$A$311),NA(),IFERROR(LOOKUP(2,1/(('Match Log'!$D$4:$D$311=$V$24)*('Match Log'!$A$4:$A$311&lt;=$J51)),'Match Log'!$N$4:$N$311),NA()))</f>
        <v>#N/A</v>
      </c>
      <c r="W51" t="e">
        <f>IF($J51&gt;MAX('Match Log'!$A$4:$A$311),NA(),IFERROR(LOOKUP(2,1/(('Match Log'!$D$4:$D$311=$W$24)*('Match Log'!$A$4:$A$311&lt;=$J51)),'Match Log'!$N$4:$N$311),NA()))</f>
        <v>#N/A</v>
      </c>
      <c r="X51" t="e">
        <f>IF($J51&gt;MAX('Match Log'!$A$4:$A$311),NA(),IFERROR(LOOKUP(2,1/(('Match Log'!$D$4:$D$311=$X$24)*('Match Log'!$A$4:$A$311&lt;=$J51)),'Match Log'!$N$4:$N$311),NA()))</f>
        <v>#N/A</v>
      </c>
      <c r="Y51" t="str">
        <f t="shared" ca="1" si="18"/>
        <v/>
      </c>
    </row>
    <row r="52" spans="1:25" ht="15" customHeight="1" x14ac:dyDescent="0.2">
      <c r="A52">
        <v>28</v>
      </c>
      <c r="B52" s="132">
        <f>IFERROR(INDEX('Match Log'!$B$4:$B$311,MATCH(28,'Match Log'!$A$4:$A$311,0)),"")</f>
        <v>46175</v>
      </c>
      <c r="C52" t="str">
        <f>IFERROR(INDEX('Match Log'!$C$4:$C$311,MATCH(28,'Match Log'!$A$4:$A$311,0)),"")</f>
        <v>Table Tennis</v>
      </c>
      <c r="D52" t="str">
        <f>IFERROR(INDEX('Match Log'!$G$4:$G$311,MATCH(28,'Match Log'!$A$4:$A$311,0)),"")</f>
        <v>Josh</v>
      </c>
      <c r="E52" s="133">
        <f>IFERROR(INDEX('Match Log'!$F$4:$F$311,MATCH(28,'Match Log'!$A$4:$A$311,0)),"")</f>
        <v>2</v>
      </c>
      <c r="F52">
        <f>IFERROR(SUMIFS('Match Log'!$I$4:$I$311,'Match Log'!$A$4:$A$311,28,'Match Log'!$E$4:$E$311,"Win"),"")</f>
        <v>0.77777777777777779</v>
      </c>
      <c r="G52">
        <f t="shared" si="16"/>
        <v>-0.55555555555555558</v>
      </c>
      <c r="H52" t="str">
        <f>IFERROR(IF($E52=2,LOOKUP(2,1/(('Match Log'!$A$4:$A$311=28)*('Match Log'!$E$4:$E$311="Loss")),'Match Log'!$D$4:$D$311),"the field"),"")</f>
        <v>David</v>
      </c>
      <c r="I52">
        <f t="shared" si="17"/>
        <v>-0.55558355555555561</v>
      </c>
      <c r="J52">
        <v>28</v>
      </c>
      <c r="K52">
        <f>IF($J52&gt;MAX('Match Log'!$A$4:$A$311),NA(),IFERROR(LOOKUP(2,1/(('Match Log'!$D$4:$D$311=$K$24)*('Match Log'!$A$4:$A$311&lt;=$J52)),'Match Log'!$N$4:$N$311),NA()))</f>
        <v>1103.1658170072501</v>
      </c>
      <c r="L52" t="e">
        <f>IF($J52&gt;MAX('Match Log'!$A$4:$A$311),NA(),IFERROR(LOOKUP(2,1/(('Match Log'!$D$4:$D$311=$L$24)*('Match Log'!$A$4:$A$311&lt;=$J52)),'Match Log'!$N$4:$N$311),NA()))</f>
        <v>#N/A</v>
      </c>
      <c r="M52">
        <f>IF($J52&gt;MAX('Match Log'!$A$4:$A$311),NA(),IFERROR(LOOKUP(2,1/(('Match Log'!$D$4:$D$311=$M$24)*('Match Log'!$A$4:$A$311&lt;=$J52)),'Match Log'!$N$4:$N$311),NA()))</f>
        <v>1053.58309096217</v>
      </c>
      <c r="N52">
        <f>IF($J52&gt;MAX('Match Log'!$A$4:$A$311),NA(),IFERROR(LOOKUP(2,1/(('Match Log'!$D$4:$D$311=$N$24)*('Match Log'!$A$4:$A$311&lt;=$J52)),'Match Log'!$N$4:$N$311),NA()))</f>
        <v>946.38601369580942</v>
      </c>
      <c r="O52">
        <f>IF($J52&gt;MAX('Match Log'!$A$4:$A$311),NA(),IFERROR(LOOKUP(2,1/(('Match Log'!$D$4:$D$311=$O$24)*('Match Log'!$A$4:$A$311&lt;=$J52)),'Match Log'!$N$4:$N$311),NA()))</f>
        <v>1118.294294897735</v>
      </c>
      <c r="P52">
        <f>IF($J52&gt;MAX('Match Log'!$A$4:$A$311),NA(),IFERROR(LOOKUP(2,1/(('Match Log'!$D$4:$D$311=$P$24)*('Match Log'!$A$4:$A$311&lt;=$J52)),'Match Log'!$N$4:$N$311),NA()))</f>
        <v>1007.4743526549773</v>
      </c>
      <c r="Q52">
        <f>IF($J52&gt;MAX('Match Log'!$A$4:$A$311),NA(),IFERROR(LOOKUP(2,1/(('Match Log'!$D$4:$D$311=$Q$24)*('Match Log'!$A$4:$A$311&lt;=$J52)),'Match Log'!$N$4:$N$311),NA()))</f>
        <v>1004.2142857142857</v>
      </c>
      <c r="R52">
        <f>IF($J52&gt;MAX('Match Log'!$A$4:$A$311),NA(),IFERROR(LOOKUP(2,1/(('Match Log'!$D$4:$D$311=$R$24)*('Match Log'!$A$4:$A$311&lt;=$J52)),'Match Log'!$N$4:$N$311),NA()))</f>
        <v>907.69241087324258</v>
      </c>
      <c r="S52" t="e">
        <f>IF($J52&gt;MAX('Match Log'!$A$4:$A$311),NA(),IFERROR(LOOKUP(2,1/(('Match Log'!$D$4:$D$311=$S$24)*('Match Log'!$A$4:$A$311&lt;=$J52)),'Match Log'!$N$4:$N$311),NA()))</f>
        <v>#N/A</v>
      </c>
      <c r="T52">
        <f>IF($J52&gt;MAX('Match Log'!$A$4:$A$311),NA(),IFERROR(LOOKUP(2,1/(('Match Log'!$D$4:$D$311=$T$24)*('Match Log'!$A$4:$A$311&lt;=$J52)),'Match Log'!$N$4:$N$311),NA()))</f>
        <v>947.91625238930521</v>
      </c>
      <c r="U52">
        <f>IF($J52&gt;MAX('Match Log'!$A$4:$A$311),NA(),IFERROR(LOOKUP(2,1/(('Match Log'!$D$4:$D$311=$U$24)*('Match Log'!$A$4:$A$311&lt;=$J52)),'Match Log'!$N$4:$N$311),NA()))</f>
        <v>995.27348180522449</v>
      </c>
      <c r="V52" t="e">
        <f>IF($J52&gt;MAX('Match Log'!$A$4:$A$311),NA(),IFERROR(LOOKUP(2,1/(('Match Log'!$D$4:$D$311=$V$24)*('Match Log'!$A$4:$A$311&lt;=$J52)),'Match Log'!$N$4:$N$311),NA()))</f>
        <v>#N/A</v>
      </c>
      <c r="W52" t="e">
        <f>IF($J52&gt;MAX('Match Log'!$A$4:$A$311),NA(),IFERROR(LOOKUP(2,1/(('Match Log'!$D$4:$D$311=$W$24)*('Match Log'!$A$4:$A$311&lt;=$J52)),'Match Log'!$N$4:$N$311),NA()))</f>
        <v>#N/A</v>
      </c>
      <c r="X52" t="e">
        <f>IF($J52&gt;MAX('Match Log'!$A$4:$A$311),NA(),IFERROR(LOOKUP(2,1/(('Match Log'!$D$4:$D$311=$X$24)*('Match Log'!$A$4:$A$311&lt;=$J52)),'Match Log'!$N$4:$N$311),NA()))</f>
        <v>#N/A</v>
      </c>
      <c r="Y52" t="str">
        <f t="shared" ca="1" si="18"/>
        <v/>
      </c>
    </row>
    <row r="53" spans="1:25" ht="15" customHeight="1" x14ac:dyDescent="0.2">
      <c r="A53">
        <v>29</v>
      </c>
      <c r="B53" s="132">
        <f>IFERROR(INDEX('Match Log'!$B$4:$B$311,MATCH(29,'Match Log'!$A$4:$A$311,0)),"")</f>
        <v>46175</v>
      </c>
      <c r="C53" t="str">
        <f>IFERROR(INDEX('Match Log'!$C$4:$C$311,MATCH(29,'Match Log'!$A$4:$A$311,0)),"")</f>
        <v>Table Tennis</v>
      </c>
      <c r="D53" t="str">
        <f>IFERROR(INDEX('Match Log'!$G$4:$G$311,MATCH(29,'Match Log'!$A$4:$A$311,0)),"")</f>
        <v>Oscar</v>
      </c>
      <c r="E53" s="133">
        <f>IFERROR(INDEX('Match Log'!$F$4:$F$311,MATCH(29,'Match Log'!$A$4:$A$311,0)),"")</f>
        <v>2</v>
      </c>
      <c r="F53">
        <f>IFERROR(SUMIFS('Match Log'!$I$4:$I$311,'Match Log'!$A$4:$A$311,29,'Match Log'!$E$4:$E$311,"Win"),"")</f>
        <v>0.5</v>
      </c>
      <c r="G53">
        <f t="shared" si="16"/>
        <v>0</v>
      </c>
      <c r="H53" t="str">
        <f>IFERROR(IF($E53=2,LOOKUP(2,1/(('Match Log'!$A$4:$A$311=29)*('Match Log'!$E$4:$E$311="Loss")),'Match Log'!$D$4:$D$311),"the field"),"")</f>
        <v>Aaron</v>
      </c>
      <c r="I53">
        <f t="shared" si="17"/>
        <v>-2.9E-5</v>
      </c>
      <c r="J53">
        <v>29</v>
      </c>
      <c r="K53">
        <f>IF($J53&gt;MAX('Match Log'!$A$4:$A$311),NA(),IFERROR(LOOKUP(2,1/(('Match Log'!$D$4:$D$311=$K$24)*('Match Log'!$A$4:$A$311&lt;=$J53)),'Match Log'!$N$4:$N$311),NA()))</f>
        <v>1076.3509776433464</v>
      </c>
      <c r="L53" t="e">
        <f>IF($J53&gt;MAX('Match Log'!$A$4:$A$311),NA(),IFERROR(LOOKUP(2,1/(('Match Log'!$D$4:$D$311=$L$24)*('Match Log'!$A$4:$A$311&lt;=$J53)),'Match Log'!$N$4:$N$311),NA()))</f>
        <v>#N/A</v>
      </c>
      <c r="M53">
        <f>IF($J53&gt;MAX('Match Log'!$A$4:$A$311),NA(),IFERROR(LOOKUP(2,1/(('Match Log'!$D$4:$D$311=$M$24)*('Match Log'!$A$4:$A$311&lt;=$J53)),'Match Log'!$N$4:$N$311),NA()))</f>
        <v>1053.58309096217</v>
      </c>
      <c r="N53">
        <f>IF($J53&gt;MAX('Match Log'!$A$4:$A$311),NA(),IFERROR(LOOKUP(2,1/(('Match Log'!$D$4:$D$311=$N$24)*('Match Log'!$A$4:$A$311&lt;=$J53)),'Match Log'!$N$4:$N$311),NA()))</f>
        <v>946.38601369580942</v>
      </c>
      <c r="O53">
        <f>IF($J53&gt;MAX('Match Log'!$A$4:$A$311),NA(),IFERROR(LOOKUP(2,1/(('Match Log'!$D$4:$D$311=$O$24)*('Match Log'!$A$4:$A$311&lt;=$J53)),'Match Log'!$N$4:$N$311),NA()))</f>
        <v>1118.294294897735</v>
      </c>
      <c r="P53">
        <f>IF($J53&gt;MAX('Match Log'!$A$4:$A$311),NA(),IFERROR(LOOKUP(2,1/(('Match Log'!$D$4:$D$311=$P$24)*('Match Log'!$A$4:$A$311&lt;=$J53)),'Match Log'!$N$4:$N$311),NA()))</f>
        <v>1007.4743526549773</v>
      </c>
      <c r="Q53">
        <f>IF($J53&gt;MAX('Match Log'!$A$4:$A$311),NA(),IFERROR(LOOKUP(2,1/(('Match Log'!$D$4:$D$311=$Q$24)*('Match Log'!$A$4:$A$311&lt;=$J53)),'Match Log'!$N$4:$N$311),NA()))</f>
        <v>1004.2142857142857</v>
      </c>
      <c r="R53">
        <f>IF($J53&gt;MAX('Match Log'!$A$4:$A$311),NA(),IFERROR(LOOKUP(2,1/(('Match Log'!$D$4:$D$311=$R$24)*('Match Log'!$A$4:$A$311&lt;=$J53)),'Match Log'!$N$4:$N$311),NA()))</f>
        <v>907.69241087324258</v>
      </c>
      <c r="S53" t="e">
        <f>IF($J53&gt;MAX('Match Log'!$A$4:$A$311),NA(),IFERROR(LOOKUP(2,1/(('Match Log'!$D$4:$D$311=$S$24)*('Match Log'!$A$4:$A$311&lt;=$J53)),'Match Log'!$N$4:$N$311),NA()))</f>
        <v>#N/A</v>
      </c>
      <c r="T53">
        <f>IF($J53&gt;MAX('Match Log'!$A$4:$A$311),NA(),IFERROR(LOOKUP(2,1/(('Match Log'!$D$4:$D$311=$T$24)*('Match Log'!$A$4:$A$311&lt;=$J53)),'Match Log'!$N$4:$N$311),NA()))</f>
        <v>947.91625238930521</v>
      </c>
      <c r="U53">
        <f>IF($J53&gt;MAX('Match Log'!$A$4:$A$311),NA(),IFERROR(LOOKUP(2,1/(('Match Log'!$D$4:$D$311=$U$24)*('Match Log'!$A$4:$A$311&lt;=$J53)),'Match Log'!$N$4:$N$311),NA()))</f>
        <v>1022.0883211691282</v>
      </c>
      <c r="V53" t="e">
        <f>IF($J53&gt;MAX('Match Log'!$A$4:$A$311),NA(),IFERROR(LOOKUP(2,1/(('Match Log'!$D$4:$D$311=$V$24)*('Match Log'!$A$4:$A$311&lt;=$J53)),'Match Log'!$N$4:$N$311),NA()))</f>
        <v>#N/A</v>
      </c>
      <c r="W53" t="e">
        <f>IF($J53&gt;MAX('Match Log'!$A$4:$A$311),NA(),IFERROR(LOOKUP(2,1/(('Match Log'!$D$4:$D$311=$W$24)*('Match Log'!$A$4:$A$311&lt;=$J53)),'Match Log'!$N$4:$N$311),NA()))</f>
        <v>#N/A</v>
      </c>
      <c r="X53" t="e">
        <f>IF($J53&gt;MAX('Match Log'!$A$4:$A$311),NA(),IFERROR(LOOKUP(2,1/(('Match Log'!$D$4:$D$311=$X$24)*('Match Log'!$A$4:$A$311&lt;=$J53)),'Match Log'!$N$4:$N$311),NA()))</f>
        <v>#N/A</v>
      </c>
      <c r="Y53" t="str">
        <f t="shared" ca="1" si="18"/>
        <v/>
      </c>
    </row>
    <row r="54" spans="1:25" ht="15" customHeight="1" x14ac:dyDescent="0.2">
      <c r="A54">
        <v>30</v>
      </c>
      <c r="B54" s="132">
        <f>IFERROR(INDEX('Match Log'!$B$4:$B$311,MATCH(30,'Match Log'!$A$4:$A$311,0)),"")</f>
        <v>46175</v>
      </c>
      <c r="C54" t="str">
        <f>IFERROR(INDEX('Match Log'!$C$4:$C$311,MATCH(30,'Match Log'!$A$4:$A$311,0)),"")</f>
        <v>Table Tennis</v>
      </c>
      <c r="D54" t="str">
        <f>IFERROR(INDEX('Match Log'!$G$4:$G$311,MATCH(30,'Match Log'!$A$4:$A$311,0)),"")</f>
        <v>Aaron</v>
      </c>
      <c r="E54" s="133">
        <f>IFERROR(INDEX('Match Log'!$F$4:$F$311,MATCH(30,'Match Log'!$A$4:$A$311,0)),"")</f>
        <v>2</v>
      </c>
      <c r="F54">
        <f>IFERROR(SUMIFS('Match Log'!$I$4:$I$311,'Match Log'!$A$4:$A$311,30,'Match Log'!$E$4:$E$311,"Win"),"")</f>
        <v>0.625</v>
      </c>
      <c r="G54">
        <f t="shared" si="16"/>
        <v>-0.25</v>
      </c>
      <c r="H54" t="str">
        <f>IFERROR(IF($E54=2,LOOKUP(2,1/(('Match Log'!$A$4:$A$311=30)*('Match Log'!$E$4:$E$311="Loss")),'Match Log'!$D$4:$D$311),"the field"),"")</f>
        <v>David</v>
      </c>
      <c r="I54">
        <f t="shared" si="17"/>
        <v>-0.25002999999999997</v>
      </c>
      <c r="J54">
        <v>30</v>
      </c>
      <c r="K54">
        <f>IF($J54&gt;MAX('Match Log'!$A$4:$A$311),NA(),IFERROR(LOOKUP(2,1/(('Match Log'!$D$4:$D$311=$K$24)*('Match Log'!$A$4:$A$311&lt;=$J54)),'Match Log'!$N$4:$N$311),NA()))</f>
        <v>1091.9324916369376</v>
      </c>
      <c r="L54" t="e">
        <f>IF($J54&gt;MAX('Match Log'!$A$4:$A$311),NA(),IFERROR(LOOKUP(2,1/(('Match Log'!$D$4:$D$311=$L$24)*('Match Log'!$A$4:$A$311&lt;=$J54)),'Match Log'!$N$4:$N$311),NA()))</f>
        <v>#N/A</v>
      </c>
      <c r="M54">
        <f>IF($J54&gt;MAX('Match Log'!$A$4:$A$311),NA(),IFERROR(LOOKUP(2,1/(('Match Log'!$D$4:$D$311=$M$24)*('Match Log'!$A$4:$A$311&lt;=$J54)),'Match Log'!$N$4:$N$311),NA()))</f>
        <v>1053.58309096217</v>
      </c>
      <c r="N54">
        <f>IF($J54&gt;MAX('Match Log'!$A$4:$A$311),NA(),IFERROR(LOOKUP(2,1/(('Match Log'!$D$4:$D$311=$N$24)*('Match Log'!$A$4:$A$311&lt;=$J54)),'Match Log'!$N$4:$N$311),NA()))</f>
        <v>930.80449970221821</v>
      </c>
      <c r="O54">
        <f>IF($J54&gt;MAX('Match Log'!$A$4:$A$311),NA(),IFERROR(LOOKUP(2,1/(('Match Log'!$D$4:$D$311=$O$24)*('Match Log'!$A$4:$A$311&lt;=$J54)),'Match Log'!$N$4:$N$311),NA()))</f>
        <v>1118.294294897735</v>
      </c>
      <c r="P54">
        <f>IF($J54&gt;MAX('Match Log'!$A$4:$A$311),NA(),IFERROR(LOOKUP(2,1/(('Match Log'!$D$4:$D$311=$P$24)*('Match Log'!$A$4:$A$311&lt;=$J54)),'Match Log'!$N$4:$N$311),NA()))</f>
        <v>1007.4743526549773</v>
      </c>
      <c r="Q54">
        <f>IF($J54&gt;MAX('Match Log'!$A$4:$A$311),NA(),IFERROR(LOOKUP(2,1/(('Match Log'!$D$4:$D$311=$Q$24)*('Match Log'!$A$4:$A$311&lt;=$J54)),'Match Log'!$N$4:$N$311),NA()))</f>
        <v>1004.2142857142857</v>
      </c>
      <c r="R54">
        <f>IF($J54&gt;MAX('Match Log'!$A$4:$A$311),NA(),IFERROR(LOOKUP(2,1/(('Match Log'!$D$4:$D$311=$R$24)*('Match Log'!$A$4:$A$311&lt;=$J54)),'Match Log'!$N$4:$N$311),NA()))</f>
        <v>907.69241087324258</v>
      </c>
      <c r="S54" t="e">
        <f>IF($J54&gt;MAX('Match Log'!$A$4:$A$311),NA(),IFERROR(LOOKUP(2,1/(('Match Log'!$D$4:$D$311=$S$24)*('Match Log'!$A$4:$A$311&lt;=$J54)),'Match Log'!$N$4:$N$311),NA()))</f>
        <v>#N/A</v>
      </c>
      <c r="T54">
        <f>IF($J54&gt;MAX('Match Log'!$A$4:$A$311),NA(),IFERROR(LOOKUP(2,1/(('Match Log'!$D$4:$D$311=$T$24)*('Match Log'!$A$4:$A$311&lt;=$J54)),'Match Log'!$N$4:$N$311),NA()))</f>
        <v>947.91625238930521</v>
      </c>
      <c r="U54">
        <f>IF($J54&gt;MAX('Match Log'!$A$4:$A$311),NA(),IFERROR(LOOKUP(2,1/(('Match Log'!$D$4:$D$311=$U$24)*('Match Log'!$A$4:$A$311&lt;=$J54)),'Match Log'!$N$4:$N$311),NA()))</f>
        <v>1022.0883211691282</v>
      </c>
      <c r="V54" t="e">
        <f>IF($J54&gt;MAX('Match Log'!$A$4:$A$311),NA(),IFERROR(LOOKUP(2,1/(('Match Log'!$D$4:$D$311=$V$24)*('Match Log'!$A$4:$A$311&lt;=$J54)),'Match Log'!$N$4:$N$311),NA()))</f>
        <v>#N/A</v>
      </c>
      <c r="W54" t="e">
        <f>IF($J54&gt;MAX('Match Log'!$A$4:$A$311),NA(),IFERROR(LOOKUP(2,1/(('Match Log'!$D$4:$D$311=$W$24)*('Match Log'!$A$4:$A$311&lt;=$J54)),'Match Log'!$N$4:$N$311),NA()))</f>
        <v>#N/A</v>
      </c>
      <c r="X54" t="e">
        <f>IF($J54&gt;MAX('Match Log'!$A$4:$A$311),NA(),IFERROR(LOOKUP(2,1/(('Match Log'!$D$4:$D$311=$X$24)*('Match Log'!$A$4:$A$311&lt;=$J54)),'Match Log'!$N$4:$N$311),NA()))</f>
        <v>#N/A</v>
      </c>
      <c r="Y54" t="str">
        <f t="shared" ca="1" si="18"/>
        <v/>
      </c>
    </row>
    <row r="55" spans="1:25" ht="15" customHeight="1" x14ac:dyDescent="0.2">
      <c r="A55">
        <v>31</v>
      </c>
      <c r="B55" s="132">
        <f>IFERROR(INDEX('Match Log'!$B$4:$B$311,MATCH(31,'Match Log'!$A$4:$A$311,0)),"")</f>
        <v>46175</v>
      </c>
      <c r="C55" t="str">
        <f>IFERROR(INDEX('Match Log'!$C$4:$C$311,MATCH(31,'Match Log'!$A$4:$A$311,0)),"")</f>
        <v>Call of Duty</v>
      </c>
      <c r="D55" t="str">
        <f>IFERROR(INDEX('Match Log'!$G$4:$G$311,MATCH(31,'Match Log'!$A$4:$A$311,0)),"")</f>
        <v>Daniel (Ferret)</v>
      </c>
      <c r="E55" s="133">
        <f>IFERROR(INDEX('Match Log'!$F$4:$F$311,MATCH(31,'Match Log'!$A$4:$A$311,0)),"")</f>
        <v>2</v>
      </c>
      <c r="F55">
        <f>IFERROR(SUMIFS('Match Log'!$I$4:$I$311,'Match Log'!$A$4:$A$311,31,'Match Log'!$E$4:$E$311,"Win"),"")</f>
        <v>0.5</v>
      </c>
      <c r="G55">
        <f t="shared" si="16"/>
        <v>0</v>
      </c>
      <c r="H55" t="str">
        <f>IFERROR(IF($E55=2,LOOKUP(2,1/(('Match Log'!$A$4:$A$311=31)*('Match Log'!$E$4:$E$311="Loss")),'Match Log'!$D$4:$D$311),"the field"),"")</f>
        <v>Aaron</v>
      </c>
      <c r="I55">
        <f t="shared" si="17"/>
        <v>-3.1000000000000001E-5</v>
      </c>
      <c r="J55">
        <v>31</v>
      </c>
      <c r="K55">
        <f>IF($J55&gt;MAX('Match Log'!$A$4:$A$311),NA(),IFERROR(LOOKUP(2,1/(('Match Log'!$D$4:$D$311=$K$24)*('Match Log'!$A$4:$A$311&lt;=$J55)),'Match Log'!$N$4:$N$311),NA()))</f>
        <v>1062.1629018977187</v>
      </c>
      <c r="L55" t="e">
        <f>IF($J55&gt;MAX('Match Log'!$A$4:$A$311),NA(),IFERROR(LOOKUP(2,1/(('Match Log'!$D$4:$D$311=$L$24)*('Match Log'!$A$4:$A$311&lt;=$J55)),'Match Log'!$N$4:$N$311),NA()))</f>
        <v>#N/A</v>
      </c>
      <c r="M55">
        <f>IF($J55&gt;MAX('Match Log'!$A$4:$A$311),NA(),IFERROR(LOOKUP(2,1/(('Match Log'!$D$4:$D$311=$M$24)*('Match Log'!$A$4:$A$311&lt;=$J55)),'Match Log'!$N$4:$N$311),NA()))</f>
        <v>1053.58309096217</v>
      </c>
      <c r="N55">
        <f>IF($J55&gt;MAX('Match Log'!$A$4:$A$311),NA(),IFERROR(LOOKUP(2,1/(('Match Log'!$D$4:$D$311=$N$24)*('Match Log'!$A$4:$A$311&lt;=$J55)),'Match Log'!$N$4:$N$311),NA()))</f>
        <v>930.80449970221821</v>
      </c>
      <c r="O55">
        <f>IF($J55&gt;MAX('Match Log'!$A$4:$A$311),NA(),IFERROR(LOOKUP(2,1/(('Match Log'!$D$4:$D$311=$O$24)*('Match Log'!$A$4:$A$311&lt;=$J55)),'Match Log'!$N$4:$N$311),NA()))</f>
        <v>1118.294294897735</v>
      </c>
      <c r="P55">
        <f>IF($J55&gt;MAX('Match Log'!$A$4:$A$311),NA(),IFERROR(LOOKUP(2,1/(('Match Log'!$D$4:$D$311=$P$24)*('Match Log'!$A$4:$A$311&lt;=$J55)),'Match Log'!$N$4:$N$311),NA()))</f>
        <v>1007.4743526549773</v>
      </c>
      <c r="Q55">
        <f>IF($J55&gt;MAX('Match Log'!$A$4:$A$311),NA(),IFERROR(LOOKUP(2,1/(('Match Log'!$D$4:$D$311=$Q$24)*('Match Log'!$A$4:$A$311&lt;=$J55)),'Match Log'!$N$4:$N$311),NA()))</f>
        <v>1004.2142857142857</v>
      </c>
      <c r="R55">
        <f>IF($J55&gt;MAX('Match Log'!$A$4:$A$311),NA(),IFERROR(LOOKUP(2,1/(('Match Log'!$D$4:$D$311=$R$24)*('Match Log'!$A$4:$A$311&lt;=$J55)),'Match Log'!$N$4:$N$311),NA()))</f>
        <v>937.46200061246157</v>
      </c>
      <c r="S55" t="e">
        <f>IF($J55&gt;MAX('Match Log'!$A$4:$A$311),NA(),IFERROR(LOOKUP(2,1/(('Match Log'!$D$4:$D$311=$S$24)*('Match Log'!$A$4:$A$311&lt;=$J55)),'Match Log'!$N$4:$N$311),NA()))</f>
        <v>#N/A</v>
      </c>
      <c r="T55">
        <f>IF($J55&gt;MAX('Match Log'!$A$4:$A$311),NA(),IFERROR(LOOKUP(2,1/(('Match Log'!$D$4:$D$311=$T$24)*('Match Log'!$A$4:$A$311&lt;=$J55)),'Match Log'!$N$4:$N$311),NA()))</f>
        <v>947.91625238930521</v>
      </c>
      <c r="U55">
        <f>IF($J55&gt;MAX('Match Log'!$A$4:$A$311),NA(),IFERROR(LOOKUP(2,1/(('Match Log'!$D$4:$D$311=$U$24)*('Match Log'!$A$4:$A$311&lt;=$J55)),'Match Log'!$N$4:$N$311),NA()))</f>
        <v>1022.0883211691282</v>
      </c>
      <c r="V55" t="e">
        <f>IF($J55&gt;MAX('Match Log'!$A$4:$A$311),NA(),IFERROR(LOOKUP(2,1/(('Match Log'!$D$4:$D$311=$V$24)*('Match Log'!$A$4:$A$311&lt;=$J55)),'Match Log'!$N$4:$N$311),NA()))</f>
        <v>#N/A</v>
      </c>
      <c r="W55" t="e">
        <f>IF($J55&gt;MAX('Match Log'!$A$4:$A$311),NA(),IFERROR(LOOKUP(2,1/(('Match Log'!$D$4:$D$311=$W$24)*('Match Log'!$A$4:$A$311&lt;=$J55)),'Match Log'!$N$4:$N$311),NA()))</f>
        <v>#N/A</v>
      </c>
      <c r="X55" t="e">
        <f>IF($J55&gt;MAX('Match Log'!$A$4:$A$311),NA(),IFERROR(LOOKUP(2,1/(('Match Log'!$D$4:$D$311=$X$24)*('Match Log'!$A$4:$A$311&lt;=$J55)),'Match Log'!$N$4:$N$311),NA()))</f>
        <v>#N/A</v>
      </c>
      <c r="Y55" t="str">
        <f t="shared" ca="1" si="18"/>
        <v/>
      </c>
    </row>
    <row r="56" spans="1:25" ht="15" customHeight="1" x14ac:dyDescent="0.2">
      <c r="A56">
        <v>32</v>
      </c>
      <c r="B56" s="132">
        <f>IFERROR(INDEX('Match Log'!$B$4:$B$311,MATCH(32,'Match Log'!$A$4:$A$311,0)),"")</f>
        <v>46175</v>
      </c>
      <c r="C56" t="str">
        <f>IFERROR(INDEX('Match Log'!$C$4:$C$311,MATCH(32,'Match Log'!$A$4:$A$311,0)),"")</f>
        <v>Call of Duty</v>
      </c>
      <c r="D56" t="str">
        <f>IFERROR(INDEX('Match Log'!$G$4:$G$311,MATCH(32,'Match Log'!$A$4:$A$311,0)),"")</f>
        <v>Daniel (Ferret)</v>
      </c>
      <c r="E56" s="133">
        <f>IFERROR(INDEX('Match Log'!$F$4:$F$311,MATCH(32,'Match Log'!$A$4:$A$311,0)),"")</f>
        <v>2</v>
      </c>
      <c r="F56">
        <f>IFERROR(SUMIFS('Match Log'!$I$4:$I$311,'Match Log'!$A$4:$A$311,32,'Match Log'!$E$4:$E$311,"Win"),"")</f>
        <v>0.57142857142857151</v>
      </c>
      <c r="G56">
        <f t="shared" si="16"/>
        <v>-0.14285714285714302</v>
      </c>
      <c r="H56" t="str">
        <f>IFERROR(IF($E56=2,LOOKUP(2,1/(('Match Log'!$A$4:$A$311=32)*('Match Log'!$E$4:$E$311="Loss")),'Match Log'!$D$4:$D$311),"the field"),"")</f>
        <v>Chase</v>
      </c>
      <c r="I56">
        <f t="shared" si="17"/>
        <v>-0.14288914285714302</v>
      </c>
      <c r="J56">
        <v>32</v>
      </c>
      <c r="K56">
        <f>IF($J56&gt;MAX('Match Log'!$A$4:$A$311),NA(),IFERROR(LOOKUP(2,1/(('Match Log'!$D$4:$D$311=$K$24)*('Match Log'!$A$4:$A$311&lt;=$J56)),'Match Log'!$N$4:$N$311),NA()))</f>
        <v>1062.1629018977187</v>
      </c>
      <c r="L56" t="e">
        <f>IF($J56&gt;MAX('Match Log'!$A$4:$A$311),NA(),IFERROR(LOOKUP(2,1/(('Match Log'!$D$4:$D$311=$L$24)*('Match Log'!$A$4:$A$311&lt;=$J56)),'Match Log'!$N$4:$N$311),NA()))</f>
        <v>#N/A</v>
      </c>
      <c r="M56">
        <f>IF($J56&gt;MAX('Match Log'!$A$4:$A$311),NA(),IFERROR(LOOKUP(2,1/(('Match Log'!$D$4:$D$311=$M$24)*('Match Log'!$A$4:$A$311&lt;=$J56)),'Match Log'!$N$4:$N$311),NA()))</f>
        <v>1027.8298234990575</v>
      </c>
      <c r="N56">
        <f>IF($J56&gt;MAX('Match Log'!$A$4:$A$311),NA(),IFERROR(LOOKUP(2,1/(('Match Log'!$D$4:$D$311=$N$24)*('Match Log'!$A$4:$A$311&lt;=$J56)),'Match Log'!$N$4:$N$311),NA()))</f>
        <v>930.80449970221821</v>
      </c>
      <c r="O56">
        <f>IF($J56&gt;MAX('Match Log'!$A$4:$A$311),NA(),IFERROR(LOOKUP(2,1/(('Match Log'!$D$4:$D$311=$O$24)*('Match Log'!$A$4:$A$311&lt;=$J56)),'Match Log'!$N$4:$N$311),NA()))</f>
        <v>1118.294294897735</v>
      </c>
      <c r="P56">
        <f>IF($J56&gt;MAX('Match Log'!$A$4:$A$311),NA(),IFERROR(LOOKUP(2,1/(('Match Log'!$D$4:$D$311=$P$24)*('Match Log'!$A$4:$A$311&lt;=$J56)),'Match Log'!$N$4:$N$311),NA()))</f>
        <v>1007.4743526549773</v>
      </c>
      <c r="Q56">
        <f>IF($J56&gt;MAX('Match Log'!$A$4:$A$311),NA(),IFERROR(LOOKUP(2,1/(('Match Log'!$D$4:$D$311=$Q$24)*('Match Log'!$A$4:$A$311&lt;=$J56)),'Match Log'!$N$4:$N$311),NA()))</f>
        <v>1004.2142857142857</v>
      </c>
      <c r="R56">
        <f>IF($J56&gt;MAX('Match Log'!$A$4:$A$311),NA(),IFERROR(LOOKUP(2,1/(('Match Log'!$D$4:$D$311=$R$24)*('Match Log'!$A$4:$A$311&lt;=$J56)),'Match Log'!$N$4:$N$311),NA()))</f>
        <v>963.21526807557404</v>
      </c>
      <c r="S56" t="e">
        <f>IF($J56&gt;MAX('Match Log'!$A$4:$A$311),NA(),IFERROR(LOOKUP(2,1/(('Match Log'!$D$4:$D$311=$S$24)*('Match Log'!$A$4:$A$311&lt;=$J56)),'Match Log'!$N$4:$N$311),NA()))</f>
        <v>#N/A</v>
      </c>
      <c r="T56">
        <f>IF($J56&gt;MAX('Match Log'!$A$4:$A$311),NA(),IFERROR(LOOKUP(2,1/(('Match Log'!$D$4:$D$311=$T$24)*('Match Log'!$A$4:$A$311&lt;=$J56)),'Match Log'!$N$4:$N$311),NA()))</f>
        <v>947.91625238930521</v>
      </c>
      <c r="U56">
        <f>IF($J56&gt;MAX('Match Log'!$A$4:$A$311),NA(),IFERROR(LOOKUP(2,1/(('Match Log'!$D$4:$D$311=$U$24)*('Match Log'!$A$4:$A$311&lt;=$J56)),'Match Log'!$N$4:$N$311),NA()))</f>
        <v>1022.0883211691282</v>
      </c>
      <c r="V56" t="e">
        <f>IF($J56&gt;MAX('Match Log'!$A$4:$A$311),NA(),IFERROR(LOOKUP(2,1/(('Match Log'!$D$4:$D$311=$V$24)*('Match Log'!$A$4:$A$311&lt;=$J56)),'Match Log'!$N$4:$N$311),NA()))</f>
        <v>#N/A</v>
      </c>
      <c r="W56" t="e">
        <f>IF($J56&gt;MAX('Match Log'!$A$4:$A$311),NA(),IFERROR(LOOKUP(2,1/(('Match Log'!$D$4:$D$311=$W$24)*('Match Log'!$A$4:$A$311&lt;=$J56)),'Match Log'!$N$4:$N$311),NA()))</f>
        <v>#N/A</v>
      </c>
      <c r="X56" t="e">
        <f>IF($J56&gt;MAX('Match Log'!$A$4:$A$311),NA(),IFERROR(LOOKUP(2,1/(('Match Log'!$D$4:$D$311=$X$24)*('Match Log'!$A$4:$A$311&lt;=$J56)),'Match Log'!$N$4:$N$311),NA()))</f>
        <v>#N/A</v>
      </c>
      <c r="Y56" t="str">
        <f t="shared" ca="1" si="18"/>
        <v/>
      </c>
    </row>
    <row r="57" spans="1:25" ht="15" customHeight="1" x14ac:dyDescent="0.2">
      <c r="A57">
        <v>33</v>
      </c>
      <c r="B57" s="132">
        <f>IFERROR(INDEX('Match Log'!$B$4:$B$311,MATCH(33,'Match Log'!$A$4:$A$311,0)),"")</f>
        <v>46175</v>
      </c>
      <c r="C57" t="str">
        <f>IFERROR(INDEX('Match Log'!$C$4:$C$311,MATCH(33,'Match Log'!$A$4:$A$311,0)),"")</f>
        <v>Call of Duty</v>
      </c>
      <c r="D57" t="str">
        <f>IFERROR(INDEX('Match Log'!$G$4:$G$311,MATCH(33,'Match Log'!$A$4:$A$311,0)),"")</f>
        <v>Aaron</v>
      </c>
      <c r="E57" s="133">
        <f>IFERROR(INDEX('Match Log'!$F$4:$F$311,MATCH(33,'Match Log'!$A$4:$A$311,0)),"")</f>
        <v>2</v>
      </c>
      <c r="F57">
        <f>IFERROR(SUMIFS('Match Log'!$I$4:$I$311,'Match Log'!$A$4:$A$311,33,'Match Log'!$E$4:$E$311,"Win"),"")</f>
        <v>0.5</v>
      </c>
      <c r="G57">
        <f t="shared" ref="G57:G88" si="19">IF($D57="","",1-$F57*$E57)</f>
        <v>0</v>
      </c>
      <c r="H57" t="str">
        <f>IFERROR(IF($E57=2,LOOKUP(2,1/(('Match Log'!$A$4:$A$311=33)*('Match Log'!$E$4:$E$311="Loss")),'Match Log'!$D$4:$D$311),"the field"),"")</f>
        <v>Chase</v>
      </c>
      <c r="I57">
        <f t="shared" ref="I57:I88" si="20">IF($G57="","",$G57-$A57/1000000)</f>
        <v>-3.3000000000000003E-5</v>
      </c>
      <c r="J57">
        <v>33</v>
      </c>
      <c r="K57">
        <f>IF($J57&gt;MAX('Match Log'!$A$4:$A$311),NA(),IFERROR(LOOKUP(2,1/(('Match Log'!$D$4:$D$311=$K$24)*('Match Log'!$A$4:$A$311&lt;=$J57)),'Match Log'!$N$4:$N$311),NA()))</f>
        <v>1082.8539049537733</v>
      </c>
      <c r="L57" t="e">
        <f>IF($J57&gt;MAX('Match Log'!$A$4:$A$311),NA(),IFERROR(LOOKUP(2,1/(('Match Log'!$D$4:$D$311=$L$24)*('Match Log'!$A$4:$A$311&lt;=$J57)),'Match Log'!$N$4:$N$311),NA()))</f>
        <v>#N/A</v>
      </c>
      <c r="M57">
        <f>IF($J57&gt;MAX('Match Log'!$A$4:$A$311),NA(),IFERROR(LOOKUP(2,1/(('Match Log'!$D$4:$D$311=$M$24)*('Match Log'!$A$4:$A$311&lt;=$J57)),'Match Log'!$N$4:$N$311),NA()))</f>
        <v>1007.1388204430031</v>
      </c>
      <c r="N57">
        <f>IF($J57&gt;MAX('Match Log'!$A$4:$A$311),NA(),IFERROR(LOOKUP(2,1/(('Match Log'!$D$4:$D$311=$N$24)*('Match Log'!$A$4:$A$311&lt;=$J57)),'Match Log'!$N$4:$N$311),NA()))</f>
        <v>930.80449970221821</v>
      </c>
      <c r="O57">
        <f>IF($J57&gt;MAX('Match Log'!$A$4:$A$311),NA(),IFERROR(LOOKUP(2,1/(('Match Log'!$D$4:$D$311=$O$24)*('Match Log'!$A$4:$A$311&lt;=$J57)),'Match Log'!$N$4:$N$311),NA()))</f>
        <v>1118.294294897735</v>
      </c>
      <c r="P57">
        <f>IF($J57&gt;MAX('Match Log'!$A$4:$A$311),NA(),IFERROR(LOOKUP(2,1/(('Match Log'!$D$4:$D$311=$P$24)*('Match Log'!$A$4:$A$311&lt;=$J57)),'Match Log'!$N$4:$N$311),NA()))</f>
        <v>1007.4743526549773</v>
      </c>
      <c r="Q57">
        <f>IF($J57&gt;MAX('Match Log'!$A$4:$A$311),NA(),IFERROR(LOOKUP(2,1/(('Match Log'!$D$4:$D$311=$Q$24)*('Match Log'!$A$4:$A$311&lt;=$J57)),'Match Log'!$N$4:$N$311),NA()))</f>
        <v>1004.2142857142857</v>
      </c>
      <c r="R57">
        <f>IF($J57&gt;MAX('Match Log'!$A$4:$A$311),NA(),IFERROR(LOOKUP(2,1/(('Match Log'!$D$4:$D$311=$R$24)*('Match Log'!$A$4:$A$311&lt;=$J57)),'Match Log'!$N$4:$N$311),NA()))</f>
        <v>963.21526807557404</v>
      </c>
      <c r="S57" t="e">
        <f>IF($J57&gt;MAX('Match Log'!$A$4:$A$311),NA(),IFERROR(LOOKUP(2,1/(('Match Log'!$D$4:$D$311=$S$24)*('Match Log'!$A$4:$A$311&lt;=$J57)),'Match Log'!$N$4:$N$311),NA()))</f>
        <v>#N/A</v>
      </c>
      <c r="T57">
        <f>IF($J57&gt;MAX('Match Log'!$A$4:$A$311),NA(),IFERROR(LOOKUP(2,1/(('Match Log'!$D$4:$D$311=$T$24)*('Match Log'!$A$4:$A$311&lt;=$J57)),'Match Log'!$N$4:$N$311),NA()))</f>
        <v>947.91625238930521</v>
      </c>
      <c r="U57">
        <f>IF($J57&gt;MAX('Match Log'!$A$4:$A$311),NA(),IFERROR(LOOKUP(2,1/(('Match Log'!$D$4:$D$311=$U$24)*('Match Log'!$A$4:$A$311&lt;=$J57)),'Match Log'!$N$4:$N$311),NA()))</f>
        <v>1022.0883211691282</v>
      </c>
      <c r="V57" t="e">
        <f>IF($J57&gt;MAX('Match Log'!$A$4:$A$311),NA(),IFERROR(LOOKUP(2,1/(('Match Log'!$D$4:$D$311=$V$24)*('Match Log'!$A$4:$A$311&lt;=$J57)),'Match Log'!$N$4:$N$311),NA()))</f>
        <v>#N/A</v>
      </c>
      <c r="W57" t="e">
        <f>IF($J57&gt;MAX('Match Log'!$A$4:$A$311),NA(),IFERROR(LOOKUP(2,1/(('Match Log'!$D$4:$D$311=$W$24)*('Match Log'!$A$4:$A$311&lt;=$J57)),'Match Log'!$N$4:$N$311),NA()))</f>
        <v>#N/A</v>
      </c>
      <c r="X57" t="e">
        <f>IF($J57&gt;MAX('Match Log'!$A$4:$A$311),NA(),IFERROR(LOOKUP(2,1/(('Match Log'!$D$4:$D$311=$X$24)*('Match Log'!$A$4:$A$311&lt;=$J57)),'Match Log'!$N$4:$N$311),NA()))</f>
        <v>#N/A</v>
      </c>
      <c r="Y57" t="str">
        <f t="shared" ref="Y57:Y88" ca="1" si="21">IF(AND($B57&lt;&gt;"",$B57&gt;=$B$5,$I57&lt;&gt;""),$I57,"")</f>
        <v/>
      </c>
    </row>
    <row r="58" spans="1:25" ht="15" customHeight="1" x14ac:dyDescent="0.2">
      <c r="A58">
        <v>34</v>
      </c>
      <c r="B58" s="132">
        <f>IFERROR(INDEX('Match Log'!$B$4:$B$311,MATCH(34,'Match Log'!$A$4:$A$311,0)),"")</f>
        <v>46175</v>
      </c>
      <c r="C58" t="str">
        <f>IFERROR(INDEX('Match Log'!$C$4:$C$311,MATCH(34,'Match Log'!$A$4:$A$311,0)),"")</f>
        <v>Poker</v>
      </c>
      <c r="D58" t="str">
        <f>IFERROR(INDEX('Match Log'!$G$4:$G$311,MATCH(34,'Match Log'!$A$4:$A$311,0)),"")</f>
        <v>Josh</v>
      </c>
      <c r="E58" s="133">
        <f>IFERROR(INDEX('Match Log'!$F$4:$F$311,MATCH(34,'Match Log'!$A$4:$A$311,0)),"")</f>
        <v>3</v>
      </c>
      <c r="F58">
        <f>IFERROR(SUMIFS('Match Log'!$I$4:$I$311,'Match Log'!$A$4:$A$311,34,'Match Log'!$E$4:$E$311,"Win"),"")</f>
        <v>0.33333333333333331</v>
      </c>
      <c r="G58">
        <f t="shared" si="19"/>
        <v>0</v>
      </c>
      <c r="H58" t="str">
        <f>IFERROR(IF($E58=2,LOOKUP(2,1/(('Match Log'!$A$4:$A$311=34)*('Match Log'!$E$4:$E$311="Loss")),'Match Log'!$D$4:$D$311),"the field"),"")</f>
        <v>the field</v>
      </c>
      <c r="I58">
        <f t="shared" si="20"/>
        <v>-3.4E-5</v>
      </c>
      <c r="J58">
        <v>34</v>
      </c>
      <c r="K58">
        <f>IF($J58&gt;MAX('Match Log'!$A$4:$A$311),NA(),IFERROR(LOOKUP(2,1/(('Match Log'!$D$4:$D$311=$K$24)*('Match Log'!$A$4:$A$311&lt;=$J58)),'Match Log'!$N$4:$N$311),NA()))</f>
        <v>1082.8539049537733</v>
      </c>
      <c r="L58" t="e">
        <f>IF($J58&gt;MAX('Match Log'!$A$4:$A$311),NA(),IFERROR(LOOKUP(2,1/(('Match Log'!$D$4:$D$311=$L$24)*('Match Log'!$A$4:$A$311&lt;=$J58)),'Match Log'!$N$4:$N$311),NA()))</f>
        <v>#N/A</v>
      </c>
      <c r="M58">
        <f>IF($J58&gt;MAX('Match Log'!$A$4:$A$311),NA(),IFERROR(LOOKUP(2,1/(('Match Log'!$D$4:$D$311=$M$24)*('Match Log'!$A$4:$A$311&lt;=$J58)),'Match Log'!$N$4:$N$311),NA()))</f>
        <v>1000.614377932863</v>
      </c>
      <c r="N58">
        <f>IF($J58&gt;MAX('Match Log'!$A$4:$A$311),NA(),IFERROR(LOOKUP(2,1/(('Match Log'!$D$4:$D$311=$N$24)*('Match Log'!$A$4:$A$311&lt;=$J58)),'Match Log'!$N$4:$N$311),NA()))</f>
        <v>930.80449970221821</v>
      </c>
      <c r="O58">
        <f>IF($J58&gt;MAX('Match Log'!$A$4:$A$311),NA(),IFERROR(LOOKUP(2,1/(('Match Log'!$D$4:$D$311=$O$24)*('Match Log'!$A$4:$A$311&lt;=$J58)),'Match Log'!$N$4:$N$311),NA()))</f>
        <v>1142.4675628195118</v>
      </c>
      <c r="P58">
        <f>IF($J58&gt;MAX('Match Log'!$A$4:$A$311),NA(),IFERROR(LOOKUP(2,1/(('Match Log'!$D$4:$D$311=$P$24)*('Match Log'!$A$4:$A$311&lt;=$J58)),'Match Log'!$N$4:$N$311),NA()))</f>
        <v>1007.4743526549773</v>
      </c>
      <c r="Q58">
        <f>IF($J58&gt;MAX('Match Log'!$A$4:$A$311),NA(),IFERROR(LOOKUP(2,1/(('Match Log'!$D$4:$D$311=$Q$24)*('Match Log'!$A$4:$A$311&lt;=$J58)),'Match Log'!$N$4:$N$311),NA()))</f>
        <v>1004.2142857142857</v>
      </c>
      <c r="R58">
        <f>IF($J58&gt;MAX('Match Log'!$A$4:$A$311),NA(),IFERROR(LOOKUP(2,1/(('Match Log'!$D$4:$D$311=$R$24)*('Match Log'!$A$4:$A$311&lt;=$J58)),'Match Log'!$N$4:$N$311),NA()))</f>
        <v>957.56644266393732</v>
      </c>
      <c r="S58" t="e">
        <f>IF($J58&gt;MAX('Match Log'!$A$4:$A$311),NA(),IFERROR(LOOKUP(2,1/(('Match Log'!$D$4:$D$311=$S$24)*('Match Log'!$A$4:$A$311&lt;=$J58)),'Match Log'!$N$4:$N$311),NA()))</f>
        <v>#N/A</v>
      </c>
      <c r="T58">
        <f>IF($J58&gt;MAX('Match Log'!$A$4:$A$311),NA(),IFERROR(LOOKUP(2,1/(('Match Log'!$D$4:$D$311=$T$24)*('Match Log'!$A$4:$A$311&lt;=$J58)),'Match Log'!$N$4:$N$311),NA()))</f>
        <v>947.91625238930521</v>
      </c>
      <c r="U58">
        <f>IF($J58&gt;MAX('Match Log'!$A$4:$A$311),NA(),IFERROR(LOOKUP(2,1/(('Match Log'!$D$4:$D$311=$U$24)*('Match Log'!$A$4:$A$311&lt;=$J58)),'Match Log'!$N$4:$N$311),NA()))</f>
        <v>1022.0883211691282</v>
      </c>
      <c r="V58" t="e">
        <f>IF($J58&gt;MAX('Match Log'!$A$4:$A$311),NA(),IFERROR(LOOKUP(2,1/(('Match Log'!$D$4:$D$311=$V$24)*('Match Log'!$A$4:$A$311&lt;=$J58)),'Match Log'!$N$4:$N$311),NA()))</f>
        <v>#N/A</v>
      </c>
      <c r="W58" t="e">
        <f>IF($J58&gt;MAX('Match Log'!$A$4:$A$311),NA(),IFERROR(LOOKUP(2,1/(('Match Log'!$D$4:$D$311=$W$24)*('Match Log'!$A$4:$A$311&lt;=$J58)),'Match Log'!$N$4:$N$311),NA()))</f>
        <v>#N/A</v>
      </c>
      <c r="X58" t="e">
        <f>IF($J58&gt;MAX('Match Log'!$A$4:$A$311),NA(),IFERROR(LOOKUP(2,1/(('Match Log'!$D$4:$D$311=$X$24)*('Match Log'!$A$4:$A$311&lt;=$J58)),'Match Log'!$N$4:$N$311),NA()))</f>
        <v>#N/A</v>
      </c>
      <c r="Y58" t="str">
        <f t="shared" ca="1" si="21"/>
        <v/>
      </c>
    </row>
    <row r="59" spans="1:25" ht="15" customHeight="1" x14ac:dyDescent="0.2">
      <c r="A59">
        <v>35</v>
      </c>
      <c r="B59" s="132">
        <f>IFERROR(INDEX('Match Log'!$B$4:$B$311,MATCH(35,'Match Log'!$A$4:$A$311,0)),"")</f>
        <v>46175</v>
      </c>
      <c r="C59" t="str">
        <f>IFERROR(INDEX('Match Log'!$C$4:$C$311,MATCH(35,'Match Log'!$A$4:$A$311,0)),"")</f>
        <v>Table Tennis</v>
      </c>
      <c r="D59" t="str">
        <f>IFERROR(INDEX('Match Log'!$G$4:$G$311,MATCH(35,'Match Log'!$A$4:$A$311,0)),"")</f>
        <v>David</v>
      </c>
      <c r="E59" s="133">
        <f>IFERROR(INDEX('Match Log'!$F$4:$F$311,MATCH(35,'Match Log'!$A$4:$A$311,0)),"")</f>
        <v>2</v>
      </c>
      <c r="F59">
        <f>IFERROR(SUMIFS('Match Log'!$I$4:$I$311,'Match Log'!$A$4:$A$311,35,'Match Log'!$E$4:$E$311,"Win"),"")</f>
        <v>0.45454545454545447</v>
      </c>
      <c r="G59">
        <f t="shared" si="19"/>
        <v>9.090909090909105E-2</v>
      </c>
      <c r="H59" t="str">
        <f>IFERROR(IF($E59=2,LOOKUP(2,1/(('Match Log'!$A$4:$A$311=35)*('Match Log'!$E$4:$E$311="Loss")),'Match Log'!$D$4:$D$311),"the field"),"")</f>
        <v>Cody</v>
      </c>
      <c r="I59">
        <f t="shared" si="20"/>
        <v>9.0874090909091057E-2</v>
      </c>
      <c r="J59">
        <v>35</v>
      </c>
      <c r="K59">
        <f>IF($J59&gt;MAX('Match Log'!$A$4:$A$311),NA(),IFERROR(LOOKUP(2,1/(('Match Log'!$D$4:$D$311=$K$24)*('Match Log'!$A$4:$A$311&lt;=$J59)),'Match Log'!$N$4:$N$311),NA()))</f>
        <v>1082.8539049537733</v>
      </c>
      <c r="L59" t="e">
        <f>IF($J59&gt;MAX('Match Log'!$A$4:$A$311),NA(),IFERROR(LOOKUP(2,1/(('Match Log'!$D$4:$D$311=$L$24)*('Match Log'!$A$4:$A$311&lt;=$J59)),'Match Log'!$N$4:$N$311),NA()))</f>
        <v>#N/A</v>
      </c>
      <c r="M59">
        <f>IF($J59&gt;MAX('Match Log'!$A$4:$A$311),NA(),IFERROR(LOOKUP(2,1/(('Match Log'!$D$4:$D$311=$M$24)*('Match Log'!$A$4:$A$311&lt;=$J59)),'Match Log'!$N$4:$N$311),NA()))</f>
        <v>1000.614377932863</v>
      </c>
      <c r="N59">
        <f>IF($J59&gt;MAX('Match Log'!$A$4:$A$311),NA(),IFERROR(LOOKUP(2,1/(('Match Log'!$D$4:$D$311=$N$24)*('Match Log'!$A$4:$A$311&lt;=$J59)),'Match Log'!$N$4:$N$311),NA()))</f>
        <v>954.03597311791009</v>
      </c>
      <c r="O59">
        <f>IF($J59&gt;MAX('Match Log'!$A$4:$A$311),NA(),IFERROR(LOOKUP(2,1/(('Match Log'!$D$4:$D$311=$O$24)*('Match Log'!$A$4:$A$311&lt;=$J59)),'Match Log'!$N$4:$N$311),NA()))</f>
        <v>1142.4675628195118</v>
      </c>
      <c r="P59">
        <f>IF($J59&gt;MAX('Match Log'!$A$4:$A$311),NA(),IFERROR(LOOKUP(2,1/(('Match Log'!$D$4:$D$311=$P$24)*('Match Log'!$A$4:$A$311&lt;=$J59)),'Match Log'!$N$4:$N$311),NA()))</f>
        <v>1007.4743526549773</v>
      </c>
      <c r="Q59">
        <f>IF($J59&gt;MAX('Match Log'!$A$4:$A$311),NA(),IFERROR(LOOKUP(2,1/(('Match Log'!$D$4:$D$311=$Q$24)*('Match Log'!$A$4:$A$311&lt;=$J59)),'Match Log'!$N$4:$N$311),NA()))</f>
        <v>1004.2142857142857</v>
      </c>
      <c r="R59">
        <f>IF($J59&gt;MAX('Match Log'!$A$4:$A$311),NA(),IFERROR(LOOKUP(2,1/(('Match Log'!$D$4:$D$311=$R$24)*('Match Log'!$A$4:$A$311&lt;=$J59)),'Match Log'!$N$4:$N$311),NA()))</f>
        <v>957.56644266393732</v>
      </c>
      <c r="S59" t="e">
        <f>IF($J59&gt;MAX('Match Log'!$A$4:$A$311),NA(),IFERROR(LOOKUP(2,1/(('Match Log'!$D$4:$D$311=$S$24)*('Match Log'!$A$4:$A$311&lt;=$J59)),'Match Log'!$N$4:$N$311),NA()))</f>
        <v>#N/A</v>
      </c>
      <c r="T59">
        <f>IF($J59&gt;MAX('Match Log'!$A$4:$A$311),NA(),IFERROR(LOOKUP(2,1/(('Match Log'!$D$4:$D$311=$T$24)*('Match Log'!$A$4:$A$311&lt;=$J59)),'Match Log'!$N$4:$N$311),NA()))</f>
        <v>924.68477897361333</v>
      </c>
      <c r="U59">
        <f>IF($J59&gt;MAX('Match Log'!$A$4:$A$311),NA(),IFERROR(LOOKUP(2,1/(('Match Log'!$D$4:$D$311=$U$24)*('Match Log'!$A$4:$A$311&lt;=$J59)),'Match Log'!$N$4:$N$311),NA()))</f>
        <v>1022.0883211691282</v>
      </c>
      <c r="V59" t="e">
        <f>IF($J59&gt;MAX('Match Log'!$A$4:$A$311),NA(),IFERROR(LOOKUP(2,1/(('Match Log'!$D$4:$D$311=$V$24)*('Match Log'!$A$4:$A$311&lt;=$J59)),'Match Log'!$N$4:$N$311),NA()))</f>
        <v>#N/A</v>
      </c>
      <c r="W59" t="e">
        <f>IF($J59&gt;MAX('Match Log'!$A$4:$A$311),NA(),IFERROR(LOOKUP(2,1/(('Match Log'!$D$4:$D$311=$W$24)*('Match Log'!$A$4:$A$311&lt;=$J59)),'Match Log'!$N$4:$N$311),NA()))</f>
        <v>#N/A</v>
      </c>
      <c r="X59" t="e">
        <f>IF($J59&gt;MAX('Match Log'!$A$4:$A$311),NA(),IFERROR(LOOKUP(2,1/(('Match Log'!$D$4:$D$311=$X$24)*('Match Log'!$A$4:$A$311&lt;=$J59)),'Match Log'!$N$4:$N$311),NA()))</f>
        <v>#N/A</v>
      </c>
      <c r="Y59" t="str">
        <f t="shared" ca="1" si="21"/>
        <v/>
      </c>
    </row>
    <row r="60" spans="1:25" ht="15" customHeight="1" x14ac:dyDescent="0.2">
      <c r="A60">
        <v>36</v>
      </c>
      <c r="B60" s="132">
        <f>IFERROR(INDEX('Match Log'!$B$4:$B$311,MATCH(36,'Match Log'!$A$4:$A$311,0)),"")</f>
        <v>46175</v>
      </c>
      <c r="C60" t="str">
        <f>IFERROR(INDEX('Match Log'!$C$4:$C$311,MATCH(36,'Match Log'!$A$4:$A$311,0)),"")</f>
        <v>Table Tennis</v>
      </c>
      <c r="D60" t="str">
        <f>IFERROR(INDEX('Match Log'!$G$4:$G$311,MATCH(36,'Match Log'!$A$4:$A$311,0)),"")</f>
        <v>Josh</v>
      </c>
      <c r="E60" s="133">
        <f>IFERROR(INDEX('Match Log'!$F$4:$F$311,MATCH(36,'Match Log'!$A$4:$A$311,0)),"")</f>
        <v>2</v>
      </c>
      <c r="F60">
        <f>IFERROR(SUMIFS('Match Log'!$I$4:$I$311,'Match Log'!$A$4:$A$311,36,'Match Log'!$E$4:$E$311,"Win"),"")</f>
        <v>0.7567567567567568</v>
      </c>
      <c r="G60">
        <f t="shared" si="19"/>
        <v>-0.5135135135135136</v>
      </c>
      <c r="H60" t="str">
        <f>IFERROR(IF($E60=2,LOOKUP(2,1/(('Match Log'!$A$4:$A$311=36)*('Match Log'!$E$4:$E$311="Loss")),'Match Log'!$D$4:$D$311),"the field"),"")</f>
        <v>David</v>
      </c>
      <c r="I60">
        <f t="shared" si="20"/>
        <v>-0.51354951351351363</v>
      </c>
      <c r="J60">
        <v>36</v>
      </c>
      <c r="K60">
        <f>IF($J60&gt;MAX('Match Log'!$A$4:$A$311),NA(),IFERROR(LOOKUP(2,1/(('Match Log'!$D$4:$D$311=$K$24)*('Match Log'!$A$4:$A$311&lt;=$J60)),'Match Log'!$N$4:$N$311),NA()))</f>
        <v>1082.8539049537733</v>
      </c>
      <c r="L60" t="e">
        <f>IF($J60&gt;MAX('Match Log'!$A$4:$A$311),NA(),IFERROR(LOOKUP(2,1/(('Match Log'!$D$4:$D$311=$L$24)*('Match Log'!$A$4:$A$311&lt;=$J60)),'Match Log'!$N$4:$N$311),NA()))</f>
        <v>#N/A</v>
      </c>
      <c r="M60">
        <f>IF($J60&gt;MAX('Match Log'!$A$4:$A$311),NA(),IFERROR(LOOKUP(2,1/(('Match Log'!$D$4:$D$311=$M$24)*('Match Log'!$A$4:$A$311&lt;=$J60)),'Match Log'!$N$4:$N$311),NA()))</f>
        <v>1000.614377932863</v>
      </c>
      <c r="N60">
        <f>IF($J60&gt;MAX('Match Log'!$A$4:$A$311),NA(),IFERROR(LOOKUP(2,1/(('Match Log'!$D$4:$D$311=$N$24)*('Match Log'!$A$4:$A$311&lt;=$J60)),'Match Log'!$N$4:$N$311),NA()))</f>
        <v>941.85442451275833</v>
      </c>
      <c r="O60">
        <f>IF($J60&gt;MAX('Match Log'!$A$4:$A$311),NA(),IFERROR(LOOKUP(2,1/(('Match Log'!$D$4:$D$311=$O$24)*('Match Log'!$A$4:$A$311&lt;=$J60)),'Match Log'!$N$4:$N$311),NA()))</f>
        <v>1154.6491114246637</v>
      </c>
      <c r="P60">
        <f>IF($J60&gt;MAX('Match Log'!$A$4:$A$311),NA(),IFERROR(LOOKUP(2,1/(('Match Log'!$D$4:$D$311=$P$24)*('Match Log'!$A$4:$A$311&lt;=$J60)),'Match Log'!$N$4:$N$311),NA()))</f>
        <v>1007.4743526549773</v>
      </c>
      <c r="Q60">
        <f>IF($J60&gt;MAX('Match Log'!$A$4:$A$311),NA(),IFERROR(LOOKUP(2,1/(('Match Log'!$D$4:$D$311=$Q$24)*('Match Log'!$A$4:$A$311&lt;=$J60)),'Match Log'!$N$4:$N$311),NA()))</f>
        <v>1004.2142857142857</v>
      </c>
      <c r="R60">
        <f>IF($J60&gt;MAX('Match Log'!$A$4:$A$311),NA(),IFERROR(LOOKUP(2,1/(('Match Log'!$D$4:$D$311=$R$24)*('Match Log'!$A$4:$A$311&lt;=$J60)),'Match Log'!$N$4:$N$311),NA()))</f>
        <v>957.56644266393732</v>
      </c>
      <c r="S60" t="e">
        <f>IF($J60&gt;MAX('Match Log'!$A$4:$A$311),NA(),IFERROR(LOOKUP(2,1/(('Match Log'!$D$4:$D$311=$S$24)*('Match Log'!$A$4:$A$311&lt;=$J60)),'Match Log'!$N$4:$N$311),NA()))</f>
        <v>#N/A</v>
      </c>
      <c r="T60">
        <f>IF($J60&gt;MAX('Match Log'!$A$4:$A$311),NA(),IFERROR(LOOKUP(2,1/(('Match Log'!$D$4:$D$311=$T$24)*('Match Log'!$A$4:$A$311&lt;=$J60)),'Match Log'!$N$4:$N$311),NA()))</f>
        <v>924.68477897361333</v>
      </c>
      <c r="U60">
        <f>IF($J60&gt;MAX('Match Log'!$A$4:$A$311),NA(),IFERROR(LOOKUP(2,1/(('Match Log'!$D$4:$D$311=$U$24)*('Match Log'!$A$4:$A$311&lt;=$J60)),'Match Log'!$N$4:$N$311),NA()))</f>
        <v>1022.0883211691282</v>
      </c>
      <c r="V60" t="e">
        <f>IF($J60&gt;MAX('Match Log'!$A$4:$A$311),NA(),IFERROR(LOOKUP(2,1/(('Match Log'!$D$4:$D$311=$V$24)*('Match Log'!$A$4:$A$311&lt;=$J60)),'Match Log'!$N$4:$N$311),NA()))</f>
        <v>#N/A</v>
      </c>
      <c r="W60" t="e">
        <f>IF($J60&gt;MAX('Match Log'!$A$4:$A$311),NA(),IFERROR(LOOKUP(2,1/(('Match Log'!$D$4:$D$311=$W$24)*('Match Log'!$A$4:$A$311&lt;=$J60)),'Match Log'!$N$4:$N$311),NA()))</f>
        <v>#N/A</v>
      </c>
      <c r="X60" t="e">
        <f>IF($J60&gt;MAX('Match Log'!$A$4:$A$311),NA(),IFERROR(LOOKUP(2,1/(('Match Log'!$D$4:$D$311=$X$24)*('Match Log'!$A$4:$A$311&lt;=$J60)),'Match Log'!$N$4:$N$311),NA()))</f>
        <v>#N/A</v>
      </c>
      <c r="Y60" t="str">
        <f t="shared" ca="1" si="21"/>
        <v/>
      </c>
    </row>
    <row r="61" spans="1:25" ht="15" customHeight="1" x14ac:dyDescent="0.2">
      <c r="A61">
        <v>37</v>
      </c>
      <c r="B61" s="132">
        <f>IFERROR(INDEX('Match Log'!$B$4:$B$311,MATCH(37,'Match Log'!$A$4:$A$311,0)),"")</f>
        <v>46175</v>
      </c>
      <c r="C61" t="str">
        <f>IFERROR(INDEX('Match Log'!$C$4:$C$311,MATCH(37,'Match Log'!$A$4:$A$311,0)),"")</f>
        <v>Table Tennis</v>
      </c>
      <c r="D61" t="str">
        <f>IFERROR(INDEX('Match Log'!$G$4:$G$311,MATCH(37,'Match Log'!$A$4:$A$311,0)),"")</f>
        <v>Josh</v>
      </c>
      <c r="E61" s="133">
        <f>IFERROR(INDEX('Match Log'!$F$4:$F$311,MATCH(37,'Match Log'!$A$4:$A$311,0)),"")</f>
        <v>2</v>
      </c>
      <c r="F61">
        <f>IFERROR(SUMIFS('Match Log'!$I$4:$I$311,'Match Log'!$A$4:$A$311,37,'Match Log'!$E$4:$E$311,"Win"),"")</f>
        <v>0.84375</v>
      </c>
      <c r="G61">
        <f t="shared" si="19"/>
        <v>-0.6875</v>
      </c>
      <c r="H61" t="str">
        <f>IFERROR(IF($E61=2,LOOKUP(2,1/(('Match Log'!$A$4:$A$311=37)*('Match Log'!$E$4:$E$311="Loss")),'Match Log'!$D$4:$D$311),"the field"),"")</f>
        <v>Cody</v>
      </c>
      <c r="I61">
        <f t="shared" si="20"/>
        <v>-0.68753699999999995</v>
      </c>
      <c r="J61">
        <v>37</v>
      </c>
      <c r="K61">
        <f>IF($J61&gt;MAX('Match Log'!$A$4:$A$311),NA(),IFERROR(LOOKUP(2,1/(('Match Log'!$D$4:$D$311=$K$24)*('Match Log'!$A$4:$A$311&lt;=$J61)),'Match Log'!$N$4:$N$311),NA()))</f>
        <v>1082.8539049537733</v>
      </c>
      <c r="L61" t="e">
        <f>IF($J61&gt;MAX('Match Log'!$A$4:$A$311),NA(),IFERROR(LOOKUP(2,1/(('Match Log'!$D$4:$D$311=$L$24)*('Match Log'!$A$4:$A$311&lt;=$J61)),'Match Log'!$N$4:$N$311),NA()))</f>
        <v>#N/A</v>
      </c>
      <c r="M61">
        <f>IF($J61&gt;MAX('Match Log'!$A$4:$A$311),NA(),IFERROR(LOOKUP(2,1/(('Match Log'!$D$4:$D$311=$M$24)*('Match Log'!$A$4:$A$311&lt;=$J61)),'Match Log'!$N$4:$N$311),NA()))</f>
        <v>1000.614377932863</v>
      </c>
      <c r="N61">
        <f>IF($J61&gt;MAX('Match Log'!$A$4:$A$311),NA(),IFERROR(LOOKUP(2,1/(('Match Log'!$D$4:$D$311=$N$24)*('Match Log'!$A$4:$A$311&lt;=$J61)),'Match Log'!$N$4:$N$311),NA()))</f>
        <v>941.85442451275833</v>
      </c>
      <c r="O61">
        <f>IF($J61&gt;MAX('Match Log'!$A$4:$A$311),NA(),IFERROR(LOOKUP(2,1/(('Match Log'!$D$4:$D$311=$O$24)*('Match Log'!$A$4:$A$311&lt;=$J61)),'Match Log'!$N$4:$N$311),NA()))</f>
        <v>1164.5283019156898</v>
      </c>
      <c r="P61">
        <f>IF($J61&gt;MAX('Match Log'!$A$4:$A$311),NA(),IFERROR(LOOKUP(2,1/(('Match Log'!$D$4:$D$311=$P$24)*('Match Log'!$A$4:$A$311&lt;=$J61)),'Match Log'!$N$4:$N$311),NA()))</f>
        <v>1007.4743526549773</v>
      </c>
      <c r="Q61">
        <f>IF($J61&gt;MAX('Match Log'!$A$4:$A$311),NA(),IFERROR(LOOKUP(2,1/(('Match Log'!$D$4:$D$311=$Q$24)*('Match Log'!$A$4:$A$311&lt;=$J61)),'Match Log'!$N$4:$N$311),NA()))</f>
        <v>1004.2142857142857</v>
      </c>
      <c r="R61">
        <f>IF($J61&gt;MAX('Match Log'!$A$4:$A$311),NA(),IFERROR(LOOKUP(2,1/(('Match Log'!$D$4:$D$311=$R$24)*('Match Log'!$A$4:$A$311&lt;=$J61)),'Match Log'!$N$4:$N$311),NA()))</f>
        <v>957.56644266393732</v>
      </c>
      <c r="S61" t="e">
        <f>IF($J61&gt;MAX('Match Log'!$A$4:$A$311),NA(),IFERROR(LOOKUP(2,1/(('Match Log'!$D$4:$D$311=$S$24)*('Match Log'!$A$4:$A$311&lt;=$J61)),'Match Log'!$N$4:$N$311),NA()))</f>
        <v>#N/A</v>
      </c>
      <c r="T61">
        <f>IF($J61&gt;MAX('Match Log'!$A$4:$A$311),NA(),IFERROR(LOOKUP(2,1/(('Match Log'!$D$4:$D$311=$T$24)*('Match Log'!$A$4:$A$311&lt;=$J61)),'Match Log'!$N$4:$N$311),NA()))</f>
        <v>914.80558848258727</v>
      </c>
      <c r="U61">
        <f>IF($J61&gt;MAX('Match Log'!$A$4:$A$311),NA(),IFERROR(LOOKUP(2,1/(('Match Log'!$D$4:$D$311=$U$24)*('Match Log'!$A$4:$A$311&lt;=$J61)),'Match Log'!$N$4:$N$311),NA()))</f>
        <v>1022.0883211691282</v>
      </c>
      <c r="V61" t="e">
        <f>IF($J61&gt;MAX('Match Log'!$A$4:$A$311),NA(),IFERROR(LOOKUP(2,1/(('Match Log'!$D$4:$D$311=$V$24)*('Match Log'!$A$4:$A$311&lt;=$J61)),'Match Log'!$N$4:$N$311),NA()))</f>
        <v>#N/A</v>
      </c>
      <c r="W61" t="e">
        <f>IF($J61&gt;MAX('Match Log'!$A$4:$A$311),NA(),IFERROR(LOOKUP(2,1/(('Match Log'!$D$4:$D$311=$W$24)*('Match Log'!$A$4:$A$311&lt;=$J61)),'Match Log'!$N$4:$N$311),NA()))</f>
        <v>#N/A</v>
      </c>
      <c r="X61" t="e">
        <f>IF($J61&gt;MAX('Match Log'!$A$4:$A$311),NA(),IFERROR(LOOKUP(2,1/(('Match Log'!$D$4:$D$311=$X$24)*('Match Log'!$A$4:$A$311&lt;=$J61)),'Match Log'!$N$4:$N$311),NA()))</f>
        <v>#N/A</v>
      </c>
      <c r="Y61" t="str">
        <f t="shared" ca="1" si="21"/>
        <v/>
      </c>
    </row>
    <row r="62" spans="1:25" ht="15" customHeight="1" x14ac:dyDescent="0.2">
      <c r="A62">
        <v>38</v>
      </c>
      <c r="B62" s="132">
        <f>IFERROR(INDEX('Match Log'!$B$4:$B$311,MATCH(38,'Match Log'!$A$4:$A$311,0)),"")</f>
        <v>46176</v>
      </c>
      <c r="C62" t="str">
        <f>IFERROR(INDEX('Match Log'!$C$4:$C$311,MATCH(38,'Match Log'!$A$4:$A$311,0)),"")</f>
        <v>Pool</v>
      </c>
      <c r="D62" t="str">
        <f>IFERROR(INDEX('Match Log'!$G$4:$G$311,MATCH(38,'Match Log'!$A$4:$A$311,0)),"")</f>
        <v>Dean B</v>
      </c>
      <c r="E62" s="133">
        <f>IFERROR(INDEX('Match Log'!$F$4:$F$311,MATCH(38,'Match Log'!$A$4:$A$311,0)),"")</f>
        <v>2</v>
      </c>
      <c r="F62">
        <f>IFERROR(SUMIFS('Match Log'!$I$4:$I$311,'Match Log'!$A$4:$A$311,38,'Match Log'!$E$4:$E$311,"Win"),"")</f>
        <v>0.5</v>
      </c>
      <c r="G62">
        <f t="shared" si="19"/>
        <v>0</v>
      </c>
      <c r="H62" t="str">
        <f>IFERROR(IF($E62=2,LOOKUP(2,1/(('Match Log'!$A$4:$A$311=38)*('Match Log'!$E$4:$E$311="Loss")),'Match Log'!$D$4:$D$311),"the field"),"")</f>
        <v>Oscar</v>
      </c>
      <c r="I62">
        <f t="shared" si="20"/>
        <v>-3.8000000000000002E-5</v>
      </c>
      <c r="J62">
        <v>38</v>
      </c>
      <c r="K62">
        <f>IF($J62&gt;MAX('Match Log'!$A$4:$A$311),NA(),IFERROR(LOOKUP(2,1/(('Match Log'!$D$4:$D$311=$K$24)*('Match Log'!$A$4:$A$311&lt;=$J62)),'Match Log'!$N$4:$N$311),NA()))</f>
        <v>1082.8539049537733</v>
      </c>
      <c r="L62" t="e">
        <f>IF($J62&gt;MAX('Match Log'!$A$4:$A$311),NA(),IFERROR(LOOKUP(2,1/(('Match Log'!$D$4:$D$311=$L$24)*('Match Log'!$A$4:$A$311&lt;=$J62)),'Match Log'!$N$4:$N$311),NA()))</f>
        <v>#N/A</v>
      </c>
      <c r="M62">
        <f>IF($J62&gt;MAX('Match Log'!$A$4:$A$311),NA(),IFERROR(LOOKUP(2,1/(('Match Log'!$D$4:$D$311=$M$24)*('Match Log'!$A$4:$A$311&lt;=$J62)),'Match Log'!$N$4:$N$311),NA()))</f>
        <v>1000.614377932863</v>
      </c>
      <c r="N62">
        <f>IF($J62&gt;MAX('Match Log'!$A$4:$A$311),NA(),IFERROR(LOOKUP(2,1/(('Match Log'!$D$4:$D$311=$N$24)*('Match Log'!$A$4:$A$311&lt;=$J62)),'Match Log'!$N$4:$N$311),NA()))</f>
        <v>941.85442451275833</v>
      </c>
      <c r="O62">
        <f>IF($J62&gt;MAX('Match Log'!$A$4:$A$311),NA(),IFERROR(LOOKUP(2,1/(('Match Log'!$D$4:$D$311=$O$24)*('Match Log'!$A$4:$A$311&lt;=$J62)),'Match Log'!$N$4:$N$311),NA()))</f>
        <v>1164.5283019156898</v>
      </c>
      <c r="P62">
        <f>IF($J62&gt;MAX('Match Log'!$A$4:$A$311),NA(),IFERROR(LOOKUP(2,1/(('Match Log'!$D$4:$D$311=$P$24)*('Match Log'!$A$4:$A$311&lt;=$J62)),'Match Log'!$N$4:$N$311),NA()))</f>
        <v>1007.4743526549773</v>
      </c>
      <c r="Q62">
        <f>IF($J62&gt;MAX('Match Log'!$A$4:$A$311),NA(),IFERROR(LOOKUP(2,1/(('Match Log'!$D$4:$D$311=$Q$24)*('Match Log'!$A$4:$A$311&lt;=$J62)),'Match Log'!$N$4:$N$311),NA()))</f>
        <v>1004.2142857142857</v>
      </c>
      <c r="R62">
        <f>IF($J62&gt;MAX('Match Log'!$A$4:$A$311),NA(),IFERROR(LOOKUP(2,1/(('Match Log'!$D$4:$D$311=$R$24)*('Match Log'!$A$4:$A$311&lt;=$J62)),'Match Log'!$N$4:$N$311),NA()))</f>
        <v>957.56644266393732</v>
      </c>
      <c r="S62">
        <f>IF($J62&gt;MAX('Match Log'!$A$4:$A$311),NA(),IFERROR(LOOKUP(2,1/(('Match Log'!$D$4:$D$311=$S$24)*('Match Log'!$A$4:$A$311&lt;=$J62)),'Match Log'!$N$4:$N$311),NA()))</f>
        <v>1023.0158365406871</v>
      </c>
      <c r="T62">
        <f>IF($J62&gt;MAX('Match Log'!$A$4:$A$311),NA(),IFERROR(LOOKUP(2,1/(('Match Log'!$D$4:$D$311=$T$24)*('Match Log'!$A$4:$A$311&lt;=$J62)),'Match Log'!$N$4:$N$311),NA()))</f>
        <v>914.80558848258727</v>
      </c>
      <c r="U62">
        <f>IF($J62&gt;MAX('Match Log'!$A$4:$A$311),NA(),IFERROR(LOOKUP(2,1/(('Match Log'!$D$4:$D$311=$U$24)*('Match Log'!$A$4:$A$311&lt;=$J62)),'Match Log'!$N$4:$N$311),NA()))</f>
        <v>999.07248462844109</v>
      </c>
      <c r="V62" t="e">
        <f>IF($J62&gt;MAX('Match Log'!$A$4:$A$311),NA(),IFERROR(LOOKUP(2,1/(('Match Log'!$D$4:$D$311=$V$24)*('Match Log'!$A$4:$A$311&lt;=$J62)),'Match Log'!$N$4:$N$311),NA()))</f>
        <v>#N/A</v>
      </c>
      <c r="W62" t="e">
        <f>IF($J62&gt;MAX('Match Log'!$A$4:$A$311),NA(),IFERROR(LOOKUP(2,1/(('Match Log'!$D$4:$D$311=$W$24)*('Match Log'!$A$4:$A$311&lt;=$J62)),'Match Log'!$N$4:$N$311),NA()))</f>
        <v>#N/A</v>
      </c>
      <c r="X62" t="e">
        <f>IF($J62&gt;MAX('Match Log'!$A$4:$A$311),NA(),IFERROR(LOOKUP(2,1/(('Match Log'!$D$4:$D$311=$X$24)*('Match Log'!$A$4:$A$311&lt;=$J62)),'Match Log'!$N$4:$N$311),NA()))</f>
        <v>#N/A</v>
      </c>
      <c r="Y62" t="str">
        <f t="shared" ca="1" si="21"/>
        <v/>
      </c>
    </row>
    <row r="63" spans="1:25" ht="15" customHeight="1" x14ac:dyDescent="0.2">
      <c r="A63">
        <v>39</v>
      </c>
      <c r="B63" s="132">
        <f>IFERROR(INDEX('Match Log'!$B$4:$B$311,MATCH(39,'Match Log'!$A$4:$A$311,0)),"")</f>
        <v>46176</v>
      </c>
      <c r="C63" t="str">
        <f>IFERROR(INDEX('Match Log'!$C$4:$C$311,MATCH(39,'Match Log'!$A$4:$A$311,0)),"")</f>
        <v>Pool</v>
      </c>
      <c r="D63" t="str">
        <f>IFERROR(INDEX('Match Log'!$G$4:$G$311,MATCH(39,'Match Log'!$A$4:$A$311,0)),"")</f>
        <v>Dean B</v>
      </c>
      <c r="E63" s="133">
        <f>IFERROR(INDEX('Match Log'!$F$4:$F$311,MATCH(39,'Match Log'!$A$4:$A$311,0)),"")</f>
        <v>2</v>
      </c>
      <c r="F63">
        <f>IFERROR(SUMIFS('Match Log'!$I$4:$I$311,'Match Log'!$A$4:$A$311,39,'Match Log'!$E$4:$E$311,"Win"),"")</f>
        <v>0.66666666666666663</v>
      </c>
      <c r="G63">
        <f t="shared" si="19"/>
        <v>-0.33333333333333326</v>
      </c>
      <c r="H63" t="str">
        <f>IFERROR(IF($E63=2,LOOKUP(2,1/(('Match Log'!$A$4:$A$311=39)*('Match Log'!$E$4:$E$311="Loss")),'Match Log'!$D$4:$D$311),"the field"),"")</f>
        <v>Oscar</v>
      </c>
      <c r="I63">
        <f t="shared" si="20"/>
        <v>-0.33337233333333327</v>
      </c>
      <c r="J63">
        <v>39</v>
      </c>
      <c r="K63">
        <f>IF($J63&gt;MAX('Match Log'!$A$4:$A$311),NA(),IFERROR(LOOKUP(2,1/(('Match Log'!$D$4:$D$311=$K$24)*('Match Log'!$A$4:$A$311&lt;=$J63)),'Match Log'!$N$4:$N$311),NA()))</f>
        <v>1082.8539049537733</v>
      </c>
      <c r="L63" t="e">
        <f>IF($J63&gt;MAX('Match Log'!$A$4:$A$311),NA(),IFERROR(LOOKUP(2,1/(('Match Log'!$D$4:$D$311=$L$24)*('Match Log'!$A$4:$A$311&lt;=$J63)),'Match Log'!$N$4:$N$311),NA()))</f>
        <v>#N/A</v>
      </c>
      <c r="M63">
        <f>IF($J63&gt;MAX('Match Log'!$A$4:$A$311),NA(),IFERROR(LOOKUP(2,1/(('Match Log'!$D$4:$D$311=$M$24)*('Match Log'!$A$4:$A$311&lt;=$J63)),'Match Log'!$N$4:$N$311),NA()))</f>
        <v>1000.614377932863</v>
      </c>
      <c r="N63">
        <f>IF($J63&gt;MAX('Match Log'!$A$4:$A$311),NA(),IFERROR(LOOKUP(2,1/(('Match Log'!$D$4:$D$311=$N$24)*('Match Log'!$A$4:$A$311&lt;=$J63)),'Match Log'!$N$4:$N$311),NA()))</f>
        <v>941.85442451275833</v>
      </c>
      <c r="O63">
        <f>IF($J63&gt;MAX('Match Log'!$A$4:$A$311),NA(),IFERROR(LOOKUP(2,1/(('Match Log'!$D$4:$D$311=$O$24)*('Match Log'!$A$4:$A$311&lt;=$J63)),'Match Log'!$N$4:$N$311),NA()))</f>
        <v>1164.5283019156898</v>
      </c>
      <c r="P63">
        <f>IF($J63&gt;MAX('Match Log'!$A$4:$A$311),NA(),IFERROR(LOOKUP(2,1/(('Match Log'!$D$4:$D$311=$P$24)*('Match Log'!$A$4:$A$311&lt;=$J63)),'Match Log'!$N$4:$N$311),NA()))</f>
        <v>1007.4743526549773</v>
      </c>
      <c r="Q63">
        <f>IF($J63&gt;MAX('Match Log'!$A$4:$A$311),NA(),IFERROR(LOOKUP(2,1/(('Match Log'!$D$4:$D$311=$Q$24)*('Match Log'!$A$4:$A$311&lt;=$J63)),'Match Log'!$N$4:$N$311),NA()))</f>
        <v>1004.2142857142857</v>
      </c>
      <c r="R63">
        <f>IF($J63&gt;MAX('Match Log'!$A$4:$A$311),NA(),IFERROR(LOOKUP(2,1/(('Match Log'!$D$4:$D$311=$R$24)*('Match Log'!$A$4:$A$311&lt;=$J63)),'Match Log'!$N$4:$N$311),NA()))</f>
        <v>957.56644266393732</v>
      </c>
      <c r="S63">
        <f>IF($J63&gt;MAX('Match Log'!$A$4:$A$311),NA(),IFERROR(LOOKUP(2,1/(('Match Log'!$D$4:$D$311=$S$24)*('Match Log'!$A$4:$A$311&lt;=$J63)),'Match Log'!$N$4:$N$311),NA()))</f>
        <v>1041.8534190291462</v>
      </c>
      <c r="T63">
        <f>IF($J63&gt;MAX('Match Log'!$A$4:$A$311),NA(),IFERROR(LOOKUP(2,1/(('Match Log'!$D$4:$D$311=$T$24)*('Match Log'!$A$4:$A$311&lt;=$J63)),'Match Log'!$N$4:$N$311),NA()))</f>
        <v>914.80558848258727</v>
      </c>
      <c r="U63">
        <f>IF($J63&gt;MAX('Match Log'!$A$4:$A$311),NA(),IFERROR(LOOKUP(2,1/(('Match Log'!$D$4:$D$311=$U$24)*('Match Log'!$A$4:$A$311&lt;=$J63)),'Match Log'!$N$4:$N$311),NA()))</f>
        <v>980.23490213998207</v>
      </c>
      <c r="V63" t="e">
        <f>IF($J63&gt;MAX('Match Log'!$A$4:$A$311),NA(),IFERROR(LOOKUP(2,1/(('Match Log'!$D$4:$D$311=$V$24)*('Match Log'!$A$4:$A$311&lt;=$J63)),'Match Log'!$N$4:$N$311),NA()))</f>
        <v>#N/A</v>
      </c>
      <c r="W63" t="e">
        <f>IF($J63&gt;MAX('Match Log'!$A$4:$A$311),NA(),IFERROR(LOOKUP(2,1/(('Match Log'!$D$4:$D$311=$W$24)*('Match Log'!$A$4:$A$311&lt;=$J63)),'Match Log'!$N$4:$N$311),NA()))</f>
        <v>#N/A</v>
      </c>
      <c r="X63" t="e">
        <f>IF($J63&gt;MAX('Match Log'!$A$4:$A$311),NA(),IFERROR(LOOKUP(2,1/(('Match Log'!$D$4:$D$311=$X$24)*('Match Log'!$A$4:$A$311&lt;=$J63)),'Match Log'!$N$4:$N$311),NA()))</f>
        <v>#N/A</v>
      </c>
      <c r="Y63" t="str">
        <f t="shared" ca="1" si="21"/>
        <v/>
      </c>
    </row>
    <row r="64" spans="1:25" ht="15" customHeight="1" x14ac:dyDescent="0.2">
      <c r="A64">
        <v>40</v>
      </c>
      <c r="B64" s="132">
        <f>IFERROR(INDEX('Match Log'!$B$4:$B$311,MATCH(40,'Match Log'!$A$4:$A$311,0)),"")</f>
        <v>46176</v>
      </c>
      <c r="C64" t="str">
        <f>IFERROR(INDEX('Match Log'!$C$4:$C$311,MATCH(40,'Match Log'!$A$4:$A$311,0)),"")</f>
        <v>Pool</v>
      </c>
      <c r="D64" t="str">
        <f>IFERROR(INDEX('Match Log'!$G$4:$G$311,MATCH(40,'Match Log'!$A$4:$A$311,0)),"")</f>
        <v>Daniel (Ferret)</v>
      </c>
      <c r="E64" s="133">
        <f>IFERROR(INDEX('Match Log'!$F$4:$F$311,MATCH(40,'Match Log'!$A$4:$A$311,0)),"")</f>
        <v>2</v>
      </c>
      <c r="F64">
        <f>IFERROR(SUMIFS('Match Log'!$I$4:$I$311,'Match Log'!$A$4:$A$311,40,'Match Log'!$E$4:$E$311,"Win"),"")</f>
        <v>0.4</v>
      </c>
      <c r="G64">
        <f t="shared" si="19"/>
        <v>0.19999999999999996</v>
      </c>
      <c r="H64" t="str">
        <f>IFERROR(IF($E64=2,LOOKUP(2,1/(('Match Log'!$A$4:$A$311=40)*('Match Log'!$E$4:$E$311="Loss")),'Match Log'!$D$4:$D$311),"the field"),"")</f>
        <v>Dean B</v>
      </c>
      <c r="I64">
        <f t="shared" si="20"/>
        <v>0.19995999999999994</v>
      </c>
      <c r="J64">
        <v>40</v>
      </c>
      <c r="K64">
        <f>IF($J64&gt;MAX('Match Log'!$A$4:$A$311),NA(),IFERROR(LOOKUP(2,1/(('Match Log'!$D$4:$D$311=$K$24)*('Match Log'!$A$4:$A$311&lt;=$J64)),'Match Log'!$N$4:$N$311),NA()))</f>
        <v>1082.8539049537733</v>
      </c>
      <c r="L64" t="e">
        <f>IF($J64&gt;MAX('Match Log'!$A$4:$A$311),NA(),IFERROR(LOOKUP(2,1/(('Match Log'!$D$4:$D$311=$L$24)*('Match Log'!$A$4:$A$311&lt;=$J64)),'Match Log'!$N$4:$N$311),NA()))</f>
        <v>#N/A</v>
      </c>
      <c r="M64">
        <f>IF($J64&gt;MAX('Match Log'!$A$4:$A$311),NA(),IFERROR(LOOKUP(2,1/(('Match Log'!$D$4:$D$311=$M$24)*('Match Log'!$A$4:$A$311&lt;=$J64)),'Match Log'!$N$4:$N$311),NA()))</f>
        <v>1000.614377932863</v>
      </c>
      <c r="N64">
        <f>IF($J64&gt;MAX('Match Log'!$A$4:$A$311),NA(),IFERROR(LOOKUP(2,1/(('Match Log'!$D$4:$D$311=$N$24)*('Match Log'!$A$4:$A$311&lt;=$J64)),'Match Log'!$N$4:$N$311),NA()))</f>
        <v>941.85442451275833</v>
      </c>
      <c r="O64">
        <f>IF($J64&gt;MAX('Match Log'!$A$4:$A$311),NA(),IFERROR(LOOKUP(2,1/(('Match Log'!$D$4:$D$311=$O$24)*('Match Log'!$A$4:$A$311&lt;=$J64)),'Match Log'!$N$4:$N$311),NA()))</f>
        <v>1164.5283019156898</v>
      </c>
      <c r="P64">
        <f>IF($J64&gt;MAX('Match Log'!$A$4:$A$311),NA(),IFERROR(LOOKUP(2,1/(('Match Log'!$D$4:$D$311=$P$24)*('Match Log'!$A$4:$A$311&lt;=$J64)),'Match Log'!$N$4:$N$311),NA()))</f>
        <v>1007.4743526549773</v>
      </c>
      <c r="Q64">
        <f>IF($J64&gt;MAX('Match Log'!$A$4:$A$311),NA(),IFERROR(LOOKUP(2,1/(('Match Log'!$D$4:$D$311=$Q$24)*('Match Log'!$A$4:$A$311&lt;=$J64)),'Match Log'!$N$4:$N$311),NA()))</f>
        <v>1004.2142857142857</v>
      </c>
      <c r="R64">
        <f>IF($J64&gt;MAX('Match Log'!$A$4:$A$311),NA(),IFERROR(LOOKUP(2,1/(('Match Log'!$D$4:$D$311=$R$24)*('Match Log'!$A$4:$A$311&lt;=$J64)),'Match Log'!$N$4:$N$311),NA()))</f>
        <v>984.43274896980699</v>
      </c>
      <c r="S64">
        <f>IF($J64&gt;MAX('Match Log'!$A$4:$A$311),NA(),IFERROR(LOOKUP(2,1/(('Match Log'!$D$4:$D$311=$S$24)*('Match Log'!$A$4:$A$311&lt;=$J64)),'Match Log'!$N$4:$N$311),NA()))</f>
        <v>1014.9871127232765</v>
      </c>
      <c r="T64">
        <f>IF($J64&gt;MAX('Match Log'!$A$4:$A$311),NA(),IFERROR(LOOKUP(2,1/(('Match Log'!$D$4:$D$311=$T$24)*('Match Log'!$A$4:$A$311&lt;=$J64)),'Match Log'!$N$4:$N$311),NA()))</f>
        <v>914.80558848258727</v>
      </c>
      <c r="U64">
        <f>IF($J64&gt;MAX('Match Log'!$A$4:$A$311),NA(),IFERROR(LOOKUP(2,1/(('Match Log'!$D$4:$D$311=$U$24)*('Match Log'!$A$4:$A$311&lt;=$J64)),'Match Log'!$N$4:$N$311),NA()))</f>
        <v>980.23490213998207</v>
      </c>
      <c r="V64" t="e">
        <f>IF($J64&gt;MAX('Match Log'!$A$4:$A$311),NA(),IFERROR(LOOKUP(2,1/(('Match Log'!$D$4:$D$311=$V$24)*('Match Log'!$A$4:$A$311&lt;=$J64)),'Match Log'!$N$4:$N$311),NA()))</f>
        <v>#N/A</v>
      </c>
      <c r="W64" t="e">
        <f>IF($J64&gt;MAX('Match Log'!$A$4:$A$311),NA(),IFERROR(LOOKUP(2,1/(('Match Log'!$D$4:$D$311=$W$24)*('Match Log'!$A$4:$A$311&lt;=$J64)),'Match Log'!$N$4:$N$311),NA()))</f>
        <v>#N/A</v>
      </c>
      <c r="X64" t="e">
        <f>IF($J64&gt;MAX('Match Log'!$A$4:$A$311),NA(),IFERROR(LOOKUP(2,1/(('Match Log'!$D$4:$D$311=$X$24)*('Match Log'!$A$4:$A$311&lt;=$J64)),'Match Log'!$N$4:$N$311),NA()))</f>
        <v>#N/A</v>
      </c>
      <c r="Y64" t="str">
        <f t="shared" ca="1" si="21"/>
        <v/>
      </c>
    </row>
    <row r="65" spans="1:25" ht="15" customHeight="1" x14ac:dyDescent="0.2">
      <c r="A65">
        <v>41</v>
      </c>
      <c r="B65" s="132">
        <f>IFERROR(INDEX('Match Log'!$B$4:$B$311,MATCH(41,'Match Log'!$A$4:$A$311,0)),"")</f>
        <v>46176</v>
      </c>
      <c r="C65" t="str">
        <f>IFERROR(INDEX('Match Log'!$C$4:$C$311,MATCH(41,'Match Log'!$A$4:$A$311,0)),"")</f>
        <v>Table Tennis</v>
      </c>
      <c r="D65" t="str">
        <f>IFERROR(INDEX('Match Log'!$G$4:$G$311,MATCH(41,'Match Log'!$A$4:$A$311,0)),"")</f>
        <v>Josh</v>
      </c>
      <c r="E65" s="133">
        <f>IFERROR(INDEX('Match Log'!$F$4:$F$311,MATCH(41,'Match Log'!$A$4:$A$311,0)),"")</f>
        <v>2</v>
      </c>
      <c r="F65">
        <f>IFERROR(SUMIFS('Match Log'!$I$4:$I$311,'Match Log'!$A$4:$A$311,41,'Match Log'!$E$4:$E$311,"Win"),"")</f>
        <v>0.78431372549019596</v>
      </c>
      <c r="G65">
        <f t="shared" si="19"/>
        <v>-0.56862745098039191</v>
      </c>
      <c r="H65" t="str">
        <f>IFERROR(IF($E65=2,LOOKUP(2,1/(('Match Log'!$A$4:$A$311=41)*('Match Log'!$E$4:$E$311="Loss")),'Match Log'!$D$4:$D$311),"the field"),"")</f>
        <v>Daniel (Ferret)</v>
      </c>
      <c r="I65">
        <f t="shared" si="20"/>
        <v>-0.56866845098039187</v>
      </c>
      <c r="J65">
        <v>41</v>
      </c>
      <c r="K65">
        <f>IF($J65&gt;MAX('Match Log'!$A$4:$A$311),NA(),IFERROR(LOOKUP(2,1/(('Match Log'!$D$4:$D$311=$K$24)*('Match Log'!$A$4:$A$311&lt;=$J65)),'Match Log'!$N$4:$N$311),NA()))</f>
        <v>1082.8539049537733</v>
      </c>
      <c r="L65" t="e">
        <f>IF($J65&gt;MAX('Match Log'!$A$4:$A$311),NA(),IFERROR(LOOKUP(2,1/(('Match Log'!$D$4:$D$311=$L$24)*('Match Log'!$A$4:$A$311&lt;=$J65)),'Match Log'!$N$4:$N$311),NA()))</f>
        <v>#N/A</v>
      </c>
      <c r="M65">
        <f>IF($J65&gt;MAX('Match Log'!$A$4:$A$311),NA(),IFERROR(LOOKUP(2,1/(('Match Log'!$D$4:$D$311=$M$24)*('Match Log'!$A$4:$A$311&lt;=$J65)),'Match Log'!$N$4:$N$311),NA()))</f>
        <v>1000.614377932863</v>
      </c>
      <c r="N65">
        <f>IF($J65&gt;MAX('Match Log'!$A$4:$A$311),NA(),IFERROR(LOOKUP(2,1/(('Match Log'!$D$4:$D$311=$N$24)*('Match Log'!$A$4:$A$311&lt;=$J65)),'Match Log'!$N$4:$N$311),NA()))</f>
        <v>941.85442451275833</v>
      </c>
      <c r="O65">
        <f>IF($J65&gt;MAX('Match Log'!$A$4:$A$311),NA(),IFERROR(LOOKUP(2,1/(('Match Log'!$D$4:$D$311=$O$24)*('Match Log'!$A$4:$A$311&lt;=$J65)),'Match Log'!$N$4:$N$311),NA()))</f>
        <v>1176.0871765311047</v>
      </c>
      <c r="P65">
        <f>IF($J65&gt;MAX('Match Log'!$A$4:$A$311),NA(),IFERROR(LOOKUP(2,1/(('Match Log'!$D$4:$D$311=$P$24)*('Match Log'!$A$4:$A$311&lt;=$J65)),'Match Log'!$N$4:$N$311),NA()))</f>
        <v>1007.4743526549773</v>
      </c>
      <c r="Q65">
        <f>IF($J65&gt;MAX('Match Log'!$A$4:$A$311),NA(),IFERROR(LOOKUP(2,1/(('Match Log'!$D$4:$D$311=$Q$24)*('Match Log'!$A$4:$A$311&lt;=$J65)),'Match Log'!$N$4:$N$311),NA()))</f>
        <v>1004.2142857142857</v>
      </c>
      <c r="R65">
        <f>IF($J65&gt;MAX('Match Log'!$A$4:$A$311),NA(),IFERROR(LOOKUP(2,1/(('Match Log'!$D$4:$D$311=$R$24)*('Match Log'!$A$4:$A$311&lt;=$J65)),'Match Log'!$N$4:$N$311),NA()))</f>
        <v>972.87387435439211</v>
      </c>
      <c r="S65">
        <f>IF($J65&gt;MAX('Match Log'!$A$4:$A$311),NA(),IFERROR(LOOKUP(2,1/(('Match Log'!$D$4:$D$311=$S$24)*('Match Log'!$A$4:$A$311&lt;=$J65)),'Match Log'!$N$4:$N$311),NA()))</f>
        <v>1014.9871127232765</v>
      </c>
      <c r="T65">
        <f>IF($J65&gt;MAX('Match Log'!$A$4:$A$311),NA(),IFERROR(LOOKUP(2,1/(('Match Log'!$D$4:$D$311=$T$24)*('Match Log'!$A$4:$A$311&lt;=$J65)),'Match Log'!$N$4:$N$311),NA()))</f>
        <v>914.80558848258727</v>
      </c>
      <c r="U65">
        <f>IF($J65&gt;MAX('Match Log'!$A$4:$A$311),NA(),IFERROR(LOOKUP(2,1/(('Match Log'!$D$4:$D$311=$U$24)*('Match Log'!$A$4:$A$311&lt;=$J65)),'Match Log'!$N$4:$N$311),NA()))</f>
        <v>980.23490213998207</v>
      </c>
      <c r="V65" t="e">
        <f>IF($J65&gt;MAX('Match Log'!$A$4:$A$311),NA(),IFERROR(LOOKUP(2,1/(('Match Log'!$D$4:$D$311=$V$24)*('Match Log'!$A$4:$A$311&lt;=$J65)),'Match Log'!$N$4:$N$311),NA()))</f>
        <v>#N/A</v>
      </c>
      <c r="W65" t="e">
        <f>IF($J65&gt;MAX('Match Log'!$A$4:$A$311),NA(),IFERROR(LOOKUP(2,1/(('Match Log'!$D$4:$D$311=$W$24)*('Match Log'!$A$4:$A$311&lt;=$J65)),'Match Log'!$N$4:$N$311),NA()))</f>
        <v>#N/A</v>
      </c>
      <c r="X65" t="e">
        <f>IF($J65&gt;MAX('Match Log'!$A$4:$A$311),NA(),IFERROR(LOOKUP(2,1/(('Match Log'!$D$4:$D$311=$X$24)*('Match Log'!$A$4:$A$311&lt;=$J65)),'Match Log'!$N$4:$N$311),NA()))</f>
        <v>#N/A</v>
      </c>
      <c r="Y65" t="str">
        <f t="shared" ca="1" si="21"/>
        <v/>
      </c>
    </row>
    <row r="66" spans="1:25" ht="15" customHeight="1" x14ac:dyDescent="0.2">
      <c r="A66">
        <v>42</v>
      </c>
      <c r="B66" s="132">
        <f>IFERROR(INDEX('Match Log'!$B$4:$B$311,MATCH(42,'Match Log'!$A$4:$A$311,0)),"")</f>
        <v>46176</v>
      </c>
      <c r="C66" t="str">
        <f>IFERROR(INDEX('Match Log'!$C$4:$C$311,MATCH(42,'Match Log'!$A$4:$A$311,0)),"")</f>
        <v>Table Tennis</v>
      </c>
      <c r="D66" t="str">
        <f>IFERROR(INDEX('Match Log'!$G$4:$G$311,MATCH(42,'Match Log'!$A$4:$A$311,0)),"")</f>
        <v>Josh</v>
      </c>
      <c r="E66" s="133">
        <f>IFERROR(INDEX('Match Log'!$F$4:$F$311,MATCH(42,'Match Log'!$A$4:$A$311,0)),"")</f>
        <v>2</v>
      </c>
      <c r="F66">
        <f>IFERROR(SUMIFS('Match Log'!$I$4:$I$311,'Match Log'!$A$4:$A$311,42,'Match Log'!$E$4:$E$311,"Win"),"")</f>
        <v>0.6470588235294118</v>
      </c>
      <c r="G66">
        <f t="shared" si="19"/>
        <v>-0.29411764705882359</v>
      </c>
      <c r="H66" t="str">
        <f>IFERROR(IF($E66=2,LOOKUP(2,1/(('Match Log'!$A$4:$A$311=42)*('Match Log'!$E$4:$E$311="Loss")),'Match Log'!$D$4:$D$311),"the field"),"")</f>
        <v>Dean B</v>
      </c>
      <c r="I66">
        <f t="shared" si="20"/>
        <v>-0.29415964705882358</v>
      </c>
      <c r="J66">
        <v>42</v>
      </c>
      <c r="K66">
        <f>IF($J66&gt;MAX('Match Log'!$A$4:$A$311),NA(),IFERROR(LOOKUP(2,1/(('Match Log'!$D$4:$D$311=$K$24)*('Match Log'!$A$4:$A$311&lt;=$J66)),'Match Log'!$N$4:$N$311),NA()))</f>
        <v>1082.8539049537733</v>
      </c>
      <c r="L66" t="e">
        <f>IF($J66&gt;MAX('Match Log'!$A$4:$A$311),NA(),IFERROR(LOOKUP(2,1/(('Match Log'!$D$4:$D$311=$L$24)*('Match Log'!$A$4:$A$311&lt;=$J66)),'Match Log'!$N$4:$N$311),NA()))</f>
        <v>#N/A</v>
      </c>
      <c r="M66">
        <f>IF($J66&gt;MAX('Match Log'!$A$4:$A$311),NA(),IFERROR(LOOKUP(2,1/(('Match Log'!$D$4:$D$311=$M$24)*('Match Log'!$A$4:$A$311&lt;=$J66)),'Match Log'!$N$4:$N$311),NA()))</f>
        <v>1000.614377932863</v>
      </c>
      <c r="N66">
        <f>IF($J66&gt;MAX('Match Log'!$A$4:$A$311),NA(),IFERROR(LOOKUP(2,1/(('Match Log'!$D$4:$D$311=$N$24)*('Match Log'!$A$4:$A$311&lt;=$J66)),'Match Log'!$N$4:$N$311),NA()))</f>
        <v>941.85442451275833</v>
      </c>
      <c r="O66">
        <f>IF($J66&gt;MAX('Match Log'!$A$4:$A$311),NA(),IFERROR(LOOKUP(2,1/(('Match Log'!$D$4:$D$311=$O$24)*('Match Log'!$A$4:$A$311&lt;=$J66)),'Match Log'!$N$4:$N$311),NA()))</f>
        <v>1190.858963517245</v>
      </c>
      <c r="P66">
        <f>IF($J66&gt;MAX('Match Log'!$A$4:$A$311),NA(),IFERROR(LOOKUP(2,1/(('Match Log'!$D$4:$D$311=$P$24)*('Match Log'!$A$4:$A$311&lt;=$J66)),'Match Log'!$N$4:$N$311),NA()))</f>
        <v>1007.4743526549773</v>
      </c>
      <c r="Q66">
        <f>IF($J66&gt;MAX('Match Log'!$A$4:$A$311),NA(),IFERROR(LOOKUP(2,1/(('Match Log'!$D$4:$D$311=$Q$24)*('Match Log'!$A$4:$A$311&lt;=$J66)),'Match Log'!$N$4:$N$311),NA()))</f>
        <v>1004.2142857142857</v>
      </c>
      <c r="R66">
        <f>IF($J66&gt;MAX('Match Log'!$A$4:$A$311),NA(),IFERROR(LOOKUP(2,1/(('Match Log'!$D$4:$D$311=$R$24)*('Match Log'!$A$4:$A$311&lt;=$J66)),'Match Log'!$N$4:$N$311),NA()))</f>
        <v>972.87387435439211</v>
      </c>
      <c r="S66">
        <f>IF($J66&gt;MAX('Match Log'!$A$4:$A$311),NA(),IFERROR(LOOKUP(2,1/(('Match Log'!$D$4:$D$311=$S$24)*('Match Log'!$A$4:$A$311&lt;=$J66)),'Match Log'!$N$4:$N$311),NA()))</f>
        <v>1000.2153257371361</v>
      </c>
      <c r="T66">
        <f>IF($J66&gt;MAX('Match Log'!$A$4:$A$311),NA(),IFERROR(LOOKUP(2,1/(('Match Log'!$D$4:$D$311=$T$24)*('Match Log'!$A$4:$A$311&lt;=$J66)),'Match Log'!$N$4:$N$311),NA()))</f>
        <v>914.80558848258727</v>
      </c>
      <c r="U66">
        <f>IF($J66&gt;MAX('Match Log'!$A$4:$A$311),NA(),IFERROR(LOOKUP(2,1/(('Match Log'!$D$4:$D$311=$U$24)*('Match Log'!$A$4:$A$311&lt;=$J66)),'Match Log'!$N$4:$N$311),NA()))</f>
        <v>980.23490213998207</v>
      </c>
      <c r="V66" t="e">
        <f>IF($J66&gt;MAX('Match Log'!$A$4:$A$311),NA(),IFERROR(LOOKUP(2,1/(('Match Log'!$D$4:$D$311=$V$24)*('Match Log'!$A$4:$A$311&lt;=$J66)),'Match Log'!$N$4:$N$311),NA()))</f>
        <v>#N/A</v>
      </c>
      <c r="W66" t="e">
        <f>IF($J66&gt;MAX('Match Log'!$A$4:$A$311),NA(),IFERROR(LOOKUP(2,1/(('Match Log'!$D$4:$D$311=$W$24)*('Match Log'!$A$4:$A$311&lt;=$J66)),'Match Log'!$N$4:$N$311),NA()))</f>
        <v>#N/A</v>
      </c>
      <c r="X66" t="e">
        <f>IF($J66&gt;MAX('Match Log'!$A$4:$A$311),NA(),IFERROR(LOOKUP(2,1/(('Match Log'!$D$4:$D$311=$X$24)*('Match Log'!$A$4:$A$311&lt;=$J66)),'Match Log'!$N$4:$N$311),NA()))</f>
        <v>#N/A</v>
      </c>
      <c r="Y66" t="str">
        <f t="shared" ca="1" si="21"/>
        <v/>
      </c>
    </row>
    <row r="67" spans="1:25" ht="15" customHeight="1" x14ac:dyDescent="0.2">
      <c r="A67">
        <v>43</v>
      </c>
      <c r="B67" s="132">
        <f>IFERROR(INDEX('Match Log'!$B$4:$B$311,MATCH(43,'Match Log'!$A$4:$A$311,0)),"")</f>
        <v>46176</v>
      </c>
      <c r="C67" t="str">
        <f>IFERROR(INDEX('Match Log'!$C$4:$C$311,MATCH(43,'Match Log'!$A$4:$A$311,0)),"")</f>
        <v>Table Tennis</v>
      </c>
      <c r="D67" t="str">
        <f>IFERROR(INDEX('Match Log'!$G$4:$G$311,MATCH(43,'Match Log'!$A$4:$A$311,0)),"")</f>
        <v>Dean B</v>
      </c>
      <c r="E67" s="133">
        <f>IFERROR(INDEX('Match Log'!$F$4:$F$311,MATCH(43,'Match Log'!$A$4:$A$311,0)),"")</f>
        <v>2</v>
      </c>
      <c r="F67">
        <f>IFERROR(SUMIFS('Match Log'!$I$4:$I$311,'Match Log'!$A$4:$A$311,43,'Match Log'!$E$4:$E$311,"Win"),"")</f>
        <v>0.26530612244897961</v>
      </c>
      <c r="G67">
        <f t="shared" si="19"/>
        <v>0.46938775510204078</v>
      </c>
      <c r="H67" t="str">
        <f>IFERROR(IF($E67=2,LOOKUP(2,1/(('Match Log'!$A$4:$A$311=43)*('Match Log'!$E$4:$E$311="Loss")),'Match Log'!$D$4:$D$311),"the field"),"")</f>
        <v>Josh</v>
      </c>
      <c r="I67">
        <f t="shared" si="20"/>
        <v>0.46934475510204077</v>
      </c>
      <c r="J67">
        <v>43</v>
      </c>
      <c r="K67">
        <f>IF($J67&gt;MAX('Match Log'!$A$4:$A$311),NA(),IFERROR(LOOKUP(2,1/(('Match Log'!$D$4:$D$311=$K$24)*('Match Log'!$A$4:$A$311&lt;=$J67)),'Match Log'!$N$4:$N$311),NA()))</f>
        <v>1082.8539049537733</v>
      </c>
      <c r="L67" t="e">
        <f>IF($J67&gt;MAX('Match Log'!$A$4:$A$311),NA(),IFERROR(LOOKUP(2,1/(('Match Log'!$D$4:$D$311=$L$24)*('Match Log'!$A$4:$A$311&lt;=$J67)),'Match Log'!$N$4:$N$311),NA()))</f>
        <v>#N/A</v>
      </c>
      <c r="M67">
        <f>IF($J67&gt;MAX('Match Log'!$A$4:$A$311),NA(),IFERROR(LOOKUP(2,1/(('Match Log'!$D$4:$D$311=$M$24)*('Match Log'!$A$4:$A$311&lt;=$J67)),'Match Log'!$N$4:$N$311),NA()))</f>
        <v>1000.614377932863</v>
      </c>
      <c r="N67">
        <f>IF($J67&gt;MAX('Match Log'!$A$4:$A$311),NA(),IFERROR(LOOKUP(2,1/(('Match Log'!$D$4:$D$311=$N$24)*('Match Log'!$A$4:$A$311&lt;=$J67)),'Match Log'!$N$4:$N$311),NA()))</f>
        <v>941.85442451275833</v>
      </c>
      <c r="O67">
        <f>IF($J67&gt;MAX('Match Log'!$A$4:$A$311),NA(),IFERROR(LOOKUP(2,1/(('Match Log'!$D$4:$D$311=$O$24)*('Match Log'!$A$4:$A$311&lt;=$J67)),'Match Log'!$N$4:$N$311),NA()))</f>
        <v>1159.4965047770127</v>
      </c>
      <c r="P67">
        <f>IF($J67&gt;MAX('Match Log'!$A$4:$A$311),NA(),IFERROR(LOOKUP(2,1/(('Match Log'!$D$4:$D$311=$P$24)*('Match Log'!$A$4:$A$311&lt;=$J67)),'Match Log'!$N$4:$N$311),NA()))</f>
        <v>1007.4743526549773</v>
      </c>
      <c r="Q67">
        <f>IF($J67&gt;MAX('Match Log'!$A$4:$A$311),NA(),IFERROR(LOOKUP(2,1/(('Match Log'!$D$4:$D$311=$Q$24)*('Match Log'!$A$4:$A$311&lt;=$J67)),'Match Log'!$N$4:$N$311),NA()))</f>
        <v>1004.2142857142857</v>
      </c>
      <c r="R67">
        <f>IF($J67&gt;MAX('Match Log'!$A$4:$A$311),NA(),IFERROR(LOOKUP(2,1/(('Match Log'!$D$4:$D$311=$R$24)*('Match Log'!$A$4:$A$311&lt;=$J67)),'Match Log'!$N$4:$N$311),NA()))</f>
        <v>972.87387435439211</v>
      </c>
      <c r="S67">
        <f>IF($J67&gt;MAX('Match Log'!$A$4:$A$311),NA(),IFERROR(LOOKUP(2,1/(('Match Log'!$D$4:$D$311=$S$24)*('Match Log'!$A$4:$A$311&lt;=$J67)),'Match Log'!$N$4:$N$311),NA()))</f>
        <v>1031.5777844773686</v>
      </c>
      <c r="T67">
        <f>IF($J67&gt;MAX('Match Log'!$A$4:$A$311),NA(),IFERROR(LOOKUP(2,1/(('Match Log'!$D$4:$D$311=$T$24)*('Match Log'!$A$4:$A$311&lt;=$J67)),'Match Log'!$N$4:$N$311),NA()))</f>
        <v>914.80558848258727</v>
      </c>
      <c r="U67">
        <f>IF($J67&gt;MAX('Match Log'!$A$4:$A$311),NA(),IFERROR(LOOKUP(2,1/(('Match Log'!$D$4:$D$311=$U$24)*('Match Log'!$A$4:$A$311&lt;=$J67)),'Match Log'!$N$4:$N$311),NA()))</f>
        <v>980.23490213998207</v>
      </c>
      <c r="V67" t="e">
        <f>IF($J67&gt;MAX('Match Log'!$A$4:$A$311),NA(),IFERROR(LOOKUP(2,1/(('Match Log'!$D$4:$D$311=$V$24)*('Match Log'!$A$4:$A$311&lt;=$J67)),'Match Log'!$N$4:$N$311),NA()))</f>
        <v>#N/A</v>
      </c>
      <c r="W67" t="e">
        <f>IF($J67&gt;MAX('Match Log'!$A$4:$A$311),NA(),IFERROR(LOOKUP(2,1/(('Match Log'!$D$4:$D$311=$W$24)*('Match Log'!$A$4:$A$311&lt;=$J67)),'Match Log'!$N$4:$N$311),NA()))</f>
        <v>#N/A</v>
      </c>
      <c r="X67" t="e">
        <f>IF($J67&gt;MAX('Match Log'!$A$4:$A$311),NA(),IFERROR(LOOKUP(2,1/(('Match Log'!$D$4:$D$311=$X$24)*('Match Log'!$A$4:$A$311&lt;=$J67)),'Match Log'!$N$4:$N$311),NA()))</f>
        <v>#N/A</v>
      </c>
      <c r="Y67" t="str">
        <f t="shared" ca="1" si="21"/>
        <v/>
      </c>
    </row>
    <row r="68" spans="1:25" ht="15" customHeight="1" x14ac:dyDescent="0.2">
      <c r="A68">
        <v>44</v>
      </c>
      <c r="B68" s="132">
        <f>IFERROR(INDEX('Match Log'!$B$4:$B$311,MATCH(44,'Match Log'!$A$4:$A$311,0)),"")</f>
        <v>46176</v>
      </c>
      <c r="C68" t="str">
        <f>IFERROR(INDEX('Match Log'!$C$4:$C$311,MATCH(44,'Match Log'!$A$4:$A$311,0)),"")</f>
        <v>Table Tennis</v>
      </c>
      <c r="D68" t="str">
        <f>IFERROR(INDEX('Match Log'!$G$4:$G$311,MATCH(44,'Match Log'!$A$4:$A$311,0)),"")</f>
        <v>Josh</v>
      </c>
      <c r="E68" s="133">
        <f>IFERROR(INDEX('Match Log'!$F$4:$F$311,MATCH(44,'Match Log'!$A$4:$A$311,0)),"")</f>
        <v>2</v>
      </c>
      <c r="F68">
        <f>IFERROR(SUMIFS('Match Log'!$I$4:$I$311,'Match Log'!$A$4:$A$311,44,'Match Log'!$E$4:$E$311,"Win"),"")</f>
        <v>0.5625</v>
      </c>
      <c r="G68">
        <f t="shared" si="19"/>
        <v>-0.125</v>
      </c>
      <c r="H68" t="str">
        <f>IFERROR(IF($E68=2,LOOKUP(2,1/(('Match Log'!$A$4:$A$311=44)*('Match Log'!$E$4:$E$311="Loss")),'Match Log'!$D$4:$D$311),"the field"),"")</f>
        <v>Oscar</v>
      </c>
      <c r="I68">
        <f t="shared" si="20"/>
        <v>-0.12504399999999999</v>
      </c>
      <c r="J68">
        <v>44</v>
      </c>
      <c r="K68">
        <f>IF($J68&gt;MAX('Match Log'!$A$4:$A$311),NA(),IFERROR(LOOKUP(2,1/(('Match Log'!$D$4:$D$311=$K$24)*('Match Log'!$A$4:$A$311&lt;=$J68)),'Match Log'!$N$4:$N$311),NA()))</f>
        <v>1082.8539049537733</v>
      </c>
      <c r="L68" t="e">
        <f>IF($J68&gt;MAX('Match Log'!$A$4:$A$311),NA(),IFERROR(LOOKUP(2,1/(('Match Log'!$D$4:$D$311=$L$24)*('Match Log'!$A$4:$A$311&lt;=$J68)),'Match Log'!$N$4:$N$311),NA()))</f>
        <v>#N/A</v>
      </c>
      <c r="M68">
        <f>IF($J68&gt;MAX('Match Log'!$A$4:$A$311),NA(),IFERROR(LOOKUP(2,1/(('Match Log'!$D$4:$D$311=$M$24)*('Match Log'!$A$4:$A$311&lt;=$J68)),'Match Log'!$N$4:$N$311),NA()))</f>
        <v>1000.614377932863</v>
      </c>
      <c r="N68">
        <f>IF($J68&gt;MAX('Match Log'!$A$4:$A$311),NA(),IFERROR(LOOKUP(2,1/(('Match Log'!$D$4:$D$311=$N$24)*('Match Log'!$A$4:$A$311&lt;=$J68)),'Match Log'!$N$4:$N$311),NA()))</f>
        <v>941.85442451275833</v>
      </c>
      <c r="O68">
        <f>IF($J68&gt;MAX('Match Log'!$A$4:$A$311),NA(),IFERROR(LOOKUP(2,1/(('Match Log'!$D$4:$D$311=$O$24)*('Match Log'!$A$4:$A$311&lt;=$J68)),'Match Log'!$N$4:$N$311),NA()))</f>
        <v>1174.7371245411287</v>
      </c>
      <c r="P68">
        <f>IF($J68&gt;MAX('Match Log'!$A$4:$A$311),NA(),IFERROR(LOOKUP(2,1/(('Match Log'!$D$4:$D$311=$P$24)*('Match Log'!$A$4:$A$311&lt;=$J68)),'Match Log'!$N$4:$N$311),NA()))</f>
        <v>1007.4743526549773</v>
      </c>
      <c r="Q68">
        <f>IF($J68&gt;MAX('Match Log'!$A$4:$A$311),NA(),IFERROR(LOOKUP(2,1/(('Match Log'!$D$4:$D$311=$Q$24)*('Match Log'!$A$4:$A$311&lt;=$J68)),'Match Log'!$N$4:$N$311),NA()))</f>
        <v>1004.2142857142857</v>
      </c>
      <c r="R68">
        <f>IF($J68&gt;MAX('Match Log'!$A$4:$A$311),NA(),IFERROR(LOOKUP(2,1/(('Match Log'!$D$4:$D$311=$R$24)*('Match Log'!$A$4:$A$311&lt;=$J68)),'Match Log'!$N$4:$N$311),NA()))</f>
        <v>972.87387435439211</v>
      </c>
      <c r="S68">
        <f>IF($J68&gt;MAX('Match Log'!$A$4:$A$311),NA(),IFERROR(LOOKUP(2,1/(('Match Log'!$D$4:$D$311=$S$24)*('Match Log'!$A$4:$A$311&lt;=$J68)),'Match Log'!$N$4:$N$311),NA()))</f>
        <v>1031.5777844773686</v>
      </c>
      <c r="T68">
        <f>IF($J68&gt;MAX('Match Log'!$A$4:$A$311),NA(),IFERROR(LOOKUP(2,1/(('Match Log'!$D$4:$D$311=$T$24)*('Match Log'!$A$4:$A$311&lt;=$J68)),'Match Log'!$N$4:$N$311),NA()))</f>
        <v>914.80558848258727</v>
      </c>
      <c r="U68">
        <f>IF($J68&gt;MAX('Match Log'!$A$4:$A$311),NA(),IFERROR(LOOKUP(2,1/(('Match Log'!$D$4:$D$311=$U$24)*('Match Log'!$A$4:$A$311&lt;=$J68)),'Match Log'!$N$4:$N$311),NA()))</f>
        <v>964.99428237586596</v>
      </c>
      <c r="V68" t="e">
        <f>IF($J68&gt;MAX('Match Log'!$A$4:$A$311),NA(),IFERROR(LOOKUP(2,1/(('Match Log'!$D$4:$D$311=$V$24)*('Match Log'!$A$4:$A$311&lt;=$J68)),'Match Log'!$N$4:$N$311),NA()))</f>
        <v>#N/A</v>
      </c>
      <c r="W68" t="e">
        <f>IF($J68&gt;MAX('Match Log'!$A$4:$A$311),NA(),IFERROR(LOOKUP(2,1/(('Match Log'!$D$4:$D$311=$W$24)*('Match Log'!$A$4:$A$311&lt;=$J68)),'Match Log'!$N$4:$N$311),NA()))</f>
        <v>#N/A</v>
      </c>
      <c r="X68" t="e">
        <f>IF($J68&gt;MAX('Match Log'!$A$4:$A$311),NA(),IFERROR(LOOKUP(2,1/(('Match Log'!$D$4:$D$311=$X$24)*('Match Log'!$A$4:$A$311&lt;=$J68)),'Match Log'!$N$4:$N$311),NA()))</f>
        <v>#N/A</v>
      </c>
      <c r="Y68" t="str">
        <f t="shared" ca="1" si="21"/>
        <v/>
      </c>
    </row>
    <row r="69" spans="1:25" ht="15" customHeight="1" x14ac:dyDescent="0.2">
      <c r="A69">
        <v>45</v>
      </c>
      <c r="B69" s="132">
        <f>IFERROR(INDEX('Match Log'!$B$4:$B$311,MATCH(45,'Match Log'!$A$4:$A$311,0)),"")</f>
        <v>46176</v>
      </c>
      <c r="C69" t="str">
        <f>IFERROR(INDEX('Match Log'!$C$4:$C$311,MATCH(45,'Match Log'!$A$4:$A$311,0)),"")</f>
        <v>Table Tennis</v>
      </c>
      <c r="D69" t="str">
        <f>IFERROR(INDEX('Match Log'!$G$4:$G$311,MATCH(45,'Match Log'!$A$4:$A$311,0)),"")</f>
        <v>Josh</v>
      </c>
      <c r="E69" s="133">
        <f>IFERROR(INDEX('Match Log'!$F$4:$F$311,MATCH(45,'Match Log'!$A$4:$A$311,0)),"")</f>
        <v>2</v>
      </c>
      <c r="F69">
        <f>IFERROR(SUMIFS('Match Log'!$I$4:$I$311,'Match Log'!$A$4:$A$311,45,'Match Log'!$E$4:$E$311,"Win"),"")</f>
        <v>0.63414634146341464</v>
      </c>
      <c r="G69">
        <f t="shared" si="19"/>
        <v>-0.26829268292682928</v>
      </c>
      <c r="H69" t="str">
        <f>IFERROR(IF($E69=2,LOOKUP(2,1/(('Match Log'!$A$4:$A$311=45)*('Match Log'!$E$4:$E$311="Loss")),'Match Log'!$D$4:$D$311),"the field"),"")</f>
        <v>Oscar</v>
      </c>
      <c r="I69">
        <f t="shared" si="20"/>
        <v>-0.2683376829268293</v>
      </c>
      <c r="J69">
        <v>45</v>
      </c>
      <c r="K69">
        <f>IF($J69&gt;MAX('Match Log'!$A$4:$A$311),NA(),IFERROR(LOOKUP(2,1/(('Match Log'!$D$4:$D$311=$K$24)*('Match Log'!$A$4:$A$311&lt;=$J69)),'Match Log'!$N$4:$N$311),NA()))</f>
        <v>1082.8539049537733</v>
      </c>
      <c r="L69" t="e">
        <f>IF($J69&gt;MAX('Match Log'!$A$4:$A$311),NA(),IFERROR(LOOKUP(2,1/(('Match Log'!$D$4:$D$311=$L$24)*('Match Log'!$A$4:$A$311&lt;=$J69)),'Match Log'!$N$4:$N$311),NA()))</f>
        <v>#N/A</v>
      </c>
      <c r="M69">
        <f>IF($J69&gt;MAX('Match Log'!$A$4:$A$311),NA(),IFERROR(LOOKUP(2,1/(('Match Log'!$D$4:$D$311=$M$24)*('Match Log'!$A$4:$A$311&lt;=$J69)),'Match Log'!$N$4:$N$311),NA()))</f>
        <v>1000.614377932863</v>
      </c>
      <c r="N69">
        <f>IF($J69&gt;MAX('Match Log'!$A$4:$A$311),NA(),IFERROR(LOOKUP(2,1/(('Match Log'!$D$4:$D$311=$N$24)*('Match Log'!$A$4:$A$311&lt;=$J69)),'Match Log'!$N$4:$N$311),NA()))</f>
        <v>941.85442451275833</v>
      </c>
      <c r="O69">
        <f>IF($J69&gt;MAX('Match Log'!$A$4:$A$311),NA(),IFERROR(LOOKUP(2,1/(('Match Log'!$D$4:$D$311=$O$24)*('Match Log'!$A$4:$A$311&lt;=$J69)),'Match Log'!$N$4:$N$311),NA()))</f>
        <v>1188.2704310480462</v>
      </c>
      <c r="P69">
        <f>IF($J69&gt;MAX('Match Log'!$A$4:$A$311),NA(),IFERROR(LOOKUP(2,1/(('Match Log'!$D$4:$D$311=$P$24)*('Match Log'!$A$4:$A$311&lt;=$J69)),'Match Log'!$N$4:$N$311),NA()))</f>
        <v>1007.4743526549773</v>
      </c>
      <c r="Q69">
        <f>IF($J69&gt;MAX('Match Log'!$A$4:$A$311),NA(),IFERROR(LOOKUP(2,1/(('Match Log'!$D$4:$D$311=$Q$24)*('Match Log'!$A$4:$A$311&lt;=$J69)),'Match Log'!$N$4:$N$311),NA()))</f>
        <v>1004.2142857142857</v>
      </c>
      <c r="R69">
        <f>IF($J69&gt;MAX('Match Log'!$A$4:$A$311),NA(),IFERROR(LOOKUP(2,1/(('Match Log'!$D$4:$D$311=$R$24)*('Match Log'!$A$4:$A$311&lt;=$J69)),'Match Log'!$N$4:$N$311),NA()))</f>
        <v>972.87387435439211</v>
      </c>
      <c r="S69">
        <f>IF($J69&gt;MAX('Match Log'!$A$4:$A$311),NA(),IFERROR(LOOKUP(2,1/(('Match Log'!$D$4:$D$311=$S$24)*('Match Log'!$A$4:$A$311&lt;=$J69)),'Match Log'!$N$4:$N$311),NA()))</f>
        <v>1031.5777844773686</v>
      </c>
      <c r="T69">
        <f>IF($J69&gt;MAX('Match Log'!$A$4:$A$311),NA(),IFERROR(LOOKUP(2,1/(('Match Log'!$D$4:$D$311=$T$24)*('Match Log'!$A$4:$A$311&lt;=$J69)),'Match Log'!$N$4:$N$311),NA()))</f>
        <v>914.80558848258727</v>
      </c>
      <c r="U69">
        <f>IF($J69&gt;MAX('Match Log'!$A$4:$A$311),NA(),IFERROR(LOOKUP(2,1/(('Match Log'!$D$4:$D$311=$U$24)*('Match Log'!$A$4:$A$311&lt;=$J69)),'Match Log'!$N$4:$N$311),NA()))</f>
        <v>951.46097586894837</v>
      </c>
      <c r="V69" t="e">
        <f>IF($J69&gt;MAX('Match Log'!$A$4:$A$311),NA(),IFERROR(LOOKUP(2,1/(('Match Log'!$D$4:$D$311=$V$24)*('Match Log'!$A$4:$A$311&lt;=$J69)),'Match Log'!$N$4:$N$311),NA()))</f>
        <v>#N/A</v>
      </c>
      <c r="W69" t="e">
        <f>IF($J69&gt;MAX('Match Log'!$A$4:$A$311),NA(),IFERROR(LOOKUP(2,1/(('Match Log'!$D$4:$D$311=$W$24)*('Match Log'!$A$4:$A$311&lt;=$J69)),'Match Log'!$N$4:$N$311),NA()))</f>
        <v>#N/A</v>
      </c>
      <c r="X69" t="e">
        <f>IF($J69&gt;MAX('Match Log'!$A$4:$A$311),NA(),IFERROR(LOOKUP(2,1/(('Match Log'!$D$4:$D$311=$X$24)*('Match Log'!$A$4:$A$311&lt;=$J69)),'Match Log'!$N$4:$N$311),NA()))</f>
        <v>#N/A</v>
      </c>
      <c r="Y69" t="str">
        <f t="shared" ca="1" si="21"/>
        <v/>
      </c>
    </row>
    <row r="70" spans="1:25" ht="15" customHeight="1" x14ac:dyDescent="0.2">
      <c r="A70">
        <v>46</v>
      </c>
      <c r="B70" s="132">
        <f>IFERROR(INDEX('Match Log'!$B$4:$B$311,MATCH(46,'Match Log'!$A$4:$A$311,0)),"")</f>
        <v>46176</v>
      </c>
      <c r="C70" t="str">
        <f>IFERROR(INDEX('Match Log'!$C$4:$C$311,MATCH(46,'Match Log'!$A$4:$A$311,0)),"")</f>
        <v>Table Tennis</v>
      </c>
      <c r="D70" t="str">
        <f>IFERROR(INDEX('Match Log'!$G$4:$G$311,MATCH(46,'Match Log'!$A$4:$A$311,0)),"")</f>
        <v>Oscar</v>
      </c>
      <c r="E70" s="133">
        <f>IFERROR(INDEX('Match Log'!$F$4:$F$311,MATCH(46,'Match Log'!$A$4:$A$311,0)),"")</f>
        <v>2</v>
      </c>
      <c r="F70">
        <f>IFERROR(SUMIFS('Match Log'!$I$4:$I$311,'Match Log'!$A$4:$A$311,46,'Match Log'!$E$4:$E$311,"Win"),"")</f>
        <v>0.31372549019607848</v>
      </c>
      <c r="G70">
        <f t="shared" si="19"/>
        <v>0.37254901960784303</v>
      </c>
      <c r="H70" t="str">
        <f>IFERROR(IF($E70=2,LOOKUP(2,1/(('Match Log'!$A$4:$A$311=46)*('Match Log'!$E$4:$E$311="Loss")),'Match Log'!$D$4:$D$311),"the field"),"")</f>
        <v>Josh</v>
      </c>
      <c r="I70">
        <f t="shared" si="20"/>
        <v>0.37250301960784304</v>
      </c>
      <c r="J70">
        <v>46</v>
      </c>
      <c r="K70">
        <f>IF($J70&gt;MAX('Match Log'!$A$4:$A$311),NA(),IFERROR(LOOKUP(2,1/(('Match Log'!$D$4:$D$311=$K$24)*('Match Log'!$A$4:$A$311&lt;=$J70)),'Match Log'!$N$4:$N$311),NA()))</f>
        <v>1082.8539049537733</v>
      </c>
      <c r="L70" t="e">
        <f>IF($J70&gt;MAX('Match Log'!$A$4:$A$311),NA(),IFERROR(LOOKUP(2,1/(('Match Log'!$D$4:$D$311=$L$24)*('Match Log'!$A$4:$A$311&lt;=$J70)),'Match Log'!$N$4:$N$311),NA()))</f>
        <v>#N/A</v>
      </c>
      <c r="M70">
        <f>IF($J70&gt;MAX('Match Log'!$A$4:$A$311),NA(),IFERROR(LOOKUP(2,1/(('Match Log'!$D$4:$D$311=$M$24)*('Match Log'!$A$4:$A$311&lt;=$J70)),'Match Log'!$N$4:$N$311),NA()))</f>
        <v>1000.614377932863</v>
      </c>
      <c r="N70">
        <f>IF($J70&gt;MAX('Match Log'!$A$4:$A$311),NA(),IFERROR(LOOKUP(2,1/(('Match Log'!$D$4:$D$311=$N$24)*('Match Log'!$A$4:$A$311&lt;=$J70)),'Match Log'!$N$4:$N$311),NA()))</f>
        <v>941.85442451275833</v>
      </c>
      <c r="O70">
        <f>IF($J70&gt;MAX('Match Log'!$A$4:$A$311),NA(),IFERROR(LOOKUP(2,1/(('Match Log'!$D$4:$D$311=$O$24)*('Match Log'!$A$4:$A$311&lt;=$J70)),'Match Log'!$N$4:$N$311),NA()))</f>
        <v>1156.4528965767604</v>
      </c>
      <c r="P70">
        <f>IF($J70&gt;MAX('Match Log'!$A$4:$A$311),NA(),IFERROR(LOOKUP(2,1/(('Match Log'!$D$4:$D$311=$P$24)*('Match Log'!$A$4:$A$311&lt;=$J70)),'Match Log'!$N$4:$N$311),NA()))</f>
        <v>1007.4743526549773</v>
      </c>
      <c r="Q70">
        <f>IF($J70&gt;MAX('Match Log'!$A$4:$A$311),NA(),IFERROR(LOOKUP(2,1/(('Match Log'!$D$4:$D$311=$Q$24)*('Match Log'!$A$4:$A$311&lt;=$J70)),'Match Log'!$N$4:$N$311),NA()))</f>
        <v>1004.2142857142857</v>
      </c>
      <c r="R70">
        <f>IF($J70&gt;MAX('Match Log'!$A$4:$A$311),NA(),IFERROR(LOOKUP(2,1/(('Match Log'!$D$4:$D$311=$R$24)*('Match Log'!$A$4:$A$311&lt;=$J70)),'Match Log'!$N$4:$N$311),NA()))</f>
        <v>972.87387435439211</v>
      </c>
      <c r="S70">
        <f>IF($J70&gt;MAX('Match Log'!$A$4:$A$311),NA(),IFERROR(LOOKUP(2,1/(('Match Log'!$D$4:$D$311=$S$24)*('Match Log'!$A$4:$A$311&lt;=$J70)),'Match Log'!$N$4:$N$311),NA()))</f>
        <v>1031.5777844773686</v>
      </c>
      <c r="T70">
        <f>IF($J70&gt;MAX('Match Log'!$A$4:$A$311),NA(),IFERROR(LOOKUP(2,1/(('Match Log'!$D$4:$D$311=$T$24)*('Match Log'!$A$4:$A$311&lt;=$J70)),'Match Log'!$N$4:$N$311),NA()))</f>
        <v>914.80558848258727</v>
      </c>
      <c r="U70">
        <f>IF($J70&gt;MAX('Match Log'!$A$4:$A$311),NA(),IFERROR(LOOKUP(2,1/(('Match Log'!$D$4:$D$311=$U$24)*('Match Log'!$A$4:$A$311&lt;=$J70)),'Match Log'!$N$4:$N$311),NA()))</f>
        <v>983.27851034023411</v>
      </c>
      <c r="V70" t="e">
        <f>IF($J70&gt;MAX('Match Log'!$A$4:$A$311),NA(),IFERROR(LOOKUP(2,1/(('Match Log'!$D$4:$D$311=$V$24)*('Match Log'!$A$4:$A$311&lt;=$J70)),'Match Log'!$N$4:$N$311),NA()))</f>
        <v>#N/A</v>
      </c>
      <c r="W70" t="e">
        <f>IF($J70&gt;MAX('Match Log'!$A$4:$A$311),NA(),IFERROR(LOOKUP(2,1/(('Match Log'!$D$4:$D$311=$W$24)*('Match Log'!$A$4:$A$311&lt;=$J70)),'Match Log'!$N$4:$N$311),NA()))</f>
        <v>#N/A</v>
      </c>
      <c r="X70" t="e">
        <f>IF($J70&gt;MAX('Match Log'!$A$4:$A$311),NA(),IFERROR(LOOKUP(2,1/(('Match Log'!$D$4:$D$311=$X$24)*('Match Log'!$A$4:$A$311&lt;=$J70)),'Match Log'!$N$4:$N$311),NA()))</f>
        <v>#N/A</v>
      </c>
      <c r="Y70" t="str">
        <f t="shared" ca="1" si="21"/>
        <v/>
      </c>
    </row>
    <row r="71" spans="1:25" ht="15" customHeight="1" x14ac:dyDescent="0.2">
      <c r="A71">
        <v>47</v>
      </c>
      <c r="B71" s="132">
        <f>IFERROR(INDEX('Match Log'!$B$4:$B$311,MATCH(47,'Match Log'!$A$4:$A$311,0)),"")</f>
        <v>46176</v>
      </c>
      <c r="C71" t="str">
        <f>IFERROR(INDEX('Match Log'!$C$4:$C$311,MATCH(47,'Match Log'!$A$4:$A$311,0)),"")</f>
        <v>Mario Kart</v>
      </c>
      <c r="D71" t="str">
        <f>IFERROR(INDEX('Match Log'!$G$4:$G$311,MATCH(47,'Match Log'!$A$4:$A$311,0)),"")</f>
        <v>Daniel (Ferret)</v>
      </c>
      <c r="E71" s="133">
        <f>IFERROR(INDEX('Match Log'!$F$4:$F$311,MATCH(47,'Match Log'!$A$4:$A$311,0)),"")</f>
        <v>2</v>
      </c>
      <c r="F71">
        <f>IFERROR(SUMIFS('Match Log'!$I$4:$I$311,'Match Log'!$A$4:$A$311,47,'Match Log'!$E$4:$E$311,"Win"),"")</f>
        <v>0.25</v>
      </c>
      <c r="G71">
        <f t="shared" si="19"/>
        <v>0.5</v>
      </c>
      <c r="H71" t="str">
        <f>IFERROR(IF($E71=2,LOOKUP(2,1/(('Match Log'!$A$4:$A$311=47)*('Match Log'!$E$4:$E$311="Loss")),'Match Log'!$D$4:$D$311),"the field"),"")</f>
        <v>Oscar</v>
      </c>
      <c r="I71">
        <f t="shared" si="20"/>
        <v>0.49995299999999998</v>
      </c>
      <c r="J71">
        <v>47</v>
      </c>
      <c r="K71">
        <f>IF($J71&gt;MAX('Match Log'!$A$4:$A$311),NA(),IFERROR(LOOKUP(2,1/(('Match Log'!$D$4:$D$311=$K$24)*('Match Log'!$A$4:$A$311&lt;=$J71)),'Match Log'!$N$4:$N$311),NA()))</f>
        <v>1082.8539049537733</v>
      </c>
      <c r="L71" t="e">
        <f>IF($J71&gt;MAX('Match Log'!$A$4:$A$311),NA(),IFERROR(LOOKUP(2,1/(('Match Log'!$D$4:$D$311=$L$24)*('Match Log'!$A$4:$A$311&lt;=$J71)),'Match Log'!$N$4:$N$311),NA()))</f>
        <v>#N/A</v>
      </c>
      <c r="M71">
        <f>IF($J71&gt;MAX('Match Log'!$A$4:$A$311),NA(),IFERROR(LOOKUP(2,1/(('Match Log'!$D$4:$D$311=$M$24)*('Match Log'!$A$4:$A$311&lt;=$J71)),'Match Log'!$N$4:$N$311),NA()))</f>
        <v>1000.614377932863</v>
      </c>
      <c r="N71">
        <f>IF($J71&gt;MAX('Match Log'!$A$4:$A$311),NA(),IFERROR(LOOKUP(2,1/(('Match Log'!$D$4:$D$311=$N$24)*('Match Log'!$A$4:$A$311&lt;=$J71)),'Match Log'!$N$4:$N$311),NA()))</f>
        <v>941.85442451275833</v>
      </c>
      <c r="O71">
        <f>IF($J71&gt;MAX('Match Log'!$A$4:$A$311),NA(),IFERROR(LOOKUP(2,1/(('Match Log'!$D$4:$D$311=$O$24)*('Match Log'!$A$4:$A$311&lt;=$J71)),'Match Log'!$N$4:$N$311),NA()))</f>
        <v>1156.4528965767604</v>
      </c>
      <c r="P71">
        <f>IF($J71&gt;MAX('Match Log'!$A$4:$A$311),NA(),IFERROR(LOOKUP(2,1/(('Match Log'!$D$4:$D$311=$P$24)*('Match Log'!$A$4:$A$311&lt;=$J71)),'Match Log'!$N$4:$N$311),NA()))</f>
        <v>1007.4743526549773</v>
      </c>
      <c r="Q71">
        <f>IF($J71&gt;MAX('Match Log'!$A$4:$A$311),NA(),IFERROR(LOOKUP(2,1/(('Match Log'!$D$4:$D$311=$Q$24)*('Match Log'!$A$4:$A$311&lt;=$J71)),'Match Log'!$N$4:$N$311),NA()))</f>
        <v>1004.2142857142857</v>
      </c>
      <c r="R71">
        <f>IF($J71&gt;MAX('Match Log'!$A$4:$A$311),NA(),IFERROR(LOOKUP(2,1/(('Match Log'!$D$4:$D$311=$R$24)*('Match Log'!$A$4:$A$311&lt;=$J71)),'Match Log'!$N$4:$N$311),NA()))</f>
        <v>998.93835044369428</v>
      </c>
      <c r="S71">
        <f>IF($J71&gt;MAX('Match Log'!$A$4:$A$311),NA(),IFERROR(LOOKUP(2,1/(('Match Log'!$D$4:$D$311=$S$24)*('Match Log'!$A$4:$A$311&lt;=$J71)),'Match Log'!$N$4:$N$311),NA()))</f>
        <v>1031.5777844773686</v>
      </c>
      <c r="T71">
        <f>IF($J71&gt;MAX('Match Log'!$A$4:$A$311),NA(),IFERROR(LOOKUP(2,1/(('Match Log'!$D$4:$D$311=$T$24)*('Match Log'!$A$4:$A$311&lt;=$J71)),'Match Log'!$N$4:$N$311),NA()))</f>
        <v>914.80558848258727</v>
      </c>
      <c r="U71">
        <f>IF($J71&gt;MAX('Match Log'!$A$4:$A$311),NA(),IFERROR(LOOKUP(2,1/(('Match Log'!$D$4:$D$311=$U$24)*('Match Log'!$A$4:$A$311&lt;=$J71)),'Match Log'!$N$4:$N$311),NA()))</f>
        <v>957.21403425093195</v>
      </c>
      <c r="V71" t="e">
        <f>IF($J71&gt;MAX('Match Log'!$A$4:$A$311),NA(),IFERROR(LOOKUP(2,1/(('Match Log'!$D$4:$D$311=$V$24)*('Match Log'!$A$4:$A$311&lt;=$J71)),'Match Log'!$N$4:$N$311),NA()))</f>
        <v>#N/A</v>
      </c>
      <c r="W71" t="e">
        <f>IF($J71&gt;MAX('Match Log'!$A$4:$A$311),NA(),IFERROR(LOOKUP(2,1/(('Match Log'!$D$4:$D$311=$W$24)*('Match Log'!$A$4:$A$311&lt;=$J71)),'Match Log'!$N$4:$N$311),NA()))</f>
        <v>#N/A</v>
      </c>
      <c r="X71" t="e">
        <f>IF($J71&gt;MAX('Match Log'!$A$4:$A$311),NA(),IFERROR(LOOKUP(2,1/(('Match Log'!$D$4:$D$311=$X$24)*('Match Log'!$A$4:$A$311&lt;=$J71)),'Match Log'!$N$4:$N$311),NA()))</f>
        <v>#N/A</v>
      </c>
      <c r="Y71" t="str">
        <f t="shared" ca="1" si="21"/>
        <v/>
      </c>
    </row>
    <row r="72" spans="1:25" ht="15" customHeight="1" x14ac:dyDescent="0.2">
      <c r="A72">
        <v>48</v>
      </c>
      <c r="B72" s="132">
        <f>IFERROR(INDEX('Match Log'!$B$4:$B$311,MATCH(48,'Match Log'!$A$4:$A$311,0)),"")</f>
        <v>46176</v>
      </c>
      <c r="C72" t="str">
        <f>IFERROR(INDEX('Match Log'!$C$4:$C$311,MATCH(48,'Match Log'!$A$4:$A$311,0)),"")</f>
        <v>Mario Kart</v>
      </c>
      <c r="D72" t="str">
        <f>IFERROR(INDEX('Match Log'!$G$4:$G$311,MATCH(48,'Match Log'!$A$4:$A$311,0)),"")</f>
        <v>Daniel (Ferret)</v>
      </c>
      <c r="E72" s="133">
        <f>IFERROR(INDEX('Match Log'!$F$4:$F$311,MATCH(48,'Match Log'!$A$4:$A$311,0)),"")</f>
        <v>2</v>
      </c>
      <c r="F72">
        <f>IFERROR(SUMIFS('Match Log'!$I$4:$I$311,'Match Log'!$A$4:$A$311,48,'Match Log'!$E$4:$E$311,"Win"),"")</f>
        <v>0.46153846153846151</v>
      </c>
      <c r="G72">
        <f t="shared" si="19"/>
        <v>7.6923076923076983E-2</v>
      </c>
      <c r="H72" t="str">
        <f>IFERROR(IF($E72=2,LOOKUP(2,1/(('Match Log'!$A$4:$A$311=48)*('Match Log'!$E$4:$E$311="Loss")),'Match Log'!$D$4:$D$311),"the field"),"")</f>
        <v>Oscar</v>
      </c>
      <c r="I72">
        <f t="shared" si="20"/>
        <v>7.6875076923076976E-2</v>
      </c>
      <c r="J72">
        <v>48</v>
      </c>
      <c r="K72">
        <f>IF($J72&gt;MAX('Match Log'!$A$4:$A$311),NA(),IFERROR(LOOKUP(2,1/(('Match Log'!$D$4:$D$311=$K$24)*('Match Log'!$A$4:$A$311&lt;=$J72)),'Match Log'!$N$4:$N$311),NA()))</f>
        <v>1082.8539049537733</v>
      </c>
      <c r="L72" t="e">
        <f>IF($J72&gt;MAX('Match Log'!$A$4:$A$311),NA(),IFERROR(LOOKUP(2,1/(('Match Log'!$D$4:$D$311=$L$24)*('Match Log'!$A$4:$A$311&lt;=$J72)),'Match Log'!$N$4:$N$311),NA()))</f>
        <v>#N/A</v>
      </c>
      <c r="M72">
        <f>IF($J72&gt;MAX('Match Log'!$A$4:$A$311),NA(),IFERROR(LOOKUP(2,1/(('Match Log'!$D$4:$D$311=$M$24)*('Match Log'!$A$4:$A$311&lt;=$J72)),'Match Log'!$N$4:$N$311),NA()))</f>
        <v>1000.614377932863</v>
      </c>
      <c r="N72">
        <f>IF($J72&gt;MAX('Match Log'!$A$4:$A$311),NA(),IFERROR(LOOKUP(2,1/(('Match Log'!$D$4:$D$311=$N$24)*('Match Log'!$A$4:$A$311&lt;=$J72)),'Match Log'!$N$4:$N$311),NA()))</f>
        <v>941.85442451275833</v>
      </c>
      <c r="O72">
        <f>IF($J72&gt;MAX('Match Log'!$A$4:$A$311),NA(),IFERROR(LOOKUP(2,1/(('Match Log'!$D$4:$D$311=$O$24)*('Match Log'!$A$4:$A$311&lt;=$J72)),'Match Log'!$N$4:$N$311),NA()))</f>
        <v>1156.4528965767604</v>
      </c>
      <c r="P72">
        <f>IF($J72&gt;MAX('Match Log'!$A$4:$A$311),NA(),IFERROR(LOOKUP(2,1/(('Match Log'!$D$4:$D$311=$P$24)*('Match Log'!$A$4:$A$311&lt;=$J72)),'Match Log'!$N$4:$N$311),NA()))</f>
        <v>1007.4743526549773</v>
      </c>
      <c r="Q72">
        <f>IF($J72&gt;MAX('Match Log'!$A$4:$A$311),NA(),IFERROR(LOOKUP(2,1/(('Match Log'!$D$4:$D$311=$Q$24)*('Match Log'!$A$4:$A$311&lt;=$J72)),'Match Log'!$N$4:$N$311),NA()))</f>
        <v>1004.2142857142857</v>
      </c>
      <c r="R72">
        <f>IF($J72&gt;MAX('Match Log'!$A$4:$A$311),NA(),IFERROR(LOOKUP(2,1/(('Match Log'!$D$4:$D$311=$R$24)*('Match Log'!$A$4:$A$311&lt;=$J72)),'Match Log'!$N$4:$N$311),NA()))</f>
        <v>1020.4987407298981</v>
      </c>
      <c r="S72">
        <f>IF($J72&gt;MAX('Match Log'!$A$4:$A$311),NA(),IFERROR(LOOKUP(2,1/(('Match Log'!$D$4:$D$311=$S$24)*('Match Log'!$A$4:$A$311&lt;=$J72)),'Match Log'!$N$4:$N$311),NA()))</f>
        <v>1031.5777844773686</v>
      </c>
      <c r="T72">
        <f>IF($J72&gt;MAX('Match Log'!$A$4:$A$311),NA(),IFERROR(LOOKUP(2,1/(('Match Log'!$D$4:$D$311=$T$24)*('Match Log'!$A$4:$A$311&lt;=$J72)),'Match Log'!$N$4:$N$311),NA()))</f>
        <v>914.80558848258727</v>
      </c>
      <c r="U72">
        <f>IF($J72&gt;MAX('Match Log'!$A$4:$A$311),NA(),IFERROR(LOOKUP(2,1/(('Match Log'!$D$4:$D$311=$U$24)*('Match Log'!$A$4:$A$311&lt;=$J72)),'Match Log'!$N$4:$N$311),NA()))</f>
        <v>935.65364396472808</v>
      </c>
      <c r="V72" t="e">
        <f>IF($J72&gt;MAX('Match Log'!$A$4:$A$311),NA(),IFERROR(LOOKUP(2,1/(('Match Log'!$D$4:$D$311=$V$24)*('Match Log'!$A$4:$A$311&lt;=$J72)),'Match Log'!$N$4:$N$311),NA()))</f>
        <v>#N/A</v>
      </c>
      <c r="W72" t="e">
        <f>IF($J72&gt;MAX('Match Log'!$A$4:$A$311),NA(),IFERROR(LOOKUP(2,1/(('Match Log'!$D$4:$D$311=$W$24)*('Match Log'!$A$4:$A$311&lt;=$J72)),'Match Log'!$N$4:$N$311),NA()))</f>
        <v>#N/A</v>
      </c>
      <c r="X72" t="e">
        <f>IF($J72&gt;MAX('Match Log'!$A$4:$A$311),NA(),IFERROR(LOOKUP(2,1/(('Match Log'!$D$4:$D$311=$X$24)*('Match Log'!$A$4:$A$311&lt;=$J72)),'Match Log'!$N$4:$N$311),NA()))</f>
        <v>#N/A</v>
      </c>
      <c r="Y72" t="str">
        <f t="shared" ca="1" si="21"/>
        <v/>
      </c>
    </row>
    <row r="73" spans="1:25" ht="15" customHeight="1" x14ac:dyDescent="0.2">
      <c r="A73">
        <v>49</v>
      </c>
      <c r="B73" s="132">
        <f>IFERROR(INDEX('Match Log'!$B$4:$B$311,MATCH(49,'Match Log'!$A$4:$A$311,0)),"")</f>
        <v>46176</v>
      </c>
      <c r="C73" t="str">
        <f>IFERROR(INDEX('Match Log'!$C$4:$C$311,MATCH(49,'Match Log'!$A$4:$A$311,0)),"")</f>
        <v>Mario Kart</v>
      </c>
      <c r="D73" t="str">
        <f>IFERROR(INDEX('Match Log'!$G$4:$G$311,MATCH(49,'Match Log'!$A$4:$A$311,0)),"")</f>
        <v>Oscar</v>
      </c>
      <c r="E73" s="133">
        <f>IFERROR(INDEX('Match Log'!$F$4:$F$311,MATCH(49,'Match Log'!$A$4:$A$311,0)),"")</f>
        <v>2</v>
      </c>
      <c r="F73">
        <f>IFERROR(SUMIFS('Match Log'!$I$4:$I$311,'Match Log'!$A$4:$A$311,49,'Match Log'!$E$4:$E$311,"Win"),"")</f>
        <v>0.4</v>
      </c>
      <c r="G73">
        <f t="shared" si="19"/>
        <v>0.19999999999999996</v>
      </c>
      <c r="H73" t="str">
        <f>IFERROR(IF($E73=2,LOOKUP(2,1/(('Match Log'!$A$4:$A$311=49)*('Match Log'!$E$4:$E$311="Loss")),'Match Log'!$D$4:$D$311),"the field"),"")</f>
        <v>Daniel (Ferret)</v>
      </c>
      <c r="I73">
        <f t="shared" si="20"/>
        <v>0.19995099999999996</v>
      </c>
      <c r="J73">
        <v>49</v>
      </c>
      <c r="K73">
        <f>IF($J73&gt;MAX('Match Log'!$A$4:$A$311),NA(),IFERROR(LOOKUP(2,1/(('Match Log'!$D$4:$D$311=$K$24)*('Match Log'!$A$4:$A$311&lt;=$J73)),'Match Log'!$N$4:$N$311),NA()))</f>
        <v>1082.8539049537733</v>
      </c>
      <c r="L73" t="e">
        <f>IF($J73&gt;MAX('Match Log'!$A$4:$A$311),NA(),IFERROR(LOOKUP(2,1/(('Match Log'!$D$4:$D$311=$L$24)*('Match Log'!$A$4:$A$311&lt;=$J73)),'Match Log'!$N$4:$N$311),NA()))</f>
        <v>#N/A</v>
      </c>
      <c r="M73">
        <f>IF($J73&gt;MAX('Match Log'!$A$4:$A$311),NA(),IFERROR(LOOKUP(2,1/(('Match Log'!$D$4:$D$311=$M$24)*('Match Log'!$A$4:$A$311&lt;=$J73)),'Match Log'!$N$4:$N$311),NA()))</f>
        <v>1000.614377932863</v>
      </c>
      <c r="N73">
        <f>IF($J73&gt;MAX('Match Log'!$A$4:$A$311),NA(),IFERROR(LOOKUP(2,1/(('Match Log'!$D$4:$D$311=$N$24)*('Match Log'!$A$4:$A$311&lt;=$J73)),'Match Log'!$N$4:$N$311),NA()))</f>
        <v>941.85442451275833</v>
      </c>
      <c r="O73">
        <f>IF($J73&gt;MAX('Match Log'!$A$4:$A$311),NA(),IFERROR(LOOKUP(2,1/(('Match Log'!$D$4:$D$311=$O$24)*('Match Log'!$A$4:$A$311&lt;=$J73)),'Match Log'!$N$4:$N$311),NA()))</f>
        <v>1156.4528965767604</v>
      </c>
      <c r="P73">
        <f>IF($J73&gt;MAX('Match Log'!$A$4:$A$311),NA(),IFERROR(LOOKUP(2,1/(('Match Log'!$D$4:$D$311=$P$24)*('Match Log'!$A$4:$A$311&lt;=$J73)),'Match Log'!$N$4:$N$311),NA()))</f>
        <v>1007.4743526549773</v>
      </c>
      <c r="Q73">
        <f>IF($J73&gt;MAX('Match Log'!$A$4:$A$311),NA(),IFERROR(LOOKUP(2,1/(('Match Log'!$D$4:$D$311=$Q$24)*('Match Log'!$A$4:$A$311&lt;=$J73)),'Match Log'!$N$4:$N$311),NA()))</f>
        <v>1004.2142857142857</v>
      </c>
      <c r="R73">
        <f>IF($J73&gt;MAX('Match Log'!$A$4:$A$311),NA(),IFERROR(LOOKUP(2,1/(('Match Log'!$D$4:$D$311=$R$24)*('Match Log'!$A$4:$A$311&lt;=$J73)),'Match Log'!$N$4:$N$311),NA()))</f>
        <v>994.81951865923497</v>
      </c>
      <c r="S73">
        <f>IF($J73&gt;MAX('Match Log'!$A$4:$A$311),NA(),IFERROR(LOOKUP(2,1/(('Match Log'!$D$4:$D$311=$S$24)*('Match Log'!$A$4:$A$311&lt;=$J73)),'Match Log'!$N$4:$N$311),NA()))</f>
        <v>1031.5777844773686</v>
      </c>
      <c r="T73">
        <f>IF($J73&gt;MAX('Match Log'!$A$4:$A$311),NA(),IFERROR(LOOKUP(2,1/(('Match Log'!$D$4:$D$311=$T$24)*('Match Log'!$A$4:$A$311&lt;=$J73)),'Match Log'!$N$4:$N$311),NA()))</f>
        <v>914.80558848258727</v>
      </c>
      <c r="U73">
        <f>IF($J73&gt;MAX('Match Log'!$A$4:$A$311),NA(),IFERROR(LOOKUP(2,1/(('Match Log'!$D$4:$D$311=$U$24)*('Match Log'!$A$4:$A$311&lt;=$J73)),'Match Log'!$N$4:$N$311),NA()))</f>
        <v>961.33286603539125</v>
      </c>
      <c r="V73" t="e">
        <f>IF($J73&gt;MAX('Match Log'!$A$4:$A$311),NA(),IFERROR(LOOKUP(2,1/(('Match Log'!$D$4:$D$311=$V$24)*('Match Log'!$A$4:$A$311&lt;=$J73)),'Match Log'!$N$4:$N$311),NA()))</f>
        <v>#N/A</v>
      </c>
      <c r="W73" t="e">
        <f>IF($J73&gt;MAX('Match Log'!$A$4:$A$311),NA(),IFERROR(LOOKUP(2,1/(('Match Log'!$D$4:$D$311=$W$24)*('Match Log'!$A$4:$A$311&lt;=$J73)),'Match Log'!$N$4:$N$311),NA()))</f>
        <v>#N/A</v>
      </c>
      <c r="X73" t="e">
        <f>IF($J73&gt;MAX('Match Log'!$A$4:$A$311),NA(),IFERROR(LOOKUP(2,1/(('Match Log'!$D$4:$D$311=$X$24)*('Match Log'!$A$4:$A$311&lt;=$J73)),'Match Log'!$N$4:$N$311),NA()))</f>
        <v>#N/A</v>
      </c>
      <c r="Y73" t="str">
        <f t="shared" ca="1" si="21"/>
        <v/>
      </c>
    </row>
    <row r="74" spans="1:25" ht="15" customHeight="1" x14ac:dyDescent="0.2">
      <c r="A74">
        <v>50</v>
      </c>
      <c r="B74" s="132">
        <f>IFERROR(INDEX('Match Log'!$B$4:$B$311,MATCH(50,'Match Log'!$A$4:$A$311,0)),"")</f>
        <v>46177</v>
      </c>
      <c r="C74" t="str">
        <f>IFERROR(INDEX('Match Log'!$C$4:$C$311,MATCH(50,'Match Log'!$A$4:$A$311,0)),"")</f>
        <v>Table Tennis</v>
      </c>
      <c r="D74" t="str">
        <f>IFERROR(INDEX('Match Log'!$G$4:$G$311,MATCH(50,'Match Log'!$A$4:$A$311,0)),"")</f>
        <v>Dean B</v>
      </c>
      <c r="E74" s="133">
        <f>IFERROR(INDEX('Match Log'!$F$4:$F$311,MATCH(50,'Match Log'!$A$4:$A$311,0)),"")</f>
        <v>2</v>
      </c>
      <c r="F74">
        <f>IFERROR(SUMIFS('Match Log'!$I$4:$I$311,'Match Log'!$A$4:$A$311,50,'Match Log'!$E$4:$E$311,"Win"),"")</f>
        <v>0.5</v>
      </c>
      <c r="G74">
        <f t="shared" si="19"/>
        <v>0</v>
      </c>
      <c r="H74" t="str">
        <f>IFERROR(IF($E74=2,LOOKUP(2,1/(('Match Log'!$A$4:$A$311=50)*('Match Log'!$E$4:$E$311="Loss")),'Match Log'!$D$4:$D$311),"the field"),"")</f>
        <v>Oscar</v>
      </c>
      <c r="I74">
        <f t="shared" si="20"/>
        <v>-5.0000000000000002E-5</v>
      </c>
      <c r="J74">
        <v>50</v>
      </c>
      <c r="K74">
        <f>IF($J74&gt;MAX('Match Log'!$A$4:$A$311),NA(),IFERROR(LOOKUP(2,1/(('Match Log'!$D$4:$D$311=$K$24)*('Match Log'!$A$4:$A$311&lt;=$J74)),'Match Log'!$N$4:$N$311),NA()))</f>
        <v>1082.8539049537733</v>
      </c>
      <c r="L74" t="e">
        <f>IF($J74&gt;MAX('Match Log'!$A$4:$A$311),NA(),IFERROR(LOOKUP(2,1/(('Match Log'!$D$4:$D$311=$L$24)*('Match Log'!$A$4:$A$311&lt;=$J74)),'Match Log'!$N$4:$N$311),NA()))</f>
        <v>#N/A</v>
      </c>
      <c r="M74">
        <f>IF($J74&gt;MAX('Match Log'!$A$4:$A$311),NA(),IFERROR(LOOKUP(2,1/(('Match Log'!$D$4:$D$311=$M$24)*('Match Log'!$A$4:$A$311&lt;=$J74)),'Match Log'!$N$4:$N$311),NA()))</f>
        <v>1000.614377932863</v>
      </c>
      <c r="N74">
        <f>IF($J74&gt;MAX('Match Log'!$A$4:$A$311),NA(),IFERROR(LOOKUP(2,1/(('Match Log'!$D$4:$D$311=$N$24)*('Match Log'!$A$4:$A$311&lt;=$J74)),'Match Log'!$N$4:$N$311),NA()))</f>
        <v>941.85442451275833</v>
      </c>
      <c r="O74">
        <f>IF($J74&gt;MAX('Match Log'!$A$4:$A$311),NA(),IFERROR(LOOKUP(2,1/(('Match Log'!$D$4:$D$311=$O$24)*('Match Log'!$A$4:$A$311&lt;=$J74)),'Match Log'!$N$4:$N$311),NA()))</f>
        <v>1156.4528965767604</v>
      </c>
      <c r="P74">
        <f>IF($J74&gt;MAX('Match Log'!$A$4:$A$311),NA(),IFERROR(LOOKUP(2,1/(('Match Log'!$D$4:$D$311=$P$24)*('Match Log'!$A$4:$A$311&lt;=$J74)),'Match Log'!$N$4:$N$311),NA()))</f>
        <v>1007.4743526549773</v>
      </c>
      <c r="Q74">
        <f>IF($J74&gt;MAX('Match Log'!$A$4:$A$311),NA(),IFERROR(LOOKUP(2,1/(('Match Log'!$D$4:$D$311=$Q$24)*('Match Log'!$A$4:$A$311&lt;=$J74)),'Match Log'!$N$4:$N$311),NA()))</f>
        <v>1004.2142857142857</v>
      </c>
      <c r="R74">
        <f>IF($J74&gt;MAX('Match Log'!$A$4:$A$311),NA(),IFERROR(LOOKUP(2,1/(('Match Log'!$D$4:$D$311=$R$24)*('Match Log'!$A$4:$A$311&lt;=$J74)),'Match Log'!$N$4:$N$311),NA()))</f>
        <v>994.81951865923497</v>
      </c>
      <c r="S74">
        <f>IF($J74&gt;MAX('Match Log'!$A$4:$A$311),NA(),IFERROR(LOOKUP(2,1/(('Match Log'!$D$4:$D$311=$S$24)*('Match Log'!$A$4:$A$311&lt;=$J74)),'Match Log'!$N$4:$N$311),NA()))</f>
        <v>1051.7211614371747</v>
      </c>
      <c r="T74">
        <f>IF($J74&gt;MAX('Match Log'!$A$4:$A$311),NA(),IFERROR(LOOKUP(2,1/(('Match Log'!$D$4:$D$311=$T$24)*('Match Log'!$A$4:$A$311&lt;=$J74)),'Match Log'!$N$4:$N$311),NA()))</f>
        <v>914.80558848258727</v>
      </c>
      <c r="U74">
        <f>IF($J74&gt;MAX('Match Log'!$A$4:$A$311),NA(),IFERROR(LOOKUP(2,1/(('Match Log'!$D$4:$D$311=$U$24)*('Match Log'!$A$4:$A$311&lt;=$J74)),'Match Log'!$N$4:$N$311),NA()))</f>
        <v>941.18948907558524</v>
      </c>
      <c r="V74" t="e">
        <f>IF($J74&gt;MAX('Match Log'!$A$4:$A$311),NA(),IFERROR(LOOKUP(2,1/(('Match Log'!$D$4:$D$311=$V$24)*('Match Log'!$A$4:$A$311&lt;=$J74)),'Match Log'!$N$4:$N$311),NA()))</f>
        <v>#N/A</v>
      </c>
      <c r="W74" t="e">
        <f>IF($J74&gt;MAX('Match Log'!$A$4:$A$311),NA(),IFERROR(LOOKUP(2,1/(('Match Log'!$D$4:$D$311=$W$24)*('Match Log'!$A$4:$A$311&lt;=$J74)),'Match Log'!$N$4:$N$311),NA()))</f>
        <v>#N/A</v>
      </c>
      <c r="X74" t="e">
        <f>IF($J74&gt;MAX('Match Log'!$A$4:$A$311),NA(),IFERROR(LOOKUP(2,1/(('Match Log'!$D$4:$D$311=$X$24)*('Match Log'!$A$4:$A$311&lt;=$J74)),'Match Log'!$N$4:$N$311),NA()))</f>
        <v>#N/A</v>
      </c>
      <c r="Y74" t="str">
        <f t="shared" ca="1" si="21"/>
        <v/>
      </c>
    </row>
    <row r="75" spans="1:25" ht="15" customHeight="1" x14ac:dyDescent="0.2">
      <c r="A75">
        <v>51</v>
      </c>
      <c r="B75" s="132">
        <f>IFERROR(INDEX('Match Log'!$B$4:$B$311,MATCH(51,'Match Log'!$A$4:$A$311,0)),"")</f>
        <v>46177</v>
      </c>
      <c r="C75" t="str">
        <f>IFERROR(INDEX('Match Log'!$C$4:$C$311,MATCH(51,'Match Log'!$A$4:$A$311,0)),"")</f>
        <v>Table Tennis</v>
      </c>
      <c r="D75" t="str">
        <f>IFERROR(INDEX('Match Log'!$G$4:$G$311,MATCH(51,'Match Log'!$A$4:$A$311,0)),"")</f>
        <v>Dean B</v>
      </c>
      <c r="E75" s="133">
        <f>IFERROR(INDEX('Match Log'!$F$4:$F$311,MATCH(51,'Match Log'!$A$4:$A$311,0)),"")</f>
        <v>2</v>
      </c>
      <c r="F75">
        <f>IFERROR(SUMIFS('Match Log'!$I$4:$I$311,'Match Log'!$A$4:$A$311,51,'Match Log'!$E$4:$E$311,"Win"),"")</f>
        <v>0.58333333333333337</v>
      </c>
      <c r="G75">
        <f t="shared" si="19"/>
        <v>-0.16666666666666674</v>
      </c>
      <c r="H75" t="str">
        <f>IFERROR(IF($E75=2,LOOKUP(2,1/(('Match Log'!$A$4:$A$311=51)*('Match Log'!$E$4:$E$311="Loss")),'Match Log'!$D$4:$D$311),"the field"),"")</f>
        <v>Oscar</v>
      </c>
      <c r="I75">
        <f t="shared" si="20"/>
        <v>-0.16671766666666674</v>
      </c>
      <c r="J75">
        <v>51</v>
      </c>
      <c r="K75">
        <f>IF($J75&gt;MAX('Match Log'!$A$4:$A$311),NA(),IFERROR(LOOKUP(2,1/(('Match Log'!$D$4:$D$311=$K$24)*('Match Log'!$A$4:$A$311&lt;=$J75)),'Match Log'!$N$4:$N$311),NA()))</f>
        <v>1082.8539049537733</v>
      </c>
      <c r="L75" t="e">
        <f>IF($J75&gt;MAX('Match Log'!$A$4:$A$311),NA(),IFERROR(LOOKUP(2,1/(('Match Log'!$D$4:$D$311=$L$24)*('Match Log'!$A$4:$A$311&lt;=$J75)),'Match Log'!$N$4:$N$311),NA()))</f>
        <v>#N/A</v>
      </c>
      <c r="M75">
        <f>IF($J75&gt;MAX('Match Log'!$A$4:$A$311),NA(),IFERROR(LOOKUP(2,1/(('Match Log'!$D$4:$D$311=$M$24)*('Match Log'!$A$4:$A$311&lt;=$J75)),'Match Log'!$N$4:$N$311),NA()))</f>
        <v>1000.614377932863</v>
      </c>
      <c r="N75">
        <f>IF($J75&gt;MAX('Match Log'!$A$4:$A$311),NA(),IFERROR(LOOKUP(2,1/(('Match Log'!$D$4:$D$311=$N$24)*('Match Log'!$A$4:$A$311&lt;=$J75)),'Match Log'!$N$4:$N$311),NA()))</f>
        <v>941.85442451275833</v>
      </c>
      <c r="O75">
        <f>IF($J75&gt;MAX('Match Log'!$A$4:$A$311),NA(),IFERROR(LOOKUP(2,1/(('Match Log'!$D$4:$D$311=$O$24)*('Match Log'!$A$4:$A$311&lt;=$J75)),'Match Log'!$N$4:$N$311),NA()))</f>
        <v>1156.4528965767604</v>
      </c>
      <c r="P75">
        <f>IF($J75&gt;MAX('Match Log'!$A$4:$A$311),NA(),IFERROR(LOOKUP(2,1/(('Match Log'!$D$4:$D$311=$P$24)*('Match Log'!$A$4:$A$311&lt;=$J75)),'Match Log'!$N$4:$N$311),NA()))</f>
        <v>1007.4743526549773</v>
      </c>
      <c r="Q75">
        <f>IF($J75&gt;MAX('Match Log'!$A$4:$A$311),NA(),IFERROR(LOOKUP(2,1/(('Match Log'!$D$4:$D$311=$Q$24)*('Match Log'!$A$4:$A$311&lt;=$J75)),'Match Log'!$N$4:$N$311),NA()))</f>
        <v>1004.2142857142857</v>
      </c>
      <c r="R75">
        <f>IF($J75&gt;MAX('Match Log'!$A$4:$A$311),NA(),IFERROR(LOOKUP(2,1/(('Match Log'!$D$4:$D$311=$R$24)*('Match Log'!$A$4:$A$311&lt;=$J75)),'Match Log'!$N$4:$N$311),NA()))</f>
        <v>994.81951865923497</v>
      </c>
      <c r="S75">
        <f>IF($J75&gt;MAX('Match Log'!$A$4:$A$311),NA(),IFERROR(LOOKUP(2,1/(('Match Log'!$D$4:$D$311=$S$24)*('Match Log'!$A$4:$A$311&lt;=$J75)),'Match Log'!$N$4:$N$311),NA()))</f>
        <v>1069.4291473907738</v>
      </c>
      <c r="T75">
        <f>IF($J75&gt;MAX('Match Log'!$A$4:$A$311),NA(),IFERROR(LOOKUP(2,1/(('Match Log'!$D$4:$D$311=$T$24)*('Match Log'!$A$4:$A$311&lt;=$J75)),'Match Log'!$N$4:$N$311),NA()))</f>
        <v>914.80558848258727</v>
      </c>
      <c r="U75">
        <f>IF($J75&gt;MAX('Match Log'!$A$4:$A$311),NA(),IFERROR(LOOKUP(2,1/(('Match Log'!$D$4:$D$311=$U$24)*('Match Log'!$A$4:$A$311&lt;=$J75)),'Match Log'!$N$4:$N$311),NA()))</f>
        <v>923.48150312198629</v>
      </c>
      <c r="V75" t="e">
        <f>IF($J75&gt;MAX('Match Log'!$A$4:$A$311),NA(),IFERROR(LOOKUP(2,1/(('Match Log'!$D$4:$D$311=$V$24)*('Match Log'!$A$4:$A$311&lt;=$J75)),'Match Log'!$N$4:$N$311),NA()))</f>
        <v>#N/A</v>
      </c>
      <c r="W75" t="e">
        <f>IF($J75&gt;MAX('Match Log'!$A$4:$A$311),NA(),IFERROR(LOOKUP(2,1/(('Match Log'!$D$4:$D$311=$W$24)*('Match Log'!$A$4:$A$311&lt;=$J75)),'Match Log'!$N$4:$N$311),NA()))</f>
        <v>#N/A</v>
      </c>
      <c r="X75" t="e">
        <f>IF($J75&gt;MAX('Match Log'!$A$4:$A$311),NA(),IFERROR(LOOKUP(2,1/(('Match Log'!$D$4:$D$311=$X$24)*('Match Log'!$A$4:$A$311&lt;=$J75)),'Match Log'!$N$4:$N$311),NA()))</f>
        <v>#N/A</v>
      </c>
      <c r="Y75" t="str">
        <f t="shared" ca="1" si="21"/>
        <v/>
      </c>
    </row>
    <row r="76" spans="1:25" ht="15" customHeight="1" x14ac:dyDescent="0.2">
      <c r="A76">
        <v>52</v>
      </c>
      <c r="B76" s="132">
        <f>IFERROR(INDEX('Match Log'!$B$4:$B$311,MATCH(52,'Match Log'!$A$4:$A$311,0)),"")</f>
        <v>46177</v>
      </c>
      <c r="C76" t="str">
        <f>IFERROR(INDEX('Match Log'!$C$4:$C$311,MATCH(52,'Match Log'!$A$4:$A$311,0)),"")</f>
        <v>Table Tennis</v>
      </c>
      <c r="D76" t="str">
        <f>IFERROR(INDEX('Match Log'!$G$4:$G$311,MATCH(52,'Match Log'!$A$4:$A$311,0)),"")</f>
        <v>Dean B</v>
      </c>
      <c r="E76" s="133">
        <f>IFERROR(INDEX('Match Log'!$F$4:$F$311,MATCH(52,'Match Log'!$A$4:$A$311,0)),"")</f>
        <v>2</v>
      </c>
      <c r="F76">
        <f>IFERROR(SUMIFS('Match Log'!$I$4:$I$311,'Match Log'!$A$4:$A$311,52,'Match Log'!$E$4:$E$311,"Win"),"")</f>
        <v>0.64</v>
      </c>
      <c r="G76">
        <f t="shared" si="19"/>
        <v>-0.28000000000000003</v>
      </c>
      <c r="H76" t="str">
        <f>IFERROR(IF($E76=2,LOOKUP(2,1/(('Match Log'!$A$4:$A$311=52)*('Match Log'!$E$4:$E$311="Loss")),'Match Log'!$D$4:$D$311),"the field"),"")</f>
        <v>Oscar</v>
      </c>
      <c r="I76">
        <f t="shared" si="20"/>
        <v>-0.28005200000000002</v>
      </c>
      <c r="J76">
        <v>52</v>
      </c>
      <c r="K76">
        <f>IF($J76&gt;MAX('Match Log'!$A$4:$A$311),NA(),IFERROR(LOOKUP(2,1/(('Match Log'!$D$4:$D$311=$K$24)*('Match Log'!$A$4:$A$311&lt;=$J76)),'Match Log'!$N$4:$N$311),NA()))</f>
        <v>1082.8539049537733</v>
      </c>
      <c r="L76" t="e">
        <f>IF($J76&gt;MAX('Match Log'!$A$4:$A$311),NA(),IFERROR(LOOKUP(2,1/(('Match Log'!$D$4:$D$311=$L$24)*('Match Log'!$A$4:$A$311&lt;=$J76)),'Match Log'!$N$4:$N$311),NA()))</f>
        <v>#N/A</v>
      </c>
      <c r="M76">
        <f>IF($J76&gt;MAX('Match Log'!$A$4:$A$311),NA(),IFERROR(LOOKUP(2,1/(('Match Log'!$D$4:$D$311=$M$24)*('Match Log'!$A$4:$A$311&lt;=$J76)),'Match Log'!$N$4:$N$311),NA()))</f>
        <v>1000.614377932863</v>
      </c>
      <c r="N76">
        <f>IF($J76&gt;MAX('Match Log'!$A$4:$A$311),NA(),IFERROR(LOOKUP(2,1/(('Match Log'!$D$4:$D$311=$N$24)*('Match Log'!$A$4:$A$311&lt;=$J76)),'Match Log'!$N$4:$N$311),NA()))</f>
        <v>941.85442451275833</v>
      </c>
      <c r="O76">
        <f>IF($J76&gt;MAX('Match Log'!$A$4:$A$311),NA(),IFERROR(LOOKUP(2,1/(('Match Log'!$D$4:$D$311=$O$24)*('Match Log'!$A$4:$A$311&lt;=$J76)),'Match Log'!$N$4:$N$311),NA()))</f>
        <v>1156.4528965767604</v>
      </c>
      <c r="P76">
        <f>IF($J76&gt;MAX('Match Log'!$A$4:$A$311),NA(),IFERROR(LOOKUP(2,1/(('Match Log'!$D$4:$D$311=$P$24)*('Match Log'!$A$4:$A$311&lt;=$J76)),'Match Log'!$N$4:$N$311),NA()))</f>
        <v>1007.4743526549773</v>
      </c>
      <c r="Q76">
        <f>IF($J76&gt;MAX('Match Log'!$A$4:$A$311),NA(),IFERROR(LOOKUP(2,1/(('Match Log'!$D$4:$D$311=$Q$24)*('Match Log'!$A$4:$A$311&lt;=$J76)),'Match Log'!$N$4:$N$311),NA()))</f>
        <v>1004.2142857142857</v>
      </c>
      <c r="R76">
        <f>IF($J76&gt;MAX('Match Log'!$A$4:$A$311),NA(),IFERROR(LOOKUP(2,1/(('Match Log'!$D$4:$D$311=$R$24)*('Match Log'!$A$4:$A$311&lt;=$J76)),'Match Log'!$N$4:$N$311),NA()))</f>
        <v>994.81951865923497</v>
      </c>
      <c r="S76">
        <f>IF($J76&gt;MAX('Match Log'!$A$4:$A$311),NA(),IFERROR(LOOKUP(2,1/(('Match Log'!$D$4:$D$311=$S$24)*('Match Log'!$A$4:$A$311&lt;=$J76)),'Match Log'!$N$4:$N$311),NA()))</f>
        <v>1085.2397849482029</v>
      </c>
      <c r="T76">
        <f>IF($J76&gt;MAX('Match Log'!$A$4:$A$311),NA(),IFERROR(LOOKUP(2,1/(('Match Log'!$D$4:$D$311=$T$24)*('Match Log'!$A$4:$A$311&lt;=$J76)),'Match Log'!$N$4:$N$311),NA()))</f>
        <v>914.80558848258727</v>
      </c>
      <c r="U76">
        <f>IF($J76&gt;MAX('Match Log'!$A$4:$A$311),NA(),IFERROR(LOOKUP(2,1/(('Match Log'!$D$4:$D$311=$U$24)*('Match Log'!$A$4:$A$311&lt;=$J76)),'Match Log'!$N$4:$N$311),NA()))</f>
        <v>907.67086556455706</v>
      </c>
      <c r="V76" t="e">
        <f>IF($J76&gt;MAX('Match Log'!$A$4:$A$311),NA(),IFERROR(LOOKUP(2,1/(('Match Log'!$D$4:$D$311=$V$24)*('Match Log'!$A$4:$A$311&lt;=$J76)),'Match Log'!$N$4:$N$311),NA()))</f>
        <v>#N/A</v>
      </c>
      <c r="W76" t="e">
        <f>IF($J76&gt;MAX('Match Log'!$A$4:$A$311),NA(),IFERROR(LOOKUP(2,1/(('Match Log'!$D$4:$D$311=$W$24)*('Match Log'!$A$4:$A$311&lt;=$J76)),'Match Log'!$N$4:$N$311),NA()))</f>
        <v>#N/A</v>
      </c>
      <c r="X76" t="e">
        <f>IF($J76&gt;MAX('Match Log'!$A$4:$A$311),NA(),IFERROR(LOOKUP(2,1/(('Match Log'!$D$4:$D$311=$X$24)*('Match Log'!$A$4:$A$311&lt;=$J76)),'Match Log'!$N$4:$N$311),NA()))</f>
        <v>#N/A</v>
      </c>
      <c r="Y76" t="str">
        <f t="shared" ca="1" si="21"/>
        <v/>
      </c>
    </row>
    <row r="77" spans="1:25" ht="15" customHeight="1" x14ac:dyDescent="0.2">
      <c r="A77">
        <v>53</v>
      </c>
      <c r="B77" s="132">
        <f>IFERROR(INDEX('Match Log'!$B$4:$B$311,MATCH(53,'Match Log'!$A$4:$A$311,0)),"")</f>
        <v>46177</v>
      </c>
      <c r="C77" t="str">
        <f>IFERROR(INDEX('Match Log'!$C$4:$C$311,MATCH(53,'Match Log'!$A$4:$A$311,0)),"")</f>
        <v>Pool</v>
      </c>
      <c r="D77" t="str">
        <f>IFERROR(INDEX('Match Log'!$G$4:$G$311,MATCH(53,'Match Log'!$A$4:$A$311,0)),"")</f>
        <v>Oscar</v>
      </c>
      <c r="E77" s="133">
        <f>IFERROR(INDEX('Match Log'!$F$4:$F$311,MATCH(53,'Match Log'!$A$4:$A$311,0)),"")</f>
        <v>2</v>
      </c>
      <c r="F77">
        <f>IFERROR(SUMIFS('Match Log'!$I$4:$I$311,'Match Log'!$A$4:$A$311,53,'Match Log'!$E$4:$E$311,"Win"),"")</f>
        <v>0.29411764705882354</v>
      </c>
      <c r="G77">
        <f t="shared" si="19"/>
        <v>0.41176470588235292</v>
      </c>
      <c r="H77" t="str">
        <f>IFERROR(IF($E77=2,LOOKUP(2,1/(('Match Log'!$A$4:$A$311=53)*('Match Log'!$E$4:$E$311="Loss")),'Match Log'!$D$4:$D$311),"the field"),"")</f>
        <v>Dean B</v>
      </c>
      <c r="I77">
        <f t="shared" si="20"/>
        <v>0.4117117058823529</v>
      </c>
      <c r="J77">
        <v>53</v>
      </c>
      <c r="K77">
        <f>IF($J77&gt;MAX('Match Log'!$A$4:$A$311),NA(),IFERROR(LOOKUP(2,1/(('Match Log'!$D$4:$D$311=$K$24)*('Match Log'!$A$4:$A$311&lt;=$J77)),'Match Log'!$N$4:$N$311),NA()))</f>
        <v>1082.8539049537733</v>
      </c>
      <c r="L77" t="e">
        <f>IF($J77&gt;MAX('Match Log'!$A$4:$A$311),NA(),IFERROR(LOOKUP(2,1/(('Match Log'!$D$4:$D$311=$L$24)*('Match Log'!$A$4:$A$311&lt;=$J77)),'Match Log'!$N$4:$N$311),NA()))</f>
        <v>#N/A</v>
      </c>
      <c r="M77">
        <f>IF($J77&gt;MAX('Match Log'!$A$4:$A$311),NA(),IFERROR(LOOKUP(2,1/(('Match Log'!$D$4:$D$311=$M$24)*('Match Log'!$A$4:$A$311&lt;=$J77)),'Match Log'!$N$4:$N$311),NA()))</f>
        <v>1000.614377932863</v>
      </c>
      <c r="N77">
        <f>IF($J77&gt;MAX('Match Log'!$A$4:$A$311),NA(),IFERROR(LOOKUP(2,1/(('Match Log'!$D$4:$D$311=$N$24)*('Match Log'!$A$4:$A$311&lt;=$J77)),'Match Log'!$N$4:$N$311),NA()))</f>
        <v>941.85442451275833</v>
      </c>
      <c r="O77">
        <f>IF($J77&gt;MAX('Match Log'!$A$4:$A$311),NA(),IFERROR(LOOKUP(2,1/(('Match Log'!$D$4:$D$311=$O$24)*('Match Log'!$A$4:$A$311&lt;=$J77)),'Match Log'!$N$4:$N$311),NA()))</f>
        <v>1156.4528965767604</v>
      </c>
      <c r="P77">
        <f>IF($J77&gt;MAX('Match Log'!$A$4:$A$311),NA(),IFERROR(LOOKUP(2,1/(('Match Log'!$D$4:$D$311=$P$24)*('Match Log'!$A$4:$A$311&lt;=$J77)),'Match Log'!$N$4:$N$311),NA()))</f>
        <v>1007.4743526549773</v>
      </c>
      <c r="Q77">
        <f>IF($J77&gt;MAX('Match Log'!$A$4:$A$311),NA(),IFERROR(LOOKUP(2,1/(('Match Log'!$D$4:$D$311=$Q$24)*('Match Log'!$A$4:$A$311&lt;=$J77)),'Match Log'!$N$4:$N$311),NA()))</f>
        <v>1004.2142857142857</v>
      </c>
      <c r="R77">
        <f>IF($J77&gt;MAX('Match Log'!$A$4:$A$311),NA(),IFERROR(LOOKUP(2,1/(('Match Log'!$D$4:$D$311=$R$24)*('Match Log'!$A$4:$A$311&lt;=$J77)),'Match Log'!$N$4:$N$311),NA()))</f>
        <v>994.81951865923497</v>
      </c>
      <c r="S77">
        <f>IF($J77&gt;MAX('Match Log'!$A$4:$A$311),NA(),IFERROR(LOOKUP(2,1/(('Match Log'!$D$4:$D$311=$S$24)*('Match Log'!$A$4:$A$311&lt;=$J77)),'Match Log'!$N$4:$N$311),NA()))</f>
        <v>1054.9321218859973</v>
      </c>
      <c r="T77">
        <f>IF($J77&gt;MAX('Match Log'!$A$4:$A$311),NA(),IFERROR(LOOKUP(2,1/(('Match Log'!$D$4:$D$311=$T$24)*('Match Log'!$A$4:$A$311&lt;=$J77)),'Match Log'!$N$4:$N$311),NA()))</f>
        <v>914.80558848258727</v>
      </c>
      <c r="U77">
        <f>IF($J77&gt;MAX('Match Log'!$A$4:$A$311),NA(),IFERROR(LOOKUP(2,1/(('Match Log'!$D$4:$D$311=$U$24)*('Match Log'!$A$4:$A$311&lt;=$J77)),'Match Log'!$N$4:$N$311),NA()))</f>
        <v>937.97852862676257</v>
      </c>
      <c r="V77" t="e">
        <f>IF($J77&gt;MAX('Match Log'!$A$4:$A$311),NA(),IFERROR(LOOKUP(2,1/(('Match Log'!$D$4:$D$311=$V$24)*('Match Log'!$A$4:$A$311&lt;=$J77)),'Match Log'!$N$4:$N$311),NA()))</f>
        <v>#N/A</v>
      </c>
      <c r="W77" t="e">
        <f>IF($J77&gt;MAX('Match Log'!$A$4:$A$311),NA(),IFERROR(LOOKUP(2,1/(('Match Log'!$D$4:$D$311=$W$24)*('Match Log'!$A$4:$A$311&lt;=$J77)),'Match Log'!$N$4:$N$311),NA()))</f>
        <v>#N/A</v>
      </c>
      <c r="X77" t="e">
        <f>IF($J77&gt;MAX('Match Log'!$A$4:$A$311),NA(),IFERROR(LOOKUP(2,1/(('Match Log'!$D$4:$D$311=$X$24)*('Match Log'!$A$4:$A$311&lt;=$J77)),'Match Log'!$N$4:$N$311),NA()))</f>
        <v>#N/A</v>
      </c>
      <c r="Y77" t="str">
        <f t="shared" ca="1" si="21"/>
        <v/>
      </c>
    </row>
    <row r="78" spans="1:25" ht="15" customHeight="1" x14ac:dyDescent="0.2">
      <c r="A78">
        <v>54</v>
      </c>
      <c r="B78" s="132">
        <f>IFERROR(INDEX('Match Log'!$B$4:$B$311,MATCH(54,'Match Log'!$A$4:$A$311,0)),"")</f>
        <v>46177</v>
      </c>
      <c r="C78" t="str">
        <f>IFERROR(INDEX('Match Log'!$C$4:$C$311,MATCH(54,'Match Log'!$A$4:$A$311,0)),"")</f>
        <v>Pool</v>
      </c>
      <c r="D78" t="str">
        <f>IFERROR(INDEX('Match Log'!$G$4:$G$311,MATCH(54,'Match Log'!$A$4:$A$311,0)),"")</f>
        <v>Oscar</v>
      </c>
      <c r="E78" s="133">
        <f>IFERROR(INDEX('Match Log'!$F$4:$F$311,MATCH(54,'Match Log'!$A$4:$A$311,0)),"")</f>
        <v>2</v>
      </c>
      <c r="F78">
        <f>IFERROR(SUMIFS('Match Log'!$I$4:$I$311,'Match Log'!$A$4:$A$311,54,'Match Log'!$E$4:$E$311,"Win"),"")</f>
        <v>0.44444444444444448</v>
      </c>
      <c r="G78">
        <f t="shared" si="19"/>
        <v>0.11111111111111105</v>
      </c>
      <c r="H78" t="str">
        <f>IFERROR(IF($E78=2,LOOKUP(2,1/(('Match Log'!$A$4:$A$311=54)*('Match Log'!$E$4:$E$311="Loss")),'Match Log'!$D$4:$D$311),"the field"),"")</f>
        <v>Beau</v>
      </c>
      <c r="I78">
        <f t="shared" si="20"/>
        <v>0.11105711111111105</v>
      </c>
      <c r="J78">
        <v>54</v>
      </c>
      <c r="K78">
        <f>IF($J78&gt;MAX('Match Log'!$A$4:$A$311),NA(),IFERROR(LOOKUP(2,1/(('Match Log'!$D$4:$D$311=$K$24)*('Match Log'!$A$4:$A$311&lt;=$J78)),'Match Log'!$N$4:$N$311),NA()))</f>
        <v>1082.8539049537733</v>
      </c>
      <c r="L78">
        <f>IF($J78&gt;MAX('Match Log'!$A$4:$A$311),NA(),IFERROR(LOOKUP(2,1/(('Match Log'!$D$4:$D$311=$L$24)*('Match Log'!$A$4:$A$311&lt;=$J78)),'Match Log'!$N$4:$N$311),NA()))</f>
        <v>975.34219391622196</v>
      </c>
      <c r="M78">
        <f>IF($J78&gt;MAX('Match Log'!$A$4:$A$311),NA(),IFERROR(LOOKUP(2,1/(('Match Log'!$D$4:$D$311=$M$24)*('Match Log'!$A$4:$A$311&lt;=$J78)),'Match Log'!$N$4:$N$311),NA()))</f>
        <v>1000.614377932863</v>
      </c>
      <c r="N78">
        <f>IF($J78&gt;MAX('Match Log'!$A$4:$A$311),NA(),IFERROR(LOOKUP(2,1/(('Match Log'!$D$4:$D$311=$N$24)*('Match Log'!$A$4:$A$311&lt;=$J78)),'Match Log'!$N$4:$N$311),NA()))</f>
        <v>941.85442451275833</v>
      </c>
      <c r="O78">
        <f>IF($J78&gt;MAX('Match Log'!$A$4:$A$311),NA(),IFERROR(LOOKUP(2,1/(('Match Log'!$D$4:$D$311=$O$24)*('Match Log'!$A$4:$A$311&lt;=$J78)),'Match Log'!$N$4:$N$311),NA()))</f>
        <v>1156.4528965767604</v>
      </c>
      <c r="P78">
        <f>IF($J78&gt;MAX('Match Log'!$A$4:$A$311),NA(),IFERROR(LOOKUP(2,1/(('Match Log'!$D$4:$D$311=$P$24)*('Match Log'!$A$4:$A$311&lt;=$J78)),'Match Log'!$N$4:$N$311),NA()))</f>
        <v>1007.4743526549773</v>
      </c>
      <c r="Q78">
        <f>IF($J78&gt;MAX('Match Log'!$A$4:$A$311),NA(),IFERROR(LOOKUP(2,1/(('Match Log'!$D$4:$D$311=$Q$24)*('Match Log'!$A$4:$A$311&lt;=$J78)),'Match Log'!$N$4:$N$311),NA()))</f>
        <v>1004.2142857142857</v>
      </c>
      <c r="R78">
        <f>IF($J78&gt;MAX('Match Log'!$A$4:$A$311),NA(),IFERROR(LOOKUP(2,1/(('Match Log'!$D$4:$D$311=$R$24)*('Match Log'!$A$4:$A$311&lt;=$J78)),'Match Log'!$N$4:$N$311),NA()))</f>
        <v>994.81951865923497</v>
      </c>
      <c r="S78">
        <f>IF($J78&gt;MAX('Match Log'!$A$4:$A$311),NA(),IFERROR(LOOKUP(2,1/(('Match Log'!$D$4:$D$311=$S$24)*('Match Log'!$A$4:$A$311&lt;=$J78)),'Match Log'!$N$4:$N$311),NA()))</f>
        <v>1054.9321218859973</v>
      </c>
      <c r="T78">
        <f>IF($J78&gt;MAX('Match Log'!$A$4:$A$311),NA(),IFERROR(LOOKUP(2,1/(('Match Log'!$D$4:$D$311=$T$24)*('Match Log'!$A$4:$A$311&lt;=$J78)),'Match Log'!$N$4:$N$311),NA()))</f>
        <v>914.80558848258727</v>
      </c>
      <c r="U78">
        <f>IF($J78&gt;MAX('Match Log'!$A$4:$A$311),NA(),IFERROR(LOOKUP(2,1/(('Match Log'!$D$4:$D$311=$U$24)*('Match Log'!$A$4:$A$311&lt;=$J78)),'Match Log'!$N$4:$N$311),NA()))</f>
        <v>962.63633471054061</v>
      </c>
      <c r="V78" t="e">
        <f>IF($J78&gt;MAX('Match Log'!$A$4:$A$311),NA(),IFERROR(LOOKUP(2,1/(('Match Log'!$D$4:$D$311=$V$24)*('Match Log'!$A$4:$A$311&lt;=$J78)),'Match Log'!$N$4:$N$311),NA()))</f>
        <v>#N/A</v>
      </c>
      <c r="W78" t="e">
        <f>IF($J78&gt;MAX('Match Log'!$A$4:$A$311),NA(),IFERROR(LOOKUP(2,1/(('Match Log'!$D$4:$D$311=$W$24)*('Match Log'!$A$4:$A$311&lt;=$J78)),'Match Log'!$N$4:$N$311),NA()))</f>
        <v>#N/A</v>
      </c>
      <c r="X78" t="e">
        <f>IF($J78&gt;MAX('Match Log'!$A$4:$A$311),NA(),IFERROR(LOOKUP(2,1/(('Match Log'!$D$4:$D$311=$X$24)*('Match Log'!$A$4:$A$311&lt;=$J78)),'Match Log'!$N$4:$N$311),NA()))</f>
        <v>#N/A</v>
      </c>
      <c r="Y78" t="str">
        <f t="shared" ca="1" si="21"/>
        <v/>
      </c>
    </row>
    <row r="79" spans="1:25" ht="15" customHeight="1" x14ac:dyDescent="0.2">
      <c r="A79">
        <v>55</v>
      </c>
      <c r="B79" s="132">
        <f>IFERROR(INDEX('Match Log'!$B$4:$B$311,MATCH(55,'Match Log'!$A$4:$A$311,0)),"")</f>
        <v>46177</v>
      </c>
      <c r="C79" t="str">
        <f>IFERROR(INDEX('Match Log'!$C$4:$C$311,MATCH(55,'Match Log'!$A$4:$A$311,0)),"")</f>
        <v>Mario Kart</v>
      </c>
      <c r="D79" t="str">
        <f>IFERROR(INDEX('Match Log'!$G$4:$G$311,MATCH(55,'Match Log'!$A$4:$A$311,0)),"")</f>
        <v>Oscar</v>
      </c>
      <c r="E79" s="133">
        <f>IFERROR(INDEX('Match Log'!$F$4:$F$311,MATCH(55,'Match Log'!$A$4:$A$311,0)),"")</f>
        <v>2</v>
      </c>
      <c r="F79">
        <f>IFERROR(SUMIFS('Match Log'!$I$4:$I$311,'Match Log'!$A$4:$A$311,55,'Match Log'!$E$4:$E$311,"Win"),"")</f>
        <v>0.44444444444444448</v>
      </c>
      <c r="G79">
        <f t="shared" si="19"/>
        <v>0.11111111111111105</v>
      </c>
      <c r="H79" t="str">
        <f>IFERROR(IF($E79=2,LOOKUP(2,1/(('Match Log'!$A$4:$A$311=55)*('Match Log'!$E$4:$E$311="Loss")),'Match Log'!$D$4:$D$311),"the field"),"")</f>
        <v>Shawn</v>
      </c>
      <c r="I79">
        <f t="shared" si="20"/>
        <v>0.11105611111111105</v>
      </c>
      <c r="J79">
        <v>55</v>
      </c>
      <c r="K79">
        <f>IF($J79&gt;MAX('Match Log'!$A$4:$A$311),NA(),IFERROR(LOOKUP(2,1/(('Match Log'!$D$4:$D$311=$K$24)*('Match Log'!$A$4:$A$311&lt;=$J79)),'Match Log'!$N$4:$N$311),NA()))</f>
        <v>1082.8539049537733</v>
      </c>
      <c r="L79">
        <f>IF($J79&gt;MAX('Match Log'!$A$4:$A$311),NA(),IFERROR(LOOKUP(2,1/(('Match Log'!$D$4:$D$311=$L$24)*('Match Log'!$A$4:$A$311&lt;=$J79)),'Match Log'!$N$4:$N$311),NA()))</f>
        <v>975.34219391622196</v>
      </c>
      <c r="M79">
        <f>IF($J79&gt;MAX('Match Log'!$A$4:$A$311),NA(),IFERROR(LOOKUP(2,1/(('Match Log'!$D$4:$D$311=$M$24)*('Match Log'!$A$4:$A$311&lt;=$J79)),'Match Log'!$N$4:$N$311),NA()))</f>
        <v>1000.614377932863</v>
      </c>
      <c r="N79">
        <f>IF($J79&gt;MAX('Match Log'!$A$4:$A$311),NA(),IFERROR(LOOKUP(2,1/(('Match Log'!$D$4:$D$311=$N$24)*('Match Log'!$A$4:$A$311&lt;=$J79)),'Match Log'!$N$4:$N$311),NA()))</f>
        <v>941.85442451275833</v>
      </c>
      <c r="O79">
        <f>IF($J79&gt;MAX('Match Log'!$A$4:$A$311),NA(),IFERROR(LOOKUP(2,1/(('Match Log'!$D$4:$D$311=$O$24)*('Match Log'!$A$4:$A$311&lt;=$J79)),'Match Log'!$N$4:$N$311),NA()))</f>
        <v>1156.4528965767604</v>
      </c>
      <c r="P79">
        <f>IF($J79&gt;MAX('Match Log'!$A$4:$A$311),NA(),IFERROR(LOOKUP(2,1/(('Match Log'!$D$4:$D$311=$P$24)*('Match Log'!$A$4:$A$311&lt;=$J79)),'Match Log'!$N$4:$N$311),NA()))</f>
        <v>983.07168999273233</v>
      </c>
      <c r="Q79">
        <f>IF($J79&gt;MAX('Match Log'!$A$4:$A$311),NA(),IFERROR(LOOKUP(2,1/(('Match Log'!$D$4:$D$311=$Q$24)*('Match Log'!$A$4:$A$311&lt;=$J79)),'Match Log'!$N$4:$N$311),NA()))</f>
        <v>1004.2142857142857</v>
      </c>
      <c r="R79">
        <f>IF($J79&gt;MAX('Match Log'!$A$4:$A$311),NA(),IFERROR(LOOKUP(2,1/(('Match Log'!$D$4:$D$311=$R$24)*('Match Log'!$A$4:$A$311&lt;=$J79)),'Match Log'!$N$4:$N$311),NA()))</f>
        <v>994.81951865923497</v>
      </c>
      <c r="S79">
        <f>IF($J79&gt;MAX('Match Log'!$A$4:$A$311),NA(),IFERROR(LOOKUP(2,1/(('Match Log'!$D$4:$D$311=$S$24)*('Match Log'!$A$4:$A$311&lt;=$J79)),'Match Log'!$N$4:$N$311),NA()))</f>
        <v>1054.9321218859973</v>
      </c>
      <c r="T79">
        <f>IF($J79&gt;MAX('Match Log'!$A$4:$A$311),NA(),IFERROR(LOOKUP(2,1/(('Match Log'!$D$4:$D$311=$T$24)*('Match Log'!$A$4:$A$311&lt;=$J79)),'Match Log'!$N$4:$N$311),NA()))</f>
        <v>914.80558848258727</v>
      </c>
      <c r="U79">
        <f>IF($J79&gt;MAX('Match Log'!$A$4:$A$311),NA(),IFERROR(LOOKUP(2,1/(('Match Log'!$D$4:$D$311=$U$24)*('Match Log'!$A$4:$A$311&lt;=$J79)),'Match Log'!$N$4:$N$311),NA()))</f>
        <v>987.03899737278562</v>
      </c>
      <c r="V79" t="e">
        <f>IF($J79&gt;MAX('Match Log'!$A$4:$A$311),NA(),IFERROR(LOOKUP(2,1/(('Match Log'!$D$4:$D$311=$V$24)*('Match Log'!$A$4:$A$311&lt;=$J79)),'Match Log'!$N$4:$N$311),NA()))</f>
        <v>#N/A</v>
      </c>
      <c r="W79" t="e">
        <f>IF($J79&gt;MAX('Match Log'!$A$4:$A$311),NA(),IFERROR(LOOKUP(2,1/(('Match Log'!$D$4:$D$311=$W$24)*('Match Log'!$A$4:$A$311&lt;=$J79)),'Match Log'!$N$4:$N$311),NA()))</f>
        <v>#N/A</v>
      </c>
      <c r="X79" t="e">
        <f>IF($J79&gt;MAX('Match Log'!$A$4:$A$311),NA(),IFERROR(LOOKUP(2,1/(('Match Log'!$D$4:$D$311=$X$24)*('Match Log'!$A$4:$A$311&lt;=$J79)),'Match Log'!$N$4:$N$311),NA()))</f>
        <v>#N/A</v>
      </c>
      <c r="Y79" t="str">
        <f t="shared" ca="1" si="21"/>
        <v/>
      </c>
    </row>
    <row r="80" spans="1:25" ht="15" customHeight="1" x14ac:dyDescent="0.2">
      <c r="A80">
        <v>56</v>
      </c>
      <c r="B80" s="132">
        <f>IFERROR(INDEX('Match Log'!$B$4:$B$311,MATCH(56,'Match Log'!$A$4:$A$311,0)),"")</f>
        <v>46188</v>
      </c>
      <c r="C80" t="str">
        <f>IFERROR(INDEX('Match Log'!$C$4:$C$311,MATCH(56,'Match Log'!$A$4:$A$311,0)),"")</f>
        <v>ShuffleBoard</v>
      </c>
      <c r="D80" t="str">
        <f>IFERROR(INDEX('Match Log'!$G$4:$G$311,MATCH(56,'Match Log'!$A$4:$A$311,0)),"")</f>
        <v>Shawn</v>
      </c>
      <c r="E80" s="133">
        <f>IFERROR(INDEX('Match Log'!$F$4:$F$311,MATCH(56,'Match Log'!$A$4:$A$311,0)),"")</f>
        <v>2</v>
      </c>
      <c r="F80">
        <f>IFERROR(SUMIFS('Match Log'!$I$4:$I$311,'Match Log'!$A$4:$A$311,56,'Match Log'!$E$4:$E$311,"Win"),"")</f>
        <v>0.5</v>
      </c>
      <c r="G80">
        <f t="shared" si="19"/>
        <v>0</v>
      </c>
      <c r="H80" t="str">
        <f>IFERROR(IF($E80=2,LOOKUP(2,1/(('Match Log'!$A$4:$A$311=56)*('Match Log'!$E$4:$E$311="Loss")),'Match Log'!$D$4:$D$311),"the field"),"")</f>
        <v>Josh</v>
      </c>
      <c r="I80">
        <f t="shared" si="20"/>
        <v>-5.5999999999999999E-5</v>
      </c>
      <c r="J80">
        <v>56</v>
      </c>
      <c r="K80">
        <f>IF($J80&gt;MAX('Match Log'!$A$4:$A$311),NA(),IFERROR(LOOKUP(2,1/(('Match Log'!$D$4:$D$311=$K$24)*('Match Log'!$A$4:$A$311&lt;=$J80)),'Match Log'!$N$4:$N$311),NA()))</f>
        <v>1082.8539049537733</v>
      </c>
      <c r="L80">
        <f>IF($J80&gt;MAX('Match Log'!$A$4:$A$311),NA(),IFERROR(LOOKUP(2,1/(('Match Log'!$D$4:$D$311=$L$24)*('Match Log'!$A$4:$A$311&lt;=$J80)),'Match Log'!$N$4:$N$311),NA()))</f>
        <v>975.34219391622196</v>
      </c>
      <c r="M80">
        <f>IF($J80&gt;MAX('Match Log'!$A$4:$A$311),NA(),IFERROR(LOOKUP(2,1/(('Match Log'!$D$4:$D$311=$M$24)*('Match Log'!$A$4:$A$311&lt;=$J80)),'Match Log'!$N$4:$N$311),NA()))</f>
        <v>1000.614377932863</v>
      </c>
      <c r="N80">
        <f>IF($J80&gt;MAX('Match Log'!$A$4:$A$311),NA(),IFERROR(LOOKUP(2,1/(('Match Log'!$D$4:$D$311=$N$24)*('Match Log'!$A$4:$A$311&lt;=$J80)),'Match Log'!$N$4:$N$311),NA()))</f>
        <v>941.85442451275833</v>
      </c>
      <c r="O80">
        <f>IF($J80&gt;MAX('Match Log'!$A$4:$A$311),NA(),IFERROR(LOOKUP(2,1/(('Match Log'!$D$4:$D$311=$O$24)*('Match Log'!$A$4:$A$311&lt;=$J80)),'Match Log'!$N$4:$N$311),NA()))</f>
        <v>1127.0712177445546</v>
      </c>
      <c r="P80">
        <f>IF($J80&gt;MAX('Match Log'!$A$4:$A$311),NA(),IFERROR(LOOKUP(2,1/(('Match Log'!$D$4:$D$311=$P$24)*('Match Log'!$A$4:$A$311&lt;=$J80)),'Match Log'!$N$4:$N$311),NA()))</f>
        <v>1012.4533688249381</v>
      </c>
      <c r="Q80">
        <f>IF($J80&gt;MAX('Match Log'!$A$4:$A$311),NA(),IFERROR(LOOKUP(2,1/(('Match Log'!$D$4:$D$311=$Q$24)*('Match Log'!$A$4:$A$311&lt;=$J80)),'Match Log'!$N$4:$N$311),NA()))</f>
        <v>1004.2142857142857</v>
      </c>
      <c r="R80">
        <f>IF($J80&gt;MAX('Match Log'!$A$4:$A$311),NA(),IFERROR(LOOKUP(2,1/(('Match Log'!$D$4:$D$311=$R$24)*('Match Log'!$A$4:$A$311&lt;=$J80)),'Match Log'!$N$4:$N$311),NA()))</f>
        <v>994.81951865923497</v>
      </c>
      <c r="S80">
        <f>IF($J80&gt;MAX('Match Log'!$A$4:$A$311),NA(),IFERROR(LOOKUP(2,1/(('Match Log'!$D$4:$D$311=$S$24)*('Match Log'!$A$4:$A$311&lt;=$J80)),'Match Log'!$N$4:$N$311),NA()))</f>
        <v>1054.9321218859973</v>
      </c>
      <c r="T80">
        <f>IF($J80&gt;MAX('Match Log'!$A$4:$A$311),NA(),IFERROR(LOOKUP(2,1/(('Match Log'!$D$4:$D$311=$T$24)*('Match Log'!$A$4:$A$311&lt;=$J80)),'Match Log'!$N$4:$N$311),NA()))</f>
        <v>914.80558848258727</v>
      </c>
      <c r="U80">
        <f>IF($J80&gt;MAX('Match Log'!$A$4:$A$311),NA(),IFERROR(LOOKUP(2,1/(('Match Log'!$D$4:$D$311=$U$24)*('Match Log'!$A$4:$A$311&lt;=$J80)),'Match Log'!$N$4:$N$311),NA()))</f>
        <v>987.03899737278562</v>
      </c>
      <c r="V80" t="e">
        <f>IF($J80&gt;MAX('Match Log'!$A$4:$A$311),NA(),IFERROR(LOOKUP(2,1/(('Match Log'!$D$4:$D$311=$V$24)*('Match Log'!$A$4:$A$311&lt;=$J80)),'Match Log'!$N$4:$N$311),NA()))</f>
        <v>#N/A</v>
      </c>
      <c r="W80" t="e">
        <f>IF($J80&gt;MAX('Match Log'!$A$4:$A$311),NA(),IFERROR(LOOKUP(2,1/(('Match Log'!$D$4:$D$311=$W$24)*('Match Log'!$A$4:$A$311&lt;=$J80)),'Match Log'!$N$4:$N$311),NA()))</f>
        <v>#N/A</v>
      </c>
      <c r="X80" t="e">
        <f>IF($J80&gt;MAX('Match Log'!$A$4:$A$311),NA(),IFERROR(LOOKUP(2,1/(('Match Log'!$D$4:$D$311=$X$24)*('Match Log'!$A$4:$A$311&lt;=$J80)),'Match Log'!$N$4:$N$311),NA()))</f>
        <v>#N/A</v>
      </c>
      <c r="Y80" t="str">
        <f t="shared" ca="1" si="21"/>
        <v/>
      </c>
    </row>
    <row r="81" spans="1:25" ht="15" customHeight="1" x14ac:dyDescent="0.2">
      <c r="A81">
        <v>57</v>
      </c>
      <c r="B81" s="132">
        <f>IFERROR(INDEX('Match Log'!$B$4:$B$311,MATCH(57,'Match Log'!$A$4:$A$311,0)),"")</f>
        <v>46188</v>
      </c>
      <c r="C81" t="str">
        <f>IFERROR(INDEX('Match Log'!$C$4:$C$311,MATCH(57,'Match Log'!$A$4:$A$311,0)),"")</f>
        <v>ShuffleBoard</v>
      </c>
      <c r="D81" t="str">
        <f>IFERROR(INDEX('Match Log'!$G$4:$G$311,MATCH(57,'Match Log'!$A$4:$A$311,0)),"")</f>
        <v>David</v>
      </c>
      <c r="E81" s="133">
        <f>IFERROR(INDEX('Match Log'!$F$4:$F$311,MATCH(57,'Match Log'!$A$4:$A$311,0)),"")</f>
        <v>2</v>
      </c>
      <c r="F81">
        <f>IFERROR(SUMIFS('Match Log'!$I$4:$I$311,'Match Log'!$A$4:$A$311,57,'Match Log'!$E$4:$E$311,"Win"),"")</f>
        <v>0.5</v>
      </c>
      <c r="G81">
        <f t="shared" si="19"/>
        <v>0</v>
      </c>
      <c r="H81" t="str">
        <f>IFERROR(IF($E81=2,LOOKUP(2,1/(('Match Log'!$A$4:$A$311=57)*('Match Log'!$E$4:$E$311="Loss")),'Match Log'!$D$4:$D$311),"the field"),"")</f>
        <v>Aaron</v>
      </c>
      <c r="I81">
        <f t="shared" si="20"/>
        <v>-5.7000000000000003E-5</v>
      </c>
      <c r="J81">
        <v>57</v>
      </c>
      <c r="K81">
        <f>IF($J81&gt;MAX('Match Log'!$A$4:$A$311),NA(),IFERROR(LOOKUP(2,1/(('Match Log'!$D$4:$D$311=$K$24)*('Match Log'!$A$4:$A$311&lt;=$J81)),'Match Log'!$N$4:$N$311),NA()))</f>
        <v>1054.695096772648</v>
      </c>
      <c r="L81">
        <f>IF($J81&gt;MAX('Match Log'!$A$4:$A$311),NA(),IFERROR(LOOKUP(2,1/(('Match Log'!$D$4:$D$311=$L$24)*('Match Log'!$A$4:$A$311&lt;=$J81)),'Match Log'!$N$4:$N$311),NA()))</f>
        <v>975.34219391622196</v>
      </c>
      <c r="M81">
        <f>IF($J81&gt;MAX('Match Log'!$A$4:$A$311),NA(),IFERROR(LOOKUP(2,1/(('Match Log'!$D$4:$D$311=$M$24)*('Match Log'!$A$4:$A$311&lt;=$J81)),'Match Log'!$N$4:$N$311),NA()))</f>
        <v>1000.614377932863</v>
      </c>
      <c r="N81">
        <f>IF($J81&gt;MAX('Match Log'!$A$4:$A$311),NA(),IFERROR(LOOKUP(2,1/(('Match Log'!$D$4:$D$311=$N$24)*('Match Log'!$A$4:$A$311&lt;=$J81)),'Match Log'!$N$4:$N$311),NA()))</f>
        <v>970.01323269388354</v>
      </c>
      <c r="O81">
        <f>IF($J81&gt;MAX('Match Log'!$A$4:$A$311),NA(),IFERROR(LOOKUP(2,1/(('Match Log'!$D$4:$D$311=$O$24)*('Match Log'!$A$4:$A$311&lt;=$J81)),'Match Log'!$N$4:$N$311),NA()))</f>
        <v>1127.0712177445546</v>
      </c>
      <c r="P81">
        <f>IF($J81&gt;MAX('Match Log'!$A$4:$A$311),NA(),IFERROR(LOOKUP(2,1/(('Match Log'!$D$4:$D$311=$P$24)*('Match Log'!$A$4:$A$311&lt;=$J81)),'Match Log'!$N$4:$N$311),NA()))</f>
        <v>1012.4533688249381</v>
      </c>
      <c r="Q81">
        <f>IF($J81&gt;MAX('Match Log'!$A$4:$A$311),NA(),IFERROR(LOOKUP(2,1/(('Match Log'!$D$4:$D$311=$Q$24)*('Match Log'!$A$4:$A$311&lt;=$J81)),'Match Log'!$N$4:$N$311),NA()))</f>
        <v>1004.2142857142857</v>
      </c>
      <c r="R81">
        <f>IF($J81&gt;MAX('Match Log'!$A$4:$A$311),NA(),IFERROR(LOOKUP(2,1/(('Match Log'!$D$4:$D$311=$R$24)*('Match Log'!$A$4:$A$311&lt;=$J81)),'Match Log'!$N$4:$N$311),NA()))</f>
        <v>994.81951865923497</v>
      </c>
      <c r="S81">
        <f>IF($J81&gt;MAX('Match Log'!$A$4:$A$311),NA(),IFERROR(LOOKUP(2,1/(('Match Log'!$D$4:$D$311=$S$24)*('Match Log'!$A$4:$A$311&lt;=$J81)),'Match Log'!$N$4:$N$311),NA()))</f>
        <v>1054.9321218859973</v>
      </c>
      <c r="T81">
        <f>IF($J81&gt;MAX('Match Log'!$A$4:$A$311),NA(),IFERROR(LOOKUP(2,1/(('Match Log'!$D$4:$D$311=$T$24)*('Match Log'!$A$4:$A$311&lt;=$J81)),'Match Log'!$N$4:$N$311),NA()))</f>
        <v>914.80558848258727</v>
      </c>
      <c r="U81">
        <f>IF($J81&gt;MAX('Match Log'!$A$4:$A$311),NA(),IFERROR(LOOKUP(2,1/(('Match Log'!$D$4:$D$311=$U$24)*('Match Log'!$A$4:$A$311&lt;=$J81)),'Match Log'!$N$4:$N$311),NA()))</f>
        <v>987.03899737278562</v>
      </c>
      <c r="V81" t="e">
        <f>IF($J81&gt;MAX('Match Log'!$A$4:$A$311),NA(),IFERROR(LOOKUP(2,1/(('Match Log'!$D$4:$D$311=$V$24)*('Match Log'!$A$4:$A$311&lt;=$J81)),'Match Log'!$N$4:$N$311),NA()))</f>
        <v>#N/A</v>
      </c>
      <c r="W81" t="e">
        <f>IF($J81&gt;MAX('Match Log'!$A$4:$A$311),NA(),IFERROR(LOOKUP(2,1/(('Match Log'!$D$4:$D$311=$W$24)*('Match Log'!$A$4:$A$311&lt;=$J81)),'Match Log'!$N$4:$N$311),NA()))</f>
        <v>#N/A</v>
      </c>
      <c r="X81" t="e">
        <f>IF($J81&gt;MAX('Match Log'!$A$4:$A$311),NA(),IFERROR(LOOKUP(2,1/(('Match Log'!$D$4:$D$311=$X$24)*('Match Log'!$A$4:$A$311&lt;=$J81)),'Match Log'!$N$4:$N$311),NA()))</f>
        <v>#N/A</v>
      </c>
      <c r="Y81" t="str">
        <f t="shared" ca="1" si="21"/>
        <v/>
      </c>
    </row>
    <row r="82" spans="1:25" ht="15" customHeight="1" x14ac:dyDescent="0.2">
      <c r="A82">
        <v>58</v>
      </c>
      <c r="B82" s="132">
        <f>IFERROR(INDEX('Match Log'!$B$4:$B$311,MATCH(58,'Match Log'!$A$4:$A$311,0)),"")</f>
        <v>46188</v>
      </c>
      <c r="C82" t="str">
        <f>IFERROR(INDEX('Match Log'!$C$4:$C$311,MATCH(58,'Match Log'!$A$4:$A$311,0)),"")</f>
        <v>ShuffleBoard</v>
      </c>
      <c r="D82" t="str">
        <f>IFERROR(INDEX('Match Log'!$G$4:$G$311,MATCH(58,'Match Log'!$A$4:$A$311,0)),"")</f>
        <v>Dean B</v>
      </c>
      <c r="E82" s="133">
        <f>IFERROR(INDEX('Match Log'!$F$4:$F$311,MATCH(58,'Match Log'!$A$4:$A$311,0)),"")</f>
        <v>2</v>
      </c>
      <c r="F82">
        <f>IFERROR(SUMIFS('Match Log'!$I$4:$I$311,'Match Log'!$A$4:$A$311,58,'Match Log'!$E$4:$E$311,"Win"),"")</f>
        <v>0.5</v>
      </c>
      <c r="G82">
        <f t="shared" si="19"/>
        <v>0</v>
      </c>
      <c r="H82" t="str">
        <f>IFERROR(IF($E82=2,LOOKUP(2,1/(('Match Log'!$A$4:$A$311=58)*('Match Log'!$E$4:$E$311="Loss")),'Match Log'!$D$4:$D$311),"the field"),"")</f>
        <v>Daniel (Ferret)</v>
      </c>
      <c r="I82">
        <f t="shared" si="20"/>
        <v>-5.8E-5</v>
      </c>
      <c r="J82">
        <v>58</v>
      </c>
      <c r="K82">
        <f>IF($J82&gt;MAX('Match Log'!$A$4:$A$311),NA(),IFERROR(LOOKUP(2,1/(('Match Log'!$D$4:$D$311=$K$24)*('Match Log'!$A$4:$A$311&lt;=$J82)),'Match Log'!$N$4:$N$311),NA()))</f>
        <v>1054.695096772648</v>
      </c>
      <c r="L82">
        <f>IF($J82&gt;MAX('Match Log'!$A$4:$A$311),NA(),IFERROR(LOOKUP(2,1/(('Match Log'!$D$4:$D$311=$L$24)*('Match Log'!$A$4:$A$311&lt;=$J82)),'Match Log'!$N$4:$N$311),NA()))</f>
        <v>975.34219391622196</v>
      </c>
      <c r="M82">
        <f>IF($J82&gt;MAX('Match Log'!$A$4:$A$311),NA(),IFERROR(LOOKUP(2,1/(('Match Log'!$D$4:$D$311=$M$24)*('Match Log'!$A$4:$A$311&lt;=$J82)),'Match Log'!$N$4:$N$311),NA()))</f>
        <v>1000.614377932863</v>
      </c>
      <c r="N82">
        <f>IF($J82&gt;MAX('Match Log'!$A$4:$A$311),NA(),IFERROR(LOOKUP(2,1/(('Match Log'!$D$4:$D$311=$N$24)*('Match Log'!$A$4:$A$311&lt;=$J82)),'Match Log'!$N$4:$N$311),NA()))</f>
        <v>970.01323269388354</v>
      </c>
      <c r="O82">
        <f>IF($J82&gt;MAX('Match Log'!$A$4:$A$311),NA(),IFERROR(LOOKUP(2,1/(('Match Log'!$D$4:$D$311=$O$24)*('Match Log'!$A$4:$A$311&lt;=$J82)),'Match Log'!$N$4:$N$311),NA()))</f>
        <v>1127.0712177445546</v>
      </c>
      <c r="P82">
        <f>IF($J82&gt;MAX('Match Log'!$A$4:$A$311),NA(),IFERROR(LOOKUP(2,1/(('Match Log'!$D$4:$D$311=$P$24)*('Match Log'!$A$4:$A$311&lt;=$J82)),'Match Log'!$N$4:$N$311),NA()))</f>
        <v>1012.4533688249381</v>
      </c>
      <c r="Q82">
        <f>IF($J82&gt;MAX('Match Log'!$A$4:$A$311),NA(),IFERROR(LOOKUP(2,1/(('Match Log'!$D$4:$D$311=$Q$24)*('Match Log'!$A$4:$A$311&lt;=$J82)),'Match Log'!$N$4:$N$311),NA()))</f>
        <v>1004.2142857142857</v>
      </c>
      <c r="R82">
        <f>IF($J82&gt;MAX('Match Log'!$A$4:$A$311),NA(),IFERROR(LOOKUP(2,1/(('Match Log'!$D$4:$D$311=$R$24)*('Match Log'!$A$4:$A$311&lt;=$J82)),'Match Log'!$N$4:$N$311),NA()))</f>
        <v>975.56051004124629</v>
      </c>
      <c r="S82">
        <f>IF($J82&gt;MAX('Match Log'!$A$4:$A$311),NA(),IFERROR(LOOKUP(2,1/(('Match Log'!$D$4:$D$311=$S$24)*('Match Log'!$A$4:$A$311&lt;=$J82)),'Match Log'!$N$4:$N$311),NA()))</f>
        <v>1074.191130503986</v>
      </c>
      <c r="T82">
        <f>IF($J82&gt;MAX('Match Log'!$A$4:$A$311),NA(),IFERROR(LOOKUP(2,1/(('Match Log'!$D$4:$D$311=$T$24)*('Match Log'!$A$4:$A$311&lt;=$J82)),'Match Log'!$N$4:$N$311),NA()))</f>
        <v>914.80558848258727</v>
      </c>
      <c r="U82">
        <f>IF($J82&gt;MAX('Match Log'!$A$4:$A$311),NA(),IFERROR(LOOKUP(2,1/(('Match Log'!$D$4:$D$311=$U$24)*('Match Log'!$A$4:$A$311&lt;=$J82)),'Match Log'!$N$4:$N$311),NA()))</f>
        <v>987.03899737278562</v>
      </c>
      <c r="V82" t="e">
        <f>IF($J82&gt;MAX('Match Log'!$A$4:$A$311),NA(),IFERROR(LOOKUP(2,1/(('Match Log'!$D$4:$D$311=$V$24)*('Match Log'!$A$4:$A$311&lt;=$J82)),'Match Log'!$N$4:$N$311),NA()))</f>
        <v>#N/A</v>
      </c>
      <c r="W82" t="e">
        <f>IF($J82&gt;MAX('Match Log'!$A$4:$A$311),NA(),IFERROR(LOOKUP(2,1/(('Match Log'!$D$4:$D$311=$W$24)*('Match Log'!$A$4:$A$311&lt;=$J82)),'Match Log'!$N$4:$N$311),NA()))</f>
        <v>#N/A</v>
      </c>
      <c r="X82" t="e">
        <f>IF($J82&gt;MAX('Match Log'!$A$4:$A$311),NA(),IFERROR(LOOKUP(2,1/(('Match Log'!$D$4:$D$311=$X$24)*('Match Log'!$A$4:$A$311&lt;=$J82)),'Match Log'!$N$4:$N$311),NA()))</f>
        <v>#N/A</v>
      </c>
      <c r="Y82" t="str">
        <f t="shared" ca="1" si="21"/>
        <v/>
      </c>
    </row>
    <row r="83" spans="1:25" ht="15" customHeight="1" x14ac:dyDescent="0.2">
      <c r="A83">
        <v>59</v>
      </c>
      <c r="B83" s="132">
        <f>IFERROR(INDEX('Match Log'!$B$4:$B$311,MATCH(59,'Match Log'!$A$4:$A$311,0)),"")</f>
        <v>46188</v>
      </c>
      <c r="C83" t="str">
        <f>IFERROR(INDEX('Match Log'!$C$4:$C$311,MATCH(59,'Match Log'!$A$4:$A$311,0)),"")</f>
        <v>ShuffleBoard</v>
      </c>
      <c r="D83" t="str">
        <f>IFERROR(INDEX('Match Log'!$G$4:$G$311,MATCH(59,'Match Log'!$A$4:$A$311,0)),"")</f>
        <v>Simon</v>
      </c>
      <c r="E83" s="133">
        <f>IFERROR(INDEX('Match Log'!$F$4:$F$311,MATCH(59,'Match Log'!$A$4:$A$311,0)),"")</f>
        <v>2</v>
      </c>
      <c r="F83">
        <f>IFERROR(SUMIFS('Match Log'!$I$4:$I$311,'Match Log'!$A$4:$A$311,59,'Match Log'!$E$4:$E$311,"Win"),"")</f>
        <v>0.60000000000000009</v>
      </c>
      <c r="G83">
        <f t="shared" si="19"/>
        <v>-0.20000000000000018</v>
      </c>
      <c r="H83" t="str">
        <f>IFERROR(IF($E83=2,LOOKUP(2,1/(('Match Log'!$A$4:$A$311=59)*('Match Log'!$E$4:$E$311="Loss")),'Match Log'!$D$4:$D$311),"the field"),"")</f>
        <v>Aaron</v>
      </c>
      <c r="I83">
        <f t="shared" si="20"/>
        <v>-0.20005900000000018</v>
      </c>
      <c r="J83">
        <v>59</v>
      </c>
      <c r="K83">
        <f>IF($J83&gt;MAX('Match Log'!$A$4:$A$311),NA(),IFERROR(LOOKUP(2,1/(('Match Log'!$D$4:$D$311=$K$24)*('Match Log'!$A$4:$A$311&lt;=$J83)),'Match Log'!$N$4:$N$311),NA()))</f>
        <v>1032.1203077686844</v>
      </c>
      <c r="L83">
        <f>IF($J83&gt;MAX('Match Log'!$A$4:$A$311),NA(),IFERROR(LOOKUP(2,1/(('Match Log'!$D$4:$D$311=$L$24)*('Match Log'!$A$4:$A$311&lt;=$J83)),'Match Log'!$N$4:$N$311),NA()))</f>
        <v>975.34219391622196</v>
      </c>
      <c r="M83">
        <f>IF($J83&gt;MAX('Match Log'!$A$4:$A$311),NA(),IFERROR(LOOKUP(2,1/(('Match Log'!$D$4:$D$311=$M$24)*('Match Log'!$A$4:$A$311&lt;=$J83)),'Match Log'!$N$4:$N$311),NA()))</f>
        <v>1000.614377932863</v>
      </c>
      <c r="N83">
        <f>IF($J83&gt;MAX('Match Log'!$A$4:$A$311),NA(),IFERROR(LOOKUP(2,1/(('Match Log'!$D$4:$D$311=$N$24)*('Match Log'!$A$4:$A$311&lt;=$J83)),'Match Log'!$N$4:$N$311),NA()))</f>
        <v>970.01323269388354</v>
      </c>
      <c r="O83">
        <f>IF($J83&gt;MAX('Match Log'!$A$4:$A$311),NA(),IFERROR(LOOKUP(2,1/(('Match Log'!$D$4:$D$311=$O$24)*('Match Log'!$A$4:$A$311&lt;=$J83)),'Match Log'!$N$4:$N$311),NA()))</f>
        <v>1127.0712177445546</v>
      </c>
      <c r="P83">
        <f>IF($J83&gt;MAX('Match Log'!$A$4:$A$311),NA(),IFERROR(LOOKUP(2,1/(('Match Log'!$D$4:$D$311=$P$24)*('Match Log'!$A$4:$A$311&lt;=$J83)),'Match Log'!$N$4:$N$311),NA()))</f>
        <v>1012.4533688249381</v>
      </c>
      <c r="Q83">
        <f>IF($J83&gt;MAX('Match Log'!$A$4:$A$311),NA(),IFERROR(LOOKUP(2,1/(('Match Log'!$D$4:$D$311=$Q$24)*('Match Log'!$A$4:$A$311&lt;=$J83)),'Match Log'!$N$4:$N$311),NA()))</f>
        <v>1026.7890747182494</v>
      </c>
      <c r="R83">
        <f>IF($J83&gt;MAX('Match Log'!$A$4:$A$311),NA(),IFERROR(LOOKUP(2,1/(('Match Log'!$D$4:$D$311=$R$24)*('Match Log'!$A$4:$A$311&lt;=$J83)),'Match Log'!$N$4:$N$311),NA()))</f>
        <v>975.56051004124629</v>
      </c>
      <c r="S83">
        <f>IF($J83&gt;MAX('Match Log'!$A$4:$A$311),NA(),IFERROR(LOOKUP(2,1/(('Match Log'!$D$4:$D$311=$S$24)*('Match Log'!$A$4:$A$311&lt;=$J83)),'Match Log'!$N$4:$N$311),NA()))</f>
        <v>1074.191130503986</v>
      </c>
      <c r="T83">
        <f>IF($J83&gt;MAX('Match Log'!$A$4:$A$311),NA(),IFERROR(LOOKUP(2,1/(('Match Log'!$D$4:$D$311=$T$24)*('Match Log'!$A$4:$A$311&lt;=$J83)),'Match Log'!$N$4:$N$311),NA()))</f>
        <v>914.80558848258727</v>
      </c>
      <c r="U83">
        <f>IF($J83&gt;MAX('Match Log'!$A$4:$A$311),NA(),IFERROR(LOOKUP(2,1/(('Match Log'!$D$4:$D$311=$U$24)*('Match Log'!$A$4:$A$311&lt;=$J83)),'Match Log'!$N$4:$N$311),NA()))</f>
        <v>987.03899737278562</v>
      </c>
      <c r="V83" t="e">
        <f>IF($J83&gt;MAX('Match Log'!$A$4:$A$311),NA(),IFERROR(LOOKUP(2,1/(('Match Log'!$D$4:$D$311=$V$24)*('Match Log'!$A$4:$A$311&lt;=$J83)),'Match Log'!$N$4:$N$311),NA()))</f>
        <v>#N/A</v>
      </c>
      <c r="W83" t="e">
        <f>IF($J83&gt;MAX('Match Log'!$A$4:$A$311),NA(),IFERROR(LOOKUP(2,1/(('Match Log'!$D$4:$D$311=$W$24)*('Match Log'!$A$4:$A$311&lt;=$J83)),'Match Log'!$N$4:$N$311),NA()))</f>
        <v>#N/A</v>
      </c>
      <c r="X83" t="e">
        <f>IF($J83&gt;MAX('Match Log'!$A$4:$A$311),NA(),IFERROR(LOOKUP(2,1/(('Match Log'!$D$4:$D$311=$X$24)*('Match Log'!$A$4:$A$311&lt;=$J83)),'Match Log'!$N$4:$N$311),NA()))</f>
        <v>#N/A</v>
      </c>
      <c r="Y83" t="str">
        <f t="shared" ca="1" si="21"/>
        <v/>
      </c>
    </row>
    <row r="84" spans="1:25" ht="15" customHeight="1" x14ac:dyDescent="0.2">
      <c r="A84">
        <v>60</v>
      </c>
      <c r="B84" s="132">
        <f>IFERROR(INDEX('Match Log'!$B$4:$B$311,MATCH(60,'Match Log'!$A$4:$A$311,0)),"")</f>
        <v>46188</v>
      </c>
      <c r="C84" t="str">
        <f>IFERROR(INDEX('Match Log'!$C$4:$C$311,MATCH(60,'Match Log'!$A$4:$A$311,0)),"")</f>
        <v>ShuffleBoard</v>
      </c>
      <c r="D84" t="str">
        <f>IFERROR(INDEX('Match Log'!$G$4:$G$311,MATCH(60,'Match Log'!$A$4:$A$311,0)),"")</f>
        <v>Beau</v>
      </c>
      <c r="E84" s="133">
        <f>IFERROR(INDEX('Match Log'!$F$4:$F$311,MATCH(60,'Match Log'!$A$4:$A$311,0)),"")</f>
        <v>2</v>
      </c>
      <c r="F84">
        <f>IFERROR(SUMIFS('Match Log'!$I$4:$I$311,'Match Log'!$A$4:$A$311,60,'Match Log'!$E$4:$E$311,"Win"),"")</f>
        <v>0.5</v>
      </c>
      <c r="G84">
        <f t="shared" si="19"/>
        <v>0</v>
      </c>
      <c r="H84" t="str">
        <f>IFERROR(IF($E84=2,LOOKUP(2,1/(('Match Log'!$A$4:$A$311=60)*('Match Log'!$E$4:$E$311="Loss")),'Match Log'!$D$4:$D$311),"the field"),"")</f>
        <v>Cody</v>
      </c>
      <c r="I84">
        <f t="shared" si="20"/>
        <v>-6.0000000000000002E-5</v>
      </c>
      <c r="J84">
        <v>60</v>
      </c>
      <c r="K84">
        <f>IF($J84&gt;MAX('Match Log'!$A$4:$A$311),NA(),IFERROR(LOOKUP(2,1/(('Match Log'!$D$4:$D$311=$K$24)*('Match Log'!$A$4:$A$311&lt;=$J84)),'Match Log'!$N$4:$N$311),NA()))</f>
        <v>1032.1203077686844</v>
      </c>
      <c r="L84">
        <f>IF($J84&gt;MAX('Match Log'!$A$4:$A$311),NA(),IFERROR(LOOKUP(2,1/(('Match Log'!$D$4:$D$311=$L$24)*('Match Log'!$A$4:$A$311&lt;=$J84)),'Match Log'!$N$4:$N$311),NA()))</f>
        <v>994.58225352756665</v>
      </c>
      <c r="M84">
        <f>IF($J84&gt;MAX('Match Log'!$A$4:$A$311),NA(),IFERROR(LOOKUP(2,1/(('Match Log'!$D$4:$D$311=$M$24)*('Match Log'!$A$4:$A$311&lt;=$J84)),'Match Log'!$N$4:$N$311),NA()))</f>
        <v>1000.614377932863</v>
      </c>
      <c r="N84">
        <f>IF($J84&gt;MAX('Match Log'!$A$4:$A$311),NA(),IFERROR(LOOKUP(2,1/(('Match Log'!$D$4:$D$311=$N$24)*('Match Log'!$A$4:$A$311&lt;=$J84)),'Match Log'!$N$4:$N$311),NA()))</f>
        <v>970.01323269388354</v>
      </c>
      <c r="O84">
        <f>IF($J84&gt;MAX('Match Log'!$A$4:$A$311),NA(),IFERROR(LOOKUP(2,1/(('Match Log'!$D$4:$D$311=$O$24)*('Match Log'!$A$4:$A$311&lt;=$J84)),'Match Log'!$N$4:$N$311),NA()))</f>
        <v>1127.0712177445546</v>
      </c>
      <c r="P84">
        <f>IF($J84&gt;MAX('Match Log'!$A$4:$A$311),NA(),IFERROR(LOOKUP(2,1/(('Match Log'!$D$4:$D$311=$P$24)*('Match Log'!$A$4:$A$311&lt;=$J84)),'Match Log'!$N$4:$N$311),NA()))</f>
        <v>1012.4533688249381</v>
      </c>
      <c r="Q84">
        <f>IF($J84&gt;MAX('Match Log'!$A$4:$A$311),NA(),IFERROR(LOOKUP(2,1/(('Match Log'!$D$4:$D$311=$Q$24)*('Match Log'!$A$4:$A$311&lt;=$J84)),'Match Log'!$N$4:$N$311),NA()))</f>
        <v>1026.7890747182494</v>
      </c>
      <c r="R84">
        <f>IF($J84&gt;MAX('Match Log'!$A$4:$A$311),NA(),IFERROR(LOOKUP(2,1/(('Match Log'!$D$4:$D$311=$R$24)*('Match Log'!$A$4:$A$311&lt;=$J84)),'Match Log'!$N$4:$N$311),NA()))</f>
        <v>975.56051004124629</v>
      </c>
      <c r="S84">
        <f>IF($J84&gt;MAX('Match Log'!$A$4:$A$311),NA(),IFERROR(LOOKUP(2,1/(('Match Log'!$D$4:$D$311=$S$24)*('Match Log'!$A$4:$A$311&lt;=$J84)),'Match Log'!$N$4:$N$311),NA()))</f>
        <v>1074.191130503986</v>
      </c>
      <c r="T84">
        <f>IF($J84&gt;MAX('Match Log'!$A$4:$A$311),NA(),IFERROR(LOOKUP(2,1/(('Match Log'!$D$4:$D$311=$T$24)*('Match Log'!$A$4:$A$311&lt;=$J84)),'Match Log'!$N$4:$N$311),NA()))</f>
        <v>895.56552887124258</v>
      </c>
      <c r="U84">
        <f>IF($J84&gt;MAX('Match Log'!$A$4:$A$311),NA(),IFERROR(LOOKUP(2,1/(('Match Log'!$D$4:$D$311=$U$24)*('Match Log'!$A$4:$A$311&lt;=$J84)),'Match Log'!$N$4:$N$311),NA()))</f>
        <v>987.03899737278562</v>
      </c>
      <c r="V84" t="e">
        <f>IF($J84&gt;MAX('Match Log'!$A$4:$A$311),NA(),IFERROR(LOOKUP(2,1/(('Match Log'!$D$4:$D$311=$V$24)*('Match Log'!$A$4:$A$311&lt;=$J84)),'Match Log'!$N$4:$N$311),NA()))</f>
        <v>#N/A</v>
      </c>
      <c r="W84" t="e">
        <f>IF($J84&gt;MAX('Match Log'!$A$4:$A$311),NA(),IFERROR(LOOKUP(2,1/(('Match Log'!$D$4:$D$311=$W$24)*('Match Log'!$A$4:$A$311&lt;=$J84)),'Match Log'!$N$4:$N$311),NA()))</f>
        <v>#N/A</v>
      </c>
      <c r="X84" t="e">
        <f>IF($J84&gt;MAX('Match Log'!$A$4:$A$311),NA(),IFERROR(LOOKUP(2,1/(('Match Log'!$D$4:$D$311=$X$24)*('Match Log'!$A$4:$A$311&lt;=$J84)),'Match Log'!$N$4:$N$311),NA()))</f>
        <v>#N/A</v>
      </c>
      <c r="Y84" t="str">
        <f t="shared" ca="1" si="21"/>
        <v/>
      </c>
    </row>
    <row r="85" spans="1:25" ht="15" customHeight="1" x14ac:dyDescent="0.2">
      <c r="A85">
        <v>61</v>
      </c>
      <c r="B85" s="132">
        <f>IFERROR(INDEX('Match Log'!$B$4:$B$311,MATCH(61,'Match Log'!$A$4:$A$311,0)),"")</f>
        <v>46188</v>
      </c>
      <c r="C85" t="str">
        <f>IFERROR(INDEX('Match Log'!$C$4:$C$311,MATCH(61,'Match Log'!$A$4:$A$311,0)),"")</f>
        <v>ShuffleBoard</v>
      </c>
      <c r="D85" t="str">
        <f>IFERROR(INDEX('Match Log'!$G$4:$G$311,MATCH(61,'Match Log'!$A$4:$A$311,0)),"")</f>
        <v>Oscar</v>
      </c>
      <c r="E85" s="133">
        <f>IFERROR(INDEX('Match Log'!$F$4:$F$311,MATCH(61,'Match Log'!$A$4:$A$311,0)),"")</f>
        <v>2</v>
      </c>
      <c r="F85">
        <f>IFERROR(SUMIFS('Match Log'!$I$4:$I$311,'Match Log'!$A$4:$A$311,61,'Match Log'!$E$4:$E$311,"Win"),"")</f>
        <v>0.4285714285714286</v>
      </c>
      <c r="G85">
        <f t="shared" si="19"/>
        <v>0.14285714285714279</v>
      </c>
      <c r="H85" t="str">
        <f>IFERROR(IF($E85=2,LOOKUP(2,1/(('Match Log'!$A$4:$A$311=61)*('Match Log'!$E$4:$E$311="Loss")),'Match Log'!$D$4:$D$311),"the field"),"")</f>
        <v>Shawn</v>
      </c>
      <c r="I85">
        <f t="shared" si="20"/>
        <v>0.14279614285714279</v>
      </c>
      <c r="J85">
        <v>61</v>
      </c>
      <c r="K85">
        <f>IF($J85&gt;MAX('Match Log'!$A$4:$A$311),NA(),IFERROR(LOOKUP(2,1/(('Match Log'!$D$4:$D$311=$K$24)*('Match Log'!$A$4:$A$311&lt;=$J85)),'Match Log'!$N$4:$N$311),NA()))</f>
        <v>1032.1203077686844</v>
      </c>
      <c r="L85">
        <f>IF($J85&gt;MAX('Match Log'!$A$4:$A$311),NA(),IFERROR(LOOKUP(2,1/(('Match Log'!$D$4:$D$311=$L$24)*('Match Log'!$A$4:$A$311&lt;=$J85)),'Match Log'!$N$4:$N$311),NA()))</f>
        <v>994.58225352756665</v>
      </c>
      <c r="M85">
        <f>IF($J85&gt;MAX('Match Log'!$A$4:$A$311),NA(),IFERROR(LOOKUP(2,1/(('Match Log'!$D$4:$D$311=$M$24)*('Match Log'!$A$4:$A$311&lt;=$J85)),'Match Log'!$N$4:$N$311),NA()))</f>
        <v>1000.614377932863</v>
      </c>
      <c r="N85">
        <f>IF($J85&gt;MAX('Match Log'!$A$4:$A$311),NA(),IFERROR(LOOKUP(2,1/(('Match Log'!$D$4:$D$311=$N$24)*('Match Log'!$A$4:$A$311&lt;=$J85)),'Match Log'!$N$4:$N$311),NA()))</f>
        <v>970.01323269388354</v>
      </c>
      <c r="O85">
        <f>IF($J85&gt;MAX('Match Log'!$A$4:$A$311),NA(),IFERROR(LOOKUP(2,1/(('Match Log'!$D$4:$D$311=$O$24)*('Match Log'!$A$4:$A$311&lt;=$J85)),'Match Log'!$N$4:$N$311),NA()))</f>
        <v>1127.0712177445546</v>
      </c>
      <c r="P85">
        <f>IF($J85&gt;MAX('Match Log'!$A$4:$A$311),NA(),IFERROR(LOOKUP(2,1/(('Match Log'!$D$4:$D$311=$P$24)*('Match Log'!$A$4:$A$311&lt;=$J85)),'Match Log'!$N$4:$N$311),NA()))</f>
        <v>988.40086101694862</v>
      </c>
      <c r="Q85">
        <f>IF($J85&gt;MAX('Match Log'!$A$4:$A$311),NA(),IFERROR(LOOKUP(2,1/(('Match Log'!$D$4:$D$311=$Q$24)*('Match Log'!$A$4:$A$311&lt;=$J85)),'Match Log'!$N$4:$N$311),NA()))</f>
        <v>1026.7890747182494</v>
      </c>
      <c r="R85">
        <f>IF($J85&gt;MAX('Match Log'!$A$4:$A$311),NA(),IFERROR(LOOKUP(2,1/(('Match Log'!$D$4:$D$311=$R$24)*('Match Log'!$A$4:$A$311&lt;=$J85)),'Match Log'!$N$4:$N$311),NA()))</f>
        <v>975.56051004124629</v>
      </c>
      <c r="S85">
        <f>IF($J85&gt;MAX('Match Log'!$A$4:$A$311),NA(),IFERROR(LOOKUP(2,1/(('Match Log'!$D$4:$D$311=$S$24)*('Match Log'!$A$4:$A$311&lt;=$J85)),'Match Log'!$N$4:$N$311),NA()))</f>
        <v>1074.191130503986</v>
      </c>
      <c r="T85">
        <f>IF($J85&gt;MAX('Match Log'!$A$4:$A$311),NA(),IFERROR(LOOKUP(2,1/(('Match Log'!$D$4:$D$311=$T$24)*('Match Log'!$A$4:$A$311&lt;=$J85)),'Match Log'!$N$4:$N$311),NA()))</f>
        <v>895.56552887124258</v>
      </c>
      <c r="U85">
        <f>IF($J85&gt;MAX('Match Log'!$A$4:$A$311),NA(),IFERROR(LOOKUP(2,1/(('Match Log'!$D$4:$D$311=$U$24)*('Match Log'!$A$4:$A$311&lt;=$J85)),'Match Log'!$N$4:$N$311),NA()))</f>
        <v>1011.0915051807751</v>
      </c>
      <c r="V85" t="e">
        <f>IF($J85&gt;MAX('Match Log'!$A$4:$A$311),NA(),IFERROR(LOOKUP(2,1/(('Match Log'!$D$4:$D$311=$V$24)*('Match Log'!$A$4:$A$311&lt;=$J85)),'Match Log'!$N$4:$N$311),NA()))</f>
        <v>#N/A</v>
      </c>
      <c r="W85" t="e">
        <f>IF($J85&gt;MAX('Match Log'!$A$4:$A$311),NA(),IFERROR(LOOKUP(2,1/(('Match Log'!$D$4:$D$311=$W$24)*('Match Log'!$A$4:$A$311&lt;=$J85)),'Match Log'!$N$4:$N$311),NA()))</f>
        <v>#N/A</v>
      </c>
      <c r="X85" t="e">
        <f>IF($J85&gt;MAX('Match Log'!$A$4:$A$311),NA(),IFERROR(LOOKUP(2,1/(('Match Log'!$D$4:$D$311=$X$24)*('Match Log'!$A$4:$A$311&lt;=$J85)),'Match Log'!$N$4:$N$311),NA()))</f>
        <v>#N/A</v>
      </c>
      <c r="Y85" t="str">
        <f t="shared" ca="1" si="21"/>
        <v/>
      </c>
    </row>
    <row r="86" spans="1:25" ht="15" customHeight="1" x14ac:dyDescent="0.2">
      <c r="A86">
        <v>62</v>
      </c>
      <c r="B86" s="132">
        <f>IFERROR(INDEX('Match Log'!$B$4:$B$311,MATCH(62,'Match Log'!$A$4:$A$311,0)),"")</f>
        <v>46188</v>
      </c>
      <c r="C86" t="str">
        <f>IFERROR(INDEX('Match Log'!$C$4:$C$311,MATCH(62,'Match Log'!$A$4:$A$311,0)),"")</f>
        <v>ShuffleBoard</v>
      </c>
      <c r="D86" t="str">
        <f>IFERROR(INDEX('Match Log'!$G$4:$G$311,MATCH(62,'Match Log'!$A$4:$A$311,0)),"")</f>
        <v>Dean B</v>
      </c>
      <c r="E86" s="133">
        <f>IFERROR(INDEX('Match Log'!$F$4:$F$311,MATCH(62,'Match Log'!$A$4:$A$311,0)),"")</f>
        <v>2</v>
      </c>
      <c r="F86">
        <f>IFERROR(SUMIFS('Match Log'!$I$4:$I$311,'Match Log'!$A$4:$A$311,62,'Match Log'!$E$4:$E$311,"Win"),"")</f>
        <v>0.5</v>
      </c>
      <c r="G86">
        <f t="shared" si="19"/>
        <v>0</v>
      </c>
      <c r="H86" t="str">
        <f>IFERROR(IF($E86=2,LOOKUP(2,1/(('Match Log'!$A$4:$A$311=62)*('Match Log'!$E$4:$E$311="Loss")),'Match Log'!$D$4:$D$311),"the field"),"")</f>
        <v>David</v>
      </c>
      <c r="I86">
        <f t="shared" si="20"/>
        <v>-6.2000000000000003E-5</v>
      </c>
      <c r="J86">
        <v>62</v>
      </c>
      <c r="K86">
        <f>IF($J86&gt;MAX('Match Log'!$A$4:$A$311),NA(),IFERROR(LOOKUP(2,1/(('Match Log'!$D$4:$D$311=$K$24)*('Match Log'!$A$4:$A$311&lt;=$J86)),'Match Log'!$N$4:$N$311),NA()))</f>
        <v>1032.1203077686844</v>
      </c>
      <c r="L86">
        <f>IF($J86&gt;MAX('Match Log'!$A$4:$A$311),NA(),IFERROR(LOOKUP(2,1/(('Match Log'!$D$4:$D$311=$L$24)*('Match Log'!$A$4:$A$311&lt;=$J86)),'Match Log'!$N$4:$N$311),NA()))</f>
        <v>994.58225352756665</v>
      </c>
      <c r="M86">
        <f>IF($J86&gt;MAX('Match Log'!$A$4:$A$311),NA(),IFERROR(LOOKUP(2,1/(('Match Log'!$D$4:$D$311=$M$24)*('Match Log'!$A$4:$A$311&lt;=$J86)),'Match Log'!$N$4:$N$311),NA()))</f>
        <v>1000.614377932863</v>
      </c>
      <c r="N86">
        <f>IF($J86&gt;MAX('Match Log'!$A$4:$A$311),NA(),IFERROR(LOOKUP(2,1/(('Match Log'!$D$4:$D$311=$N$24)*('Match Log'!$A$4:$A$311&lt;=$J86)),'Match Log'!$N$4:$N$311),NA()))</f>
        <v>951.93002730401292</v>
      </c>
      <c r="O86">
        <f>IF($J86&gt;MAX('Match Log'!$A$4:$A$311),NA(),IFERROR(LOOKUP(2,1/(('Match Log'!$D$4:$D$311=$O$24)*('Match Log'!$A$4:$A$311&lt;=$J86)),'Match Log'!$N$4:$N$311),NA()))</f>
        <v>1127.0712177445546</v>
      </c>
      <c r="P86">
        <f>IF($J86&gt;MAX('Match Log'!$A$4:$A$311),NA(),IFERROR(LOOKUP(2,1/(('Match Log'!$D$4:$D$311=$P$24)*('Match Log'!$A$4:$A$311&lt;=$J86)),'Match Log'!$N$4:$N$311),NA()))</f>
        <v>988.40086101694862</v>
      </c>
      <c r="Q86">
        <f>IF($J86&gt;MAX('Match Log'!$A$4:$A$311),NA(),IFERROR(LOOKUP(2,1/(('Match Log'!$D$4:$D$311=$Q$24)*('Match Log'!$A$4:$A$311&lt;=$J86)),'Match Log'!$N$4:$N$311),NA()))</f>
        <v>1026.7890747182494</v>
      </c>
      <c r="R86">
        <f>IF($J86&gt;MAX('Match Log'!$A$4:$A$311),NA(),IFERROR(LOOKUP(2,1/(('Match Log'!$D$4:$D$311=$R$24)*('Match Log'!$A$4:$A$311&lt;=$J86)),'Match Log'!$N$4:$N$311),NA()))</f>
        <v>975.56051004124629</v>
      </c>
      <c r="S86">
        <f>IF($J86&gt;MAX('Match Log'!$A$4:$A$311),NA(),IFERROR(LOOKUP(2,1/(('Match Log'!$D$4:$D$311=$S$24)*('Match Log'!$A$4:$A$311&lt;=$J86)),'Match Log'!$N$4:$N$311),NA()))</f>
        <v>1092.2743358938565</v>
      </c>
      <c r="T86">
        <f>IF($J86&gt;MAX('Match Log'!$A$4:$A$311),NA(),IFERROR(LOOKUP(2,1/(('Match Log'!$D$4:$D$311=$T$24)*('Match Log'!$A$4:$A$311&lt;=$J86)),'Match Log'!$N$4:$N$311),NA()))</f>
        <v>895.56552887124258</v>
      </c>
      <c r="U86">
        <f>IF($J86&gt;MAX('Match Log'!$A$4:$A$311),NA(),IFERROR(LOOKUP(2,1/(('Match Log'!$D$4:$D$311=$U$24)*('Match Log'!$A$4:$A$311&lt;=$J86)),'Match Log'!$N$4:$N$311),NA()))</f>
        <v>1011.0915051807751</v>
      </c>
      <c r="V86" t="e">
        <f>IF($J86&gt;MAX('Match Log'!$A$4:$A$311),NA(),IFERROR(LOOKUP(2,1/(('Match Log'!$D$4:$D$311=$V$24)*('Match Log'!$A$4:$A$311&lt;=$J86)),'Match Log'!$N$4:$N$311),NA()))</f>
        <v>#N/A</v>
      </c>
      <c r="W86" t="e">
        <f>IF($J86&gt;MAX('Match Log'!$A$4:$A$311),NA(),IFERROR(LOOKUP(2,1/(('Match Log'!$D$4:$D$311=$W$24)*('Match Log'!$A$4:$A$311&lt;=$J86)),'Match Log'!$N$4:$N$311),NA()))</f>
        <v>#N/A</v>
      </c>
      <c r="X86" t="e">
        <f>IF($J86&gt;MAX('Match Log'!$A$4:$A$311),NA(),IFERROR(LOOKUP(2,1/(('Match Log'!$D$4:$D$311=$X$24)*('Match Log'!$A$4:$A$311&lt;=$J86)),'Match Log'!$N$4:$N$311),NA()))</f>
        <v>#N/A</v>
      </c>
      <c r="Y86" t="str">
        <f t="shared" ca="1" si="21"/>
        <v/>
      </c>
    </row>
    <row r="87" spans="1:25" ht="15" customHeight="1" x14ac:dyDescent="0.2">
      <c r="A87">
        <v>63</v>
      </c>
      <c r="B87" s="132">
        <f>IFERROR(INDEX('Match Log'!$B$4:$B$311,MATCH(63,'Match Log'!$A$4:$A$311,0)),"")</f>
        <v>46188</v>
      </c>
      <c r="C87" t="str">
        <f>IFERROR(INDEX('Match Log'!$C$4:$C$311,MATCH(63,'Match Log'!$A$4:$A$311,0)),"")</f>
        <v>ShuffleBoard</v>
      </c>
      <c r="D87" t="str">
        <f>IFERROR(INDEX('Match Log'!$G$4:$G$311,MATCH(63,'Match Log'!$A$4:$A$311,0)),"")</f>
        <v>Simon</v>
      </c>
      <c r="E87" s="133">
        <f>IFERROR(INDEX('Match Log'!$F$4:$F$311,MATCH(63,'Match Log'!$A$4:$A$311,0)),"")</f>
        <v>2</v>
      </c>
      <c r="F87">
        <f>IFERROR(SUMIFS('Match Log'!$I$4:$I$311,'Match Log'!$A$4:$A$311,63,'Match Log'!$E$4:$E$311,"Win"),"")</f>
        <v>0.5</v>
      </c>
      <c r="G87">
        <f t="shared" si="19"/>
        <v>0</v>
      </c>
      <c r="H87" t="str">
        <f>IFERROR(IF($E87=2,LOOKUP(2,1/(('Match Log'!$A$4:$A$311=63)*('Match Log'!$E$4:$E$311="Loss")),'Match Log'!$D$4:$D$311),"the field"),"")</f>
        <v>Oscar</v>
      </c>
      <c r="I87">
        <f t="shared" si="20"/>
        <v>-6.3E-5</v>
      </c>
      <c r="J87">
        <v>63</v>
      </c>
      <c r="K87">
        <f>IF($J87&gt;MAX('Match Log'!$A$4:$A$311),NA(),IFERROR(LOOKUP(2,1/(('Match Log'!$D$4:$D$311=$K$24)*('Match Log'!$A$4:$A$311&lt;=$J87)),'Match Log'!$N$4:$N$311),NA()))</f>
        <v>1032.1203077686844</v>
      </c>
      <c r="L87">
        <f>IF($J87&gt;MAX('Match Log'!$A$4:$A$311),NA(),IFERROR(LOOKUP(2,1/(('Match Log'!$D$4:$D$311=$L$24)*('Match Log'!$A$4:$A$311&lt;=$J87)),'Match Log'!$N$4:$N$311),NA()))</f>
        <v>994.58225352756665</v>
      </c>
      <c r="M87">
        <f>IF($J87&gt;MAX('Match Log'!$A$4:$A$311),NA(),IFERROR(LOOKUP(2,1/(('Match Log'!$D$4:$D$311=$M$24)*('Match Log'!$A$4:$A$311&lt;=$J87)),'Match Log'!$N$4:$N$311),NA()))</f>
        <v>1000.614377932863</v>
      </c>
      <c r="N87">
        <f>IF($J87&gt;MAX('Match Log'!$A$4:$A$311),NA(),IFERROR(LOOKUP(2,1/(('Match Log'!$D$4:$D$311=$N$24)*('Match Log'!$A$4:$A$311&lt;=$J87)),'Match Log'!$N$4:$N$311),NA()))</f>
        <v>951.93002730401292</v>
      </c>
      <c r="O87">
        <f>IF($J87&gt;MAX('Match Log'!$A$4:$A$311),NA(),IFERROR(LOOKUP(2,1/(('Match Log'!$D$4:$D$311=$O$24)*('Match Log'!$A$4:$A$311&lt;=$J87)),'Match Log'!$N$4:$N$311),NA()))</f>
        <v>1127.0712177445546</v>
      </c>
      <c r="P87">
        <f>IF($J87&gt;MAX('Match Log'!$A$4:$A$311),NA(),IFERROR(LOOKUP(2,1/(('Match Log'!$D$4:$D$311=$P$24)*('Match Log'!$A$4:$A$311&lt;=$J87)),'Match Log'!$N$4:$N$311),NA()))</f>
        <v>988.40086101694862</v>
      </c>
      <c r="Q87">
        <f>IF($J87&gt;MAX('Match Log'!$A$4:$A$311),NA(),IFERROR(LOOKUP(2,1/(('Match Log'!$D$4:$D$311=$Q$24)*('Match Log'!$A$4:$A$311&lt;=$J87)),'Match Log'!$N$4:$N$311),NA()))</f>
        <v>1048.1982297428196</v>
      </c>
      <c r="R87">
        <f>IF($J87&gt;MAX('Match Log'!$A$4:$A$311),NA(),IFERROR(LOOKUP(2,1/(('Match Log'!$D$4:$D$311=$R$24)*('Match Log'!$A$4:$A$311&lt;=$J87)),'Match Log'!$N$4:$N$311),NA()))</f>
        <v>975.56051004124629</v>
      </c>
      <c r="S87">
        <f>IF($J87&gt;MAX('Match Log'!$A$4:$A$311),NA(),IFERROR(LOOKUP(2,1/(('Match Log'!$D$4:$D$311=$S$24)*('Match Log'!$A$4:$A$311&lt;=$J87)),'Match Log'!$N$4:$N$311),NA()))</f>
        <v>1092.2743358938565</v>
      </c>
      <c r="T87">
        <f>IF($J87&gt;MAX('Match Log'!$A$4:$A$311),NA(),IFERROR(LOOKUP(2,1/(('Match Log'!$D$4:$D$311=$T$24)*('Match Log'!$A$4:$A$311&lt;=$J87)),'Match Log'!$N$4:$N$311),NA()))</f>
        <v>895.56552887124258</v>
      </c>
      <c r="U87">
        <f>IF($J87&gt;MAX('Match Log'!$A$4:$A$311),NA(),IFERROR(LOOKUP(2,1/(('Match Log'!$D$4:$D$311=$U$24)*('Match Log'!$A$4:$A$311&lt;=$J87)),'Match Log'!$N$4:$N$311),NA()))</f>
        <v>989.68235015620496</v>
      </c>
      <c r="V87" t="e">
        <f>IF($J87&gt;MAX('Match Log'!$A$4:$A$311),NA(),IFERROR(LOOKUP(2,1/(('Match Log'!$D$4:$D$311=$V$24)*('Match Log'!$A$4:$A$311&lt;=$J87)),'Match Log'!$N$4:$N$311),NA()))</f>
        <v>#N/A</v>
      </c>
      <c r="W87" t="e">
        <f>IF($J87&gt;MAX('Match Log'!$A$4:$A$311),NA(),IFERROR(LOOKUP(2,1/(('Match Log'!$D$4:$D$311=$W$24)*('Match Log'!$A$4:$A$311&lt;=$J87)),'Match Log'!$N$4:$N$311),NA()))</f>
        <v>#N/A</v>
      </c>
      <c r="X87" t="e">
        <f>IF($J87&gt;MAX('Match Log'!$A$4:$A$311),NA(),IFERROR(LOOKUP(2,1/(('Match Log'!$D$4:$D$311=$X$24)*('Match Log'!$A$4:$A$311&lt;=$J87)),'Match Log'!$N$4:$N$311),NA()))</f>
        <v>#N/A</v>
      </c>
      <c r="Y87" t="str">
        <f t="shared" ca="1" si="21"/>
        <v/>
      </c>
    </row>
    <row r="88" spans="1:25" ht="15" customHeight="1" x14ac:dyDescent="0.2">
      <c r="A88">
        <v>64</v>
      </c>
      <c r="B88" s="132">
        <f>IFERROR(INDEX('Match Log'!$B$4:$B$311,MATCH(64,'Match Log'!$A$4:$A$311,0)),"")</f>
        <v>46188</v>
      </c>
      <c r="C88" t="str">
        <f>IFERROR(INDEX('Match Log'!$C$4:$C$311,MATCH(64,'Match Log'!$A$4:$A$311,0)),"")</f>
        <v>ShuffleBoard</v>
      </c>
      <c r="D88" t="str">
        <f>IFERROR(INDEX('Match Log'!$G$4:$G$311,MATCH(64,'Match Log'!$A$4:$A$311,0)),"")</f>
        <v>Chase</v>
      </c>
      <c r="E88" s="133">
        <f>IFERROR(INDEX('Match Log'!$F$4:$F$311,MATCH(64,'Match Log'!$A$4:$A$311,0)),"")</f>
        <v>2</v>
      </c>
      <c r="F88">
        <f>IFERROR(SUMIFS('Match Log'!$I$4:$I$311,'Match Log'!$A$4:$A$311,64,'Match Log'!$E$4:$E$311,"Win"),"")</f>
        <v>0.60000000000000009</v>
      </c>
      <c r="G88">
        <f t="shared" si="19"/>
        <v>-0.20000000000000018</v>
      </c>
      <c r="H88" t="str">
        <f>IFERROR(IF($E88=2,LOOKUP(2,1/(('Match Log'!$A$4:$A$311=64)*('Match Log'!$E$4:$E$311="Loss")),'Match Log'!$D$4:$D$311),"the field"),"")</f>
        <v>Cody</v>
      </c>
      <c r="I88">
        <f t="shared" si="20"/>
        <v>-0.20006400000000019</v>
      </c>
      <c r="J88">
        <v>64</v>
      </c>
      <c r="K88">
        <f>IF($J88&gt;MAX('Match Log'!$A$4:$A$311),NA(),IFERROR(LOOKUP(2,1/(('Match Log'!$D$4:$D$311=$K$24)*('Match Log'!$A$4:$A$311&lt;=$J88)),'Match Log'!$N$4:$N$311),NA()))</f>
        <v>1032.1203077686844</v>
      </c>
      <c r="L88">
        <f>IF($J88&gt;MAX('Match Log'!$A$4:$A$311),NA(),IFERROR(LOOKUP(2,1/(('Match Log'!$D$4:$D$311=$L$24)*('Match Log'!$A$4:$A$311&lt;=$J88)),'Match Log'!$N$4:$N$311),NA()))</f>
        <v>994.58225352756665</v>
      </c>
      <c r="M88">
        <f>IF($J88&gt;MAX('Match Log'!$A$4:$A$311),NA(),IFERROR(LOOKUP(2,1/(('Match Log'!$D$4:$D$311=$M$24)*('Match Log'!$A$4:$A$311&lt;=$J88)),'Match Log'!$N$4:$N$311),NA()))</f>
        <v>1017.3466608720325</v>
      </c>
      <c r="N88">
        <f>IF($J88&gt;MAX('Match Log'!$A$4:$A$311),NA(),IFERROR(LOOKUP(2,1/(('Match Log'!$D$4:$D$311=$N$24)*('Match Log'!$A$4:$A$311&lt;=$J88)),'Match Log'!$N$4:$N$311),NA()))</f>
        <v>951.93002730401292</v>
      </c>
      <c r="O88">
        <f>IF($J88&gt;MAX('Match Log'!$A$4:$A$311),NA(),IFERROR(LOOKUP(2,1/(('Match Log'!$D$4:$D$311=$O$24)*('Match Log'!$A$4:$A$311&lt;=$J88)),'Match Log'!$N$4:$N$311),NA()))</f>
        <v>1127.0712177445546</v>
      </c>
      <c r="P88">
        <f>IF($J88&gt;MAX('Match Log'!$A$4:$A$311),NA(),IFERROR(LOOKUP(2,1/(('Match Log'!$D$4:$D$311=$P$24)*('Match Log'!$A$4:$A$311&lt;=$J88)),'Match Log'!$N$4:$N$311),NA()))</f>
        <v>988.40086101694862</v>
      </c>
      <c r="Q88">
        <f>IF($J88&gt;MAX('Match Log'!$A$4:$A$311),NA(),IFERROR(LOOKUP(2,1/(('Match Log'!$D$4:$D$311=$Q$24)*('Match Log'!$A$4:$A$311&lt;=$J88)),'Match Log'!$N$4:$N$311),NA()))</f>
        <v>1048.1982297428196</v>
      </c>
      <c r="R88">
        <f>IF($J88&gt;MAX('Match Log'!$A$4:$A$311),NA(),IFERROR(LOOKUP(2,1/(('Match Log'!$D$4:$D$311=$R$24)*('Match Log'!$A$4:$A$311&lt;=$J88)),'Match Log'!$N$4:$N$311),NA()))</f>
        <v>975.56051004124629</v>
      </c>
      <c r="S88">
        <f>IF($J88&gt;MAX('Match Log'!$A$4:$A$311),NA(),IFERROR(LOOKUP(2,1/(('Match Log'!$D$4:$D$311=$S$24)*('Match Log'!$A$4:$A$311&lt;=$J88)),'Match Log'!$N$4:$N$311),NA()))</f>
        <v>1092.2743358938565</v>
      </c>
      <c r="T88">
        <f>IF($J88&gt;MAX('Match Log'!$A$4:$A$311),NA(),IFERROR(LOOKUP(2,1/(('Match Log'!$D$4:$D$311=$T$24)*('Match Log'!$A$4:$A$311&lt;=$J88)),'Match Log'!$N$4:$N$311),NA()))</f>
        <v>878.83324593207305</v>
      </c>
      <c r="U88">
        <f>IF($J88&gt;MAX('Match Log'!$A$4:$A$311),NA(),IFERROR(LOOKUP(2,1/(('Match Log'!$D$4:$D$311=$U$24)*('Match Log'!$A$4:$A$311&lt;=$J88)),'Match Log'!$N$4:$N$311),NA()))</f>
        <v>989.68235015620496</v>
      </c>
      <c r="V88" t="e">
        <f>IF($J88&gt;MAX('Match Log'!$A$4:$A$311),NA(),IFERROR(LOOKUP(2,1/(('Match Log'!$D$4:$D$311=$V$24)*('Match Log'!$A$4:$A$311&lt;=$J88)),'Match Log'!$N$4:$N$311),NA()))</f>
        <v>#N/A</v>
      </c>
      <c r="W88" t="e">
        <f>IF($J88&gt;MAX('Match Log'!$A$4:$A$311),NA(),IFERROR(LOOKUP(2,1/(('Match Log'!$D$4:$D$311=$W$24)*('Match Log'!$A$4:$A$311&lt;=$J88)),'Match Log'!$N$4:$N$311),NA()))</f>
        <v>#N/A</v>
      </c>
      <c r="X88" t="e">
        <f>IF($J88&gt;MAX('Match Log'!$A$4:$A$311),NA(),IFERROR(LOOKUP(2,1/(('Match Log'!$D$4:$D$311=$X$24)*('Match Log'!$A$4:$A$311&lt;=$J88)),'Match Log'!$N$4:$N$311),NA()))</f>
        <v>#N/A</v>
      </c>
      <c r="Y88" t="str">
        <f t="shared" ca="1" si="21"/>
        <v/>
      </c>
    </row>
    <row r="89" spans="1:25" ht="15" customHeight="1" x14ac:dyDescent="0.2">
      <c r="A89">
        <v>65</v>
      </c>
      <c r="B89" s="132">
        <f>IFERROR(INDEX('Match Log'!$B$4:$B$311,MATCH(65,'Match Log'!$A$4:$A$311,0)),"")</f>
        <v>46188</v>
      </c>
      <c r="C89" t="str">
        <f>IFERROR(INDEX('Match Log'!$C$4:$C$311,MATCH(65,'Match Log'!$A$4:$A$311,0)),"")</f>
        <v>ShuffleBoard</v>
      </c>
      <c r="D89" t="str">
        <f>IFERROR(INDEX('Match Log'!$G$4:$G$311,MATCH(65,'Match Log'!$A$4:$A$311,0)),"")</f>
        <v>Cody</v>
      </c>
      <c r="E89" s="133">
        <f>IFERROR(INDEX('Match Log'!$F$4:$F$311,MATCH(65,'Match Log'!$A$4:$A$311,0)),"")</f>
        <v>2</v>
      </c>
      <c r="F89">
        <f>IFERROR(SUMIFS('Match Log'!$I$4:$I$311,'Match Log'!$A$4:$A$311,65,'Match Log'!$E$4:$E$311,"Win"),"")</f>
        <v>0.33333333333333331</v>
      </c>
      <c r="G89">
        <f t="shared" ref="G89:G120" si="22">IF($D89="","",1-$F89*$E89)</f>
        <v>0.33333333333333337</v>
      </c>
      <c r="H89" t="str">
        <f>IFERROR(IF($E89=2,LOOKUP(2,1/(('Match Log'!$A$4:$A$311=65)*('Match Log'!$E$4:$E$311="Loss")),'Match Log'!$D$4:$D$311),"the field"),"")</f>
        <v>Oscar</v>
      </c>
      <c r="I89">
        <f t="shared" ref="I89:I120" si="23">IF($G89="","",$G89-$A89/1000000)</f>
        <v>0.33326833333333339</v>
      </c>
      <c r="J89">
        <v>65</v>
      </c>
      <c r="K89">
        <f>IF($J89&gt;MAX('Match Log'!$A$4:$A$311),NA(),IFERROR(LOOKUP(2,1/(('Match Log'!$D$4:$D$311=$K$24)*('Match Log'!$A$4:$A$311&lt;=$J89)),'Match Log'!$N$4:$N$311),NA()))</f>
        <v>1032.1203077686844</v>
      </c>
      <c r="L89">
        <f>IF($J89&gt;MAX('Match Log'!$A$4:$A$311),NA(),IFERROR(LOOKUP(2,1/(('Match Log'!$D$4:$D$311=$L$24)*('Match Log'!$A$4:$A$311&lt;=$J89)),'Match Log'!$N$4:$N$311),NA()))</f>
        <v>994.58225352756665</v>
      </c>
      <c r="M89">
        <f>IF($J89&gt;MAX('Match Log'!$A$4:$A$311),NA(),IFERROR(LOOKUP(2,1/(('Match Log'!$D$4:$D$311=$M$24)*('Match Log'!$A$4:$A$311&lt;=$J89)),'Match Log'!$N$4:$N$311),NA()))</f>
        <v>1017.3466608720325</v>
      </c>
      <c r="N89">
        <f>IF($J89&gt;MAX('Match Log'!$A$4:$A$311),NA(),IFERROR(LOOKUP(2,1/(('Match Log'!$D$4:$D$311=$N$24)*('Match Log'!$A$4:$A$311&lt;=$J89)),'Match Log'!$N$4:$N$311),NA()))</f>
        <v>951.93002730401292</v>
      </c>
      <c r="O89">
        <f>IF($J89&gt;MAX('Match Log'!$A$4:$A$311),NA(),IFERROR(LOOKUP(2,1/(('Match Log'!$D$4:$D$311=$O$24)*('Match Log'!$A$4:$A$311&lt;=$J89)),'Match Log'!$N$4:$N$311),NA()))</f>
        <v>1127.0712177445546</v>
      </c>
      <c r="P89">
        <f>IF($J89&gt;MAX('Match Log'!$A$4:$A$311),NA(),IFERROR(LOOKUP(2,1/(('Match Log'!$D$4:$D$311=$P$24)*('Match Log'!$A$4:$A$311&lt;=$J89)),'Match Log'!$N$4:$N$311),NA()))</f>
        <v>988.40086101694862</v>
      </c>
      <c r="Q89">
        <f>IF($J89&gt;MAX('Match Log'!$A$4:$A$311),NA(),IFERROR(LOOKUP(2,1/(('Match Log'!$D$4:$D$311=$Q$24)*('Match Log'!$A$4:$A$311&lt;=$J89)),'Match Log'!$N$4:$N$311),NA()))</f>
        <v>1048.1982297428196</v>
      </c>
      <c r="R89">
        <f>IF($J89&gt;MAX('Match Log'!$A$4:$A$311),NA(),IFERROR(LOOKUP(2,1/(('Match Log'!$D$4:$D$311=$R$24)*('Match Log'!$A$4:$A$311&lt;=$J89)),'Match Log'!$N$4:$N$311),NA()))</f>
        <v>975.56051004124629</v>
      </c>
      <c r="S89">
        <f>IF($J89&gt;MAX('Match Log'!$A$4:$A$311),NA(),IFERROR(LOOKUP(2,1/(('Match Log'!$D$4:$D$311=$S$24)*('Match Log'!$A$4:$A$311&lt;=$J89)),'Match Log'!$N$4:$N$311),NA()))</f>
        <v>1092.2743358938565</v>
      </c>
      <c r="T89">
        <f>IF($J89&gt;MAX('Match Log'!$A$4:$A$311),NA(),IFERROR(LOOKUP(2,1/(('Match Log'!$D$4:$D$311=$T$24)*('Match Log'!$A$4:$A$311&lt;=$J89)),'Match Log'!$N$4:$N$311),NA()))</f>
        <v>906.81432623747514</v>
      </c>
      <c r="U89">
        <f>IF($J89&gt;MAX('Match Log'!$A$4:$A$311),NA(),IFERROR(LOOKUP(2,1/(('Match Log'!$D$4:$D$311=$U$24)*('Match Log'!$A$4:$A$311&lt;=$J89)),'Match Log'!$N$4:$N$311),NA()))</f>
        <v>961.70126985080287</v>
      </c>
      <c r="V89" t="e">
        <f>IF($J89&gt;MAX('Match Log'!$A$4:$A$311),NA(),IFERROR(LOOKUP(2,1/(('Match Log'!$D$4:$D$311=$V$24)*('Match Log'!$A$4:$A$311&lt;=$J89)),'Match Log'!$N$4:$N$311),NA()))</f>
        <v>#N/A</v>
      </c>
      <c r="W89" t="e">
        <f>IF($J89&gt;MAX('Match Log'!$A$4:$A$311),NA(),IFERROR(LOOKUP(2,1/(('Match Log'!$D$4:$D$311=$W$24)*('Match Log'!$A$4:$A$311&lt;=$J89)),'Match Log'!$N$4:$N$311),NA()))</f>
        <v>#N/A</v>
      </c>
      <c r="X89" t="e">
        <f>IF($J89&gt;MAX('Match Log'!$A$4:$A$311),NA(),IFERROR(LOOKUP(2,1/(('Match Log'!$D$4:$D$311=$X$24)*('Match Log'!$A$4:$A$311&lt;=$J89)),'Match Log'!$N$4:$N$311),NA()))</f>
        <v>#N/A</v>
      </c>
      <c r="Y89" t="str">
        <f t="shared" ref="Y89:Y120" ca="1" si="24">IF(AND($B89&lt;&gt;"",$B89&gt;=$B$5,$I89&lt;&gt;""),$I89,"")</f>
        <v/>
      </c>
    </row>
    <row r="90" spans="1:25" ht="15" customHeight="1" x14ac:dyDescent="0.2">
      <c r="A90">
        <v>66</v>
      </c>
      <c r="B90" s="132">
        <f>IFERROR(INDEX('Match Log'!$B$4:$B$311,MATCH(66,'Match Log'!$A$4:$A$311,0)),"")</f>
        <v>46188</v>
      </c>
      <c r="C90" t="str">
        <f>IFERROR(INDEX('Match Log'!$C$4:$C$311,MATCH(66,'Match Log'!$A$4:$A$311,0)),"")</f>
        <v>ShuffleBoard</v>
      </c>
      <c r="D90" t="str">
        <f>IFERROR(INDEX('Match Log'!$G$4:$G$311,MATCH(66,'Match Log'!$A$4:$A$311,0)),"")</f>
        <v>Simon</v>
      </c>
      <c r="E90" s="133">
        <f>IFERROR(INDEX('Match Log'!$F$4:$F$311,MATCH(66,'Match Log'!$A$4:$A$311,0)),"")</f>
        <v>2</v>
      </c>
      <c r="F90">
        <f>IFERROR(SUMIFS('Match Log'!$I$4:$I$311,'Match Log'!$A$4:$A$311,66,'Match Log'!$E$4:$E$311,"Win"),"")</f>
        <v>0.65217391304347827</v>
      </c>
      <c r="G90">
        <f t="shared" si="22"/>
        <v>-0.30434782608695654</v>
      </c>
      <c r="H90" t="str">
        <f>IFERROR(IF($E90=2,LOOKUP(2,1/(('Match Log'!$A$4:$A$311=66)*('Match Log'!$E$4:$E$311="Loss")),'Match Log'!$D$4:$D$311),"the field"),"")</f>
        <v>Oscar</v>
      </c>
      <c r="I90">
        <f t="shared" si="23"/>
        <v>-0.30441382608695655</v>
      </c>
      <c r="J90">
        <v>66</v>
      </c>
      <c r="K90">
        <f>IF($J90&gt;MAX('Match Log'!$A$4:$A$311),NA(),IFERROR(LOOKUP(2,1/(('Match Log'!$D$4:$D$311=$K$24)*('Match Log'!$A$4:$A$311&lt;=$J90)),'Match Log'!$N$4:$N$311),NA()))</f>
        <v>1032.1203077686844</v>
      </c>
      <c r="L90">
        <f>IF($J90&gt;MAX('Match Log'!$A$4:$A$311),NA(),IFERROR(LOOKUP(2,1/(('Match Log'!$D$4:$D$311=$L$24)*('Match Log'!$A$4:$A$311&lt;=$J90)),'Match Log'!$N$4:$N$311),NA()))</f>
        <v>994.58225352756665</v>
      </c>
      <c r="M90">
        <f>IF($J90&gt;MAX('Match Log'!$A$4:$A$311),NA(),IFERROR(LOOKUP(2,1/(('Match Log'!$D$4:$D$311=$M$24)*('Match Log'!$A$4:$A$311&lt;=$J90)),'Match Log'!$N$4:$N$311),NA()))</f>
        <v>1017.3466608720325</v>
      </c>
      <c r="N90">
        <f>IF($J90&gt;MAX('Match Log'!$A$4:$A$311),NA(),IFERROR(LOOKUP(2,1/(('Match Log'!$D$4:$D$311=$N$24)*('Match Log'!$A$4:$A$311&lt;=$J90)),'Match Log'!$N$4:$N$311),NA()))</f>
        <v>951.93002730401292</v>
      </c>
      <c r="O90">
        <f>IF($J90&gt;MAX('Match Log'!$A$4:$A$311),NA(),IFERROR(LOOKUP(2,1/(('Match Log'!$D$4:$D$311=$O$24)*('Match Log'!$A$4:$A$311&lt;=$J90)),'Match Log'!$N$4:$N$311),NA()))</f>
        <v>1127.0712177445546</v>
      </c>
      <c r="P90">
        <f>IF($J90&gt;MAX('Match Log'!$A$4:$A$311),NA(),IFERROR(LOOKUP(2,1/(('Match Log'!$D$4:$D$311=$P$24)*('Match Log'!$A$4:$A$311&lt;=$J90)),'Match Log'!$N$4:$N$311),NA()))</f>
        <v>988.40086101694862</v>
      </c>
      <c r="Q90">
        <f>IF($J90&gt;MAX('Match Log'!$A$4:$A$311),NA(),IFERROR(LOOKUP(2,1/(('Match Log'!$D$4:$D$311=$Q$24)*('Match Log'!$A$4:$A$311&lt;=$J90)),'Match Log'!$N$4:$N$311),NA()))</f>
        <v>1065.0318791711331</v>
      </c>
      <c r="R90">
        <f>IF($J90&gt;MAX('Match Log'!$A$4:$A$311),NA(),IFERROR(LOOKUP(2,1/(('Match Log'!$D$4:$D$311=$R$24)*('Match Log'!$A$4:$A$311&lt;=$J90)),'Match Log'!$N$4:$N$311),NA()))</f>
        <v>975.56051004124629</v>
      </c>
      <c r="S90">
        <f>IF($J90&gt;MAX('Match Log'!$A$4:$A$311),NA(),IFERROR(LOOKUP(2,1/(('Match Log'!$D$4:$D$311=$S$24)*('Match Log'!$A$4:$A$311&lt;=$J90)),'Match Log'!$N$4:$N$311),NA()))</f>
        <v>1092.2743358938565</v>
      </c>
      <c r="T90">
        <f>IF($J90&gt;MAX('Match Log'!$A$4:$A$311),NA(),IFERROR(LOOKUP(2,1/(('Match Log'!$D$4:$D$311=$T$24)*('Match Log'!$A$4:$A$311&lt;=$J90)),'Match Log'!$N$4:$N$311),NA()))</f>
        <v>906.81432623747514</v>
      </c>
      <c r="U90">
        <f>IF($J90&gt;MAX('Match Log'!$A$4:$A$311),NA(),IFERROR(LOOKUP(2,1/(('Match Log'!$D$4:$D$311=$U$24)*('Match Log'!$A$4:$A$311&lt;=$J90)),'Match Log'!$N$4:$N$311),NA()))</f>
        <v>944.86762042248938</v>
      </c>
      <c r="V90" t="e">
        <f>IF($J90&gt;MAX('Match Log'!$A$4:$A$311),NA(),IFERROR(LOOKUP(2,1/(('Match Log'!$D$4:$D$311=$V$24)*('Match Log'!$A$4:$A$311&lt;=$J90)),'Match Log'!$N$4:$N$311),NA()))</f>
        <v>#N/A</v>
      </c>
      <c r="W90" t="e">
        <f>IF($J90&gt;MAX('Match Log'!$A$4:$A$311),NA(),IFERROR(LOOKUP(2,1/(('Match Log'!$D$4:$D$311=$W$24)*('Match Log'!$A$4:$A$311&lt;=$J90)),'Match Log'!$N$4:$N$311),NA()))</f>
        <v>#N/A</v>
      </c>
      <c r="X90" t="e">
        <f>IF($J90&gt;MAX('Match Log'!$A$4:$A$311),NA(),IFERROR(LOOKUP(2,1/(('Match Log'!$D$4:$D$311=$X$24)*('Match Log'!$A$4:$A$311&lt;=$J90)),'Match Log'!$N$4:$N$311),NA()))</f>
        <v>#N/A</v>
      </c>
      <c r="Y90" t="str">
        <f t="shared" ca="1" si="24"/>
        <v/>
      </c>
    </row>
    <row r="91" spans="1:25" ht="15" customHeight="1" x14ac:dyDescent="0.2">
      <c r="A91">
        <v>67</v>
      </c>
      <c r="B91" s="132">
        <f>IFERROR(INDEX('Match Log'!$B$4:$B$311,MATCH(67,'Match Log'!$A$4:$A$311,0)),"")</f>
        <v>46188</v>
      </c>
      <c r="C91" t="str">
        <f>IFERROR(INDEX('Match Log'!$C$4:$C$311,MATCH(67,'Match Log'!$A$4:$A$311,0)),"")</f>
        <v>ShuffleBoard</v>
      </c>
      <c r="D91" t="str">
        <f>IFERROR(INDEX('Match Log'!$G$4:$G$311,MATCH(67,'Match Log'!$A$4:$A$311,0)),"")</f>
        <v>Cody</v>
      </c>
      <c r="E91" s="133">
        <f>IFERROR(INDEX('Match Log'!$F$4:$F$311,MATCH(67,'Match Log'!$A$4:$A$311,0)),"")</f>
        <v>2</v>
      </c>
      <c r="F91">
        <f>IFERROR(SUMIFS('Match Log'!$I$4:$I$311,'Match Log'!$A$4:$A$311,67,'Match Log'!$E$4:$E$311,"Win"),"")</f>
        <v>0.54545454545454541</v>
      </c>
      <c r="G91">
        <f t="shared" si="22"/>
        <v>-9.0909090909090828E-2</v>
      </c>
      <c r="H91" t="str">
        <f>IFERROR(IF($E91=2,LOOKUP(2,1/(('Match Log'!$A$4:$A$311=67)*('Match Log'!$E$4:$E$311="Loss")),'Match Log'!$D$4:$D$311),"the field"),"")</f>
        <v>Oscar</v>
      </c>
      <c r="I91">
        <f t="shared" si="23"/>
        <v>-9.0976090909090826E-2</v>
      </c>
      <c r="J91">
        <v>67</v>
      </c>
      <c r="K91">
        <f>IF($J91&gt;MAX('Match Log'!$A$4:$A$311),NA(),IFERROR(LOOKUP(2,1/(('Match Log'!$D$4:$D$311=$K$24)*('Match Log'!$A$4:$A$311&lt;=$J91)),'Match Log'!$N$4:$N$311),NA()))</f>
        <v>1032.1203077686844</v>
      </c>
      <c r="L91">
        <f>IF($J91&gt;MAX('Match Log'!$A$4:$A$311),NA(),IFERROR(LOOKUP(2,1/(('Match Log'!$D$4:$D$311=$L$24)*('Match Log'!$A$4:$A$311&lt;=$J91)),'Match Log'!$N$4:$N$311),NA()))</f>
        <v>994.58225352756665</v>
      </c>
      <c r="M91">
        <f>IF($J91&gt;MAX('Match Log'!$A$4:$A$311),NA(),IFERROR(LOOKUP(2,1/(('Match Log'!$D$4:$D$311=$M$24)*('Match Log'!$A$4:$A$311&lt;=$J91)),'Match Log'!$N$4:$N$311),NA()))</f>
        <v>1017.3466608720325</v>
      </c>
      <c r="N91">
        <f>IF($J91&gt;MAX('Match Log'!$A$4:$A$311),NA(),IFERROR(LOOKUP(2,1/(('Match Log'!$D$4:$D$311=$N$24)*('Match Log'!$A$4:$A$311&lt;=$J91)),'Match Log'!$N$4:$N$311),NA()))</f>
        <v>951.93002730401292</v>
      </c>
      <c r="O91">
        <f>IF($J91&gt;MAX('Match Log'!$A$4:$A$311),NA(),IFERROR(LOOKUP(2,1/(('Match Log'!$D$4:$D$311=$O$24)*('Match Log'!$A$4:$A$311&lt;=$J91)),'Match Log'!$N$4:$N$311),NA()))</f>
        <v>1127.0712177445546</v>
      </c>
      <c r="P91">
        <f>IF($J91&gt;MAX('Match Log'!$A$4:$A$311),NA(),IFERROR(LOOKUP(2,1/(('Match Log'!$D$4:$D$311=$P$24)*('Match Log'!$A$4:$A$311&lt;=$J91)),'Match Log'!$N$4:$N$311),NA()))</f>
        <v>988.40086101694862</v>
      </c>
      <c r="Q91">
        <f>IF($J91&gt;MAX('Match Log'!$A$4:$A$311),NA(),IFERROR(LOOKUP(2,1/(('Match Log'!$D$4:$D$311=$Q$24)*('Match Log'!$A$4:$A$311&lt;=$J91)),'Match Log'!$N$4:$N$311),NA()))</f>
        <v>1065.0318791711331</v>
      </c>
      <c r="R91">
        <f>IF($J91&gt;MAX('Match Log'!$A$4:$A$311),NA(),IFERROR(LOOKUP(2,1/(('Match Log'!$D$4:$D$311=$R$24)*('Match Log'!$A$4:$A$311&lt;=$J91)),'Match Log'!$N$4:$N$311),NA()))</f>
        <v>975.56051004124629</v>
      </c>
      <c r="S91">
        <f>IF($J91&gt;MAX('Match Log'!$A$4:$A$311),NA(),IFERROR(LOOKUP(2,1/(('Match Log'!$D$4:$D$311=$S$24)*('Match Log'!$A$4:$A$311&lt;=$J91)),'Match Log'!$N$4:$N$311),NA()))</f>
        <v>1092.2743358938565</v>
      </c>
      <c r="T91">
        <f>IF($J91&gt;MAX('Match Log'!$A$4:$A$311),NA(),IFERROR(LOOKUP(2,1/(('Match Log'!$D$4:$D$311=$T$24)*('Match Log'!$A$4:$A$311&lt;=$J91)),'Match Log'!$N$4:$N$311),NA()))</f>
        <v>929.15161036060704</v>
      </c>
      <c r="U91">
        <f>IF($J91&gt;MAX('Match Log'!$A$4:$A$311),NA(),IFERROR(LOOKUP(2,1/(('Match Log'!$D$4:$D$311=$U$24)*('Match Log'!$A$4:$A$311&lt;=$J91)),'Match Log'!$N$4:$N$311),NA()))</f>
        <v>922.53033629935749</v>
      </c>
      <c r="V91" t="e">
        <f>IF($J91&gt;MAX('Match Log'!$A$4:$A$311),NA(),IFERROR(LOOKUP(2,1/(('Match Log'!$D$4:$D$311=$V$24)*('Match Log'!$A$4:$A$311&lt;=$J91)),'Match Log'!$N$4:$N$311),NA()))</f>
        <v>#N/A</v>
      </c>
      <c r="W91" t="e">
        <f>IF($J91&gt;MAX('Match Log'!$A$4:$A$311),NA(),IFERROR(LOOKUP(2,1/(('Match Log'!$D$4:$D$311=$W$24)*('Match Log'!$A$4:$A$311&lt;=$J91)),'Match Log'!$N$4:$N$311),NA()))</f>
        <v>#N/A</v>
      </c>
      <c r="X91" t="e">
        <f>IF($J91&gt;MAX('Match Log'!$A$4:$A$311),NA(),IFERROR(LOOKUP(2,1/(('Match Log'!$D$4:$D$311=$X$24)*('Match Log'!$A$4:$A$311&lt;=$J91)),'Match Log'!$N$4:$N$311),NA()))</f>
        <v>#N/A</v>
      </c>
      <c r="Y91" t="str">
        <f t="shared" ca="1" si="24"/>
        <v/>
      </c>
    </row>
    <row r="92" spans="1:25" ht="15" customHeight="1" x14ac:dyDescent="0.2">
      <c r="A92">
        <v>68</v>
      </c>
      <c r="B92" s="132">
        <f>IFERROR(INDEX('Match Log'!$B$4:$B$311,MATCH(68,'Match Log'!$A$4:$A$311,0)),"")</f>
        <v>46188</v>
      </c>
      <c r="C92" t="str">
        <f>IFERROR(INDEX('Match Log'!$C$4:$C$311,MATCH(68,'Match Log'!$A$4:$A$311,0)),"")</f>
        <v>ShuffleBoard</v>
      </c>
      <c r="D92" t="str">
        <f>IFERROR(INDEX('Match Log'!$G$4:$G$311,MATCH(68,'Match Log'!$A$4:$A$311,0)),"")</f>
        <v>Simon</v>
      </c>
      <c r="E92" s="133">
        <f>IFERROR(INDEX('Match Log'!$F$4:$F$311,MATCH(68,'Match Log'!$A$4:$A$311,0)),"")</f>
        <v>2</v>
      </c>
      <c r="F92">
        <f>IFERROR(SUMIFS('Match Log'!$I$4:$I$311,'Match Log'!$A$4:$A$311,68,'Match Log'!$E$4:$E$311,"Win"),"")</f>
        <v>0.61538461538461542</v>
      </c>
      <c r="G92">
        <f t="shared" si="22"/>
        <v>-0.23076923076923084</v>
      </c>
      <c r="H92" t="str">
        <f>IFERROR(IF($E92=2,LOOKUP(2,1/(('Match Log'!$A$4:$A$311=68)*('Match Log'!$E$4:$E$311="Loss")),'Match Log'!$D$4:$D$311),"the field"),"")</f>
        <v>Cody</v>
      </c>
      <c r="I92">
        <f t="shared" si="23"/>
        <v>-0.23083723076923085</v>
      </c>
      <c r="J92">
        <v>68</v>
      </c>
      <c r="K92">
        <f>IF($J92&gt;MAX('Match Log'!$A$4:$A$311),NA(),IFERROR(LOOKUP(2,1/(('Match Log'!$D$4:$D$311=$K$24)*('Match Log'!$A$4:$A$311&lt;=$J92)),'Match Log'!$N$4:$N$311),NA()))</f>
        <v>1032.1203077686844</v>
      </c>
      <c r="L92">
        <f>IF($J92&gt;MAX('Match Log'!$A$4:$A$311),NA(),IFERROR(LOOKUP(2,1/(('Match Log'!$D$4:$D$311=$L$24)*('Match Log'!$A$4:$A$311&lt;=$J92)),'Match Log'!$N$4:$N$311),NA()))</f>
        <v>994.58225352756665</v>
      </c>
      <c r="M92">
        <f>IF($J92&gt;MAX('Match Log'!$A$4:$A$311),NA(),IFERROR(LOOKUP(2,1/(('Match Log'!$D$4:$D$311=$M$24)*('Match Log'!$A$4:$A$311&lt;=$J92)),'Match Log'!$N$4:$N$311),NA()))</f>
        <v>1017.3466608720325</v>
      </c>
      <c r="N92">
        <f>IF($J92&gt;MAX('Match Log'!$A$4:$A$311),NA(),IFERROR(LOOKUP(2,1/(('Match Log'!$D$4:$D$311=$N$24)*('Match Log'!$A$4:$A$311&lt;=$J92)),'Match Log'!$N$4:$N$311),NA()))</f>
        <v>951.93002730401292</v>
      </c>
      <c r="O92">
        <f>IF($J92&gt;MAX('Match Log'!$A$4:$A$311),NA(),IFERROR(LOOKUP(2,1/(('Match Log'!$D$4:$D$311=$O$24)*('Match Log'!$A$4:$A$311&lt;=$J92)),'Match Log'!$N$4:$N$311),NA()))</f>
        <v>1127.0712177445546</v>
      </c>
      <c r="P92">
        <f>IF($J92&gt;MAX('Match Log'!$A$4:$A$311),NA(),IFERROR(LOOKUP(2,1/(('Match Log'!$D$4:$D$311=$P$24)*('Match Log'!$A$4:$A$311&lt;=$J92)),'Match Log'!$N$4:$N$311),NA()))</f>
        <v>988.40086101694862</v>
      </c>
      <c r="Q92">
        <f>IF($J92&gt;MAX('Match Log'!$A$4:$A$311),NA(),IFERROR(LOOKUP(2,1/(('Match Log'!$D$4:$D$311=$Q$24)*('Match Log'!$A$4:$A$311&lt;=$J92)),'Match Log'!$N$4:$N$311),NA()))</f>
        <v>1081.3229609670329</v>
      </c>
      <c r="R92">
        <f>IF($J92&gt;MAX('Match Log'!$A$4:$A$311),NA(),IFERROR(LOOKUP(2,1/(('Match Log'!$D$4:$D$311=$R$24)*('Match Log'!$A$4:$A$311&lt;=$J92)),'Match Log'!$N$4:$N$311),NA()))</f>
        <v>975.56051004124629</v>
      </c>
      <c r="S92">
        <f>IF($J92&gt;MAX('Match Log'!$A$4:$A$311),NA(),IFERROR(LOOKUP(2,1/(('Match Log'!$D$4:$D$311=$S$24)*('Match Log'!$A$4:$A$311&lt;=$J92)),'Match Log'!$N$4:$N$311),NA()))</f>
        <v>1092.2743358938565</v>
      </c>
      <c r="T92">
        <f>IF($J92&gt;MAX('Match Log'!$A$4:$A$311),NA(),IFERROR(LOOKUP(2,1/(('Match Log'!$D$4:$D$311=$T$24)*('Match Log'!$A$4:$A$311&lt;=$J92)),'Match Log'!$N$4:$N$311),NA()))</f>
        <v>912.86052856470724</v>
      </c>
      <c r="U92">
        <f>IF($J92&gt;MAX('Match Log'!$A$4:$A$311),NA(),IFERROR(LOOKUP(2,1/(('Match Log'!$D$4:$D$311=$U$24)*('Match Log'!$A$4:$A$311&lt;=$J92)),'Match Log'!$N$4:$N$311),NA()))</f>
        <v>922.53033629935749</v>
      </c>
      <c r="V92" t="e">
        <f>IF($J92&gt;MAX('Match Log'!$A$4:$A$311),NA(),IFERROR(LOOKUP(2,1/(('Match Log'!$D$4:$D$311=$V$24)*('Match Log'!$A$4:$A$311&lt;=$J92)),'Match Log'!$N$4:$N$311),NA()))</f>
        <v>#N/A</v>
      </c>
      <c r="W92" t="e">
        <f>IF($J92&gt;MAX('Match Log'!$A$4:$A$311),NA(),IFERROR(LOOKUP(2,1/(('Match Log'!$D$4:$D$311=$W$24)*('Match Log'!$A$4:$A$311&lt;=$J92)),'Match Log'!$N$4:$N$311),NA()))</f>
        <v>#N/A</v>
      </c>
      <c r="X92" t="e">
        <f>IF($J92&gt;MAX('Match Log'!$A$4:$A$311),NA(),IFERROR(LOOKUP(2,1/(('Match Log'!$D$4:$D$311=$X$24)*('Match Log'!$A$4:$A$311&lt;=$J92)),'Match Log'!$N$4:$N$311),NA()))</f>
        <v>#N/A</v>
      </c>
      <c r="Y92" t="str">
        <f t="shared" ca="1" si="24"/>
        <v/>
      </c>
    </row>
    <row r="93" spans="1:25" ht="15" customHeight="1" x14ac:dyDescent="0.2">
      <c r="A93">
        <v>69</v>
      </c>
      <c r="B93" s="132">
        <f>IFERROR(INDEX('Match Log'!$B$4:$B$311,MATCH(69,'Match Log'!$A$4:$A$311,0)),"")</f>
        <v>46188</v>
      </c>
      <c r="C93" t="str">
        <f>IFERROR(INDEX('Match Log'!$C$4:$C$311,MATCH(69,'Match Log'!$A$4:$A$311,0)),"")</f>
        <v>ShuffleBoard</v>
      </c>
      <c r="D93" t="str">
        <f>IFERROR(INDEX('Match Log'!$G$4:$G$311,MATCH(69,'Match Log'!$A$4:$A$311,0)),"")</f>
        <v>Josh</v>
      </c>
      <c r="E93" s="133">
        <f>IFERROR(INDEX('Match Log'!$F$4:$F$311,MATCH(69,'Match Log'!$A$4:$A$311,0)),"")</f>
        <v>4</v>
      </c>
      <c r="F93">
        <f>IFERROR(SUMIFS('Match Log'!$I$4:$I$311,'Match Log'!$A$4:$A$311,69,'Match Log'!$E$4:$E$311,"Win"),"")</f>
        <v>0.43478260869565216</v>
      </c>
      <c r="G93">
        <f t="shared" si="22"/>
        <v>-0.73913043478260865</v>
      </c>
      <c r="H93" t="str">
        <f>IFERROR(IF($E93=2,LOOKUP(2,1/(('Match Log'!$A$4:$A$311=69)*('Match Log'!$E$4:$E$311="Loss")),'Match Log'!$D$4:$D$311),"the field"),"")</f>
        <v>the field</v>
      </c>
      <c r="I93">
        <f t="shared" si="23"/>
        <v>-0.73919943478260863</v>
      </c>
      <c r="J93">
        <v>69</v>
      </c>
      <c r="K93">
        <f>IF($J93&gt;MAX('Match Log'!$A$4:$A$311),NA(),IFERROR(LOOKUP(2,1/(('Match Log'!$D$4:$D$311=$K$24)*('Match Log'!$A$4:$A$311&lt;=$J93)),'Match Log'!$N$4:$N$311),NA()))</f>
        <v>1032.1203077686844</v>
      </c>
      <c r="L93">
        <f>IF($J93&gt;MAX('Match Log'!$A$4:$A$311),NA(),IFERROR(LOOKUP(2,1/(('Match Log'!$D$4:$D$311=$L$24)*('Match Log'!$A$4:$A$311&lt;=$J93)),'Match Log'!$N$4:$N$311),NA()))</f>
        <v>994.58225352756665</v>
      </c>
      <c r="M93">
        <f>IF($J93&gt;MAX('Match Log'!$A$4:$A$311),NA(),IFERROR(LOOKUP(2,1/(('Match Log'!$D$4:$D$311=$M$24)*('Match Log'!$A$4:$A$311&lt;=$J93)),'Match Log'!$N$4:$N$311),NA()))</f>
        <v>1017.3466608720325</v>
      </c>
      <c r="N93">
        <f>IF($J93&gt;MAX('Match Log'!$A$4:$A$311),NA(),IFERROR(LOOKUP(2,1/(('Match Log'!$D$4:$D$311=$N$24)*('Match Log'!$A$4:$A$311&lt;=$J93)),'Match Log'!$N$4:$N$311),NA()))</f>
        <v>951.93002730401292</v>
      </c>
      <c r="O93">
        <f>IF($J93&gt;MAX('Match Log'!$A$4:$A$311),NA(),IFERROR(LOOKUP(2,1/(('Match Log'!$D$4:$D$311=$O$24)*('Match Log'!$A$4:$A$311&lt;=$J93)),'Match Log'!$N$4:$N$311),NA()))</f>
        <v>1149.9966067961702</v>
      </c>
      <c r="P93">
        <f>IF($J93&gt;MAX('Match Log'!$A$4:$A$311),NA(),IFERROR(LOOKUP(2,1/(('Match Log'!$D$4:$D$311=$P$24)*('Match Log'!$A$4:$A$311&lt;=$J93)),'Match Log'!$N$4:$N$311),NA()))</f>
        <v>1010.2827718076946</v>
      </c>
      <c r="Q93">
        <f>IF($J93&gt;MAX('Match Log'!$A$4:$A$311),NA(),IFERROR(LOOKUP(2,1/(('Match Log'!$D$4:$D$311=$Q$24)*('Match Log'!$A$4:$A$311&lt;=$J93)),'Match Log'!$N$4:$N$311),NA()))</f>
        <v>1081.3229609670329</v>
      </c>
      <c r="R93">
        <f>IF($J93&gt;MAX('Match Log'!$A$4:$A$311),NA(),IFERROR(LOOKUP(2,1/(('Match Log'!$D$4:$D$311=$R$24)*('Match Log'!$A$4:$A$311&lt;=$J93)),'Match Log'!$N$4:$N$311),NA()))</f>
        <v>973.20632207334415</v>
      </c>
      <c r="S93">
        <f>IF($J93&gt;MAX('Match Log'!$A$4:$A$311),NA(),IFERROR(LOOKUP(2,1/(('Match Log'!$D$4:$D$311=$S$24)*('Match Log'!$A$4:$A$311&lt;=$J93)),'Match Log'!$N$4:$N$311),NA()))</f>
        <v>1085.8212240193971</v>
      </c>
      <c r="T93">
        <f>IF($J93&gt;MAX('Match Log'!$A$4:$A$311),NA(),IFERROR(LOOKUP(2,1/(('Match Log'!$D$4:$D$311=$T$24)*('Match Log'!$A$4:$A$311&lt;=$J93)),'Match Log'!$N$4:$N$311),NA()))</f>
        <v>912.86052856470724</v>
      </c>
      <c r="U93">
        <f>IF($J93&gt;MAX('Match Log'!$A$4:$A$311),NA(),IFERROR(LOOKUP(2,1/(('Match Log'!$D$4:$D$311=$U$24)*('Match Log'!$A$4:$A$311&lt;=$J93)),'Match Log'!$N$4:$N$311),NA()))</f>
        <v>922.53033629935749</v>
      </c>
      <c r="V93" t="e">
        <f>IF($J93&gt;MAX('Match Log'!$A$4:$A$311),NA(),IFERROR(LOOKUP(2,1/(('Match Log'!$D$4:$D$311=$V$24)*('Match Log'!$A$4:$A$311&lt;=$J93)),'Match Log'!$N$4:$N$311),NA()))</f>
        <v>#N/A</v>
      </c>
      <c r="W93" t="e">
        <f>IF($J93&gt;MAX('Match Log'!$A$4:$A$311),NA(),IFERROR(LOOKUP(2,1/(('Match Log'!$D$4:$D$311=$W$24)*('Match Log'!$A$4:$A$311&lt;=$J93)),'Match Log'!$N$4:$N$311),NA()))</f>
        <v>#N/A</v>
      </c>
      <c r="X93" t="e">
        <f>IF($J93&gt;MAX('Match Log'!$A$4:$A$311),NA(),IFERROR(LOOKUP(2,1/(('Match Log'!$D$4:$D$311=$X$24)*('Match Log'!$A$4:$A$311&lt;=$J93)),'Match Log'!$N$4:$N$311),NA()))</f>
        <v>#N/A</v>
      </c>
      <c r="Y93" t="str">
        <f t="shared" ca="1" si="24"/>
        <v/>
      </c>
    </row>
    <row r="94" spans="1:25" ht="15" customHeight="1" x14ac:dyDescent="0.2">
      <c r="A94">
        <v>70</v>
      </c>
      <c r="B94" s="132">
        <f>IFERROR(INDEX('Match Log'!$B$4:$B$311,MATCH(70,'Match Log'!$A$4:$A$311,0)),"")</f>
        <v>46188</v>
      </c>
      <c r="C94" t="str">
        <f>IFERROR(INDEX('Match Log'!$C$4:$C$311,MATCH(70,'Match Log'!$A$4:$A$311,0)),"")</f>
        <v>ShuffleBoard</v>
      </c>
      <c r="D94" t="str">
        <f>IFERROR(INDEX('Match Log'!$G$4:$G$311,MATCH(70,'Match Log'!$A$4:$A$311,0)),"")</f>
        <v>Simon</v>
      </c>
      <c r="E94" s="133">
        <f>IFERROR(INDEX('Match Log'!$F$4:$F$311,MATCH(70,'Match Log'!$A$4:$A$311,0)),"")</f>
        <v>4</v>
      </c>
      <c r="F94">
        <f>IFERROR(SUMIFS('Match Log'!$I$4:$I$311,'Match Log'!$A$4:$A$311,70,'Match Log'!$E$4:$E$311,"Win"),"")</f>
        <v>0.50429184549356221</v>
      </c>
      <c r="G94">
        <f t="shared" si="22"/>
        <v>-1.0171673819742488</v>
      </c>
      <c r="H94" t="str">
        <f>IFERROR(IF($E94=2,LOOKUP(2,1/(('Match Log'!$A$4:$A$311=70)*('Match Log'!$E$4:$E$311="Loss")),'Match Log'!$D$4:$D$311),"the field"),"")</f>
        <v>the field</v>
      </c>
      <c r="I94">
        <f t="shared" si="23"/>
        <v>-1.0172373819742488</v>
      </c>
      <c r="J94">
        <v>70</v>
      </c>
      <c r="K94">
        <f>IF($J94&gt;MAX('Match Log'!$A$4:$A$311),NA(),IFERROR(LOOKUP(2,1/(('Match Log'!$D$4:$D$311=$K$24)*('Match Log'!$A$4:$A$311&lt;=$J94)),'Match Log'!$N$4:$N$311),NA()))</f>
        <v>1032.1203077686844</v>
      </c>
      <c r="L94">
        <f>IF($J94&gt;MAX('Match Log'!$A$4:$A$311),NA(),IFERROR(LOOKUP(2,1/(('Match Log'!$D$4:$D$311=$L$24)*('Match Log'!$A$4:$A$311&lt;=$J94)),'Match Log'!$N$4:$N$311),NA()))</f>
        <v>994.58225352756665</v>
      </c>
      <c r="M94">
        <f>IF($J94&gt;MAX('Match Log'!$A$4:$A$311),NA(),IFERROR(LOOKUP(2,1/(('Match Log'!$D$4:$D$311=$M$24)*('Match Log'!$A$4:$A$311&lt;=$J94)),'Match Log'!$N$4:$N$311),NA()))</f>
        <v>1017.3466608720325</v>
      </c>
      <c r="N94">
        <f>IF($J94&gt;MAX('Match Log'!$A$4:$A$311),NA(),IFERROR(LOOKUP(2,1/(('Match Log'!$D$4:$D$311=$N$24)*('Match Log'!$A$4:$A$311&lt;=$J94)),'Match Log'!$N$4:$N$311),NA()))</f>
        <v>951.93002730401292</v>
      </c>
      <c r="O94">
        <f>IF($J94&gt;MAX('Match Log'!$A$4:$A$311),NA(),IFERROR(LOOKUP(2,1/(('Match Log'!$D$4:$D$311=$O$24)*('Match Log'!$A$4:$A$311&lt;=$J94)),'Match Log'!$N$4:$N$311),NA()))</f>
        <v>1144.4758843860011</v>
      </c>
      <c r="P94">
        <f>IF($J94&gt;MAX('Match Log'!$A$4:$A$311),NA(),IFERROR(LOOKUP(2,1/(('Match Log'!$D$4:$D$311=$P$24)*('Match Log'!$A$4:$A$311&lt;=$J94)),'Match Log'!$N$4:$N$311),NA()))</f>
        <v>1005.6535603957898</v>
      </c>
      <c r="Q94">
        <f>IF($J94&gt;MAX('Match Log'!$A$4:$A$311),NA(),IFERROR(LOOKUP(2,1/(('Match Log'!$D$4:$D$311=$Q$24)*('Match Log'!$A$4:$A$311&lt;=$J94)),'Match Log'!$N$4:$N$311),NA()))</f>
        <v>1102.917241182791</v>
      </c>
      <c r="R94">
        <f>IF($J94&gt;MAX('Match Log'!$A$4:$A$311),NA(),IFERROR(LOOKUP(2,1/(('Match Log'!$D$4:$D$311=$R$24)*('Match Log'!$A$4:$A$311&lt;=$J94)),'Match Log'!$N$4:$N$311),NA()))</f>
        <v>973.20632207334415</v>
      </c>
      <c r="S94">
        <f>IF($J94&gt;MAX('Match Log'!$A$4:$A$311),NA(),IFERROR(LOOKUP(2,1/(('Match Log'!$D$4:$D$311=$S$24)*('Match Log'!$A$4:$A$311&lt;=$J94)),'Match Log'!$N$4:$N$311),NA()))</f>
        <v>1085.8212240193971</v>
      </c>
      <c r="T94">
        <f>IF($J94&gt;MAX('Match Log'!$A$4:$A$311),NA(),IFERROR(LOOKUP(2,1/(('Match Log'!$D$4:$D$311=$T$24)*('Match Log'!$A$4:$A$311&lt;=$J94)),'Match Log'!$N$4:$N$311),NA()))</f>
        <v>912.86052856470724</v>
      </c>
      <c r="U94">
        <f>IF($J94&gt;MAX('Match Log'!$A$4:$A$311),NA(),IFERROR(LOOKUP(2,1/(('Match Log'!$D$4:$D$311=$U$24)*('Match Log'!$A$4:$A$311&lt;=$J94)),'Match Log'!$N$4:$N$311),NA()))</f>
        <v>947.0859899056735</v>
      </c>
      <c r="V94" t="e">
        <f>IF($J94&gt;MAX('Match Log'!$A$4:$A$311),NA(),IFERROR(LOOKUP(2,1/(('Match Log'!$D$4:$D$311=$V$24)*('Match Log'!$A$4:$A$311&lt;=$J94)),'Match Log'!$N$4:$N$311),NA()))</f>
        <v>#N/A</v>
      </c>
      <c r="W94" t="e">
        <f>IF($J94&gt;MAX('Match Log'!$A$4:$A$311),NA(),IFERROR(LOOKUP(2,1/(('Match Log'!$D$4:$D$311=$W$24)*('Match Log'!$A$4:$A$311&lt;=$J94)),'Match Log'!$N$4:$N$311),NA()))</f>
        <v>#N/A</v>
      </c>
      <c r="X94" t="e">
        <f>IF($J94&gt;MAX('Match Log'!$A$4:$A$311),NA(),IFERROR(LOOKUP(2,1/(('Match Log'!$D$4:$D$311=$X$24)*('Match Log'!$A$4:$A$311&lt;=$J94)),'Match Log'!$N$4:$N$311),NA()))</f>
        <v>#N/A</v>
      </c>
      <c r="Y94" t="str">
        <f t="shared" ca="1" si="24"/>
        <v/>
      </c>
    </row>
    <row r="95" spans="1:25" ht="15" customHeight="1" x14ac:dyDescent="0.2">
      <c r="A95">
        <v>71</v>
      </c>
      <c r="B95" s="132">
        <f>IFERROR(INDEX('Match Log'!$B$4:$B$311,MATCH(71,'Match Log'!$A$4:$A$311,0)),"")</f>
        <v>46188</v>
      </c>
      <c r="C95" t="str">
        <f>IFERROR(INDEX('Match Log'!$C$4:$C$311,MATCH(71,'Match Log'!$A$4:$A$311,0)),"")</f>
        <v>ShuffleBoard</v>
      </c>
      <c r="D95" t="str">
        <f>IFERROR(INDEX('Match Log'!$G$4:$G$311,MATCH(71,'Match Log'!$A$4:$A$311,0)),"")</f>
        <v>Oscar</v>
      </c>
      <c r="E95" s="133">
        <f>IFERROR(INDEX('Match Log'!$F$4:$F$311,MATCH(71,'Match Log'!$A$4:$A$311,0)),"")</f>
        <v>4</v>
      </c>
      <c r="F95">
        <f>IFERROR(SUMIFS('Match Log'!$I$4:$I$311,'Match Log'!$A$4:$A$311,71,'Match Log'!$E$4:$E$311,"Win"),"")</f>
        <v>0.55199999999999994</v>
      </c>
      <c r="G95">
        <f t="shared" si="22"/>
        <v>-1.2079999999999997</v>
      </c>
      <c r="H95" t="str">
        <f>IFERROR(IF($E95=2,LOOKUP(2,1/(('Match Log'!$A$4:$A$311=71)*('Match Log'!$E$4:$E$311="Loss")),'Match Log'!$D$4:$D$311),"the field"),"")</f>
        <v>the field</v>
      </c>
      <c r="I95">
        <f t="shared" si="23"/>
        <v>-1.2080709999999997</v>
      </c>
      <c r="J95">
        <v>71</v>
      </c>
      <c r="K95">
        <f>IF($J95&gt;MAX('Match Log'!$A$4:$A$311),NA(),IFERROR(LOOKUP(2,1/(('Match Log'!$D$4:$D$311=$K$24)*('Match Log'!$A$4:$A$311&lt;=$J95)),'Match Log'!$N$4:$N$311),NA()))</f>
        <v>1032.1203077686844</v>
      </c>
      <c r="L95">
        <f>IF($J95&gt;MAX('Match Log'!$A$4:$A$311),NA(),IFERROR(LOOKUP(2,1/(('Match Log'!$D$4:$D$311=$L$24)*('Match Log'!$A$4:$A$311&lt;=$J95)),'Match Log'!$N$4:$N$311),NA()))</f>
        <v>994.58225352756665</v>
      </c>
      <c r="M95">
        <f>IF($J95&gt;MAX('Match Log'!$A$4:$A$311),NA(),IFERROR(LOOKUP(2,1/(('Match Log'!$D$4:$D$311=$M$24)*('Match Log'!$A$4:$A$311&lt;=$J95)),'Match Log'!$N$4:$N$311),NA()))</f>
        <v>1017.3466608720325</v>
      </c>
      <c r="N95">
        <f>IF($J95&gt;MAX('Match Log'!$A$4:$A$311),NA(),IFERROR(LOOKUP(2,1/(('Match Log'!$D$4:$D$311=$N$24)*('Match Log'!$A$4:$A$311&lt;=$J95)),'Match Log'!$N$4:$N$311),NA()))</f>
        <v>948.71656220915634</v>
      </c>
      <c r="O95">
        <f>IF($J95&gt;MAX('Match Log'!$A$4:$A$311),NA(),IFERROR(LOOKUP(2,1/(('Match Log'!$D$4:$D$311=$O$24)*('Match Log'!$A$4:$A$311&lt;=$J95)),'Match Log'!$N$4:$N$311),NA()))</f>
        <v>1144.4758843860011</v>
      </c>
      <c r="P95">
        <f>IF($J95&gt;MAX('Match Log'!$A$4:$A$311),NA(),IFERROR(LOOKUP(2,1/(('Match Log'!$D$4:$D$311=$P$24)*('Match Log'!$A$4:$A$311&lt;=$J95)),'Match Log'!$N$4:$N$311),NA()))</f>
        <v>1005.6535603957898</v>
      </c>
      <c r="Q95">
        <f>IF($J95&gt;MAX('Match Log'!$A$4:$A$311),NA(),IFERROR(LOOKUP(2,1/(('Match Log'!$D$4:$D$311=$Q$24)*('Match Log'!$A$4:$A$311&lt;=$J95)),'Match Log'!$N$4:$N$311),NA()))</f>
        <v>1123.0952482852515</v>
      </c>
      <c r="R95">
        <f>IF($J95&gt;MAX('Match Log'!$A$4:$A$311),NA(),IFERROR(LOOKUP(2,1/(('Match Log'!$D$4:$D$311=$R$24)*('Match Log'!$A$4:$A$311&lt;=$J95)),'Match Log'!$N$4:$N$311),NA()))</f>
        <v>973.20632207334415</v>
      </c>
      <c r="S95">
        <f>IF($J95&gt;MAX('Match Log'!$A$4:$A$311),NA(),IFERROR(LOOKUP(2,1/(('Match Log'!$D$4:$D$311=$S$24)*('Match Log'!$A$4:$A$311&lt;=$J95)),'Match Log'!$N$4:$N$311),NA()))</f>
        <v>1085.8212240193971</v>
      </c>
      <c r="T95">
        <f>IF($J95&gt;MAX('Match Log'!$A$4:$A$311),NA(),IFERROR(LOOKUP(2,1/(('Match Log'!$D$4:$D$311=$T$24)*('Match Log'!$A$4:$A$311&lt;=$J95)),'Match Log'!$N$4:$N$311),NA()))</f>
        <v>912.86052856470724</v>
      </c>
      <c r="U95">
        <f>IF($J95&gt;MAX('Match Log'!$A$4:$A$311),NA(),IFERROR(LOOKUP(2,1/(('Match Log'!$D$4:$D$311=$U$24)*('Match Log'!$A$4:$A$311&lt;=$J95)),'Match Log'!$N$4:$N$311),NA()))</f>
        <v>969.85599700813395</v>
      </c>
      <c r="V95">
        <f>IF($J95&gt;MAX('Match Log'!$A$4:$A$311),NA(),IFERROR(LOOKUP(2,1/(('Match Log'!$D$4:$D$311=$V$24)*('Match Log'!$A$4:$A$311&lt;=$J95)),'Match Log'!$N$4:$N$311),NA()))</f>
        <v>996.26545088993566</v>
      </c>
      <c r="W95" t="e">
        <f>IF($J95&gt;MAX('Match Log'!$A$4:$A$311),NA(),IFERROR(LOOKUP(2,1/(('Match Log'!$D$4:$D$311=$W$24)*('Match Log'!$A$4:$A$311&lt;=$J95)),'Match Log'!$N$4:$N$311),NA()))</f>
        <v>#N/A</v>
      </c>
      <c r="X95" t="e">
        <f>IF($J95&gt;MAX('Match Log'!$A$4:$A$311),NA(),IFERROR(LOOKUP(2,1/(('Match Log'!$D$4:$D$311=$X$24)*('Match Log'!$A$4:$A$311&lt;=$J95)),'Match Log'!$N$4:$N$311),NA()))</f>
        <v>#N/A</v>
      </c>
      <c r="Y95" t="str">
        <f t="shared" ca="1" si="24"/>
        <v/>
      </c>
    </row>
    <row r="96" spans="1:25" ht="15" customHeight="1" x14ac:dyDescent="0.2">
      <c r="A96">
        <v>72</v>
      </c>
      <c r="B96" s="132">
        <f>IFERROR(INDEX('Match Log'!$B$4:$B$311,MATCH(72,'Match Log'!$A$4:$A$311,0)),"")</f>
        <v>46188</v>
      </c>
      <c r="C96" t="str">
        <f>IFERROR(INDEX('Match Log'!$C$4:$C$311,MATCH(72,'Match Log'!$A$4:$A$311,0)),"")</f>
        <v>ShuffleBoard</v>
      </c>
      <c r="D96" t="str">
        <f>IFERROR(INDEX('Match Log'!$G$4:$G$311,MATCH(72,'Match Log'!$A$4:$A$311,0)),"")</f>
        <v>Oscar</v>
      </c>
      <c r="E96" s="133">
        <f>IFERROR(INDEX('Match Log'!$F$4:$F$311,MATCH(72,'Match Log'!$A$4:$A$311,0)),"")</f>
        <v>4</v>
      </c>
      <c r="F96">
        <f>IFERROR(SUMIFS('Match Log'!$I$4:$I$311,'Match Log'!$A$4:$A$311,72,'Match Log'!$E$4:$E$311,"Win"),"")</f>
        <v>0.660377358490566</v>
      </c>
      <c r="G96">
        <f t="shared" si="22"/>
        <v>-1.641509433962264</v>
      </c>
      <c r="H96" t="str">
        <f>IFERROR(IF($E96=2,LOOKUP(2,1/(('Match Log'!$A$4:$A$311=72)*('Match Log'!$E$4:$E$311="Loss")),'Match Log'!$D$4:$D$311),"the field"),"")</f>
        <v>the field</v>
      </c>
      <c r="I96">
        <f t="shared" si="23"/>
        <v>-1.6415814339622641</v>
      </c>
      <c r="J96">
        <v>72</v>
      </c>
      <c r="K96">
        <f>IF($J96&gt;MAX('Match Log'!$A$4:$A$311),NA(),IFERROR(LOOKUP(2,1/(('Match Log'!$D$4:$D$311=$K$24)*('Match Log'!$A$4:$A$311&lt;=$J96)),'Match Log'!$N$4:$N$311),NA()))</f>
        <v>1029.5352438555508</v>
      </c>
      <c r="L96">
        <f>IF($J96&gt;MAX('Match Log'!$A$4:$A$311),NA(),IFERROR(LOOKUP(2,1/(('Match Log'!$D$4:$D$311=$L$24)*('Match Log'!$A$4:$A$311&lt;=$J96)),'Match Log'!$N$4:$N$311),NA()))</f>
        <v>994.58225352756665</v>
      </c>
      <c r="M96">
        <f>IF($J96&gt;MAX('Match Log'!$A$4:$A$311),NA(),IFERROR(LOOKUP(2,1/(('Match Log'!$D$4:$D$311=$M$24)*('Match Log'!$A$4:$A$311&lt;=$J96)),'Match Log'!$N$4:$N$311),NA()))</f>
        <v>1017.3466608720325</v>
      </c>
      <c r="N96">
        <f>IF($J96&gt;MAX('Match Log'!$A$4:$A$311),NA(),IFERROR(LOOKUP(2,1/(('Match Log'!$D$4:$D$311=$N$24)*('Match Log'!$A$4:$A$311&lt;=$J96)),'Match Log'!$N$4:$N$311),NA()))</f>
        <v>948.71656220915634</v>
      </c>
      <c r="O96">
        <f>IF($J96&gt;MAX('Match Log'!$A$4:$A$311),NA(),IFERROR(LOOKUP(2,1/(('Match Log'!$D$4:$D$311=$O$24)*('Match Log'!$A$4:$A$311&lt;=$J96)),'Match Log'!$N$4:$N$311),NA()))</f>
        <v>1144.4758843860011</v>
      </c>
      <c r="P96">
        <f>IF($J96&gt;MAX('Match Log'!$A$4:$A$311),NA(),IFERROR(LOOKUP(2,1/(('Match Log'!$D$4:$D$311=$P$24)*('Match Log'!$A$4:$A$311&lt;=$J96)),'Match Log'!$N$4:$N$311),NA()))</f>
        <v>1005.6535603957898</v>
      </c>
      <c r="Q96">
        <f>IF($J96&gt;MAX('Match Log'!$A$4:$A$311),NA(),IFERROR(LOOKUP(2,1/(('Match Log'!$D$4:$D$311=$Q$24)*('Match Log'!$A$4:$A$311&lt;=$J96)),'Match Log'!$N$4:$N$311),NA()))</f>
        <v>1142.4440234832907</v>
      </c>
      <c r="R96">
        <f>IF($J96&gt;MAX('Match Log'!$A$4:$A$311),NA(),IFERROR(LOOKUP(2,1/(('Match Log'!$D$4:$D$311=$R$24)*('Match Log'!$A$4:$A$311&lt;=$J96)),'Match Log'!$N$4:$N$311),NA()))</f>
        <v>973.20632207334415</v>
      </c>
      <c r="S96">
        <f>IF($J96&gt;MAX('Match Log'!$A$4:$A$311),NA(),IFERROR(LOOKUP(2,1/(('Match Log'!$D$4:$D$311=$S$24)*('Match Log'!$A$4:$A$311&lt;=$J96)),'Match Log'!$N$4:$N$311),NA()))</f>
        <v>1085.8212240193971</v>
      </c>
      <c r="T96">
        <f>IF($J96&gt;MAX('Match Log'!$A$4:$A$311),NA(),IFERROR(LOOKUP(2,1/(('Match Log'!$D$4:$D$311=$T$24)*('Match Log'!$A$4:$A$311&lt;=$J96)),'Match Log'!$N$4:$N$311),NA()))</f>
        <v>910.16214337272572</v>
      </c>
      <c r="U96">
        <f>IF($J96&gt;MAX('Match Log'!$A$4:$A$311),NA(),IFERROR(LOOKUP(2,1/(('Match Log'!$D$4:$D$311=$U$24)*('Match Log'!$A$4:$A$311&lt;=$J96)),'Match Log'!$N$4:$N$311),NA()))</f>
        <v>991.79067091520983</v>
      </c>
      <c r="V96">
        <f>IF($J96&gt;MAX('Match Log'!$A$4:$A$311),NA(),IFERROR(LOOKUP(2,1/(('Match Log'!$D$4:$D$311=$V$24)*('Match Log'!$A$4:$A$311&lt;=$J96)),'Match Log'!$N$4:$N$311),NA()))</f>
        <v>996.26545088993566</v>
      </c>
      <c r="W96" t="e">
        <f>IF($J96&gt;MAX('Match Log'!$A$4:$A$311),NA(),IFERROR(LOOKUP(2,1/(('Match Log'!$D$4:$D$311=$W$24)*('Match Log'!$A$4:$A$311&lt;=$J96)),'Match Log'!$N$4:$N$311),NA()))</f>
        <v>#N/A</v>
      </c>
      <c r="X96" t="e">
        <f>IF($J96&gt;MAX('Match Log'!$A$4:$A$311),NA(),IFERROR(LOOKUP(2,1/(('Match Log'!$D$4:$D$311=$X$24)*('Match Log'!$A$4:$A$311&lt;=$J96)),'Match Log'!$N$4:$N$311),NA()))</f>
        <v>#N/A</v>
      </c>
      <c r="Y96" t="str">
        <f t="shared" ca="1" si="24"/>
        <v/>
      </c>
    </row>
    <row r="97" spans="1:25" ht="15" customHeight="1" x14ac:dyDescent="0.2">
      <c r="A97">
        <v>73</v>
      </c>
      <c r="B97" s="132">
        <f>IFERROR(INDEX('Match Log'!$B$4:$B$311,MATCH(73,'Match Log'!$A$4:$A$311,0)),"")</f>
        <v>46188</v>
      </c>
      <c r="C97" t="str">
        <f>IFERROR(INDEX('Match Log'!$C$4:$C$311,MATCH(73,'Match Log'!$A$4:$A$311,0)),"")</f>
        <v>ShuffleBoard</v>
      </c>
      <c r="D97" t="str">
        <f>IFERROR(INDEX('Match Log'!$G$4:$G$311,MATCH(73,'Match Log'!$A$4:$A$311,0)),"")</f>
        <v>Dylan A</v>
      </c>
      <c r="E97" s="133">
        <f>IFERROR(INDEX('Match Log'!$F$4:$F$311,MATCH(73,'Match Log'!$A$4:$A$311,0)),"")</f>
        <v>4</v>
      </c>
      <c r="F97">
        <f>IFERROR(SUMIFS('Match Log'!$I$4:$I$311,'Match Log'!$A$4:$A$311,73,'Match Log'!$E$4:$E$311,"Win"),"")</f>
        <v>0.45652173913043481</v>
      </c>
      <c r="G97">
        <f t="shared" si="22"/>
        <v>-0.82608695652173925</v>
      </c>
      <c r="H97" t="str">
        <f>IFERROR(IF($E97=2,LOOKUP(2,1/(('Match Log'!$A$4:$A$311=73)*('Match Log'!$E$4:$E$311="Loss")),'Match Log'!$D$4:$D$311),"the field"),"")</f>
        <v>the field</v>
      </c>
      <c r="I97">
        <f t="shared" si="23"/>
        <v>-0.82615995652173924</v>
      </c>
      <c r="J97">
        <v>73</v>
      </c>
      <c r="K97">
        <f>IF($J97&gt;MAX('Match Log'!$A$4:$A$311),NA(),IFERROR(LOOKUP(2,1/(('Match Log'!$D$4:$D$311=$K$24)*('Match Log'!$A$4:$A$311&lt;=$J97)),'Match Log'!$N$4:$N$311),NA()))</f>
        <v>1029.5352438555508</v>
      </c>
      <c r="L97">
        <f>IF($J97&gt;MAX('Match Log'!$A$4:$A$311),NA(),IFERROR(LOOKUP(2,1/(('Match Log'!$D$4:$D$311=$L$24)*('Match Log'!$A$4:$A$311&lt;=$J97)),'Match Log'!$N$4:$N$311),NA()))</f>
        <v>1017.3951419790604</v>
      </c>
      <c r="M97">
        <f>IF($J97&gt;MAX('Match Log'!$A$4:$A$311),NA(),IFERROR(LOOKUP(2,1/(('Match Log'!$D$4:$D$311=$M$24)*('Match Log'!$A$4:$A$311&lt;=$J97)),'Match Log'!$N$4:$N$311),NA()))</f>
        <v>1017.3466608720325</v>
      </c>
      <c r="N97">
        <f>IF($J97&gt;MAX('Match Log'!$A$4:$A$311),NA(),IFERROR(LOOKUP(2,1/(('Match Log'!$D$4:$D$311=$N$24)*('Match Log'!$A$4:$A$311&lt;=$J97)),'Match Log'!$N$4:$N$311),NA()))</f>
        <v>948.71656220915634</v>
      </c>
      <c r="O97">
        <f>IF($J97&gt;MAX('Match Log'!$A$4:$A$311),NA(),IFERROR(LOOKUP(2,1/(('Match Log'!$D$4:$D$311=$O$24)*('Match Log'!$A$4:$A$311&lt;=$J97)),'Match Log'!$N$4:$N$311),NA()))</f>
        <v>1144.4758843860011</v>
      </c>
      <c r="P97">
        <f>IF($J97&gt;MAX('Match Log'!$A$4:$A$311),NA(),IFERROR(LOOKUP(2,1/(('Match Log'!$D$4:$D$311=$P$24)*('Match Log'!$A$4:$A$311&lt;=$J97)),'Match Log'!$N$4:$N$311),NA()))</f>
        <v>1005.6535603957898</v>
      </c>
      <c r="Q97">
        <f>IF($J97&gt;MAX('Match Log'!$A$4:$A$311),NA(),IFERROR(LOOKUP(2,1/(('Match Log'!$D$4:$D$311=$Q$24)*('Match Log'!$A$4:$A$311&lt;=$J97)),'Match Log'!$N$4:$N$311),NA()))</f>
        <v>1135.3924969807852</v>
      </c>
      <c r="R97">
        <f>IF($J97&gt;MAX('Match Log'!$A$4:$A$311),NA(),IFERROR(LOOKUP(2,1/(('Match Log'!$D$4:$D$311=$R$24)*('Match Log'!$A$4:$A$311&lt;=$J97)),'Match Log'!$N$4:$N$311),NA()))</f>
        <v>973.20632207334415</v>
      </c>
      <c r="S97">
        <f>IF($J97&gt;MAX('Match Log'!$A$4:$A$311),NA(),IFERROR(LOOKUP(2,1/(('Match Log'!$D$4:$D$311=$S$24)*('Match Log'!$A$4:$A$311&lt;=$J97)),'Match Log'!$N$4:$N$311),NA()))</f>
        <v>1085.8212240193971</v>
      </c>
      <c r="T97">
        <f>IF($J97&gt;MAX('Match Log'!$A$4:$A$311),NA(),IFERROR(LOOKUP(2,1/(('Match Log'!$D$4:$D$311=$T$24)*('Match Log'!$A$4:$A$311&lt;=$J97)),'Match Log'!$N$4:$N$311),NA()))</f>
        <v>910.16214337272572</v>
      </c>
      <c r="U97">
        <f>IF($J97&gt;MAX('Match Log'!$A$4:$A$311),NA(),IFERROR(LOOKUP(2,1/(('Match Log'!$D$4:$D$311=$U$24)*('Match Log'!$A$4:$A$311&lt;=$J97)),'Match Log'!$N$4:$N$311),NA()))</f>
        <v>988.43381181907546</v>
      </c>
      <c r="V97">
        <f>IF($J97&gt;MAX('Match Log'!$A$4:$A$311),NA(),IFERROR(LOOKUP(2,1/(('Match Log'!$D$4:$D$311=$V$24)*('Match Log'!$A$4:$A$311&lt;=$J97)),'Match Log'!$N$4:$N$311),NA()))</f>
        <v>996.26545088993566</v>
      </c>
      <c r="W97">
        <f>IF($J97&gt;MAX('Match Log'!$A$4:$A$311),NA(),IFERROR(LOOKUP(2,1/(('Match Log'!$D$4:$D$311=$W$24)*('Match Log'!$A$4:$A$311&lt;=$J97)),'Match Log'!$N$4:$N$311),NA()))</f>
        <v>1023.595497147146</v>
      </c>
      <c r="X97" t="e">
        <f>IF($J97&gt;MAX('Match Log'!$A$4:$A$311),NA(),IFERROR(LOOKUP(2,1/(('Match Log'!$D$4:$D$311=$X$24)*('Match Log'!$A$4:$A$311&lt;=$J97)),'Match Log'!$N$4:$N$311),NA()))</f>
        <v>#N/A</v>
      </c>
      <c r="Y97" t="str">
        <f t="shared" ca="1" si="24"/>
        <v/>
      </c>
    </row>
    <row r="98" spans="1:25" ht="15" customHeight="1" x14ac:dyDescent="0.2">
      <c r="A98">
        <v>74</v>
      </c>
      <c r="B98" s="132">
        <f>IFERROR(INDEX('Match Log'!$B$4:$B$311,MATCH(74,'Match Log'!$A$4:$A$311,0)),"")</f>
        <v>46188</v>
      </c>
      <c r="C98" t="str">
        <f>IFERROR(INDEX('Match Log'!$C$4:$C$311,MATCH(74,'Match Log'!$A$4:$A$311,0)),"")</f>
        <v>ShuffleBoard</v>
      </c>
      <c r="D98" t="str">
        <f>IFERROR(INDEX('Match Log'!$G$4:$G$311,MATCH(74,'Match Log'!$A$4:$A$311,0)),"")</f>
        <v>Shawn</v>
      </c>
      <c r="E98" s="133">
        <f>IFERROR(INDEX('Match Log'!$F$4:$F$311,MATCH(74,'Match Log'!$A$4:$A$311,0)),"")</f>
        <v>4</v>
      </c>
      <c r="F98">
        <f>IFERROR(SUMIFS('Match Log'!$I$4:$I$311,'Match Log'!$A$4:$A$311,74,'Match Log'!$E$4:$E$311,"Win"),"")</f>
        <v>0.38848920863309355</v>
      </c>
      <c r="G98">
        <f t="shared" si="22"/>
        <v>-0.55395683453237421</v>
      </c>
      <c r="H98" t="str">
        <f>IFERROR(IF($E98=2,LOOKUP(2,1/(('Match Log'!$A$4:$A$311=74)*('Match Log'!$E$4:$E$311="Loss")),'Match Log'!$D$4:$D$311),"the field"),"")</f>
        <v>the field</v>
      </c>
      <c r="I98">
        <f t="shared" si="23"/>
        <v>-0.55403083453237423</v>
      </c>
      <c r="J98">
        <v>74</v>
      </c>
      <c r="K98">
        <f>IF($J98&gt;MAX('Match Log'!$A$4:$A$311),NA(),IFERROR(LOOKUP(2,1/(('Match Log'!$D$4:$D$311=$K$24)*('Match Log'!$A$4:$A$311&lt;=$J98)),'Match Log'!$N$4:$N$311),NA()))</f>
        <v>1029.5352438555508</v>
      </c>
      <c r="L98">
        <f>IF($J98&gt;MAX('Match Log'!$A$4:$A$311),NA(),IFERROR(LOOKUP(2,1/(('Match Log'!$D$4:$D$311=$L$24)*('Match Log'!$A$4:$A$311&lt;=$J98)),'Match Log'!$N$4:$N$311),NA()))</f>
        <v>1012.5620656557165</v>
      </c>
      <c r="M98">
        <f>IF($J98&gt;MAX('Match Log'!$A$4:$A$311),NA(),IFERROR(LOOKUP(2,1/(('Match Log'!$D$4:$D$311=$M$24)*('Match Log'!$A$4:$A$311&lt;=$J98)),'Match Log'!$N$4:$N$311),NA()))</f>
        <v>1017.3466608720325</v>
      </c>
      <c r="N98">
        <f>IF($J98&gt;MAX('Match Log'!$A$4:$A$311),NA(),IFERROR(LOOKUP(2,1/(('Match Log'!$D$4:$D$311=$N$24)*('Match Log'!$A$4:$A$311&lt;=$J98)),'Match Log'!$N$4:$N$311),NA()))</f>
        <v>948.71656220915634</v>
      </c>
      <c r="O98">
        <f>IF($J98&gt;MAX('Match Log'!$A$4:$A$311),NA(),IFERROR(LOOKUP(2,1/(('Match Log'!$D$4:$D$311=$O$24)*('Match Log'!$A$4:$A$311&lt;=$J98)),'Match Log'!$N$4:$N$311),NA()))</f>
        <v>1167.367455946747</v>
      </c>
      <c r="P98">
        <f>IF($J98&gt;MAX('Match Log'!$A$4:$A$311),NA(),IFERROR(LOOKUP(2,1/(('Match Log'!$D$4:$D$311=$P$24)*('Match Log'!$A$4:$A$311&lt;=$J98)),'Match Log'!$N$4:$N$311),NA()))</f>
        <v>1028.0271463450249</v>
      </c>
      <c r="Q98">
        <f>IF($J98&gt;MAX('Match Log'!$A$4:$A$311),NA(),IFERROR(LOOKUP(2,1/(('Match Log'!$D$4:$D$311=$Q$24)*('Match Log'!$A$4:$A$311&lt;=$J98)),'Match Log'!$N$4:$N$311),NA()))</f>
        <v>1135.3924969807852</v>
      </c>
      <c r="R98">
        <f>IF($J98&gt;MAX('Match Log'!$A$4:$A$311),NA(),IFERROR(LOOKUP(2,1/(('Match Log'!$D$4:$D$311=$R$24)*('Match Log'!$A$4:$A$311&lt;=$J98)),'Match Log'!$N$4:$N$311),NA()))</f>
        <v>973.20632207334415</v>
      </c>
      <c r="S98">
        <f>IF($J98&gt;MAX('Match Log'!$A$4:$A$311),NA(),IFERROR(LOOKUP(2,1/(('Match Log'!$D$4:$D$311=$S$24)*('Match Log'!$A$4:$A$311&lt;=$J98)),'Match Log'!$N$4:$N$311),NA()))</f>
        <v>1085.8212240193971</v>
      </c>
      <c r="T98">
        <f>IF($J98&gt;MAX('Match Log'!$A$4:$A$311),NA(),IFERROR(LOOKUP(2,1/(('Match Log'!$D$4:$D$311=$T$24)*('Match Log'!$A$4:$A$311&lt;=$J98)),'Match Log'!$N$4:$N$311),NA()))</f>
        <v>910.16214337272572</v>
      </c>
      <c r="U98">
        <f>IF($J98&gt;MAX('Match Log'!$A$4:$A$311),NA(),IFERROR(LOOKUP(2,1/(('Match Log'!$D$4:$D$311=$U$24)*('Match Log'!$A$4:$A$311&lt;=$J98)),'Match Log'!$N$4:$N$311),NA()))</f>
        <v>988.43381181907546</v>
      </c>
      <c r="V98">
        <f>IF($J98&gt;MAX('Match Log'!$A$4:$A$311),NA(),IFERROR(LOOKUP(2,1/(('Match Log'!$D$4:$D$311=$V$24)*('Match Log'!$A$4:$A$311&lt;=$J98)),'Match Log'!$N$4:$N$311),NA()))</f>
        <v>996.26545088993566</v>
      </c>
      <c r="W98">
        <f>IF($J98&gt;MAX('Match Log'!$A$4:$A$311),NA(),IFERROR(LOOKUP(2,1/(('Match Log'!$D$4:$D$311=$W$24)*('Match Log'!$A$4:$A$311&lt;=$J98)),'Match Log'!$N$4:$N$311),NA()))</f>
        <v>1019.1634159605087</v>
      </c>
      <c r="X98" t="e">
        <f>IF($J98&gt;MAX('Match Log'!$A$4:$A$311),NA(),IFERROR(LOOKUP(2,1/(('Match Log'!$D$4:$D$311=$X$24)*('Match Log'!$A$4:$A$311&lt;=$J98)),'Match Log'!$N$4:$N$311),NA()))</f>
        <v>#N/A</v>
      </c>
      <c r="Y98" t="str">
        <f t="shared" ca="1" si="24"/>
        <v/>
      </c>
    </row>
    <row r="99" spans="1:25" ht="15" customHeight="1" x14ac:dyDescent="0.2">
      <c r="A99">
        <v>75</v>
      </c>
      <c r="B99" s="132">
        <f>IFERROR(INDEX('Match Log'!$B$4:$B$311,MATCH(75,'Match Log'!$A$4:$A$311,0)),"")</f>
        <v>46188</v>
      </c>
      <c r="C99" t="str">
        <f>IFERROR(INDEX('Match Log'!$C$4:$C$311,MATCH(75,'Match Log'!$A$4:$A$311,0)),"")</f>
        <v>ShuffleBoard</v>
      </c>
      <c r="D99" t="str">
        <f>IFERROR(INDEX('Match Log'!$G$4:$G$311,MATCH(75,'Match Log'!$A$4:$A$311,0)),"")</f>
        <v>Daniel (Ferret)</v>
      </c>
      <c r="E99" s="133">
        <f>IFERROR(INDEX('Match Log'!$F$4:$F$311,MATCH(75,'Match Log'!$A$4:$A$311,0)),"")</f>
        <v>4</v>
      </c>
      <c r="F99">
        <f>IFERROR(SUMIFS('Match Log'!$I$4:$I$311,'Match Log'!$A$4:$A$311,75,'Match Log'!$E$4:$E$311,"Win"),"")</f>
        <v>0.44237918215613381</v>
      </c>
      <c r="G99">
        <f t="shared" si="22"/>
        <v>-0.76951672862453524</v>
      </c>
      <c r="H99" t="str">
        <f>IFERROR(IF($E99=2,LOOKUP(2,1/(('Match Log'!$A$4:$A$311=75)*('Match Log'!$E$4:$E$311="Loss")),'Match Log'!$D$4:$D$311),"the field"),"")</f>
        <v>the field</v>
      </c>
      <c r="I99">
        <f t="shared" si="23"/>
        <v>-0.76959172862453529</v>
      </c>
      <c r="J99">
        <v>75</v>
      </c>
      <c r="K99">
        <f>IF($J99&gt;MAX('Match Log'!$A$4:$A$311),NA(),IFERROR(LOOKUP(2,1/(('Match Log'!$D$4:$D$311=$K$24)*('Match Log'!$A$4:$A$311&lt;=$J99)),'Match Log'!$N$4:$N$311),NA()))</f>
        <v>1029.5352438555508</v>
      </c>
      <c r="L99">
        <f>IF($J99&gt;MAX('Match Log'!$A$4:$A$311),NA(),IFERROR(LOOKUP(2,1/(('Match Log'!$D$4:$D$311=$L$24)*('Match Log'!$A$4:$A$311&lt;=$J99)),'Match Log'!$N$4:$N$311),NA()))</f>
        <v>1012.5620656557165</v>
      </c>
      <c r="M99">
        <f>IF($J99&gt;MAX('Match Log'!$A$4:$A$311),NA(),IFERROR(LOOKUP(2,1/(('Match Log'!$D$4:$D$311=$M$24)*('Match Log'!$A$4:$A$311&lt;=$J99)),'Match Log'!$N$4:$N$311),NA()))</f>
        <v>1017.3466608720325</v>
      </c>
      <c r="N99">
        <f>IF($J99&gt;MAX('Match Log'!$A$4:$A$311),NA(),IFERROR(LOOKUP(2,1/(('Match Log'!$D$4:$D$311=$N$24)*('Match Log'!$A$4:$A$311&lt;=$J99)),'Match Log'!$N$4:$N$311),NA()))</f>
        <v>948.71656220915634</v>
      </c>
      <c r="O99">
        <f>IF($J99&gt;MAX('Match Log'!$A$4:$A$311),NA(),IFERROR(LOOKUP(2,1/(('Match Log'!$D$4:$D$311=$O$24)*('Match Log'!$A$4:$A$311&lt;=$J99)),'Match Log'!$N$4:$N$311),NA()))</f>
        <v>1161.8584150494405</v>
      </c>
      <c r="P99">
        <f>IF($J99&gt;MAX('Match Log'!$A$4:$A$311),NA(),IFERROR(LOOKUP(2,1/(('Match Log'!$D$4:$D$311=$P$24)*('Match Log'!$A$4:$A$311&lt;=$J99)),'Match Log'!$N$4:$N$311),NA()))</f>
        <v>1023.1632267812757</v>
      </c>
      <c r="Q99">
        <f>IF($J99&gt;MAX('Match Log'!$A$4:$A$311),NA(),IFERROR(LOOKUP(2,1/(('Match Log'!$D$4:$D$311=$Q$24)*('Match Log'!$A$4:$A$311&lt;=$J99)),'Match Log'!$N$4:$N$311),NA()))</f>
        <v>1135.3924969807852</v>
      </c>
      <c r="R99">
        <f>IF($J99&gt;MAX('Match Log'!$A$4:$A$311),NA(),IFERROR(LOOKUP(2,1/(('Match Log'!$D$4:$D$311=$R$24)*('Match Log'!$A$4:$A$311&lt;=$J99)),'Match Log'!$N$4:$N$311),NA()))</f>
        <v>997.48573910684604</v>
      </c>
      <c r="S99">
        <f>IF($J99&gt;MAX('Match Log'!$A$4:$A$311),NA(),IFERROR(LOOKUP(2,1/(('Match Log'!$D$4:$D$311=$S$24)*('Match Log'!$A$4:$A$311&lt;=$J99)),'Match Log'!$N$4:$N$311),NA()))</f>
        <v>1107.9147674469509</v>
      </c>
      <c r="T99">
        <f>IF($J99&gt;MAX('Match Log'!$A$4:$A$311),NA(),IFERROR(LOOKUP(2,1/(('Match Log'!$D$4:$D$311=$T$24)*('Match Log'!$A$4:$A$311&lt;=$J99)),'Match Log'!$N$4:$N$311),NA()))</f>
        <v>910.16214337272572</v>
      </c>
      <c r="U99">
        <f>IF($J99&gt;MAX('Match Log'!$A$4:$A$311),NA(),IFERROR(LOOKUP(2,1/(('Match Log'!$D$4:$D$311=$U$24)*('Match Log'!$A$4:$A$311&lt;=$J99)),'Match Log'!$N$4:$N$311),NA()))</f>
        <v>988.43381181907546</v>
      </c>
      <c r="V99">
        <f>IF($J99&gt;MAX('Match Log'!$A$4:$A$311),NA(),IFERROR(LOOKUP(2,1/(('Match Log'!$D$4:$D$311=$V$24)*('Match Log'!$A$4:$A$311&lt;=$J99)),'Match Log'!$N$4:$N$311),NA()))</f>
        <v>996.26545088993566</v>
      </c>
      <c r="W99">
        <f>IF($J99&gt;MAX('Match Log'!$A$4:$A$311),NA(),IFERROR(LOOKUP(2,1/(('Match Log'!$D$4:$D$311=$W$24)*('Match Log'!$A$4:$A$311&lt;=$J99)),'Match Log'!$N$4:$N$311),NA()))</f>
        <v>1019.1634159605087</v>
      </c>
      <c r="X99" t="e">
        <f>IF($J99&gt;MAX('Match Log'!$A$4:$A$311),NA(),IFERROR(LOOKUP(2,1/(('Match Log'!$D$4:$D$311=$X$24)*('Match Log'!$A$4:$A$311&lt;=$J99)),'Match Log'!$N$4:$N$311),NA()))</f>
        <v>#N/A</v>
      </c>
      <c r="Y99" t="str">
        <f t="shared" ca="1" si="24"/>
        <v/>
      </c>
    </row>
    <row r="100" spans="1:25" ht="15" customHeight="1" x14ac:dyDescent="0.2">
      <c r="A100">
        <v>76</v>
      </c>
      <c r="B100" s="132">
        <f>IFERROR(INDEX('Match Log'!$B$4:$B$311,MATCH(76,'Match Log'!$A$4:$A$311,0)),"")</f>
        <v>46188</v>
      </c>
      <c r="C100" t="str">
        <f>IFERROR(INDEX('Match Log'!$C$4:$C$311,MATCH(76,'Match Log'!$A$4:$A$311,0)),"")</f>
        <v>ShuffleBoard</v>
      </c>
      <c r="D100" t="str">
        <f>IFERROR(INDEX('Match Log'!$G$4:$G$311,MATCH(76,'Match Log'!$A$4:$A$311,0)),"")</f>
        <v>Daniel (Ferret)</v>
      </c>
      <c r="E100" s="133">
        <f>IFERROR(INDEX('Match Log'!$F$4:$F$311,MATCH(76,'Match Log'!$A$4:$A$311,0)),"")</f>
        <v>4</v>
      </c>
      <c r="F100">
        <f>IFERROR(SUMIFS('Match Log'!$I$4:$I$311,'Match Log'!$A$4:$A$311,76,'Match Log'!$E$4:$E$311,"Win"),"")</f>
        <v>0.59259259259259256</v>
      </c>
      <c r="G100">
        <f t="shared" si="22"/>
        <v>-1.3703703703703702</v>
      </c>
      <c r="H100" t="str">
        <f>IFERROR(IF($E100=2,LOOKUP(2,1/(('Match Log'!$A$4:$A$311=76)*('Match Log'!$E$4:$E$311="Loss")),'Match Log'!$D$4:$D$311),"the field"),"")</f>
        <v>the field</v>
      </c>
      <c r="I100">
        <f t="shared" si="23"/>
        <v>-1.3704463703703702</v>
      </c>
      <c r="J100">
        <v>76</v>
      </c>
      <c r="K100">
        <f>IF($J100&gt;MAX('Match Log'!$A$4:$A$311),NA(),IFERROR(LOOKUP(2,1/(('Match Log'!$D$4:$D$311=$K$24)*('Match Log'!$A$4:$A$311&lt;=$J100)),'Match Log'!$N$4:$N$311),NA()))</f>
        <v>1029.5352438555508</v>
      </c>
      <c r="L100">
        <f>IF($J100&gt;MAX('Match Log'!$A$4:$A$311),NA(),IFERROR(LOOKUP(2,1/(('Match Log'!$D$4:$D$311=$L$24)*('Match Log'!$A$4:$A$311&lt;=$J100)),'Match Log'!$N$4:$N$311),NA()))</f>
        <v>1012.5620656557165</v>
      </c>
      <c r="M100">
        <f>IF($J100&gt;MAX('Match Log'!$A$4:$A$311),NA(),IFERROR(LOOKUP(2,1/(('Match Log'!$D$4:$D$311=$M$24)*('Match Log'!$A$4:$A$311&lt;=$J100)),'Match Log'!$N$4:$N$311),NA()))</f>
        <v>1017.3466608720325</v>
      </c>
      <c r="N100">
        <f>IF($J100&gt;MAX('Match Log'!$A$4:$A$311),NA(),IFERROR(LOOKUP(2,1/(('Match Log'!$D$4:$D$311=$N$24)*('Match Log'!$A$4:$A$311&lt;=$J100)),'Match Log'!$N$4:$N$311),NA()))</f>
        <v>945.73457220617456</v>
      </c>
      <c r="O100">
        <f>IF($J100&gt;MAX('Match Log'!$A$4:$A$311),NA(),IFERROR(LOOKUP(2,1/(('Match Log'!$D$4:$D$311=$O$24)*('Match Log'!$A$4:$A$311&lt;=$J100)),'Match Log'!$N$4:$N$311),NA()))</f>
        <v>1161.8584150494405</v>
      </c>
      <c r="P100">
        <f>IF($J100&gt;MAX('Match Log'!$A$4:$A$311),NA(),IFERROR(LOOKUP(2,1/(('Match Log'!$D$4:$D$311=$P$24)*('Match Log'!$A$4:$A$311&lt;=$J100)),'Match Log'!$N$4:$N$311),NA()))</f>
        <v>1023.1632267812757</v>
      </c>
      <c r="Q100">
        <f>IF($J100&gt;MAX('Match Log'!$A$4:$A$311),NA(),IFERROR(LOOKUP(2,1/(('Match Log'!$D$4:$D$311=$Q$24)*('Match Log'!$A$4:$A$311&lt;=$J100)),'Match Log'!$N$4:$N$311),NA()))</f>
        <v>1135.3924969807852</v>
      </c>
      <c r="R100">
        <f>IF($J100&gt;MAX('Match Log'!$A$4:$A$311),NA(),IFERROR(LOOKUP(2,1/(('Match Log'!$D$4:$D$311=$R$24)*('Match Log'!$A$4:$A$311&lt;=$J100)),'Match Log'!$N$4:$N$311),NA()))</f>
        <v>1019.3595155693031</v>
      </c>
      <c r="S100">
        <f>IF($J100&gt;MAX('Match Log'!$A$4:$A$311),NA(),IFERROR(LOOKUP(2,1/(('Match Log'!$D$4:$D$311=$S$24)*('Match Log'!$A$4:$A$311&lt;=$J100)),'Match Log'!$N$4:$N$311),NA()))</f>
        <v>1128.0107661316301</v>
      </c>
      <c r="T100">
        <f>IF($J100&gt;MAX('Match Log'!$A$4:$A$311),NA(),IFERROR(LOOKUP(2,1/(('Match Log'!$D$4:$D$311=$T$24)*('Match Log'!$A$4:$A$311&lt;=$J100)),'Match Log'!$N$4:$N$311),NA()))</f>
        <v>910.16214337272572</v>
      </c>
      <c r="U100">
        <f>IF($J100&gt;MAX('Match Log'!$A$4:$A$311),NA(),IFERROR(LOOKUP(2,1/(('Match Log'!$D$4:$D$311=$U$24)*('Match Log'!$A$4:$A$311&lt;=$J100)),'Match Log'!$N$4:$N$311),NA()))</f>
        <v>988.43381181907546</v>
      </c>
      <c r="V100">
        <f>IF($J100&gt;MAX('Match Log'!$A$4:$A$311),NA(),IFERROR(LOOKUP(2,1/(('Match Log'!$D$4:$D$311=$V$24)*('Match Log'!$A$4:$A$311&lt;=$J100)),'Match Log'!$N$4:$N$311),NA()))</f>
        <v>993.27766574578118</v>
      </c>
      <c r="W100">
        <f>IF($J100&gt;MAX('Match Log'!$A$4:$A$311),NA(),IFERROR(LOOKUP(2,1/(('Match Log'!$D$4:$D$311=$W$24)*('Match Log'!$A$4:$A$311&lt;=$J100)),'Match Log'!$N$4:$N$311),NA()))</f>
        <v>1019.1634159605087</v>
      </c>
      <c r="X100" t="e">
        <f>IF($J100&gt;MAX('Match Log'!$A$4:$A$311),NA(),IFERROR(LOOKUP(2,1/(('Match Log'!$D$4:$D$311=$X$24)*('Match Log'!$A$4:$A$311&lt;=$J100)),'Match Log'!$N$4:$N$311),NA()))</f>
        <v>#N/A</v>
      </c>
      <c r="Y100" t="str">
        <f t="shared" ca="1" si="24"/>
        <v/>
      </c>
    </row>
    <row r="101" spans="1:25" ht="15" customHeight="1" x14ac:dyDescent="0.2">
      <c r="A101">
        <v>77</v>
      </c>
      <c r="B101" s="132">
        <f>IFERROR(INDEX('Match Log'!$B$4:$B$311,MATCH(77,'Match Log'!$A$4:$A$311,0)),"")</f>
        <v>46188</v>
      </c>
      <c r="C101" t="str">
        <f>IFERROR(INDEX('Match Log'!$C$4:$C$311,MATCH(77,'Match Log'!$A$4:$A$311,0)),"")</f>
        <v>ShuffleBoard</v>
      </c>
      <c r="D101" t="str">
        <f>IFERROR(INDEX('Match Log'!$G$4:$G$311,MATCH(77,'Match Log'!$A$4:$A$311,0)),"")</f>
        <v>Daniel (Ferret)</v>
      </c>
      <c r="E101" s="133">
        <f>IFERROR(INDEX('Match Log'!$F$4:$F$311,MATCH(77,'Match Log'!$A$4:$A$311,0)),"")</f>
        <v>4</v>
      </c>
      <c r="F101">
        <f>IFERROR(SUMIFS('Match Log'!$I$4:$I$311,'Match Log'!$A$4:$A$311,77,'Match Log'!$E$4:$E$311,"Win"),"")</f>
        <v>0.67864271457085823</v>
      </c>
      <c r="G101">
        <f t="shared" si="22"/>
        <v>-1.7145708582834329</v>
      </c>
      <c r="H101" t="str">
        <f>IFERROR(IF($E101=2,LOOKUP(2,1/(('Match Log'!$A$4:$A$311=77)*('Match Log'!$E$4:$E$311="Loss")),'Match Log'!$D$4:$D$311),"the field"),"")</f>
        <v>the field</v>
      </c>
      <c r="I101">
        <f t="shared" si="23"/>
        <v>-1.714647858283433</v>
      </c>
      <c r="J101">
        <v>77</v>
      </c>
      <c r="K101">
        <f>IF($J101&gt;MAX('Match Log'!$A$4:$A$311),NA(),IFERROR(LOOKUP(2,1/(('Match Log'!$D$4:$D$311=$K$24)*('Match Log'!$A$4:$A$311&lt;=$J101)),'Match Log'!$N$4:$N$311),NA()))</f>
        <v>1027.4579191199061</v>
      </c>
      <c r="L101">
        <f>IF($J101&gt;MAX('Match Log'!$A$4:$A$311),NA(),IFERROR(LOOKUP(2,1/(('Match Log'!$D$4:$D$311=$L$24)*('Match Log'!$A$4:$A$311&lt;=$J101)),'Match Log'!$N$4:$N$311),NA()))</f>
        <v>1012.5620656557165</v>
      </c>
      <c r="M101">
        <f>IF($J101&gt;MAX('Match Log'!$A$4:$A$311),NA(),IFERROR(LOOKUP(2,1/(('Match Log'!$D$4:$D$311=$M$24)*('Match Log'!$A$4:$A$311&lt;=$J101)),'Match Log'!$N$4:$N$311),NA()))</f>
        <v>1017.3466608720325</v>
      </c>
      <c r="N101">
        <f>IF($J101&gt;MAX('Match Log'!$A$4:$A$311),NA(),IFERROR(LOOKUP(2,1/(('Match Log'!$D$4:$D$311=$N$24)*('Match Log'!$A$4:$A$311&lt;=$J101)),'Match Log'!$N$4:$N$311),NA()))</f>
        <v>945.73457220617456</v>
      </c>
      <c r="O101">
        <f>IF($J101&gt;MAX('Match Log'!$A$4:$A$311),NA(),IFERROR(LOOKUP(2,1/(('Match Log'!$D$4:$D$311=$O$24)*('Match Log'!$A$4:$A$311&lt;=$J101)),'Match Log'!$N$4:$N$311),NA()))</f>
        <v>1161.8584150494405</v>
      </c>
      <c r="P101">
        <f>IF($J101&gt;MAX('Match Log'!$A$4:$A$311),NA(),IFERROR(LOOKUP(2,1/(('Match Log'!$D$4:$D$311=$P$24)*('Match Log'!$A$4:$A$311&lt;=$J101)),'Match Log'!$N$4:$N$311),NA()))</f>
        <v>1023.1632267812757</v>
      </c>
      <c r="Q101">
        <f>IF($J101&gt;MAX('Match Log'!$A$4:$A$311),NA(),IFERROR(LOOKUP(2,1/(('Match Log'!$D$4:$D$311=$Q$24)*('Match Log'!$A$4:$A$311&lt;=$J101)),'Match Log'!$N$4:$N$311),NA()))</f>
        <v>1135.3924969807852</v>
      </c>
      <c r="R101">
        <f>IF($J101&gt;MAX('Match Log'!$A$4:$A$311),NA(),IFERROR(LOOKUP(2,1/(('Match Log'!$D$4:$D$311=$R$24)*('Match Log'!$A$4:$A$311&lt;=$J101)),'Match Log'!$N$4:$N$311),NA()))</f>
        <v>1040.3333719341558</v>
      </c>
      <c r="S101">
        <f>IF($J101&gt;MAX('Match Log'!$A$4:$A$311),NA(),IFERROR(LOOKUP(2,1/(('Match Log'!$D$4:$D$311=$S$24)*('Match Log'!$A$4:$A$311&lt;=$J101)),'Match Log'!$N$4:$N$311),NA()))</f>
        <v>1147.5474967479799</v>
      </c>
      <c r="T101">
        <f>IF($J101&gt;MAX('Match Log'!$A$4:$A$311),NA(),IFERROR(LOOKUP(2,1/(('Match Log'!$D$4:$D$311=$T$24)*('Match Log'!$A$4:$A$311&lt;=$J101)),'Match Log'!$N$4:$N$311),NA()))</f>
        <v>907.72888112716782</v>
      </c>
      <c r="U101">
        <f>IF($J101&gt;MAX('Match Log'!$A$4:$A$311),NA(),IFERROR(LOOKUP(2,1/(('Match Log'!$D$4:$D$311=$U$24)*('Match Log'!$A$4:$A$311&lt;=$J101)),'Match Log'!$N$4:$N$311),NA()))</f>
        <v>988.43381181907546</v>
      </c>
      <c r="V101">
        <f>IF($J101&gt;MAX('Match Log'!$A$4:$A$311),NA(),IFERROR(LOOKUP(2,1/(('Match Log'!$D$4:$D$311=$V$24)*('Match Log'!$A$4:$A$311&lt;=$J101)),'Match Log'!$N$4:$N$311),NA()))</f>
        <v>993.27766574578118</v>
      </c>
      <c r="W101">
        <f>IF($J101&gt;MAX('Match Log'!$A$4:$A$311),NA(),IFERROR(LOOKUP(2,1/(('Match Log'!$D$4:$D$311=$W$24)*('Match Log'!$A$4:$A$311&lt;=$J101)),'Match Log'!$N$4:$N$311),NA()))</f>
        <v>1019.1634159605087</v>
      </c>
      <c r="X101" t="e">
        <f>IF($J101&gt;MAX('Match Log'!$A$4:$A$311),NA(),IFERROR(LOOKUP(2,1/(('Match Log'!$D$4:$D$311=$X$24)*('Match Log'!$A$4:$A$311&lt;=$J101)),'Match Log'!$N$4:$N$311),NA()))</f>
        <v>#N/A</v>
      </c>
      <c r="Y101" t="str">
        <f t="shared" ca="1" si="24"/>
        <v/>
      </c>
    </row>
    <row r="102" spans="1:25" ht="15" customHeight="1" x14ac:dyDescent="0.2">
      <c r="A102">
        <v>78</v>
      </c>
      <c r="B102" s="132">
        <f>IFERROR(INDEX('Match Log'!$B$4:$B$311,MATCH(78,'Match Log'!$A$4:$A$311,0)),"")</f>
        <v>46188</v>
      </c>
      <c r="C102" t="str">
        <f>IFERROR(INDEX('Match Log'!$C$4:$C$311,MATCH(78,'Match Log'!$A$4:$A$311,0)),"")</f>
        <v>ShuffleBoard</v>
      </c>
      <c r="D102" t="str">
        <f>IFERROR(INDEX('Match Log'!$G$4:$G$311,MATCH(78,'Match Log'!$A$4:$A$311,0)),"")</f>
        <v>Dylan A</v>
      </c>
      <c r="E102" s="133">
        <f>IFERROR(INDEX('Match Log'!$F$4:$F$311,MATCH(78,'Match Log'!$A$4:$A$311,0)),"")</f>
        <v>4</v>
      </c>
      <c r="F102">
        <f>IFERROR(SUMIFS('Match Log'!$I$4:$I$311,'Match Log'!$A$4:$A$311,78,'Match Log'!$E$4:$E$311,"Win"),"")</f>
        <v>0.45427728613569318</v>
      </c>
      <c r="G102">
        <f t="shared" si="22"/>
        <v>-0.81710914454277273</v>
      </c>
      <c r="H102" t="str">
        <f>IFERROR(IF($E102=2,LOOKUP(2,1/(('Match Log'!$A$4:$A$311=78)*('Match Log'!$E$4:$E$311="Loss")),'Match Log'!$D$4:$D$311),"the field"),"")</f>
        <v>the field</v>
      </c>
      <c r="I102">
        <f t="shared" si="23"/>
        <v>-0.81718714454277275</v>
      </c>
      <c r="J102">
        <v>78</v>
      </c>
      <c r="K102">
        <f>IF($J102&gt;MAX('Match Log'!$A$4:$A$311),NA(),IFERROR(LOOKUP(2,1/(('Match Log'!$D$4:$D$311=$K$24)*('Match Log'!$A$4:$A$311&lt;=$J102)),'Match Log'!$N$4:$N$311),NA()))</f>
        <v>1027.4579191199061</v>
      </c>
      <c r="L102">
        <f>IF($J102&gt;MAX('Match Log'!$A$4:$A$311),NA(),IFERROR(LOOKUP(2,1/(('Match Log'!$D$4:$D$311=$L$24)*('Match Log'!$A$4:$A$311&lt;=$J102)),'Match Log'!$N$4:$N$311),NA()))</f>
        <v>1035.5207940184578</v>
      </c>
      <c r="M102">
        <f>IF($J102&gt;MAX('Match Log'!$A$4:$A$311),NA(),IFERROR(LOOKUP(2,1/(('Match Log'!$D$4:$D$311=$M$24)*('Match Log'!$A$4:$A$311&lt;=$J102)),'Match Log'!$N$4:$N$311),NA()))</f>
        <v>1017.3466608720325</v>
      </c>
      <c r="N102">
        <f>IF($J102&gt;MAX('Match Log'!$A$4:$A$311),NA(),IFERROR(LOOKUP(2,1/(('Match Log'!$D$4:$D$311=$N$24)*('Match Log'!$A$4:$A$311&lt;=$J102)),'Match Log'!$N$4:$N$311),NA()))</f>
        <v>945.73457220617456</v>
      </c>
      <c r="O102">
        <f>IF($J102&gt;MAX('Match Log'!$A$4:$A$311),NA(),IFERROR(LOOKUP(2,1/(('Match Log'!$D$4:$D$311=$O$24)*('Match Log'!$A$4:$A$311&lt;=$J102)),'Match Log'!$N$4:$N$311),NA()))</f>
        <v>1161.8584150494405</v>
      </c>
      <c r="P102">
        <f>IF($J102&gt;MAX('Match Log'!$A$4:$A$311),NA(),IFERROR(LOOKUP(2,1/(('Match Log'!$D$4:$D$311=$P$24)*('Match Log'!$A$4:$A$311&lt;=$J102)),'Match Log'!$N$4:$N$311),NA()))</f>
        <v>1023.1632267812757</v>
      </c>
      <c r="Q102">
        <f>IF($J102&gt;MAX('Match Log'!$A$4:$A$311),NA(),IFERROR(LOOKUP(2,1/(('Match Log'!$D$4:$D$311=$Q$24)*('Match Log'!$A$4:$A$311&lt;=$J102)),'Match Log'!$N$4:$N$311),NA()))</f>
        <v>1135.3924969807852</v>
      </c>
      <c r="R102">
        <f>IF($J102&gt;MAX('Match Log'!$A$4:$A$311),NA(),IFERROR(LOOKUP(2,1/(('Match Log'!$D$4:$D$311=$R$24)*('Match Log'!$A$4:$A$311&lt;=$J102)),'Match Log'!$N$4:$N$311),NA()))</f>
        <v>1036.1160042561539</v>
      </c>
      <c r="S102">
        <f>IF($J102&gt;MAX('Match Log'!$A$4:$A$311),NA(),IFERROR(LOOKUP(2,1/(('Match Log'!$D$4:$D$311=$S$24)*('Match Log'!$A$4:$A$311&lt;=$J102)),'Match Log'!$N$4:$N$311),NA()))</f>
        <v>1141.3518324792606</v>
      </c>
      <c r="T102">
        <f>IF($J102&gt;MAX('Match Log'!$A$4:$A$311),NA(),IFERROR(LOOKUP(2,1/(('Match Log'!$D$4:$D$311=$T$24)*('Match Log'!$A$4:$A$311&lt;=$J102)),'Match Log'!$N$4:$N$311),NA()))</f>
        <v>907.72888112716782</v>
      </c>
      <c r="U102">
        <f>IF($J102&gt;MAX('Match Log'!$A$4:$A$311),NA(),IFERROR(LOOKUP(2,1/(('Match Log'!$D$4:$D$311=$U$24)*('Match Log'!$A$4:$A$311&lt;=$J102)),'Match Log'!$N$4:$N$311),NA()))</f>
        <v>988.43381181907546</v>
      </c>
      <c r="V102">
        <f>IF($J102&gt;MAX('Match Log'!$A$4:$A$311),NA(),IFERROR(LOOKUP(2,1/(('Match Log'!$D$4:$D$311=$V$24)*('Match Log'!$A$4:$A$311&lt;=$J102)),'Match Log'!$N$4:$N$311),NA()))</f>
        <v>993.27766574578118</v>
      </c>
      <c r="W102">
        <f>IF($J102&gt;MAX('Match Log'!$A$4:$A$311),NA(),IFERROR(LOOKUP(2,1/(('Match Log'!$D$4:$D$311=$W$24)*('Match Log'!$A$4:$A$311&lt;=$J102)),'Match Log'!$N$4:$N$311),NA()))</f>
        <v>1042.6177195444889</v>
      </c>
      <c r="X102" t="e">
        <f>IF($J102&gt;MAX('Match Log'!$A$4:$A$311),NA(),IFERROR(LOOKUP(2,1/(('Match Log'!$D$4:$D$311=$X$24)*('Match Log'!$A$4:$A$311&lt;=$J102)),'Match Log'!$N$4:$N$311),NA()))</f>
        <v>#N/A</v>
      </c>
      <c r="Y102" t="str">
        <f t="shared" ca="1" si="24"/>
        <v/>
      </c>
    </row>
    <row r="103" spans="1:25" ht="15" customHeight="1" x14ac:dyDescent="0.2">
      <c r="A103">
        <v>79</v>
      </c>
      <c r="B103" s="132">
        <f>IFERROR(INDEX('Match Log'!$B$4:$B$311,MATCH(79,'Match Log'!$A$4:$A$311,0)),"")</f>
        <v>46188</v>
      </c>
      <c r="C103" t="str">
        <f>IFERROR(INDEX('Match Log'!$C$4:$C$311,MATCH(79,'Match Log'!$A$4:$A$311,0)),"")</f>
        <v>ShuffleBoard</v>
      </c>
      <c r="D103" t="str">
        <f>IFERROR(INDEX('Match Log'!$G$4:$G$311,MATCH(79,'Match Log'!$A$4:$A$311,0)),"")</f>
        <v>Simon</v>
      </c>
      <c r="E103" s="133">
        <f>IFERROR(INDEX('Match Log'!$F$4:$F$311,MATCH(79,'Match Log'!$A$4:$A$311,0)),"")</f>
        <v>4</v>
      </c>
      <c r="F103">
        <f>IFERROR(SUMIFS('Match Log'!$I$4:$I$311,'Match Log'!$A$4:$A$311,79,'Match Log'!$E$4:$E$311,"Win"),"")</f>
        <v>0.4975961538461538</v>
      </c>
      <c r="G103">
        <f t="shared" si="22"/>
        <v>-0.9903846153846152</v>
      </c>
      <c r="H103" t="str">
        <f>IFERROR(IF($E103=2,LOOKUP(2,1/(('Match Log'!$A$4:$A$311=79)*('Match Log'!$E$4:$E$311="Loss")),'Match Log'!$D$4:$D$311),"the field"),"")</f>
        <v>the field</v>
      </c>
      <c r="I103">
        <f t="shared" si="23"/>
        <v>-0.99046361538461525</v>
      </c>
      <c r="J103">
        <v>79</v>
      </c>
      <c r="K103">
        <f>IF($J103&gt;MAX('Match Log'!$A$4:$A$311),NA(),IFERROR(LOOKUP(2,1/(('Match Log'!$D$4:$D$311=$K$24)*('Match Log'!$A$4:$A$311&lt;=$J103)),'Match Log'!$N$4:$N$311),NA()))</f>
        <v>1027.4579191199061</v>
      </c>
      <c r="L103">
        <f>IF($J103&gt;MAX('Match Log'!$A$4:$A$311),NA(),IFERROR(LOOKUP(2,1/(('Match Log'!$D$4:$D$311=$L$24)*('Match Log'!$A$4:$A$311&lt;=$J103)),'Match Log'!$N$4:$N$311),NA()))</f>
        <v>1031.0800363810649</v>
      </c>
      <c r="M103">
        <f>IF($J103&gt;MAX('Match Log'!$A$4:$A$311),NA(),IFERROR(LOOKUP(2,1/(('Match Log'!$D$4:$D$311=$M$24)*('Match Log'!$A$4:$A$311&lt;=$J103)),'Match Log'!$N$4:$N$311),NA()))</f>
        <v>1017.3466608720325</v>
      </c>
      <c r="N103">
        <f>IF($J103&gt;MAX('Match Log'!$A$4:$A$311),NA(),IFERROR(LOOKUP(2,1/(('Match Log'!$D$4:$D$311=$N$24)*('Match Log'!$A$4:$A$311&lt;=$J103)),'Match Log'!$N$4:$N$311),NA()))</f>
        <v>945.73457220617456</v>
      </c>
      <c r="O103">
        <f>IF($J103&gt;MAX('Match Log'!$A$4:$A$311),NA(),IFERROR(LOOKUP(2,1/(('Match Log'!$D$4:$D$311=$O$24)*('Match Log'!$A$4:$A$311&lt;=$J103)),'Match Log'!$N$4:$N$311),NA()))</f>
        <v>1161.8584150494405</v>
      </c>
      <c r="P103">
        <f>IF($J103&gt;MAX('Match Log'!$A$4:$A$311),NA(),IFERROR(LOOKUP(2,1/(('Match Log'!$D$4:$D$311=$P$24)*('Match Log'!$A$4:$A$311&lt;=$J103)),'Match Log'!$N$4:$N$311),NA()))</f>
        <v>1023.1632267812757</v>
      </c>
      <c r="Q103">
        <f>IF($J103&gt;MAX('Match Log'!$A$4:$A$311),NA(),IFERROR(LOOKUP(2,1/(('Match Log'!$D$4:$D$311=$Q$24)*('Match Log'!$A$4:$A$311&lt;=$J103)),'Match Log'!$N$4:$N$311),NA()))</f>
        <v>1156.8487971247246</v>
      </c>
      <c r="R103">
        <f>IF($J103&gt;MAX('Match Log'!$A$4:$A$311),NA(),IFERROR(LOOKUP(2,1/(('Match Log'!$D$4:$D$311=$R$24)*('Match Log'!$A$4:$A$311&lt;=$J103)),'Match Log'!$N$4:$N$311),NA()))</f>
        <v>1036.1160042561539</v>
      </c>
      <c r="S103">
        <f>IF($J103&gt;MAX('Match Log'!$A$4:$A$311),NA(),IFERROR(LOOKUP(2,1/(('Match Log'!$D$4:$D$311=$S$24)*('Match Log'!$A$4:$A$311&lt;=$J103)),'Match Log'!$N$4:$N$311),NA()))</f>
        <v>1141.3518324792606</v>
      </c>
      <c r="T103">
        <f>IF($J103&gt;MAX('Match Log'!$A$4:$A$311),NA(),IFERROR(LOOKUP(2,1/(('Match Log'!$D$4:$D$311=$T$24)*('Match Log'!$A$4:$A$311&lt;=$J103)),'Match Log'!$N$4:$N$311),NA()))</f>
        <v>907.72888112716782</v>
      </c>
      <c r="U103">
        <f>IF($J103&gt;MAX('Match Log'!$A$4:$A$311),NA(),IFERROR(LOOKUP(2,1/(('Match Log'!$D$4:$D$311=$U$24)*('Match Log'!$A$4:$A$311&lt;=$J103)),'Match Log'!$N$4:$N$311),NA()))</f>
        <v>1011.5343427322456</v>
      </c>
      <c r="V103">
        <f>IF($J103&gt;MAX('Match Log'!$A$4:$A$311),NA(),IFERROR(LOOKUP(2,1/(('Match Log'!$D$4:$D$311=$V$24)*('Match Log'!$A$4:$A$311&lt;=$J103)),'Match Log'!$N$4:$N$311),NA()))</f>
        <v>993.27766574578118</v>
      </c>
      <c r="W103">
        <f>IF($J103&gt;MAX('Match Log'!$A$4:$A$311),NA(),IFERROR(LOOKUP(2,1/(('Match Log'!$D$4:$D$311=$W$24)*('Match Log'!$A$4:$A$311&lt;=$J103)),'Match Log'!$N$4:$N$311),NA()))</f>
        <v>1038.5016461247724</v>
      </c>
      <c r="X103" t="e">
        <f>IF($J103&gt;MAX('Match Log'!$A$4:$A$311),NA(),IFERROR(LOOKUP(2,1/(('Match Log'!$D$4:$D$311=$X$24)*('Match Log'!$A$4:$A$311&lt;=$J103)),'Match Log'!$N$4:$N$311),NA()))</f>
        <v>#N/A</v>
      </c>
      <c r="Y103" t="str">
        <f t="shared" ca="1" si="24"/>
        <v/>
      </c>
    </row>
    <row r="104" spans="1:25" ht="15" customHeight="1" x14ac:dyDescent="0.2">
      <c r="A104">
        <v>80</v>
      </c>
      <c r="B104" s="132">
        <f>IFERROR(INDEX('Match Log'!$B$4:$B$311,MATCH(80,'Match Log'!$A$4:$A$311,0)),"")</f>
        <v>46188</v>
      </c>
      <c r="C104" t="str">
        <f>IFERROR(INDEX('Match Log'!$C$4:$C$311,MATCH(80,'Match Log'!$A$4:$A$311,0)),"")</f>
        <v>ShuffleBoard</v>
      </c>
      <c r="D104" t="str">
        <f>IFERROR(INDEX('Match Log'!$G$4:$G$311,MATCH(80,'Match Log'!$A$4:$A$311,0)),"")</f>
        <v>Shawn</v>
      </c>
      <c r="E104" s="133">
        <f>IFERROR(INDEX('Match Log'!$F$4:$F$311,MATCH(80,'Match Log'!$A$4:$A$311,0)),"")</f>
        <v>4</v>
      </c>
      <c r="F104">
        <f>IFERROR(SUMIFS('Match Log'!$I$4:$I$311,'Match Log'!$A$4:$A$311,80,'Match Log'!$E$4:$E$311,"Win"),"")</f>
        <v>0.41329479768786126</v>
      </c>
      <c r="G104">
        <f t="shared" si="22"/>
        <v>-0.65317919075144504</v>
      </c>
      <c r="H104" t="str">
        <f>IFERROR(IF($E104=2,LOOKUP(2,1/(('Match Log'!$A$4:$A$311=80)*('Match Log'!$E$4:$E$311="Loss")),'Match Log'!$D$4:$D$311),"the field"),"")</f>
        <v>the field</v>
      </c>
      <c r="I104">
        <f t="shared" si="23"/>
        <v>-0.65325919075144501</v>
      </c>
      <c r="J104">
        <v>80</v>
      </c>
      <c r="K104">
        <f>IF($J104&gt;MAX('Match Log'!$A$4:$A$311),NA(),IFERROR(LOOKUP(2,1/(('Match Log'!$D$4:$D$311=$K$24)*('Match Log'!$A$4:$A$311&lt;=$J104)),'Match Log'!$N$4:$N$311),NA()))</f>
        <v>1027.4579191199061</v>
      </c>
      <c r="L104">
        <f>IF($J104&gt;MAX('Match Log'!$A$4:$A$311),NA(),IFERROR(LOOKUP(2,1/(('Match Log'!$D$4:$D$311=$L$24)*('Match Log'!$A$4:$A$311&lt;=$J104)),'Match Log'!$N$4:$N$311),NA()))</f>
        <v>1031.0800363810649</v>
      </c>
      <c r="M104">
        <f>IF($J104&gt;MAX('Match Log'!$A$4:$A$311),NA(),IFERROR(LOOKUP(2,1/(('Match Log'!$D$4:$D$311=$M$24)*('Match Log'!$A$4:$A$311&lt;=$J104)),'Match Log'!$N$4:$N$311),NA()))</f>
        <v>1017.3466608720325</v>
      </c>
      <c r="N104">
        <f>IF($J104&gt;MAX('Match Log'!$A$4:$A$311),NA(),IFERROR(LOOKUP(2,1/(('Match Log'!$D$4:$D$311=$N$24)*('Match Log'!$A$4:$A$311&lt;=$J104)),'Match Log'!$N$4:$N$311),NA()))</f>
        <v>945.73457220617456</v>
      </c>
      <c r="O104">
        <f>IF($J104&gt;MAX('Match Log'!$A$4:$A$311),NA(),IFERROR(LOOKUP(2,1/(('Match Log'!$D$4:$D$311=$O$24)*('Match Log'!$A$4:$A$311&lt;=$J104)),'Match Log'!$N$4:$N$311),NA()))</f>
        <v>1184.9242286294298</v>
      </c>
      <c r="P104">
        <f>IF($J104&gt;MAX('Match Log'!$A$4:$A$311),NA(),IFERROR(LOOKUP(2,1/(('Match Log'!$D$4:$D$311=$P$24)*('Match Log'!$A$4:$A$311&lt;=$J104)),'Match Log'!$N$4:$N$311),NA()))</f>
        <v>1045.8475374710915</v>
      </c>
      <c r="Q104">
        <f>IF($J104&gt;MAX('Match Log'!$A$4:$A$311),NA(),IFERROR(LOOKUP(2,1/(('Match Log'!$D$4:$D$311=$Q$24)*('Match Log'!$A$4:$A$311&lt;=$J104)),'Match Log'!$N$4:$N$311),NA()))</f>
        <v>1150.2170238004801</v>
      </c>
      <c r="R104">
        <f>IF($J104&gt;MAX('Match Log'!$A$4:$A$311),NA(),IFERROR(LOOKUP(2,1/(('Match Log'!$D$4:$D$311=$R$24)*('Match Log'!$A$4:$A$311&lt;=$J104)),'Match Log'!$N$4:$N$311),NA()))</f>
        <v>1036.1160042561539</v>
      </c>
      <c r="S104">
        <f>IF($J104&gt;MAX('Match Log'!$A$4:$A$311),NA(),IFERROR(LOOKUP(2,1/(('Match Log'!$D$4:$D$311=$S$24)*('Match Log'!$A$4:$A$311&lt;=$J104)),'Match Log'!$N$4:$N$311),NA()))</f>
        <v>1141.3518324792606</v>
      </c>
      <c r="T104">
        <f>IF($J104&gt;MAX('Match Log'!$A$4:$A$311),NA(),IFERROR(LOOKUP(2,1/(('Match Log'!$D$4:$D$311=$T$24)*('Match Log'!$A$4:$A$311&lt;=$J104)),'Match Log'!$N$4:$N$311),NA()))</f>
        <v>907.72888112716782</v>
      </c>
      <c r="U104">
        <f>IF($J104&gt;MAX('Match Log'!$A$4:$A$311),NA(),IFERROR(LOOKUP(2,1/(('Match Log'!$D$4:$D$311=$U$24)*('Match Log'!$A$4:$A$311&lt;=$J104)),'Match Log'!$N$4:$N$311),NA()))</f>
        <v>1008.415991786685</v>
      </c>
      <c r="V104">
        <f>IF($J104&gt;MAX('Match Log'!$A$4:$A$311),NA(),IFERROR(LOOKUP(2,1/(('Match Log'!$D$4:$D$311=$V$24)*('Match Log'!$A$4:$A$311&lt;=$J104)),'Match Log'!$N$4:$N$311),NA()))</f>
        <v>993.27766574578118</v>
      </c>
      <c r="W104">
        <f>IF($J104&gt;MAX('Match Log'!$A$4:$A$311),NA(),IFERROR(LOOKUP(2,1/(('Match Log'!$D$4:$D$311=$W$24)*('Match Log'!$A$4:$A$311&lt;=$J104)),'Match Log'!$N$4:$N$311),NA()))</f>
        <v>1038.5016461247724</v>
      </c>
      <c r="X104" t="e">
        <f>IF($J104&gt;MAX('Match Log'!$A$4:$A$311),NA(),IFERROR(LOOKUP(2,1/(('Match Log'!$D$4:$D$311=$X$24)*('Match Log'!$A$4:$A$311&lt;=$J104)),'Match Log'!$N$4:$N$311),NA()))</f>
        <v>#N/A</v>
      </c>
      <c r="Y104" t="str">
        <f t="shared" ca="1" si="24"/>
        <v/>
      </c>
    </row>
    <row r="105" spans="1:25" ht="15" customHeight="1" x14ac:dyDescent="0.2">
      <c r="A105">
        <v>81</v>
      </c>
      <c r="B105" s="132">
        <f>IFERROR(INDEX('Match Log'!$B$4:$B$311,MATCH(81,'Match Log'!$A$4:$A$311,0)),"")</f>
        <v>46188</v>
      </c>
      <c r="C105" t="str">
        <f>IFERROR(INDEX('Match Log'!$C$4:$C$311,MATCH(81,'Match Log'!$A$4:$A$311,0)),"")</f>
        <v>ShuffleBoard</v>
      </c>
      <c r="D105" t="str">
        <f>IFERROR(INDEX('Match Log'!$G$4:$G$311,MATCH(81,'Match Log'!$A$4:$A$311,0)),"")</f>
        <v>Daniel (Ferret)</v>
      </c>
      <c r="E105" s="133">
        <f>IFERROR(INDEX('Match Log'!$F$4:$F$311,MATCH(81,'Match Log'!$A$4:$A$311,0)),"")</f>
        <v>4</v>
      </c>
      <c r="F105">
        <f>IFERROR(SUMIFS('Match Log'!$I$4:$I$311,'Match Log'!$A$4:$A$311,81,'Match Log'!$E$4:$E$311,"Win"),"")</f>
        <v>0.52499999999999991</v>
      </c>
      <c r="G105">
        <f t="shared" si="22"/>
        <v>-1.0999999999999996</v>
      </c>
      <c r="H105" t="str">
        <f>IFERROR(IF($E105=2,LOOKUP(2,1/(('Match Log'!$A$4:$A$311=81)*('Match Log'!$E$4:$E$311="Loss")),'Match Log'!$D$4:$D$311),"the field"),"")</f>
        <v>the field</v>
      </c>
      <c r="I105">
        <f t="shared" si="23"/>
        <v>-1.1000809999999996</v>
      </c>
      <c r="J105">
        <v>81</v>
      </c>
      <c r="K105">
        <f>IF($J105&gt;MAX('Match Log'!$A$4:$A$311),NA(),IFERROR(LOOKUP(2,1/(('Match Log'!$D$4:$D$311=$K$24)*('Match Log'!$A$4:$A$311&lt;=$J105)),'Match Log'!$N$4:$N$311),NA()))</f>
        <v>1027.4579191199061</v>
      </c>
      <c r="L105">
        <f>IF($J105&gt;MAX('Match Log'!$A$4:$A$311),NA(),IFERROR(LOOKUP(2,1/(('Match Log'!$D$4:$D$311=$L$24)*('Match Log'!$A$4:$A$311&lt;=$J105)),'Match Log'!$N$4:$N$311),NA()))</f>
        <v>1031.0800363810649</v>
      </c>
      <c r="M105">
        <f>IF($J105&gt;MAX('Match Log'!$A$4:$A$311),NA(),IFERROR(LOOKUP(2,1/(('Match Log'!$D$4:$D$311=$M$24)*('Match Log'!$A$4:$A$311&lt;=$J105)),'Match Log'!$N$4:$N$311),NA()))</f>
        <v>1017.3466608720325</v>
      </c>
      <c r="N105">
        <f>IF($J105&gt;MAX('Match Log'!$A$4:$A$311),NA(),IFERROR(LOOKUP(2,1/(('Match Log'!$D$4:$D$311=$N$24)*('Match Log'!$A$4:$A$311&lt;=$J105)),'Match Log'!$N$4:$N$311),NA()))</f>
        <v>945.73457220617456</v>
      </c>
      <c r="O105">
        <f>IF($J105&gt;MAX('Match Log'!$A$4:$A$311),NA(),IFERROR(LOOKUP(2,1/(('Match Log'!$D$4:$D$311=$O$24)*('Match Log'!$A$4:$A$311&lt;=$J105)),'Match Log'!$N$4:$N$311),NA()))</f>
        <v>1180.3686394291749</v>
      </c>
      <c r="P105">
        <f>IF($J105&gt;MAX('Match Log'!$A$4:$A$311),NA(),IFERROR(LOOKUP(2,1/(('Match Log'!$D$4:$D$311=$P$24)*('Match Log'!$A$4:$A$311&lt;=$J105)),'Match Log'!$N$4:$N$311),NA()))</f>
        <v>1041.8596886886442</v>
      </c>
      <c r="Q105">
        <f>IF($J105&gt;MAX('Match Log'!$A$4:$A$311),NA(),IFERROR(LOOKUP(2,1/(('Match Log'!$D$4:$D$311=$Q$24)*('Match Log'!$A$4:$A$311&lt;=$J105)),'Match Log'!$N$4:$N$311),NA()))</f>
        <v>1150.2170238004801</v>
      </c>
      <c r="R105">
        <f>IF($J105&gt;MAX('Match Log'!$A$4:$A$311),NA(),IFERROR(LOOKUP(2,1/(('Match Log'!$D$4:$D$311=$R$24)*('Match Log'!$A$4:$A$311&lt;=$J105)),'Match Log'!$N$4:$N$311),NA()))</f>
        <v>1058.837723247505</v>
      </c>
      <c r="S105">
        <f>IF($J105&gt;MAX('Match Log'!$A$4:$A$311),NA(),IFERROR(LOOKUP(2,1/(('Match Log'!$D$4:$D$311=$S$24)*('Match Log'!$A$4:$A$311&lt;=$J105)),'Match Log'!$N$4:$N$311),NA()))</f>
        <v>1163.1735514706118</v>
      </c>
      <c r="T105">
        <f>IF($J105&gt;MAX('Match Log'!$A$4:$A$311),NA(),IFERROR(LOOKUP(2,1/(('Match Log'!$D$4:$D$311=$T$24)*('Match Log'!$A$4:$A$311&lt;=$J105)),'Match Log'!$N$4:$N$311),NA()))</f>
        <v>907.72888112716782</v>
      </c>
      <c r="U105">
        <f>IF($J105&gt;MAX('Match Log'!$A$4:$A$311),NA(),IFERROR(LOOKUP(2,1/(('Match Log'!$D$4:$D$311=$U$24)*('Match Log'!$A$4:$A$311&lt;=$J105)),'Match Log'!$N$4:$N$311),NA()))</f>
        <v>1008.415991786685</v>
      </c>
      <c r="V105">
        <f>IF($J105&gt;MAX('Match Log'!$A$4:$A$311),NA(),IFERROR(LOOKUP(2,1/(('Match Log'!$D$4:$D$311=$V$24)*('Match Log'!$A$4:$A$311&lt;=$J105)),'Match Log'!$N$4:$N$311),NA()))</f>
        <v>993.27766574578118</v>
      </c>
      <c r="W105">
        <f>IF($J105&gt;MAX('Match Log'!$A$4:$A$311),NA(),IFERROR(LOOKUP(2,1/(('Match Log'!$D$4:$D$311=$W$24)*('Match Log'!$A$4:$A$311&lt;=$J105)),'Match Log'!$N$4:$N$311),NA()))</f>
        <v>1038.5016461247724</v>
      </c>
      <c r="X105" t="e">
        <f>IF($J105&gt;MAX('Match Log'!$A$4:$A$311),NA(),IFERROR(LOOKUP(2,1/(('Match Log'!$D$4:$D$311=$X$24)*('Match Log'!$A$4:$A$311&lt;=$J105)),'Match Log'!$N$4:$N$311),NA()))</f>
        <v>#N/A</v>
      </c>
      <c r="Y105" t="str">
        <f t="shared" ca="1" si="24"/>
        <v/>
      </c>
    </row>
    <row r="106" spans="1:25" ht="15" customHeight="1" x14ac:dyDescent="0.2">
      <c r="A106">
        <v>82</v>
      </c>
      <c r="B106" s="132">
        <f>IFERROR(INDEX('Match Log'!$B$4:$B$311,MATCH(82,'Match Log'!$A$4:$A$311,0)),"")</f>
        <v>46188</v>
      </c>
      <c r="C106" t="str">
        <f>IFERROR(INDEX('Match Log'!$C$4:$C$311,MATCH(82,'Match Log'!$A$4:$A$311,0)),"")</f>
        <v>ShuffleBoard</v>
      </c>
      <c r="D106" t="str">
        <f>IFERROR(INDEX('Match Log'!$G$4:$G$311,MATCH(82,'Match Log'!$A$4:$A$311,0)),"")</f>
        <v>Daniel (Ferret)</v>
      </c>
      <c r="E106" s="133">
        <f>IFERROR(INDEX('Match Log'!$F$4:$F$311,MATCH(82,'Match Log'!$A$4:$A$311,0)),"")</f>
        <v>4</v>
      </c>
      <c r="F106">
        <f>IFERROR(SUMIFS('Match Log'!$I$4:$I$311,'Match Log'!$A$4:$A$311,82,'Match Log'!$E$4:$E$311,"Win"),"")</f>
        <v>0.68277945619335356</v>
      </c>
      <c r="G106">
        <f t="shared" si="22"/>
        <v>-1.7311178247734142</v>
      </c>
      <c r="H106" t="str">
        <f>IFERROR(IF($E106=2,LOOKUP(2,1/(('Match Log'!$A$4:$A$311=82)*('Match Log'!$E$4:$E$311="Loss")),'Match Log'!$D$4:$D$311),"the field"),"")</f>
        <v>the field</v>
      </c>
      <c r="I106">
        <f t="shared" si="23"/>
        <v>-1.7311998247734142</v>
      </c>
      <c r="J106">
        <v>82</v>
      </c>
      <c r="K106">
        <f>IF($J106&gt;MAX('Match Log'!$A$4:$A$311),NA(),IFERROR(LOOKUP(2,1/(('Match Log'!$D$4:$D$311=$K$24)*('Match Log'!$A$4:$A$311&lt;=$J106)),'Match Log'!$N$4:$N$311),NA()))</f>
        <v>1027.4579191199061</v>
      </c>
      <c r="L106">
        <f>IF($J106&gt;MAX('Match Log'!$A$4:$A$311),NA(),IFERROR(LOOKUP(2,1/(('Match Log'!$D$4:$D$311=$L$24)*('Match Log'!$A$4:$A$311&lt;=$J106)),'Match Log'!$N$4:$N$311),NA()))</f>
        <v>1031.0800363810649</v>
      </c>
      <c r="M106">
        <f>IF($J106&gt;MAX('Match Log'!$A$4:$A$311),NA(),IFERROR(LOOKUP(2,1/(('Match Log'!$D$4:$D$311=$M$24)*('Match Log'!$A$4:$A$311&lt;=$J106)),'Match Log'!$N$4:$N$311),NA()))</f>
        <v>1017.3466608720325</v>
      </c>
      <c r="N106">
        <f>IF($J106&gt;MAX('Match Log'!$A$4:$A$311),NA(),IFERROR(LOOKUP(2,1/(('Match Log'!$D$4:$D$311=$N$24)*('Match Log'!$A$4:$A$311&lt;=$J106)),'Match Log'!$N$4:$N$311),NA()))</f>
        <v>943.56352239528428</v>
      </c>
      <c r="O106">
        <f>IF($J106&gt;MAX('Match Log'!$A$4:$A$311),NA(),IFERROR(LOOKUP(2,1/(('Match Log'!$D$4:$D$311=$O$24)*('Match Log'!$A$4:$A$311&lt;=$J106)),'Match Log'!$N$4:$N$311),NA()))</f>
        <v>1180.3686394291749</v>
      </c>
      <c r="P106">
        <f>IF($J106&gt;MAX('Match Log'!$A$4:$A$311),NA(),IFERROR(LOOKUP(2,1/(('Match Log'!$D$4:$D$311=$P$24)*('Match Log'!$A$4:$A$311&lt;=$J106)),'Match Log'!$N$4:$N$311),NA()))</f>
        <v>1041.8596886886442</v>
      </c>
      <c r="Q106">
        <f>IF($J106&gt;MAX('Match Log'!$A$4:$A$311),NA(),IFERROR(LOOKUP(2,1/(('Match Log'!$D$4:$D$311=$Q$24)*('Match Log'!$A$4:$A$311&lt;=$J106)),'Match Log'!$N$4:$N$311),NA()))</f>
        <v>1150.2170238004801</v>
      </c>
      <c r="R106">
        <f>IF($J106&gt;MAX('Match Log'!$A$4:$A$311),NA(),IFERROR(LOOKUP(2,1/(('Match Log'!$D$4:$D$311=$R$24)*('Match Log'!$A$4:$A$311&lt;=$J106)),'Match Log'!$N$4:$N$311),NA()))</f>
        <v>1079.4056650748485</v>
      </c>
      <c r="S106">
        <f>IF($J106&gt;MAX('Match Log'!$A$4:$A$311),NA(),IFERROR(LOOKUP(2,1/(('Match Log'!$D$4:$D$311=$S$24)*('Match Log'!$A$4:$A$311&lt;=$J106)),'Match Log'!$N$4:$N$311),NA()))</f>
        <v>1182.798895110644</v>
      </c>
      <c r="T106">
        <f>IF($J106&gt;MAX('Match Log'!$A$4:$A$311),NA(),IFERROR(LOOKUP(2,1/(('Match Log'!$D$4:$D$311=$T$24)*('Match Log'!$A$4:$A$311&lt;=$J106)),'Match Log'!$N$4:$N$311),NA()))</f>
        <v>907.72888112716782</v>
      </c>
      <c r="U106">
        <f>IF($J106&gt;MAX('Match Log'!$A$4:$A$311),NA(),IFERROR(LOOKUP(2,1/(('Match Log'!$D$4:$D$311=$U$24)*('Match Log'!$A$4:$A$311&lt;=$J106)),'Match Log'!$N$4:$N$311),NA()))</f>
        <v>1008.415991786685</v>
      </c>
      <c r="V106">
        <f>IF($J106&gt;MAX('Match Log'!$A$4:$A$311),NA(),IFERROR(LOOKUP(2,1/(('Match Log'!$D$4:$D$311=$V$24)*('Match Log'!$A$4:$A$311&lt;=$J106)),'Match Log'!$N$4:$N$311),NA()))</f>
        <v>991.25543008929583</v>
      </c>
      <c r="W106">
        <f>IF($J106&gt;MAX('Match Log'!$A$4:$A$311),NA(),IFERROR(LOOKUP(2,1/(('Match Log'!$D$4:$D$311=$W$24)*('Match Log'!$A$4:$A$311&lt;=$J106)),'Match Log'!$N$4:$N$311),NA()))</f>
        <v>1038.5016461247724</v>
      </c>
      <c r="X106" t="e">
        <f>IF($J106&gt;MAX('Match Log'!$A$4:$A$311),NA(),IFERROR(LOOKUP(2,1/(('Match Log'!$D$4:$D$311=$X$24)*('Match Log'!$A$4:$A$311&lt;=$J106)),'Match Log'!$N$4:$N$311),NA()))</f>
        <v>#N/A</v>
      </c>
      <c r="Y106" t="str">
        <f t="shared" ca="1" si="24"/>
        <v/>
      </c>
    </row>
    <row r="107" spans="1:25" ht="15" customHeight="1" x14ac:dyDescent="0.2">
      <c r="A107">
        <v>83</v>
      </c>
      <c r="B107" s="132">
        <f>IFERROR(INDEX('Match Log'!$B$4:$B$311,MATCH(83,'Match Log'!$A$4:$A$311,0)),"")</f>
        <v>46188</v>
      </c>
      <c r="C107" t="str">
        <f>IFERROR(INDEX('Match Log'!$C$4:$C$311,MATCH(83,'Match Log'!$A$4:$A$311,0)),"")</f>
        <v>ShuffleBoard</v>
      </c>
      <c r="D107" t="str">
        <f>IFERROR(INDEX('Match Log'!$G$4:$G$311,MATCH(83,'Match Log'!$A$4:$A$311,0)),"")</f>
        <v>Beau</v>
      </c>
      <c r="E107" s="133">
        <f>IFERROR(INDEX('Match Log'!$F$4:$F$311,MATCH(83,'Match Log'!$A$4:$A$311,0)),"")</f>
        <v>4</v>
      </c>
      <c r="F107">
        <f>IFERROR(SUMIFS('Match Log'!$I$4:$I$311,'Match Log'!$A$4:$A$311,83,'Match Log'!$E$4:$E$311,"Win"),"")</f>
        <v>0.35736742821211487</v>
      </c>
      <c r="G107">
        <f t="shared" si="22"/>
        <v>-0.42946971284845947</v>
      </c>
      <c r="H107" t="str">
        <f>IFERROR(IF($E107=2,LOOKUP(2,1/(('Match Log'!$A$4:$A$311=83)*('Match Log'!$E$4:$E$311="Loss")),'Match Log'!$D$4:$D$311),"the field"),"")</f>
        <v>the field</v>
      </c>
      <c r="I107">
        <f t="shared" si="23"/>
        <v>-0.42955271284845947</v>
      </c>
      <c r="J107">
        <v>83</v>
      </c>
      <c r="K107">
        <f>IF($J107&gt;MAX('Match Log'!$A$4:$A$311),NA(),IFERROR(LOOKUP(2,1/(('Match Log'!$D$4:$D$311=$K$24)*('Match Log'!$A$4:$A$311&lt;=$J107)),'Match Log'!$N$4:$N$311),NA()))</f>
        <v>1052.6051353789235</v>
      </c>
      <c r="L107">
        <f>IF($J107&gt;MAX('Match Log'!$A$4:$A$311),NA(),IFERROR(LOOKUP(2,1/(('Match Log'!$D$4:$D$311=$L$24)*('Match Log'!$A$4:$A$311&lt;=$J107)),'Match Log'!$N$4:$N$311),NA()))</f>
        <v>1053.8755444028154</v>
      </c>
      <c r="M107">
        <f>IF($J107&gt;MAX('Match Log'!$A$4:$A$311),NA(),IFERROR(LOOKUP(2,1/(('Match Log'!$D$4:$D$311=$M$24)*('Match Log'!$A$4:$A$311&lt;=$J107)),'Match Log'!$N$4:$N$311),NA()))</f>
        <v>1017.3466608720325</v>
      </c>
      <c r="N107">
        <f>IF($J107&gt;MAX('Match Log'!$A$4:$A$311),NA(),IFERROR(LOOKUP(2,1/(('Match Log'!$D$4:$D$311=$N$24)*('Match Log'!$A$4:$A$311&lt;=$J107)),'Match Log'!$N$4:$N$311),NA()))</f>
        <v>943.56352239528428</v>
      </c>
      <c r="O107">
        <f>IF($J107&gt;MAX('Match Log'!$A$4:$A$311),NA(),IFERROR(LOOKUP(2,1/(('Match Log'!$D$4:$D$311=$O$24)*('Match Log'!$A$4:$A$311&lt;=$J107)),'Match Log'!$N$4:$N$311),NA()))</f>
        <v>1180.3686394291749</v>
      </c>
      <c r="P107">
        <f>IF($J107&gt;MAX('Match Log'!$A$4:$A$311),NA(),IFERROR(LOOKUP(2,1/(('Match Log'!$D$4:$D$311=$P$24)*('Match Log'!$A$4:$A$311&lt;=$J107)),'Match Log'!$N$4:$N$311),NA()))</f>
        <v>1041.8596886886442</v>
      </c>
      <c r="Q107">
        <f>IF($J107&gt;MAX('Match Log'!$A$4:$A$311),NA(),IFERROR(LOOKUP(2,1/(('Match Log'!$D$4:$D$311=$Q$24)*('Match Log'!$A$4:$A$311&lt;=$J107)),'Match Log'!$N$4:$N$311),NA()))</f>
        <v>1150.2170238004801</v>
      </c>
      <c r="R107">
        <f>IF($J107&gt;MAX('Match Log'!$A$4:$A$311),NA(),IFERROR(LOOKUP(2,1/(('Match Log'!$D$4:$D$311=$R$24)*('Match Log'!$A$4:$A$311&lt;=$J107)),'Match Log'!$N$4:$N$311),NA()))</f>
        <v>1074.287951540447</v>
      </c>
      <c r="S107">
        <f>IF($J107&gt;MAX('Match Log'!$A$4:$A$311),NA(),IFERROR(LOOKUP(2,1/(('Match Log'!$D$4:$D$311=$S$24)*('Match Log'!$A$4:$A$311&lt;=$J107)),'Match Log'!$N$4:$N$311),NA()))</f>
        <v>1175.9738843642774</v>
      </c>
      <c r="T107">
        <f>IF($J107&gt;MAX('Match Log'!$A$4:$A$311),NA(),IFERROR(LOOKUP(2,1/(('Match Log'!$D$4:$D$311=$T$24)*('Match Log'!$A$4:$A$311&lt;=$J107)),'Match Log'!$N$4:$N$311),NA()))</f>
        <v>907.72888112716782</v>
      </c>
      <c r="U107">
        <f>IF($J107&gt;MAX('Match Log'!$A$4:$A$311),NA(),IFERROR(LOOKUP(2,1/(('Match Log'!$D$4:$D$311=$U$24)*('Match Log'!$A$4:$A$311&lt;=$J107)),'Match Log'!$N$4:$N$311),NA()))</f>
        <v>1008.415991786685</v>
      </c>
      <c r="V107">
        <f>IF($J107&gt;MAX('Match Log'!$A$4:$A$311),NA(),IFERROR(LOOKUP(2,1/(('Match Log'!$D$4:$D$311=$V$24)*('Match Log'!$A$4:$A$311&lt;=$J107)),'Match Log'!$N$4:$N$311),NA()))</f>
        <v>991.25543008929583</v>
      </c>
      <c r="W107">
        <f>IF($J107&gt;MAX('Match Log'!$A$4:$A$311),NA(),IFERROR(LOOKUP(2,1/(('Match Log'!$D$4:$D$311=$W$24)*('Match Log'!$A$4:$A$311&lt;=$J107)),'Match Log'!$N$4:$N$311),NA()))</f>
        <v>1038.5016461247724</v>
      </c>
      <c r="X107" t="e">
        <f>IF($J107&gt;MAX('Match Log'!$A$4:$A$311),NA(),IFERROR(LOOKUP(2,1/(('Match Log'!$D$4:$D$311=$X$24)*('Match Log'!$A$4:$A$311&lt;=$J107)),'Match Log'!$N$4:$N$311),NA()))</f>
        <v>#N/A</v>
      </c>
      <c r="Y107" t="str">
        <f t="shared" ca="1" si="24"/>
        <v/>
      </c>
    </row>
    <row r="108" spans="1:25" ht="15" customHeight="1" x14ac:dyDescent="0.2">
      <c r="A108">
        <v>84</v>
      </c>
      <c r="B108" s="132">
        <f>IFERROR(INDEX('Match Log'!$B$4:$B$311,MATCH(84,'Match Log'!$A$4:$A$311,0)),"")</f>
        <v>46188</v>
      </c>
      <c r="C108" t="str">
        <f>IFERROR(INDEX('Match Log'!$C$4:$C$311,MATCH(84,'Match Log'!$A$4:$A$311,0)),"")</f>
        <v>ShuffleBoard</v>
      </c>
      <c r="D108" t="str">
        <f>IFERROR(INDEX('Match Log'!$G$4:$G$311,MATCH(84,'Match Log'!$A$4:$A$311,0)),"")</f>
        <v>Beau</v>
      </c>
      <c r="E108" s="133">
        <f>IFERROR(INDEX('Match Log'!$F$4:$F$311,MATCH(84,'Match Log'!$A$4:$A$311,0)),"")</f>
        <v>4</v>
      </c>
      <c r="F108">
        <f>IFERROR(SUMIFS('Match Log'!$I$4:$I$311,'Match Log'!$A$4:$A$311,84,'Match Log'!$E$4:$E$311,"Win"),"")</f>
        <v>0.42912621359223302</v>
      </c>
      <c r="G108">
        <f t="shared" si="22"/>
        <v>-0.71650485436893208</v>
      </c>
      <c r="H108" t="str">
        <f>IFERROR(IF($E108=2,LOOKUP(2,1/(('Match Log'!$A$4:$A$311=84)*('Match Log'!$E$4:$E$311="Loss")),'Match Log'!$D$4:$D$311),"the field"),"")</f>
        <v>the field</v>
      </c>
      <c r="I108">
        <f t="shared" si="23"/>
        <v>-0.71658885436893205</v>
      </c>
      <c r="J108">
        <v>84</v>
      </c>
      <c r="K108">
        <f>IF($J108&gt;MAX('Match Log'!$A$4:$A$311),NA(),IFERROR(LOOKUP(2,1/(('Match Log'!$D$4:$D$311=$K$24)*('Match Log'!$A$4:$A$311&lt;=$J108)),'Match Log'!$N$4:$N$311),NA()))</f>
        <v>1076.5288742725706</v>
      </c>
      <c r="L108">
        <f>IF($J108&gt;MAX('Match Log'!$A$4:$A$311),NA(),IFERROR(LOOKUP(2,1/(('Match Log'!$D$4:$D$311=$L$24)*('Match Log'!$A$4:$A$311&lt;=$J108)),'Match Log'!$N$4:$N$311),NA()))</f>
        <v>1075.8808366945207</v>
      </c>
      <c r="M108">
        <f>IF($J108&gt;MAX('Match Log'!$A$4:$A$311),NA(),IFERROR(LOOKUP(2,1/(('Match Log'!$D$4:$D$311=$M$24)*('Match Log'!$A$4:$A$311&lt;=$J108)),'Match Log'!$N$4:$N$311),NA()))</f>
        <v>1017.3466608720325</v>
      </c>
      <c r="N108">
        <f>IF($J108&gt;MAX('Match Log'!$A$4:$A$311),NA(),IFERROR(LOOKUP(2,1/(('Match Log'!$D$4:$D$311=$N$24)*('Match Log'!$A$4:$A$311&lt;=$J108)),'Match Log'!$N$4:$N$311),NA()))</f>
        <v>943.56352239528428</v>
      </c>
      <c r="O108">
        <f>IF($J108&gt;MAX('Match Log'!$A$4:$A$311),NA(),IFERROR(LOOKUP(2,1/(('Match Log'!$D$4:$D$311=$O$24)*('Match Log'!$A$4:$A$311&lt;=$J108)),'Match Log'!$N$4:$N$311),NA()))</f>
        <v>1180.3686394291749</v>
      </c>
      <c r="P108">
        <f>IF($J108&gt;MAX('Match Log'!$A$4:$A$311),NA(),IFERROR(LOOKUP(2,1/(('Match Log'!$D$4:$D$311=$P$24)*('Match Log'!$A$4:$A$311&lt;=$J108)),'Match Log'!$N$4:$N$311),NA()))</f>
        <v>1041.8596886886442</v>
      </c>
      <c r="Q108">
        <f>IF($J108&gt;MAX('Match Log'!$A$4:$A$311),NA(),IFERROR(LOOKUP(2,1/(('Match Log'!$D$4:$D$311=$Q$24)*('Match Log'!$A$4:$A$311&lt;=$J108)),'Match Log'!$N$4:$N$311),NA()))</f>
        <v>1143.555914353527</v>
      </c>
      <c r="R108">
        <f>IF($J108&gt;MAX('Match Log'!$A$4:$A$311),NA(),IFERROR(LOOKUP(2,1/(('Match Log'!$D$4:$D$311=$R$24)*('Match Log'!$A$4:$A$311&lt;=$J108)),'Match Log'!$N$4:$N$311),NA()))</f>
        <v>1074.287951540447</v>
      </c>
      <c r="S108">
        <f>IF($J108&gt;MAX('Match Log'!$A$4:$A$311),NA(),IFERROR(LOOKUP(2,1/(('Match Log'!$D$4:$D$311=$S$24)*('Match Log'!$A$4:$A$311&lt;=$J108)),'Match Log'!$N$4:$N$311),NA()))</f>
        <v>1175.9738843642774</v>
      </c>
      <c r="T108">
        <f>IF($J108&gt;MAX('Match Log'!$A$4:$A$311),NA(),IFERROR(LOOKUP(2,1/(('Match Log'!$D$4:$D$311=$T$24)*('Match Log'!$A$4:$A$311&lt;=$J108)),'Match Log'!$N$4:$N$311),NA()))</f>
        <v>907.72888112716782</v>
      </c>
      <c r="U108">
        <f>IF($J108&gt;MAX('Match Log'!$A$4:$A$311),NA(),IFERROR(LOOKUP(2,1/(('Match Log'!$D$4:$D$311=$U$24)*('Match Log'!$A$4:$A$311&lt;=$J108)),'Match Log'!$N$4:$N$311),NA()))</f>
        <v>1005.1480700482857</v>
      </c>
      <c r="V108">
        <f>IF($J108&gt;MAX('Match Log'!$A$4:$A$311),NA(),IFERROR(LOOKUP(2,1/(('Match Log'!$D$4:$D$311=$V$24)*('Match Log'!$A$4:$A$311&lt;=$J108)),'Match Log'!$N$4:$N$311),NA()))</f>
        <v>991.25543008929583</v>
      </c>
      <c r="W108">
        <f>IF($J108&gt;MAX('Match Log'!$A$4:$A$311),NA(),IFERROR(LOOKUP(2,1/(('Match Log'!$D$4:$D$311=$W$24)*('Match Log'!$A$4:$A$311&lt;=$J108)),'Match Log'!$N$4:$N$311),NA()))</f>
        <v>1038.5016461247724</v>
      </c>
      <c r="X108" t="e">
        <f>IF($J108&gt;MAX('Match Log'!$A$4:$A$311),NA(),IFERROR(LOOKUP(2,1/(('Match Log'!$D$4:$D$311=$X$24)*('Match Log'!$A$4:$A$311&lt;=$J108)),'Match Log'!$N$4:$N$311),NA()))</f>
        <v>#N/A</v>
      </c>
      <c r="Y108" t="str">
        <f t="shared" ca="1" si="24"/>
        <v/>
      </c>
    </row>
    <row r="109" spans="1:25" ht="15" customHeight="1" x14ac:dyDescent="0.2">
      <c r="A109">
        <v>85</v>
      </c>
      <c r="B109" s="132">
        <f>IFERROR(INDEX('Match Log'!$B$4:$B$311,MATCH(85,'Match Log'!$A$4:$A$311,0)),"")</f>
        <v>46188</v>
      </c>
      <c r="C109" t="str">
        <f>IFERROR(INDEX('Match Log'!$C$4:$C$311,MATCH(85,'Match Log'!$A$4:$A$311,0)),"")</f>
        <v>ShuffleBoard</v>
      </c>
      <c r="D109" t="str">
        <f>IFERROR(INDEX('Match Log'!$G$4:$G$311,MATCH(85,'Match Log'!$A$4:$A$311,0)),"")</f>
        <v>David</v>
      </c>
      <c r="E109" s="133">
        <f>IFERROR(INDEX('Match Log'!$F$4:$F$311,MATCH(85,'Match Log'!$A$4:$A$311,0)),"")</f>
        <v>4</v>
      </c>
      <c r="F109">
        <f>IFERROR(SUMIFS('Match Log'!$I$4:$I$311,'Match Log'!$A$4:$A$311,85,'Match Log'!$E$4:$E$311,"Win"),"")</f>
        <v>0.31800467653936093</v>
      </c>
      <c r="G109">
        <f t="shared" si="22"/>
        <v>-0.27201870615744372</v>
      </c>
      <c r="H109" t="str">
        <f>IFERROR(IF($E109=2,LOOKUP(2,1/(('Match Log'!$A$4:$A$311=85)*('Match Log'!$E$4:$E$311="Loss")),'Match Log'!$D$4:$D$311),"the field"),"")</f>
        <v>the field</v>
      </c>
      <c r="I109">
        <f t="shared" si="23"/>
        <v>-0.27210370615744373</v>
      </c>
      <c r="J109">
        <v>85</v>
      </c>
      <c r="K109">
        <f>IF($J109&gt;MAX('Match Log'!$A$4:$A$311),NA(),IFERROR(LOOKUP(2,1/(('Match Log'!$D$4:$D$311=$K$24)*('Match Log'!$A$4:$A$311&lt;=$J109)),'Match Log'!$N$4:$N$311),NA()))</f>
        <v>1071.6001753974281</v>
      </c>
      <c r="L109">
        <f>IF($J109&gt;MAX('Match Log'!$A$4:$A$311),NA(),IFERROR(LOOKUP(2,1/(('Match Log'!$D$4:$D$311=$L$24)*('Match Log'!$A$4:$A$311&lt;=$J109)),'Match Log'!$N$4:$N$311),NA()))</f>
        <v>1068.233898610468</v>
      </c>
      <c r="M109">
        <f>IF($J109&gt;MAX('Match Log'!$A$4:$A$311),NA(),IFERROR(LOOKUP(2,1/(('Match Log'!$D$4:$D$311=$M$24)*('Match Log'!$A$4:$A$311&lt;=$J109)),'Match Log'!$N$4:$N$311),NA()))</f>
        <v>1017.3466608720325</v>
      </c>
      <c r="N109">
        <f>IF($J109&gt;MAX('Match Log'!$A$4:$A$311),NA(),IFERROR(LOOKUP(2,1/(('Match Log'!$D$4:$D$311=$N$24)*('Match Log'!$A$4:$A$311&lt;=$J109)),'Match Log'!$N$4:$N$311),NA()))</f>
        <v>967.51463004089896</v>
      </c>
      <c r="O109">
        <f>IF($J109&gt;MAX('Match Log'!$A$4:$A$311),NA(),IFERROR(LOOKUP(2,1/(('Match Log'!$D$4:$D$311=$O$24)*('Match Log'!$A$4:$A$311&lt;=$J109)),'Match Log'!$N$4:$N$311),NA()))</f>
        <v>1180.3686394291749</v>
      </c>
      <c r="P109">
        <f>IF($J109&gt;MAX('Match Log'!$A$4:$A$311),NA(),IFERROR(LOOKUP(2,1/(('Match Log'!$D$4:$D$311=$P$24)*('Match Log'!$A$4:$A$311&lt;=$J109)),'Match Log'!$N$4:$N$311),NA()))</f>
        <v>1041.8596886886442</v>
      </c>
      <c r="Q109">
        <f>IF($J109&gt;MAX('Match Log'!$A$4:$A$311),NA(),IFERROR(LOOKUP(2,1/(('Match Log'!$D$4:$D$311=$Q$24)*('Match Log'!$A$4:$A$311&lt;=$J109)),'Match Log'!$N$4:$N$311),NA()))</f>
        <v>1143.555914353527</v>
      </c>
      <c r="R109">
        <f>IF($J109&gt;MAX('Match Log'!$A$4:$A$311),NA(),IFERROR(LOOKUP(2,1/(('Match Log'!$D$4:$D$311=$R$24)*('Match Log'!$A$4:$A$311&lt;=$J109)),'Match Log'!$N$4:$N$311),NA()))</f>
        <v>1074.287951540447</v>
      </c>
      <c r="S109">
        <f>IF($J109&gt;MAX('Match Log'!$A$4:$A$311),NA(),IFERROR(LOOKUP(2,1/(('Match Log'!$D$4:$D$311=$S$24)*('Match Log'!$A$4:$A$311&lt;=$J109)),'Match Log'!$N$4:$N$311),NA()))</f>
        <v>1175.9738843642774</v>
      </c>
      <c r="T109">
        <f>IF($J109&gt;MAX('Match Log'!$A$4:$A$311),NA(),IFERROR(LOOKUP(2,1/(('Match Log'!$D$4:$D$311=$T$24)*('Match Log'!$A$4:$A$311&lt;=$J109)),'Match Log'!$N$4:$N$311),NA()))</f>
        <v>907.72888112716782</v>
      </c>
      <c r="U109">
        <f>IF($J109&gt;MAX('Match Log'!$A$4:$A$311),NA(),IFERROR(LOOKUP(2,1/(('Match Log'!$D$4:$D$311=$U$24)*('Match Log'!$A$4:$A$311&lt;=$J109)),'Match Log'!$N$4:$N$311),NA()))</f>
        <v>1005.1480700482857</v>
      </c>
      <c r="V109">
        <f>IF($J109&gt;MAX('Match Log'!$A$4:$A$311),NA(),IFERROR(LOOKUP(2,1/(('Match Log'!$D$4:$D$311=$V$24)*('Match Log'!$A$4:$A$311&lt;=$J109)),'Match Log'!$N$4:$N$311),NA()))</f>
        <v>1015.8799594028762</v>
      </c>
      <c r="W109">
        <f>IF($J109&gt;MAX('Match Log'!$A$4:$A$311),NA(),IFERROR(LOOKUP(2,1/(('Match Log'!$D$4:$D$311=$W$24)*('Match Log'!$A$4:$A$311&lt;=$J109)),'Match Log'!$N$4:$N$311),NA()))</f>
        <v>1038.5016461247724</v>
      </c>
      <c r="X109" t="e">
        <f>IF($J109&gt;MAX('Match Log'!$A$4:$A$311),NA(),IFERROR(LOOKUP(2,1/(('Match Log'!$D$4:$D$311=$X$24)*('Match Log'!$A$4:$A$311&lt;=$J109)),'Match Log'!$N$4:$N$311),NA()))</f>
        <v>#N/A</v>
      </c>
      <c r="Y109" t="str">
        <f t="shared" ca="1" si="24"/>
        <v/>
      </c>
    </row>
    <row r="110" spans="1:25" ht="15" customHeight="1" x14ac:dyDescent="0.2">
      <c r="A110">
        <v>86</v>
      </c>
      <c r="B110" s="132">
        <f>IFERROR(INDEX('Match Log'!$B$4:$B$311,MATCH(86,'Match Log'!$A$4:$A$311,0)),"")</f>
        <v>46188</v>
      </c>
      <c r="C110" t="str">
        <f>IFERROR(INDEX('Match Log'!$C$4:$C$311,MATCH(86,'Match Log'!$A$4:$A$311,0)),"")</f>
        <v>ShuffleBoard</v>
      </c>
      <c r="D110" t="str">
        <f>IFERROR(INDEX('Match Log'!$G$4:$G$311,MATCH(86,'Match Log'!$A$4:$A$311,0)),"")</f>
        <v>David</v>
      </c>
      <c r="E110" s="133">
        <f>IFERROR(INDEX('Match Log'!$F$4:$F$311,MATCH(86,'Match Log'!$A$4:$A$311,0)),"")</f>
        <v>4</v>
      </c>
      <c r="F110">
        <f>IFERROR(SUMIFS('Match Log'!$I$4:$I$311,'Match Log'!$A$4:$A$311,86,'Match Log'!$E$4:$E$311,"Win"),"")</f>
        <v>0.4285714285714286</v>
      </c>
      <c r="G110">
        <f t="shared" si="22"/>
        <v>-0.71428571428571441</v>
      </c>
      <c r="H110" t="str">
        <f>IFERROR(IF($E110=2,LOOKUP(2,1/(('Match Log'!$A$4:$A$311=86)*('Match Log'!$E$4:$E$311="Loss")),'Match Log'!$D$4:$D$311),"the field"),"")</f>
        <v>the field</v>
      </c>
      <c r="I110">
        <f t="shared" si="23"/>
        <v>-0.71437171428571444</v>
      </c>
      <c r="J110">
        <v>86</v>
      </c>
      <c r="K110">
        <f>IF($J110&gt;MAX('Match Log'!$A$4:$A$311),NA(),IFERROR(LOOKUP(2,1/(('Match Log'!$D$4:$D$311=$K$24)*('Match Log'!$A$4:$A$311&lt;=$J110)),'Match Log'!$N$4:$N$311),NA()))</f>
        <v>1071.6001753974281</v>
      </c>
      <c r="L110">
        <f>IF($J110&gt;MAX('Match Log'!$A$4:$A$311),NA(),IFERROR(LOOKUP(2,1/(('Match Log'!$D$4:$D$311=$L$24)*('Match Log'!$A$4:$A$311&lt;=$J110)),'Match Log'!$N$4:$N$311),NA()))</f>
        <v>1068.233898610468</v>
      </c>
      <c r="M110">
        <f>IF($J110&gt;MAX('Match Log'!$A$4:$A$311),NA(),IFERROR(LOOKUP(2,1/(('Match Log'!$D$4:$D$311=$M$24)*('Match Log'!$A$4:$A$311&lt;=$J110)),'Match Log'!$N$4:$N$311),NA()))</f>
        <v>1017.3466608720325</v>
      </c>
      <c r="N110">
        <f>IF($J110&gt;MAX('Match Log'!$A$4:$A$311),NA(),IFERROR(LOOKUP(2,1/(('Match Log'!$D$4:$D$311=$N$24)*('Match Log'!$A$4:$A$311&lt;=$J110)),'Match Log'!$N$4:$N$311),NA()))</f>
        <v>990.8737469852914</v>
      </c>
      <c r="O110">
        <f>IF($J110&gt;MAX('Match Log'!$A$4:$A$311),NA(),IFERROR(LOOKUP(2,1/(('Match Log'!$D$4:$D$311=$O$24)*('Match Log'!$A$4:$A$311&lt;=$J110)),'Match Log'!$N$4:$N$311),NA()))</f>
        <v>1174.6803700391565</v>
      </c>
      <c r="P110">
        <f>IF($J110&gt;MAX('Match Log'!$A$4:$A$311),NA(),IFERROR(LOOKUP(2,1/(('Match Log'!$D$4:$D$311=$P$24)*('Match Log'!$A$4:$A$311&lt;=$J110)),'Match Log'!$N$4:$N$311),NA()))</f>
        <v>1036.5272031814743</v>
      </c>
      <c r="Q110">
        <f>IF($J110&gt;MAX('Match Log'!$A$4:$A$311),NA(),IFERROR(LOOKUP(2,1/(('Match Log'!$D$4:$D$311=$Q$24)*('Match Log'!$A$4:$A$311&lt;=$J110)),'Match Log'!$N$4:$N$311),NA()))</f>
        <v>1143.555914353527</v>
      </c>
      <c r="R110">
        <f>IF($J110&gt;MAX('Match Log'!$A$4:$A$311),NA(),IFERROR(LOOKUP(2,1/(('Match Log'!$D$4:$D$311=$R$24)*('Match Log'!$A$4:$A$311&lt;=$J110)),'Match Log'!$N$4:$N$311),NA()))</f>
        <v>1074.287951540447</v>
      </c>
      <c r="S110">
        <f>IF($J110&gt;MAX('Match Log'!$A$4:$A$311),NA(),IFERROR(LOOKUP(2,1/(('Match Log'!$D$4:$D$311=$S$24)*('Match Log'!$A$4:$A$311&lt;=$J110)),'Match Log'!$N$4:$N$311),NA()))</f>
        <v>1175.9738843642774</v>
      </c>
      <c r="T110">
        <f>IF($J110&gt;MAX('Match Log'!$A$4:$A$311),NA(),IFERROR(LOOKUP(2,1/(('Match Log'!$D$4:$D$311=$T$24)*('Match Log'!$A$4:$A$311&lt;=$J110)),'Match Log'!$N$4:$N$311),NA()))</f>
        <v>907.72888112716782</v>
      </c>
      <c r="U110">
        <f>IF($J110&gt;MAX('Match Log'!$A$4:$A$311),NA(),IFERROR(LOOKUP(2,1/(('Match Log'!$D$4:$D$311=$U$24)*('Match Log'!$A$4:$A$311&lt;=$J110)),'Match Log'!$N$4:$N$311),NA()))</f>
        <v>1005.1480700482857</v>
      </c>
      <c r="V110">
        <f>IF($J110&gt;MAX('Match Log'!$A$4:$A$311),NA(),IFERROR(LOOKUP(2,1/(('Match Log'!$D$4:$D$311=$V$24)*('Match Log'!$A$4:$A$311&lt;=$J110)),'Match Log'!$N$4:$N$311),NA()))</f>
        <v>1039.5415973556721</v>
      </c>
      <c r="W110">
        <f>IF($J110&gt;MAX('Match Log'!$A$4:$A$311),NA(),IFERROR(LOOKUP(2,1/(('Match Log'!$D$4:$D$311=$W$24)*('Match Log'!$A$4:$A$311&lt;=$J110)),'Match Log'!$N$4:$N$311),NA()))</f>
        <v>1038.5016461247724</v>
      </c>
      <c r="X110" t="e">
        <f>IF($J110&gt;MAX('Match Log'!$A$4:$A$311),NA(),IFERROR(LOOKUP(2,1/(('Match Log'!$D$4:$D$311=$X$24)*('Match Log'!$A$4:$A$311&lt;=$J110)),'Match Log'!$N$4:$N$311),NA()))</f>
        <v>#N/A</v>
      </c>
      <c r="Y110" t="str">
        <f t="shared" ca="1" si="24"/>
        <v/>
      </c>
    </row>
    <row r="111" spans="1:25" ht="15" customHeight="1" x14ac:dyDescent="0.2">
      <c r="A111">
        <v>87</v>
      </c>
      <c r="B111" s="132">
        <f>IFERROR(INDEX('Match Log'!$B$4:$B$311,MATCH(87,'Match Log'!$A$4:$A$311,0)),"")</f>
        <v>46188</v>
      </c>
      <c r="C111" t="str">
        <f>IFERROR(INDEX('Match Log'!$C$4:$C$311,MATCH(87,'Match Log'!$A$4:$A$311,0)),"")</f>
        <v>Pool</v>
      </c>
      <c r="D111" t="str">
        <f>IFERROR(INDEX('Match Log'!$G$4:$G$311,MATCH(87,'Match Log'!$A$4:$A$311,0)),"")</f>
        <v>Simon</v>
      </c>
      <c r="E111" s="133">
        <f>IFERROR(INDEX('Match Log'!$F$4:$F$311,MATCH(87,'Match Log'!$A$4:$A$311,0)),"")</f>
        <v>2</v>
      </c>
      <c r="F111">
        <f>IFERROR(SUMIFS('Match Log'!$I$4:$I$311,'Match Log'!$A$4:$A$311,87,'Match Log'!$E$4:$E$311,"Win"),"")</f>
        <v>0.5</v>
      </c>
      <c r="G111">
        <f t="shared" si="22"/>
        <v>0</v>
      </c>
      <c r="H111" t="str">
        <f>IFERROR(IF($E111=2,LOOKUP(2,1/(('Match Log'!$A$4:$A$311=87)*('Match Log'!$E$4:$E$311="Loss")),'Match Log'!$D$4:$D$311),"the field"),"")</f>
        <v>Dean B</v>
      </c>
      <c r="I111">
        <f t="shared" si="23"/>
        <v>-8.7000000000000001E-5</v>
      </c>
      <c r="J111">
        <v>87</v>
      </c>
      <c r="K111">
        <f>IF($J111&gt;MAX('Match Log'!$A$4:$A$311),NA(),IFERROR(LOOKUP(2,1/(('Match Log'!$D$4:$D$311=$K$24)*('Match Log'!$A$4:$A$311&lt;=$J111)),'Match Log'!$N$4:$N$311),NA()))</f>
        <v>1071.6001753974281</v>
      </c>
      <c r="L111">
        <f>IF($J111&gt;MAX('Match Log'!$A$4:$A$311),NA(),IFERROR(LOOKUP(2,1/(('Match Log'!$D$4:$D$311=$L$24)*('Match Log'!$A$4:$A$311&lt;=$J111)),'Match Log'!$N$4:$N$311),NA()))</f>
        <v>1068.233898610468</v>
      </c>
      <c r="M111">
        <f>IF($J111&gt;MAX('Match Log'!$A$4:$A$311),NA(),IFERROR(LOOKUP(2,1/(('Match Log'!$D$4:$D$311=$M$24)*('Match Log'!$A$4:$A$311&lt;=$J111)),'Match Log'!$N$4:$N$311),NA()))</f>
        <v>1017.3466608720325</v>
      </c>
      <c r="N111">
        <f>IF($J111&gt;MAX('Match Log'!$A$4:$A$311),NA(),IFERROR(LOOKUP(2,1/(('Match Log'!$D$4:$D$311=$N$24)*('Match Log'!$A$4:$A$311&lt;=$J111)),'Match Log'!$N$4:$N$311),NA()))</f>
        <v>990.8737469852914</v>
      </c>
      <c r="O111">
        <f>IF($J111&gt;MAX('Match Log'!$A$4:$A$311),NA(),IFERROR(LOOKUP(2,1/(('Match Log'!$D$4:$D$311=$O$24)*('Match Log'!$A$4:$A$311&lt;=$J111)),'Match Log'!$N$4:$N$311),NA()))</f>
        <v>1174.6803700391565</v>
      </c>
      <c r="P111">
        <f>IF($J111&gt;MAX('Match Log'!$A$4:$A$311),NA(),IFERROR(LOOKUP(2,1/(('Match Log'!$D$4:$D$311=$P$24)*('Match Log'!$A$4:$A$311&lt;=$J111)),'Match Log'!$N$4:$N$311),NA()))</f>
        <v>1036.5272031814743</v>
      </c>
      <c r="Q111">
        <f>IF($J111&gt;MAX('Match Log'!$A$4:$A$311),NA(),IFERROR(LOOKUP(2,1/(('Match Log'!$D$4:$D$311=$Q$24)*('Match Log'!$A$4:$A$311&lt;=$J111)),'Match Log'!$N$4:$N$311),NA()))</f>
        <v>1163.3612902769837</v>
      </c>
      <c r="R111">
        <f>IF($J111&gt;MAX('Match Log'!$A$4:$A$311),NA(),IFERROR(LOOKUP(2,1/(('Match Log'!$D$4:$D$311=$R$24)*('Match Log'!$A$4:$A$311&lt;=$J111)),'Match Log'!$N$4:$N$311),NA()))</f>
        <v>1074.287951540447</v>
      </c>
      <c r="S111">
        <f>IF($J111&gt;MAX('Match Log'!$A$4:$A$311),NA(),IFERROR(LOOKUP(2,1/(('Match Log'!$D$4:$D$311=$S$24)*('Match Log'!$A$4:$A$311&lt;=$J111)),'Match Log'!$N$4:$N$311),NA()))</f>
        <v>1156.1685084408207</v>
      </c>
      <c r="T111">
        <f>IF($J111&gt;MAX('Match Log'!$A$4:$A$311),NA(),IFERROR(LOOKUP(2,1/(('Match Log'!$D$4:$D$311=$T$24)*('Match Log'!$A$4:$A$311&lt;=$J111)),'Match Log'!$N$4:$N$311),NA()))</f>
        <v>907.72888112716782</v>
      </c>
      <c r="U111">
        <f>IF($J111&gt;MAX('Match Log'!$A$4:$A$311),NA(),IFERROR(LOOKUP(2,1/(('Match Log'!$D$4:$D$311=$U$24)*('Match Log'!$A$4:$A$311&lt;=$J111)),'Match Log'!$N$4:$N$311),NA()))</f>
        <v>1005.1480700482857</v>
      </c>
      <c r="V111">
        <f>IF($J111&gt;MAX('Match Log'!$A$4:$A$311),NA(),IFERROR(LOOKUP(2,1/(('Match Log'!$D$4:$D$311=$V$24)*('Match Log'!$A$4:$A$311&lt;=$J111)),'Match Log'!$N$4:$N$311),NA()))</f>
        <v>1039.5415973556721</v>
      </c>
      <c r="W111">
        <f>IF($J111&gt;MAX('Match Log'!$A$4:$A$311),NA(),IFERROR(LOOKUP(2,1/(('Match Log'!$D$4:$D$311=$W$24)*('Match Log'!$A$4:$A$311&lt;=$J111)),'Match Log'!$N$4:$N$311),NA()))</f>
        <v>1038.5016461247724</v>
      </c>
      <c r="X111" t="e">
        <f>IF($J111&gt;MAX('Match Log'!$A$4:$A$311),NA(),IFERROR(LOOKUP(2,1/(('Match Log'!$D$4:$D$311=$X$24)*('Match Log'!$A$4:$A$311&lt;=$J111)),'Match Log'!$N$4:$N$311),NA()))</f>
        <v>#N/A</v>
      </c>
      <c r="Y111" t="str">
        <f t="shared" ca="1" si="24"/>
        <v/>
      </c>
    </row>
    <row r="112" spans="1:25" ht="15" customHeight="1" x14ac:dyDescent="0.2">
      <c r="A112">
        <v>88</v>
      </c>
      <c r="B112" s="132">
        <f>IFERROR(INDEX('Match Log'!$B$4:$B$311,MATCH(88,'Match Log'!$A$4:$A$311,0)),"")</f>
        <v>46188</v>
      </c>
      <c r="C112" t="str">
        <f>IFERROR(INDEX('Match Log'!$C$4:$C$311,MATCH(88,'Match Log'!$A$4:$A$311,0)),"")</f>
        <v>Pool</v>
      </c>
      <c r="D112" t="str">
        <f>IFERROR(INDEX('Match Log'!$G$4:$G$311,MATCH(88,'Match Log'!$A$4:$A$311,0)),"")</f>
        <v>Simon</v>
      </c>
      <c r="E112" s="133">
        <f>IFERROR(INDEX('Match Log'!$F$4:$F$311,MATCH(88,'Match Log'!$A$4:$A$311,0)),"")</f>
        <v>2</v>
      </c>
      <c r="F112">
        <f>IFERROR(SUMIFS('Match Log'!$I$4:$I$311,'Match Log'!$A$4:$A$311,88,'Match Log'!$E$4:$E$311,"Win"),"")</f>
        <v>0.60869565217391308</v>
      </c>
      <c r="G112">
        <f t="shared" si="22"/>
        <v>-0.21739130434782616</v>
      </c>
      <c r="H112" t="str">
        <f>IFERROR(IF($E112=2,LOOKUP(2,1/(('Match Log'!$A$4:$A$311=88)*('Match Log'!$E$4:$E$311="Loss")),'Match Log'!$D$4:$D$311),"the field"),"")</f>
        <v>Dean B</v>
      </c>
      <c r="I112">
        <f t="shared" si="23"/>
        <v>-0.21747930434782617</v>
      </c>
      <c r="J112">
        <v>88</v>
      </c>
      <c r="K112">
        <f>IF($J112&gt;MAX('Match Log'!$A$4:$A$311),NA(),IFERROR(LOOKUP(2,1/(('Match Log'!$D$4:$D$311=$K$24)*('Match Log'!$A$4:$A$311&lt;=$J112)),'Match Log'!$N$4:$N$311),NA()))</f>
        <v>1071.6001753974281</v>
      </c>
      <c r="L112">
        <f>IF($J112&gt;MAX('Match Log'!$A$4:$A$311),NA(),IFERROR(LOOKUP(2,1/(('Match Log'!$D$4:$D$311=$L$24)*('Match Log'!$A$4:$A$311&lt;=$J112)),'Match Log'!$N$4:$N$311),NA()))</f>
        <v>1068.233898610468</v>
      </c>
      <c r="M112">
        <f>IF($J112&gt;MAX('Match Log'!$A$4:$A$311),NA(),IFERROR(LOOKUP(2,1/(('Match Log'!$D$4:$D$311=$M$24)*('Match Log'!$A$4:$A$311&lt;=$J112)),'Match Log'!$N$4:$N$311),NA()))</f>
        <v>1017.3466608720325</v>
      </c>
      <c r="N112">
        <f>IF($J112&gt;MAX('Match Log'!$A$4:$A$311),NA(),IFERROR(LOOKUP(2,1/(('Match Log'!$D$4:$D$311=$N$24)*('Match Log'!$A$4:$A$311&lt;=$J112)),'Match Log'!$N$4:$N$311),NA()))</f>
        <v>990.8737469852914</v>
      </c>
      <c r="O112">
        <f>IF($J112&gt;MAX('Match Log'!$A$4:$A$311),NA(),IFERROR(LOOKUP(2,1/(('Match Log'!$D$4:$D$311=$O$24)*('Match Log'!$A$4:$A$311&lt;=$J112)),'Match Log'!$N$4:$N$311),NA()))</f>
        <v>1174.6803700391565</v>
      </c>
      <c r="P112">
        <f>IF($J112&gt;MAX('Match Log'!$A$4:$A$311),NA(),IFERROR(LOOKUP(2,1/(('Match Log'!$D$4:$D$311=$P$24)*('Match Log'!$A$4:$A$311&lt;=$J112)),'Match Log'!$N$4:$N$311),NA()))</f>
        <v>1036.5272031814743</v>
      </c>
      <c r="Q112">
        <f>IF($J112&gt;MAX('Match Log'!$A$4:$A$311),NA(),IFERROR(LOOKUP(2,1/(('Match Log'!$D$4:$D$311=$Q$24)*('Match Log'!$A$4:$A$311&lt;=$J112)),'Match Log'!$N$4:$N$311),NA()))</f>
        <v>1180.8318965818212</v>
      </c>
      <c r="R112">
        <f>IF($J112&gt;MAX('Match Log'!$A$4:$A$311),NA(),IFERROR(LOOKUP(2,1/(('Match Log'!$D$4:$D$311=$R$24)*('Match Log'!$A$4:$A$311&lt;=$J112)),'Match Log'!$N$4:$N$311),NA()))</f>
        <v>1074.287951540447</v>
      </c>
      <c r="S112">
        <f>IF($J112&gt;MAX('Match Log'!$A$4:$A$311),NA(),IFERROR(LOOKUP(2,1/(('Match Log'!$D$4:$D$311=$S$24)*('Match Log'!$A$4:$A$311&lt;=$J112)),'Match Log'!$N$4:$N$311),NA()))</f>
        <v>1138.6979021359832</v>
      </c>
      <c r="T112">
        <f>IF($J112&gt;MAX('Match Log'!$A$4:$A$311),NA(),IFERROR(LOOKUP(2,1/(('Match Log'!$D$4:$D$311=$T$24)*('Match Log'!$A$4:$A$311&lt;=$J112)),'Match Log'!$N$4:$N$311),NA()))</f>
        <v>907.72888112716782</v>
      </c>
      <c r="U112">
        <f>IF($J112&gt;MAX('Match Log'!$A$4:$A$311),NA(),IFERROR(LOOKUP(2,1/(('Match Log'!$D$4:$D$311=$U$24)*('Match Log'!$A$4:$A$311&lt;=$J112)),'Match Log'!$N$4:$N$311),NA()))</f>
        <v>1005.1480700482857</v>
      </c>
      <c r="V112">
        <f>IF($J112&gt;MAX('Match Log'!$A$4:$A$311),NA(),IFERROR(LOOKUP(2,1/(('Match Log'!$D$4:$D$311=$V$24)*('Match Log'!$A$4:$A$311&lt;=$J112)),'Match Log'!$N$4:$N$311),NA()))</f>
        <v>1039.5415973556721</v>
      </c>
      <c r="W112">
        <f>IF($J112&gt;MAX('Match Log'!$A$4:$A$311),NA(),IFERROR(LOOKUP(2,1/(('Match Log'!$D$4:$D$311=$W$24)*('Match Log'!$A$4:$A$311&lt;=$J112)),'Match Log'!$N$4:$N$311),NA()))</f>
        <v>1038.5016461247724</v>
      </c>
      <c r="X112" t="e">
        <f>IF($J112&gt;MAX('Match Log'!$A$4:$A$311),NA(),IFERROR(LOOKUP(2,1/(('Match Log'!$D$4:$D$311=$X$24)*('Match Log'!$A$4:$A$311&lt;=$J112)),'Match Log'!$N$4:$N$311),NA()))</f>
        <v>#N/A</v>
      </c>
      <c r="Y112" t="str">
        <f t="shared" ca="1" si="24"/>
        <v/>
      </c>
    </row>
    <row r="113" spans="1:25" ht="15" customHeight="1" x14ac:dyDescent="0.2">
      <c r="A113">
        <v>89</v>
      </c>
      <c r="B113" s="132">
        <f>IFERROR(INDEX('Match Log'!$B$4:$B$311,MATCH(89,'Match Log'!$A$4:$A$311,0)),"")</f>
        <v>46188</v>
      </c>
      <c r="C113" t="str">
        <f>IFERROR(INDEX('Match Log'!$C$4:$C$311,MATCH(89,'Match Log'!$A$4:$A$311,0)),"")</f>
        <v>Mario Party</v>
      </c>
      <c r="D113" t="str">
        <f>IFERROR(INDEX('Match Log'!$G$4:$G$311,MATCH(89,'Match Log'!$A$4:$A$311,0)),"")</f>
        <v>Daniel (Ferret)</v>
      </c>
      <c r="E113" s="133">
        <f>IFERROR(INDEX('Match Log'!$F$4:$F$311,MATCH(89,'Match Log'!$A$4:$A$311,0)),"")</f>
        <v>3</v>
      </c>
      <c r="F113">
        <f>IFERROR(SUMIFS('Match Log'!$I$4:$I$311,'Match Log'!$A$4:$A$311,89,'Match Log'!$E$4:$E$311,"Win"),"")</f>
        <v>0.33333333333333331</v>
      </c>
      <c r="G113">
        <f t="shared" si="22"/>
        <v>0</v>
      </c>
      <c r="H113" t="str">
        <f>IFERROR(IF($E113=2,LOOKUP(2,1/(('Match Log'!$A$4:$A$311=89)*('Match Log'!$E$4:$E$311="Loss")),'Match Log'!$D$4:$D$311),"the field"),"")</f>
        <v>the field</v>
      </c>
      <c r="I113">
        <f t="shared" si="23"/>
        <v>-8.8999999999999995E-5</v>
      </c>
      <c r="J113">
        <v>89</v>
      </c>
      <c r="K113">
        <f>IF($J113&gt;MAX('Match Log'!$A$4:$A$311),NA(),IFERROR(LOOKUP(2,1/(('Match Log'!$D$4:$D$311=$K$24)*('Match Log'!$A$4:$A$311&lt;=$J113)),'Match Log'!$N$4:$N$311),NA()))</f>
        <v>1071.6001753974281</v>
      </c>
      <c r="L113">
        <f>IF($J113&gt;MAX('Match Log'!$A$4:$A$311),NA(),IFERROR(LOOKUP(2,1/(('Match Log'!$D$4:$D$311=$L$24)*('Match Log'!$A$4:$A$311&lt;=$J113)),'Match Log'!$N$4:$N$311),NA()))</f>
        <v>1068.233898610468</v>
      </c>
      <c r="M113">
        <f>IF($J113&gt;MAX('Match Log'!$A$4:$A$311),NA(),IFERROR(LOOKUP(2,1/(('Match Log'!$D$4:$D$311=$M$24)*('Match Log'!$A$4:$A$311&lt;=$J113)),'Match Log'!$N$4:$N$311),NA()))</f>
        <v>1017.3466608720325</v>
      </c>
      <c r="N113">
        <f>IF($J113&gt;MAX('Match Log'!$A$4:$A$311),NA(),IFERROR(LOOKUP(2,1/(('Match Log'!$D$4:$D$311=$N$24)*('Match Log'!$A$4:$A$311&lt;=$J113)),'Match Log'!$N$4:$N$311),NA()))</f>
        <v>990.8737469852914</v>
      </c>
      <c r="O113">
        <f>IF($J113&gt;MAX('Match Log'!$A$4:$A$311),NA(),IFERROR(LOOKUP(2,1/(('Match Log'!$D$4:$D$311=$O$24)*('Match Log'!$A$4:$A$311&lt;=$J113)),'Match Log'!$N$4:$N$311),NA()))</f>
        <v>1174.6803700391565</v>
      </c>
      <c r="P113">
        <f>IF($J113&gt;MAX('Match Log'!$A$4:$A$311),NA(),IFERROR(LOOKUP(2,1/(('Match Log'!$D$4:$D$311=$P$24)*('Match Log'!$A$4:$A$311&lt;=$J113)),'Match Log'!$N$4:$N$311),NA()))</f>
        <v>1028.3932691642283</v>
      </c>
      <c r="Q113">
        <f>IF($J113&gt;MAX('Match Log'!$A$4:$A$311),NA(),IFERROR(LOOKUP(2,1/(('Match Log'!$D$4:$D$311=$Q$24)*('Match Log'!$A$4:$A$311&lt;=$J113)),'Match Log'!$N$4:$N$311),NA()))</f>
        <v>1180.8318965818212</v>
      </c>
      <c r="R113">
        <f>IF($J113&gt;MAX('Match Log'!$A$4:$A$311),NA(),IFERROR(LOOKUP(2,1/(('Match Log'!$D$4:$D$311=$R$24)*('Match Log'!$A$4:$A$311&lt;=$J113)),'Match Log'!$N$4:$N$311),NA()))</f>
        <v>1101.8505684280676</v>
      </c>
      <c r="S113">
        <f>IF($J113&gt;MAX('Match Log'!$A$4:$A$311),NA(),IFERROR(LOOKUP(2,1/(('Match Log'!$D$4:$D$311=$S$24)*('Match Log'!$A$4:$A$311&lt;=$J113)),'Match Log'!$N$4:$N$311),NA()))</f>
        <v>1138.6979021359832</v>
      </c>
      <c r="T113">
        <f>IF($J113&gt;MAX('Match Log'!$A$4:$A$311),NA(),IFERROR(LOOKUP(2,1/(('Match Log'!$D$4:$D$311=$T$24)*('Match Log'!$A$4:$A$311&lt;=$J113)),'Match Log'!$N$4:$N$311),NA()))</f>
        <v>907.72888112716782</v>
      </c>
      <c r="U113">
        <f>IF($J113&gt;MAX('Match Log'!$A$4:$A$311),NA(),IFERROR(LOOKUP(2,1/(('Match Log'!$D$4:$D$311=$U$24)*('Match Log'!$A$4:$A$311&lt;=$J113)),'Match Log'!$N$4:$N$311),NA()))</f>
        <v>997.71938717791113</v>
      </c>
      <c r="V113">
        <f>IF($J113&gt;MAX('Match Log'!$A$4:$A$311),NA(),IFERROR(LOOKUP(2,1/(('Match Log'!$D$4:$D$311=$V$24)*('Match Log'!$A$4:$A$311&lt;=$J113)),'Match Log'!$N$4:$N$311),NA()))</f>
        <v>1039.5415973556721</v>
      </c>
      <c r="W113">
        <f>IF($J113&gt;MAX('Match Log'!$A$4:$A$311),NA(),IFERROR(LOOKUP(2,1/(('Match Log'!$D$4:$D$311=$W$24)*('Match Log'!$A$4:$A$311&lt;=$J113)),'Match Log'!$N$4:$N$311),NA()))</f>
        <v>1038.5016461247724</v>
      </c>
      <c r="X113" t="e">
        <f>IF($J113&gt;MAX('Match Log'!$A$4:$A$311),NA(),IFERROR(LOOKUP(2,1/(('Match Log'!$D$4:$D$311=$X$24)*('Match Log'!$A$4:$A$311&lt;=$J113)),'Match Log'!$N$4:$N$311),NA()))</f>
        <v>#N/A</v>
      </c>
      <c r="Y113" t="str">
        <f t="shared" ca="1" si="24"/>
        <v/>
      </c>
    </row>
    <row r="114" spans="1:25" ht="15" customHeight="1" x14ac:dyDescent="0.2">
      <c r="A114">
        <v>90</v>
      </c>
      <c r="B114" s="132">
        <f>IFERROR(INDEX('Match Log'!$B$4:$B$311,MATCH(90,'Match Log'!$A$4:$A$311,0)),"")</f>
        <v>46188</v>
      </c>
      <c r="C114" t="str">
        <f>IFERROR(INDEX('Match Log'!$C$4:$C$311,MATCH(90,'Match Log'!$A$4:$A$311,0)),"")</f>
        <v>Table Tennis</v>
      </c>
      <c r="D114" t="str">
        <f>IFERROR(INDEX('Match Log'!$G$4:$G$311,MATCH(90,'Match Log'!$A$4:$A$311,0)),"")</f>
        <v>Oscar</v>
      </c>
      <c r="E114" s="133">
        <f>IFERROR(INDEX('Match Log'!$F$4:$F$311,MATCH(90,'Match Log'!$A$4:$A$311,0)),"")</f>
        <v>2</v>
      </c>
      <c r="F114">
        <f>IFERROR(SUMIFS('Match Log'!$I$4:$I$311,'Match Log'!$A$4:$A$311,90,'Match Log'!$E$4:$E$311,"Win"),"")</f>
        <v>0.4</v>
      </c>
      <c r="G114">
        <f t="shared" si="22"/>
        <v>0.19999999999999996</v>
      </c>
      <c r="H114" t="str">
        <f>IFERROR(IF($E114=2,LOOKUP(2,1/(('Match Log'!$A$4:$A$311=90)*('Match Log'!$E$4:$E$311="Loss")),'Match Log'!$D$4:$D$311),"the field"),"")</f>
        <v>Simon</v>
      </c>
      <c r="I114">
        <f t="shared" si="23"/>
        <v>0.19990999999999995</v>
      </c>
      <c r="J114">
        <v>90</v>
      </c>
      <c r="K114">
        <f>IF($J114&gt;MAX('Match Log'!$A$4:$A$311),NA(),IFERROR(LOOKUP(2,1/(('Match Log'!$D$4:$D$311=$K$24)*('Match Log'!$A$4:$A$311&lt;=$J114)),'Match Log'!$N$4:$N$311),NA()))</f>
        <v>1071.6001753974281</v>
      </c>
      <c r="L114">
        <f>IF($J114&gt;MAX('Match Log'!$A$4:$A$311),NA(),IFERROR(LOOKUP(2,1/(('Match Log'!$D$4:$D$311=$L$24)*('Match Log'!$A$4:$A$311&lt;=$J114)),'Match Log'!$N$4:$N$311),NA()))</f>
        <v>1068.233898610468</v>
      </c>
      <c r="M114">
        <f>IF($J114&gt;MAX('Match Log'!$A$4:$A$311),NA(),IFERROR(LOOKUP(2,1/(('Match Log'!$D$4:$D$311=$M$24)*('Match Log'!$A$4:$A$311&lt;=$J114)),'Match Log'!$N$4:$N$311),NA()))</f>
        <v>1017.3466608720325</v>
      </c>
      <c r="N114">
        <f>IF($J114&gt;MAX('Match Log'!$A$4:$A$311),NA(),IFERROR(LOOKUP(2,1/(('Match Log'!$D$4:$D$311=$N$24)*('Match Log'!$A$4:$A$311&lt;=$J114)),'Match Log'!$N$4:$N$311),NA()))</f>
        <v>990.8737469852914</v>
      </c>
      <c r="O114">
        <f>IF($J114&gt;MAX('Match Log'!$A$4:$A$311),NA(),IFERROR(LOOKUP(2,1/(('Match Log'!$D$4:$D$311=$O$24)*('Match Log'!$A$4:$A$311&lt;=$J114)),'Match Log'!$N$4:$N$311),NA()))</f>
        <v>1174.6803700391565</v>
      </c>
      <c r="P114">
        <f>IF($J114&gt;MAX('Match Log'!$A$4:$A$311),NA(),IFERROR(LOOKUP(2,1/(('Match Log'!$D$4:$D$311=$P$24)*('Match Log'!$A$4:$A$311&lt;=$J114)),'Match Log'!$N$4:$N$311),NA()))</f>
        <v>1028.3932691642283</v>
      </c>
      <c r="Q114">
        <f>IF($J114&gt;MAX('Match Log'!$A$4:$A$311),NA(),IFERROR(LOOKUP(2,1/(('Match Log'!$D$4:$D$311=$Q$24)*('Match Log'!$A$4:$A$311&lt;=$J114)),'Match Log'!$N$4:$N$311),NA()))</f>
        <v>1149.3660506548988</v>
      </c>
      <c r="R114">
        <f>IF($J114&gt;MAX('Match Log'!$A$4:$A$311),NA(),IFERROR(LOOKUP(2,1/(('Match Log'!$D$4:$D$311=$R$24)*('Match Log'!$A$4:$A$311&lt;=$J114)),'Match Log'!$N$4:$N$311),NA()))</f>
        <v>1101.8505684280676</v>
      </c>
      <c r="S114">
        <f>IF($J114&gt;MAX('Match Log'!$A$4:$A$311),NA(),IFERROR(LOOKUP(2,1/(('Match Log'!$D$4:$D$311=$S$24)*('Match Log'!$A$4:$A$311&lt;=$J114)),'Match Log'!$N$4:$N$311),NA()))</f>
        <v>1138.6979021359832</v>
      </c>
      <c r="T114">
        <f>IF($J114&gt;MAX('Match Log'!$A$4:$A$311),NA(),IFERROR(LOOKUP(2,1/(('Match Log'!$D$4:$D$311=$T$24)*('Match Log'!$A$4:$A$311&lt;=$J114)),'Match Log'!$N$4:$N$311),NA()))</f>
        <v>907.72888112716782</v>
      </c>
      <c r="U114">
        <f>IF($J114&gt;MAX('Match Log'!$A$4:$A$311),NA(),IFERROR(LOOKUP(2,1/(('Match Log'!$D$4:$D$311=$U$24)*('Match Log'!$A$4:$A$311&lt;=$J114)),'Match Log'!$N$4:$N$311),NA()))</f>
        <v>1029.1852331048335</v>
      </c>
      <c r="V114">
        <f>IF($J114&gt;MAX('Match Log'!$A$4:$A$311),NA(),IFERROR(LOOKUP(2,1/(('Match Log'!$D$4:$D$311=$V$24)*('Match Log'!$A$4:$A$311&lt;=$J114)),'Match Log'!$N$4:$N$311),NA()))</f>
        <v>1039.5415973556721</v>
      </c>
      <c r="W114">
        <f>IF($J114&gt;MAX('Match Log'!$A$4:$A$311),NA(),IFERROR(LOOKUP(2,1/(('Match Log'!$D$4:$D$311=$W$24)*('Match Log'!$A$4:$A$311&lt;=$J114)),'Match Log'!$N$4:$N$311),NA()))</f>
        <v>1038.5016461247724</v>
      </c>
      <c r="X114" t="e">
        <f>IF($J114&gt;MAX('Match Log'!$A$4:$A$311),NA(),IFERROR(LOOKUP(2,1/(('Match Log'!$D$4:$D$311=$X$24)*('Match Log'!$A$4:$A$311&lt;=$J114)),'Match Log'!$N$4:$N$311),NA()))</f>
        <v>#N/A</v>
      </c>
      <c r="Y114" t="str">
        <f t="shared" ca="1" si="24"/>
        <v/>
      </c>
    </row>
    <row r="115" spans="1:25" ht="15" customHeight="1" x14ac:dyDescent="0.2">
      <c r="A115">
        <v>91</v>
      </c>
      <c r="B115" s="132">
        <f>IFERROR(INDEX('Match Log'!$B$4:$B$311,MATCH(91,'Match Log'!$A$4:$A$311,0)),"")</f>
        <v>46188</v>
      </c>
      <c r="C115" t="str">
        <f>IFERROR(INDEX('Match Log'!$C$4:$C$311,MATCH(91,'Match Log'!$A$4:$A$311,0)),"")</f>
        <v>Table Tennis</v>
      </c>
      <c r="D115" t="str">
        <f>IFERROR(INDEX('Match Log'!$G$4:$G$311,MATCH(91,'Match Log'!$A$4:$A$311,0)),"")</f>
        <v>Oscar</v>
      </c>
      <c r="E115" s="133">
        <f>IFERROR(INDEX('Match Log'!$F$4:$F$311,MATCH(91,'Match Log'!$A$4:$A$311,0)),"")</f>
        <v>2</v>
      </c>
      <c r="F115">
        <f>IFERROR(SUMIFS('Match Log'!$I$4:$I$311,'Match Log'!$A$4:$A$311,91,'Match Log'!$E$4:$E$311,"Win"),"")</f>
        <v>0.54545454545454541</v>
      </c>
      <c r="G115">
        <f t="shared" si="22"/>
        <v>-9.0909090909090828E-2</v>
      </c>
      <c r="H115" t="str">
        <f>IFERROR(IF($E115=2,LOOKUP(2,1/(('Match Log'!$A$4:$A$311=91)*('Match Log'!$E$4:$E$311="Loss")),'Match Log'!$D$4:$D$311),"the field"),"")</f>
        <v>Simon</v>
      </c>
      <c r="I115">
        <f t="shared" si="23"/>
        <v>-9.1000090909090822E-2</v>
      </c>
      <c r="J115">
        <v>91</v>
      </c>
      <c r="K115">
        <f>IF($J115&gt;MAX('Match Log'!$A$4:$A$311),NA(),IFERROR(LOOKUP(2,1/(('Match Log'!$D$4:$D$311=$K$24)*('Match Log'!$A$4:$A$311&lt;=$J115)),'Match Log'!$N$4:$N$311),NA()))</f>
        <v>1071.6001753974281</v>
      </c>
      <c r="L115">
        <f>IF($J115&gt;MAX('Match Log'!$A$4:$A$311),NA(),IFERROR(LOOKUP(2,1/(('Match Log'!$D$4:$D$311=$L$24)*('Match Log'!$A$4:$A$311&lt;=$J115)),'Match Log'!$N$4:$N$311),NA()))</f>
        <v>1068.233898610468</v>
      </c>
      <c r="M115">
        <f>IF($J115&gt;MAX('Match Log'!$A$4:$A$311),NA(),IFERROR(LOOKUP(2,1/(('Match Log'!$D$4:$D$311=$M$24)*('Match Log'!$A$4:$A$311&lt;=$J115)),'Match Log'!$N$4:$N$311),NA()))</f>
        <v>1017.3466608720325</v>
      </c>
      <c r="N115">
        <f>IF($J115&gt;MAX('Match Log'!$A$4:$A$311),NA(),IFERROR(LOOKUP(2,1/(('Match Log'!$D$4:$D$311=$N$24)*('Match Log'!$A$4:$A$311&lt;=$J115)),'Match Log'!$N$4:$N$311),NA()))</f>
        <v>990.8737469852914</v>
      </c>
      <c r="O115">
        <f>IF($J115&gt;MAX('Match Log'!$A$4:$A$311),NA(),IFERROR(LOOKUP(2,1/(('Match Log'!$D$4:$D$311=$O$24)*('Match Log'!$A$4:$A$311&lt;=$J115)),'Match Log'!$N$4:$N$311),NA()))</f>
        <v>1174.6803700391565</v>
      </c>
      <c r="P115">
        <f>IF($J115&gt;MAX('Match Log'!$A$4:$A$311),NA(),IFERROR(LOOKUP(2,1/(('Match Log'!$D$4:$D$311=$P$24)*('Match Log'!$A$4:$A$311&lt;=$J115)),'Match Log'!$N$4:$N$311),NA()))</f>
        <v>1028.3932691642283</v>
      </c>
      <c r="Q115">
        <f>IF($J115&gt;MAX('Match Log'!$A$4:$A$311),NA(),IFERROR(LOOKUP(2,1/(('Match Log'!$D$4:$D$311=$Q$24)*('Match Log'!$A$4:$A$311&lt;=$J115)),'Match Log'!$N$4:$N$311),NA()))</f>
        <v>1122.6988335266346</v>
      </c>
      <c r="R115">
        <f>IF($J115&gt;MAX('Match Log'!$A$4:$A$311),NA(),IFERROR(LOOKUP(2,1/(('Match Log'!$D$4:$D$311=$R$24)*('Match Log'!$A$4:$A$311&lt;=$J115)),'Match Log'!$N$4:$N$311),NA()))</f>
        <v>1101.8505684280676</v>
      </c>
      <c r="S115">
        <f>IF($J115&gt;MAX('Match Log'!$A$4:$A$311),NA(),IFERROR(LOOKUP(2,1/(('Match Log'!$D$4:$D$311=$S$24)*('Match Log'!$A$4:$A$311&lt;=$J115)),'Match Log'!$N$4:$N$311),NA()))</f>
        <v>1138.6979021359832</v>
      </c>
      <c r="T115">
        <f>IF($J115&gt;MAX('Match Log'!$A$4:$A$311),NA(),IFERROR(LOOKUP(2,1/(('Match Log'!$D$4:$D$311=$T$24)*('Match Log'!$A$4:$A$311&lt;=$J115)),'Match Log'!$N$4:$N$311),NA()))</f>
        <v>907.72888112716782</v>
      </c>
      <c r="U115">
        <f>IF($J115&gt;MAX('Match Log'!$A$4:$A$311),NA(),IFERROR(LOOKUP(2,1/(('Match Log'!$D$4:$D$311=$U$24)*('Match Log'!$A$4:$A$311&lt;=$J115)),'Match Log'!$N$4:$N$311),NA()))</f>
        <v>1055.8524502330974</v>
      </c>
      <c r="V115">
        <f>IF($J115&gt;MAX('Match Log'!$A$4:$A$311),NA(),IFERROR(LOOKUP(2,1/(('Match Log'!$D$4:$D$311=$V$24)*('Match Log'!$A$4:$A$311&lt;=$J115)),'Match Log'!$N$4:$N$311),NA()))</f>
        <v>1039.5415973556721</v>
      </c>
      <c r="W115">
        <f>IF($J115&gt;MAX('Match Log'!$A$4:$A$311),NA(),IFERROR(LOOKUP(2,1/(('Match Log'!$D$4:$D$311=$W$24)*('Match Log'!$A$4:$A$311&lt;=$J115)),'Match Log'!$N$4:$N$311),NA()))</f>
        <v>1038.5016461247724</v>
      </c>
      <c r="X115" t="e">
        <f>IF($J115&gt;MAX('Match Log'!$A$4:$A$311),NA(),IFERROR(LOOKUP(2,1/(('Match Log'!$D$4:$D$311=$X$24)*('Match Log'!$A$4:$A$311&lt;=$J115)),'Match Log'!$N$4:$N$311),NA()))</f>
        <v>#N/A</v>
      </c>
      <c r="Y115" t="str">
        <f t="shared" ca="1" si="24"/>
        <v/>
      </c>
    </row>
    <row r="116" spans="1:25" ht="15" customHeight="1" x14ac:dyDescent="0.2">
      <c r="A116">
        <v>92</v>
      </c>
      <c r="B116" s="132">
        <f>IFERROR(INDEX('Match Log'!$B$4:$B$311,MATCH(92,'Match Log'!$A$4:$A$311,0)),"")</f>
        <v>46188</v>
      </c>
      <c r="C116" t="str">
        <f>IFERROR(INDEX('Match Log'!$C$4:$C$311,MATCH(92,'Match Log'!$A$4:$A$311,0)),"")</f>
        <v>Table Tennis</v>
      </c>
      <c r="D116" t="str">
        <f>IFERROR(INDEX('Match Log'!$G$4:$G$311,MATCH(92,'Match Log'!$A$4:$A$311,0)),"")</f>
        <v>Oscar</v>
      </c>
      <c r="E116" s="133">
        <f>IFERROR(INDEX('Match Log'!$F$4:$F$311,MATCH(92,'Match Log'!$A$4:$A$311,0)),"")</f>
        <v>2</v>
      </c>
      <c r="F116">
        <f>IFERROR(SUMIFS('Match Log'!$I$4:$I$311,'Match Log'!$A$4:$A$311,92,'Match Log'!$E$4:$E$311,"Win"),"")</f>
        <v>0.64516129032258063</v>
      </c>
      <c r="G116">
        <f t="shared" si="22"/>
        <v>-0.29032258064516125</v>
      </c>
      <c r="H116" t="str">
        <f>IFERROR(IF($E116=2,LOOKUP(2,1/(('Match Log'!$A$4:$A$311=92)*('Match Log'!$E$4:$E$311="Loss")),'Match Log'!$D$4:$D$311),"the field"),"")</f>
        <v>Simon</v>
      </c>
      <c r="I116">
        <f t="shared" si="23"/>
        <v>-0.29041458064516124</v>
      </c>
      <c r="J116">
        <v>92</v>
      </c>
      <c r="K116">
        <f>IF($J116&gt;MAX('Match Log'!$A$4:$A$311),NA(),IFERROR(LOOKUP(2,1/(('Match Log'!$D$4:$D$311=$K$24)*('Match Log'!$A$4:$A$311&lt;=$J116)),'Match Log'!$N$4:$N$311),NA()))</f>
        <v>1071.6001753974281</v>
      </c>
      <c r="L116">
        <f>IF($J116&gt;MAX('Match Log'!$A$4:$A$311),NA(),IFERROR(LOOKUP(2,1/(('Match Log'!$D$4:$D$311=$L$24)*('Match Log'!$A$4:$A$311&lt;=$J116)),'Match Log'!$N$4:$N$311),NA()))</f>
        <v>1068.233898610468</v>
      </c>
      <c r="M116">
        <f>IF($J116&gt;MAX('Match Log'!$A$4:$A$311),NA(),IFERROR(LOOKUP(2,1/(('Match Log'!$D$4:$D$311=$M$24)*('Match Log'!$A$4:$A$311&lt;=$J116)),'Match Log'!$N$4:$N$311),NA()))</f>
        <v>1017.3466608720325</v>
      </c>
      <c r="N116">
        <f>IF($J116&gt;MAX('Match Log'!$A$4:$A$311),NA(),IFERROR(LOOKUP(2,1/(('Match Log'!$D$4:$D$311=$N$24)*('Match Log'!$A$4:$A$311&lt;=$J116)),'Match Log'!$N$4:$N$311),NA()))</f>
        <v>990.8737469852914</v>
      </c>
      <c r="O116">
        <f>IF($J116&gt;MAX('Match Log'!$A$4:$A$311),NA(),IFERROR(LOOKUP(2,1/(('Match Log'!$D$4:$D$311=$O$24)*('Match Log'!$A$4:$A$311&lt;=$J116)),'Match Log'!$N$4:$N$311),NA()))</f>
        <v>1174.6803700391565</v>
      </c>
      <c r="P116">
        <f>IF($J116&gt;MAX('Match Log'!$A$4:$A$311),NA(),IFERROR(LOOKUP(2,1/(('Match Log'!$D$4:$D$311=$P$24)*('Match Log'!$A$4:$A$311&lt;=$J116)),'Match Log'!$N$4:$N$311),NA()))</f>
        <v>1028.3932691642283</v>
      </c>
      <c r="Q116">
        <f>IF($J116&gt;MAX('Match Log'!$A$4:$A$311),NA(),IFERROR(LOOKUP(2,1/(('Match Log'!$D$4:$D$311=$Q$24)*('Match Log'!$A$4:$A$311&lt;=$J116)),'Match Log'!$N$4:$N$311),NA()))</f>
        <v>1099.9035033078371</v>
      </c>
      <c r="R116">
        <f>IF($J116&gt;MAX('Match Log'!$A$4:$A$311),NA(),IFERROR(LOOKUP(2,1/(('Match Log'!$D$4:$D$311=$R$24)*('Match Log'!$A$4:$A$311&lt;=$J116)),'Match Log'!$N$4:$N$311),NA()))</f>
        <v>1101.8505684280676</v>
      </c>
      <c r="S116">
        <f>IF($J116&gt;MAX('Match Log'!$A$4:$A$311),NA(),IFERROR(LOOKUP(2,1/(('Match Log'!$D$4:$D$311=$S$24)*('Match Log'!$A$4:$A$311&lt;=$J116)),'Match Log'!$N$4:$N$311),NA()))</f>
        <v>1138.6979021359832</v>
      </c>
      <c r="T116">
        <f>IF($J116&gt;MAX('Match Log'!$A$4:$A$311),NA(),IFERROR(LOOKUP(2,1/(('Match Log'!$D$4:$D$311=$T$24)*('Match Log'!$A$4:$A$311&lt;=$J116)),'Match Log'!$N$4:$N$311),NA()))</f>
        <v>907.72888112716782</v>
      </c>
      <c r="U116">
        <f>IF($J116&gt;MAX('Match Log'!$A$4:$A$311),NA(),IFERROR(LOOKUP(2,1/(('Match Log'!$D$4:$D$311=$U$24)*('Match Log'!$A$4:$A$311&lt;=$J116)),'Match Log'!$N$4:$N$311),NA()))</f>
        <v>1078.647780451895</v>
      </c>
      <c r="V116">
        <f>IF($J116&gt;MAX('Match Log'!$A$4:$A$311),NA(),IFERROR(LOOKUP(2,1/(('Match Log'!$D$4:$D$311=$V$24)*('Match Log'!$A$4:$A$311&lt;=$J116)),'Match Log'!$N$4:$N$311),NA()))</f>
        <v>1039.5415973556721</v>
      </c>
      <c r="W116">
        <f>IF($J116&gt;MAX('Match Log'!$A$4:$A$311),NA(),IFERROR(LOOKUP(2,1/(('Match Log'!$D$4:$D$311=$W$24)*('Match Log'!$A$4:$A$311&lt;=$J116)),'Match Log'!$N$4:$N$311),NA()))</f>
        <v>1038.5016461247724</v>
      </c>
      <c r="X116" t="e">
        <f>IF($J116&gt;MAX('Match Log'!$A$4:$A$311),NA(),IFERROR(LOOKUP(2,1/(('Match Log'!$D$4:$D$311=$X$24)*('Match Log'!$A$4:$A$311&lt;=$J116)),'Match Log'!$N$4:$N$311),NA()))</f>
        <v>#N/A</v>
      </c>
      <c r="Y116" t="str">
        <f t="shared" ca="1" si="24"/>
        <v/>
      </c>
    </row>
    <row r="117" spans="1:25" ht="15" customHeight="1" x14ac:dyDescent="0.2">
      <c r="A117">
        <v>93</v>
      </c>
      <c r="B117" s="132">
        <f>IFERROR(INDEX('Match Log'!$B$4:$B$311,MATCH(93,'Match Log'!$A$4:$A$311,0)),"")</f>
        <v>46188</v>
      </c>
      <c r="C117" t="str">
        <f>IFERROR(INDEX('Match Log'!$C$4:$C$311,MATCH(93,'Match Log'!$A$4:$A$311,0)),"")</f>
        <v>Table Tennis</v>
      </c>
      <c r="D117" t="str">
        <f>IFERROR(INDEX('Match Log'!$G$4:$G$311,MATCH(93,'Match Log'!$A$4:$A$311,0)),"")</f>
        <v>Oscar</v>
      </c>
      <c r="E117" s="133">
        <f>IFERROR(INDEX('Match Log'!$F$4:$F$311,MATCH(93,'Match Log'!$A$4:$A$311,0)),"")</f>
        <v>2</v>
      </c>
      <c r="F117">
        <f>IFERROR(SUMIFS('Match Log'!$I$4:$I$311,'Match Log'!$A$4:$A$311,93,'Match Log'!$E$4:$E$311,"Win"),"")</f>
        <v>0.5</v>
      </c>
      <c r="G117">
        <f t="shared" si="22"/>
        <v>0</v>
      </c>
      <c r="H117" t="str">
        <f>IFERROR(IF($E117=2,LOOKUP(2,1/(('Match Log'!$A$4:$A$311=93)*('Match Log'!$E$4:$E$311="Loss")),'Match Log'!$D$4:$D$311),"the field"),"")</f>
        <v>Beau</v>
      </c>
      <c r="I117">
        <f t="shared" si="23"/>
        <v>-9.2999999999999997E-5</v>
      </c>
      <c r="J117">
        <v>93</v>
      </c>
      <c r="K117">
        <f>IF($J117&gt;MAX('Match Log'!$A$4:$A$311),NA(),IFERROR(LOOKUP(2,1/(('Match Log'!$D$4:$D$311=$K$24)*('Match Log'!$A$4:$A$311&lt;=$J117)),'Match Log'!$N$4:$N$311),NA()))</f>
        <v>1071.6001753974281</v>
      </c>
      <c r="L117">
        <f>IF($J117&gt;MAX('Match Log'!$A$4:$A$311),NA(),IFERROR(LOOKUP(2,1/(('Match Log'!$D$4:$D$311=$L$24)*('Match Log'!$A$4:$A$311&lt;=$J117)),'Match Log'!$N$4:$N$311),NA()))</f>
        <v>1044.8691565259944</v>
      </c>
      <c r="M117">
        <f>IF($J117&gt;MAX('Match Log'!$A$4:$A$311),NA(),IFERROR(LOOKUP(2,1/(('Match Log'!$D$4:$D$311=$M$24)*('Match Log'!$A$4:$A$311&lt;=$J117)),'Match Log'!$N$4:$N$311),NA()))</f>
        <v>1017.3466608720325</v>
      </c>
      <c r="N117">
        <f>IF($J117&gt;MAX('Match Log'!$A$4:$A$311),NA(),IFERROR(LOOKUP(2,1/(('Match Log'!$D$4:$D$311=$N$24)*('Match Log'!$A$4:$A$311&lt;=$J117)),'Match Log'!$N$4:$N$311),NA()))</f>
        <v>990.8737469852914</v>
      </c>
      <c r="O117">
        <f>IF($J117&gt;MAX('Match Log'!$A$4:$A$311),NA(),IFERROR(LOOKUP(2,1/(('Match Log'!$D$4:$D$311=$O$24)*('Match Log'!$A$4:$A$311&lt;=$J117)),'Match Log'!$N$4:$N$311),NA()))</f>
        <v>1174.6803700391565</v>
      </c>
      <c r="P117">
        <f>IF($J117&gt;MAX('Match Log'!$A$4:$A$311),NA(),IFERROR(LOOKUP(2,1/(('Match Log'!$D$4:$D$311=$P$24)*('Match Log'!$A$4:$A$311&lt;=$J117)),'Match Log'!$N$4:$N$311),NA()))</f>
        <v>1028.3932691642283</v>
      </c>
      <c r="Q117">
        <f>IF($J117&gt;MAX('Match Log'!$A$4:$A$311),NA(),IFERROR(LOOKUP(2,1/(('Match Log'!$D$4:$D$311=$Q$24)*('Match Log'!$A$4:$A$311&lt;=$J117)),'Match Log'!$N$4:$N$311),NA()))</f>
        <v>1099.9035033078371</v>
      </c>
      <c r="R117">
        <f>IF($J117&gt;MAX('Match Log'!$A$4:$A$311),NA(),IFERROR(LOOKUP(2,1/(('Match Log'!$D$4:$D$311=$R$24)*('Match Log'!$A$4:$A$311&lt;=$J117)),'Match Log'!$N$4:$N$311),NA()))</f>
        <v>1101.8505684280676</v>
      </c>
      <c r="S117">
        <f>IF($J117&gt;MAX('Match Log'!$A$4:$A$311),NA(),IFERROR(LOOKUP(2,1/(('Match Log'!$D$4:$D$311=$S$24)*('Match Log'!$A$4:$A$311&lt;=$J117)),'Match Log'!$N$4:$N$311),NA()))</f>
        <v>1138.6979021359832</v>
      </c>
      <c r="T117">
        <f>IF($J117&gt;MAX('Match Log'!$A$4:$A$311),NA(),IFERROR(LOOKUP(2,1/(('Match Log'!$D$4:$D$311=$T$24)*('Match Log'!$A$4:$A$311&lt;=$J117)),'Match Log'!$N$4:$N$311),NA()))</f>
        <v>907.72888112716782</v>
      </c>
      <c r="U117">
        <f>IF($J117&gt;MAX('Match Log'!$A$4:$A$311),NA(),IFERROR(LOOKUP(2,1/(('Match Log'!$D$4:$D$311=$U$24)*('Match Log'!$A$4:$A$311&lt;=$J117)),'Match Log'!$N$4:$N$311),NA()))</f>
        <v>1102.0125225363686</v>
      </c>
      <c r="V117">
        <f>IF($J117&gt;MAX('Match Log'!$A$4:$A$311),NA(),IFERROR(LOOKUP(2,1/(('Match Log'!$D$4:$D$311=$V$24)*('Match Log'!$A$4:$A$311&lt;=$J117)),'Match Log'!$N$4:$N$311),NA()))</f>
        <v>1039.5415973556721</v>
      </c>
      <c r="W117">
        <f>IF($J117&gt;MAX('Match Log'!$A$4:$A$311),NA(),IFERROR(LOOKUP(2,1/(('Match Log'!$D$4:$D$311=$W$24)*('Match Log'!$A$4:$A$311&lt;=$J117)),'Match Log'!$N$4:$N$311),NA()))</f>
        <v>1038.5016461247724</v>
      </c>
      <c r="X117" t="e">
        <f>IF($J117&gt;MAX('Match Log'!$A$4:$A$311),NA(),IFERROR(LOOKUP(2,1/(('Match Log'!$D$4:$D$311=$X$24)*('Match Log'!$A$4:$A$311&lt;=$J117)),'Match Log'!$N$4:$N$311),NA()))</f>
        <v>#N/A</v>
      </c>
      <c r="Y117" t="str">
        <f t="shared" ca="1" si="24"/>
        <v/>
      </c>
    </row>
    <row r="118" spans="1:25" ht="15" customHeight="1" x14ac:dyDescent="0.2">
      <c r="A118">
        <v>94</v>
      </c>
      <c r="B118" s="132">
        <f>IFERROR(INDEX('Match Log'!$B$4:$B$311,MATCH(94,'Match Log'!$A$4:$A$311,0)),"")</f>
        <v>46188</v>
      </c>
      <c r="C118" t="str">
        <f>IFERROR(INDEX('Match Log'!$C$4:$C$311,MATCH(94,'Match Log'!$A$4:$A$311,0)),"")</f>
        <v>Pool</v>
      </c>
      <c r="D118" t="str">
        <f>IFERROR(INDEX('Match Log'!$G$4:$G$311,MATCH(94,'Match Log'!$A$4:$A$311,0)),"")</f>
        <v>Daniel (Ferret)</v>
      </c>
      <c r="E118" s="133">
        <f>IFERROR(INDEX('Match Log'!$F$4:$F$311,MATCH(94,'Match Log'!$A$4:$A$311,0)),"")</f>
        <v>2</v>
      </c>
      <c r="F118">
        <f>IFERROR(SUMIFS('Match Log'!$I$4:$I$311,'Match Log'!$A$4:$A$311,94,'Match Log'!$E$4:$E$311,"Win"),"")</f>
        <v>0.57142857142857151</v>
      </c>
      <c r="G118">
        <f t="shared" si="22"/>
        <v>-0.14285714285714302</v>
      </c>
      <c r="H118" t="str">
        <f>IFERROR(IF($E118=2,LOOKUP(2,1/(('Match Log'!$A$4:$A$311=94)*('Match Log'!$E$4:$E$311="Loss")),'Match Log'!$D$4:$D$311),"the field"),"")</f>
        <v>Cody</v>
      </c>
      <c r="I118">
        <f t="shared" si="23"/>
        <v>-0.14295114285714303</v>
      </c>
      <c r="J118">
        <v>94</v>
      </c>
      <c r="K118">
        <f>IF($J118&gt;MAX('Match Log'!$A$4:$A$311),NA(),IFERROR(LOOKUP(2,1/(('Match Log'!$D$4:$D$311=$K$24)*('Match Log'!$A$4:$A$311&lt;=$J118)),'Match Log'!$N$4:$N$311),NA()))</f>
        <v>1071.6001753974281</v>
      </c>
      <c r="L118">
        <f>IF($J118&gt;MAX('Match Log'!$A$4:$A$311),NA(),IFERROR(LOOKUP(2,1/(('Match Log'!$D$4:$D$311=$L$24)*('Match Log'!$A$4:$A$311&lt;=$J118)),'Match Log'!$N$4:$N$311),NA()))</f>
        <v>1044.8691565259944</v>
      </c>
      <c r="M118">
        <f>IF($J118&gt;MAX('Match Log'!$A$4:$A$311),NA(),IFERROR(LOOKUP(2,1/(('Match Log'!$D$4:$D$311=$M$24)*('Match Log'!$A$4:$A$311&lt;=$J118)),'Match Log'!$N$4:$N$311),NA()))</f>
        <v>1017.3466608720325</v>
      </c>
      <c r="N118">
        <f>IF($J118&gt;MAX('Match Log'!$A$4:$A$311),NA(),IFERROR(LOOKUP(2,1/(('Match Log'!$D$4:$D$311=$N$24)*('Match Log'!$A$4:$A$311&lt;=$J118)),'Match Log'!$N$4:$N$311),NA()))</f>
        <v>990.8737469852914</v>
      </c>
      <c r="O118">
        <f>IF($J118&gt;MAX('Match Log'!$A$4:$A$311),NA(),IFERROR(LOOKUP(2,1/(('Match Log'!$D$4:$D$311=$O$24)*('Match Log'!$A$4:$A$311&lt;=$J118)),'Match Log'!$N$4:$N$311),NA()))</f>
        <v>1174.6803700391565</v>
      </c>
      <c r="P118">
        <f>IF($J118&gt;MAX('Match Log'!$A$4:$A$311),NA(),IFERROR(LOOKUP(2,1/(('Match Log'!$D$4:$D$311=$P$24)*('Match Log'!$A$4:$A$311&lt;=$J118)),'Match Log'!$N$4:$N$311),NA()))</f>
        <v>1028.3932691642283</v>
      </c>
      <c r="Q118">
        <f>IF($J118&gt;MAX('Match Log'!$A$4:$A$311),NA(),IFERROR(LOOKUP(2,1/(('Match Log'!$D$4:$D$311=$Q$24)*('Match Log'!$A$4:$A$311&lt;=$J118)),'Match Log'!$N$4:$N$311),NA()))</f>
        <v>1099.9035033078371</v>
      </c>
      <c r="R118">
        <f>IF($J118&gt;MAX('Match Log'!$A$4:$A$311),NA(),IFERROR(LOOKUP(2,1/(('Match Log'!$D$4:$D$311=$R$24)*('Match Log'!$A$4:$A$311&lt;=$J118)),'Match Log'!$N$4:$N$311),NA()))</f>
        <v>1115.3722634859373</v>
      </c>
      <c r="S118">
        <f>IF($J118&gt;MAX('Match Log'!$A$4:$A$311),NA(),IFERROR(LOOKUP(2,1/(('Match Log'!$D$4:$D$311=$S$24)*('Match Log'!$A$4:$A$311&lt;=$J118)),'Match Log'!$N$4:$N$311),NA()))</f>
        <v>1138.6979021359832</v>
      </c>
      <c r="T118">
        <f>IF($J118&gt;MAX('Match Log'!$A$4:$A$311),NA(),IFERROR(LOOKUP(2,1/(('Match Log'!$D$4:$D$311=$T$24)*('Match Log'!$A$4:$A$311&lt;=$J118)),'Match Log'!$N$4:$N$311),NA()))</f>
        <v>894.20718606929802</v>
      </c>
      <c r="U118">
        <f>IF($J118&gt;MAX('Match Log'!$A$4:$A$311),NA(),IFERROR(LOOKUP(2,1/(('Match Log'!$D$4:$D$311=$U$24)*('Match Log'!$A$4:$A$311&lt;=$J118)),'Match Log'!$N$4:$N$311),NA()))</f>
        <v>1102.0125225363686</v>
      </c>
      <c r="V118">
        <f>IF($J118&gt;MAX('Match Log'!$A$4:$A$311),NA(),IFERROR(LOOKUP(2,1/(('Match Log'!$D$4:$D$311=$V$24)*('Match Log'!$A$4:$A$311&lt;=$J118)),'Match Log'!$N$4:$N$311),NA()))</f>
        <v>1039.5415973556721</v>
      </c>
      <c r="W118">
        <f>IF($J118&gt;MAX('Match Log'!$A$4:$A$311),NA(),IFERROR(LOOKUP(2,1/(('Match Log'!$D$4:$D$311=$W$24)*('Match Log'!$A$4:$A$311&lt;=$J118)),'Match Log'!$N$4:$N$311),NA()))</f>
        <v>1038.5016461247724</v>
      </c>
      <c r="X118" t="e">
        <f>IF($J118&gt;MAX('Match Log'!$A$4:$A$311),NA(),IFERROR(LOOKUP(2,1/(('Match Log'!$D$4:$D$311=$X$24)*('Match Log'!$A$4:$A$311&lt;=$J118)),'Match Log'!$N$4:$N$311),NA()))</f>
        <v>#N/A</v>
      </c>
      <c r="Y118" t="str">
        <f t="shared" ca="1" si="24"/>
        <v/>
      </c>
    </row>
    <row r="119" spans="1:25" ht="15" customHeight="1" x14ac:dyDescent="0.2">
      <c r="A119">
        <v>95</v>
      </c>
      <c r="B119" s="132">
        <f>IFERROR(INDEX('Match Log'!$B$4:$B$311,MATCH(95,'Match Log'!$A$4:$A$311,0)),"")</f>
        <v>46189</v>
      </c>
      <c r="C119" t="str">
        <f>IFERROR(INDEX('Match Log'!$C$4:$C$311,MATCH(95,'Match Log'!$A$4:$A$311,0)),"")</f>
        <v>Mario Party</v>
      </c>
      <c r="D119" t="str">
        <f>IFERROR(INDEX('Match Log'!$G$4:$G$311,MATCH(95,'Match Log'!$A$4:$A$311,0)),"")</f>
        <v>Daniel (Ferret)</v>
      </c>
      <c r="E119" s="133">
        <f>IFERROR(INDEX('Match Log'!$F$4:$F$311,MATCH(95,'Match Log'!$A$4:$A$311,0)),"")</f>
        <v>3</v>
      </c>
      <c r="F119">
        <f>IFERROR(SUMIFS('Match Log'!$I$4:$I$311,'Match Log'!$A$4:$A$311,95,'Match Log'!$E$4:$E$311,"Win"),"")</f>
        <v>0.5</v>
      </c>
      <c r="G119">
        <f t="shared" si="22"/>
        <v>-0.5</v>
      </c>
      <c r="H119" t="str">
        <f>IFERROR(IF($E119=2,LOOKUP(2,1/(('Match Log'!$A$4:$A$311=95)*('Match Log'!$E$4:$E$311="Loss")),'Match Log'!$D$4:$D$311),"the field"),"")</f>
        <v>the field</v>
      </c>
      <c r="I119">
        <f t="shared" si="23"/>
        <v>-0.50009499999999996</v>
      </c>
      <c r="J119">
        <v>95</v>
      </c>
      <c r="K119">
        <f>IF($J119&gt;MAX('Match Log'!$A$4:$A$311),NA(),IFERROR(LOOKUP(2,1/(('Match Log'!$D$4:$D$311=$K$24)*('Match Log'!$A$4:$A$311&lt;=$J119)),'Match Log'!$N$4:$N$311),NA()))</f>
        <v>1071.6001753974281</v>
      </c>
      <c r="L119">
        <f>IF($J119&gt;MAX('Match Log'!$A$4:$A$311),NA(),IFERROR(LOOKUP(2,1/(('Match Log'!$D$4:$D$311=$L$24)*('Match Log'!$A$4:$A$311&lt;=$J119)),'Match Log'!$N$4:$N$311),NA()))</f>
        <v>1044.8691565259944</v>
      </c>
      <c r="M119">
        <f>IF($J119&gt;MAX('Match Log'!$A$4:$A$311),NA(),IFERROR(LOOKUP(2,1/(('Match Log'!$D$4:$D$311=$M$24)*('Match Log'!$A$4:$A$311&lt;=$J119)),'Match Log'!$N$4:$N$311),NA()))</f>
        <v>1017.3466608720325</v>
      </c>
      <c r="N119">
        <f>IF($J119&gt;MAX('Match Log'!$A$4:$A$311),NA(),IFERROR(LOOKUP(2,1/(('Match Log'!$D$4:$D$311=$N$24)*('Match Log'!$A$4:$A$311&lt;=$J119)),'Match Log'!$N$4:$N$311),NA()))</f>
        <v>990.8737469852914</v>
      </c>
      <c r="O119">
        <f>IF($J119&gt;MAX('Match Log'!$A$4:$A$311),NA(),IFERROR(LOOKUP(2,1/(('Match Log'!$D$4:$D$311=$O$24)*('Match Log'!$A$4:$A$311&lt;=$J119)),'Match Log'!$N$4:$N$311),NA()))</f>
        <v>1174.6803700391565</v>
      </c>
      <c r="P119">
        <f>IF($J119&gt;MAX('Match Log'!$A$4:$A$311),NA(),IFERROR(LOOKUP(2,1/(('Match Log'!$D$4:$D$311=$P$24)*('Match Log'!$A$4:$A$311&lt;=$J119)),'Match Log'!$N$4:$N$311),NA()))</f>
        <v>1022.1264377869081</v>
      </c>
      <c r="Q119">
        <f>IF($J119&gt;MAX('Match Log'!$A$4:$A$311),NA(),IFERROR(LOOKUP(2,1/(('Match Log'!$D$4:$D$311=$Q$24)*('Match Log'!$A$4:$A$311&lt;=$J119)),'Match Log'!$N$4:$N$311),NA()))</f>
        <v>1099.9035033078371</v>
      </c>
      <c r="R119">
        <f>IF($J119&gt;MAX('Match Log'!$A$4:$A$311),NA(),IFERROR(LOOKUP(2,1/(('Match Log'!$D$4:$D$311=$R$24)*('Match Log'!$A$4:$A$311&lt;=$J119)),'Match Log'!$N$4:$N$311),NA()))</f>
        <v>1141.2908621485974</v>
      </c>
      <c r="S119">
        <f>IF($J119&gt;MAX('Match Log'!$A$4:$A$311),NA(),IFERROR(LOOKUP(2,1/(('Match Log'!$D$4:$D$311=$S$24)*('Match Log'!$A$4:$A$311&lt;=$J119)),'Match Log'!$N$4:$N$311),NA()))</f>
        <v>1138.6979021359832</v>
      </c>
      <c r="T119">
        <f>IF($J119&gt;MAX('Match Log'!$A$4:$A$311),NA(),IFERROR(LOOKUP(2,1/(('Match Log'!$D$4:$D$311=$T$24)*('Match Log'!$A$4:$A$311&lt;=$J119)),'Match Log'!$N$4:$N$311),NA()))</f>
        <v>894.20718606929802</v>
      </c>
      <c r="U119">
        <f>IF($J119&gt;MAX('Match Log'!$A$4:$A$311),NA(),IFERROR(LOOKUP(2,1/(('Match Log'!$D$4:$D$311=$U$24)*('Match Log'!$A$4:$A$311&lt;=$J119)),'Match Log'!$N$4:$N$311),NA()))</f>
        <v>1094.3607552510286</v>
      </c>
      <c r="V119">
        <f>IF($J119&gt;MAX('Match Log'!$A$4:$A$311),NA(),IFERROR(LOOKUP(2,1/(('Match Log'!$D$4:$D$311=$V$24)*('Match Log'!$A$4:$A$311&lt;=$J119)),'Match Log'!$N$4:$N$311),NA()))</f>
        <v>1039.5415973556721</v>
      </c>
      <c r="W119">
        <f>IF($J119&gt;MAX('Match Log'!$A$4:$A$311),NA(),IFERROR(LOOKUP(2,1/(('Match Log'!$D$4:$D$311=$W$24)*('Match Log'!$A$4:$A$311&lt;=$J119)),'Match Log'!$N$4:$N$311),NA()))</f>
        <v>1038.5016461247724</v>
      </c>
      <c r="X119" t="e">
        <f>IF($J119&gt;MAX('Match Log'!$A$4:$A$311),NA(),IFERROR(LOOKUP(2,1/(('Match Log'!$D$4:$D$311=$X$24)*('Match Log'!$A$4:$A$311&lt;=$J119)),'Match Log'!$N$4:$N$311),NA()))</f>
        <v>#N/A</v>
      </c>
      <c r="Y119" t="str">
        <f t="shared" ca="1" si="24"/>
        <v/>
      </c>
    </row>
    <row r="120" spans="1:25" ht="15" customHeight="1" x14ac:dyDescent="0.2">
      <c r="A120">
        <v>96</v>
      </c>
      <c r="B120" s="132">
        <f>IFERROR(INDEX('Match Log'!$B$4:$B$311,MATCH(96,'Match Log'!$A$4:$A$311,0)),"")</f>
        <v>46189</v>
      </c>
      <c r="C120" t="str">
        <f>IFERROR(INDEX('Match Log'!$C$4:$C$311,MATCH(96,'Match Log'!$A$4:$A$311,0)),"")</f>
        <v>Pool</v>
      </c>
      <c r="D120" t="str">
        <f>IFERROR(INDEX('Match Log'!$G$4:$G$311,MATCH(96,'Match Log'!$A$4:$A$311,0)),"")</f>
        <v>Dean B</v>
      </c>
      <c r="E120" s="133">
        <f>IFERROR(INDEX('Match Log'!$F$4:$F$311,MATCH(96,'Match Log'!$A$4:$A$311,0)),"")</f>
        <v>2</v>
      </c>
      <c r="F120">
        <f>IFERROR(SUMIFS('Match Log'!$I$4:$I$311,'Match Log'!$A$4:$A$311,96,'Match Log'!$E$4:$E$311,"Win"),"")</f>
        <v>0.33333333333333331</v>
      </c>
      <c r="G120">
        <f t="shared" si="22"/>
        <v>0.33333333333333337</v>
      </c>
      <c r="H120" t="str">
        <f>IFERROR(IF($E120=2,LOOKUP(2,1/(('Match Log'!$A$4:$A$311=96)*('Match Log'!$E$4:$E$311="Loss")),'Match Log'!$D$4:$D$311),"the field"),"")</f>
        <v>Daniel (Ferret)</v>
      </c>
      <c r="I120">
        <f t="shared" si="23"/>
        <v>0.33323733333333339</v>
      </c>
      <c r="J120">
        <v>96</v>
      </c>
      <c r="K120">
        <f>IF($J120&gt;MAX('Match Log'!$A$4:$A$311),NA(),IFERROR(LOOKUP(2,1/(('Match Log'!$D$4:$D$311=$K$24)*('Match Log'!$A$4:$A$311&lt;=$J120)),'Match Log'!$N$4:$N$311),NA()))</f>
        <v>1071.6001753974281</v>
      </c>
      <c r="L120">
        <f>IF($J120&gt;MAX('Match Log'!$A$4:$A$311),NA(),IFERROR(LOOKUP(2,1/(('Match Log'!$D$4:$D$311=$L$24)*('Match Log'!$A$4:$A$311&lt;=$J120)),'Match Log'!$N$4:$N$311),NA()))</f>
        <v>1044.8691565259944</v>
      </c>
      <c r="M120">
        <f>IF($J120&gt;MAX('Match Log'!$A$4:$A$311),NA(),IFERROR(LOOKUP(2,1/(('Match Log'!$D$4:$D$311=$M$24)*('Match Log'!$A$4:$A$311&lt;=$J120)),'Match Log'!$N$4:$N$311),NA()))</f>
        <v>1017.3466608720325</v>
      </c>
      <c r="N120">
        <f>IF($J120&gt;MAX('Match Log'!$A$4:$A$311),NA(),IFERROR(LOOKUP(2,1/(('Match Log'!$D$4:$D$311=$N$24)*('Match Log'!$A$4:$A$311&lt;=$J120)),'Match Log'!$N$4:$N$311),NA()))</f>
        <v>990.8737469852914</v>
      </c>
      <c r="O120">
        <f>IF($J120&gt;MAX('Match Log'!$A$4:$A$311),NA(),IFERROR(LOOKUP(2,1/(('Match Log'!$D$4:$D$311=$O$24)*('Match Log'!$A$4:$A$311&lt;=$J120)),'Match Log'!$N$4:$N$311),NA()))</f>
        <v>1174.6803700391565</v>
      </c>
      <c r="P120">
        <f>IF($J120&gt;MAX('Match Log'!$A$4:$A$311),NA(),IFERROR(LOOKUP(2,1/(('Match Log'!$D$4:$D$311=$P$24)*('Match Log'!$A$4:$A$311&lt;=$J120)),'Match Log'!$N$4:$N$311),NA()))</f>
        <v>1022.1264377869081</v>
      </c>
      <c r="Q120">
        <f>IF($J120&gt;MAX('Match Log'!$A$4:$A$311),NA(),IFERROR(LOOKUP(2,1/(('Match Log'!$D$4:$D$311=$Q$24)*('Match Log'!$A$4:$A$311&lt;=$J120)),'Match Log'!$N$4:$N$311),NA()))</f>
        <v>1099.9035033078371</v>
      </c>
      <c r="R120">
        <f>IF($J120&gt;MAX('Match Log'!$A$4:$A$311),NA(),IFERROR(LOOKUP(2,1/(('Match Log'!$D$4:$D$311=$R$24)*('Match Log'!$A$4:$A$311&lt;=$J120)),'Match Log'!$N$4:$N$311),NA()))</f>
        <v>1114.2754825517572</v>
      </c>
      <c r="S120">
        <f>IF($J120&gt;MAX('Match Log'!$A$4:$A$311),NA(),IFERROR(LOOKUP(2,1/(('Match Log'!$D$4:$D$311=$S$24)*('Match Log'!$A$4:$A$311&lt;=$J120)),'Match Log'!$N$4:$N$311),NA()))</f>
        <v>1165.7132817328234</v>
      </c>
      <c r="T120">
        <f>IF($J120&gt;MAX('Match Log'!$A$4:$A$311),NA(),IFERROR(LOOKUP(2,1/(('Match Log'!$D$4:$D$311=$T$24)*('Match Log'!$A$4:$A$311&lt;=$J120)),'Match Log'!$N$4:$N$311),NA()))</f>
        <v>894.20718606929802</v>
      </c>
      <c r="U120">
        <f>IF($J120&gt;MAX('Match Log'!$A$4:$A$311),NA(),IFERROR(LOOKUP(2,1/(('Match Log'!$D$4:$D$311=$U$24)*('Match Log'!$A$4:$A$311&lt;=$J120)),'Match Log'!$N$4:$N$311),NA()))</f>
        <v>1094.3607552510286</v>
      </c>
      <c r="V120">
        <f>IF($J120&gt;MAX('Match Log'!$A$4:$A$311),NA(),IFERROR(LOOKUP(2,1/(('Match Log'!$D$4:$D$311=$V$24)*('Match Log'!$A$4:$A$311&lt;=$J120)),'Match Log'!$N$4:$N$311),NA()))</f>
        <v>1039.5415973556721</v>
      </c>
      <c r="W120">
        <f>IF($J120&gt;MAX('Match Log'!$A$4:$A$311),NA(),IFERROR(LOOKUP(2,1/(('Match Log'!$D$4:$D$311=$W$24)*('Match Log'!$A$4:$A$311&lt;=$J120)),'Match Log'!$N$4:$N$311),NA()))</f>
        <v>1038.5016461247724</v>
      </c>
      <c r="X120" t="e">
        <f>IF($J120&gt;MAX('Match Log'!$A$4:$A$311),NA(),IFERROR(LOOKUP(2,1/(('Match Log'!$D$4:$D$311=$X$24)*('Match Log'!$A$4:$A$311&lt;=$J120)),'Match Log'!$N$4:$N$311),NA()))</f>
        <v>#N/A</v>
      </c>
      <c r="Y120" t="str">
        <f t="shared" ca="1" si="24"/>
        <v/>
      </c>
    </row>
    <row r="121" spans="1:25" ht="15" customHeight="1" x14ac:dyDescent="0.2">
      <c r="A121">
        <v>97</v>
      </c>
      <c r="B121" s="132">
        <f>IFERROR(INDEX('Match Log'!$B$4:$B$311,MATCH(97,'Match Log'!$A$4:$A$311,0)),"")</f>
        <v>46189</v>
      </c>
      <c r="C121" t="str">
        <f>IFERROR(INDEX('Match Log'!$C$4:$C$311,MATCH(97,'Match Log'!$A$4:$A$311,0)),"")</f>
        <v>Pool</v>
      </c>
      <c r="D121" t="str">
        <f>IFERROR(INDEX('Match Log'!$G$4:$G$311,MATCH(97,'Match Log'!$A$4:$A$311,0)),"")</f>
        <v>Dean B</v>
      </c>
      <c r="E121" s="133">
        <f>IFERROR(INDEX('Match Log'!$F$4:$F$311,MATCH(97,'Match Log'!$A$4:$A$311,0)),"")</f>
        <v>2</v>
      </c>
      <c r="F121">
        <f>IFERROR(SUMIFS('Match Log'!$I$4:$I$311,'Match Log'!$A$4:$A$311,97,'Match Log'!$E$4:$E$311,"Win"),"")</f>
        <v>0.42553191489361708</v>
      </c>
      <c r="G121">
        <f t="shared" ref="G121:G144" si="25">IF($D121="","",1-$F121*$E121)</f>
        <v>0.14893617021276584</v>
      </c>
      <c r="H121" t="str">
        <f>IFERROR(IF($E121=2,LOOKUP(2,1/(('Match Log'!$A$4:$A$311=97)*('Match Log'!$E$4:$E$311="Loss")),'Match Log'!$D$4:$D$311),"the field"),"")</f>
        <v>Daniel (Ferret)</v>
      </c>
      <c r="I121">
        <f t="shared" ref="I121:I144" si="26">IF($G121="","",$G121-$A121/1000000)</f>
        <v>0.14883917021276583</v>
      </c>
      <c r="J121">
        <v>97</v>
      </c>
      <c r="K121">
        <f>IF($J121&gt;MAX('Match Log'!$A$4:$A$311),NA(),IFERROR(LOOKUP(2,1/(('Match Log'!$D$4:$D$311=$K$24)*('Match Log'!$A$4:$A$311&lt;=$J121)),'Match Log'!$N$4:$N$311),NA()))</f>
        <v>1071.6001753974281</v>
      </c>
      <c r="L121">
        <f>IF($J121&gt;MAX('Match Log'!$A$4:$A$311),NA(),IFERROR(LOOKUP(2,1/(('Match Log'!$D$4:$D$311=$L$24)*('Match Log'!$A$4:$A$311&lt;=$J121)),'Match Log'!$N$4:$N$311),NA()))</f>
        <v>1044.8691565259944</v>
      </c>
      <c r="M121">
        <f>IF($J121&gt;MAX('Match Log'!$A$4:$A$311),NA(),IFERROR(LOOKUP(2,1/(('Match Log'!$D$4:$D$311=$M$24)*('Match Log'!$A$4:$A$311&lt;=$J121)),'Match Log'!$N$4:$N$311),NA()))</f>
        <v>1017.3466608720325</v>
      </c>
      <c r="N121">
        <f>IF($J121&gt;MAX('Match Log'!$A$4:$A$311),NA(),IFERROR(LOOKUP(2,1/(('Match Log'!$D$4:$D$311=$N$24)*('Match Log'!$A$4:$A$311&lt;=$J121)),'Match Log'!$N$4:$N$311),NA()))</f>
        <v>990.8737469852914</v>
      </c>
      <c r="O121">
        <f>IF($J121&gt;MAX('Match Log'!$A$4:$A$311),NA(),IFERROR(LOOKUP(2,1/(('Match Log'!$D$4:$D$311=$O$24)*('Match Log'!$A$4:$A$311&lt;=$J121)),'Match Log'!$N$4:$N$311),NA()))</f>
        <v>1174.6803700391565</v>
      </c>
      <c r="P121">
        <f>IF($J121&gt;MAX('Match Log'!$A$4:$A$311),NA(),IFERROR(LOOKUP(2,1/(('Match Log'!$D$4:$D$311=$P$24)*('Match Log'!$A$4:$A$311&lt;=$J121)),'Match Log'!$N$4:$N$311),NA()))</f>
        <v>1022.1264377869081</v>
      </c>
      <c r="Q121">
        <f>IF($J121&gt;MAX('Match Log'!$A$4:$A$311),NA(),IFERROR(LOOKUP(2,1/(('Match Log'!$D$4:$D$311=$Q$24)*('Match Log'!$A$4:$A$311&lt;=$J121)),'Match Log'!$N$4:$N$311),NA()))</f>
        <v>1099.9035033078371</v>
      </c>
      <c r="R121">
        <f>IF($J121&gt;MAX('Match Log'!$A$4:$A$311),NA(),IFERROR(LOOKUP(2,1/(('Match Log'!$D$4:$D$311=$R$24)*('Match Log'!$A$4:$A$311&lt;=$J121)),'Match Log'!$N$4:$N$311),NA()))</f>
        <v>1090.6122563947079</v>
      </c>
      <c r="S121">
        <f>IF($J121&gt;MAX('Match Log'!$A$4:$A$311),NA(),IFERROR(LOOKUP(2,1/(('Match Log'!$D$4:$D$311=$S$24)*('Match Log'!$A$4:$A$311&lt;=$J121)),'Match Log'!$N$4:$N$311),NA()))</f>
        <v>1189.3765078898728</v>
      </c>
      <c r="T121">
        <f>IF($J121&gt;MAX('Match Log'!$A$4:$A$311),NA(),IFERROR(LOOKUP(2,1/(('Match Log'!$D$4:$D$311=$T$24)*('Match Log'!$A$4:$A$311&lt;=$J121)),'Match Log'!$N$4:$N$311),NA()))</f>
        <v>894.20718606929802</v>
      </c>
      <c r="U121">
        <f>IF($J121&gt;MAX('Match Log'!$A$4:$A$311),NA(),IFERROR(LOOKUP(2,1/(('Match Log'!$D$4:$D$311=$U$24)*('Match Log'!$A$4:$A$311&lt;=$J121)),'Match Log'!$N$4:$N$311),NA()))</f>
        <v>1094.3607552510286</v>
      </c>
      <c r="V121">
        <f>IF($J121&gt;MAX('Match Log'!$A$4:$A$311),NA(),IFERROR(LOOKUP(2,1/(('Match Log'!$D$4:$D$311=$V$24)*('Match Log'!$A$4:$A$311&lt;=$J121)),'Match Log'!$N$4:$N$311),NA()))</f>
        <v>1039.5415973556721</v>
      </c>
      <c r="W121">
        <f>IF($J121&gt;MAX('Match Log'!$A$4:$A$311),NA(),IFERROR(LOOKUP(2,1/(('Match Log'!$D$4:$D$311=$W$24)*('Match Log'!$A$4:$A$311&lt;=$J121)),'Match Log'!$N$4:$N$311),NA()))</f>
        <v>1038.5016461247724</v>
      </c>
      <c r="X121" t="e">
        <f>IF($J121&gt;MAX('Match Log'!$A$4:$A$311),NA(),IFERROR(LOOKUP(2,1/(('Match Log'!$D$4:$D$311=$X$24)*('Match Log'!$A$4:$A$311&lt;=$J121)),'Match Log'!$N$4:$N$311),NA()))</f>
        <v>#N/A</v>
      </c>
      <c r="Y121" t="str">
        <f t="shared" ref="Y121:Y144" ca="1" si="27">IF(AND($B121&lt;&gt;"",$B121&gt;=$B$5,$I121&lt;&gt;""),$I121,"")</f>
        <v/>
      </c>
    </row>
    <row r="122" spans="1:25" ht="15" customHeight="1" x14ac:dyDescent="0.2">
      <c r="A122">
        <v>98</v>
      </c>
      <c r="B122" s="132">
        <f>IFERROR(INDEX('Match Log'!$B$4:$B$311,MATCH(98,'Match Log'!$A$4:$A$311,0)),"")</f>
        <v>46190</v>
      </c>
      <c r="C122" t="str">
        <f>IFERROR(INDEX('Match Log'!$C$4:$C$311,MATCH(98,'Match Log'!$A$4:$A$311,0)),"")</f>
        <v>Chess</v>
      </c>
      <c r="D122" t="str">
        <f>IFERROR(INDEX('Match Log'!$G$4:$G$311,MATCH(98,'Match Log'!$A$4:$A$311,0)),"")</f>
        <v>Shawn</v>
      </c>
      <c r="E122" s="133">
        <f>IFERROR(INDEX('Match Log'!$F$4:$F$311,MATCH(98,'Match Log'!$A$4:$A$311,0)),"")</f>
        <v>2</v>
      </c>
      <c r="F122">
        <f>IFERROR(SUMIFS('Match Log'!$I$4:$I$311,'Match Log'!$A$4:$A$311,98,'Match Log'!$E$4:$E$311,"Win"),"")</f>
        <v>0.5</v>
      </c>
      <c r="G122">
        <f t="shared" si="25"/>
        <v>0</v>
      </c>
      <c r="H122" t="str">
        <f>IFERROR(IF($E122=2,LOOKUP(2,1/(('Match Log'!$A$4:$A$311=98)*('Match Log'!$E$4:$E$311="Loss")),'Match Log'!$D$4:$D$311),"the field"),"")</f>
        <v>Daniel (Ferret)</v>
      </c>
      <c r="I122">
        <f t="shared" si="26"/>
        <v>-9.7999999999999997E-5</v>
      </c>
      <c r="J122">
        <v>98</v>
      </c>
      <c r="K122">
        <f>IF($J122&gt;MAX('Match Log'!$A$4:$A$311),NA(),IFERROR(LOOKUP(2,1/(('Match Log'!$D$4:$D$311=$K$24)*('Match Log'!$A$4:$A$311&lt;=$J122)),'Match Log'!$N$4:$N$311),NA()))</f>
        <v>1071.6001753974281</v>
      </c>
      <c r="L122">
        <f>IF($J122&gt;MAX('Match Log'!$A$4:$A$311),NA(),IFERROR(LOOKUP(2,1/(('Match Log'!$D$4:$D$311=$L$24)*('Match Log'!$A$4:$A$311&lt;=$J122)),'Match Log'!$N$4:$N$311),NA()))</f>
        <v>1044.8691565259944</v>
      </c>
      <c r="M122">
        <f>IF($J122&gt;MAX('Match Log'!$A$4:$A$311),NA(),IFERROR(LOOKUP(2,1/(('Match Log'!$D$4:$D$311=$M$24)*('Match Log'!$A$4:$A$311&lt;=$J122)),'Match Log'!$N$4:$N$311),NA()))</f>
        <v>1017.3466608720325</v>
      </c>
      <c r="N122">
        <f>IF($J122&gt;MAX('Match Log'!$A$4:$A$311),NA(),IFERROR(LOOKUP(2,1/(('Match Log'!$D$4:$D$311=$N$24)*('Match Log'!$A$4:$A$311&lt;=$J122)),'Match Log'!$N$4:$N$311),NA()))</f>
        <v>990.8737469852914</v>
      </c>
      <c r="O122">
        <f>IF($J122&gt;MAX('Match Log'!$A$4:$A$311),NA(),IFERROR(LOOKUP(2,1/(('Match Log'!$D$4:$D$311=$O$24)*('Match Log'!$A$4:$A$311&lt;=$J122)),'Match Log'!$N$4:$N$311),NA()))</f>
        <v>1174.6803700391565</v>
      </c>
      <c r="P122">
        <f>IF($J122&gt;MAX('Match Log'!$A$4:$A$311),NA(),IFERROR(LOOKUP(2,1/(('Match Log'!$D$4:$D$311=$P$24)*('Match Log'!$A$4:$A$311&lt;=$J122)),'Match Log'!$N$4:$N$311),NA()))</f>
        <v>1047.2401026778748</v>
      </c>
      <c r="Q122">
        <f>IF($J122&gt;MAX('Match Log'!$A$4:$A$311),NA(),IFERROR(LOOKUP(2,1/(('Match Log'!$D$4:$D$311=$Q$24)*('Match Log'!$A$4:$A$311&lt;=$J122)),'Match Log'!$N$4:$N$311),NA()))</f>
        <v>1099.9035033078371</v>
      </c>
      <c r="R122">
        <f>IF($J122&gt;MAX('Match Log'!$A$4:$A$311),NA(),IFERROR(LOOKUP(2,1/(('Match Log'!$D$4:$D$311=$R$24)*('Match Log'!$A$4:$A$311&lt;=$J122)),'Match Log'!$N$4:$N$311),NA()))</f>
        <v>1065.4985915037412</v>
      </c>
      <c r="S122">
        <f>IF($J122&gt;MAX('Match Log'!$A$4:$A$311),NA(),IFERROR(LOOKUP(2,1/(('Match Log'!$D$4:$D$311=$S$24)*('Match Log'!$A$4:$A$311&lt;=$J122)),'Match Log'!$N$4:$N$311),NA()))</f>
        <v>1189.3765078898728</v>
      </c>
      <c r="T122">
        <f>IF($J122&gt;MAX('Match Log'!$A$4:$A$311),NA(),IFERROR(LOOKUP(2,1/(('Match Log'!$D$4:$D$311=$T$24)*('Match Log'!$A$4:$A$311&lt;=$J122)),'Match Log'!$N$4:$N$311),NA()))</f>
        <v>894.20718606929802</v>
      </c>
      <c r="U122">
        <f>IF($J122&gt;MAX('Match Log'!$A$4:$A$311),NA(),IFERROR(LOOKUP(2,1/(('Match Log'!$D$4:$D$311=$U$24)*('Match Log'!$A$4:$A$311&lt;=$J122)),'Match Log'!$N$4:$N$311),NA()))</f>
        <v>1094.3607552510286</v>
      </c>
      <c r="V122">
        <f>IF($J122&gt;MAX('Match Log'!$A$4:$A$311),NA(),IFERROR(LOOKUP(2,1/(('Match Log'!$D$4:$D$311=$V$24)*('Match Log'!$A$4:$A$311&lt;=$J122)),'Match Log'!$N$4:$N$311),NA()))</f>
        <v>1039.5415973556721</v>
      </c>
      <c r="W122">
        <f>IF($J122&gt;MAX('Match Log'!$A$4:$A$311),NA(),IFERROR(LOOKUP(2,1/(('Match Log'!$D$4:$D$311=$W$24)*('Match Log'!$A$4:$A$311&lt;=$J122)),'Match Log'!$N$4:$N$311),NA()))</f>
        <v>1038.5016461247724</v>
      </c>
      <c r="X122" t="e">
        <f>IF($J122&gt;MAX('Match Log'!$A$4:$A$311),NA(),IFERROR(LOOKUP(2,1/(('Match Log'!$D$4:$D$311=$X$24)*('Match Log'!$A$4:$A$311&lt;=$J122)),'Match Log'!$N$4:$N$311),NA()))</f>
        <v>#N/A</v>
      </c>
      <c r="Y122" t="str">
        <f t="shared" ca="1" si="27"/>
        <v/>
      </c>
    </row>
    <row r="123" spans="1:25" ht="15" customHeight="1" x14ac:dyDescent="0.2">
      <c r="A123">
        <v>99</v>
      </c>
      <c r="B123" s="132">
        <f>IFERROR(INDEX('Match Log'!$B$4:$B$311,MATCH(99,'Match Log'!$A$4:$A$311,0)),"")</f>
        <v>46199</v>
      </c>
      <c r="C123" t="str">
        <f>IFERROR(INDEX('Match Log'!$C$4:$C$311,MATCH(99,'Match Log'!$A$4:$A$311,0)),"")</f>
        <v>Mario Golf</v>
      </c>
      <c r="D123" t="str">
        <f>IFERROR(INDEX('Match Log'!$G$4:$G$311,MATCH(99,'Match Log'!$A$4:$A$311,0)),"")</f>
        <v>Daniel (Ferret)</v>
      </c>
      <c r="E123" s="133">
        <f>IFERROR(INDEX('Match Log'!$F$4:$F$311,MATCH(99,'Match Log'!$A$4:$A$311,0)),"")</f>
        <v>2</v>
      </c>
      <c r="F123">
        <f>IFERROR(SUMIFS('Match Log'!$I$4:$I$311,'Match Log'!$A$4:$A$311,99,'Match Log'!$E$4:$E$311,"Win"),"")</f>
        <v>0.5</v>
      </c>
      <c r="G123">
        <f t="shared" si="25"/>
        <v>0</v>
      </c>
      <c r="H123" t="str">
        <f>IFERROR(IF($E123=2,LOOKUP(2,1/(('Match Log'!$A$4:$A$311=99)*('Match Log'!$E$4:$E$311="Loss")),'Match Log'!$D$4:$D$311),"the field"),"")</f>
        <v>Josh</v>
      </c>
      <c r="I123">
        <f t="shared" si="26"/>
        <v>-9.8999999999999994E-5</v>
      </c>
      <c r="J123">
        <v>99</v>
      </c>
      <c r="K123">
        <f>IF($J123&gt;MAX('Match Log'!$A$4:$A$311),NA(),IFERROR(LOOKUP(2,1/(('Match Log'!$D$4:$D$311=$K$24)*('Match Log'!$A$4:$A$311&lt;=$J123)),'Match Log'!$N$4:$N$311),NA()))</f>
        <v>1071.6001753974281</v>
      </c>
      <c r="L123">
        <f>IF($J123&gt;MAX('Match Log'!$A$4:$A$311),NA(),IFERROR(LOOKUP(2,1/(('Match Log'!$D$4:$D$311=$L$24)*('Match Log'!$A$4:$A$311&lt;=$J123)),'Match Log'!$N$4:$N$311),NA()))</f>
        <v>1044.8691565259944</v>
      </c>
      <c r="M123">
        <f>IF($J123&gt;MAX('Match Log'!$A$4:$A$311),NA(),IFERROR(LOOKUP(2,1/(('Match Log'!$D$4:$D$311=$M$24)*('Match Log'!$A$4:$A$311&lt;=$J123)),'Match Log'!$N$4:$N$311),NA()))</f>
        <v>1017.3466608720325</v>
      </c>
      <c r="N123">
        <f>IF($J123&gt;MAX('Match Log'!$A$4:$A$311),NA(),IFERROR(LOOKUP(2,1/(('Match Log'!$D$4:$D$311=$N$24)*('Match Log'!$A$4:$A$311&lt;=$J123)),'Match Log'!$N$4:$N$311),NA()))</f>
        <v>990.8737469852914</v>
      </c>
      <c r="O123">
        <f>IF($J123&gt;MAX('Match Log'!$A$4:$A$311),NA(),IFERROR(LOOKUP(2,1/(('Match Log'!$D$4:$D$311=$O$24)*('Match Log'!$A$4:$A$311&lt;=$J123)),'Match Log'!$N$4:$N$311),NA()))</f>
        <v>1147.811587499318</v>
      </c>
      <c r="P123">
        <f>IF($J123&gt;MAX('Match Log'!$A$4:$A$311),NA(),IFERROR(LOOKUP(2,1/(('Match Log'!$D$4:$D$311=$P$24)*('Match Log'!$A$4:$A$311&lt;=$J123)),'Match Log'!$N$4:$N$311),NA()))</f>
        <v>1047.2401026778748</v>
      </c>
      <c r="Q123">
        <f>IF($J123&gt;MAX('Match Log'!$A$4:$A$311),NA(),IFERROR(LOOKUP(2,1/(('Match Log'!$D$4:$D$311=$Q$24)*('Match Log'!$A$4:$A$311&lt;=$J123)),'Match Log'!$N$4:$N$311),NA()))</f>
        <v>1099.9035033078371</v>
      </c>
      <c r="R123">
        <f>IF($J123&gt;MAX('Match Log'!$A$4:$A$311),NA(),IFERROR(LOOKUP(2,1/(('Match Log'!$D$4:$D$311=$R$24)*('Match Log'!$A$4:$A$311&lt;=$J123)),'Match Log'!$N$4:$N$311),NA()))</f>
        <v>1092.3673740435797</v>
      </c>
      <c r="S123">
        <f>IF($J123&gt;MAX('Match Log'!$A$4:$A$311),NA(),IFERROR(LOOKUP(2,1/(('Match Log'!$D$4:$D$311=$S$24)*('Match Log'!$A$4:$A$311&lt;=$J123)),'Match Log'!$N$4:$N$311),NA()))</f>
        <v>1189.3765078898728</v>
      </c>
      <c r="T123">
        <f>IF($J123&gt;MAX('Match Log'!$A$4:$A$311),NA(),IFERROR(LOOKUP(2,1/(('Match Log'!$D$4:$D$311=$T$24)*('Match Log'!$A$4:$A$311&lt;=$J123)),'Match Log'!$N$4:$N$311),NA()))</f>
        <v>894.20718606929802</v>
      </c>
      <c r="U123">
        <f>IF($J123&gt;MAX('Match Log'!$A$4:$A$311),NA(),IFERROR(LOOKUP(2,1/(('Match Log'!$D$4:$D$311=$U$24)*('Match Log'!$A$4:$A$311&lt;=$J123)),'Match Log'!$N$4:$N$311),NA()))</f>
        <v>1094.3607552510286</v>
      </c>
      <c r="V123">
        <f>IF($J123&gt;MAX('Match Log'!$A$4:$A$311),NA(),IFERROR(LOOKUP(2,1/(('Match Log'!$D$4:$D$311=$V$24)*('Match Log'!$A$4:$A$311&lt;=$J123)),'Match Log'!$N$4:$N$311),NA()))</f>
        <v>1039.5415973556721</v>
      </c>
      <c r="W123">
        <f>IF($J123&gt;MAX('Match Log'!$A$4:$A$311),NA(),IFERROR(LOOKUP(2,1/(('Match Log'!$D$4:$D$311=$W$24)*('Match Log'!$A$4:$A$311&lt;=$J123)),'Match Log'!$N$4:$N$311),NA()))</f>
        <v>1038.5016461247724</v>
      </c>
      <c r="X123" t="e">
        <f>IF($J123&gt;MAX('Match Log'!$A$4:$A$311),NA(),IFERROR(LOOKUP(2,1/(('Match Log'!$D$4:$D$311=$X$24)*('Match Log'!$A$4:$A$311&lt;=$J123)),'Match Log'!$N$4:$N$311),NA()))</f>
        <v>#N/A</v>
      </c>
      <c r="Y123" t="str">
        <f t="shared" ca="1" si="27"/>
        <v/>
      </c>
    </row>
    <row r="124" spans="1:25" ht="15" customHeight="1" x14ac:dyDescent="0.2">
      <c r="A124">
        <v>100</v>
      </c>
      <c r="B124" s="132">
        <f>IFERROR(INDEX('Match Log'!$B$4:$B$311,MATCH(100,'Match Log'!$A$4:$A$311,0)),"")</f>
        <v>46199</v>
      </c>
      <c r="C124" t="str">
        <f>IFERROR(INDEX('Match Log'!$C$4:$C$311,MATCH(100,'Match Log'!$A$4:$A$311,0)),"")</f>
        <v>Mario Golf</v>
      </c>
      <c r="D124" t="str">
        <f>IFERROR(INDEX('Match Log'!$G$4:$G$311,MATCH(100,'Match Log'!$A$4:$A$311,0)),"")</f>
        <v>Daniel (Ferret)</v>
      </c>
      <c r="E124" s="133">
        <f>IFERROR(INDEX('Match Log'!$F$4:$F$311,MATCH(100,'Match Log'!$A$4:$A$311,0)),"")</f>
        <v>2</v>
      </c>
      <c r="F124">
        <f>IFERROR(SUMIFS('Match Log'!$I$4:$I$311,'Match Log'!$A$4:$A$311,100,'Match Log'!$E$4:$E$311,"Win"),"")</f>
        <v>0.66666666666666663</v>
      </c>
      <c r="G124">
        <f t="shared" si="25"/>
        <v>-0.33333333333333326</v>
      </c>
      <c r="H124" t="str">
        <f>IFERROR(IF($E124=2,LOOKUP(2,1/(('Match Log'!$A$4:$A$311=100)*('Match Log'!$E$4:$E$311="Loss")),'Match Log'!$D$4:$D$311),"the field"),"")</f>
        <v>Josh</v>
      </c>
      <c r="I124">
        <f t="shared" si="26"/>
        <v>-0.33343333333333325</v>
      </c>
      <c r="J124">
        <v>100</v>
      </c>
      <c r="K124">
        <f>IF($J124&gt;MAX('Match Log'!$A$4:$A$311),NA(),IFERROR(LOOKUP(2,1/(('Match Log'!$D$4:$D$311=$K$24)*('Match Log'!$A$4:$A$311&lt;=$J124)),'Match Log'!$N$4:$N$311),NA()))</f>
        <v>1071.6001753974281</v>
      </c>
      <c r="L124">
        <f>IF($J124&gt;MAX('Match Log'!$A$4:$A$311),NA(),IFERROR(LOOKUP(2,1/(('Match Log'!$D$4:$D$311=$L$24)*('Match Log'!$A$4:$A$311&lt;=$J124)),'Match Log'!$N$4:$N$311),NA()))</f>
        <v>1044.8691565259944</v>
      </c>
      <c r="M124">
        <f>IF($J124&gt;MAX('Match Log'!$A$4:$A$311),NA(),IFERROR(LOOKUP(2,1/(('Match Log'!$D$4:$D$311=$M$24)*('Match Log'!$A$4:$A$311&lt;=$J124)),'Match Log'!$N$4:$N$311),NA()))</f>
        <v>1017.3466608720325</v>
      </c>
      <c r="N124">
        <f>IF($J124&gt;MAX('Match Log'!$A$4:$A$311),NA(),IFERROR(LOOKUP(2,1/(('Match Log'!$D$4:$D$311=$N$24)*('Match Log'!$A$4:$A$311&lt;=$J124)),'Match Log'!$N$4:$N$311),NA()))</f>
        <v>990.8737469852914</v>
      </c>
      <c r="O124">
        <f>IF($J124&gt;MAX('Match Log'!$A$4:$A$311),NA(),IFERROR(LOOKUP(2,1/(('Match Log'!$D$4:$D$311=$O$24)*('Match Log'!$A$4:$A$311&lt;=$J124)),'Match Log'!$N$4:$N$311),NA()))</f>
        <v>1125.9380799802884</v>
      </c>
      <c r="P124">
        <f>IF($J124&gt;MAX('Match Log'!$A$4:$A$311),NA(),IFERROR(LOOKUP(2,1/(('Match Log'!$D$4:$D$311=$P$24)*('Match Log'!$A$4:$A$311&lt;=$J124)),'Match Log'!$N$4:$N$311),NA()))</f>
        <v>1047.2401026778748</v>
      </c>
      <c r="Q124">
        <f>IF($J124&gt;MAX('Match Log'!$A$4:$A$311),NA(),IFERROR(LOOKUP(2,1/(('Match Log'!$D$4:$D$311=$Q$24)*('Match Log'!$A$4:$A$311&lt;=$J124)),'Match Log'!$N$4:$N$311),NA()))</f>
        <v>1099.9035033078371</v>
      </c>
      <c r="R124">
        <f>IF($J124&gt;MAX('Match Log'!$A$4:$A$311),NA(),IFERROR(LOOKUP(2,1/(('Match Log'!$D$4:$D$311=$R$24)*('Match Log'!$A$4:$A$311&lt;=$J124)),'Match Log'!$N$4:$N$311),NA()))</f>
        <v>1114.2408815626093</v>
      </c>
      <c r="S124">
        <f>IF($J124&gt;MAX('Match Log'!$A$4:$A$311),NA(),IFERROR(LOOKUP(2,1/(('Match Log'!$D$4:$D$311=$S$24)*('Match Log'!$A$4:$A$311&lt;=$J124)),'Match Log'!$N$4:$N$311),NA()))</f>
        <v>1189.3765078898728</v>
      </c>
      <c r="T124">
        <f>IF($J124&gt;MAX('Match Log'!$A$4:$A$311),NA(),IFERROR(LOOKUP(2,1/(('Match Log'!$D$4:$D$311=$T$24)*('Match Log'!$A$4:$A$311&lt;=$J124)),'Match Log'!$N$4:$N$311),NA()))</f>
        <v>894.20718606929802</v>
      </c>
      <c r="U124">
        <f>IF($J124&gt;MAX('Match Log'!$A$4:$A$311),NA(),IFERROR(LOOKUP(2,1/(('Match Log'!$D$4:$D$311=$U$24)*('Match Log'!$A$4:$A$311&lt;=$J124)),'Match Log'!$N$4:$N$311),NA()))</f>
        <v>1094.3607552510286</v>
      </c>
      <c r="V124">
        <f>IF($J124&gt;MAX('Match Log'!$A$4:$A$311),NA(),IFERROR(LOOKUP(2,1/(('Match Log'!$D$4:$D$311=$V$24)*('Match Log'!$A$4:$A$311&lt;=$J124)),'Match Log'!$N$4:$N$311),NA()))</f>
        <v>1039.5415973556721</v>
      </c>
      <c r="W124">
        <f>IF($J124&gt;MAX('Match Log'!$A$4:$A$311),NA(),IFERROR(LOOKUP(2,1/(('Match Log'!$D$4:$D$311=$W$24)*('Match Log'!$A$4:$A$311&lt;=$J124)),'Match Log'!$N$4:$N$311),NA()))</f>
        <v>1038.5016461247724</v>
      </c>
      <c r="X124" t="e">
        <f>IF($J124&gt;MAX('Match Log'!$A$4:$A$311),NA(),IFERROR(LOOKUP(2,1/(('Match Log'!$D$4:$D$311=$X$24)*('Match Log'!$A$4:$A$311&lt;=$J124)),'Match Log'!$N$4:$N$311),NA()))</f>
        <v>#N/A</v>
      </c>
      <c r="Y124" t="str">
        <f t="shared" ca="1" si="27"/>
        <v/>
      </c>
    </row>
    <row r="125" spans="1:25" ht="15" customHeight="1" x14ac:dyDescent="0.2">
      <c r="A125">
        <v>101</v>
      </c>
      <c r="B125" s="132">
        <f>IFERROR(INDEX('Match Log'!$B$4:$B$311,MATCH(101,'Match Log'!$A$4:$A$311,0)),"")</f>
        <v>46199</v>
      </c>
      <c r="C125" t="str">
        <f>IFERROR(INDEX('Match Log'!$C$4:$C$311,MATCH(101,'Match Log'!$A$4:$A$311,0)),"")</f>
        <v>Mario Golf</v>
      </c>
      <c r="D125" t="str">
        <f>IFERROR(INDEX('Match Log'!$G$4:$G$311,MATCH(101,'Match Log'!$A$4:$A$311,0)),"")</f>
        <v>Josh</v>
      </c>
      <c r="E125" s="133">
        <f>IFERROR(INDEX('Match Log'!$F$4:$F$311,MATCH(101,'Match Log'!$A$4:$A$311,0)),"")</f>
        <v>2</v>
      </c>
      <c r="F125">
        <f>IFERROR(SUMIFS('Match Log'!$I$4:$I$311,'Match Log'!$A$4:$A$311,101,'Match Log'!$E$4:$E$311,"Win"),"")</f>
        <v>0.25</v>
      </c>
      <c r="G125">
        <f t="shared" si="25"/>
        <v>0.5</v>
      </c>
      <c r="H125" t="str">
        <f>IFERROR(IF($E125=2,LOOKUP(2,1/(('Match Log'!$A$4:$A$311=101)*('Match Log'!$E$4:$E$311="Loss")),'Match Log'!$D$4:$D$311),"the field"),"")</f>
        <v>Daniel (Ferret)</v>
      </c>
      <c r="I125">
        <f t="shared" si="26"/>
        <v>0.49989899999999998</v>
      </c>
      <c r="J125">
        <v>101</v>
      </c>
      <c r="K125">
        <f>IF($J125&gt;MAX('Match Log'!$A$4:$A$311),NA(),IFERROR(LOOKUP(2,1/(('Match Log'!$D$4:$D$311=$K$24)*('Match Log'!$A$4:$A$311&lt;=$J125)),'Match Log'!$N$4:$N$311),NA()))</f>
        <v>1071.6001753974281</v>
      </c>
      <c r="L125">
        <f>IF($J125&gt;MAX('Match Log'!$A$4:$A$311),NA(),IFERROR(LOOKUP(2,1/(('Match Log'!$D$4:$D$311=$L$24)*('Match Log'!$A$4:$A$311&lt;=$J125)),'Match Log'!$N$4:$N$311),NA()))</f>
        <v>1044.8691565259944</v>
      </c>
      <c r="M125">
        <f>IF($J125&gt;MAX('Match Log'!$A$4:$A$311),NA(),IFERROR(LOOKUP(2,1/(('Match Log'!$D$4:$D$311=$M$24)*('Match Log'!$A$4:$A$311&lt;=$J125)),'Match Log'!$N$4:$N$311),NA()))</f>
        <v>1017.3466608720325</v>
      </c>
      <c r="N125">
        <f>IF($J125&gt;MAX('Match Log'!$A$4:$A$311),NA(),IFERROR(LOOKUP(2,1/(('Match Log'!$D$4:$D$311=$N$24)*('Match Log'!$A$4:$A$311&lt;=$J125)),'Match Log'!$N$4:$N$311),NA()))</f>
        <v>990.8737469852914</v>
      </c>
      <c r="O125">
        <f>IF($J125&gt;MAX('Match Log'!$A$4:$A$311),NA(),IFERROR(LOOKUP(2,1/(('Match Log'!$D$4:$D$311=$O$24)*('Match Log'!$A$4:$A$311&lt;=$J125)),'Match Log'!$N$4:$N$311),NA()))</f>
        <v>1151.3566339199238</v>
      </c>
      <c r="P125">
        <f>IF($J125&gt;MAX('Match Log'!$A$4:$A$311),NA(),IFERROR(LOOKUP(2,1/(('Match Log'!$D$4:$D$311=$P$24)*('Match Log'!$A$4:$A$311&lt;=$J125)),'Match Log'!$N$4:$N$311),NA()))</f>
        <v>1047.2401026778748</v>
      </c>
      <c r="Q125">
        <f>IF($J125&gt;MAX('Match Log'!$A$4:$A$311),NA(),IFERROR(LOOKUP(2,1/(('Match Log'!$D$4:$D$311=$Q$24)*('Match Log'!$A$4:$A$311&lt;=$J125)),'Match Log'!$N$4:$N$311),NA()))</f>
        <v>1099.9035033078371</v>
      </c>
      <c r="R125">
        <f>IF($J125&gt;MAX('Match Log'!$A$4:$A$311),NA(),IFERROR(LOOKUP(2,1/(('Match Log'!$D$4:$D$311=$R$24)*('Match Log'!$A$4:$A$311&lt;=$J125)),'Match Log'!$N$4:$N$311),NA()))</f>
        <v>1088.8223276229739</v>
      </c>
      <c r="S125">
        <f>IF($J125&gt;MAX('Match Log'!$A$4:$A$311),NA(),IFERROR(LOOKUP(2,1/(('Match Log'!$D$4:$D$311=$S$24)*('Match Log'!$A$4:$A$311&lt;=$J125)),'Match Log'!$N$4:$N$311),NA()))</f>
        <v>1189.3765078898728</v>
      </c>
      <c r="T125">
        <f>IF($J125&gt;MAX('Match Log'!$A$4:$A$311),NA(),IFERROR(LOOKUP(2,1/(('Match Log'!$D$4:$D$311=$T$24)*('Match Log'!$A$4:$A$311&lt;=$J125)),'Match Log'!$N$4:$N$311),NA()))</f>
        <v>894.20718606929802</v>
      </c>
      <c r="U125">
        <f>IF($J125&gt;MAX('Match Log'!$A$4:$A$311),NA(),IFERROR(LOOKUP(2,1/(('Match Log'!$D$4:$D$311=$U$24)*('Match Log'!$A$4:$A$311&lt;=$J125)),'Match Log'!$N$4:$N$311),NA()))</f>
        <v>1094.3607552510286</v>
      </c>
      <c r="V125">
        <f>IF($J125&gt;MAX('Match Log'!$A$4:$A$311),NA(),IFERROR(LOOKUP(2,1/(('Match Log'!$D$4:$D$311=$V$24)*('Match Log'!$A$4:$A$311&lt;=$J125)),'Match Log'!$N$4:$N$311),NA()))</f>
        <v>1039.5415973556721</v>
      </c>
      <c r="W125">
        <f>IF($J125&gt;MAX('Match Log'!$A$4:$A$311),NA(),IFERROR(LOOKUP(2,1/(('Match Log'!$D$4:$D$311=$W$24)*('Match Log'!$A$4:$A$311&lt;=$J125)),'Match Log'!$N$4:$N$311),NA()))</f>
        <v>1038.5016461247724</v>
      </c>
      <c r="X125" t="e">
        <f>IF($J125&gt;MAX('Match Log'!$A$4:$A$311),NA(),IFERROR(LOOKUP(2,1/(('Match Log'!$D$4:$D$311=$X$24)*('Match Log'!$A$4:$A$311&lt;=$J125)),'Match Log'!$N$4:$N$311),NA()))</f>
        <v>#N/A</v>
      </c>
      <c r="Y125" t="str">
        <f t="shared" ca="1" si="27"/>
        <v/>
      </c>
    </row>
    <row r="126" spans="1:25" ht="15" customHeight="1" x14ac:dyDescent="0.2">
      <c r="A126">
        <v>102</v>
      </c>
      <c r="B126" s="132">
        <f>IFERROR(INDEX('Match Log'!$B$4:$B$311,MATCH(102,'Match Log'!$A$4:$A$311,0)),"")</f>
        <v>46199</v>
      </c>
      <c r="C126" t="str">
        <f>IFERROR(INDEX('Match Log'!$C$4:$C$311,MATCH(102,'Match Log'!$A$4:$A$311,0)),"")</f>
        <v>Mario Golf</v>
      </c>
      <c r="D126" t="str">
        <f>IFERROR(INDEX('Match Log'!$G$4:$G$311,MATCH(102,'Match Log'!$A$4:$A$311,0)),"")</f>
        <v>Josh</v>
      </c>
      <c r="E126" s="133">
        <f>IFERROR(INDEX('Match Log'!$F$4:$F$311,MATCH(102,'Match Log'!$A$4:$A$311,0)),"")</f>
        <v>2</v>
      </c>
      <c r="F126">
        <f>IFERROR(SUMIFS('Match Log'!$I$4:$I$311,'Match Log'!$A$4:$A$311,102,'Match Log'!$E$4:$E$311,"Win"),"")</f>
        <v>0.4</v>
      </c>
      <c r="G126">
        <f t="shared" si="25"/>
        <v>0.19999999999999996</v>
      </c>
      <c r="H126" t="str">
        <f>IFERROR(IF($E126=2,LOOKUP(2,1/(('Match Log'!$A$4:$A$311=102)*('Match Log'!$E$4:$E$311="Loss")),'Match Log'!$D$4:$D$311),"the field"),"")</f>
        <v>Daniel (Ferret)</v>
      </c>
      <c r="I126">
        <f t="shared" si="26"/>
        <v>0.19989799999999996</v>
      </c>
      <c r="J126">
        <v>102</v>
      </c>
      <c r="K126">
        <f>IF($J126&gt;MAX('Match Log'!$A$4:$A$311),NA(),IFERROR(LOOKUP(2,1/(('Match Log'!$D$4:$D$311=$K$24)*('Match Log'!$A$4:$A$311&lt;=$J126)),'Match Log'!$N$4:$N$311),NA()))</f>
        <v>1071.6001753974281</v>
      </c>
      <c r="L126">
        <f>IF($J126&gt;MAX('Match Log'!$A$4:$A$311),NA(),IFERROR(LOOKUP(2,1/(('Match Log'!$D$4:$D$311=$L$24)*('Match Log'!$A$4:$A$311&lt;=$J126)),'Match Log'!$N$4:$N$311),NA()))</f>
        <v>1044.8691565259944</v>
      </c>
      <c r="M126">
        <f>IF($J126&gt;MAX('Match Log'!$A$4:$A$311),NA(),IFERROR(LOOKUP(2,1/(('Match Log'!$D$4:$D$311=$M$24)*('Match Log'!$A$4:$A$311&lt;=$J126)),'Match Log'!$N$4:$N$311),NA()))</f>
        <v>1017.3466608720325</v>
      </c>
      <c r="N126">
        <f>IF($J126&gt;MAX('Match Log'!$A$4:$A$311),NA(),IFERROR(LOOKUP(2,1/(('Match Log'!$D$4:$D$311=$N$24)*('Match Log'!$A$4:$A$311&lt;=$J126)),'Match Log'!$N$4:$N$311),NA()))</f>
        <v>990.8737469852914</v>
      </c>
      <c r="O126">
        <f>IF($J126&gt;MAX('Match Log'!$A$4:$A$311),NA(),IFERROR(LOOKUP(2,1/(('Match Log'!$D$4:$D$311=$O$24)*('Match Log'!$A$4:$A$311&lt;=$J126)),'Match Log'!$N$4:$N$311),NA()))</f>
        <v>1173.1660011582487</v>
      </c>
      <c r="P126">
        <f>IF($J126&gt;MAX('Match Log'!$A$4:$A$311),NA(),IFERROR(LOOKUP(2,1/(('Match Log'!$D$4:$D$311=$P$24)*('Match Log'!$A$4:$A$311&lt;=$J126)),'Match Log'!$N$4:$N$311),NA()))</f>
        <v>1047.2401026778748</v>
      </c>
      <c r="Q126">
        <f>IF($J126&gt;MAX('Match Log'!$A$4:$A$311),NA(),IFERROR(LOOKUP(2,1/(('Match Log'!$D$4:$D$311=$Q$24)*('Match Log'!$A$4:$A$311&lt;=$J126)),'Match Log'!$N$4:$N$311),NA()))</f>
        <v>1099.9035033078371</v>
      </c>
      <c r="R126">
        <f>IF($J126&gt;MAX('Match Log'!$A$4:$A$311),NA(),IFERROR(LOOKUP(2,1/(('Match Log'!$D$4:$D$311=$R$24)*('Match Log'!$A$4:$A$311&lt;=$J126)),'Match Log'!$N$4:$N$311),NA()))</f>
        <v>1067.012960384649</v>
      </c>
      <c r="S126">
        <f>IF($J126&gt;MAX('Match Log'!$A$4:$A$311),NA(),IFERROR(LOOKUP(2,1/(('Match Log'!$D$4:$D$311=$S$24)*('Match Log'!$A$4:$A$311&lt;=$J126)),'Match Log'!$N$4:$N$311),NA()))</f>
        <v>1189.3765078898728</v>
      </c>
      <c r="T126">
        <f>IF($J126&gt;MAX('Match Log'!$A$4:$A$311),NA(),IFERROR(LOOKUP(2,1/(('Match Log'!$D$4:$D$311=$T$24)*('Match Log'!$A$4:$A$311&lt;=$J126)),'Match Log'!$N$4:$N$311),NA()))</f>
        <v>894.20718606929802</v>
      </c>
      <c r="U126">
        <f>IF($J126&gt;MAX('Match Log'!$A$4:$A$311),NA(),IFERROR(LOOKUP(2,1/(('Match Log'!$D$4:$D$311=$U$24)*('Match Log'!$A$4:$A$311&lt;=$J126)),'Match Log'!$N$4:$N$311),NA()))</f>
        <v>1094.3607552510286</v>
      </c>
      <c r="V126">
        <f>IF($J126&gt;MAX('Match Log'!$A$4:$A$311),NA(),IFERROR(LOOKUP(2,1/(('Match Log'!$D$4:$D$311=$V$24)*('Match Log'!$A$4:$A$311&lt;=$J126)),'Match Log'!$N$4:$N$311),NA()))</f>
        <v>1039.5415973556721</v>
      </c>
      <c r="W126">
        <f>IF($J126&gt;MAX('Match Log'!$A$4:$A$311),NA(),IFERROR(LOOKUP(2,1/(('Match Log'!$D$4:$D$311=$W$24)*('Match Log'!$A$4:$A$311&lt;=$J126)),'Match Log'!$N$4:$N$311),NA()))</f>
        <v>1038.5016461247724</v>
      </c>
      <c r="X126" t="e">
        <f>IF($J126&gt;MAX('Match Log'!$A$4:$A$311),NA(),IFERROR(LOOKUP(2,1/(('Match Log'!$D$4:$D$311=$X$24)*('Match Log'!$A$4:$A$311&lt;=$J126)),'Match Log'!$N$4:$N$311),NA()))</f>
        <v>#N/A</v>
      </c>
      <c r="Y126" t="str">
        <f t="shared" ca="1" si="27"/>
        <v/>
      </c>
    </row>
    <row r="127" spans="1:25" ht="15" customHeight="1" x14ac:dyDescent="0.2">
      <c r="A127">
        <v>103</v>
      </c>
      <c r="B127" s="132">
        <f>IFERROR(INDEX('Match Log'!$B$4:$B$311,MATCH(103,'Match Log'!$A$4:$A$311,0)),"")</f>
        <v>46199</v>
      </c>
      <c r="C127" t="str">
        <f>IFERROR(INDEX('Match Log'!$C$4:$C$311,MATCH(103,'Match Log'!$A$4:$A$311,0)),"")</f>
        <v>Mario Party</v>
      </c>
      <c r="D127" t="str">
        <f>IFERROR(INDEX('Match Log'!$G$4:$G$311,MATCH(103,'Match Log'!$A$4:$A$311,0)),"")</f>
        <v>Daniel (Ferret)</v>
      </c>
      <c r="E127" s="133">
        <f>IFERROR(INDEX('Match Log'!$F$4:$F$311,MATCH(103,'Match Log'!$A$4:$A$311,0)),"")</f>
        <v>2</v>
      </c>
      <c r="F127">
        <f>IFERROR(SUMIFS('Match Log'!$I$4:$I$311,'Match Log'!$A$4:$A$311,103,'Match Log'!$E$4:$E$311,"Win"),"")</f>
        <v>0.6</v>
      </c>
      <c r="G127">
        <f t="shared" si="25"/>
        <v>-0.19999999999999996</v>
      </c>
      <c r="H127" t="str">
        <f>IFERROR(IF($E127=2,LOOKUP(2,1/(('Match Log'!$A$4:$A$311=103)*('Match Log'!$E$4:$E$311="Loss")),'Match Log'!$D$4:$D$311),"the field"),"")</f>
        <v>Josh</v>
      </c>
      <c r="I127">
        <f t="shared" si="26"/>
        <v>-0.20010299999999995</v>
      </c>
      <c r="J127">
        <v>103</v>
      </c>
      <c r="K127">
        <f>IF($J127&gt;MAX('Match Log'!$A$4:$A$311),NA(),IFERROR(LOOKUP(2,1/(('Match Log'!$D$4:$D$311=$K$24)*('Match Log'!$A$4:$A$311&lt;=$J127)),'Match Log'!$N$4:$N$311),NA()))</f>
        <v>1071.6001753974281</v>
      </c>
      <c r="L127">
        <f>IF($J127&gt;MAX('Match Log'!$A$4:$A$311),NA(),IFERROR(LOOKUP(2,1/(('Match Log'!$D$4:$D$311=$L$24)*('Match Log'!$A$4:$A$311&lt;=$J127)),'Match Log'!$N$4:$N$311),NA()))</f>
        <v>1044.8691565259944</v>
      </c>
      <c r="M127">
        <f>IF($J127&gt;MAX('Match Log'!$A$4:$A$311),NA(),IFERROR(LOOKUP(2,1/(('Match Log'!$D$4:$D$311=$M$24)*('Match Log'!$A$4:$A$311&lt;=$J127)),'Match Log'!$N$4:$N$311),NA()))</f>
        <v>1017.3466608720325</v>
      </c>
      <c r="N127">
        <f>IF($J127&gt;MAX('Match Log'!$A$4:$A$311),NA(),IFERROR(LOOKUP(2,1/(('Match Log'!$D$4:$D$311=$N$24)*('Match Log'!$A$4:$A$311&lt;=$J127)),'Match Log'!$N$4:$N$311),NA()))</f>
        <v>990.8737469852914</v>
      </c>
      <c r="O127">
        <f>IF($J127&gt;MAX('Match Log'!$A$4:$A$311),NA(),IFERROR(LOOKUP(2,1/(('Match Log'!$D$4:$D$311=$O$24)*('Match Log'!$A$4:$A$311&lt;=$J127)),'Match Log'!$N$4:$N$311),NA()))</f>
        <v>1147.1945550051951</v>
      </c>
      <c r="P127">
        <f>IF($J127&gt;MAX('Match Log'!$A$4:$A$311),NA(),IFERROR(LOOKUP(2,1/(('Match Log'!$D$4:$D$311=$P$24)*('Match Log'!$A$4:$A$311&lt;=$J127)),'Match Log'!$N$4:$N$311),NA()))</f>
        <v>1047.2401026778748</v>
      </c>
      <c r="Q127">
        <f>IF($J127&gt;MAX('Match Log'!$A$4:$A$311),NA(),IFERROR(LOOKUP(2,1/(('Match Log'!$D$4:$D$311=$Q$24)*('Match Log'!$A$4:$A$311&lt;=$J127)),'Match Log'!$N$4:$N$311),NA()))</f>
        <v>1099.9035033078371</v>
      </c>
      <c r="R127">
        <f>IF($J127&gt;MAX('Match Log'!$A$4:$A$311),NA(),IFERROR(LOOKUP(2,1/(('Match Log'!$D$4:$D$311=$R$24)*('Match Log'!$A$4:$A$311&lt;=$J127)),'Match Log'!$N$4:$N$311),NA()))</f>
        <v>1092.9844065377026</v>
      </c>
      <c r="S127">
        <f>IF($J127&gt;MAX('Match Log'!$A$4:$A$311),NA(),IFERROR(LOOKUP(2,1/(('Match Log'!$D$4:$D$311=$S$24)*('Match Log'!$A$4:$A$311&lt;=$J127)),'Match Log'!$N$4:$N$311),NA()))</f>
        <v>1189.3765078898728</v>
      </c>
      <c r="T127">
        <f>IF($J127&gt;MAX('Match Log'!$A$4:$A$311),NA(),IFERROR(LOOKUP(2,1/(('Match Log'!$D$4:$D$311=$T$24)*('Match Log'!$A$4:$A$311&lt;=$J127)),'Match Log'!$N$4:$N$311),NA()))</f>
        <v>894.20718606929802</v>
      </c>
      <c r="U127">
        <f>IF($J127&gt;MAX('Match Log'!$A$4:$A$311),NA(),IFERROR(LOOKUP(2,1/(('Match Log'!$D$4:$D$311=$U$24)*('Match Log'!$A$4:$A$311&lt;=$J127)),'Match Log'!$N$4:$N$311),NA()))</f>
        <v>1094.3607552510286</v>
      </c>
      <c r="V127">
        <f>IF($J127&gt;MAX('Match Log'!$A$4:$A$311),NA(),IFERROR(LOOKUP(2,1/(('Match Log'!$D$4:$D$311=$V$24)*('Match Log'!$A$4:$A$311&lt;=$J127)),'Match Log'!$N$4:$N$311),NA()))</f>
        <v>1039.5415973556721</v>
      </c>
      <c r="W127">
        <f>IF($J127&gt;MAX('Match Log'!$A$4:$A$311),NA(),IFERROR(LOOKUP(2,1/(('Match Log'!$D$4:$D$311=$W$24)*('Match Log'!$A$4:$A$311&lt;=$J127)),'Match Log'!$N$4:$N$311),NA()))</f>
        <v>1038.5016461247724</v>
      </c>
      <c r="X127" t="e">
        <f>IF($J127&gt;MAX('Match Log'!$A$4:$A$311),NA(),IFERROR(LOOKUP(2,1/(('Match Log'!$D$4:$D$311=$X$24)*('Match Log'!$A$4:$A$311&lt;=$J127)),'Match Log'!$N$4:$N$311),NA()))</f>
        <v>#N/A</v>
      </c>
      <c r="Y127" t="str">
        <f t="shared" ca="1" si="27"/>
        <v/>
      </c>
    </row>
    <row r="128" spans="1:25" ht="15" customHeight="1" x14ac:dyDescent="0.2">
      <c r="A128">
        <v>104</v>
      </c>
      <c r="B128" s="132">
        <f>IFERROR(INDEX('Match Log'!$B$4:$B$311,MATCH(104,'Match Log'!$A$4:$A$311,0)),"")</f>
        <v>46199</v>
      </c>
      <c r="C128" t="str">
        <f>IFERROR(INDEX('Match Log'!$C$4:$C$311,MATCH(104,'Match Log'!$A$4:$A$311,0)),"")</f>
        <v>Mario Party</v>
      </c>
      <c r="D128" t="str">
        <f>IFERROR(INDEX('Match Log'!$G$4:$G$311,MATCH(104,'Match Log'!$A$4:$A$311,0)),"")</f>
        <v>Shawn</v>
      </c>
      <c r="E128" s="133">
        <f>IFERROR(INDEX('Match Log'!$F$4:$F$311,MATCH(104,'Match Log'!$A$4:$A$311,0)),"")</f>
        <v>2</v>
      </c>
      <c r="F128">
        <f>IFERROR(SUMIFS('Match Log'!$I$4:$I$311,'Match Log'!$A$4:$A$311,104,'Match Log'!$E$4:$E$311,"Win"),"")</f>
        <v>0.33333333333333331</v>
      </c>
      <c r="G128">
        <f t="shared" si="25"/>
        <v>0.33333333333333337</v>
      </c>
      <c r="H128" t="str">
        <f>IFERROR(IF($E128=2,LOOKUP(2,1/(('Match Log'!$A$4:$A$311=104)*('Match Log'!$E$4:$E$311="Loss")),'Match Log'!$D$4:$D$311),"the field"),"")</f>
        <v>Aaron</v>
      </c>
      <c r="I128">
        <f t="shared" si="26"/>
        <v>0.33322933333333338</v>
      </c>
      <c r="J128">
        <v>104</v>
      </c>
      <c r="K128">
        <f>IF($J128&gt;MAX('Match Log'!$A$4:$A$311),NA(),IFERROR(LOOKUP(2,1/(('Match Log'!$D$4:$D$311=$K$24)*('Match Log'!$A$4:$A$311&lt;=$J128)),'Match Log'!$N$4:$N$311),NA()))</f>
        <v>1045.6630710289821</v>
      </c>
      <c r="L128">
        <f>IF($J128&gt;MAX('Match Log'!$A$4:$A$311),NA(),IFERROR(LOOKUP(2,1/(('Match Log'!$D$4:$D$311=$L$24)*('Match Log'!$A$4:$A$311&lt;=$J128)),'Match Log'!$N$4:$N$311),NA()))</f>
        <v>1044.8691565259944</v>
      </c>
      <c r="M128">
        <f>IF($J128&gt;MAX('Match Log'!$A$4:$A$311),NA(),IFERROR(LOOKUP(2,1/(('Match Log'!$D$4:$D$311=$M$24)*('Match Log'!$A$4:$A$311&lt;=$J128)),'Match Log'!$N$4:$N$311),NA()))</f>
        <v>1017.3466608720325</v>
      </c>
      <c r="N128">
        <f>IF($J128&gt;MAX('Match Log'!$A$4:$A$311),NA(),IFERROR(LOOKUP(2,1/(('Match Log'!$D$4:$D$311=$N$24)*('Match Log'!$A$4:$A$311&lt;=$J128)),'Match Log'!$N$4:$N$311),NA()))</f>
        <v>990.8737469852914</v>
      </c>
      <c r="O128">
        <f>IF($J128&gt;MAX('Match Log'!$A$4:$A$311),NA(),IFERROR(LOOKUP(2,1/(('Match Log'!$D$4:$D$311=$O$24)*('Match Log'!$A$4:$A$311&lt;=$J128)),'Match Log'!$N$4:$N$311),NA()))</f>
        <v>1147.1945550051951</v>
      </c>
      <c r="P128">
        <f>IF($J128&gt;MAX('Match Log'!$A$4:$A$311),NA(),IFERROR(LOOKUP(2,1/(('Match Log'!$D$4:$D$311=$P$24)*('Match Log'!$A$4:$A$311&lt;=$J128)),'Match Log'!$N$4:$N$311),NA()))</f>
        <v>1073.1772070463207</v>
      </c>
      <c r="Q128">
        <f>IF($J128&gt;MAX('Match Log'!$A$4:$A$311),NA(),IFERROR(LOOKUP(2,1/(('Match Log'!$D$4:$D$311=$Q$24)*('Match Log'!$A$4:$A$311&lt;=$J128)),'Match Log'!$N$4:$N$311),NA()))</f>
        <v>1099.9035033078371</v>
      </c>
      <c r="R128">
        <f>IF($J128&gt;MAX('Match Log'!$A$4:$A$311),NA(),IFERROR(LOOKUP(2,1/(('Match Log'!$D$4:$D$311=$R$24)*('Match Log'!$A$4:$A$311&lt;=$J128)),'Match Log'!$N$4:$N$311),NA()))</f>
        <v>1092.9844065377026</v>
      </c>
      <c r="S128">
        <f>IF($J128&gt;MAX('Match Log'!$A$4:$A$311),NA(),IFERROR(LOOKUP(2,1/(('Match Log'!$D$4:$D$311=$S$24)*('Match Log'!$A$4:$A$311&lt;=$J128)),'Match Log'!$N$4:$N$311),NA()))</f>
        <v>1189.3765078898728</v>
      </c>
      <c r="T128">
        <f>IF($J128&gt;MAX('Match Log'!$A$4:$A$311),NA(),IFERROR(LOOKUP(2,1/(('Match Log'!$D$4:$D$311=$T$24)*('Match Log'!$A$4:$A$311&lt;=$J128)),'Match Log'!$N$4:$N$311),NA()))</f>
        <v>894.20718606929802</v>
      </c>
      <c r="U128">
        <f>IF($J128&gt;MAX('Match Log'!$A$4:$A$311),NA(),IFERROR(LOOKUP(2,1/(('Match Log'!$D$4:$D$311=$U$24)*('Match Log'!$A$4:$A$311&lt;=$J128)),'Match Log'!$N$4:$N$311),NA()))</f>
        <v>1094.3607552510286</v>
      </c>
      <c r="V128">
        <f>IF($J128&gt;MAX('Match Log'!$A$4:$A$311),NA(),IFERROR(LOOKUP(2,1/(('Match Log'!$D$4:$D$311=$V$24)*('Match Log'!$A$4:$A$311&lt;=$J128)),'Match Log'!$N$4:$N$311),NA()))</f>
        <v>1039.5415973556721</v>
      </c>
      <c r="W128">
        <f>IF($J128&gt;MAX('Match Log'!$A$4:$A$311),NA(),IFERROR(LOOKUP(2,1/(('Match Log'!$D$4:$D$311=$W$24)*('Match Log'!$A$4:$A$311&lt;=$J128)),'Match Log'!$N$4:$N$311),NA()))</f>
        <v>1038.5016461247724</v>
      </c>
      <c r="X128" t="e">
        <f>IF($J128&gt;MAX('Match Log'!$A$4:$A$311),NA(),IFERROR(LOOKUP(2,1/(('Match Log'!$D$4:$D$311=$X$24)*('Match Log'!$A$4:$A$311&lt;=$J128)),'Match Log'!$N$4:$N$311),NA()))</f>
        <v>#N/A</v>
      </c>
      <c r="Y128" t="str">
        <f t="shared" ca="1" si="27"/>
        <v/>
      </c>
    </row>
    <row r="129" spans="1:25" ht="15" customHeight="1" x14ac:dyDescent="0.2">
      <c r="A129">
        <v>105</v>
      </c>
      <c r="B129" s="132">
        <f>IFERROR(INDEX('Match Log'!$B$4:$B$311,MATCH(105,'Match Log'!$A$4:$A$311,0)),"")</f>
        <v>46199</v>
      </c>
      <c r="C129" t="str">
        <f>IFERROR(INDEX('Match Log'!$C$4:$C$311,MATCH(105,'Match Log'!$A$4:$A$311,0)),"")</f>
        <v>Mario Party</v>
      </c>
      <c r="D129" t="str">
        <f>IFERROR(INDEX('Match Log'!$G$4:$G$311,MATCH(105,'Match Log'!$A$4:$A$311,0)),"")</f>
        <v>Aaron</v>
      </c>
      <c r="E129" s="133">
        <f>IFERROR(INDEX('Match Log'!$F$4:$F$311,MATCH(105,'Match Log'!$A$4:$A$311,0)),"")</f>
        <v>2</v>
      </c>
      <c r="F129">
        <f>IFERROR(SUMIFS('Match Log'!$I$4:$I$311,'Match Log'!$A$4:$A$311,105,'Match Log'!$E$4:$E$311,"Win"),"")</f>
        <v>0.45454545454545447</v>
      </c>
      <c r="G129">
        <f t="shared" si="25"/>
        <v>9.090909090909105E-2</v>
      </c>
      <c r="H129" t="str">
        <f>IFERROR(IF($E129=2,LOOKUP(2,1/(('Match Log'!$A$4:$A$311=105)*('Match Log'!$E$4:$E$311="Loss")),'Match Log'!$D$4:$D$311),"the field"),"")</f>
        <v>Shawn</v>
      </c>
      <c r="I129">
        <f t="shared" si="26"/>
        <v>9.0804090909091056E-2</v>
      </c>
      <c r="J129">
        <v>105</v>
      </c>
      <c r="K129">
        <f>IF($J129&gt;MAX('Match Log'!$A$4:$A$311),NA(),IFERROR(LOOKUP(2,1/(('Match Log'!$D$4:$D$311=$K$24)*('Match Log'!$A$4:$A$311&lt;=$J129)),'Match Log'!$N$4:$N$311),NA()))</f>
        <v>1068.7122504858203</v>
      </c>
      <c r="L129">
        <f>IF($J129&gt;MAX('Match Log'!$A$4:$A$311),NA(),IFERROR(LOOKUP(2,1/(('Match Log'!$D$4:$D$311=$L$24)*('Match Log'!$A$4:$A$311&lt;=$J129)),'Match Log'!$N$4:$N$311),NA()))</f>
        <v>1044.8691565259944</v>
      </c>
      <c r="M129">
        <f>IF($J129&gt;MAX('Match Log'!$A$4:$A$311),NA(),IFERROR(LOOKUP(2,1/(('Match Log'!$D$4:$D$311=$M$24)*('Match Log'!$A$4:$A$311&lt;=$J129)),'Match Log'!$N$4:$N$311),NA()))</f>
        <v>1017.3466608720325</v>
      </c>
      <c r="N129">
        <f>IF($J129&gt;MAX('Match Log'!$A$4:$A$311),NA(),IFERROR(LOOKUP(2,1/(('Match Log'!$D$4:$D$311=$N$24)*('Match Log'!$A$4:$A$311&lt;=$J129)),'Match Log'!$N$4:$N$311),NA()))</f>
        <v>990.8737469852914</v>
      </c>
      <c r="O129">
        <f>IF($J129&gt;MAX('Match Log'!$A$4:$A$311),NA(),IFERROR(LOOKUP(2,1/(('Match Log'!$D$4:$D$311=$O$24)*('Match Log'!$A$4:$A$311&lt;=$J129)),'Match Log'!$N$4:$N$311),NA()))</f>
        <v>1147.1945550051951</v>
      </c>
      <c r="P129">
        <f>IF($J129&gt;MAX('Match Log'!$A$4:$A$311),NA(),IFERROR(LOOKUP(2,1/(('Match Log'!$D$4:$D$311=$P$24)*('Match Log'!$A$4:$A$311&lt;=$J129)),'Match Log'!$N$4:$N$311),NA()))</f>
        <v>1050.1280275894826</v>
      </c>
      <c r="Q129">
        <f>IF($J129&gt;MAX('Match Log'!$A$4:$A$311),NA(),IFERROR(LOOKUP(2,1/(('Match Log'!$D$4:$D$311=$Q$24)*('Match Log'!$A$4:$A$311&lt;=$J129)),'Match Log'!$N$4:$N$311),NA()))</f>
        <v>1099.9035033078371</v>
      </c>
      <c r="R129">
        <f>IF($J129&gt;MAX('Match Log'!$A$4:$A$311),NA(),IFERROR(LOOKUP(2,1/(('Match Log'!$D$4:$D$311=$R$24)*('Match Log'!$A$4:$A$311&lt;=$J129)),'Match Log'!$N$4:$N$311),NA()))</f>
        <v>1092.9844065377026</v>
      </c>
      <c r="S129">
        <f>IF($J129&gt;MAX('Match Log'!$A$4:$A$311),NA(),IFERROR(LOOKUP(2,1/(('Match Log'!$D$4:$D$311=$S$24)*('Match Log'!$A$4:$A$311&lt;=$J129)),'Match Log'!$N$4:$N$311),NA()))</f>
        <v>1189.3765078898728</v>
      </c>
      <c r="T129">
        <f>IF($J129&gt;MAX('Match Log'!$A$4:$A$311),NA(),IFERROR(LOOKUP(2,1/(('Match Log'!$D$4:$D$311=$T$24)*('Match Log'!$A$4:$A$311&lt;=$J129)),'Match Log'!$N$4:$N$311),NA()))</f>
        <v>894.20718606929802</v>
      </c>
      <c r="U129">
        <f>IF($J129&gt;MAX('Match Log'!$A$4:$A$311),NA(),IFERROR(LOOKUP(2,1/(('Match Log'!$D$4:$D$311=$U$24)*('Match Log'!$A$4:$A$311&lt;=$J129)),'Match Log'!$N$4:$N$311),NA()))</f>
        <v>1094.3607552510286</v>
      </c>
      <c r="V129">
        <f>IF($J129&gt;MAX('Match Log'!$A$4:$A$311),NA(),IFERROR(LOOKUP(2,1/(('Match Log'!$D$4:$D$311=$V$24)*('Match Log'!$A$4:$A$311&lt;=$J129)),'Match Log'!$N$4:$N$311),NA()))</f>
        <v>1039.5415973556721</v>
      </c>
      <c r="W129">
        <f>IF($J129&gt;MAX('Match Log'!$A$4:$A$311),NA(),IFERROR(LOOKUP(2,1/(('Match Log'!$D$4:$D$311=$W$24)*('Match Log'!$A$4:$A$311&lt;=$J129)),'Match Log'!$N$4:$N$311),NA()))</f>
        <v>1038.5016461247724</v>
      </c>
      <c r="X129" t="e">
        <f>IF($J129&gt;MAX('Match Log'!$A$4:$A$311),NA(),IFERROR(LOOKUP(2,1/(('Match Log'!$D$4:$D$311=$X$24)*('Match Log'!$A$4:$A$311&lt;=$J129)),'Match Log'!$N$4:$N$311),NA()))</f>
        <v>#N/A</v>
      </c>
      <c r="Y129" t="str">
        <f t="shared" ca="1" si="27"/>
        <v/>
      </c>
    </row>
    <row r="130" spans="1:25" ht="15" customHeight="1" x14ac:dyDescent="0.2">
      <c r="A130">
        <v>106</v>
      </c>
      <c r="B130" s="132">
        <f>IFERROR(INDEX('Match Log'!$B$4:$B$311,MATCH(106,'Match Log'!$A$4:$A$311,0)),"")</f>
        <v>46199</v>
      </c>
      <c r="C130" t="str">
        <f>IFERROR(INDEX('Match Log'!$C$4:$C$311,MATCH(106,'Match Log'!$A$4:$A$311,0)),"")</f>
        <v>FIFA</v>
      </c>
      <c r="D130" t="str">
        <f>IFERROR(INDEX('Match Log'!$G$4:$G$311,MATCH(106,'Match Log'!$A$4:$A$311,0)),"")</f>
        <v>Aaron</v>
      </c>
      <c r="E130" s="133">
        <f>IFERROR(INDEX('Match Log'!$F$4:$F$311,MATCH(106,'Match Log'!$A$4:$A$311,0)),"")</f>
        <v>2</v>
      </c>
      <c r="F130">
        <f>IFERROR(SUMIFS('Match Log'!$I$4:$I$311,'Match Log'!$A$4:$A$311,106,'Match Log'!$E$4:$E$311,"Win"),"")</f>
        <v>0.61538461538461542</v>
      </c>
      <c r="G130">
        <f t="shared" si="25"/>
        <v>-0.23076923076923084</v>
      </c>
      <c r="H130" t="str">
        <f>IFERROR(IF($E130=2,LOOKUP(2,1/(('Match Log'!$A$4:$A$311=106)*('Match Log'!$E$4:$E$311="Loss")),'Match Log'!$D$4:$D$311),"the field"),"")</f>
        <v>Shawn</v>
      </c>
      <c r="I130">
        <f t="shared" si="26"/>
        <v>-0.23087523076923083</v>
      </c>
      <c r="J130">
        <v>106</v>
      </c>
      <c r="K130">
        <f>IF($J130&gt;MAX('Match Log'!$A$4:$A$311),NA(),IFERROR(LOOKUP(2,1/(('Match Log'!$D$4:$D$311=$K$24)*('Match Log'!$A$4:$A$311&lt;=$J130)),'Match Log'!$N$4:$N$311),NA()))</f>
        <v>1087.010959810106</v>
      </c>
      <c r="L130">
        <f>IF($J130&gt;MAX('Match Log'!$A$4:$A$311),NA(),IFERROR(LOOKUP(2,1/(('Match Log'!$D$4:$D$311=$L$24)*('Match Log'!$A$4:$A$311&lt;=$J130)),'Match Log'!$N$4:$N$311),NA()))</f>
        <v>1044.8691565259944</v>
      </c>
      <c r="M130">
        <f>IF($J130&gt;MAX('Match Log'!$A$4:$A$311),NA(),IFERROR(LOOKUP(2,1/(('Match Log'!$D$4:$D$311=$M$24)*('Match Log'!$A$4:$A$311&lt;=$J130)),'Match Log'!$N$4:$N$311),NA()))</f>
        <v>1017.3466608720325</v>
      </c>
      <c r="N130">
        <f>IF($J130&gt;MAX('Match Log'!$A$4:$A$311),NA(),IFERROR(LOOKUP(2,1/(('Match Log'!$D$4:$D$311=$N$24)*('Match Log'!$A$4:$A$311&lt;=$J130)),'Match Log'!$N$4:$N$311),NA()))</f>
        <v>990.8737469852914</v>
      </c>
      <c r="O130">
        <f>IF($J130&gt;MAX('Match Log'!$A$4:$A$311),NA(),IFERROR(LOOKUP(2,1/(('Match Log'!$D$4:$D$311=$O$24)*('Match Log'!$A$4:$A$311&lt;=$J130)),'Match Log'!$N$4:$N$311),NA()))</f>
        <v>1147.1945550051951</v>
      </c>
      <c r="P130">
        <f>IF($J130&gt;MAX('Match Log'!$A$4:$A$311),NA(),IFERROR(LOOKUP(2,1/(('Match Log'!$D$4:$D$311=$P$24)*('Match Log'!$A$4:$A$311&lt;=$J130)),'Match Log'!$N$4:$N$311),NA()))</f>
        <v>1031.8293182651969</v>
      </c>
      <c r="Q130">
        <f>IF($J130&gt;MAX('Match Log'!$A$4:$A$311),NA(),IFERROR(LOOKUP(2,1/(('Match Log'!$D$4:$D$311=$Q$24)*('Match Log'!$A$4:$A$311&lt;=$J130)),'Match Log'!$N$4:$N$311),NA()))</f>
        <v>1099.9035033078371</v>
      </c>
      <c r="R130">
        <f>IF($J130&gt;MAX('Match Log'!$A$4:$A$311),NA(),IFERROR(LOOKUP(2,1/(('Match Log'!$D$4:$D$311=$R$24)*('Match Log'!$A$4:$A$311&lt;=$J130)),'Match Log'!$N$4:$N$311),NA()))</f>
        <v>1092.9844065377026</v>
      </c>
      <c r="S130">
        <f>IF($J130&gt;MAX('Match Log'!$A$4:$A$311),NA(),IFERROR(LOOKUP(2,1/(('Match Log'!$D$4:$D$311=$S$24)*('Match Log'!$A$4:$A$311&lt;=$J130)),'Match Log'!$N$4:$N$311),NA()))</f>
        <v>1189.3765078898728</v>
      </c>
      <c r="T130">
        <f>IF($J130&gt;MAX('Match Log'!$A$4:$A$311),NA(),IFERROR(LOOKUP(2,1/(('Match Log'!$D$4:$D$311=$T$24)*('Match Log'!$A$4:$A$311&lt;=$J130)),'Match Log'!$N$4:$N$311),NA()))</f>
        <v>894.20718606929802</v>
      </c>
      <c r="U130">
        <f>IF($J130&gt;MAX('Match Log'!$A$4:$A$311),NA(),IFERROR(LOOKUP(2,1/(('Match Log'!$D$4:$D$311=$U$24)*('Match Log'!$A$4:$A$311&lt;=$J130)),'Match Log'!$N$4:$N$311),NA()))</f>
        <v>1094.3607552510286</v>
      </c>
      <c r="V130">
        <f>IF($J130&gt;MAX('Match Log'!$A$4:$A$311),NA(),IFERROR(LOOKUP(2,1/(('Match Log'!$D$4:$D$311=$V$24)*('Match Log'!$A$4:$A$311&lt;=$J130)),'Match Log'!$N$4:$N$311),NA()))</f>
        <v>1039.5415973556721</v>
      </c>
      <c r="W130">
        <f>IF($J130&gt;MAX('Match Log'!$A$4:$A$311),NA(),IFERROR(LOOKUP(2,1/(('Match Log'!$D$4:$D$311=$W$24)*('Match Log'!$A$4:$A$311&lt;=$J130)),'Match Log'!$N$4:$N$311),NA()))</f>
        <v>1038.5016461247724</v>
      </c>
      <c r="X130" t="e">
        <f>IF($J130&gt;MAX('Match Log'!$A$4:$A$311),NA(),IFERROR(LOOKUP(2,1/(('Match Log'!$D$4:$D$311=$X$24)*('Match Log'!$A$4:$A$311&lt;=$J130)),'Match Log'!$N$4:$N$311),NA()))</f>
        <v>#N/A</v>
      </c>
      <c r="Y130" t="str">
        <f t="shared" ca="1" si="27"/>
        <v/>
      </c>
    </row>
    <row r="131" spans="1:25" ht="15" customHeight="1" x14ac:dyDescent="0.2">
      <c r="A131">
        <v>107</v>
      </c>
      <c r="B131" s="132">
        <f>IFERROR(INDEX('Match Log'!$B$4:$B$311,MATCH(107,'Match Log'!$A$4:$A$311,0)),"")</f>
        <v>46199</v>
      </c>
      <c r="C131" t="str">
        <f>IFERROR(INDEX('Match Log'!$C$4:$C$311,MATCH(107,'Match Log'!$A$4:$A$311,0)),"")</f>
        <v>FIFA</v>
      </c>
      <c r="D131" t="str">
        <f>IFERROR(INDEX('Match Log'!$G$4:$G$311,MATCH(107,'Match Log'!$A$4:$A$311,0)),"")</f>
        <v>Shawn</v>
      </c>
      <c r="E131" s="133">
        <f>IFERROR(INDEX('Match Log'!$F$4:$F$311,MATCH(107,'Match Log'!$A$4:$A$311,0)),"")</f>
        <v>2</v>
      </c>
      <c r="F131">
        <f>IFERROR(SUMIFS('Match Log'!$I$4:$I$311,'Match Log'!$A$4:$A$311,107,'Match Log'!$E$4:$E$311,"Win"),"")</f>
        <v>0.35294117647058826</v>
      </c>
      <c r="G131">
        <f t="shared" si="25"/>
        <v>0.29411764705882348</v>
      </c>
      <c r="H131" t="str">
        <f>IFERROR(IF($E131=2,LOOKUP(2,1/(('Match Log'!$A$4:$A$311=107)*('Match Log'!$E$4:$E$311="Loss")),'Match Log'!$D$4:$D$311),"the field"),"")</f>
        <v>Aaron</v>
      </c>
      <c r="I131">
        <f t="shared" si="26"/>
        <v>0.29401064705882346</v>
      </c>
      <c r="J131">
        <v>107</v>
      </c>
      <c r="K131">
        <f>IF($J131&gt;MAX('Match Log'!$A$4:$A$311),NA(),IFERROR(LOOKUP(2,1/(('Match Log'!$D$4:$D$311=$K$24)*('Match Log'!$A$4:$A$311&lt;=$J131)),'Match Log'!$N$4:$N$311),NA()))</f>
        <v>1059.5408188088202</v>
      </c>
      <c r="L131">
        <f>IF($J131&gt;MAX('Match Log'!$A$4:$A$311),NA(),IFERROR(LOOKUP(2,1/(('Match Log'!$D$4:$D$311=$L$24)*('Match Log'!$A$4:$A$311&lt;=$J131)),'Match Log'!$N$4:$N$311),NA()))</f>
        <v>1044.8691565259944</v>
      </c>
      <c r="M131">
        <f>IF($J131&gt;MAX('Match Log'!$A$4:$A$311),NA(),IFERROR(LOOKUP(2,1/(('Match Log'!$D$4:$D$311=$M$24)*('Match Log'!$A$4:$A$311&lt;=$J131)),'Match Log'!$N$4:$N$311),NA()))</f>
        <v>1017.3466608720325</v>
      </c>
      <c r="N131">
        <f>IF($J131&gt;MAX('Match Log'!$A$4:$A$311),NA(),IFERROR(LOOKUP(2,1/(('Match Log'!$D$4:$D$311=$N$24)*('Match Log'!$A$4:$A$311&lt;=$J131)),'Match Log'!$N$4:$N$311),NA()))</f>
        <v>990.8737469852914</v>
      </c>
      <c r="O131">
        <f>IF($J131&gt;MAX('Match Log'!$A$4:$A$311),NA(),IFERROR(LOOKUP(2,1/(('Match Log'!$D$4:$D$311=$O$24)*('Match Log'!$A$4:$A$311&lt;=$J131)),'Match Log'!$N$4:$N$311),NA()))</f>
        <v>1147.1945550051951</v>
      </c>
      <c r="P131">
        <f>IF($J131&gt;MAX('Match Log'!$A$4:$A$311),NA(),IFERROR(LOOKUP(2,1/(('Match Log'!$D$4:$D$311=$P$24)*('Match Log'!$A$4:$A$311&lt;=$J131)),'Match Log'!$N$4:$N$311),NA()))</f>
        <v>1059.2994592664827</v>
      </c>
      <c r="Q131">
        <f>IF($J131&gt;MAX('Match Log'!$A$4:$A$311),NA(),IFERROR(LOOKUP(2,1/(('Match Log'!$D$4:$D$311=$Q$24)*('Match Log'!$A$4:$A$311&lt;=$J131)),'Match Log'!$N$4:$N$311),NA()))</f>
        <v>1099.9035033078371</v>
      </c>
      <c r="R131">
        <f>IF($J131&gt;MAX('Match Log'!$A$4:$A$311),NA(),IFERROR(LOOKUP(2,1/(('Match Log'!$D$4:$D$311=$R$24)*('Match Log'!$A$4:$A$311&lt;=$J131)),'Match Log'!$N$4:$N$311),NA()))</f>
        <v>1092.9844065377026</v>
      </c>
      <c r="S131">
        <f>IF($J131&gt;MAX('Match Log'!$A$4:$A$311),NA(),IFERROR(LOOKUP(2,1/(('Match Log'!$D$4:$D$311=$S$24)*('Match Log'!$A$4:$A$311&lt;=$J131)),'Match Log'!$N$4:$N$311),NA()))</f>
        <v>1189.3765078898728</v>
      </c>
      <c r="T131">
        <f>IF($J131&gt;MAX('Match Log'!$A$4:$A$311),NA(),IFERROR(LOOKUP(2,1/(('Match Log'!$D$4:$D$311=$T$24)*('Match Log'!$A$4:$A$311&lt;=$J131)),'Match Log'!$N$4:$N$311),NA()))</f>
        <v>894.20718606929802</v>
      </c>
      <c r="U131">
        <f>IF($J131&gt;MAX('Match Log'!$A$4:$A$311),NA(),IFERROR(LOOKUP(2,1/(('Match Log'!$D$4:$D$311=$U$24)*('Match Log'!$A$4:$A$311&lt;=$J131)),'Match Log'!$N$4:$N$311),NA()))</f>
        <v>1094.3607552510286</v>
      </c>
      <c r="V131">
        <f>IF($J131&gt;MAX('Match Log'!$A$4:$A$311),NA(),IFERROR(LOOKUP(2,1/(('Match Log'!$D$4:$D$311=$V$24)*('Match Log'!$A$4:$A$311&lt;=$J131)),'Match Log'!$N$4:$N$311),NA()))</f>
        <v>1039.5415973556721</v>
      </c>
      <c r="W131">
        <f>IF($J131&gt;MAX('Match Log'!$A$4:$A$311),NA(),IFERROR(LOOKUP(2,1/(('Match Log'!$D$4:$D$311=$W$24)*('Match Log'!$A$4:$A$311&lt;=$J131)),'Match Log'!$N$4:$N$311),NA()))</f>
        <v>1038.5016461247724</v>
      </c>
      <c r="X131" t="e">
        <f>IF($J131&gt;MAX('Match Log'!$A$4:$A$311),NA(),IFERROR(LOOKUP(2,1/(('Match Log'!$D$4:$D$311=$X$24)*('Match Log'!$A$4:$A$311&lt;=$J131)),'Match Log'!$N$4:$N$311),NA()))</f>
        <v>#N/A</v>
      </c>
      <c r="Y131" t="str">
        <f t="shared" ca="1" si="27"/>
        <v/>
      </c>
    </row>
    <row r="132" spans="1:25" ht="15" customHeight="1" x14ac:dyDescent="0.2">
      <c r="A132">
        <v>108</v>
      </c>
      <c r="B132" s="132">
        <f>IFERROR(INDEX('Match Log'!$B$4:$B$311,MATCH(108,'Match Log'!$A$4:$A$311,0)),"")</f>
        <v>46200</v>
      </c>
      <c r="C132" t="str">
        <f>IFERROR(INDEX('Match Log'!$C$4:$C$311,MATCH(108,'Match Log'!$A$4:$A$311,0)),"")</f>
        <v>FIFA</v>
      </c>
      <c r="D132" t="str">
        <f>IFERROR(INDEX('Match Log'!$G$4:$G$311,MATCH(108,'Match Log'!$A$4:$A$311,0)),"")</f>
        <v>Shawn</v>
      </c>
      <c r="E132" s="133">
        <f>IFERROR(INDEX('Match Log'!$F$4:$F$311,MATCH(108,'Match Log'!$A$4:$A$311,0)),"")</f>
        <v>2</v>
      </c>
      <c r="F132">
        <f>IFERROR(SUMIFS('Match Log'!$I$4:$I$311,'Match Log'!$A$4:$A$311,108,'Match Log'!$E$4:$E$311,"Win"),"")</f>
        <v>0.41176470588235292</v>
      </c>
      <c r="G132">
        <f t="shared" si="25"/>
        <v>0.17647058823529416</v>
      </c>
      <c r="H132" t="str">
        <f>IFERROR(IF($E132=2,LOOKUP(2,1/(('Match Log'!$A$4:$A$311=108)*('Match Log'!$E$4:$E$311="Loss")),'Match Log'!$D$4:$D$311),"the field"),"")</f>
        <v>Aaron</v>
      </c>
      <c r="I132">
        <f t="shared" si="26"/>
        <v>0.17636258823529416</v>
      </c>
      <c r="J132">
        <v>108</v>
      </c>
      <c r="K132">
        <f>IF($J132&gt;MAX('Match Log'!$A$4:$A$311),NA(),IFERROR(LOOKUP(2,1/(('Match Log'!$D$4:$D$311=$K$24)*('Match Log'!$A$4:$A$311&lt;=$J132)),'Match Log'!$N$4:$N$311),NA()))</f>
        <v>1034.8452813170779</v>
      </c>
      <c r="L132">
        <f>IF($J132&gt;MAX('Match Log'!$A$4:$A$311),NA(),IFERROR(LOOKUP(2,1/(('Match Log'!$D$4:$D$311=$L$24)*('Match Log'!$A$4:$A$311&lt;=$J132)),'Match Log'!$N$4:$N$311),NA()))</f>
        <v>1044.8691565259944</v>
      </c>
      <c r="M132">
        <f>IF($J132&gt;MAX('Match Log'!$A$4:$A$311),NA(),IFERROR(LOOKUP(2,1/(('Match Log'!$D$4:$D$311=$M$24)*('Match Log'!$A$4:$A$311&lt;=$J132)),'Match Log'!$N$4:$N$311),NA()))</f>
        <v>1017.3466608720325</v>
      </c>
      <c r="N132">
        <f>IF($J132&gt;MAX('Match Log'!$A$4:$A$311),NA(),IFERROR(LOOKUP(2,1/(('Match Log'!$D$4:$D$311=$N$24)*('Match Log'!$A$4:$A$311&lt;=$J132)),'Match Log'!$N$4:$N$311),NA()))</f>
        <v>990.8737469852914</v>
      </c>
      <c r="O132">
        <f>IF($J132&gt;MAX('Match Log'!$A$4:$A$311),NA(),IFERROR(LOOKUP(2,1/(('Match Log'!$D$4:$D$311=$O$24)*('Match Log'!$A$4:$A$311&lt;=$J132)),'Match Log'!$N$4:$N$311),NA()))</f>
        <v>1147.1945550051951</v>
      </c>
      <c r="P132">
        <f>IF($J132&gt;MAX('Match Log'!$A$4:$A$311),NA(),IFERROR(LOOKUP(2,1/(('Match Log'!$D$4:$D$311=$P$24)*('Match Log'!$A$4:$A$311&lt;=$J132)),'Match Log'!$N$4:$N$311),NA()))</f>
        <v>1083.9949967582249</v>
      </c>
      <c r="Q132">
        <f>IF($J132&gt;MAX('Match Log'!$A$4:$A$311),NA(),IFERROR(LOOKUP(2,1/(('Match Log'!$D$4:$D$311=$Q$24)*('Match Log'!$A$4:$A$311&lt;=$J132)),'Match Log'!$N$4:$N$311),NA()))</f>
        <v>1099.9035033078371</v>
      </c>
      <c r="R132">
        <f>IF($J132&gt;MAX('Match Log'!$A$4:$A$311),NA(),IFERROR(LOOKUP(2,1/(('Match Log'!$D$4:$D$311=$R$24)*('Match Log'!$A$4:$A$311&lt;=$J132)),'Match Log'!$N$4:$N$311),NA()))</f>
        <v>1092.9844065377026</v>
      </c>
      <c r="S132">
        <f>IF($J132&gt;MAX('Match Log'!$A$4:$A$311),NA(),IFERROR(LOOKUP(2,1/(('Match Log'!$D$4:$D$311=$S$24)*('Match Log'!$A$4:$A$311&lt;=$J132)),'Match Log'!$N$4:$N$311),NA()))</f>
        <v>1189.3765078898728</v>
      </c>
      <c r="T132">
        <f>IF($J132&gt;MAX('Match Log'!$A$4:$A$311),NA(),IFERROR(LOOKUP(2,1/(('Match Log'!$D$4:$D$311=$T$24)*('Match Log'!$A$4:$A$311&lt;=$J132)),'Match Log'!$N$4:$N$311),NA()))</f>
        <v>894.20718606929802</v>
      </c>
      <c r="U132">
        <f>IF($J132&gt;MAX('Match Log'!$A$4:$A$311),NA(),IFERROR(LOOKUP(2,1/(('Match Log'!$D$4:$D$311=$U$24)*('Match Log'!$A$4:$A$311&lt;=$J132)),'Match Log'!$N$4:$N$311),NA()))</f>
        <v>1094.3607552510286</v>
      </c>
      <c r="V132">
        <f>IF($J132&gt;MAX('Match Log'!$A$4:$A$311),NA(),IFERROR(LOOKUP(2,1/(('Match Log'!$D$4:$D$311=$V$24)*('Match Log'!$A$4:$A$311&lt;=$J132)),'Match Log'!$N$4:$N$311),NA()))</f>
        <v>1039.5415973556721</v>
      </c>
      <c r="W132">
        <f>IF($J132&gt;MAX('Match Log'!$A$4:$A$311),NA(),IFERROR(LOOKUP(2,1/(('Match Log'!$D$4:$D$311=$W$24)*('Match Log'!$A$4:$A$311&lt;=$J132)),'Match Log'!$N$4:$N$311),NA()))</f>
        <v>1038.5016461247724</v>
      </c>
      <c r="X132" t="e">
        <f>IF($J132&gt;MAX('Match Log'!$A$4:$A$311),NA(),IFERROR(LOOKUP(2,1/(('Match Log'!$D$4:$D$311=$X$24)*('Match Log'!$A$4:$A$311&lt;=$J132)),'Match Log'!$N$4:$N$311),NA()))</f>
        <v>#N/A</v>
      </c>
      <c r="Y132">
        <f t="shared" ca="1" si="27"/>
        <v>0.17636258823529416</v>
      </c>
    </row>
    <row r="133" spans="1:25" ht="15" customHeight="1" x14ac:dyDescent="0.2">
      <c r="A133">
        <v>109</v>
      </c>
      <c r="B133" s="132">
        <f>IFERROR(INDEX('Match Log'!$B$4:$B$311,MATCH(109,'Match Log'!$A$4:$A$311,0)),"")</f>
        <v>46200</v>
      </c>
      <c r="C133" t="str">
        <f>IFERROR(INDEX('Match Log'!$C$4:$C$311,MATCH(109,'Match Log'!$A$4:$A$311,0)),"")</f>
        <v>FIFA</v>
      </c>
      <c r="D133" t="str">
        <f>IFERROR(INDEX('Match Log'!$G$4:$G$311,MATCH(109,'Match Log'!$A$4:$A$311,0)),"")</f>
        <v>Aaron</v>
      </c>
      <c r="E133" s="133">
        <f>IFERROR(INDEX('Match Log'!$F$4:$F$311,MATCH(109,'Match Log'!$A$4:$A$311,0)),"")</f>
        <v>2</v>
      </c>
      <c r="F133">
        <f>IFERROR(SUMIFS('Match Log'!$I$4:$I$311,'Match Log'!$A$4:$A$311,109,'Match Log'!$E$4:$E$311,"Win"),"")</f>
        <v>0.5371900826446282</v>
      </c>
      <c r="G133">
        <f t="shared" si="25"/>
        <v>-7.4380165289256395E-2</v>
      </c>
      <c r="H133" t="str">
        <f>IFERROR(IF($E133=2,LOOKUP(2,1/(('Match Log'!$A$4:$A$311=109)*('Match Log'!$E$4:$E$311="Loss")),'Match Log'!$D$4:$D$311),"the field"),"")</f>
        <v>Shawn</v>
      </c>
      <c r="I133">
        <f t="shared" si="26"/>
        <v>-7.4489165289256393E-2</v>
      </c>
      <c r="J133">
        <v>109</v>
      </c>
      <c r="K133">
        <f>IF($J133&gt;MAX('Match Log'!$A$4:$A$311),NA(),IFERROR(LOOKUP(2,1/(('Match Log'!$D$4:$D$311=$K$24)*('Match Log'!$A$4:$A$311&lt;=$J133)),'Match Log'!$N$4:$N$311),NA()))</f>
        <v>1056.6393819896734</v>
      </c>
      <c r="L133">
        <f>IF($J133&gt;MAX('Match Log'!$A$4:$A$311),NA(),IFERROR(LOOKUP(2,1/(('Match Log'!$D$4:$D$311=$L$24)*('Match Log'!$A$4:$A$311&lt;=$J133)),'Match Log'!$N$4:$N$311),NA()))</f>
        <v>1044.8691565259944</v>
      </c>
      <c r="M133">
        <f>IF($J133&gt;MAX('Match Log'!$A$4:$A$311),NA(),IFERROR(LOOKUP(2,1/(('Match Log'!$D$4:$D$311=$M$24)*('Match Log'!$A$4:$A$311&lt;=$J133)),'Match Log'!$N$4:$N$311),NA()))</f>
        <v>1017.3466608720325</v>
      </c>
      <c r="N133">
        <f>IF($J133&gt;MAX('Match Log'!$A$4:$A$311),NA(),IFERROR(LOOKUP(2,1/(('Match Log'!$D$4:$D$311=$N$24)*('Match Log'!$A$4:$A$311&lt;=$J133)),'Match Log'!$N$4:$N$311),NA()))</f>
        <v>990.8737469852914</v>
      </c>
      <c r="O133">
        <f>IF($J133&gt;MAX('Match Log'!$A$4:$A$311),NA(),IFERROR(LOOKUP(2,1/(('Match Log'!$D$4:$D$311=$O$24)*('Match Log'!$A$4:$A$311&lt;=$J133)),'Match Log'!$N$4:$N$311),NA()))</f>
        <v>1147.1945550051951</v>
      </c>
      <c r="P133">
        <f>IF($J133&gt;MAX('Match Log'!$A$4:$A$311),NA(),IFERROR(LOOKUP(2,1/(('Match Log'!$D$4:$D$311=$P$24)*('Match Log'!$A$4:$A$311&lt;=$J133)),'Match Log'!$N$4:$N$311),NA()))</f>
        <v>1062.2008960856294</v>
      </c>
      <c r="Q133">
        <f>IF($J133&gt;MAX('Match Log'!$A$4:$A$311),NA(),IFERROR(LOOKUP(2,1/(('Match Log'!$D$4:$D$311=$Q$24)*('Match Log'!$A$4:$A$311&lt;=$J133)),'Match Log'!$N$4:$N$311),NA()))</f>
        <v>1099.9035033078371</v>
      </c>
      <c r="R133">
        <f>IF($J133&gt;MAX('Match Log'!$A$4:$A$311),NA(),IFERROR(LOOKUP(2,1/(('Match Log'!$D$4:$D$311=$R$24)*('Match Log'!$A$4:$A$311&lt;=$J133)),'Match Log'!$N$4:$N$311),NA()))</f>
        <v>1092.9844065377026</v>
      </c>
      <c r="S133">
        <f>IF($J133&gt;MAX('Match Log'!$A$4:$A$311),NA(),IFERROR(LOOKUP(2,1/(('Match Log'!$D$4:$D$311=$S$24)*('Match Log'!$A$4:$A$311&lt;=$J133)),'Match Log'!$N$4:$N$311),NA()))</f>
        <v>1189.3765078898728</v>
      </c>
      <c r="T133">
        <f>IF($J133&gt;MAX('Match Log'!$A$4:$A$311),NA(),IFERROR(LOOKUP(2,1/(('Match Log'!$D$4:$D$311=$T$24)*('Match Log'!$A$4:$A$311&lt;=$J133)),'Match Log'!$N$4:$N$311),NA()))</f>
        <v>894.20718606929802</v>
      </c>
      <c r="U133">
        <f>IF($J133&gt;MAX('Match Log'!$A$4:$A$311),NA(),IFERROR(LOOKUP(2,1/(('Match Log'!$D$4:$D$311=$U$24)*('Match Log'!$A$4:$A$311&lt;=$J133)),'Match Log'!$N$4:$N$311),NA()))</f>
        <v>1094.3607552510286</v>
      </c>
      <c r="V133">
        <f>IF($J133&gt;MAX('Match Log'!$A$4:$A$311),NA(),IFERROR(LOOKUP(2,1/(('Match Log'!$D$4:$D$311=$V$24)*('Match Log'!$A$4:$A$311&lt;=$J133)),'Match Log'!$N$4:$N$311),NA()))</f>
        <v>1039.5415973556721</v>
      </c>
      <c r="W133">
        <f>IF($J133&gt;MAX('Match Log'!$A$4:$A$311),NA(),IFERROR(LOOKUP(2,1/(('Match Log'!$D$4:$D$311=$W$24)*('Match Log'!$A$4:$A$311&lt;=$J133)),'Match Log'!$N$4:$N$311),NA()))</f>
        <v>1038.5016461247724</v>
      </c>
      <c r="X133" t="e">
        <f>IF($J133&gt;MAX('Match Log'!$A$4:$A$311),NA(),IFERROR(LOOKUP(2,1/(('Match Log'!$D$4:$D$311=$X$24)*('Match Log'!$A$4:$A$311&lt;=$J133)),'Match Log'!$N$4:$N$311),NA()))</f>
        <v>#N/A</v>
      </c>
      <c r="Y133">
        <f t="shared" ca="1" si="27"/>
        <v>-7.4489165289256393E-2</v>
      </c>
    </row>
    <row r="134" spans="1:25" ht="15" customHeight="1" x14ac:dyDescent="0.2">
      <c r="A134">
        <v>110</v>
      </c>
      <c r="B134" s="132">
        <f>IFERROR(INDEX('Match Log'!$B$4:$B$311,MATCH(110,'Match Log'!$A$4:$A$311,0)),"")</f>
        <v>46200</v>
      </c>
      <c r="C134" t="str">
        <f>IFERROR(INDEX('Match Log'!$C$4:$C$311,MATCH(110,'Match Log'!$A$4:$A$311,0)),"")</f>
        <v>FIFA</v>
      </c>
      <c r="D134" t="str">
        <f>IFERROR(INDEX('Match Log'!$G$4:$G$311,MATCH(110,'Match Log'!$A$4:$A$311,0)),"")</f>
        <v>Aaron</v>
      </c>
      <c r="E134" s="133">
        <f>IFERROR(INDEX('Match Log'!$F$4:$F$311,MATCH(110,'Match Log'!$A$4:$A$311,0)),"")</f>
        <v>2</v>
      </c>
      <c r="F134">
        <f>IFERROR(SUMIFS('Match Log'!$I$4:$I$311,'Match Log'!$A$4:$A$311,110,'Match Log'!$E$4:$E$311,"Win"),"")</f>
        <v>0.57142857142857151</v>
      </c>
      <c r="G134">
        <f t="shared" si="25"/>
        <v>-0.14285714285714302</v>
      </c>
      <c r="H134" t="str">
        <f>IFERROR(IF($E134=2,LOOKUP(2,1/(('Match Log'!$A$4:$A$311=110)*('Match Log'!$E$4:$E$311="Loss")),'Match Log'!$D$4:$D$311),"the field"),"")</f>
        <v>Shawn</v>
      </c>
      <c r="I134">
        <f t="shared" si="26"/>
        <v>-0.14296714285714301</v>
      </c>
      <c r="J134">
        <v>110</v>
      </c>
      <c r="K134">
        <f>IF($J134&gt;MAX('Match Log'!$A$4:$A$311),NA(),IFERROR(LOOKUP(2,1/(('Match Log'!$D$4:$D$311=$K$24)*('Match Log'!$A$4:$A$311&lt;=$J134)),'Match Log'!$N$4:$N$311),NA()))</f>
        <v>1076.3561113589042</v>
      </c>
      <c r="L134">
        <f>IF($J134&gt;MAX('Match Log'!$A$4:$A$311),NA(),IFERROR(LOOKUP(2,1/(('Match Log'!$D$4:$D$311=$L$24)*('Match Log'!$A$4:$A$311&lt;=$J134)),'Match Log'!$N$4:$N$311),NA()))</f>
        <v>1044.8691565259944</v>
      </c>
      <c r="M134">
        <f>IF($J134&gt;MAX('Match Log'!$A$4:$A$311),NA(),IFERROR(LOOKUP(2,1/(('Match Log'!$D$4:$D$311=$M$24)*('Match Log'!$A$4:$A$311&lt;=$J134)),'Match Log'!$N$4:$N$311),NA()))</f>
        <v>1017.3466608720325</v>
      </c>
      <c r="N134">
        <f>IF($J134&gt;MAX('Match Log'!$A$4:$A$311),NA(),IFERROR(LOOKUP(2,1/(('Match Log'!$D$4:$D$311=$N$24)*('Match Log'!$A$4:$A$311&lt;=$J134)),'Match Log'!$N$4:$N$311),NA()))</f>
        <v>990.8737469852914</v>
      </c>
      <c r="O134">
        <f>IF($J134&gt;MAX('Match Log'!$A$4:$A$311),NA(),IFERROR(LOOKUP(2,1/(('Match Log'!$D$4:$D$311=$O$24)*('Match Log'!$A$4:$A$311&lt;=$J134)),'Match Log'!$N$4:$N$311),NA()))</f>
        <v>1147.1945550051951</v>
      </c>
      <c r="P134">
        <f>IF($J134&gt;MAX('Match Log'!$A$4:$A$311),NA(),IFERROR(LOOKUP(2,1/(('Match Log'!$D$4:$D$311=$P$24)*('Match Log'!$A$4:$A$311&lt;=$J134)),'Match Log'!$N$4:$N$311),NA()))</f>
        <v>1042.4841667163987</v>
      </c>
      <c r="Q134">
        <f>IF($J134&gt;MAX('Match Log'!$A$4:$A$311),NA(),IFERROR(LOOKUP(2,1/(('Match Log'!$D$4:$D$311=$Q$24)*('Match Log'!$A$4:$A$311&lt;=$J134)),'Match Log'!$N$4:$N$311),NA()))</f>
        <v>1099.9035033078371</v>
      </c>
      <c r="R134">
        <f>IF($J134&gt;MAX('Match Log'!$A$4:$A$311),NA(),IFERROR(LOOKUP(2,1/(('Match Log'!$D$4:$D$311=$R$24)*('Match Log'!$A$4:$A$311&lt;=$J134)),'Match Log'!$N$4:$N$311),NA()))</f>
        <v>1092.9844065377026</v>
      </c>
      <c r="S134">
        <f>IF($J134&gt;MAX('Match Log'!$A$4:$A$311),NA(),IFERROR(LOOKUP(2,1/(('Match Log'!$D$4:$D$311=$S$24)*('Match Log'!$A$4:$A$311&lt;=$J134)),'Match Log'!$N$4:$N$311),NA()))</f>
        <v>1189.3765078898728</v>
      </c>
      <c r="T134">
        <f>IF($J134&gt;MAX('Match Log'!$A$4:$A$311),NA(),IFERROR(LOOKUP(2,1/(('Match Log'!$D$4:$D$311=$T$24)*('Match Log'!$A$4:$A$311&lt;=$J134)),'Match Log'!$N$4:$N$311),NA()))</f>
        <v>894.20718606929802</v>
      </c>
      <c r="U134">
        <f>IF($J134&gt;MAX('Match Log'!$A$4:$A$311),NA(),IFERROR(LOOKUP(2,1/(('Match Log'!$D$4:$D$311=$U$24)*('Match Log'!$A$4:$A$311&lt;=$J134)),'Match Log'!$N$4:$N$311),NA()))</f>
        <v>1094.3607552510286</v>
      </c>
      <c r="V134">
        <f>IF($J134&gt;MAX('Match Log'!$A$4:$A$311),NA(),IFERROR(LOOKUP(2,1/(('Match Log'!$D$4:$D$311=$V$24)*('Match Log'!$A$4:$A$311&lt;=$J134)),'Match Log'!$N$4:$N$311),NA()))</f>
        <v>1039.5415973556721</v>
      </c>
      <c r="W134">
        <f>IF($J134&gt;MAX('Match Log'!$A$4:$A$311),NA(),IFERROR(LOOKUP(2,1/(('Match Log'!$D$4:$D$311=$W$24)*('Match Log'!$A$4:$A$311&lt;=$J134)),'Match Log'!$N$4:$N$311),NA()))</f>
        <v>1038.5016461247724</v>
      </c>
      <c r="X134" t="e">
        <f>IF($J134&gt;MAX('Match Log'!$A$4:$A$311),NA(),IFERROR(LOOKUP(2,1/(('Match Log'!$D$4:$D$311=$X$24)*('Match Log'!$A$4:$A$311&lt;=$J134)),'Match Log'!$N$4:$N$311),NA()))</f>
        <v>#N/A</v>
      </c>
      <c r="Y134">
        <f t="shared" ca="1" si="27"/>
        <v>-0.14296714285714301</v>
      </c>
    </row>
    <row r="135" spans="1:25" ht="15" customHeight="1" x14ac:dyDescent="0.2">
      <c r="A135">
        <v>111</v>
      </c>
      <c r="B135" s="132">
        <f>IFERROR(INDEX('Match Log'!$B$4:$B$311,MATCH(111,'Match Log'!$A$4:$A$311,0)),"")</f>
        <v>46200</v>
      </c>
      <c r="C135" t="str">
        <f>IFERROR(INDEX('Match Log'!$C$4:$C$311,MATCH(111,'Match Log'!$A$4:$A$311,0)),"")</f>
        <v>Mario Kart</v>
      </c>
      <c r="D135" t="str">
        <f>IFERROR(INDEX('Match Log'!$G$4:$G$311,MATCH(111,'Match Log'!$A$4:$A$311,0)),"")</f>
        <v>Aaron</v>
      </c>
      <c r="E135" s="133">
        <f>IFERROR(INDEX('Match Log'!$F$4:$F$311,MATCH(111,'Match Log'!$A$4:$A$311,0)),"")</f>
        <v>2</v>
      </c>
      <c r="F135">
        <f>IFERROR(SUMIFS('Match Log'!$I$4:$I$311,'Match Log'!$A$4:$A$311,111,'Match Log'!$E$4:$E$311,"Win"),"")</f>
        <v>0.60000000000000009</v>
      </c>
      <c r="G135">
        <f t="shared" si="25"/>
        <v>-0.20000000000000018</v>
      </c>
      <c r="H135" t="str">
        <f>IFERROR(IF($E135=2,LOOKUP(2,1/(('Match Log'!$A$4:$A$311=111)*('Match Log'!$E$4:$E$311="Loss")),'Match Log'!$D$4:$D$311),"the field"),"")</f>
        <v>Shawn</v>
      </c>
      <c r="I135">
        <f t="shared" si="26"/>
        <v>-0.20011100000000018</v>
      </c>
      <c r="J135">
        <v>111</v>
      </c>
      <c r="K135">
        <f>IF($J135&gt;MAX('Match Log'!$A$4:$A$311),NA(),IFERROR(LOOKUP(2,1/(('Match Log'!$D$4:$D$311=$K$24)*('Match Log'!$A$4:$A$311&lt;=$J135)),'Match Log'!$N$4:$N$311),NA()))</f>
        <v>1095.1513498420616</v>
      </c>
      <c r="L135">
        <f>IF($J135&gt;MAX('Match Log'!$A$4:$A$311),NA(),IFERROR(LOOKUP(2,1/(('Match Log'!$D$4:$D$311=$L$24)*('Match Log'!$A$4:$A$311&lt;=$J135)),'Match Log'!$N$4:$N$311),NA()))</f>
        <v>1044.8691565259944</v>
      </c>
      <c r="M135">
        <f>IF($J135&gt;MAX('Match Log'!$A$4:$A$311),NA(),IFERROR(LOOKUP(2,1/(('Match Log'!$D$4:$D$311=$M$24)*('Match Log'!$A$4:$A$311&lt;=$J135)),'Match Log'!$N$4:$N$311),NA()))</f>
        <v>1017.3466608720325</v>
      </c>
      <c r="N135">
        <f>IF($J135&gt;MAX('Match Log'!$A$4:$A$311),NA(),IFERROR(LOOKUP(2,1/(('Match Log'!$D$4:$D$311=$N$24)*('Match Log'!$A$4:$A$311&lt;=$J135)),'Match Log'!$N$4:$N$311),NA()))</f>
        <v>990.8737469852914</v>
      </c>
      <c r="O135">
        <f>IF($J135&gt;MAX('Match Log'!$A$4:$A$311),NA(),IFERROR(LOOKUP(2,1/(('Match Log'!$D$4:$D$311=$O$24)*('Match Log'!$A$4:$A$311&lt;=$J135)),'Match Log'!$N$4:$N$311),NA()))</f>
        <v>1147.1945550051951</v>
      </c>
      <c r="P135">
        <f>IF($J135&gt;MAX('Match Log'!$A$4:$A$311),NA(),IFERROR(LOOKUP(2,1/(('Match Log'!$D$4:$D$311=$P$24)*('Match Log'!$A$4:$A$311&lt;=$J135)),'Match Log'!$N$4:$N$311),NA()))</f>
        <v>1023.6889282332414</v>
      </c>
      <c r="Q135">
        <f>IF($J135&gt;MAX('Match Log'!$A$4:$A$311),NA(),IFERROR(LOOKUP(2,1/(('Match Log'!$D$4:$D$311=$Q$24)*('Match Log'!$A$4:$A$311&lt;=$J135)),'Match Log'!$N$4:$N$311),NA()))</f>
        <v>1099.9035033078371</v>
      </c>
      <c r="R135">
        <f>IF($J135&gt;MAX('Match Log'!$A$4:$A$311),NA(),IFERROR(LOOKUP(2,1/(('Match Log'!$D$4:$D$311=$R$24)*('Match Log'!$A$4:$A$311&lt;=$J135)),'Match Log'!$N$4:$N$311),NA()))</f>
        <v>1092.9844065377026</v>
      </c>
      <c r="S135">
        <f>IF($J135&gt;MAX('Match Log'!$A$4:$A$311),NA(),IFERROR(LOOKUP(2,1/(('Match Log'!$D$4:$D$311=$S$24)*('Match Log'!$A$4:$A$311&lt;=$J135)),'Match Log'!$N$4:$N$311),NA()))</f>
        <v>1189.3765078898728</v>
      </c>
      <c r="T135">
        <f>IF($J135&gt;MAX('Match Log'!$A$4:$A$311),NA(),IFERROR(LOOKUP(2,1/(('Match Log'!$D$4:$D$311=$T$24)*('Match Log'!$A$4:$A$311&lt;=$J135)),'Match Log'!$N$4:$N$311),NA()))</f>
        <v>894.20718606929802</v>
      </c>
      <c r="U135">
        <f>IF($J135&gt;MAX('Match Log'!$A$4:$A$311),NA(),IFERROR(LOOKUP(2,1/(('Match Log'!$D$4:$D$311=$U$24)*('Match Log'!$A$4:$A$311&lt;=$J135)),'Match Log'!$N$4:$N$311),NA()))</f>
        <v>1094.3607552510286</v>
      </c>
      <c r="V135">
        <f>IF($J135&gt;MAX('Match Log'!$A$4:$A$311),NA(),IFERROR(LOOKUP(2,1/(('Match Log'!$D$4:$D$311=$V$24)*('Match Log'!$A$4:$A$311&lt;=$J135)),'Match Log'!$N$4:$N$311),NA()))</f>
        <v>1039.5415973556721</v>
      </c>
      <c r="W135">
        <f>IF($J135&gt;MAX('Match Log'!$A$4:$A$311),NA(),IFERROR(LOOKUP(2,1/(('Match Log'!$D$4:$D$311=$W$24)*('Match Log'!$A$4:$A$311&lt;=$J135)),'Match Log'!$N$4:$N$311),NA()))</f>
        <v>1038.5016461247724</v>
      </c>
      <c r="X135" t="e">
        <f>IF($J135&gt;MAX('Match Log'!$A$4:$A$311),NA(),IFERROR(LOOKUP(2,1/(('Match Log'!$D$4:$D$311=$X$24)*('Match Log'!$A$4:$A$311&lt;=$J135)),'Match Log'!$N$4:$N$311),NA()))</f>
        <v>#N/A</v>
      </c>
      <c r="Y135">
        <f t="shared" ca="1" si="27"/>
        <v>-0.20011100000000018</v>
      </c>
    </row>
    <row r="136" spans="1:25" ht="15" customHeight="1" x14ac:dyDescent="0.2">
      <c r="A136">
        <v>112</v>
      </c>
      <c r="B136" s="132">
        <f>IFERROR(INDEX('Match Log'!$B$4:$B$311,MATCH(112,'Match Log'!$A$4:$A$311,0)),"")</f>
        <v>46200</v>
      </c>
      <c r="C136" t="str">
        <f>IFERROR(INDEX('Match Log'!$C$4:$C$311,MATCH(112,'Match Log'!$A$4:$A$311,0)),"")</f>
        <v>Mario Kart</v>
      </c>
      <c r="D136" t="str">
        <f>IFERROR(INDEX('Match Log'!$G$4:$G$311,MATCH(112,'Match Log'!$A$4:$A$311,0)),"")</f>
        <v>Aaron</v>
      </c>
      <c r="E136" s="133">
        <f>IFERROR(INDEX('Match Log'!$F$4:$F$311,MATCH(112,'Match Log'!$A$4:$A$311,0)),"")</f>
        <v>2</v>
      </c>
      <c r="F136">
        <f>IFERROR(SUMIFS('Match Log'!$I$4:$I$311,'Match Log'!$A$4:$A$311,112,'Match Log'!$E$4:$E$311,"Win"),"")</f>
        <v>0.72727272727272729</v>
      </c>
      <c r="G136">
        <f t="shared" si="25"/>
        <v>-0.45454545454545459</v>
      </c>
      <c r="H136" t="str">
        <f>IFERROR(IF($E136=2,LOOKUP(2,1/(('Match Log'!$A$4:$A$311=112)*('Match Log'!$E$4:$E$311="Loss")),'Match Log'!$D$4:$D$311),"the field"),"")</f>
        <v>Shawn</v>
      </c>
      <c r="I136">
        <f t="shared" si="26"/>
        <v>-0.45465745454545459</v>
      </c>
      <c r="J136">
        <v>112</v>
      </c>
      <c r="K136">
        <f>IF($J136&gt;MAX('Match Log'!$A$4:$A$311),NA(),IFERROR(LOOKUP(2,1/(('Match Log'!$D$4:$D$311=$K$24)*('Match Log'!$A$4:$A$311&lt;=$J136)),'Match Log'!$N$4:$N$311),NA()))</f>
        <v>1111.0634877797586</v>
      </c>
      <c r="L136">
        <f>IF($J136&gt;MAX('Match Log'!$A$4:$A$311),NA(),IFERROR(LOOKUP(2,1/(('Match Log'!$D$4:$D$311=$L$24)*('Match Log'!$A$4:$A$311&lt;=$J136)),'Match Log'!$N$4:$N$311),NA()))</f>
        <v>1044.8691565259944</v>
      </c>
      <c r="M136">
        <f>IF($J136&gt;MAX('Match Log'!$A$4:$A$311),NA(),IFERROR(LOOKUP(2,1/(('Match Log'!$D$4:$D$311=$M$24)*('Match Log'!$A$4:$A$311&lt;=$J136)),'Match Log'!$N$4:$N$311),NA()))</f>
        <v>1017.3466608720325</v>
      </c>
      <c r="N136">
        <f>IF($J136&gt;MAX('Match Log'!$A$4:$A$311),NA(),IFERROR(LOOKUP(2,1/(('Match Log'!$D$4:$D$311=$N$24)*('Match Log'!$A$4:$A$311&lt;=$J136)),'Match Log'!$N$4:$N$311),NA()))</f>
        <v>990.8737469852914</v>
      </c>
      <c r="O136">
        <f>IF($J136&gt;MAX('Match Log'!$A$4:$A$311),NA(),IFERROR(LOOKUP(2,1/(('Match Log'!$D$4:$D$311=$O$24)*('Match Log'!$A$4:$A$311&lt;=$J136)),'Match Log'!$N$4:$N$311),NA()))</f>
        <v>1147.1945550051951</v>
      </c>
      <c r="P136">
        <f>IF($J136&gt;MAX('Match Log'!$A$4:$A$311),NA(),IFERROR(LOOKUP(2,1/(('Match Log'!$D$4:$D$311=$P$24)*('Match Log'!$A$4:$A$311&lt;=$J136)),'Match Log'!$N$4:$N$311),NA()))</f>
        <v>1007.7767902955445</v>
      </c>
      <c r="Q136">
        <f>IF($J136&gt;MAX('Match Log'!$A$4:$A$311),NA(),IFERROR(LOOKUP(2,1/(('Match Log'!$D$4:$D$311=$Q$24)*('Match Log'!$A$4:$A$311&lt;=$J136)),'Match Log'!$N$4:$N$311),NA()))</f>
        <v>1099.9035033078371</v>
      </c>
      <c r="R136">
        <f>IF($J136&gt;MAX('Match Log'!$A$4:$A$311),NA(),IFERROR(LOOKUP(2,1/(('Match Log'!$D$4:$D$311=$R$24)*('Match Log'!$A$4:$A$311&lt;=$J136)),'Match Log'!$N$4:$N$311),NA()))</f>
        <v>1092.9844065377026</v>
      </c>
      <c r="S136">
        <f>IF($J136&gt;MAX('Match Log'!$A$4:$A$311),NA(),IFERROR(LOOKUP(2,1/(('Match Log'!$D$4:$D$311=$S$24)*('Match Log'!$A$4:$A$311&lt;=$J136)),'Match Log'!$N$4:$N$311),NA()))</f>
        <v>1189.3765078898728</v>
      </c>
      <c r="T136">
        <f>IF($J136&gt;MAX('Match Log'!$A$4:$A$311),NA(),IFERROR(LOOKUP(2,1/(('Match Log'!$D$4:$D$311=$T$24)*('Match Log'!$A$4:$A$311&lt;=$J136)),'Match Log'!$N$4:$N$311),NA()))</f>
        <v>894.20718606929802</v>
      </c>
      <c r="U136">
        <f>IF($J136&gt;MAX('Match Log'!$A$4:$A$311),NA(),IFERROR(LOOKUP(2,1/(('Match Log'!$D$4:$D$311=$U$24)*('Match Log'!$A$4:$A$311&lt;=$J136)),'Match Log'!$N$4:$N$311),NA()))</f>
        <v>1094.3607552510286</v>
      </c>
      <c r="V136">
        <f>IF($J136&gt;MAX('Match Log'!$A$4:$A$311),NA(),IFERROR(LOOKUP(2,1/(('Match Log'!$D$4:$D$311=$V$24)*('Match Log'!$A$4:$A$311&lt;=$J136)),'Match Log'!$N$4:$N$311),NA()))</f>
        <v>1039.5415973556721</v>
      </c>
      <c r="W136">
        <f>IF($J136&gt;MAX('Match Log'!$A$4:$A$311),NA(),IFERROR(LOOKUP(2,1/(('Match Log'!$D$4:$D$311=$W$24)*('Match Log'!$A$4:$A$311&lt;=$J136)),'Match Log'!$N$4:$N$311),NA()))</f>
        <v>1038.5016461247724</v>
      </c>
      <c r="X136" t="e">
        <f>IF($J136&gt;MAX('Match Log'!$A$4:$A$311),NA(),IFERROR(LOOKUP(2,1/(('Match Log'!$D$4:$D$311=$X$24)*('Match Log'!$A$4:$A$311&lt;=$J136)),'Match Log'!$N$4:$N$311),NA()))</f>
        <v>#N/A</v>
      </c>
      <c r="Y136">
        <f t="shared" ca="1" si="27"/>
        <v>-0.45465745454545459</v>
      </c>
    </row>
    <row r="137" spans="1:25" ht="15" customHeight="1" x14ac:dyDescent="0.2">
      <c r="A137">
        <v>113</v>
      </c>
      <c r="B137" s="132">
        <f>IFERROR(INDEX('Match Log'!$B$4:$B$311,MATCH(113,'Match Log'!$A$4:$A$311,0)),"")</f>
        <v>46200</v>
      </c>
      <c r="C137" t="str">
        <f>IFERROR(INDEX('Match Log'!$C$4:$C$311,MATCH(113,'Match Log'!$A$4:$A$311,0)),"")</f>
        <v>Mario Kart</v>
      </c>
      <c r="D137" t="str">
        <f>IFERROR(INDEX('Match Log'!$G$4:$G$311,MATCH(113,'Match Log'!$A$4:$A$311,0)),"")</f>
        <v>Aaron</v>
      </c>
      <c r="E137" s="133">
        <f>IFERROR(INDEX('Match Log'!$F$4:$F$311,MATCH(113,'Match Log'!$A$4:$A$311,0)),"")</f>
        <v>2</v>
      </c>
      <c r="F137">
        <f>IFERROR(SUMIFS('Match Log'!$I$4:$I$311,'Match Log'!$A$4:$A$311,113,'Match Log'!$E$4:$E$311,"Win"),"")</f>
        <v>0.78947368421052633</v>
      </c>
      <c r="G137">
        <f t="shared" si="25"/>
        <v>-0.57894736842105265</v>
      </c>
      <c r="H137" t="str">
        <f>IFERROR(IF($E137=2,LOOKUP(2,1/(('Match Log'!$A$4:$A$311=113)*('Match Log'!$E$4:$E$311="Loss")),'Match Log'!$D$4:$D$311),"the field"),"")</f>
        <v>Shawn</v>
      </c>
      <c r="I137">
        <f t="shared" si="26"/>
        <v>-0.57906036842105268</v>
      </c>
      <c r="J137">
        <v>113</v>
      </c>
      <c r="K137">
        <f>IF($J137&gt;MAX('Match Log'!$A$4:$A$311),NA(),IFERROR(LOOKUP(2,1/(('Match Log'!$D$4:$D$311=$K$24)*('Match Log'!$A$4:$A$311&lt;=$J137)),'Match Log'!$N$4:$N$311),NA()))</f>
        <v>1125.1080177960646</v>
      </c>
      <c r="L137">
        <f>IF($J137&gt;MAX('Match Log'!$A$4:$A$311),NA(),IFERROR(LOOKUP(2,1/(('Match Log'!$D$4:$D$311=$L$24)*('Match Log'!$A$4:$A$311&lt;=$J137)),'Match Log'!$N$4:$N$311),NA()))</f>
        <v>1044.8691565259944</v>
      </c>
      <c r="M137">
        <f>IF($J137&gt;MAX('Match Log'!$A$4:$A$311),NA(),IFERROR(LOOKUP(2,1/(('Match Log'!$D$4:$D$311=$M$24)*('Match Log'!$A$4:$A$311&lt;=$J137)),'Match Log'!$N$4:$N$311),NA()))</f>
        <v>1017.3466608720325</v>
      </c>
      <c r="N137">
        <f>IF($J137&gt;MAX('Match Log'!$A$4:$A$311),NA(),IFERROR(LOOKUP(2,1/(('Match Log'!$D$4:$D$311=$N$24)*('Match Log'!$A$4:$A$311&lt;=$J137)),'Match Log'!$N$4:$N$311),NA()))</f>
        <v>990.8737469852914</v>
      </c>
      <c r="O137">
        <f>IF($J137&gt;MAX('Match Log'!$A$4:$A$311),NA(),IFERROR(LOOKUP(2,1/(('Match Log'!$D$4:$D$311=$O$24)*('Match Log'!$A$4:$A$311&lt;=$J137)),'Match Log'!$N$4:$N$311),NA()))</f>
        <v>1147.1945550051951</v>
      </c>
      <c r="P137">
        <f>IF($J137&gt;MAX('Match Log'!$A$4:$A$311),NA(),IFERROR(LOOKUP(2,1/(('Match Log'!$D$4:$D$311=$P$24)*('Match Log'!$A$4:$A$311&lt;=$J137)),'Match Log'!$N$4:$N$311),NA()))</f>
        <v>993.73226027923863</v>
      </c>
      <c r="Q137">
        <f>IF($J137&gt;MAX('Match Log'!$A$4:$A$311),NA(),IFERROR(LOOKUP(2,1/(('Match Log'!$D$4:$D$311=$Q$24)*('Match Log'!$A$4:$A$311&lt;=$J137)),'Match Log'!$N$4:$N$311),NA()))</f>
        <v>1099.9035033078371</v>
      </c>
      <c r="R137">
        <f>IF($J137&gt;MAX('Match Log'!$A$4:$A$311),NA(),IFERROR(LOOKUP(2,1/(('Match Log'!$D$4:$D$311=$R$24)*('Match Log'!$A$4:$A$311&lt;=$J137)),'Match Log'!$N$4:$N$311),NA()))</f>
        <v>1092.9844065377026</v>
      </c>
      <c r="S137">
        <f>IF($J137&gt;MAX('Match Log'!$A$4:$A$311),NA(),IFERROR(LOOKUP(2,1/(('Match Log'!$D$4:$D$311=$S$24)*('Match Log'!$A$4:$A$311&lt;=$J137)),'Match Log'!$N$4:$N$311),NA()))</f>
        <v>1189.3765078898728</v>
      </c>
      <c r="T137">
        <f>IF($J137&gt;MAX('Match Log'!$A$4:$A$311),NA(),IFERROR(LOOKUP(2,1/(('Match Log'!$D$4:$D$311=$T$24)*('Match Log'!$A$4:$A$311&lt;=$J137)),'Match Log'!$N$4:$N$311),NA()))</f>
        <v>894.20718606929802</v>
      </c>
      <c r="U137">
        <f>IF($J137&gt;MAX('Match Log'!$A$4:$A$311),NA(),IFERROR(LOOKUP(2,1/(('Match Log'!$D$4:$D$311=$U$24)*('Match Log'!$A$4:$A$311&lt;=$J137)),'Match Log'!$N$4:$N$311),NA()))</f>
        <v>1094.3607552510286</v>
      </c>
      <c r="V137">
        <f>IF($J137&gt;MAX('Match Log'!$A$4:$A$311),NA(),IFERROR(LOOKUP(2,1/(('Match Log'!$D$4:$D$311=$V$24)*('Match Log'!$A$4:$A$311&lt;=$J137)),'Match Log'!$N$4:$N$311),NA()))</f>
        <v>1039.5415973556721</v>
      </c>
      <c r="W137">
        <f>IF($J137&gt;MAX('Match Log'!$A$4:$A$311),NA(),IFERROR(LOOKUP(2,1/(('Match Log'!$D$4:$D$311=$W$24)*('Match Log'!$A$4:$A$311&lt;=$J137)),'Match Log'!$N$4:$N$311),NA()))</f>
        <v>1038.5016461247724</v>
      </c>
      <c r="X137" t="e">
        <f>IF($J137&gt;MAX('Match Log'!$A$4:$A$311),NA(),IFERROR(LOOKUP(2,1/(('Match Log'!$D$4:$D$311=$X$24)*('Match Log'!$A$4:$A$311&lt;=$J137)),'Match Log'!$N$4:$N$311),NA()))</f>
        <v>#N/A</v>
      </c>
      <c r="Y137">
        <f t="shared" ca="1" si="27"/>
        <v>-0.57906036842105268</v>
      </c>
    </row>
    <row r="138" spans="1:25" ht="15" customHeight="1" x14ac:dyDescent="0.2">
      <c r="A138">
        <v>114</v>
      </c>
      <c r="B138" s="132">
        <f>IFERROR(INDEX('Match Log'!$B$4:$B$311,MATCH(114,'Match Log'!$A$4:$A$311,0)),"")</f>
        <v>46202</v>
      </c>
      <c r="C138" t="str">
        <f>IFERROR(INDEX('Match Log'!$C$4:$C$311,MATCH(114,'Match Log'!$A$4:$A$311,0)),"")</f>
        <v>Chess</v>
      </c>
      <c r="D138" t="str">
        <f>IFERROR(INDEX('Match Log'!$G$4:$G$311,MATCH(114,'Match Log'!$A$4:$A$311,0)),"")</f>
        <v>Shawn</v>
      </c>
      <c r="E138" s="133">
        <f>IFERROR(INDEX('Match Log'!$F$4:$F$311,MATCH(114,'Match Log'!$A$4:$A$311,0)),"")</f>
        <v>2</v>
      </c>
      <c r="F138">
        <f>IFERROR(SUMIFS('Match Log'!$I$4:$I$311,'Match Log'!$A$4:$A$311,114,'Match Log'!$E$4:$E$311,"Win"),"")</f>
        <v>0.66666666666666663</v>
      </c>
      <c r="G138">
        <f t="shared" si="25"/>
        <v>-0.33333333333333326</v>
      </c>
      <c r="H138" t="str">
        <f>IFERROR(IF($E138=2,LOOKUP(2,1/(('Match Log'!$A$4:$A$311=114)*('Match Log'!$E$4:$E$311="Loss")),'Match Log'!$D$4:$D$311),"the field"),"")</f>
        <v>Daniel (Ferret)</v>
      </c>
      <c r="I138">
        <f t="shared" si="26"/>
        <v>-0.33344733333333326</v>
      </c>
      <c r="J138">
        <v>114</v>
      </c>
      <c r="K138">
        <f>IF($J138&gt;MAX('Match Log'!$A$4:$A$311),NA(),IFERROR(LOOKUP(2,1/(('Match Log'!$D$4:$D$311=$K$24)*('Match Log'!$A$4:$A$311&lt;=$J138)),'Match Log'!$N$4:$N$311),NA()))</f>
        <v>1125.1080177960646</v>
      </c>
      <c r="L138">
        <f>IF($J138&gt;MAX('Match Log'!$A$4:$A$311),NA(),IFERROR(LOOKUP(2,1/(('Match Log'!$D$4:$D$311=$L$24)*('Match Log'!$A$4:$A$311&lt;=$J138)),'Match Log'!$N$4:$N$311),NA()))</f>
        <v>1044.8691565259944</v>
      </c>
      <c r="M138">
        <f>IF($J138&gt;MAX('Match Log'!$A$4:$A$311),NA(),IFERROR(LOOKUP(2,1/(('Match Log'!$D$4:$D$311=$M$24)*('Match Log'!$A$4:$A$311&lt;=$J138)),'Match Log'!$N$4:$N$311),NA()))</f>
        <v>1017.3466608720325</v>
      </c>
      <c r="N138">
        <f>IF($J138&gt;MAX('Match Log'!$A$4:$A$311),NA(),IFERROR(LOOKUP(2,1/(('Match Log'!$D$4:$D$311=$N$24)*('Match Log'!$A$4:$A$311&lt;=$J138)),'Match Log'!$N$4:$N$311),NA()))</f>
        <v>990.8737469852914</v>
      </c>
      <c r="O138">
        <f>IF($J138&gt;MAX('Match Log'!$A$4:$A$311),NA(),IFERROR(LOOKUP(2,1/(('Match Log'!$D$4:$D$311=$O$24)*('Match Log'!$A$4:$A$311&lt;=$J138)),'Match Log'!$N$4:$N$311),NA()))</f>
        <v>1147.1945550051951</v>
      </c>
      <c r="P138">
        <f>IF($J138&gt;MAX('Match Log'!$A$4:$A$311),NA(),IFERROR(LOOKUP(2,1/(('Match Log'!$D$4:$D$311=$P$24)*('Match Log'!$A$4:$A$311&lt;=$J138)),'Match Log'!$N$4:$N$311),NA()))</f>
        <v>1017.2378263100353</v>
      </c>
      <c r="Q138">
        <f>IF($J138&gt;MAX('Match Log'!$A$4:$A$311),NA(),IFERROR(LOOKUP(2,1/(('Match Log'!$D$4:$D$311=$Q$24)*('Match Log'!$A$4:$A$311&lt;=$J138)),'Match Log'!$N$4:$N$311),NA()))</f>
        <v>1099.9035033078371</v>
      </c>
      <c r="R138">
        <f>IF($J138&gt;MAX('Match Log'!$A$4:$A$311),NA(),IFERROR(LOOKUP(2,1/(('Match Log'!$D$4:$D$311=$R$24)*('Match Log'!$A$4:$A$311&lt;=$J138)),'Match Log'!$N$4:$N$311),NA()))</f>
        <v>1069.478840506906</v>
      </c>
      <c r="S138">
        <f>IF($J138&gt;MAX('Match Log'!$A$4:$A$311),NA(),IFERROR(LOOKUP(2,1/(('Match Log'!$D$4:$D$311=$S$24)*('Match Log'!$A$4:$A$311&lt;=$J138)),'Match Log'!$N$4:$N$311),NA()))</f>
        <v>1189.3765078898728</v>
      </c>
      <c r="T138">
        <f>IF($J138&gt;MAX('Match Log'!$A$4:$A$311),NA(),IFERROR(LOOKUP(2,1/(('Match Log'!$D$4:$D$311=$T$24)*('Match Log'!$A$4:$A$311&lt;=$J138)),'Match Log'!$N$4:$N$311),NA()))</f>
        <v>894.20718606929802</v>
      </c>
      <c r="U138">
        <f>IF($J138&gt;MAX('Match Log'!$A$4:$A$311),NA(),IFERROR(LOOKUP(2,1/(('Match Log'!$D$4:$D$311=$U$24)*('Match Log'!$A$4:$A$311&lt;=$J138)),'Match Log'!$N$4:$N$311),NA()))</f>
        <v>1094.3607552510286</v>
      </c>
      <c r="V138">
        <f>IF($J138&gt;MAX('Match Log'!$A$4:$A$311),NA(),IFERROR(LOOKUP(2,1/(('Match Log'!$D$4:$D$311=$V$24)*('Match Log'!$A$4:$A$311&lt;=$J138)),'Match Log'!$N$4:$N$311),NA()))</f>
        <v>1039.5415973556721</v>
      </c>
      <c r="W138">
        <f>IF($J138&gt;MAX('Match Log'!$A$4:$A$311),NA(),IFERROR(LOOKUP(2,1/(('Match Log'!$D$4:$D$311=$W$24)*('Match Log'!$A$4:$A$311&lt;=$J138)),'Match Log'!$N$4:$N$311),NA()))</f>
        <v>1038.5016461247724</v>
      </c>
      <c r="X138" t="e">
        <f>IF($J138&gt;MAX('Match Log'!$A$4:$A$311),NA(),IFERROR(LOOKUP(2,1/(('Match Log'!$D$4:$D$311=$X$24)*('Match Log'!$A$4:$A$311&lt;=$J138)),'Match Log'!$N$4:$N$311),NA()))</f>
        <v>#N/A</v>
      </c>
      <c r="Y138">
        <f t="shared" ca="1" si="27"/>
        <v>-0.33344733333333326</v>
      </c>
    </row>
    <row r="139" spans="1:25" ht="15" customHeight="1" x14ac:dyDescent="0.2">
      <c r="A139">
        <v>115</v>
      </c>
      <c r="B139">
        <f>IFERROR(INDEX('Match Log'!$B$4:$B$311,MATCH(115,'Match Log'!$A$4:$A$311,0)),"")</f>
        <v>46207</v>
      </c>
      <c r="C139" t="str">
        <f>IFERROR(INDEX('Match Log'!$C$4:$C$311,MATCH(115,'Match Log'!$A$4:$A$311,0)),"")</f>
        <v>Mario Kart</v>
      </c>
      <c r="D139" t="str">
        <f>IFERROR(INDEX('Match Log'!$G$4:$G$311,MATCH(115,'Match Log'!$A$4:$A$311,0)),"")</f>
        <v>Oscar</v>
      </c>
      <c r="E139">
        <f>IFERROR(INDEX('Match Log'!$F$4:$F$311,MATCH(115,'Match Log'!$A$4:$A$311,0)),"")</f>
        <v>2</v>
      </c>
      <c r="F139">
        <f>IFERROR(SUMIFS('Match Log'!$I$4:$I$311,'Match Log'!$A$4:$A$311,115,'Match Log'!$E$4:$E$311,"Win"),"")</f>
        <v>0.75</v>
      </c>
      <c r="G139">
        <f t="shared" si="25"/>
        <v>-0.5</v>
      </c>
      <c r="H139" t="str">
        <f>IFERROR(IF($E139=2,LOOKUP(2,1/(('Match Log'!$A$4:$A$311=115)*('Match Log'!$E$4:$E$311="Loss")),'Match Log'!$D$4:$D$311),"the field"),"")</f>
        <v>Shawn</v>
      </c>
      <c r="I139">
        <f t="shared" si="26"/>
        <v>-0.50011499999999998</v>
      </c>
      <c r="J139">
        <v>115</v>
      </c>
      <c r="K139">
        <f>IF($J139&gt;MAX('Match Log'!$A$4:$A$311),NA(),IFERROR(LOOKUP(2,1/(('Match Log'!$D$4:$D$311=$K$24)*('Match Log'!$A$4:$A$311&lt;=$J139)),'Match Log'!$N$4:$N$311),NA()))</f>
        <v>1125.1080177960646</v>
      </c>
      <c r="L139">
        <f>IF($J139&gt;MAX('Match Log'!$A$4:$A$311),NA(),IFERROR(LOOKUP(2,1/(('Match Log'!$D$4:$D$311=$L$24)*('Match Log'!$A$4:$A$311&lt;=$J139)),'Match Log'!$N$4:$N$311),NA()))</f>
        <v>1044.8691565259944</v>
      </c>
      <c r="M139">
        <f>IF($J139&gt;MAX('Match Log'!$A$4:$A$311),NA(),IFERROR(LOOKUP(2,1/(('Match Log'!$D$4:$D$311=$M$24)*('Match Log'!$A$4:$A$311&lt;=$J139)),'Match Log'!$N$4:$N$311),NA()))</f>
        <v>1017.3466608720325</v>
      </c>
      <c r="N139">
        <f>IF($J139&gt;MAX('Match Log'!$A$4:$A$311),NA(),IFERROR(LOOKUP(2,1/(('Match Log'!$D$4:$D$311=$N$24)*('Match Log'!$A$4:$A$311&lt;=$J139)),'Match Log'!$N$4:$N$311),NA()))</f>
        <v>990.8737469852914</v>
      </c>
      <c r="O139">
        <f>IF($J139&gt;MAX('Match Log'!$A$4:$A$311),NA(),IFERROR(LOOKUP(2,1/(('Match Log'!$D$4:$D$311=$O$24)*('Match Log'!$A$4:$A$311&lt;=$J139)),'Match Log'!$N$4:$N$311),NA()))</f>
        <v>1147.1945550051951</v>
      </c>
      <c r="P139">
        <f>IF($J139&gt;MAX('Match Log'!$A$4:$A$311),NA(),IFERROR(LOOKUP(2,1/(('Match Log'!$D$4:$D$311=$P$24)*('Match Log'!$A$4:$A$311&lt;=$J139)),'Match Log'!$N$4:$N$311),NA()))</f>
        <v>1001.331282077233</v>
      </c>
      <c r="Q139">
        <f>IF($J139&gt;MAX('Match Log'!$A$4:$A$311),NA(),IFERROR(LOOKUP(2,1/(('Match Log'!$D$4:$D$311=$Q$24)*('Match Log'!$A$4:$A$311&lt;=$J139)),'Match Log'!$N$4:$N$311),NA()))</f>
        <v>1099.9035033078371</v>
      </c>
      <c r="R139">
        <f>IF($J139&gt;MAX('Match Log'!$A$4:$A$311),NA(),IFERROR(LOOKUP(2,1/(('Match Log'!$D$4:$D$311=$R$24)*('Match Log'!$A$4:$A$311&lt;=$J139)),'Match Log'!$N$4:$N$311),NA()))</f>
        <v>1069.478840506906</v>
      </c>
      <c r="S139">
        <f>IF($J139&gt;MAX('Match Log'!$A$4:$A$311),NA(),IFERROR(LOOKUP(2,1/(('Match Log'!$D$4:$D$311=$S$24)*('Match Log'!$A$4:$A$311&lt;=$J139)),'Match Log'!$N$4:$N$311),NA()))</f>
        <v>1189.3765078898728</v>
      </c>
      <c r="T139">
        <f>IF($J139&gt;MAX('Match Log'!$A$4:$A$311),NA(),IFERROR(LOOKUP(2,1/(('Match Log'!$D$4:$D$311=$T$24)*('Match Log'!$A$4:$A$311&lt;=$J139)),'Match Log'!$N$4:$N$311),NA()))</f>
        <v>894.20718606929802</v>
      </c>
      <c r="U139">
        <f>IF($J139&gt;MAX('Match Log'!$A$4:$A$311),NA(),IFERROR(LOOKUP(2,1/(('Match Log'!$D$4:$D$311=$U$24)*('Match Log'!$A$4:$A$311&lt;=$J139)),'Match Log'!$N$4:$N$311),NA()))</f>
        <v>1110.267299483831</v>
      </c>
      <c r="V139">
        <f>IF($J139&gt;MAX('Match Log'!$A$4:$A$311),NA(),IFERROR(LOOKUP(2,1/(('Match Log'!$D$4:$D$311=$V$24)*('Match Log'!$A$4:$A$311&lt;=$J139)),'Match Log'!$N$4:$N$311),NA()))</f>
        <v>1039.5415973556721</v>
      </c>
      <c r="W139">
        <f>IF($J139&gt;MAX('Match Log'!$A$4:$A$311),NA(),IFERROR(LOOKUP(2,1/(('Match Log'!$D$4:$D$311=$W$24)*('Match Log'!$A$4:$A$311&lt;=$J139)),'Match Log'!$N$4:$N$311),NA()))</f>
        <v>1038.5016461247724</v>
      </c>
      <c r="X139" t="e">
        <f>IF($J139&gt;MAX('Match Log'!$A$4:$A$311),NA(),IFERROR(LOOKUP(2,1/(('Match Log'!$D$4:$D$311=$X$24)*('Match Log'!$A$4:$A$311&lt;=$J139)),'Match Log'!$N$4:$N$311),NA()))</f>
        <v>#N/A</v>
      </c>
      <c r="Y139">
        <f t="shared" ca="1" si="27"/>
        <v>-0.50011499999999998</v>
      </c>
    </row>
    <row r="140" spans="1:25" ht="15" customHeight="1" x14ac:dyDescent="0.2">
      <c r="A140">
        <v>116</v>
      </c>
      <c r="B140">
        <f>IFERROR(INDEX('Match Log'!$B$4:$B$311,MATCH(116,'Match Log'!$A$4:$A$311,0)),"")</f>
        <v>46207</v>
      </c>
      <c r="C140" t="str">
        <f>IFERROR(INDEX('Match Log'!$C$4:$C$311,MATCH(116,'Match Log'!$A$4:$A$311,0)),"")</f>
        <v>Mario Kart</v>
      </c>
      <c r="D140" t="str">
        <f>IFERROR(INDEX('Match Log'!$G$4:$G$311,MATCH(116,'Match Log'!$A$4:$A$311,0)),"")</f>
        <v>Oscar</v>
      </c>
      <c r="E140">
        <f>IFERROR(INDEX('Match Log'!$F$4:$F$311,MATCH(116,'Match Log'!$A$4:$A$311,0)),"")</f>
        <v>2</v>
      </c>
      <c r="F140">
        <f>IFERROR(SUMIFS('Match Log'!$I$4:$I$311,'Match Log'!$A$4:$A$311,116,'Match Log'!$E$4:$E$311,"Win"),"")</f>
        <v>0.8</v>
      </c>
      <c r="G140">
        <f t="shared" si="25"/>
        <v>-0.60000000000000009</v>
      </c>
      <c r="H140" t="str">
        <f>IFERROR(IF($E140=2,LOOKUP(2,1/(('Match Log'!$A$4:$A$311=116)*('Match Log'!$E$4:$E$311="Loss")),'Match Log'!$D$4:$D$311),"the field"),"")</f>
        <v>Shawn</v>
      </c>
      <c r="I140">
        <f t="shared" si="26"/>
        <v>-0.60011600000000009</v>
      </c>
      <c r="J140">
        <v>116</v>
      </c>
      <c r="K140">
        <f>IF($J140&gt;MAX('Match Log'!$A$4:$A$311),NA(),IFERROR(LOOKUP(2,1/(('Match Log'!$D$4:$D$311=$K$24)*('Match Log'!$A$4:$A$311&lt;=$J140)),'Match Log'!$N$4:$N$311),NA()))</f>
        <v>1125.1080177960646</v>
      </c>
      <c r="L140">
        <f>IF($J140&gt;MAX('Match Log'!$A$4:$A$311),NA(),IFERROR(LOOKUP(2,1/(('Match Log'!$D$4:$D$311=$L$24)*('Match Log'!$A$4:$A$311&lt;=$J140)),'Match Log'!$N$4:$N$311),NA()))</f>
        <v>1044.8691565259944</v>
      </c>
      <c r="M140">
        <f>IF($J140&gt;MAX('Match Log'!$A$4:$A$311),NA(),IFERROR(LOOKUP(2,1/(('Match Log'!$D$4:$D$311=$M$24)*('Match Log'!$A$4:$A$311&lt;=$J140)),'Match Log'!$N$4:$N$311),NA()))</f>
        <v>1017.3466608720325</v>
      </c>
      <c r="N140">
        <f>IF($J140&gt;MAX('Match Log'!$A$4:$A$311),NA(),IFERROR(LOOKUP(2,1/(('Match Log'!$D$4:$D$311=$N$24)*('Match Log'!$A$4:$A$311&lt;=$J140)),'Match Log'!$N$4:$N$311),NA()))</f>
        <v>990.8737469852914</v>
      </c>
      <c r="O140">
        <f>IF($J140&gt;MAX('Match Log'!$A$4:$A$311),NA(),IFERROR(LOOKUP(2,1/(('Match Log'!$D$4:$D$311=$O$24)*('Match Log'!$A$4:$A$311&lt;=$J140)),'Match Log'!$N$4:$N$311),NA()))</f>
        <v>1147.1945550051951</v>
      </c>
      <c r="P140">
        <f>IF($J140&gt;MAX('Match Log'!$A$4:$A$311),NA(),IFERROR(LOOKUP(2,1/(('Match Log'!$D$4:$D$311=$P$24)*('Match Log'!$A$4:$A$311&lt;=$J140)),'Match Log'!$N$4:$N$311),NA()))</f>
        <v>987.25217148628246</v>
      </c>
      <c r="Q140">
        <f>IF($J140&gt;MAX('Match Log'!$A$4:$A$311),NA(),IFERROR(LOOKUP(2,1/(('Match Log'!$D$4:$D$311=$Q$24)*('Match Log'!$A$4:$A$311&lt;=$J140)),'Match Log'!$N$4:$N$311),NA()))</f>
        <v>1099.9035033078371</v>
      </c>
      <c r="R140">
        <f>IF($J140&gt;MAX('Match Log'!$A$4:$A$311),NA(),IFERROR(LOOKUP(2,1/(('Match Log'!$D$4:$D$311=$R$24)*('Match Log'!$A$4:$A$311&lt;=$J140)),'Match Log'!$N$4:$N$311),NA()))</f>
        <v>1069.478840506906</v>
      </c>
      <c r="S140">
        <f>IF($J140&gt;MAX('Match Log'!$A$4:$A$311),NA(),IFERROR(LOOKUP(2,1/(('Match Log'!$D$4:$D$311=$S$24)*('Match Log'!$A$4:$A$311&lt;=$J140)),'Match Log'!$N$4:$N$311),NA()))</f>
        <v>1189.3765078898728</v>
      </c>
      <c r="T140">
        <f>IF($J140&gt;MAX('Match Log'!$A$4:$A$311),NA(),IFERROR(LOOKUP(2,1/(('Match Log'!$D$4:$D$311=$T$24)*('Match Log'!$A$4:$A$311&lt;=$J140)),'Match Log'!$N$4:$N$311),NA()))</f>
        <v>894.20718606929802</v>
      </c>
      <c r="U140">
        <f>IF($J140&gt;MAX('Match Log'!$A$4:$A$311),NA(),IFERROR(LOOKUP(2,1/(('Match Log'!$D$4:$D$311=$U$24)*('Match Log'!$A$4:$A$311&lt;=$J140)),'Match Log'!$N$4:$N$311),NA()))</f>
        <v>1124.3464100747815</v>
      </c>
      <c r="V140">
        <f>IF($J140&gt;MAX('Match Log'!$A$4:$A$311),NA(),IFERROR(LOOKUP(2,1/(('Match Log'!$D$4:$D$311=$V$24)*('Match Log'!$A$4:$A$311&lt;=$J140)),'Match Log'!$N$4:$N$311),NA()))</f>
        <v>1039.5415973556721</v>
      </c>
      <c r="W140">
        <f>IF($J140&gt;MAX('Match Log'!$A$4:$A$311),NA(),IFERROR(LOOKUP(2,1/(('Match Log'!$D$4:$D$311=$W$24)*('Match Log'!$A$4:$A$311&lt;=$J140)),'Match Log'!$N$4:$N$311),NA()))</f>
        <v>1038.5016461247724</v>
      </c>
      <c r="X140" t="e">
        <f>IF($J140&gt;MAX('Match Log'!$A$4:$A$311),NA(),IFERROR(LOOKUP(2,1/(('Match Log'!$D$4:$D$311=$X$24)*('Match Log'!$A$4:$A$311&lt;=$J140)),'Match Log'!$N$4:$N$311),NA()))</f>
        <v>#N/A</v>
      </c>
      <c r="Y140">
        <f t="shared" ca="1" si="27"/>
        <v>-0.60011600000000009</v>
      </c>
    </row>
    <row r="141" spans="1:25" ht="15" customHeight="1" x14ac:dyDescent="0.2">
      <c r="A141">
        <v>117</v>
      </c>
      <c r="B141">
        <f>IFERROR(INDEX('Match Log'!$B$4:$B$311,MATCH(117,'Match Log'!$A$4:$A$311,0)),"")</f>
        <v>46207</v>
      </c>
      <c r="C141" t="str">
        <f>IFERROR(INDEX('Match Log'!$C$4:$C$311,MATCH(117,'Match Log'!$A$4:$A$311,0)),"")</f>
        <v>Mario Kart</v>
      </c>
      <c r="D141" t="str">
        <f>IFERROR(INDEX('Match Log'!$G$4:$G$311,MATCH(117,'Match Log'!$A$4:$A$311,0)),"")</f>
        <v>Oscar</v>
      </c>
      <c r="E141">
        <f>IFERROR(INDEX('Match Log'!$F$4:$F$311,MATCH(117,'Match Log'!$A$4:$A$311,0)),"")</f>
        <v>2</v>
      </c>
      <c r="F141">
        <f>IFERROR(SUMIFS('Match Log'!$I$4:$I$311,'Match Log'!$A$4:$A$311,117,'Match Log'!$E$4:$E$311,"Win"),"")</f>
        <v>0.83333333333333337</v>
      </c>
      <c r="G141">
        <f t="shared" si="25"/>
        <v>-0.66666666666666674</v>
      </c>
      <c r="H141" t="str">
        <f>IFERROR(IF($E141=2,LOOKUP(2,1/(('Match Log'!$A$4:$A$311=117)*('Match Log'!$E$4:$E$311="Loss")),'Match Log'!$D$4:$D$311),"the field"),"")</f>
        <v>Shawn</v>
      </c>
      <c r="I141">
        <f t="shared" si="26"/>
        <v>-0.66678366666666677</v>
      </c>
      <c r="J141">
        <v>117</v>
      </c>
      <c r="K141">
        <f>IF($J141&gt;MAX('Match Log'!$A$4:$A$311),NA(),IFERROR(LOOKUP(2,1/(('Match Log'!$D$4:$D$311=$K$24)*('Match Log'!$A$4:$A$311&lt;=$J141)),'Match Log'!$N$4:$N$311),NA()))</f>
        <v>1125.1080177960646</v>
      </c>
      <c r="L141">
        <f>IF($J141&gt;MAX('Match Log'!$A$4:$A$311),NA(),IFERROR(LOOKUP(2,1/(('Match Log'!$D$4:$D$311=$L$24)*('Match Log'!$A$4:$A$311&lt;=$J141)),'Match Log'!$N$4:$N$311),NA()))</f>
        <v>1044.8691565259944</v>
      </c>
      <c r="M141">
        <f>IF($J141&gt;MAX('Match Log'!$A$4:$A$311),NA(),IFERROR(LOOKUP(2,1/(('Match Log'!$D$4:$D$311=$M$24)*('Match Log'!$A$4:$A$311&lt;=$J141)),'Match Log'!$N$4:$N$311),NA()))</f>
        <v>1017.3466608720325</v>
      </c>
      <c r="N141">
        <f>IF($J141&gt;MAX('Match Log'!$A$4:$A$311),NA(),IFERROR(LOOKUP(2,1/(('Match Log'!$D$4:$D$311=$N$24)*('Match Log'!$A$4:$A$311&lt;=$J141)),'Match Log'!$N$4:$N$311),NA()))</f>
        <v>990.8737469852914</v>
      </c>
      <c r="O141">
        <f>IF($J141&gt;MAX('Match Log'!$A$4:$A$311),NA(),IFERROR(LOOKUP(2,1/(('Match Log'!$D$4:$D$311=$O$24)*('Match Log'!$A$4:$A$311&lt;=$J141)),'Match Log'!$N$4:$N$311),NA()))</f>
        <v>1147.1945550051951</v>
      </c>
      <c r="P141">
        <f>IF($J141&gt;MAX('Match Log'!$A$4:$A$311),NA(),IFERROR(LOOKUP(2,1/(('Match Log'!$D$4:$D$311=$P$24)*('Match Log'!$A$4:$A$311&lt;=$J141)),'Match Log'!$N$4:$N$311),NA()))</f>
        <v>974.61752460615935</v>
      </c>
      <c r="Q141">
        <f>IF($J141&gt;MAX('Match Log'!$A$4:$A$311),NA(),IFERROR(LOOKUP(2,1/(('Match Log'!$D$4:$D$311=$Q$24)*('Match Log'!$A$4:$A$311&lt;=$J141)),'Match Log'!$N$4:$N$311),NA()))</f>
        <v>1099.9035033078371</v>
      </c>
      <c r="R141">
        <f>IF($J141&gt;MAX('Match Log'!$A$4:$A$311),NA(),IFERROR(LOOKUP(2,1/(('Match Log'!$D$4:$D$311=$R$24)*('Match Log'!$A$4:$A$311&lt;=$J141)),'Match Log'!$N$4:$N$311),NA()))</f>
        <v>1069.478840506906</v>
      </c>
      <c r="S141">
        <f>IF($J141&gt;MAX('Match Log'!$A$4:$A$311),NA(),IFERROR(LOOKUP(2,1/(('Match Log'!$D$4:$D$311=$S$24)*('Match Log'!$A$4:$A$311&lt;=$J141)),'Match Log'!$N$4:$N$311),NA()))</f>
        <v>1189.3765078898728</v>
      </c>
      <c r="T141">
        <f>IF($J141&gt;MAX('Match Log'!$A$4:$A$311),NA(),IFERROR(LOOKUP(2,1/(('Match Log'!$D$4:$D$311=$T$24)*('Match Log'!$A$4:$A$311&lt;=$J141)),'Match Log'!$N$4:$N$311),NA()))</f>
        <v>894.20718606929802</v>
      </c>
      <c r="U141">
        <f>IF($J141&gt;MAX('Match Log'!$A$4:$A$311),NA(),IFERROR(LOOKUP(2,1/(('Match Log'!$D$4:$D$311=$U$24)*('Match Log'!$A$4:$A$311&lt;=$J141)),'Match Log'!$N$4:$N$311),NA()))</f>
        <v>1136.9810569549045</v>
      </c>
      <c r="V141">
        <f>IF($J141&gt;MAX('Match Log'!$A$4:$A$311),NA(),IFERROR(LOOKUP(2,1/(('Match Log'!$D$4:$D$311=$V$24)*('Match Log'!$A$4:$A$311&lt;=$J141)),'Match Log'!$N$4:$N$311),NA()))</f>
        <v>1039.5415973556721</v>
      </c>
      <c r="W141">
        <f>IF($J141&gt;MAX('Match Log'!$A$4:$A$311),NA(),IFERROR(LOOKUP(2,1/(('Match Log'!$D$4:$D$311=$W$24)*('Match Log'!$A$4:$A$311&lt;=$J141)),'Match Log'!$N$4:$N$311),NA()))</f>
        <v>1038.5016461247724</v>
      </c>
      <c r="X141" t="e">
        <f>IF($J141&gt;MAX('Match Log'!$A$4:$A$311),NA(),IFERROR(LOOKUP(2,1/(('Match Log'!$D$4:$D$311=$X$24)*('Match Log'!$A$4:$A$311&lt;=$J141)),'Match Log'!$N$4:$N$311),NA()))</f>
        <v>#N/A</v>
      </c>
      <c r="Y141">
        <f t="shared" ca="1" si="27"/>
        <v>-0.66678366666666677</v>
      </c>
    </row>
    <row r="142" spans="1:25" ht="15" customHeight="1" x14ac:dyDescent="0.2">
      <c r="A142">
        <v>118</v>
      </c>
      <c r="B142">
        <f>IFERROR(INDEX('Match Log'!$B$4:$B$311,MATCH(118,'Match Log'!$A$4:$A$311,0)),"")</f>
        <v>46207</v>
      </c>
      <c r="C142" t="str">
        <f>IFERROR(INDEX('Match Log'!$C$4:$C$311,MATCH(118,'Match Log'!$A$4:$A$311,0)),"")</f>
        <v>Mario Party</v>
      </c>
      <c r="D142" t="str">
        <f>IFERROR(INDEX('Match Log'!$G$4:$G$311,MATCH(118,'Match Log'!$A$4:$A$311,0)),"")</f>
        <v>Oscar</v>
      </c>
      <c r="E142">
        <f>IFERROR(INDEX('Match Log'!$F$4:$F$311,MATCH(118,'Match Log'!$A$4:$A$311,0)),"")</f>
        <v>2</v>
      </c>
      <c r="F142">
        <f>IFERROR(SUMIFS('Match Log'!$I$4:$I$311,'Match Log'!$A$4:$A$311,118,'Match Log'!$E$4:$E$311,"Win"),"")</f>
        <v>0.4285714285714286</v>
      </c>
      <c r="G142">
        <f t="shared" si="25"/>
        <v>0.14285714285714279</v>
      </c>
      <c r="H142" t="str">
        <f>IFERROR(IF($E142=2,LOOKUP(2,1/(('Match Log'!$A$4:$A$311=118)*('Match Log'!$E$4:$E$311="Loss")),'Match Log'!$D$4:$D$311),"the field"),"")</f>
        <v>Shawn</v>
      </c>
      <c r="I142">
        <f t="shared" si="26"/>
        <v>0.14273914285714279</v>
      </c>
      <c r="J142">
        <v>118</v>
      </c>
      <c r="K142">
        <f>IF($J142&gt;MAX('Match Log'!$A$4:$A$311),NA(),IFERROR(LOOKUP(2,1/(('Match Log'!$D$4:$D$311=$K$24)*('Match Log'!$A$4:$A$311&lt;=$J142)),'Match Log'!$N$4:$N$311),NA()))</f>
        <v>1125.1080177960646</v>
      </c>
      <c r="L142">
        <f>IF($J142&gt;MAX('Match Log'!$A$4:$A$311),NA(),IFERROR(LOOKUP(2,1/(('Match Log'!$D$4:$D$311=$L$24)*('Match Log'!$A$4:$A$311&lt;=$J142)),'Match Log'!$N$4:$N$311),NA()))</f>
        <v>1044.8691565259944</v>
      </c>
      <c r="M142">
        <f>IF($J142&gt;MAX('Match Log'!$A$4:$A$311),NA(),IFERROR(LOOKUP(2,1/(('Match Log'!$D$4:$D$311=$M$24)*('Match Log'!$A$4:$A$311&lt;=$J142)),'Match Log'!$N$4:$N$311),NA()))</f>
        <v>1017.3466608720325</v>
      </c>
      <c r="N142">
        <f>IF($J142&gt;MAX('Match Log'!$A$4:$A$311),NA(),IFERROR(LOOKUP(2,1/(('Match Log'!$D$4:$D$311=$N$24)*('Match Log'!$A$4:$A$311&lt;=$J142)),'Match Log'!$N$4:$N$311),NA()))</f>
        <v>990.8737469852914</v>
      </c>
      <c r="O142">
        <f>IF($J142&gt;MAX('Match Log'!$A$4:$A$311),NA(),IFERROR(LOOKUP(2,1/(('Match Log'!$D$4:$D$311=$O$24)*('Match Log'!$A$4:$A$311&lt;=$J142)),'Match Log'!$N$4:$N$311),NA()))</f>
        <v>1147.1945550051951</v>
      </c>
      <c r="P142">
        <f>IF($J142&gt;MAX('Match Log'!$A$4:$A$311),NA(),IFERROR(LOOKUP(2,1/(('Match Log'!$D$4:$D$311=$P$24)*('Match Log'!$A$4:$A$311&lt;=$J142)),'Match Log'!$N$4:$N$311),NA()))</f>
        <v>956.84822634794841</v>
      </c>
      <c r="Q142">
        <f>IF($J142&gt;MAX('Match Log'!$A$4:$A$311),NA(),IFERROR(LOOKUP(2,1/(('Match Log'!$D$4:$D$311=$Q$24)*('Match Log'!$A$4:$A$311&lt;=$J142)),'Match Log'!$N$4:$N$311),NA()))</f>
        <v>1099.9035033078371</v>
      </c>
      <c r="R142">
        <f>IF($J142&gt;MAX('Match Log'!$A$4:$A$311),NA(),IFERROR(LOOKUP(2,1/(('Match Log'!$D$4:$D$311=$R$24)*('Match Log'!$A$4:$A$311&lt;=$J142)),'Match Log'!$N$4:$N$311),NA()))</f>
        <v>1069.478840506906</v>
      </c>
      <c r="S142">
        <f>IF($J142&gt;MAX('Match Log'!$A$4:$A$311),NA(),IFERROR(LOOKUP(2,1/(('Match Log'!$D$4:$D$311=$S$24)*('Match Log'!$A$4:$A$311&lt;=$J142)),'Match Log'!$N$4:$N$311),NA()))</f>
        <v>1189.3765078898728</v>
      </c>
      <c r="T142">
        <f>IF($J142&gt;MAX('Match Log'!$A$4:$A$311),NA(),IFERROR(LOOKUP(2,1/(('Match Log'!$D$4:$D$311=$T$24)*('Match Log'!$A$4:$A$311&lt;=$J142)),'Match Log'!$N$4:$N$311),NA()))</f>
        <v>894.20718606929802</v>
      </c>
      <c r="U142">
        <f>IF($J142&gt;MAX('Match Log'!$A$4:$A$311),NA(),IFERROR(LOOKUP(2,1/(('Match Log'!$D$4:$D$311=$U$24)*('Match Log'!$A$4:$A$311&lt;=$J142)),'Match Log'!$N$4:$N$311),NA()))</f>
        <v>1154.7503552131154</v>
      </c>
      <c r="V142">
        <f>IF($J142&gt;MAX('Match Log'!$A$4:$A$311),NA(),IFERROR(LOOKUP(2,1/(('Match Log'!$D$4:$D$311=$V$24)*('Match Log'!$A$4:$A$311&lt;=$J142)),'Match Log'!$N$4:$N$311),NA()))</f>
        <v>1039.5415973556721</v>
      </c>
      <c r="W142">
        <f>IF($J142&gt;MAX('Match Log'!$A$4:$A$311),NA(),IFERROR(LOOKUP(2,1/(('Match Log'!$D$4:$D$311=$W$24)*('Match Log'!$A$4:$A$311&lt;=$J142)),'Match Log'!$N$4:$N$311),NA()))</f>
        <v>1038.5016461247724</v>
      </c>
      <c r="X142" t="e">
        <f>IF($J142&gt;MAX('Match Log'!$A$4:$A$311),NA(),IFERROR(LOOKUP(2,1/(('Match Log'!$D$4:$D$311=$X$24)*('Match Log'!$A$4:$A$311&lt;=$J142)),'Match Log'!$N$4:$N$311),NA()))</f>
        <v>#N/A</v>
      </c>
      <c r="Y142">
        <f t="shared" ca="1" si="27"/>
        <v>0.14273914285714279</v>
      </c>
    </row>
    <row r="143" spans="1:25" ht="15" customHeight="1" x14ac:dyDescent="0.2">
      <c r="A143">
        <v>119</v>
      </c>
      <c r="B143" t="str">
        <f>IFERROR(INDEX('Match Log'!$B$4:$B$311,MATCH(119,'Match Log'!$A$4:$A$311,0)),"")</f>
        <v/>
      </c>
      <c r="C143" t="str">
        <f>IFERROR(INDEX('Match Log'!$C$4:$C$311,MATCH(119,'Match Log'!$A$4:$A$311,0)),"")</f>
        <v/>
      </c>
      <c r="D143" t="str">
        <f>IFERROR(INDEX('Match Log'!$G$4:$G$311,MATCH(119,'Match Log'!$A$4:$A$311,0)),"")</f>
        <v/>
      </c>
      <c r="E143" t="str">
        <f>IFERROR(INDEX('Match Log'!$F$4:$F$311,MATCH(119,'Match Log'!$A$4:$A$311,0)),"")</f>
        <v/>
      </c>
      <c r="F143">
        <f>IFERROR(SUMIFS('Match Log'!$I$4:$I$311,'Match Log'!$A$4:$A$311,119,'Match Log'!$E$4:$E$311,"Win"),"")</f>
        <v>0</v>
      </c>
      <c r="G143" t="str">
        <f t="shared" si="25"/>
        <v/>
      </c>
      <c r="H143" t="str">
        <f>IFERROR(IF($E143=2,LOOKUP(2,1/(('Match Log'!$A$4:$A$311=119)*('Match Log'!$E$4:$E$311="Loss")),'Match Log'!$D$4:$D$311),"the field"),"")</f>
        <v>the field</v>
      </c>
      <c r="I143" t="str">
        <f t="shared" si="26"/>
        <v/>
      </c>
      <c r="J143">
        <v>119</v>
      </c>
      <c r="K143" t="e">
        <f>IF($J143&gt;MAX('Match Log'!$A$4:$A$311),NA(),IFERROR(LOOKUP(2,1/(('Match Log'!$D$4:$D$311=$K$24)*('Match Log'!$A$4:$A$311&lt;=$J143)),'Match Log'!$N$4:$N$311),NA()))</f>
        <v>#N/A</v>
      </c>
      <c r="L143" t="e">
        <f>IF($J143&gt;MAX('Match Log'!$A$4:$A$311),NA(),IFERROR(LOOKUP(2,1/(('Match Log'!$D$4:$D$311=$L$24)*('Match Log'!$A$4:$A$311&lt;=$J143)),'Match Log'!$N$4:$N$311),NA()))</f>
        <v>#N/A</v>
      </c>
      <c r="M143" t="e">
        <f>IF($J143&gt;MAX('Match Log'!$A$4:$A$311),NA(),IFERROR(LOOKUP(2,1/(('Match Log'!$D$4:$D$311=$M$24)*('Match Log'!$A$4:$A$311&lt;=$J143)),'Match Log'!$N$4:$N$311),NA()))</f>
        <v>#N/A</v>
      </c>
      <c r="N143" t="e">
        <f>IF($J143&gt;MAX('Match Log'!$A$4:$A$311),NA(),IFERROR(LOOKUP(2,1/(('Match Log'!$D$4:$D$311=$N$24)*('Match Log'!$A$4:$A$311&lt;=$J143)),'Match Log'!$N$4:$N$311),NA()))</f>
        <v>#N/A</v>
      </c>
      <c r="O143" t="e">
        <f>IF($J143&gt;MAX('Match Log'!$A$4:$A$311),NA(),IFERROR(LOOKUP(2,1/(('Match Log'!$D$4:$D$311=$O$24)*('Match Log'!$A$4:$A$311&lt;=$J143)),'Match Log'!$N$4:$N$311),NA()))</f>
        <v>#N/A</v>
      </c>
      <c r="P143" t="e">
        <f>IF($J143&gt;MAX('Match Log'!$A$4:$A$311),NA(),IFERROR(LOOKUP(2,1/(('Match Log'!$D$4:$D$311=$P$24)*('Match Log'!$A$4:$A$311&lt;=$J143)),'Match Log'!$N$4:$N$311),NA()))</f>
        <v>#N/A</v>
      </c>
      <c r="Q143" t="e">
        <f>IF($J143&gt;MAX('Match Log'!$A$4:$A$311),NA(),IFERROR(LOOKUP(2,1/(('Match Log'!$D$4:$D$311=$Q$24)*('Match Log'!$A$4:$A$311&lt;=$J143)),'Match Log'!$N$4:$N$311),NA()))</f>
        <v>#N/A</v>
      </c>
      <c r="R143" t="e">
        <f>IF($J143&gt;MAX('Match Log'!$A$4:$A$311),NA(),IFERROR(LOOKUP(2,1/(('Match Log'!$D$4:$D$311=$R$24)*('Match Log'!$A$4:$A$311&lt;=$J143)),'Match Log'!$N$4:$N$311),NA()))</f>
        <v>#N/A</v>
      </c>
      <c r="S143" t="e">
        <f>IF($J143&gt;MAX('Match Log'!$A$4:$A$311),NA(),IFERROR(LOOKUP(2,1/(('Match Log'!$D$4:$D$311=$S$24)*('Match Log'!$A$4:$A$311&lt;=$J143)),'Match Log'!$N$4:$N$311),NA()))</f>
        <v>#N/A</v>
      </c>
      <c r="T143" t="e">
        <f>IF($J143&gt;MAX('Match Log'!$A$4:$A$311),NA(),IFERROR(LOOKUP(2,1/(('Match Log'!$D$4:$D$311=$T$24)*('Match Log'!$A$4:$A$311&lt;=$J143)),'Match Log'!$N$4:$N$311),NA()))</f>
        <v>#N/A</v>
      </c>
      <c r="U143" t="e">
        <f>IF($J143&gt;MAX('Match Log'!$A$4:$A$311),NA(),IFERROR(LOOKUP(2,1/(('Match Log'!$D$4:$D$311=$U$24)*('Match Log'!$A$4:$A$311&lt;=$J143)),'Match Log'!$N$4:$N$311),NA()))</f>
        <v>#N/A</v>
      </c>
      <c r="V143" t="e">
        <f>IF($J143&gt;MAX('Match Log'!$A$4:$A$311),NA(),IFERROR(LOOKUP(2,1/(('Match Log'!$D$4:$D$311=$V$24)*('Match Log'!$A$4:$A$311&lt;=$J143)),'Match Log'!$N$4:$N$311),NA()))</f>
        <v>#N/A</v>
      </c>
      <c r="W143" t="e">
        <f>IF($J143&gt;MAX('Match Log'!$A$4:$A$311),NA(),IFERROR(LOOKUP(2,1/(('Match Log'!$D$4:$D$311=$W$24)*('Match Log'!$A$4:$A$311&lt;=$J143)),'Match Log'!$N$4:$N$311),NA()))</f>
        <v>#N/A</v>
      </c>
      <c r="X143" t="e">
        <f>IF($J143&gt;MAX('Match Log'!$A$4:$A$311),NA(),IFERROR(LOOKUP(2,1/(('Match Log'!$D$4:$D$311=$X$24)*('Match Log'!$A$4:$A$311&lt;=$J143)),'Match Log'!$N$4:$N$311),NA()))</f>
        <v>#N/A</v>
      </c>
      <c r="Y143" t="str">
        <f t="shared" ca="1" si="27"/>
        <v/>
      </c>
    </row>
    <row r="144" spans="1:25" ht="15" customHeight="1" x14ac:dyDescent="0.2">
      <c r="A144">
        <v>120</v>
      </c>
      <c r="B144" t="str">
        <f>IFERROR(INDEX('Match Log'!$B$4:$B$311,MATCH(120,'Match Log'!$A$4:$A$311,0)),"")</f>
        <v/>
      </c>
      <c r="C144" t="str">
        <f>IFERROR(INDEX('Match Log'!$C$4:$C$311,MATCH(120,'Match Log'!$A$4:$A$311,0)),"")</f>
        <v/>
      </c>
      <c r="D144" t="str">
        <f>IFERROR(INDEX('Match Log'!$G$4:$G$311,MATCH(120,'Match Log'!$A$4:$A$311,0)),"")</f>
        <v/>
      </c>
      <c r="E144" t="str">
        <f>IFERROR(INDEX('Match Log'!$F$4:$F$311,MATCH(120,'Match Log'!$A$4:$A$311,0)),"")</f>
        <v/>
      </c>
      <c r="F144">
        <f>IFERROR(SUMIFS('Match Log'!$I$4:$I$311,'Match Log'!$A$4:$A$311,120,'Match Log'!$E$4:$E$311,"Win"),"")</f>
        <v>0</v>
      </c>
      <c r="G144" t="str">
        <f t="shared" si="25"/>
        <v/>
      </c>
      <c r="H144" t="str">
        <f>IFERROR(IF($E144=2,LOOKUP(2,1/(('Match Log'!$A$4:$A$311=120)*('Match Log'!$E$4:$E$311="Loss")),'Match Log'!$D$4:$D$311),"the field"),"")</f>
        <v>the field</v>
      </c>
      <c r="I144" t="str">
        <f t="shared" si="26"/>
        <v/>
      </c>
      <c r="J144">
        <v>120</v>
      </c>
      <c r="K144" t="e">
        <f>IF($J144&gt;MAX('Match Log'!$A$4:$A$311),NA(),IFERROR(LOOKUP(2,1/(('Match Log'!$D$4:$D$311=$K$24)*('Match Log'!$A$4:$A$311&lt;=$J144)),'Match Log'!$N$4:$N$311),NA()))</f>
        <v>#N/A</v>
      </c>
      <c r="L144" t="e">
        <f>IF($J144&gt;MAX('Match Log'!$A$4:$A$311),NA(),IFERROR(LOOKUP(2,1/(('Match Log'!$D$4:$D$311=$L$24)*('Match Log'!$A$4:$A$311&lt;=$J144)),'Match Log'!$N$4:$N$311),NA()))</f>
        <v>#N/A</v>
      </c>
      <c r="M144" t="e">
        <f>IF($J144&gt;MAX('Match Log'!$A$4:$A$311),NA(),IFERROR(LOOKUP(2,1/(('Match Log'!$D$4:$D$311=$M$24)*('Match Log'!$A$4:$A$311&lt;=$J144)),'Match Log'!$N$4:$N$311),NA()))</f>
        <v>#N/A</v>
      </c>
      <c r="N144" t="e">
        <f>IF($J144&gt;MAX('Match Log'!$A$4:$A$311),NA(),IFERROR(LOOKUP(2,1/(('Match Log'!$D$4:$D$311=$N$24)*('Match Log'!$A$4:$A$311&lt;=$J144)),'Match Log'!$N$4:$N$311),NA()))</f>
        <v>#N/A</v>
      </c>
      <c r="O144" t="e">
        <f>IF($J144&gt;MAX('Match Log'!$A$4:$A$311),NA(),IFERROR(LOOKUP(2,1/(('Match Log'!$D$4:$D$311=$O$24)*('Match Log'!$A$4:$A$311&lt;=$J144)),'Match Log'!$N$4:$N$311),NA()))</f>
        <v>#N/A</v>
      </c>
      <c r="P144" t="e">
        <f>IF($J144&gt;MAX('Match Log'!$A$4:$A$311),NA(),IFERROR(LOOKUP(2,1/(('Match Log'!$D$4:$D$311=$P$24)*('Match Log'!$A$4:$A$311&lt;=$J144)),'Match Log'!$N$4:$N$311),NA()))</f>
        <v>#N/A</v>
      </c>
      <c r="Q144" t="e">
        <f>IF($J144&gt;MAX('Match Log'!$A$4:$A$311),NA(),IFERROR(LOOKUP(2,1/(('Match Log'!$D$4:$D$311=$Q$24)*('Match Log'!$A$4:$A$311&lt;=$J144)),'Match Log'!$N$4:$N$311),NA()))</f>
        <v>#N/A</v>
      </c>
      <c r="R144" t="e">
        <f>IF($J144&gt;MAX('Match Log'!$A$4:$A$311),NA(),IFERROR(LOOKUP(2,1/(('Match Log'!$D$4:$D$311=$R$24)*('Match Log'!$A$4:$A$311&lt;=$J144)),'Match Log'!$N$4:$N$311),NA()))</f>
        <v>#N/A</v>
      </c>
      <c r="S144" t="e">
        <f>IF($J144&gt;MAX('Match Log'!$A$4:$A$311),NA(),IFERROR(LOOKUP(2,1/(('Match Log'!$D$4:$D$311=$S$24)*('Match Log'!$A$4:$A$311&lt;=$J144)),'Match Log'!$N$4:$N$311),NA()))</f>
        <v>#N/A</v>
      </c>
      <c r="T144" t="e">
        <f>IF($J144&gt;MAX('Match Log'!$A$4:$A$311),NA(),IFERROR(LOOKUP(2,1/(('Match Log'!$D$4:$D$311=$T$24)*('Match Log'!$A$4:$A$311&lt;=$J144)),'Match Log'!$N$4:$N$311),NA()))</f>
        <v>#N/A</v>
      </c>
      <c r="U144" t="e">
        <f>IF($J144&gt;MAX('Match Log'!$A$4:$A$311),NA(),IFERROR(LOOKUP(2,1/(('Match Log'!$D$4:$D$311=$U$24)*('Match Log'!$A$4:$A$311&lt;=$J144)),'Match Log'!$N$4:$N$311),NA()))</f>
        <v>#N/A</v>
      </c>
      <c r="V144" t="e">
        <f>IF($J144&gt;MAX('Match Log'!$A$4:$A$311),NA(),IFERROR(LOOKUP(2,1/(('Match Log'!$D$4:$D$311=$V$24)*('Match Log'!$A$4:$A$311&lt;=$J144)),'Match Log'!$N$4:$N$311),NA()))</f>
        <v>#N/A</v>
      </c>
      <c r="W144" t="e">
        <f>IF($J144&gt;MAX('Match Log'!$A$4:$A$311),NA(),IFERROR(LOOKUP(2,1/(('Match Log'!$D$4:$D$311=$W$24)*('Match Log'!$A$4:$A$311&lt;=$J144)),'Match Log'!$N$4:$N$311),NA()))</f>
        <v>#N/A</v>
      </c>
      <c r="X144" t="e">
        <f>IF($J144&gt;MAX('Match Log'!$A$4:$A$311),NA(),IFERROR(LOOKUP(2,1/(('Match Log'!$D$4:$D$311=$X$24)*('Match Log'!$A$4:$A$311&lt;=$J144)),'Match Log'!$N$4:$N$311),NA()))</f>
        <v>#N/A</v>
      </c>
      <c r="Y144" t="str">
        <f t="shared" ca="1" si="27"/>
        <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Log'!$D$4:$D$311,$A2)=0,'Guide &amp; Settings'!$C$41,IFERROR(LOOKUP(2,1/('Match Log'!$D$4:$D$311=$A2),'Match Log'!$N$4:$N$311),'Guide &amp; Settings'!$C$41))</f>
        <v>1125.1080177960646</v>
      </c>
      <c r="C2">
        <f>IFERROR(SUMPRODUCT(INDEX('Head-to-Head'!$B$22:$O$35,1,0),$D$2:$Q$2)/SUM(INDEX('Head-to-Head'!$B$22:$O$35,1,0)),"")</f>
        <v>1037.6239185820834</v>
      </c>
      <c r="D2">
        <f>$B$2</f>
        <v>1125.1080177960646</v>
      </c>
      <c r="E2">
        <f>$B$3</f>
        <v>1044.8691565259944</v>
      </c>
      <c r="F2">
        <f>$B$4</f>
        <v>1017.3466608720325</v>
      </c>
      <c r="G2">
        <f>$B$5</f>
        <v>990.8737469852914</v>
      </c>
      <c r="H2">
        <f>$B$6</f>
        <v>1147.1945550051951</v>
      </c>
      <c r="I2">
        <f>$B$7</f>
        <v>956.84822634794841</v>
      </c>
      <c r="J2">
        <f>$B$8</f>
        <v>1099.9035033078371</v>
      </c>
      <c r="K2">
        <f>$B$9</f>
        <v>1069.478840506906</v>
      </c>
      <c r="L2">
        <f>$B$10</f>
        <v>1189.3765078898728</v>
      </c>
      <c r="M2">
        <f>$B$11</f>
        <v>894.20718606929802</v>
      </c>
      <c r="N2">
        <f>$B$12</f>
        <v>1154.7503552131154</v>
      </c>
      <c r="O2">
        <f>$B$13</f>
        <v>1039.5415973556721</v>
      </c>
      <c r="P2">
        <f>$B$14</f>
        <v>1038.5016461247724</v>
      </c>
      <c r="Q2">
        <f>$B$15</f>
        <v>1000</v>
      </c>
    </row>
    <row r="3" spans="1:17" ht="15" customHeight="1" x14ac:dyDescent="0.2">
      <c r="A3" t="s">
        <v>142</v>
      </c>
      <c r="B3">
        <f>IF(COUNTIF('Match Log'!$D$4:$D$311,$A3)=0,'Guide &amp; Settings'!$C$41,IFERROR(LOOKUP(2,1/('Match Log'!$D$4:$D$311=$A3),'Match Log'!$N$4:$N$311),'Guide &amp; Settings'!$C$41))</f>
        <v>1044.8691565259944</v>
      </c>
      <c r="C3">
        <f>IFERROR(SUMPRODUCT(INDEX('Head-to-Head'!$B$22:$O$35,2,0),$D$2:$Q$2)/SUM(INDEX('Head-to-Head'!$B$22:$O$35,2,0)),"")</f>
        <v>1089.5487055180556</v>
      </c>
    </row>
    <row r="4" spans="1:17" ht="15" customHeight="1" x14ac:dyDescent="0.2">
      <c r="A4" t="s">
        <v>180</v>
      </c>
      <c r="B4">
        <f>IF(COUNTIF('Match Log'!$D$4:$D$311,$A4)=0,'Guide &amp; Settings'!$C$41,IFERROR(LOOKUP(2,1/('Match Log'!$D$4:$D$311=$A4),'Match Log'!$N$4:$N$311),'Guide &amp; Settings'!$C$41))</f>
        <v>1017.3466608720325</v>
      </c>
      <c r="C4">
        <f>IFERROR(SUMPRODUCT(INDEX('Head-to-Head'!$B$22:$O$35,3,0),$D$2:$Q$2)/SUM(INDEX('Head-to-Head'!$B$22:$O$35,3,0)),"")</f>
        <v>1073.6851802864951</v>
      </c>
    </row>
    <row r="5" spans="1:17" ht="15" customHeight="1" x14ac:dyDescent="0.2">
      <c r="A5" t="s">
        <v>147</v>
      </c>
      <c r="B5">
        <f>IF(COUNTIF('Match Log'!$D$4:$D$311,$A5)=0,'Guide &amp; Settings'!$C$41,IFERROR(LOOKUP(2,1/('Match Log'!$D$4:$D$311=$A5),'Match Log'!$N$4:$N$311),'Guide &amp; Settings'!$C$41))</f>
        <v>990.8737469852914</v>
      </c>
      <c r="C5">
        <f>IFERROR(SUMPRODUCT(INDEX('Head-to-Head'!$B$22:$O$35,4,0),$D$2:$Q$2)/SUM(INDEX('Head-to-Head'!$B$22:$O$35,4,0)),"")</f>
        <v>1088.6528297296986</v>
      </c>
    </row>
    <row r="6" spans="1:17" ht="15" customHeight="1" x14ac:dyDescent="0.2">
      <c r="A6" t="s">
        <v>144</v>
      </c>
      <c r="B6">
        <f>IF(COUNTIF('Match Log'!$D$4:$D$311,$A6)=0,'Guide &amp; Settings'!$C$41,IFERROR(LOOKUP(2,1/('Match Log'!$D$4:$D$311=$A6),'Match Log'!$N$4:$N$311),'Guide &amp; Settings'!$C$41))</f>
        <v>1147.1945550051951</v>
      </c>
      <c r="C6">
        <f>IFERROR(SUMPRODUCT(INDEX('Head-to-Head'!$B$22:$O$35,5,0),$D$2:$Q$2)/SUM(INDEX('Head-to-Head'!$B$22:$O$35,5,0)),"")</f>
        <v>1050.7513326385229</v>
      </c>
    </row>
    <row r="7" spans="1:17" ht="15" customHeight="1" x14ac:dyDescent="0.2">
      <c r="A7" t="s">
        <v>141</v>
      </c>
      <c r="B7">
        <f>IF(COUNTIF('Match Log'!$D$4:$D$311,$A7)=0,'Guide &amp; Settings'!$C$41,IFERROR(LOOKUP(2,1/('Match Log'!$D$4:$D$311=$A7),'Match Log'!$N$4:$N$311),'Guide &amp; Settings'!$C$41))</f>
        <v>956.84822634794841</v>
      </c>
      <c r="C7">
        <f>IFERROR(SUMPRODUCT(INDEX('Head-to-Head'!$B$22:$O$35,6,0),$D$2:$Q$2)/SUM(INDEX('Head-to-Head'!$B$22:$O$35,6,0)),"")</f>
        <v>1109.6106651006162</v>
      </c>
    </row>
    <row r="8" spans="1:17" ht="15" customHeight="1" x14ac:dyDescent="0.2">
      <c r="A8" t="s">
        <v>175</v>
      </c>
      <c r="B8">
        <f>IF(COUNTIF('Match Log'!$D$4:$D$311,$A8)=0,'Guide &amp; Settings'!$C$41,IFERROR(LOOKUP(2,1/('Match Log'!$D$4:$D$311=$A8),'Match Log'!$N$4:$N$311),'Guide &amp; Settings'!$C$41))</f>
        <v>1099.9035033078371</v>
      </c>
      <c r="C8">
        <f>IFERROR(SUMPRODUCT(INDEX('Head-to-Head'!$B$22:$O$35,7,0),$D$2:$Q$2)/SUM(INDEX('Head-to-Head'!$B$22:$O$35,7,0)),"")</f>
        <v>1089.4921020396014</v>
      </c>
    </row>
    <row r="9" spans="1:17" ht="15" customHeight="1" x14ac:dyDescent="0.2">
      <c r="A9" t="s">
        <v>177</v>
      </c>
      <c r="B9">
        <f>IF(COUNTIF('Match Log'!$D$4:$D$311,$A9)=0,'Guide &amp; Settings'!$C$41,IFERROR(LOOKUP(2,1/('Match Log'!$D$4:$D$311=$A9),'Match Log'!$N$4:$N$311),'Guide &amp; Settings'!$C$41))</f>
        <v>1069.478840506906</v>
      </c>
      <c r="C9">
        <f>IFERROR(SUMPRODUCT(INDEX('Head-to-Head'!$B$22:$O$35,8,0),$D$2:$Q$2)/SUM(INDEX('Head-to-Head'!$B$22:$O$35,8,0)),"")</f>
        <v>1068.9293037026482</v>
      </c>
    </row>
    <row r="10" spans="1:17" ht="15" customHeight="1" x14ac:dyDescent="0.2">
      <c r="A10" t="s">
        <v>174</v>
      </c>
      <c r="B10">
        <f>IF(COUNTIF('Match Log'!$D$4:$D$311,$A10)=0,'Guide &amp; Settings'!$C$41,IFERROR(LOOKUP(2,1/('Match Log'!$D$4:$D$311=$A10),'Match Log'!$N$4:$N$311),'Guide &amp; Settings'!$C$41))</f>
        <v>1189.3765078898728</v>
      </c>
      <c r="C10">
        <f>IFERROR(SUMPRODUCT(INDEX('Head-to-Head'!$B$22:$O$35,9,0),$D$2:$Q$2)/SUM(INDEX('Head-to-Head'!$B$22:$O$35,9,0)),"")</f>
        <v>1074.1779562705763</v>
      </c>
    </row>
    <row r="11" spans="1:17" ht="15" customHeight="1" x14ac:dyDescent="0.2">
      <c r="A11" t="s">
        <v>182</v>
      </c>
      <c r="B11">
        <f>IF(COUNTIF('Match Log'!$D$4:$D$311,$A11)=0,'Guide &amp; Settings'!$C$41,IFERROR(LOOKUP(2,1/('Match Log'!$D$4:$D$311=$A11),'Match Log'!$N$4:$N$311),'Guide &amp; Settings'!$C$41))</f>
        <v>894.20718606929802</v>
      </c>
      <c r="C11">
        <f>IFERROR(SUMPRODUCT(INDEX('Head-to-Head'!$B$22:$O$35,10,0),$D$2:$Q$2)/SUM(INDEX('Head-to-Head'!$B$22:$O$35,10,0)),"")</f>
        <v>1110.8515341855841</v>
      </c>
    </row>
    <row r="12" spans="1:17" ht="15" customHeight="1" x14ac:dyDescent="0.2">
      <c r="A12" t="s">
        <v>176</v>
      </c>
      <c r="B12">
        <f>IF(COUNTIF('Match Log'!$D$4:$D$311,$A12)=0,'Guide &amp; Settings'!$C$41,IFERROR(LOOKUP(2,1/('Match Log'!$D$4:$D$311=$A12),'Match Log'!$N$4:$N$311),'Guide &amp; Settings'!$C$41))</f>
        <v>1154.7503552131154</v>
      </c>
      <c r="C12">
        <f>IFERROR(SUMPRODUCT(INDEX('Head-to-Head'!$B$22:$O$35,11,0),$D$2:$Q$2)/SUM(INDEX('Head-to-Head'!$B$22:$O$35,11,0)),"")</f>
        <v>1062.7009143720043</v>
      </c>
    </row>
    <row r="13" spans="1:17" ht="15" customHeight="1" x14ac:dyDescent="0.2">
      <c r="A13" t="s">
        <v>178</v>
      </c>
      <c r="B13">
        <f>IF(COUNTIF('Match Log'!$D$4:$D$311,$A13)=0,'Guide &amp; Settings'!$C$41,IFERROR(LOOKUP(2,1/('Match Log'!$D$4:$D$311=$A13),'Match Log'!$N$4:$N$311),'Guide &amp; Settings'!$C$41))</f>
        <v>1039.5415973556721</v>
      </c>
      <c r="C13">
        <f>IFERROR(SUMPRODUCT(INDEX('Head-to-Head'!$B$22:$O$35,12,0),$D$2:$Q$2)/SUM(INDEX('Head-to-Head'!$B$22:$O$35,12,0)),"")</f>
        <v>1066.7168830610779</v>
      </c>
    </row>
    <row r="14" spans="1:17" ht="15" customHeight="1" x14ac:dyDescent="0.2">
      <c r="A14" t="s">
        <v>179</v>
      </c>
      <c r="B14">
        <f>IF(COUNTIF('Match Log'!$D$4:$D$311,$A14)=0,'Guide &amp; Settings'!$C$41,IFERROR(LOOKUP(2,1/('Match Log'!$D$4:$D$311=$A14),'Match Log'!$N$4:$N$311),'Guide &amp; Settings'!$C$41))</f>
        <v>1038.5016461247724</v>
      </c>
      <c r="C14">
        <f>IFERROR(SUMPRODUCT(INDEX('Head-to-Head'!$B$22:$O$35,13,0),$D$2:$Q$2)/SUM(INDEX('Head-to-Head'!$B$22:$O$35,13,0)),"")</f>
        <v>1087.6402060746505</v>
      </c>
    </row>
    <row r="15" spans="1:17" ht="15" customHeight="1" x14ac:dyDescent="0.2">
      <c r="A15" t="s">
        <v>181</v>
      </c>
      <c r="B15">
        <f>IF(COUNTIF('Match Log'!$D$4:$D$311,$A15)=0,'Guide &amp; Settings'!$C$41,IFERROR(LOOKUP(2,1/('Match Log'!$D$4:$D$311=$A15),'Match Log'!$N$4:$N$311),'Guide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0"/>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2026-07-04T13:06:47Z</dcterms:modified>
  <dc:language>en-US</dc:language>
</cp:coreProperties>
</file>