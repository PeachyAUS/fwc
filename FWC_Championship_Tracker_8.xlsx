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B4538E63-A242-1D4D-A61B-B4AF495F8FA9}" xr6:coauthVersionLast="47" xr6:coauthVersionMax="47" xr10:uidLastSave="{00000000-0000-0000-0000-000000000000}"/>
  <bookViews>
    <workbookView xWindow="-20" yWindow="660" windowWidth="34560" windowHeight="20580" tabRatio="500" activeTab="8"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Leaders!$A$9:$E$29</definedName>
    <definedName name="_xlnm._FilterDatabase" localSheetId="5" hidden="1">'Sport Records'!$A$73:$G$87</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C444" i="11"/>
  <c r="B444" i="11"/>
  <c r="X443" i="11"/>
  <c r="W443" i="11"/>
  <c r="V443" i="11"/>
  <c r="U443" i="11"/>
  <c r="T443" i="11"/>
  <c r="S443" i="11"/>
  <c r="R443" i="11"/>
  <c r="Q443" i="11"/>
  <c r="P443" i="11"/>
  <c r="O443" i="11"/>
  <c r="N443" i="11"/>
  <c r="M443" i="11"/>
  <c r="L443" i="11"/>
  <c r="K443" i="11"/>
  <c r="F443" i="11"/>
  <c r="E443" i="11"/>
  <c r="C443" i="11"/>
  <c r="B443" i="11"/>
  <c r="X442" i="11"/>
  <c r="W442" i="11"/>
  <c r="V442" i="11"/>
  <c r="U442" i="11"/>
  <c r="T442" i="11"/>
  <c r="S442" i="11"/>
  <c r="R442" i="11"/>
  <c r="Q442" i="11"/>
  <c r="P442" i="11"/>
  <c r="O442" i="11"/>
  <c r="N442" i="11"/>
  <c r="M442" i="11"/>
  <c r="L442" i="11"/>
  <c r="K442" i="11"/>
  <c r="F442" i="11"/>
  <c r="E442" i="11"/>
  <c r="C442" i="11"/>
  <c r="B442" i="11"/>
  <c r="X441" i="11"/>
  <c r="W441" i="11"/>
  <c r="V441" i="11"/>
  <c r="U441" i="11"/>
  <c r="T441" i="11"/>
  <c r="S441" i="11"/>
  <c r="R441" i="11"/>
  <c r="Q441" i="11"/>
  <c r="P441" i="11"/>
  <c r="O441" i="11"/>
  <c r="N441" i="11"/>
  <c r="M441" i="11"/>
  <c r="L441" i="11"/>
  <c r="K441" i="11"/>
  <c r="F441" i="11"/>
  <c r="E441" i="11"/>
  <c r="C441" i="11"/>
  <c r="B441" i="11"/>
  <c r="X440" i="11"/>
  <c r="W440" i="11"/>
  <c r="V440" i="11"/>
  <c r="U440" i="11"/>
  <c r="T440" i="11"/>
  <c r="S440" i="11"/>
  <c r="R440" i="11"/>
  <c r="Q440" i="11"/>
  <c r="P440" i="11"/>
  <c r="O440" i="11"/>
  <c r="N440" i="11"/>
  <c r="M440" i="11"/>
  <c r="L440" i="11"/>
  <c r="K440" i="11"/>
  <c r="F440" i="11"/>
  <c r="E440" i="11"/>
  <c r="C440" i="11"/>
  <c r="B440" i="11"/>
  <c r="X439" i="11"/>
  <c r="W439" i="11"/>
  <c r="V439" i="11"/>
  <c r="U439" i="11"/>
  <c r="T439" i="11"/>
  <c r="S439" i="11"/>
  <c r="R439" i="11"/>
  <c r="Q439" i="11"/>
  <c r="P439" i="11"/>
  <c r="O439" i="11"/>
  <c r="N439" i="11"/>
  <c r="M439" i="11"/>
  <c r="L439" i="11"/>
  <c r="K439" i="11"/>
  <c r="F439" i="11"/>
  <c r="E439" i="11"/>
  <c r="C439" i="11"/>
  <c r="B439" i="11"/>
  <c r="X438" i="11"/>
  <c r="W438" i="11"/>
  <c r="V438" i="11"/>
  <c r="U438" i="11"/>
  <c r="T438" i="11"/>
  <c r="S438" i="11"/>
  <c r="R438" i="11"/>
  <c r="Q438" i="11"/>
  <c r="P438" i="11"/>
  <c r="O438" i="11"/>
  <c r="N438" i="11"/>
  <c r="M438" i="11"/>
  <c r="L438" i="11"/>
  <c r="K438" i="11"/>
  <c r="F438" i="11"/>
  <c r="E438" i="11"/>
  <c r="C438" i="11"/>
  <c r="B438" i="11"/>
  <c r="X437" i="11"/>
  <c r="W437" i="11"/>
  <c r="V437" i="11"/>
  <c r="U437" i="11"/>
  <c r="T437" i="11"/>
  <c r="S437" i="11"/>
  <c r="R437" i="11"/>
  <c r="Q437" i="11"/>
  <c r="P437" i="11"/>
  <c r="O437" i="11"/>
  <c r="N437" i="11"/>
  <c r="M437" i="11"/>
  <c r="L437" i="11"/>
  <c r="K437" i="11"/>
  <c r="F437" i="11"/>
  <c r="E437" i="11"/>
  <c r="C437" i="11"/>
  <c r="B437" i="11"/>
  <c r="X436" i="11"/>
  <c r="W436" i="11"/>
  <c r="V436" i="11"/>
  <c r="U436" i="11"/>
  <c r="T436" i="11"/>
  <c r="S436" i="11"/>
  <c r="R436" i="11"/>
  <c r="Q436" i="11"/>
  <c r="P436" i="11"/>
  <c r="O436" i="11"/>
  <c r="N436" i="11"/>
  <c r="M436" i="11"/>
  <c r="L436" i="11"/>
  <c r="K436" i="11"/>
  <c r="F436" i="11"/>
  <c r="E436" i="11"/>
  <c r="C436" i="11"/>
  <c r="B436" i="11"/>
  <c r="X435" i="11"/>
  <c r="W435" i="11"/>
  <c r="V435" i="11"/>
  <c r="U435" i="11"/>
  <c r="T435" i="11"/>
  <c r="S435" i="11"/>
  <c r="R435" i="11"/>
  <c r="Q435" i="11"/>
  <c r="P435" i="11"/>
  <c r="O435" i="11"/>
  <c r="N435" i="11"/>
  <c r="M435" i="11"/>
  <c r="L435" i="11"/>
  <c r="K435" i="11"/>
  <c r="F435" i="11"/>
  <c r="E435" i="11"/>
  <c r="C435" i="11"/>
  <c r="B435" i="11"/>
  <c r="X434" i="11"/>
  <c r="W434" i="11"/>
  <c r="V434" i="11"/>
  <c r="U434" i="11"/>
  <c r="T434" i="11"/>
  <c r="S434" i="11"/>
  <c r="R434" i="11"/>
  <c r="Q434" i="11"/>
  <c r="P434" i="11"/>
  <c r="O434" i="11"/>
  <c r="N434" i="11"/>
  <c r="M434" i="11"/>
  <c r="L434" i="11"/>
  <c r="K434" i="11"/>
  <c r="F434" i="11"/>
  <c r="E434" i="11"/>
  <c r="C434" i="11"/>
  <c r="B434" i="11"/>
  <c r="X433" i="11"/>
  <c r="W433" i="11"/>
  <c r="V433" i="11"/>
  <c r="U433" i="11"/>
  <c r="T433" i="11"/>
  <c r="S433" i="11"/>
  <c r="R433" i="11"/>
  <c r="Q433" i="11"/>
  <c r="P433" i="11"/>
  <c r="O433" i="11"/>
  <c r="N433" i="11"/>
  <c r="M433" i="11"/>
  <c r="L433" i="11"/>
  <c r="K433" i="11"/>
  <c r="F433" i="11"/>
  <c r="E433" i="11"/>
  <c r="C433" i="11"/>
  <c r="B433" i="11"/>
  <c r="X432" i="11"/>
  <c r="W432" i="11"/>
  <c r="V432" i="11"/>
  <c r="U432" i="11"/>
  <c r="T432" i="11"/>
  <c r="S432" i="11"/>
  <c r="R432" i="11"/>
  <c r="Q432" i="11"/>
  <c r="P432" i="11"/>
  <c r="O432" i="11"/>
  <c r="N432" i="11"/>
  <c r="M432" i="11"/>
  <c r="L432" i="11"/>
  <c r="K432" i="11"/>
  <c r="F432" i="11"/>
  <c r="E432" i="11"/>
  <c r="C432" i="11"/>
  <c r="B432" i="11"/>
  <c r="X431" i="11"/>
  <c r="W431" i="11"/>
  <c r="V431" i="11"/>
  <c r="U431" i="11"/>
  <c r="T431" i="11"/>
  <c r="S431" i="11"/>
  <c r="R431" i="11"/>
  <c r="Q431" i="11"/>
  <c r="P431" i="11"/>
  <c r="O431" i="11"/>
  <c r="N431" i="11"/>
  <c r="M431" i="11"/>
  <c r="L431" i="11"/>
  <c r="K431" i="11"/>
  <c r="F431" i="11"/>
  <c r="E431" i="11"/>
  <c r="C431" i="11"/>
  <c r="B431" i="11"/>
  <c r="X430" i="11"/>
  <c r="W430" i="11"/>
  <c r="V430" i="11"/>
  <c r="U430" i="11"/>
  <c r="T430" i="11"/>
  <c r="S430" i="11"/>
  <c r="R430" i="11"/>
  <c r="Q430" i="11"/>
  <c r="P430" i="11"/>
  <c r="O430" i="11"/>
  <c r="N430" i="11"/>
  <c r="M430" i="11"/>
  <c r="L430" i="11"/>
  <c r="K430" i="11"/>
  <c r="F430" i="11"/>
  <c r="E430" i="11"/>
  <c r="C430" i="11"/>
  <c r="B430" i="11"/>
  <c r="X429" i="11"/>
  <c r="W429" i="11"/>
  <c r="V429" i="11"/>
  <c r="U429" i="11"/>
  <c r="T429" i="11"/>
  <c r="S429" i="11"/>
  <c r="R429" i="11"/>
  <c r="Q429" i="11"/>
  <c r="P429" i="11"/>
  <c r="O429" i="11"/>
  <c r="N429" i="11"/>
  <c r="M429" i="11"/>
  <c r="L429" i="11"/>
  <c r="K429" i="11"/>
  <c r="F429" i="11"/>
  <c r="E429" i="11"/>
  <c r="C429" i="11"/>
  <c r="B429" i="11"/>
  <c r="X428" i="11"/>
  <c r="W428" i="11"/>
  <c r="V428" i="11"/>
  <c r="U428" i="11"/>
  <c r="T428" i="11"/>
  <c r="S428" i="11"/>
  <c r="R428" i="11"/>
  <c r="Q428" i="11"/>
  <c r="P428" i="11"/>
  <c r="O428" i="11"/>
  <c r="N428" i="11"/>
  <c r="M428" i="11"/>
  <c r="L428" i="11"/>
  <c r="K428" i="11"/>
  <c r="F428" i="11"/>
  <c r="E428" i="11"/>
  <c r="C428" i="11"/>
  <c r="B428" i="11"/>
  <c r="X427" i="11"/>
  <c r="W427" i="11"/>
  <c r="V427" i="11"/>
  <c r="U427" i="11"/>
  <c r="T427" i="11"/>
  <c r="S427" i="11"/>
  <c r="R427" i="11"/>
  <c r="Q427" i="11"/>
  <c r="P427" i="11"/>
  <c r="O427" i="11"/>
  <c r="N427" i="11"/>
  <c r="M427" i="11"/>
  <c r="L427" i="11"/>
  <c r="K427" i="11"/>
  <c r="F427" i="11"/>
  <c r="E427" i="11"/>
  <c r="C427" i="11"/>
  <c r="B427" i="11"/>
  <c r="X426" i="11"/>
  <c r="W426" i="11"/>
  <c r="V426" i="11"/>
  <c r="U426" i="11"/>
  <c r="T426" i="11"/>
  <c r="S426" i="11"/>
  <c r="R426" i="11"/>
  <c r="Q426" i="11"/>
  <c r="P426" i="11"/>
  <c r="O426" i="11"/>
  <c r="N426" i="11"/>
  <c r="M426" i="11"/>
  <c r="L426" i="11"/>
  <c r="K426" i="11"/>
  <c r="F426" i="11"/>
  <c r="E426" i="11"/>
  <c r="C426" i="11"/>
  <c r="B426" i="11"/>
  <c r="X425" i="11"/>
  <c r="W425" i="11"/>
  <c r="V425" i="11"/>
  <c r="U425" i="11"/>
  <c r="T425" i="11"/>
  <c r="S425" i="11"/>
  <c r="R425" i="11"/>
  <c r="Q425" i="11"/>
  <c r="P425" i="11"/>
  <c r="O425" i="11"/>
  <c r="N425" i="11"/>
  <c r="M425" i="11"/>
  <c r="L425" i="11"/>
  <c r="K425" i="11"/>
  <c r="F425" i="11"/>
  <c r="E425" i="11"/>
  <c r="C425" i="11"/>
  <c r="B425" i="11"/>
  <c r="X424" i="11"/>
  <c r="W424" i="11"/>
  <c r="V424" i="11"/>
  <c r="U424" i="11"/>
  <c r="T424" i="11"/>
  <c r="S424" i="11"/>
  <c r="R424" i="11"/>
  <c r="Q424" i="11"/>
  <c r="P424" i="11"/>
  <c r="O424" i="11"/>
  <c r="N424" i="11"/>
  <c r="M424" i="11"/>
  <c r="L424" i="11"/>
  <c r="K424" i="11"/>
  <c r="F424" i="11"/>
  <c r="E424" i="11"/>
  <c r="C424" i="11"/>
  <c r="B424" i="11"/>
  <c r="X423" i="11"/>
  <c r="W423" i="11"/>
  <c r="V423" i="11"/>
  <c r="U423" i="11"/>
  <c r="T423" i="11"/>
  <c r="S423" i="11"/>
  <c r="R423" i="11"/>
  <c r="Q423" i="11"/>
  <c r="P423" i="11"/>
  <c r="O423" i="11"/>
  <c r="N423" i="11"/>
  <c r="M423" i="11"/>
  <c r="L423" i="11"/>
  <c r="K423" i="11"/>
  <c r="F423" i="11"/>
  <c r="E423" i="11"/>
  <c r="C423" i="11"/>
  <c r="B423" i="11"/>
  <c r="X422" i="11"/>
  <c r="W422" i="11"/>
  <c r="V422" i="11"/>
  <c r="U422" i="11"/>
  <c r="T422" i="11"/>
  <c r="S422" i="11"/>
  <c r="R422" i="11"/>
  <c r="Q422" i="11"/>
  <c r="P422" i="11"/>
  <c r="O422" i="11"/>
  <c r="N422" i="11"/>
  <c r="M422" i="11"/>
  <c r="L422" i="11"/>
  <c r="K422" i="11"/>
  <c r="F422" i="11"/>
  <c r="E422" i="11"/>
  <c r="C422" i="11"/>
  <c r="B422" i="11"/>
  <c r="X421" i="11"/>
  <c r="W421" i="11"/>
  <c r="V421" i="11"/>
  <c r="U421" i="11"/>
  <c r="T421" i="11"/>
  <c r="S421" i="11"/>
  <c r="R421" i="11"/>
  <c r="Q421" i="11"/>
  <c r="P421" i="11"/>
  <c r="O421" i="11"/>
  <c r="N421" i="11"/>
  <c r="M421" i="11"/>
  <c r="L421" i="11"/>
  <c r="K421" i="11"/>
  <c r="F421" i="11"/>
  <c r="E421" i="11"/>
  <c r="C421" i="11"/>
  <c r="B421" i="11"/>
  <c r="X420" i="11"/>
  <c r="W420" i="11"/>
  <c r="V420" i="11"/>
  <c r="U420" i="11"/>
  <c r="T420" i="11"/>
  <c r="S420" i="11"/>
  <c r="R420" i="11"/>
  <c r="Q420" i="11"/>
  <c r="P420" i="11"/>
  <c r="O420" i="11"/>
  <c r="N420" i="11"/>
  <c r="M420" i="11"/>
  <c r="L420" i="11"/>
  <c r="K420" i="11"/>
  <c r="F420" i="11"/>
  <c r="E420" i="11"/>
  <c r="C420" i="11"/>
  <c r="B420" i="11"/>
  <c r="X419" i="11"/>
  <c r="W419" i="11"/>
  <c r="V419" i="11"/>
  <c r="U419" i="11"/>
  <c r="T419" i="11"/>
  <c r="S419" i="11"/>
  <c r="R419" i="11"/>
  <c r="Q419" i="11"/>
  <c r="P419" i="11"/>
  <c r="O419" i="11"/>
  <c r="N419" i="11"/>
  <c r="M419" i="11"/>
  <c r="L419" i="11"/>
  <c r="K419" i="11"/>
  <c r="F419" i="11"/>
  <c r="E419" i="11"/>
  <c r="C419" i="11"/>
  <c r="B419" i="11"/>
  <c r="X418" i="11"/>
  <c r="W418" i="11"/>
  <c r="V418" i="11"/>
  <c r="U418" i="11"/>
  <c r="T418" i="11"/>
  <c r="S418" i="11"/>
  <c r="R418" i="11"/>
  <c r="Q418" i="11"/>
  <c r="P418" i="11"/>
  <c r="O418" i="11"/>
  <c r="N418" i="11"/>
  <c r="M418" i="11"/>
  <c r="L418" i="11"/>
  <c r="K418" i="11"/>
  <c r="F418" i="11"/>
  <c r="E418" i="11"/>
  <c r="C418" i="11"/>
  <c r="B418" i="11"/>
  <c r="X417" i="11"/>
  <c r="W417" i="11"/>
  <c r="V417" i="11"/>
  <c r="U417" i="11"/>
  <c r="T417" i="11"/>
  <c r="S417" i="11"/>
  <c r="R417" i="11"/>
  <c r="Q417" i="11"/>
  <c r="P417" i="11"/>
  <c r="O417" i="11"/>
  <c r="N417" i="11"/>
  <c r="M417" i="11"/>
  <c r="L417" i="11"/>
  <c r="K417" i="11"/>
  <c r="F417" i="11"/>
  <c r="E417" i="11"/>
  <c r="C417" i="11"/>
  <c r="B417" i="11"/>
  <c r="X416" i="11"/>
  <c r="W416" i="11"/>
  <c r="V416" i="11"/>
  <c r="U416" i="11"/>
  <c r="T416" i="11"/>
  <c r="S416" i="11"/>
  <c r="R416" i="11"/>
  <c r="Q416" i="11"/>
  <c r="P416" i="11"/>
  <c r="O416" i="11"/>
  <c r="N416" i="11"/>
  <c r="M416" i="11"/>
  <c r="L416" i="11"/>
  <c r="K416" i="11"/>
  <c r="F416" i="11"/>
  <c r="E416" i="11"/>
  <c r="C416" i="11"/>
  <c r="B416" i="11"/>
  <c r="X415" i="11"/>
  <c r="W415" i="11"/>
  <c r="V415" i="11"/>
  <c r="U415" i="11"/>
  <c r="T415" i="11"/>
  <c r="S415" i="11"/>
  <c r="R415" i="11"/>
  <c r="Q415" i="11"/>
  <c r="P415" i="11"/>
  <c r="O415" i="11"/>
  <c r="N415" i="11"/>
  <c r="M415" i="11"/>
  <c r="L415" i="11"/>
  <c r="K415" i="11"/>
  <c r="F415" i="11"/>
  <c r="E415" i="11"/>
  <c r="C415" i="11"/>
  <c r="B415" i="11"/>
  <c r="X414" i="11"/>
  <c r="W414" i="11"/>
  <c r="V414" i="11"/>
  <c r="U414" i="11"/>
  <c r="T414" i="11"/>
  <c r="S414" i="11"/>
  <c r="R414" i="11"/>
  <c r="Q414" i="11"/>
  <c r="P414" i="11"/>
  <c r="O414" i="11"/>
  <c r="N414" i="11"/>
  <c r="M414" i="11"/>
  <c r="L414" i="11"/>
  <c r="K414" i="11"/>
  <c r="F414" i="11"/>
  <c r="E414" i="11"/>
  <c r="C414" i="11"/>
  <c r="B414" i="11"/>
  <c r="X413" i="11"/>
  <c r="W413" i="11"/>
  <c r="V413" i="11"/>
  <c r="U413" i="11"/>
  <c r="T413" i="11"/>
  <c r="S413" i="11"/>
  <c r="R413" i="11"/>
  <c r="Q413" i="11"/>
  <c r="P413" i="11"/>
  <c r="O413" i="11"/>
  <c r="N413" i="11"/>
  <c r="M413" i="11"/>
  <c r="L413" i="11"/>
  <c r="K413" i="11"/>
  <c r="F413" i="11"/>
  <c r="E413" i="11"/>
  <c r="C413" i="11"/>
  <c r="B413" i="11"/>
  <c r="X412" i="11"/>
  <c r="W412" i="11"/>
  <c r="V412" i="11"/>
  <c r="U412" i="11"/>
  <c r="T412" i="11"/>
  <c r="S412" i="11"/>
  <c r="R412" i="11"/>
  <c r="Q412" i="11"/>
  <c r="P412" i="11"/>
  <c r="O412" i="11"/>
  <c r="N412" i="11"/>
  <c r="M412" i="11"/>
  <c r="L412" i="11"/>
  <c r="K412" i="11"/>
  <c r="F412" i="11"/>
  <c r="E412" i="11"/>
  <c r="C412" i="11"/>
  <c r="B412" i="11"/>
  <c r="X411" i="11"/>
  <c r="W411" i="11"/>
  <c r="V411" i="11"/>
  <c r="U411" i="11"/>
  <c r="T411" i="11"/>
  <c r="S411" i="11"/>
  <c r="R411" i="11"/>
  <c r="Q411" i="11"/>
  <c r="P411" i="11"/>
  <c r="O411" i="11"/>
  <c r="N411" i="11"/>
  <c r="M411" i="11"/>
  <c r="L411" i="11"/>
  <c r="K411" i="11"/>
  <c r="F411" i="11"/>
  <c r="E411" i="11"/>
  <c r="C411" i="11"/>
  <c r="B411" i="11"/>
  <c r="X410" i="11"/>
  <c r="W410" i="11"/>
  <c r="V410" i="11"/>
  <c r="U410" i="11"/>
  <c r="T410" i="11"/>
  <c r="S410" i="11"/>
  <c r="R410" i="11"/>
  <c r="Q410" i="11"/>
  <c r="P410" i="11"/>
  <c r="O410" i="11"/>
  <c r="N410" i="11"/>
  <c r="M410" i="11"/>
  <c r="L410" i="11"/>
  <c r="K410" i="11"/>
  <c r="F410" i="11"/>
  <c r="E410" i="11"/>
  <c r="C410" i="11"/>
  <c r="B410" i="11"/>
  <c r="X409" i="11"/>
  <c r="W409" i="11"/>
  <c r="V409" i="11"/>
  <c r="U409" i="11"/>
  <c r="T409" i="11"/>
  <c r="S409" i="11"/>
  <c r="R409" i="11"/>
  <c r="Q409" i="11"/>
  <c r="P409" i="11"/>
  <c r="O409" i="11"/>
  <c r="N409" i="11"/>
  <c r="M409" i="11"/>
  <c r="L409" i="11"/>
  <c r="K409" i="11"/>
  <c r="F409" i="11"/>
  <c r="E409" i="11"/>
  <c r="C409" i="11"/>
  <c r="B409" i="11"/>
  <c r="X408" i="11"/>
  <c r="W408" i="11"/>
  <c r="V408" i="11"/>
  <c r="U408" i="11"/>
  <c r="T408" i="11"/>
  <c r="S408" i="11"/>
  <c r="R408" i="11"/>
  <c r="Q408" i="11"/>
  <c r="P408" i="11"/>
  <c r="O408" i="11"/>
  <c r="N408" i="11"/>
  <c r="M408" i="11"/>
  <c r="L408" i="11"/>
  <c r="K408" i="11"/>
  <c r="F408" i="11"/>
  <c r="E408" i="11"/>
  <c r="C408" i="11"/>
  <c r="B408" i="11"/>
  <c r="X407" i="11"/>
  <c r="W407" i="11"/>
  <c r="V407" i="11"/>
  <c r="U407" i="11"/>
  <c r="T407" i="11"/>
  <c r="S407" i="11"/>
  <c r="R407" i="11"/>
  <c r="Q407" i="11"/>
  <c r="P407" i="11"/>
  <c r="O407" i="11"/>
  <c r="N407" i="11"/>
  <c r="M407" i="11"/>
  <c r="L407" i="11"/>
  <c r="K407" i="11"/>
  <c r="F407" i="11"/>
  <c r="E407" i="11"/>
  <c r="C407" i="11"/>
  <c r="B407" i="11"/>
  <c r="X406" i="11"/>
  <c r="W406" i="11"/>
  <c r="V406" i="11"/>
  <c r="U406" i="11"/>
  <c r="T406" i="11"/>
  <c r="S406" i="11"/>
  <c r="R406" i="11"/>
  <c r="Q406" i="11"/>
  <c r="P406" i="11"/>
  <c r="O406" i="11"/>
  <c r="N406" i="11"/>
  <c r="M406" i="11"/>
  <c r="L406" i="11"/>
  <c r="K406" i="11"/>
  <c r="F406" i="11"/>
  <c r="E406" i="11"/>
  <c r="C406" i="11"/>
  <c r="B406" i="11"/>
  <c r="X405" i="11"/>
  <c r="W405" i="11"/>
  <c r="V405" i="11"/>
  <c r="U405" i="11"/>
  <c r="T405" i="11"/>
  <c r="S405" i="11"/>
  <c r="R405" i="11"/>
  <c r="Q405" i="11"/>
  <c r="P405" i="11"/>
  <c r="O405" i="11"/>
  <c r="N405" i="11"/>
  <c r="M405" i="11"/>
  <c r="L405" i="11"/>
  <c r="K405" i="11"/>
  <c r="F405" i="11"/>
  <c r="E405" i="11"/>
  <c r="C405" i="11"/>
  <c r="B405" i="11"/>
  <c r="X404" i="11"/>
  <c r="W404" i="11"/>
  <c r="V404" i="11"/>
  <c r="U404" i="11"/>
  <c r="T404" i="11"/>
  <c r="S404" i="11"/>
  <c r="R404" i="11"/>
  <c r="Q404" i="11"/>
  <c r="P404" i="11"/>
  <c r="O404" i="11"/>
  <c r="N404" i="11"/>
  <c r="M404" i="11"/>
  <c r="L404" i="11"/>
  <c r="K404" i="11"/>
  <c r="F404" i="11"/>
  <c r="E404" i="11"/>
  <c r="C404" i="11"/>
  <c r="B404" i="11"/>
  <c r="X403" i="11"/>
  <c r="W403" i="11"/>
  <c r="V403" i="11"/>
  <c r="U403" i="11"/>
  <c r="T403" i="11"/>
  <c r="S403" i="11"/>
  <c r="R403" i="11"/>
  <c r="Q403" i="11"/>
  <c r="P403" i="11"/>
  <c r="O403" i="11"/>
  <c r="N403" i="11"/>
  <c r="M403" i="11"/>
  <c r="L403" i="11"/>
  <c r="K403" i="11"/>
  <c r="F403" i="11"/>
  <c r="E403" i="11"/>
  <c r="C403" i="11"/>
  <c r="B403" i="11"/>
  <c r="X402" i="11"/>
  <c r="W402" i="11"/>
  <c r="V402" i="11"/>
  <c r="U402" i="11"/>
  <c r="T402" i="11"/>
  <c r="S402" i="11"/>
  <c r="R402" i="11"/>
  <c r="Q402" i="11"/>
  <c r="P402" i="11"/>
  <c r="O402" i="11"/>
  <c r="N402" i="11"/>
  <c r="M402" i="11"/>
  <c r="L402" i="11"/>
  <c r="K402" i="11"/>
  <c r="F402" i="11"/>
  <c r="E402" i="11"/>
  <c r="C402" i="11"/>
  <c r="B402" i="11"/>
  <c r="X401" i="11"/>
  <c r="W401" i="11"/>
  <c r="V401" i="11"/>
  <c r="U401" i="11"/>
  <c r="T401" i="11"/>
  <c r="S401" i="11"/>
  <c r="R401" i="11"/>
  <c r="Q401" i="11"/>
  <c r="P401" i="11"/>
  <c r="O401" i="11"/>
  <c r="N401" i="11"/>
  <c r="M401" i="11"/>
  <c r="L401" i="11"/>
  <c r="K401" i="11"/>
  <c r="F401" i="11"/>
  <c r="E401" i="11"/>
  <c r="C401" i="11"/>
  <c r="B401" i="11"/>
  <c r="X400" i="11"/>
  <c r="W400" i="11"/>
  <c r="V400" i="11"/>
  <c r="U400" i="11"/>
  <c r="T400" i="11"/>
  <c r="S400" i="11"/>
  <c r="R400" i="11"/>
  <c r="Q400" i="11"/>
  <c r="P400" i="11"/>
  <c r="O400" i="11"/>
  <c r="N400" i="11"/>
  <c r="M400" i="11"/>
  <c r="L400" i="11"/>
  <c r="K400" i="11"/>
  <c r="F400" i="11"/>
  <c r="E400" i="11"/>
  <c r="C400" i="11"/>
  <c r="B400" i="11"/>
  <c r="X399" i="11"/>
  <c r="W399" i="11"/>
  <c r="V399" i="11"/>
  <c r="U399" i="11"/>
  <c r="T399" i="11"/>
  <c r="S399" i="11"/>
  <c r="R399" i="11"/>
  <c r="Q399" i="11"/>
  <c r="P399" i="11"/>
  <c r="O399" i="11"/>
  <c r="N399" i="11"/>
  <c r="M399" i="11"/>
  <c r="L399" i="11"/>
  <c r="K399" i="11"/>
  <c r="F399" i="11"/>
  <c r="E399" i="11"/>
  <c r="C399" i="11"/>
  <c r="B399" i="11"/>
  <c r="X398" i="11"/>
  <c r="W398" i="11"/>
  <c r="V398" i="11"/>
  <c r="U398" i="11"/>
  <c r="T398" i="11"/>
  <c r="S398" i="11"/>
  <c r="R398" i="11"/>
  <c r="Q398" i="11"/>
  <c r="P398" i="11"/>
  <c r="O398" i="11"/>
  <c r="N398" i="11"/>
  <c r="M398" i="11"/>
  <c r="L398" i="11"/>
  <c r="K398" i="11"/>
  <c r="F398" i="11"/>
  <c r="E398" i="11"/>
  <c r="C398" i="11"/>
  <c r="B398" i="11"/>
  <c r="X397" i="11"/>
  <c r="W397" i="11"/>
  <c r="V397" i="11"/>
  <c r="U397" i="11"/>
  <c r="T397" i="11"/>
  <c r="S397" i="11"/>
  <c r="R397" i="11"/>
  <c r="Q397" i="11"/>
  <c r="P397" i="11"/>
  <c r="O397" i="11"/>
  <c r="N397" i="11"/>
  <c r="M397" i="11"/>
  <c r="L397" i="11"/>
  <c r="K397" i="11"/>
  <c r="F397" i="11"/>
  <c r="E397" i="11"/>
  <c r="C397" i="11"/>
  <c r="B397" i="11"/>
  <c r="X396" i="11"/>
  <c r="W396" i="11"/>
  <c r="V396" i="11"/>
  <c r="U396" i="11"/>
  <c r="T396" i="11"/>
  <c r="S396" i="11"/>
  <c r="R396" i="11"/>
  <c r="Q396" i="11"/>
  <c r="P396" i="11"/>
  <c r="O396" i="11"/>
  <c r="N396" i="11"/>
  <c r="M396" i="11"/>
  <c r="L396" i="11"/>
  <c r="K396" i="11"/>
  <c r="F396" i="11"/>
  <c r="E396" i="11"/>
  <c r="C396" i="11"/>
  <c r="B396" i="11"/>
  <c r="X395" i="11"/>
  <c r="W395" i="11"/>
  <c r="V395" i="11"/>
  <c r="U395" i="11"/>
  <c r="T395" i="11"/>
  <c r="S395" i="11"/>
  <c r="R395" i="11"/>
  <c r="Q395" i="11"/>
  <c r="P395" i="11"/>
  <c r="O395" i="11"/>
  <c r="N395" i="11"/>
  <c r="M395" i="11"/>
  <c r="L395" i="11"/>
  <c r="K395" i="11"/>
  <c r="F395" i="11"/>
  <c r="E395" i="11"/>
  <c r="C395" i="11"/>
  <c r="B395" i="11"/>
  <c r="X394" i="11"/>
  <c r="W394" i="11"/>
  <c r="V394" i="11"/>
  <c r="U394" i="11"/>
  <c r="T394" i="11"/>
  <c r="S394" i="11"/>
  <c r="R394" i="11"/>
  <c r="Q394" i="11"/>
  <c r="P394" i="11"/>
  <c r="O394" i="11"/>
  <c r="N394" i="11"/>
  <c r="M394" i="11"/>
  <c r="L394" i="11"/>
  <c r="K394" i="11"/>
  <c r="F394" i="11"/>
  <c r="E394" i="11"/>
  <c r="C394" i="11"/>
  <c r="B394" i="11"/>
  <c r="X393" i="11"/>
  <c r="W393" i="11"/>
  <c r="V393" i="11"/>
  <c r="U393" i="11"/>
  <c r="T393" i="11"/>
  <c r="S393" i="11"/>
  <c r="R393" i="11"/>
  <c r="Q393" i="11"/>
  <c r="P393" i="11"/>
  <c r="O393" i="11"/>
  <c r="N393" i="11"/>
  <c r="M393" i="11"/>
  <c r="L393" i="11"/>
  <c r="K393" i="11"/>
  <c r="F393" i="11"/>
  <c r="E393" i="11"/>
  <c r="C393" i="11"/>
  <c r="B393" i="11"/>
  <c r="X392" i="11"/>
  <c r="W392" i="11"/>
  <c r="V392" i="11"/>
  <c r="U392" i="11"/>
  <c r="T392" i="11"/>
  <c r="S392" i="11"/>
  <c r="R392" i="11"/>
  <c r="Q392" i="11"/>
  <c r="P392" i="11"/>
  <c r="O392" i="11"/>
  <c r="N392" i="11"/>
  <c r="M392" i="11"/>
  <c r="L392" i="11"/>
  <c r="K392" i="11"/>
  <c r="F392" i="11"/>
  <c r="E392" i="11"/>
  <c r="C392" i="11"/>
  <c r="B392" i="11"/>
  <c r="X391" i="11"/>
  <c r="W391" i="11"/>
  <c r="V391" i="11"/>
  <c r="U391" i="11"/>
  <c r="T391" i="11"/>
  <c r="S391" i="11"/>
  <c r="R391" i="11"/>
  <c r="Q391" i="11"/>
  <c r="P391" i="11"/>
  <c r="O391" i="11"/>
  <c r="N391" i="11"/>
  <c r="M391" i="11"/>
  <c r="L391" i="11"/>
  <c r="K391" i="11"/>
  <c r="F391" i="11"/>
  <c r="E391" i="11"/>
  <c r="C391" i="11"/>
  <c r="B391" i="11"/>
  <c r="X390" i="11"/>
  <c r="W390" i="11"/>
  <c r="V390" i="11"/>
  <c r="U390" i="11"/>
  <c r="T390" i="11"/>
  <c r="S390" i="11"/>
  <c r="R390" i="11"/>
  <c r="Q390" i="11"/>
  <c r="P390" i="11"/>
  <c r="O390" i="11"/>
  <c r="N390" i="11"/>
  <c r="M390" i="11"/>
  <c r="L390" i="11"/>
  <c r="K390" i="11"/>
  <c r="F390" i="11"/>
  <c r="E390" i="11"/>
  <c r="C390" i="11"/>
  <c r="B390" i="11"/>
  <c r="X389" i="11"/>
  <c r="W389" i="11"/>
  <c r="V389" i="11"/>
  <c r="U389" i="11"/>
  <c r="T389" i="11"/>
  <c r="S389" i="11"/>
  <c r="R389" i="11"/>
  <c r="Q389" i="11"/>
  <c r="P389" i="11"/>
  <c r="O389" i="11"/>
  <c r="N389" i="11"/>
  <c r="M389" i="11"/>
  <c r="L389" i="11"/>
  <c r="K389" i="11"/>
  <c r="F389" i="11"/>
  <c r="E389" i="11"/>
  <c r="C389" i="11"/>
  <c r="B389" i="11"/>
  <c r="X388" i="11"/>
  <c r="W388" i="11"/>
  <c r="V388" i="11"/>
  <c r="U388" i="11"/>
  <c r="T388" i="11"/>
  <c r="S388" i="11"/>
  <c r="R388" i="11"/>
  <c r="Q388" i="11"/>
  <c r="P388" i="11"/>
  <c r="O388" i="11"/>
  <c r="N388" i="11"/>
  <c r="M388" i="11"/>
  <c r="L388" i="11"/>
  <c r="K388" i="11"/>
  <c r="F388" i="11"/>
  <c r="E388" i="11"/>
  <c r="C388" i="11"/>
  <c r="B388" i="11"/>
  <c r="X387" i="11"/>
  <c r="W387" i="11"/>
  <c r="V387" i="11"/>
  <c r="U387" i="11"/>
  <c r="T387" i="11"/>
  <c r="S387" i="11"/>
  <c r="R387" i="11"/>
  <c r="Q387" i="11"/>
  <c r="P387" i="11"/>
  <c r="O387" i="11"/>
  <c r="N387" i="11"/>
  <c r="M387" i="11"/>
  <c r="L387" i="11"/>
  <c r="K387" i="11"/>
  <c r="F387" i="11"/>
  <c r="E387" i="11"/>
  <c r="C387" i="11"/>
  <c r="B387" i="11"/>
  <c r="X386" i="11"/>
  <c r="W386" i="11"/>
  <c r="V386" i="11"/>
  <c r="U386" i="11"/>
  <c r="T386" i="11"/>
  <c r="S386" i="11"/>
  <c r="R386" i="11"/>
  <c r="Q386" i="11"/>
  <c r="P386" i="11"/>
  <c r="O386" i="11"/>
  <c r="N386" i="11"/>
  <c r="M386" i="11"/>
  <c r="L386" i="11"/>
  <c r="K386" i="11"/>
  <c r="F386" i="11"/>
  <c r="E386" i="11"/>
  <c r="C386" i="11"/>
  <c r="B386" i="11"/>
  <c r="X385" i="11"/>
  <c r="W385" i="11"/>
  <c r="V385" i="11"/>
  <c r="U385" i="11"/>
  <c r="T385" i="11"/>
  <c r="S385" i="11"/>
  <c r="R385" i="11"/>
  <c r="Q385" i="11"/>
  <c r="P385" i="11"/>
  <c r="O385" i="11"/>
  <c r="N385" i="11"/>
  <c r="M385" i="11"/>
  <c r="L385" i="11"/>
  <c r="K385" i="11"/>
  <c r="F385" i="11"/>
  <c r="E385" i="11"/>
  <c r="C385" i="11"/>
  <c r="B385" i="11"/>
  <c r="X384" i="11"/>
  <c r="W384" i="11"/>
  <c r="V384" i="11"/>
  <c r="U384" i="11"/>
  <c r="T384" i="11"/>
  <c r="S384" i="11"/>
  <c r="R384" i="11"/>
  <c r="Q384" i="11"/>
  <c r="P384" i="11"/>
  <c r="O384" i="11"/>
  <c r="N384" i="11"/>
  <c r="M384" i="11"/>
  <c r="L384" i="11"/>
  <c r="K384" i="11"/>
  <c r="F384" i="11"/>
  <c r="E384" i="11"/>
  <c r="C384" i="11"/>
  <c r="B384" i="11"/>
  <c r="X383" i="11"/>
  <c r="W383" i="11"/>
  <c r="V383" i="11"/>
  <c r="U383" i="11"/>
  <c r="T383" i="11"/>
  <c r="S383" i="11"/>
  <c r="R383" i="11"/>
  <c r="Q383" i="11"/>
  <c r="P383" i="11"/>
  <c r="O383" i="11"/>
  <c r="N383" i="11"/>
  <c r="M383" i="11"/>
  <c r="L383" i="11"/>
  <c r="K383" i="11"/>
  <c r="F383" i="11"/>
  <c r="E383" i="11"/>
  <c r="C383" i="11"/>
  <c r="B383" i="11"/>
  <c r="X382" i="11"/>
  <c r="W382" i="11"/>
  <c r="V382" i="11"/>
  <c r="U382" i="11"/>
  <c r="T382" i="11"/>
  <c r="S382" i="11"/>
  <c r="R382" i="11"/>
  <c r="Q382" i="11"/>
  <c r="P382" i="11"/>
  <c r="O382" i="11"/>
  <c r="N382" i="11"/>
  <c r="M382" i="11"/>
  <c r="L382" i="11"/>
  <c r="K382" i="11"/>
  <c r="F382" i="11"/>
  <c r="E382" i="11"/>
  <c r="C382" i="11"/>
  <c r="B382" i="11"/>
  <c r="X381" i="11"/>
  <c r="W381" i="11"/>
  <c r="V381" i="11"/>
  <c r="U381" i="11"/>
  <c r="T381" i="11"/>
  <c r="S381" i="11"/>
  <c r="R381" i="11"/>
  <c r="Q381" i="11"/>
  <c r="P381" i="11"/>
  <c r="O381" i="11"/>
  <c r="N381" i="11"/>
  <c r="M381" i="11"/>
  <c r="L381" i="11"/>
  <c r="K381" i="11"/>
  <c r="F381" i="11"/>
  <c r="E381" i="11"/>
  <c r="C381" i="11"/>
  <c r="B381" i="11"/>
  <c r="X380" i="11"/>
  <c r="W380" i="11"/>
  <c r="V380" i="11"/>
  <c r="U380" i="11"/>
  <c r="T380" i="11"/>
  <c r="S380" i="11"/>
  <c r="R380" i="11"/>
  <c r="Q380" i="11"/>
  <c r="P380" i="11"/>
  <c r="O380" i="11"/>
  <c r="N380" i="11"/>
  <c r="M380" i="11"/>
  <c r="L380" i="11"/>
  <c r="K380" i="11"/>
  <c r="F380" i="11"/>
  <c r="E380" i="11"/>
  <c r="C380" i="11"/>
  <c r="B380" i="11"/>
  <c r="X379" i="11"/>
  <c r="W379" i="11"/>
  <c r="V379" i="11"/>
  <c r="U379" i="11"/>
  <c r="T379" i="11"/>
  <c r="S379" i="11"/>
  <c r="R379" i="11"/>
  <c r="Q379" i="11"/>
  <c r="P379" i="11"/>
  <c r="O379" i="11"/>
  <c r="N379" i="11"/>
  <c r="M379" i="11"/>
  <c r="L379" i="11"/>
  <c r="K379" i="11"/>
  <c r="F379" i="11"/>
  <c r="E379" i="11"/>
  <c r="C379" i="11"/>
  <c r="B379" i="11"/>
  <c r="X378" i="11"/>
  <c r="W378" i="11"/>
  <c r="V378" i="11"/>
  <c r="U378" i="11"/>
  <c r="T378" i="11"/>
  <c r="S378" i="11"/>
  <c r="R378" i="11"/>
  <c r="Q378" i="11"/>
  <c r="P378" i="11"/>
  <c r="O378" i="11"/>
  <c r="N378" i="11"/>
  <c r="M378" i="11"/>
  <c r="L378" i="11"/>
  <c r="K378" i="11"/>
  <c r="F378" i="11"/>
  <c r="E378" i="11"/>
  <c r="C378" i="11"/>
  <c r="B378" i="11"/>
  <c r="X377" i="11"/>
  <c r="W377" i="11"/>
  <c r="V377" i="11"/>
  <c r="U377" i="11"/>
  <c r="T377" i="11"/>
  <c r="S377" i="11"/>
  <c r="R377" i="11"/>
  <c r="Q377" i="11"/>
  <c r="P377" i="11"/>
  <c r="O377" i="11"/>
  <c r="N377" i="11"/>
  <c r="M377" i="11"/>
  <c r="L377" i="11"/>
  <c r="K377" i="11"/>
  <c r="F377" i="11"/>
  <c r="E377" i="11"/>
  <c r="C377" i="11"/>
  <c r="B377" i="11"/>
  <c r="X376" i="11"/>
  <c r="W376" i="11"/>
  <c r="V376" i="11"/>
  <c r="U376" i="11"/>
  <c r="T376" i="11"/>
  <c r="S376" i="11"/>
  <c r="R376" i="11"/>
  <c r="Q376" i="11"/>
  <c r="P376" i="11"/>
  <c r="O376" i="11"/>
  <c r="N376" i="11"/>
  <c r="M376" i="11"/>
  <c r="L376" i="11"/>
  <c r="K376" i="11"/>
  <c r="F376" i="11"/>
  <c r="E376" i="11"/>
  <c r="C376" i="11"/>
  <c r="B376" i="11"/>
  <c r="X375" i="11"/>
  <c r="W375" i="11"/>
  <c r="V375" i="11"/>
  <c r="U375" i="11"/>
  <c r="T375" i="11"/>
  <c r="S375" i="11"/>
  <c r="R375" i="11"/>
  <c r="Q375" i="11"/>
  <c r="P375" i="11"/>
  <c r="O375" i="11"/>
  <c r="N375" i="11"/>
  <c r="M375" i="11"/>
  <c r="L375" i="11"/>
  <c r="K375" i="11"/>
  <c r="F375" i="11"/>
  <c r="E375" i="11"/>
  <c r="C375" i="11"/>
  <c r="B375" i="11"/>
  <c r="X374" i="11"/>
  <c r="W374" i="11"/>
  <c r="V374" i="11"/>
  <c r="U374" i="11"/>
  <c r="T374" i="11"/>
  <c r="S374" i="11"/>
  <c r="R374" i="11"/>
  <c r="Q374" i="11"/>
  <c r="P374" i="11"/>
  <c r="O374" i="11"/>
  <c r="N374" i="11"/>
  <c r="M374" i="11"/>
  <c r="L374" i="11"/>
  <c r="K374" i="11"/>
  <c r="F374" i="11"/>
  <c r="E374" i="11"/>
  <c r="C374" i="11"/>
  <c r="B374" i="11"/>
  <c r="X373" i="11"/>
  <c r="W373" i="11"/>
  <c r="V373" i="11"/>
  <c r="U373" i="11"/>
  <c r="T373" i="11"/>
  <c r="S373" i="11"/>
  <c r="R373" i="11"/>
  <c r="Q373" i="11"/>
  <c r="P373" i="11"/>
  <c r="O373" i="11"/>
  <c r="N373" i="11"/>
  <c r="M373" i="11"/>
  <c r="L373" i="11"/>
  <c r="K373" i="11"/>
  <c r="F373" i="11"/>
  <c r="E373" i="11"/>
  <c r="C373" i="11"/>
  <c r="B373" i="11"/>
  <c r="X372" i="11"/>
  <c r="W372" i="11"/>
  <c r="V372" i="11"/>
  <c r="U372" i="11"/>
  <c r="T372" i="11"/>
  <c r="S372" i="11"/>
  <c r="R372" i="11"/>
  <c r="Q372" i="11"/>
  <c r="P372" i="11"/>
  <c r="O372" i="11"/>
  <c r="N372" i="11"/>
  <c r="M372" i="11"/>
  <c r="L372" i="11"/>
  <c r="K372" i="11"/>
  <c r="F372" i="11"/>
  <c r="E372" i="11"/>
  <c r="C372" i="11"/>
  <c r="B372" i="11"/>
  <c r="X371" i="11"/>
  <c r="W371" i="11"/>
  <c r="V371" i="11"/>
  <c r="U371" i="11"/>
  <c r="T371" i="11"/>
  <c r="S371" i="11"/>
  <c r="R371" i="11"/>
  <c r="Q371" i="11"/>
  <c r="P371" i="11"/>
  <c r="O371" i="11"/>
  <c r="N371" i="11"/>
  <c r="M371" i="11"/>
  <c r="L371" i="11"/>
  <c r="K371" i="11"/>
  <c r="F371" i="11"/>
  <c r="E371" i="11"/>
  <c r="C371" i="11"/>
  <c r="B371" i="11"/>
  <c r="X370" i="11"/>
  <c r="W370" i="11"/>
  <c r="V370" i="11"/>
  <c r="U370" i="11"/>
  <c r="T370" i="11"/>
  <c r="S370" i="11"/>
  <c r="R370" i="11"/>
  <c r="Q370" i="11"/>
  <c r="P370" i="11"/>
  <c r="O370" i="11"/>
  <c r="N370" i="11"/>
  <c r="M370" i="11"/>
  <c r="L370" i="11"/>
  <c r="K370" i="11"/>
  <c r="F370" i="11"/>
  <c r="E370" i="11"/>
  <c r="C370" i="11"/>
  <c r="B370" i="11"/>
  <c r="X369" i="11"/>
  <c r="W369" i="11"/>
  <c r="V369" i="11"/>
  <c r="U369" i="11"/>
  <c r="T369" i="11"/>
  <c r="S369" i="11"/>
  <c r="R369" i="11"/>
  <c r="Q369" i="11"/>
  <c r="P369" i="11"/>
  <c r="O369" i="11"/>
  <c r="N369" i="11"/>
  <c r="M369" i="11"/>
  <c r="L369" i="11"/>
  <c r="K369" i="11"/>
  <c r="F369" i="11"/>
  <c r="E369" i="11"/>
  <c r="C369" i="11"/>
  <c r="B369" i="11"/>
  <c r="X368" i="11"/>
  <c r="W368" i="11"/>
  <c r="V368" i="11"/>
  <c r="U368" i="11"/>
  <c r="T368" i="11"/>
  <c r="S368" i="11"/>
  <c r="R368" i="11"/>
  <c r="Q368" i="11"/>
  <c r="P368" i="11"/>
  <c r="O368" i="11"/>
  <c r="N368" i="11"/>
  <c r="M368" i="11"/>
  <c r="L368" i="11"/>
  <c r="K368" i="11"/>
  <c r="F368" i="11"/>
  <c r="E368" i="11"/>
  <c r="C368" i="11"/>
  <c r="B368" i="11"/>
  <c r="X367" i="11"/>
  <c r="W367" i="11"/>
  <c r="V367" i="11"/>
  <c r="U367" i="11"/>
  <c r="T367" i="11"/>
  <c r="S367" i="11"/>
  <c r="R367" i="11"/>
  <c r="Q367" i="11"/>
  <c r="P367" i="11"/>
  <c r="O367" i="11"/>
  <c r="N367" i="11"/>
  <c r="M367" i="11"/>
  <c r="L367" i="11"/>
  <c r="K367" i="11"/>
  <c r="F367" i="11"/>
  <c r="E367" i="11"/>
  <c r="C367" i="11"/>
  <c r="B367" i="11"/>
  <c r="X366" i="11"/>
  <c r="W366" i="11"/>
  <c r="V366" i="11"/>
  <c r="U366" i="11"/>
  <c r="T366" i="11"/>
  <c r="S366" i="11"/>
  <c r="R366" i="11"/>
  <c r="Q366" i="11"/>
  <c r="P366" i="11"/>
  <c r="O366" i="11"/>
  <c r="N366" i="11"/>
  <c r="M366" i="11"/>
  <c r="L366" i="11"/>
  <c r="K366" i="11"/>
  <c r="F366" i="11"/>
  <c r="E366" i="11"/>
  <c r="C366" i="11"/>
  <c r="B366" i="11"/>
  <c r="X365" i="11"/>
  <c r="W365" i="11"/>
  <c r="V365" i="11"/>
  <c r="U365" i="11"/>
  <c r="T365" i="11"/>
  <c r="S365" i="11"/>
  <c r="R365" i="11"/>
  <c r="Q365" i="11"/>
  <c r="P365" i="11"/>
  <c r="O365" i="11"/>
  <c r="N365" i="11"/>
  <c r="M365" i="11"/>
  <c r="L365" i="11"/>
  <c r="K365" i="11"/>
  <c r="F365" i="11"/>
  <c r="E365" i="11"/>
  <c r="C365" i="11"/>
  <c r="B365" i="11"/>
  <c r="X364" i="11"/>
  <c r="W364" i="11"/>
  <c r="V364" i="11"/>
  <c r="U364" i="11"/>
  <c r="T364" i="11"/>
  <c r="S364" i="11"/>
  <c r="R364" i="11"/>
  <c r="Q364" i="11"/>
  <c r="P364" i="11"/>
  <c r="O364" i="11"/>
  <c r="N364" i="11"/>
  <c r="M364" i="11"/>
  <c r="L364" i="11"/>
  <c r="K364" i="11"/>
  <c r="F364" i="11"/>
  <c r="E364" i="11"/>
  <c r="C364" i="11"/>
  <c r="B364" i="11"/>
  <c r="X363" i="11"/>
  <c r="W363" i="11"/>
  <c r="V363" i="11"/>
  <c r="U363" i="11"/>
  <c r="T363" i="11"/>
  <c r="S363" i="11"/>
  <c r="R363" i="11"/>
  <c r="Q363" i="11"/>
  <c r="P363" i="11"/>
  <c r="O363" i="11"/>
  <c r="N363" i="11"/>
  <c r="M363" i="11"/>
  <c r="L363" i="11"/>
  <c r="K363" i="11"/>
  <c r="F363" i="11"/>
  <c r="E363" i="11"/>
  <c r="C363" i="11"/>
  <c r="B363" i="11"/>
  <c r="X362" i="11"/>
  <c r="W362" i="11"/>
  <c r="V362" i="11"/>
  <c r="U362" i="11"/>
  <c r="T362" i="11"/>
  <c r="S362" i="11"/>
  <c r="R362" i="11"/>
  <c r="Q362" i="11"/>
  <c r="P362" i="11"/>
  <c r="O362" i="11"/>
  <c r="N362" i="11"/>
  <c r="M362" i="11"/>
  <c r="L362" i="11"/>
  <c r="K362" i="11"/>
  <c r="F362" i="11"/>
  <c r="E362" i="11"/>
  <c r="C362" i="11"/>
  <c r="B362" i="11"/>
  <c r="X361" i="11"/>
  <c r="W361" i="11"/>
  <c r="V361" i="11"/>
  <c r="U361" i="11"/>
  <c r="T361" i="11"/>
  <c r="S361" i="11"/>
  <c r="R361" i="11"/>
  <c r="Q361" i="11"/>
  <c r="P361" i="11"/>
  <c r="O361" i="11"/>
  <c r="N361" i="11"/>
  <c r="M361" i="11"/>
  <c r="L361" i="11"/>
  <c r="K361" i="11"/>
  <c r="F361" i="11"/>
  <c r="E361" i="11"/>
  <c r="C361" i="11"/>
  <c r="B361" i="11"/>
  <c r="X360" i="11"/>
  <c r="W360" i="11"/>
  <c r="V360" i="11"/>
  <c r="U360" i="11"/>
  <c r="T360" i="11"/>
  <c r="S360" i="11"/>
  <c r="R360" i="11"/>
  <c r="Q360" i="11"/>
  <c r="P360" i="11"/>
  <c r="O360" i="11"/>
  <c r="N360" i="11"/>
  <c r="M360" i="11"/>
  <c r="L360" i="11"/>
  <c r="K360" i="11"/>
  <c r="F360" i="11"/>
  <c r="E360" i="11"/>
  <c r="C360" i="11"/>
  <c r="B360" i="11"/>
  <c r="X359" i="11"/>
  <c r="W359" i="11"/>
  <c r="V359" i="11"/>
  <c r="U359" i="11"/>
  <c r="T359" i="11"/>
  <c r="S359" i="11"/>
  <c r="R359" i="11"/>
  <c r="Q359" i="11"/>
  <c r="P359" i="11"/>
  <c r="O359" i="11"/>
  <c r="N359" i="11"/>
  <c r="M359" i="11"/>
  <c r="L359" i="11"/>
  <c r="K359" i="11"/>
  <c r="F359" i="11"/>
  <c r="E359" i="11"/>
  <c r="C359" i="11"/>
  <c r="B359" i="11"/>
  <c r="X358" i="11"/>
  <c r="W358" i="11"/>
  <c r="V358" i="11"/>
  <c r="U358" i="11"/>
  <c r="T358" i="11"/>
  <c r="S358" i="11"/>
  <c r="R358" i="11"/>
  <c r="Q358" i="11"/>
  <c r="P358" i="11"/>
  <c r="O358" i="11"/>
  <c r="N358" i="11"/>
  <c r="M358" i="11"/>
  <c r="L358" i="11"/>
  <c r="K358" i="11"/>
  <c r="F358" i="11"/>
  <c r="E358" i="11"/>
  <c r="C358" i="11"/>
  <c r="B358" i="11"/>
  <c r="X357" i="11"/>
  <c r="W357" i="11"/>
  <c r="V357" i="11"/>
  <c r="U357" i="11"/>
  <c r="T357" i="11"/>
  <c r="S357" i="11"/>
  <c r="R357" i="11"/>
  <c r="Q357" i="11"/>
  <c r="P357" i="11"/>
  <c r="O357" i="11"/>
  <c r="N357" i="11"/>
  <c r="M357" i="11"/>
  <c r="L357" i="11"/>
  <c r="K357" i="11"/>
  <c r="F357" i="11"/>
  <c r="E357" i="11"/>
  <c r="C357" i="11"/>
  <c r="B357" i="11"/>
  <c r="X356" i="11"/>
  <c r="W356" i="11"/>
  <c r="V356" i="11"/>
  <c r="U356" i="11"/>
  <c r="T356" i="11"/>
  <c r="S356" i="11"/>
  <c r="R356" i="11"/>
  <c r="Q356" i="11"/>
  <c r="P356" i="11"/>
  <c r="O356" i="11"/>
  <c r="N356" i="11"/>
  <c r="M356" i="11"/>
  <c r="L356" i="11"/>
  <c r="K356" i="11"/>
  <c r="F356" i="11"/>
  <c r="E356" i="11"/>
  <c r="C356" i="11"/>
  <c r="B356" i="11"/>
  <c r="X355" i="11"/>
  <c r="W355" i="11"/>
  <c r="V355" i="11"/>
  <c r="U355" i="11"/>
  <c r="T355" i="11"/>
  <c r="S355" i="11"/>
  <c r="R355" i="11"/>
  <c r="Q355" i="11"/>
  <c r="P355" i="11"/>
  <c r="O355" i="11"/>
  <c r="N355" i="11"/>
  <c r="M355" i="11"/>
  <c r="L355" i="11"/>
  <c r="K355" i="11"/>
  <c r="F355" i="11"/>
  <c r="E355" i="11"/>
  <c r="C355" i="11"/>
  <c r="B355" i="11"/>
  <c r="X354" i="11"/>
  <c r="W354" i="11"/>
  <c r="V354" i="11"/>
  <c r="U354" i="11"/>
  <c r="T354" i="11"/>
  <c r="S354" i="11"/>
  <c r="R354" i="11"/>
  <c r="Q354" i="11"/>
  <c r="P354" i="11"/>
  <c r="O354" i="11"/>
  <c r="N354" i="11"/>
  <c r="M354" i="11"/>
  <c r="L354" i="11"/>
  <c r="K354" i="11"/>
  <c r="F354" i="11"/>
  <c r="E354" i="11"/>
  <c r="C354" i="11"/>
  <c r="B354" i="11"/>
  <c r="X353" i="11"/>
  <c r="W353" i="11"/>
  <c r="V353" i="11"/>
  <c r="U353" i="11"/>
  <c r="T353" i="11"/>
  <c r="S353" i="11"/>
  <c r="R353" i="11"/>
  <c r="Q353" i="11"/>
  <c r="P353" i="11"/>
  <c r="O353" i="11"/>
  <c r="N353" i="11"/>
  <c r="M353" i="11"/>
  <c r="L353" i="11"/>
  <c r="K353" i="11"/>
  <c r="F353" i="11"/>
  <c r="E353" i="11"/>
  <c r="C353" i="11"/>
  <c r="B353" i="11"/>
  <c r="X352" i="11"/>
  <c r="W352" i="11"/>
  <c r="V352" i="11"/>
  <c r="U352" i="11"/>
  <c r="T352" i="11"/>
  <c r="S352" i="11"/>
  <c r="R352" i="11"/>
  <c r="Q352" i="11"/>
  <c r="P352" i="11"/>
  <c r="O352" i="11"/>
  <c r="N352" i="11"/>
  <c r="M352" i="11"/>
  <c r="L352" i="11"/>
  <c r="K352" i="11"/>
  <c r="F352" i="11"/>
  <c r="E352" i="11"/>
  <c r="C352" i="11"/>
  <c r="B352" i="11"/>
  <c r="X351" i="11"/>
  <c r="W351" i="11"/>
  <c r="V351" i="11"/>
  <c r="U351" i="11"/>
  <c r="T351" i="11"/>
  <c r="S351" i="11"/>
  <c r="R351" i="11"/>
  <c r="Q351" i="11"/>
  <c r="P351" i="11"/>
  <c r="O351" i="11"/>
  <c r="N351" i="11"/>
  <c r="M351" i="11"/>
  <c r="L351" i="11"/>
  <c r="K351" i="11"/>
  <c r="F351" i="11"/>
  <c r="E351" i="11"/>
  <c r="C351" i="11"/>
  <c r="B351" i="11"/>
  <c r="X350" i="11"/>
  <c r="W350" i="11"/>
  <c r="V350" i="11"/>
  <c r="U350" i="11"/>
  <c r="T350" i="11"/>
  <c r="S350" i="11"/>
  <c r="R350" i="11"/>
  <c r="Q350" i="11"/>
  <c r="P350" i="11"/>
  <c r="O350" i="11"/>
  <c r="N350" i="11"/>
  <c r="M350" i="11"/>
  <c r="L350" i="11"/>
  <c r="K350" i="11"/>
  <c r="F350" i="11"/>
  <c r="E350" i="11"/>
  <c r="C350" i="11"/>
  <c r="B350" i="11"/>
  <c r="X349" i="11"/>
  <c r="W349" i="11"/>
  <c r="V349" i="11"/>
  <c r="U349" i="11"/>
  <c r="T349" i="11"/>
  <c r="S349" i="11"/>
  <c r="R349" i="11"/>
  <c r="Q349" i="11"/>
  <c r="P349" i="11"/>
  <c r="O349" i="11"/>
  <c r="N349" i="11"/>
  <c r="M349" i="11"/>
  <c r="L349" i="11"/>
  <c r="K349" i="11"/>
  <c r="F349" i="11"/>
  <c r="E349" i="11"/>
  <c r="C349" i="11"/>
  <c r="B349" i="11"/>
  <c r="X348" i="11"/>
  <c r="W348" i="11"/>
  <c r="V348" i="11"/>
  <c r="U348" i="11"/>
  <c r="T348" i="11"/>
  <c r="S348" i="11"/>
  <c r="R348" i="11"/>
  <c r="Q348" i="11"/>
  <c r="P348" i="11"/>
  <c r="O348" i="11"/>
  <c r="N348" i="11"/>
  <c r="M348" i="11"/>
  <c r="L348" i="11"/>
  <c r="K348" i="11"/>
  <c r="F348" i="11"/>
  <c r="E348" i="11"/>
  <c r="C348" i="11"/>
  <c r="B348" i="11"/>
  <c r="X347" i="11"/>
  <c r="W347" i="11"/>
  <c r="V347" i="11"/>
  <c r="U347" i="11"/>
  <c r="T347" i="11"/>
  <c r="S347" i="11"/>
  <c r="R347" i="11"/>
  <c r="Q347" i="11"/>
  <c r="P347" i="11"/>
  <c r="O347" i="11"/>
  <c r="N347" i="11"/>
  <c r="M347" i="11"/>
  <c r="L347" i="11"/>
  <c r="K347" i="11"/>
  <c r="F347" i="11"/>
  <c r="E347" i="11"/>
  <c r="C347" i="11"/>
  <c r="B347" i="11"/>
  <c r="X346" i="11"/>
  <c r="W346" i="11"/>
  <c r="V346" i="11"/>
  <c r="U346" i="11"/>
  <c r="T346" i="11"/>
  <c r="S346" i="11"/>
  <c r="R346" i="11"/>
  <c r="Q346" i="11"/>
  <c r="P346" i="11"/>
  <c r="O346" i="11"/>
  <c r="N346" i="11"/>
  <c r="M346" i="11"/>
  <c r="L346" i="11"/>
  <c r="K346" i="11"/>
  <c r="F346" i="11"/>
  <c r="E346" i="11"/>
  <c r="C346" i="11"/>
  <c r="B346" i="11"/>
  <c r="X345" i="11"/>
  <c r="W345" i="11"/>
  <c r="V345" i="11"/>
  <c r="U345" i="11"/>
  <c r="T345" i="11"/>
  <c r="S345" i="11"/>
  <c r="R345" i="11"/>
  <c r="Q345" i="11"/>
  <c r="P345" i="11"/>
  <c r="O345" i="11"/>
  <c r="N345" i="11"/>
  <c r="M345" i="11"/>
  <c r="L345" i="11"/>
  <c r="K345" i="11"/>
  <c r="F345" i="11"/>
  <c r="E345" i="11"/>
  <c r="C345" i="11"/>
  <c r="B345" i="11"/>
  <c r="X344" i="11"/>
  <c r="W344" i="11"/>
  <c r="V344" i="11"/>
  <c r="U344" i="11"/>
  <c r="T344" i="11"/>
  <c r="S344" i="11"/>
  <c r="R344" i="11"/>
  <c r="Q344" i="11"/>
  <c r="P344" i="11"/>
  <c r="O344" i="11"/>
  <c r="N344" i="11"/>
  <c r="M344" i="11"/>
  <c r="L344" i="11"/>
  <c r="K344" i="11"/>
  <c r="F344" i="11"/>
  <c r="E344" i="11"/>
  <c r="C344" i="11"/>
  <c r="B344" i="11"/>
  <c r="X343" i="11"/>
  <c r="W343" i="11"/>
  <c r="V343" i="11"/>
  <c r="U343" i="11"/>
  <c r="T343" i="11"/>
  <c r="S343" i="11"/>
  <c r="R343" i="11"/>
  <c r="Q343" i="11"/>
  <c r="P343" i="11"/>
  <c r="O343" i="11"/>
  <c r="N343" i="11"/>
  <c r="M343" i="11"/>
  <c r="L343" i="11"/>
  <c r="K343" i="11"/>
  <c r="F343" i="11"/>
  <c r="E343" i="11"/>
  <c r="C343" i="11"/>
  <c r="B343" i="11"/>
  <c r="X342" i="11"/>
  <c r="W342" i="11"/>
  <c r="V342" i="11"/>
  <c r="U342" i="11"/>
  <c r="T342" i="11"/>
  <c r="S342" i="11"/>
  <c r="R342" i="11"/>
  <c r="Q342" i="11"/>
  <c r="P342" i="11"/>
  <c r="O342" i="11"/>
  <c r="N342" i="11"/>
  <c r="M342" i="11"/>
  <c r="L342" i="11"/>
  <c r="K342" i="11"/>
  <c r="F342" i="11"/>
  <c r="E342" i="11"/>
  <c r="C342" i="11"/>
  <c r="B342" i="11"/>
  <c r="X341" i="11"/>
  <c r="W341" i="11"/>
  <c r="V341" i="11"/>
  <c r="U341" i="11"/>
  <c r="T341" i="11"/>
  <c r="S341" i="11"/>
  <c r="R341" i="11"/>
  <c r="Q341" i="11"/>
  <c r="P341" i="11"/>
  <c r="O341" i="11"/>
  <c r="N341" i="11"/>
  <c r="M341" i="11"/>
  <c r="L341" i="11"/>
  <c r="K341" i="11"/>
  <c r="F341" i="11"/>
  <c r="E341" i="11"/>
  <c r="C341" i="11"/>
  <c r="B341" i="11"/>
  <c r="X340" i="11"/>
  <c r="W340" i="11"/>
  <c r="V340" i="11"/>
  <c r="U340" i="11"/>
  <c r="T340" i="11"/>
  <c r="S340" i="11"/>
  <c r="R340" i="11"/>
  <c r="Q340" i="11"/>
  <c r="P340" i="11"/>
  <c r="O340" i="11"/>
  <c r="N340" i="11"/>
  <c r="M340" i="11"/>
  <c r="L340" i="11"/>
  <c r="K340" i="11"/>
  <c r="F340" i="11"/>
  <c r="E340" i="11"/>
  <c r="C340" i="11"/>
  <c r="B340" i="11"/>
  <c r="X339" i="11"/>
  <c r="W339" i="11"/>
  <c r="V339" i="11"/>
  <c r="U339" i="11"/>
  <c r="T339" i="11"/>
  <c r="S339" i="11"/>
  <c r="R339" i="11"/>
  <c r="Q339" i="11"/>
  <c r="P339" i="11"/>
  <c r="O339" i="11"/>
  <c r="N339" i="11"/>
  <c r="M339" i="11"/>
  <c r="L339" i="11"/>
  <c r="K339" i="11"/>
  <c r="F339" i="11"/>
  <c r="E339" i="11"/>
  <c r="C339" i="11"/>
  <c r="B339" i="11"/>
  <c r="X338" i="11"/>
  <c r="W338" i="11"/>
  <c r="V338" i="11"/>
  <c r="U338" i="11"/>
  <c r="T338" i="11"/>
  <c r="S338" i="11"/>
  <c r="R338" i="11"/>
  <c r="Q338" i="11"/>
  <c r="P338" i="11"/>
  <c r="O338" i="11"/>
  <c r="N338" i="11"/>
  <c r="M338" i="11"/>
  <c r="L338" i="11"/>
  <c r="K338" i="11"/>
  <c r="F338" i="11"/>
  <c r="E338" i="11"/>
  <c r="C338" i="11"/>
  <c r="B338" i="11"/>
  <c r="X337" i="11"/>
  <c r="W337" i="11"/>
  <c r="V337" i="11"/>
  <c r="U337" i="11"/>
  <c r="T337" i="11"/>
  <c r="S337" i="11"/>
  <c r="R337" i="11"/>
  <c r="Q337" i="11"/>
  <c r="P337" i="11"/>
  <c r="O337" i="11"/>
  <c r="N337" i="11"/>
  <c r="M337" i="11"/>
  <c r="L337" i="11"/>
  <c r="K337" i="11"/>
  <c r="F337" i="11"/>
  <c r="E337" i="11"/>
  <c r="C337" i="11"/>
  <c r="B337" i="11"/>
  <c r="X336" i="11"/>
  <c r="W336" i="11"/>
  <c r="V336" i="11"/>
  <c r="U336" i="11"/>
  <c r="T336" i="11"/>
  <c r="S336" i="11"/>
  <c r="R336" i="11"/>
  <c r="Q336" i="11"/>
  <c r="P336" i="11"/>
  <c r="O336" i="11"/>
  <c r="N336" i="11"/>
  <c r="M336" i="11"/>
  <c r="L336" i="11"/>
  <c r="K336" i="11"/>
  <c r="F336" i="11"/>
  <c r="E336" i="11"/>
  <c r="C336" i="11"/>
  <c r="B336" i="11"/>
  <c r="X335" i="11"/>
  <c r="W335" i="11"/>
  <c r="V335" i="11"/>
  <c r="U335" i="11"/>
  <c r="T335" i="11"/>
  <c r="S335" i="11"/>
  <c r="R335" i="11"/>
  <c r="Q335" i="11"/>
  <c r="P335" i="11"/>
  <c r="O335" i="11"/>
  <c r="N335" i="11"/>
  <c r="M335" i="11"/>
  <c r="L335" i="11"/>
  <c r="K335" i="11"/>
  <c r="F335" i="11"/>
  <c r="E335" i="11"/>
  <c r="C335" i="11"/>
  <c r="B335" i="11"/>
  <c r="X334" i="11"/>
  <c r="W334" i="11"/>
  <c r="V334" i="11"/>
  <c r="U334" i="11"/>
  <c r="T334" i="11"/>
  <c r="S334" i="11"/>
  <c r="R334" i="11"/>
  <c r="Q334" i="11"/>
  <c r="P334" i="11"/>
  <c r="O334" i="11"/>
  <c r="N334" i="11"/>
  <c r="M334" i="11"/>
  <c r="L334" i="11"/>
  <c r="K334" i="11"/>
  <c r="F334" i="11"/>
  <c r="E334" i="11"/>
  <c r="C334" i="11"/>
  <c r="B334" i="11"/>
  <c r="X333" i="11"/>
  <c r="W333" i="11"/>
  <c r="V333" i="11"/>
  <c r="U333" i="11"/>
  <c r="T333" i="11"/>
  <c r="S333" i="11"/>
  <c r="R333" i="11"/>
  <c r="Q333" i="11"/>
  <c r="P333" i="11"/>
  <c r="O333" i="11"/>
  <c r="N333" i="11"/>
  <c r="M333" i="11"/>
  <c r="L333" i="11"/>
  <c r="K333" i="11"/>
  <c r="F333" i="11"/>
  <c r="E333" i="11"/>
  <c r="C333" i="11"/>
  <c r="B333" i="11"/>
  <c r="X332" i="11"/>
  <c r="W332" i="11"/>
  <c r="V332" i="11"/>
  <c r="U332" i="11"/>
  <c r="T332" i="11"/>
  <c r="S332" i="11"/>
  <c r="R332" i="11"/>
  <c r="Q332" i="11"/>
  <c r="P332" i="11"/>
  <c r="O332" i="11"/>
  <c r="N332" i="11"/>
  <c r="M332" i="11"/>
  <c r="L332" i="11"/>
  <c r="K332" i="11"/>
  <c r="F332" i="11"/>
  <c r="E332" i="11"/>
  <c r="C332" i="11"/>
  <c r="B332" i="11"/>
  <c r="X331" i="11"/>
  <c r="W331" i="11"/>
  <c r="V331" i="11"/>
  <c r="U331" i="11"/>
  <c r="T331" i="11"/>
  <c r="S331" i="11"/>
  <c r="R331" i="11"/>
  <c r="Q331" i="11"/>
  <c r="P331" i="11"/>
  <c r="O331" i="11"/>
  <c r="N331" i="11"/>
  <c r="M331" i="11"/>
  <c r="L331" i="11"/>
  <c r="K331" i="11"/>
  <c r="F331" i="11"/>
  <c r="E331" i="11"/>
  <c r="C331" i="11"/>
  <c r="B331" i="11"/>
  <c r="X330" i="11"/>
  <c r="W330" i="11"/>
  <c r="V330" i="11"/>
  <c r="U330" i="11"/>
  <c r="T330" i="11"/>
  <c r="S330" i="11"/>
  <c r="R330" i="11"/>
  <c r="Q330" i="11"/>
  <c r="P330" i="11"/>
  <c r="O330" i="11"/>
  <c r="N330" i="11"/>
  <c r="M330" i="11"/>
  <c r="L330" i="11"/>
  <c r="K330" i="11"/>
  <c r="F330" i="11"/>
  <c r="E330" i="11"/>
  <c r="C330" i="11"/>
  <c r="B330" i="11"/>
  <c r="X329" i="11"/>
  <c r="W329" i="11"/>
  <c r="V329" i="11"/>
  <c r="U329" i="11"/>
  <c r="T329" i="11"/>
  <c r="S329" i="11"/>
  <c r="R329" i="11"/>
  <c r="Q329" i="11"/>
  <c r="P329" i="11"/>
  <c r="O329" i="11"/>
  <c r="N329" i="11"/>
  <c r="M329" i="11"/>
  <c r="L329" i="11"/>
  <c r="K329" i="11"/>
  <c r="F329" i="11"/>
  <c r="E329" i="11"/>
  <c r="C329" i="11"/>
  <c r="B329" i="11"/>
  <c r="X328" i="11"/>
  <c r="W328" i="11"/>
  <c r="V328" i="11"/>
  <c r="U328" i="11"/>
  <c r="T328" i="11"/>
  <c r="S328" i="11"/>
  <c r="R328" i="11"/>
  <c r="Q328" i="11"/>
  <c r="P328" i="11"/>
  <c r="O328" i="11"/>
  <c r="N328" i="11"/>
  <c r="M328" i="11"/>
  <c r="L328" i="11"/>
  <c r="K328" i="11"/>
  <c r="F328" i="11"/>
  <c r="E328" i="11"/>
  <c r="C328" i="11"/>
  <c r="B328" i="11"/>
  <c r="X327" i="11"/>
  <c r="W327" i="11"/>
  <c r="V327" i="11"/>
  <c r="U327" i="11"/>
  <c r="T327" i="11"/>
  <c r="S327" i="11"/>
  <c r="R327" i="11"/>
  <c r="Q327" i="11"/>
  <c r="P327" i="11"/>
  <c r="O327" i="11"/>
  <c r="N327" i="11"/>
  <c r="M327" i="11"/>
  <c r="L327" i="11"/>
  <c r="K327" i="11"/>
  <c r="F327" i="11"/>
  <c r="E327" i="11"/>
  <c r="C327" i="11"/>
  <c r="B327" i="11"/>
  <c r="X326" i="11"/>
  <c r="W326" i="11"/>
  <c r="V326" i="11"/>
  <c r="U326" i="11"/>
  <c r="T326" i="11"/>
  <c r="S326" i="11"/>
  <c r="R326" i="11"/>
  <c r="Q326" i="11"/>
  <c r="P326" i="11"/>
  <c r="O326" i="11"/>
  <c r="N326" i="11"/>
  <c r="M326" i="11"/>
  <c r="L326" i="11"/>
  <c r="K326" i="11"/>
  <c r="F326" i="11"/>
  <c r="E326" i="11"/>
  <c r="C326" i="11"/>
  <c r="B326" i="11"/>
  <c r="X325" i="11"/>
  <c r="W325" i="11"/>
  <c r="V325" i="11"/>
  <c r="U325" i="11"/>
  <c r="T325" i="11"/>
  <c r="S325" i="11"/>
  <c r="R325" i="11"/>
  <c r="Q325" i="11"/>
  <c r="P325" i="11"/>
  <c r="O325" i="11"/>
  <c r="N325" i="11"/>
  <c r="M325" i="11"/>
  <c r="L325" i="11"/>
  <c r="K325" i="11"/>
  <c r="F325" i="11"/>
  <c r="E325" i="11"/>
  <c r="C325" i="11"/>
  <c r="B325" i="11"/>
  <c r="X324" i="11"/>
  <c r="W324" i="11"/>
  <c r="V324" i="11"/>
  <c r="U324" i="11"/>
  <c r="T324" i="11"/>
  <c r="S324" i="11"/>
  <c r="R324" i="11"/>
  <c r="Q324" i="11"/>
  <c r="P324" i="11"/>
  <c r="O324" i="11"/>
  <c r="N324" i="11"/>
  <c r="M324" i="11"/>
  <c r="L324" i="11"/>
  <c r="K324" i="11"/>
  <c r="F324" i="11"/>
  <c r="E324" i="11"/>
  <c r="C324" i="11"/>
  <c r="B324" i="11"/>
  <c r="X323" i="11"/>
  <c r="W323" i="11"/>
  <c r="V323" i="11"/>
  <c r="U323" i="11"/>
  <c r="T323" i="11"/>
  <c r="S323" i="11"/>
  <c r="R323" i="11"/>
  <c r="Q323" i="11"/>
  <c r="P323" i="11"/>
  <c r="O323" i="11"/>
  <c r="N323" i="11"/>
  <c r="M323" i="11"/>
  <c r="L323" i="11"/>
  <c r="K323" i="11"/>
  <c r="F323" i="11"/>
  <c r="E323" i="11"/>
  <c r="C323" i="11"/>
  <c r="B323" i="11"/>
  <c r="X322" i="11"/>
  <c r="W322" i="11"/>
  <c r="V322" i="11"/>
  <c r="U322" i="11"/>
  <c r="T322" i="11"/>
  <c r="S322" i="11"/>
  <c r="R322" i="11"/>
  <c r="Q322" i="11"/>
  <c r="P322" i="11"/>
  <c r="O322" i="11"/>
  <c r="N322" i="11"/>
  <c r="M322" i="11"/>
  <c r="L322" i="11"/>
  <c r="K322" i="11"/>
  <c r="F322" i="11"/>
  <c r="E322" i="11"/>
  <c r="C322" i="11"/>
  <c r="B322" i="11"/>
  <c r="X321" i="11"/>
  <c r="W321" i="11"/>
  <c r="V321" i="11"/>
  <c r="U321" i="11"/>
  <c r="T321" i="11"/>
  <c r="S321" i="11"/>
  <c r="R321" i="11"/>
  <c r="Q321" i="11"/>
  <c r="P321" i="11"/>
  <c r="O321" i="11"/>
  <c r="N321" i="11"/>
  <c r="M321" i="11"/>
  <c r="L321" i="11"/>
  <c r="K321" i="11"/>
  <c r="F321" i="11"/>
  <c r="E321" i="11"/>
  <c r="C321" i="11"/>
  <c r="B321" i="11"/>
  <c r="X320" i="11"/>
  <c r="W320" i="11"/>
  <c r="V320" i="11"/>
  <c r="U320" i="11"/>
  <c r="T320" i="11"/>
  <c r="S320" i="11"/>
  <c r="R320" i="11"/>
  <c r="Q320" i="11"/>
  <c r="P320" i="11"/>
  <c r="O320" i="11"/>
  <c r="N320" i="11"/>
  <c r="M320" i="11"/>
  <c r="L320" i="11"/>
  <c r="K320" i="11"/>
  <c r="F320" i="11"/>
  <c r="E320" i="11"/>
  <c r="C320" i="11"/>
  <c r="B320" i="11"/>
  <c r="X319" i="11"/>
  <c r="W319" i="11"/>
  <c r="V319" i="11"/>
  <c r="U319" i="11"/>
  <c r="T319" i="11"/>
  <c r="S319" i="11"/>
  <c r="R319" i="11"/>
  <c r="Q319" i="11"/>
  <c r="P319" i="11"/>
  <c r="O319" i="11"/>
  <c r="N319" i="11"/>
  <c r="M319" i="11"/>
  <c r="L319" i="11"/>
  <c r="K319" i="11"/>
  <c r="F319" i="11"/>
  <c r="E319" i="11"/>
  <c r="C319" i="11"/>
  <c r="B319" i="11"/>
  <c r="X318" i="11"/>
  <c r="W318" i="11"/>
  <c r="V318" i="11"/>
  <c r="U318" i="11"/>
  <c r="T318" i="11"/>
  <c r="S318" i="11"/>
  <c r="R318" i="11"/>
  <c r="Q318" i="11"/>
  <c r="P318" i="11"/>
  <c r="O318" i="11"/>
  <c r="N318" i="11"/>
  <c r="M318" i="11"/>
  <c r="L318" i="11"/>
  <c r="K318" i="11"/>
  <c r="F318" i="11"/>
  <c r="E318" i="11"/>
  <c r="C318" i="11"/>
  <c r="B318" i="11"/>
  <c r="X317" i="11"/>
  <c r="W317" i="11"/>
  <c r="V317" i="11"/>
  <c r="U317" i="11"/>
  <c r="T317" i="11"/>
  <c r="S317" i="11"/>
  <c r="R317" i="11"/>
  <c r="Q317" i="11"/>
  <c r="P317" i="11"/>
  <c r="O317" i="11"/>
  <c r="N317" i="11"/>
  <c r="M317" i="11"/>
  <c r="L317" i="11"/>
  <c r="K317" i="11"/>
  <c r="F317" i="11"/>
  <c r="E317" i="11"/>
  <c r="C317" i="11"/>
  <c r="B317" i="11"/>
  <c r="X316" i="11"/>
  <c r="W316" i="11"/>
  <c r="V316" i="11"/>
  <c r="U316" i="11"/>
  <c r="T316" i="11"/>
  <c r="S316" i="11"/>
  <c r="R316" i="11"/>
  <c r="Q316" i="11"/>
  <c r="P316" i="11"/>
  <c r="O316" i="11"/>
  <c r="N316" i="11"/>
  <c r="M316" i="11"/>
  <c r="L316" i="11"/>
  <c r="K316" i="11"/>
  <c r="F316" i="11"/>
  <c r="E316" i="11"/>
  <c r="C316" i="11"/>
  <c r="B316" i="11"/>
  <c r="X315" i="11"/>
  <c r="W315" i="11"/>
  <c r="V315" i="11"/>
  <c r="U315" i="11"/>
  <c r="T315" i="11"/>
  <c r="S315" i="11"/>
  <c r="R315" i="11"/>
  <c r="Q315" i="11"/>
  <c r="P315" i="11"/>
  <c r="O315" i="11"/>
  <c r="N315" i="11"/>
  <c r="M315" i="11"/>
  <c r="L315" i="11"/>
  <c r="K315" i="11"/>
  <c r="F315" i="11"/>
  <c r="E315" i="11"/>
  <c r="C315" i="11"/>
  <c r="B315" i="11"/>
  <c r="X314" i="11"/>
  <c r="W314" i="11"/>
  <c r="V314" i="11"/>
  <c r="U314" i="11"/>
  <c r="T314" i="11"/>
  <c r="S314" i="11"/>
  <c r="R314" i="11"/>
  <c r="Q314" i="11"/>
  <c r="P314" i="11"/>
  <c r="O314" i="11"/>
  <c r="N314" i="11"/>
  <c r="M314" i="11"/>
  <c r="L314" i="11"/>
  <c r="K314" i="11"/>
  <c r="F314" i="11"/>
  <c r="E314" i="11"/>
  <c r="C314" i="11"/>
  <c r="B314" i="11"/>
  <c r="X313" i="11"/>
  <c r="W313" i="11"/>
  <c r="V313" i="11"/>
  <c r="U313" i="11"/>
  <c r="T313" i="11"/>
  <c r="S313" i="11"/>
  <c r="R313" i="11"/>
  <c r="Q313" i="11"/>
  <c r="P313" i="11"/>
  <c r="O313" i="11"/>
  <c r="N313" i="11"/>
  <c r="M313" i="11"/>
  <c r="L313" i="11"/>
  <c r="K313" i="11"/>
  <c r="F313" i="11"/>
  <c r="E313" i="11"/>
  <c r="C313" i="11"/>
  <c r="B313" i="11"/>
  <c r="X312" i="11"/>
  <c r="W312" i="11"/>
  <c r="V312" i="11"/>
  <c r="U312" i="11"/>
  <c r="T312" i="11"/>
  <c r="S312" i="11"/>
  <c r="R312" i="11"/>
  <c r="Q312" i="11"/>
  <c r="P312" i="11"/>
  <c r="O312" i="11"/>
  <c r="N312" i="11"/>
  <c r="M312" i="11"/>
  <c r="L312" i="11"/>
  <c r="K312" i="11"/>
  <c r="F312" i="11"/>
  <c r="E312" i="11"/>
  <c r="C312" i="11"/>
  <c r="B312" i="11"/>
  <c r="X311" i="11"/>
  <c r="W311" i="11"/>
  <c r="V311" i="11"/>
  <c r="U311" i="11"/>
  <c r="T311" i="11"/>
  <c r="S311" i="11"/>
  <c r="R311" i="11"/>
  <c r="Q311" i="11"/>
  <c r="P311" i="11"/>
  <c r="O311" i="11"/>
  <c r="N311" i="11"/>
  <c r="M311" i="11"/>
  <c r="L311" i="11"/>
  <c r="K311" i="11"/>
  <c r="F311" i="11"/>
  <c r="E311" i="11"/>
  <c r="C311" i="11"/>
  <c r="B311" i="11"/>
  <c r="X310" i="11"/>
  <c r="W310" i="11"/>
  <c r="V310" i="11"/>
  <c r="U310" i="11"/>
  <c r="T310" i="11"/>
  <c r="S310" i="11"/>
  <c r="R310" i="11"/>
  <c r="Q310" i="11"/>
  <c r="P310" i="11"/>
  <c r="O310" i="11"/>
  <c r="N310" i="11"/>
  <c r="M310" i="11"/>
  <c r="L310" i="11"/>
  <c r="K310" i="11"/>
  <c r="F310" i="11"/>
  <c r="E310" i="11"/>
  <c r="C310" i="11"/>
  <c r="B310" i="11"/>
  <c r="X309" i="11"/>
  <c r="W309" i="11"/>
  <c r="V309" i="11"/>
  <c r="U309" i="11"/>
  <c r="T309" i="11"/>
  <c r="S309" i="11"/>
  <c r="R309" i="11"/>
  <c r="Q309" i="11"/>
  <c r="P309" i="11"/>
  <c r="O309" i="11"/>
  <c r="N309" i="11"/>
  <c r="M309" i="11"/>
  <c r="L309" i="11"/>
  <c r="K309" i="11"/>
  <c r="F309" i="11"/>
  <c r="E309" i="11"/>
  <c r="C309" i="11"/>
  <c r="B309" i="11"/>
  <c r="X308" i="11"/>
  <c r="W308" i="11"/>
  <c r="V308" i="11"/>
  <c r="U308" i="11"/>
  <c r="T308" i="11"/>
  <c r="S308" i="11"/>
  <c r="R308" i="11"/>
  <c r="Q308" i="11"/>
  <c r="P308" i="11"/>
  <c r="O308" i="11"/>
  <c r="N308" i="11"/>
  <c r="M308" i="11"/>
  <c r="L308" i="11"/>
  <c r="K308" i="11"/>
  <c r="F308" i="11"/>
  <c r="E308" i="11"/>
  <c r="C308" i="11"/>
  <c r="B308" i="11"/>
  <c r="X307" i="11"/>
  <c r="W307" i="11"/>
  <c r="V307" i="11"/>
  <c r="U307" i="11"/>
  <c r="T307" i="11"/>
  <c r="S307" i="11"/>
  <c r="R307" i="11"/>
  <c r="Q307" i="11"/>
  <c r="P307" i="11"/>
  <c r="O307" i="11"/>
  <c r="N307" i="11"/>
  <c r="M307" i="11"/>
  <c r="L307" i="11"/>
  <c r="K307" i="11"/>
  <c r="F307" i="11"/>
  <c r="E307" i="11"/>
  <c r="C307" i="11"/>
  <c r="B307" i="11"/>
  <c r="X306" i="11"/>
  <c r="W306" i="11"/>
  <c r="V306" i="11"/>
  <c r="U306" i="11"/>
  <c r="T306" i="11"/>
  <c r="S306" i="11"/>
  <c r="R306" i="11"/>
  <c r="Q306" i="11"/>
  <c r="P306" i="11"/>
  <c r="O306" i="11"/>
  <c r="N306" i="11"/>
  <c r="M306" i="11"/>
  <c r="L306" i="11"/>
  <c r="K306" i="11"/>
  <c r="F306" i="11"/>
  <c r="E306" i="11"/>
  <c r="C306" i="11"/>
  <c r="B306" i="11"/>
  <c r="X305" i="11"/>
  <c r="W305" i="11"/>
  <c r="V305" i="11"/>
  <c r="U305" i="11"/>
  <c r="T305" i="11"/>
  <c r="S305" i="11"/>
  <c r="R305" i="11"/>
  <c r="Q305" i="11"/>
  <c r="P305" i="11"/>
  <c r="O305" i="11"/>
  <c r="N305" i="11"/>
  <c r="M305" i="11"/>
  <c r="L305" i="11"/>
  <c r="K305" i="11"/>
  <c r="F305" i="11"/>
  <c r="E305" i="11"/>
  <c r="C305" i="11"/>
  <c r="B305" i="11"/>
  <c r="X304" i="11"/>
  <c r="W304" i="11"/>
  <c r="V304" i="11"/>
  <c r="U304" i="11"/>
  <c r="T304" i="11"/>
  <c r="S304" i="11"/>
  <c r="R304" i="11"/>
  <c r="Q304" i="11"/>
  <c r="P304" i="11"/>
  <c r="O304" i="11"/>
  <c r="N304" i="11"/>
  <c r="M304" i="11"/>
  <c r="L304" i="11"/>
  <c r="K304" i="11"/>
  <c r="F304" i="11"/>
  <c r="E304" i="11"/>
  <c r="C304" i="11"/>
  <c r="B304" i="11"/>
  <c r="X303" i="11"/>
  <c r="W303" i="11"/>
  <c r="V303" i="11"/>
  <c r="U303" i="11"/>
  <c r="T303" i="11"/>
  <c r="S303" i="11"/>
  <c r="R303" i="11"/>
  <c r="Q303" i="11"/>
  <c r="P303" i="11"/>
  <c r="O303" i="11"/>
  <c r="N303" i="11"/>
  <c r="M303" i="11"/>
  <c r="L303" i="11"/>
  <c r="K303" i="11"/>
  <c r="F303" i="11"/>
  <c r="E303" i="11"/>
  <c r="C303" i="11"/>
  <c r="B303" i="11"/>
  <c r="X302" i="11"/>
  <c r="W302" i="11"/>
  <c r="V302" i="11"/>
  <c r="U302" i="11"/>
  <c r="T302" i="11"/>
  <c r="S302" i="11"/>
  <c r="R302" i="11"/>
  <c r="Q302" i="11"/>
  <c r="P302" i="11"/>
  <c r="O302" i="11"/>
  <c r="N302" i="11"/>
  <c r="M302" i="11"/>
  <c r="L302" i="11"/>
  <c r="K302" i="11"/>
  <c r="F302" i="11"/>
  <c r="E302" i="11"/>
  <c r="C302" i="11"/>
  <c r="B302" i="11"/>
  <c r="X301" i="11"/>
  <c r="W301" i="11"/>
  <c r="V301" i="11"/>
  <c r="U301" i="11"/>
  <c r="T301" i="11"/>
  <c r="S301" i="11"/>
  <c r="R301" i="11"/>
  <c r="Q301" i="11"/>
  <c r="P301" i="11"/>
  <c r="O301" i="11"/>
  <c r="N301" i="11"/>
  <c r="M301" i="11"/>
  <c r="L301" i="11"/>
  <c r="K301" i="11"/>
  <c r="F301" i="11"/>
  <c r="E301" i="11"/>
  <c r="C301" i="11"/>
  <c r="B301" i="11"/>
  <c r="X300" i="11"/>
  <c r="W300" i="11"/>
  <c r="V300" i="11"/>
  <c r="U300" i="11"/>
  <c r="T300" i="11"/>
  <c r="S300" i="11"/>
  <c r="R300" i="11"/>
  <c r="Q300" i="11"/>
  <c r="P300" i="11"/>
  <c r="O300" i="11"/>
  <c r="N300" i="11"/>
  <c r="M300" i="11"/>
  <c r="L300" i="11"/>
  <c r="K300" i="11"/>
  <c r="F300" i="11"/>
  <c r="E300" i="11"/>
  <c r="C300" i="11"/>
  <c r="B300" i="11"/>
  <c r="X299" i="11"/>
  <c r="W299" i="11"/>
  <c r="V299" i="11"/>
  <c r="U299" i="11"/>
  <c r="T299" i="11"/>
  <c r="S299" i="11"/>
  <c r="R299" i="11"/>
  <c r="Q299" i="11"/>
  <c r="P299" i="11"/>
  <c r="O299" i="11"/>
  <c r="N299" i="11"/>
  <c r="M299" i="11"/>
  <c r="L299" i="11"/>
  <c r="K299" i="11"/>
  <c r="F299" i="11"/>
  <c r="E299" i="11"/>
  <c r="C299" i="11"/>
  <c r="B299" i="11"/>
  <c r="X298" i="11"/>
  <c r="W298" i="11"/>
  <c r="V298" i="11"/>
  <c r="U298" i="11"/>
  <c r="T298" i="11"/>
  <c r="S298" i="11"/>
  <c r="R298" i="11"/>
  <c r="Q298" i="11"/>
  <c r="P298" i="11"/>
  <c r="O298" i="11"/>
  <c r="N298" i="11"/>
  <c r="M298" i="11"/>
  <c r="L298" i="11"/>
  <c r="K298" i="11"/>
  <c r="F298" i="11"/>
  <c r="E298" i="11"/>
  <c r="C298" i="11"/>
  <c r="B298" i="11"/>
  <c r="X297" i="11"/>
  <c r="W297" i="11"/>
  <c r="V297" i="11"/>
  <c r="U297" i="11"/>
  <c r="T297" i="11"/>
  <c r="S297" i="11"/>
  <c r="R297" i="11"/>
  <c r="Q297" i="11"/>
  <c r="P297" i="11"/>
  <c r="O297" i="11"/>
  <c r="N297" i="11"/>
  <c r="M297" i="11"/>
  <c r="L297" i="11"/>
  <c r="K297" i="11"/>
  <c r="F297" i="11"/>
  <c r="E297" i="11"/>
  <c r="C297" i="11"/>
  <c r="B297" i="11"/>
  <c r="X296" i="11"/>
  <c r="W296" i="11"/>
  <c r="V296" i="11"/>
  <c r="U296" i="11"/>
  <c r="T296" i="11"/>
  <c r="S296" i="11"/>
  <c r="R296" i="11"/>
  <c r="Q296" i="11"/>
  <c r="P296" i="11"/>
  <c r="O296" i="11"/>
  <c r="N296" i="11"/>
  <c r="M296" i="11"/>
  <c r="L296" i="11"/>
  <c r="K296" i="11"/>
  <c r="F296" i="11"/>
  <c r="E296" i="11"/>
  <c r="C296" i="11"/>
  <c r="B296" i="11"/>
  <c r="X295" i="11"/>
  <c r="W295" i="11"/>
  <c r="V295" i="11"/>
  <c r="U295" i="11"/>
  <c r="T295" i="11"/>
  <c r="S295" i="11"/>
  <c r="R295" i="11"/>
  <c r="Q295" i="11"/>
  <c r="P295" i="11"/>
  <c r="O295" i="11"/>
  <c r="N295" i="11"/>
  <c r="M295" i="11"/>
  <c r="L295" i="11"/>
  <c r="K295" i="11"/>
  <c r="F295" i="11"/>
  <c r="E295" i="11"/>
  <c r="C295" i="11"/>
  <c r="B295" i="11"/>
  <c r="X294" i="11"/>
  <c r="W294" i="11"/>
  <c r="V294" i="11"/>
  <c r="U294" i="11"/>
  <c r="T294" i="11"/>
  <c r="S294" i="11"/>
  <c r="R294" i="11"/>
  <c r="Q294" i="11"/>
  <c r="P294" i="11"/>
  <c r="O294" i="11"/>
  <c r="N294" i="11"/>
  <c r="M294" i="11"/>
  <c r="L294" i="11"/>
  <c r="K294" i="11"/>
  <c r="F294" i="11"/>
  <c r="E294" i="11"/>
  <c r="C294" i="11"/>
  <c r="B294" i="11"/>
  <c r="X293" i="11"/>
  <c r="W293" i="11"/>
  <c r="V293" i="11"/>
  <c r="U293" i="11"/>
  <c r="T293" i="11"/>
  <c r="S293" i="11"/>
  <c r="R293" i="11"/>
  <c r="Q293" i="11"/>
  <c r="P293" i="11"/>
  <c r="O293" i="11"/>
  <c r="N293" i="11"/>
  <c r="M293" i="11"/>
  <c r="L293" i="11"/>
  <c r="K293" i="11"/>
  <c r="F293" i="11"/>
  <c r="E293" i="11"/>
  <c r="C293" i="11"/>
  <c r="B293" i="11"/>
  <c r="X292" i="11"/>
  <c r="W292" i="11"/>
  <c r="V292" i="11"/>
  <c r="U292" i="11"/>
  <c r="T292" i="11"/>
  <c r="S292" i="11"/>
  <c r="R292" i="11"/>
  <c r="Q292" i="11"/>
  <c r="P292" i="11"/>
  <c r="O292" i="11"/>
  <c r="N292" i="11"/>
  <c r="M292" i="11"/>
  <c r="L292" i="11"/>
  <c r="K292" i="11"/>
  <c r="F292" i="11"/>
  <c r="E292" i="11"/>
  <c r="C292" i="11"/>
  <c r="B292" i="11"/>
  <c r="X291" i="11"/>
  <c r="W291" i="11"/>
  <c r="V291" i="11"/>
  <c r="U291" i="11"/>
  <c r="T291" i="11"/>
  <c r="S291" i="11"/>
  <c r="R291" i="11"/>
  <c r="Q291" i="11"/>
  <c r="P291" i="11"/>
  <c r="O291" i="11"/>
  <c r="N291" i="11"/>
  <c r="M291" i="11"/>
  <c r="L291" i="11"/>
  <c r="K291" i="11"/>
  <c r="F291" i="11"/>
  <c r="E291" i="11"/>
  <c r="C291" i="11"/>
  <c r="B291" i="11"/>
  <c r="X290" i="11"/>
  <c r="W290" i="11"/>
  <c r="V290" i="11"/>
  <c r="U290" i="11"/>
  <c r="T290" i="11"/>
  <c r="S290" i="11"/>
  <c r="R290" i="11"/>
  <c r="Q290" i="11"/>
  <c r="P290" i="11"/>
  <c r="O290" i="11"/>
  <c r="N290" i="11"/>
  <c r="M290" i="11"/>
  <c r="L290" i="11"/>
  <c r="K290" i="11"/>
  <c r="F290" i="11"/>
  <c r="E290" i="11"/>
  <c r="C290" i="11"/>
  <c r="B290" i="11"/>
  <c r="X289" i="11"/>
  <c r="W289" i="11"/>
  <c r="V289" i="11"/>
  <c r="U289" i="11"/>
  <c r="T289" i="11"/>
  <c r="S289" i="11"/>
  <c r="R289" i="11"/>
  <c r="Q289" i="11"/>
  <c r="P289" i="11"/>
  <c r="O289" i="11"/>
  <c r="N289" i="11"/>
  <c r="M289" i="11"/>
  <c r="L289" i="11"/>
  <c r="K289" i="11"/>
  <c r="F289" i="11"/>
  <c r="E289" i="11"/>
  <c r="C289" i="11"/>
  <c r="B289" i="11"/>
  <c r="X288" i="11"/>
  <c r="W288" i="11"/>
  <c r="V288" i="11"/>
  <c r="U288" i="11"/>
  <c r="T288" i="11"/>
  <c r="S288" i="11"/>
  <c r="R288" i="11"/>
  <c r="Q288" i="11"/>
  <c r="P288" i="11"/>
  <c r="O288" i="11"/>
  <c r="N288" i="11"/>
  <c r="M288" i="11"/>
  <c r="L288" i="11"/>
  <c r="K288" i="11"/>
  <c r="F288" i="11"/>
  <c r="E288" i="11"/>
  <c r="C288" i="11"/>
  <c r="B288" i="11"/>
  <c r="X287" i="11"/>
  <c r="W287" i="11"/>
  <c r="V287" i="11"/>
  <c r="U287" i="11"/>
  <c r="T287" i="11"/>
  <c r="S287" i="11"/>
  <c r="R287" i="11"/>
  <c r="Q287" i="11"/>
  <c r="P287" i="11"/>
  <c r="O287" i="11"/>
  <c r="N287" i="11"/>
  <c r="M287" i="11"/>
  <c r="L287" i="11"/>
  <c r="K287" i="11"/>
  <c r="F287" i="11"/>
  <c r="E287" i="11"/>
  <c r="C287" i="11"/>
  <c r="B287" i="11"/>
  <c r="X286" i="11"/>
  <c r="W286" i="11"/>
  <c r="V286" i="11"/>
  <c r="U286" i="11"/>
  <c r="T286" i="11"/>
  <c r="S286" i="11"/>
  <c r="R286" i="11"/>
  <c r="Q286" i="11"/>
  <c r="P286" i="11"/>
  <c r="O286" i="11"/>
  <c r="N286" i="11"/>
  <c r="M286" i="11"/>
  <c r="L286" i="11"/>
  <c r="K286" i="11"/>
  <c r="F286" i="11"/>
  <c r="E286" i="11"/>
  <c r="C286" i="11"/>
  <c r="B286" i="11"/>
  <c r="X285" i="11"/>
  <c r="W285" i="11"/>
  <c r="V285" i="11"/>
  <c r="U285" i="11"/>
  <c r="T285" i="11"/>
  <c r="S285" i="11"/>
  <c r="R285" i="11"/>
  <c r="Q285" i="11"/>
  <c r="P285" i="11"/>
  <c r="O285" i="11"/>
  <c r="N285" i="11"/>
  <c r="M285" i="11"/>
  <c r="L285" i="11"/>
  <c r="K285" i="11"/>
  <c r="F285" i="11"/>
  <c r="E285" i="11"/>
  <c r="C285" i="11"/>
  <c r="B285" i="11"/>
  <c r="X284" i="11"/>
  <c r="W284" i="11"/>
  <c r="V284" i="11"/>
  <c r="U284" i="11"/>
  <c r="T284" i="11"/>
  <c r="S284" i="11"/>
  <c r="R284" i="11"/>
  <c r="Q284" i="11"/>
  <c r="P284" i="11"/>
  <c r="O284" i="11"/>
  <c r="N284" i="11"/>
  <c r="M284" i="11"/>
  <c r="L284" i="11"/>
  <c r="K284" i="11"/>
  <c r="F284" i="11"/>
  <c r="E284" i="11"/>
  <c r="C284" i="11"/>
  <c r="B284" i="11"/>
  <c r="X283" i="11"/>
  <c r="W283" i="11"/>
  <c r="V283" i="11"/>
  <c r="U283" i="11"/>
  <c r="T283" i="11"/>
  <c r="S283" i="11"/>
  <c r="R283" i="11"/>
  <c r="Q283" i="11"/>
  <c r="P283" i="11"/>
  <c r="O283" i="11"/>
  <c r="N283" i="11"/>
  <c r="M283" i="11"/>
  <c r="L283" i="11"/>
  <c r="K283" i="11"/>
  <c r="F283" i="11"/>
  <c r="E283" i="11"/>
  <c r="C283" i="11"/>
  <c r="B283" i="11"/>
  <c r="X282" i="11"/>
  <c r="W282" i="11"/>
  <c r="V282" i="11"/>
  <c r="U282" i="11"/>
  <c r="T282" i="11"/>
  <c r="S282" i="11"/>
  <c r="R282" i="11"/>
  <c r="Q282" i="11"/>
  <c r="P282" i="11"/>
  <c r="O282" i="11"/>
  <c r="N282" i="11"/>
  <c r="M282" i="11"/>
  <c r="L282" i="11"/>
  <c r="K282" i="11"/>
  <c r="F282" i="11"/>
  <c r="E282" i="11"/>
  <c r="C282" i="11"/>
  <c r="B282" i="11"/>
  <c r="X281" i="11"/>
  <c r="W281" i="11"/>
  <c r="V281" i="11"/>
  <c r="U281" i="11"/>
  <c r="T281" i="11"/>
  <c r="S281" i="11"/>
  <c r="R281" i="11"/>
  <c r="Q281" i="11"/>
  <c r="P281" i="11"/>
  <c r="O281" i="11"/>
  <c r="N281" i="11"/>
  <c r="M281" i="11"/>
  <c r="L281" i="11"/>
  <c r="K281" i="11"/>
  <c r="F281" i="11"/>
  <c r="E281" i="11"/>
  <c r="C281" i="11"/>
  <c r="B281" i="11"/>
  <c r="X280" i="11"/>
  <c r="W280" i="11"/>
  <c r="V280" i="11"/>
  <c r="U280" i="11"/>
  <c r="T280" i="11"/>
  <c r="S280" i="11"/>
  <c r="R280" i="11"/>
  <c r="Q280" i="11"/>
  <c r="P280" i="11"/>
  <c r="O280" i="11"/>
  <c r="N280" i="11"/>
  <c r="M280" i="11"/>
  <c r="L280" i="11"/>
  <c r="K280" i="11"/>
  <c r="F280" i="11"/>
  <c r="E280" i="11"/>
  <c r="C280" i="11"/>
  <c r="B280" i="11"/>
  <c r="X279" i="11"/>
  <c r="W279" i="11"/>
  <c r="V279" i="11"/>
  <c r="U279" i="11"/>
  <c r="T279" i="11"/>
  <c r="S279" i="11"/>
  <c r="R279" i="11"/>
  <c r="Q279" i="11"/>
  <c r="P279" i="11"/>
  <c r="O279" i="11"/>
  <c r="N279" i="11"/>
  <c r="M279" i="11"/>
  <c r="L279" i="11"/>
  <c r="K279" i="11"/>
  <c r="F279" i="11"/>
  <c r="E279" i="11"/>
  <c r="C279" i="11"/>
  <c r="B279" i="11"/>
  <c r="X278" i="11"/>
  <c r="W278" i="11"/>
  <c r="V278" i="11"/>
  <c r="U278" i="11"/>
  <c r="T278" i="11"/>
  <c r="S278" i="11"/>
  <c r="R278" i="11"/>
  <c r="Q278" i="11"/>
  <c r="P278" i="11"/>
  <c r="O278" i="11"/>
  <c r="N278" i="11"/>
  <c r="M278" i="11"/>
  <c r="L278" i="11"/>
  <c r="K278" i="11"/>
  <c r="F278" i="11"/>
  <c r="E278" i="11"/>
  <c r="C278" i="11"/>
  <c r="B278" i="11"/>
  <c r="X277" i="11"/>
  <c r="W277" i="11"/>
  <c r="V277" i="11"/>
  <c r="U277" i="11"/>
  <c r="T277" i="11"/>
  <c r="S277" i="11"/>
  <c r="R277" i="11"/>
  <c r="Q277" i="11"/>
  <c r="P277" i="11"/>
  <c r="O277" i="11"/>
  <c r="N277" i="11"/>
  <c r="M277" i="11"/>
  <c r="L277" i="11"/>
  <c r="K277" i="11"/>
  <c r="F277" i="11"/>
  <c r="E277" i="11"/>
  <c r="C277" i="11"/>
  <c r="B277" i="11"/>
  <c r="X276" i="11"/>
  <c r="W276" i="11"/>
  <c r="V276" i="11"/>
  <c r="U276" i="11"/>
  <c r="T276" i="11"/>
  <c r="S276" i="11"/>
  <c r="R276" i="11"/>
  <c r="Q276" i="11"/>
  <c r="P276" i="11"/>
  <c r="O276" i="11"/>
  <c r="N276" i="11"/>
  <c r="M276" i="11"/>
  <c r="L276" i="11"/>
  <c r="K276" i="11"/>
  <c r="F276" i="11"/>
  <c r="E276" i="11"/>
  <c r="C276" i="11"/>
  <c r="B276" i="11"/>
  <c r="X275" i="11"/>
  <c r="W275" i="11"/>
  <c r="V275" i="11"/>
  <c r="U275" i="11"/>
  <c r="T275" i="11"/>
  <c r="S275" i="11"/>
  <c r="R275" i="11"/>
  <c r="Q275" i="11"/>
  <c r="P275" i="11"/>
  <c r="O275" i="11"/>
  <c r="N275" i="11"/>
  <c r="M275" i="11"/>
  <c r="L275" i="11"/>
  <c r="K275" i="11"/>
  <c r="F275" i="11"/>
  <c r="E275" i="11"/>
  <c r="C275" i="11"/>
  <c r="B275" i="11"/>
  <c r="X274" i="11"/>
  <c r="W274" i="11"/>
  <c r="V274" i="11"/>
  <c r="U274" i="11"/>
  <c r="T274" i="11"/>
  <c r="S274" i="11"/>
  <c r="R274" i="11"/>
  <c r="Q274" i="11"/>
  <c r="P274" i="11"/>
  <c r="O274" i="11"/>
  <c r="N274" i="11"/>
  <c r="M274" i="11"/>
  <c r="L274" i="11"/>
  <c r="K274" i="11"/>
  <c r="F274" i="11"/>
  <c r="E274" i="11"/>
  <c r="C274" i="11"/>
  <c r="B274" i="11"/>
  <c r="X273" i="11"/>
  <c r="W273" i="11"/>
  <c r="V273" i="11"/>
  <c r="U273" i="11"/>
  <c r="T273" i="11"/>
  <c r="S273" i="11"/>
  <c r="R273" i="11"/>
  <c r="Q273" i="11"/>
  <c r="P273" i="11"/>
  <c r="O273" i="11"/>
  <c r="N273" i="11"/>
  <c r="M273" i="11"/>
  <c r="L273" i="11"/>
  <c r="K273" i="11"/>
  <c r="F273" i="11"/>
  <c r="E273" i="11"/>
  <c r="C273" i="11"/>
  <c r="B273" i="11"/>
  <c r="X272" i="11"/>
  <c r="W272" i="11"/>
  <c r="V272" i="11"/>
  <c r="U272" i="11"/>
  <c r="T272" i="11"/>
  <c r="S272" i="11"/>
  <c r="R272" i="11"/>
  <c r="Q272" i="11"/>
  <c r="P272" i="11"/>
  <c r="O272" i="11"/>
  <c r="N272" i="11"/>
  <c r="M272" i="11"/>
  <c r="L272" i="11"/>
  <c r="K272" i="11"/>
  <c r="F272" i="11"/>
  <c r="E272" i="11"/>
  <c r="C272" i="11"/>
  <c r="B272" i="11"/>
  <c r="X271" i="11"/>
  <c r="W271" i="11"/>
  <c r="V271" i="11"/>
  <c r="U271" i="11"/>
  <c r="T271" i="11"/>
  <c r="S271" i="11"/>
  <c r="R271" i="11"/>
  <c r="Q271" i="11"/>
  <c r="P271" i="11"/>
  <c r="O271" i="11"/>
  <c r="N271" i="11"/>
  <c r="M271" i="11"/>
  <c r="L271" i="11"/>
  <c r="K271" i="11"/>
  <c r="F271" i="11"/>
  <c r="E271" i="11"/>
  <c r="C271" i="11"/>
  <c r="B271" i="11"/>
  <c r="X270" i="11"/>
  <c r="W270" i="11"/>
  <c r="V270" i="11"/>
  <c r="U270" i="11"/>
  <c r="T270" i="11"/>
  <c r="S270" i="11"/>
  <c r="R270" i="11"/>
  <c r="Q270" i="11"/>
  <c r="P270" i="11"/>
  <c r="O270" i="11"/>
  <c r="N270" i="11"/>
  <c r="M270" i="11"/>
  <c r="L270" i="11"/>
  <c r="K270" i="11"/>
  <c r="F270" i="11"/>
  <c r="E270" i="11"/>
  <c r="C270" i="11"/>
  <c r="B270" i="11"/>
  <c r="X269" i="11"/>
  <c r="W269" i="11"/>
  <c r="V269" i="11"/>
  <c r="U269" i="11"/>
  <c r="T269" i="11"/>
  <c r="S269" i="11"/>
  <c r="R269" i="11"/>
  <c r="Q269" i="11"/>
  <c r="P269" i="11"/>
  <c r="O269" i="11"/>
  <c r="N269" i="11"/>
  <c r="M269" i="11"/>
  <c r="L269" i="11"/>
  <c r="K269" i="11"/>
  <c r="F269" i="11"/>
  <c r="E269" i="11"/>
  <c r="C269" i="11"/>
  <c r="B269" i="11"/>
  <c r="X268" i="11"/>
  <c r="W268" i="11"/>
  <c r="V268" i="11"/>
  <c r="U268" i="11"/>
  <c r="T268" i="11"/>
  <c r="S268" i="11"/>
  <c r="R268" i="11"/>
  <c r="Q268" i="11"/>
  <c r="P268" i="11"/>
  <c r="O268" i="11"/>
  <c r="N268" i="11"/>
  <c r="M268" i="11"/>
  <c r="L268" i="11"/>
  <c r="K268" i="11"/>
  <c r="F268" i="11"/>
  <c r="E268" i="11"/>
  <c r="C268" i="11"/>
  <c r="B268" i="11"/>
  <c r="X267" i="11"/>
  <c r="W267" i="11"/>
  <c r="V267" i="11"/>
  <c r="U267" i="11"/>
  <c r="T267" i="11"/>
  <c r="S267" i="11"/>
  <c r="R267" i="11"/>
  <c r="Q267" i="11"/>
  <c r="P267" i="11"/>
  <c r="O267" i="11"/>
  <c r="N267" i="11"/>
  <c r="M267" i="11"/>
  <c r="L267" i="11"/>
  <c r="K267" i="11"/>
  <c r="F267" i="11"/>
  <c r="E267" i="11"/>
  <c r="C267" i="11"/>
  <c r="B267" i="11"/>
  <c r="X266" i="11"/>
  <c r="W266" i="11"/>
  <c r="V266" i="11"/>
  <c r="U266" i="11"/>
  <c r="T266" i="11"/>
  <c r="S266" i="11"/>
  <c r="R266" i="11"/>
  <c r="Q266" i="11"/>
  <c r="P266" i="11"/>
  <c r="O266" i="11"/>
  <c r="N266" i="11"/>
  <c r="M266" i="11"/>
  <c r="L266" i="11"/>
  <c r="K266" i="11"/>
  <c r="F266" i="11"/>
  <c r="E266" i="11"/>
  <c r="C266" i="11"/>
  <c r="B266" i="11"/>
  <c r="X265" i="11"/>
  <c r="W265" i="11"/>
  <c r="V265" i="11"/>
  <c r="U265" i="11"/>
  <c r="T265" i="11"/>
  <c r="S265" i="11"/>
  <c r="R265" i="11"/>
  <c r="Q265" i="11"/>
  <c r="P265" i="11"/>
  <c r="O265" i="11"/>
  <c r="N265" i="11"/>
  <c r="M265" i="11"/>
  <c r="L265" i="11"/>
  <c r="K265" i="11"/>
  <c r="F265" i="11"/>
  <c r="E265" i="11"/>
  <c r="C265" i="11"/>
  <c r="B265" i="11"/>
  <c r="X264" i="11"/>
  <c r="W264" i="11"/>
  <c r="V264" i="11"/>
  <c r="U264" i="11"/>
  <c r="T264" i="11"/>
  <c r="S264" i="11"/>
  <c r="R264" i="11"/>
  <c r="Q264" i="11"/>
  <c r="P264" i="11"/>
  <c r="O264" i="11"/>
  <c r="N264" i="11"/>
  <c r="M264" i="11"/>
  <c r="L264" i="11"/>
  <c r="K264" i="11"/>
  <c r="F264" i="11"/>
  <c r="E264" i="11"/>
  <c r="C264" i="11"/>
  <c r="B264" i="11"/>
  <c r="X263" i="11"/>
  <c r="W263" i="11"/>
  <c r="V263" i="11"/>
  <c r="U263" i="11"/>
  <c r="T263" i="11"/>
  <c r="S263" i="11"/>
  <c r="R263" i="11"/>
  <c r="Q263" i="11"/>
  <c r="P263" i="11"/>
  <c r="O263" i="11"/>
  <c r="N263" i="11"/>
  <c r="M263" i="11"/>
  <c r="L263" i="11"/>
  <c r="K263" i="11"/>
  <c r="F263" i="11"/>
  <c r="E263" i="11"/>
  <c r="C263" i="11"/>
  <c r="B263" i="11"/>
  <c r="X262" i="11"/>
  <c r="W262" i="11"/>
  <c r="V262" i="11"/>
  <c r="U262" i="11"/>
  <c r="T262" i="11"/>
  <c r="S262" i="11"/>
  <c r="R262" i="11"/>
  <c r="Q262" i="11"/>
  <c r="P262" i="11"/>
  <c r="O262" i="11"/>
  <c r="N262" i="11"/>
  <c r="M262" i="11"/>
  <c r="L262" i="11"/>
  <c r="K262" i="11"/>
  <c r="F262" i="11"/>
  <c r="E262" i="11"/>
  <c r="C262" i="11"/>
  <c r="B262" i="11"/>
  <c r="X261" i="11"/>
  <c r="W261" i="11"/>
  <c r="V261" i="11"/>
  <c r="U261" i="11"/>
  <c r="T261" i="11"/>
  <c r="S261" i="11"/>
  <c r="R261" i="11"/>
  <c r="Q261" i="11"/>
  <c r="P261" i="11"/>
  <c r="O261" i="11"/>
  <c r="N261" i="11"/>
  <c r="M261" i="11"/>
  <c r="L261" i="11"/>
  <c r="K261" i="11"/>
  <c r="F261" i="11"/>
  <c r="E261" i="11"/>
  <c r="C261" i="11"/>
  <c r="B261" i="11"/>
  <c r="X260" i="11"/>
  <c r="W260" i="11"/>
  <c r="V260" i="11"/>
  <c r="U260" i="11"/>
  <c r="T260" i="11"/>
  <c r="S260" i="11"/>
  <c r="R260" i="11"/>
  <c r="Q260" i="11"/>
  <c r="P260" i="11"/>
  <c r="O260" i="11"/>
  <c r="N260" i="11"/>
  <c r="M260" i="11"/>
  <c r="L260" i="11"/>
  <c r="K260" i="11"/>
  <c r="F260" i="11"/>
  <c r="E260" i="11"/>
  <c r="C260" i="11"/>
  <c r="B260" i="11"/>
  <c r="X259" i="11"/>
  <c r="W259" i="11"/>
  <c r="V259" i="11"/>
  <c r="U259" i="11"/>
  <c r="T259" i="11"/>
  <c r="S259" i="11"/>
  <c r="R259" i="11"/>
  <c r="Q259" i="11"/>
  <c r="P259" i="11"/>
  <c r="O259" i="11"/>
  <c r="N259" i="11"/>
  <c r="M259" i="11"/>
  <c r="L259" i="11"/>
  <c r="K259" i="11"/>
  <c r="F259" i="11"/>
  <c r="E259" i="11"/>
  <c r="C259" i="11"/>
  <c r="B259" i="11"/>
  <c r="X258" i="11"/>
  <c r="W258" i="11"/>
  <c r="V258" i="11"/>
  <c r="U258" i="11"/>
  <c r="T258" i="11"/>
  <c r="S258" i="11"/>
  <c r="R258" i="11"/>
  <c r="Q258" i="11"/>
  <c r="P258" i="11"/>
  <c r="O258" i="11"/>
  <c r="N258" i="11"/>
  <c r="M258" i="11"/>
  <c r="L258" i="11"/>
  <c r="K258" i="11"/>
  <c r="F258" i="11"/>
  <c r="E258" i="11"/>
  <c r="C258" i="11"/>
  <c r="B258" i="11"/>
  <c r="X257" i="11"/>
  <c r="W257" i="11"/>
  <c r="V257" i="11"/>
  <c r="U257" i="11"/>
  <c r="T257" i="11"/>
  <c r="S257" i="11"/>
  <c r="R257" i="11"/>
  <c r="Q257" i="11"/>
  <c r="P257" i="11"/>
  <c r="O257" i="11"/>
  <c r="N257" i="11"/>
  <c r="M257" i="11"/>
  <c r="L257" i="11"/>
  <c r="K257" i="11"/>
  <c r="F257" i="11"/>
  <c r="E257" i="11"/>
  <c r="C257" i="11"/>
  <c r="B257" i="11"/>
  <c r="X256" i="11"/>
  <c r="W256" i="11"/>
  <c r="V256" i="11"/>
  <c r="U256" i="11"/>
  <c r="T256" i="11"/>
  <c r="S256" i="11"/>
  <c r="R256" i="11"/>
  <c r="Q256" i="11"/>
  <c r="P256" i="11"/>
  <c r="O256" i="11"/>
  <c r="N256" i="11"/>
  <c r="M256" i="11"/>
  <c r="L256" i="11"/>
  <c r="K256" i="11"/>
  <c r="F256" i="11"/>
  <c r="E256" i="11"/>
  <c r="C256" i="11"/>
  <c r="B256" i="11"/>
  <c r="X255" i="11"/>
  <c r="W255" i="11"/>
  <c r="V255" i="11"/>
  <c r="U255" i="11"/>
  <c r="T255" i="11"/>
  <c r="S255" i="11"/>
  <c r="R255" i="11"/>
  <c r="Q255" i="11"/>
  <c r="P255" i="11"/>
  <c r="O255" i="11"/>
  <c r="N255" i="11"/>
  <c r="M255" i="11"/>
  <c r="L255" i="11"/>
  <c r="K255" i="11"/>
  <c r="F255" i="11"/>
  <c r="E255" i="11"/>
  <c r="C255" i="11"/>
  <c r="B255" i="11"/>
  <c r="X254" i="11"/>
  <c r="W254" i="11"/>
  <c r="V254" i="11"/>
  <c r="U254" i="11"/>
  <c r="T254" i="11"/>
  <c r="S254" i="11"/>
  <c r="R254" i="11"/>
  <c r="Q254" i="11"/>
  <c r="P254" i="11"/>
  <c r="O254" i="11"/>
  <c r="N254" i="11"/>
  <c r="M254" i="11"/>
  <c r="L254" i="11"/>
  <c r="K254" i="11"/>
  <c r="F254" i="11"/>
  <c r="E254" i="11"/>
  <c r="C254" i="11"/>
  <c r="B254" i="11"/>
  <c r="X253" i="11"/>
  <c r="W253" i="11"/>
  <c r="V253" i="11"/>
  <c r="U253" i="11"/>
  <c r="T253" i="11"/>
  <c r="S253" i="11"/>
  <c r="R253" i="11"/>
  <c r="Q253" i="11"/>
  <c r="P253" i="11"/>
  <c r="O253" i="11"/>
  <c r="N253" i="11"/>
  <c r="M253" i="11"/>
  <c r="L253" i="11"/>
  <c r="K253" i="11"/>
  <c r="F253" i="11"/>
  <c r="E253" i="11"/>
  <c r="C253" i="11"/>
  <c r="B253" i="11"/>
  <c r="X252" i="11"/>
  <c r="W252" i="11"/>
  <c r="V252" i="11"/>
  <c r="U252" i="11"/>
  <c r="T252" i="11"/>
  <c r="S252" i="11"/>
  <c r="R252" i="11"/>
  <c r="Q252" i="11"/>
  <c r="P252" i="11"/>
  <c r="O252" i="11"/>
  <c r="N252" i="11"/>
  <c r="M252" i="11"/>
  <c r="L252" i="11"/>
  <c r="K252" i="11"/>
  <c r="F252" i="11"/>
  <c r="E252" i="11"/>
  <c r="C252" i="11"/>
  <c r="B252" i="11"/>
  <c r="X251" i="11"/>
  <c r="W251" i="11"/>
  <c r="V251" i="11"/>
  <c r="U251" i="11"/>
  <c r="T251" i="11"/>
  <c r="S251" i="11"/>
  <c r="R251" i="11"/>
  <c r="Q251" i="11"/>
  <c r="P251" i="11"/>
  <c r="O251" i="11"/>
  <c r="N251" i="11"/>
  <c r="M251" i="11"/>
  <c r="L251" i="11"/>
  <c r="K251" i="11"/>
  <c r="F251" i="11"/>
  <c r="E251" i="11"/>
  <c r="C251" i="11"/>
  <c r="B251" i="11"/>
  <c r="X250" i="11"/>
  <c r="W250" i="11"/>
  <c r="V250" i="11"/>
  <c r="U250" i="11"/>
  <c r="T250" i="11"/>
  <c r="S250" i="11"/>
  <c r="R250" i="11"/>
  <c r="Q250" i="11"/>
  <c r="P250" i="11"/>
  <c r="O250" i="11"/>
  <c r="N250" i="11"/>
  <c r="M250" i="11"/>
  <c r="L250" i="11"/>
  <c r="K250" i="11"/>
  <c r="F250" i="11"/>
  <c r="E250" i="11"/>
  <c r="C250" i="11"/>
  <c r="B250" i="11"/>
  <c r="X249" i="11"/>
  <c r="W249" i="11"/>
  <c r="V249" i="11"/>
  <c r="U249" i="11"/>
  <c r="T249" i="11"/>
  <c r="S249" i="11"/>
  <c r="R249" i="11"/>
  <c r="Q249" i="11"/>
  <c r="P249" i="11"/>
  <c r="O249" i="11"/>
  <c r="N249" i="11"/>
  <c r="M249" i="11"/>
  <c r="L249" i="11"/>
  <c r="K249" i="11"/>
  <c r="F249" i="11"/>
  <c r="E249" i="11"/>
  <c r="C249" i="11"/>
  <c r="B249" i="11"/>
  <c r="X248" i="11"/>
  <c r="W248" i="11"/>
  <c r="V248" i="11"/>
  <c r="U248" i="11"/>
  <c r="T248" i="11"/>
  <c r="S248" i="11"/>
  <c r="R248" i="11"/>
  <c r="Q248" i="11"/>
  <c r="P248" i="11"/>
  <c r="O248" i="11"/>
  <c r="N248" i="11"/>
  <c r="M248" i="11"/>
  <c r="L248" i="11"/>
  <c r="K248" i="11"/>
  <c r="F248" i="11"/>
  <c r="E248" i="11"/>
  <c r="C248" i="11"/>
  <c r="B248" i="11"/>
  <c r="X247" i="11"/>
  <c r="W247" i="11"/>
  <c r="V247" i="11"/>
  <c r="U247" i="11"/>
  <c r="T247" i="11"/>
  <c r="S247" i="11"/>
  <c r="R247" i="11"/>
  <c r="Q247" i="11"/>
  <c r="P247" i="11"/>
  <c r="O247" i="11"/>
  <c r="N247" i="11"/>
  <c r="M247" i="11"/>
  <c r="L247" i="11"/>
  <c r="K247" i="11"/>
  <c r="F247" i="11"/>
  <c r="E247" i="11"/>
  <c r="C247" i="11"/>
  <c r="B247" i="11"/>
  <c r="X246" i="11"/>
  <c r="W246" i="11"/>
  <c r="V246" i="11"/>
  <c r="U246" i="11"/>
  <c r="T246" i="11"/>
  <c r="S246" i="11"/>
  <c r="R246" i="11"/>
  <c r="Q246" i="11"/>
  <c r="P246" i="11"/>
  <c r="O246" i="11"/>
  <c r="N246" i="11"/>
  <c r="M246" i="11"/>
  <c r="L246" i="11"/>
  <c r="K246" i="11"/>
  <c r="F246" i="11"/>
  <c r="E246" i="11"/>
  <c r="C246" i="11"/>
  <c r="B246" i="11"/>
  <c r="X245" i="11"/>
  <c r="W245" i="11"/>
  <c r="V245" i="11"/>
  <c r="U245" i="11"/>
  <c r="T245" i="11"/>
  <c r="S245" i="11"/>
  <c r="R245" i="11"/>
  <c r="Q245" i="11"/>
  <c r="P245" i="11"/>
  <c r="O245" i="11"/>
  <c r="N245" i="11"/>
  <c r="M245" i="11"/>
  <c r="L245" i="11"/>
  <c r="K245" i="11"/>
  <c r="F245" i="11"/>
  <c r="E245" i="11"/>
  <c r="C245" i="11"/>
  <c r="B245" i="11"/>
  <c r="X244" i="11"/>
  <c r="W244" i="11"/>
  <c r="V244" i="11"/>
  <c r="U244" i="11"/>
  <c r="T244" i="11"/>
  <c r="S244" i="11"/>
  <c r="R244" i="11"/>
  <c r="Q244" i="11"/>
  <c r="P244" i="11"/>
  <c r="O244" i="11"/>
  <c r="N244" i="11"/>
  <c r="M244" i="11"/>
  <c r="L244" i="11"/>
  <c r="K244" i="11"/>
  <c r="F244" i="11"/>
  <c r="E244" i="11"/>
  <c r="C244" i="11"/>
  <c r="B244" i="11"/>
  <c r="X243" i="11"/>
  <c r="W243" i="11"/>
  <c r="V243" i="11"/>
  <c r="U243" i="11"/>
  <c r="T243" i="11"/>
  <c r="S243" i="11"/>
  <c r="R243" i="11"/>
  <c r="Q243" i="11"/>
  <c r="P243" i="11"/>
  <c r="O243" i="11"/>
  <c r="N243" i="11"/>
  <c r="M243" i="11"/>
  <c r="L243" i="11"/>
  <c r="K243" i="11"/>
  <c r="F243" i="11"/>
  <c r="E243" i="11"/>
  <c r="C243" i="11"/>
  <c r="B243" i="11"/>
  <c r="X242" i="11"/>
  <c r="W242" i="11"/>
  <c r="V242" i="11"/>
  <c r="U242" i="11"/>
  <c r="T242" i="11"/>
  <c r="S242" i="11"/>
  <c r="R242" i="11"/>
  <c r="Q242" i="11"/>
  <c r="P242" i="11"/>
  <c r="O242" i="11"/>
  <c r="N242" i="11"/>
  <c r="M242" i="11"/>
  <c r="L242" i="11"/>
  <c r="K242" i="11"/>
  <c r="F242" i="11"/>
  <c r="E242" i="11"/>
  <c r="C242" i="11"/>
  <c r="B242" i="11"/>
  <c r="X241" i="11"/>
  <c r="W241" i="11"/>
  <c r="V241" i="11"/>
  <c r="U241" i="11"/>
  <c r="T241" i="11"/>
  <c r="S241" i="11"/>
  <c r="R241" i="11"/>
  <c r="Q241" i="11"/>
  <c r="P241" i="11"/>
  <c r="O241" i="11"/>
  <c r="N241" i="11"/>
  <c r="M241" i="11"/>
  <c r="L241" i="11"/>
  <c r="K241" i="11"/>
  <c r="F241" i="11"/>
  <c r="E241" i="11"/>
  <c r="C241" i="11"/>
  <c r="B241" i="11"/>
  <c r="X240" i="11"/>
  <c r="W240" i="11"/>
  <c r="V240" i="11"/>
  <c r="U240" i="11"/>
  <c r="T240" i="11"/>
  <c r="S240" i="11"/>
  <c r="R240" i="11"/>
  <c r="Q240" i="11"/>
  <c r="P240" i="11"/>
  <c r="O240" i="11"/>
  <c r="N240" i="11"/>
  <c r="M240" i="11"/>
  <c r="L240" i="11"/>
  <c r="K240" i="11"/>
  <c r="F240" i="11"/>
  <c r="E240" i="11"/>
  <c r="C240" i="11"/>
  <c r="B240" i="11"/>
  <c r="X239" i="11"/>
  <c r="W239" i="11"/>
  <c r="V239" i="11"/>
  <c r="U239" i="11"/>
  <c r="T239" i="11"/>
  <c r="S239" i="11"/>
  <c r="R239" i="11"/>
  <c r="Q239" i="11"/>
  <c r="P239" i="11"/>
  <c r="O239" i="11"/>
  <c r="N239" i="11"/>
  <c r="M239" i="11"/>
  <c r="L239" i="11"/>
  <c r="K239" i="11"/>
  <c r="F239" i="11"/>
  <c r="E239" i="11"/>
  <c r="C239" i="11"/>
  <c r="B239" i="11"/>
  <c r="X238" i="11"/>
  <c r="W238" i="11"/>
  <c r="V238" i="11"/>
  <c r="U238" i="11"/>
  <c r="T238" i="11"/>
  <c r="S238" i="11"/>
  <c r="R238" i="11"/>
  <c r="Q238" i="11"/>
  <c r="P238" i="11"/>
  <c r="O238" i="11"/>
  <c r="N238" i="11"/>
  <c r="M238" i="11"/>
  <c r="L238" i="11"/>
  <c r="K238" i="11"/>
  <c r="F238" i="11"/>
  <c r="E238" i="11"/>
  <c r="C238" i="11"/>
  <c r="B238" i="11"/>
  <c r="X237" i="11"/>
  <c r="W237" i="11"/>
  <c r="V237" i="11"/>
  <c r="U237" i="11"/>
  <c r="T237" i="11"/>
  <c r="S237" i="11"/>
  <c r="R237" i="11"/>
  <c r="Q237" i="11"/>
  <c r="P237" i="11"/>
  <c r="O237" i="11"/>
  <c r="N237" i="11"/>
  <c r="M237" i="11"/>
  <c r="L237" i="11"/>
  <c r="K237" i="11"/>
  <c r="F237" i="11"/>
  <c r="E237" i="11"/>
  <c r="C237" i="11"/>
  <c r="B237" i="11"/>
  <c r="X236" i="11"/>
  <c r="W236" i="11"/>
  <c r="V236" i="11"/>
  <c r="U236" i="11"/>
  <c r="T236" i="11"/>
  <c r="S236" i="11"/>
  <c r="R236" i="11"/>
  <c r="Q236" i="11"/>
  <c r="P236" i="11"/>
  <c r="O236" i="11"/>
  <c r="N236" i="11"/>
  <c r="M236" i="11"/>
  <c r="L236" i="11"/>
  <c r="K236" i="11"/>
  <c r="F236" i="11"/>
  <c r="E236" i="11"/>
  <c r="C236" i="11"/>
  <c r="B236" i="11"/>
  <c r="X235" i="11"/>
  <c r="W235" i="11"/>
  <c r="V235" i="11"/>
  <c r="U235" i="11"/>
  <c r="T235" i="11"/>
  <c r="S235" i="11"/>
  <c r="R235" i="11"/>
  <c r="Q235" i="11"/>
  <c r="P235" i="11"/>
  <c r="O235" i="11"/>
  <c r="N235" i="11"/>
  <c r="M235" i="11"/>
  <c r="L235" i="11"/>
  <c r="K235" i="11"/>
  <c r="F235" i="11"/>
  <c r="E235" i="11"/>
  <c r="C235" i="11"/>
  <c r="B235" i="11"/>
  <c r="X234" i="11"/>
  <c r="W234" i="11"/>
  <c r="V234" i="11"/>
  <c r="U234" i="11"/>
  <c r="T234" i="11"/>
  <c r="S234" i="11"/>
  <c r="R234" i="11"/>
  <c r="Q234" i="11"/>
  <c r="P234" i="11"/>
  <c r="O234" i="11"/>
  <c r="N234" i="11"/>
  <c r="M234" i="11"/>
  <c r="L234" i="11"/>
  <c r="K234" i="11"/>
  <c r="F234" i="11"/>
  <c r="E234" i="11"/>
  <c r="C234" i="11"/>
  <c r="B234" i="11"/>
  <c r="X233" i="11"/>
  <c r="W233" i="11"/>
  <c r="V233" i="11"/>
  <c r="U233" i="11"/>
  <c r="T233" i="11"/>
  <c r="S233" i="11"/>
  <c r="R233" i="11"/>
  <c r="Q233" i="11"/>
  <c r="P233" i="11"/>
  <c r="O233" i="11"/>
  <c r="N233" i="11"/>
  <c r="M233" i="11"/>
  <c r="L233" i="11"/>
  <c r="K233" i="11"/>
  <c r="F233" i="11"/>
  <c r="E233" i="11"/>
  <c r="C233" i="11"/>
  <c r="B233" i="11"/>
  <c r="X232" i="11"/>
  <c r="W232" i="11"/>
  <c r="V232" i="11"/>
  <c r="U232" i="11"/>
  <c r="T232" i="11"/>
  <c r="S232" i="11"/>
  <c r="R232" i="11"/>
  <c r="Q232" i="11"/>
  <c r="P232" i="11"/>
  <c r="O232" i="11"/>
  <c r="N232" i="11"/>
  <c r="M232" i="11"/>
  <c r="L232" i="11"/>
  <c r="K232" i="11"/>
  <c r="F232" i="11"/>
  <c r="E232" i="11"/>
  <c r="C232" i="11"/>
  <c r="B232" i="11"/>
  <c r="X231" i="11"/>
  <c r="W231" i="11"/>
  <c r="V231" i="11"/>
  <c r="U231" i="11"/>
  <c r="T231" i="11"/>
  <c r="S231" i="11"/>
  <c r="R231" i="11"/>
  <c r="Q231" i="11"/>
  <c r="P231" i="11"/>
  <c r="O231" i="11"/>
  <c r="N231" i="11"/>
  <c r="M231" i="11"/>
  <c r="L231" i="11"/>
  <c r="K231" i="11"/>
  <c r="F231" i="11"/>
  <c r="E231" i="11"/>
  <c r="C231" i="11"/>
  <c r="B231" i="11"/>
  <c r="X230" i="11"/>
  <c r="W230" i="11"/>
  <c r="V230" i="11"/>
  <c r="U230" i="11"/>
  <c r="T230" i="11"/>
  <c r="S230" i="11"/>
  <c r="R230" i="11"/>
  <c r="Q230" i="11"/>
  <c r="P230" i="11"/>
  <c r="O230" i="11"/>
  <c r="N230" i="11"/>
  <c r="M230" i="11"/>
  <c r="L230" i="11"/>
  <c r="K230" i="11"/>
  <c r="F230" i="11"/>
  <c r="E230" i="11"/>
  <c r="C230" i="11"/>
  <c r="B230" i="11"/>
  <c r="X229" i="11"/>
  <c r="W229" i="11"/>
  <c r="V229" i="11"/>
  <c r="U229" i="11"/>
  <c r="T229" i="11"/>
  <c r="S229" i="11"/>
  <c r="R229" i="11"/>
  <c r="Q229" i="11"/>
  <c r="P229" i="11"/>
  <c r="O229" i="11"/>
  <c r="N229" i="11"/>
  <c r="M229" i="11"/>
  <c r="L229" i="11"/>
  <c r="K229" i="11"/>
  <c r="F229" i="11"/>
  <c r="E229" i="11"/>
  <c r="C229" i="11"/>
  <c r="B229" i="11"/>
  <c r="X228" i="11"/>
  <c r="W228" i="11"/>
  <c r="V228" i="11"/>
  <c r="U228" i="11"/>
  <c r="T228" i="11"/>
  <c r="S228" i="11"/>
  <c r="R228" i="11"/>
  <c r="Q228" i="11"/>
  <c r="P228" i="11"/>
  <c r="O228" i="11"/>
  <c r="N228" i="11"/>
  <c r="M228" i="11"/>
  <c r="L228" i="11"/>
  <c r="K228" i="11"/>
  <c r="F228" i="11"/>
  <c r="E228" i="11"/>
  <c r="C228" i="11"/>
  <c r="B228" i="11"/>
  <c r="X227" i="11"/>
  <c r="W227" i="11"/>
  <c r="V227" i="11"/>
  <c r="U227" i="11"/>
  <c r="T227" i="11"/>
  <c r="S227" i="11"/>
  <c r="R227" i="11"/>
  <c r="Q227" i="11"/>
  <c r="P227" i="11"/>
  <c r="O227" i="11"/>
  <c r="N227" i="11"/>
  <c r="M227" i="11"/>
  <c r="L227" i="11"/>
  <c r="K227" i="11"/>
  <c r="F227" i="11"/>
  <c r="E227" i="11"/>
  <c r="C227" i="11"/>
  <c r="B227" i="11"/>
  <c r="X226" i="11"/>
  <c r="W226" i="11"/>
  <c r="V226" i="11"/>
  <c r="U226" i="11"/>
  <c r="T226" i="11"/>
  <c r="S226" i="11"/>
  <c r="R226" i="11"/>
  <c r="Q226" i="11"/>
  <c r="P226" i="11"/>
  <c r="O226" i="11"/>
  <c r="N226" i="11"/>
  <c r="M226" i="11"/>
  <c r="L226" i="11"/>
  <c r="K226" i="11"/>
  <c r="F226" i="11"/>
  <c r="E226" i="11"/>
  <c r="C226" i="11"/>
  <c r="B226" i="11"/>
  <c r="X225" i="11"/>
  <c r="W225" i="11"/>
  <c r="V225" i="11"/>
  <c r="U225" i="11"/>
  <c r="T225" i="11"/>
  <c r="S225" i="11"/>
  <c r="R225" i="11"/>
  <c r="Q225" i="11"/>
  <c r="P225" i="11"/>
  <c r="O225" i="11"/>
  <c r="N225" i="11"/>
  <c r="M225" i="11"/>
  <c r="L225" i="11"/>
  <c r="K225" i="11"/>
  <c r="F225" i="11"/>
  <c r="E225" i="11"/>
  <c r="C225" i="11"/>
  <c r="B225" i="11"/>
  <c r="X224" i="11"/>
  <c r="W224" i="11"/>
  <c r="V224" i="11"/>
  <c r="U224" i="11"/>
  <c r="T224" i="11"/>
  <c r="S224" i="11"/>
  <c r="R224" i="11"/>
  <c r="Q224" i="11"/>
  <c r="P224" i="11"/>
  <c r="O224" i="11"/>
  <c r="N224" i="11"/>
  <c r="M224" i="11"/>
  <c r="L224" i="11"/>
  <c r="K224" i="11"/>
  <c r="F224" i="11"/>
  <c r="E224" i="11"/>
  <c r="C224" i="11"/>
  <c r="B224" i="11"/>
  <c r="X223" i="11"/>
  <c r="W223" i="11"/>
  <c r="V223" i="11"/>
  <c r="U223" i="11"/>
  <c r="T223" i="11"/>
  <c r="S223" i="11"/>
  <c r="R223" i="11"/>
  <c r="Q223" i="11"/>
  <c r="P223" i="11"/>
  <c r="O223" i="11"/>
  <c r="N223" i="11"/>
  <c r="M223" i="11"/>
  <c r="L223" i="11"/>
  <c r="K223" i="11"/>
  <c r="F223" i="11"/>
  <c r="E223" i="11"/>
  <c r="C223" i="11"/>
  <c r="B223" i="11"/>
  <c r="X222" i="11"/>
  <c r="W222" i="11"/>
  <c r="V222" i="11"/>
  <c r="U222" i="11"/>
  <c r="T222" i="11"/>
  <c r="S222" i="11"/>
  <c r="R222" i="11"/>
  <c r="Q222" i="11"/>
  <c r="P222" i="11"/>
  <c r="O222" i="11"/>
  <c r="N222" i="11"/>
  <c r="M222" i="11"/>
  <c r="L222" i="11"/>
  <c r="K222" i="11"/>
  <c r="F222" i="11"/>
  <c r="E222" i="11"/>
  <c r="C222" i="11"/>
  <c r="B222" i="11"/>
  <c r="X221" i="11"/>
  <c r="W221" i="11"/>
  <c r="V221" i="11"/>
  <c r="U221" i="11"/>
  <c r="T221" i="11"/>
  <c r="S221" i="11"/>
  <c r="R221" i="11"/>
  <c r="Q221" i="11"/>
  <c r="P221" i="11"/>
  <c r="O221" i="11"/>
  <c r="N221" i="11"/>
  <c r="M221" i="11"/>
  <c r="L221" i="11"/>
  <c r="K221" i="11"/>
  <c r="F221" i="11"/>
  <c r="E221" i="11"/>
  <c r="C221" i="11"/>
  <c r="B221" i="11"/>
  <c r="X220" i="11"/>
  <c r="W220" i="11"/>
  <c r="V220" i="11"/>
  <c r="U220" i="11"/>
  <c r="T220" i="11"/>
  <c r="S220" i="11"/>
  <c r="R220" i="11"/>
  <c r="Q220" i="11"/>
  <c r="P220" i="11"/>
  <c r="O220" i="11"/>
  <c r="N220" i="11"/>
  <c r="M220" i="11"/>
  <c r="L220" i="11"/>
  <c r="K220" i="11"/>
  <c r="F220" i="11"/>
  <c r="E220" i="11"/>
  <c r="C220" i="11"/>
  <c r="B220" i="11"/>
  <c r="X219" i="11"/>
  <c r="W219" i="11"/>
  <c r="V219" i="11"/>
  <c r="U219" i="11"/>
  <c r="T219" i="11"/>
  <c r="S219" i="11"/>
  <c r="R219" i="11"/>
  <c r="Q219" i="11"/>
  <c r="P219" i="11"/>
  <c r="O219" i="11"/>
  <c r="N219" i="11"/>
  <c r="M219" i="11"/>
  <c r="L219" i="11"/>
  <c r="K219" i="11"/>
  <c r="F219" i="11"/>
  <c r="E219" i="11"/>
  <c r="C219" i="11"/>
  <c r="B219" i="11"/>
  <c r="X218" i="11"/>
  <c r="W218" i="11"/>
  <c r="V218" i="11"/>
  <c r="U218" i="11"/>
  <c r="T218" i="11"/>
  <c r="S218" i="11"/>
  <c r="R218" i="11"/>
  <c r="Q218" i="11"/>
  <c r="P218" i="11"/>
  <c r="O218" i="11"/>
  <c r="N218" i="11"/>
  <c r="M218" i="11"/>
  <c r="L218" i="11"/>
  <c r="K218" i="11"/>
  <c r="F218" i="11"/>
  <c r="E218" i="11"/>
  <c r="C218" i="11"/>
  <c r="B218" i="11"/>
  <c r="X217" i="11"/>
  <c r="W217" i="11"/>
  <c r="V217" i="11"/>
  <c r="U217" i="11"/>
  <c r="T217" i="11"/>
  <c r="S217" i="11"/>
  <c r="R217" i="11"/>
  <c r="Q217" i="11"/>
  <c r="P217" i="11"/>
  <c r="O217" i="11"/>
  <c r="N217" i="11"/>
  <c r="M217" i="11"/>
  <c r="L217" i="11"/>
  <c r="K217" i="11"/>
  <c r="F217" i="11"/>
  <c r="E217" i="11"/>
  <c r="C217" i="11"/>
  <c r="B217" i="11"/>
  <c r="X216" i="11"/>
  <c r="W216" i="11"/>
  <c r="V216" i="11"/>
  <c r="U216" i="11"/>
  <c r="T216" i="11"/>
  <c r="S216" i="11"/>
  <c r="R216" i="11"/>
  <c r="Q216" i="11"/>
  <c r="P216" i="11"/>
  <c r="O216" i="11"/>
  <c r="N216" i="11"/>
  <c r="M216" i="11"/>
  <c r="L216" i="11"/>
  <c r="K216" i="11"/>
  <c r="F216" i="11"/>
  <c r="E216" i="11"/>
  <c r="C216" i="11"/>
  <c r="B216" i="11"/>
  <c r="X215" i="11"/>
  <c r="W215" i="11"/>
  <c r="V215" i="11"/>
  <c r="U215" i="11"/>
  <c r="T215" i="11"/>
  <c r="S215" i="11"/>
  <c r="R215" i="11"/>
  <c r="Q215" i="11"/>
  <c r="P215" i="11"/>
  <c r="O215" i="11"/>
  <c r="N215" i="11"/>
  <c r="M215" i="11"/>
  <c r="L215" i="11"/>
  <c r="K215" i="11"/>
  <c r="F215" i="11"/>
  <c r="E215" i="11"/>
  <c r="C215" i="11"/>
  <c r="B215" i="11"/>
  <c r="X214" i="11"/>
  <c r="W214" i="11"/>
  <c r="V214" i="11"/>
  <c r="U214" i="11"/>
  <c r="T214" i="11"/>
  <c r="S214" i="11"/>
  <c r="R214" i="11"/>
  <c r="Q214" i="11"/>
  <c r="P214" i="11"/>
  <c r="O214" i="11"/>
  <c r="N214" i="11"/>
  <c r="M214" i="11"/>
  <c r="L214" i="11"/>
  <c r="K214" i="11"/>
  <c r="F214" i="11"/>
  <c r="E214" i="11"/>
  <c r="C214" i="11"/>
  <c r="B214" i="11"/>
  <c r="X213" i="11"/>
  <c r="W213" i="11"/>
  <c r="V213" i="11"/>
  <c r="U213" i="11"/>
  <c r="T213" i="11"/>
  <c r="S213" i="11"/>
  <c r="R213" i="11"/>
  <c r="Q213" i="11"/>
  <c r="P213" i="11"/>
  <c r="O213" i="11"/>
  <c r="N213" i="11"/>
  <c r="M213" i="11"/>
  <c r="L213" i="11"/>
  <c r="K213" i="11"/>
  <c r="F213" i="11"/>
  <c r="E213" i="11"/>
  <c r="C213" i="11"/>
  <c r="B213" i="11"/>
  <c r="X212" i="11"/>
  <c r="W212" i="11"/>
  <c r="V212" i="11"/>
  <c r="U212" i="11"/>
  <c r="T212" i="11"/>
  <c r="S212" i="11"/>
  <c r="R212" i="11"/>
  <c r="Q212" i="11"/>
  <c r="P212" i="11"/>
  <c r="O212" i="11"/>
  <c r="N212" i="11"/>
  <c r="M212" i="11"/>
  <c r="L212" i="11"/>
  <c r="K212" i="11"/>
  <c r="F212" i="11"/>
  <c r="E212" i="11"/>
  <c r="C212" i="11"/>
  <c r="B212" i="11"/>
  <c r="X211" i="11"/>
  <c r="W211" i="11"/>
  <c r="V211" i="11"/>
  <c r="U211" i="11"/>
  <c r="T211" i="11"/>
  <c r="S211" i="11"/>
  <c r="R211" i="11"/>
  <c r="Q211" i="11"/>
  <c r="P211" i="11"/>
  <c r="O211" i="11"/>
  <c r="N211" i="11"/>
  <c r="M211" i="11"/>
  <c r="L211" i="11"/>
  <c r="K211" i="11"/>
  <c r="F211" i="11"/>
  <c r="E211" i="11"/>
  <c r="C211" i="11"/>
  <c r="B211" i="11"/>
  <c r="X210" i="11"/>
  <c r="W210" i="11"/>
  <c r="V210" i="11"/>
  <c r="U210" i="11"/>
  <c r="T210" i="11"/>
  <c r="S210" i="11"/>
  <c r="R210" i="11"/>
  <c r="Q210" i="11"/>
  <c r="P210" i="11"/>
  <c r="O210" i="11"/>
  <c r="N210" i="11"/>
  <c r="M210" i="11"/>
  <c r="L210" i="11"/>
  <c r="K210" i="11"/>
  <c r="F210" i="11"/>
  <c r="E210" i="11"/>
  <c r="C210" i="11"/>
  <c r="B210" i="11"/>
  <c r="X209" i="11"/>
  <c r="W209" i="11"/>
  <c r="V209" i="11"/>
  <c r="U209" i="11"/>
  <c r="T209" i="11"/>
  <c r="S209" i="11"/>
  <c r="R209" i="11"/>
  <c r="Q209" i="11"/>
  <c r="P209" i="11"/>
  <c r="O209" i="11"/>
  <c r="N209" i="11"/>
  <c r="M209" i="11"/>
  <c r="L209" i="11"/>
  <c r="K209" i="11"/>
  <c r="F209" i="11"/>
  <c r="E209" i="11"/>
  <c r="C209" i="11"/>
  <c r="B209" i="11"/>
  <c r="X208" i="11"/>
  <c r="W208" i="11"/>
  <c r="V208" i="11"/>
  <c r="U208" i="11"/>
  <c r="T208" i="11"/>
  <c r="S208" i="11"/>
  <c r="R208" i="11"/>
  <c r="Q208" i="11"/>
  <c r="P208" i="11"/>
  <c r="O208" i="11"/>
  <c r="N208" i="11"/>
  <c r="M208" i="11"/>
  <c r="L208" i="11"/>
  <c r="K208" i="11"/>
  <c r="F208" i="11"/>
  <c r="E208" i="11"/>
  <c r="C208" i="11"/>
  <c r="B208" i="11"/>
  <c r="X207" i="11"/>
  <c r="W207" i="11"/>
  <c r="V207" i="11"/>
  <c r="U207" i="11"/>
  <c r="T207" i="11"/>
  <c r="S207" i="11"/>
  <c r="R207" i="11"/>
  <c r="Q207" i="11"/>
  <c r="P207" i="11"/>
  <c r="O207" i="11"/>
  <c r="N207" i="11"/>
  <c r="M207" i="11"/>
  <c r="L207" i="11"/>
  <c r="K207" i="11"/>
  <c r="F207" i="11"/>
  <c r="E207" i="11"/>
  <c r="C207" i="11"/>
  <c r="B207" i="11"/>
  <c r="X206" i="11"/>
  <c r="W206" i="11"/>
  <c r="V206" i="11"/>
  <c r="U206" i="11"/>
  <c r="T206" i="11"/>
  <c r="S206" i="11"/>
  <c r="R206" i="11"/>
  <c r="Q206" i="11"/>
  <c r="P206" i="11"/>
  <c r="O206" i="11"/>
  <c r="N206" i="11"/>
  <c r="M206" i="11"/>
  <c r="L206" i="11"/>
  <c r="K206" i="11"/>
  <c r="F206" i="11"/>
  <c r="E206" i="11"/>
  <c r="C206" i="11"/>
  <c r="B206" i="11"/>
  <c r="X205" i="11"/>
  <c r="W205" i="11"/>
  <c r="V205" i="11"/>
  <c r="U205" i="11"/>
  <c r="T205" i="11"/>
  <c r="S205" i="11"/>
  <c r="R205" i="11"/>
  <c r="Q205" i="11"/>
  <c r="P205" i="11"/>
  <c r="O205" i="11"/>
  <c r="N205" i="11"/>
  <c r="M205" i="11"/>
  <c r="L205" i="11"/>
  <c r="K205" i="11"/>
  <c r="F205" i="11"/>
  <c r="E205" i="11"/>
  <c r="C205" i="11"/>
  <c r="B205" i="11"/>
  <c r="X204" i="11"/>
  <c r="W204" i="11"/>
  <c r="V204" i="11"/>
  <c r="U204" i="11"/>
  <c r="T204" i="11"/>
  <c r="S204" i="11"/>
  <c r="R204" i="11"/>
  <c r="Q204" i="11"/>
  <c r="P204" i="11"/>
  <c r="O204" i="11"/>
  <c r="N204" i="11"/>
  <c r="M204" i="11"/>
  <c r="L204" i="11"/>
  <c r="K204" i="11"/>
  <c r="F204" i="11"/>
  <c r="E204" i="11"/>
  <c r="C204" i="11"/>
  <c r="B204" i="11"/>
  <c r="X203" i="11"/>
  <c r="W203" i="11"/>
  <c r="V203" i="11"/>
  <c r="U203" i="11"/>
  <c r="T203" i="11"/>
  <c r="S203" i="11"/>
  <c r="R203" i="11"/>
  <c r="Q203" i="11"/>
  <c r="P203" i="11"/>
  <c r="O203" i="11"/>
  <c r="N203" i="11"/>
  <c r="M203" i="11"/>
  <c r="L203" i="11"/>
  <c r="K203" i="11"/>
  <c r="F203" i="11"/>
  <c r="E203" i="11"/>
  <c r="C203" i="11"/>
  <c r="B203" i="11"/>
  <c r="X202" i="11"/>
  <c r="W202" i="11"/>
  <c r="V202" i="11"/>
  <c r="U202" i="11"/>
  <c r="T202" i="11"/>
  <c r="S202" i="11"/>
  <c r="R202" i="11"/>
  <c r="Q202" i="11"/>
  <c r="P202" i="11"/>
  <c r="O202" i="11"/>
  <c r="N202" i="11"/>
  <c r="M202" i="11"/>
  <c r="L202" i="11"/>
  <c r="K202" i="11"/>
  <c r="F202" i="11"/>
  <c r="E202" i="11"/>
  <c r="C202" i="11"/>
  <c r="B202" i="11"/>
  <c r="X201" i="11"/>
  <c r="W201" i="11"/>
  <c r="V201" i="11"/>
  <c r="U201" i="11"/>
  <c r="T201" i="11"/>
  <c r="S201" i="11"/>
  <c r="R201" i="11"/>
  <c r="Q201" i="11"/>
  <c r="P201" i="11"/>
  <c r="O201" i="11"/>
  <c r="N201" i="11"/>
  <c r="M201" i="11"/>
  <c r="L201" i="11"/>
  <c r="K201" i="11"/>
  <c r="F201" i="11"/>
  <c r="E201" i="11"/>
  <c r="C201" i="11"/>
  <c r="B201" i="11"/>
  <c r="X200" i="11"/>
  <c r="W200" i="11"/>
  <c r="V200" i="11"/>
  <c r="U200" i="11"/>
  <c r="T200" i="11"/>
  <c r="S200" i="11"/>
  <c r="R200" i="11"/>
  <c r="Q200" i="11"/>
  <c r="P200" i="11"/>
  <c r="O200" i="11"/>
  <c r="N200" i="11"/>
  <c r="M200" i="11"/>
  <c r="L200" i="11"/>
  <c r="K200" i="11"/>
  <c r="F200" i="11"/>
  <c r="E200" i="11"/>
  <c r="C200" i="11"/>
  <c r="B200" i="11"/>
  <c r="X199" i="11"/>
  <c r="W199" i="11"/>
  <c r="V199" i="11"/>
  <c r="U199" i="11"/>
  <c r="T199" i="11"/>
  <c r="S199" i="11"/>
  <c r="R199" i="11"/>
  <c r="Q199" i="11"/>
  <c r="P199" i="11"/>
  <c r="O199" i="11"/>
  <c r="N199" i="11"/>
  <c r="M199" i="11"/>
  <c r="L199" i="11"/>
  <c r="K199" i="11"/>
  <c r="F199" i="11"/>
  <c r="E199" i="11"/>
  <c r="C199" i="11"/>
  <c r="B199" i="11"/>
  <c r="X198" i="11"/>
  <c r="W198" i="11"/>
  <c r="V198" i="11"/>
  <c r="U198" i="11"/>
  <c r="T198" i="11"/>
  <c r="S198" i="11"/>
  <c r="R198" i="11"/>
  <c r="Q198" i="11"/>
  <c r="P198" i="11"/>
  <c r="O198" i="11"/>
  <c r="N198" i="11"/>
  <c r="M198" i="11"/>
  <c r="L198" i="11"/>
  <c r="K198" i="11"/>
  <c r="F198" i="11"/>
  <c r="E198" i="11"/>
  <c r="C198" i="11"/>
  <c r="B198" i="11"/>
  <c r="X197" i="11"/>
  <c r="W197" i="11"/>
  <c r="V197" i="11"/>
  <c r="U197" i="11"/>
  <c r="T197" i="11"/>
  <c r="S197" i="11"/>
  <c r="R197" i="11"/>
  <c r="Q197" i="11"/>
  <c r="P197" i="11"/>
  <c r="O197" i="11"/>
  <c r="N197" i="11"/>
  <c r="M197" i="11"/>
  <c r="L197" i="11"/>
  <c r="K197" i="11"/>
  <c r="F197" i="11"/>
  <c r="E197" i="11"/>
  <c r="C197" i="11"/>
  <c r="B197" i="11"/>
  <c r="X196" i="11"/>
  <c r="W196" i="11"/>
  <c r="V196" i="11"/>
  <c r="U196" i="11"/>
  <c r="T196" i="11"/>
  <c r="S196" i="11"/>
  <c r="R196" i="11"/>
  <c r="Q196" i="11"/>
  <c r="P196" i="11"/>
  <c r="O196" i="11"/>
  <c r="N196" i="11"/>
  <c r="M196" i="11"/>
  <c r="L196" i="11"/>
  <c r="K196" i="11"/>
  <c r="F196" i="11"/>
  <c r="E196" i="11"/>
  <c r="C196" i="11"/>
  <c r="B196" i="11"/>
  <c r="X195" i="11"/>
  <c r="W195" i="11"/>
  <c r="V195" i="11"/>
  <c r="U195" i="11"/>
  <c r="T195" i="11"/>
  <c r="S195" i="11"/>
  <c r="R195" i="11"/>
  <c r="Q195" i="11"/>
  <c r="P195" i="11"/>
  <c r="O195" i="11"/>
  <c r="N195" i="11"/>
  <c r="M195" i="11"/>
  <c r="L195" i="11"/>
  <c r="K195" i="11"/>
  <c r="F195" i="11"/>
  <c r="E195" i="11"/>
  <c r="C195" i="11"/>
  <c r="B195" i="11"/>
  <c r="X194" i="11"/>
  <c r="W194" i="11"/>
  <c r="V194" i="11"/>
  <c r="U194" i="11"/>
  <c r="T194" i="11"/>
  <c r="S194" i="11"/>
  <c r="R194" i="11"/>
  <c r="Q194" i="11"/>
  <c r="P194" i="11"/>
  <c r="O194" i="11"/>
  <c r="N194" i="11"/>
  <c r="M194" i="11"/>
  <c r="L194" i="11"/>
  <c r="K194" i="11"/>
  <c r="F194" i="11"/>
  <c r="E194" i="11"/>
  <c r="C194" i="11"/>
  <c r="B194" i="11"/>
  <c r="X193" i="11"/>
  <c r="W193" i="11"/>
  <c r="V193" i="11"/>
  <c r="U193" i="11"/>
  <c r="T193" i="11"/>
  <c r="S193" i="11"/>
  <c r="R193" i="11"/>
  <c r="Q193" i="11"/>
  <c r="P193" i="11"/>
  <c r="O193" i="11"/>
  <c r="N193" i="11"/>
  <c r="M193" i="11"/>
  <c r="L193" i="11"/>
  <c r="K193" i="11"/>
  <c r="F193" i="11"/>
  <c r="E193" i="11"/>
  <c r="C193" i="11"/>
  <c r="B193" i="11"/>
  <c r="X192" i="11"/>
  <c r="W192" i="11"/>
  <c r="V192" i="11"/>
  <c r="U192" i="11"/>
  <c r="T192" i="11"/>
  <c r="S192" i="11"/>
  <c r="R192" i="11"/>
  <c r="Q192" i="11"/>
  <c r="P192" i="11"/>
  <c r="O192" i="11"/>
  <c r="N192" i="11"/>
  <c r="M192" i="11"/>
  <c r="L192" i="11"/>
  <c r="K192" i="11"/>
  <c r="F192" i="11"/>
  <c r="E192" i="11"/>
  <c r="C192" i="11"/>
  <c r="B192" i="11"/>
  <c r="X191" i="11"/>
  <c r="W191" i="11"/>
  <c r="V191" i="11"/>
  <c r="U191" i="11"/>
  <c r="T191" i="11"/>
  <c r="S191" i="11"/>
  <c r="R191" i="11"/>
  <c r="Q191" i="11"/>
  <c r="P191" i="11"/>
  <c r="O191" i="11"/>
  <c r="N191" i="11"/>
  <c r="M191" i="11"/>
  <c r="L191" i="11"/>
  <c r="K191" i="11"/>
  <c r="F191" i="11"/>
  <c r="E191" i="11"/>
  <c r="C191" i="11"/>
  <c r="B191" i="11"/>
  <c r="X190" i="11"/>
  <c r="W190" i="11"/>
  <c r="V190" i="11"/>
  <c r="U190" i="11"/>
  <c r="T190" i="11"/>
  <c r="S190" i="11"/>
  <c r="R190" i="11"/>
  <c r="Q190" i="11"/>
  <c r="P190" i="11"/>
  <c r="O190" i="11"/>
  <c r="N190" i="11"/>
  <c r="M190" i="11"/>
  <c r="L190" i="11"/>
  <c r="K190" i="11"/>
  <c r="F190" i="11"/>
  <c r="E190" i="11"/>
  <c r="C190" i="11"/>
  <c r="B190" i="11"/>
  <c r="X189" i="11"/>
  <c r="W189" i="11"/>
  <c r="V189" i="11"/>
  <c r="U189" i="11"/>
  <c r="T189" i="11"/>
  <c r="S189" i="11"/>
  <c r="R189" i="11"/>
  <c r="Q189" i="11"/>
  <c r="P189" i="11"/>
  <c r="O189" i="11"/>
  <c r="N189" i="11"/>
  <c r="M189" i="11"/>
  <c r="L189" i="11"/>
  <c r="K189" i="11"/>
  <c r="F189" i="11"/>
  <c r="E189" i="11"/>
  <c r="C189" i="11"/>
  <c r="B189" i="11"/>
  <c r="X188" i="11"/>
  <c r="W188" i="11"/>
  <c r="V188" i="11"/>
  <c r="U188" i="11"/>
  <c r="T188" i="11"/>
  <c r="S188" i="11"/>
  <c r="R188" i="11"/>
  <c r="Q188" i="11"/>
  <c r="P188" i="11"/>
  <c r="O188" i="11"/>
  <c r="N188" i="11"/>
  <c r="M188" i="11"/>
  <c r="L188" i="11"/>
  <c r="K188" i="11"/>
  <c r="F188" i="11"/>
  <c r="E188" i="11"/>
  <c r="C188" i="11"/>
  <c r="B188" i="11"/>
  <c r="X187" i="11"/>
  <c r="W187" i="11"/>
  <c r="V187" i="11"/>
  <c r="U187" i="11"/>
  <c r="T187" i="11"/>
  <c r="S187" i="11"/>
  <c r="R187" i="11"/>
  <c r="Q187" i="11"/>
  <c r="P187" i="11"/>
  <c r="O187" i="11"/>
  <c r="N187" i="11"/>
  <c r="M187" i="11"/>
  <c r="L187" i="11"/>
  <c r="K187" i="11"/>
  <c r="F187" i="11"/>
  <c r="E187" i="11"/>
  <c r="C187" i="11"/>
  <c r="B187" i="11"/>
  <c r="X186" i="11"/>
  <c r="W186" i="11"/>
  <c r="V186" i="11"/>
  <c r="U186" i="11"/>
  <c r="T186" i="11"/>
  <c r="S186" i="11"/>
  <c r="R186" i="11"/>
  <c r="Q186" i="11"/>
  <c r="P186" i="11"/>
  <c r="O186" i="11"/>
  <c r="N186" i="11"/>
  <c r="M186" i="11"/>
  <c r="L186" i="11"/>
  <c r="K186" i="11"/>
  <c r="F186" i="11"/>
  <c r="E186" i="11"/>
  <c r="C186" i="11"/>
  <c r="B186" i="11"/>
  <c r="X185" i="11"/>
  <c r="W185" i="11"/>
  <c r="V185" i="11"/>
  <c r="U185" i="11"/>
  <c r="T185" i="11"/>
  <c r="S185" i="11"/>
  <c r="R185" i="11"/>
  <c r="Q185" i="11"/>
  <c r="P185" i="11"/>
  <c r="O185" i="11"/>
  <c r="N185" i="11"/>
  <c r="M185" i="11"/>
  <c r="L185" i="11"/>
  <c r="K185" i="11"/>
  <c r="F185" i="11"/>
  <c r="E185" i="11"/>
  <c r="C185" i="11"/>
  <c r="B185" i="11"/>
  <c r="X184" i="11"/>
  <c r="W184" i="11"/>
  <c r="V184" i="11"/>
  <c r="U184" i="11"/>
  <c r="T184" i="11"/>
  <c r="S184" i="11"/>
  <c r="R184" i="11"/>
  <c r="Q184" i="11"/>
  <c r="P184" i="11"/>
  <c r="O184" i="11"/>
  <c r="N184" i="11"/>
  <c r="M184" i="11"/>
  <c r="L184" i="11"/>
  <c r="K184" i="11"/>
  <c r="F184" i="11"/>
  <c r="E184" i="11"/>
  <c r="C184" i="11"/>
  <c r="B184" i="11"/>
  <c r="X183" i="11"/>
  <c r="W183" i="11"/>
  <c r="V183" i="11"/>
  <c r="U183" i="11"/>
  <c r="T183" i="11"/>
  <c r="S183" i="11"/>
  <c r="R183" i="11"/>
  <c r="Q183" i="11"/>
  <c r="P183" i="11"/>
  <c r="O183" i="11"/>
  <c r="N183" i="11"/>
  <c r="M183" i="11"/>
  <c r="L183" i="11"/>
  <c r="K183" i="11"/>
  <c r="F183" i="11"/>
  <c r="E183" i="11"/>
  <c r="C183" i="11"/>
  <c r="B183" i="11"/>
  <c r="X182" i="11"/>
  <c r="W182" i="11"/>
  <c r="V182" i="11"/>
  <c r="U182" i="11"/>
  <c r="T182" i="11"/>
  <c r="S182" i="11"/>
  <c r="R182" i="11"/>
  <c r="Q182" i="11"/>
  <c r="P182" i="11"/>
  <c r="O182" i="11"/>
  <c r="N182" i="11"/>
  <c r="M182" i="11"/>
  <c r="L182" i="11"/>
  <c r="K182" i="11"/>
  <c r="F182" i="11"/>
  <c r="E182" i="11"/>
  <c r="C182" i="11"/>
  <c r="B182" i="11"/>
  <c r="X181" i="11"/>
  <c r="W181" i="11"/>
  <c r="V181" i="11"/>
  <c r="U181" i="11"/>
  <c r="T181" i="11"/>
  <c r="S181" i="11"/>
  <c r="R181" i="11"/>
  <c r="Q181" i="11"/>
  <c r="P181" i="11"/>
  <c r="O181" i="11"/>
  <c r="N181" i="11"/>
  <c r="M181" i="11"/>
  <c r="L181" i="11"/>
  <c r="K181" i="11"/>
  <c r="F181" i="11"/>
  <c r="E181" i="11"/>
  <c r="C181" i="11"/>
  <c r="B181" i="11"/>
  <c r="X180" i="11"/>
  <c r="W180" i="11"/>
  <c r="V180" i="11"/>
  <c r="U180" i="11"/>
  <c r="T180" i="11"/>
  <c r="S180" i="11"/>
  <c r="R180" i="11"/>
  <c r="Q180" i="11"/>
  <c r="P180" i="11"/>
  <c r="O180" i="11"/>
  <c r="N180" i="11"/>
  <c r="M180" i="11"/>
  <c r="L180" i="11"/>
  <c r="K180" i="11"/>
  <c r="F180" i="11"/>
  <c r="E180" i="11"/>
  <c r="C180" i="11"/>
  <c r="B180" i="11"/>
  <c r="X179" i="11"/>
  <c r="W179" i="11"/>
  <c r="V179" i="11"/>
  <c r="U179" i="11"/>
  <c r="T179" i="11"/>
  <c r="S179" i="11"/>
  <c r="R179" i="11"/>
  <c r="Q179" i="11"/>
  <c r="P179" i="11"/>
  <c r="O179" i="11"/>
  <c r="N179" i="11"/>
  <c r="M179" i="11"/>
  <c r="L179" i="11"/>
  <c r="K179" i="11"/>
  <c r="F179" i="11"/>
  <c r="E179" i="11"/>
  <c r="C179" i="11"/>
  <c r="B179" i="11"/>
  <c r="X178" i="11"/>
  <c r="W178" i="11"/>
  <c r="V178" i="11"/>
  <c r="U178" i="11"/>
  <c r="T178" i="11"/>
  <c r="S178" i="11"/>
  <c r="R178" i="11"/>
  <c r="Q178" i="11"/>
  <c r="P178" i="11"/>
  <c r="O178" i="11"/>
  <c r="N178" i="11"/>
  <c r="M178" i="11"/>
  <c r="L178" i="11"/>
  <c r="K178" i="11"/>
  <c r="F178" i="11"/>
  <c r="E178" i="11"/>
  <c r="C178" i="11"/>
  <c r="B178" i="11"/>
  <c r="X177" i="11"/>
  <c r="W177" i="11"/>
  <c r="V177" i="11"/>
  <c r="U177" i="11"/>
  <c r="T177" i="11"/>
  <c r="S177" i="11"/>
  <c r="R177" i="11"/>
  <c r="Q177" i="11"/>
  <c r="P177" i="11"/>
  <c r="O177" i="11"/>
  <c r="N177" i="11"/>
  <c r="M177" i="11"/>
  <c r="L177" i="11"/>
  <c r="K177" i="11"/>
  <c r="F177" i="11"/>
  <c r="E177" i="11"/>
  <c r="C177" i="11"/>
  <c r="B177" i="11"/>
  <c r="X176" i="11"/>
  <c r="W176" i="11"/>
  <c r="V176" i="11"/>
  <c r="U176" i="11"/>
  <c r="T176" i="11"/>
  <c r="S176" i="11"/>
  <c r="R176" i="11"/>
  <c r="Q176" i="11"/>
  <c r="P176" i="11"/>
  <c r="O176" i="11"/>
  <c r="N176" i="11"/>
  <c r="M176" i="11"/>
  <c r="L176" i="11"/>
  <c r="K176" i="11"/>
  <c r="F176" i="11"/>
  <c r="E176" i="11"/>
  <c r="C176" i="11"/>
  <c r="B176" i="11"/>
  <c r="X175" i="11"/>
  <c r="W175" i="11"/>
  <c r="V175" i="11"/>
  <c r="U175" i="11"/>
  <c r="T175" i="11"/>
  <c r="S175" i="11"/>
  <c r="R175" i="11"/>
  <c r="Q175" i="11"/>
  <c r="P175" i="11"/>
  <c r="O175" i="11"/>
  <c r="N175" i="11"/>
  <c r="M175" i="11"/>
  <c r="L175" i="11"/>
  <c r="K175" i="11"/>
  <c r="F175" i="11"/>
  <c r="E175" i="11"/>
  <c r="C175" i="11"/>
  <c r="B175" i="11"/>
  <c r="X174" i="11"/>
  <c r="W174" i="11"/>
  <c r="V174" i="11"/>
  <c r="U174" i="11"/>
  <c r="T174" i="11"/>
  <c r="S174" i="11"/>
  <c r="R174" i="11"/>
  <c r="Q174" i="11"/>
  <c r="P174" i="11"/>
  <c r="O174" i="11"/>
  <c r="N174" i="11"/>
  <c r="M174" i="11"/>
  <c r="L174" i="11"/>
  <c r="K174" i="11"/>
  <c r="F174" i="11"/>
  <c r="E174" i="11"/>
  <c r="C174" i="11"/>
  <c r="B174" i="11"/>
  <c r="X173" i="11"/>
  <c r="W173" i="11"/>
  <c r="V173" i="11"/>
  <c r="U173" i="11"/>
  <c r="T173" i="11"/>
  <c r="S173" i="11"/>
  <c r="R173" i="11"/>
  <c r="Q173" i="11"/>
  <c r="P173" i="11"/>
  <c r="O173" i="11"/>
  <c r="N173" i="11"/>
  <c r="M173" i="11"/>
  <c r="L173" i="11"/>
  <c r="K173" i="11"/>
  <c r="F173" i="11"/>
  <c r="E173" i="11"/>
  <c r="C173" i="11"/>
  <c r="B173" i="11"/>
  <c r="X172" i="11"/>
  <c r="W172" i="11"/>
  <c r="V172" i="11"/>
  <c r="U172" i="11"/>
  <c r="T172" i="11"/>
  <c r="S172" i="11"/>
  <c r="R172" i="11"/>
  <c r="Q172" i="11"/>
  <c r="P172" i="11"/>
  <c r="O172" i="11"/>
  <c r="N172" i="11"/>
  <c r="M172" i="11"/>
  <c r="L172" i="11"/>
  <c r="K172" i="11"/>
  <c r="F172" i="11"/>
  <c r="E172" i="11"/>
  <c r="C172" i="11"/>
  <c r="B172" i="11"/>
  <c r="X171" i="11"/>
  <c r="W171" i="11"/>
  <c r="V171" i="11"/>
  <c r="U171" i="11"/>
  <c r="T171" i="11"/>
  <c r="S171" i="11"/>
  <c r="R171" i="11"/>
  <c r="Q171" i="11"/>
  <c r="P171" i="11"/>
  <c r="O171" i="11"/>
  <c r="N171" i="11"/>
  <c r="M171" i="11"/>
  <c r="L171" i="11"/>
  <c r="K171" i="11"/>
  <c r="F171" i="11"/>
  <c r="E171" i="11"/>
  <c r="C171" i="11"/>
  <c r="B171" i="11"/>
  <c r="X170" i="11"/>
  <c r="W170" i="11"/>
  <c r="V170" i="11"/>
  <c r="U170" i="11"/>
  <c r="T170" i="11"/>
  <c r="S170" i="11"/>
  <c r="R170" i="11"/>
  <c r="Q170" i="11"/>
  <c r="P170" i="11"/>
  <c r="O170" i="11"/>
  <c r="N170" i="11"/>
  <c r="M170" i="11"/>
  <c r="L170" i="11"/>
  <c r="K170" i="11"/>
  <c r="F170" i="11"/>
  <c r="E170" i="11"/>
  <c r="C170" i="11"/>
  <c r="B170" i="11"/>
  <c r="X169" i="11"/>
  <c r="W169" i="11"/>
  <c r="V169" i="11"/>
  <c r="U169" i="11"/>
  <c r="T169" i="11"/>
  <c r="S169" i="11"/>
  <c r="R169" i="11"/>
  <c r="Q169" i="11"/>
  <c r="P169" i="11"/>
  <c r="O169" i="11"/>
  <c r="N169" i="11"/>
  <c r="M169" i="11"/>
  <c r="L169" i="11"/>
  <c r="K169" i="11"/>
  <c r="F169" i="11"/>
  <c r="E169" i="11"/>
  <c r="C169" i="11"/>
  <c r="B169" i="11"/>
  <c r="X168" i="11"/>
  <c r="W168" i="11"/>
  <c r="V168" i="11"/>
  <c r="U168" i="11"/>
  <c r="T168" i="11"/>
  <c r="S168" i="11"/>
  <c r="R168" i="11"/>
  <c r="Q168" i="11"/>
  <c r="P168" i="11"/>
  <c r="O168" i="11"/>
  <c r="N168" i="11"/>
  <c r="M168" i="11"/>
  <c r="L168" i="11"/>
  <c r="K168" i="11"/>
  <c r="F168" i="11"/>
  <c r="E168" i="11"/>
  <c r="C168" i="11"/>
  <c r="B168" i="11"/>
  <c r="X167" i="11"/>
  <c r="W167" i="11"/>
  <c r="V167" i="11"/>
  <c r="U167" i="11"/>
  <c r="T167" i="11"/>
  <c r="S167" i="11"/>
  <c r="R167" i="11"/>
  <c r="Q167" i="11"/>
  <c r="P167" i="11"/>
  <c r="O167" i="11"/>
  <c r="N167" i="11"/>
  <c r="M167" i="11"/>
  <c r="L167" i="11"/>
  <c r="K167" i="11"/>
  <c r="F167" i="11"/>
  <c r="E167" i="11"/>
  <c r="C167" i="11"/>
  <c r="B167" i="11"/>
  <c r="X166" i="11"/>
  <c r="W166" i="11"/>
  <c r="V166" i="11"/>
  <c r="U166" i="11"/>
  <c r="T166" i="11"/>
  <c r="S166" i="11"/>
  <c r="R166" i="11"/>
  <c r="Q166" i="11"/>
  <c r="P166" i="11"/>
  <c r="O166" i="11"/>
  <c r="N166" i="11"/>
  <c r="M166" i="11"/>
  <c r="L166" i="11"/>
  <c r="K166" i="11"/>
  <c r="F166" i="11"/>
  <c r="E166" i="11"/>
  <c r="C166" i="11"/>
  <c r="B166" i="11"/>
  <c r="X165" i="11"/>
  <c r="W165" i="11"/>
  <c r="V165" i="11"/>
  <c r="U165" i="11"/>
  <c r="T165" i="11"/>
  <c r="S165" i="11"/>
  <c r="R165" i="11"/>
  <c r="Q165" i="11"/>
  <c r="P165" i="11"/>
  <c r="O165" i="11"/>
  <c r="N165" i="11"/>
  <c r="M165" i="11"/>
  <c r="L165" i="11"/>
  <c r="K165" i="11"/>
  <c r="F165" i="11"/>
  <c r="E165" i="11"/>
  <c r="C165" i="11"/>
  <c r="B165" i="11"/>
  <c r="X164" i="11"/>
  <c r="W164" i="11"/>
  <c r="V164" i="11"/>
  <c r="U164" i="11"/>
  <c r="T164" i="11"/>
  <c r="S164" i="11"/>
  <c r="R164" i="11"/>
  <c r="Q164" i="11"/>
  <c r="P164" i="11"/>
  <c r="O164" i="11"/>
  <c r="N164" i="11"/>
  <c r="M164" i="11"/>
  <c r="L164" i="11"/>
  <c r="K164" i="11"/>
  <c r="F164" i="11"/>
  <c r="E164" i="11"/>
  <c r="C164" i="11"/>
  <c r="B164" i="11"/>
  <c r="X163" i="11"/>
  <c r="W163" i="11"/>
  <c r="V163" i="11"/>
  <c r="U163" i="11"/>
  <c r="T163" i="11"/>
  <c r="S163" i="11"/>
  <c r="R163" i="11"/>
  <c r="Q163" i="11"/>
  <c r="P163" i="11"/>
  <c r="O163" i="11"/>
  <c r="N163" i="11"/>
  <c r="M163" i="11"/>
  <c r="L163" i="11"/>
  <c r="K163" i="11"/>
  <c r="F163" i="11"/>
  <c r="E163" i="11"/>
  <c r="C163" i="11"/>
  <c r="B163" i="11"/>
  <c r="X162" i="11"/>
  <c r="W162" i="11"/>
  <c r="V162" i="11"/>
  <c r="U162" i="11"/>
  <c r="T162" i="11"/>
  <c r="S162" i="11"/>
  <c r="R162" i="11"/>
  <c r="Q162" i="11"/>
  <c r="P162" i="11"/>
  <c r="O162" i="11"/>
  <c r="N162" i="11"/>
  <c r="M162" i="11"/>
  <c r="L162" i="11"/>
  <c r="K162" i="11"/>
  <c r="F162" i="11"/>
  <c r="E162" i="11"/>
  <c r="C162" i="11"/>
  <c r="B162" i="11"/>
  <c r="X161" i="11"/>
  <c r="W161" i="11"/>
  <c r="V161" i="11"/>
  <c r="U161" i="11"/>
  <c r="T161" i="11"/>
  <c r="S161" i="11"/>
  <c r="R161" i="11"/>
  <c r="Q161" i="11"/>
  <c r="P161" i="11"/>
  <c r="O161" i="11"/>
  <c r="N161" i="11"/>
  <c r="M161" i="11"/>
  <c r="L161" i="11"/>
  <c r="K161" i="11"/>
  <c r="F161" i="11"/>
  <c r="E161" i="11"/>
  <c r="C161" i="11"/>
  <c r="B161" i="11"/>
  <c r="X160" i="11"/>
  <c r="C160" i="11"/>
  <c r="B160" i="11"/>
  <c r="X159" i="11"/>
  <c r="C159" i="11"/>
  <c r="B159" i="11"/>
  <c r="X158" i="11"/>
  <c r="C158" i="11"/>
  <c r="B158" i="11"/>
  <c r="X157" i="11"/>
  <c r="C157" i="11"/>
  <c r="B157" i="11"/>
  <c r="X156" i="11"/>
  <c r="C156" i="11"/>
  <c r="B156" i="11"/>
  <c r="X155" i="11"/>
  <c r="C155" i="11"/>
  <c r="B155" i="11"/>
  <c r="X154" i="11"/>
  <c r="C154" i="11"/>
  <c r="B154" i="11"/>
  <c r="X153" i="11"/>
  <c r="C153" i="11"/>
  <c r="B153" i="11"/>
  <c r="X152" i="11"/>
  <c r="C152" i="11"/>
  <c r="B152" i="11"/>
  <c r="X151" i="11"/>
  <c r="C151" i="11"/>
  <c r="B151" i="11"/>
  <c r="X150" i="11"/>
  <c r="C150" i="11"/>
  <c r="B150" i="11"/>
  <c r="X149" i="11"/>
  <c r="C149" i="11"/>
  <c r="B149" i="11"/>
  <c r="X148" i="11"/>
  <c r="C148" i="11"/>
  <c r="B148" i="11"/>
  <c r="X147" i="11"/>
  <c r="C147" i="11"/>
  <c r="B147" i="11"/>
  <c r="X146" i="11"/>
  <c r="C146" i="11"/>
  <c r="B146" i="11"/>
  <c r="X145" i="11"/>
  <c r="C145" i="11"/>
  <c r="B145" i="11"/>
  <c r="X144" i="11"/>
  <c r="C144" i="11"/>
  <c r="B144" i="11"/>
  <c r="X143" i="11"/>
  <c r="C143" i="11"/>
  <c r="B143" i="11"/>
  <c r="X142" i="11"/>
  <c r="C142" i="11"/>
  <c r="B142" i="11"/>
  <c r="X141" i="11"/>
  <c r="C141" i="11"/>
  <c r="B141" i="11"/>
  <c r="X140" i="11"/>
  <c r="C140" i="11"/>
  <c r="B140" i="11"/>
  <c r="X139" i="11"/>
  <c r="C139" i="11"/>
  <c r="B139" i="11"/>
  <c r="X138" i="11"/>
  <c r="C138" i="11"/>
  <c r="B138" i="11"/>
  <c r="X137" i="11"/>
  <c r="C137" i="11"/>
  <c r="B137" i="11"/>
  <c r="X136" i="11"/>
  <c r="C136" i="11"/>
  <c r="B136" i="11"/>
  <c r="X135" i="11"/>
  <c r="C135" i="11"/>
  <c r="B135" i="11"/>
  <c r="X134" i="11"/>
  <c r="C134" i="11"/>
  <c r="B134" i="11"/>
  <c r="X133" i="11"/>
  <c r="C133" i="11"/>
  <c r="B133" i="11"/>
  <c r="X132" i="11"/>
  <c r="C132" i="11"/>
  <c r="B132" i="11"/>
  <c r="X131" i="11"/>
  <c r="C131" i="11"/>
  <c r="B131" i="11"/>
  <c r="X130" i="11"/>
  <c r="C130" i="11"/>
  <c r="B130" i="11"/>
  <c r="X129" i="11"/>
  <c r="C129" i="11"/>
  <c r="B129" i="11"/>
  <c r="X128" i="11"/>
  <c r="C128" i="11"/>
  <c r="B128" i="11"/>
  <c r="X127" i="11"/>
  <c r="C127" i="11"/>
  <c r="B127" i="11"/>
  <c r="X126" i="11"/>
  <c r="C126" i="11"/>
  <c r="B126" i="11"/>
  <c r="X125" i="11"/>
  <c r="C125" i="11"/>
  <c r="B125" i="11"/>
  <c r="X124" i="11"/>
  <c r="C124" i="11"/>
  <c r="B124" i="11"/>
  <c r="X123" i="11"/>
  <c r="C123" i="11"/>
  <c r="B123" i="11"/>
  <c r="X122" i="11"/>
  <c r="C122" i="11"/>
  <c r="B122" i="11"/>
  <c r="X121" i="11"/>
  <c r="C121" i="11"/>
  <c r="B121" i="11"/>
  <c r="X120" i="11"/>
  <c r="C120" i="11"/>
  <c r="B120" i="11"/>
  <c r="X119" i="11"/>
  <c r="C119" i="11"/>
  <c r="B119" i="11"/>
  <c r="X118" i="11"/>
  <c r="C118" i="11"/>
  <c r="B118" i="11"/>
  <c r="X117" i="11"/>
  <c r="C117" i="11"/>
  <c r="B117" i="11"/>
  <c r="X116" i="11"/>
  <c r="C116" i="11"/>
  <c r="B116" i="11"/>
  <c r="X115" i="11"/>
  <c r="C115" i="11"/>
  <c r="B115" i="11"/>
  <c r="X114" i="11"/>
  <c r="C114" i="11"/>
  <c r="B114" i="11"/>
  <c r="X113" i="11"/>
  <c r="C113" i="11"/>
  <c r="B113" i="11"/>
  <c r="X112" i="11"/>
  <c r="C112" i="11"/>
  <c r="B112" i="11"/>
  <c r="X111" i="11"/>
  <c r="C111" i="11"/>
  <c r="B111" i="11"/>
  <c r="X110" i="11"/>
  <c r="C110" i="11"/>
  <c r="B110" i="11"/>
  <c r="X109" i="11"/>
  <c r="C109" i="11"/>
  <c r="B109" i="11"/>
  <c r="X108" i="11"/>
  <c r="C108" i="11"/>
  <c r="B108" i="11"/>
  <c r="X107" i="11"/>
  <c r="C107" i="11"/>
  <c r="B107" i="11"/>
  <c r="X106" i="11"/>
  <c r="C106" i="11"/>
  <c r="B106" i="11"/>
  <c r="X105" i="11"/>
  <c r="C105" i="11"/>
  <c r="B105" i="11"/>
  <c r="X104" i="11"/>
  <c r="C104" i="11"/>
  <c r="B104" i="11"/>
  <c r="X103" i="11"/>
  <c r="C103" i="11"/>
  <c r="B103" i="11"/>
  <c r="X102" i="11"/>
  <c r="C102" i="11"/>
  <c r="B102" i="11"/>
  <c r="X101" i="11"/>
  <c r="C101" i="11"/>
  <c r="B101" i="11"/>
  <c r="X100" i="11"/>
  <c r="C100" i="11"/>
  <c r="B100" i="11"/>
  <c r="X99" i="11"/>
  <c r="C99" i="11"/>
  <c r="B99" i="11"/>
  <c r="X98" i="11"/>
  <c r="C98" i="11"/>
  <c r="B98" i="11"/>
  <c r="X97" i="11"/>
  <c r="C97" i="11"/>
  <c r="B97" i="11"/>
  <c r="X96" i="11"/>
  <c r="W96" i="11"/>
  <c r="C96" i="11"/>
  <c r="B96" i="11"/>
  <c r="X95" i="11"/>
  <c r="W95" i="11"/>
  <c r="C95" i="11"/>
  <c r="B95" i="11"/>
  <c r="X94" i="11"/>
  <c r="W94" i="11"/>
  <c r="V94" i="11"/>
  <c r="C94" i="11"/>
  <c r="B94" i="11"/>
  <c r="X93" i="11"/>
  <c r="W93" i="11"/>
  <c r="V93" i="11"/>
  <c r="C93" i="11"/>
  <c r="B93" i="11"/>
  <c r="X92" i="11"/>
  <c r="W92" i="11"/>
  <c r="V92" i="11"/>
  <c r="C92" i="11"/>
  <c r="B92" i="11"/>
  <c r="X91" i="11"/>
  <c r="W91" i="11"/>
  <c r="V91" i="11"/>
  <c r="C91" i="11"/>
  <c r="B91" i="11"/>
  <c r="X90" i="11"/>
  <c r="W90" i="11"/>
  <c r="V90" i="11"/>
  <c r="C90" i="11"/>
  <c r="B90" i="11"/>
  <c r="X89" i="11"/>
  <c r="W89" i="11"/>
  <c r="V89" i="11"/>
  <c r="C89" i="11"/>
  <c r="B89" i="11"/>
  <c r="X88" i="11"/>
  <c r="W88" i="11"/>
  <c r="V88" i="11"/>
  <c r="C88" i="11"/>
  <c r="B88" i="11"/>
  <c r="X87" i="11"/>
  <c r="W87" i="11"/>
  <c r="V87" i="11"/>
  <c r="C87" i="11"/>
  <c r="B87" i="11"/>
  <c r="X86" i="11"/>
  <c r="W86" i="11"/>
  <c r="V86" i="11"/>
  <c r="C86" i="11"/>
  <c r="B86" i="11"/>
  <c r="X85" i="11"/>
  <c r="W85" i="11"/>
  <c r="V85" i="11"/>
  <c r="C85" i="11"/>
  <c r="B85" i="11"/>
  <c r="X84" i="11"/>
  <c r="W84" i="11"/>
  <c r="V84" i="11"/>
  <c r="C84" i="11"/>
  <c r="B84" i="11"/>
  <c r="X83" i="11"/>
  <c r="W83" i="11"/>
  <c r="V83" i="11"/>
  <c r="C83" i="11"/>
  <c r="B83" i="11"/>
  <c r="X82" i="11"/>
  <c r="W82" i="11"/>
  <c r="V82" i="11"/>
  <c r="C82" i="11"/>
  <c r="B82" i="11"/>
  <c r="X81" i="11"/>
  <c r="W81" i="11"/>
  <c r="V81" i="11"/>
  <c r="C81" i="11"/>
  <c r="B81" i="11"/>
  <c r="X80" i="11"/>
  <c r="W80" i="11"/>
  <c r="V80" i="11"/>
  <c r="C80" i="11"/>
  <c r="B80" i="11"/>
  <c r="X79" i="11"/>
  <c r="W79" i="11"/>
  <c r="V79" i="11"/>
  <c r="C79" i="11"/>
  <c r="B79" i="11"/>
  <c r="X78" i="11"/>
  <c r="W78" i="11"/>
  <c r="V78" i="11"/>
  <c r="C78" i="11"/>
  <c r="B78" i="11"/>
  <c r="X77" i="11"/>
  <c r="W77" i="11"/>
  <c r="V77" i="11"/>
  <c r="L77" i="11"/>
  <c r="C77" i="11"/>
  <c r="B77" i="11"/>
  <c r="X76" i="11"/>
  <c r="W76" i="11"/>
  <c r="V76" i="11"/>
  <c r="L76" i="11"/>
  <c r="C76" i="11"/>
  <c r="B76" i="11"/>
  <c r="X75" i="11"/>
  <c r="W75" i="11"/>
  <c r="V75" i="11"/>
  <c r="L75" i="11"/>
  <c r="C75" i="11"/>
  <c r="B75" i="11"/>
  <c r="X74" i="11"/>
  <c r="W74" i="11"/>
  <c r="V74" i="11"/>
  <c r="L74" i="11"/>
  <c r="C74" i="11"/>
  <c r="B74" i="11"/>
  <c r="X73" i="11"/>
  <c r="W73" i="11"/>
  <c r="V73" i="11"/>
  <c r="L73" i="11"/>
  <c r="C73" i="11"/>
  <c r="B73" i="11"/>
  <c r="X72" i="11"/>
  <c r="W72" i="11"/>
  <c r="V72" i="11"/>
  <c r="L72" i="11"/>
  <c r="C72" i="11"/>
  <c r="B72" i="11"/>
  <c r="X71" i="11"/>
  <c r="W71" i="11"/>
  <c r="V71" i="11"/>
  <c r="L71" i="11"/>
  <c r="C71" i="11"/>
  <c r="B71" i="11"/>
  <c r="X70" i="11"/>
  <c r="W70" i="11"/>
  <c r="V70" i="11"/>
  <c r="L70" i="11"/>
  <c r="C70" i="11"/>
  <c r="B70" i="11"/>
  <c r="X69" i="11"/>
  <c r="W69" i="11"/>
  <c r="V69" i="11"/>
  <c r="L69" i="11"/>
  <c r="C69" i="11"/>
  <c r="B69" i="11"/>
  <c r="X68" i="11"/>
  <c r="W68" i="11"/>
  <c r="V68" i="11"/>
  <c r="L68" i="11"/>
  <c r="C68" i="11"/>
  <c r="B68" i="11"/>
  <c r="X67" i="11"/>
  <c r="W67" i="11"/>
  <c r="V67" i="11"/>
  <c r="L67" i="11"/>
  <c r="C67" i="11"/>
  <c r="B67" i="11"/>
  <c r="X66" i="11"/>
  <c r="W66" i="11"/>
  <c r="V66" i="11"/>
  <c r="L66" i="11"/>
  <c r="C66" i="11"/>
  <c r="B66" i="11"/>
  <c r="X65" i="11"/>
  <c r="W65" i="11"/>
  <c r="V65" i="11"/>
  <c r="L65" i="11"/>
  <c r="C65" i="11"/>
  <c r="B65" i="11"/>
  <c r="X64" i="11"/>
  <c r="W64" i="11"/>
  <c r="V64" i="11"/>
  <c r="L64" i="11"/>
  <c r="C64" i="11"/>
  <c r="B64" i="11"/>
  <c r="X63" i="11"/>
  <c r="W63" i="11"/>
  <c r="V63" i="11"/>
  <c r="L63" i="11"/>
  <c r="C63" i="11"/>
  <c r="B63" i="11"/>
  <c r="X62" i="11"/>
  <c r="W62" i="11"/>
  <c r="V62" i="11"/>
  <c r="L62" i="11"/>
  <c r="C62" i="11"/>
  <c r="B62" i="11"/>
  <c r="X61" i="11"/>
  <c r="W61" i="11"/>
  <c r="V61" i="11"/>
  <c r="S61" i="11"/>
  <c r="L61" i="11"/>
  <c r="C61" i="11"/>
  <c r="B61" i="11"/>
  <c r="X60" i="11"/>
  <c r="W60" i="11"/>
  <c r="V60" i="11"/>
  <c r="S60" i="11"/>
  <c r="L60" i="11"/>
  <c r="C60" i="11"/>
  <c r="B60" i="11"/>
  <c r="X59" i="11"/>
  <c r="W59" i="11"/>
  <c r="V59" i="11"/>
  <c r="S59" i="11"/>
  <c r="L59" i="11"/>
  <c r="C59" i="11"/>
  <c r="B59" i="11"/>
  <c r="X58" i="11"/>
  <c r="W58" i="11"/>
  <c r="V58" i="11"/>
  <c r="S58" i="11"/>
  <c r="L58" i="11"/>
  <c r="C58" i="11"/>
  <c r="B58" i="11"/>
  <c r="X57" i="11"/>
  <c r="W57" i="11"/>
  <c r="V57" i="11"/>
  <c r="S57" i="11"/>
  <c r="L57" i="11"/>
  <c r="C57" i="11"/>
  <c r="B57" i="11"/>
  <c r="X56" i="11"/>
  <c r="W56" i="11"/>
  <c r="V56" i="11"/>
  <c r="S56" i="11"/>
  <c r="L56" i="11"/>
  <c r="C56" i="11"/>
  <c r="B56" i="11"/>
  <c r="X55" i="11"/>
  <c r="W55" i="11"/>
  <c r="V55" i="11"/>
  <c r="S55" i="11"/>
  <c r="L55" i="11"/>
  <c r="C55" i="11"/>
  <c r="B55" i="11"/>
  <c r="X54" i="11"/>
  <c r="W54" i="11"/>
  <c r="V54" i="11"/>
  <c r="S54" i="11"/>
  <c r="L54" i="11"/>
  <c r="C54" i="11"/>
  <c r="B54" i="11"/>
  <c r="X53" i="11"/>
  <c r="W53" i="11"/>
  <c r="V53" i="11"/>
  <c r="S53" i="11"/>
  <c r="L53" i="11"/>
  <c r="C53" i="11"/>
  <c r="B53" i="11"/>
  <c r="X52" i="11"/>
  <c r="W52" i="11"/>
  <c r="V52" i="11"/>
  <c r="S52" i="11"/>
  <c r="L52" i="11"/>
  <c r="C52" i="11"/>
  <c r="B52" i="11"/>
  <c r="X51" i="11"/>
  <c r="W51" i="11"/>
  <c r="V51" i="11"/>
  <c r="S51" i="11"/>
  <c r="L51" i="11"/>
  <c r="C51" i="11"/>
  <c r="B51" i="11"/>
  <c r="X50" i="11"/>
  <c r="W50" i="11"/>
  <c r="V50" i="11"/>
  <c r="S50" i="11"/>
  <c r="L50" i="11"/>
  <c r="C50" i="11"/>
  <c r="B50" i="11"/>
  <c r="X49" i="11"/>
  <c r="W49" i="11"/>
  <c r="V49" i="11"/>
  <c r="S49" i="11"/>
  <c r="L49" i="11"/>
  <c r="C49" i="11"/>
  <c r="B49" i="11"/>
  <c r="X48" i="11"/>
  <c r="W48" i="11"/>
  <c r="V48" i="11"/>
  <c r="S48" i="11"/>
  <c r="L48" i="11"/>
  <c r="C48" i="11"/>
  <c r="B48" i="11"/>
  <c r="X47" i="11"/>
  <c r="W47" i="11"/>
  <c r="V47" i="11"/>
  <c r="S47" i="11"/>
  <c r="L47" i="11"/>
  <c r="C47" i="11"/>
  <c r="B47" i="11"/>
  <c r="X46" i="11"/>
  <c r="W46" i="11"/>
  <c r="V46" i="11"/>
  <c r="S46" i="11"/>
  <c r="L46" i="11"/>
  <c r="C46" i="11"/>
  <c r="B46" i="11"/>
  <c r="X45" i="11"/>
  <c r="W45" i="11"/>
  <c r="V45" i="11"/>
  <c r="S45" i="11"/>
  <c r="L45" i="11"/>
  <c r="C45" i="11"/>
  <c r="B45" i="11"/>
  <c r="X44" i="11"/>
  <c r="W44" i="11"/>
  <c r="V44" i="11"/>
  <c r="S44" i="11"/>
  <c r="L44" i="11"/>
  <c r="C44" i="11"/>
  <c r="B44" i="11"/>
  <c r="X43" i="11"/>
  <c r="W43" i="11"/>
  <c r="V43" i="11"/>
  <c r="S43" i="11"/>
  <c r="L43" i="11"/>
  <c r="C43" i="11"/>
  <c r="B43" i="11"/>
  <c r="X42" i="11"/>
  <c r="W42" i="11"/>
  <c r="V42" i="11"/>
  <c r="S42" i="11"/>
  <c r="L42" i="11"/>
  <c r="C42" i="11"/>
  <c r="B42" i="11"/>
  <c r="X41" i="11"/>
  <c r="W41" i="11"/>
  <c r="V41" i="11"/>
  <c r="S41" i="11"/>
  <c r="L41" i="11"/>
  <c r="C41" i="11"/>
  <c r="B41" i="11"/>
  <c r="X40" i="11"/>
  <c r="W40" i="11"/>
  <c r="V40" i="11"/>
  <c r="S40" i="11"/>
  <c r="L40" i="11"/>
  <c r="C40" i="11"/>
  <c r="B40" i="11"/>
  <c r="X39" i="11"/>
  <c r="W39" i="11"/>
  <c r="V39" i="11"/>
  <c r="S39" i="11"/>
  <c r="L39" i="11"/>
  <c r="C39" i="11"/>
  <c r="B39" i="11"/>
  <c r="X38" i="11"/>
  <c r="W38" i="11"/>
  <c r="V38" i="11"/>
  <c r="S38" i="11"/>
  <c r="L38" i="11"/>
  <c r="C38" i="11"/>
  <c r="B38" i="11"/>
  <c r="X37" i="11"/>
  <c r="W37" i="11"/>
  <c r="V37" i="11"/>
  <c r="S37" i="11"/>
  <c r="L37" i="11"/>
  <c r="C37" i="11"/>
  <c r="B37" i="11"/>
  <c r="X36" i="11"/>
  <c r="W36" i="11"/>
  <c r="V36" i="11"/>
  <c r="S36" i="11"/>
  <c r="L36" i="11"/>
  <c r="C36" i="11"/>
  <c r="B36" i="11"/>
  <c r="X35" i="11"/>
  <c r="W35" i="11"/>
  <c r="V35" i="11"/>
  <c r="S35" i="11"/>
  <c r="L35" i="11"/>
  <c r="C35" i="11"/>
  <c r="B35" i="11"/>
  <c r="X34" i="11"/>
  <c r="W34" i="11"/>
  <c r="V34" i="11"/>
  <c r="S34" i="11"/>
  <c r="L34" i="11"/>
  <c r="C34" i="11"/>
  <c r="B34" i="11"/>
  <c r="X33" i="11"/>
  <c r="W33" i="11"/>
  <c r="V33" i="11"/>
  <c r="T33" i="11"/>
  <c r="S33" i="11"/>
  <c r="L33" i="11"/>
  <c r="C33" i="11"/>
  <c r="B33" i="11"/>
  <c r="X32" i="11"/>
  <c r="W32" i="11"/>
  <c r="V32" i="11"/>
  <c r="T32" i="11"/>
  <c r="S32" i="11"/>
  <c r="L32" i="11"/>
  <c r="C32" i="11"/>
  <c r="B32" i="11"/>
  <c r="X31" i="11"/>
  <c r="W31" i="11"/>
  <c r="V31" i="11"/>
  <c r="T31" i="11"/>
  <c r="S31" i="11"/>
  <c r="L31" i="11"/>
  <c r="C31" i="11"/>
  <c r="B31" i="11"/>
  <c r="X30" i="11"/>
  <c r="W30" i="11"/>
  <c r="V30" i="11"/>
  <c r="T30" i="11"/>
  <c r="S30" i="11"/>
  <c r="L30" i="11"/>
  <c r="C30" i="11"/>
  <c r="B30" i="11"/>
  <c r="X29" i="11"/>
  <c r="W29" i="11"/>
  <c r="V29" i="11"/>
  <c r="T29" i="11"/>
  <c r="S29" i="11"/>
  <c r="L29" i="11"/>
  <c r="C29" i="11"/>
  <c r="B29" i="11"/>
  <c r="X28" i="11"/>
  <c r="W28" i="11"/>
  <c r="V28" i="11"/>
  <c r="T28" i="11"/>
  <c r="S28" i="11"/>
  <c r="L28" i="11"/>
  <c r="C28" i="11"/>
  <c r="B28" i="11"/>
  <c r="X27" i="11"/>
  <c r="W27" i="11"/>
  <c r="V27" i="11"/>
  <c r="T27" i="11"/>
  <c r="S27" i="11"/>
  <c r="L27" i="11"/>
  <c r="C27" i="11"/>
  <c r="B27" i="11"/>
  <c r="X26" i="11"/>
  <c r="W26" i="11"/>
  <c r="V26" i="11"/>
  <c r="T26" i="11"/>
  <c r="S26" i="11"/>
  <c r="L26" i="11"/>
  <c r="C26" i="11"/>
  <c r="B26" i="11"/>
  <c r="X25" i="11"/>
  <c r="W25" i="11"/>
  <c r="V25" i="11"/>
  <c r="T25" i="11"/>
  <c r="S25" i="11"/>
  <c r="R25" i="11"/>
  <c r="Q25" i="11"/>
  <c r="N25" i="11"/>
  <c r="M25" i="11"/>
  <c r="L25" i="11"/>
  <c r="K25" i="11"/>
  <c r="C25" i="11"/>
  <c r="B25" i="11"/>
  <c r="U20" i="11"/>
  <c r="P20" i="11"/>
  <c r="I20" i="11"/>
  <c r="N20" i="11" s="1"/>
  <c r="Z20" i="11" s="1"/>
  <c r="F20" i="11"/>
  <c r="P19" i="11"/>
  <c r="I19" i="11"/>
  <c r="N19" i="11" s="1"/>
  <c r="Z19" i="11" s="1"/>
  <c r="F19" i="11"/>
  <c r="P18" i="11"/>
  <c r="I18" i="11"/>
  <c r="N18" i="11" s="1"/>
  <c r="Z18" i="11" s="1"/>
  <c r="F18" i="11"/>
  <c r="G18" i="11" s="1"/>
  <c r="H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P11" i="11"/>
  <c r="I11" i="11"/>
  <c r="N11" i="11" s="1"/>
  <c r="Z11" i="11" s="1"/>
  <c r="F11" i="11"/>
  <c r="O11" i="11" s="1"/>
  <c r="P10" i="11"/>
  <c r="I10" i="11"/>
  <c r="N10" i="11" s="1"/>
  <c r="Z10" i="11" s="1"/>
  <c r="F10" i="11"/>
  <c r="V10" i="11" s="1"/>
  <c r="P9" i="11"/>
  <c r="I9" i="11"/>
  <c r="N9" i="11" s="1"/>
  <c r="Z9" i="11" s="1"/>
  <c r="F9" i="11"/>
  <c r="G9" i="11" s="1"/>
  <c r="O9" i="11" s="1"/>
  <c r="P8" i="11"/>
  <c r="I8" i="11"/>
  <c r="N8" i="11" s="1"/>
  <c r="Z8" i="11" s="1"/>
  <c r="F8" i="11"/>
  <c r="G8" i="11" s="1"/>
  <c r="H8" i="11" s="1"/>
  <c r="P7" i="11"/>
  <c r="I7" i="11"/>
  <c r="N7" i="11" s="1"/>
  <c r="F7" i="11"/>
  <c r="G7" i="11" s="1"/>
  <c r="H7" i="11" s="1"/>
  <c r="B5" i="11"/>
  <c r="AG19" i="11" s="1"/>
  <c r="B4" i="11"/>
  <c r="B3" i="1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G27" i="15"/>
  <c r="F27" i="15"/>
  <c r="N26" i="15"/>
  <c r="O26" i="15" s="1"/>
  <c r="G26" i="15"/>
  <c r="F26" i="15"/>
  <c r="N25" i="15"/>
  <c r="G25" i="15"/>
  <c r="F25" i="15"/>
  <c r="N24" i="15"/>
  <c r="G24" i="15"/>
  <c r="F24" i="15"/>
  <c r="N23" i="15"/>
  <c r="G23" i="15"/>
  <c r="F23" i="15"/>
  <c r="N22" i="15"/>
  <c r="G22" i="15"/>
  <c r="F22" i="15"/>
  <c r="N21" i="15"/>
  <c r="O21" i="15" s="1"/>
  <c r="G21" i="15"/>
  <c r="F21" i="15"/>
  <c r="I21" i="15" s="1"/>
  <c r="N20" i="15"/>
  <c r="G20" i="15"/>
  <c r="F20" i="15"/>
  <c r="N19" i="15"/>
  <c r="O19" i="15" s="1"/>
  <c r="G19" i="15"/>
  <c r="F19" i="15"/>
  <c r="I19" i="15" s="1"/>
  <c r="N18" i="15"/>
  <c r="G18" i="15"/>
  <c r="F18" i="15"/>
  <c r="I18" i="15" s="1"/>
  <c r="A50" i="10"/>
  <c r="A49" i="10"/>
  <c r="P49" i="10" s="1"/>
  <c r="A48" i="10"/>
  <c r="Q48" i="10" s="1"/>
  <c r="A47" i="10"/>
  <c r="P47" i="10" s="1"/>
  <c r="A46" i="10"/>
  <c r="A45" i="10"/>
  <c r="P45" i="10" s="1"/>
  <c r="A44" i="10"/>
  <c r="A43" i="10"/>
  <c r="A42" i="10"/>
  <c r="A41" i="10"/>
  <c r="P41" i="10" s="1"/>
  <c r="A40" i="10"/>
  <c r="A39" i="10"/>
  <c r="P39" i="10" s="1"/>
  <c r="A38" i="10"/>
  <c r="P38" i="10" s="1"/>
  <c r="A37" i="10"/>
  <c r="P37" i="10" s="1"/>
  <c r="A36" i="10"/>
  <c r="A35" i="10"/>
  <c r="P35" i="10" s="1"/>
  <c r="A34" i="10"/>
  <c r="Q34" i="10" s="1"/>
  <c r="A33" i="10"/>
  <c r="P33" i="10" s="1"/>
  <c r="A32" i="10"/>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AB447" i="9"/>
  <c r="AA447" i="9"/>
  <c r="Z447" i="9"/>
  <c r="Y447" i="9"/>
  <c r="X447" i="9"/>
  <c r="W447" i="9"/>
  <c r="V447" i="9"/>
  <c r="U447" i="9"/>
  <c r="T447" i="9"/>
  <c r="S447" i="9"/>
  <c r="R447" i="9"/>
  <c r="Q447" i="9"/>
  <c r="P447" i="9"/>
  <c r="O447" i="9"/>
  <c r="N447" i="9"/>
  <c r="M447" i="9"/>
  <c r="L447" i="9"/>
  <c r="K447" i="9"/>
  <c r="J447" i="9"/>
  <c r="I447" i="9"/>
  <c r="H447" i="9"/>
  <c r="G447" i="9"/>
  <c r="F447" i="9"/>
  <c r="AC446" i="9"/>
  <c r="AB446" i="9"/>
  <c r="AA446" i="9"/>
  <c r="Z446" i="9"/>
  <c r="Y446" i="9"/>
  <c r="X446" i="9"/>
  <c r="W446" i="9"/>
  <c r="V446" i="9"/>
  <c r="U446" i="9"/>
  <c r="T446" i="9"/>
  <c r="S446" i="9"/>
  <c r="R446" i="9"/>
  <c r="Q446" i="9"/>
  <c r="P446" i="9"/>
  <c r="O446" i="9"/>
  <c r="N446" i="9"/>
  <c r="M446" i="9"/>
  <c r="L446" i="9"/>
  <c r="K446" i="9"/>
  <c r="J446" i="9"/>
  <c r="I446" i="9"/>
  <c r="H446" i="9"/>
  <c r="G446" i="9"/>
  <c r="F446" i="9"/>
  <c r="AC445" i="9"/>
  <c r="AB445" i="9"/>
  <c r="AA445" i="9"/>
  <c r="Z445" i="9"/>
  <c r="Y445" i="9"/>
  <c r="X445" i="9"/>
  <c r="W445" i="9"/>
  <c r="V445" i="9"/>
  <c r="U445" i="9"/>
  <c r="T445" i="9"/>
  <c r="S445" i="9"/>
  <c r="R445" i="9"/>
  <c r="Q445" i="9"/>
  <c r="P445" i="9"/>
  <c r="O445" i="9"/>
  <c r="N445" i="9"/>
  <c r="M445" i="9"/>
  <c r="L445" i="9"/>
  <c r="K445" i="9"/>
  <c r="J445" i="9"/>
  <c r="I445" i="9"/>
  <c r="H445" i="9"/>
  <c r="G445" i="9"/>
  <c r="F445" i="9"/>
  <c r="AC444" i="9"/>
  <c r="AB444" i="9"/>
  <c r="AA444" i="9"/>
  <c r="Z444" i="9"/>
  <c r="Y444" i="9"/>
  <c r="X444" i="9"/>
  <c r="W444" i="9"/>
  <c r="V444" i="9"/>
  <c r="U444" i="9"/>
  <c r="T444" i="9"/>
  <c r="S444" i="9"/>
  <c r="R444" i="9"/>
  <c r="Q444" i="9"/>
  <c r="P444" i="9"/>
  <c r="O444" i="9"/>
  <c r="N444" i="9"/>
  <c r="M444" i="9"/>
  <c r="L444" i="9"/>
  <c r="K444" i="9"/>
  <c r="J444" i="9"/>
  <c r="I444" i="9"/>
  <c r="H444" i="9"/>
  <c r="G444" i="9"/>
  <c r="F444" i="9"/>
  <c r="AC443" i="9"/>
  <c r="AB443" i="9"/>
  <c r="AA443" i="9"/>
  <c r="Z443" i="9"/>
  <c r="Y443" i="9"/>
  <c r="X443" i="9"/>
  <c r="W443" i="9"/>
  <c r="V443" i="9"/>
  <c r="U443" i="9"/>
  <c r="T443" i="9"/>
  <c r="S443" i="9"/>
  <c r="R443" i="9"/>
  <c r="Q443" i="9"/>
  <c r="P443" i="9"/>
  <c r="O443" i="9"/>
  <c r="N443" i="9"/>
  <c r="M443" i="9"/>
  <c r="L443" i="9"/>
  <c r="K443" i="9"/>
  <c r="J443" i="9"/>
  <c r="I443" i="9"/>
  <c r="H443" i="9"/>
  <c r="G443" i="9"/>
  <c r="F443" i="9"/>
  <c r="AC442" i="9"/>
  <c r="AB442" i="9"/>
  <c r="AA442" i="9"/>
  <c r="Z442" i="9"/>
  <c r="Y442" i="9"/>
  <c r="X442" i="9"/>
  <c r="W442" i="9"/>
  <c r="V442" i="9"/>
  <c r="U442" i="9"/>
  <c r="T442" i="9"/>
  <c r="S442" i="9"/>
  <c r="R442" i="9"/>
  <c r="Q442" i="9"/>
  <c r="P442" i="9"/>
  <c r="O442" i="9"/>
  <c r="N442" i="9"/>
  <c r="M442" i="9"/>
  <c r="L442" i="9"/>
  <c r="K442" i="9"/>
  <c r="J442" i="9"/>
  <c r="I442" i="9"/>
  <c r="H442" i="9"/>
  <c r="G442" i="9"/>
  <c r="F442" i="9"/>
  <c r="AC441" i="9"/>
  <c r="AB441" i="9"/>
  <c r="AA441" i="9"/>
  <c r="Z441" i="9"/>
  <c r="Y441" i="9"/>
  <c r="X441" i="9"/>
  <c r="W441" i="9"/>
  <c r="V441" i="9"/>
  <c r="U441" i="9"/>
  <c r="T441" i="9"/>
  <c r="S441" i="9"/>
  <c r="R441" i="9"/>
  <c r="Q441" i="9"/>
  <c r="P441" i="9"/>
  <c r="O441" i="9"/>
  <c r="N441" i="9"/>
  <c r="M441" i="9"/>
  <c r="L441" i="9"/>
  <c r="K441" i="9"/>
  <c r="J441" i="9"/>
  <c r="I441" i="9"/>
  <c r="H441" i="9"/>
  <c r="G441" i="9"/>
  <c r="F441" i="9"/>
  <c r="AC440" i="9"/>
  <c r="AB440" i="9"/>
  <c r="AA440" i="9"/>
  <c r="Z440" i="9"/>
  <c r="Y440" i="9"/>
  <c r="X440" i="9"/>
  <c r="W440" i="9"/>
  <c r="V440" i="9"/>
  <c r="U440" i="9"/>
  <c r="T440" i="9"/>
  <c r="S440" i="9"/>
  <c r="R440" i="9"/>
  <c r="Q440" i="9"/>
  <c r="P440" i="9"/>
  <c r="O440" i="9"/>
  <c r="N440" i="9"/>
  <c r="M440" i="9"/>
  <c r="L440" i="9"/>
  <c r="K440" i="9"/>
  <c r="J440" i="9"/>
  <c r="I440" i="9"/>
  <c r="H440" i="9"/>
  <c r="G440" i="9"/>
  <c r="F440" i="9"/>
  <c r="AC439" i="9"/>
  <c r="AB439" i="9"/>
  <c r="AA439" i="9"/>
  <c r="Z439" i="9"/>
  <c r="Y439" i="9"/>
  <c r="X439" i="9"/>
  <c r="W439" i="9"/>
  <c r="V439" i="9"/>
  <c r="U439" i="9"/>
  <c r="T439" i="9"/>
  <c r="S439" i="9"/>
  <c r="R439" i="9"/>
  <c r="Q439" i="9"/>
  <c r="P439" i="9"/>
  <c r="O439" i="9"/>
  <c r="N439" i="9"/>
  <c r="M439" i="9"/>
  <c r="L439" i="9"/>
  <c r="K439" i="9"/>
  <c r="J439" i="9"/>
  <c r="I439" i="9"/>
  <c r="H439" i="9"/>
  <c r="G439" i="9"/>
  <c r="F439" i="9"/>
  <c r="AC438" i="9"/>
  <c r="AB438" i="9"/>
  <c r="AA438" i="9"/>
  <c r="Z438" i="9"/>
  <c r="Y438" i="9"/>
  <c r="X438" i="9"/>
  <c r="W438" i="9"/>
  <c r="V438" i="9"/>
  <c r="U438" i="9"/>
  <c r="T438" i="9"/>
  <c r="S438" i="9"/>
  <c r="R438" i="9"/>
  <c r="Q438" i="9"/>
  <c r="P438" i="9"/>
  <c r="O438" i="9"/>
  <c r="N438" i="9"/>
  <c r="M438" i="9"/>
  <c r="L438" i="9"/>
  <c r="K438" i="9"/>
  <c r="J438" i="9"/>
  <c r="I438" i="9"/>
  <c r="H438" i="9"/>
  <c r="G438" i="9"/>
  <c r="F438" i="9"/>
  <c r="AC437" i="9"/>
  <c r="AB437" i="9"/>
  <c r="AA437" i="9"/>
  <c r="Z437" i="9"/>
  <c r="Y437" i="9"/>
  <c r="X437" i="9"/>
  <c r="W437" i="9"/>
  <c r="V437" i="9"/>
  <c r="U437" i="9"/>
  <c r="T437" i="9"/>
  <c r="S437" i="9"/>
  <c r="R437" i="9"/>
  <c r="Q437" i="9"/>
  <c r="P437" i="9"/>
  <c r="O437" i="9"/>
  <c r="N437" i="9"/>
  <c r="M437" i="9"/>
  <c r="L437" i="9"/>
  <c r="K437" i="9"/>
  <c r="J437" i="9"/>
  <c r="I437" i="9"/>
  <c r="H437" i="9"/>
  <c r="G437" i="9"/>
  <c r="F437" i="9"/>
  <c r="AC436" i="9"/>
  <c r="AB436" i="9"/>
  <c r="AA436" i="9"/>
  <c r="Z436" i="9"/>
  <c r="Y436" i="9"/>
  <c r="X436" i="9"/>
  <c r="W436" i="9"/>
  <c r="V436" i="9"/>
  <c r="U436" i="9"/>
  <c r="T436" i="9"/>
  <c r="S436" i="9"/>
  <c r="R436" i="9"/>
  <c r="Q436" i="9"/>
  <c r="P436" i="9"/>
  <c r="O436" i="9"/>
  <c r="N436" i="9"/>
  <c r="M436" i="9"/>
  <c r="L436" i="9"/>
  <c r="K436" i="9"/>
  <c r="J436" i="9"/>
  <c r="I436" i="9"/>
  <c r="H436" i="9"/>
  <c r="G436" i="9"/>
  <c r="F436" i="9"/>
  <c r="AC435" i="9"/>
  <c r="AB435" i="9"/>
  <c r="AA435" i="9"/>
  <c r="Z435" i="9"/>
  <c r="Y435" i="9"/>
  <c r="X435" i="9"/>
  <c r="W435" i="9"/>
  <c r="V435" i="9"/>
  <c r="U435" i="9"/>
  <c r="T435" i="9"/>
  <c r="S435" i="9"/>
  <c r="R435" i="9"/>
  <c r="Q435" i="9"/>
  <c r="P435" i="9"/>
  <c r="O435" i="9"/>
  <c r="N435" i="9"/>
  <c r="M435" i="9"/>
  <c r="L435" i="9"/>
  <c r="K435" i="9"/>
  <c r="J435" i="9"/>
  <c r="I435" i="9"/>
  <c r="H435" i="9"/>
  <c r="G435" i="9"/>
  <c r="F435" i="9"/>
  <c r="AC434" i="9"/>
  <c r="AB434" i="9"/>
  <c r="AA434" i="9"/>
  <c r="Z434" i="9"/>
  <c r="Y434" i="9"/>
  <c r="X434" i="9"/>
  <c r="W434" i="9"/>
  <c r="V434" i="9"/>
  <c r="U434" i="9"/>
  <c r="T434" i="9"/>
  <c r="S434" i="9"/>
  <c r="R434" i="9"/>
  <c r="Q434" i="9"/>
  <c r="P434" i="9"/>
  <c r="O434" i="9"/>
  <c r="N434" i="9"/>
  <c r="M434" i="9"/>
  <c r="L434" i="9"/>
  <c r="K434" i="9"/>
  <c r="J434" i="9"/>
  <c r="I434" i="9"/>
  <c r="H434" i="9"/>
  <c r="G434" i="9"/>
  <c r="F434" i="9"/>
  <c r="AC433" i="9"/>
  <c r="AB433" i="9"/>
  <c r="AA433" i="9"/>
  <c r="Z433" i="9"/>
  <c r="Y433" i="9"/>
  <c r="X433" i="9"/>
  <c r="W433" i="9"/>
  <c r="V433" i="9"/>
  <c r="U433" i="9"/>
  <c r="T433" i="9"/>
  <c r="S433" i="9"/>
  <c r="R433" i="9"/>
  <c r="Q433" i="9"/>
  <c r="P433" i="9"/>
  <c r="O433" i="9"/>
  <c r="N433" i="9"/>
  <c r="M433" i="9"/>
  <c r="L433" i="9"/>
  <c r="K433" i="9"/>
  <c r="J433" i="9"/>
  <c r="I433" i="9"/>
  <c r="H433" i="9"/>
  <c r="G433" i="9"/>
  <c r="F433" i="9"/>
  <c r="AC432" i="9"/>
  <c r="AB432" i="9"/>
  <c r="AA432" i="9"/>
  <c r="Z432" i="9"/>
  <c r="Y432" i="9"/>
  <c r="X432" i="9"/>
  <c r="W432" i="9"/>
  <c r="V432" i="9"/>
  <c r="U432" i="9"/>
  <c r="T432" i="9"/>
  <c r="S432" i="9"/>
  <c r="R432" i="9"/>
  <c r="Q432" i="9"/>
  <c r="P432" i="9"/>
  <c r="O432" i="9"/>
  <c r="N432" i="9"/>
  <c r="M432" i="9"/>
  <c r="L432" i="9"/>
  <c r="K432" i="9"/>
  <c r="J432" i="9"/>
  <c r="I432" i="9"/>
  <c r="H432" i="9"/>
  <c r="G432" i="9"/>
  <c r="F432" i="9"/>
  <c r="AC431" i="9"/>
  <c r="AB431" i="9"/>
  <c r="AA431" i="9"/>
  <c r="Z431" i="9"/>
  <c r="Y431" i="9"/>
  <c r="X431" i="9"/>
  <c r="W431" i="9"/>
  <c r="V431" i="9"/>
  <c r="U431" i="9"/>
  <c r="T431" i="9"/>
  <c r="S431" i="9"/>
  <c r="R431" i="9"/>
  <c r="Q431" i="9"/>
  <c r="P431" i="9"/>
  <c r="O431" i="9"/>
  <c r="N431" i="9"/>
  <c r="M431" i="9"/>
  <c r="L431" i="9"/>
  <c r="K431" i="9"/>
  <c r="J431" i="9"/>
  <c r="I431" i="9"/>
  <c r="H431" i="9"/>
  <c r="G431" i="9"/>
  <c r="F431" i="9"/>
  <c r="AC430" i="9"/>
  <c r="AB430" i="9"/>
  <c r="AA430" i="9"/>
  <c r="Z430" i="9"/>
  <c r="Y430" i="9"/>
  <c r="X430" i="9"/>
  <c r="W430" i="9"/>
  <c r="V430" i="9"/>
  <c r="U430" i="9"/>
  <c r="T430" i="9"/>
  <c r="S430" i="9"/>
  <c r="R430" i="9"/>
  <c r="Q430" i="9"/>
  <c r="P430" i="9"/>
  <c r="O430" i="9"/>
  <c r="N430" i="9"/>
  <c r="M430" i="9"/>
  <c r="L430" i="9"/>
  <c r="K430" i="9"/>
  <c r="J430" i="9"/>
  <c r="I430" i="9"/>
  <c r="H430" i="9"/>
  <c r="G430" i="9"/>
  <c r="F430" i="9"/>
  <c r="AC429" i="9"/>
  <c r="AB429" i="9"/>
  <c r="AA429" i="9"/>
  <c r="Z429" i="9"/>
  <c r="Y429" i="9"/>
  <c r="X429" i="9"/>
  <c r="W429" i="9"/>
  <c r="V429" i="9"/>
  <c r="U429" i="9"/>
  <c r="T429" i="9"/>
  <c r="S429" i="9"/>
  <c r="R429" i="9"/>
  <c r="Q429" i="9"/>
  <c r="P429" i="9"/>
  <c r="O429" i="9"/>
  <c r="N429" i="9"/>
  <c r="M429" i="9"/>
  <c r="L429" i="9"/>
  <c r="K429" i="9"/>
  <c r="J429" i="9"/>
  <c r="I429" i="9"/>
  <c r="H429" i="9"/>
  <c r="G429" i="9"/>
  <c r="F429" i="9"/>
  <c r="AC428" i="9"/>
  <c r="AB428" i="9"/>
  <c r="AA428" i="9"/>
  <c r="Z428" i="9"/>
  <c r="Y428" i="9"/>
  <c r="X428" i="9"/>
  <c r="W428" i="9"/>
  <c r="V428" i="9"/>
  <c r="U428" i="9"/>
  <c r="T428" i="9"/>
  <c r="S428" i="9"/>
  <c r="R428" i="9"/>
  <c r="Q428" i="9"/>
  <c r="P428" i="9"/>
  <c r="O428" i="9"/>
  <c r="N428" i="9"/>
  <c r="M428" i="9"/>
  <c r="L428" i="9"/>
  <c r="K428" i="9"/>
  <c r="J428" i="9"/>
  <c r="I428" i="9"/>
  <c r="H428" i="9"/>
  <c r="G428" i="9"/>
  <c r="F428" i="9"/>
  <c r="AC427" i="9"/>
  <c r="AB427" i="9"/>
  <c r="AA427" i="9"/>
  <c r="Z427" i="9"/>
  <c r="Y427" i="9"/>
  <c r="X427" i="9"/>
  <c r="W427" i="9"/>
  <c r="V427" i="9"/>
  <c r="U427" i="9"/>
  <c r="T427" i="9"/>
  <c r="S427" i="9"/>
  <c r="R427" i="9"/>
  <c r="Q427" i="9"/>
  <c r="P427" i="9"/>
  <c r="O427" i="9"/>
  <c r="N427" i="9"/>
  <c r="M427" i="9"/>
  <c r="L427" i="9"/>
  <c r="K427" i="9"/>
  <c r="J427" i="9"/>
  <c r="I427" i="9"/>
  <c r="H427" i="9"/>
  <c r="G427" i="9"/>
  <c r="F427" i="9"/>
  <c r="AC426" i="9"/>
  <c r="AB426" i="9"/>
  <c r="AA426" i="9"/>
  <c r="Z426" i="9"/>
  <c r="Y426" i="9"/>
  <c r="X426" i="9"/>
  <c r="W426" i="9"/>
  <c r="V426" i="9"/>
  <c r="U426" i="9"/>
  <c r="T426" i="9"/>
  <c r="S426" i="9"/>
  <c r="R426" i="9"/>
  <c r="Q426" i="9"/>
  <c r="P426" i="9"/>
  <c r="O426" i="9"/>
  <c r="N426" i="9"/>
  <c r="M426" i="9"/>
  <c r="L426" i="9"/>
  <c r="K426" i="9"/>
  <c r="J426" i="9"/>
  <c r="I426" i="9"/>
  <c r="H426" i="9"/>
  <c r="G426" i="9"/>
  <c r="F426" i="9"/>
  <c r="AC425" i="9"/>
  <c r="AB425" i="9"/>
  <c r="AA425" i="9"/>
  <c r="Z425" i="9"/>
  <c r="Y425" i="9"/>
  <c r="X425" i="9"/>
  <c r="W425" i="9"/>
  <c r="V425" i="9"/>
  <c r="U425" i="9"/>
  <c r="T425" i="9"/>
  <c r="S425" i="9"/>
  <c r="R425" i="9"/>
  <c r="Q425" i="9"/>
  <c r="P425" i="9"/>
  <c r="O425" i="9"/>
  <c r="N425" i="9"/>
  <c r="M425" i="9"/>
  <c r="L425" i="9"/>
  <c r="K425" i="9"/>
  <c r="J425" i="9"/>
  <c r="I425" i="9"/>
  <c r="H425" i="9"/>
  <c r="G425" i="9"/>
  <c r="F425" i="9"/>
  <c r="AC424" i="9"/>
  <c r="AB424" i="9"/>
  <c r="AA424" i="9"/>
  <c r="Z424" i="9"/>
  <c r="Y424" i="9"/>
  <c r="X424" i="9"/>
  <c r="W424" i="9"/>
  <c r="V424" i="9"/>
  <c r="U424" i="9"/>
  <c r="T424" i="9"/>
  <c r="S424" i="9"/>
  <c r="R424" i="9"/>
  <c r="Q424" i="9"/>
  <c r="P424" i="9"/>
  <c r="O424" i="9"/>
  <c r="N424" i="9"/>
  <c r="M424" i="9"/>
  <c r="L424" i="9"/>
  <c r="K424" i="9"/>
  <c r="J424" i="9"/>
  <c r="I424" i="9"/>
  <c r="H424" i="9"/>
  <c r="G424" i="9"/>
  <c r="F424" i="9"/>
  <c r="AC423" i="9"/>
  <c r="AB423" i="9"/>
  <c r="AA423" i="9"/>
  <c r="Z423" i="9"/>
  <c r="Y423" i="9"/>
  <c r="X423" i="9"/>
  <c r="W423" i="9"/>
  <c r="V423" i="9"/>
  <c r="U423" i="9"/>
  <c r="T423" i="9"/>
  <c r="S423" i="9"/>
  <c r="R423" i="9"/>
  <c r="Q423" i="9"/>
  <c r="P423" i="9"/>
  <c r="O423" i="9"/>
  <c r="N423" i="9"/>
  <c r="M423" i="9"/>
  <c r="L423" i="9"/>
  <c r="K423" i="9"/>
  <c r="J423" i="9"/>
  <c r="I423" i="9"/>
  <c r="H423" i="9"/>
  <c r="G423" i="9"/>
  <c r="F423" i="9"/>
  <c r="AC422" i="9"/>
  <c r="AB422" i="9"/>
  <c r="AA422" i="9"/>
  <c r="Z422" i="9"/>
  <c r="Y422" i="9"/>
  <c r="X422" i="9"/>
  <c r="W422" i="9"/>
  <c r="V422" i="9"/>
  <c r="U422" i="9"/>
  <c r="T422" i="9"/>
  <c r="S422" i="9"/>
  <c r="R422" i="9"/>
  <c r="Q422" i="9"/>
  <c r="P422" i="9"/>
  <c r="O422" i="9"/>
  <c r="N422" i="9"/>
  <c r="M422" i="9"/>
  <c r="L422" i="9"/>
  <c r="K422" i="9"/>
  <c r="J422" i="9"/>
  <c r="I422" i="9"/>
  <c r="H422" i="9"/>
  <c r="G422" i="9"/>
  <c r="F422" i="9"/>
  <c r="AC421" i="9"/>
  <c r="AB421" i="9"/>
  <c r="AA421" i="9"/>
  <c r="Z421" i="9"/>
  <c r="Y421" i="9"/>
  <c r="X421" i="9"/>
  <c r="W421" i="9"/>
  <c r="V421" i="9"/>
  <c r="U421" i="9"/>
  <c r="T421" i="9"/>
  <c r="S421" i="9"/>
  <c r="R421" i="9"/>
  <c r="Q421" i="9"/>
  <c r="P421" i="9"/>
  <c r="O421" i="9"/>
  <c r="N421" i="9"/>
  <c r="M421" i="9"/>
  <c r="L421" i="9"/>
  <c r="K421" i="9"/>
  <c r="J421" i="9"/>
  <c r="I421" i="9"/>
  <c r="H421" i="9"/>
  <c r="G421" i="9"/>
  <c r="F421" i="9"/>
  <c r="AC420" i="9"/>
  <c r="AB420" i="9"/>
  <c r="AA420" i="9"/>
  <c r="Z420" i="9"/>
  <c r="Y420" i="9"/>
  <c r="X420" i="9"/>
  <c r="W420" i="9"/>
  <c r="V420" i="9"/>
  <c r="U420" i="9"/>
  <c r="T420" i="9"/>
  <c r="S420" i="9"/>
  <c r="R420" i="9"/>
  <c r="Q420" i="9"/>
  <c r="P420" i="9"/>
  <c r="O420" i="9"/>
  <c r="N420" i="9"/>
  <c r="M420" i="9"/>
  <c r="L420" i="9"/>
  <c r="K420" i="9"/>
  <c r="J420" i="9"/>
  <c r="I420" i="9"/>
  <c r="H420" i="9"/>
  <c r="G420" i="9"/>
  <c r="F420" i="9"/>
  <c r="AC419" i="9"/>
  <c r="AB419" i="9"/>
  <c r="AA419" i="9"/>
  <c r="Z419" i="9"/>
  <c r="Y419" i="9"/>
  <c r="X419" i="9"/>
  <c r="W419" i="9"/>
  <c r="V419" i="9"/>
  <c r="U419" i="9"/>
  <c r="T419" i="9"/>
  <c r="S419" i="9"/>
  <c r="R419" i="9"/>
  <c r="Q419" i="9"/>
  <c r="P419" i="9"/>
  <c r="O419" i="9"/>
  <c r="N419" i="9"/>
  <c r="M419" i="9"/>
  <c r="L419" i="9"/>
  <c r="K419" i="9"/>
  <c r="J419" i="9"/>
  <c r="I419" i="9"/>
  <c r="H419" i="9"/>
  <c r="G419" i="9"/>
  <c r="F419" i="9"/>
  <c r="AC418" i="9"/>
  <c r="AB418" i="9"/>
  <c r="AA418" i="9"/>
  <c r="Z418" i="9"/>
  <c r="Y418" i="9"/>
  <c r="X418" i="9"/>
  <c r="W418" i="9"/>
  <c r="V418" i="9"/>
  <c r="U418" i="9"/>
  <c r="T418" i="9"/>
  <c r="S418" i="9"/>
  <c r="R418" i="9"/>
  <c r="Q418" i="9"/>
  <c r="P418" i="9"/>
  <c r="O418" i="9"/>
  <c r="N418" i="9"/>
  <c r="M418" i="9"/>
  <c r="L418" i="9"/>
  <c r="K418" i="9"/>
  <c r="J418" i="9"/>
  <c r="I418" i="9"/>
  <c r="H418" i="9"/>
  <c r="G418" i="9"/>
  <c r="F418" i="9"/>
  <c r="AC417" i="9"/>
  <c r="AB417" i="9"/>
  <c r="AA417" i="9"/>
  <c r="Z417" i="9"/>
  <c r="Y417" i="9"/>
  <c r="X417" i="9"/>
  <c r="W417" i="9"/>
  <c r="V417" i="9"/>
  <c r="U417" i="9"/>
  <c r="T417" i="9"/>
  <c r="S417" i="9"/>
  <c r="R417" i="9"/>
  <c r="Q417" i="9"/>
  <c r="P417" i="9"/>
  <c r="O417" i="9"/>
  <c r="N417" i="9"/>
  <c r="M417" i="9"/>
  <c r="L417" i="9"/>
  <c r="K417" i="9"/>
  <c r="J417" i="9"/>
  <c r="I417" i="9"/>
  <c r="H417" i="9"/>
  <c r="G417" i="9"/>
  <c r="F417" i="9"/>
  <c r="AC416" i="9"/>
  <c r="AB416" i="9"/>
  <c r="AA416" i="9"/>
  <c r="Z416" i="9"/>
  <c r="Y416" i="9"/>
  <c r="X416" i="9"/>
  <c r="W416" i="9"/>
  <c r="V416" i="9"/>
  <c r="U416" i="9"/>
  <c r="T416" i="9"/>
  <c r="S416" i="9"/>
  <c r="R416" i="9"/>
  <c r="Q416" i="9"/>
  <c r="P416" i="9"/>
  <c r="O416" i="9"/>
  <c r="N416" i="9"/>
  <c r="M416" i="9"/>
  <c r="L416" i="9"/>
  <c r="K416" i="9"/>
  <c r="J416" i="9"/>
  <c r="I416" i="9"/>
  <c r="H416" i="9"/>
  <c r="G416" i="9"/>
  <c r="F416" i="9"/>
  <c r="AC415" i="9"/>
  <c r="AB415" i="9"/>
  <c r="AA415" i="9"/>
  <c r="Z415" i="9"/>
  <c r="Y415" i="9"/>
  <c r="X415" i="9"/>
  <c r="W415" i="9"/>
  <c r="V415" i="9"/>
  <c r="U415" i="9"/>
  <c r="T415" i="9"/>
  <c r="S415" i="9"/>
  <c r="R415" i="9"/>
  <c r="Q415" i="9"/>
  <c r="P415" i="9"/>
  <c r="O415" i="9"/>
  <c r="N415" i="9"/>
  <c r="M415" i="9"/>
  <c r="L415" i="9"/>
  <c r="K415" i="9"/>
  <c r="J415" i="9"/>
  <c r="I415" i="9"/>
  <c r="H415" i="9"/>
  <c r="G415" i="9"/>
  <c r="F415" i="9"/>
  <c r="AC414" i="9"/>
  <c r="AB414" i="9"/>
  <c r="AA414" i="9"/>
  <c r="Z414" i="9"/>
  <c r="Y414" i="9"/>
  <c r="X414" i="9"/>
  <c r="W414" i="9"/>
  <c r="V414" i="9"/>
  <c r="U414" i="9"/>
  <c r="T414" i="9"/>
  <c r="S414" i="9"/>
  <c r="R414" i="9"/>
  <c r="Q414" i="9"/>
  <c r="P414" i="9"/>
  <c r="O414" i="9"/>
  <c r="N414" i="9"/>
  <c r="M414" i="9"/>
  <c r="L414" i="9"/>
  <c r="K414" i="9"/>
  <c r="J414" i="9"/>
  <c r="I414" i="9"/>
  <c r="H414" i="9"/>
  <c r="G414" i="9"/>
  <c r="F414" i="9"/>
  <c r="AC413" i="9"/>
  <c r="AB413" i="9"/>
  <c r="AA413" i="9"/>
  <c r="Z413" i="9"/>
  <c r="Y413" i="9"/>
  <c r="X413" i="9"/>
  <c r="W413" i="9"/>
  <c r="V413" i="9"/>
  <c r="U413" i="9"/>
  <c r="T413" i="9"/>
  <c r="S413" i="9"/>
  <c r="R413" i="9"/>
  <c r="Q413" i="9"/>
  <c r="P413" i="9"/>
  <c r="O413" i="9"/>
  <c r="N413" i="9"/>
  <c r="M413" i="9"/>
  <c r="L413" i="9"/>
  <c r="K413" i="9"/>
  <c r="J413" i="9"/>
  <c r="I413" i="9"/>
  <c r="H413" i="9"/>
  <c r="G413" i="9"/>
  <c r="F413" i="9"/>
  <c r="AC412" i="9"/>
  <c r="AB412" i="9"/>
  <c r="AA412" i="9"/>
  <c r="Z412" i="9"/>
  <c r="Y412" i="9"/>
  <c r="X412" i="9"/>
  <c r="W412" i="9"/>
  <c r="V412" i="9"/>
  <c r="U412" i="9"/>
  <c r="T412" i="9"/>
  <c r="S412" i="9"/>
  <c r="R412" i="9"/>
  <c r="Q412" i="9"/>
  <c r="P412" i="9"/>
  <c r="O412" i="9"/>
  <c r="N412" i="9"/>
  <c r="M412" i="9"/>
  <c r="L412" i="9"/>
  <c r="K412" i="9"/>
  <c r="J412" i="9"/>
  <c r="I412" i="9"/>
  <c r="H412" i="9"/>
  <c r="G412" i="9"/>
  <c r="F412" i="9"/>
  <c r="AC411" i="9"/>
  <c r="AB411" i="9"/>
  <c r="AA411" i="9"/>
  <c r="Z411" i="9"/>
  <c r="Y411" i="9"/>
  <c r="X411" i="9"/>
  <c r="W411" i="9"/>
  <c r="V411" i="9"/>
  <c r="U411" i="9"/>
  <c r="T411" i="9"/>
  <c r="S411" i="9"/>
  <c r="R411" i="9"/>
  <c r="Q411" i="9"/>
  <c r="P411" i="9"/>
  <c r="O411" i="9"/>
  <c r="N411" i="9"/>
  <c r="M411" i="9"/>
  <c r="L411" i="9"/>
  <c r="K411" i="9"/>
  <c r="J411" i="9"/>
  <c r="I411" i="9"/>
  <c r="H411" i="9"/>
  <c r="G411" i="9"/>
  <c r="F411" i="9"/>
  <c r="AC410" i="9"/>
  <c r="AB410" i="9"/>
  <c r="AA410" i="9"/>
  <c r="Z410" i="9"/>
  <c r="Y410" i="9"/>
  <c r="X410" i="9"/>
  <c r="W410" i="9"/>
  <c r="V410" i="9"/>
  <c r="U410" i="9"/>
  <c r="T410" i="9"/>
  <c r="S410" i="9"/>
  <c r="R410" i="9"/>
  <c r="Q410" i="9"/>
  <c r="P410" i="9"/>
  <c r="O410" i="9"/>
  <c r="N410" i="9"/>
  <c r="M410" i="9"/>
  <c r="L410" i="9"/>
  <c r="K410" i="9"/>
  <c r="J410" i="9"/>
  <c r="I410" i="9"/>
  <c r="H410" i="9"/>
  <c r="G410" i="9"/>
  <c r="F410" i="9"/>
  <c r="AC409" i="9"/>
  <c r="AB409" i="9"/>
  <c r="AA409" i="9"/>
  <c r="Z409" i="9"/>
  <c r="Y409" i="9"/>
  <c r="X409" i="9"/>
  <c r="W409" i="9"/>
  <c r="V409" i="9"/>
  <c r="U409" i="9"/>
  <c r="T409" i="9"/>
  <c r="S409" i="9"/>
  <c r="R409" i="9"/>
  <c r="Q409" i="9"/>
  <c r="P409" i="9"/>
  <c r="O409" i="9"/>
  <c r="N409" i="9"/>
  <c r="M409" i="9"/>
  <c r="L409" i="9"/>
  <c r="K409" i="9"/>
  <c r="J409" i="9"/>
  <c r="I409" i="9"/>
  <c r="H409" i="9"/>
  <c r="G409" i="9"/>
  <c r="F409" i="9"/>
  <c r="AC408" i="9"/>
  <c r="AB408" i="9"/>
  <c r="AA408" i="9"/>
  <c r="Z408" i="9"/>
  <c r="Y408" i="9"/>
  <c r="X408" i="9"/>
  <c r="W408" i="9"/>
  <c r="V408" i="9"/>
  <c r="U408" i="9"/>
  <c r="T408" i="9"/>
  <c r="S408" i="9"/>
  <c r="R408" i="9"/>
  <c r="Q408" i="9"/>
  <c r="P408" i="9"/>
  <c r="O408" i="9"/>
  <c r="N408" i="9"/>
  <c r="M408" i="9"/>
  <c r="L408" i="9"/>
  <c r="K408" i="9"/>
  <c r="J408" i="9"/>
  <c r="I408" i="9"/>
  <c r="H408" i="9"/>
  <c r="G408" i="9"/>
  <c r="F408" i="9"/>
  <c r="AC407" i="9"/>
  <c r="AB407" i="9"/>
  <c r="AA407" i="9"/>
  <c r="Z407" i="9"/>
  <c r="Y407" i="9"/>
  <c r="X407" i="9"/>
  <c r="W407" i="9"/>
  <c r="V407" i="9"/>
  <c r="U407" i="9"/>
  <c r="T407" i="9"/>
  <c r="S407" i="9"/>
  <c r="R407" i="9"/>
  <c r="Q407" i="9"/>
  <c r="P407" i="9"/>
  <c r="O407" i="9"/>
  <c r="N407" i="9"/>
  <c r="M407" i="9"/>
  <c r="L407" i="9"/>
  <c r="K407" i="9"/>
  <c r="J407" i="9"/>
  <c r="I407" i="9"/>
  <c r="H407" i="9"/>
  <c r="G407" i="9"/>
  <c r="F407" i="9"/>
  <c r="AC406" i="9"/>
  <c r="AB406" i="9"/>
  <c r="AA406" i="9"/>
  <c r="Z406" i="9"/>
  <c r="Y406" i="9"/>
  <c r="X406" i="9"/>
  <c r="W406" i="9"/>
  <c r="V406" i="9"/>
  <c r="U406" i="9"/>
  <c r="T406" i="9"/>
  <c r="S406" i="9"/>
  <c r="R406" i="9"/>
  <c r="Q406" i="9"/>
  <c r="P406" i="9"/>
  <c r="O406" i="9"/>
  <c r="N406" i="9"/>
  <c r="M406" i="9"/>
  <c r="L406" i="9"/>
  <c r="K406" i="9"/>
  <c r="J406" i="9"/>
  <c r="I406" i="9"/>
  <c r="H406" i="9"/>
  <c r="G406" i="9"/>
  <c r="F406" i="9"/>
  <c r="AC405" i="9"/>
  <c r="AB405" i="9"/>
  <c r="AA405" i="9"/>
  <c r="Z405" i="9"/>
  <c r="Y405" i="9"/>
  <c r="X405" i="9"/>
  <c r="W405" i="9"/>
  <c r="V405" i="9"/>
  <c r="U405" i="9"/>
  <c r="T405" i="9"/>
  <c r="S405" i="9"/>
  <c r="R405" i="9"/>
  <c r="Q405" i="9"/>
  <c r="P405" i="9"/>
  <c r="O405" i="9"/>
  <c r="N405" i="9"/>
  <c r="M405" i="9"/>
  <c r="L405" i="9"/>
  <c r="K405" i="9"/>
  <c r="J405" i="9"/>
  <c r="I405" i="9"/>
  <c r="H405" i="9"/>
  <c r="G405" i="9"/>
  <c r="F405" i="9"/>
  <c r="AC404" i="9"/>
  <c r="AB404" i="9"/>
  <c r="AA404" i="9"/>
  <c r="Z404" i="9"/>
  <c r="Y404" i="9"/>
  <c r="X404" i="9"/>
  <c r="W404" i="9"/>
  <c r="V404" i="9"/>
  <c r="U404" i="9"/>
  <c r="T404" i="9"/>
  <c r="S404" i="9"/>
  <c r="R404" i="9"/>
  <c r="Q404" i="9"/>
  <c r="P404" i="9"/>
  <c r="O404" i="9"/>
  <c r="N404" i="9"/>
  <c r="M404" i="9"/>
  <c r="L404" i="9"/>
  <c r="K404" i="9"/>
  <c r="J404" i="9"/>
  <c r="I404" i="9"/>
  <c r="H404" i="9"/>
  <c r="G404" i="9"/>
  <c r="F404" i="9"/>
  <c r="AC403" i="9"/>
  <c r="AB403" i="9"/>
  <c r="AA403" i="9"/>
  <c r="Z403" i="9"/>
  <c r="Y403" i="9"/>
  <c r="X403" i="9"/>
  <c r="W403" i="9"/>
  <c r="V403" i="9"/>
  <c r="U403" i="9"/>
  <c r="T403" i="9"/>
  <c r="S403" i="9"/>
  <c r="R403" i="9"/>
  <c r="Q403" i="9"/>
  <c r="P403" i="9"/>
  <c r="O403" i="9"/>
  <c r="N403" i="9"/>
  <c r="M403" i="9"/>
  <c r="L403" i="9"/>
  <c r="K403" i="9"/>
  <c r="J403" i="9"/>
  <c r="I403" i="9"/>
  <c r="H403" i="9"/>
  <c r="G403" i="9"/>
  <c r="F403" i="9"/>
  <c r="AC402" i="9"/>
  <c r="AB402" i="9"/>
  <c r="AA402" i="9"/>
  <c r="Z402" i="9"/>
  <c r="Y402" i="9"/>
  <c r="X402" i="9"/>
  <c r="W402" i="9"/>
  <c r="V402" i="9"/>
  <c r="U402" i="9"/>
  <c r="T402" i="9"/>
  <c r="S402" i="9"/>
  <c r="R402" i="9"/>
  <c r="Q402" i="9"/>
  <c r="P402" i="9"/>
  <c r="O402" i="9"/>
  <c r="N402" i="9"/>
  <c r="M402" i="9"/>
  <c r="L402" i="9"/>
  <c r="K402" i="9"/>
  <c r="J402" i="9"/>
  <c r="I402" i="9"/>
  <c r="H402" i="9"/>
  <c r="G402" i="9"/>
  <c r="F402" i="9"/>
  <c r="AC401" i="9"/>
  <c r="AB401" i="9"/>
  <c r="AA401" i="9"/>
  <c r="Z401" i="9"/>
  <c r="Y401" i="9"/>
  <c r="X401" i="9"/>
  <c r="W401" i="9"/>
  <c r="V401" i="9"/>
  <c r="U401" i="9"/>
  <c r="T401" i="9"/>
  <c r="S401" i="9"/>
  <c r="R401" i="9"/>
  <c r="Q401" i="9"/>
  <c r="P401" i="9"/>
  <c r="O401" i="9"/>
  <c r="N401" i="9"/>
  <c r="M401" i="9"/>
  <c r="L401" i="9"/>
  <c r="K401" i="9"/>
  <c r="J401" i="9"/>
  <c r="I401" i="9"/>
  <c r="H401" i="9"/>
  <c r="G401" i="9"/>
  <c r="F401" i="9"/>
  <c r="AC400" i="9"/>
  <c r="AB400" i="9"/>
  <c r="AA400" i="9"/>
  <c r="Z400" i="9"/>
  <c r="Y400" i="9"/>
  <c r="X400" i="9"/>
  <c r="W400" i="9"/>
  <c r="V400" i="9"/>
  <c r="U400" i="9"/>
  <c r="T400" i="9"/>
  <c r="S400" i="9"/>
  <c r="R400" i="9"/>
  <c r="Q400" i="9"/>
  <c r="P400" i="9"/>
  <c r="O400" i="9"/>
  <c r="N400" i="9"/>
  <c r="M400" i="9"/>
  <c r="L400" i="9"/>
  <c r="K400" i="9"/>
  <c r="J400" i="9"/>
  <c r="I400" i="9"/>
  <c r="H400" i="9"/>
  <c r="G400" i="9"/>
  <c r="F400" i="9"/>
  <c r="AC399" i="9"/>
  <c r="AB399" i="9"/>
  <c r="AA399" i="9"/>
  <c r="Z399" i="9"/>
  <c r="Y399" i="9"/>
  <c r="X399" i="9"/>
  <c r="W399" i="9"/>
  <c r="V399" i="9"/>
  <c r="U399" i="9"/>
  <c r="T399" i="9"/>
  <c r="S399" i="9"/>
  <c r="R399" i="9"/>
  <c r="Q399" i="9"/>
  <c r="P399" i="9"/>
  <c r="O399" i="9"/>
  <c r="N399" i="9"/>
  <c r="M399" i="9"/>
  <c r="L399" i="9"/>
  <c r="K399" i="9"/>
  <c r="J399" i="9"/>
  <c r="I399" i="9"/>
  <c r="H399" i="9"/>
  <c r="G399" i="9"/>
  <c r="F399" i="9"/>
  <c r="AC398" i="9"/>
  <c r="AB398" i="9"/>
  <c r="AA398" i="9"/>
  <c r="Z398" i="9"/>
  <c r="Y398" i="9"/>
  <c r="X398" i="9"/>
  <c r="W398" i="9"/>
  <c r="V398" i="9"/>
  <c r="U398" i="9"/>
  <c r="T398" i="9"/>
  <c r="S398" i="9"/>
  <c r="R398" i="9"/>
  <c r="Q398" i="9"/>
  <c r="P398" i="9"/>
  <c r="O398" i="9"/>
  <c r="N398" i="9"/>
  <c r="M398" i="9"/>
  <c r="L398" i="9"/>
  <c r="K398" i="9"/>
  <c r="J398" i="9"/>
  <c r="I398" i="9"/>
  <c r="H398" i="9"/>
  <c r="G398" i="9"/>
  <c r="F398" i="9"/>
  <c r="AC397" i="9"/>
  <c r="AB397" i="9"/>
  <c r="AA397" i="9"/>
  <c r="Z397" i="9"/>
  <c r="Y397" i="9"/>
  <c r="X397" i="9"/>
  <c r="W397" i="9"/>
  <c r="V397" i="9"/>
  <c r="U397" i="9"/>
  <c r="T397" i="9"/>
  <c r="S397" i="9"/>
  <c r="R397" i="9"/>
  <c r="Q397" i="9"/>
  <c r="P397" i="9"/>
  <c r="O397" i="9"/>
  <c r="N397" i="9"/>
  <c r="M397" i="9"/>
  <c r="L397" i="9"/>
  <c r="K397" i="9"/>
  <c r="J397" i="9"/>
  <c r="I397" i="9"/>
  <c r="H397" i="9"/>
  <c r="G397" i="9"/>
  <c r="F397" i="9"/>
  <c r="AC396" i="9"/>
  <c r="AB396" i="9"/>
  <c r="AA396" i="9"/>
  <c r="Z396" i="9"/>
  <c r="Y396" i="9"/>
  <c r="X396" i="9"/>
  <c r="W396" i="9"/>
  <c r="V396" i="9"/>
  <c r="U396" i="9"/>
  <c r="T396" i="9"/>
  <c r="S396" i="9"/>
  <c r="R396" i="9"/>
  <c r="Q396" i="9"/>
  <c r="P396" i="9"/>
  <c r="O396" i="9"/>
  <c r="N396" i="9"/>
  <c r="M396" i="9"/>
  <c r="L396" i="9"/>
  <c r="K396" i="9"/>
  <c r="J396" i="9"/>
  <c r="I396" i="9"/>
  <c r="H396" i="9"/>
  <c r="G396" i="9"/>
  <c r="F396" i="9"/>
  <c r="AC395" i="9"/>
  <c r="AB395" i="9"/>
  <c r="AA395" i="9"/>
  <c r="Z395" i="9"/>
  <c r="Y395" i="9"/>
  <c r="X395" i="9"/>
  <c r="W395" i="9"/>
  <c r="V395" i="9"/>
  <c r="U395" i="9"/>
  <c r="T395" i="9"/>
  <c r="S395" i="9"/>
  <c r="R395" i="9"/>
  <c r="Q395" i="9"/>
  <c r="P395" i="9"/>
  <c r="O395" i="9"/>
  <c r="N395" i="9"/>
  <c r="M395" i="9"/>
  <c r="L395" i="9"/>
  <c r="K395" i="9"/>
  <c r="J395" i="9"/>
  <c r="I395" i="9"/>
  <c r="H395" i="9"/>
  <c r="G395" i="9"/>
  <c r="F395" i="9"/>
  <c r="AC394" i="9"/>
  <c r="AB394" i="9"/>
  <c r="AA394" i="9"/>
  <c r="Z394" i="9"/>
  <c r="Y394" i="9"/>
  <c r="X394" i="9"/>
  <c r="W394" i="9"/>
  <c r="V394" i="9"/>
  <c r="U394" i="9"/>
  <c r="T394" i="9"/>
  <c r="S394" i="9"/>
  <c r="R394" i="9"/>
  <c r="Q394" i="9"/>
  <c r="P394" i="9"/>
  <c r="O394" i="9"/>
  <c r="N394" i="9"/>
  <c r="M394" i="9"/>
  <c r="L394" i="9"/>
  <c r="K394" i="9"/>
  <c r="J394" i="9"/>
  <c r="I394" i="9"/>
  <c r="H394" i="9"/>
  <c r="G394" i="9"/>
  <c r="F394" i="9"/>
  <c r="AC393" i="9"/>
  <c r="AB393" i="9"/>
  <c r="AA393" i="9"/>
  <c r="Z393" i="9"/>
  <c r="Y393" i="9"/>
  <c r="X393" i="9"/>
  <c r="W393" i="9"/>
  <c r="V393" i="9"/>
  <c r="U393" i="9"/>
  <c r="T393" i="9"/>
  <c r="S393" i="9"/>
  <c r="R393" i="9"/>
  <c r="Q393" i="9"/>
  <c r="P393" i="9"/>
  <c r="O393" i="9"/>
  <c r="N393" i="9"/>
  <c r="M393" i="9"/>
  <c r="L393" i="9"/>
  <c r="K393" i="9"/>
  <c r="J393" i="9"/>
  <c r="I393" i="9"/>
  <c r="H393" i="9"/>
  <c r="G393" i="9"/>
  <c r="F393" i="9"/>
  <c r="AC392" i="9"/>
  <c r="AB392" i="9"/>
  <c r="AA392" i="9"/>
  <c r="Z392" i="9"/>
  <c r="Y392" i="9"/>
  <c r="X392" i="9"/>
  <c r="W392" i="9"/>
  <c r="V392" i="9"/>
  <c r="U392" i="9"/>
  <c r="T392" i="9"/>
  <c r="S392" i="9"/>
  <c r="R392" i="9"/>
  <c r="Q392" i="9"/>
  <c r="P392" i="9"/>
  <c r="O392" i="9"/>
  <c r="N392" i="9"/>
  <c r="M392" i="9"/>
  <c r="L392" i="9"/>
  <c r="K392" i="9"/>
  <c r="J392" i="9"/>
  <c r="I392" i="9"/>
  <c r="H392" i="9"/>
  <c r="G392" i="9"/>
  <c r="F392" i="9"/>
  <c r="AC391" i="9"/>
  <c r="AB391" i="9"/>
  <c r="AA391" i="9"/>
  <c r="Z391" i="9"/>
  <c r="Y391" i="9"/>
  <c r="X391" i="9"/>
  <c r="W391" i="9"/>
  <c r="V391" i="9"/>
  <c r="U391" i="9"/>
  <c r="T391" i="9"/>
  <c r="S391" i="9"/>
  <c r="R391" i="9"/>
  <c r="Q391" i="9"/>
  <c r="P391" i="9"/>
  <c r="O391" i="9"/>
  <c r="N391" i="9"/>
  <c r="M391" i="9"/>
  <c r="L391" i="9"/>
  <c r="K391" i="9"/>
  <c r="J391" i="9"/>
  <c r="I391" i="9"/>
  <c r="H391" i="9"/>
  <c r="G391" i="9"/>
  <c r="F391" i="9"/>
  <c r="AC390" i="9"/>
  <c r="AB390" i="9"/>
  <c r="AA390" i="9"/>
  <c r="Z390" i="9"/>
  <c r="Y390" i="9"/>
  <c r="X390" i="9"/>
  <c r="W390" i="9"/>
  <c r="V390" i="9"/>
  <c r="U390" i="9"/>
  <c r="T390" i="9"/>
  <c r="S390" i="9"/>
  <c r="R390" i="9"/>
  <c r="Q390" i="9"/>
  <c r="P390" i="9"/>
  <c r="O390" i="9"/>
  <c r="N390" i="9"/>
  <c r="M390" i="9"/>
  <c r="L390" i="9"/>
  <c r="K390" i="9"/>
  <c r="J390" i="9"/>
  <c r="I390" i="9"/>
  <c r="H390" i="9"/>
  <c r="G390" i="9"/>
  <c r="F390" i="9"/>
  <c r="AC389" i="9"/>
  <c r="AB389" i="9"/>
  <c r="AA389" i="9"/>
  <c r="Z389" i="9"/>
  <c r="Y389" i="9"/>
  <c r="X389" i="9"/>
  <c r="W389" i="9"/>
  <c r="V389" i="9"/>
  <c r="U389" i="9"/>
  <c r="T389" i="9"/>
  <c r="S389" i="9"/>
  <c r="R389" i="9"/>
  <c r="Q389" i="9"/>
  <c r="P389" i="9"/>
  <c r="O389" i="9"/>
  <c r="N389" i="9"/>
  <c r="M389" i="9"/>
  <c r="L389" i="9"/>
  <c r="K389" i="9"/>
  <c r="J389" i="9"/>
  <c r="I389" i="9"/>
  <c r="H389" i="9"/>
  <c r="G389" i="9"/>
  <c r="F389" i="9"/>
  <c r="AC388" i="9"/>
  <c r="AB388" i="9"/>
  <c r="AA388" i="9"/>
  <c r="Z388" i="9"/>
  <c r="Y388" i="9"/>
  <c r="X388" i="9"/>
  <c r="W388" i="9"/>
  <c r="V388" i="9"/>
  <c r="U388" i="9"/>
  <c r="T388" i="9"/>
  <c r="S388" i="9"/>
  <c r="R388" i="9"/>
  <c r="Q388" i="9"/>
  <c r="P388" i="9"/>
  <c r="O388" i="9"/>
  <c r="N388" i="9"/>
  <c r="M388" i="9"/>
  <c r="L388" i="9"/>
  <c r="K388" i="9"/>
  <c r="J388" i="9"/>
  <c r="I388" i="9"/>
  <c r="H388" i="9"/>
  <c r="G388" i="9"/>
  <c r="F388" i="9"/>
  <c r="AC387" i="9"/>
  <c r="AB387" i="9"/>
  <c r="AA387" i="9"/>
  <c r="Z387" i="9"/>
  <c r="Y387" i="9"/>
  <c r="X387" i="9"/>
  <c r="W387" i="9"/>
  <c r="V387" i="9"/>
  <c r="U387" i="9"/>
  <c r="T387" i="9"/>
  <c r="S387" i="9"/>
  <c r="R387" i="9"/>
  <c r="Q387" i="9"/>
  <c r="P387" i="9"/>
  <c r="O387" i="9"/>
  <c r="N387" i="9"/>
  <c r="M387" i="9"/>
  <c r="L387" i="9"/>
  <c r="K387" i="9"/>
  <c r="J387" i="9"/>
  <c r="I387" i="9"/>
  <c r="H387" i="9"/>
  <c r="G387" i="9"/>
  <c r="F387" i="9"/>
  <c r="AC386" i="9"/>
  <c r="AB386" i="9"/>
  <c r="AA386" i="9"/>
  <c r="Z386" i="9"/>
  <c r="Y386" i="9"/>
  <c r="X386" i="9"/>
  <c r="W386" i="9"/>
  <c r="V386" i="9"/>
  <c r="U386" i="9"/>
  <c r="T386" i="9"/>
  <c r="S386" i="9"/>
  <c r="R386" i="9"/>
  <c r="Q386" i="9"/>
  <c r="P386" i="9"/>
  <c r="O386" i="9"/>
  <c r="N386" i="9"/>
  <c r="M386" i="9"/>
  <c r="L386" i="9"/>
  <c r="K386" i="9"/>
  <c r="J386" i="9"/>
  <c r="I386" i="9"/>
  <c r="H386" i="9"/>
  <c r="G386" i="9"/>
  <c r="F386" i="9"/>
  <c r="AC385" i="9"/>
  <c r="AB385" i="9"/>
  <c r="AA385" i="9"/>
  <c r="Z385" i="9"/>
  <c r="Y385" i="9"/>
  <c r="X385" i="9"/>
  <c r="W385" i="9"/>
  <c r="V385" i="9"/>
  <c r="U385" i="9"/>
  <c r="T385" i="9"/>
  <c r="S385" i="9"/>
  <c r="R385" i="9"/>
  <c r="Q385" i="9"/>
  <c r="P385" i="9"/>
  <c r="O385" i="9"/>
  <c r="N385" i="9"/>
  <c r="M385" i="9"/>
  <c r="L385" i="9"/>
  <c r="K385" i="9"/>
  <c r="J385" i="9"/>
  <c r="I385" i="9"/>
  <c r="H385" i="9"/>
  <c r="G385" i="9"/>
  <c r="F385" i="9"/>
  <c r="AC384" i="9"/>
  <c r="AB384" i="9"/>
  <c r="AA384" i="9"/>
  <c r="Z384" i="9"/>
  <c r="Y384" i="9"/>
  <c r="X384" i="9"/>
  <c r="W384" i="9"/>
  <c r="V384" i="9"/>
  <c r="U384" i="9"/>
  <c r="T384" i="9"/>
  <c r="S384" i="9"/>
  <c r="R384" i="9"/>
  <c r="Q384" i="9"/>
  <c r="P384" i="9"/>
  <c r="O384" i="9"/>
  <c r="N384" i="9"/>
  <c r="M384" i="9"/>
  <c r="L384" i="9"/>
  <c r="K384" i="9"/>
  <c r="J384" i="9"/>
  <c r="I384" i="9"/>
  <c r="H384" i="9"/>
  <c r="G384" i="9"/>
  <c r="F384" i="9"/>
  <c r="AC383" i="9"/>
  <c r="AB383" i="9"/>
  <c r="AA383" i="9"/>
  <c r="Z383" i="9"/>
  <c r="Y383" i="9"/>
  <c r="X383" i="9"/>
  <c r="W383" i="9"/>
  <c r="V383" i="9"/>
  <c r="U383" i="9"/>
  <c r="T383" i="9"/>
  <c r="S383" i="9"/>
  <c r="R383" i="9"/>
  <c r="Q383" i="9"/>
  <c r="P383" i="9"/>
  <c r="O383" i="9"/>
  <c r="N383" i="9"/>
  <c r="M383" i="9"/>
  <c r="L383" i="9"/>
  <c r="K383" i="9"/>
  <c r="J383" i="9"/>
  <c r="I383" i="9"/>
  <c r="H383" i="9"/>
  <c r="G383" i="9"/>
  <c r="F383" i="9"/>
  <c r="AC382" i="9"/>
  <c r="AB382" i="9"/>
  <c r="AA382" i="9"/>
  <c r="Z382" i="9"/>
  <c r="Y382" i="9"/>
  <c r="X382" i="9"/>
  <c r="W382" i="9"/>
  <c r="V382" i="9"/>
  <c r="U382" i="9"/>
  <c r="T382" i="9"/>
  <c r="S382" i="9"/>
  <c r="R382" i="9"/>
  <c r="Q382" i="9"/>
  <c r="P382" i="9"/>
  <c r="O382" i="9"/>
  <c r="N382" i="9"/>
  <c r="M382" i="9"/>
  <c r="L382" i="9"/>
  <c r="K382" i="9"/>
  <c r="J382" i="9"/>
  <c r="I382" i="9"/>
  <c r="H382" i="9"/>
  <c r="G382" i="9"/>
  <c r="F382" i="9"/>
  <c r="AC381" i="9"/>
  <c r="AB381" i="9"/>
  <c r="AA381" i="9"/>
  <c r="Z381" i="9"/>
  <c r="Y381" i="9"/>
  <c r="X381" i="9"/>
  <c r="W381" i="9"/>
  <c r="V381" i="9"/>
  <c r="U381" i="9"/>
  <c r="T381" i="9"/>
  <c r="S381" i="9"/>
  <c r="R381" i="9"/>
  <c r="Q381" i="9"/>
  <c r="P381" i="9"/>
  <c r="O381" i="9"/>
  <c r="N381" i="9"/>
  <c r="M381" i="9"/>
  <c r="L381" i="9"/>
  <c r="K381" i="9"/>
  <c r="J381" i="9"/>
  <c r="I381" i="9"/>
  <c r="H381" i="9"/>
  <c r="G381" i="9"/>
  <c r="F381" i="9"/>
  <c r="AC380" i="9"/>
  <c r="AB380" i="9"/>
  <c r="AA380" i="9"/>
  <c r="Z380" i="9"/>
  <c r="Y380" i="9"/>
  <c r="X380" i="9"/>
  <c r="W380" i="9"/>
  <c r="V380" i="9"/>
  <c r="U380" i="9"/>
  <c r="T380" i="9"/>
  <c r="S380" i="9"/>
  <c r="R380" i="9"/>
  <c r="Q380" i="9"/>
  <c r="P380" i="9"/>
  <c r="O380" i="9"/>
  <c r="N380" i="9"/>
  <c r="M380" i="9"/>
  <c r="L380" i="9"/>
  <c r="K380" i="9"/>
  <c r="J380" i="9"/>
  <c r="I380" i="9"/>
  <c r="H380" i="9"/>
  <c r="G380" i="9"/>
  <c r="F380" i="9"/>
  <c r="AC379" i="9"/>
  <c r="AB379" i="9"/>
  <c r="AA379" i="9"/>
  <c r="Z379" i="9"/>
  <c r="Y379" i="9"/>
  <c r="X379" i="9"/>
  <c r="W379" i="9"/>
  <c r="V379" i="9"/>
  <c r="U379" i="9"/>
  <c r="T379" i="9"/>
  <c r="S379" i="9"/>
  <c r="R379" i="9"/>
  <c r="Q379" i="9"/>
  <c r="P379" i="9"/>
  <c r="O379" i="9"/>
  <c r="N379" i="9"/>
  <c r="M379" i="9"/>
  <c r="L379" i="9"/>
  <c r="K379" i="9"/>
  <c r="J379" i="9"/>
  <c r="I379" i="9"/>
  <c r="H379" i="9"/>
  <c r="G379" i="9"/>
  <c r="F379" i="9"/>
  <c r="AC378" i="9"/>
  <c r="AB378" i="9"/>
  <c r="AA378" i="9"/>
  <c r="Z378" i="9"/>
  <c r="Y378" i="9"/>
  <c r="X378" i="9"/>
  <c r="W378" i="9"/>
  <c r="V378" i="9"/>
  <c r="U378" i="9"/>
  <c r="T378" i="9"/>
  <c r="S378" i="9"/>
  <c r="R378" i="9"/>
  <c r="Q378" i="9"/>
  <c r="P378" i="9"/>
  <c r="O378" i="9"/>
  <c r="N378" i="9"/>
  <c r="M378" i="9"/>
  <c r="L378" i="9"/>
  <c r="K378" i="9"/>
  <c r="J378" i="9"/>
  <c r="I378" i="9"/>
  <c r="H378" i="9"/>
  <c r="G378" i="9"/>
  <c r="F378" i="9"/>
  <c r="AC377" i="9"/>
  <c r="AB377" i="9"/>
  <c r="AA377" i="9"/>
  <c r="Z377" i="9"/>
  <c r="Y377" i="9"/>
  <c r="X377" i="9"/>
  <c r="W377" i="9"/>
  <c r="V377" i="9"/>
  <c r="U377" i="9"/>
  <c r="T377" i="9"/>
  <c r="S377" i="9"/>
  <c r="R377" i="9"/>
  <c r="Q377" i="9"/>
  <c r="P377" i="9"/>
  <c r="O377" i="9"/>
  <c r="N377" i="9"/>
  <c r="M377" i="9"/>
  <c r="L377" i="9"/>
  <c r="K377" i="9"/>
  <c r="J377" i="9"/>
  <c r="I377" i="9"/>
  <c r="H377" i="9"/>
  <c r="G377" i="9"/>
  <c r="F377" i="9"/>
  <c r="AC376" i="9"/>
  <c r="AB376" i="9"/>
  <c r="AA376" i="9"/>
  <c r="Z376" i="9"/>
  <c r="Y376" i="9"/>
  <c r="X376" i="9"/>
  <c r="W376" i="9"/>
  <c r="V376" i="9"/>
  <c r="U376" i="9"/>
  <c r="T376" i="9"/>
  <c r="S376" i="9"/>
  <c r="R376" i="9"/>
  <c r="Q376" i="9"/>
  <c r="P376" i="9"/>
  <c r="O376" i="9"/>
  <c r="N376" i="9"/>
  <c r="M376" i="9"/>
  <c r="L376" i="9"/>
  <c r="K376" i="9"/>
  <c r="J376" i="9"/>
  <c r="I376" i="9"/>
  <c r="H376" i="9"/>
  <c r="G376" i="9"/>
  <c r="F376" i="9"/>
  <c r="AC375" i="9"/>
  <c r="AB375" i="9"/>
  <c r="AA375" i="9"/>
  <c r="Z375" i="9"/>
  <c r="Y375" i="9"/>
  <c r="X375" i="9"/>
  <c r="W375" i="9"/>
  <c r="V375" i="9"/>
  <c r="U375" i="9"/>
  <c r="T375" i="9"/>
  <c r="S375" i="9"/>
  <c r="R375" i="9"/>
  <c r="Q375" i="9"/>
  <c r="P375" i="9"/>
  <c r="O375" i="9"/>
  <c r="N375" i="9"/>
  <c r="M375" i="9"/>
  <c r="L375" i="9"/>
  <c r="K375" i="9"/>
  <c r="J375" i="9"/>
  <c r="I375" i="9"/>
  <c r="H375" i="9"/>
  <c r="G375" i="9"/>
  <c r="F375" i="9"/>
  <c r="AC374" i="9"/>
  <c r="AB374" i="9"/>
  <c r="AA374" i="9"/>
  <c r="Z374" i="9"/>
  <c r="Y374" i="9"/>
  <c r="X374" i="9"/>
  <c r="W374" i="9"/>
  <c r="V374" i="9"/>
  <c r="U374" i="9"/>
  <c r="T374" i="9"/>
  <c r="S374" i="9"/>
  <c r="R374" i="9"/>
  <c r="Q374" i="9"/>
  <c r="P374" i="9"/>
  <c r="O374" i="9"/>
  <c r="N374" i="9"/>
  <c r="M374" i="9"/>
  <c r="L374" i="9"/>
  <c r="K374" i="9"/>
  <c r="J374" i="9"/>
  <c r="I374" i="9"/>
  <c r="H374" i="9"/>
  <c r="G374" i="9"/>
  <c r="F374" i="9"/>
  <c r="AC373" i="9"/>
  <c r="AB373" i="9"/>
  <c r="AA373" i="9"/>
  <c r="Z373" i="9"/>
  <c r="Y373" i="9"/>
  <c r="X373" i="9"/>
  <c r="W373" i="9"/>
  <c r="V373" i="9"/>
  <c r="U373" i="9"/>
  <c r="T373" i="9"/>
  <c r="S373" i="9"/>
  <c r="R373" i="9"/>
  <c r="Q373" i="9"/>
  <c r="P373" i="9"/>
  <c r="O373" i="9"/>
  <c r="N373" i="9"/>
  <c r="M373" i="9"/>
  <c r="L373" i="9"/>
  <c r="K373" i="9"/>
  <c r="J373" i="9"/>
  <c r="I373" i="9"/>
  <c r="H373" i="9"/>
  <c r="G373" i="9"/>
  <c r="F373" i="9"/>
  <c r="AC372" i="9"/>
  <c r="AB372" i="9"/>
  <c r="AA372" i="9"/>
  <c r="Z372" i="9"/>
  <c r="Y372" i="9"/>
  <c r="X372" i="9"/>
  <c r="W372" i="9"/>
  <c r="V372" i="9"/>
  <c r="U372" i="9"/>
  <c r="T372" i="9"/>
  <c r="S372" i="9"/>
  <c r="R372" i="9"/>
  <c r="Q372" i="9"/>
  <c r="P372" i="9"/>
  <c r="O372" i="9"/>
  <c r="N372" i="9"/>
  <c r="M372" i="9"/>
  <c r="L372" i="9"/>
  <c r="K372" i="9"/>
  <c r="J372" i="9"/>
  <c r="I372" i="9"/>
  <c r="H372" i="9"/>
  <c r="G372" i="9"/>
  <c r="F372" i="9"/>
  <c r="AC371" i="9"/>
  <c r="AB371" i="9"/>
  <c r="AA371" i="9"/>
  <c r="Z371" i="9"/>
  <c r="Y371" i="9"/>
  <c r="X371" i="9"/>
  <c r="W371" i="9"/>
  <c r="V371" i="9"/>
  <c r="U371" i="9"/>
  <c r="T371" i="9"/>
  <c r="S371" i="9"/>
  <c r="R371" i="9"/>
  <c r="Q371" i="9"/>
  <c r="P371" i="9"/>
  <c r="O371" i="9"/>
  <c r="N371" i="9"/>
  <c r="M371" i="9"/>
  <c r="L371" i="9"/>
  <c r="K371" i="9"/>
  <c r="J371" i="9"/>
  <c r="I371" i="9"/>
  <c r="H371" i="9"/>
  <c r="G371" i="9"/>
  <c r="F371" i="9"/>
  <c r="AC370" i="9"/>
  <c r="AB370" i="9"/>
  <c r="AA370" i="9"/>
  <c r="Z370" i="9"/>
  <c r="Y370" i="9"/>
  <c r="X370" i="9"/>
  <c r="W370" i="9"/>
  <c r="V370" i="9"/>
  <c r="U370" i="9"/>
  <c r="T370" i="9"/>
  <c r="S370" i="9"/>
  <c r="R370" i="9"/>
  <c r="Q370" i="9"/>
  <c r="P370" i="9"/>
  <c r="O370" i="9"/>
  <c r="N370" i="9"/>
  <c r="M370" i="9"/>
  <c r="L370" i="9"/>
  <c r="K370" i="9"/>
  <c r="J370" i="9"/>
  <c r="I370" i="9"/>
  <c r="H370" i="9"/>
  <c r="G370" i="9"/>
  <c r="F370" i="9"/>
  <c r="AC369" i="9"/>
  <c r="AB369" i="9"/>
  <c r="AA369" i="9"/>
  <c r="Z369" i="9"/>
  <c r="Y369" i="9"/>
  <c r="X369" i="9"/>
  <c r="W369" i="9"/>
  <c r="V369" i="9"/>
  <c r="U369" i="9"/>
  <c r="T369" i="9"/>
  <c r="S369" i="9"/>
  <c r="R369" i="9"/>
  <c r="Q369" i="9"/>
  <c r="P369" i="9"/>
  <c r="O369" i="9"/>
  <c r="N369" i="9"/>
  <c r="M369" i="9"/>
  <c r="L369" i="9"/>
  <c r="K369" i="9"/>
  <c r="J369" i="9"/>
  <c r="I369" i="9"/>
  <c r="H369" i="9"/>
  <c r="G369" i="9"/>
  <c r="F369" i="9"/>
  <c r="AC368" i="9"/>
  <c r="AB368" i="9"/>
  <c r="AA368" i="9"/>
  <c r="Z368" i="9"/>
  <c r="Y368" i="9"/>
  <c r="X368" i="9"/>
  <c r="W368" i="9"/>
  <c r="V368" i="9"/>
  <c r="U368" i="9"/>
  <c r="T368" i="9"/>
  <c r="S368" i="9"/>
  <c r="R368" i="9"/>
  <c r="Q368" i="9"/>
  <c r="P368" i="9"/>
  <c r="O368" i="9"/>
  <c r="N368" i="9"/>
  <c r="M368" i="9"/>
  <c r="L368" i="9"/>
  <c r="K368" i="9"/>
  <c r="J368" i="9"/>
  <c r="I368" i="9"/>
  <c r="H368" i="9"/>
  <c r="G368" i="9"/>
  <c r="F368" i="9"/>
  <c r="AC367" i="9"/>
  <c r="AB367" i="9"/>
  <c r="AA367" i="9"/>
  <c r="Z367" i="9"/>
  <c r="Y367" i="9"/>
  <c r="X367" i="9"/>
  <c r="W367" i="9"/>
  <c r="V367" i="9"/>
  <c r="U367" i="9"/>
  <c r="T367" i="9"/>
  <c r="S367" i="9"/>
  <c r="R367" i="9"/>
  <c r="Q367" i="9"/>
  <c r="P367" i="9"/>
  <c r="O367" i="9"/>
  <c r="N367" i="9"/>
  <c r="M367" i="9"/>
  <c r="L367" i="9"/>
  <c r="K367" i="9"/>
  <c r="J367" i="9"/>
  <c r="I367" i="9"/>
  <c r="H367" i="9"/>
  <c r="G367" i="9"/>
  <c r="F367" i="9"/>
  <c r="AC366" i="9"/>
  <c r="AB366" i="9"/>
  <c r="AA366" i="9"/>
  <c r="Z366" i="9"/>
  <c r="Y366" i="9"/>
  <c r="X366" i="9"/>
  <c r="W366" i="9"/>
  <c r="V366" i="9"/>
  <c r="U366" i="9"/>
  <c r="T366" i="9"/>
  <c r="S366" i="9"/>
  <c r="R366" i="9"/>
  <c r="Q366" i="9"/>
  <c r="P366" i="9"/>
  <c r="O366" i="9"/>
  <c r="N366" i="9"/>
  <c r="M366" i="9"/>
  <c r="L366" i="9"/>
  <c r="K366" i="9"/>
  <c r="J366" i="9"/>
  <c r="I366" i="9"/>
  <c r="H366" i="9"/>
  <c r="G366" i="9"/>
  <c r="F366" i="9"/>
  <c r="AC365" i="9"/>
  <c r="AB365" i="9"/>
  <c r="AA365" i="9"/>
  <c r="Z365" i="9"/>
  <c r="Y365" i="9"/>
  <c r="X365" i="9"/>
  <c r="W365" i="9"/>
  <c r="V365" i="9"/>
  <c r="U365" i="9"/>
  <c r="T365" i="9"/>
  <c r="S365" i="9"/>
  <c r="R365" i="9"/>
  <c r="Q365" i="9"/>
  <c r="P365" i="9"/>
  <c r="O365" i="9"/>
  <c r="N365" i="9"/>
  <c r="M365" i="9"/>
  <c r="L365" i="9"/>
  <c r="K365" i="9"/>
  <c r="J365" i="9"/>
  <c r="I365" i="9"/>
  <c r="H365" i="9"/>
  <c r="G365" i="9"/>
  <c r="F365" i="9"/>
  <c r="AC364" i="9"/>
  <c r="AB364" i="9"/>
  <c r="AA364" i="9"/>
  <c r="Z364" i="9"/>
  <c r="Y364" i="9"/>
  <c r="X364" i="9"/>
  <c r="W364" i="9"/>
  <c r="V364" i="9"/>
  <c r="U364" i="9"/>
  <c r="T364" i="9"/>
  <c r="S364" i="9"/>
  <c r="R364" i="9"/>
  <c r="Q364" i="9"/>
  <c r="P364" i="9"/>
  <c r="O364" i="9"/>
  <c r="N364" i="9"/>
  <c r="M364" i="9"/>
  <c r="L364" i="9"/>
  <c r="K364" i="9"/>
  <c r="J364" i="9"/>
  <c r="I364" i="9"/>
  <c r="H364" i="9"/>
  <c r="G364" i="9"/>
  <c r="F364" i="9"/>
  <c r="AC363" i="9"/>
  <c r="AB363" i="9"/>
  <c r="AA363" i="9"/>
  <c r="Z363" i="9"/>
  <c r="Y363" i="9"/>
  <c r="X363" i="9"/>
  <c r="W363" i="9"/>
  <c r="V363" i="9"/>
  <c r="U363" i="9"/>
  <c r="T363" i="9"/>
  <c r="S363" i="9"/>
  <c r="R363" i="9"/>
  <c r="Q363" i="9"/>
  <c r="P363" i="9"/>
  <c r="O363" i="9"/>
  <c r="N363" i="9"/>
  <c r="M363" i="9"/>
  <c r="L363" i="9"/>
  <c r="K363" i="9"/>
  <c r="J363" i="9"/>
  <c r="I363" i="9"/>
  <c r="H363" i="9"/>
  <c r="G363" i="9"/>
  <c r="F363" i="9"/>
  <c r="AC362" i="9"/>
  <c r="AB362" i="9"/>
  <c r="AA362" i="9"/>
  <c r="Z362" i="9"/>
  <c r="Y362" i="9"/>
  <c r="X362" i="9"/>
  <c r="W362" i="9"/>
  <c r="V362" i="9"/>
  <c r="U362" i="9"/>
  <c r="T362" i="9"/>
  <c r="S362" i="9"/>
  <c r="R362" i="9"/>
  <c r="Q362" i="9"/>
  <c r="P362" i="9"/>
  <c r="O362" i="9"/>
  <c r="N362" i="9"/>
  <c r="M362" i="9"/>
  <c r="L362" i="9"/>
  <c r="K362" i="9"/>
  <c r="J362" i="9"/>
  <c r="I362" i="9"/>
  <c r="H362" i="9"/>
  <c r="G362" i="9"/>
  <c r="F362" i="9"/>
  <c r="AC361" i="9"/>
  <c r="AB361" i="9"/>
  <c r="AA361" i="9"/>
  <c r="Z361" i="9"/>
  <c r="Y361" i="9"/>
  <c r="X361" i="9"/>
  <c r="W361" i="9"/>
  <c r="V361" i="9"/>
  <c r="U361" i="9"/>
  <c r="T361" i="9"/>
  <c r="S361" i="9"/>
  <c r="R361" i="9"/>
  <c r="Q361" i="9"/>
  <c r="P361" i="9"/>
  <c r="O361" i="9"/>
  <c r="N361" i="9"/>
  <c r="M361" i="9"/>
  <c r="L361" i="9"/>
  <c r="K361" i="9"/>
  <c r="J361" i="9"/>
  <c r="I361" i="9"/>
  <c r="H361" i="9"/>
  <c r="G361" i="9"/>
  <c r="F361" i="9"/>
  <c r="AC360" i="9"/>
  <c r="AB360" i="9"/>
  <c r="AA360" i="9"/>
  <c r="Z360" i="9"/>
  <c r="Y360" i="9"/>
  <c r="X360" i="9"/>
  <c r="W360" i="9"/>
  <c r="V360" i="9"/>
  <c r="U360" i="9"/>
  <c r="T360" i="9"/>
  <c r="S360" i="9"/>
  <c r="R360" i="9"/>
  <c r="Q360" i="9"/>
  <c r="P360" i="9"/>
  <c r="O360" i="9"/>
  <c r="N360" i="9"/>
  <c r="M360" i="9"/>
  <c r="L360" i="9"/>
  <c r="K360" i="9"/>
  <c r="J360" i="9"/>
  <c r="I360" i="9"/>
  <c r="H360" i="9"/>
  <c r="G360" i="9"/>
  <c r="F360" i="9"/>
  <c r="AC359" i="9"/>
  <c r="AB359" i="9"/>
  <c r="AA359" i="9"/>
  <c r="Z359" i="9"/>
  <c r="Y359" i="9"/>
  <c r="X359" i="9"/>
  <c r="W359" i="9"/>
  <c r="V359" i="9"/>
  <c r="U359" i="9"/>
  <c r="T359" i="9"/>
  <c r="S359" i="9"/>
  <c r="R359" i="9"/>
  <c r="Q359" i="9"/>
  <c r="P359" i="9"/>
  <c r="O359" i="9"/>
  <c r="N359" i="9"/>
  <c r="M359" i="9"/>
  <c r="L359" i="9"/>
  <c r="K359" i="9"/>
  <c r="J359" i="9"/>
  <c r="I359" i="9"/>
  <c r="H359" i="9"/>
  <c r="G359" i="9"/>
  <c r="F359" i="9"/>
  <c r="AC358" i="9"/>
  <c r="AB358" i="9"/>
  <c r="AA358" i="9"/>
  <c r="Z358" i="9"/>
  <c r="Y358" i="9"/>
  <c r="X358" i="9"/>
  <c r="W358" i="9"/>
  <c r="V358" i="9"/>
  <c r="U358" i="9"/>
  <c r="T358" i="9"/>
  <c r="S358" i="9"/>
  <c r="R358" i="9"/>
  <c r="Q358" i="9"/>
  <c r="P358" i="9"/>
  <c r="O358" i="9"/>
  <c r="N358" i="9"/>
  <c r="M358" i="9"/>
  <c r="L358" i="9"/>
  <c r="K358" i="9"/>
  <c r="J358" i="9"/>
  <c r="I358" i="9"/>
  <c r="H358" i="9"/>
  <c r="G358" i="9"/>
  <c r="F358" i="9"/>
  <c r="AC357" i="9"/>
  <c r="AB357" i="9"/>
  <c r="AA357" i="9"/>
  <c r="Z357" i="9"/>
  <c r="Y357" i="9"/>
  <c r="X357" i="9"/>
  <c r="W357" i="9"/>
  <c r="V357" i="9"/>
  <c r="U357" i="9"/>
  <c r="T357" i="9"/>
  <c r="S357" i="9"/>
  <c r="R357" i="9"/>
  <c r="Q357" i="9"/>
  <c r="P357" i="9"/>
  <c r="O357" i="9"/>
  <c r="N357" i="9"/>
  <c r="M357" i="9"/>
  <c r="L357" i="9"/>
  <c r="K357" i="9"/>
  <c r="J357" i="9"/>
  <c r="I357" i="9"/>
  <c r="H357" i="9"/>
  <c r="G357" i="9"/>
  <c r="F357" i="9"/>
  <c r="AC356" i="9"/>
  <c r="AB356" i="9"/>
  <c r="AA356" i="9"/>
  <c r="Z356" i="9"/>
  <c r="Y356" i="9"/>
  <c r="X356" i="9"/>
  <c r="W356" i="9"/>
  <c r="V356" i="9"/>
  <c r="U356" i="9"/>
  <c r="T356" i="9"/>
  <c r="S356" i="9"/>
  <c r="R356" i="9"/>
  <c r="Q356" i="9"/>
  <c r="P356" i="9"/>
  <c r="O356" i="9"/>
  <c r="N356" i="9"/>
  <c r="M356" i="9"/>
  <c r="L356" i="9"/>
  <c r="K356" i="9"/>
  <c r="J356" i="9"/>
  <c r="I356" i="9"/>
  <c r="H356" i="9"/>
  <c r="G356" i="9"/>
  <c r="F356" i="9"/>
  <c r="AC355" i="9"/>
  <c r="AB355" i="9"/>
  <c r="AA355" i="9"/>
  <c r="Z355" i="9"/>
  <c r="Y355" i="9"/>
  <c r="X355" i="9"/>
  <c r="W355" i="9"/>
  <c r="V355" i="9"/>
  <c r="U355" i="9"/>
  <c r="T355" i="9"/>
  <c r="S355" i="9"/>
  <c r="R355" i="9"/>
  <c r="Q355" i="9"/>
  <c r="P355" i="9"/>
  <c r="O355" i="9"/>
  <c r="N355" i="9"/>
  <c r="M355" i="9"/>
  <c r="L355" i="9"/>
  <c r="K355" i="9"/>
  <c r="J355" i="9"/>
  <c r="I355" i="9"/>
  <c r="H355" i="9"/>
  <c r="G355" i="9"/>
  <c r="F355" i="9"/>
  <c r="AC354" i="9"/>
  <c r="AB354" i="9"/>
  <c r="AA354" i="9"/>
  <c r="Z354" i="9"/>
  <c r="Y354" i="9"/>
  <c r="X354" i="9"/>
  <c r="W354" i="9"/>
  <c r="V354" i="9"/>
  <c r="U354" i="9"/>
  <c r="T354" i="9"/>
  <c r="S354" i="9"/>
  <c r="R354" i="9"/>
  <c r="Q354" i="9"/>
  <c r="P354" i="9"/>
  <c r="O354" i="9"/>
  <c r="N354" i="9"/>
  <c r="M354" i="9"/>
  <c r="L354" i="9"/>
  <c r="K354" i="9"/>
  <c r="J354" i="9"/>
  <c r="I354" i="9"/>
  <c r="H354" i="9"/>
  <c r="G354" i="9"/>
  <c r="F354" i="9"/>
  <c r="AC353" i="9"/>
  <c r="AB353" i="9"/>
  <c r="AA353" i="9"/>
  <c r="Z353" i="9"/>
  <c r="Y353" i="9"/>
  <c r="X353" i="9"/>
  <c r="W353" i="9"/>
  <c r="V353" i="9"/>
  <c r="U353" i="9"/>
  <c r="T353" i="9"/>
  <c r="S353" i="9"/>
  <c r="R353" i="9"/>
  <c r="Q353" i="9"/>
  <c r="P353" i="9"/>
  <c r="O353" i="9"/>
  <c r="N353" i="9"/>
  <c r="M353" i="9"/>
  <c r="L353" i="9"/>
  <c r="K353" i="9"/>
  <c r="J353" i="9"/>
  <c r="I353" i="9"/>
  <c r="H353" i="9"/>
  <c r="G353" i="9"/>
  <c r="F353" i="9"/>
  <c r="AC352" i="9"/>
  <c r="AB352" i="9"/>
  <c r="AA352" i="9"/>
  <c r="Z352" i="9"/>
  <c r="Y352" i="9"/>
  <c r="X352" i="9"/>
  <c r="W352" i="9"/>
  <c r="V352" i="9"/>
  <c r="U352" i="9"/>
  <c r="T352" i="9"/>
  <c r="S352" i="9"/>
  <c r="R352" i="9"/>
  <c r="Q352" i="9"/>
  <c r="P352" i="9"/>
  <c r="O352" i="9"/>
  <c r="N352" i="9"/>
  <c r="M352" i="9"/>
  <c r="L352" i="9"/>
  <c r="K352" i="9"/>
  <c r="J352" i="9"/>
  <c r="I352" i="9"/>
  <c r="H352" i="9"/>
  <c r="G352" i="9"/>
  <c r="F352" i="9"/>
  <c r="AC351" i="9"/>
  <c r="AB351" i="9"/>
  <c r="AA351" i="9"/>
  <c r="Z351" i="9"/>
  <c r="Y351" i="9"/>
  <c r="X351" i="9"/>
  <c r="W351" i="9"/>
  <c r="V351" i="9"/>
  <c r="U351" i="9"/>
  <c r="T351" i="9"/>
  <c r="S351" i="9"/>
  <c r="R351" i="9"/>
  <c r="Q351" i="9"/>
  <c r="P351" i="9"/>
  <c r="O351" i="9"/>
  <c r="N351" i="9"/>
  <c r="M351" i="9"/>
  <c r="L351" i="9"/>
  <c r="K351" i="9"/>
  <c r="J351" i="9"/>
  <c r="I351" i="9"/>
  <c r="H351" i="9"/>
  <c r="G351" i="9"/>
  <c r="F351" i="9"/>
  <c r="AC350" i="9"/>
  <c r="AB350" i="9"/>
  <c r="AA350" i="9"/>
  <c r="Z350" i="9"/>
  <c r="Y350" i="9"/>
  <c r="X350" i="9"/>
  <c r="W350" i="9"/>
  <c r="V350" i="9"/>
  <c r="U350" i="9"/>
  <c r="T350" i="9"/>
  <c r="S350" i="9"/>
  <c r="R350" i="9"/>
  <c r="Q350" i="9"/>
  <c r="P350" i="9"/>
  <c r="O350" i="9"/>
  <c r="N350" i="9"/>
  <c r="M350" i="9"/>
  <c r="L350" i="9"/>
  <c r="K350" i="9"/>
  <c r="J350" i="9"/>
  <c r="I350" i="9"/>
  <c r="H350" i="9"/>
  <c r="G350" i="9"/>
  <c r="F350" i="9"/>
  <c r="AC349" i="9"/>
  <c r="AB349" i="9"/>
  <c r="AA349" i="9"/>
  <c r="Z349" i="9"/>
  <c r="Y349" i="9"/>
  <c r="X349" i="9"/>
  <c r="W349" i="9"/>
  <c r="V349" i="9"/>
  <c r="U349" i="9"/>
  <c r="T349" i="9"/>
  <c r="S349" i="9"/>
  <c r="R349" i="9"/>
  <c r="Q349" i="9"/>
  <c r="P349" i="9"/>
  <c r="O349" i="9"/>
  <c r="N349" i="9"/>
  <c r="M349" i="9"/>
  <c r="L349" i="9"/>
  <c r="K349" i="9"/>
  <c r="J349" i="9"/>
  <c r="I349" i="9"/>
  <c r="H349" i="9"/>
  <c r="G349" i="9"/>
  <c r="F349" i="9"/>
  <c r="AC348" i="9"/>
  <c r="AB348" i="9"/>
  <c r="AA348" i="9"/>
  <c r="Z348" i="9"/>
  <c r="Y348" i="9"/>
  <c r="X348" i="9"/>
  <c r="W348" i="9"/>
  <c r="V348" i="9"/>
  <c r="U348" i="9"/>
  <c r="T348" i="9"/>
  <c r="S348" i="9"/>
  <c r="R348" i="9"/>
  <c r="Q348" i="9"/>
  <c r="P348" i="9"/>
  <c r="O348" i="9"/>
  <c r="N348" i="9"/>
  <c r="M348" i="9"/>
  <c r="L348" i="9"/>
  <c r="K348" i="9"/>
  <c r="J348" i="9"/>
  <c r="I348" i="9"/>
  <c r="H348" i="9"/>
  <c r="G348" i="9"/>
  <c r="F348" i="9"/>
  <c r="AC347" i="9"/>
  <c r="AB347" i="9"/>
  <c r="AA347" i="9"/>
  <c r="Z347" i="9"/>
  <c r="Y347" i="9"/>
  <c r="X347" i="9"/>
  <c r="W347" i="9"/>
  <c r="V347" i="9"/>
  <c r="U347" i="9"/>
  <c r="T347" i="9"/>
  <c r="S347" i="9"/>
  <c r="R347" i="9"/>
  <c r="Q347" i="9"/>
  <c r="P347" i="9"/>
  <c r="O347" i="9"/>
  <c r="N347" i="9"/>
  <c r="M347" i="9"/>
  <c r="L347" i="9"/>
  <c r="K347" i="9"/>
  <c r="J347" i="9"/>
  <c r="I347" i="9"/>
  <c r="H347" i="9"/>
  <c r="G347" i="9"/>
  <c r="F347" i="9"/>
  <c r="AC346" i="9"/>
  <c r="AB346" i="9"/>
  <c r="AA346" i="9"/>
  <c r="Z346" i="9"/>
  <c r="Y346" i="9"/>
  <c r="X346" i="9"/>
  <c r="W346" i="9"/>
  <c r="V346" i="9"/>
  <c r="U346" i="9"/>
  <c r="T346" i="9"/>
  <c r="S346" i="9"/>
  <c r="R346" i="9"/>
  <c r="Q346" i="9"/>
  <c r="P346" i="9"/>
  <c r="O346" i="9"/>
  <c r="N346" i="9"/>
  <c r="M346" i="9"/>
  <c r="L346" i="9"/>
  <c r="K346" i="9"/>
  <c r="J346" i="9"/>
  <c r="I346" i="9"/>
  <c r="H346" i="9"/>
  <c r="G346" i="9"/>
  <c r="F346" i="9"/>
  <c r="AC345" i="9"/>
  <c r="AB345" i="9"/>
  <c r="AA345" i="9"/>
  <c r="Z345" i="9"/>
  <c r="Y345" i="9"/>
  <c r="X345" i="9"/>
  <c r="W345" i="9"/>
  <c r="V345" i="9"/>
  <c r="U345" i="9"/>
  <c r="T345" i="9"/>
  <c r="S345" i="9"/>
  <c r="R345" i="9"/>
  <c r="Q345" i="9"/>
  <c r="P345" i="9"/>
  <c r="O345" i="9"/>
  <c r="N345" i="9"/>
  <c r="M345" i="9"/>
  <c r="L345" i="9"/>
  <c r="K345" i="9"/>
  <c r="J345" i="9"/>
  <c r="I345" i="9"/>
  <c r="H345" i="9"/>
  <c r="G345" i="9"/>
  <c r="F345" i="9"/>
  <c r="AC344" i="9"/>
  <c r="AB344" i="9"/>
  <c r="AA344" i="9"/>
  <c r="Z344" i="9"/>
  <c r="Y344" i="9"/>
  <c r="X344" i="9"/>
  <c r="W344" i="9"/>
  <c r="V344" i="9"/>
  <c r="U344" i="9"/>
  <c r="T344" i="9"/>
  <c r="S344" i="9"/>
  <c r="R344" i="9"/>
  <c r="Q344" i="9"/>
  <c r="P344" i="9"/>
  <c r="O344" i="9"/>
  <c r="N344" i="9"/>
  <c r="M344" i="9"/>
  <c r="L344" i="9"/>
  <c r="K344" i="9"/>
  <c r="J344" i="9"/>
  <c r="I344" i="9"/>
  <c r="H344" i="9"/>
  <c r="G344" i="9"/>
  <c r="F344" i="9"/>
  <c r="AC343" i="9"/>
  <c r="AB343" i="9"/>
  <c r="AA343" i="9"/>
  <c r="Z343" i="9"/>
  <c r="Y343" i="9"/>
  <c r="X343" i="9"/>
  <c r="W343" i="9"/>
  <c r="V343" i="9"/>
  <c r="U343" i="9"/>
  <c r="T343" i="9"/>
  <c r="S343" i="9"/>
  <c r="R343" i="9"/>
  <c r="Q343" i="9"/>
  <c r="P343" i="9"/>
  <c r="O343" i="9"/>
  <c r="N343" i="9"/>
  <c r="M343" i="9"/>
  <c r="L343" i="9"/>
  <c r="K343" i="9"/>
  <c r="J343" i="9"/>
  <c r="I343" i="9"/>
  <c r="H343" i="9"/>
  <c r="G343" i="9"/>
  <c r="F343" i="9"/>
  <c r="AC342" i="9"/>
  <c r="AB342" i="9"/>
  <c r="AA342" i="9"/>
  <c r="Z342" i="9"/>
  <c r="Y342" i="9"/>
  <c r="X342" i="9"/>
  <c r="W342" i="9"/>
  <c r="V342" i="9"/>
  <c r="U342" i="9"/>
  <c r="T342" i="9"/>
  <c r="S342" i="9"/>
  <c r="R342" i="9"/>
  <c r="Q342" i="9"/>
  <c r="P342" i="9"/>
  <c r="O342" i="9"/>
  <c r="N342" i="9"/>
  <c r="M342" i="9"/>
  <c r="L342" i="9"/>
  <c r="K342" i="9"/>
  <c r="J342" i="9"/>
  <c r="I342" i="9"/>
  <c r="H342" i="9"/>
  <c r="G342" i="9"/>
  <c r="F342" i="9"/>
  <c r="AC341" i="9"/>
  <c r="AB341" i="9"/>
  <c r="AA341" i="9"/>
  <c r="Z341" i="9"/>
  <c r="Y341" i="9"/>
  <c r="X341" i="9"/>
  <c r="W341" i="9"/>
  <c r="V341" i="9"/>
  <c r="U341" i="9"/>
  <c r="T341" i="9"/>
  <c r="S341" i="9"/>
  <c r="R341" i="9"/>
  <c r="Q341" i="9"/>
  <c r="P341" i="9"/>
  <c r="O341" i="9"/>
  <c r="N341" i="9"/>
  <c r="M341" i="9"/>
  <c r="L341" i="9"/>
  <c r="K341" i="9"/>
  <c r="J341" i="9"/>
  <c r="I341" i="9"/>
  <c r="H341" i="9"/>
  <c r="G341" i="9"/>
  <c r="F341" i="9"/>
  <c r="AC340" i="9"/>
  <c r="AB340" i="9"/>
  <c r="AA340" i="9"/>
  <c r="Z340" i="9"/>
  <c r="Y340" i="9"/>
  <c r="X340" i="9"/>
  <c r="W340" i="9"/>
  <c r="V340" i="9"/>
  <c r="U340" i="9"/>
  <c r="T340" i="9"/>
  <c r="S340" i="9"/>
  <c r="R340" i="9"/>
  <c r="Q340" i="9"/>
  <c r="P340" i="9"/>
  <c r="O340" i="9"/>
  <c r="N340" i="9"/>
  <c r="M340" i="9"/>
  <c r="L340" i="9"/>
  <c r="K340" i="9"/>
  <c r="J340" i="9"/>
  <c r="I340" i="9"/>
  <c r="H340" i="9"/>
  <c r="G340" i="9"/>
  <c r="F340" i="9"/>
  <c r="AC339" i="9"/>
  <c r="AB339" i="9"/>
  <c r="AA339" i="9"/>
  <c r="Z339" i="9"/>
  <c r="Y339" i="9"/>
  <c r="X339" i="9"/>
  <c r="W339" i="9"/>
  <c r="V339" i="9"/>
  <c r="U339" i="9"/>
  <c r="T339" i="9"/>
  <c r="S339" i="9"/>
  <c r="R339" i="9"/>
  <c r="Q339" i="9"/>
  <c r="P339" i="9"/>
  <c r="O339" i="9"/>
  <c r="N339" i="9"/>
  <c r="M339" i="9"/>
  <c r="L339" i="9"/>
  <c r="K339" i="9"/>
  <c r="J339" i="9"/>
  <c r="I339" i="9"/>
  <c r="H339" i="9"/>
  <c r="G339" i="9"/>
  <c r="F339" i="9"/>
  <c r="AC338" i="9"/>
  <c r="AB338" i="9"/>
  <c r="AA338" i="9"/>
  <c r="Z338" i="9"/>
  <c r="Y338" i="9"/>
  <c r="X338" i="9"/>
  <c r="W338" i="9"/>
  <c r="V338" i="9"/>
  <c r="U338" i="9"/>
  <c r="T338" i="9"/>
  <c r="S338" i="9"/>
  <c r="R338" i="9"/>
  <c r="Q338" i="9"/>
  <c r="P338" i="9"/>
  <c r="O338" i="9"/>
  <c r="N338" i="9"/>
  <c r="M338" i="9"/>
  <c r="L338" i="9"/>
  <c r="K338" i="9"/>
  <c r="J338" i="9"/>
  <c r="I338" i="9"/>
  <c r="H338" i="9"/>
  <c r="G338" i="9"/>
  <c r="F338" i="9"/>
  <c r="AC337" i="9"/>
  <c r="AB337" i="9"/>
  <c r="AA337" i="9"/>
  <c r="Z337" i="9"/>
  <c r="Y337" i="9"/>
  <c r="X337" i="9"/>
  <c r="W337" i="9"/>
  <c r="V337" i="9"/>
  <c r="U337" i="9"/>
  <c r="T337" i="9"/>
  <c r="S337" i="9"/>
  <c r="R337" i="9"/>
  <c r="Q337" i="9"/>
  <c r="P337" i="9"/>
  <c r="O337" i="9"/>
  <c r="N337" i="9"/>
  <c r="M337" i="9"/>
  <c r="L337" i="9"/>
  <c r="K337" i="9"/>
  <c r="J337" i="9"/>
  <c r="I337" i="9"/>
  <c r="H337" i="9"/>
  <c r="G337" i="9"/>
  <c r="F337" i="9"/>
  <c r="AC336" i="9"/>
  <c r="AB336" i="9"/>
  <c r="AA336" i="9"/>
  <c r="Z336" i="9"/>
  <c r="Y336" i="9"/>
  <c r="X336" i="9"/>
  <c r="W336" i="9"/>
  <c r="V336" i="9"/>
  <c r="U336" i="9"/>
  <c r="T336" i="9"/>
  <c r="S336" i="9"/>
  <c r="R336" i="9"/>
  <c r="Q336" i="9"/>
  <c r="P336" i="9"/>
  <c r="O336" i="9"/>
  <c r="N336" i="9"/>
  <c r="M336" i="9"/>
  <c r="L336" i="9"/>
  <c r="K336" i="9"/>
  <c r="J336" i="9"/>
  <c r="I336" i="9"/>
  <c r="H336" i="9"/>
  <c r="G336" i="9"/>
  <c r="F336" i="9"/>
  <c r="AC335" i="9"/>
  <c r="AB335" i="9"/>
  <c r="AA335" i="9"/>
  <c r="Z335" i="9"/>
  <c r="Y335" i="9"/>
  <c r="X335" i="9"/>
  <c r="W335" i="9"/>
  <c r="V335" i="9"/>
  <c r="U335" i="9"/>
  <c r="T335" i="9"/>
  <c r="S335" i="9"/>
  <c r="R335" i="9"/>
  <c r="Q335" i="9"/>
  <c r="P335" i="9"/>
  <c r="O335" i="9"/>
  <c r="N335" i="9"/>
  <c r="M335" i="9"/>
  <c r="L335" i="9"/>
  <c r="K335" i="9"/>
  <c r="J335" i="9"/>
  <c r="I335" i="9"/>
  <c r="H335" i="9"/>
  <c r="G335" i="9"/>
  <c r="F335" i="9"/>
  <c r="AC334" i="9"/>
  <c r="AB334" i="9"/>
  <c r="AA334" i="9"/>
  <c r="Z334" i="9"/>
  <c r="Y334" i="9"/>
  <c r="X334" i="9"/>
  <c r="W334" i="9"/>
  <c r="V334" i="9"/>
  <c r="U334" i="9"/>
  <c r="T334" i="9"/>
  <c r="S334" i="9"/>
  <c r="R334" i="9"/>
  <c r="Q334" i="9"/>
  <c r="P334" i="9"/>
  <c r="O334" i="9"/>
  <c r="N334" i="9"/>
  <c r="M334" i="9"/>
  <c r="L334" i="9"/>
  <c r="K334" i="9"/>
  <c r="J334" i="9"/>
  <c r="I334" i="9"/>
  <c r="H334" i="9"/>
  <c r="G334" i="9"/>
  <c r="F334" i="9"/>
  <c r="AC333" i="9"/>
  <c r="AB333" i="9"/>
  <c r="AA333" i="9"/>
  <c r="Z333" i="9"/>
  <c r="Y333" i="9"/>
  <c r="X333" i="9"/>
  <c r="W333" i="9"/>
  <c r="V333" i="9"/>
  <c r="U333" i="9"/>
  <c r="T333" i="9"/>
  <c r="S333" i="9"/>
  <c r="R333" i="9"/>
  <c r="Q333" i="9"/>
  <c r="P333" i="9"/>
  <c r="O333" i="9"/>
  <c r="N333" i="9"/>
  <c r="M333" i="9"/>
  <c r="L333" i="9"/>
  <c r="K333" i="9"/>
  <c r="J333" i="9"/>
  <c r="I333" i="9"/>
  <c r="H333" i="9"/>
  <c r="G333" i="9"/>
  <c r="F333" i="9"/>
  <c r="AC332" i="9"/>
  <c r="AB332" i="9"/>
  <c r="AA332" i="9"/>
  <c r="Z332" i="9"/>
  <c r="Y332" i="9"/>
  <c r="X332" i="9"/>
  <c r="W332" i="9"/>
  <c r="V332" i="9"/>
  <c r="U332" i="9"/>
  <c r="T332" i="9"/>
  <c r="S332" i="9"/>
  <c r="R332" i="9"/>
  <c r="Q332" i="9"/>
  <c r="P332" i="9"/>
  <c r="O332" i="9"/>
  <c r="N332" i="9"/>
  <c r="M332" i="9"/>
  <c r="L332" i="9"/>
  <c r="K332" i="9"/>
  <c r="J332" i="9"/>
  <c r="I332" i="9"/>
  <c r="H332" i="9"/>
  <c r="G332" i="9"/>
  <c r="F332" i="9"/>
  <c r="AC331" i="9"/>
  <c r="AB331" i="9"/>
  <c r="AA331" i="9"/>
  <c r="Z331" i="9"/>
  <c r="Y331" i="9"/>
  <c r="X331" i="9"/>
  <c r="W331" i="9"/>
  <c r="V331" i="9"/>
  <c r="U331" i="9"/>
  <c r="T331" i="9"/>
  <c r="S331" i="9"/>
  <c r="R331" i="9"/>
  <c r="Q331" i="9"/>
  <c r="P331" i="9"/>
  <c r="O331" i="9"/>
  <c r="N331" i="9"/>
  <c r="M331" i="9"/>
  <c r="L331" i="9"/>
  <c r="K331" i="9"/>
  <c r="J331" i="9"/>
  <c r="I331" i="9"/>
  <c r="H331" i="9"/>
  <c r="G331" i="9"/>
  <c r="F331" i="9"/>
  <c r="AC330" i="9"/>
  <c r="AB330" i="9"/>
  <c r="AA330" i="9"/>
  <c r="Z330" i="9"/>
  <c r="Y330" i="9"/>
  <c r="X330" i="9"/>
  <c r="W330" i="9"/>
  <c r="V330" i="9"/>
  <c r="U330" i="9"/>
  <c r="T330" i="9"/>
  <c r="S330" i="9"/>
  <c r="R330" i="9"/>
  <c r="Q330" i="9"/>
  <c r="P330" i="9"/>
  <c r="O330" i="9"/>
  <c r="N330" i="9"/>
  <c r="M330" i="9"/>
  <c r="L330" i="9"/>
  <c r="K330" i="9"/>
  <c r="J330" i="9"/>
  <c r="I330" i="9"/>
  <c r="H330" i="9"/>
  <c r="G330" i="9"/>
  <c r="F330" i="9"/>
  <c r="AC329" i="9"/>
  <c r="AB329" i="9"/>
  <c r="AA329" i="9"/>
  <c r="Z329" i="9"/>
  <c r="Y329" i="9"/>
  <c r="X329" i="9"/>
  <c r="W329" i="9"/>
  <c r="V329" i="9"/>
  <c r="U329" i="9"/>
  <c r="T329" i="9"/>
  <c r="S329" i="9"/>
  <c r="R329" i="9"/>
  <c r="Q329" i="9"/>
  <c r="P329" i="9"/>
  <c r="O329" i="9"/>
  <c r="N329" i="9"/>
  <c r="M329" i="9"/>
  <c r="L329" i="9"/>
  <c r="K329" i="9"/>
  <c r="J329" i="9"/>
  <c r="I329" i="9"/>
  <c r="H329" i="9"/>
  <c r="G329" i="9"/>
  <c r="F329" i="9"/>
  <c r="AC328" i="9"/>
  <c r="AB328" i="9"/>
  <c r="AA328" i="9"/>
  <c r="Z328" i="9"/>
  <c r="Y328" i="9"/>
  <c r="X328" i="9"/>
  <c r="W328" i="9"/>
  <c r="V328" i="9"/>
  <c r="U328" i="9"/>
  <c r="T328" i="9"/>
  <c r="S328" i="9"/>
  <c r="R328" i="9"/>
  <c r="Q328" i="9"/>
  <c r="P328" i="9"/>
  <c r="O328" i="9"/>
  <c r="N328" i="9"/>
  <c r="M328" i="9"/>
  <c r="L328" i="9"/>
  <c r="K328" i="9"/>
  <c r="J328" i="9"/>
  <c r="I328" i="9"/>
  <c r="H328" i="9"/>
  <c r="G328" i="9"/>
  <c r="F328" i="9"/>
  <c r="AC327" i="9"/>
  <c r="AB327" i="9"/>
  <c r="AA327" i="9"/>
  <c r="Z327" i="9"/>
  <c r="Y327" i="9"/>
  <c r="X327" i="9"/>
  <c r="W327" i="9"/>
  <c r="V327" i="9"/>
  <c r="U327" i="9"/>
  <c r="T327" i="9"/>
  <c r="S327" i="9"/>
  <c r="R327" i="9"/>
  <c r="Q327" i="9"/>
  <c r="P327" i="9"/>
  <c r="O327" i="9"/>
  <c r="N327" i="9"/>
  <c r="M327" i="9"/>
  <c r="L327" i="9"/>
  <c r="K327" i="9"/>
  <c r="J327" i="9"/>
  <c r="I327" i="9"/>
  <c r="H327" i="9"/>
  <c r="G327" i="9"/>
  <c r="F327" i="9"/>
  <c r="AC326" i="9"/>
  <c r="AB326" i="9"/>
  <c r="AA326" i="9"/>
  <c r="Z326" i="9"/>
  <c r="Y326" i="9"/>
  <c r="X326" i="9"/>
  <c r="W326" i="9"/>
  <c r="V326" i="9"/>
  <c r="U326" i="9"/>
  <c r="T326" i="9"/>
  <c r="S326" i="9"/>
  <c r="R326" i="9"/>
  <c r="Q326" i="9"/>
  <c r="P326" i="9"/>
  <c r="O326" i="9"/>
  <c r="N326" i="9"/>
  <c r="M326" i="9"/>
  <c r="L326" i="9"/>
  <c r="K326" i="9"/>
  <c r="J326" i="9"/>
  <c r="I326" i="9"/>
  <c r="H326" i="9"/>
  <c r="G326" i="9"/>
  <c r="F326" i="9"/>
  <c r="AC325" i="9"/>
  <c r="AB325" i="9"/>
  <c r="AA325" i="9"/>
  <c r="Z325" i="9"/>
  <c r="Y325" i="9"/>
  <c r="X325" i="9"/>
  <c r="W325" i="9"/>
  <c r="V325" i="9"/>
  <c r="U325" i="9"/>
  <c r="T325" i="9"/>
  <c r="S325" i="9"/>
  <c r="R325" i="9"/>
  <c r="Q325" i="9"/>
  <c r="P325" i="9"/>
  <c r="O325" i="9"/>
  <c r="N325" i="9"/>
  <c r="M325" i="9"/>
  <c r="L325" i="9"/>
  <c r="K325" i="9"/>
  <c r="J325" i="9"/>
  <c r="I325" i="9"/>
  <c r="H325" i="9"/>
  <c r="G325" i="9"/>
  <c r="F325" i="9"/>
  <c r="AC324" i="9"/>
  <c r="AB324" i="9"/>
  <c r="AA324" i="9"/>
  <c r="Z324" i="9"/>
  <c r="Y324" i="9"/>
  <c r="X324" i="9"/>
  <c r="W324" i="9"/>
  <c r="V324" i="9"/>
  <c r="U324" i="9"/>
  <c r="T324" i="9"/>
  <c r="S324" i="9"/>
  <c r="R324" i="9"/>
  <c r="Q324" i="9"/>
  <c r="P324" i="9"/>
  <c r="O324" i="9"/>
  <c r="N324" i="9"/>
  <c r="M324" i="9"/>
  <c r="L324" i="9"/>
  <c r="K324" i="9"/>
  <c r="J324" i="9"/>
  <c r="I324" i="9"/>
  <c r="H324" i="9"/>
  <c r="G324" i="9"/>
  <c r="F324" i="9"/>
  <c r="AC323" i="9"/>
  <c r="AB323" i="9"/>
  <c r="AA323" i="9"/>
  <c r="Z323" i="9"/>
  <c r="Y323" i="9"/>
  <c r="X323" i="9"/>
  <c r="W323" i="9"/>
  <c r="V323" i="9"/>
  <c r="U323" i="9"/>
  <c r="T323" i="9"/>
  <c r="S323" i="9"/>
  <c r="R323" i="9"/>
  <c r="Q323" i="9"/>
  <c r="P323" i="9"/>
  <c r="O323" i="9"/>
  <c r="N323" i="9"/>
  <c r="M323" i="9"/>
  <c r="L323" i="9"/>
  <c r="K323" i="9"/>
  <c r="J323" i="9"/>
  <c r="I323" i="9"/>
  <c r="H323" i="9"/>
  <c r="G323" i="9"/>
  <c r="F323" i="9"/>
  <c r="AC322" i="9"/>
  <c r="AB322" i="9"/>
  <c r="AA322" i="9"/>
  <c r="Z322" i="9"/>
  <c r="Y322" i="9"/>
  <c r="X322" i="9"/>
  <c r="W322" i="9"/>
  <c r="V322" i="9"/>
  <c r="U322" i="9"/>
  <c r="T322" i="9"/>
  <c r="S322" i="9"/>
  <c r="R322" i="9"/>
  <c r="Q322" i="9"/>
  <c r="P322" i="9"/>
  <c r="O322" i="9"/>
  <c r="N322" i="9"/>
  <c r="M322" i="9"/>
  <c r="L322" i="9"/>
  <c r="K322" i="9"/>
  <c r="J322" i="9"/>
  <c r="I322" i="9"/>
  <c r="H322" i="9"/>
  <c r="G322" i="9"/>
  <c r="F322" i="9"/>
  <c r="AC321" i="9"/>
  <c r="T321" i="9"/>
  <c r="R321" i="9"/>
  <c r="O321" i="9"/>
  <c r="G321" i="9"/>
  <c r="F321" i="9"/>
  <c r="L321" i="9" s="1"/>
  <c r="AC320" i="9"/>
  <c r="T320" i="9"/>
  <c r="R320" i="9"/>
  <c r="O320" i="9"/>
  <c r="G320" i="9"/>
  <c r="F320" i="9"/>
  <c r="E160" i="11" s="1"/>
  <c r="AC319" i="9"/>
  <c r="T319" i="9"/>
  <c r="R319" i="9"/>
  <c r="O319" i="9"/>
  <c r="G319" i="9"/>
  <c r="F319" i="9"/>
  <c r="L319" i="9" s="1"/>
  <c r="AC318" i="9"/>
  <c r="T318" i="9"/>
  <c r="R318" i="9"/>
  <c r="O318" i="9"/>
  <c r="G318" i="9"/>
  <c r="F318" i="9"/>
  <c r="L318" i="9" s="1"/>
  <c r="AC317" i="9"/>
  <c r="T317" i="9"/>
  <c r="R317" i="9"/>
  <c r="O317" i="9"/>
  <c r="G317" i="9"/>
  <c r="F317" i="9"/>
  <c r="L317" i="9" s="1"/>
  <c r="AC316" i="9"/>
  <c r="T316" i="9"/>
  <c r="R316" i="9"/>
  <c r="O316" i="9"/>
  <c r="G316" i="9"/>
  <c r="F316" i="9"/>
  <c r="E158" i="11" s="1"/>
  <c r="AC315" i="9"/>
  <c r="T315" i="9"/>
  <c r="R315" i="9"/>
  <c r="O315" i="9"/>
  <c r="G315" i="9"/>
  <c r="F315" i="9"/>
  <c r="L315" i="9" s="1"/>
  <c r="AC314" i="9"/>
  <c r="T314" i="9"/>
  <c r="R314" i="9"/>
  <c r="O314" i="9"/>
  <c r="G314" i="9"/>
  <c r="F314" i="9"/>
  <c r="E157" i="11" s="1"/>
  <c r="AC313" i="9"/>
  <c r="T313" i="9"/>
  <c r="R313" i="9"/>
  <c r="O313" i="9"/>
  <c r="G313" i="9"/>
  <c r="F313" i="9"/>
  <c r="L313" i="9" s="1"/>
  <c r="AC312" i="9"/>
  <c r="T312" i="9"/>
  <c r="R312" i="9"/>
  <c r="O312" i="9"/>
  <c r="G312" i="9"/>
  <c r="F312" i="9"/>
  <c r="E156" i="11" s="1"/>
  <c r="AC311" i="9"/>
  <c r="T311" i="9"/>
  <c r="R311" i="9"/>
  <c r="O311" i="9"/>
  <c r="G311" i="9"/>
  <c r="F311" i="9"/>
  <c r="L311" i="9" s="1"/>
  <c r="AC310" i="9"/>
  <c r="T310" i="9"/>
  <c r="R310" i="9"/>
  <c r="O310" i="9"/>
  <c r="G310" i="9"/>
  <c r="F310" i="9"/>
  <c r="E155" i="11" s="1"/>
  <c r="AC309" i="9"/>
  <c r="T309" i="9"/>
  <c r="R309" i="9"/>
  <c r="O309" i="9"/>
  <c r="G309" i="9"/>
  <c r="F309" i="9"/>
  <c r="L309" i="9" s="1"/>
  <c r="AC308" i="9"/>
  <c r="T308" i="9"/>
  <c r="R308" i="9"/>
  <c r="O308" i="9"/>
  <c r="G308" i="9"/>
  <c r="F308" i="9"/>
  <c r="E154" i="11" s="1"/>
  <c r="AC307" i="9"/>
  <c r="U307" i="9"/>
  <c r="T307" i="9"/>
  <c r="R307" i="9"/>
  <c r="O307" i="9"/>
  <c r="G307" i="9"/>
  <c r="F307" i="9"/>
  <c r="L307" i="9" s="1"/>
  <c r="AC306" i="9"/>
  <c r="U306" i="9"/>
  <c r="Y307" i="9" s="1"/>
  <c r="T306" i="9"/>
  <c r="R306" i="9"/>
  <c r="O306" i="9"/>
  <c r="G306" i="9"/>
  <c r="F306" i="9"/>
  <c r="E153" i="11"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E151" i="11" s="1"/>
  <c r="AC301" i="9"/>
  <c r="T301" i="9"/>
  <c r="R301" i="9"/>
  <c r="O301" i="9"/>
  <c r="G301" i="9"/>
  <c r="F301" i="9"/>
  <c r="L301" i="9" s="1"/>
  <c r="AC300" i="9"/>
  <c r="T300" i="9"/>
  <c r="R300" i="9"/>
  <c r="O300" i="9"/>
  <c r="G300" i="9"/>
  <c r="F300" i="9"/>
  <c r="E150" i="11" s="1"/>
  <c r="AC299" i="9"/>
  <c r="T299" i="9"/>
  <c r="R299" i="9"/>
  <c r="O299" i="9"/>
  <c r="G299" i="9"/>
  <c r="F299" i="9"/>
  <c r="L299" i="9" s="1"/>
  <c r="AC298" i="9"/>
  <c r="T298" i="9"/>
  <c r="R298" i="9"/>
  <c r="O298" i="9"/>
  <c r="G298" i="9"/>
  <c r="F298" i="9"/>
  <c r="E149" i="11" s="1"/>
  <c r="AC297" i="9"/>
  <c r="U297" i="9"/>
  <c r="T297" i="9"/>
  <c r="R297" i="9"/>
  <c r="O297" i="9"/>
  <c r="G297" i="9"/>
  <c r="F297" i="9"/>
  <c r="L297" i="9" s="1"/>
  <c r="AC296" i="9"/>
  <c r="T296" i="9"/>
  <c r="R296" i="9"/>
  <c r="O296" i="9"/>
  <c r="G296" i="9"/>
  <c r="F296" i="9"/>
  <c r="E148" i="11" s="1"/>
  <c r="AC295" i="9"/>
  <c r="T295" i="9"/>
  <c r="R295" i="9"/>
  <c r="O295" i="9"/>
  <c r="G295" i="9"/>
  <c r="F295" i="9"/>
  <c r="L295" i="9" s="1"/>
  <c r="AC294" i="9"/>
  <c r="T294" i="9"/>
  <c r="R294" i="9"/>
  <c r="O294" i="9"/>
  <c r="G294" i="9"/>
  <c r="F294" i="9"/>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E145" i="11" s="1"/>
  <c r="AC289" i="9"/>
  <c r="T289" i="9"/>
  <c r="R289" i="9"/>
  <c r="O289" i="9"/>
  <c r="G289" i="9"/>
  <c r="F289" i="9"/>
  <c r="L289" i="9" s="1"/>
  <c r="AC288" i="9"/>
  <c r="T288" i="9"/>
  <c r="R288" i="9"/>
  <c r="O288" i="9"/>
  <c r="G288" i="9"/>
  <c r="F288" i="9"/>
  <c r="E144" i="11" s="1"/>
  <c r="AC287" i="9"/>
  <c r="T287" i="9"/>
  <c r="R287" i="9"/>
  <c r="O287" i="9"/>
  <c r="G287" i="9"/>
  <c r="F287" i="9"/>
  <c r="AC286" i="9"/>
  <c r="T286" i="9"/>
  <c r="R286" i="9"/>
  <c r="O286" i="9"/>
  <c r="G286" i="9"/>
  <c r="F286" i="9"/>
  <c r="AC285" i="9"/>
  <c r="T285" i="9"/>
  <c r="R285" i="9"/>
  <c r="O285" i="9"/>
  <c r="G285" i="9"/>
  <c r="F285" i="9"/>
  <c r="AC284" i="9"/>
  <c r="T284" i="9"/>
  <c r="R284" i="9"/>
  <c r="O284" i="9"/>
  <c r="G284" i="9"/>
  <c r="F284" i="9"/>
  <c r="E142" i="11" s="1"/>
  <c r="AC283" i="9"/>
  <c r="T283" i="9"/>
  <c r="R283" i="9"/>
  <c r="O283" i="9"/>
  <c r="G283" i="9"/>
  <c r="F283" i="9"/>
  <c r="L283" i="9" s="1"/>
  <c r="AC282" i="9"/>
  <c r="T282" i="9"/>
  <c r="R282" i="9"/>
  <c r="O282" i="9"/>
  <c r="G282" i="9"/>
  <c r="F282" i="9"/>
  <c r="AC281" i="9"/>
  <c r="T281" i="9"/>
  <c r="R281" i="9"/>
  <c r="O281" i="9"/>
  <c r="G281" i="9"/>
  <c r="F281" i="9"/>
  <c r="L281" i="9" s="1"/>
  <c r="AC280" i="9"/>
  <c r="T280" i="9"/>
  <c r="R280" i="9"/>
  <c r="O280" i="9"/>
  <c r="G280" i="9"/>
  <c r="F280" i="9"/>
  <c r="E140" i="11" s="1"/>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E137" i="11" s="1"/>
  <c r="AC273" i="9"/>
  <c r="T273" i="9"/>
  <c r="R273" i="9"/>
  <c r="O273" i="9"/>
  <c r="G273" i="9"/>
  <c r="F273" i="9"/>
  <c r="L273" i="9" s="1"/>
  <c r="AC272" i="9"/>
  <c r="T272" i="9"/>
  <c r="R272" i="9"/>
  <c r="O272" i="9"/>
  <c r="G272" i="9"/>
  <c r="F272" i="9"/>
  <c r="AC271" i="9"/>
  <c r="T271" i="9"/>
  <c r="R271" i="9"/>
  <c r="O271" i="9"/>
  <c r="G271" i="9"/>
  <c r="F271" i="9"/>
  <c r="AC270" i="9"/>
  <c r="U270" i="9"/>
  <c r="T270" i="9"/>
  <c r="R270" i="9"/>
  <c r="O270" i="9"/>
  <c r="G270" i="9"/>
  <c r="F270" i="9"/>
  <c r="AC269" i="9"/>
  <c r="T269" i="9"/>
  <c r="R269" i="9"/>
  <c r="O269" i="9"/>
  <c r="G269" i="9"/>
  <c r="F269" i="9"/>
  <c r="AC268" i="9"/>
  <c r="T268" i="9"/>
  <c r="R268" i="9"/>
  <c r="O268" i="9"/>
  <c r="G268" i="9"/>
  <c r="F268" i="9"/>
  <c r="E134" i="11" s="1"/>
  <c r="AC267" i="9"/>
  <c r="T267" i="9"/>
  <c r="R267" i="9"/>
  <c r="O267" i="9"/>
  <c r="G267" i="9"/>
  <c r="F267" i="9"/>
  <c r="L267" i="9" s="1"/>
  <c r="AC266" i="9"/>
  <c r="T266" i="9"/>
  <c r="R266" i="9"/>
  <c r="O266" i="9"/>
  <c r="G266" i="9"/>
  <c r="F266" i="9"/>
  <c r="E133" i="11"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AC261" i="9"/>
  <c r="T261" i="9"/>
  <c r="R261" i="9"/>
  <c r="O261" i="9"/>
  <c r="G261" i="9"/>
  <c r="F261" i="9"/>
  <c r="L261" i="9" s="1"/>
  <c r="AC260" i="9"/>
  <c r="T260" i="9"/>
  <c r="R260" i="9"/>
  <c r="O260" i="9"/>
  <c r="G260" i="9"/>
  <c r="F260" i="9"/>
  <c r="AC259" i="9"/>
  <c r="T259" i="9"/>
  <c r="R259" i="9"/>
  <c r="O259" i="9"/>
  <c r="G259" i="9"/>
  <c r="F259" i="9"/>
  <c r="L259" i="9" s="1"/>
  <c r="AC258" i="9"/>
  <c r="T258" i="9"/>
  <c r="R258" i="9"/>
  <c r="O258" i="9"/>
  <c r="G258" i="9"/>
  <c r="F258" i="9"/>
  <c r="AC257" i="9"/>
  <c r="T257" i="9"/>
  <c r="R257" i="9"/>
  <c r="O257" i="9"/>
  <c r="G257" i="9"/>
  <c r="F257" i="9"/>
  <c r="L257" i="9" s="1"/>
  <c r="AC256" i="9"/>
  <c r="U256" i="9"/>
  <c r="T256" i="9"/>
  <c r="R256" i="9"/>
  <c r="O256" i="9"/>
  <c r="G256" i="9"/>
  <c r="F256" i="9"/>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AC251" i="9"/>
  <c r="T251" i="9"/>
  <c r="R251" i="9"/>
  <c r="O251" i="9"/>
  <c r="G251" i="9"/>
  <c r="F251" i="9"/>
  <c r="AC250" i="9"/>
  <c r="T250" i="9"/>
  <c r="R250" i="9"/>
  <c r="O250" i="9"/>
  <c r="G250" i="9"/>
  <c r="F250" i="9"/>
  <c r="AC249" i="9"/>
  <c r="T249" i="9"/>
  <c r="R249" i="9"/>
  <c r="O249" i="9"/>
  <c r="G249" i="9"/>
  <c r="F249" i="9"/>
  <c r="AC248" i="9"/>
  <c r="T248" i="9"/>
  <c r="R248" i="9"/>
  <c r="O248" i="9"/>
  <c r="G248" i="9"/>
  <c r="F248" i="9"/>
  <c r="AC247" i="9"/>
  <c r="U247" i="9"/>
  <c r="T247" i="9"/>
  <c r="R247" i="9"/>
  <c r="O247" i="9"/>
  <c r="G247" i="9"/>
  <c r="F247" i="9"/>
  <c r="L247" i="9" s="1"/>
  <c r="AC246" i="9"/>
  <c r="U246" i="9"/>
  <c r="T246" i="9"/>
  <c r="R246" i="9"/>
  <c r="O246" i="9"/>
  <c r="G246" i="9"/>
  <c r="F246" i="9"/>
  <c r="AC245" i="9"/>
  <c r="U245" i="9"/>
  <c r="T245" i="9"/>
  <c r="R245" i="9"/>
  <c r="O245" i="9"/>
  <c r="G245" i="9"/>
  <c r="F245" i="9"/>
  <c r="L245" i="9" s="1"/>
  <c r="AC244" i="9"/>
  <c r="U244" i="9"/>
  <c r="Y245" i="9" s="1"/>
  <c r="T244" i="9"/>
  <c r="R244" i="9"/>
  <c r="O244" i="9"/>
  <c r="G244" i="9"/>
  <c r="F244" i="9"/>
  <c r="AC243" i="9"/>
  <c r="T243" i="9"/>
  <c r="R243" i="9"/>
  <c r="O243" i="9"/>
  <c r="G243" i="9"/>
  <c r="F243" i="9"/>
  <c r="AC242" i="9"/>
  <c r="T242" i="9"/>
  <c r="R242" i="9"/>
  <c r="O242" i="9"/>
  <c r="G242" i="9"/>
  <c r="F242" i="9"/>
  <c r="AC241" i="9"/>
  <c r="T241" i="9"/>
  <c r="R241" i="9"/>
  <c r="O241" i="9"/>
  <c r="G241" i="9"/>
  <c r="F241" i="9"/>
  <c r="L241" i="9" s="1"/>
  <c r="AC240" i="9"/>
  <c r="T240" i="9"/>
  <c r="R240" i="9"/>
  <c r="O240" i="9"/>
  <c r="G240" i="9"/>
  <c r="F240" i="9"/>
  <c r="AC239" i="9"/>
  <c r="T239" i="9"/>
  <c r="R239" i="9"/>
  <c r="O239" i="9"/>
  <c r="G239" i="9"/>
  <c r="F239" i="9"/>
  <c r="L239" i="9" s="1"/>
  <c r="AC238" i="9"/>
  <c r="T238" i="9"/>
  <c r="R238" i="9"/>
  <c r="O238" i="9"/>
  <c r="G238" i="9"/>
  <c r="F238" i="9"/>
  <c r="L238" i="9" s="1"/>
  <c r="AC237" i="9"/>
  <c r="T237" i="9"/>
  <c r="R237" i="9"/>
  <c r="O237" i="9"/>
  <c r="G237" i="9"/>
  <c r="F237" i="9"/>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AC232" i="9"/>
  <c r="T232" i="9"/>
  <c r="R232" i="9"/>
  <c r="O232" i="9"/>
  <c r="G232" i="9"/>
  <c r="F232" i="9"/>
  <c r="AC231" i="9"/>
  <c r="T231" i="9"/>
  <c r="R231" i="9"/>
  <c r="O231" i="9"/>
  <c r="G231" i="9"/>
  <c r="F231" i="9"/>
  <c r="E116" i="11" s="1"/>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AC226" i="9"/>
  <c r="U226" i="9"/>
  <c r="T226" i="9"/>
  <c r="R226" i="9"/>
  <c r="O226" i="9"/>
  <c r="G226" i="9"/>
  <c r="F226" i="9"/>
  <c r="AC225" i="9"/>
  <c r="U225" i="9"/>
  <c r="T225" i="9"/>
  <c r="R225" i="9"/>
  <c r="O225" i="9"/>
  <c r="G225" i="9"/>
  <c r="F225" i="9"/>
  <c r="L225" i="9" s="1"/>
  <c r="AC224" i="9"/>
  <c r="U224" i="9"/>
  <c r="Y226" i="9" s="1"/>
  <c r="T224" i="9"/>
  <c r="R224" i="9"/>
  <c r="O224" i="9"/>
  <c r="G224" i="9"/>
  <c r="F224" i="9"/>
  <c r="AC223" i="9"/>
  <c r="T223" i="9"/>
  <c r="R223" i="9"/>
  <c r="O223" i="9"/>
  <c r="G223" i="9"/>
  <c r="F223" i="9"/>
  <c r="L223" i="9" s="1"/>
  <c r="AC222" i="9"/>
  <c r="T222" i="9"/>
  <c r="R222" i="9"/>
  <c r="O222" i="9"/>
  <c r="G222" i="9"/>
  <c r="F222" i="9"/>
  <c r="AC221" i="9"/>
  <c r="T221" i="9"/>
  <c r="R221" i="9"/>
  <c r="O221" i="9"/>
  <c r="G221" i="9"/>
  <c r="F221" i="9"/>
  <c r="L221" i="9" s="1"/>
  <c r="AC220" i="9"/>
  <c r="U220" i="9"/>
  <c r="Y221" i="9" s="1"/>
  <c r="T220" i="9"/>
  <c r="R220" i="9"/>
  <c r="O220" i="9"/>
  <c r="G220" i="9"/>
  <c r="F220" i="9"/>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AC215" i="9"/>
  <c r="T215" i="9"/>
  <c r="R215" i="9"/>
  <c r="O215" i="9"/>
  <c r="G215" i="9"/>
  <c r="F215" i="9"/>
  <c r="AC214" i="9"/>
  <c r="T214" i="9"/>
  <c r="R214" i="9"/>
  <c r="O214" i="9"/>
  <c r="G214" i="9"/>
  <c r="F214" i="9"/>
  <c r="L214" i="9" s="1"/>
  <c r="AC213" i="9"/>
  <c r="T213" i="9"/>
  <c r="R213" i="9"/>
  <c r="O213" i="9"/>
  <c r="G213" i="9"/>
  <c r="F213" i="9"/>
  <c r="L213" i="9" s="1"/>
  <c r="AC212" i="9"/>
  <c r="T212" i="9"/>
  <c r="R212" i="9"/>
  <c r="O212" i="9"/>
  <c r="G212" i="9"/>
  <c r="F212" i="9"/>
  <c r="AC211" i="9"/>
  <c r="T211" i="9"/>
  <c r="R211" i="9"/>
  <c r="O211" i="9"/>
  <c r="G211" i="9"/>
  <c r="F211" i="9"/>
  <c r="L211" i="9" s="1"/>
  <c r="AC210" i="9"/>
  <c r="T210" i="9"/>
  <c r="R210" i="9"/>
  <c r="O210" i="9"/>
  <c r="G210" i="9"/>
  <c r="F210" i="9"/>
  <c r="AC209" i="9"/>
  <c r="T209" i="9"/>
  <c r="R209" i="9"/>
  <c r="O209" i="9"/>
  <c r="G209" i="9"/>
  <c r="F209" i="9"/>
  <c r="L209" i="9" s="1"/>
  <c r="AC208" i="9"/>
  <c r="T208" i="9"/>
  <c r="R208" i="9"/>
  <c r="O208" i="9"/>
  <c r="G208" i="9"/>
  <c r="F208" i="9"/>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AC203" i="9"/>
  <c r="T203" i="9"/>
  <c r="R203" i="9"/>
  <c r="O203" i="9"/>
  <c r="G203" i="9"/>
  <c r="F203" i="9"/>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AC198" i="9"/>
  <c r="T198" i="9"/>
  <c r="R198" i="9"/>
  <c r="O198" i="9"/>
  <c r="G198" i="9"/>
  <c r="F198" i="9"/>
  <c r="L198" i="9" s="1"/>
  <c r="AC197" i="9"/>
  <c r="T197" i="9"/>
  <c r="R197" i="9"/>
  <c r="O197" i="9"/>
  <c r="G197" i="9"/>
  <c r="F197" i="9"/>
  <c r="L197" i="9" s="1"/>
  <c r="AC196" i="9"/>
  <c r="T196" i="9"/>
  <c r="R196" i="9"/>
  <c r="O196" i="9"/>
  <c r="G196" i="9"/>
  <c r="F196" i="9"/>
  <c r="AC195" i="9"/>
  <c r="T195" i="9"/>
  <c r="R195" i="9"/>
  <c r="O195" i="9"/>
  <c r="G195" i="9"/>
  <c r="F195" i="9"/>
  <c r="L195" i="9" s="1"/>
  <c r="AC194" i="9"/>
  <c r="T194" i="9"/>
  <c r="R194" i="9"/>
  <c r="O194" i="9"/>
  <c r="G194" i="9"/>
  <c r="F194" i="9"/>
  <c r="L194" i="9" s="1"/>
  <c r="AC193" i="9"/>
  <c r="T193" i="9"/>
  <c r="R193" i="9"/>
  <c r="O193" i="9"/>
  <c r="G193" i="9"/>
  <c r="F193" i="9"/>
  <c r="AC192" i="9"/>
  <c r="T192" i="9"/>
  <c r="R192" i="9"/>
  <c r="O192" i="9"/>
  <c r="G192" i="9"/>
  <c r="F192" i="9"/>
  <c r="E104" i="11" s="1"/>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AC187" i="9"/>
  <c r="T187" i="9"/>
  <c r="R187" i="9"/>
  <c r="O187" i="9"/>
  <c r="G187" i="9"/>
  <c r="F187" i="9"/>
  <c r="L187" i="9" s="1"/>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L182" i="9" s="1"/>
  <c r="AC181" i="9"/>
  <c r="T181" i="9"/>
  <c r="R181" i="9"/>
  <c r="O181" i="9"/>
  <c r="G181" i="9"/>
  <c r="F181" i="9"/>
  <c r="L181" i="9" s="1"/>
  <c r="AC180" i="9"/>
  <c r="T180" i="9"/>
  <c r="R180" i="9"/>
  <c r="O180" i="9"/>
  <c r="G180" i="9"/>
  <c r="F180" i="9"/>
  <c r="E101" i="11" s="1"/>
  <c r="AC179" i="9"/>
  <c r="T179" i="9"/>
  <c r="R179" i="9"/>
  <c r="O179" i="9"/>
  <c r="G179" i="9"/>
  <c r="F179" i="9"/>
  <c r="AC178" i="9"/>
  <c r="T178" i="9"/>
  <c r="R178" i="9"/>
  <c r="O178" i="9"/>
  <c r="G178" i="9"/>
  <c r="F178" i="9"/>
  <c r="AC177" i="9"/>
  <c r="T177" i="9"/>
  <c r="R177" i="9"/>
  <c r="O177" i="9"/>
  <c r="G177" i="9"/>
  <c r="F177" i="9"/>
  <c r="L177" i="9" s="1"/>
  <c r="AC176" i="9"/>
  <c r="T176" i="9"/>
  <c r="R176" i="9"/>
  <c r="O176" i="9"/>
  <c r="G176" i="9"/>
  <c r="F176" i="9"/>
  <c r="AC175" i="9"/>
  <c r="T175" i="9"/>
  <c r="R175" i="9"/>
  <c r="O175" i="9"/>
  <c r="G175" i="9"/>
  <c r="F175" i="9"/>
  <c r="L175" i="9" s="1"/>
  <c r="AC174" i="9"/>
  <c r="T174" i="9"/>
  <c r="R174" i="9"/>
  <c r="O174" i="9"/>
  <c r="G174" i="9"/>
  <c r="F174" i="9"/>
  <c r="L174" i="9" s="1"/>
  <c r="AC173" i="9"/>
  <c r="T173" i="9"/>
  <c r="R173" i="9"/>
  <c r="O173" i="9"/>
  <c r="G173" i="9"/>
  <c r="F173" i="9"/>
  <c r="AC172" i="9"/>
  <c r="T172" i="9"/>
  <c r="R172" i="9"/>
  <c r="O172" i="9"/>
  <c r="G172" i="9"/>
  <c r="F172" i="9"/>
  <c r="E99" i="11" s="1"/>
  <c r="AC171" i="9"/>
  <c r="T171" i="9"/>
  <c r="R171" i="9"/>
  <c r="O171" i="9"/>
  <c r="G171" i="9"/>
  <c r="F171" i="9"/>
  <c r="AC170" i="9"/>
  <c r="T170" i="9"/>
  <c r="R170" i="9"/>
  <c r="O170" i="9"/>
  <c r="G170" i="9"/>
  <c r="F170" i="9"/>
  <c r="L170" i="9" s="1"/>
  <c r="AC169" i="9"/>
  <c r="T169" i="9"/>
  <c r="R169" i="9"/>
  <c r="O169" i="9"/>
  <c r="G169" i="9"/>
  <c r="F169" i="9"/>
  <c r="L169" i="9" s="1"/>
  <c r="AC168" i="9"/>
  <c r="T168" i="9"/>
  <c r="R168" i="9"/>
  <c r="O168" i="9"/>
  <c r="G168" i="9"/>
  <c r="F168" i="9"/>
  <c r="AC167" i="9"/>
  <c r="T167" i="9"/>
  <c r="R167" i="9"/>
  <c r="O167" i="9"/>
  <c r="G167" i="9"/>
  <c r="F167" i="9"/>
  <c r="AC166" i="9"/>
  <c r="T166" i="9"/>
  <c r="R166" i="9"/>
  <c r="O166" i="9"/>
  <c r="G166" i="9"/>
  <c r="F166" i="9"/>
  <c r="AC165" i="9"/>
  <c r="U165" i="9"/>
  <c r="T165" i="9"/>
  <c r="R165" i="9"/>
  <c r="O165" i="9"/>
  <c r="H165" i="9"/>
  <c r="G165" i="9"/>
  <c r="F165" i="9"/>
  <c r="L165" i="9" s="1"/>
  <c r="AC164" i="9"/>
  <c r="T164" i="9"/>
  <c r="R164" i="9"/>
  <c r="O164" i="9"/>
  <c r="G164" i="9"/>
  <c r="F164" i="9"/>
  <c r="E97" i="11" s="1"/>
  <c r="AC163" i="9"/>
  <c r="T163" i="9"/>
  <c r="R163" i="9"/>
  <c r="O163" i="9"/>
  <c r="G163" i="9"/>
  <c r="F163" i="9"/>
  <c r="AC162" i="9"/>
  <c r="T162" i="9"/>
  <c r="R162" i="9"/>
  <c r="O162" i="9"/>
  <c r="G162" i="9"/>
  <c r="F162" i="9"/>
  <c r="L162" i="9" s="1"/>
  <c r="AC161" i="9"/>
  <c r="T161" i="9"/>
  <c r="R161" i="9"/>
  <c r="O161" i="9"/>
  <c r="G161" i="9"/>
  <c r="F161" i="9"/>
  <c r="L161" i="9" s="1"/>
  <c r="AC160" i="9"/>
  <c r="T160" i="9"/>
  <c r="R160" i="9"/>
  <c r="O160" i="9"/>
  <c r="G160" i="9"/>
  <c r="F160" i="9"/>
  <c r="E96" i="11" s="1"/>
  <c r="AC159" i="9"/>
  <c r="U159" i="9"/>
  <c r="T159" i="9"/>
  <c r="R159" i="9"/>
  <c r="O159" i="9"/>
  <c r="H159" i="9"/>
  <c r="G159" i="9"/>
  <c r="F159" i="9"/>
  <c r="AC158" i="9"/>
  <c r="T158" i="9"/>
  <c r="R158" i="9"/>
  <c r="O158" i="9"/>
  <c r="G158" i="9"/>
  <c r="F158" i="9"/>
  <c r="L158" i="9" s="1"/>
  <c r="AC157" i="9"/>
  <c r="T157" i="9"/>
  <c r="R157" i="9"/>
  <c r="O157" i="9"/>
  <c r="G157" i="9"/>
  <c r="F157" i="9"/>
  <c r="L157" i="9" s="1"/>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AC151" i="9"/>
  <c r="T151" i="9"/>
  <c r="R151" i="9"/>
  <c r="O151" i="9"/>
  <c r="G151" i="9"/>
  <c r="F151" i="9"/>
  <c r="L151" i="9" s="1"/>
  <c r="AC150" i="9"/>
  <c r="T150" i="9"/>
  <c r="R150" i="9"/>
  <c r="O150" i="9"/>
  <c r="G150" i="9"/>
  <c r="F150" i="9"/>
  <c r="AC149" i="9"/>
  <c r="T149" i="9"/>
  <c r="R149" i="9"/>
  <c r="O149" i="9"/>
  <c r="G149" i="9"/>
  <c r="F149" i="9"/>
  <c r="L149" i="9" s="1"/>
  <c r="AC148" i="9"/>
  <c r="T148" i="9"/>
  <c r="R148" i="9"/>
  <c r="O148" i="9"/>
  <c r="G148" i="9"/>
  <c r="F148" i="9"/>
  <c r="E93" i="11" s="1"/>
  <c r="AC147" i="9"/>
  <c r="T147" i="9"/>
  <c r="R147" i="9"/>
  <c r="O147" i="9"/>
  <c r="G147" i="9"/>
  <c r="F147" i="9"/>
  <c r="AC146" i="9"/>
  <c r="T146" i="9"/>
  <c r="R146" i="9"/>
  <c r="O146" i="9"/>
  <c r="G146" i="9"/>
  <c r="F146" i="9"/>
  <c r="L146" i="9" s="1"/>
  <c r="AC145" i="9"/>
  <c r="T145" i="9"/>
  <c r="R145" i="9"/>
  <c r="O145" i="9"/>
  <c r="G145" i="9"/>
  <c r="F145" i="9"/>
  <c r="L145" i="9" s="1"/>
  <c r="AC144" i="9"/>
  <c r="T144" i="9"/>
  <c r="R144" i="9"/>
  <c r="O144" i="9"/>
  <c r="G144" i="9"/>
  <c r="F144" i="9"/>
  <c r="AC143" i="9"/>
  <c r="T143" i="9"/>
  <c r="R143" i="9"/>
  <c r="O143" i="9"/>
  <c r="G143" i="9"/>
  <c r="F143" i="9"/>
  <c r="L143" i="9" s="1"/>
  <c r="AC142" i="9"/>
  <c r="T142" i="9"/>
  <c r="R142" i="9"/>
  <c r="O142" i="9"/>
  <c r="G142" i="9"/>
  <c r="F142" i="9"/>
  <c r="E90" i="11" s="1"/>
  <c r="AC141" i="9"/>
  <c r="T141" i="9"/>
  <c r="R141" i="9"/>
  <c r="O141" i="9"/>
  <c r="G141" i="9"/>
  <c r="F141" i="9"/>
  <c r="L141" i="9" s="1"/>
  <c r="AC140" i="9"/>
  <c r="T140" i="9"/>
  <c r="R140" i="9"/>
  <c r="O140" i="9"/>
  <c r="G140" i="9"/>
  <c r="F140" i="9"/>
  <c r="E89" i="11" s="1"/>
  <c r="AC139" i="9"/>
  <c r="T139" i="9"/>
  <c r="R139" i="9"/>
  <c r="O139" i="9"/>
  <c r="G139" i="9"/>
  <c r="F139" i="9"/>
  <c r="L139" i="9" s="1"/>
  <c r="AC138" i="9"/>
  <c r="U138" i="9"/>
  <c r="Y139" i="9" s="1"/>
  <c r="T138" i="9"/>
  <c r="R138" i="9"/>
  <c r="O138" i="9"/>
  <c r="G138" i="9"/>
  <c r="F138" i="9"/>
  <c r="AC137" i="9"/>
  <c r="T137" i="9"/>
  <c r="R137" i="9"/>
  <c r="O137" i="9"/>
  <c r="G137" i="9"/>
  <c r="F137" i="9"/>
  <c r="L137" i="9" s="1"/>
  <c r="AC136" i="9"/>
  <c r="T136" i="9"/>
  <c r="R136" i="9"/>
  <c r="O136" i="9"/>
  <c r="G136" i="9"/>
  <c r="F136" i="9"/>
  <c r="L136" i="9" s="1"/>
  <c r="AC135" i="9"/>
  <c r="T135" i="9"/>
  <c r="R135" i="9"/>
  <c r="O135" i="9"/>
  <c r="G135" i="9"/>
  <c r="F135" i="9"/>
  <c r="L135" i="9" s="1"/>
  <c r="AC134" i="9"/>
  <c r="T134" i="9"/>
  <c r="R134" i="9"/>
  <c r="O134" i="9"/>
  <c r="G134" i="9"/>
  <c r="F134" i="9"/>
  <c r="L134" i="9" s="1"/>
  <c r="AC133" i="9"/>
  <c r="T133" i="9"/>
  <c r="R133" i="9"/>
  <c r="O133" i="9"/>
  <c r="G133" i="9"/>
  <c r="F133" i="9"/>
  <c r="L133" i="9" s="1"/>
  <c r="AC132" i="9"/>
  <c r="U132" i="9"/>
  <c r="Y133" i="9" s="1"/>
  <c r="T132" i="9"/>
  <c r="R132" i="9"/>
  <c r="O132" i="9"/>
  <c r="G132" i="9"/>
  <c r="F132" i="9"/>
  <c r="L132" i="9" s="1"/>
  <c r="AC131" i="9"/>
  <c r="U131" i="9"/>
  <c r="T131" i="9"/>
  <c r="R131" i="9"/>
  <c r="O131" i="9"/>
  <c r="G131" i="9"/>
  <c r="F131" i="9"/>
  <c r="AC130" i="9"/>
  <c r="U130" i="9"/>
  <c r="Y131" i="9" s="1"/>
  <c r="T130" i="9"/>
  <c r="R130" i="9"/>
  <c r="O130" i="9"/>
  <c r="G130" i="9"/>
  <c r="F130" i="9"/>
  <c r="E84" i="11" s="1"/>
  <c r="AC129" i="9"/>
  <c r="T129" i="9"/>
  <c r="R129" i="9"/>
  <c r="O129" i="9"/>
  <c r="G129" i="9"/>
  <c r="F129" i="9"/>
  <c r="L129" i="9" s="1"/>
  <c r="AC128" i="9"/>
  <c r="U128" i="9"/>
  <c r="Y129" i="9" s="1"/>
  <c r="T128" i="9"/>
  <c r="R128" i="9"/>
  <c r="O128" i="9"/>
  <c r="G128" i="9"/>
  <c r="F128" i="9"/>
  <c r="AC127" i="9"/>
  <c r="U127" i="9"/>
  <c r="T127" i="9"/>
  <c r="R127" i="9"/>
  <c r="O127" i="9"/>
  <c r="G127" i="9"/>
  <c r="F127" i="9"/>
  <c r="L127" i="9" s="1"/>
  <c r="AC126" i="9"/>
  <c r="U126" i="9"/>
  <c r="Y126" i="9" s="1"/>
  <c r="Z126" i="9" s="1"/>
  <c r="T126" i="9"/>
  <c r="R126" i="9"/>
  <c r="O126" i="9"/>
  <c r="G126" i="9"/>
  <c r="F126" i="9"/>
  <c r="E82" i="11" s="1"/>
  <c r="AC125" i="9"/>
  <c r="U125" i="9"/>
  <c r="T125" i="9"/>
  <c r="R125" i="9"/>
  <c r="O125" i="9"/>
  <c r="G125" i="9"/>
  <c r="F125" i="9"/>
  <c r="AC124" i="9"/>
  <c r="U124" i="9"/>
  <c r="Y124" i="9" s="1"/>
  <c r="Z124" i="9" s="1"/>
  <c r="T124" i="9"/>
  <c r="R124" i="9"/>
  <c r="O124" i="9"/>
  <c r="G124" i="9"/>
  <c r="F124" i="9"/>
  <c r="AC123" i="9"/>
  <c r="U123" i="9"/>
  <c r="T123" i="9"/>
  <c r="R123" i="9"/>
  <c r="O123" i="9"/>
  <c r="G123" i="9"/>
  <c r="F123" i="9"/>
  <c r="L123" i="9" s="1"/>
  <c r="AC122" i="9"/>
  <c r="U122" i="9"/>
  <c r="Y123" i="9" s="1"/>
  <c r="T122" i="9"/>
  <c r="R122" i="9"/>
  <c r="O122" i="9"/>
  <c r="G122" i="9"/>
  <c r="F122" i="9"/>
  <c r="E80" i="11" s="1"/>
  <c r="AC121" i="9"/>
  <c r="T121" i="9"/>
  <c r="R121" i="9"/>
  <c r="O121" i="9"/>
  <c r="G121" i="9"/>
  <c r="F121" i="9"/>
  <c r="L121" i="9" s="1"/>
  <c r="AC120" i="9"/>
  <c r="U120" i="9"/>
  <c r="T120" i="9"/>
  <c r="R120" i="9"/>
  <c r="O120" i="9"/>
  <c r="G120" i="9"/>
  <c r="F120" i="9"/>
  <c r="E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AC115" i="9"/>
  <c r="T115" i="9"/>
  <c r="R115" i="9"/>
  <c r="O115" i="9"/>
  <c r="G115" i="9"/>
  <c r="F115" i="9"/>
  <c r="L115" i="9" s="1"/>
  <c r="AC114" i="9"/>
  <c r="T114" i="9"/>
  <c r="R114" i="9"/>
  <c r="O114" i="9"/>
  <c r="G114" i="9"/>
  <c r="F114" i="9"/>
  <c r="E76" i="11" s="1"/>
  <c r="AC113" i="9"/>
  <c r="T113" i="9"/>
  <c r="R113" i="9"/>
  <c r="O113" i="9"/>
  <c r="G113" i="9"/>
  <c r="F113" i="9"/>
  <c r="L113" i="9" s="1"/>
  <c r="AC112" i="9"/>
  <c r="T112" i="9"/>
  <c r="R112" i="9"/>
  <c r="O112" i="9"/>
  <c r="G112" i="9"/>
  <c r="F112" i="9"/>
  <c r="E75" i="11" s="1"/>
  <c r="AC111" i="9"/>
  <c r="T111" i="9"/>
  <c r="R111" i="9"/>
  <c r="O111" i="9"/>
  <c r="G111" i="9"/>
  <c r="F111" i="9"/>
  <c r="L111" i="9" s="1"/>
  <c r="AC110" i="9"/>
  <c r="T110" i="9"/>
  <c r="R110" i="9"/>
  <c r="O110" i="9"/>
  <c r="G110" i="9"/>
  <c r="F110" i="9"/>
  <c r="E74" i="11" s="1"/>
  <c r="AC109" i="9"/>
  <c r="T109" i="9"/>
  <c r="R109" i="9"/>
  <c r="O109" i="9"/>
  <c r="G109" i="9"/>
  <c r="F109" i="9"/>
  <c r="L109" i="9" s="1"/>
  <c r="AC108" i="9"/>
  <c r="T108" i="9"/>
  <c r="R108" i="9"/>
  <c r="O108" i="9"/>
  <c r="G108" i="9"/>
  <c r="F108" i="9"/>
  <c r="E73" i="11" s="1"/>
  <c r="AC107" i="9"/>
  <c r="T107" i="9"/>
  <c r="R107" i="9"/>
  <c r="O107" i="9"/>
  <c r="G107" i="9"/>
  <c r="F107" i="9"/>
  <c r="L107" i="9" s="1"/>
  <c r="AC106" i="9"/>
  <c r="T106" i="9"/>
  <c r="R106" i="9"/>
  <c r="O106" i="9"/>
  <c r="G106" i="9"/>
  <c r="F106" i="9"/>
  <c r="E72" i="11" s="1"/>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E70" i="11" s="1"/>
  <c r="AC101" i="9"/>
  <c r="T101" i="9"/>
  <c r="R101" i="9"/>
  <c r="O101" i="9"/>
  <c r="G101" i="9"/>
  <c r="F101" i="9"/>
  <c r="L101" i="9" s="1"/>
  <c r="AC100" i="9"/>
  <c r="T100" i="9"/>
  <c r="R100" i="9"/>
  <c r="O100" i="9"/>
  <c r="G100" i="9"/>
  <c r="F100" i="9"/>
  <c r="E69" i="11" s="1"/>
  <c r="AC99" i="9"/>
  <c r="T99" i="9"/>
  <c r="R99" i="9"/>
  <c r="O99" i="9"/>
  <c r="G99" i="9"/>
  <c r="F99" i="9"/>
  <c r="L99" i="9" s="1"/>
  <c r="AC98" i="9"/>
  <c r="T98" i="9"/>
  <c r="R98" i="9"/>
  <c r="O98" i="9"/>
  <c r="G98" i="9"/>
  <c r="F98" i="9"/>
  <c r="E68" i="11" s="1"/>
  <c r="AC97" i="9"/>
  <c r="T97" i="9"/>
  <c r="R97" i="9"/>
  <c r="O97" i="9"/>
  <c r="G97" i="9"/>
  <c r="F97" i="9"/>
  <c r="L97" i="9" s="1"/>
  <c r="AC96" i="9"/>
  <c r="T96" i="9"/>
  <c r="R96" i="9"/>
  <c r="O96" i="9"/>
  <c r="G96" i="9"/>
  <c r="F96" i="9"/>
  <c r="E67" i="11" s="1"/>
  <c r="AC95" i="9"/>
  <c r="U95" i="9"/>
  <c r="T95" i="9"/>
  <c r="R95" i="9"/>
  <c r="O95" i="9"/>
  <c r="G95" i="9"/>
  <c r="F95" i="9"/>
  <c r="L95" i="9" s="1"/>
  <c r="AC94" i="9"/>
  <c r="T94" i="9"/>
  <c r="R94" i="9"/>
  <c r="O94" i="9"/>
  <c r="G94" i="9"/>
  <c r="F94" i="9"/>
  <c r="E66" i="11" s="1"/>
  <c r="AC93" i="9"/>
  <c r="T93" i="9"/>
  <c r="R93" i="9"/>
  <c r="O93" i="9"/>
  <c r="G93" i="9"/>
  <c r="F93" i="9"/>
  <c r="L93" i="9" s="1"/>
  <c r="AC92" i="9"/>
  <c r="T92" i="9"/>
  <c r="R92" i="9"/>
  <c r="O92" i="9"/>
  <c r="G92" i="9"/>
  <c r="F92" i="9"/>
  <c r="E65" i="11" s="1"/>
  <c r="AC91" i="9"/>
  <c r="T91" i="9"/>
  <c r="R91" i="9"/>
  <c r="O91" i="9"/>
  <c r="G91" i="9"/>
  <c r="F91" i="9"/>
  <c r="L91" i="9" s="1"/>
  <c r="AC90" i="9"/>
  <c r="U90" i="9"/>
  <c r="T90" i="9"/>
  <c r="R90" i="9"/>
  <c r="O90" i="9"/>
  <c r="G90" i="9"/>
  <c r="F90" i="9"/>
  <c r="E64" i="11" s="1"/>
  <c r="AC89" i="9"/>
  <c r="T89" i="9"/>
  <c r="R89" i="9"/>
  <c r="O89" i="9"/>
  <c r="G89" i="9"/>
  <c r="F89" i="9"/>
  <c r="L89" i="9" s="1"/>
  <c r="AC88" i="9"/>
  <c r="T88" i="9"/>
  <c r="R88" i="9"/>
  <c r="O88" i="9"/>
  <c r="G88" i="9"/>
  <c r="F88" i="9"/>
  <c r="AC87" i="9"/>
  <c r="U87" i="9"/>
  <c r="T87" i="9"/>
  <c r="R87" i="9"/>
  <c r="O87" i="9"/>
  <c r="G87" i="9"/>
  <c r="F87" i="9"/>
  <c r="L87" i="9" s="1"/>
  <c r="AC86" i="9"/>
  <c r="U86" i="9"/>
  <c r="Y86" i="9" s="1"/>
  <c r="Z86" i="9" s="1"/>
  <c r="T86" i="9"/>
  <c r="R86" i="9"/>
  <c r="O86" i="9"/>
  <c r="H86" i="9"/>
  <c r="P87" i="9" s="1"/>
  <c r="G86" i="9"/>
  <c r="F86" i="9"/>
  <c r="AC85" i="9"/>
  <c r="T85" i="9"/>
  <c r="R85" i="9"/>
  <c r="O85" i="9"/>
  <c r="G85" i="9"/>
  <c r="F85" i="9"/>
  <c r="L85" i="9" s="1"/>
  <c r="AC84" i="9"/>
  <c r="T84" i="9"/>
  <c r="R84" i="9"/>
  <c r="O84" i="9"/>
  <c r="G84" i="9"/>
  <c r="F84" i="9"/>
  <c r="E61" i="11" s="1"/>
  <c r="AC83" i="9"/>
  <c r="T83" i="9"/>
  <c r="R83" i="9"/>
  <c r="O83" i="9"/>
  <c r="G83" i="9"/>
  <c r="F83" i="9"/>
  <c r="L83" i="9" s="1"/>
  <c r="AC82" i="9"/>
  <c r="T82" i="9"/>
  <c r="R82" i="9"/>
  <c r="O82" i="9"/>
  <c r="G82" i="9"/>
  <c r="F82" i="9"/>
  <c r="E60" i="11" s="1"/>
  <c r="AC81" i="9"/>
  <c r="T81" i="9"/>
  <c r="R81" i="9"/>
  <c r="O81" i="9"/>
  <c r="G81" i="9"/>
  <c r="F81" i="9"/>
  <c r="L81" i="9" s="1"/>
  <c r="AC80" i="9"/>
  <c r="T80" i="9"/>
  <c r="R80" i="9"/>
  <c r="O80" i="9"/>
  <c r="G80" i="9"/>
  <c r="F80" i="9"/>
  <c r="E59" i="11" s="1"/>
  <c r="AC79" i="9"/>
  <c r="U79" i="9"/>
  <c r="T79" i="9"/>
  <c r="R79" i="9"/>
  <c r="O79" i="9"/>
  <c r="G79" i="9"/>
  <c r="F79" i="9"/>
  <c r="L79" i="9" s="1"/>
  <c r="AC78" i="9"/>
  <c r="U78" i="9"/>
  <c r="T78" i="9"/>
  <c r="R78" i="9"/>
  <c r="O78" i="9"/>
  <c r="G78" i="9"/>
  <c r="F78" i="9"/>
  <c r="AC77" i="9"/>
  <c r="U77" i="9"/>
  <c r="Y78" i="9" s="1"/>
  <c r="T77" i="9"/>
  <c r="R77" i="9"/>
  <c r="O77" i="9"/>
  <c r="G77" i="9"/>
  <c r="F77" i="9"/>
  <c r="E58" i="11" s="1"/>
  <c r="AC76" i="9"/>
  <c r="T76" i="9"/>
  <c r="R76" i="9"/>
  <c r="O76" i="9"/>
  <c r="G76" i="9"/>
  <c r="F76" i="9"/>
  <c r="AC75" i="9"/>
  <c r="T75" i="9"/>
  <c r="R75" i="9"/>
  <c r="O75" i="9"/>
  <c r="G75" i="9"/>
  <c r="F75" i="9"/>
  <c r="E57" i="11" s="1"/>
  <c r="AC74" i="9"/>
  <c r="U74" i="9"/>
  <c r="T74" i="9"/>
  <c r="R74" i="9"/>
  <c r="O74" i="9"/>
  <c r="G74" i="9"/>
  <c r="F74" i="9"/>
  <c r="L74" i="9" s="1"/>
  <c r="AC73" i="9"/>
  <c r="T73" i="9"/>
  <c r="R73" i="9"/>
  <c r="O73" i="9"/>
  <c r="G73" i="9"/>
  <c r="F73" i="9"/>
  <c r="E56" i="11" s="1"/>
  <c r="AC72" i="9"/>
  <c r="U72" i="9"/>
  <c r="T72" i="9"/>
  <c r="R72" i="9"/>
  <c r="O72" i="9"/>
  <c r="G72" i="9"/>
  <c r="F72" i="9"/>
  <c r="AC71" i="9"/>
  <c r="U71" i="9"/>
  <c r="Y72" i="9" s="1"/>
  <c r="T71" i="9"/>
  <c r="R71" i="9"/>
  <c r="O71" i="9"/>
  <c r="G71" i="9"/>
  <c r="F71" i="9"/>
  <c r="AC70" i="9"/>
  <c r="T70" i="9"/>
  <c r="R70" i="9"/>
  <c r="O70" i="9"/>
  <c r="G70" i="9"/>
  <c r="F70" i="9"/>
  <c r="L70" i="9" s="1"/>
  <c r="AC69" i="9"/>
  <c r="T69" i="9"/>
  <c r="R69" i="9"/>
  <c r="O69" i="9"/>
  <c r="G69" i="9"/>
  <c r="F69" i="9"/>
  <c r="E54" i="11" s="1"/>
  <c r="AC68" i="9"/>
  <c r="U68" i="9"/>
  <c r="Y68" i="9" s="1"/>
  <c r="Z68" i="9" s="1"/>
  <c r="T68" i="9"/>
  <c r="R68" i="9"/>
  <c r="O68" i="9"/>
  <c r="G68" i="9"/>
  <c r="F68" i="9"/>
  <c r="AC67" i="9"/>
  <c r="U67" i="9"/>
  <c r="T67" i="9"/>
  <c r="R67" i="9"/>
  <c r="O67" i="9"/>
  <c r="G67" i="9"/>
  <c r="F67" i="9"/>
  <c r="E53" i="11" s="1"/>
  <c r="AC66" i="9"/>
  <c r="T66" i="9"/>
  <c r="R66" i="9"/>
  <c r="O66" i="9"/>
  <c r="G66" i="9"/>
  <c r="F66" i="9"/>
  <c r="AC65" i="9"/>
  <c r="T65" i="9"/>
  <c r="R65" i="9"/>
  <c r="O65" i="9"/>
  <c r="G65" i="9"/>
  <c r="F65" i="9"/>
  <c r="E52" i="11" s="1"/>
  <c r="AC64" i="9"/>
  <c r="T64" i="9"/>
  <c r="R64" i="9"/>
  <c r="O64" i="9"/>
  <c r="G64" i="9"/>
  <c r="F64" i="9"/>
  <c r="L64" i="9" s="1"/>
  <c r="AC63" i="9"/>
  <c r="T63" i="9"/>
  <c r="R63" i="9"/>
  <c r="O63" i="9"/>
  <c r="G63" i="9"/>
  <c r="F63" i="9"/>
  <c r="E51" i="11" s="1"/>
  <c r="AC62" i="9"/>
  <c r="T62" i="9"/>
  <c r="R62" i="9"/>
  <c r="O62" i="9"/>
  <c r="G62" i="9"/>
  <c r="F62" i="9"/>
  <c r="AC61" i="9"/>
  <c r="T61" i="9"/>
  <c r="R61" i="9"/>
  <c r="O61" i="9"/>
  <c r="G61" i="9"/>
  <c r="F61" i="9"/>
  <c r="E50" i="11" s="1"/>
  <c r="AC60" i="9"/>
  <c r="U60" i="9"/>
  <c r="T60" i="9"/>
  <c r="R60" i="9"/>
  <c r="O60" i="9"/>
  <c r="G60" i="9"/>
  <c r="F60" i="9"/>
  <c r="AC59" i="9"/>
  <c r="T59" i="9"/>
  <c r="R59" i="9"/>
  <c r="O59" i="9"/>
  <c r="G59" i="9"/>
  <c r="F59" i="9"/>
  <c r="AC58" i="9"/>
  <c r="T58" i="9"/>
  <c r="R58" i="9"/>
  <c r="O58" i="9"/>
  <c r="G58" i="9"/>
  <c r="F58" i="9"/>
  <c r="L58" i="9" s="1"/>
  <c r="AC57" i="9"/>
  <c r="T57" i="9"/>
  <c r="R57" i="9"/>
  <c r="O57" i="9"/>
  <c r="G57" i="9"/>
  <c r="F57" i="9"/>
  <c r="E48" i="11" s="1"/>
  <c r="AC56" i="9"/>
  <c r="T56" i="9"/>
  <c r="R56" i="9"/>
  <c r="O56" i="9"/>
  <c r="G56" i="9"/>
  <c r="F56" i="9"/>
  <c r="L56" i="9" s="1"/>
  <c r="AC55" i="9"/>
  <c r="T55" i="9"/>
  <c r="R55" i="9"/>
  <c r="O55" i="9"/>
  <c r="G55" i="9"/>
  <c r="F55" i="9"/>
  <c r="E47" i="11" s="1"/>
  <c r="AC54" i="9"/>
  <c r="T54" i="9"/>
  <c r="R54" i="9"/>
  <c r="O54" i="9"/>
  <c r="G54" i="9"/>
  <c r="F54" i="9"/>
  <c r="AC53" i="9"/>
  <c r="T53" i="9"/>
  <c r="R53" i="9"/>
  <c r="O53" i="9"/>
  <c r="G53" i="9"/>
  <c r="F53" i="9"/>
  <c r="AC52" i="9"/>
  <c r="T52" i="9"/>
  <c r="R52" i="9"/>
  <c r="O52" i="9"/>
  <c r="G52" i="9"/>
  <c r="F52" i="9"/>
  <c r="L52" i="9" s="1"/>
  <c r="AC51" i="9"/>
  <c r="T51" i="9"/>
  <c r="R51" i="9"/>
  <c r="O51" i="9"/>
  <c r="G51" i="9"/>
  <c r="F51" i="9"/>
  <c r="E45" i="11" s="1"/>
  <c r="AC50" i="9"/>
  <c r="U50" i="9"/>
  <c r="T50" i="9"/>
  <c r="R50" i="9"/>
  <c r="O50" i="9"/>
  <c r="G50" i="9"/>
  <c r="F50" i="9"/>
  <c r="L50" i="9" s="1"/>
  <c r="AC49" i="9"/>
  <c r="U49" i="9"/>
  <c r="Y49" i="9" s="1"/>
  <c r="Z49" i="9" s="1"/>
  <c r="T49" i="9"/>
  <c r="R49" i="9"/>
  <c r="O49" i="9"/>
  <c r="G49" i="9"/>
  <c r="F49" i="9"/>
  <c r="AC48" i="9"/>
  <c r="T48" i="9"/>
  <c r="R48" i="9"/>
  <c r="O48" i="9"/>
  <c r="G48" i="9"/>
  <c r="F48" i="9"/>
  <c r="L48" i="9" s="1"/>
  <c r="AC47" i="9"/>
  <c r="T47" i="9"/>
  <c r="R47" i="9"/>
  <c r="O47" i="9"/>
  <c r="G47" i="9"/>
  <c r="F47" i="9"/>
  <c r="AC46" i="9"/>
  <c r="U46" i="9"/>
  <c r="T46" i="9"/>
  <c r="R46" i="9"/>
  <c r="O46" i="9"/>
  <c r="G46" i="9"/>
  <c r="F46" i="9"/>
  <c r="L46" i="9" s="1"/>
  <c r="AC45" i="9"/>
  <c r="T45" i="9"/>
  <c r="R45" i="9"/>
  <c r="O45" i="9"/>
  <c r="G45" i="9"/>
  <c r="F45" i="9"/>
  <c r="L45" i="9" s="1"/>
  <c r="AC44" i="9"/>
  <c r="U44" i="9"/>
  <c r="T44" i="9"/>
  <c r="R44" i="9"/>
  <c r="O44" i="9"/>
  <c r="G44" i="9"/>
  <c r="F44" i="9"/>
  <c r="L44" i="9" s="1"/>
  <c r="AC43" i="9"/>
  <c r="U43" i="9"/>
  <c r="Y44" i="9" s="1"/>
  <c r="T43" i="9"/>
  <c r="R43" i="9"/>
  <c r="O43" i="9"/>
  <c r="G43" i="9"/>
  <c r="F43" i="9"/>
  <c r="E41" i="11" s="1"/>
  <c r="AC42" i="9"/>
  <c r="T42" i="9"/>
  <c r="R42" i="9"/>
  <c r="O42" i="9"/>
  <c r="G42" i="9"/>
  <c r="F42" i="9"/>
  <c r="L42" i="9" s="1"/>
  <c r="AC41" i="9"/>
  <c r="T41" i="9"/>
  <c r="R41" i="9"/>
  <c r="O41" i="9"/>
  <c r="G41" i="9"/>
  <c r="F41" i="9"/>
  <c r="E40" i="11" s="1"/>
  <c r="AC40" i="9"/>
  <c r="T40" i="9"/>
  <c r="R40" i="9"/>
  <c r="O40" i="9"/>
  <c r="G40" i="9"/>
  <c r="F40" i="9"/>
  <c r="AC39" i="9"/>
  <c r="T39" i="9"/>
  <c r="R39" i="9"/>
  <c r="O39" i="9"/>
  <c r="G39" i="9"/>
  <c r="F39" i="9"/>
  <c r="E39" i="11" s="1"/>
  <c r="AC38" i="9"/>
  <c r="T38" i="9"/>
  <c r="R38" i="9"/>
  <c r="O38" i="9"/>
  <c r="G38" i="9"/>
  <c r="F38" i="9"/>
  <c r="L38" i="9" s="1"/>
  <c r="AC37" i="9"/>
  <c r="T37" i="9"/>
  <c r="R37" i="9"/>
  <c r="O37" i="9"/>
  <c r="G37" i="9"/>
  <c r="F37" i="9"/>
  <c r="E38" i="11" s="1"/>
  <c r="AC36" i="9"/>
  <c r="T36" i="9"/>
  <c r="R36" i="9"/>
  <c r="O36" i="9"/>
  <c r="G36" i="9"/>
  <c r="F36" i="9"/>
  <c r="L36" i="9" s="1"/>
  <c r="AC35" i="9"/>
  <c r="T35" i="9"/>
  <c r="R35" i="9"/>
  <c r="O35" i="9"/>
  <c r="G35" i="9"/>
  <c r="F35" i="9"/>
  <c r="AC34" i="9"/>
  <c r="T34" i="9"/>
  <c r="R34" i="9"/>
  <c r="O34" i="9"/>
  <c r="G34" i="9"/>
  <c r="F34" i="9"/>
  <c r="L34" i="9" s="1"/>
  <c r="AC33" i="9"/>
  <c r="T33" i="9"/>
  <c r="R33" i="9"/>
  <c r="O33" i="9"/>
  <c r="G33" i="9"/>
  <c r="F33" i="9"/>
  <c r="E36" i="11" s="1"/>
  <c r="AC32" i="9"/>
  <c r="T32" i="9"/>
  <c r="R32" i="9"/>
  <c r="O32" i="9"/>
  <c r="G32" i="9"/>
  <c r="F32" i="9"/>
  <c r="L32" i="9" s="1"/>
  <c r="AC31" i="9"/>
  <c r="T31" i="9"/>
  <c r="R31" i="9"/>
  <c r="O31" i="9"/>
  <c r="G31" i="9"/>
  <c r="F31" i="9"/>
  <c r="E35" i="11" s="1"/>
  <c r="AC30" i="9"/>
  <c r="U30" i="9"/>
  <c r="T30" i="9"/>
  <c r="R30" i="9"/>
  <c r="O30" i="9"/>
  <c r="H30" i="9"/>
  <c r="G30" i="9"/>
  <c r="F30" i="9"/>
  <c r="L30" i="9" s="1"/>
  <c r="AC29" i="9"/>
  <c r="U29" i="9"/>
  <c r="Y29" i="9" s="1"/>
  <c r="Z29" i="9" s="1"/>
  <c r="T29" i="9"/>
  <c r="R29" i="9"/>
  <c r="O29" i="9"/>
  <c r="G29" i="9"/>
  <c r="F29" i="9"/>
  <c r="E34" i="11" s="1"/>
  <c r="AC28" i="9"/>
  <c r="T28" i="9"/>
  <c r="R28" i="9"/>
  <c r="O28" i="9"/>
  <c r="G28" i="9"/>
  <c r="F28" i="9"/>
  <c r="AC27" i="9"/>
  <c r="T27" i="9"/>
  <c r="R27" i="9"/>
  <c r="O27" i="9"/>
  <c r="G27" i="9"/>
  <c r="F27" i="9"/>
  <c r="E33" i="11" s="1"/>
  <c r="AC26" i="9"/>
  <c r="T26" i="9"/>
  <c r="R26" i="9"/>
  <c r="O26" i="9"/>
  <c r="G26" i="9"/>
  <c r="F26" i="9"/>
  <c r="L26" i="9" s="1"/>
  <c r="AC25" i="9"/>
  <c r="T25" i="9"/>
  <c r="R25" i="9"/>
  <c r="O25" i="9"/>
  <c r="G25" i="9"/>
  <c r="F25" i="9"/>
  <c r="E32" i="11" s="1"/>
  <c r="AC24" i="9"/>
  <c r="U24" i="9"/>
  <c r="Y23" i="9" s="1"/>
  <c r="T24" i="9"/>
  <c r="R24" i="9"/>
  <c r="O24" i="9"/>
  <c r="G24" i="9"/>
  <c r="F24" i="9"/>
  <c r="L24" i="9" s="1"/>
  <c r="AC23" i="9"/>
  <c r="U23" i="9"/>
  <c r="T23" i="9"/>
  <c r="R23" i="9"/>
  <c r="O23" i="9"/>
  <c r="G23" i="9"/>
  <c r="F23" i="9"/>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AC18" i="9"/>
  <c r="T18" i="9"/>
  <c r="R18" i="9"/>
  <c r="O18" i="9"/>
  <c r="G18" i="9"/>
  <c r="F18" i="9"/>
  <c r="L18" i="9" s="1"/>
  <c r="AC17" i="9"/>
  <c r="T17" i="9"/>
  <c r="R17" i="9"/>
  <c r="O17" i="9"/>
  <c r="G17" i="9"/>
  <c r="F17" i="9"/>
  <c r="AC16" i="9"/>
  <c r="U16" i="9"/>
  <c r="Y16" i="9" s="1"/>
  <c r="Z16" i="9" s="1"/>
  <c r="T16" i="9"/>
  <c r="R16" i="9"/>
  <c r="O16" i="9"/>
  <c r="G16" i="9"/>
  <c r="F16" i="9"/>
  <c r="L16" i="9" s="1"/>
  <c r="AC15" i="9"/>
  <c r="U15" i="9"/>
  <c r="T15" i="9"/>
  <c r="R15" i="9"/>
  <c r="O15" i="9"/>
  <c r="G15" i="9"/>
  <c r="F15" i="9"/>
  <c r="E27" i="11" s="1"/>
  <c r="AC14" i="9"/>
  <c r="U14" i="9"/>
  <c r="T14" i="9"/>
  <c r="R14" i="9"/>
  <c r="O14" i="9"/>
  <c r="H14" i="9"/>
  <c r="G14" i="9"/>
  <c r="F14" i="9"/>
  <c r="L14" i="9" s="1"/>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13" i="9" s="1"/>
  <c r="T7" i="9"/>
  <c r="R7" i="9"/>
  <c r="O7" i="9"/>
  <c r="H7" i="9"/>
  <c r="P8" i="9" s="1"/>
  <c r="G7" i="9"/>
  <c r="F7" i="9"/>
  <c r="AC6" i="9"/>
  <c r="U6" i="9"/>
  <c r="T6" i="9"/>
  <c r="R6" i="9"/>
  <c r="O6" i="9"/>
  <c r="H6" i="9"/>
  <c r="G6" i="9"/>
  <c r="F6" i="9"/>
  <c r="L6" i="9" s="1"/>
  <c r="AC5" i="9"/>
  <c r="U5" i="9"/>
  <c r="T5" i="9"/>
  <c r="R5" i="9"/>
  <c r="O5" i="9"/>
  <c r="H5" i="9"/>
  <c r="G5" i="9"/>
  <c r="F5" i="9"/>
  <c r="L5" i="9" s="1"/>
  <c r="AC4" i="9"/>
  <c r="U4" i="9"/>
  <c r="Y5" i="9" s="1"/>
  <c r="T4" i="9"/>
  <c r="R4" i="9"/>
  <c r="O4" i="9"/>
  <c r="H4" i="9"/>
  <c r="P5" i="9" s="1"/>
  <c r="G4" i="9"/>
  <c r="F4" i="9"/>
  <c r="E25" i="11"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C35" i="8"/>
  <c r="B35" i="8"/>
  <c r="E35" i="8" s="1"/>
  <c r="F35" i="8" s="1"/>
  <c r="C34" i="8"/>
  <c r="B34" i="8"/>
  <c r="E34" i="8" s="1"/>
  <c r="F34" i="8" s="1"/>
  <c r="C33" i="8"/>
  <c r="B33" i="8"/>
  <c r="C32" i="8"/>
  <c r="B32" i="8"/>
  <c r="E32" i="8" s="1"/>
  <c r="F32" i="8" s="1"/>
  <c r="C31" i="8"/>
  <c r="B31" i="8"/>
  <c r="D31" i="8" s="1"/>
  <c r="C30" i="8"/>
  <c r="B30" i="8"/>
  <c r="C29" i="8"/>
  <c r="B29" i="8"/>
  <c r="E29" i="8" s="1"/>
  <c r="F29" i="8" s="1"/>
  <c r="C28" i="8"/>
  <c r="B28" i="8"/>
  <c r="C27" i="8"/>
  <c r="B27" i="8"/>
  <c r="C26" i="8"/>
  <c r="B26" i="8"/>
  <c r="E26" i="8" s="1"/>
  <c r="F26" i="8" s="1"/>
  <c r="C25" i="8"/>
  <c r="B25" i="8"/>
  <c r="C24" i="8"/>
  <c r="B24" i="8"/>
  <c r="E24" i="8" s="1"/>
  <c r="F24" i="8" s="1"/>
  <c r="C23" i="8"/>
  <c r="B23" i="8"/>
  <c r="D17" i="8"/>
  <c r="O110" i="6"/>
  <c r="N110" i="6"/>
  <c r="M110" i="6"/>
  <c r="L110" i="6"/>
  <c r="K110" i="6"/>
  <c r="J110" i="6"/>
  <c r="I110" i="6"/>
  <c r="H110" i="6"/>
  <c r="G110" i="6"/>
  <c r="F110" i="6"/>
  <c r="E110" i="6"/>
  <c r="D110" i="6"/>
  <c r="C110" i="6"/>
  <c r="B110" i="6"/>
  <c r="O109" i="6"/>
  <c r="N109" i="6"/>
  <c r="M109" i="6"/>
  <c r="K109" i="6"/>
  <c r="J109" i="6"/>
  <c r="H109" i="6"/>
  <c r="E109" i="6"/>
  <c r="D109" i="6"/>
  <c r="C109" i="6"/>
  <c r="O108" i="6"/>
  <c r="O107" i="6"/>
  <c r="N107" i="6"/>
  <c r="M107" i="6"/>
  <c r="L107" i="6"/>
  <c r="K107" i="6"/>
  <c r="J107" i="6"/>
  <c r="H107" i="6"/>
  <c r="E107" i="6"/>
  <c r="C107" i="6"/>
  <c r="O106" i="6"/>
  <c r="N106" i="6"/>
  <c r="M106" i="6"/>
  <c r="L106" i="6"/>
  <c r="K106" i="6"/>
  <c r="J106" i="6"/>
  <c r="H106" i="6"/>
  <c r="G106" i="6"/>
  <c r="F106" i="6"/>
  <c r="E106" i="6"/>
  <c r="C106" i="6"/>
  <c r="O105" i="6"/>
  <c r="N105" i="6"/>
  <c r="M105" i="6"/>
  <c r="L105" i="6"/>
  <c r="K105" i="6"/>
  <c r="J105" i="6"/>
  <c r="I105" i="6"/>
  <c r="H105" i="6"/>
  <c r="G105" i="6"/>
  <c r="F105" i="6"/>
  <c r="E105" i="6"/>
  <c r="D105" i="6"/>
  <c r="C105" i="6"/>
  <c r="B105" i="6"/>
  <c r="O104" i="6"/>
  <c r="N104" i="6"/>
  <c r="M104" i="6"/>
  <c r="K104" i="6"/>
  <c r="J104" i="6"/>
  <c r="H104" i="6"/>
  <c r="F104" i="6"/>
  <c r="E104" i="6"/>
  <c r="C104" i="6"/>
  <c r="O103" i="6"/>
  <c r="N103" i="6"/>
  <c r="M103" i="6"/>
  <c r="K103" i="6"/>
  <c r="J103" i="6"/>
  <c r="H103" i="6"/>
  <c r="E103" i="6"/>
  <c r="D103" i="6"/>
  <c r="C103" i="6"/>
  <c r="O102" i="6"/>
  <c r="N102" i="6"/>
  <c r="M102" i="6"/>
  <c r="D102" i="6"/>
  <c r="O101" i="6"/>
  <c r="N101" i="6"/>
  <c r="M101" i="6"/>
  <c r="L101" i="6"/>
  <c r="K101" i="6"/>
  <c r="J101" i="6"/>
  <c r="I101" i="6"/>
  <c r="H101" i="6"/>
  <c r="G101" i="6"/>
  <c r="F101" i="6"/>
  <c r="E101" i="6"/>
  <c r="D101" i="6"/>
  <c r="C101" i="6"/>
  <c r="B101" i="6"/>
  <c r="O100" i="6"/>
  <c r="N100" i="6"/>
  <c r="M100" i="6"/>
  <c r="L100" i="6"/>
  <c r="K100" i="6"/>
  <c r="J100" i="6"/>
  <c r="I100" i="6"/>
  <c r="H100" i="6"/>
  <c r="G100" i="6"/>
  <c r="F100" i="6"/>
  <c r="E100" i="6"/>
  <c r="D100" i="6"/>
  <c r="C100" i="6"/>
  <c r="B100" i="6"/>
  <c r="O99" i="6"/>
  <c r="N99" i="6"/>
  <c r="M99" i="6"/>
  <c r="K99" i="6"/>
  <c r="J99" i="6"/>
  <c r="I99" i="6"/>
  <c r="H99" i="6"/>
  <c r="E99" i="6"/>
  <c r="D99" i="6"/>
  <c r="C99" i="6"/>
  <c r="B99" i="6"/>
  <c r="O98" i="6"/>
  <c r="N98" i="6"/>
  <c r="M98" i="6"/>
  <c r="L98" i="6"/>
  <c r="K98" i="6"/>
  <c r="J98" i="6"/>
  <c r="I98" i="6"/>
  <c r="H98" i="6"/>
  <c r="G98" i="6"/>
  <c r="F98" i="6"/>
  <c r="E98" i="6"/>
  <c r="D98" i="6"/>
  <c r="C98" i="6"/>
  <c r="B98" i="6"/>
  <c r="O97" i="6"/>
  <c r="N97" i="6"/>
  <c r="M97" i="6"/>
  <c r="L97" i="6"/>
  <c r="K97" i="6"/>
  <c r="J97" i="6"/>
  <c r="I97" i="6"/>
  <c r="H97" i="6"/>
  <c r="G97" i="6"/>
  <c r="F97" i="6"/>
  <c r="E97" i="6"/>
  <c r="D97" i="6"/>
  <c r="C97" i="6"/>
  <c r="B97" i="6"/>
  <c r="O96" i="6"/>
  <c r="N96" i="6"/>
  <c r="M96" i="6"/>
  <c r="K96" i="6"/>
  <c r="J96" i="6"/>
  <c r="C96" i="6"/>
  <c r="O95" i="6"/>
  <c r="N95" i="6"/>
  <c r="M95" i="6"/>
  <c r="G95" i="6"/>
  <c r="F95" i="6"/>
  <c r="E95" i="6"/>
  <c r="D95" i="6"/>
  <c r="B95" i="6"/>
  <c r="O94" i="6"/>
  <c r="N94" i="6"/>
  <c r="M94" i="6"/>
  <c r="L94" i="6"/>
  <c r="K94" i="6"/>
  <c r="J94" i="6"/>
  <c r="I94" i="6"/>
  <c r="H94" i="6"/>
  <c r="G94" i="6"/>
  <c r="F94" i="6"/>
  <c r="E94" i="6"/>
  <c r="D94" i="6"/>
  <c r="C94" i="6"/>
  <c r="B94" i="6"/>
  <c r="O93" i="6"/>
  <c r="N93" i="6"/>
  <c r="M93" i="6"/>
  <c r="K93" i="6"/>
  <c r="J93" i="6"/>
  <c r="H93" i="6"/>
  <c r="E93" i="6"/>
  <c r="C93" i="6"/>
  <c r="O92" i="6"/>
  <c r="N92" i="6"/>
  <c r="M92" i="6"/>
  <c r="L92" i="6"/>
  <c r="K92" i="6"/>
  <c r="J92" i="6"/>
  <c r="I92" i="6"/>
  <c r="H92" i="6"/>
  <c r="G92" i="6"/>
  <c r="F92" i="6"/>
  <c r="E92" i="6"/>
  <c r="D92" i="6"/>
  <c r="C92" i="6"/>
  <c r="B92" i="6"/>
  <c r="O91" i="6"/>
  <c r="N91" i="6"/>
  <c r="M91" i="6"/>
  <c r="L91" i="6"/>
  <c r="K91" i="6"/>
  <c r="J91" i="6"/>
  <c r="H91" i="6"/>
  <c r="F91" i="6"/>
  <c r="E91" i="6"/>
  <c r="D91" i="6"/>
  <c r="C91" i="6"/>
  <c r="B91" i="6"/>
  <c r="D87" i="6"/>
  <c r="C87" i="6"/>
  <c r="B87" i="6"/>
  <c r="D86" i="6"/>
  <c r="C86" i="6"/>
  <c r="B86" i="6"/>
  <c r="F85" i="6"/>
  <c r="D85" i="6"/>
  <c r="C85" i="6"/>
  <c r="B85" i="6"/>
  <c r="G85" i="6" s="1"/>
  <c r="S85" i="6" s="1"/>
  <c r="D84" i="6"/>
  <c r="C84" i="6"/>
  <c r="B84" i="6"/>
  <c r="D83" i="6"/>
  <c r="C83" i="6"/>
  <c r="B83" i="6"/>
  <c r="D82" i="6"/>
  <c r="C82" i="6"/>
  <c r="B82" i="6"/>
  <c r="D81" i="6"/>
  <c r="C81" i="6"/>
  <c r="B81" i="6"/>
  <c r="D80" i="6"/>
  <c r="C80" i="6"/>
  <c r="B80" i="6"/>
  <c r="D79" i="6"/>
  <c r="C79" i="6"/>
  <c r="B79" i="6"/>
  <c r="D78" i="6"/>
  <c r="C78" i="6"/>
  <c r="B78" i="6"/>
  <c r="D77" i="6"/>
  <c r="C77" i="6"/>
  <c r="B77" i="6"/>
  <c r="D76" i="6"/>
  <c r="C76" i="6"/>
  <c r="B76" i="6"/>
  <c r="D75" i="6"/>
  <c r="C75" i="6"/>
  <c r="B75" i="6"/>
  <c r="D74" i="6"/>
  <c r="C74" i="6"/>
  <c r="B74"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7" i="6"/>
  <c r="O71" i="6" s="1"/>
  <c r="U71" i="8" s="1"/>
  <c r="N27" i="6"/>
  <c r="N71" i="6" s="1"/>
  <c r="U70" i="8" s="1"/>
  <c r="M27" i="6"/>
  <c r="M71" i="6" s="1"/>
  <c r="U69" i="8" s="1"/>
  <c r="L27" i="6"/>
  <c r="L71" i="6" s="1"/>
  <c r="U68" i="8" s="1"/>
  <c r="K27" i="6"/>
  <c r="K71" i="6" s="1"/>
  <c r="U67" i="8" s="1"/>
  <c r="J27" i="6"/>
  <c r="J71" i="6" s="1"/>
  <c r="U66" i="8" s="1"/>
  <c r="I27" i="6"/>
  <c r="I71" i="6" s="1"/>
  <c r="U65" i="8" s="1"/>
  <c r="H27" i="6"/>
  <c r="H71" i="6" s="1"/>
  <c r="U64" i="8" s="1"/>
  <c r="G27" i="6"/>
  <c r="G71" i="6" s="1"/>
  <c r="U63" i="8" s="1"/>
  <c r="F27" i="6"/>
  <c r="F71" i="6" s="1"/>
  <c r="U62" i="8" s="1"/>
  <c r="E27" i="6"/>
  <c r="E71" i="6" s="1"/>
  <c r="U61" i="8" s="1"/>
  <c r="D27" i="6"/>
  <c r="D71" i="6" s="1"/>
  <c r="U60" i="8" s="1"/>
  <c r="C27" i="6"/>
  <c r="C71" i="6" s="1"/>
  <c r="U59" i="8" s="1"/>
  <c r="B27" i="6"/>
  <c r="B71" i="6" s="1"/>
  <c r="U58" i="8" s="1"/>
  <c r="O26" i="6"/>
  <c r="O70" i="6" s="1"/>
  <c r="T71" i="8" s="1"/>
  <c r="N26" i="6"/>
  <c r="N70" i="6" s="1"/>
  <c r="T70" i="8" s="1"/>
  <c r="M26" i="6"/>
  <c r="M70" i="6" s="1"/>
  <c r="T69" i="8" s="1"/>
  <c r="L26" i="6"/>
  <c r="K26" i="6"/>
  <c r="K70" i="6" s="1"/>
  <c r="T67" i="8" s="1"/>
  <c r="J26" i="6"/>
  <c r="J70" i="6" s="1"/>
  <c r="T66" i="8" s="1"/>
  <c r="I26" i="6"/>
  <c r="H26" i="6"/>
  <c r="H70" i="6" s="1"/>
  <c r="T64" i="8" s="1"/>
  <c r="G26" i="6"/>
  <c r="F26" i="6"/>
  <c r="E26" i="6"/>
  <c r="E70" i="6" s="1"/>
  <c r="T61" i="8" s="1"/>
  <c r="D26" i="6"/>
  <c r="D70" i="6" s="1"/>
  <c r="T60" i="8" s="1"/>
  <c r="C26" i="6"/>
  <c r="C70" i="6" s="1"/>
  <c r="T59" i="8" s="1"/>
  <c r="B26" i="6"/>
  <c r="O25" i="6"/>
  <c r="O69" i="6" s="1"/>
  <c r="S71" i="8" s="1"/>
  <c r="N25" i="6"/>
  <c r="M25" i="6"/>
  <c r="L25" i="6"/>
  <c r="K25" i="6"/>
  <c r="J25" i="6"/>
  <c r="I25" i="6"/>
  <c r="H25" i="6"/>
  <c r="G25" i="6"/>
  <c r="F25" i="6"/>
  <c r="E25" i="6"/>
  <c r="D25" i="6"/>
  <c r="C25" i="6"/>
  <c r="B25" i="6"/>
  <c r="O24" i="6"/>
  <c r="O68" i="6" s="1"/>
  <c r="R71" i="8" s="1"/>
  <c r="N24" i="6"/>
  <c r="N68" i="6" s="1"/>
  <c r="R70" i="8" s="1"/>
  <c r="M24" i="6"/>
  <c r="M68" i="6" s="1"/>
  <c r="R69" i="8" s="1"/>
  <c r="L24" i="6"/>
  <c r="L68" i="6" s="1"/>
  <c r="R68" i="8" s="1"/>
  <c r="K24" i="6"/>
  <c r="K68" i="6" s="1"/>
  <c r="R67" i="8" s="1"/>
  <c r="J24" i="6"/>
  <c r="J68" i="6" s="1"/>
  <c r="R66" i="8" s="1"/>
  <c r="I24" i="6"/>
  <c r="H24" i="6"/>
  <c r="H68" i="6" s="1"/>
  <c r="R64" i="8" s="1"/>
  <c r="G24" i="6"/>
  <c r="F24" i="6"/>
  <c r="E24" i="6"/>
  <c r="E68" i="6" s="1"/>
  <c r="R61" i="8" s="1"/>
  <c r="D24" i="6"/>
  <c r="C24" i="6"/>
  <c r="C68" i="6" s="1"/>
  <c r="R59" i="8" s="1"/>
  <c r="B24" i="6"/>
  <c r="O23" i="6"/>
  <c r="O67" i="6" s="1"/>
  <c r="Q71" i="8" s="1"/>
  <c r="N23" i="6"/>
  <c r="N67" i="6" s="1"/>
  <c r="Q70" i="8" s="1"/>
  <c r="M23" i="6"/>
  <c r="M67" i="6" s="1"/>
  <c r="Q69" i="8" s="1"/>
  <c r="L23" i="6"/>
  <c r="L67" i="6" s="1"/>
  <c r="Q68" i="8" s="1"/>
  <c r="K23" i="6"/>
  <c r="K67" i="6" s="1"/>
  <c r="Q67" i="8" s="1"/>
  <c r="J23" i="6"/>
  <c r="J67" i="6" s="1"/>
  <c r="Q66" i="8" s="1"/>
  <c r="I23" i="6"/>
  <c r="H23" i="6"/>
  <c r="H67" i="6" s="1"/>
  <c r="Q64" i="8" s="1"/>
  <c r="G23" i="6"/>
  <c r="G67" i="6" s="1"/>
  <c r="Q63" i="8" s="1"/>
  <c r="F23" i="6"/>
  <c r="F67" i="6" s="1"/>
  <c r="Q62" i="8" s="1"/>
  <c r="E23" i="6"/>
  <c r="E67" i="6" s="1"/>
  <c r="Q61" i="8" s="1"/>
  <c r="D23" i="6"/>
  <c r="C23" i="6"/>
  <c r="C67" i="6" s="1"/>
  <c r="Q59" i="8" s="1"/>
  <c r="B23" i="6"/>
  <c r="O22" i="6"/>
  <c r="O66" i="6" s="1"/>
  <c r="P71" i="8" s="1"/>
  <c r="N22" i="6"/>
  <c r="N66" i="6" s="1"/>
  <c r="P70" i="8" s="1"/>
  <c r="M22" i="6"/>
  <c r="M66" i="6" s="1"/>
  <c r="P69" i="8" s="1"/>
  <c r="L22" i="6"/>
  <c r="L66" i="6" s="1"/>
  <c r="P68" i="8" s="1"/>
  <c r="K22" i="6"/>
  <c r="K66" i="6" s="1"/>
  <c r="P67" i="8" s="1"/>
  <c r="J22" i="6"/>
  <c r="J66" i="6" s="1"/>
  <c r="P66" i="8" s="1"/>
  <c r="I22" i="6"/>
  <c r="I66" i="6" s="1"/>
  <c r="P65" i="8" s="1"/>
  <c r="H22" i="6"/>
  <c r="H66" i="6" s="1"/>
  <c r="P64" i="8" s="1"/>
  <c r="G22" i="6"/>
  <c r="G66" i="6" s="1"/>
  <c r="P63" i="8" s="1"/>
  <c r="F22" i="6"/>
  <c r="F66" i="6" s="1"/>
  <c r="P62" i="8" s="1"/>
  <c r="E22" i="6"/>
  <c r="E66" i="6" s="1"/>
  <c r="P61" i="8" s="1"/>
  <c r="D22" i="6"/>
  <c r="D66" i="6" s="1"/>
  <c r="P60" i="8" s="1"/>
  <c r="C22" i="6"/>
  <c r="C66" i="6" s="1"/>
  <c r="P59" i="8" s="1"/>
  <c r="B22" i="6"/>
  <c r="B66" i="6" s="1"/>
  <c r="P58" i="8" s="1"/>
  <c r="O21" i="6"/>
  <c r="O65" i="6" s="1"/>
  <c r="O71" i="8" s="1"/>
  <c r="N21" i="6"/>
  <c r="N65" i="6" s="1"/>
  <c r="O70" i="8" s="1"/>
  <c r="M21" i="6"/>
  <c r="M65" i="6" s="1"/>
  <c r="O69" i="8" s="1"/>
  <c r="L21" i="6"/>
  <c r="K21" i="6"/>
  <c r="K65" i="6" s="1"/>
  <c r="O67" i="8" s="1"/>
  <c r="J21" i="6"/>
  <c r="J65" i="6" s="1"/>
  <c r="O66" i="8" s="1"/>
  <c r="I21" i="6"/>
  <c r="H21" i="6"/>
  <c r="H65" i="6" s="1"/>
  <c r="O64" i="8" s="1"/>
  <c r="G21" i="6"/>
  <c r="F21" i="6"/>
  <c r="F65" i="6" s="1"/>
  <c r="O62" i="8" s="1"/>
  <c r="E21" i="6"/>
  <c r="E65" i="6" s="1"/>
  <c r="O61" i="8" s="1"/>
  <c r="D21" i="6"/>
  <c r="C21" i="6"/>
  <c r="C65" i="6" s="1"/>
  <c r="O59" i="8" s="1"/>
  <c r="B21" i="6"/>
  <c r="O20" i="6"/>
  <c r="O64" i="6" s="1"/>
  <c r="N71" i="8" s="1"/>
  <c r="N20" i="6"/>
  <c r="N64" i="6" s="1"/>
  <c r="N70" i="8" s="1"/>
  <c r="M20" i="6"/>
  <c r="M64" i="6" s="1"/>
  <c r="N69" i="8" s="1"/>
  <c r="L20" i="6"/>
  <c r="K20" i="6"/>
  <c r="K64" i="6" s="1"/>
  <c r="N67" i="8" s="1"/>
  <c r="J20" i="6"/>
  <c r="J64" i="6" s="1"/>
  <c r="N66" i="8" s="1"/>
  <c r="I20" i="6"/>
  <c r="H20" i="6"/>
  <c r="H64" i="6" s="1"/>
  <c r="N64" i="8" s="1"/>
  <c r="G20" i="6"/>
  <c r="F20" i="6"/>
  <c r="E20" i="6"/>
  <c r="E64" i="6" s="1"/>
  <c r="N61" i="8" s="1"/>
  <c r="D20" i="6"/>
  <c r="D64" i="6" s="1"/>
  <c r="N60" i="8" s="1"/>
  <c r="C20" i="6"/>
  <c r="C64" i="6" s="1"/>
  <c r="N59" i="8" s="1"/>
  <c r="B20" i="6"/>
  <c r="O19" i="6"/>
  <c r="O63" i="6" s="1"/>
  <c r="M71" i="8" s="1"/>
  <c r="N19" i="6"/>
  <c r="N63" i="6" s="1"/>
  <c r="M70" i="8" s="1"/>
  <c r="M19" i="6"/>
  <c r="M63" i="6" s="1"/>
  <c r="M69" i="8" s="1"/>
  <c r="L19" i="6"/>
  <c r="K19" i="6"/>
  <c r="J19" i="6"/>
  <c r="I19" i="6"/>
  <c r="H19" i="6"/>
  <c r="G19" i="6"/>
  <c r="F19" i="6"/>
  <c r="E19" i="6"/>
  <c r="D19" i="6"/>
  <c r="D63" i="6" s="1"/>
  <c r="M60" i="8" s="1"/>
  <c r="C19" i="6"/>
  <c r="B19" i="6"/>
  <c r="O18" i="6"/>
  <c r="O62" i="6" s="1"/>
  <c r="L71" i="8" s="1"/>
  <c r="N18" i="6"/>
  <c r="N62" i="6" s="1"/>
  <c r="L70" i="8" s="1"/>
  <c r="M18" i="6"/>
  <c r="M62" i="6" s="1"/>
  <c r="L69" i="8" s="1"/>
  <c r="L18" i="6"/>
  <c r="L62" i="6" s="1"/>
  <c r="L68" i="8" s="1"/>
  <c r="K18" i="6"/>
  <c r="K62" i="6" s="1"/>
  <c r="L67" i="8" s="1"/>
  <c r="J18" i="6"/>
  <c r="J62" i="6" s="1"/>
  <c r="L66" i="8" s="1"/>
  <c r="I18" i="6"/>
  <c r="I62" i="6" s="1"/>
  <c r="L65" i="8" s="1"/>
  <c r="H18" i="6"/>
  <c r="H62" i="6" s="1"/>
  <c r="L64" i="8" s="1"/>
  <c r="G18" i="6"/>
  <c r="G62" i="6" s="1"/>
  <c r="L63" i="8" s="1"/>
  <c r="F18" i="6"/>
  <c r="F62" i="6" s="1"/>
  <c r="L62" i="8" s="1"/>
  <c r="E18" i="6"/>
  <c r="E62" i="6" s="1"/>
  <c r="L61" i="8" s="1"/>
  <c r="D18" i="6"/>
  <c r="D62" i="6" s="1"/>
  <c r="L60" i="8" s="1"/>
  <c r="C18" i="6"/>
  <c r="C62" i="6" s="1"/>
  <c r="L59" i="8" s="1"/>
  <c r="B18" i="6"/>
  <c r="B62" i="6" s="1"/>
  <c r="L58" i="8" s="1"/>
  <c r="O17" i="6"/>
  <c r="O61" i="6" s="1"/>
  <c r="K71" i="8" s="1"/>
  <c r="N17" i="6"/>
  <c r="N61" i="6" s="1"/>
  <c r="K70" i="8" s="1"/>
  <c r="M17" i="6"/>
  <c r="M61" i="6" s="1"/>
  <c r="K69" i="8" s="1"/>
  <c r="L17" i="6"/>
  <c r="L61" i="6" s="1"/>
  <c r="K68" i="8" s="1"/>
  <c r="K17" i="6"/>
  <c r="K61" i="6" s="1"/>
  <c r="K67" i="8" s="1"/>
  <c r="J17" i="6"/>
  <c r="J61" i="6" s="1"/>
  <c r="K66" i="8" s="1"/>
  <c r="I17" i="6"/>
  <c r="I61" i="6" s="1"/>
  <c r="K65" i="8" s="1"/>
  <c r="H17" i="6"/>
  <c r="H61" i="6" s="1"/>
  <c r="K64" i="8" s="1"/>
  <c r="G17" i="6"/>
  <c r="G61" i="6" s="1"/>
  <c r="K63" i="8" s="1"/>
  <c r="F17" i="6"/>
  <c r="F61" i="6" s="1"/>
  <c r="K62" i="8" s="1"/>
  <c r="E17" i="6"/>
  <c r="E61" i="6" s="1"/>
  <c r="K61" i="8" s="1"/>
  <c r="D17" i="6"/>
  <c r="D61" i="6" s="1"/>
  <c r="K60" i="8" s="1"/>
  <c r="C17" i="6"/>
  <c r="C61" i="6" s="1"/>
  <c r="K59" i="8" s="1"/>
  <c r="B17" i="6"/>
  <c r="B61" i="6" s="1"/>
  <c r="K58" i="8" s="1"/>
  <c r="O16" i="6"/>
  <c r="O60" i="6" s="1"/>
  <c r="J71" i="8" s="1"/>
  <c r="N16" i="6"/>
  <c r="N60" i="6" s="1"/>
  <c r="J70" i="8" s="1"/>
  <c r="M16" i="6"/>
  <c r="M60" i="6" s="1"/>
  <c r="J69" i="8" s="1"/>
  <c r="L16" i="6"/>
  <c r="K16" i="6"/>
  <c r="K60" i="6" s="1"/>
  <c r="J67" i="8" s="1"/>
  <c r="J16" i="6"/>
  <c r="J60" i="6" s="1"/>
  <c r="J66" i="8" s="1"/>
  <c r="I16" i="6"/>
  <c r="I60" i="6" s="1"/>
  <c r="J65" i="8" s="1"/>
  <c r="H16" i="6"/>
  <c r="H60" i="6" s="1"/>
  <c r="J64" i="8" s="1"/>
  <c r="G16" i="6"/>
  <c r="F16" i="6"/>
  <c r="E16" i="6"/>
  <c r="E60" i="6" s="1"/>
  <c r="J61" i="8" s="1"/>
  <c r="D16" i="6"/>
  <c r="D60" i="6" s="1"/>
  <c r="J60" i="8" s="1"/>
  <c r="C16" i="6"/>
  <c r="C60" i="6" s="1"/>
  <c r="J59" i="8" s="1"/>
  <c r="B16" i="6"/>
  <c r="B60" i="6" s="1"/>
  <c r="J58" i="8" s="1"/>
  <c r="O15" i="6"/>
  <c r="O59" i="6" s="1"/>
  <c r="I71" i="8" s="1"/>
  <c r="N15" i="6"/>
  <c r="N59" i="6" s="1"/>
  <c r="I70" i="8" s="1"/>
  <c r="M15" i="6"/>
  <c r="M59" i="6" s="1"/>
  <c r="I69" i="8" s="1"/>
  <c r="L15" i="6"/>
  <c r="L59" i="6" s="1"/>
  <c r="I68" i="8" s="1"/>
  <c r="K15" i="6"/>
  <c r="K59" i="6" s="1"/>
  <c r="I67" i="8" s="1"/>
  <c r="J15" i="6"/>
  <c r="J59" i="6" s="1"/>
  <c r="I66" i="8" s="1"/>
  <c r="I15" i="6"/>
  <c r="I59" i="6" s="1"/>
  <c r="I65" i="8" s="1"/>
  <c r="H15" i="6"/>
  <c r="H59" i="6" s="1"/>
  <c r="I64" i="8" s="1"/>
  <c r="G15" i="6"/>
  <c r="G59" i="6" s="1"/>
  <c r="I63" i="8" s="1"/>
  <c r="F15" i="6"/>
  <c r="F59" i="6" s="1"/>
  <c r="I62" i="8" s="1"/>
  <c r="E15" i="6"/>
  <c r="E59" i="6" s="1"/>
  <c r="I61" i="8" s="1"/>
  <c r="D15" i="6"/>
  <c r="D59" i="6" s="1"/>
  <c r="I60" i="8" s="1"/>
  <c r="C15" i="6"/>
  <c r="C59" i="6" s="1"/>
  <c r="I59" i="8" s="1"/>
  <c r="B15" i="6"/>
  <c r="B59" i="6" s="1"/>
  <c r="I58" i="8" s="1"/>
  <c r="O14" i="6"/>
  <c r="O58" i="6" s="1"/>
  <c r="H71" i="8" s="1"/>
  <c r="N14" i="6"/>
  <c r="N58" i="6" s="1"/>
  <c r="H70" i="8" s="1"/>
  <c r="M14" i="6"/>
  <c r="M58" i="6" s="1"/>
  <c r="H69" i="8" s="1"/>
  <c r="L14" i="6"/>
  <c r="L58" i="6" s="1"/>
  <c r="H68" i="8" s="1"/>
  <c r="K14" i="6"/>
  <c r="K58" i="6" s="1"/>
  <c r="H67" i="8" s="1"/>
  <c r="J14" i="6"/>
  <c r="J58" i="6" s="1"/>
  <c r="H66" i="8" s="1"/>
  <c r="I14" i="6"/>
  <c r="I58" i="6" s="1"/>
  <c r="H65" i="8" s="1"/>
  <c r="H14" i="6"/>
  <c r="H58" i="6" s="1"/>
  <c r="H64" i="8" s="1"/>
  <c r="G14" i="6"/>
  <c r="G58" i="6" s="1"/>
  <c r="H63" i="8" s="1"/>
  <c r="F14" i="6"/>
  <c r="F58" i="6" s="1"/>
  <c r="H62" i="8" s="1"/>
  <c r="E14" i="6"/>
  <c r="E58" i="6" s="1"/>
  <c r="H61" i="8" s="1"/>
  <c r="D14" i="6"/>
  <c r="D58" i="6" s="1"/>
  <c r="H60" i="8" s="1"/>
  <c r="C14" i="6"/>
  <c r="C58" i="6" s="1"/>
  <c r="H59" i="8" s="1"/>
  <c r="B14" i="6"/>
  <c r="B58" i="6" s="1"/>
  <c r="H58" i="8" s="1"/>
  <c r="O13" i="6"/>
  <c r="O57" i="6" s="1"/>
  <c r="G71" i="8" s="1"/>
  <c r="N13" i="6"/>
  <c r="N57" i="6" s="1"/>
  <c r="G70" i="8" s="1"/>
  <c r="M13" i="6"/>
  <c r="M57" i="6" s="1"/>
  <c r="G69" i="8" s="1"/>
  <c r="L13" i="6"/>
  <c r="K13" i="6"/>
  <c r="K57" i="6" s="1"/>
  <c r="G67" i="8" s="1"/>
  <c r="J13" i="6"/>
  <c r="J57" i="6" s="1"/>
  <c r="G66" i="8" s="1"/>
  <c r="I13" i="6"/>
  <c r="H13" i="6"/>
  <c r="G13" i="6"/>
  <c r="F13" i="6"/>
  <c r="E13" i="6"/>
  <c r="D13" i="6"/>
  <c r="C13" i="6"/>
  <c r="C57" i="6" s="1"/>
  <c r="G59" i="8" s="1"/>
  <c r="B13" i="6"/>
  <c r="O12" i="6"/>
  <c r="O56" i="6" s="1"/>
  <c r="F71" i="8" s="1"/>
  <c r="N12" i="6"/>
  <c r="N56" i="6" s="1"/>
  <c r="F70" i="8" s="1"/>
  <c r="M12" i="6"/>
  <c r="M56" i="6" s="1"/>
  <c r="F69" i="8" s="1"/>
  <c r="L12" i="6"/>
  <c r="K12" i="6"/>
  <c r="J12" i="6"/>
  <c r="I12" i="6"/>
  <c r="H12" i="6"/>
  <c r="G12" i="6"/>
  <c r="G56" i="6" s="1"/>
  <c r="F63" i="8" s="1"/>
  <c r="F12" i="6"/>
  <c r="F56" i="6" s="1"/>
  <c r="F62" i="8" s="1"/>
  <c r="E12" i="6"/>
  <c r="E56" i="6" s="1"/>
  <c r="F61" i="8" s="1"/>
  <c r="D12" i="6"/>
  <c r="D56" i="6" s="1"/>
  <c r="F60" i="8" s="1"/>
  <c r="C12" i="6"/>
  <c r="B12" i="6"/>
  <c r="B56" i="6" s="1"/>
  <c r="F58" i="8" s="1"/>
  <c r="O11" i="6"/>
  <c r="O55" i="6" s="1"/>
  <c r="E71" i="8" s="1"/>
  <c r="N11" i="6"/>
  <c r="N55" i="6" s="1"/>
  <c r="E70" i="8" s="1"/>
  <c r="M11" i="6"/>
  <c r="M55" i="6" s="1"/>
  <c r="E69" i="8" s="1"/>
  <c r="L11" i="6"/>
  <c r="L55" i="6" s="1"/>
  <c r="E68" i="8" s="1"/>
  <c r="K11" i="6"/>
  <c r="K55" i="6" s="1"/>
  <c r="E67" i="8" s="1"/>
  <c r="J11" i="6"/>
  <c r="J55" i="6" s="1"/>
  <c r="E66" i="8" s="1"/>
  <c r="I11" i="6"/>
  <c r="I55" i="6" s="1"/>
  <c r="E65" i="8" s="1"/>
  <c r="H11" i="6"/>
  <c r="H55" i="6" s="1"/>
  <c r="E64" i="8" s="1"/>
  <c r="G11" i="6"/>
  <c r="G55" i="6" s="1"/>
  <c r="E63" i="8" s="1"/>
  <c r="F11" i="6"/>
  <c r="F55" i="6" s="1"/>
  <c r="E62" i="8" s="1"/>
  <c r="E11" i="6"/>
  <c r="E55" i="6" s="1"/>
  <c r="E61" i="8" s="1"/>
  <c r="D11" i="6"/>
  <c r="D55" i="6" s="1"/>
  <c r="E60" i="8" s="1"/>
  <c r="C11" i="6"/>
  <c r="C55" i="6" s="1"/>
  <c r="E59" i="8" s="1"/>
  <c r="B11" i="6"/>
  <c r="B55" i="6" s="1"/>
  <c r="E58" i="8" s="1"/>
  <c r="O10" i="6"/>
  <c r="O54" i="6" s="1"/>
  <c r="D71" i="8" s="1"/>
  <c r="N10" i="6"/>
  <c r="N54" i="6" s="1"/>
  <c r="D70" i="8" s="1"/>
  <c r="M10" i="6"/>
  <c r="M54" i="6" s="1"/>
  <c r="D69" i="8" s="1"/>
  <c r="L10" i="6"/>
  <c r="K10" i="6"/>
  <c r="K54" i="6" s="1"/>
  <c r="D67" i="8" s="1"/>
  <c r="J10" i="6"/>
  <c r="J54" i="6" s="1"/>
  <c r="D66" i="8" s="1"/>
  <c r="I10" i="6"/>
  <c r="H10" i="6"/>
  <c r="H54" i="6" s="1"/>
  <c r="D64" i="8" s="1"/>
  <c r="G10" i="6"/>
  <c r="F10" i="6"/>
  <c r="E10" i="6"/>
  <c r="E54" i="6" s="1"/>
  <c r="D61" i="8" s="1"/>
  <c r="D10" i="6"/>
  <c r="C10" i="6"/>
  <c r="C54" i="6" s="1"/>
  <c r="D59" i="8" s="1"/>
  <c r="B10" i="6"/>
  <c r="O9" i="6"/>
  <c r="O53" i="6" s="1"/>
  <c r="C71" i="8" s="1"/>
  <c r="N9" i="6"/>
  <c r="N53" i="6" s="1"/>
  <c r="C70" i="8" s="1"/>
  <c r="M9" i="6"/>
  <c r="M53" i="6" s="1"/>
  <c r="C69" i="8" s="1"/>
  <c r="L9" i="6"/>
  <c r="L53" i="6" s="1"/>
  <c r="C68" i="8" s="1"/>
  <c r="K9" i="6"/>
  <c r="K53" i="6" s="1"/>
  <c r="C67" i="8" s="1"/>
  <c r="J9" i="6"/>
  <c r="J53" i="6" s="1"/>
  <c r="C66" i="8" s="1"/>
  <c r="I9" i="6"/>
  <c r="I53" i="6" s="1"/>
  <c r="C65" i="8" s="1"/>
  <c r="H9" i="6"/>
  <c r="H53" i="6" s="1"/>
  <c r="C64" i="8" s="1"/>
  <c r="G9" i="6"/>
  <c r="G53" i="6" s="1"/>
  <c r="C63" i="8" s="1"/>
  <c r="F9" i="6"/>
  <c r="F53" i="6" s="1"/>
  <c r="C62" i="8" s="1"/>
  <c r="E9" i="6"/>
  <c r="E53" i="6" s="1"/>
  <c r="C61" i="8" s="1"/>
  <c r="D9" i="6"/>
  <c r="D53" i="6" s="1"/>
  <c r="C60" i="8" s="1"/>
  <c r="C9" i="6"/>
  <c r="C53" i="6" s="1"/>
  <c r="C59" i="8" s="1"/>
  <c r="B9" i="6"/>
  <c r="B53" i="6" s="1"/>
  <c r="C58" i="8" s="1"/>
  <c r="O8" i="6"/>
  <c r="N8" i="6"/>
  <c r="N52" i="6" s="1"/>
  <c r="B70" i="8" s="1"/>
  <c r="M8" i="6"/>
  <c r="M52" i="6" s="1"/>
  <c r="B69" i="8" s="1"/>
  <c r="L8" i="6"/>
  <c r="L52" i="6" s="1"/>
  <c r="B68" i="8" s="1"/>
  <c r="K8" i="6"/>
  <c r="K52" i="6" s="1"/>
  <c r="B67" i="8" s="1"/>
  <c r="J8" i="6"/>
  <c r="J52" i="6" s="1"/>
  <c r="B66" i="8" s="1"/>
  <c r="I8" i="6"/>
  <c r="H8" i="6"/>
  <c r="H52" i="6" s="1"/>
  <c r="B64" i="8" s="1"/>
  <c r="G8" i="6"/>
  <c r="F8" i="6"/>
  <c r="F52" i="6" s="1"/>
  <c r="B62" i="8" s="1"/>
  <c r="E8" i="6"/>
  <c r="E52" i="6" s="1"/>
  <c r="B61" i="8" s="1"/>
  <c r="D8" i="6"/>
  <c r="D52" i="6" s="1"/>
  <c r="B60" i="8" s="1"/>
  <c r="C8" i="6"/>
  <c r="C52" i="6" s="1"/>
  <c r="B59" i="8" s="1"/>
  <c r="B8" i="6"/>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4" i="4"/>
  <c r="E24" i="4"/>
  <c r="H24" i="4" s="1"/>
  <c r="F23" i="4"/>
  <c r="E23" i="4"/>
  <c r="F22" i="4"/>
  <c r="E22" i="4"/>
  <c r="F21" i="4"/>
  <c r="E21" i="4"/>
  <c r="F20" i="4"/>
  <c r="E20" i="4"/>
  <c r="F19" i="4"/>
  <c r="E19" i="4"/>
  <c r="H19" i="4" s="1"/>
  <c r="F18" i="4"/>
  <c r="E18" i="4"/>
  <c r="G18" i="4" s="1"/>
  <c r="F17" i="4"/>
  <c r="E17" i="4"/>
  <c r="F16" i="4"/>
  <c r="E16" i="4"/>
  <c r="F15" i="4"/>
  <c r="E15" i="4"/>
  <c r="H15" i="4" s="1"/>
  <c r="F14" i="4"/>
  <c r="E14" i="4"/>
  <c r="H14" i="4" s="1"/>
  <c r="B14" i="4"/>
  <c r="F13" i="4"/>
  <c r="E13" i="4"/>
  <c r="F12" i="4"/>
  <c r="E12" i="4"/>
  <c r="F11" i="4"/>
  <c r="E11" i="4"/>
  <c r="G11" i="4" s="1"/>
  <c r="F10" i="4"/>
  <c r="E10" i="4"/>
  <c r="F9" i="4"/>
  <c r="E9" i="4"/>
  <c r="F8" i="4"/>
  <c r="E8" i="4"/>
  <c r="H8" i="4" s="1"/>
  <c r="F7" i="4"/>
  <c r="E7" i="4"/>
  <c r="F6" i="4"/>
  <c r="E6" i="4"/>
  <c r="H6" i="4" s="1"/>
  <c r="F5" i="4"/>
  <c r="E5" i="4"/>
  <c r="G5" i="4" s="1"/>
  <c r="M2" i="3"/>
  <c r="A28" i="2"/>
  <c r="A27" i="2"/>
  <c r="A26" i="2"/>
  <c r="A25" i="2"/>
  <c r="A24" i="2"/>
  <c r="A23" i="2"/>
  <c r="A22" i="2"/>
  <c r="A21" i="2"/>
  <c r="A20" i="2"/>
  <c r="A19" i="2"/>
  <c r="A18" i="2"/>
  <c r="A17" i="2"/>
  <c r="A16" i="2"/>
  <c r="A15" i="2"/>
  <c r="A14" i="2"/>
  <c r="A13" i="2"/>
  <c r="A12" i="2"/>
  <c r="A11" i="2"/>
  <c r="A10" i="2"/>
  <c r="F22" i="7"/>
  <c r="D27" i="8" l="1"/>
  <c r="S320" i="9"/>
  <c r="I320" i="9" s="1"/>
  <c r="K320" i="9" s="1"/>
  <c r="S321" i="9"/>
  <c r="I321" i="9" s="1"/>
  <c r="L320" i="9"/>
  <c r="S319" i="9"/>
  <c r="I319" i="9" s="1"/>
  <c r="K319" i="9" s="1"/>
  <c r="E159" i="11"/>
  <c r="L70" i="6"/>
  <c r="T68" i="8" s="1"/>
  <c r="S318" i="9"/>
  <c r="I318" i="9" s="1"/>
  <c r="K318" i="9" s="1"/>
  <c r="L316" i="9"/>
  <c r="S317" i="9"/>
  <c r="I317" i="9" s="1"/>
  <c r="K317" i="9" s="1"/>
  <c r="S316" i="9"/>
  <c r="I316" i="9" s="1"/>
  <c r="K316" i="9" s="1"/>
  <c r="S314" i="9"/>
  <c r="I314" i="9" s="1"/>
  <c r="K314" i="9" s="1"/>
  <c r="S315" i="9"/>
  <c r="I315" i="9" s="1"/>
  <c r="L314" i="9"/>
  <c r="S313" i="9"/>
  <c r="I313" i="9" s="1"/>
  <c r="K313" i="9" s="1"/>
  <c r="S312" i="9"/>
  <c r="I312" i="9" s="1"/>
  <c r="K312" i="9" s="1"/>
  <c r="L312" i="9"/>
  <c r="S310" i="9"/>
  <c r="I310" i="9" s="1"/>
  <c r="Y306" i="9"/>
  <c r="Z306" i="9" s="1"/>
  <c r="B70" i="6"/>
  <c r="T58" i="8" s="1"/>
  <c r="S311" i="9"/>
  <c r="I311" i="9" s="1"/>
  <c r="K311" i="9" s="1"/>
  <c r="S306" i="9"/>
  <c r="I306" i="9" s="1"/>
  <c r="L310" i="9"/>
  <c r="Z307" i="9"/>
  <c r="AA307" i="9" s="1"/>
  <c r="AB307" i="9" s="1"/>
  <c r="U309" i="9" s="1"/>
  <c r="S308" i="9"/>
  <c r="I308" i="9" s="1"/>
  <c r="S309" i="9"/>
  <c r="I309" i="9" s="1"/>
  <c r="K309" i="9" s="1"/>
  <c r="L308" i="9"/>
  <c r="S307" i="9"/>
  <c r="I307" i="9" s="1"/>
  <c r="K307" i="9" s="1"/>
  <c r="L306" i="9"/>
  <c r="G70" i="6"/>
  <c r="T63" i="8" s="1"/>
  <c r="E152" i="11"/>
  <c r="S304" i="9"/>
  <c r="I304" i="9" s="1"/>
  <c r="B68" i="6"/>
  <c r="R58" i="8" s="1"/>
  <c r="L302" i="9"/>
  <c r="S302" i="9"/>
  <c r="I302" i="9" s="1"/>
  <c r="S303" i="9"/>
  <c r="I303" i="9" s="1"/>
  <c r="K303" i="9" s="1"/>
  <c r="S305" i="9"/>
  <c r="I305" i="9" s="1"/>
  <c r="K305" i="9" s="1"/>
  <c r="G68" i="6"/>
  <c r="R63" i="8" s="1"/>
  <c r="L80" i="9"/>
  <c r="Q41" i="10"/>
  <c r="S91" i="9"/>
  <c r="I91" i="9" s="1"/>
  <c r="K91" i="9" s="1"/>
  <c r="S17" i="9"/>
  <c r="I17" i="9" s="1"/>
  <c r="K17" i="9" s="1"/>
  <c r="L290" i="9"/>
  <c r="D57" i="6"/>
  <c r="G60" i="8" s="1"/>
  <c r="B64" i="6"/>
  <c r="N58" i="8" s="1"/>
  <c r="D65" i="6"/>
  <c r="O60" i="8" s="1"/>
  <c r="S297" i="9"/>
  <c r="I297" i="9" s="1"/>
  <c r="K297" i="9" s="1"/>
  <c r="F57" i="6"/>
  <c r="G62" i="8" s="1"/>
  <c r="L60" i="6"/>
  <c r="J68" i="8" s="1"/>
  <c r="B63" i="6"/>
  <c r="M58" i="8" s="1"/>
  <c r="N69" i="6"/>
  <c r="S70" i="8" s="1"/>
  <c r="J63" i="6"/>
  <c r="M66" i="8" s="1"/>
  <c r="S67" i="9"/>
  <c r="I67" i="9" s="1"/>
  <c r="K67" i="9" s="1"/>
  <c r="D28" i="8"/>
  <c r="S111" i="9"/>
  <c r="I111" i="9" s="1"/>
  <c r="K111" i="9" s="1"/>
  <c r="S292" i="9"/>
  <c r="I292" i="9" s="1"/>
  <c r="F146" i="11" s="1"/>
  <c r="S44" i="9"/>
  <c r="I44" i="9" s="1"/>
  <c r="K44" i="9" s="1"/>
  <c r="S105" i="9"/>
  <c r="I105" i="9" s="1"/>
  <c r="K105" i="9" s="1"/>
  <c r="S139" i="9"/>
  <c r="I139" i="9" s="1"/>
  <c r="K139" i="9" s="1"/>
  <c r="G77" i="6"/>
  <c r="S31" i="9"/>
  <c r="I31" i="9" s="1"/>
  <c r="F35" i="11" s="1"/>
  <c r="F70" i="6"/>
  <c r="T62" i="8" s="1"/>
  <c r="S140" i="9"/>
  <c r="I140" i="9" s="1"/>
  <c r="F89" i="11" s="1"/>
  <c r="D32" i="8"/>
  <c r="V9" i="9"/>
  <c r="S106" i="9"/>
  <c r="I106" i="9" s="1"/>
  <c r="F72" i="11" s="1"/>
  <c r="S147" i="9"/>
  <c r="I147" i="9" s="1"/>
  <c r="K147" i="9" s="1"/>
  <c r="S222" i="9"/>
  <c r="I222" i="9" s="1"/>
  <c r="E87" i="6"/>
  <c r="S228" i="9"/>
  <c r="I228" i="9" s="1"/>
  <c r="K228" i="9" s="1"/>
  <c r="Q39" i="10"/>
  <c r="I54" i="6"/>
  <c r="D65" i="8" s="1"/>
  <c r="K63" i="6"/>
  <c r="M67" i="8" s="1"/>
  <c r="G69" i="6"/>
  <c r="S63" i="8" s="1"/>
  <c r="I70" i="6"/>
  <c r="T65" i="8" s="1"/>
  <c r="S132" i="9"/>
  <c r="I132" i="9" s="1"/>
  <c r="F85" i="11" s="1"/>
  <c r="S247" i="9"/>
  <c r="I247" i="9" s="1"/>
  <c r="K247" i="9" s="1"/>
  <c r="L98" i="9"/>
  <c r="E79" i="6"/>
  <c r="L106" i="9"/>
  <c r="S128" i="9"/>
  <c r="I128" i="9" s="1"/>
  <c r="E57" i="6"/>
  <c r="G61" i="8" s="1"/>
  <c r="I67" i="6"/>
  <c r="Q65" i="8" s="1"/>
  <c r="E74" i="6"/>
  <c r="L67" i="9"/>
  <c r="S69" i="9"/>
  <c r="I69" i="9" s="1"/>
  <c r="F54" i="11" s="1"/>
  <c r="S230" i="9"/>
  <c r="I230" i="9" s="1"/>
  <c r="K230" i="9" s="1"/>
  <c r="Y138" i="9"/>
  <c r="Z138" i="9" s="1"/>
  <c r="L122" i="9"/>
  <c r="S244" i="9"/>
  <c r="I244" i="9" s="1"/>
  <c r="F122" i="11" s="1"/>
  <c r="G64" i="6"/>
  <c r="N63" i="8" s="1"/>
  <c r="L77" i="9"/>
  <c r="L43" i="9"/>
  <c r="S145" i="9"/>
  <c r="I145" i="9" s="1"/>
  <c r="K145" i="9" s="1"/>
  <c r="S220" i="9"/>
  <c r="I220" i="9" s="1"/>
  <c r="F111" i="11" s="1"/>
  <c r="S294" i="9"/>
  <c r="I294" i="9" s="1"/>
  <c r="K294" i="9" s="1"/>
  <c r="S298" i="9"/>
  <c r="I298" i="9" s="1"/>
  <c r="K298" i="9" s="1"/>
  <c r="S212" i="9"/>
  <c r="I212" i="9" s="1"/>
  <c r="G8" i="4"/>
  <c r="S87" i="9"/>
  <c r="I87" i="9" s="1"/>
  <c r="K87" i="9" s="1"/>
  <c r="E86" i="6"/>
  <c r="S252" i="9"/>
  <c r="I252" i="9" s="1"/>
  <c r="O16" i="11"/>
  <c r="I52" i="6"/>
  <c r="B65" i="8" s="1"/>
  <c r="I68" i="6"/>
  <c r="R65" i="8" s="1"/>
  <c r="S131" i="9"/>
  <c r="I131" i="9" s="1"/>
  <c r="K131" i="9" s="1"/>
  <c r="H63" i="6"/>
  <c r="M64" i="8" s="1"/>
  <c r="P34" i="10"/>
  <c r="S56" i="9"/>
  <c r="I56" i="9" s="1"/>
  <c r="K56" i="9" s="1"/>
  <c r="L94" i="9"/>
  <c r="Z131" i="9"/>
  <c r="AA131" i="9" s="1"/>
  <c r="AB131" i="9" s="1"/>
  <c r="U139" i="9" s="1"/>
  <c r="S169" i="9"/>
  <c r="I169" i="9" s="1"/>
  <c r="K169" i="9" s="1"/>
  <c r="S301" i="9"/>
  <c r="I301" i="9" s="1"/>
  <c r="K301" i="9" s="1"/>
  <c r="L126" i="9"/>
  <c r="O17" i="11"/>
  <c r="S37" i="9"/>
  <c r="I37" i="9" s="1"/>
  <c r="K37" i="9" s="1"/>
  <c r="S83" i="9"/>
  <c r="I83" i="9" s="1"/>
  <c r="K83" i="9" s="1"/>
  <c r="S115" i="9"/>
  <c r="I115" i="9" s="1"/>
  <c r="K115" i="9" s="1"/>
  <c r="L288" i="9"/>
  <c r="L298" i="9"/>
  <c r="D3" i="10"/>
  <c r="R7" i="10" s="1"/>
  <c r="Q49" i="10"/>
  <c r="B54" i="6"/>
  <c r="D58" i="8" s="1"/>
  <c r="H57" i="6"/>
  <c r="G64" i="8" s="1"/>
  <c r="F64" i="6"/>
  <c r="N62" i="8" s="1"/>
  <c r="S18" i="9"/>
  <c r="I18" i="9" s="1"/>
  <c r="S47" i="9"/>
  <c r="I47" i="9" s="1"/>
  <c r="F43" i="11" s="1"/>
  <c r="S232" i="9"/>
  <c r="I232" i="9" s="1"/>
  <c r="K232" i="9" s="1"/>
  <c r="Q37" i="10"/>
  <c r="V14" i="9"/>
  <c r="S41" i="9"/>
  <c r="I41" i="9" s="1"/>
  <c r="K41" i="9" s="1"/>
  <c r="S124" i="9"/>
  <c r="I124" i="9" s="1"/>
  <c r="B69" i="6"/>
  <c r="S58" i="8" s="1"/>
  <c r="G84" i="6"/>
  <c r="S74" i="9"/>
  <c r="I74" i="9" s="1"/>
  <c r="K74" i="9" s="1"/>
  <c r="G74" i="6"/>
  <c r="S100" i="9"/>
  <c r="I100" i="9" s="1"/>
  <c r="K100" i="9" s="1"/>
  <c r="L268" i="9"/>
  <c r="G80" i="6"/>
  <c r="Z5" i="9"/>
  <c r="AA5" i="9" s="1"/>
  <c r="AB5" i="9" s="1"/>
  <c r="G99" i="6" s="1"/>
  <c r="U18" i="11"/>
  <c r="Z7" i="11"/>
  <c r="B27" i="4" s="1"/>
  <c r="B32" i="7"/>
  <c r="S191" i="9"/>
  <c r="I191" i="9" s="1"/>
  <c r="K191" i="9" s="1"/>
  <c r="E77" i="6"/>
  <c r="E82" i="6"/>
  <c r="G87" i="6"/>
  <c r="P92" i="6"/>
  <c r="B11" i="2" s="1"/>
  <c r="D11" i="2" s="1"/>
  <c r="S20" i="9"/>
  <c r="I20" i="9" s="1"/>
  <c r="S66" i="9"/>
  <c r="I66" i="9" s="1"/>
  <c r="K66" i="9" s="1"/>
  <c r="Y132" i="9"/>
  <c r="Z132" i="9" s="1"/>
  <c r="S142" i="9"/>
  <c r="I142" i="9" s="1"/>
  <c r="F90" i="11" s="1"/>
  <c r="S155" i="9"/>
  <c r="I155" i="9" s="1"/>
  <c r="K155" i="9" s="1"/>
  <c r="Z226" i="9"/>
  <c r="G83" i="6"/>
  <c r="S83" i="6" s="1"/>
  <c r="S29" i="9"/>
  <c r="I29" i="9" s="1"/>
  <c r="K29" i="9" s="1"/>
  <c r="K31" i="9"/>
  <c r="S126" i="9"/>
  <c r="I126" i="9" s="1"/>
  <c r="K126" i="9" s="1"/>
  <c r="AA130" i="9"/>
  <c r="AB130" i="9" s="1"/>
  <c r="U164" i="9" s="1"/>
  <c r="Y165" i="9" s="1"/>
  <c r="Z165" i="9" s="1"/>
  <c r="L184" i="9"/>
  <c r="S245" i="9"/>
  <c r="I245" i="9" s="1"/>
  <c r="K245" i="9" s="1"/>
  <c r="I57" i="6"/>
  <c r="G65" i="8" s="1"/>
  <c r="E63" i="6"/>
  <c r="M61" i="8" s="1"/>
  <c r="S257" i="9"/>
  <c r="I257" i="9" s="1"/>
  <c r="S256" i="9"/>
  <c r="I256" i="9" s="1"/>
  <c r="K256" i="9" s="1"/>
  <c r="I56" i="6"/>
  <c r="F65" i="8" s="1"/>
  <c r="G63" i="6"/>
  <c r="M63" i="8" s="1"/>
  <c r="C69" i="6"/>
  <c r="S59" i="8" s="1"/>
  <c r="K69" i="6"/>
  <c r="S67" i="8" s="1"/>
  <c r="S10" i="9"/>
  <c r="I10" i="9" s="1"/>
  <c r="K10" i="9" s="1"/>
  <c r="L39" i="9"/>
  <c r="V86" i="9"/>
  <c r="W87" i="9" s="1"/>
  <c r="S123" i="9"/>
  <c r="I123" i="9" s="1"/>
  <c r="K123" i="9" s="1"/>
  <c r="Y128" i="9"/>
  <c r="Z128" i="9" s="1"/>
  <c r="L192" i="9"/>
  <c r="Y220" i="9"/>
  <c r="Z220" i="9" s="1"/>
  <c r="S227" i="9"/>
  <c r="I227" i="9" s="1"/>
  <c r="S264" i="9"/>
  <c r="I264" i="9" s="1"/>
  <c r="K264" i="9" s="1"/>
  <c r="S276" i="9"/>
  <c r="I276" i="9" s="1"/>
  <c r="L300" i="9"/>
  <c r="F54" i="6"/>
  <c r="D62" i="8" s="1"/>
  <c r="J56" i="6"/>
  <c r="F66" i="8" s="1"/>
  <c r="L57" i="6"/>
  <c r="G68" i="8" s="1"/>
  <c r="D34" i="8"/>
  <c r="S28" i="9"/>
  <c r="I28" i="9" s="1"/>
  <c r="F33" i="11" s="1"/>
  <c r="S54" i="9"/>
  <c r="I54" i="9" s="1"/>
  <c r="K54" i="9" s="1"/>
  <c r="S99" i="9"/>
  <c r="I99" i="9" s="1"/>
  <c r="K99" i="9" s="1"/>
  <c r="L160" i="9"/>
  <c r="Y244" i="9"/>
  <c r="Z244" i="9" s="1"/>
  <c r="I63" i="6"/>
  <c r="M65" i="8" s="1"/>
  <c r="E69" i="6"/>
  <c r="S61" i="8" s="1"/>
  <c r="V11" i="9"/>
  <c r="S40" i="9"/>
  <c r="I40" i="9" s="1"/>
  <c r="K40" i="9" s="1"/>
  <c r="S85" i="9"/>
  <c r="I85" i="9" s="1"/>
  <c r="K85" i="9" s="1"/>
  <c r="S102" i="9"/>
  <c r="I102" i="9" s="1"/>
  <c r="K102" i="9" s="1"/>
  <c r="Z123" i="9"/>
  <c r="AA123" i="9" s="1"/>
  <c r="V9" i="11"/>
  <c r="L56" i="6"/>
  <c r="F68" i="8" s="1"/>
  <c r="L64" i="6"/>
  <c r="N68" i="8" s="1"/>
  <c r="D68" i="6"/>
  <c r="R60" i="8" s="1"/>
  <c r="F69" i="6"/>
  <c r="S62" i="8" s="1"/>
  <c r="U7" i="11"/>
  <c r="Y9" i="9"/>
  <c r="Z9" i="9" s="1"/>
  <c r="AA9" i="9" s="1"/>
  <c r="AB9" i="9" s="1"/>
  <c r="I96" i="6" s="1"/>
  <c r="Y11" i="9"/>
  <c r="Z11" i="9" s="1"/>
  <c r="AA11" i="9" s="1"/>
  <c r="AB11" i="9" s="1"/>
  <c r="H96" i="6" s="1"/>
  <c r="L51" i="9"/>
  <c r="S76" i="9"/>
  <c r="I76" i="9" s="1"/>
  <c r="K76" i="9" s="1"/>
  <c r="Y77" i="9"/>
  <c r="Z77" i="9" s="1"/>
  <c r="L180" i="9"/>
  <c r="S211" i="9"/>
  <c r="I211" i="9" s="1"/>
  <c r="K211" i="9" s="1"/>
  <c r="Q45" i="10"/>
  <c r="O18" i="11"/>
  <c r="G23" i="4"/>
  <c r="E75" i="6"/>
  <c r="P9" i="6"/>
  <c r="R9" i="6" s="1"/>
  <c r="U13" i="11"/>
  <c r="S42" i="9"/>
  <c r="I42" i="9" s="1"/>
  <c r="F40" i="11" s="1"/>
  <c r="S82" i="9"/>
  <c r="I82" i="9" s="1"/>
  <c r="F60" i="11" s="1"/>
  <c r="S97" i="9"/>
  <c r="I97" i="9" s="1"/>
  <c r="F67" i="11" s="1"/>
  <c r="S118" i="9"/>
  <c r="I118" i="9" s="1"/>
  <c r="K118" i="9" s="1"/>
  <c r="S236" i="9"/>
  <c r="I236" i="9" s="1"/>
  <c r="K236" i="9" s="1"/>
  <c r="S283" i="9"/>
  <c r="I283" i="9" s="1"/>
  <c r="S299" i="9"/>
  <c r="I299" i="9" s="1"/>
  <c r="F60" i="6"/>
  <c r="J62" i="8" s="1"/>
  <c r="L63" i="6"/>
  <c r="M68" i="8" s="1"/>
  <c r="D67" i="6"/>
  <c r="Q60" i="8" s="1"/>
  <c r="G75" i="6"/>
  <c r="D30" i="8"/>
  <c r="L4" i="9"/>
  <c r="S49" i="9"/>
  <c r="I49" i="9" s="1"/>
  <c r="K49" i="9" s="1"/>
  <c r="S89" i="9"/>
  <c r="I89" i="9" s="1"/>
  <c r="K89" i="9" s="1"/>
  <c r="S101" i="9"/>
  <c r="I101" i="9" s="1"/>
  <c r="K101" i="9" s="1"/>
  <c r="S136" i="9"/>
  <c r="I136" i="9" s="1"/>
  <c r="F87" i="11" s="1"/>
  <c r="S181" i="9"/>
  <c r="I181" i="9" s="1"/>
  <c r="K181" i="9" s="1"/>
  <c r="S216" i="9"/>
  <c r="I216" i="9" s="1"/>
  <c r="K216" i="9" s="1"/>
  <c r="V18" i="11"/>
  <c r="S141" i="9"/>
  <c r="I141" i="9" s="1"/>
  <c r="K141" i="9" s="1"/>
  <c r="L54" i="6"/>
  <c r="D68" i="8" s="1"/>
  <c r="B57" i="6"/>
  <c r="G58" i="8" s="1"/>
  <c r="G81" i="6"/>
  <c r="S4" i="9"/>
  <c r="I4" i="9" s="1"/>
  <c r="K4" i="9" s="1"/>
  <c r="S30" i="9"/>
  <c r="I30" i="9" s="1"/>
  <c r="K30" i="9" s="1"/>
  <c r="S36" i="9"/>
  <c r="I36" i="9" s="1"/>
  <c r="K36" i="9" s="1"/>
  <c r="S94" i="9"/>
  <c r="I94" i="9" s="1"/>
  <c r="F66" i="11" s="1"/>
  <c r="P48" i="10"/>
  <c r="E31" i="8"/>
  <c r="F31" i="8" s="1"/>
  <c r="S104" i="9"/>
  <c r="I104" i="9" s="1"/>
  <c r="F71" i="11" s="1"/>
  <c r="S201" i="9"/>
  <c r="I201" i="9" s="1"/>
  <c r="K201" i="9" s="1"/>
  <c r="S239" i="9"/>
  <c r="I239" i="9" s="1"/>
  <c r="K239" i="9" s="1"/>
  <c r="Q38" i="10"/>
  <c r="R38" i="10" s="1"/>
  <c r="L231" i="9"/>
  <c r="S268" i="9"/>
  <c r="I268" i="9" s="1"/>
  <c r="F134" i="11" s="1"/>
  <c r="L284" i="9"/>
  <c r="G82" i="6"/>
  <c r="S82" i="6" s="1"/>
  <c r="V12" i="9"/>
  <c r="S149" i="9"/>
  <c r="I149" i="9" s="1"/>
  <c r="K149" i="9" s="1"/>
  <c r="G57" i="6"/>
  <c r="G63" i="8" s="1"/>
  <c r="G16" i="4"/>
  <c r="G52" i="6"/>
  <c r="B63" i="8" s="1"/>
  <c r="G54" i="6"/>
  <c r="D63" i="8" s="1"/>
  <c r="L65" i="6"/>
  <c r="O68" i="8" s="1"/>
  <c r="M69" i="6"/>
  <c r="S69" i="8" s="1"/>
  <c r="D25" i="8"/>
  <c r="L31" i="9"/>
  <c r="L82" i="9"/>
  <c r="L84" i="9"/>
  <c r="S86" i="9"/>
  <c r="I86" i="9" s="1"/>
  <c r="F62" i="11" s="1"/>
  <c r="Y122" i="9"/>
  <c r="Z122" i="9" s="1"/>
  <c r="L164" i="9"/>
  <c r="S208" i="9"/>
  <c r="I208" i="9" s="1"/>
  <c r="K208" i="9" s="1"/>
  <c r="H56" i="6"/>
  <c r="F64" i="8" s="1"/>
  <c r="P27" i="6"/>
  <c r="S24" i="9"/>
  <c r="I24" i="9" s="1"/>
  <c r="L148" i="9"/>
  <c r="G17" i="4"/>
  <c r="P23" i="6"/>
  <c r="P24" i="6"/>
  <c r="P26" i="6"/>
  <c r="Q26" i="6" s="1"/>
  <c r="Y71" i="9"/>
  <c r="Z71" i="9" s="1"/>
  <c r="E105" i="11"/>
  <c r="L196" i="9"/>
  <c r="E141" i="11"/>
  <c r="L282" i="9"/>
  <c r="P22" i="6"/>
  <c r="Q22" i="6" s="1"/>
  <c r="P25" i="6"/>
  <c r="Q25" i="6" s="1"/>
  <c r="E84" i="6"/>
  <c r="P97" i="6"/>
  <c r="B16" i="2" s="1"/>
  <c r="D16" i="2" s="1"/>
  <c r="D26" i="8"/>
  <c r="S16" i="9"/>
  <c r="I16" i="9" s="1"/>
  <c r="K16" i="9" s="1"/>
  <c r="S22" i="9"/>
  <c r="I22" i="9" s="1"/>
  <c r="K22" i="9" s="1"/>
  <c r="S53" i="9"/>
  <c r="I53" i="9" s="1"/>
  <c r="S151" i="9"/>
  <c r="I151" i="9" s="1"/>
  <c r="K151" i="9" s="1"/>
  <c r="K56" i="6"/>
  <c r="F67" i="8" s="1"/>
  <c r="P21" i="6"/>
  <c r="E23" i="2" s="1"/>
  <c r="B67" i="6"/>
  <c r="Q58" i="8" s="1"/>
  <c r="G76" i="6"/>
  <c r="S15" i="9"/>
  <c r="I15" i="9" s="1"/>
  <c r="K15" i="9" s="1"/>
  <c r="S21" i="9"/>
  <c r="I21" i="9" s="1"/>
  <c r="K21" i="9" s="1"/>
  <c r="S48" i="9"/>
  <c r="I48" i="9" s="1"/>
  <c r="K48" i="9" s="1"/>
  <c r="S81" i="9"/>
  <c r="I81" i="9" s="1"/>
  <c r="K81" i="9" s="1"/>
  <c r="S88" i="9"/>
  <c r="I88" i="9" s="1"/>
  <c r="F63" i="11" s="1"/>
  <c r="L112" i="9"/>
  <c r="S114" i="9"/>
  <c r="I114" i="9" s="1"/>
  <c r="K114" i="9" s="1"/>
  <c r="Y130" i="9"/>
  <c r="Z130" i="9" s="1"/>
  <c r="S134" i="9"/>
  <c r="I134" i="9" s="1"/>
  <c r="F86" i="11" s="1"/>
  <c r="S243" i="9"/>
  <c r="I243" i="9" s="1"/>
  <c r="K243" i="9" s="1"/>
  <c r="S242" i="9"/>
  <c r="I242" i="9" s="1"/>
  <c r="F121" i="11" s="1"/>
  <c r="S284" i="9"/>
  <c r="I284" i="9" s="1"/>
  <c r="K284" i="9" s="1"/>
  <c r="S285" i="9"/>
  <c r="I285" i="9" s="1"/>
  <c r="P20" i="6"/>
  <c r="E22" i="2" s="1"/>
  <c r="E80" i="6"/>
  <c r="P94" i="6"/>
  <c r="B13" i="2" s="1"/>
  <c r="D13" i="2" s="1"/>
  <c r="P110" i="6"/>
  <c r="B29" i="2" s="1"/>
  <c r="D29" i="2" s="1"/>
  <c r="S51" i="9"/>
  <c r="I51" i="9" s="1"/>
  <c r="F45" i="11" s="1"/>
  <c r="U15" i="11"/>
  <c r="S179" i="9"/>
  <c r="I179" i="9" s="1"/>
  <c r="K179" i="9" s="1"/>
  <c r="O20" i="11"/>
  <c r="V20" i="11"/>
  <c r="P17" i="6"/>
  <c r="P19" i="6"/>
  <c r="Q19" i="6" s="1"/>
  <c r="B65" i="6"/>
  <c r="O58" i="8" s="1"/>
  <c r="U17" i="11"/>
  <c r="S43" i="9"/>
  <c r="I43" i="9" s="1"/>
  <c r="F41" i="11" s="1"/>
  <c r="S109" i="9"/>
  <c r="I109" i="9" s="1"/>
  <c r="K109" i="9" s="1"/>
  <c r="S113" i="9"/>
  <c r="I113" i="9" s="1"/>
  <c r="K113" i="9" s="1"/>
  <c r="S112" i="9"/>
  <c r="I112" i="9" s="1"/>
  <c r="K112" i="9" s="1"/>
  <c r="E136" i="11"/>
  <c r="L272" i="9"/>
  <c r="S282" i="9"/>
  <c r="I282" i="9" s="1"/>
  <c r="K282" i="9" s="1"/>
  <c r="P14" i="6"/>
  <c r="P16" i="6"/>
  <c r="P18" i="6"/>
  <c r="Q18" i="6" s="1"/>
  <c r="D69" i="6"/>
  <c r="S60" i="8" s="1"/>
  <c r="E76" i="6"/>
  <c r="P101" i="6"/>
  <c r="B20" i="2" s="1"/>
  <c r="D20" i="2" s="1"/>
  <c r="Y15" i="9"/>
  <c r="Z15" i="9" s="1"/>
  <c r="AA16" i="9" s="1"/>
  <c r="AB16" i="9" s="1"/>
  <c r="U18" i="9" s="1"/>
  <c r="Y17" i="9" s="1"/>
  <c r="L61" i="9"/>
  <c r="S95" i="9"/>
  <c r="I95" i="9" s="1"/>
  <c r="K95" i="9" s="1"/>
  <c r="L102" i="9"/>
  <c r="S107" i="9"/>
  <c r="I107" i="9" s="1"/>
  <c r="K107" i="9" s="1"/>
  <c r="S108" i="9"/>
  <c r="I108" i="9" s="1"/>
  <c r="K108" i="9" s="1"/>
  <c r="S119" i="9"/>
  <c r="I119" i="9" s="1"/>
  <c r="K119" i="9" s="1"/>
  <c r="L172" i="9"/>
  <c r="S221" i="9"/>
  <c r="I221" i="9" s="1"/>
  <c r="K221" i="9" s="1"/>
  <c r="S241" i="9"/>
  <c r="I241" i="9" s="1"/>
  <c r="K241" i="9" s="1"/>
  <c r="S240" i="9"/>
  <c r="I240" i="9" s="1"/>
  <c r="R41" i="10"/>
  <c r="R20" i="11"/>
  <c r="T20" i="11"/>
  <c r="P11" i="6"/>
  <c r="P13" i="6"/>
  <c r="R13" i="6" s="1"/>
  <c r="P15" i="6"/>
  <c r="Q15" i="6" s="1"/>
  <c r="F68" i="6"/>
  <c r="R62" i="8" s="1"/>
  <c r="H69" i="6"/>
  <c r="S64" i="8" s="1"/>
  <c r="E85" i="6"/>
  <c r="P100" i="6"/>
  <c r="B19" i="2" s="1"/>
  <c r="D19" i="2" s="1"/>
  <c r="S72" i="9"/>
  <c r="I72" i="9" s="1"/>
  <c r="K72" i="9" s="1"/>
  <c r="S93" i="9"/>
  <c r="I93" i="9" s="1"/>
  <c r="F65" i="11" s="1"/>
  <c r="S125" i="9"/>
  <c r="I125" i="9" s="1"/>
  <c r="K125" i="9" s="1"/>
  <c r="P8" i="6"/>
  <c r="P10" i="6"/>
  <c r="Q10" i="6" s="1"/>
  <c r="P12" i="6"/>
  <c r="Q12" i="6" s="1"/>
  <c r="C63" i="6"/>
  <c r="M59" i="8" s="1"/>
  <c r="S38" i="9"/>
  <c r="I38" i="9" s="1"/>
  <c r="K38" i="9" s="1"/>
  <c r="S39" i="9"/>
  <c r="I39" i="9" s="1"/>
  <c r="K39" i="9" s="1"/>
  <c r="S61" i="9"/>
  <c r="I61" i="9" s="1"/>
  <c r="K61" i="9" s="1"/>
  <c r="S70" i="9"/>
  <c r="I70" i="9" s="1"/>
  <c r="K70" i="9" s="1"/>
  <c r="S117" i="9"/>
  <c r="I117" i="9" s="1"/>
  <c r="K117" i="9" s="1"/>
  <c r="E135" i="11"/>
  <c r="L270" i="9"/>
  <c r="S280" i="9"/>
  <c r="I280" i="9" s="1"/>
  <c r="K280" i="9" s="1"/>
  <c r="S281" i="9"/>
  <c r="I281" i="9" s="1"/>
  <c r="F140" i="11" s="1"/>
  <c r="Q43" i="10"/>
  <c r="P43" i="10"/>
  <c r="V5" i="9"/>
  <c r="U8" i="11"/>
  <c r="R34" i="10"/>
  <c r="Q44" i="10"/>
  <c r="P44" i="10"/>
  <c r="G65" i="6"/>
  <c r="O63" i="8" s="1"/>
  <c r="S14" i="9"/>
  <c r="I14" i="9" s="1"/>
  <c r="K14" i="9" s="1"/>
  <c r="C56" i="6"/>
  <c r="F59" i="8" s="1"/>
  <c r="F63" i="6"/>
  <c r="M62" i="8" s="1"/>
  <c r="I69" i="6"/>
  <c r="S65" i="8" s="1"/>
  <c r="L69" i="6"/>
  <c r="S68" i="8" s="1"/>
  <c r="G78" i="6"/>
  <c r="G86" i="6"/>
  <c r="Z23" i="9"/>
  <c r="AA24" i="9" s="1"/>
  <c r="AB24" i="9" s="1"/>
  <c r="U26" i="9" s="1"/>
  <c r="Y26" i="9" s="1"/>
  <c r="Z26" i="9" s="1"/>
  <c r="U16" i="11"/>
  <c r="S50" i="9"/>
  <c r="I50" i="9" s="1"/>
  <c r="K50" i="9" s="1"/>
  <c r="L57" i="9"/>
  <c r="E78" i="11"/>
  <c r="L118" i="9"/>
  <c r="L140" i="9"/>
  <c r="V165" i="9"/>
  <c r="S270" i="9"/>
  <c r="I270" i="9" s="1"/>
  <c r="K270" i="9" s="1"/>
  <c r="S271" i="9"/>
  <c r="I271" i="9" s="1"/>
  <c r="K271" i="9" s="1"/>
  <c r="D54" i="6"/>
  <c r="D60" i="8" s="1"/>
  <c r="I65" i="6"/>
  <c r="O65" i="8" s="1"/>
  <c r="J69" i="6"/>
  <c r="S66" i="8" s="1"/>
  <c r="D24" i="8"/>
  <c r="Z13" i="9"/>
  <c r="AA13" i="9" s="1"/>
  <c r="AB13" i="9" s="1"/>
  <c r="L96" i="6" s="1"/>
  <c r="L27" i="9"/>
  <c r="L33" i="9"/>
  <c r="S110" i="9"/>
  <c r="I110" i="9" s="1"/>
  <c r="F74" i="11" s="1"/>
  <c r="S122" i="9"/>
  <c r="I122" i="9" s="1"/>
  <c r="F80" i="11" s="1"/>
  <c r="S202" i="9"/>
  <c r="I202" i="9" s="1"/>
  <c r="K202" i="9" s="1"/>
  <c r="E115" i="11"/>
  <c r="L229" i="9"/>
  <c r="E143" i="11"/>
  <c r="L286" i="9"/>
  <c r="Q36" i="10"/>
  <c r="P36" i="10"/>
  <c r="G60" i="6"/>
  <c r="J63" i="8" s="1"/>
  <c r="I64" i="6"/>
  <c r="N65" i="8" s="1"/>
  <c r="Q5" i="9"/>
  <c r="Y7" i="9"/>
  <c r="Z7" i="9" s="1"/>
  <c r="U10" i="11"/>
  <c r="E46" i="11"/>
  <c r="L53" i="9"/>
  <c r="L73" i="9"/>
  <c r="Z78" i="9"/>
  <c r="AA78" i="9" s="1"/>
  <c r="AB78" i="9" s="1"/>
  <c r="Y79" i="9"/>
  <c r="Z79" i="9" s="1"/>
  <c r="AA79" i="9" s="1"/>
  <c r="AB79" i="9" s="1"/>
  <c r="D107" i="6" s="1"/>
  <c r="S183" i="9"/>
  <c r="I183" i="9" s="1"/>
  <c r="K183" i="9" s="1"/>
  <c r="S269" i="9"/>
  <c r="I269" i="9" s="1"/>
  <c r="K269" i="9" s="1"/>
  <c r="S277" i="9"/>
  <c r="I277" i="9" s="1"/>
  <c r="K277" i="9" s="1"/>
  <c r="G12" i="11"/>
  <c r="H12" i="11" s="1"/>
  <c r="S263" i="9"/>
  <c r="I263" i="9" s="1"/>
  <c r="S171" i="9"/>
  <c r="I171" i="9" s="1"/>
  <c r="K171" i="9" s="1"/>
  <c r="S262" i="9"/>
  <c r="I262" i="9" s="1"/>
  <c r="K262" i="9" s="1"/>
  <c r="L274" i="9"/>
  <c r="S291" i="9"/>
  <c r="I291" i="9" s="1"/>
  <c r="F145" i="11" s="1"/>
  <c r="Q47" i="10"/>
  <c r="S224" i="9"/>
  <c r="I224" i="9" s="1"/>
  <c r="F113" i="11" s="1"/>
  <c r="S261" i="9"/>
  <c r="I261" i="9" s="1"/>
  <c r="K261" i="9" s="1"/>
  <c r="S289" i="9"/>
  <c r="I289" i="9" s="1"/>
  <c r="K289" i="9" s="1"/>
  <c r="S103" i="9"/>
  <c r="I103" i="9" s="1"/>
  <c r="K103" i="9" s="1"/>
  <c r="S223" i="9"/>
  <c r="I223" i="9" s="1"/>
  <c r="K223" i="9" s="1"/>
  <c r="S234" i="9"/>
  <c r="I234" i="9" s="1"/>
  <c r="K234" i="9" s="1"/>
  <c r="S248" i="9"/>
  <c r="I248" i="9" s="1"/>
  <c r="F124" i="11" s="1"/>
  <c r="S253" i="9"/>
  <c r="I253" i="9" s="1"/>
  <c r="K253" i="9" s="1"/>
  <c r="S300" i="9"/>
  <c r="I300" i="9" s="1"/>
  <c r="F150" i="11" s="1"/>
  <c r="G10" i="11"/>
  <c r="H10" i="11" s="1"/>
  <c r="B20" i="11"/>
  <c r="L266" i="9"/>
  <c r="S274" i="9"/>
  <c r="I274" i="9" s="1"/>
  <c r="K274" i="9" s="1"/>
  <c r="Q35" i="10"/>
  <c r="R35" i="10" s="1"/>
  <c r="V8" i="11"/>
  <c r="S219" i="9"/>
  <c r="I219" i="9" s="1"/>
  <c r="K219" i="9" s="1"/>
  <c r="S272" i="9"/>
  <c r="I272" i="9" s="1"/>
  <c r="K272" i="9" s="1"/>
  <c r="S278" i="9"/>
  <c r="I278" i="9" s="1"/>
  <c r="K278" i="9" s="1"/>
  <c r="S296" i="9"/>
  <c r="I296" i="9" s="1"/>
  <c r="S213" i="9"/>
  <c r="I213" i="9" s="1"/>
  <c r="K213" i="9" s="1"/>
  <c r="S293" i="9"/>
  <c r="I293" i="9" s="1"/>
  <c r="K293" i="9" s="1"/>
  <c r="O8" i="11"/>
  <c r="R9" i="10"/>
  <c r="H27" i="15"/>
  <c r="I27" i="15"/>
  <c r="J27" i="15" s="1"/>
  <c r="K27" i="15" s="1"/>
  <c r="H24" i="15"/>
  <c r="H26" i="15"/>
  <c r="I26" i="15"/>
  <c r="H25" i="15"/>
  <c r="I25" i="15"/>
  <c r="I24" i="15"/>
  <c r="G14" i="4"/>
  <c r="G22" i="4"/>
  <c r="G15" i="4"/>
  <c r="G21" i="4"/>
  <c r="H11" i="4"/>
  <c r="G24" i="4"/>
  <c r="H19" i="15"/>
  <c r="J19" i="15" s="1"/>
  <c r="K19" i="15" s="1"/>
  <c r="H21" i="15"/>
  <c r="J21" i="15" s="1"/>
  <c r="K21" i="15" s="1"/>
  <c r="H22" i="15"/>
  <c r="H23" i="15"/>
  <c r="H20" i="15"/>
  <c r="I23" i="15"/>
  <c r="I20" i="15"/>
  <c r="I22" i="15"/>
  <c r="H18" i="15"/>
  <c r="J18" i="15" s="1"/>
  <c r="K18" i="15" s="1"/>
  <c r="AG10" i="11"/>
  <c r="AH13" i="11"/>
  <c r="B20" i="4"/>
  <c r="G9" i="4"/>
  <c r="G12" i="4"/>
  <c r="H12" i="4"/>
  <c r="G13" i="4"/>
  <c r="G10" i="4"/>
  <c r="G79" i="6"/>
  <c r="G6" i="4"/>
  <c r="G19" i="4"/>
  <c r="G7" i="4"/>
  <c r="G20" i="4"/>
  <c r="P105" i="6"/>
  <c r="B24" i="2" s="1"/>
  <c r="F25" i="11"/>
  <c r="S26" i="9"/>
  <c r="I26" i="9" s="1"/>
  <c r="S25" i="9"/>
  <c r="I25" i="9" s="1"/>
  <c r="K25" i="9" s="1"/>
  <c r="U11" i="11"/>
  <c r="E28" i="11"/>
  <c r="L17" i="9"/>
  <c r="E83" i="6"/>
  <c r="P98" i="6"/>
  <c r="B17" i="2" s="1"/>
  <c r="D29" i="8"/>
  <c r="S5" i="9"/>
  <c r="I5" i="9" s="1"/>
  <c r="K5" i="9" s="1"/>
  <c r="S6" i="9"/>
  <c r="I6" i="9" s="1"/>
  <c r="K6" i="9" s="1"/>
  <c r="E78" i="6"/>
  <c r="F39" i="11"/>
  <c r="Z44" i="9"/>
  <c r="AA44" i="9" s="1"/>
  <c r="AB44" i="9" s="1"/>
  <c r="F93" i="6" s="1"/>
  <c r="E26" i="11"/>
  <c r="L7" i="9"/>
  <c r="E30" i="11"/>
  <c r="L21" i="9"/>
  <c r="O52" i="6"/>
  <c r="B71" i="8" s="1"/>
  <c r="E81" i="6"/>
  <c r="D35" i="8"/>
  <c r="S12" i="9"/>
  <c r="I12" i="9" s="1"/>
  <c r="K12" i="9" s="1"/>
  <c r="S7" i="9"/>
  <c r="I7" i="9" s="1"/>
  <c r="S11" i="9"/>
  <c r="I11" i="9" s="1"/>
  <c r="K11" i="9" s="1"/>
  <c r="S8" i="9"/>
  <c r="I8" i="9" s="1"/>
  <c r="K8" i="9" s="1"/>
  <c r="V7" i="9"/>
  <c r="P10" i="9"/>
  <c r="P12" i="9"/>
  <c r="Q12" i="9" s="1"/>
  <c r="P7" i="9"/>
  <c r="Q7" i="9" s="1"/>
  <c r="P14" i="9"/>
  <c r="Q14" i="9" s="1"/>
  <c r="P9" i="9"/>
  <c r="Q9" i="9" s="1"/>
  <c r="P11" i="9"/>
  <c r="Q11" i="9" s="1"/>
  <c r="P13" i="9"/>
  <c r="E55" i="11"/>
  <c r="L71" i="9"/>
  <c r="E36" i="8"/>
  <c r="F36" i="8" s="1"/>
  <c r="D36" i="8"/>
  <c r="AC19" i="11"/>
  <c r="B52" i="6"/>
  <c r="B58" i="8" s="1"/>
  <c r="D23" i="8"/>
  <c r="L19" i="9"/>
  <c r="E37" i="11"/>
  <c r="L35" i="9"/>
  <c r="F28" i="11"/>
  <c r="K18" i="9"/>
  <c r="L28" i="9"/>
  <c r="Y30" i="9"/>
  <c r="Z30" i="9" s="1"/>
  <c r="AA30" i="9" s="1"/>
  <c r="AB30" i="9" s="1"/>
  <c r="U32" i="9" s="1"/>
  <c r="S58" i="9"/>
  <c r="I58" i="9" s="1"/>
  <c r="K58" i="9" s="1"/>
  <c r="S57" i="9"/>
  <c r="I57" i="9" s="1"/>
  <c r="P6" i="9"/>
  <c r="Q6" i="9" s="1"/>
  <c r="U14" i="11"/>
  <c r="S13" i="9"/>
  <c r="I13" i="9" s="1"/>
  <c r="K13" i="9" s="1"/>
  <c r="U9" i="11"/>
  <c r="E49" i="11"/>
  <c r="L59" i="9"/>
  <c r="Z72" i="9"/>
  <c r="AA71" i="9" s="1"/>
  <c r="AB71" i="9" s="1"/>
  <c r="U73" i="9" s="1"/>
  <c r="E44" i="11"/>
  <c r="S63" i="9"/>
  <c r="I63" i="9" s="1"/>
  <c r="S64" i="9"/>
  <c r="I64" i="9" s="1"/>
  <c r="K64" i="9" s="1"/>
  <c r="P4" i="9"/>
  <c r="Q4" i="9" s="1"/>
  <c r="S32" i="9"/>
  <c r="I32" i="9" s="1"/>
  <c r="K32" i="9" s="1"/>
  <c r="E43" i="11"/>
  <c r="L47" i="9"/>
  <c r="L62" i="9"/>
  <c r="S19" i="9"/>
  <c r="I19" i="9" s="1"/>
  <c r="K19" i="9" s="1"/>
  <c r="S23" i="9"/>
  <c r="I23" i="9" s="1"/>
  <c r="K23" i="9" s="1"/>
  <c r="S27" i="9"/>
  <c r="I27" i="9" s="1"/>
  <c r="K27" i="9" s="1"/>
  <c r="V30" i="9"/>
  <c r="E42" i="11"/>
  <c r="D33" i="8"/>
  <c r="S34" i="9"/>
  <c r="I34" i="9" s="1"/>
  <c r="K34" i="9" s="1"/>
  <c r="S33" i="9"/>
  <c r="I33" i="9" s="1"/>
  <c r="L40" i="9"/>
  <c r="L49" i="9"/>
  <c r="S52" i="9"/>
  <c r="I52" i="9" s="1"/>
  <c r="K52" i="9" s="1"/>
  <c r="S59" i="9"/>
  <c r="I59" i="9" s="1"/>
  <c r="U12" i="11"/>
  <c r="V6" i="9"/>
  <c r="S9" i="9"/>
  <c r="I9" i="9" s="1"/>
  <c r="K9" i="9" s="1"/>
  <c r="S35" i="9"/>
  <c r="I35" i="9" s="1"/>
  <c r="L37" i="9"/>
  <c r="L15" i="9"/>
  <c r="L29" i="9"/>
  <c r="Y6" i="9"/>
  <c r="Z6" i="9" s="1"/>
  <c r="AA6" i="9" s="1"/>
  <c r="AB6" i="9" s="1"/>
  <c r="L99" i="6" s="1"/>
  <c r="Y4" i="9"/>
  <c r="Z4" i="9" s="1"/>
  <c r="L41" i="9"/>
  <c r="V4" i="9"/>
  <c r="L25" i="9"/>
  <c r="E31" i="11"/>
  <c r="L23" i="9"/>
  <c r="S55" i="9"/>
  <c r="I55" i="9" s="1"/>
  <c r="F69" i="11"/>
  <c r="E83" i="11"/>
  <c r="L128" i="9"/>
  <c r="Y14" i="9"/>
  <c r="Z14" i="9" s="1"/>
  <c r="AA14" i="9" s="1"/>
  <c r="AB14" i="9" s="1"/>
  <c r="D96" i="6" s="1"/>
  <c r="Y12" i="9"/>
  <c r="Z12" i="9" s="1"/>
  <c r="AA12" i="9" s="1"/>
  <c r="AB12" i="9" s="1"/>
  <c r="E96" i="6" s="1"/>
  <c r="Y10" i="9"/>
  <c r="Z10" i="9" s="1"/>
  <c r="AA10" i="9" s="1"/>
  <c r="AB10" i="9" s="1"/>
  <c r="F96" i="6" s="1"/>
  <c r="Y8" i="9"/>
  <c r="Z8" i="9" s="1"/>
  <c r="AA8" i="9" s="1"/>
  <c r="AB8" i="9" s="1"/>
  <c r="G96" i="6" s="1"/>
  <c r="S46" i="9"/>
  <c r="I46" i="9" s="1"/>
  <c r="K46" i="9" s="1"/>
  <c r="Y50" i="9"/>
  <c r="Z50" i="9" s="1"/>
  <c r="AA50" i="9" s="1"/>
  <c r="AB50" i="9" s="1"/>
  <c r="U52" i="9" s="1"/>
  <c r="L54" i="9"/>
  <c r="Y24" i="9"/>
  <c r="Z24" i="9" s="1"/>
  <c r="S45" i="9"/>
  <c r="I45" i="9" s="1"/>
  <c r="S92" i="9"/>
  <c r="I92" i="9" s="1"/>
  <c r="K92" i="9" s="1"/>
  <c r="E62" i="11"/>
  <c r="F83" i="11"/>
  <c r="K128" i="9"/>
  <c r="S60" i="9"/>
  <c r="I60" i="9" s="1"/>
  <c r="K60" i="9" s="1"/>
  <c r="S73" i="9"/>
  <c r="I73" i="9" s="1"/>
  <c r="P86" i="9"/>
  <c r="Q86" i="9" s="1"/>
  <c r="L90" i="9"/>
  <c r="L96" i="9"/>
  <c r="L68" i="9"/>
  <c r="S121" i="9"/>
  <c r="I121" i="9" s="1"/>
  <c r="S120" i="9"/>
  <c r="I120" i="9" s="1"/>
  <c r="K120" i="9" s="1"/>
  <c r="S84" i="9"/>
  <c r="I84" i="9" s="1"/>
  <c r="L86" i="9"/>
  <c r="E63" i="11"/>
  <c r="L88" i="9"/>
  <c r="L65" i="9"/>
  <c r="L78" i="9"/>
  <c r="S80" i="9"/>
  <c r="I80" i="9" s="1"/>
  <c r="S79" i="9"/>
  <c r="I79" i="9" s="1"/>
  <c r="K79" i="9" s="1"/>
  <c r="S77" i="9"/>
  <c r="I77" i="9" s="1"/>
  <c r="L72" i="9"/>
  <c r="L75" i="9"/>
  <c r="S90" i="9"/>
  <c r="I90" i="9" s="1"/>
  <c r="S96" i="9"/>
  <c r="I96" i="9" s="1"/>
  <c r="K96" i="9" s="1"/>
  <c r="E81" i="11"/>
  <c r="L124" i="9"/>
  <c r="K69" i="9"/>
  <c r="S71" i="9"/>
  <c r="I71" i="9" s="1"/>
  <c r="E71" i="11"/>
  <c r="L104" i="9"/>
  <c r="Y43" i="9"/>
  <c r="Z43" i="9" s="1"/>
  <c r="L66" i="9"/>
  <c r="L69" i="9"/>
  <c r="Y91" i="9"/>
  <c r="L100" i="9"/>
  <c r="E77" i="11"/>
  <c r="L116" i="9"/>
  <c r="K136" i="9"/>
  <c r="S65" i="9"/>
  <c r="I65" i="9" s="1"/>
  <c r="Y67" i="9"/>
  <c r="Z67" i="9" s="1"/>
  <c r="AA67" i="9" s="1"/>
  <c r="AB67" i="9" s="1"/>
  <c r="U69" i="9" s="1"/>
  <c r="S68" i="9"/>
  <c r="I68" i="9" s="1"/>
  <c r="L92" i="9"/>
  <c r="S98" i="9"/>
  <c r="I98" i="9" s="1"/>
  <c r="K106" i="9"/>
  <c r="F81" i="11"/>
  <c r="K124" i="9"/>
  <c r="L55" i="9"/>
  <c r="L60" i="9"/>
  <c r="L63" i="9"/>
  <c r="L76" i="9"/>
  <c r="Y87" i="9"/>
  <c r="Z87" i="9" s="1"/>
  <c r="AA87" i="9" s="1"/>
  <c r="AB87" i="9" s="1"/>
  <c r="U89" i="9" s="1"/>
  <c r="S62" i="9"/>
  <c r="I62" i="9" s="1"/>
  <c r="S75" i="9"/>
  <c r="I75" i="9" s="1"/>
  <c r="S78" i="9"/>
  <c r="I78" i="9" s="1"/>
  <c r="K78" i="9" s="1"/>
  <c r="Y90" i="9"/>
  <c r="Z90" i="9" s="1"/>
  <c r="K94" i="9"/>
  <c r="S116" i="9"/>
  <c r="I116" i="9" s="1"/>
  <c r="L150" i="9"/>
  <c r="V119" i="9"/>
  <c r="S130" i="9"/>
  <c r="I130" i="9" s="1"/>
  <c r="E91" i="11"/>
  <c r="L144" i="9"/>
  <c r="S137" i="9"/>
  <c r="I137" i="9" s="1"/>
  <c r="K137" i="9" s="1"/>
  <c r="K142" i="9"/>
  <c r="Y125" i="9"/>
  <c r="Z125" i="9" s="1"/>
  <c r="S133" i="9"/>
  <c r="I133" i="9" s="1"/>
  <c r="K133" i="9" s="1"/>
  <c r="AA122" i="9"/>
  <c r="AB122" i="9" s="1"/>
  <c r="U133" i="9" s="1"/>
  <c r="Z133" i="9" s="1"/>
  <c r="S135" i="9"/>
  <c r="I135" i="9" s="1"/>
  <c r="K135" i="9" s="1"/>
  <c r="E88" i="11"/>
  <c r="S206" i="9"/>
  <c r="I206" i="9" s="1"/>
  <c r="K206" i="9" s="1"/>
  <c r="S207" i="9"/>
  <c r="I207" i="9" s="1"/>
  <c r="K207" i="9" s="1"/>
  <c r="S205" i="9"/>
  <c r="I205" i="9" s="1"/>
  <c r="K205" i="9" s="1"/>
  <c r="S204" i="9"/>
  <c r="I204" i="9" s="1"/>
  <c r="L110" i="9"/>
  <c r="S127" i="9"/>
  <c r="I127" i="9" s="1"/>
  <c r="K127" i="9" s="1"/>
  <c r="L125" i="9"/>
  <c r="F82" i="11"/>
  <c r="E85" i="11"/>
  <c r="L138" i="9"/>
  <c r="L108" i="9"/>
  <c r="Y127" i="9"/>
  <c r="Z127" i="9" s="1"/>
  <c r="AA127" i="9" s="1"/>
  <c r="AB127" i="9" s="1"/>
  <c r="U151" i="9" s="1"/>
  <c r="L130" i="9"/>
  <c r="E87" i="11"/>
  <c r="L114" i="9"/>
  <c r="AB123" i="9"/>
  <c r="U149" i="9" s="1"/>
  <c r="L120" i="9"/>
  <c r="S129" i="9"/>
  <c r="I129" i="9" s="1"/>
  <c r="K129" i="9" s="1"/>
  <c r="L131" i="9"/>
  <c r="K132" i="9"/>
  <c r="E86" i="11"/>
  <c r="S158" i="9"/>
  <c r="I158" i="9" s="1"/>
  <c r="K158" i="9" s="1"/>
  <c r="S156" i="9"/>
  <c r="I156" i="9" s="1"/>
  <c r="S157" i="9"/>
  <c r="I157" i="9" s="1"/>
  <c r="K157" i="9" s="1"/>
  <c r="U19" i="11"/>
  <c r="L171" i="9"/>
  <c r="S189" i="9"/>
  <c r="I189" i="9" s="1"/>
  <c r="K189" i="9" s="1"/>
  <c r="E94" i="11"/>
  <c r="L166" i="9"/>
  <c r="L207" i="9"/>
  <c r="L152" i="9"/>
  <c r="L173" i="9"/>
  <c r="E100" i="11"/>
  <c r="L176" i="9"/>
  <c r="E92" i="11"/>
  <c r="S150" i="9"/>
  <c r="I150" i="9" s="1"/>
  <c r="K150" i="9" s="1"/>
  <c r="S148" i="9"/>
  <c r="I148" i="9" s="1"/>
  <c r="L203" i="9"/>
  <c r="L163" i="9"/>
  <c r="S177" i="9"/>
  <c r="I177" i="9" s="1"/>
  <c r="K177" i="9" s="1"/>
  <c r="L178" i="9"/>
  <c r="L147" i="9"/>
  <c r="S162" i="9"/>
  <c r="I162" i="9" s="1"/>
  <c r="K162" i="9" s="1"/>
  <c r="S160" i="9"/>
  <c r="I160" i="9" s="1"/>
  <c r="S161" i="9"/>
  <c r="I161" i="9" s="1"/>
  <c r="K161" i="9" s="1"/>
  <c r="S163" i="9"/>
  <c r="I163" i="9" s="1"/>
  <c r="K163" i="9" s="1"/>
  <c r="E98" i="11"/>
  <c r="L168" i="9"/>
  <c r="K212" i="9"/>
  <c r="S143" i="9"/>
  <c r="I143" i="9" s="1"/>
  <c r="K143" i="9" s="1"/>
  <c r="S154" i="9"/>
  <c r="I154" i="9" s="1"/>
  <c r="K154" i="9" s="1"/>
  <c r="S152" i="9"/>
  <c r="I152" i="9" s="1"/>
  <c r="S153" i="9"/>
  <c r="I153" i="9" s="1"/>
  <c r="K153" i="9" s="1"/>
  <c r="S138" i="9"/>
  <c r="I138" i="9" s="1"/>
  <c r="S159" i="9"/>
  <c r="I159" i="9" s="1"/>
  <c r="K159" i="9" s="1"/>
  <c r="L215" i="9"/>
  <c r="S144" i="9"/>
  <c r="I144" i="9" s="1"/>
  <c r="E95" i="11"/>
  <c r="V159" i="9"/>
  <c r="S166" i="9"/>
  <c r="I166" i="9" s="1"/>
  <c r="K166" i="9" s="1"/>
  <c r="S164" i="9"/>
  <c r="I164" i="9" s="1"/>
  <c r="S165" i="9"/>
  <c r="I165" i="9" s="1"/>
  <c r="K165" i="9" s="1"/>
  <c r="S167" i="9"/>
  <c r="I167" i="9" s="1"/>
  <c r="K167" i="9" s="1"/>
  <c r="L183" i="9"/>
  <c r="L142" i="9"/>
  <c r="E103" i="11"/>
  <c r="L188" i="9"/>
  <c r="L156" i="9"/>
  <c r="S186" i="9"/>
  <c r="I186" i="9" s="1"/>
  <c r="K186" i="9" s="1"/>
  <c r="S184" i="9"/>
  <c r="I184" i="9" s="1"/>
  <c r="S185" i="9"/>
  <c r="I185" i="9" s="1"/>
  <c r="K185" i="9" s="1"/>
  <c r="S187" i="9"/>
  <c r="I187" i="9" s="1"/>
  <c r="K187" i="9" s="1"/>
  <c r="S198" i="9"/>
  <c r="I198" i="9" s="1"/>
  <c r="K198" i="9" s="1"/>
  <c r="S196" i="9"/>
  <c r="I196" i="9" s="1"/>
  <c r="F112" i="11"/>
  <c r="K222" i="9"/>
  <c r="E113" i="11"/>
  <c r="L224" i="9"/>
  <c r="S209" i="9"/>
  <c r="I209" i="9" s="1"/>
  <c r="K209" i="9" s="1"/>
  <c r="E114" i="11"/>
  <c r="L227" i="9"/>
  <c r="S174" i="9"/>
  <c r="I174" i="9" s="1"/>
  <c r="K174" i="9" s="1"/>
  <c r="S172" i="9"/>
  <c r="I172" i="9" s="1"/>
  <c r="S199" i="9"/>
  <c r="I199" i="9" s="1"/>
  <c r="K199" i="9" s="1"/>
  <c r="L200" i="9"/>
  <c r="E107" i="11"/>
  <c r="L204" i="9"/>
  <c r="E109" i="11"/>
  <c r="L212" i="9"/>
  <c r="F114" i="11"/>
  <c r="K227" i="9"/>
  <c r="S194" i="9"/>
  <c r="I194" i="9" s="1"/>
  <c r="K194" i="9" s="1"/>
  <c r="S192" i="9"/>
  <c r="I192" i="9" s="1"/>
  <c r="L193" i="9"/>
  <c r="S197" i="9"/>
  <c r="I197" i="9" s="1"/>
  <c r="K197" i="9" s="1"/>
  <c r="S210" i="9"/>
  <c r="I210" i="9" s="1"/>
  <c r="K210" i="9" s="1"/>
  <c r="S218" i="9"/>
  <c r="I218" i="9" s="1"/>
  <c r="K218" i="9" s="1"/>
  <c r="S217" i="9"/>
  <c r="I217" i="9" s="1"/>
  <c r="S175" i="9"/>
  <c r="I175" i="9" s="1"/>
  <c r="K175" i="9" s="1"/>
  <c r="S182" i="9"/>
  <c r="I182" i="9" s="1"/>
  <c r="K182" i="9" s="1"/>
  <c r="S180" i="9"/>
  <c r="I180" i="9" s="1"/>
  <c r="Y224" i="9"/>
  <c r="Z224" i="9" s="1"/>
  <c r="Y225" i="9"/>
  <c r="Z225" i="9" s="1"/>
  <c r="AA225" i="9" s="1"/>
  <c r="AB225" i="9" s="1"/>
  <c r="U239" i="9" s="1"/>
  <c r="L159" i="9"/>
  <c r="S170" i="9"/>
  <c r="I170" i="9" s="1"/>
  <c r="K170" i="9" s="1"/>
  <c r="S168" i="9"/>
  <c r="I168" i="9" s="1"/>
  <c r="S195" i="9"/>
  <c r="I195" i="9" s="1"/>
  <c r="K195" i="9" s="1"/>
  <c r="S200" i="9"/>
  <c r="I200" i="9" s="1"/>
  <c r="S146" i="9"/>
  <c r="I146" i="9" s="1"/>
  <c r="S173" i="9"/>
  <c r="I173" i="9" s="1"/>
  <c r="K173" i="9" s="1"/>
  <c r="L179" i="9"/>
  <c r="S203" i="9"/>
  <c r="I203" i="9" s="1"/>
  <c r="K203" i="9" s="1"/>
  <c r="S237" i="9"/>
  <c r="I237" i="9" s="1"/>
  <c r="S190" i="9"/>
  <c r="I190" i="9" s="1"/>
  <c r="K190" i="9" s="1"/>
  <c r="S188" i="9"/>
  <c r="I188" i="9" s="1"/>
  <c r="S233" i="9"/>
  <c r="I233" i="9" s="1"/>
  <c r="K233" i="9" s="1"/>
  <c r="S238" i="9"/>
  <c r="I238" i="9" s="1"/>
  <c r="K238" i="9" s="1"/>
  <c r="E121" i="11"/>
  <c r="L242" i="9"/>
  <c r="L167" i="9"/>
  <c r="S193" i="9"/>
  <c r="I193" i="9" s="1"/>
  <c r="K193" i="9" s="1"/>
  <c r="L199" i="9"/>
  <c r="L210" i="9"/>
  <c r="L232" i="9"/>
  <c r="S178" i="9"/>
  <c r="I178" i="9" s="1"/>
  <c r="K178" i="9" s="1"/>
  <c r="S176" i="9"/>
  <c r="I176" i="9" s="1"/>
  <c r="S215" i="9"/>
  <c r="I215" i="9" s="1"/>
  <c r="K215" i="9" s="1"/>
  <c r="S214" i="9"/>
  <c r="I214" i="9" s="1"/>
  <c r="K214" i="9" s="1"/>
  <c r="E119" i="11"/>
  <c r="L237" i="9"/>
  <c r="S229" i="9"/>
  <c r="I229" i="9" s="1"/>
  <c r="L226" i="9"/>
  <c r="AA226" i="9"/>
  <c r="AB226" i="9" s="1"/>
  <c r="U238" i="9" s="1"/>
  <c r="S246" i="9"/>
  <c r="I246" i="9" s="1"/>
  <c r="S249" i="9"/>
  <c r="I249" i="9" s="1"/>
  <c r="K249" i="9" s="1"/>
  <c r="F126" i="11"/>
  <c r="K252" i="9"/>
  <c r="F128" i="11"/>
  <c r="K257" i="9"/>
  <c r="Z245" i="9"/>
  <c r="AA245" i="9" s="1"/>
  <c r="AB245" i="9" s="1"/>
  <c r="U277" i="9" s="1"/>
  <c r="L251" i="9"/>
  <c r="E108" i="11"/>
  <c r="L208" i="9"/>
  <c r="E110" i="11"/>
  <c r="L216" i="9"/>
  <c r="S225" i="9"/>
  <c r="I225" i="9" s="1"/>
  <c r="K225" i="9" s="1"/>
  <c r="E122" i="11"/>
  <c r="L244" i="9"/>
  <c r="Y246" i="9"/>
  <c r="Z246" i="9" s="1"/>
  <c r="L243" i="9"/>
  <c r="Y247" i="9"/>
  <c r="Z247" i="9" s="1"/>
  <c r="AA247" i="9" s="1"/>
  <c r="AB247" i="9" s="1"/>
  <c r="U249" i="9" s="1"/>
  <c r="S267" i="9"/>
  <c r="I267" i="9" s="1"/>
  <c r="K267" i="9" s="1"/>
  <c r="S266" i="9"/>
  <c r="I266" i="9" s="1"/>
  <c r="E123" i="11"/>
  <c r="L246" i="9"/>
  <c r="E130" i="11"/>
  <c r="L260" i="9"/>
  <c r="E117" i="11"/>
  <c r="S235" i="9"/>
  <c r="I235" i="9" s="1"/>
  <c r="S259" i="9"/>
  <c r="I259" i="9" s="1"/>
  <c r="K259" i="9" s="1"/>
  <c r="S258" i="9"/>
  <c r="I258" i="9" s="1"/>
  <c r="K244" i="9"/>
  <c r="E124" i="11"/>
  <c r="L248" i="9"/>
  <c r="L249" i="9"/>
  <c r="S231" i="9"/>
  <c r="I231" i="9" s="1"/>
  <c r="E111" i="11"/>
  <c r="L220" i="9"/>
  <c r="S226" i="9"/>
  <c r="I226" i="9" s="1"/>
  <c r="K226" i="9" s="1"/>
  <c r="F141" i="11"/>
  <c r="K283" i="9"/>
  <c r="L233" i="9"/>
  <c r="F138" i="11"/>
  <c r="K276" i="9"/>
  <c r="S255" i="9"/>
  <c r="I255" i="9" s="1"/>
  <c r="K255" i="9" s="1"/>
  <c r="S254" i="9"/>
  <c r="I254" i="9" s="1"/>
  <c r="E118" i="11"/>
  <c r="L235" i="9"/>
  <c r="S250" i="9"/>
  <c r="I250" i="9" s="1"/>
  <c r="S251" i="9"/>
  <c r="I251" i="9" s="1"/>
  <c r="K251" i="9" s="1"/>
  <c r="E138" i="11"/>
  <c r="L276" i="9"/>
  <c r="Q7" i="11"/>
  <c r="T7" i="11" s="1"/>
  <c r="E126" i="11"/>
  <c r="L252" i="9"/>
  <c r="E129" i="11"/>
  <c r="L258" i="9"/>
  <c r="P46" i="10"/>
  <c r="E125" i="11"/>
  <c r="L250" i="9"/>
  <c r="Q46" i="10"/>
  <c r="S260" i="9"/>
  <c r="I260" i="9" s="1"/>
  <c r="S265" i="9"/>
  <c r="I265" i="9" s="1"/>
  <c r="L287" i="9"/>
  <c r="E132" i="11"/>
  <c r="L264" i="9"/>
  <c r="P32" i="10"/>
  <c r="S290" i="9"/>
  <c r="I290" i="9" s="1"/>
  <c r="K290" i="9" s="1"/>
  <c r="E146" i="11"/>
  <c r="L292" i="9"/>
  <c r="Q32" i="10"/>
  <c r="L285" i="9"/>
  <c r="E128" i="11"/>
  <c r="L256" i="9"/>
  <c r="L269" i="9"/>
  <c r="S273" i="9"/>
  <c r="I273" i="9" s="1"/>
  <c r="K273" i="9" s="1"/>
  <c r="K292" i="9"/>
  <c r="E147" i="11"/>
  <c r="L294" i="9"/>
  <c r="Y270" i="9"/>
  <c r="Z270" i="9" s="1"/>
  <c r="S275" i="9"/>
  <c r="I275" i="9" s="1"/>
  <c r="K275" i="9" s="1"/>
  <c r="S287" i="9"/>
  <c r="I287" i="9" s="1"/>
  <c r="K287" i="9" s="1"/>
  <c r="S286" i="9"/>
  <c r="I286" i="9" s="1"/>
  <c r="S288" i="9"/>
  <c r="I288" i="9" s="1"/>
  <c r="Q42" i="10"/>
  <c r="P42" i="10"/>
  <c r="E139" i="11"/>
  <c r="L278" i="9"/>
  <c r="F149" i="11"/>
  <c r="K299" i="9"/>
  <c r="Q17" i="11"/>
  <c r="R17" i="11" s="1"/>
  <c r="Q12" i="11"/>
  <c r="Q16" i="11"/>
  <c r="Q14" i="11"/>
  <c r="Y271" i="9"/>
  <c r="E120" i="11"/>
  <c r="L240" i="9"/>
  <c r="E127" i="11"/>
  <c r="L254" i="9"/>
  <c r="L271" i="9"/>
  <c r="E112" i="11"/>
  <c r="L222" i="9"/>
  <c r="E131" i="11"/>
  <c r="L262" i="9"/>
  <c r="R8" i="10"/>
  <c r="R45" i="10"/>
  <c r="O7" i="11"/>
  <c r="AH7" i="11"/>
  <c r="H9" i="11"/>
  <c r="AH18" i="11"/>
  <c r="AG16" i="11"/>
  <c r="J20" i="11"/>
  <c r="O15" i="11"/>
  <c r="R37" i="10"/>
  <c r="AH20" i="11"/>
  <c r="AH15" i="11"/>
  <c r="AG14" i="11"/>
  <c r="AG13" i="11"/>
  <c r="AH12" i="11"/>
  <c r="AH16" i="11"/>
  <c r="AG11" i="11"/>
  <c r="AH10" i="11"/>
  <c r="AG20" i="11"/>
  <c r="G19" i="11"/>
  <c r="H19" i="11" s="1"/>
  <c r="AH19" i="11"/>
  <c r="S279" i="9"/>
  <c r="I279" i="9" s="1"/>
  <c r="L280" i="9"/>
  <c r="S295" i="9"/>
  <c r="I295" i="9" s="1"/>
  <c r="L296" i="9"/>
  <c r="Q33" i="10"/>
  <c r="R33" i="10" s="1"/>
  <c r="Q10" i="11"/>
  <c r="T10" i="11" s="1"/>
  <c r="Q13" i="11"/>
  <c r="R13" i="11" s="1"/>
  <c r="Q18" i="11"/>
  <c r="R18" i="11" s="1"/>
  <c r="V7" i="11"/>
  <c r="AG9" i="11"/>
  <c r="G11" i="11"/>
  <c r="AH9" i="11"/>
  <c r="AG15" i="11"/>
  <c r="AG12" i="11"/>
  <c r="G14" i="11"/>
  <c r="H14" i="11" s="1"/>
  <c r="O19" i="11"/>
  <c r="Q9" i="11"/>
  <c r="AG17" i="11"/>
  <c r="G20" i="11"/>
  <c r="H20" i="11" s="1"/>
  <c r="Q15" i="11"/>
  <c r="AH17" i="11"/>
  <c r="Q19" i="11"/>
  <c r="R19" i="11" s="1"/>
  <c r="AG8" i="11"/>
  <c r="AH8" i="11"/>
  <c r="AH11" i="11"/>
  <c r="G13" i="11"/>
  <c r="H13" i="11" s="1"/>
  <c r="P31" i="10"/>
  <c r="R31" i="10" s="1"/>
  <c r="P40" i="10"/>
  <c r="R49" i="10"/>
  <c r="Q8" i="11"/>
  <c r="R8" i="11" s="1"/>
  <c r="AH14" i="11"/>
  <c r="V15" i="11"/>
  <c r="Q20" i="11"/>
  <c r="Q40" i="10"/>
  <c r="AG7" i="11"/>
  <c r="Q11" i="11"/>
  <c r="AG18" i="11"/>
  <c r="V17" i="11"/>
  <c r="V16" i="11"/>
  <c r="F159" i="11" l="1"/>
  <c r="K321" i="9"/>
  <c r="F160" i="11"/>
  <c r="F158" i="11"/>
  <c r="F156" i="11"/>
  <c r="K315" i="9"/>
  <c r="F157" i="11"/>
  <c r="K97" i="9"/>
  <c r="K47" i="9"/>
  <c r="K242" i="9"/>
  <c r="K86" i="9"/>
  <c r="AA306" i="9"/>
  <c r="AB306" i="9" s="1"/>
  <c r="U308" i="9" s="1"/>
  <c r="K310" i="9"/>
  <c r="F155" i="11"/>
  <c r="K308" i="9"/>
  <c r="F154" i="11"/>
  <c r="K306" i="9"/>
  <c r="F153" i="11"/>
  <c r="K140" i="9"/>
  <c r="V12" i="11"/>
  <c r="K304" i="9"/>
  <c r="F152" i="11"/>
  <c r="Y164" i="9"/>
  <c r="Z164" i="9" s="1"/>
  <c r="R48" i="10"/>
  <c r="R39" i="10"/>
  <c r="F76" i="11"/>
  <c r="K268" i="9"/>
  <c r="K134" i="9"/>
  <c r="V14" i="11"/>
  <c r="K302" i="9"/>
  <c r="F151" i="11"/>
  <c r="F27" i="11"/>
  <c r="F78" i="11"/>
  <c r="F34" i="11"/>
  <c r="Y167" i="9"/>
  <c r="R36" i="10"/>
  <c r="C29" i="2"/>
  <c r="F135" i="11"/>
  <c r="Y166" i="9"/>
  <c r="K82" i="9"/>
  <c r="K88" i="9"/>
  <c r="R47" i="10"/>
  <c r="F44" i="11"/>
  <c r="F38" i="11"/>
  <c r="AC10" i="11"/>
  <c r="K122" i="9"/>
  <c r="S20" i="11"/>
  <c r="R10" i="10"/>
  <c r="F30" i="11"/>
  <c r="W86" i="9"/>
  <c r="X86" i="9" s="1"/>
  <c r="K220" i="9"/>
  <c r="R44" i="10"/>
  <c r="F137" i="11"/>
  <c r="K248" i="9"/>
  <c r="Q9" i="6"/>
  <c r="K281" i="9"/>
  <c r="K104" i="9"/>
  <c r="AC18" i="11"/>
  <c r="C13" i="2"/>
  <c r="K42" i="9"/>
  <c r="F73" i="11"/>
  <c r="F109" i="11"/>
  <c r="C16" i="2"/>
  <c r="F117" i="11"/>
  <c r="C11" i="2"/>
  <c r="F136" i="11"/>
  <c r="T17" i="11"/>
  <c r="K300" i="9"/>
  <c r="Y18" i="9"/>
  <c r="Z18" i="9" s="1"/>
  <c r="K291" i="9"/>
  <c r="K224" i="9"/>
  <c r="C19" i="2"/>
  <c r="AC16" i="11"/>
  <c r="AA132" i="9"/>
  <c r="AB132" i="9" s="1"/>
  <c r="U137" i="9" s="1"/>
  <c r="AA133" i="9"/>
  <c r="AB133" i="9" s="1"/>
  <c r="U148" i="9" s="1"/>
  <c r="AC17" i="11"/>
  <c r="Y25" i="9"/>
  <c r="AC13" i="11"/>
  <c r="R32" i="10"/>
  <c r="AA15" i="9"/>
  <c r="AB15" i="9" s="1"/>
  <c r="U17" i="9" s="1"/>
  <c r="Z17" i="9" s="1"/>
  <c r="R21" i="6"/>
  <c r="K28" i="9"/>
  <c r="K43" i="9"/>
  <c r="F75" i="11"/>
  <c r="K110" i="9"/>
  <c r="C20" i="2"/>
  <c r="R10" i="11"/>
  <c r="AA126" i="9"/>
  <c r="AB126" i="9" s="1"/>
  <c r="U134" i="9" s="1"/>
  <c r="Y135" i="9" s="1"/>
  <c r="AC20" i="11"/>
  <c r="AA23" i="9"/>
  <c r="AB23" i="9" s="1"/>
  <c r="U25" i="9" s="1"/>
  <c r="AC14" i="11"/>
  <c r="Q20" i="6"/>
  <c r="A11" i="8"/>
  <c r="E11" i="2"/>
  <c r="AA224" i="9"/>
  <c r="AB224" i="9" s="1"/>
  <c r="U237" i="9" s="1"/>
  <c r="Y239" i="9" s="1"/>
  <c r="Z239" i="9" s="1"/>
  <c r="AA239" i="9" s="1"/>
  <c r="AB239" i="9" s="1"/>
  <c r="U285" i="9" s="1"/>
  <c r="AA43" i="9"/>
  <c r="AB43" i="9" s="1"/>
  <c r="U45" i="9" s="1"/>
  <c r="Y45" i="9" s="1"/>
  <c r="Z45" i="9" s="1"/>
  <c r="F29" i="11"/>
  <c r="K20" i="9"/>
  <c r="AC8" i="11"/>
  <c r="R40" i="10"/>
  <c r="AC15" i="11"/>
  <c r="AC11" i="11"/>
  <c r="F108" i="11"/>
  <c r="K217" i="9"/>
  <c r="F110" i="11"/>
  <c r="F148" i="11"/>
  <c r="K296" i="9"/>
  <c r="T19" i="11"/>
  <c r="AA124" i="9"/>
  <c r="AB124" i="9" s="1"/>
  <c r="U135" i="9" s="1"/>
  <c r="AA125" i="9"/>
  <c r="AB125" i="9" s="1"/>
  <c r="U129" i="9" s="1"/>
  <c r="Z129" i="9" s="1"/>
  <c r="R10" i="6"/>
  <c r="E12" i="2"/>
  <c r="R11" i="6"/>
  <c r="Q11" i="6"/>
  <c r="E13" i="2"/>
  <c r="R26" i="6"/>
  <c r="E28" i="2"/>
  <c r="E10" i="2"/>
  <c r="R8" i="6"/>
  <c r="Q8" i="6"/>
  <c r="C23" i="7"/>
  <c r="B23" i="7"/>
  <c r="R24" i="6"/>
  <c r="Q24" i="6"/>
  <c r="E26" i="2"/>
  <c r="A12" i="8"/>
  <c r="AA77" i="9"/>
  <c r="AB77" i="9" s="1"/>
  <c r="Q23" i="6"/>
  <c r="R23" i="6"/>
  <c r="E25" i="2"/>
  <c r="AC12" i="11"/>
  <c r="O12" i="11"/>
  <c r="AA72" i="9"/>
  <c r="AB72" i="9" s="1"/>
  <c r="U75" i="9" s="1"/>
  <c r="Y76" i="9" s="1"/>
  <c r="K51" i="9"/>
  <c r="AC9" i="11"/>
  <c r="C3" i="6"/>
  <c r="R43" i="10"/>
  <c r="F120" i="11"/>
  <c r="K240" i="9"/>
  <c r="R18" i="6"/>
  <c r="E20" i="2"/>
  <c r="Q21" i="6"/>
  <c r="Q16" i="6"/>
  <c r="E18" i="2"/>
  <c r="R20" i="6"/>
  <c r="E16" i="2"/>
  <c r="R14" i="6"/>
  <c r="Q14" i="6"/>
  <c r="R25" i="6"/>
  <c r="E27" i="2"/>
  <c r="R16" i="6"/>
  <c r="R19" i="6"/>
  <c r="E21" i="2"/>
  <c r="F142" i="11"/>
  <c r="K285" i="9"/>
  <c r="R22" i="6"/>
  <c r="E24" i="2"/>
  <c r="R17" i="6"/>
  <c r="Q17" i="6"/>
  <c r="E19" i="2"/>
  <c r="F31" i="11"/>
  <c r="K24" i="9"/>
  <c r="E29" i="2"/>
  <c r="R27" i="6"/>
  <c r="Q27" i="6"/>
  <c r="R46" i="10"/>
  <c r="F70" i="11"/>
  <c r="K93" i="9"/>
  <c r="F131" i="11"/>
  <c r="K263" i="9"/>
  <c r="R42" i="10"/>
  <c r="O10" i="11"/>
  <c r="J24" i="15"/>
  <c r="K24" i="15" s="1"/>
  <c r="R15" i="6"/>
  <c r="E17" i="2"/>
  <c r="R12" i="6"/>
  <c r="E14" i="2"/>
  <c r="Q13" i="6"/>
  <c r="E15" i="2"/>
  <c r="F46" i="11"/>
  <c r="K53" i="9"/>
  <c r="L27" i="15"/>
  <c r="J26" i="15"/>
  <c r="K26" i="15" s="1"/>
  <c r="J25" i="15"/>
  <c r="K25" i="15" s="1"/>
  <c r="L25" i="15" s="1"/>
  <c r="J22" i="15"/>
  <c r="K22" i="15" s="1"/>
  <c r="O25" i="15"/>
  <c r="J23" i="15"/>
  <c r="K23" i="15" s="1"/>
  <c r="O23" i="15"/>
  <c r="J20" i="15"/>
  <c r="K20" i="15" s="1"/>
  <c r="Y74" i="9"/>
  <c r="Z74" i="9" s="1"/>
  <c r="Y73" i="9"/>
  <c r="Z73" i="9" s="1"/>
  <c r="T16" i="11"/>
  <c r="R16" i="11"/>
  <c r="F104" i="11"/>
  <c r="K192" i="9"/>
  <c r="F68" i="11"/>
  <c r="K98" i="9"/>
  <c r="F95" i="11"/>
  <c r="K156" i="9"/>
  <c r="F58" i="11"/>
  <c r="K77" i="9"/>
  <c r="AA7" i="9"/>
  <c r="AB7" i="9" s="1"/>
  <c r="B96" i="6" s="1"/>
  <c r="P96" i="6" s="1"/>
  <c r="B15" i="2" s="1"/>
  <c r="F133" i="11"/>
  <c r="K266" i="9"/>
  <c r="F119" i="11"/>
  <c r="K237" i="9"/>
  <c r="F97" i="11"/>
  <c r="K164" i="9"/>
  <c r="F42" i="11"/>
  <c r="K45" i="9"/>
  <c r="T12" i="11"/>
  <c r="R12" i="11"/>
  <c r="V13" i="11"/>
  <c r="T13" i="11"/>
  <c r="T11" i="11"/>
  <c r="R11" i="11"/>
  <c r="F129" i="11"/>
  <c r="K258" i="9"/>
  <c r="F123" i="11"/>
  <c r="K246" i="9"/>
  <c r="F88" i="11"/>
  <c r="K138" i="9"/>
  <c r="F53" i="11"/>
  <c r="K68" i="9"/>
  <c r="F55" i="11"/>
  <c r="K71" i="9"/>
  <c r="F61" i="11"/>
  <c r="K84" i="9"/>
  <c r="F37" i="11"/>
  <c r="K35" i="9"/>
  <c r="AA29" i="9"/>
  <c r="AB29" i="9" s="1"/>
  <c r="U31" i="9" s="1"/>
  <c r="F26" i="11"/>
  <c r="K7" i="9"/>
  <c r="AC7" i="11"/>
  <c r="F100" i="11"/>
  <c r="K176" i="9"/>
  <c r="Y70" i="9"/>
  <c r="Y69" i="9"/>
  <c r="Z69" i="9" s="1"/>
  <c r="F132" i="11"/>
  <c r="K265" i="9"/>
  <c r="F118" i="11"/>
  <c r="K235" i="9"/>
  <c r="F98" i="11"/>
  <c r="K168" i="9"/>
  <c r="F77" i="11"/>
  <c r="K116" i="9"/>
  <c r="F52" i="11"/>
  <c r="K65" i="9"/>
  <c r="F56" i="11"/>
  <c r="K73" i="9"/>
  <c r="F36" i="11"/>
  <c r="K33" i="9"/>
  <c r="F130" i="11"/>
  <c r="K260" i="9"/>
  <c r="F99" i="11"/>
  <c r="K172" i="9"/>
  <c r="F94" i="11"/>
  <c r="K152" i="9"/>
  <c r="AA86" i="9"/>
  <c r="AB86" i="9" s="1"/>
  <c r="U88" i="9" s="1"/>
  <c r="F51" i="11"/>
  <c r="K63" i="9"/>
  <c r="F101" i="11"/>
  <c r="K180" i="9"/>
  <c r="F59" i="11"/>
  <c r="K80" i="9"/>
  <c r="F79" i="11"/>
  <c r="K121" i="9"/>
  <c r="F32" i="11"/>
  <c r="K26" i="9"/>
  <c r="F115" i="11"/>
  <c r="K229" i="9"/>
  <c r="F47" i="11"/>
  <c r="K55" i="9"/>
  <c r="AA4" i="9"/>
  <c r="AB4" i="9" s="1"/>
  <c r="F99" i="6" s="1"/>
  <c r="T8" i="11"/>
  <c r="H11" i="11"/>
  <c r="B13" i="4" s="1"/>
  <c r="V11" i="11"/>
  <c r="AA244" i="9"/>
  <c r="AB244" i="9" s="1"/>
  <c r="U276" i="9" s="1"/>
  <c r="AA68" i="9"/>
  <c r="AB68" i="9" s="1"/>
  <c r="U99" i="9" s="1"/>
  <c r="F48" i="11"/>
  <c r="K57" i="9"/>
  <c r="W14" i="9"/>
  <c r="X14" i="9" s="1"/>
  <c r="J14" i="9" s="1"/>
  <c r="W9" i="9"/>
  <c r="X9" i="9" s="1"/>
  <c r="J9" i="9" s="1"/>
  <c r="W11" i="9"/>
  <c r="X11" i="9" s="1"/>
  <c r="J11" i="9" s="1"/>
  <c r="W13" i="9"/>
  <c r="W8" i="9"/>
  <c r="W10" i="9"/>
  <c r="W12" i="9"/>
  <c r="X12" i="9" s="1"/>
  <c r="J12" i="9" s="1"/>
  <c r="W7" i="9"/>
  <c r="X7" i="9" s="1"/>
  <c r="F147" i="11"/>
  <c r="K295" i="9"/>
  <c r="O14" i="11"/>
  <c r="F127" i="11"/>
  <c r="K254" i="9"/>
  <c r="F139" i="11"/>
  <c r="K279" i="9"/>
  <c r="V19" i="11"/>
  <c r="F105" i="11"/>
  <c r="K196" i="9"/>
  <c r="F91" i="11"/>
  <c r="K144" i="9"/>
  <c r="F57" i="11"/>
  <c r="K75" i="9"/>
  <c r="AA49" i="9"/>
  <c r="AB49" i="9" s="1"/>
  <c r="U51" i="9" s="1"/>
  <c r="D17" i="2"/>
  <c r="C17" i="2"/>
  <c r="F50" i="11"/>
  <c r="K62" i="9"/>
  <c r="D24" i="2"/>
  <c r="C24" i="2"/>
  <c r="Z139" i="9"/>
  <c r="F64" i="11"/>
  <c r="K90" i="9"/>
  <c r="R9" i="11"/>
  <c r="T18" i="11"/>
  <c r="F144" i="11"/>
  <c r="K288" i="9"/>
  <c r="F84" i="11"/>
  <c r="K130" i="9"/>
  <c r="F49" i="11"/>
  <c r="K59" i="9"/>
  <c r="T15" i="11"/>
  <c r="R15" i="11"/>
  <c r="F125" i="11"/>
  <c r="K250" i="9"/>
  <c r="W20" i="11"/>
  <c r="F143" i="11"/>
  <c r="K286" i="9"/>
  <c r="T9" i="11"/>
  <c r="F92" i="11"/>
  <c r="K146" i="9"/>
  <c r="F93" i="11"/>
  <c r="K148" i="9"/>
  <c r="W4" i="9"/>
  <c r="X4" i="9" s="1"/>
  <c r="W6" i="9"/>
  <c r="X6" i="9" s="1"/>
  <c r="J6" i="9" s="1"/>
  <c r="W5" i="9"/>
  <c r="X5" i="9" s="1"/>
  <c r="F116" i="11"/>
  <c r="K231" i="9"/>
  <c r="R14" i="11"/>
  <c r="T14" i="11"/>
  <c r="R7" i="11"/>
  <c r="AA246" i="9"/>
  <c r="AB246" i="9" s="1"/>
  <c r="U248" i="9" s="1"/>
  <c r="F103" i="11"/>
  <c r="K188" i="9"/>
  <c r="F106" i="11"/>
  <c r="K200" i="9"/>
  <c r="F102" i="11"/>
  <c r="K184" i="9"/>
  <c r="F96" i="11"/>
  <c r="K160" i="9"/>
  <c r="F107" i="11"/>
  <c r="K204" i="9"/>
  <c r="P99" i="6" l="1"/>
  <c r="B18" i="2" s="1"/>
  <c r="D18" i="2" s="1"/>
  <c r="B17" i="4"/>
  <c r="Y308" i="9"/>
  <c r="Z308" i="9" s="1"/>
  <c r="Y309" i="9"/>
  <c r="Z309" i="9" s="1"/>
  <c r="AA309" i="9" s="1"/>
  <c r="AB309" i="9" s="1"/>
  <c r="U311" i="9"/>
  <c r="H10" i="4"/>
  <c r="O22" i="15"/>
  <c r="Y46" i="9"/>
  <c r="Z46" i="9" s="1"/>
  <c r="AA46" i="9" s="1"/>
  <c r="AB46" i="9" s="1"/>
  <c r="D93" i="6" s="1"/>
  <c r="Y134" i="9"/>
  <c r="Z134" i="9" s="1"/>
  <c r="Z25" i="9"/>
  <c r="AA25" i="9" s="1"/>
  <c r="AB25" i="9" s="1"/>
  <c r="U27" i="9" s="1"/>
  <c r="A7" i="8"/>
  <c r="C24" i="7"/>
  <c r="Z135" i="9"/>
  <c r="AA135" i="9" s="1"/>
  <c r="AB135" i="9" s="1"/>
  <c r="U158" i="9" s="1"/>
  <c r="Y75" i="9"/>
  <c r="Z75" i="9" s="1"/>
  <c r="A6" i="8"/>
  <c r="Y237" i="9"/>
  <c r="Z237" i="9" s="1"/>
  <c r="B24" i="7"/>
  <c r="Y238" i="9"/>
  <c r="Z238" i="9" s="1"/>
  <c r="AA238" i="9" s="1"/>
  <c r="AB238" i="9" s="1"/>
  <c r="U257" i="9" s="1"/>
  <c r="H13" i="4"/>
  <c r="L26" i="15"/>
  <c r="L24" i="15"/>
  <c r="O20" i="15"/>
  <c r="L22" i="15"/>
  <c r="L21" i="15"/>
  <c r="O24" i="15"/>
  <c r="L23" i="15"/>
  <c r="O18" i="15"/>
  <c r="L19" i="15"/>
  <c r="L20" i="15"/>
  <c r="L18" i="15"/>
  <c r="C15" i="2"/>
  <c r="D15" i="2"/>
  <c r="AA73" i="9"/>
  <c r="AB73" i="9" s="1"/>
  <c r="I106" i="6" s="1"/>
  <c r="AA74" i="9"/>
  <c r="AB74" i="9" s="1"/>
  <c r="U76" i="9" s="1"/>
  <c r="Z76" i="9" s="1"/>
  <c r="Y249" i="9"/>
  <c r="Z249" i="9" s="1"/>
  <c r="Y248" i="9"/>
  <c r="Z248" i="9" s="1"/>
  <c r="M12" i="9"/>
  <c r="N12" i="9" s="1"/>
  <c r="Y284" i="9"/>
  <c r="Y285" i="9"/>
  <c r="Z285" i="9" s="1"/>
  <c r="AA17" i="9"/>
  <c r="AB17" i="9" s="1"/>
  <c r="U19" i="9" s="1"/>
  <c r="AA18" i="9"/>
  <c r="AB18" i="9" s="1"/>
  <c r="U20" i="9" s="1"/>
  <c r="M11" i="9"/>
  <c r="N11" i="9" s="1"/>
  <c r="Y150" i="9"/>
  <c r="Y151" i="9"/>
  <c r="Z151" i="9" s="1"/>
  <c r="AA151" i="9" s="1"/>
  <c r="AB151" i="9" s="1"/>
  <c r="U173" i="9" s="1"/>
  <c r="Y149" i="9"/>
  <c r="Z149" i="9" s="1"/>
  <c r="Y148" i="9"/>
  <c r="Z148" i="9" s="1"/>
  <c r="Y32" i="9"/>
  <c r="Z32" i="9" s="1"/>
  <c r="Y31" i="9"/>
  <c r="Z31" i="9" s="1"/>
  <c r="M14" i="9"/>
  <c r="N14" i="9" s="1"/>
  <c r="M9" i="9"/>
  <c r="N9" i="9" s="1"/>
  <c r="Y52" i="9"/>
  <c r="Z52" i="9" s="1"/>
  <c r="Y51" i="9"/>
  <c r="Z51" i="9" s="1"/>
  <c r="J4" i="9"/>
  <c r="J5" i="9"/>
  <c r="AA139" i="9"/>
  <c r="AB139" i="9" s="1"/>
  <c r="U140" i="9" s="1"/>
  <c r="AA138" i="9"/>
  <c r="AB138" i="9" s="1"/>
  <c r="D108" i="6" s="1"/>
  <c r="M6" i="9"/>
  <c r="N6" i="9" s="1"/>
  <c r="AA128" i="9"/>
  <c r="AB128" i="9" s="1"/>
  <c r="U136" i="9" s="1"/>
  <c r="AA129" i="9"/>
  <c r="AB129" i="9" s="1"/>
  <c r="U163" i="9" s="1"/>
  <c r="Y277" i="9"/>
  <c r="Z277" i="9" s="1"/>
  <c r="Y276" i="9"/>
  <c r="Z276" i="9" s="1"/>
  <c r="Y89" i="9"/>
  <c r="Z89" i="9" s="1"/>
  <c r="Y88" i="9"/>
  <c r="Z88" i="9" s="1"/>
  <c r="C18" i="2" l="1"/>
  <c r="AA308" i="9"/>
  <c r="AB308" i="9" s="1"/>
  <c r="U310" i="9"/>
  <c r="AA45" i="9"/>
  <c r="AB45" i="9" s="1"/>
  <c r="U47" i="9" s="1"/>
  <c r="AA26" i="9"/>
  <c r="AB26" i="9" s="1"/>
  <c r="U28" i="9" s="1"/>
  <c r="Y28" i="9" s="1"/>
  <c r="Z28" i="9" s="1"/>
  <c r="AA134" i="9"/>
  <c r="AB134" i="9" s="1"/>
  <c r="U150" i="9" s="1"/>
  <c r="AA237" i="9"/>
  <c r="AB237" i="9" s="1"/>
  <c r="U254" i="9" s="1"/>
  <c r="AA89" i="9"/>
  <c r="AB89" i="9" s="1"/>
  <c r="U116" i="9" s="1"/>
  <c r="AA88" i="9"/>
  <c r="AB88" i="9" s="1"/>
  <c r="U91" i="9" s="1"/>
  <c r="M5" i="9"/>
  <c r="N5" i="9" s="1"/>
  <c r="M4" i="9"/>
  <c r="AA32" i="9"/>
  <c r="AB32" i="9" s="1"/>
  <c r="U34" i="9" s="1"/>
  <c r="AA31" i="9"/>
  <c r="AB31" i="9" s="1"/>
  <c r="U33" i="9" s="1"/>
  <c r="N43" i="11"/>
  <c r="N36" i="11"/>
  <c r="N47" i="11"/>
  <c r="N31" i="11"/>
  <c r="N40" i="11"/>
  <c r="N33" i="11"/>
  <c r="N42" i="11"/>
  <c r="N35" i="11"/>
  <c r="N44" i="11"/>
  <c r="N28" i="11"/>
  <c r="N37" i="11"/>
  <c r="N48" i="11"/>
  <c r="N46" i="11"/>
  <c r="N45" i="11"/>
  <c r="N27" i="11"/>
  <c r="N34" i="11"/>
  <c r="N39" i="11"/>
  <c r="N38" i="11"/>
  <c r="N32" i="11"/>
  <c r="N30" i="11"/>
  <c r="N41" i="11"/>
  <c r="N29" i="11"/>
  <c r="N26" i="11"/>
  <c r="H60" i="9"/>
  <c r="AA277" i="9"/>
  <c r="AB277" i="9" s="1"/>
  <c r="I91" i="6" s="1"/>
  <c r="AA276" i="9"/>
  <c r="AB276" i="9" s="1"/>
  <c r="G91" i="6" s="1"/>
  <c r="H5" i="4" s="1"/>
  <c r="AA248" i="9"/>
  <c r="AB248" i="9" s="1"/>
  <c r="U251" i="9" s="1"/>
  <c r="AA249" i="9"/>
  <c r="AB249" i="9" s="1"/>
  <c r="U250" i="9" s="1"/>
  <c r="Y137" i="9"/>
  <c r="Z137" i="9" s="1"/>
  <c r="Y136" i="9"/>
  <c r="Z136" i="9" s="1"/>
  <c r="AA51" i="9"/>
  <c r="AB51" i="9" s="1"/>
  <c r="U53" i="9" s="1"/>
  <c r="AA52" i="9"/>
  <c r="AB52" i="9" s="1"/>
  <c r="U54" i="9" s="1"/>
  <c r="AA76" i="9"/>
  <c r="AB76" i="9" s="1"/>
  <c r="D106" i="6" s="1"/>
  <c r="AA75" i="9"/>
  <c r="AB75" i="9" s="1"/>
  <c r="B106" i="6" s="1"/>
  <c r="H20" i="4" s="1"/>
  <c r="R26" i="11"/>
  <c r="H15" i="9"/>
  <c r="Z150" i="9"/>
  <c r="Y20" i="9"/>
  <c r="Z20" i="9" s="1"/>
  <c r="Y19" i="9"/>
  <c r="Z19" i="9" s="1"/>
  <c r="M38" i="11"/>
  <c r="M40" i="11"/>
  <c r="M33" i="11"/>
  <c r="M35" i="11"/>
  <c r="M28" i="11"/>
  <c r="M41" i="11"/>
  <c r="M29" i="11"/>
  <c r="M37" i="11"/>
  <c r="M36" i="11"/>
  <c r="M34" i="11"/>
  <c r="M39" i="11"/>
  <c r="M31" i="11"/>
  <c r="M30" i="11"/>
  <c r="M27" i="11"/>
  <c r="M26" i="11"/>
  <c r="M32" i="11"/>
  <c r="H46" i="9"/>
  <c r="Q70" i="11"/>
  <c r="Q54" i="11"/>
  <c r="Q38" i="11"/>
  <c r="Q79" i="11"/>
  <c r="Q63" i="11"/>
  <c r="Q47" i="11"/>
  <c r="Q31" i="11"/>
  <c r="Q72" i="11"/>
  <c r="Q56" i="11"/>
  <c r="Q81" i="11"/>
  <c r="Q65" i="11"/>
  <c r="Q49" i="11"/>
  <c r="Q74" i="11"/>
  <c r="Q58" i="11"/>
  <c r="Q42" i="11"/>
  <c r="Q67" i="11"/>
  <c r="Q51" i="11"/>
  <c r="Q35" i="11"/>
  <c r="Q76" i="11"/>
  <c r="Q60" i="11"/>
  <c r="Q44" i="11"/>
  <c r="Q69" i="11"/>
  <c r="Q53" i="11"/>
  <c r="Q37" i="11"/>
  <c r="Q78" i="11"/>
  <c r="Q62" i="11"/>
  <c r="Q46" i="11"/>
  <c r="Q30" i="11"/>
  <c r="Q71" i="11"/>
  <c r="Q55" i="11"/>
  <c r="Q39" i="11"/>
  <c r="Q80" i="11"/>
  <c r="Q64" i="11"/>
  <c r="Q48" i="11"/>
  <c r="Q32" i="11"/>
  <c r="Q73" i="11"/>
  <c r="Q82" i="11"/>
  <c r="Q66" i="11"/>
  <c r="Q75" i="11"/>
  <c r="Q59" i="11"/>
  <c r="Q68" i="11"/>
  <c r="Q52" i="11"/>
  <c r="Q77" i="11"/>
  <c r="Q57" i="11"/>
  <c r="Q50" i="11"/>
  <c r="Q27" i="11"/>
  <c r="Q61" i="11"/>
  <c r="Q45" i="11"/>
  <c r="Q34" i="11"/>
  <c r="Q36" i="11"/>
  <c r="Q33" i="11"/>
  <c r="Q41" i="11"/>
  <c r="Q40" i="11"/>
  <c r="Q43" i="11"/>
  <c r="Q29" i="11"/>
  <c r="Q28" i="11"/>
  <c r="Q26" i="11"/>
  <c r="H128" i="9"/>
  <c r="Y254" i="9"/>
  <c r="Z254" i="9" s="1"/>
  <c r="Y255" i="9"/>
  <c r="Z255" i="9" s="1"/>
  <c r="U25" i="11"/>
  <c r="H13" i="9"/>
  <c r="Y257" i="9"/>
  <c r="Z257" i="9" s="1"/>
  <c r="Y256" i="9"/>
  <c r="Z256" i="9" s="1"/>
  <c r="Y48" i="9"/>
  <c r="Y47" i="9"/>
  <c r="Z47" i="9" s="1"/>
  <c r="Y140" i="9"/>
  <c r="Z140" i="9" s="1"/>
  <c r="Y141" i="9"/>
  <c r="Y310" i="9" l="1"/>
  <c r="Z310" i="9" s="1"/>
  <c r="Y311" i="9"/>
  <c r="Z311" i="9" s="1"/>
  <c r="AA311" i="9" s="1"/>
  <c r="AB311" i="9" s="1"/>
  <c r="Y27" i="9"/>
  <c r="Z27" i="9" s="1"/>
  <c r="AA19" i="9"/>
  <c r="AB19" i="9" s="1"/>
  <c r="U21" i="9" s="1"/>
  <c r="AA20" i="9"/>
  <c r="AB20" i="9" s="1"/>
  <c r="U22" i="9" s="1"/>
  <c r="Y54" i="9"/>
  <c r="Z54" i="9" s="1"/>
  <c r="Y53" i="9"/>
  <c r="Z53" i="9" s="1"/>
  <c r="AA136" i="9"/>
  <c r="AB136" i="9" s="1"/>
  <c r="U142" i="9" s="1"/>
  <c r="AA137" i="9"/>
  <c r="AB137" i="9" s="1"/>
  <c r="U141" i="9" s="1"/>
  <c r="Z141" i="9" s="1"/>
  <c r="P129" i="9"/>
  <c r="P128" i="9"/>
  <c r="Q128" i="9" s="1"/>
  <c r="V128" i="9"/>
  <c r="Y34" i="9"/>
  <c r="Z34" i="9" s="1"/>
  <c r="Y33" i="9"/>
  <c r="Z33" i="9" s="1"/>
  <c r="V46" i="9"/>
  <c r="Y251" i="9"/>
  <c r="Z251" i="9" s="1"/>
  <c r="Y250" i="9"/>
  <c r="Z250" i="9" s="1"/>
  <c r="V60" i="9"/>
  <c r="AA257" i="9"/>
  <c r="AB257" i="9" s="1"/>
  <c r="U259" i="9" s="1"/>
  <c r="AA256" i="9"/>
  <c r="AB256" i="9" s="1"/>
  <c r="U258" i="9" s="1"/>
  <c r="AA149" i="9"/>
  <c r="AB149" i="9" s="1"/>
  <c r="U155" i="9" s="1"/>
  <c r="AA148" i="9"/>
  <c r="AB148" i="9" s="1"/>
  <c r="U154" i="9" s="1"/>
  <c r="AA150" i="9"/>
  <c r="AB150" i="9" s="1"/>
  <c r="U172" i="9" s="1"/>
  <c r="N4" i="9"/>
  <c r="V15" i="9"/>
  <c r="P25" i="11"/>
  <c r="H8" i="9"/>
  <c r="V13" i="9"/>
  <c r="X13" i="9" s="1"/>
  <c r="J13" i="9" s="1"/>
  <c r="Q13" i="9"/>
  <c r="P106" i="6"/>
  <c r="B25" i="2" s="1"/>
  <c r="P91" i="6"/>
  <c r="B10" i="2" s="1"/>
  <c r="Z91" i="9"/>
  <c r="AA255" i="9"/>
  <c r="AB255" i="9" s="1"/>
  <c r="F103" i="6" s="1"/>
  <c r="E27" i="8" s="1"/>
  <c r="AA254" i="9"/>
  <c r="AB254" i="9" s="1"/>
  <c r="U291" i="9" s="1"/>
  <c r="Y117" i="9"/>
  <c r="Y116" i="9"/>
  <c r="Z116" i="9" s="1"/>
  <c r="U317" i="9" l="1"/>
  <c r="AA310" i="9"/>
  <c r="AB310" i="9" s="1"/>
  <c r="AA27" i="9"/>
  <c r="AB27" i="9" s="1"/>
  <c r="U58" i="9" s="1"/>
  <c r="AA28" i="9"/>
  <c r="AB28" i="9" s="1"/>
  <c r="U286" i="9" s="1"/>
  <c r="Y259" i="9"/>
  <c r="Z259" i="9" s="1"/>
  <c r="Y258" i="9"/>
  <c r="Z258" i="9" s="1"/>
  <c r="Y291" i="9"/>
  <c r="Z291" i="9" s="1"/>
  <c r="Y290" i="9"/>
  <c r="W128" i="9"/>
  <c r="X128" i="9" s="1"/>
  <c r="W129" i="9"/>
  <c r="Y143" i="9"/>
  <c r="Y142" i="9"/>
  <c r="Z142" i="9" s="1"/>
  <c r="AA34" i="9"/>
  <c r="AB34" i="9" s="1"/>
  <c r="U81" i="9" s="1"/>
  <c r="AA33" i="9"/>
  <c r="AB33" i="9" s="1"/>
  <c r="U57" i="9" s="1"/>
  <c r="AA91" i="9"/>
  <c r="AB91" i="9" s="1"/>
  <c r="U117" i="9" s="1"/>
  <c r="AA90" i="9"/>
  <c r="AB90" i="9" s="1"/>
  <c r="U235" i="9" s="1"/>
  <c r="AA250" i="9"/>
  <c r="AB250" i="9" s="1"/>
  <c r="U252" i="9" s="1"/>
  <c r="AA251" i="9"/>
  <c r="AB251" i="9" s="1"/>
  <c r="U253" i="9" s="1"/>
  <c r="M13" i="9"/>
  <c r="N13" i="9" s="1"/>
  <c r="O25" i="11"/>
  <c r="H10" i="9"/>
  <c r="D25" i="2"/>
  <c r="C25" i="2"/>
  <c r="AA140" i="9"/>
  <c r="AB140" i="9" s="1"/>
  <c r="U144" i="9" s="1"/>
  <c r="AA141" i="9"/>
  <c r="AB141" i="9" s="1"/>
  <c r="U143" i="9" s="1"/>
  <c r="C10" i="2"/>
  <c r="D10" i="2"/>
  <c r="V8" i="9"/>
  <c r="X8" i="9" s="1"/>
  <c r="Q8" i="9"/>
  <c r="AA53" i="9"/>
  <c r="AB53" i="9" s="1"/>
  <c r="U55" i="9" s="1"/>
  <c r="AA54" i="9"/>
  <c r="AB54" i="9" s="1"/>
  <c r="U56" i="9" s="1"/>
  <c r="Y175" i="9"/>
  <c r="Y172" i="9"/>
  <c r="Z172" i="9" s="1"/>
  <c r="Y174" i="9"/>
  <c r="Y173" i="9"/>
  <c r="Z173" i="9" s="1"/>
  <c r="Y22" i="9"/>
  <c r="Z22" i="9" s="1"/>
  <c r="Y21" i="9"/>
  <c r="Z21" i="9" s="1"/>
  <c r="U316" i="9" l="1"/>
  <c r="Y316" i="9" s="1"/>
  <c r="Y287" i="9"/>
  <c r="Y286" i="9"/>
  <c r="Z286" i="9" s="1"/>
  <c r="Y236" i="9"/>
  <c r="Z236" i="9" s="1"/>
  <c r="Y235" i="9"/>
  <c r="Z235" i="9" s="1"/>
  <c r="Y58" i="9"/>
  <c r="Z58" i="9" s="1"/>
  <c r="Y57" i="9"/>
  <c r="Z57" i="9" s="1"/>
  <c r="Y145" i="9"/>
  <c r="Y144" i="9"/>
  <c r="Z144" i="9" s="1"/>
  <c r="Y253" i="9"/>
  <c r="Z253" i="9" s="1"/>
  <c r="Y252" i="9"/>
  <c r="Z252" i="9" s="1"/>
  <c r="J8" i="9"/>
  <c r="U42" i="11"/>
  <c r="U51" i="11"/>
  <c r="U35" i="11"/>
  <c r="U46" i="11"/>
  <c r="U30" i="11"/>
  <c r="U39" i="11"/>
  <c r="U48" i="11"/>
  <c r="U32" i="11"/>
  <c r="U41" i="11"/>
  <c r="U50" i="11"/>
  <c r="U34" i="11"/>
  <c r="U43" i="11"/>
  <c r="U27" i="11"/>
  <c r="U52" i="11"/>
  <c r="U36" i="11"/>
  <c r="U45" i="11"/>
  <c r="U37" i="11"/>
  <c r="U26" i="11"/>
  <c r="U47" i="11"/>
  <c r="U38" i="11"/>
  <c r="U33" i="11"/>
  <c r="U40" i="11"/>
  <c r="U29" i="11"/>
  <c r="U49" i="11"/>
  <c r="U44" i="11"/>
  <c r="U31" i="11"/>
  <c r="U28" i="11"/>
  <c r="H68" i="9"/>
  <c r="Z143" i="9"/>
  <c r="Y56" i="9"/>
  <c r="Z56" i="9" s="1"/>
  <c r="Y55" i="9"/>
  <c r="Z55" i="9" s="1"/>
  <c r="AA22" i="9"/>
  <c r="AB22" i="9" s="1"/>
  <c r="U35" i="9" s="1"/>
  <c r="AA21" i="9"/>
  <c r="AB21" i="9" s="1"/>
  <c r="U36" i="9" s="1"/>
  <c r="AA259" i="9"/>
  <c r="AB259" i="9" s="1"/>
  <c r="U284" i="9" s="1"/>
  <c r="AA258" i="9"/>
  <c r="AB258" i="9" s="1"/>
  <c r="Z117" i="9"/>
  <c r="V10" i="9"/>
  <c r="X10" i="9" s="1"/>
  <c r="J10" i="9" s="1"/>
  <c r="Q10" i="9"/>
  <c r="U321" i="9" l="1"/>
  <c r="Y317" i="9"/>
  <c r="Z317" i="9" s="1"/>
  <c r="AA317" i="9" s="1"/>
  <c r="AB317" i="9" s="1"/>
  <c r="Z316" i="9"/>
  <c r="J7" i="9"/>
  <c r="M8" i="9"/>
  <c r="N8" i="9" s="1"/>
  <c r="AA58" i="9"/>
  <c r="AB58" i="9" s="1"/>
  <c r="U62" i="9" s="1"/>
  <c r="AA57" i="9"/>
  <c r="AB57" i="9" s="1"/>
  <c r="U59" i="9" s="1"/>
  <c r="AA56" i="9"/>
  <c r="AB56" i="9" s="1"/>
  <c r="U104" i="9" s="1"/>
  <c r="AA55" i="9"/>
  <c r="AB55" i="9" s="1"/>
  <c r="D104" i="6" s="1"/>
  <c r="E25" i="8" s="1"/>
  <c r="AA143" i="9"/>
  <c r="AB143" i="9" s="1"/>
  <c r="U145" i="9" s="1"/>
  <c r="AA142" i="9"/>
  <c r="AB142" i="9" s="1"/>
  <c r="U146" i="9" s="1"/>
  <c r="M10" i="9"/>
  <c r="N10" i="9" s="1"/>
  <c r="P68" i="9"/>
  <c r="Q68" i="9" s="1"/>
  <c r="P67" i="9"/>
  <c r="V68" i="9"/>
  <c r="AA253" i="9"/>
  <c r="AB253" i="9" s="1"/>
  <c r="I109" i="6" s="1"/>
  <c r="AA252" i="9"/>
  <c r="AB252" i="9" s="1"/>
  <c r="F109" i="6" s="1"/>
  <c r="AA236" i="9"/>
  <c r="AB236" i="9" s="1"/>
  <c r="K95" i="6" s="1"/>
  <c r="AA235" i="9"/>
  <c r="AB235" i="9" s="1"/>
  <c r="U241" i="9" s="1"/>
  <c r="Y36" i="9"/>
  <c r="Z36" i="9" s="1"/>
  <c r="Y35" i="9"/>
  <c r="Z35" i="9" s="1"/>
  <c r="AA117" i="9"/>
  <c r="AB117" i="9" s="1"/>
  <c r="U221" i="9" s="1"/>
  <c r="AA116" i="9"/>
  <c r="AB116" i="9" s="1"/>
  <c r="U118" i="9" s="1"/>
  <c r="Z284" i="9"/>
  <c r="Y321" i="9" l="1"/>
  <c r="Z321" i="9" s="1"/>
  <c r="Y320" i="9"/>
  <c r="U319" i="9"/>
  <c r="AA316" i="9"/>
  <c r="AB316" i="9" s="1"/>
  <c r="AA284" i="9"/>
  <c r="AB284" i="9" s="1"/>
  <c r="U290" i="9" s="1"/>
  <c r="AA285" i="9"/>
  <c r="AB285" i="9" s="1"/>
  <c r="L103" i="6" s="1"/>
  <c r="W67" i="9"/>
  <c r="W68" i="9"/>
  <c r="X68" i="9" s="1"/>
  <c r="Y118" i="9"/>
  <c r="Z118" i="9" s="1"/>
  <c r="Y119" i="9"/>
  <c r="Z119" i="9" s="1"/>
  <c r="Z221" i="9"/>
  <c r="O29" i="11"/>
  <c r="O33" i="11"/>
  <c r="O28" i="11"/>
  <c r="O30" i="11"/>
  <c r="O27" i="11"/>
  <c r="O32" i="11"/>
  <c r="O26" i="11"/>
  <c r="O31" i="11"/>
  <c r="H29" i="9"/>
  <c r="Y147" i="9"/>
  <c r="Y146" i="9"/>
  <c r="Z146" i="9" s="1"/>
  <c r="Y105" i="9"/>
  <c r="Z105" i="9" s="1"/>
  <c r="Y104" i="9"/>
  <c r="Z104" i="9" s="1"/>
  <c r="Y60" i="9"/>
  <c r="Z60" i="9" s="1"/>
  <c r="Y59" i="9"/>
  <c r="Z59" i="9" s="1"/>
  <c r="Z145" i="9"/>
  <c r="AA36" i="9"/>
  <c r="AB36" i="9" s="1"/>
  <c r="U38" i="9" s="1"/>
  <c r="AA35" i="9"/>
  <c r="AB35" i="9" s="1"/>
  <c r="U37" i="9" s="1"/>
  <c r="Y62" i="9"/>
  <c r="Z62" i="9" s="1"/>
  <c r="Y61" i="9"/>
  <c r="P26" i="11"/>
  <c r="H16" i="9"/>
  <c r="M7" i="9"/>
  <c r="Y319" i="9" l="1"/>
  <c r="Z319" i="9" s="1"/>
  <c r="Y318" i="9"/>
  <c r="G109" i="6"/>
  <c r="H23" i="4" s="1"/>
  <c r="U318" i="9"/>
  <c r="Z318" i="9" s="1"/>
  <c r="AA318" i="9" s="1"/>
  <c r="AB318" i="9" s="1"/>
  <c r="L109" i="6" s="1"/>
  <c r="AA105" i="9"/>
  <c r="AB105" i="9" s="1"/>
  <c r="U107" i="9" s="1"/>
  <c r="AA104" i="9"/>
  <c r="AB104" i="9" s="1"/>
  <c r="U106" i="9" s="1"/>
  <c r="AA220" i="9"/>
  <c r="AB220" i="9" s="1"/>
  <c r="U222" i="9" s="1"/>
  <c r="AA221" i="9"/>
  <c r="AB221" i="9" s="1"/>
  <c r="U223" i="9" s="1"/>
  <c r="AA119" i="9"/>
  <c r="AB119" i="9" s="1"/>
  <c r="C95" i="6" s="1"/>
  <c r="AA118" i="9"/>
  <c r="AB118" i="9" s="1"/>
  <c r="L95" i="6" s="1"/>
  <c r="H9" i="4" s="1"/>
  <c r="N7" i="9"/>
  <c r="AA60" i="9"/>
  <c r="AB60" i="9" s="1"/>
  <c r="U61" i="9" s="1"/>
  <c r="AA59" i="9"/>
  <c r="AB59" i="9" s="1"/>
  <c r="U63" i="9" s="1"/>
  <c r="Y38" i="9"/>
  <c r="Z38" i="9" s="1"/>
  <c r="Y37" i="9"/>
  <c r="Z37" i="9" s="1"/>
  <c r="P15" i="9"/>
  <c r="Q15" i="9" s="1"/>
  <c r="P16" i="9"/>
  <c r="Q16" i="9" s="1"/>
  <c r="V16" i="9"/>
  <c r="AA144" i="9"/>
  <c r="AB144" i="9" s="1"/>
  <c r="U147" i="9" s="1"/>
  <c r="AA145" i="9"/>
  <c r="AB145" i="9" s="1"/>
  <c r="U152" i="9" s="1"/>
  <c r="P29" i="9"/>
  <c r="Q29" i="9" s="1"/>
  <c r="P30" i="9"/>
  <c r="Q30" i="9" s="1"/>
  <c r="V29" i="9"/>
  <c r="Z290" i="9"/>
  <c r="AA319" i="9" l="1"/>
  <c r="AB319" i="9" s="1"/>
  <c r="B109" i="6" s="1"/>
  <c r="P109" i="6" s="1"/>
  <c r="B28" i="2" s="1"/>
  <c r="Y64" i="9"/>
  <c r="Y63" i="9"/>
  <c r="Z63" i="9" s="1"/>
  <c r="Z147" i="9"/>
  <c r="Z61" i="9"/>
  <c r="W16" i="9"/>
  <c r="X16" i="9" s="1"/>
  <c r="W15" i="9"/>
  <c r="X15" i="9" s="1"/>
  <c r="K36" i="11"/>
  <c r="K38" i="11"/>
  <c r="K31" i="11"/>
  <c r="K40" i="11"/>
  <c r="K33" i="11"/>
  <c r="K26" i="11"/>
  <c r="K28" i="11"/>
  <c r="K29" i="11"/>
  <c r="K37" i="11"/>
  <c r="K32" i="11"/>
  <c r="K30" i="11"/>
  <c r="K39" i="11"/>
  <c r="K34" i="11"/>
  <c r="K35" i="11"/>
  <c r="K27" i="11"/>
  <c r="H43" i="9"/>
  <c r="AA290" i="9"/>
  <c r="AB290" i="9" s="1"/>
  <c r="U292" i="9" s="1"/>
  <c r="AA291" i="9"/>
  <c r="AB291" i="9" s="1"/>
  <c r="U293" i="9" s="1"/>
  <c r="Y223" i="9"/>
  <c r="Z223" i="9" s="1"/>
  <c r="Y222" i="9"/>
  <c r="Z222" i="9" s="1"/>
  <c r="Y106" i="9"/>
  <c r="Z106" i="9" s="1"/>
  <c r="Y107" i="9"/>
  <c r="Z107" i="9" s="1"/>
  <c r="AA38" i="9"/>
  <c r="AB38" i="9" s="1"/>
  <c r="U40" i="9" s="1"/>
  <c r="AA37" i="9"/>
  <c r="AB37" i="9" s="1"/>
  <c r="U39" i="9" s="1"/>
  <c r="W30" i="9"/>
  <c r="X30" i="9" s="1"/>
  <c r="W29" i="9"/>
  <c r="X29" i="9" s="1"/>
  <c r="D28" i="2" l="1"/>
  <c r="C28" i="2"/>
  <c r="AA222" i="9"/>
  <c r="AB222" i="9" s="1"/>
  <c r="H95" i="6" s="1"/>
  <c r="AA223" i="9"/>
  <c r="AB223" i="9" s="1"/>
  <c r="U240" i="9" s="1"/>
  <c r="AA61" i="9"/>
  <c r="AB61" i="9" s="1"/>
  <c r="U66" i="9" s="1"/>
  <c r="AA62" i="9"/>
  <c r="AB62" i="9" s="1"/>
  <c r="U64" i="9" s="1"/>
  <c r="AA147" i="9"/>
  <c r="AB147" i="9" s="1"/>
  <c r="U162" i="9" s="1"/>
  <c r="AA146" i="9"/>
  <c r="AB146" i="9" s="1"/>
  <c r="U153" i="9" s="1"/>
  <c r="Y293" i="9"/>
  <c r="Z293" i="9" s="1"/>
  <c r="Y292" i="9"/>
  <c r="Z292" i="9" s="1"/>
  <c r="J30" i="9"/>
  <c r="J29" i="9"/>
  <c r="Y40" i="9"/>
  <c r="Z40" i="9" s="1"/>
  <c r="Y39" i="9"/>
  <c r="Z39" i="9" s="1"/>
  <c r="P44" i="9"/>
  <c r="P43" i="9"/>
  <c r="Q43" i="9" s="1"/>
  <c r="V43" i="9"/>
  <c r="J15" i="9"/>
  <c r="J16" i="9"/>
  <c r="AA106" i="9"/>
  <c r="AB106" i="9" s="1"/>
  <c r="U108" i="9" s="1"/>
  <c r="AA107" i="9"/>
  <c r="AB107" i="9" s="1"/>
  <c r="U109" i="9" s="1"/>
  <c r="Y109" i="9" l="1"/>
  <c r="Z109" i="9" s="1"/>
  <c r="Y108" i="9"/>
  <c r="Z108" i="9" s="1"/>
  <c r="M16" i="9"/>
  <c r="N16" i="9" s="1"/>
  <c r="AA293" i="9"/>
  <c r="AB293" i="9" s="1"/>
  <c r="U295" i="9" s="1"/>
  <c r="AA292" i="9"/>
  <c r="AB292" i="9" s="1"/>
  <c r="U294" i="9" s="1"/>
  <c r="M29" i="9"/>
  <c r="N29" i="9" s="1"/>
  <c r="Z64" i="9"/>
  <c r="M30" i="9"/>
  <c r="N30" i="9" s="1"/>
  <c r="M15" i="9"/>
  <c r="W43" i="9"/>
  <c r="X43" i="9" s="1"/>
  <c r="W44" i="9"/>
  <c r="AA39" i="9"/>
  <c r="AB39" i="9" s="1"/>
  <c r="U41" i="9" s="1"/>
  <c r="AA40" i="9"/>
  <c r="AB40" i="9" s="1"/>
  <c r="U42" i="9" s="1"/>
  <c r="Y152" i="9"/>
  <c r="Z152" i="9" s="1"/>
  <c r="Y154" i="9"/>
  <c r="Z154" i="9" s="1"/>
  <c r="Y153" i="9"/>
  <c r="Z153" i="9" s="1"/>
  <c r="Y155" i="9"/>
  <c r="Z155" i="9" s="1"/>
  <c r="AA155" i="9" s="1"/>
  <c r="AB155" i="9" s="1"/>
  <c r="U168" i="9" s="1"/>
  <c r="Y240" i="9"/>
  <c r="Z240" i="9" s="1"/>
  <c r="Y241" i="9"/>
  <c r="Z241" i="9" s="1"/>
  <c r="T34" i="11" l="1"/>
  <c r="H32" i="9"/>
  <c r="O34" i="11"/>
  <c r="H31" i="9"/>
  <c r="AA152" i="9"/>
  <c r="AB152" i="9" s="1"/>
  <c r="U157" i="9" s="1"/>
  <c r="AA153" i="9"/>
  <c r="AB153" i="9" s="1"/>
  <c r="U156" i="9" s="1"/>
  <c r="AA154" i="9"/>
  <c r="AB154" i="9" s="1"/>
  <c r="U169" i="9" s="1"/>
  <c r="AA63" i="9"/>
  <c r="AB63" i="9" s="1"/>
  <c r="U65" i="9" s="1"/>
  <c r="AA64" i="9"/>
  <c r="AB64" i="9" s="1"/>
  <c r="U92" i="9" s="1"/>
  <c r="Y295" i="9"/>
  <c r="Z295" i="9" s="1"/>
  <c r="Y294" i="9"/>
  <c r="Z294" i="9" s="1"/>
  <c r="Y42" i="9"/>
  <c r="Z42" i="9" s="1"/>
  <c r="Y41" i="9"/>
  <c r="Z41" i="9" s="1"/>
  <c r="AA241" i="9"/>
  <c r="AB241" i="9" s="1"/>
  <c r="U243" i="9" s="1"/>
  <c r="AA240" i="9"/>
  <c r="AB240" i="9" s="1"/>
  <c r="U242" i="9" s="1"/>
  <c r="P27" i="11"/>
  <c r="H18" i="9"/>
  <c r="AA108" i="9"/>
  <c r="AB108" i="9" s="1"/>
  <c r="I104" i="6" s="1"/>
  <c r="AA109" i="9"/>
  <c r="AB109" i="9" s="1"/>
  <c r="U121" i="9" s="1"/>
  <c r="N15" i="9"/>
  <c r="Y120" i="9" l="1"/>
  <c r="Z120" i="9" s="1"/>
  <c r="Y121" i="9"/>
  <c r="Z121" i="9" s="1"/>
  <c r="Y66" i="9"/>
  <c r="Z66" i="9" s="1"/>
  <c r="Y65" i="9"/>
  <c r="Z65" i="9" s="1"/>
  <c r="P18" i="9"/>
  <c r="Q18" i="9" s="1"/>
  <c r="P17" i="9"/>
  <c r="V18" i="9"/>
  <c r="Y157" i="9"/>
  <c r="Z157" i="9" s="1"/>
  <c r="Y159" i="9"/>
  <c r="Z159" i="9" s="1"/>
  <c r="AA159" i="9" s="1"/>
  <c r="AB159" i="9" s="1"/>
  <c r="U179" i="9" s="1"/>
  <c r="Y156" i="9"/>
  <c r="Z156" i="9" s="1"/>
  <c r="Y158" i="9"/>
  <c r="Z158" i="9" s="1"/>
  <c r="Y242" i="9"/>
  <c r="Z242" i="9" s="1"/>
  <c r="Y243" i="9"/>
  <c r="Z243" i="9" s="1"/>
  <c r="Y171" i="9"/>
  <c r="AA42" i="9"/>
  <c r="AB42" i="9" s="1"/>
  <c r="U48" i="9" s="1"/>
  <c r="AA41" i="9"/>
  <c r="AB41" i="9" s="1"/>
  <c r="U261" i="9" s="1"/>
  <c r="Y168" i="9"/>
  <c r="Z168" i="9" s="1"/>
  <c r="Y169" i="9"/>
  <c r="Z169" i="9" s="1"/>
  <c r="P32" i="9"/>
  <c r="Q32" i="9" s="1"/>
  <c r="P31" i="9"/>
  <c r="Q31" i="9" s="1"/>
  <c r="V31" i="9"/>
  <c r="AA295" i="9"/>
  <c r="AB295" i="9" s="1"/>
  <c r="I103" i="6" s="1"/>
  <c r="E30" i="8" s="1"/>
  <c r="AA294" i="9"/>
  <c r="AB294" i="9" s="1"/>
  <c r="R27" i="11"/>
  <c r="H17" i="9"/>
  <c r="Y170" i="9"/>
  <c r="V32" i="9"/>
  <c r="U320" i="9" l="1"/>
  <c r="Q17" i="9"/>
  <c r="AA242" i="9"/>
  <c r="AB242" i="9" s="1"/>
  <c r="J95" i="6" s="1"/>
  <c r="AA243" i="9"/>
  <c r="AB243" i="9" s="1"/>
  <c r="I95" i="6" s="1"/>
  <c r="W31" i="9"/>
  <c r="X31" i="9" s="1"/>
  <c r="W32" i="9"/>
  <c r="X32" i="9" s="1"/>
  <c r="AA158" i="9"/>
  <c r="AB158" i="9" s="1"/>
  <c r="U178" i="9" s="1"/>
  <c r="AA156" i="9"/>
  <c r="AB156" i="9" s="1"/>
  <c r="U160" i="9" s="1"/>
  <c r="AA157" i="9"/>
  <c r="AB157" i="9" s="1"/>
  <c r="U161" i="9" s="1"/>
  <c r="AA66" i="9"/>
  <c r="AB66" i="9" s="1"/>
  <c r="U70" i="9" s="1"/>
  <c r="AA65" i="9"/>
  <c r="AB65" i="9" s="1"/>
  <c r="U82" i="9" s="1"/>
  <c r="W18" i="9"/>
  <c r="X18" i="9" s="1"/>
  <c r="W17" i="9"/>
  <c r="Z48" i="9"/>
  <c r="V17" i="9"/>
  <c r="AA120" i="9"/>
  <c r="AB120" i="9" s="1"/>
  <c r="U271" i="9" s="1"/>
  <c r="AA121" i="9"/>
  <c r="AB121" i="9" s="1"/>
  <c r="U279" i="9" s="1"/>
  <c r="Z320" i="9" l="1"/>
  <c r="P95" i="6"/>
  <c r="B14" i="2" s="1"/>
  <c r="D14" i="2" s="1"/>
  <c r="X17" i="9"/>
  <c r="J17" i="9" s="1"/>
  <c r="Y83" i="9"/>
  <c r="Y82" i="9"/>
  <c r="Z82" i="9" s="1"/>
  <c r="Z70" i="9"/>
  <c r="Y162" i="9"/>
  <c r="Z162" i="9" s="1"/>
  <c r="Y161" i="9"/>
  <c r="Z161" i="9" s="1"/>
  <c r="Y160" i="9"/>
  <c r="Z160" i="9" s="1"/>
  <c r="Y163" i="9"/>
  <c r="Z163" i="9" s="1"/>
  <c r="AA163" i="9" s="1"/>
  <c r="AB163" i="9" s="1"/>
  <c r="U183" i="9" s="1"/>
  <c r="J18" i="9"/>
  <c r="J31" i="9"/>
  <c r="J32" i="9"/>
  <c r="Y279" i="9"/>
  <c r="Z279" i="9" s="1"/>
  <c r="Y278" i="9"/>
  <c r="Z271" i="9"/>
  <c r="AA47" i="9"/>
  <c r="AB47" i="9" s="1"/>
  <c r="U260" i="9" s="1"/>
  <c r="AA48" i="9"/>
  <c r="AB48" i="9" s="1"/>
  <c r="I93" i="6" s="1"/>
  <c r="AA320" i="9" l="1"/>
  <c r="AB320" i="9" s="1"/>
  <c r="G103" i="6" s="1"/>
  <c r="H17" i="4" s="1"/>
  <c r="AA321" i="9"/>
  <c r="AB321" i="9" s="1"/>
  <c r="B103" i="6" s="1"/>
  <c r="P103" i="6" s="1"/>
  <c r="B22" i="2" s="1"/>
  <c r="C14" i="2"/>
  <c r="AA270" i="9"/>
  <c r="AB270" i="9" s="1"/>
  <c r="U272" i="9" s="1"/>
  <c r="AA271" i="9"/>
  <c r="AB271" i="9" s="1"/>
  <c r="U273" i="9" s="1"/>
  <c r="M17" i="9"/>
  <c r="AA160" i="9"/>
  <c r="AB160" i="9" s="1"/>
  <c r="U167" i="9" s="1"/>
  <c r="AA162" i="9"/>
  <c r="AB162" i="9" s="1"/>
  <c r="U182" i="9" s="1"/>
  <c r="AA161" i="9"/>
  <c r="AB161" i="9" s="1"/>
  <c r="U166" i="9" s="1"/>
  <c r="AA69" i="9"/>
  <c r="AB69" i="9" s="1"/>
  <c r="B102" i="6" s="1"/>
  <c r="AA70" i="9"/>
  <c r="AB70" i="9" s="1"/>
  <c r="U80" i="9" s="1"/>
  <c r="M32" i="9"/>
  <c r="N32" i="9" s="1"/>
  <c r="M31" i="9"/>
  <c r="N31" i="9" s="1"/>
  <c r="Y261" i="9"/>
  <c r="Z261" i="9" s="1"/>
  <c r="Y260" i="9"/>
  <c r="Z260" i="9" s="1"/>
  <c r="M18" i="9"/>
  <c r="N18" i="9" s="1"/>
  <c r="C22" i="2" l="1"/>
  <c r="D22" i="2"/>
  <c r="Z166" i="9"/>
  <c r="Y80" i="9"/>
  <c r="Z80" i="9" s="1"/>
  <c r="Y81" i="9"/>
  <c r="Z81" i="9" s="1"/>
  <c r="O35" i="11"/>
  <c r="H33" i="9"/>
  <c r="T35" i="11"/>
  <c r="H34" i="9"/>
  <c r="Z167" i="9"/>
  <c r="AA167" i="9" s="1"/>
  <c r="AB167" i="9" s="1"/>
  <c r="U189" i="9" s="1"/>
  <c r="P28" i="11"/>
  <c r="H20" i="9"/>
  <c r="AA261" i="9"/>
  <c r="AB261" i="9" s="1"/>
  <c r="U263" i="9" s="1"/>
  <c r="AA260" i="9"/>
  <c r="AB260" i="9" s="1"/>
  <c r="U262" i="9" s="1"/>
  <c r="N17" i="9"/>
  <c r="Y273" i="9"/>
  <c r="Z273" i="9" s="1"/>
  <c r="Y272" i="9"/>
  <c r="Z272" i="9" s="1"/>
  <c r="AA273" i="9" l="1"/>
  <c r="AB273" i="9" s="1"/>
  <c r="U275" i="9" s="1"/>
  <c r="AA272" i="9"/>
  <c r="AB272" i="9" s="1"/>
  <c r="U274" i="9" s="1"/>
  <c r="P34" i="9"/>
  <c r="Q34" i="9" s="1"/>
  <c r="P33" i="9"/>
  <c r="Q33" i="9" s="1"/>
  <c r="V33" i="9"/>
  <c r="R28" i="11"/>
  <c r="H19" i="9"/>
  <c r="AA80" i="9"/>
  <c r="AB80" i="9" s="1"/>
  <c r="U83" i="9" s="1"/>
  <c r="AA81" i="9"/>
  <c r="AB81" i="9" s="1"/>
  <c r="U85" i="9" s="1"/>
  <c r="V34" i="9"/>
  <c r="AA164" i="9"/>
  <c r="AB164" i="9" s="1"/>
  <c r="U171" i="9" s="1"/>
  <c r="AA165" i="9"/>
  <c r="AB165" i="9" s="1"/>
  <c r="U170" i="9" s="1"/>
  <c r="AA166" i="9"/>
  <c r="AB166" i="9" s="1"/>
  <c r="U188" i="9" s="1"/>
  <c r="Y262" i="9"/>
  <c r="Z262" i="9" s="1"/>
  <c r="Y263" i="9"/>
  <c r="Z263" i="9" s="1"/>
  <c r="P20" i="9"/>
  <c r="Q20" i="9" s="1"/>
  <c r="P19" i="9"/>
  <c r="Q19" i="9" s="1"/>
  <c r="V20" i="9"/>
  <c r="V19" i="9" l="1"/>
  <c r="W34" i="9"/>
  <c r="X34" i="9" s="1"/>
  <c r="W33" i="9"/>
  <c r="X33" i="9" s="1"/>
  <c r="AA263" i="9"/>
  <c r="AB263" i="9" s="1"/>
  <c r="U265" i="9" s="1"/>
  <c r="AA262" i="9"/>
  <c r="AB262" i="9" s="1"/>
  <c r="U264" i="9" s="1"/>
  <c r="Z83" i="9"/>
  <c r="W20" i="9"/>
  <c r="X20" i="9" s="1"/>
  <c r="W19" i="9"/>
  <c r="X19" i="9" s="1"/>
  <c r="Y189" i="9"/>
  <c r="Z189" i="9" s="1"/>
  <c r="Y191" i="9"/>
  <c r="Y188" i="9"/>
  <c r="Z188" i="9" s="1"/>
  <c r="Y190" i="9"/>
  <c r="Z170" i="9"/>
  <c r="Z171" i="9"/>
  <c r="AA171" i="9" s="1"/>
  <c r="AB171" i="9" s="1"/>
  <c r="U184" i="9" s="1"/>
  <c r="Y275" i="9"/>
  <c r="Z275" i="9" s="1"/>
  <c r="Y274" i="9"/>
  <c r="Z274" i="9" s="1"/>
  <c r="AA83" i="9" l="1"/>
  <c r="AB83" i="9" s="1"/>
  <c r="E102" i="6" s="1"/>
  <c r="AA82" i="9"/>
  <c r="AB82" i="9" s="1"/>
  <c r="U84" i="9" s="1"/>
  <c r="Y265" i="9"/>
  <c r="Z265" i="9" s="1"/>
  <c r="Y264" i="9"/>
  <c r="Z264" i="9" s="1"/>
  <c r="AA170" i="9"/>
  <c r="AB170" i="9" s="1"/>
  <c r="U185" i="9" s="1"/>
  <c r="AA168" i="9"/>
  <c r="AB168" i="9" s="1"/>
  <c r="U174" i="9" s="1"/>
  <c r="AA169" i="9"/>
  <c r="AB169" i="9" s="1"/>
  <c r="U175" i="9" s="1"/>
  <c r="J19" i="9"/>
  <c r="J20" i="9"/>
  <c r="AA274" i="9"/>
  <c r="AB274" i="9" s="1"/>
  <c r="B104" i="6" s="1"/>
  <c r="AA275" i="9"/>
  <c r="AB275" i="9" s="1"/>
  <c r="U278" i="9" s="1"/>
  <c r="J34" i="9"/>
  <c r="J33" i="9"/>
  <c r="Y85" i="9" l="1"/>
  <c r="Z85" i="9" s="1"/>
  <c r="Y84" i="9"/>
  <c r="Z84" i="9" s="1"/>
  <c r="M33" i="9"/>
  <c r="N33" i="9" s="1"/>
  <c r="M34" i="9"/>
  <c r="N34" i="9" s="1"/>
  <c r="AA265" i="9"/>
  <c r="AB265" i="9" s="1"/>
  <c r="U267" i="9" s="1"/>
  <c r="AA264" i="9"/>
  <c r="AB264" i="9" s="1"/>
  <c r="U266" i="9" s="1"/>
  <c r="Y185" i="9"/>
  <c r="Z185" i="9" s="1"/>
  <c r="E23" i="8"/>
  <c r="M20" i="9"/>
  <c r="N20" i="9" s="1"/>
  <c r="Y186" i="9"/>
  <c r="Z278" i="9"/>
  <c r="M19" i="9"/>
  <c r="Y184" i="9"/>
  <c r="Z184" i="9" s="1"/>
  <c r="Z175" i="9"/>
  <c r="AA175" i="9" s="1"/>
  <c r="AB175" i="9" s="1"/>
  <c r="U193" i="9" s="1"/>
  <c r="Z174" i="9"/>
  <c r="Y187" i="9"/>
  <c r="AA172" i="9" l="1"/>
  <c r="AB172" i="9" s="1"/>
  <c r="U176" i="9" s="1"/>
  <c r="AA174" i="9"/>
  <c r="AB174" i="9" s="1"/>
  <c r="U192" i="9" s="1"/>
  <c r="AA173" i="9"/>
  <c r="AB173" i="9" s="1"/>
  <c r="U177" i="9" s="1"/>
  <c r="T49" i="11"/>
  <c r="T58" i="11"/>
  <c r="T42" i="11"/>
  <c r="T51" i="11"/>
  <c r="T53" i="11"/>
  <c r="T37" i="11"/>
  <c r="T46" i="11"/>
  <c r="T55" i="11"/>
  <c r="T39" i="11"/>
  <c r="T48" i="11"/>
  <c r="T57" i="11"/>
  <c r="T41" i="11"/>
  <c r="T50" i="11"/>
  <c r="T43" i="11"/>
  <c r="T54" i="11"/>
  <c r="T47" i="11"/>
  <c r="T44" i="11"/>
  <c r="T45" i="11"/>
  <c r="T36" i="11"/>
  <c r="T52" i="11"/>
  <c r="T38" i="11"/>
  <c r="T56" i="11"/>
  <c r="T40" i="11"/>
  <c r="H81" i="9"/>
  <c r="P29" i="11"/>
  <c r="H22" i="9"/>
  <c r="N19" i="9"/>
  <c r="O40" i="11"/>
  <c r="O37" i="11"/>
  <c r="O39" i="11"/>
  <c r="O36" i="11"/>
  <c r="O38" i="11"/>
  <c r="H44" i="9"/>
  <c r="AA279" i="9"/>
  <c r="AB279" i="9" s="1"/>
  <c r="U281" i="9" s="1"/>
  <c r="AA278" i="9"/>
  <c r="AB278" i="9" s="1"/>
  <c r="U280" i="9" s="1"/>
  <c r="Y267" i="9"/>
  <c r="Z267" i="9" s="1"/>
  <c r="Y266" i="9"/>
  <c r="Z266" i="9" s="1"/>
  <c r="AA85" i="9"/>
  <c r="AB85" i="9" s="1"/>
  <c r="K102" i="6" s="1"/>
  <c r="AA84" i="9"/>
  <c r="AB84" i="9" s="1"/>
  <c r="U93" i="9" s="1"/>
  <c r="Y281" i="9" l="1"/>
  <c r="Z281" i="9" s="1"/>
  <c r="Y280" i="9"/>
  <c r="Z280" i="9" s="1"/>
  <c r="V81" i="9"/>
  <c r="R29" i="11"/>
  <c r="H21" i="9"/>
  <c r="Y93" i="9"/>
  <c r="Z93" i="9" s="1"/>
  <c r="Y92" i="9"/>
  <c r="Z92" i="9" s="1"/>
  <c r="Y192" i="9"/>
  <c r="Z192" i="9" s="1"/>
  <c r="Y194" i="9"/>
  <c r="Y193" i="9"/>
  <c r="Z193" i="9" s="1"/>
  <c r="Y195" i="9"/>
  <c r="Y177" i="9"/>
  <c r="Z177" i="9" s="1"/>
  <c r="Y179" i="9"/>
  <c r="Z179" i="9" s="1"/>
  <c r="AA179" i="9" s="1"/>
  <c r="AB179" i="9" s="1"/>
  <c r="U203" i="9" s="1"/>
  <c r="Y176" i="9"/>
  <c r="Z176" i="9" s="1"/>
  <c r="Y178" i="9"/>
  <c r="Z178" i="9" s="1"/>
  <c r="V22" i="9"/>
  <c r="V44" i="9"/>
  <c r="X44" i="9" s="1"/>
  <c r="Q44" i="9"/>
  <c r="AA266" i="9"/>
  <c r="AB266" i="9" s="1"/>
  <c r="U268" i="9" s="1"/>
  <c r="AA267" i="9"/>
  <c r="AB267" i="9" s="1"/>
  <c r="U269" i="9" s="1"/>
  <c r="AA177" i="9" l="1"/>
  <c r="AB177" i="9" s="1"/>
  <c r="U181" i="9" s="1"/>
  <c r="AA176" i="9"/>
  <c r="AB176" i="9" s="1"/>
  <c r="U180" i="9" s="1"/>
  <c r="AA178" i="9"/>
  <c r="AB178" i="9" s="1"/>
  <c r="U202" i="9" s="1"/>
  <c r="P21" i="9"/>
  <c r="Q21" i="9" s="1"/>
  <c r="P22" i="9"/>
  <c r="Q22" i="9" s="1"/>
  <c r="V21" i="9"/>
  <c r="AA93" i="9"/>
  <c r="AB93" i="9" s="1"/>
  <c r="U94" i="9" s="1"/>
  <c r="AA92" i="9"/>
  <c r="AB92" i="9" s="1"/>
  <c r="I102" i="6" s="1"/>
  <c r="AA280" i="9"/>
  <c r="AB280" i="9" s="1"/>
  <c r="U282" i="9" s="1"/>
  <c r="AA281" i="9"/>
  <c r="AB281" i="9" s="1"/>
  <c r="U283" i="9" s="1"/>
  <c r="Y269" i="9"/>
  <c r="Z269" i="9" s="1"/>
  <c r="Y268" i="9"/>
  <c r="Z268" i="9" s="1"/>
  <c r="J44" i="9"/>
  <c r="M44" i="9" s="1"/>
  <c r="N44" i="9" s="1"/>
  <c r="J43" i="9"/>
  <c r="Y283" i="9" l="1"/>
  <c r="Z283" i="9" s="1"/>
  <c r="Y282" i="9"/>
  <c r="Z282" i="9" s="1"/>
  <c r="Y95" i="9"/>
  <c r="Z95" i="9" s="1"/>
  <c r="Y94" i="9"/>
  <c r="Z94" i="9" s="1"/>
  <c r="W22" i="9"/>
  <c r="X22" i="9" s="1"/>
  <c r="W21" i="9"/>
  <c r="X21" i="9" s="1"/>
  <c r="AA268" i="9"/>
  <c r="AB268" i="9" s="1"/>
  <c r="AA269" i="9"/>
  <c r="AB269" i="9" s="1"/>
  <c r="U296" i="9" s="1"/>
  <c r="M43" i="9"/>
  <c r="N43" i="9" s="1"/>
  <c r="O45" i="11"/>
  <c r="O47" i="11"/>
  <c r="O42" i="11"/>
  <c r="O44" i="11"/>
  <c r="O46" i="11"/>
  <c r="O41" i="11"/>
  <c r="O43" i="11"/>
  <c r="H57" i="9"/>
  <c r="Y180" i="9"/>
  <c r="Z180" i="9" s="1"/>
  <c r="Y182" i="9"/>
  <c r="Z182" i="9" s="1"/>
  <c r="Y181" i="9"/>
  <c r="Z181" i="9" s="1"/>
  <c r="Y183" i="9"/>
  <c r="Z183" i="9" s="1"/>
  <c r="AA183" i="9" s="1"/>
  <c r="AB183" i="9" s="1"/>
  <c r="U204" i="9" s="1"/>
  <c r="U303" i="9" l="1"/>
  <c r="Y297" i="9"/>
  <c r="Z297" i="9" s="1"/>
  <c r="Y296" i="9"/>
  <c r="Z296" i="9" s="1"/>
  <c r="K41" i="11"/>
  <c r="H45" i="9"/>
  <c r="AA180" i="9"/>
  <c r="AB180" i="9" s="1"/>
  <c r="U186" i="9" s="1"/>
  <c r="AA182" i="9"/>
  <c r="AB182" i="9" s="1"/>
  <c r="K108" i="6" s="1"/>
  <c r="AA181" i="9"/>
  <c r="AB181" i="9" s="1"/>
  <c r="U187" i="9" s="1"/>
  <c r="J22" i="9"/>
  <c r="M22" i="9" s="1"/>
  <c r="N22" i="9" s="1"/>
  <c r="J21" i="9"/>
  <c r="P57" i="9"/>
  <c r="Q57" i="9" s="1"/>
  <c r="P58" i="9"/>
  <c r="V57" i="9"/>
  <c r="AA95" i="9"/>
  <c r="AB95" i="9" s="1"/>
  <c r="U97" i="9" s="1"/>
  <c r="AA94" i="9"/>
  <c r="AB94" i="9" s="1"/>
  <c r="U96" i="9" s="1"/>
  <c r="AA282" i="9"/>
  <c r="AB282" i="9" s="1"/>
  <c r="G104" i="6" s="1"/>
  <c r="AA283" i="9"/>
  <c r="AB283" i="9" s="1"/>
  <c r="L104" i="6" s="1"/>
  <c r="Y96" i="9" l="1"/>
  <c r="Z96" i="9" s="1"/>
  <c r="Y97" i="9"/>
  <c r="Z97" i="9" s="1"/>
  <c r="Z186" i="9"/>
  <c r="P45" i="9"/>
  <c r="Q45" i="9" s="1"/>
  <c r="P46" i="9"/>
  <c r="Q46" i="9" s="1"/>
  <c r="V45" i="9"/>
  <c r="Z187" i="9"/>
  <c r="AA187" i="9" s="1"/>
  <c r="AB187" i="9" s="1"/>
  <c r="U197" i="9" s="1"/>
  <c r="H18" i="4"/>
  <c r="E33" i="8"/>
  <c r="W58" i="9"/>
  <c r="W57" i="9"/>
  <c r="X57" i="9" s="1"/>
  <c r="AA296" i="9"/>
  <c r="AB296" i="9" s="1"/>
  <c r="U298" i="9" s="1"/>
  <c r="AA297" i="9"/>
  <c r="AB297" i="9" s="1"/>
  <c r="U299" i="9" s="1"/>
  <c r="E28" i="8"/>
  <c r="P104" i="6"/>
  <c r="B23" i="2" s="1"/>
  <c r="M21" i="9"/>
  <c r="N21" i="9" s="1"/>
  <c r="P30" i="11"/>
  <c r="H24" i="9"/>
  <c r="F27" i="8" l="1"/>
  <c r="P24" i="9"/>
  <c r="Q24" i="9" s="1"/>
  <c r="P23" i="9"/>
  <c r="V24" i="9"/>
  <c r="W46" i="9"/>
  <c r="X46" i="9" s="1"/>
  <c r="W45" i="9"/>
  <c r="X45" i="9" s="1"/>
  <c r="D23" i="2"/>
  <c r="C23" i="2"/>
  <c r="AA186" i="9"/>
  <c r="AB186" i="9" s="1"/>
  <c r="U196" i="9" s="1"/>
  <c r="AA185" i="9"/>
  <c r="AB185" i="9" s="1"/>
  <c r="U191" i="9" s="1"/>
  <c r="AA184" i="9"/>
  <c r="AB184" i="9" s="1"/>
  <c r="U190" i="9" s="1"/>
  <c r="F28" i="8"/>
  <c r="F23" i="8"/>
  <c r="F25" i="8"/>
  <c r="F30" i="8"/>
  <c r="Y299" i="9"/>
  <c r="Z299" i="9" s="1"/>
  <c r="Y298" i="9"/>
  <c r="Z298" i="9" s="1"/>
  <c r="AA97" i="9"/>
  <c r="AB97" i="9" s="1"/>
  <c r="U110" i="9" s="1"/>
  <c r="AA96" i="9"/>
  <c r="AB96" i="9" s="1"/>
  <c r="U98" i="9" s="1"/>
  <c r="R30" i="11"/>
  <c r="H23" i="9"/>
  <c r="F33" i="8"/>
  <c r="Y197" i="9" l="1"/>
  <c r="Z197" i="9" s="1"/>
  <c r="Y199" i="9"/>
  <c r="Y196" i="9"/>
  <c r="Z196" i="9" s="1"/>
  <c r="Y198" i="9"/>
  <c r="Z190" i="9"/>
  <c r="V23" i="9"/>
  <c r="AA298" i="9"/>
  <c r="AB298" i="9" s="1"/>
  <c r="U300" i="9" s="1"/>
  <c r="AA299" i="9"/>
  <c r="AB299" i="9" s="1"/>
  <c r="U301" i="9" s="1"/>
  <c r="Y99" i="9"/>
  <c r="Z99" i="9" s="1"/>
  <c r="Y98" i="9"/>
  <c r="Z98" i="9" s="1"/>
  <c r="Q23" i="9"/>
  <c r="Y111" i="9"/>
  <c r="Y110" i="9"/>
  <c r="Z110" i="9" s="1"/>
  <c r="Z191" i="9"/>
  <c r="AA191" i="9" s="1"/>
  <c r="AB191" i="9" s="1"/>
  <c r="N108" i="6" s="1"/>
  <c r="J46" i="9"/>
  <c r="J45" i="9"/>
  <c r="W23" i="9"/>
  <c r="W24" i="9"/>
  <c r="X24" i="9" s="1"/>
  <c r="X23" i="9" l="1"/>
  <c r="AA99" i="9"/>
  <c r="AB99" i="9" s="1"/>
  <c r="U101" i="9" s="1"/>
  <c r="AA98" i="9"/>
  <c r="AB98" i="9" s="1"/>
  <c r="U100" i="9" s="1"/>
  <c r="M46" i="9"/>
  <c r="N46" i="9" s="1"/>
  <c r="AA190" i="9"/>
  <c r="AB190" i="9" s="1"/>
  <c r="U205" i="9" s="1"/>
  <c r="AA188" i="9"/>
  <c r="AB188" i="9" s="1"/>
  <c r="U195" i="9" s="1"/>
  <c r="AA189" i="9"/>
  <c r="AB189" i="9" s="1"/>
  <c r="U194" i="9" s="1"/>
  <c r="M45" i="9"/>
  <c r="N45" i="9" s="1"/>
  <c r="J24" i="9"/>
  <c r="M24" i="9" s="1"/>
  <c r="N24" i="9" s="1"/>
  <c r="J23" i="9"/>
  <c r="M23" i="9" s="1"/>
  <c r="N23" i="9" s="1"/>
  <c r="Y300" i="9"/>
  <c r="Z300" i="9" s="1"/>
  <c r="Y301" i="9"/>
  <c r="Z301" i="9" s="1"/>
  <c r="R31" i="11" l="1"/>
  <c r="H25" i="9"/>
  <c r="P31" i="11"/>
  <c r="H26" i="9"/>
  <c r="K42" i="11"/>
  <c r="H47" i="9"/>
  <c r="Y204" i="9"/>
  <c r="Z204" i="9" s="1"/>
  <c r="Y206" i="9"/>
  <c r="Y205" i="9"/>
  <c r="Z205" i="9" s="1"/>
  <c r="Y207" i="9"/>
  <c r="M43" i="11"/>
  <c r="M42" i="11"/>
  <c r="H49" i="9"/>
  <c r="Z195" i="9"/>
  <c r="AA195" i="9" s="1"/>
  <c r="AB195" i="9" s="1"/>
  <c r="U211" i="9" s="1"/>
  <c r="Z194" i="9"/>
  <c r="AA300" i="9"/>
  <c r="AB300" i="9" s="1"/>
  <c r="AA301" i="9"/>
  <c r="AB301" i="9" s="1"/>
  <c r="L93" i="6" s="1"/>
  <c r="Y101" i="9"/>
  <c r="Z101" i="9" s="1"/>
  <c r="Y100" i="9"/>
  <c r="Z100" i="9" s="1"/>
  <c r="U302" i="9" l="1"/>
  <c r="P49" i="9"/>
  <c r="Q49" i="9" s="1"/>
  <c r="P50" i="9"/>
  <c r="V49" i="9"/>
  <c r="AA101" i="9"/>
  <c r="AB101" i="9" s="1"/>
  <c r="U103" i="9" s="1"/>
  <c r="AA100" i="9"/>
  <c r="AB100" i="9" s="1"/>
  <c r="U102" i="9" s="1"/>
  <c r="P47" i="9"/>
  <c r="Q47" i="9" s="1"/>
  <c r="P48" i="9"/>
  <c r="V47" i="9"/>
  <c r="P25" i="9"/>
  <c r="Q25" i="9" s="1"/>
  <c r="P26" i="9"/>
  <c r="Q26" i="9" s="1"/>
  <c r="V26" i="9"/>
  <c r="AA192" i="9"/>
  <c r="AB192" i="9" s="1"/>
  <c r="U198" i="9" s="1"/>
  <c r="AA194" i="9"/>
  <c r="AB194" i="9" s="1"/>
  <c r="U210" i="9" s="1"/>
  <c r="AA193" i="9"/>
  <c r="AB193" i="9" s="1"/>
  <c r="U199" i="9" s="1"/>
  <c r="V25" i="9"/>
  <c r="Y302" i="9" l="1"/>
  <c r="Z302" i="9" s="1"/>
  <c r="Y303" i="9"/>
  <c r="Z303" i="9" s="1"/>
  <c r="AA303" i="9" s="1"/>
  <c r="AB303" i="9" s="1"/>
  <c r="U305" i="9" s="1"/>
  <c r="W48" i="9"/>
  <c r="W47" i="9"/>
  <c r="X47" i="9" s="1"/>
  <c r="Z199" i="9"/>
  <c r="AA199" i="9" s="1"/>
  <c r="AB199" i="9" s="1"/>
  <c r="U218" i="9" s="1"/>
  <c r="Z198" i="9"/>
  <c r="Y103" i="9"/>
  <c r="Z103" i="9" s="1"/>
  <c r="Y102" i="9"/>
  <c r="Z102" i="9" s="1"/>
  <c r="W50" i="9"/>
  <c r="W49" i="9"/>
  <c r="X49" i="9" s="1"/>
  <c r="W26" i="9"/>
  <c r="X26" i="9" s="1"/>
  <c r="W25" i="9"/>
  <c r="X25" i="9" s="1"/>
  <c r="AA302" i="9" l="1"/>
  <c r="AB302" i="9" s="1"/>
  <c r="U304" i="9" s="1"/>
  <c r="Y305" i="9" s="1"/>
  <c r="Z305" i="9" s="1"/>
  <c r="Y304" i="9"/>
  <c r="B107" i="6"/>
  <c r="G107" i="6"/>
  <c r="AA103" i="9"/>
  <c r="AB103" i="9" s="1"/>
  <c r="U111" i="9" s="1"/>
  <c r="AA102" i="9"/>
  <c r="AB102" i="9" s="1"/>
  <c r="F102" i="6" s="1"/>
  <c r="J26" i="9"/>
  <c r="M26" i="9" s="1"/>
  <c r="N26" i="9" s="1"/>
  <c r="J25" i="9"/>
  <c r="M25" i="9" s="1"/>
  <c r="N25" i="9" s="1"/>
  <c r="AA198" i="9"/>
  <c r="AB198" i="9" s="1"/>
  <c r="U219" i="9" s="1"/>
  <c r="AA197" i="9"/>
  <c r="AB197" i="9" s="1"/>
  <c r="U201" i="9" s="1"/>
  <c r="AA196" i="9"/>
  <c r="AB196" i="9" s="1"/>
  <c r="U200" i="9" s="1"/>
  <c r="Z304" i="9" l="1"/>
  <c r="AA304" i="9" s="1"/>
  <c r="AB304" i="9" s="1"/>
  <c r="U312" i="9" s="1"/>
  <c r="F107" i="6"/>
  <c r="H21" i="4" s="1"/>
  <c r="Y202" i="9"/>
  <c r="Z202" i="9" s="1"/>
  <c r="Y201" i="9"/>
  <c r="Z201" i="9" s="1"/>
  <c r="Y203" i="9"/>
  <c r="Z203" i="9" s="1"/>
  <c r="AA203" i="9" s="1"/>
  <c r="AB203" i="9" s="1"/>
  <c r="U212" i="9" s="1"/>
  <c r="Y200" i="9"/>
  <c r="Z200" i="9" s="1"/>
  <c r="R32" i="11"/>
  <c r="H27" i="9"/>
  <c r="P32" i="11"/>
  <c r="H28" i="9"/>
  <c r="Z111" i="9"/>
  <c r="AA305" i="9" l="1"/>
  <c r="AB305" i="9" s="1"/>
  <c r="U313" i="9" s="1"/>
  <c r="I107" i="6"/>
  <c r="P107" i="6" s="1"/>
  <c r="B26" i="2" s="1"/>
  <c r="D26" i="2" s="1"/>
  <c r="P27" i="9"/>
  <c r="Q27" i="9" s="1"/>
  <c r="P28" i="9"/>
  <c r="Q28" i="9" s="1"/>
  <c r="V28" i="9"/>
  <c r="V27" i="9"/>
  <c r="AA201" i="9"/>
  <c r="AB201" i="9" s="1"/>
  <c r="U207" i="9" s="1"/>
  <c r="AA200" i="9"/>
  <c r="AB200" i="9" s="1"/>
  <c r="U206" i="9" s="1"/>
  <c r="AA202" i="9"/>
  <c r="AB202" i="9" s="1"/>
  <c r="U213" i="9" s="1"/>
  <c r="Y215" i="9" s="1"/>
  <c r="AA111" i="9"/>
  <c r="AB111" i="9" s="1"/>
  <c r="U113" i="9" s="1"/>
  <c r="AA110" i="9"/>
  <c r="AB110" i="9" s="1"/>
  <c r="U112" i="9" s="1"/>
  <c r="Y312" i="9" l="1"/>
  <c r="Z312" i="9" s="1"/>
  <c r="AA312" i="9" s="1"/>
  <c r="AB312" i="9" s="1"/>
  <c r="Y313" i="9"/>
  <c r="Z313" i="9" s="1"/>
  <c r="AA313" i="9" s="1"/>
  <c r="AB313" i="9" s="1"/>
  <c r="C26" i="2"/>
  <c r="Z207" i="9"/>
  <c r="AA207" i="9" s="1"/>
  <c r="AB207" i="9" s="1"/>
  <c r="I108" i="6" s="1"/>
  <c r="Y212" i="9"/>
  <c r="Z212" i="9" s="1"/>
  <c r="Z206" i="9"/>
  <c r="Y112" i="9"/>
  <c r="Z112" i="9" s="1"/>
  <c r="Y113" i="9"/>
  <c r="Z113" i="9" s="1"/>
  <c r="Y213" i="9"/>
  <c r="Z213" i="9" s="1"/>
  <c r="W27" i="9"/>
  <c r="X27" i="9" s="1"/>
  <c r="W28" i="9"/>
  <c r="X28" i="9" s="1"/>
  <c r="Y214" i="9"/>
  <c r="U315" i="9" l="1"/>
  <c r="U314" i="9"/>
  <c r="J27" i="9"/>
  <c r="M27" i="9" s="1"/>
  <c r="N27" i="9" s="1"/>
  <c r="J28" i="9"/>
  <c r="M28" i="9" s="1"/>
  <c r="N28" i="9" s="1"/>
  <c r="AA113" i="9"/>
  <c r="AB113" i="9" s="1"/>
  <c r="U115" i="9" s="1"/>
  <c r="AA112" i="9"/>
  <c r="AB112" i="9" s="1"/>
  <c r="U114" i="9" s="1"/>
  <c r="AA206" i="9"/>
  <c r="AB206" i="9" s="1"/>
  <c r="J108" i="6" s="1"/>
  <c r="AA205" i="9"/>
  <c r="AB205" i="9" s="1"/>
  <c r="U209" i="9" s="1"/>
  <c r="AA204" i="9"/>
  <c r="AB204" i="9" s="1"/>
  <c r="U208" i="9" s="1"/>
  <c r="Y314" i="9" l="1"/>
  <c r="Z314" i="9" s="1"/>
  <c r="AA314" i="9" s="1"/>
  <c r="AB314" i="9" s="1"/>
  <c r="G93" i="6" s="1"/>
  <c r="Y315" i="9"/>
  <c r="Z315" i="9" s="1"/>
  <c r="AA315" i="9" s="1"/>
  <c r="AB315" i="9" s="1"/>
  <c r="B93" i="6" s="1"/>
  <c r="Y208" i="9"/>
  <c r="Z208" i="9" s="1"/>
  <c r="Y210" i="9"/>
  <c r="Z210" i="9" s="1"/>
  <c r="Y209" i="9"/>
  <c r="Z209" i="9" s="1"/>
  <c r="Y211" i="9"/>
  <c r="Z211" i="9" s="1"/>
  <c r="AA211" i="9" s="1"/>
  <c r="AB211" i="9" s="1"/>
  <c r="L108" i="6" s="1"/>
  <c r="P33" i="11"/>
  <c r="P35" i="11"/>
  <c r="P34" i="11"/>
  <c r="P36" i="11"/>
  <c r="H35" i="9"/>
  <c r="Y115" i="9"/>
  <c r="Z115" i="9" s="1"/>
  <c r="Y114" i="9"/>
  <c r="Z114" i="9" s="1"/>
  <c r="R35" i="11"/>
  <c r="R34" i="11"/>
  <c r="R36" i="11"/>
  <c r="R33" i="11"/>
  <c r="H36" i="9"/>
  <c r="H7" i="4" l="1"/>
  <c r="P93" i="6"/>
  <c r="B12" i="2" s="1"/>
  <c r="AA115" i="9"/>
  <c r="AB115" i="9" s="1"/>
  <c r="U227" i="9" s="1"/>
  <c r="AA114" i="9"/>
  <c r="AB114" i="9" s="1"/>
  <c r="J102" i="6" s="1"/>
  <c r="P36" i="9"/>
  <c r="Q36" i="9" s="1"/>
  <c r="P35" i="9"/>
  <c r="Q35" i="9" s="1"/>
  <c r="V35" i="9"/>
  <c r="V36" i="9"/>
  <c r="AA209" i="9"/>
  <c r="AB209" i="9" s="1"/>
  <c r="U215" i="9" s="1"/>
  <c r="AA208" i="9"/>
  <c r="AB208" i="9" s="1"/>
  <c r="U214" i="9" s="1"/>
  <c r="AA210" i="9"/>
  <c r="AB210" i="9" s="1"/>
  <c r="H108" i="6" s="1"/>
  <c r="D12" i="2" l="1"/>
  <c r="C12" i="2"/>
  <c r="Z214" i="9"/>
  <c r="Z215" i="9"/>
  <c r="AA215" i="9" s="1"/>
  <c r="AB215" i="9" s="1"/>
  <c r="C108" i="6" s="1"/>
  <c r="W35" i="9"/>
  <c r="X35" i="9" s="1"/>
  <c r="W36" i="9"/>
  <c r="X36" i="9" s="1"/>
  <c r="Y228" i="9"/>
  <c r="Z228" i="9" s="1"/>
  <c r="Y227" i="9"/>
  <c r="Z227" i="9" s="1"/>
  <c r="AA228" i="9" l="1"/>
  <c r="AB228" i="9" s="1"/>
  <c r="U230" i="9" s="1"/>
  <c r="AA227" i="9"/>
  <c r="AB227" i="9" s="1"/>
  <c r="U229" i="9" s="1"/>
  <c r="J36" i="9"/>
  <c r="M36" i="9" s="1"/>
  <c r="N36" i="9" s="1"/>
  <c r="J35" i="9"/>
  <c r="M35" i="9" s="1"/>
  <c r="N35" i="9" s="1"/>
  <c r="AA213" i="9"/>
  <c r="AB213" i="9" s="1"/>
  <c r="U217" i="9" s="1"/>
  <c r="AA212" i="9"/>
  <c r="AB212" i="9" s="1"/>
  <c r="U216" i="9" s="1"/>
  <c r="AA214" i="9"/>
  <c r="AB214" i="9" s="1"/>
  <c r="B108" i="6" s="1"/>
  <c r="P37" i="11" l="1"/>
  <c r="H37" i="9"/>
  <c r="Y216" i="9"/>
  <c r="Z216" i="9" s="1"/>
  <c r="Y219" i="9"/>
  <c r="Z219" i="9" s="1"/>
  <c r="AA219" i="9" s="1"/>
  <c r="AB219" i="9" s="1"/>
  <c r="F108" i="6" s="1"/>
  <c r="Y218" i="9"/>
  <c r="Z218" i="9" s="1"/>
  <c r="Y217" i="9"/>
  <c r="Z217" i="9" s="1"/>
  <c r="R37" i="11"/>
  <c r="H38" i="9"/>
  <c r="Y230" i="9"/>
  <c r="Z230" i="9" s="1"/>
  <c r="Y229" i="9"/>
  <c r="Z229" i="9" s="1"/>
  <c r="P38" i="9" l="1"/>
  <c r="Q38" i="9" s="1"/>
  <c r="P37" i="9"/>
  <c r="Q37" i="9" s="1"/>
  <c r="V38" i="9"/>
  <c r="AA229" i="9"/>
  <c r="AB229" i="9" s="1"/>
  <c r="U231" i="9" s="1"/>
  <c r="AA230" i="9"/>
  <c r="AB230" i="9" s="1"/>
  <c r="U232" i="9" s="1"/>
  <c r="AA217" i="9"/>
  <c r="AB217" i="9" s="1"/>
  <c r="E108" i="6" s="1"/>
  <c r="AA218" i="9"/>
  <c r="AB218" i="9" s="1"/>
  <c r="G108" i="6" s="1"/>
  <c r="H22" i="4" s="1"/>
  <c r="AA216" i="9"/>
  <c r="AB216" i="9" s="1"/>
  <c r="M108" i="6" s="1"/>
  <c r="V37" i="9"/>
  <c r="P108" i="6" l="1"/>
  <c r="B27" i="2" s="1"/>
  <c r="Y231" i="9"/>
  <c r="Z231" i="9" s="1"/>
  <c r="Y232" i="9"/>
  <c r="Z232" i="9" s="1"/>
  <c r="W38" i="9"/>
  <c r="X38" i="9" s="1"/>
  <c r="W37" i="9"/>
  <c r="X37" i="9" s="1"/>
  <c r="AA231" i="9" l="1"/>
  <c r="AB231" i="9" s="1"/>
  <c r="U234" i="9" s="1"/>
  <c r="AA232" i="9"/>
  <c r="AB232" i="9" s="1"/>
  <c r="H102" i="6" s="1"/>
  <c r="J38" i="9"/>
  <c r="M38" i="9" s="1"/>
  <c r="N38" i="9" s="1"/>
  <c r="J37" i="9"/>
  <c r="M37" i="9" s="1"/>
  <c r="N37" i="9" s="1"/>
  <c r="D27" i="2"/>
  <c r="C27" i="2"/>
  <c r="P38" i="11" l="1"/>
  <c r="H39" i="9"/>
  <c r="R38" i="11"/>
  <c r="H40" i="9"/>
  <c r="Y234" i="9"/>
  <c r="Z234" i="9" s="1"/>
  <c r="Y233" i="9"/>
  <c r="Z233" i="9" s="1"/>
  <c r="AA234" i="9" l="1"/>
  <c r="AB234" i="9" s="1"/>
  <c r="U287" i="9" s="1"/>
  <c r="AA233" i="9"/>
  <c r="AB233" i="9" s="1"/>
  <c r="C102" i="6" s="1"/>
  <c r="P39" i="9"/>
  <c r="Q39" i="9" s="1"/>
  <c r="P40" i="9"/>
  <c r="Q40" i="9" s="1"/>
  <c r="V40" i="9"/>
  <c r="V39" i="9"/>
  <c r="W40" i="9" l="1"/>
  <c r="X40" i="9" s="1"/>
  <c r="W39" i="9"/>
  <c r="X39" i="9" s="1"/>
  <c r="Z287" i="9"/>
  <c r="AA286" i="9" l="1"/>
  <c r="AB286" i="9" s="1"/>
  <c r="U288" i="9" s="1"/>
  <c r="AA287" i="9"/>
  <c r="AB287" i="9" s="1"/>
  <c r="U289" i="9" s="1"/>
  <c r="J39" i="9"/>
  <c r="M39" i="9" s="1"/>
  <c r="N39" i="9" s="1"/>
  <c r="J40" i="9"/>
  <c r="M40" i="9" s="1"/>
  <c r="N40" i="9" s="1"/>
  <c r="R39" i="11" l="1"/>
  <c r="H42" i="9"/>
  <c r="P39" i="11"/>
  <c r="H41" i="9"/>
  <c r="Y288" i="9"/>
  <c r="Z288" i="9" s="1"/>
  <c r="Y289" i="9"/>
  <c r="Z289" i="9" s="1"/>
  <c r="AA288" i="9" l="1"/>
  <c r="AB288" i="9" s="1"/>
  <c r="G102" i="6" s="1"/>
  <c r="AA289" i="9"/>
  <c r="AB289" i="9" s="1"/>
  <c r="L102" i="6" s="1"/>
  <c r="V41" i="9"/>
  <c r="P41" i="9"/>
  <c r="Q41" i="9" s="1"/>
  <c r="P42" i="9"/>
  <c r="Q42" i="9" s="1"/>
  <c r="V42" i="9"/>
  <c r="H16" i="4" l="1"/>
  <c r="B19" i="4" s="1"/>
  <c r="P102" i="6"/>
  <c r="B21" i="2" s="1"/>
  <c r="D21" i="2" s="1"/>
  <c r="W42" i="9"/>
  <c r="X42" i="9" s="1"/>
  <c r="W41" i="9"/>
  <c r="X41" i="9" s="1"/>
  <c r="C21" i="2" l="1"/>
  <c r="J42" i="9"/>
  <c r="M42" i="9" s="1"/>
  <c r="N42" i="9" s="1"/>
  <c r="J41" i="9"/>
  <c r="M41" i="9" s="1"/>
  <c r="N41" i="9" s="1"/>
  <c r="P77" i="11" l="1"/>
  <c r="P61" i="11"/>
  <c r="P45" i="11"/>
  <c r="P70" i="11"/>
  <c r="P54" i="11"/>
  <c r="P63" i="11"/>
  <c r="P72" i="11"/>
  <c r="P56" i="11"/>
  <c r="P65" i="11"/>
  <c r="P49" i="11"/>
  <c r="P74" i="11"/>
  <c r="P58" i="11"/>
  <c r="P42" i="11"/>
  <c r="P67" i="11"/>
  <c r="P51" i="11"/>
  <c r="P76" i="11"/>
  <c r="P60" i="11"/>
  <c r="P44" i="11"/>
  <c r="P69" i="11"/>
  <c r="P53" i="11"/>
  <c r="P78" i="11"/>
  <c r="P62" i="11"/>
  <c r="P46" i="11"/>
  <c r="P71" i="11"/>
  <c r="P55" i="11"/>
  <c r="P73" i="11"/>
  <c r="P66" i="11"/>
  <c r="P50" i="11"/>
  <c r="P75" i="11"/>
  <c r="P59" i="11"/>
  <c r="P68" i="11"/>
  <c r="P43" i="11"/>
  <c r="P57" i="11"/>
  <c r="P64" i="11"/>
  <c r="P52" i="11"/>
  <c r="P47" i="11"/>
  <c r="P48" i="11"/>
  <c r="P41" i="11"/>
  <c r="P40" i="11"/>
  <c r="H120" i="9"/>
  <c r="R40" i="11"/>
  <c r="R41" i="11"/>
  <c r="R42" i="11"/>
  <c r="H48" i="9"/>
  <c r="V48" i="9" l="1"/>
  <c r="X48" i="9" s="1"/>
  <c r="Q48" i="9"/>
  <c r="V120" i="9"/>
  <c r="J47" i="9" l="1"/>
  <c r="J48" i="9"/>
  <c r="M48" i="9" s="1"/>
  <c r="N48" i="9" s="1"/>
  <c r="R43" i="11" l="1"/>
  <c r="H50" i="9"/>
  <c r="M47" i="9"/>
  <c r="N47" i="9" s="1"/>
  <c r="K48" i="11" l="1"/>
  <c r="K52" i="11"/>
  <c r="K45" i="11"/>
  <c r="K47" i="11"/>
  <c r="K49" i="11"/>
  <c r="K44" i="11"/>
  <c r="K43" i="11"/>
  <c r="K50" i="11"/>
  <c r="K51" i="11"/>
  <c r="K46" i="11"/>
  <c r="H67" i="9"/>
  <c r="V50" i="9"/>
  <c r="X50" i="9" s="1"/>
  <c r="Q50" i="9"/>
  <c r="J50" i="9" l="1"/>
  <c r="M50" i="9" s="1"/>
  <c r="N50" i="9" s="1"/>
  <c r="J49" i="9"/>
  <c r="V67" i="9"/>
  <c r="X67" i="9" s="1"/>
  <c r="Q67" i="9"/>
  <c r="M49" i="9" l="1"/>
  <c r="N49" i="9" s="1"/>
  <c r="J67" i="9"/>
  <c r="J68" i="9"/>
  <c r="R44" i="11"/>
  <c r="H52" i="9"/>
  <c r="V52" i="9" l="1"/>
  <c r="M68" i="9"/>
  <c r="N68" i="9" s="1"/>
  <c r="M67" i="9"/>
  <c r="N67" i="9" s="1"/>
  <c r="M44" i="11"/>
  <c r="H51" i="9"/>
  <c r="P52" i="9" l="1"/>
  <c r="Q52" i="9" s="1"/>
  <c r="P51" i="9"/>
  <c r="Q51" i="9" s="1"/>
  <c r="V51" i="9"/>
  <c r="K53" i="11"/>
  <c r="H69" i="9"/>
  <c r="U58" i="11"/>
  <c r="U60" i="11"/>
  <c r="U53" i="11"/>
  <c r="U55" i="11"/>
  <c r="U57" i="11"/>
  <c r="U59" i="11"/>
  <c r="U56" i="11"/>
  <c r="U54" i="11"/>
  <c r="U61" i="11"/>
  <c r="H87" i="9"/>
  <c r="Q87" i="9" l="1"/>
  <c r="V87" i="9"/>
  <c r="X87" i="9" s="1"/>
  <c r="P70" i="9"/>
  <c r="P69" i="9"/>
  <c r="Q69" i="9" s="1"/>
  <c r="V69" i="9"/>
  <c r="W51" i="9"/>
  <c r="X51" i="9" s="1"/>
  <c r="W52" i="9"/>
  <c r="X52" i="9" s="1"/>
  <c r="W70" i="9" l="1"/>
  <c r="W69" i="9"/>
  <c r="X69" i="9" s="1"/>
  <c r="J87" i="9"/>
  <c r="J86" i="9"/>
  <c r="J51" i="9"/>
  <c r="J52" i="9"/>
  <c r="M52" i="9" s="1"/>
  <c r="N52" i="9" s="1"/>
  <c r="R45" i="11" l="1"/>
  <c r="H54" i="9"/>
  <c r="M86" i="9"/>
  <c r="N86" i="9" s="1"/>
  <c r="M51" i="9"/>
  <c r="N51" i="9" s="1"/>
  <c r="M87" i="9"/>
  <c r="N87" i="9" s="1"/>
  <c r="U62" i="11" l="1"/>
  <c r="H89" i="9"/>
  <c r="M45" i="11"/>
  <c r="H53" i="9"/>
  <c r="S62" i="11"/>
  <c r="H88" i="9"/>
  <c r="V54" i="9"/>
  <c r="P88" i="9" l="1"/>
  <c r="Q88" i="9" s="1"/>
  <c r="P89" i="9"/>
  <c r="Q89" i="9" s="1"/>
  <c r="V88" i="9"/>
  <c r="P54" i="9"/>
  <c r="Q54" i="9" s="1"/>
  <c r="P53" i="9"/>
  <c r="Q53" i="9" s="1"/>
  <c r="V53" i="9"/>
  <c r="V89" i="9"/>
  <c r="W53" i="9" l="1"/>
  <c r="X53" i="9" s="1"/>
  <c r="W54" i="9"/>
  <c r="X54" i="9" s="1"/>
  <c r="W89" i="9"/>
  <c r="X89" i="9" s="1"/>
  <c r="W88" i="9"/>
  <c r="X88" i="9" s="1"/>
  <c r="J89" i="9" l="1"/>
  <c r="J88" i="9"/>
  <c r="J53" i="9"/>
  <c r="J54" i="9"/>
  <c r="M54" i="9" s="1"/>
  <c r="N54" i="9" s="1"/>
  <c r="R46" i="11" l="1"/>
  <c r="H56" i="9"/>
  <c r="M88" i="9"/>
  <c r="N88" i="9" s="1"/>
  <c r="M53" i="9"/>
  <c r="N53" i="9" s="1"/>
  <c r="M89" i="9"/>
  <c r="N89" i="9" s="1"/>
  <c r="U67" i="11" l="1"/>
  <c r="U64" i="11"/>
  <c r="U66" i="11"/>
  <c r="U63" i="11"/>
  <c r="U65" i="11"/>
  <c r="H99" i="9"/>
  <c r="M46" i="11"/>
  <c r="H55" i="9"/>
  <c r="S63" i="11"/>
  <c r="H91" i="9"/>
  <c r="V56" i="9"/>
  <c r="V91" i="9" l="1"/>
  <c r="P56" i="9"/>
  <c r="Q56" i="9" s="1"/>
  <c r="P55" i="9"/>
  <c r="Q55" i="9" s="1"/>
  <c r="V55" i="9"/>
  <c r="V99" i="9"/>
  <c r="W56" i="9" l="1"/>
  <c r="X56" i="9" s="1"/>
  <c r="W55" i="9"/>
  <c r="X55" i="9" s="1"/>
  <c r="J56" i="9" l="1"/>
  <c r="M56" i="9" s="1"/>
  <c r="N56" i="9" s="1"/>
  <c r="J55" i="9"/>
  <c r="M55" i="9" s="1"/>
  <c r="N55" i="9" s="1"/>
  <c r="M50" i="11" l="1"/>
  <c r="M52" i="11"/>
  <c r="M54" i="11"/>
  <c r="M47" i="11"/>
  <c r="M49" i="11"/>
  <c r="M51" i="11"/>
  <c r="M55" i="11"/>
  <c r="M48" i="11"/>
  <c r="M53" i="11"/>
  <c r="H74" i="9"/>
  <c r="R47" i="11"/>
  <c r="H58" i="9"/>
  <c r="V58" i="9" l="1"/>
  <c r="X58" i="9" s="1"/>
  <c r="Q58" i="9"/>
  <c r="V74" i="9"/>
  <c r="J58" i="9" l="1"/>
  <c r="M58" i="9" s="1"/>
  <c r="N58" i="9" s="1"/>
  <c r="J57" i="9"/>
  <c r="M57" i="9" s="1"/>
  <c r="N57" i="9" s="1"/>
  <c r="O48" i="11" l="1"/>
  <c r="H59" i="9"/>
  <c r="R48" i="11"/>
  <c r="R49" i="11"/>
  <c r="H62" i="9"/>
  <c r="P62" i="9" l="1"/>
  <c r="Q62" i="9" s="1"/>
  <c r="P61" i="9"/>
  <c r="V62" i="9"/>
  <c r="P59" i="9"/>
  <c r="Q59" i="9" s="1"/>
  <c r="P60" i="9"/>
  <c r="Q60" i="9" s="1"/>
  <c r="V59" i="9"/>
  <c r="W60" i="9" l="1"/>
  <c r="X60" i="9" s="1"/>
  <c r="W59" i="9"/>
  <c r="X59" i="9" s="1"/>
  <c r="W61" i="9"/>
  <c r="W62" i="9"/>
  <c r="X62" i="9" s="1"/>
  <c r="J60" i="9" l="1"/>
  <c r="J59" i="9"/>
  <c r="M59" i="9" s="1"/>
  <c r="N59" i="9" s="1"/>
  <c r="O49" i="11" l="1"/>
  <c r="O50" i="11"/>
  <c r="H63" i="9"/>
  <c r="M60" i="9"/>
  <c r="N60" i="9" s="1"/>
  <c r="N49" i="11" l="1"/>
  <c r="H61" i="9"/>
  <c r="P64" i="9"/>
  <c r="P63" i="9"/>
  <c r="Q63" i="9" s="1"/>
  <c r="V63" i="9"/>
  <c r="W64" i="9" l="1"/>
  <c r="W63" i="9"/>
  <c r="X63" i="9" s="1"/>
  <c r="V61" i="9"/>
  <c r="X61" i="9" s="1"/>
  <c r="Q61" i="9"/>
  <c r="J61" i="9" l="1"/>
  <c r="J62" i="9"/>
  <c r="M62" i="9" s="1"/>
  <c r="N62" i="9" s="1"/>
  <c r="R50" i="11" l="1"/>
  <c r="H64" i="9"/>
  <c r="M61" i="9"/>
  <c r="N61" i="9" s="1"/>
  <c r="N51" i="11" l="1"/>
  <c r="N50" i="11"/>
  <c r="H66" i="9"/>
  <c r="V64" i="9"/>
  <c r="X64" i="9" s="1"/>
  <c r="Q64" i="9"/>
  <c r="J64" i="9" l="1"/>
  <c r="M64" i="9" s="1"/>
  <c r="N64" i="9" s="1"/>
  <c r="J63" i="9"/>
  <c r="M63" i="9" s="1"/>
  <c r="N63" i="9" s="1"/>
  <c r="V66" i="9"/>
  <c r="O51" i="11" l="1"/>
  <c r="H65" i="9"/>
  <c r="R51" i="11"/>
  <c r="R53" i="11"/>
  <c r="R52" i="11"/>
  <c r="R54" i="11"/>
  <c r="H71" i="9"/>
  <c r="P72" i="9" l="1"/>
  <c r="P71" i="9"/>
  <c r="Q71" i="9" s="1"/>
  <c r="V71" i="9"/>
  <c r="P65" i="9"/>
  <c r="Q65" i="9" s="1"/>
  <c r="P66" i="9"/>
  <c r="Q66" i="9" s="1"/>
  <c r="V65" i="9"/>
  <c r="W66" i="9" l="1"/>
  <c r="X66" i="9" s="1"/>
  <c r="W65" i="9"/>
  <c r="X65" i="9" s="1"/>
  <c r="W71" i="9"/>
  <c r="X71" i="9" s="1"/>
  <c r="W72" i="9"/>
  <c r="J66" i="9" l="1"/>
  <c r="J65" i="9"/>
  <c r="M65" i="9" s="1"/>
  <c r="N65" i="9" s="1"/>
  <c r="O52" i="11" l="1"/>
  <c r="O54" i="11"/>
  <c r="O56" i="11"/>
  <c r="O53" i="11"/>
  <c r="O57" i="11"/>
  <c r="O55" i="11"/>
  <c r="H77" i="9"/>
  <c r="M66" i="9"/>
  <c r="N66" i="9" s="1"/>
  <c r="P78" i="9" l="1"/>
  <c r="P77" i="9"/>
  <c r="Q77" i="9" s="1"/>
  <c r="P79" i="9"/>
  <c r="V77" i="9"/>
  <c r="N52" i="11"/>
  <c r="N53" i="11"/>
  <c r="H70" i="9"/>
  <c r="V70" i="9" l="1"/>
  <c r="X70" i="9" s="1"/>
  <c r="Q70" i="9"/>
  <c r="W77" i="9"/>
  <c r="X77" i="9" s="1"/>
  <c r="W79" i="9"/>
  <c r="W78" i="9"/>
  <c r="J70" i="9" l="1"/>
  <c r="J69" i="9"/>
  <c r="M69" i="9" s="1"/>
  <c r="N69" i="9" s="1"/>
  <c r="K54" i="11" l="1"/>
  <c r="H72" i="9"/>
  <c r="M70" i="9"/>
  <c r="N70" i="9" s="1"/>
  <c r="N54" i="11" l="1"/>
  <c r="N56" i="11"/>
  <c r="N58" i="11"/>
  <c r="N57" i="11"/>
  <c r="N55" i="11"/>
  <c r="H80" i="9"/>
  <c r="V72" i="9"/>
  <c r="X72" i="9" s="1"/>
  <c r="Q72" i="9"/>
  <c r="J72" i="9" l="1"/>
  <c r="M72" i="9" s="1"/>
  <c r="N72" i="9" s="1"/>
  <c r="J71" i="9"/>
  <c r="M71" i="9" s="1"/>
  <c r="N71" i="9" s="1"/>
  <c r="P81" i="9"/>
  <c r="Q81" i="9" s="1"/>
  <c r="P80" i="9"/>
  <c r="Q80" i="9" s="1"/>
  <c r="V80" i="9"/>
  <c r="W80" i="9" l="1"/>
  <c r="X80" i="9" s="1"/>
  <c r="W81" i="9"/>
  <c r="X81" i="9" s="1"/>
  <c r="R55" i="11"/>
  <c r="H73" i="9"/>
  <c r="K56" i="11"/>
  <c r="K55" i="11"/>
  <c r="H75" i="9"/>
  <c r="P75" i="9" l="1"/>
  <c r="Q75" i="9" s="1"/>
  <c r="P76" i="9"/>
  <c r="V75" i="9"/>
  <c r="P74" i="9"/>
  <c r="Q74" i="9" s="1"/>
  <c r="P73" i="9"/>
  <c r="Q73" i="9" s="1"/>
  <c r="V73" i="9"/>
  <c r="J81" i="9"/>
  <c r="J80" i="9"/>
  <c r="M80" i="9" s="1"/>
  <c r="N80" i="9" s="1"/>
  <c r="N59" i="11" l="1"/>
  <c r="H83" i="9"/>
  <c r="M81" i="9"/>
  <c r="N81" i="9" s="1"/>
  <c r="W74" i="9"/>
  <c r="X74" i="9" s="1"/>
  <c r="W73" i="9"/>
  <c r="X73" i="9" s="1"/>
  <c r="W76" i="9"/>
  <c r="W75" i="9"/>
  <c r="X75" i="9" s="1"/>
  <c r="J74" i="9" l="1"/>
  <c r="M74" i="9" s="1"/>
  <c r="N74" i="9" s="1"/>
  <c r="J73" i="9"/>
  <c r="M73" i="9" s="1"/>
  <c r="N73" i="9" s="1"/>
  <c r="T60" i="11"/>
  <c r="T59" i="11"/>
  <c r="H85" i="9"/>
  <c r="V83" i="9"/>
  <c r="R56" i="11" l="1"/>
  <c r="R57" i="11"/>
  <c r="H78" i="9"/>
  <c r="V85" i="9"/>
  <c r="M56" i="11"/>
  <c r="H76" i="9"/>
  <c r="V76" i="9" l="1"/>
  <c r="X76" i="9" s="1"/>
  <c r="Q76" i="9"/>
  <c r="V78" i="9"/>
  <c r="X78" i="9" s="1"/>
  <c r="Q78" i="9"/>
  <c r="J76" i="9" l="1"/>
  <c r="M76" i="9" s="1"/>
  <c r="N76" i="9" s="1"/>
  <c r="J75" i="9"/>
  <c r="M75" i="9" s="1"/>
  <c r="N75" i="9" s="1"/>
  <c r="J78" i="9"/>
  <c r="M78" i="9" s="1"/>
  <c r="N78" i="9" s="1"/>
  <c r="K80" i="11" l="1"/>
  <c r="K64" i="11"/>
  <c r="K73" i="11"/>
  <c r="K57" i="11"/>
  <c r="K66" i="11"/>
  <c r="K75" i="11"/>
  <c r="K59" i="11"/>
  <c r="K68" i="11"/>
  <c r="K77" i="11"/>
  <c r="K61" i="11"/>
  <c r="K70" i="11"/>
  <c r="K79" i="11"/>
  <c r="K63" i="11"/>
  <c r="K72" i="11"/>
  <c r="K65" i="11"/>
  <c r="K74" i="11"/>
  <c r="K58" i="11"/>
  <c r="K67" i="11"/>
  <c r="K76" i="11"/>
  <c r="K69" i="11"/>
  <c r="K78" i="11"/>
  <c r="K62" i="11"/>
  <c r="K71" i="11"/>
  <c r="K60" i="11"/>
  <c r="H125" i="9"/>
  <c r="R63" i="11"/>
  <c r="R58" i="11"/>
  <c r="R60" i="11"/>
  <c r="R62" i="11"/>
  <c r="R61" i="11"/>
  <c r="R59" i="11"/>
  <c r="H90" i="9"/>
  <c r="M57" i="11"/>
  <c r="H79" i="9"/>
  <c r="V125" i="9" l="1"/>
  <c r="P90" i="9"/>
  <c r="Q90" i="9" s="1"/>
  <c r="P91" i="9"/>
  <c r="Q91" i="9" s="1"/>
  <c r="V90" i="9"/>
  <c r="V79" i="9"/>
  <c r="X79" i="9" s="1"/>
  <c r="Q79" i="9"/>
  <c r="J79" i="9" l="1"/>
  <c r="M79" i="9" s="1"/>
  <c r="N79" i="9" s="1"/>
  <c r="J77" i="9"/>
  <c r="M77" i="9" s="1"/>
  <c r="N77" i="9" s="1"/>
  <c r="W90" i="9"/>
  <c r="X90" i="9" s="1"/>
  <c r="W91" i="9"/>
  <c r="X91" i="9" s="1"/>
  <c r="J91" i="9" l="1"/>
  <c r="J90" i="9"/>
  <c r="M90" i="9" s="1"/>
  <c r="N90" i="9" s="1"/>
  <c r="O58" i="11"/>
  <c r="O59" i="11"/>
  <c r="H82" i="9"/>
  <c r="M82" i="11"/>
  <c r="M66" i="11"/>
  <c r="M75" i="11"/>
  <c r="M59" i="11"/>
  <c r="M84" i="11"/>
  <c r="M68" i="11"/>
  <c r="M77" i="11"/>
  <c r="M61" i="11"/>
  <c r="M86" i="11"/>
  <c r="M70" i="11"/>
  <c r="M79" i="11"/>
  <c r="M63" i="11"/>
  <c r="M72" i="11"/>
  <c r="M81" i="11"/>
  <c r="M65" i="11"/>
  <c r="M74" i="11"/>
  <c r="M58" i="11"/>
  <c r="M83" i="11"/>
  <c r="M67" i="11"/>
  <c r="M76" i="11"/>
  <c r="M60" i="11"/>
  <c r="M85" i="11"/>
  <c r="M69" i="11"/>
  <c r="M78" i="11"/>
  <c r="M62" i="11"/>
  <c r="M87" i="11"/>
  <c r="M71" i="11"/>
  <c r="M80" i="11"/>
  <c r="M64" i="11"/>
  <c r="M73" i="11"/>
  <c r="H138" i="9"/>
  <c r="P83" i="9" l="1"/>
  <c r="Q83" i="9" s="1"/>
  <c r="P82" i="9"/>
  <c r="Q82" i="9" s="1"/>
  <c r="V82" i="9"/>
  <c r="R64" i="11"/>
  <c r="H92" i="9"/>
  <c r="P138" i="9"/>
  <c r="Q138" i="9" s="1"/>
  <c r="P139" i="9"/>
  <c r="V138" i="9"/>
  <c r="M91" i="9"/>
  <c r="N91" i="9" s="1"/>
  <c r="W139" i="9" l="1"/>
  <c r="W138" i="9"/>
  <c r="X138" i="9" s="1"/>
  <c r="V92" i="9"/>
  <c r="W83" i="9"/>
  <c r="X83" i="9" s="1"/>
  <c r="W82" i="9"/>
  <c r="X82" i="9" s="1"/>
  <c r="S65" i="11"/>
  <c r="S64" i="11"/>
  <c r="H95" i="9"/>
  <c r="V95" i="9" l="1"/>
  <c r="J83" i="9"/>
  <c r="M83" i="9" s="1"/>
  <c r="N83" i="9" s="1"/>
  <c r="J82" i="9"/>
  <c r="M82" i="9" s="1"/>
  <c r="N82" i="9" s="1"/>
  <c r="O60" i="11" l="1"/>
  <c r="H84" i="9"/>
  <c r="N75" i="11"/>
  <c r="N68" i="11"/>
  <c r="N77" i="11"/>
  <c r="N61" i="11"/>
  <c r="N70" i="11"/>
  <c r="N79" i="11"/>
  <c r="N63" i="11"/>
  <c r="N72" i="11"/>
  <c r="N65" i="11"/>
  <c r="N74" i="11"/>
  <c r="N67" i="11"/>
  <c r="N76" i="11"/>
  <c r="N60" i="11"/>
  <c r="N69" i="11"/>
  <c r="N78" i="11"/>
  <c r="N71" i="11"/>
  <c r="N80" i="11"/>
  <c r="N64" i="11"/>
  <c r="N73" i="11"/>
  <c r="N66" i="11"/>
  <c r="N62" i="11"/>
  <c r="H124" i="9"/>
  <c r="P125" i="9" l="1"/>
  <c r="Q125" i="9" s="1"/>
  <c r="P124" i="9"/>
  <c r="Q124" i="9" s="1"/>
  <c r="V124" i="9"/>
  <c r="P84" i="9"/>
  <c r="Q84" i="9" s="1"/>
  <c r="P85" i="9"/>
  <c r="Q85" i="9" s="1"/>
  <c r="V84" i="9"/>
  <c r="W85" i="9" l="1"/>
  <c r="X85" i="9" s="1"/>
  <c r="W84" i="9"/>
  <c r="X84" i="9" s="1"/>
  <c r="W124" i="9"/>
  <c r="X124" i="9" s="1"/>
  <c r="W125" i="9"/>
  <c r="X125" i="9" s="1"/>
  <c r="J125" i="9" l="1"/>
  <c r="M125" i="9" s="1"/>
  <c r="N125" i="9" s="1"/>
  <c r="J124" i="9"/>
  <c r="M124" i="9" s="1"/>
  <c r="N124" i="9" s="1"/>
  <c r="J85" i="9"/>
  <c r="J84" i="9"/>
  <c r="M84" i="9" s="1"/>
  <c r="N84" i="9" s="1"/>
  <c r="M85" i="9" l="1"/>
  <c r="N85" i="9" s="1"/>
  <c r="N84" i="11"/>
  <c r="N81" i="11"/>
  <c r="N83" i="11"/>
  <c r="N85" i="11"/>
  <c r="N82" i="11"/>
  <c r="H135" i="9"/>
  <c r="O61" i="11"/>
  <c r="O63" i="11"/>
  <c r="O62" i="11"/>
  <c r="O64" i="11"/>
  <c r="H93" i="9"/>
  <c r="K82" i="11"/>
  <c r="K81" i="11"/>
  <c r="H129" i="9"/>
  <c r="V129" i="9" l="1"/>
  <c r="X129" i="9" s="1"/>
  <c r="Q129" i="9"/>
  <c r="P93" i="9"/>
  <c r="Q93" i="9" s="1"/>
  <c r="P92" i="9"/>
  <c r="Q92" i="9" s="1"/>
  <c r="V93" i="9"/>
  <c r="V135" i="9"/>
  <c r="T81" i="11"/>
  <c r="T65" i="11"/>
  <c r="T74" i="11"/>
  <c r="T83" i="11"/>
  <c r="T67" i="11"/>
  <c r="T76" i="11"/>
  <c r="T69" i="11"/>
  <c r="T78" i="11"/>
  <c r="T62" i="11"/>
  <c r="T71" i="11"/>
  <c r="T80" i="11"/>
  <c r="T64" i="11"/>
  <c r="T73" i="11"/>
  <c r="T82" i="11"/>
  <c r="T66" i="11"/>
  <c r="T75" i="11"/>
  <c r="T68" i="11"/>
  <c r="T77" i="11"/>
  <c r="T70" i="11"/>
  <c r="T79" i="11"/>
  <c r="T63" i="11"/>
  <c r="T72" i="11"/>
  <c r="T61" i="11"/>
  <c r="H131" i="9"/>
  <c r="W93" i="9" l="1"/>
  <c r="X93" i="9" s="1"/>
  <c r="W92" i="9"/>
  <c r="X92" i="9" s="1"/>
  <c r="J128" i="9"/>
  <c r="J129" i="9"/>
  <c r="M129" i="9" s="1"/>
  <c r="N129" i="9" s="1"/>
  <c r="V131" i="9"/>
  <c r="K93" i="11" l="1"/>
  <c r="K95" i="11"/>
  <c r="K94" i="11"/>
  <c r="K89" i="11"/>
  <c r="K91" i="11"/>
  <c r="K84" i="11"/>
  <c r="K86" i="11"/>
  <c r="K88" i="11"/>
  <c r="K90" i="11"/>
  <c r="K83" i="11"/>
  <c r="K92" i="11"/>
  <c r="K85" i="11"/>
  <c r="K87" i="11"/>
  <c r="H163" i="9"/>
  <c r="M128" i="9"/>
  <c r="N128" i="9" s="1"/>
  <c r="J93" i="9"/>
  <c r="M93" i="9" s="1"/>
  <c r="N93" i="9" s="1"/>
  <c r="J92" i="9"/>
  <c r="M92" i="9" s="1"/>
  <c r="N92" i="9" s="1"/>
  <c r="V163" i="9" l="1"/>
  <c r="Q86" i="11"/>
  <c r="Q83" i="11"/>
  <c r="Q85" i="11"/>
  <c r="Q84" i="11"/>
  <c r="H136" i="9"/>
  <c r="R65" i="11"/>
  <c r="R67" i="11"/>
  <c r="R69" i="11"/>
  <c r="R68" i="11"/>
  <c r="R70" i="11"/>
  <c r="R66" i="11"/>
  <c r="H104" i="9"/>
  <c r="O65" i="11"/>
  <c r="H94" i="9"/>
  <c r="P95" i="9" l="1"/>
  <c r="Q95" i="9" s="1"/>
  <c r="P94" i="9"/>
  <c r="Q94" i="9" s="1"/>
  <c r="V94" i="9"/>
  <c r="P105" i="9"/>
  <c r="P104" i="9"/>
  <c r="Q104" i="9" s="1"/>
  <c r="V104" i="9"/>
  <c r="P136" i="9"/>
  <c r="Q136" i="9" s="1"/>
  <c r="P137" i="9"/>
  <c r="V136" i="9"/>
  <c r="W137" i="9" l="1"/>
  <c r="W136" i="9"/>
  <c r="X136" i="9" s="1"/>
  <c r="W105" i="9"/>
  <c r="W104" i="9"/>
  <c r="X104" i="9" s="1"/>
  <c r="W95" i="9"/>
  <c r="X95" i="9" s="1"/>
  <c r="W94" i="9"/>
  <c r="X94" i="9" s="1"/>
  <c r="J95" i="9" l="1"/>
  <c r="J94" i="9"/>
  <c r="M94" i="9" s="1"/>
  <c r="N94" i="9" s="1"/>
  <c r="O66" i="11" l="1"/>
  <c r="H96" i="9"/>
  <c r="M95" i="9"/>
  <c r="N95" i="9" s="1"/>
  <c r="S66" i="11" l="1"/>
  <c r="H97" i="9"/>
  <c r="V96" i="9"/>
  <c r="P97" i="9" l="1"/>
  <c r="Q97" i="9" s="1"/>
  <c r="P96" i="9"/>
  <c r="Q96" i="9" s="1"/>
  <c r="V97" i="9"/>
  <c r="W97" i="9" l="1"/>
  <c r="X97" i="9" s="1"/>
  <c r="W96" i="9"/>
  <c r="X96" i="9" s="1"/>
  <c r="J97" i="9" l="1"/>
  <c r="J96" i="9"/>
  <c r="M96" i="9" s="1"/>
  <c r="N96" i="9" s="1"/>
  <c r="O67" i="11" l="1"/>
  <c r="H98" i="9"/>
  <c r="M97" i="9"/>
  <c r="N97" i="9" s="1"/>
  <c r="S72" i="11" l="1"/>
  <c r="S67" i="11"/>
  <c r="S69" i="11"/>
  <c r="S71" i="11"/>
  <c r="S73" i="11"/>
  <c r="S68" i="11"/>
  <c r="S70" i="11"/>
  <c r="H110" i="9"/>
  <c r="P99" i="9"/>
  <c r="Q99" i="9" s="1"/>
  <c r="P98" i="9"/>
  <c r="Q98" i="9" s="1"/>
  <c r="V98" i="9"/>
  <c r="W99" i="9" l="1"/>
  <c r="X99" i="9" s="1"/>
  <c r="W98" i="9"/>
  <c r="X98" i="9" s="1"/>
  <c r="P111" i="9"/>
  <c r="P110" i="9"/>
  <c r="Q110" i="9" s="1"/>
  <c r="V110" i="9"/>
  <c r="W111" i="9" l="1"/>
  <c r="W110" i="9"/>
  <c r="X110" i="9" s="1"/>
  <c r="J99" i="9"/>
  <c r="M99" i="9" s="1"/>
  <c r="N99" i="9" s="1"/>
  <c r="J98" i="9"/>
  <c r="M98" i="9" s="1"/>
  <c r="N98" i="9" s="1"/>
  <c r="U68" i="11" l="1"/>
  <c r="H101" i="9"/>
  <c r="O68" i="11"/>
  <c r="H100" i="9"/>
  <c r="P100" i="9" l="1"/>
  <c r="Q100" i="9" s="1"/>
  <c r="P101" i="9"/>
  <c r="Q101" i="9" s="1"/>
  <c r="V100" i="9"/>
  <c r="V101" i="9"/>
  <c r="W101" i="9" l="1"/>
  <c r="X101" i="9" s="1"/>
  <c r="W100" i="9"/>
  <c r="X100" i="9" s="1"/>
  <c r="J101" i="9" l="1"/>
  <c r="M101" i="9" s="1"/>
  <c r="N101" i="9" s="1"/>
  <c r="J100" i="9"/>
  <c r="M100" i="9" s="1"/>
  <c r="N100" i="9" s="1"/>
  <c r="O69" i="11" l="1"/>
  <c r="H102" i="9"/>
  <c r="U69" i="11"/>
  <c r="H103" i="9"/>
  <c r="P102" i="9" l="1"/>
  <c r="Q102" i="9" s="1"/>
  <c r="P103" i="9"/>
  <c r="Q103" i="9" s="1"/>
  <c r="V103" i="9"/>
  <c r="V102" i="9"/>
  <c r="W102" i="9" l="1"/>
  <c r="X102" i="9" s="1"/>
  <c r="W103" i="9"/>
  <c r="X103" i="9" s="1"/>
  <c r="J103" i="9" l="1"/>
  <c r="M103" i="9" s="1"/>
  <c r="N103" i="9" s="1"/>
  <c r="J102" i="9"/>
  <c r="M102" i="9" s="1"/>
  <c r="N102" i="9" s="1"/>
  <c r="O77" i="11" l="1"/>
  <c r="O70" i="11"/>
  <c r="O79" i="11"/>
  <c r="O72" i="11"/>
  <c r="O74" i="11"/>
  <c r="O76" i="11"/>
  <c r="O78" i="11"/>
  <c r="O71" i="11"/>
  <c r="O73" i="11"/>
  <c r="O75" i="11"/>
  <c r="H123" i="9"/>
  <c r="U70" i="11"/>
  <c r="H105" i="9"/>
  <c r="V105" i="9" l="1"/>
  <c r="X105" i="9" s="1"/>
  <c r="Q105" i="9"/>
  <c r="V123" i="9"/>
  <c r="J105" i="9" l="1"/>
  <c r="M105" i="9" s="1"/>
  <c r="N105" i="9" s="1"/>
  <c r="J104" i="9"/>
  <c r="M104" i="9" s="1"/>
  <c r="N104" i="9" s="1"/>
  <c r="R71" i="11" l="1"/>
  <c r="H106" i="9"/>
  <c r="U71" i="11"/>
  <c r="H107" i="9"/>
  <c r="V107" i="9" l="1"/>
  <c r="P107" i="9"/>
  <c r="Q107" i="9" s="1"/>
  <c r="P106" i="9"/>
  <c r="Q106" i="9" s="1"/>
  <c r="V106" i="9"/>
  <c r="W106" i="9" l="1"/>
  <c r="X106" i="9" s="1"/>
  <c r="W107" i="9"/>
  <c r="X107" i="9" s="1"/>
  <c r="J107" i="9" l="1"/>
  <c r="M107" i="9" s="1"/>
  <c r="N107" i="9" s="1"/>
  <c r="J106" i="9"/>
  <c r="M106" i="9" s="1"/>
  <c r="N106" i="9" s="1"/>
  <c r="R72" i="11" l="1"/>
  <c r="H108" i="9"/>
  <c r="U72" i="11"/>
  <c r="H109" i="9"/>
  <c r="P109" i="9" l="1"/>
  <c r="Q109" i="9" s="1"/>
  <c r="P108" i="9"/>
  <c r="Q108" i="9" s="1"/>
  <c r="V109" i="9"/>
  <c r="V108" i="9"/>
  <c r="W109" i="9" l="1"/>
  <c r="X109" i="9" s="1"/>
  <c r="W108" i="9"/>
  <c r="X108" i="9" s="1"/>
  <c r="J109" i="9" l="1"/>
  <c r="M109" i="9" s="1"/>
  <c r="N109" i="9" s="1"/>
  <c r="J108" i="9"/>
  <c r="M108" i="9" s="1"/>
  <c r="N108" i="9" s="1"/>
  <c r="R79" i="11" l="1"/>
  <c r="R81" i="11"/>
  <c r="R74" i="11"/>
  <c r="R76" i="11"/>
  <c r="R78" i="11"/>
  <c r="R80" i="11"/>
  <c r="R73" i="11"/>
  <c r="R75" i="11"/>
  <c r="R77" i="11"/>
  <c r="H127" i="9"/>
  <c r="U73" i="11"/>
  <c r="H111" i="9"/>
  <c r="V111" i="9" l="1"/>
  <c r="X111" i="9" s="1"/>
  <c r="Q111" i="9"/>
  <c r="V127" i="9"/>
  <c r="J111" i="9" l="1"/>
  <c r="M111" i="9" s="1"/>
  <c r="N111" i="9" s="1"/>
  <c r="J110" i="9"/>
  <c r="M110" i="9" s="1"/>
  <c r="N110" i="9" s="1"/>
  <c r="S74" i="11" l="1"/>
  <c r="H112" i="9"/>
  <c r="U74" i="11"/>
  <c r="H113" i="9"/>
  <c r="V113" i="9" l="1"/>
  <c r="P113" i="9"/>
  <c r="Q113" i="9" s="1"/>
  <c r="P112" i="9"/>
  <c r="Q112" i="9" s="1"/>
  <c r="V112"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7" i="9" l="1"/>
  <c r="Q117" i="9" s="1"/>
  <c r="P116" i="9"/>
  <c r="Q116" i="9" s="1"/>
  <c r="V116" i="9"/>
  <c r="V117" i="9"/>
  <c r="W117" i="9" l="1"/>
  <c r="X117" i="9" s="1"/>
  <c r="W116" i="9"/>
  <c r="X116" i="9" s="1"/>
  <c r="J117" i="9" l="1"/>
  <c r="M117" i="9" s="1"/>
  <c r="N117" i="9" s="1"/>
  <c r="J116" i="9"/>
  <c r="M116" i="9" s="1"/>
  <c r="N116" i="9" s="1"/>
  <c r="U77" i="11" l="1"/>
  <c r="H118" i="9"/>
  <c r="S81" i="11"/>
  <c r="S78" i="11"/>
  <c r="S80" i="11"/>
  <c r="S77" i="11"/>
  <c r="S79" i="11"/>
  <c r="H126" i="9"/>
  <c r="P127" i="9" l="1"/>
  <c r="Q127" i="9" s="1"/>
  <c r="P126" i="9"/>
  <c r="Q126" i="9" s="1"/>
  <c r="V126" i="9"/>
  <c r="P119" i="9"/>
  <c r="Q119" i="9" s="1"/>
  <c r="P118" i="9"/>
  <c r="Q118" i="9" s="1"/>
  <c r="V118" i="9"/>
  <c r="W118" i="9" l="1"/>
  <c r="X118" i="9" s="1"/>
  <c r="W119" i="9"/>
  <c r="X119" i="9" s="1"/>
  <c r="W127" i="9"/>
  <c r="X127" i="9" s="1"/>
  <c r="W126" i="9"/>
  <c r="X126" i="9" s="1"/>
  <c r="J126" i="9" l="1"/>
  <c r="M126" i="9" s="1"/>
  <c r="N126" i="9" s="1"/>
  <c r="J127" i="9"/>
  <c r="M127" i="9" s="1"/>
  <c r="N127" i="9" s="1"/>
  <c r="J119" i="9"/>
  <c r="J118" i="9"/>
  <c r="M118" i="9" s="1"/>
  <c r="N118" i="9" s="1"/>
  <c r="U78" i="11" l="1"/>
  <c r="H121" i="9"/>
  <c r="M119" i="9"/>
  <c r="N119" i="9" s="1"/>
  <c r="R88" i="11"/>
  <c r="R90" i="11"/>
  <c r="R83" i="11"/>
  <c r="R92" i="11"/>
  <c r="R85" i="11"/>
  <c r="R87" i="11"/>
  <c r="R89" i="11"/>
  <c r="R82" i="11"/>
  <c r="R91" i="11"/>
  <c r="R84" i="11"/>
  <c r="R86" i="11"/>
  <c r="H151" i="9"/>
  <c r="S83" i="11"/>
  <c r="S85" i="11"/>
  <c r="S82" i="11"/>
  <c r="S84" i="11"/>
  <c r="H134" i="9"/>
  <c r="V151" i="9" l="1"/>
  <c r="P135" i="9"/>
  <c r="Q135" i="9" s="1"/>
  <c r="P134" i="9"/>
  <c r="Q134" i="9" s="1"/>
  <c r="V134" i="9"/>
  <c r="L82" i="11"/>
  <c r="L79" i="11"/>
  <c r="L81" i="11"/>
  <c r="L83" i="11"/>
  <c r="L78" i="11"/>
  <c r="L80" i="11"/>
  <c r="H130" i="9"/>
  <c r="P121" i="9"/>
  <c r="Q121" i="9" s="1"/>
  <c r="P120" i="9"/>
  <c r="Q120" i="9" s="1"/>
  <c r="V121" i="9"/>
  <c r="P131" i="9" l="1"/>
  <c r="Q131" i="9" s="1"/>
  <c r="P130" i="9"/>
  <c r="Q130" i="9" s="1"/>
  <c r="V130" i="9"/>
  <c r="W135" i="9"/>
  <c r="X135" i="9" s="1"/>
  <c r="W134" i="9"/>
  <c r="X134" i="9" s="1"/>
  <c r="W121" i="9"/>
  <c r="X121" i="9" s="1"/>
  <c r="W120" i="9"/>
  <c r="X120" i="9" s="1"/>
  <c r="J121" i="9" l="1"/>
  <c r="M121" i="9" s="1"/>
  <c r="N121" i="9" s="1"/>
  <c r="J120" i="9"/>
  <c r="M120" i="9" s="1"/>
  <c r="N120" i="9" s="1"/>
  <c r="J135" i="9"/>
  <c r="M135" i="9" s="1"/>
  <c r="N135" i="9" s="1"/>
  <c r="J134" i="9"/>
  <c r="M134" i="9" s="1"/>
  <c r="N134" i="9" s="1"/>
  <c r="W131" i="9"/>
  <c r="X131" i="9" s="1"/>
  <c r="W130" i="9"/>
  <c r="X130" i="9" s="1"/>
  <c r="J130" i="9" l="1"/>
  <c r="J131" i="9"/>
  <c r="M131" i="9" s="1"/>
  <c r="N131" i="9" s="1"/>
  <c r="N94" i="11"/>
  <c r="N91" i="11"/>
  <c r="N93" i="11"/>
  <c r="N86" i="11"/>
  <c r="N88" i="11"/>
  <c r="N90" i="11"/>
  <c r="N92" i="11"/>
  <c r="N87" i="11"/>
  <c r="N89" i="11"/>
  <c r="H158" i="9"/>
  <c r="S88" i="11"/>
  <c r="S90" i="11"/>
  <c r="S92" i="11"/>
  <c r="S87" i="11"/>
  <c r="S89" i="11"/>
  <c r="S91" i="11"/>
  <c r="S86" i="11"/>
  <c r="H150" i="9"/>
  <c r="P79" i="11"/>
  <c r="H122" i="9"/>
  <c r="U83" i="11"/>
  <c r="U80" i="11"/>
  <c r="U82" i="11"/>
  <c r="U84" i="11"/>
  <c r="U79" i="11"/>
  <c r="U81" i="11"/>
  <c r="H132" i="9"/>
  <c r="V158" i="9" l="1"/>
  <c r="P123" i="9"/>
  <c r="Q123" i="9" s="1"/>
  <c r="P122" i="9"/>
  <c r="Q122" i="9" s="1"/>
  <c r="V122" i="9"/>
  <c r="V150" i="9"/>
  <c r="T85" i="11"/>
  <c r="T87" i="11"/>
  <c r="T84" i="11"/>
  <c r="T86" i="11"/>
  <c r="H139" i="9"/>
  <c r="P133" i="9"/>
  <c r="P132" i="9"/>
  <c r="Q132" i="9" s="1"/>
  <c r="V132" i="9"/>
  <c r="M130" i="9"/>
  <c r="N130" i="9" s="1"/>
  <c r="W123" i="9" l="1"/>
  <c r="X123" i="9" s="1"/>
  <c r="W122" i="9"/>
  <c r="X122" i="9" s="1"/>
  <c r="V139" i="9"/>
  <c r="X139" i="9" s="1"/>
  <c r="Q139" i="9"/>
  <c r="L96" i="11"/>
  <c r="L89" i="11"/>
  <c r="L94" i="11"/>
  <c r="L91" i="11"/>
  <c r="L84" i="11"/>
  <c r="L95" i="11"/>
  <c r="L93" i="11"/>
  <c r="L86" i="11"/>
  <c r="L88" i="11"/>
  <c r="L90" i="11"/>
  <c r="L92" i="11"/>
  <c r="L85" i="11"/>
  <c r="L87" i="11"/>
  <c r="H164" i="9"/>
  <c r="W133" i="9"/>
  <c r="W132" i="9"/>
  <c r="X132" i="9" s="1"/>
  <c r="J139" i="9" l="1"/>
  <c r="M139" i="9" s="1"/>
  <c r="N139" i="9" s="1"/>
  <c r="J138" i="9"/>
  <c r="M138" i="9" s="1"/>
  <c r="N138" i="9" s="1"/>
  <c r="M160" i="11" s="1"/>
  <c r="P166" i="9"/>
  <c r="P165" i="9"/>
  <c r="Q165" i="9" s="1"/>
  <c r="P164" i="9"/>
  <c r="Q164" i="9" s="1"/>
  <c r="P167" i="9"/>
  <c r="V164" i="9"/>
  <c r="J123" i="9"/>
  <c r="M123" i="9" s="1"/>
  <c r="N123" i="9" s="1"/>
  <c r="J122" i="9"/>
  <c r="M122" i="9" s="1"/>
  <c r="N122" i="9" s="1"/>
  <c r="M158" i="11" l="1"/>
  <c r="M159" i="11"/>
  <c r="M156" i="11"/>
  <c r="M157" i="11"/>
  <c r="M153" i="11"/>
  <c r="M154" i="11"/>
  <c r="M155" i="11"/>
  <c r="M151" i="11"/>
  <c r="M152" i="11"/>
  <c r="O84" i="11"/>
  <c r="O86" i="11"/>
  <c r="O88" i="11"/>
  <c r="O81" i="11"/>
  <c r="O90" i="11"/>
  <c r="O83" i="11"/>
  <c r="O92" i="11"/>
  <c r="O85" i="11"/>
  <c r="O87" i="11"/>
  <c r="O80" i="11"/>
  <c r="O89" i="11"/>
  <c r="O82" i="11"/>
  <c r="O91" i="11"/>
  <c r="H149" i="9"/>
  <c r="P81" i="11"/>
  <c r="P83" i="11"/>
  <c r="P80" i="11"/>
  <c r="P82" i="11"/>
  <c r="P84" i="11"/>
  <c r="H133" i="9"/>
  <c r="W165" i="9"/>
  <c r="X165" i="9" s="1"/>
  <c r="W167" i="9"/>
  <c r="W164" i="9"/>
  <c r="X164" i="9" s="1"/>
  <c r="W166" i="9"/>
  <c r="M150" i="11"/>
  <c r="M145" i="11"/>
  <c r="B4" i="12"/>
  <c r="M144" i="11"/>
  <c r="M146" i="11"/>
  <c r="M148" i="11"/>
  <c r="M143" i="11"/>
  <c r="M127" i="11"/>
  <c r="M111" i="11"/>
  <c r="M95" i="11"/>
  <c r="M136" i="11"/>
  <c r="M120" i="11"/>
  <c r="M129" i="11"/>
  <c r="M113" i="11"/>
  <c r="M97" i="11"/>
  <c r="M138" i="11"/>
  <c r="M122" i="11"/>
  <c r="M106" i="11"/>
  <c r="M131" i="11"/>
  <c r="M115" i="11"/>
  <c r="M99" i="11"/>
  <c r="M147" i="11"/>
  <c r="M140" i="11"/>
  <c r="M124" i="11"/>
  <c r="M108" i="11"/>
  <c r="M133" i="11"/>
  <c r="M117" i="11"/>
  <c r="M101" i="11"/>
  <c r="M142" i="11"/>
  <c r="M126" i="11"/>
  <c r="M110" i="11"/>
  <c r="M135" i="11"/>
  <c r="M119" i="11"/>
  <c r="M103" i="11"/>
  <c r="M128" i="11"/>
  <c r="M112" i="11"/>
  <c r="M96" i="11"/>
  <c r="M137" i="11"/>
  <c r="M121" i="11"/>
  <c r="M105" i="11"/>
  <c r="M130" i="11"/>
  <c r="M139" i="11"/>
  <c r="M132" i="11"/>
  <c r="M116" i="11"/>
  <c r="M141" i="11"/>
  <c r="M125" i="11"/>
  <c r="M109" i="11"/>
  <c r="M149" i="11"/>
  <c r="M134" i="11"/>
  <c r="M98" i="11"/>
  <c r="M94" i="11"/>
  <c r="M91" i="11"/>
  <c r="M107" i="11"/>
  <c r="M104" i="11"/>
  <c r="M93" i="11"/>
  <c r="M114" i="11"/>
  <c r="M88" i="11"/>
  <c r="M102" i="11"/>
  <c r="M118" i="11"/>
  <c r="M90" i="11"/>
  <c r="M92" i="11"/>
  <c r="M100" i="11"/>
  <c r="M123" i="11"/>
  <c r="M89" i="11"/>
  <c r="J9" i="11"/>
  <c r="T88" i="11"/>
  <c r="H140" i="9"/>
  <c r="V149" i="9" l="1"/>
  <c r="F2" i="12"/>
  <c r="B9" i="11"/>
  <c r="F84" i="6"/>
  <c r="S84" i="6" s="1"/>
  <c r="P141" i="9"/>
  <c r="P140" i="9"/>
  <c r="Q140" i="9" s="1"/>
  <c r="V140" i="9"/>
  <c r="V133" i="9"/>
  <c r="X133" i="9" s="1"/>
  <c r="Q133" i="9"/>
  <c r="J132" i="9" l="1"/>
  <c r="M132" i="9" s="1"/>
  <c r="N132" i="9" s="1"/>
  <c r="J133" i="9"/>
  <c r="M133" i="9" s="1"/>
  <c r="N133" i="9" s="1"/>
  <c r="S9" i="11"/>
  <c r="W140" i="9"/>
  <c r="X140" i="9" s="1"/>
  <c r="W141" i="9"/>
  <c r="W9" i="11" l="1"/>
  <c r="P86" i="11"/>
  <c r="P88" i="11"/>
  <c r="P90" i="11"/>
  <c r="P92" i="11"/>
  <c r="P85" i="11"/>
  <c r="P87" i="11"/>
  <c r="P89" i="11"/>
  <c r="P91" i="11"/>
  <c r="H148" i="9"/>
  <c r="U85" i="11"/>
  <c r="U86" i="11"/>
  <c r="H137" i="9"/>
  <c r="V137" i="9" l="1"/>
  <c r="X137" i="9" s="1"/>
  <c r="Q137" i="9"/>
  <c r="P150" i="9"/>
  <c r="Q150" i="9" s="1"/>
  <c r="P151" i="9"/>
  <c r="Q151" i="9" s="1"/>
  <c r="P149" i="9"/>
  <c r="Q149" i="9" s="1"/>
  <c r="P148" i="9"/>
  <c r="Q148" i="9" s="1"/>
  <c r="V148" i="9"/>
  <c r="W149" i="9" l="1"/>
  <c r="X149" i="9" s="1"/>
  <c r="W151" i="9"/>
  <c r="X151" i="9" s="1"/>
  <c r="J151" i="9" s="1"/>
  <c r="M151" i="9" s="1"/>
  <c r="N151" i="9" s="1"/>
  <c r="W150" i="9"/>
  <c r="X150" i="9" s="1"/>
  <c r="W148" i="9"/>
  <c r="X148" i="9" s="1"/>
  <c r="J137" i="9"/>
  <c r="M137" i="9" s="1"/>
  <c r="N137" i="9" s="1"/>
  <c r="J136" i="9"/>
  <c r="M136" i="9" l="1"/>
  <c r="N136" i="9" s="1"/>
  <c r="U87" i="11"/>
  <c r="U88" i="11"/>
  <c r="H141" i="9"/>
  <c r="J148" i="9"/>
  <c r="M148" i="9" s="1"/>
  <c r="N148" i="9" s="1"/>
  <c r="J149" i="9"/>
  <c r="M149" i="9" s="1"/>
  <c r="N149" i="9" s="1"/>
  <c r="J150" i="9"/>
  <c r="M150" i="9" s="1"/>
  <c r="N150" i="9" s="1"/>
  <c r="R94" i="11"/>
  <c r="R96" i="11"/>
  <c r="R98" i="11"/>
  <c r="R93" i="11"/>
  <c r="R95" i="11"/>
  <c r="R97" i="11"/>
  <c r="H173" i="9"/>
  <c r="V173" i="9" l="1"/>
  <c r="S96" i="11"/>
  <c r="S98" i="11"/>
  <c r="S95" i="11"/>
  <c r="S94" i="11"/>
  <c r="S97" i="11"/>
  <c r="S93" i="11"/>
  <c r="H172" i="9"/>
  <c r="O93" i="11"/>
  <c r="H155" i="9"/>
  <c r="P93" i="11"/>
  <c r="H154" i="9"/>
  <c r="V141" i="9"/>
  <c r="X141" i="9" s="1"/>
  <c r="Q141" i="9"/>
  <c r="Q88" i="11"/>
  <c r="Q87" i="11"/>
  <c r="Q89" i="11"/>
  <c r="H142" i="9"/>
  <c r="J141" i="9" l="1"/>
  <c r="M141" i="9" s="1"/>
  <c r="N141" i="9" s="1"/>
  <c r="J140" i="9"/>
  <c r="M140" i="9" s="1"/>
  <c r="N140" i="9" s="1"/>
  <c r="P143" i="9"/>
  <c r="P142" i="9"/>
  <c r="Q142" i="9" s="1"/>
  <c r="V142" i="9"/>
  <c r="V154" i="9"/>
  <c r="V155" i="9"/>
  <c r="P173" i="9"/>
  <c r="Q173" i="9" s="1"/>
  <c r="P175" i="9"/>
  <c r="P172" i="9"/>
  <c r="Q172" i="9" s="1"/>
  <c r="P174" i="9"/>
  <c r="V172" i="9"/>
  <c r="W175" i="9" l="1"/>
  <c r="W172" i="9"/>
  <c r="X172" i="9" s="1"/>
  <c r="W174" i="9"/>
  <c r="W173" i="9"/>
  <c r="X173" i="9" s="1"/>
  <c r="W143" i="9"/>
  <c r="W142" i="9"/>
  <c r="X142" i="9" s="1"/>
  <c r="T90" i="11"/>
  <c r="T89" i="11"/>
  <c r="H144" i="9"/>
  <c r="U89" i="11"/>
  <c r="H143" i="9"/>
  <c r="Q143" i="9" s="1"/>
  <c r="V143" i="9" l="1"/>
  <c r="X143" i="9" s="1"/>
  <c r="P145" i="9"/>
  <c r="P144" i="9"/>
  <c r="Q144" i="9" s="1"/>
  <c r="V144" i="9"/>
  <c r="J143" i="9" l="1"/>
  <c r="M143" i="9" s="1"/>
  <c r="N143" i="9" s="1"/>
  <c r="J142" i="9"/>
  <c r="W144" i="9"/>
  <c r="X144" i="9" s="1"/>
  <c r="W145" i="9"/>
  <c r="M142" i="9" l="1"/>
  <c r="N142" i="9" s="1"/>
  <c r="U90" i="11"/>
  <c r="H145" i="9"/>
  <c r="V145" i="9" l="1"/>
  <c r="X145" i="9" s="1"/>
  <c r="Q145" i="9"/>
  <c r="Q90" i="11"/>
  <c r="Q91" i="11"/>
  <c r="H146" i="9"/>
  <c r="P146" i="9" l="1"/>
  <c r="Q146" i="9" s="1"/>
  <c r="P147" i="9"/>
  <c r="V146" i="9"/>
  <c r="J144" i="9"/>
  <c r="M144" i="9" s="1"/>
  <c r="N144" i="9" s="1"/>
  <c r="J145" i="9"/>
  <c r="M145" i="9" s="1"/>
  <c r="N145" i="9" s="1"/>
  <c r="U92" i="11" l="1"/>
  <c r="U91" i="11"/>
  <c r="U93" i="11"/>
  <c r="H152" i="9"/>
  <c r="W147" i="9"/>
  <c r="W146" i="9"/>
  <c r="X146" i="9" s="1"/>
  <c r="T91" i="11"/>
  <c r="H147" i="9"/>
  <c r="V147" i="9" l="1"/>
  <c r="X147" i="9" s="1"/>
  <c r="Q147" i="9"/>
  <c r="V152" i="9"/>
  <c r="J147" i="9" l="1"/>
  <c r="M147" i="9" s="1"/>
  <c r="N147" i="9" s="1"/>
  <c r="J146" i="9"/>
  <c r="M146" i="9" l="1"/>
  <c r="N146" i="9" s="1"/>
  <c r="T94" i="11"/>
  <c r="T95" i="11"/>
  <c r="T92" i="11"/>
  <c r="T93" i="11"/>
  <c r="H162" i="9"/>
  <c r="V162" i="9" l="1"/>
  <c r="Q93" i="11"/>
  <c r="Q92" i="11"/>
  <c r="H153" i="9"/>
  <c r="V153" i="9" l="1"/>
  <c r="P154" i="9"/>
  <c r="Q154" i="9" s="1"/>
  <c r="P155" i="9"/>
  <c r="Q155" i="9" s="1"/>
  <c r="P153" i="9"/>
  <c r="Q153" i="9" s="1"/>
  <c r="P152" i="9"/>
  <c r="Q152" i="9" s="1"/>
  <c r="W153" i="9" l="1"/>
  <c r="X153" i="9" s="1"/>
  <c r="W155" i="9"/>
  <c r="X155" i="9" s="1"/>
  <c r="J155" i="9" s="1"/>
  <c r="M155" i="9" s="1"/>
  <c r="N155" i="9" s="1"/>
  <c r="W154" i="9"/>
  <c r="X154" i="9" s="1"/>
  <c r="W152" i="9"/>
  <c r="X152" i="9" s="1"/>
  <c r="J153" i="9" l="1"/>
  <c r="M153" i="9" s="1"/>
  <c r="N153" i="9" s="1"/>
  <c r="J152" i="9"/>
  <c r="M152" i="9" s="1"/>
  <c r="N152" i="9" s="1"/>
  <c r="J154" i="9"/>
  <c r="M154" i="9" s="1"/>
  <c r="N154" i="9" s="1"/>
  <c r="O97" i="11"/>
  <c r="O94" i="11"/>
  <c r="O96" i="11"/>
  <c r="O95" i="11"/>
  <c r="H168" i="9"/>
  <c r="V168" i="9" l="1"/>
  <c r="P94" i="11"/>
  <c r="P96" i="11"/>
  <c r="P95" i="11"/>
  <c r="P97" i="11"/>
  <c r="H169" i="9"/>
  <c r="U94" i="11"/>
  <c r="H157" i="9"/>
  <c r="Q94" i="11"/>
  <c r="H156" i="9"/>
  <c r="P159" i="9" l="1"/>
  <c r="Q159" i="9" s="1"/>
  <c r="P156" i="9"/>
  <c r="Q156" i="9" s="1"/>
  <c r="P158" i="9"/>
  <c r="Q158" i="9" s="1"/>
  <c r="P157" i="9"/>
  <c r="Q157" i="9" s="1"/>
  <c r="V156" i="9"/>
  <c r="V157" i="9"/>
  <c r="V169" i="9"/>
  <c r="W170" i="9" s="1"/>
  <c r="P169" i="9"/>
  <c r="Q169" i="9" s="1"/>
  <c r="P170" i="9"/>
  <c r="W171" i="9"/>
  <c r="W168" i="9"/>
  <c r="X168" i="9" s="1"/>
  <c r="P168" i="9"/>
  <c r="Q168" i="9" s="1"/>
  <c r="P171" i="9"/>
  <c r="W169" i="9" l="1"/>
  <c r="X169" i="9" s="1"/>
  <c r="W158" i="9"/>
  <c r="X158" i="9" s="1"/>
  <c r="W157" i="9"/>
  <c r="X157" i="9" s="1"/>
  <c r="W159" i="9"/>
  <c r="X159" i="9" s="1"/>
  <c r="J159" i="9" s="1"/>
  <c r="W156" i="9"/>
  <c r="X156" i="9" s="1"/>
  <c r="M159" i="9" l="1"/>
  <c r="N159" i="9" s="1"/>
  <c r="J158" i="9"/>
  <c r="M158" i="9" s="1"/>
  <c r="N158" i="9" s="1"/>
  <c r="J157" i="9"/>
  <c r="M157" i="9" s="1"/>
  <c r="N157" i="9" s="1"/>
  <c r="J156" i="9"/>
  <c r="M156" i="9" s="1"/>
  <c r="N156" i="9" s="1"/>
  <c r="U95" i="11" l="1"/>
  <c r="H161" i="9"/>
  <c r="Q95" i="11"/>
  <c r="H160" i="9"/>
  <c r="N99" i="11"/>
  <c r="N96" i="11"/>
  <c r="N98" i="11"/>
  <c r="N95" i="11"/>
  <c r="N97" i="11"/>
  <c r="H178" i="9"/>
  <c r="V96" i="11"/>
  <c r="V98" i="11"/>
  <c r="V95" i="11"/>
  <c r="V97" i="11"/>
  <c r="V99" i="11"/>
  <c r="H179" i="9"/>
  <c r="V178" i="9" l="1"/>
  <c r="P161" i="9"/>
  <c r="Q161" i="9" s="1"/>
  <c r="P163" i="9"/>
  <c r="Q163" i="9" s="1"/>
  <c r="P160" i="9"/>
  <c r="Q160" i="9" s="1"/>
  <c r="P162" i="9"/>
  <c r="Q162" i="9" s="1"/>
  <c r="V160" i="9"/>
  <c r="V161" i="9"/>
  <c r="V179" i="9"/>
  <c r="W160" i="9" l="1"/>
  <c r="X160" i="9" s="1"/>
  <c r="W162" i="9"/>
  <c r="X162" i="9" s="1"/>
  <c r="W161" i="9"/>
  <c r="X161" i="9" s="1"/>
  <c r="W163" i="9"/>
  <c r="X163" i="9" s="1"/>
  <c r="J163" i="9" s="1"/>
  <c r="M163" i="9" s="1"/>
  <c r="N163" i="9" s="1"/>
  <c r="K97" i="11" l="1"/>
  <c r="K99" i="11"/>
  <c r="K98" i="11"/>
  <c r="K96" i="11"/>
  <c r="K100" i="11"/>
  <c r="H183" i="9"/>
  <c r="J160" i="9"/>
  <c r="M160" i="9" s="1"/>
  <c r="N160" i="9" s="1"/>
  <c r="J162" i="9"/>
  <c r="M162" i="9" s="1"/>
  <c r="N162" i="9" s="1"/>
  <c r="J161" i="9"/>
  <c r="M161" i="9" s="1"/>
  <c r="N161" i="9" s="1"/>
  <c r="U96" i="11" l="1"/>
  <c r="H166" i="9"/>
  <c r="Q96" i="11"/>
  <c r="H167" i="9"/>
  <c r="T96" i="11"/>
  <c r="T98" i="11"/>
  <c r="T100" i="11"/>
  <c r="T99" i="11"/>
  <c r="T97" i="11"/>
  <c r="H182" i="9"/>
  <c r="V183" i="9"/>
  <c r="V182" i="9" l="1"/>
  <c r="V167" i="9"/>
  <c r="X167" i="9" s="1"/>
  <c r="J167" i="9" s="1"/>
  <c r="M167" i="9" s="1"/>
  <c r="N167" i="9" s="1"/>
  <c r="Q167" i="9"/>
  <c r="V166" i="9"/>
  <c r="X166" i="9" s="1"/>
  <c r="Q166" i="9"/>
  <c r="Q99" i="11" l="1"/>
  <c r="Q101" i="11"/>
  <c r="Q98" i="11"/>
  <c r="Q100" i="11"/>
  <c r="Q97" i="11"/>
  <c r="Q102" i="11"/>
  <c r="H189" i="9"/>
  <c r="J165" i="9"/>
  <c r="J164" i="9"/>
  <c r="J166" i="9"/>
  <c r="M166" i="9" s="1"/>
  <c r="N166" i="9" s="1"/>
  <c r="M165" i="9" l="1"/>
  <c r="N165" i="9" s="1"/>
  <c r="U98" i="11"/>
  <c r="U100" i="11"/>
  <c r="U102" i="11"/>
  <c r="U97" i="11"/>
  <c r="U101" i="11"/>
  <c r="U99" i="11"/>
  <c r="H188" i="9"/>
  <c r="M164" i="9"/>
  <c r="N164" i="9" s="1"/>
  <c r="V189" i="9"/>
  <c r="L97" i="11" l="1"/>
  <c r="H171" i="9"/>
  <c r="P191" i="9"/>
  <c r="P188" i="9"/>
  <c r="Q188" i="9" s="1"/>
  <c r="P190" i="9"/>
  <c r="P189" i="9"/>
  <c r="Q189" i="9" s="1"/>
  <c r="V188" i="9"/>
  <c r="W97" i="11"/>
  <c r="H170" i="9"/>
  <c r="V170" i="9" l="1"/>
  <c r="X170" i="9" s="1"/>
  <c r="Q170" i="9"/>
  <c r="W190" i="9"/>
  <c r="W189" i="9"/>
  <c r="X189" i="9" s="1"/>
  <c r="W191" i="9"/>
  <c r="W188" i="9"/>
  <c r="X188" i="9" s="1"/>
  <c r="V171" i="9"/>
  <c r="X171" i="9" s="1"/>
  <c r="J171" i="9" s="1"/>
  <c r="Q171" i="9"/>
  <c r="M171" i="9" l="1"/>
  <c r="N171" i="9" s="1"/>
  <c r="J169" i="9"/>
  <c r="M169" i="9" s="1"/>
  <c r="N169" i="9" s="1"/>
  <c r="J168" i="9"/>
  <c r="M168" i="9" s="1"/>
  <c r="N168" i="9" s="1"/>
  <c r="J170" i="9"/>
  <c r="M170" i="9" l="1"/>
  <c r="N170" i="9" s="1"/>
  <c r="O98" i="11"/>
  <c r="H174" i="9"/>
  <c r="P98" i="11"/>
  <c r="H175" i="9"/>
  <c r="L99" i="11"/>
  <c r="L101" i="11"/>
  <c r="L100" i="11"/>
  <c r="L98" i="11"/>
  <c r="H184" i="9"/>
  <c r="V184" i="9" l="1"/>
  <c r="V174" i="9"/>
  <c r="X174" i="9" s="1"/>
  <c r="Q174" i="9"/>
  <c r="V175" i="9"/>
  <c r="X175" i="9" s="1"/>
  <c r="J175" i="9" s="1"/>
  <c r="M175" i="9" s="1"/>
  <c r="N175" i="9" s="1"/>
  <c r="Q175" i="9"/>
  <c r="W100" i="11"/>
  <c r="W99" i="11"/>
  <c r="W98" i="11"/>
  <c r="W101" i="11"/>
  <c r="H185" i="9"/>
  <c r="P186" i="9" s="1"/>
  <c r="P101" i="11" l="1"/>
  <c r="P103" i="11"/>
  <c r="P100" i="11"/>
  <c r="P102" i="11"/>
  <c r="P99" i="11"/>
  <c r="H193" i="9"/>
  <c r="P184" i="9"/>
  <c r="Q184" i="9" s="1"/>
  <c r="P187" i="9"/>
  <c r="J172" i="9"/>
  <c r="M172" i="9" s="1"/>
  <c r="N172" i="9" s="1"/>
  <c r="J174" i="9"/>
  <c r="M174" i="9" s="1"/>
  <c r="N174" i="9" s="1"/>
  <c r="J173" i="9"/>
  <c r="M173" i="9" s="1"/>
  <c r="N173" i="9" s="1"/>
  <c r="P185" i="9"/>
  <c r="Q185" i="9" s="1"/>
  <c r="V185" i="9"/>
  <c r="W185" i="9" s="1"/>
  <c r="X185" i="9" s="1"/>
  <c r="W186" i="9" l="1"/>
  <c r="W187" i="9"/>
  <c r="W184" i="9"/>
  <c r="X184" i="9" s="1"/>
  <c r="S99" i="11"/>
  <c r="H176" i="9"/>
  <c r="R99" i="11"/>
  <c r="H177" i="9"/>
  <c r="O99" i="11"/>
  <c r="O101" i="11"/>
  <c r="O103" i="11"/>
  <c r="O102" i="11"/>
  <c r="O100" i="11"/>
  <c r="H192" i="9"/>
  <c r="V193" i="9"/>
  <c r="P193" i="9" l="1"/>
  <c r="Q193" i="9" s="1"/>
  <c r="P195" i="9"/>
  <c r="P192" i="9"/>
  <c r="Q192" i="9" s="1"/>
  <c r="P194" i="9"/>
  <c r="V192" i="9"/>
  <c r="V177" i="9"/>
  <c r="P176" i="9"/>
  <c r="Q176" i="9" s="1"/>
  <c r="P178" i="9"/>
  <c r="Q178" i="9" s="1"/>
  <c r="P179" i="9"/>
  <c r="Q179" i="9" s="1"/>
  <c r="P177" i="9"/>
  <c r="Q177" i="9" s="1"/>
  <c r="V176" i="9"/>
  <c r="W177" i="9" l="1"/>
  <c r="X177" i="9" s="1"/>
  <c r="W179" i="9"/>
  <c r="X179" i="9" s="1"/>
  <c r="J179" i="9" s="1"/>
  <c r="W178" i="9"/>
  <c r="X178" i="9" s="1"/>
  <c r="W176" i="9"/>
  <c r="X176" i="9" s="1"/>
  <c r="W195" i="9"/>
  <c r="W192" i="9"/>
  <c r="X192" i="9" s="1"/>
  <c r="W194" i="9"/>
  <c r="W193" i="9"/>
  <c r="X193" i="9" s="1"/>
  <c r="J176" i="9" l="1"/>
  <c r="M176" i="9" s="1"/>
  <c r="N176" i="9" s="1"/>
  <c r="J177" i="9"/>
  <c r="M177" i="9" s="1"/>
  <c r="N177" i="9" s="1"/>
  <c r="J178" i="9"/>
  <c r="M178" i="9" s="1"/>
  <c r="N178" i="9" s="1"/>
  <c r="M179" i="9"/>
  <c r="N179" i="9" s="1"/>
  <c r="V100" i="11" l="1"/>
  <c r="V102" i="11"/>
  <c r="V104" i="11"/>
  <c r="V105" i="11"/>
  <c r="V103" i="11"/>
  <c r="V101" i="11"/>
  <c r="H203" i="9"/>
  <c r="N104" i="11"/>
  <c r="N101" i="11"/>
  <c r="N103" i="11"/>
  <c r="N105" i="11"/>
  <c r="N102" i="11"/>
  <c r="N100" i="11"/>
  <c r="H202" i="9"/>
  <c r="R100" i="11"/>
  <c r="H181" i="9"/>
  <c r="S100" i="11"/>
  <c r="H180" i="9"/>
  <c r="V203" i="9" l="1"/>
  <c r="V181" i="9"/>
  <c r="V202" i="9"/>
  <c r="P181" i="9"/>
  <c r="Q181" i="9" s="1"/>
  <c r="P183" i="9"/>
  <c r="Q183" i="9" s="1"/>
  <c r="P180" i="9"/>
  <c r="Q180" i="9" s="1"/>
  <c r="P182" i="9"/>
  <c r="Q182" i="9" s="1"/>
  <c r="V180" i="9"/>
  <c r="W180" i="9" l="1"/>
  <c r="X180" i="9" s="1"/>
  <c r="W182" i="9"/>
  <c r="X182" i="9" s="1"/>
  <c r="W181" i="9"/>
  <c r="X181" i="9" s="1"/>
  <c r="W183" i="9"/>
  <c r="X183" i="9" s="1"/>
  <c r="J183" i="9" s="1"/>
  <c r="M183" i="9" s="1"/>
  <c r="N183" i="9" s="1"/>
  <c r="K104" i="11" l="1"/>
  <c r="K106" i="11"/>
  <c r="K101" i="11"/>
  <c r="K103" i="11"/>
  <c r="K105" i="11"/>
  <c r="K102" i="11"/>
  <c r="H204" i="9"/>
  <c r="J180" i="9"/>
  <c r="M180" i="9" s="1"/>
  <c r="N180" i="9" s="1"/>
  <c r="J181" i="9"/>
  <c r="M181" i="9" s="1"/>
  <c r="N181" i="9" s="1"/>
  <c r="J182" i="9"/>
  <c r="M182" i="9" s="1"/>
  <c r="N182" i="9" s="1"/>
  <c r="V204" i="9" l="1"/>
  <c r="T110" i="11"/>
  <c r="T112" i="11"/>
  <c r="T105" i="11"/>
  <c r="T114" i="11"/>
  <c r="T107" i="11"/>
  <c r="T116" i="11"/>
  <c r="T109" i="11"/>
  <c r="T102" i="11"/>
  <c r="T111" i="11"/>
  <c r="T104" i="11"/>
  <c r="T115" i="11"/>
  <c r="T108" i="11"/>
  <c r="T101" i="11"/>
  <c r="T106" i="11"/>
  <c r="T103" i="11"/>
  <c r="T113" i="11"/>
  <c r="T117" i="11"/>
  <c r="H236" i="9"/>
  <c r="R101" i="11"/>
  <c r="H187" i="9"/>
  <c r="S101" i="11"/>
  <c r="H186" i="9"/>
  <c r="V186" i="9" l="1"/>
  <c r="X186" i="9" s="1"/>
  <c r="Q186" i="9"/>
  <c r="V187" i="9"/>
  <c r="X187" i="9" s="1"/>
  <c r="J187" i="9" s="1"/>
  <c r="M187" i="9" s="1"/>
  <c r="N187" i="9" s="1"/>
  <c r="Q187" i="9"/>
  <c r="V236" i="9"/>
  <c r="R103" i="11" l="1"/>
  <c r="R102" i="11"/>
  <c r="R104" i="11"/>
  <c r="H197" i="9"/>
  <c r="J185" i="9"/>
  <c r="J186" i="9"/>
  <c r="M186" i="9" s="1"/>
  <c r="N186" i="9" s="1"/>
  <c r="J184" i="9"/>
  <c r="M184" i="9" l="1"/>
  <c r="N184" i="9" s="1"/>
  <c r="S103" i="11"/>
  <c r="S102" i="11"/>
  <c r="S104" i="11"/>
  <c r="H196" i="9"/>
  <c r="M185" i="9"/>
  <c r="N185" i="9" s="1"/>
  <c r="V197" i="9"/>
  <c r="W102" i="11" l="1"/>
  <c r="H191" i="9"/>
  <c r="P196" i="9"/>
  <c r="Q196" i="9" s="1"/>
  <c r="P198" i="9"/>
  <c r="P197" i="9"/>
  <c r="Q197" i="9" s="1"/>
  <c r="P199" i="9"/>
  <c r="V196" i="9"/>
  <c r="L102" i="11"/>
  <c r="H190" i="9"/>
  <c r="V190" i="9" l="1"/>
  <c r="X190" i="9" s="1"/>
  <c r="Q190" i="9"/>
  <c r="W197" i="9"/>
  <c r="X197" i="9" s="1"/>
  <c r="W199" i="9"/>
  <c r="W196" i="9"/>
  <c r="X196" i="9" s="1"/>
  <c r="W198" i="9"/>
  <c r="V191" i="9"/>
  <c r="X191" i="9" s="1"/>
  <c r="J191" i="9" s="1"/>
  <c r="Q191" i="9"/>
  <c r="M191" i="9" l="1"/>
  <c r="N191" i="9" s="1"/>
  <c r="W160" i="11" s="1"/>
  <c r="J190" i="9"/>
  <c r="M190" i="9" s="1"/>
  <c r="N190" i="9" s="1"/>
  <c r="J189" i="9"/>
  <c r="M189" i="9" s="1"/>
  <c r="N189" i="9" s="1"/>
  <c r="J188" i="9"/>
  <c r="M188" i="9" s="1"/>
  <c r="N188" i="9" s="1"/>
  <c r="W158" i="11" l="1"/>
  <c r="W159" i="11"/>
  <c r="W156" i="11"/>
  <c r="W157" i="11"/>
  <c r="W153" i="11"/>
  <c r="W155" i="11"/>
  <c r="W154" i="11"/>
  <c r="W151" i="11"/>
  <c r="W152" i="11"/>
  <c r="Q103" i="11"/>
  <c r="H194" i="9"/>
  <c r="U103" i="11"/>
  <c r="H195" i="9"/>
  <c r="L104" i="11"/>
  <c r="L106" i="11"/>
  <c r="L103" i="11"/>
  <c r="L105" i="11"/>
  <c r="H205" i="9"/>
  <c r="W146" i="11"/>
  <c r="B14" i="12"/>
  <c r="W150" i="11"/>
  <c r="W145" i="11"/>
  <c r="W147" i="11"/>
  <c r="W149" i="11"/>
  <c r="W137" i="11"/>
  <c r="W121" i="11"/>
  <c r="W105" i="11"/>
  <c r="W130" i="11"/>
  <c r="W114" i="11"/>
  <c r="W139" i="11"/>
  <c r="W123" i="11"/>
  <c r="W107" i="11"/>
  <c r="W144" i="11"/>
  <c r="W132" i="11"/>
  <c r="W116" i="11"/>
  <c r="W148" i="11"/>
  <c r="W141" i="11"/>
  <c r="W125" i="11"/>
  <c r="W109" i="11"/>
  <c r="W134" i="11"/>
  <c r="W118" i="11"/>
  <c r="W127" i="11"/>
  <c r="W111" i="11"/>
  <c r="W143" i="11"/>
  <c r="W136" i="11"/>
  <c r="W120" i="11"/>
  <c r="W104" i="11"/>
  <c r="W129" i="11"/>
  <c r="W113" i="11"/>
  <c r="W138" i="11"/>
  <c r="W122" i="11"/>
  <c r="W106" i="11"/>
  <c r="W131" i="11"/>
  <c r="W115" i="11"/>
  <c r="W140" i="11"/>
  <c r="W124" i="11"/>
  <c r="W133" i="11"/>
  <c r="W142" i="11"/>
  <c r="W126" i="11"/>
  <c r="W110" i="11"/>
  <c r="W135" i="11"/>
  <c r="W119" i="11"/>
  <c r="W103" i="11"/>
  <c r="W128" i="11"/>
  <c r="W112" i="11"/>
  <c r="W108" i="11"/>
  <c r="W117" i="11"/>
  <c r="J19" i="11"/>
  <c r="P2" i="12" l="1"/>
  <c r="B19" i="11"/>
  <c r="F83" i="6"/>
  <c r="V205" i="9"/>
  <c r="P207" i="9"/>
  <c r="P205" i="9"/>
  <c r="Q205" i="9" s="1"/>
  <c r="P204" i="9"/>
  <c r="Q204" i="9" s="1"/>
  <c r="P206" i="9"/>
  <c r="V195" i="9"/>
  <c r="X195" i="9" s="1"/>
  <c r="J195" i="9" s="1"/>
  <c r="M195" i="9" s="1"/>
  <c r="N195" i="9" s="1"/>
  <c r="Q195" i="9"/>
  <c r="V194" i="9"/>
  <c r="X194" i="9" s="1"/>
  <c r="Q194" i="9"/>
  <c r="U105" i="11" l="1"/>
  <c r="U107" i="11"/>
  <c r="U104" i="11"/>
  <c r="U106" i="11"/>
  <c r="H211" i="9"/>
  <c r="J192" i="9"/>
  <c r="M192" i="9" s="1"/>
  <c r="N192" i="9" s="1"/>
  <c r="J193" i="9"/>
  <c r="M193" i="9" s="1"/>
  <c r="N193" i="9" s="1"/>
  <c r="J194" i="9"/>
  <c r="M194" i="9" s="1"/>
  <c r="N194" i="9" s="1"/>
  <c r="W207" i="9"/>
  <c r="W206" i="9"/>
  <c r="W205" i="9"/>
  <c r="X205" i="9" s="1"/>
  <c r="W204" i="9"/>
  <c r="X204" i="9" s="1"/>
  <c r="S19" i="11"/>
  <c r="W19" i="11" l="1"/>
  <c r="P104" i="11"/>
  <c r="H199" i="9"/>
  <c r="Q105" i="11"/>
  <c r="Q107" i="11"/>
  <c r="Q104" i="11"/>
  <c r="Q106" i="11"/>
  <c r="H210" i="9"/>
  <c r="O104" i="11"/>
  <c r="H198" i="9"/>
  <c r="V211" i="9"/>
  <c r="V198" i="9" l="1"/>
  <c r="X198" i="9" s="1"/>
  <c r="Q198" i="9"/>
  <c r="V210" i="9"/>
  <c r="V199" i="9"/>
  <c r="X199" i="9" s="1"/>
  <c r="J199" i="9" s="1"/>
  <c r="M199" i="9" s="1"/>
  <c r="N199" i="9" s="1"/>
  <c r="Q199" i="9"/>
  <c r="P106" i="11" l="1"/>
  <c r="P108" i="11"/>
  <c r="P105" i="11"/>
  <c r="P107" i="11"/>
  <c r="P109" i="11"/>
  <c r="H218" i="9"/>
  <c r="J197" i="9"/>
  <c r="M197" i="9" s="1"/>
  <c r="N197" i="9" s="1"/>
  <c r="J198" i="9"/>
  <c r="M198" i="9" s="1"/>
  <c r="N198" i="9" s="1"/>
  <c r="J196" i="9"/>
  <c r="M196" i="9" s="1"/>
  <c r="N196" i="9" s="1"/>
  <c r="S105" i="11" l="1"/>
  <c r="H200" i="9"/>
  <c r="O108" i="11"/>
  <c r="O105" i="11"/>
  <c r="O107" i="11"/>
  <c r="O106" i="11"/>
  <c r="O109" i="11"/>
  <c r="H219" i="9"/>
  <c r="R105" i="11"/>
  <c r="H201" i="9"/>
  <c r="V218" i="9"/>
  <c r="V201" i="9" l="1"/>
  <c r="V219" i="9"/>
  <c r="P201" i="9"/>
  <c r="Q201" i="9" s="1"/>
  <c r="P203" i="9"/>
  <c r="Q203" i="9" s="1"/>
  <c r="P200" i="9"/>
  <c r="Q200" i="9" s="1"/>
  <c r="P202" i="9"/>
  <c r="Q202" i="9" s="1"/>
  <c r="V200" i="9"/>
  <c r="W203" i="9" l="1"/>
  <c r="X203" i="9" s="1"/>
  <c r="J203" i="9" s="1"/>
  <c r="W200" i="9"/>
  <c r="X200" i="9" s="1"/>
  <c r="W202" i="9"/>
  <c r="X202" i="9" s="1"/>
  <c r="W201" i="9"/>
  <c r="X201" i="9" s="1"/>
  <c r="J202" i="9" l="1"/>
  <c r="M202" i="9" s="1"/>
  <c r="N202" i="9" s="1"/>
  <c r="J201" i="9"/>
  <c r="M201" i="9" s="1"/>
  <c r="N201" i="9" s="1"/>
  <c r="J200" i="9"/>
  <c r="M200" i="9" s="1"/>
  <c r="N200" i="9" s="1"/>
  <c r="M203" i="9"/>
  <c r="N203" i="9" s="1"/>
  <c r="V107" i="11" l="1"/>
  <c r="V106" i="11"/>
  <c r="V108" i="11"/>
  <c r="H212" i="9"/>
  <c r="R106" i="11"/>
  <c r="H207" i="9"/>
  <c r="S106" i="11"/>
  <c r="H206" i="9"/>
  <c r="N106" i="11"/>
  <c r="N108" i="11"/>
  <c r="N107" i="11"/>
  <c r="H213" i="9"/>
  <c r="V213" i="9" l="1"/>
  <c r="V206" i="9"/>
  <c r="X206" i="9" s="1"/>
  <c r="Q206" i="9"/>
  <c r="V207" i="9"/>
  <c r="X207" i="9" s="1"/>
  <c r="J207" i="9" s="1"/>
  <c r="M207" i="9" s="1"/>
  <c r="N207" i="9" s="1"/>
  <c r="Q207" i="9"/>
  <c r="P215" i="9"/>
  <c r="P212" i="9"/>
  <c r="Q212" i="9" s="1"/>
  <c r="P214" i="9"/>
  <c r="P213" i="9"/>
  <c r="Q213" i="9" s="1"/>
  <c r="V212" i="9"/>
  <c r="R108" i="11" l="1"/>
  <c r="R110" i="11"/>
  <c r="R112" i="11"/>
  <c r="R107" i="11"/>
  <c r="R109" i="11"/>
  <c r="R111" i="11"/>
  <c r="H224" i="9"/>
  <c r="W215" i="9"/>
  <c r="W214" i="9"/>
  <c r="W213" i="9"/>
  <c r="X213" i="9" s="1"/>
  <c r="W212" i="9"/>
  <c r="X212" i="9" s="1"/>
  <c r="J205" i="9"/>
  <c r="M205" i="9" s="1"/>
  <c r="N205" i="9" s="1"/>
  <c r="J206" i="9"/>
  <c r="M206" i="9" s="1"/>
  <c r="N206" i="9" s="1"/>
  <c r="J204" i="9"/>
  <c r="M204" i="9" s="1"/>
  <c r="N204" i="9" s="1"/>
  <c r="L107" i="11" l="1"/>
  <c r="H209" i="9"/>
  <c r="K107" i="11"/>
  <c r="H208" i="9"/>
  <c r="S107" i="11"/>
  <c r="S109" i="11"/>
  <c r="S110" i="11"/>
  <c r="S108" i="11"/>
  <c r="H221" i="9"/>
  <c r="P224" i="9"/>
  <c r="Q224" i="9" s="1"/>
  <c r="P226" i="9"/>
  <c r="P225" i="9"/>
  <c r="V224" i="9"/>
  <c r="W226" i="9" l="1"/>
  <c r="W225" i="9"/>
  <c r="W224" i="9"/>
  <c r="X224" i="9" s="1"/>
  <c r="V221" i="9"/>
  <c r="P208" i="9"/>
  <c r="Q208" i="9" s="1"/>
  <c r="P211" i="9"/>
  <c r="Q211" i="9" s="1"/>
  <c r="P210" i="9"/>
  <c r="Q210" i="9" s="1"/>
  <c r="P209" i="9"/>
  <c r="Q209" i="9" s="1"/>
  <c r="V208" i="9"/>
  <c r="V209" i="9"/>
  <c r="W210" i="9" l="1"/>
  <c r="X210" i="9" s="1"/>
  <c r="W209" i="9"/>
  <c r="X209" i="9" s="1"/>
  <c r="W208" i="9"/>
  <c r="X208" i="9" s="1"/>
  <c r="W211" i="9"/>
  <c r="X211" i="9" s="1"/>
  <c r="J211" i="9" s="1"/>
  <c r="M211" i="9" s="1"/>
  <c r="N211" i="9" s="1"/>
  <c r="U112" i="11" l="1"/>
  <c r="U109" i="11"/>
  <c r="U111" i="11"/>
  <c r="U108" i="11"/>
  <c r="U110" i="11"/>
  <c r="H225" i="9"/>
  <c r="J209" i="9"/>
  <c r="M209" i="9" s="1"/>
  <c r="N209" i="9" s="1"/>
  <c r="J208" i="9"/>
  <c r="M208" i="9" s="1"/>
  <c r="N208" i="9" s="1"/>
  <c r="J210" i="9"/>
  <c r="M210" i="9" s="1"/>
  <c r="N210" i="9" s="1"/>
  <c r="Q110" i="11" l="1"/>
  <c r="Q109" i="11"/>
  <c r="Q108" i="11"/>
  <c r="H220" i="9"/>
  <c r="K108" i="11"/>
  <c r="H214" i="9"/>
  <c r="L108" i="11"/>
  <c r="H215" i="9"/>
  <c r="V225" i="9"/>
  <c r="X225" i="9" s="1"/>
  <c r="Q225" i="9"/>
  <c r="J225" i="9" l="1"/>
  <c r="M225" i="9" s="1"/>
  <c r="N225" i="9" s="1"/>
  <c r="V215" i="9"/>
  <c r="X215" i="9" s="1"/>
  <c r="J215" i="9" s="1"/>
  <c r="M215" i="9" s="1"/>
  <c r="N215" i="9" s="1"/>
  <c r="Q215" i="9"/>
  <c r="V214" i="9"/>
  <c r="X214" i="9" s="1"/>
  <c r="Q214" i="9"/>
  <c r="P221" i="9"/>
  <c r="Q221" i="9" s="1"/>
  <c r="V220" i="9"/>
  <c r="P220" i="9"/>
  <c r="Q220" i="9" s="1"/>
  <c r="L113" i="11" l="1"/>
  <c r="L115" i="11"/>
  <c r="L110" i="11"/>
  <c r="L112" i="11"/>
  <c r="L116" i="11"/>
  <c r="L114" i="11"/>
  <c r="L111" i="11"/>
  <c r="L109" i="11"/>
  <c r="H233" i="9"/>
  <c r="W220" i="9"/>
  <c r="X220" i="9" s="1"/>
  <c r="W221" i="9"/>
  <c r="X221" i="9" s="1"/>
  <c r="J213" i="9"/>
  <c r="M213" i="9" s="1"/>
  <c r="N213" i="9" s="1"/>
  <c r="J214" i="9"/>
  <c r="M214" i="9" s="1"/>
  <c r="N214" i="9" s="1"/>
  <c r="J212" i="9"/>
  <c r="U113" i="11"/>
  <c r="H227" i="9"/>
  <c r="P227" i="9" l="1"/>
  <c r="Q227" i="9" s="1"/>
  <c r="P228" i="9"/>
  <c r="V227" i="9"/>
  <c r="N109" i="11"/>
  <c r="H217" i="9"/>
  <c r="J220" i="9"/>
  <c r="M220" i="9" s="1"/>
  <c r="N220" i="9" s="1"/>
  <c r="J221" i="9"/>
  <c r="M221" i="9" s="1"/>
  <c r="N221" i="9" s="1"/>
  <c r="M212" i="9"/>
  <c r="N212" i="9" s="1"/>
  <c r="K125" i="11"/>
  <c r="K109" i="11"/>
  <c r="K118" i="11"/>
  <c r="K127" i="11"/>
  <c r="K111" i="11"/>
  <c r="K120" i="11"/>
  <c r="K113" i="11"/>
  <c r="K122" i="11"/>
  <c r="K115" i="11"/>
  <c r="K124" i="11"/>
  <c r="K117" i="11"/>
  <c r="K126" i="11"/>
  <c r="K110" i="11"/>
  <c r="K119" i="11"/>
  <c r="K114" i="11"/>
  <c r="K123" i="11"/>
  <c r="K112" i="11"/>
  <c r="K116" i="11"/>
  <c r="K121" i="11"/>
  <c r="H256" i="9"/>
  <c r="V233" i="9"/>
  <c r="V256" i="9" l="1"/>
  <c r="V109" i="11"/>
  <c r="H216" i="9"/>
  <c r="S111" i="11"/>
  <c r="H223" i="9"/>
  <c r="Q111" i="11"/>
  <c r="H222" i="9"/>
  <c r="V217" i="9"/>
  <c r="W228" i="9"/>
  <c r="W227" i="9"/>
  <c r="X227" i="9" s="1"/>
  <c r="P223" i="9" l="1"/>
  <c r="Q223" i="9" s="1"/>
  <c r="P222" i="9"/>
  <c r="Q222" i="9" s="1"/>
  <c r="V222" i="9"/>
  <c r="V223" i="9"/>
  <c r="P219" i="9"/>
  <c r="Q219" i="9" s="1"/>
  <c r="P216" i="9"/>
  <c r="Q216" i="9" s="1"/>
  <c r="P218" i="9"/>
  <c r="Q218" i="9" s="1"/>
  <c r="P217" i="9"/>
  <c r="Q217" i="9" s="1"/>
  <c r="V216" i="9"/>
  <c r="W218" i="9" l="1"/>
  <c r="X218" i="9" s="1"/>
  <c r="W219" i="9"/>
  <c r="X219" i="9" s="1"/>
  <c r="J219" i="9" s="1"/>
  <c r="M219" i="9" s="1"/>
  <c r="N219" i="9" s="1"/>
  <c r="W217" i="9"/>
  <c r="X217" i="9" s="1"/>
  <c r="W216" i="9"/>
  <c r="X216" i="9" s="1"/>
  <c r="W222" i="9"/>
  <c r="X222" i="9" s="1"/>
  <c r="W223" i="9"/>
  <c r="X223" i="9" s="1"/>
  <c r="J222" i="9" l="1"/>
  <c r="M222" i="9" s="1"/>
  <c r="N222" i="9" s="1"/>
  <c r="J223" i="9"/>
  <c r="M223" i="9" s="1"/>
  <c r="N223" i="9" s="1"/>
  <c r="O113" i="11"/>
  <c r="O122" i="11"/>
  <c r="O115" i="11"/>
  <c r="O117" i="11"/>
  <c r="O110" i="11"/>
  <c r="O119" i="11"/>
  <c r="O112" i="11"/>
  <c r="O121" i="11"/>
  <c r="O114" i="11"/>
  <c r="O118" i="11"/>
  <c r="O111" i="11"/>
  <c r="O116" i="11"/>
  <c r="O120" i="11"/>
  <c r="H247" i="9"/>
  <c r="J216" i="9"/>
  <c r="J217" i="9"/>
  <c r="M217" i="9" s="1"/>
  <c r="N217" i="9" s="1"/>
  <c r="N160" i="11" s="1"/>
  <c r="J218" i="9"/>
  <c r="M218" i="9" s="1"/>
  <c r="N218" i="9" s="1"/>
  <c r="N158" i="11" l="1"/>
  <c r="N159" i="11"/>
  <c r="N156" i="11"/>
  <c r="N157" i="11"/>
  <c r="N153" i="11"/>
  <c r="N155" i="11"/>
  <c r="N154" i="11"/>
  <c r="N151" i="11"/>
  <c r="N152" i="11"/>
  <c r="V247" i="9"/>
  <c r="P110" i="11"/>
  <c r="P112" i="11"/>
  <c r="P111" i="11"/>
  <c r="H226" i="9"/>
  <c r="N145" i="11"/>
  <c r="B5" i="12"/>
  <c r="N149" i="11"/>
  <c r="N146" i="11"/>
  <c r="N148" i="11"/>
  <c r="N136" i="11"/>
  <c r="N120" i="11"/>
  <c r="N129" i="11"/>
  <c r="N113" i="11"/>
  <c r="N150" i="11"/>
  <c r="N138" i="11"/>
  <c r="N122" i="11"/>
  <c r="N131" i="11"/>
  <c r="N115" i="11"/>
  <c r="N147" i="11"/>
  <c r="N140" i="11"/>
  <c r="N124" i="11"/>
  <c r="N133" i="11"/>
  <c r="N117" i="11"/>
  <c r="N142" i="11"/>
  <c r="N126" i="11"/>
  <c r="N110" i="11"/>
  <c r="N135" i="11"/>
  <c r="N119" i="11"/>
  <c r="N128" i="11"/>
  <c r="N112" i="11"/>
  <c r="N137" i="11"/>
  <c r="N121" i="11"/>
  <c r="N144" i="11"/>
  <c r="N130" i="11"/>
  <c r="N114" i="11"/>
  <c r="N139" i="11"/>
  <c r="N123" i="11"/>
  <c r="N132" i="11"/>
  <c r="N141" i="11"/>
  <c r="N125" i="11"/>
  <c r="N134" i="11"/>
  <c r="N118" i="11"/>
  <c r="N143" i="11"/>
  <c r="N116" i="11"/>
  <c r="N127" i="11"/>
  <c r="N111" i="11"/>
  <c r="J10" i="11"/>
  <c r="S117" i="11"/>
  <c r="S119" i="11"/>
  <c r="S112" i="11"/>
  <c r="S114" i="11"/>
  <c r="S116" i="11"/>
  <c r="S118" i="11"/>
  <c r="S115" i="11"/>
  <c r="S113" i="11"/>
  <c r="H240" i="9"/>
  <c r="M216" i="9"/>
  <c r="N216" i="9" s="1"/>
  <c r="V160" i="11" s="1"/>
  <c r="Q112" i="11"/>
  <c r="Q113" i="11"/>
  <c r="H228" i="9"/>
  <c r="V158" i="11" l="1"/>
  <c r="V159" i="11"/>
  <c r="V156" i="11"/>
  <c r="V157" i="11"/>
  <c r="V153" i="11"/>
  <c r="V155" i="11"/>
  <c r="V154" i="11"/>
  <c r="V151" i="11"/>
  <c r="V152" i="11"/>
  <c r="V228" i="9"/>
  <c r="X228" i="9" s="1"/>
  <c r="Q228" i="9"/>
  <c r="V146" i="11"/>
  <c r="B13" i="12"/>
  <c r="V143" i="11"/>
  <c r="V145" i="11"/>
  <c r="V147" i="11"/>
  <c r="V149" i="11"/>
  <c r="V128" i="11"/>
  <c r="V112" i="11"/>
  <c r="V150" i="11"/>
  <c r="V137" i="11"/>
  <c r="V121" i="11"/>
  <c r="V130" i="11"/>
  <c r="V114" i="11"/>
  <c r="V139" i="11"/>
  <c r="V123" i="11"/>
  <c r="V144" i="11"/>
  <c r="V132" i="11"/>
  <c r="V116" i="11"/>
  <c r="V148" i="11"/>
  <c r="V141" i="11"/>
  <c r="V125" i="11"/>
  <c r="V134" i="11"/>
  <c r="V118" i="11"/>
  <c r="V127" i="11"/>
  <c r="V111" i="11"/>
  <c r="V136" i="11"/>
  <c r="V120" i="11"/>
  <c r="V129" i="11"/>
  <c r="V113" i="11"/>
  <c r="V138" i="11"/>
  <c r="V122" i="11"/>
  <c r="V131" i="11"/>
  <c r="V140" i="11"/>
  <c r="V133" i="11"/>
  <c r="V117" i="11"/>
  <c r="V142" i="11"/>
  <c r="V126" i="11"/>
  <c r="V110" i="11"/>
  <c r="V135" i="11"/>
  <c r="V124" i="11"/>
  <c r="V115" i="11"/>
  <c r="V119" i="11"/>
  <c r="J18" i="11"/>
  <c r="P241" i="9"/>
  <c r="P240" i="9"/>
  <c r="Q240" i="9" s="1"/>
  <c r="V240" i="9"/>
  <c r="G2" i="12"/>
  <c r="B10" i="11"/>
  <c r="F86" i="6"/>
  <c r="S86" i="6" s="1"/>
  <c r="V226" i="9"/>
  <c r="X226" i="9" s="1"/>
  <c r="Q226" i="9"/>
  <c r="J226" i="9" l="1"/>
  <c r="M226" i="9" s="1"/>
  <c r="N226" i="9" s="1"/>
  <c r="J224" i="9"/>
  <c r="M224" i="9" s="1"/>
  <c r="N224" i="9" s="1"/>
  <c r="O2" i="12"/>
  <c r="B18" i="11"/>
  <c r="F82" i="6"/>
  <c r="J228" i="9"/>
  <c r="M228" i="9" s="1"/>
  <c r="N228" i="9" s="1"/>
  <c r="J227" i="9"/>
  <c r="M227" i="9" s="1"/>
  <c r="N227" i="9" s="1"/>
  <c r="S10" i="11"/>
  <c r="W240" i="9"/>
  <c r="X240" i="9" s="1"/>
  <c r="W241" i="9"/>
  <c r="W10" i="11" l="1"/>
  <c r="U114" i="11"/>
  <c r="H229" i="9"/>
  <c r="Q114" i="11"/>
  <c r="H230" i="9"/>
  <c r="S18" i="11"/>
  <c r="R117" i="11"/>
  <c r="R114" i="11"/>
  <c r="R116" i="11"/>
  <c r="R113" i="11"/>
  <c r="R115" i="11"/>
  <c r="H235" i="9"/>
  <c r="P115" i="11"/>
  <c r="P117" i="11"/>
  <c r="P114" i="11"/>
  <c r="P116" i="11"/>
  <c r="P118" i="11"/>
  <c r="P113" i="11"/>
  <c r="H238" i="9"/>
  <c r="W18" i="11" l="1"/>
  <c r="V238" i="9"/>
  <c r="V230" i="9"/>
  <c r="P229" i="9"/>
  <c r="Q229" i="9" s="1"/>
  <c r="P230" i="9"/>
  <c r="Q230" i="9" s="1"/>
  <c r="V229" i="9"/>
  <c r="P235" i="9"/>
  <c r="Q235" i="9" s="1"/>
  <c r="P236" i="9"/>
  <c r="Q236" i="9" s="1"/>
  <c r="V235" i="9"/>
  <c r="W236" i="9" l="1"/>
  <c r="X236" i="9" s="1"/>
  <c r="W235" i="9"/>
  <c r="X235" i="9" s="1"/>
  <c r="W230" i="9"/>
  <c r="X230" i="9" s="1"/>
  <c r="W229" i="9"/>
  <c r="X229" i="9" s="1"/>
  <c r="J229" i="9" l="1"/>
  <c r="M229" i="9" s="1"/>
  <c r="N229" i="9" s="1"/>
  <c r="J230" i="9"/>
  <c r="M230" i="9" s="1"/>
  <c r="N230" i="9" s="1"/>
  <c r="J236" i="9"/>
  <c r="M236" i="9" s="1"/>
  <c r="N236" i="9" s="1"/>
  <c r="T160" i="11" s="1"/>
  <c r="J235" i="9"/>
  <c r="M235" i="9" s="1"/>
  <c r="N235" i="9" s="1"/>
  <c r="T158" i="11" l="1"/>
  <c r="T159" i="11"/>
  <c r="T156" i="11"/>
  <c r="T157" i="11"/>
  <c r="T153" i="11"/>
  <c r="T155" i="11"/>
  <c r="T154" i="11"/>
  <c r="T151" i="11"/>
  <c r="T152" i="11"/>
  <c r="R118" i="11"/>
  <c r="H237" i="9"/>
  <c r="T149" i="11"/>
  <c r="B11" i="12"/>
  <c r="T150" i="11"/>
  <c r="T145" i="11"/>
  <c r="T147" i="11"/>
  <c r="T142" i="11"/>
  <c r="T126" i="11"/>
  <c r="T135" i="11"/>
  <c r="T119" i="11"/>
  <c r="T128" i="11"/>
  <c r="T137" i="11"/>
  <c r="T121" i="11"/>
  <c r="T130" i="11"/>
  <c r="T139" i="11"/>
  <c r="T123" i="11"/>
  <c r="T148" i="11"/>
  <c r="T144" i="11"/>
  <c r="T132" i="11"/>
  <c r="T141" i="11"/>
  <c r="T125" i="11"/>
  <c r="T134" i="11"/>
  <c r="T118" i="11"/>
  <c r="T143" i="11"/>
  <c r="T127" i="11"/>
  <c r="T136" i="11"/>
  <c r="T120" i="11"/>
  <c r="T129" i="11"/>
  <c r="T138" i="11"/>
  <c r="T146" i="11"/>
  <c r="T131" i="11"/>
  <c r="T140" i="11"/>
  <c r="T124" i="11"/>
  <c r="T133" i="11"/>
  <c r="T122" i="11"/>
  <c r="J16" i="11"/>
  <c r="Q115" i="11"/>
  <c r="H232" i="9"/>
  <c r="U115" i="11"/>
  <c r="H231" i="9"/>
  <c r="P232" i="9" l="1"/>
  <c r="Q232" i="9" s="1"/>
  <c r="P231" i="9"/>
  <c r="Q231" i="9" s="1"/>
  <c r="V231" i="9"/>
  <c r="V232" i="9"/>
  <c r="M2" i="12"/>
  <c r="B16" i="11"/>
  <c r="F87" i="6"/>
  <c r="S87" i="6" s="1"/>
  <c r="P239" i="9"/>
  <c r="P238" i="9"/>
  <c r="Q238" i="9" s="1"/>
  <c r="P237" i="9"/>
  <c r="Q237" i="9" s="1"/>
  <c r="V237" i="9"/>
  <c r="W238" i="9" l="1"/>
  <c r="X238" i="9" s="1"/>
  <c r="W239" i="9"/>
  <c r="W237" i="9"/>
  <c r="X237" i="9" s="1"/>
  <c r="S16" i="11"/>
  <c r="W231" i="9"/>
  <c r="X231" i="9" s="1"/>
  <c r="W232" i="9"/>
  <c r="X232" i="9" s="1"/>
  <c r="J231" i="9" l="1"/>
  <c r="M231" i="9" s="1"/>
  <c r="N231" i="9" s="1"/>
  <c r="J232" i="9"/>
  <c r="M232" i="9" s="1"/>
  <c r="N232" i="9" s="1"/>
  <c r="Q160" i="11" s="1"/>
  <c r="W16" i="11"/>
  <c r="J238" i="9"/>
  <c r="M238" i="9" s="1"/>
  <c r="N238" i="9" s="1"/>
  <c r="Q158" i="11" l="1"/>
  <c r="Q159" i="11"/>
  <c r="Q156" i="11"/>
  <c r="Q157" i="11"/>
  <c r="Q153" i="11"/>
  <c r="Q155" i="11"/>
  <c r="Q154" i="11"/>
  <c r="Q151" i="11"/>
  <c r="Q152" i="11"/>
  <c r="P119" i="11"/>
  <c r="P121" i="11"/>
  <c r="P120" i="11"/>
  <c r="H244" i="9"/>
  <c r="Q149" i="11"/>
  <c r="Q144" i="11"/>
  <c r="Q146" i="11"/>
  <c r="Q148" i="11"/>
  <c r="Q150" i="11"/>
  <c r="B8" i="12"/>
  <c r="Q131" i="11"/>
  <c r="Q140" i="11"/>
  <c r="Q124" i="11"/>
  <c r="Q133" i="11"/>
  <c r="Q117" i="11"/>
  <c r="Q147" i="11"/>
  <c r="Q142" i="11"/>
  <c r="Q126" i="11"/>
  <c r="Q135" i="11"/>
  <c r="Q119" i="11"/>
  <c r="Q128" i="11"/>
  <c r="Q137" i="11"/>
  <c r="Q121" i="11"/>
  <c r="Q145" i="11"/>
  <c r="Q130" i="11"/>
  <c r="Q139" i="11"/>
  <c r="Q123" i="11"/>
  <c r="Q132" i="11"/>
  <c r="Q116" i="11"/>
  <c r="Q141" i="11"/>
  <c r="Q125" i="11"/>
  <c r="Q134" i="11"/>
  <c r="Q143" i="11"/>
  <c r="Q127" i="11"/>
  <c r="Q136" i="11"/>
  <c r="Q120" i="11"/>
  <c r="Q129" i="11"/>
  <c r="Q138" i="11"/>
  <c r="Q118" i="11"/>
  <c r="Q122" i="11"/>
  <c r="J13" i="11"/>
  <c r="U116" i="11"/>
  <c r="H234" i="9"/>
  <c r="J2" i="12" l="1"/>
  <c r="B13" i="11"/>
  <c r="F76" i="6"/>
  <c r="S76" i="6" s="1"/>
  <c r="P233" i="9"/>
  <c r="Q233" i="9" s="1"/>
  <c r="P234" i="9"/>
  <c r="Q234" i="9" s="1"/>
  <c r="V234" i="9"/>
  <c r="P245" i="9"/>
  <c r="P244" i="9"/>
  <c r="Q244" i="9" s="1"/>
  <c r="V244" i="9"/>
  <c r="W234" i="9" l="1"/>
  <c r="X234" i="9" s="1"/>
  <c r="W233" i="9"/>
  <c r="X233" i="9" s="1"/>
  <c r="W245" i="9"/>
  <c r="W244" i="9"/>
  <c r="X244" i="9" s="1"/>
  <c r="S13" i="11"/>
  <c r="W13" i="11" l="1"/>
  <c r="J234" i="9"/>
  <c r="M234" i="9" s="1"/>
  <c r="N234" i="9" s="1"/>
  <c r="J233" i="9"/>
  <c r="M233" i="9" s="1"/>
  <c r="N233" i="9" s="1"/>
  <c r="L160" i="11" s="1"/>
  <c r="L158" i="11" l="1"/>
  <c r="L159" i="11"/>
  <c r="L156" i="11"/>
  <c r="L157" i="11"/>
  <c r="L153" i="11"/>
  <c r="L154" i="11"/>
  <c r="L155" i="11"/>
  <c r="L151" i="11"/>
  <c r="L152" i="11"/>
  <c r="L147" i="11"/>
  <c r="L149" i="11"/>
  <c r="B3" i="12"/>
  <c r="L146" i="11"/>
  <c r="L134" i="11"/>
  <c r="L118" i="11"/>
  <c r="L143" i="11"/>
  <c r="L127" i="11"/>
  <c r="L136" i="11"/>
  <c r="L120" i="11"/>
  <c r="L150" i="11"/>
  <c r="L129" i="11"/>
  <c r="L138" i="11"/>
  <c r="L122" i="11"/>
  <c r="L131" i="11"/>
  <c r="L140" i="11"/>
  <c r="L124" i="11"/>
  <c r="L148" i="11"/>
  <c r="L133" i="11"/>
  <c r="L117" i="11"/>
  <c r="L142" i="11"/>
  <c r="L126" i="11"/>
  <c r="L135" i="11"/>
  <c r="L119" i="11"/>
  <c r="L145" i="11"/>
  <c r="L128" i="11"/>
  <c r="L144" i="11"/>
  <c r="L137" i="11"/>
  <c r="L130" i="11"/>
  <c r="L139" i="11"/>
  <c r="L123" i="11"/>
  <c r="L132" i="11"/>
  <c r="L141" i="11"/>
  <c r="L125" i="11"/>
  <c r="L121" i="11"/>
  <c r="J8" i="11"/>
  <c r="U118" i="11"/>
  <c r="U117" i="11"/>
  <c r="H239" i="9"/>
  <c r="V239" i="9" l="1"/>
  <c r="X239" i="9" s="1"/>
  <c r="Q239" i="9"/>
  <c r="E2" i="12"/>
  <c r="B8" i="11"/>
  <c r="F81" i="6"/>
  <c r="S81" i="6" s="1"/>
  <c r="S8" i="11" l="1"/>
  <c r="J239" i="9"/>
  <c r="M239" i="9" s="1"/>
  <c r="N239" i="9" s="1"/>
  <c r="J237" i="9"/>
  <c r="M237" i="9" s="1"/>
  <c r="N237" i="9" s="1"/>
  <c r="R119" i="11" l="1"/>
  <c r="H241" i="9"/>
  <c r="U135" i="11"/>
  <c r="U119" i="11"/>
  <c r="U128" i="11"/>
  <c r="U137" i="11"/>
  <c r="U121" i="11"/>
  <c r="U130" i="11"/>
  <c r="U123" i="11"/>
  <c r="U132" i="11"/>
  <c r="U125" i="11"/>
  <c r="U134" i="11"/>
  <c r="U127" i="11"/>
  <c r="U136" i="11"/>
  <c r="U120" i="11"/>
  <c r="U129" i="11"/>
  <c r="U138" i="11"/>
  <c r="U131" i="11"/>
  <c r="U124" i="11"/>
  <c r="U133" i="11"/>
  <c r="U122" i="11"/>
  <c r="U126" i="11"/>
  <c r="H279" i="9"/>
  <c r="W8" i="11"/>
  <c r="P278" i="9" l="1"/>
  <c r="P279" i="9"/>
  <c r="Q279" i="9" s="1"/>
  <c r="V279" i="9"/>
  <c r="V241" i="9"/>
  <c r="X241" i="9" s="1"/>
  <c r="Q241" i="9"/>
  <c r="W279" i="9" l="1"/>
  <c r="X279" i="9" s="1"/>
  <c r="W278" i="9"/>
  <c r="J240" i="9"/>
  <c r="M240" i="9" s="1"/>
  <c r="N240" i="9" s="1"/>
  <c r="J241" i="9"/>
  <c r="M241" i="9" s="1"/>
  <c r="N241" i="9" s="1"/>
  <c r="R120" i="11" l="1"/>
  <c r="H243" i="9"/>
  <c r="S120" i="11"/>
  <c r="H242" i="9"/>
  <c r="P242" i="9" l="1"/>
  <c r="Q242" i="9" s="1"/>
  <c r="P243" i="9"/>
  <c r="Q243" i="9" s="1"/>
  <c r="V242" i="9"/>
  <c r="V243" i="9"/>
  <c r="W242" i="9" l="1"/>
  <c r="X242" i="9" s="1"/>
  <c r="W243" i="9"/>
  <c r="X243" i="9" s="1"/>
  <c r="J243" i="9" l="1"/>
  <c r="M243" i="9" s="1"/>
  <c r="N243" i="9" s="1"/>
  <c r="J242" i="9"/>
  <c r="M242" i="9" s="1"/>
  <c r="N242" i="9" s="1"/>
  <c r="S160" i="11" s="1"/>
  <c r="S158" i="11" l="1"/>
  <c r="S159" i="11"/>
  <c r="S156" i="11"/>
  <c r="S157" i="11"/>
  <c r="S153" i="11"/>
  <c r="S155" i="11"/>
  <c r="S154" i="11"/>
  <c r="S151" i="11"/>
  <c r="S152" i="11"/>
  <c r="S146" i="11"/>
  <c r="S148" i="11"/>
  <c r="S150" i="11"/>
  <c r="B10" i="12"/>
  <c r="S145" i="11"/>
  <c r="S133" i="11"/>
  <c r="S147" i="11"/>
  <c r="S142" i="11"/>
  <c r="S126" i="11"/>
  <c r="S135" i="11"/>
  <c r="S128" i="11"/>
  <c r="S137" i="11"/>
  <c r="S121" i="11"/>
  <c r="S130" i="11"/>
  <c r="S139" i="11"/>
  <c r="S123" i="11"/>
  <c r="S144" i="11"/>
  <c r="S132" i="11"/>
  <c r="S141" i="11"/>
  <c r="S125" i="11"/>
  <c r="S134" i="11"/>
  <c r="S143" i="11"/>
  <c r="S127" i="11"/>
  <c r="S136" i="11"/>
  <c r="S149" i="11"/>
  <c r="S129" i="11"/>
  <c r="S138" i="11"/>
  <c r="S122" i="11"/>
  <c r="S131" i="11"/>
  <c r="S140" i="11"/>
  <c r="S124" i="11"/>
  <c r="J15" i="11"/>
  <c r="R121" i="11"/>
  <c r="H245" i="9"/>
  <c r="L2" i="12" l="1"/>
  <c r="B15" i="11"/>
  <c r="F74" i="6"/>
  <c r="S74" i="6" s="1"/>
  <c r="V245" i="9"/>
  <c r="X245" i="9" s="1"/>
  <c r="Q245" i="9"/>
  <c r="J245" i="9" l="1"/>
  <c r="M245" i="9" s="1"/>
  <c r="N245" i="9" s="1"/>
  <c r="J244" i="9"/>
  <c r="M244" i="9" s="1"/>
  <c r="N244" i="9" s="1"/>
  <c r="S15" i="11"/>
  <c r="W15" i="11" l="1"/>
  <c r="P122" i="11"/>
  <c r="P124" i="11"/>
  <c r="P126" i="11"/>
  <c r="P123" i="11"/>
  <c r="P125" i="11"/>
  <c r="P127" i="11"/>
  <c r="H257" i="9"/>
  <c r="R122" i="11"/>
  <c r="H246" i="9"/>
  <c r="P247" i="9" l="1"/>
  <c r="Q247" i="9" s="1"/>
  <c r="P246" i="9"/>
  <c r="Q246" i="9" s="1"/>
  <c r="V246" i="9"/>
  <c r="P257" i="9"/>
  <c r="Q257" i="9" s="1"/>
  <c r="P256" i="9"/>
  <c r="Q256" i="9" s="1"/>
  <c r="V257" i="9"/>
  <c r="W256" i="9" l="1"/>
  <c r="X256" i="9" s="1"/>
  <c r="W257" i="9"/>
  <c r="X257" i="9" s="1"/>
  <c r="W247" i="9"/>
  <c r="X247" i="9" s="1"/>
  <c r="W246" i="9"/>
  <c r="X246" i="9" s="1"/>
  <c r="J247" i="9" l="1"/>
  <c r="M247" i="9" s="1"/>
  <c r="N247" i="9" s="1"/>
  <c r="J246" i="9"/>
  <c r="M246" i="9" s="1"/>
  <c r="N246" i="9" s="1"/>
  <c r="J257" i="9"/>
  <c r="M257" i="9" s="1"/>
  <c r="N257" i="9" s="1"/>
  <c r="J256" i="9"/>
  <c r="M256" i="9" s="1"/>
  <c r="N256" i="9" s="1"/>
  <c r="K128" i="11" l="1"/>
  <c r="H258" i="9"/>
  <c r="R123" i="11"/>
  <c r="H248" i="9"/>
  <c r="P128" i="11"/>
  <c r="H259" i="9"/>
  <c r="O123" i="11"/>
  <c r="H249" i="9"/>
  <c r="V249" i="9" l="1"/>
  <c r="V259" i="9"/>
  <c r="P249" i="9"/>
  <c r="Q249" i="9" s="1"/>
  <c r="P248" i="9"/>
  <c r="Q248" i="9" s="1"/>
  <c r="V248" i="9"/>
  <c r="P259" i="9"/>
  <c r="Q259" i="9" s="1"/>
  <c r="P258" i="9"/>
  <c r="Q258" i="9" s="1"/>
  <c r="V258" i="9"/>
  <c r="W258" i="9" l="1"/>
  <c r="X258" i="9" s="1"/>
  <c r="W259" i="9"/>
  <c r="X259" i="9" s="1"/>
  <c r="W249" i="9"/>
  <c r="X249" i="9" s="1"/>
  <c r="W248" i="9"/>
  <c r="X248" i="9" s="1"/>
  <c r="J249" i="9" l="1"/>
  <c r="M249" i="9" s="1"/>
  <c r="N249" i="9" s="1"/>
  <c r="J248" i="9"/>
  <c r="M248" i="9" s="1"/>
  <c r="N248" i="9" s="1"/>
  <c r="J259" i="9"/>
  <c r="M259" i="9" s="1"/>
  <c r="N259" i="9" s="1"/>
  <c r="J258" i="9"/>
  <c r="M258" i="9" s="1"/>
  <c r="N258" i="9" s="1"/>
  <c r="K129" i="11" l="1"/>
  <c r="H260" i="9"/>
  <c r="P129" i="11"/>
  <c r="H261" i="9"/>
  <c r="R124" i="11"/>
  <c r="H251" i="9"/>
  <c r="O124" i="11"/>
  <c r="H250" i="9"/>
  <c r="P250" i="9" l="1"/>
  <c r="Q250" i="9" s="1"/>
  <c r="P251" i="9"/>
  <c r="Q251" i="9" s="1"/>
  <c r="V250" i="9"/>
  <c r="V251" i="9"/>
  <c r="V261" i="9"/>
  <c r="P261" i="9"/>
  <c r="Q261" i="9" s="1"/>
  <c r="P260" i="9"/>
  <c r="Q260" i="9" s="1"/>
  <c r="V260" i="9"/>
  <c r="W261" i="9" l="1"/>
  <c r="X261" i="9" s="1"/>
  <c r="W260" i="9"/>
  <c r="X260" i="9" s="1"/>
  <c r="W250" i="9"/>
  <c r="X250" i="9" s="1"/>
  <c r="W251" i="9"/>
  <c r="X251" i="9" s="1"/>
  <c r="J250" i="9" l="1"/>
  <c r="M250" i="9" s="1"/>
  <c r="N250" i="9" s="1"/>
  <c r="J251" i="9"/>
  <c r="M251" i="9" s="1"/>
  <c r="N251" i="9" s="1"/>
  <c r="J261" i="9"/>
  <c r="M261" i="9" s="1"/>
  <c r="N261" i="9" s="1"/>
  <c r="J260" i="9"/>
  <c r="M260" i="9" s="1"/>
  <c r="N260" i="9" s="1"/>
  <c r="P130" i="11" l="1"/>
  <c r="H263" i="9"/>
  <c r="K130" i="11"/>
  <c r="H262" i="9"/>
  <c r="R125" i="11"/>
  <c r="H253" i="9"/>
  <c r="O125" i="11"/>
  <c r="H252" i="9"/>
  <c r="P253" i="9" l="1"/>
  <c r="Q253" i="9" s="1"/>
  <c r="P252" i="9"/>
  <c r="Q252" i="9" s="1"/>
  <c r="V252" i="9"/>
  <c r="V253" i="9"/>
  <c r="V262" i="9"/>
  <c r="P263" i="9"/>
  <c r="Q263" i="9" s="1"/>
  <c r="P262" i="9"/>
  <c r="Q262" i="9" s="1"/>
  <c r="V263" i="9"/>
  <c r="W263" i="9" l="1"/>
  <c r="X263" i="9" s="1"/>
  <c r="W262" i="9"/>
  <c r="X262" i="9" s="1"/>
  <c r="W253" i="9"/>
  <c r="X253" i="9" s="1"/>
  <c r="W252" i="9"/>
  <c r="X252" i="9" s="1"/>
  <c r="J252" i="9" l="1"/>
  <c r="M252" i="9" s="1"/>
  <c r="N252" i="9" s="1"/>
  <c r="J253" i="9"/>
  <c r="M253" i="9" s="1"/>
  <c r="N253" i="9" s="1"/>
  <c r="J263" i="9"/>
  <c r="M263" i="9" s="1"/>
  <c r="N263" i="9" s="1"/>
  <c r="J262" i="9"/>
  <c r="M262" i="9" s="1"/>
  <c r="N262" i="9" s="1"/>
  <c r="K131" i="11" l="1"/>
  <c r="H264" i="9"/>
  <c r="P131" i="11"/>
  <c r="H265" i="9"/>
  <c r="R126" i="11"/>
  <c r="H254" i="9"/>
  <c r="O126" i="11"/>
  <c r="H255" i="9"/>
  <c r="V255" i="9" l="1"/>
  <c r="P255" i="9"/>
  <c r="Q255" i="9" s="1"/>
  <c r="P254" i="9"/>
  <c r="Q254" i="9" s="1"/>
  <c r="V254" i="9"/>
  <c r="P264" i="9"/>
  <c r="Q264" i="9" s="1"/>
  <c r="P265" i="9"/>
  <c r="Q265" i="9" s="1"/>
  <c r="V265" i="9"/>
  <c r="V264" i="9"/>
  <c r="W265" i="9" l="1"/>
  <c r="X265" i="9" s="1"/>
  <c r="W264" i="9"/>
  <c r="X264" i="9" s="1"/>
  <c r="W254" i="9"/>
  <c r="X254" i="9" s="1"/>
  <c r="W255" i="9"/>
  <c r="X255" i="9" s="1"/>
  <c r="J254" i="9" l="1"/>
  <c r="M254" i="9" s="1"/>
  <c r="N254" i="9" s="1"/>
  <c r="J255" i="9"/>
  <c r="M255" i="9" s="1"/>
  <c r="N255" i="9" s="1"/>
  <c r="O160" i="11" s="1"/>
  <c r="J265" i="9"/>
  <c r="M265" i="9" s="1"/>
  <c r="N265" i="9" s="1"/>
  <c r="J264" i="9"/>
  <c r="M264" i="9" s="1"/>
  <c r="N264" i="9" s="1"/>
  <c r="O158" i="11" l="1"/>
  <c r="O159" i="11"/>
  <c r="O156" i="11"/>
  <c r="O157" i="11"/>
  <c r="O155" i="11"/>
  <c r="O154" i="11"/>
  <c r="O152" i="11"/>
  <c r="O153" i="11"/>
  <c r="K132" i="11"/>
  <c r="H266" i="9"/>
  <c r="P132" i="11"/>
  <c r="H267" i="9"/>
  <c r="O147" i="11"/>
  <c r="O144" i="11"/>
  <c r="O146" i="11"/>
  <c r="O148" i="11"/>
  <c r="O150" i="11"/>
  <c r="O129" i="11"/>
  <c r="O138" i="11"/>
  <c r="O131" i="11"/>
  <c r="O140" i="11"/>
  <c r="O133" i="11"/>
  <c r="O142" i="11"/>
  <c r="O135" i="11"/>
  <c r="O128" i="11"/>
  <c r="O137" i="11"/>
  <c r="O145" i="11"/>
  <c r="O130" i="11"/>
  <c r="O139" i="11"/>
  <c r="O132" i="11"/>
  <c r="O141" i="11"/>
  <c r="O134" i="11"/>
  <c r="O149" i="11"/>
  <c r="O143" i="11"/>
  <c r="O127" i="11"/>
  <c r="O136" i="11"/>
  <c r="J11" i="11"/>
  <c r="R133" i="11"/>
  <c r="R135" i="11"/>
  <c r="R128" i="11"/>
  <c r="R137" i="11"/>
  <c r="R130" i="11"/>
  <c r="R132" i="11"/>
  <c r="R134" i="11"/>
  <c r="R127" i="11"/>
  <c r="R136" i="11"/>
  <c r="R129" i="11"/>
  <c r="R131" i="11"/>
  <c r="H277" i="9"/>
  <c r="V277" i="9" l="1"/>
  <c r="V267" i="9"/>
  <c r="P266" i="9"/>
  <c r="Q266" i="9" s="1"/>
  <c r="P267" i="9"/>
  <c r="Q267" i="9" s="1"/>
  <c r="V266" i="9"/>
  <c r="W267" i="9" l="1"/>
  <c r="X267" i="9" s="1"/>
  <c r="W266" i="9"/>
  <c r="X266" i="9" s="1"/>
  <c r="J267" i="9" l="1"/>
  <c r="M267" i="9" s="1"/>
  <c r="N267" i="9" s="1"/>
  <c r="J266" i="9"/>
  <c r="M266" i="9" s="1"/>
  <c r="N266" i="9" s="1"/>
  <c r="K133" i="11" l="1"/>
  <c r="H268" i="9"/>
  <c r="P133" i="11"/>
  <c r="H269" i="9"/>
  <c r="P268" i="9" l="1"/>
  <c r="Q268" i="9" s="1"/>
  <c r="P269" i="9"/>
  <c r="Q269" i="9" s="1"/>
  <c r="V268" i="9"/>
  <c r="V269" i="9"/>
  <c r="W269" i="9" l="1"/>
  <c r="X269" i="9" s="1"/>
  <c r="W268" i="9"/>
  <c r="X268" i="9" s="1"/>
  <c r="J268" i="9" l="1"/>
  <c r="M268" i="9" s="1"/>
  <c r="N268" i="9" s="1"/>
  <c r="J269" i="9"/>
  <c r="M269" i="9" s="1"/>
  <c r="N269" i="9" s="1"/>
  <c r="P134" i="11" l="1"/>
  <c r="H271" i="9"/>
  <c r="K134" i="11"/>
  <c r="H270" i="9"/>
  <c r="P271" i="9" l="1"/>
  <c r="Q271" i="9" s="1"/>
  <c r="P270" i="9"/>
  <c r="Q270" i="9" s="1"/>
  <c r="V270" i="9"/>
  <c r="V271" i="9"/>
  <c r="W270" i="9" l="1"/>
  <c r="X270" i="9" s="1"/>
  <c r="W271" i="9"/>
  <c r="X271" i="9" s="1"/>
  <c r="J270" i="9" l="1"/>
  <c r="M270" i="9" s="1"/>
  <c r="N270" i="9" s="1"/>
  <c r="J271" i="9"/>
  <c r="M271" i="9" s="1"/>
  <c r="N271" i="9" s="1"/>
  <c r="P135" i="11" l="1"/>
  <c r="H273" i="9"/>
  <c r="K135" i="11"/>
  <c r="H272" i="9"/>
  <c r="P273" i="9" l="1"/>
  <c r="Q273" i="9" s="1"/>
  <c r="P272" i="9"/>
  <c r="Q272" i="9" s="1"/>
  <c r="V272" i="9"/>
  <c r="V273" i="9"/>
  <c r="W273" i="9" l="1"/>
  <c r="X273" i="9" s="1"/>
  <c r="W272" i="9"/>
  <c r="X272" i="9" s="1"/>
  <c r="J272" i="9" l="1"/>
  <c r="M272" i="9" s="1"/>
  <c r="N272" i="9" s="1"/>
  <c r="J273" i="9"/>
  <c r="M273" i="9" s="1"/>
  <c r="N273" i="9" s="1"/>
  <c r="P136" i="11" l="1"/>
  <c r="H275" i="9"/>
  <c r="K136" i="11"/>
  <c r="H274" i="9"/>
  <c r="P274" i="9" l="1"/>
  <c r="Q274" i="9" s="1"/>
  <c r="P275" i="9"/>
  <c r="Q275" i="9" s="1"/>
  <c r="V274" i="9"/>
  <c r="V275" i="9"/>
  <c r="W275" i="9" l="1"/>
  <c r="X275" i="9" s="1"/>
  <c r="W274" i="9"/>
  <c r="X274" i="9" s="1"/>
  <c r="J275" i="9" l="1"/>
  <c r="M275" i="9" s="1"/>
  <c r="N275" i="9" s="1"/>
  <c r="J274" i="9"/>
  <c r="M274" i="9" s="1"/>
  <c r="N274" i="9" s="1"/>
  <c r="H303" i="9" l="1"/>
  <c r="K150" i="11"/>
  <c r="K149" i="11"/>
  <c r="K146" i="11"/>
  <c r="K141" i="11"/>
  <c r="K143" i="11"/>
  <c r="K138" i="11"/>
  <c r="K147" i="11"/>
  <c r="K140" i="11"/>
  <c r="K148" i="11"/>
  <c r="K142" i="11"/>
  <c r="K145" i="11"/>
  <c r="K144" i="11"/>
  <c r="K137" i="11"/>
  <c r="K139" i="11"/>
  <c r="J7" i="11"/>
  <c r="P137" i="11"/>
  <c r="H276" i="9"/>
  <c r="V303" i="9" l="1"/>
  <c r="P276" i="9"/>
  <c r="Q276" i="9" s="1"/>
  <c r="P277" i="9"/>
  <c r="Q277" i="9" s="1"/>
  <c r="V276" i="9"/>
  <c r="W277" i="9" l="1"/>
  <c r="X277" i="9" s="1"/>
  <c r="W276" i="9"/>
  <c r="X276" i="9" s="1"/>
  <c r="J277" i="9" l="1"/>
  <c r="M277" i="9" s="1"/>
  <c r="N277" i="9" s="1"/>
  <c r="J276" i="9"/>
  <c r="M276" i="9" s="1"/>
  <c r="N276" i="9" s="1"/>
  <c r="P138" i="11" l="1"/>
  <c r="H278" i="9"/>
  <c r="R140" i="11"/>
  <c r="R142" i="11"/>
  <c r="R139" i="11"/>
  <c r="R144" i="11"/>
  <c r="R141" i="11"/>
  <c r="R143" i="11"/>
  <c r="R138" i="11"/>
  <c r="H291" i="9"/>
  <c r="P290" i="9" l="1"/>
  <c r="P291" i="9"/>
  <c r="Q291" i="9" s="1"/>
  <c r="V291" i="9"/>
  <c r="V278" i="9"/>
  <c r="X278" i="9" s="1"/>
  <c r="Q278" i="9"/>
  <c r="W291" i="9" l="1"/>
  <c r="X291" i="9" s="1"/>
  <c r="W290" i="9"/>
  <c r="J279" i="9"/>
  <c r="M279" i="9" s="1"/>
  <c r="N279" i="9" s="1"/>
  <c r="J278" i="9"/>
  <c r="M278" i="9" s="1"/>
  <c r="N278" i="9" s="1"/>
  <c r="P139" i="11" l="1"/>
  <c r="H280" i="9"/>
  <c r="U139" i="11"/>
  <c r="H281" i="9"/>
  <c r="P280" i="9" l="1"/>
  <c r="Q280" i="9" s="1"/>
  <c r="P281" i="9"/>
  <c r="Q281" i="9" s="1"/>
  <c r="V281" i="9"/>
  <c r="V280" i="9"/>
  <c r="W281" i="9" l="1"/>
  <c r="X281" i="9" s="1"/>
  <c r="W280" i="9"/>
  <c r="X280" i="9" s="1"/>
  <c r="J281" i="9" l="1"/>
  <c r="M281" i="9" s="1"/>
  <c r="N281" i="9" s="1"/>
  <c r="J280" i="9"/>
  <c r="M280" i="9" s="1"/>
  <c r="N280" i="9" s="1"/>
  <c r="P140" i="11" l="1"/>
  <c r="H282" i="9"/>
  <c r="U140" i="11"/>
  <c r="H283" i="9"/>
  <c r="P283" i="9" l="1"/>
  <c r="Q283" i="9" s="1"/>
  <c r="P282" i="9"/>
  <c r="Q282" i="9" s="1"/>
  <c r="V283" i="9"/>
  <c r="V282" i="9"/>
  <c r="W282" i="9" l="1"/>
  <c r="X282" i="9" s="1"/>
  <c r="W283" i="9"/>
  <c r="X283" i="9" s="1"/>
  <c r="J282" i="9" l="1"/>
  <c r="M282" i="9" s="1"/>
  <c r="N282" i="9" s="1"/>
  <c r="J283" i="9"/>
  <c r="M283" i="9" s="1"/>
  <c r="N283" i="9" s="1"/>
  <c r="U141" i="11" l="1"/>
  <c r="H285" i="9"/>
  <c r="P141" i="11"/>
  <c r="H284" i="9"/>
  <c r="V284" i="9" l="1"/>
  <c r="P284" i="9"/>
  <c r="Q284" i="9" s="1"/>
  <c r="P285" i="9"/>
  <c r="Q285" i="9" s="1"/>
  <c r="V285" i="9"/>
  <c r="W285" i="9" l="1"/>
  <c r="X285" i="9" s="1"/>
  <c r="W284" i="9"/>
  <c r="X284" i="9" s="1"/>
  <c r="J284" i="9" l="1"/>
  <c r="M284" i="9" s="1"/>
  <c r="N284" i="9" s="1"/>
  <c r="J285" i="9"/>
  <c r="M285" i="9" s="1"/>
  <c r="N285" i="9" s="1"/>
  <c r="U142" i="11" l="1"/>
  <c r="H287" i="9"/>
  <c r="P142" i="11"/>
  <c r="H286" i="9"/>
  <c r="P287" i="9" l="1"/>
  <c r="Q287" i="9" s="1"/>
  <c r="P286" i="9"/>
  <c r="Q286" i="9" s="1"/>
  <c r="V286" i="9"/>
  <c r="V287" i="9"/>
  <c r="W286" i="9" l="1"/>
  <c r="X286" i="9" s="1"/>
  <c r="W287" i="9"/>
  <c r="X287" i="9" s="1"/>
  <c r="J286" i="9" l="1"/>
  <c r="M286" i="9" s="1"/>
  <c r="N286" i="9" s="1"/>
  <c r="J287" i="9"/>
  <c r="M287" i="9" s="1"/>
  <c r="N287" i="9" s="1"/>
  <c r="U143" i="11" l="1"/>
  <c r="H289" i="9"/>
  <c r="P143" i="11"/>
  <c r="H288" i="9"/>
  <c r="P288" i="9" l="1"/>
  <c r="Q288" i="9" s="1"/>
  <c r="P289" i="9"/>
  <c r="Q289" i="9" s="1"/>
  <c r="V288" i="9"/>
  <c r="V289" i="9"/>
  <c r="W289" i="9" l="1"/>
  <c r="X289" i="9" s="1"/>
  <c r="W288" i="9"/>
  <c r="X288" i="9" s="1"/>
  <c r="J288" i="9" l="1"/>
  <c r="M288" i="9" s="1"/>
  <c r="N288" i="9" s="1"/>
  <c r="J289" i="9"/>
  <c r="M289" i="9" s="1"/>
  <c r="N289" i="9" s="1"/>
  <c r="U145" i="11" l="1"/>
  <c r="U147" i="11"/>
  <c r="U144" i="11"/>
  <c r="U146"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4" i="9" l="1"/>
  <c r="Q294" i="9" s="1"/>
  <c r="P295" i="9"/>
  <c r="Q295" i="9" s="1"/>
  <c r="V295" i="9"/>
  <c r="V294" i="9"/>
  <c r="W295" i="9" l="1"/>
  <c r="X295" i="9" s="1"/>
  <c r="W294" i="9"/>
  <c r="X294" i="9" s="1"/>
  <c r="J295" i="9" l="1"/>
  <c r="M295" i="9" s="1"/>
  <c r="N295" i="9" s="1"/>
  <c r="R160" i="11" s="1"/>
  <c r="J294" i="9"/>
  <c r="M294" i="9" s="1"/>
  <c r="N294" i="9" s="1"/>
  <c r="R158" i="11" l="1"/>
  <c r="R159" i="11"/>
  <c r="R156" i="11"/>
  <c r="R157" i="11"/>
  <c r="R153" i="11"/>
  <c r="R155" i="11"/>
  <c r="R154" i="11"/>
  <c r="R152" i="11"/>
  <c r="J14" i="11"/>
  <c r="P147" i="11"/>
  <c r="H296" i="9"/>
  <c r="R149" i="11"/>
  <c r="R148" i="11"/>
  <c r="R150" i="11"/>
  <c r="R147" i="11"/>
  <c r="P296" i="9" l="1"/>
  <c r="Q296" i="9" s="1"/>
  <c r="P297" i="9"/>
  <c r="Q297" i="9" s="1"/>
  <c r="V296" i="9"/>
  <c r="W297" i="9" l="1"/>
  <c r="X297" i="9" s="1"/>
  <c r="W296" i="9"/>
  <c r="X296" i="9" s="1"/>
  <c r="J296" i="9" l="1"/>
  <c r="M296" i="9" s="1"/>
  <c r="N296" i="9" s="1"/>
  <c r="J297" i="9"/>
  <c r="M297" i="9" s="1"/>
  <c r="N297" i="9" s="1"/>
  <c r="U148" i="11" l="1"/>
  <c r="H299" i="9"/>
  <c r="P148" i="11"/>
  <c r="H298" i="9"/>
  <c r="V298" i="9" l="1"/>
  <c r="P299" i="9"/>
  <c r="Q299" i="9" s="1"/>
  <c r="P298" i="9"/>
  <c r="Q298" i="9" s="1"/>
  <c r="V299" i="9"/>
  <c r="W298" i="9" l="1"/>
  <c r="X298" i="9" s="1"/>
  <c r="W299" i="9"/>
  <c r="X299" i="9" s="1"/>
  <c r="J298" i="9" l="1"/>
  <c r="M298" i="9" s="1"/>
  <c r="N298" i="9" s="1"/>
  <c r="J299" i="9"/>
  <c r="M299" i="9" s="1"/>
  <c r="N299" i="9" s="1"/>
  <c r="U149" i="11" l="1"/>
  <c r="H301" i="9"/>
  <c r="P149" i="11"/>
  <c r="H300" i="9"/>
  <c r="P301" i="9" l="1"/>
  <c r="Q301" i="9" s="1"/>
  <c r="P300" i="9"/>
  <c r="Q300" i="9" s="1"/>
  <c r="V300" i="9"/>
  <c r="V301" i="9"/>
  <c r="W300" i="9" l="1"/>
  <c r="X300" i="9" s="1"/>
  <c r="W301" i="9"/>
  <c r="X301" i="9" s="1"/>
  <c r="J300" i="9" l="1"/>
  <c r="M300" i="9" s="1"/>
  <c r="N300" i="9" s="1"/>
  <c r="H302" i="9" s="1"/>
  <c r="J301" i="9"/>
  <c r="P303" i="9" l="1"/>
  <c r="Q303" i="9" s="1"/>
  <c r="P302" i="9"/>
  <c r="Q302" i="9" s="1"/>
  <c r="V302" i="9"/>
  <c r="J12" i="11"/>
  <c r="M301" i="9"/>
  <c r="P150" i="11"/>
  <c r="W302" i="9" l="1"/>
  <c r="X302" i="9" s="1"/>
  <c r="W303" i="9"/>
  <c r="X303" i="9" s="1"/>
  <c r="J303" i="9" s="1"/>
  <c r="M303" i="9" s="1"/>
  <c r="N303" i="9" s="1"/>
  <c r="N301" i="9"/>
  <c r="U159" i="11" l="1"/>
  <c r="U160" i="11"/>
  <c r="U156" i="11"/>
  <c r="U157" i="11"/>
  <c r="U155" i="11"/>
  <c r="U154" i="11"/>
  <c r="U152" i="11"/>
  <c r="U153" i="11"/>
  <c r="J302" i="9"/>
  <c r="M302" i="9" s="1"/>
  <c r="N302" i="9" s="1"/>
  <c r="H305" i="9"/>
  <c r="K151" i="11"/>
  <c r="B9" i="12"/>
  <c r="R151" i="11"/>
  <c r="B6" i="12"/>
  <c r="O151" i="11"/>
  <c r="U151" i="11"/>
  <c r="J17" i="11"/>
  <c r="U150" i="11"/>
  <c r="V305" i="9" l="1"/>
  <c r="H304" i="9"/>
  <c r="F75" i="6"/>
  <c r="S75" i="6" s="1"/>
  <c r="H2" i="12"/>
  <c r="B11" i="11"/>
  <c r="S11" i="11" s="1"/>
  <c r="W11" i="11" s="1"/>
  <c r="K2" i="12"/>
  <c r="B14" i="11"/>
  <c r="S14" i="11" s="1"/>
  <c r="W14" i="11" s="1"/>
  <c r="F78" i="6"/>
  <c r="S78" i="6" s="1"/>
  <c r="P151" i="11"/>
  <c r="K17" i="11"/>
  <c r="K10" i="11"/>
  <c r="K8" i="11"/>
  <c r="K16" i="11"/>
  <c r="K12" i="11"/>
  <c r="K19" i="11"/>
  <c r="K18" i="11"/>
  <c r="K13" i="11"/>
  <c r="K9" i="11"/>
  <c r="K7" i="11"/>
  <c r="K11" i="11"/>
  <c r="K20" i="11"/>
  <c r="K15" i="11"/>
  <c r="K14" i="11"/>
  <c r="P304" i="9" l="1"/>
  <c r="Q304" i="9" s="1"/>
  <c r="P305" i="9"/>
  <c r="Q305" i="9" s="1"/>
  <c r="V304" i="9"/>
  <c r="A13" i="3"/>
  <c r="A8" i="3"/>
  <c r="A14" i="3"/>
  <c r="A16" i="3"/>
  <c r="A9" i="3"/>
  <c r="A10" i="3"/>
  <c r="A15" i="3"/>
  <c r="A18" i="3"/>
  <c r="A11" i="3"/>
  <c r="A17" i="3"/>
  <c r="A5" i="3"/>
  <c r="A12" i="3"/>
  <c r="A6" i="3"/>
  <c r="A7" i="3"/>
  <c r="W304" i="9" l="1"/>
  <c r="X304" i="9" s="1"/>
  <c r="J304" i="9" s="1"/>
  <c r="M304" i="9" s="1"/>
  <c r="W305" i="9"/>
  <c r="X305" i="9" s="1"/>
  <c r="J305" i="9" s="1"/>
  <c r="M305" i="9" s="1"/>
  <c r="N305" i="9" s="1"/>
  <c r="H307" i="9" s="1"/>
  <c r="V307" i="9" l="1"/>
  <c r="N304" i="9"/>
  <c r="K152" i="11"/>
  <c r="P152" i="11"/>
  <c r="H306" i="9" l="1"/>
  <c r="H444" i="11" a="1"/>
  <c r="H444" i="11" s="1"/>
  <c r="D444" i="11" a="1"/>
  <c r="D444" i="11" s="1"/>
  <c r="G444" i="11" s="1"/>
  <c r="I444" i="11" s="1"/>
  <c r="Y444" i="11" s="1"/>
  <c r="H443" i="11" a="1"/>
  <c r="H443" i="11" s="1"/>
  <c r="D443" i="11" a="1"/>
  <c r="D443" i="11" s="1"/>
  <c r="G443" i="11" s="1"/>
  <c r="I443" i="11" s="1"/>
  <c r="Y443" i="11" s="1"/>
  <c r="H442" i="11" a="1"/>
  <c r="H442" i="11" s="1"/>
  <c r="D442" i="11" a="1"/>
  <c r="D442" i="11" s="1"/>
  <c r="G442" i="11" s="1"/>
  <c r="I442" i="11" s="1"/>
  <c r="Y442" i="11" s="1"/>
  <c r="H441" i="11" a="1"/>
  <c r="H441" i="11" s="1"/>
  <c r="D441" i="11" a="1"/>
  <c r="D441" i="11" s="1"/>
  <c r="G441" i="11" s="1"/>
  <c r="I441" i="11" s="1"/>
  <c r="Y441" i="11" s="1"/>
  <c r="H440" i="11" a="1"/>
  <c r="H440" i="11" s="1"/>
  <c r="D440" i="11" a="1"/>
  <c r="D440" i="11" s="1"/>
  <c r="G440" i="11" s="1"/>
  <c r="I440" i="11" s="1"/>
  <c r="Y440" i="11" s="1"/>
  <c r="H439" i="11" a="1"/>
  <c r="H439" i="11" s="1"/>
  <c r="D439" i="11" a="1"/>
  <c r="D439" i="11" s="1"/>
  <c r="G439" i="11" s="1"/>
  <c r="I439" i="11" s="1"/>
  <c r="Y439" i="11" s="1"/>
  <c r="H438" i="11" a="1"/>
  <c r="H438" i="11" s="1"/>
  <c r="D438" i="11" a="1"/>
  <c r="D438" i="11" s="1"/>
  <c r="G438" i="11" s="1"/>
  <c r="I438" i="11" s="1"/>
  <c r="Y438" i="11" s="1"/>
  <c r="H437" i="11" a="1"/>
  <c r="H437" i="11" s="1"/>
  <c r="D437" i="11" a="1"/>
  <c r="D437" i="11" s="1"/>
  <c r="G437" i="11" s="1"/>
  <c r="I437" i="11" s="1"/>
  <c r="Y437" i="11" s="1"/>
  <c r="H436" i="11" a="1"/>
  <c r="H436" i="11" s="1"/>
  <c r="D436" i="11" a="1"/>
  <c r="D436" i="11" s="1"/>
  <c r="G436" i="11" s="1"/>
  <c r="I436" i="11" s="1"/>
  <c r="Y436" i="11" s="1"/>
  <c r="H435" i="11" a="1"/>
  <c r="H435" i="11" s="1"/>
  <c r="D435" i="11" a="1"/>
  <c r="D435" i="11" s="1"/>
  <c r="G435" i="11" s="1"/>
  <c r="I435" i="11" s="1"/>
  <c r="Y435" i="11" s="1"/>
  <c r="H434" i="11" a="1"/>
  <c r="H434" i="11" s="1"/>
  <c r="D434" i="11" a="1"/>
  <c r="D434" i="11" s="1"/>
  <c r="G434" i="11" s="1"/>
  <c r="I434" i="11" s="1"/>
  <c r="Y434" i="11" s="1"/>
  <c r="H433" i="11" a="1"/>
  <c r="H433" i="11" s="1"/>
  <c r="D433" i="11" a="1"/>
  <c r="D433" i="11" s="1"/>
  <c r="G433" i="11" s="1"/>
  <c r="I433" i="11" s="1"/>
  <c r="Y433" i="11" s="1"/>
  <c r="H432" i="11" a="1"/>
  <c r="H432" i="11" s="1"/>
  <c r="D432" i="11" a="1"/>
  <c r="D432" i="11" s="1"/>
  <c r="G432" i="11" s="1"/>
  <c r="I432" i="11" s="1"/>
  <c r="Y432" i="11" s="1"/>
  <c r="H431" i="11" a="1"/>
  <c r="H431" i="11" s="1"/>
  <c r="D431" i="11" a="1"/>
  <c r="D431" i="11" s="1"/>
  <c r="G431" i="11" s="1"/>
  <c r="I431" i="11" s="1"/>
  <c r="Y431" i="11" s="1"/>
  <c r="H430" i="11" a="1"/>
  <c r="H430" i="11" s="1"/>
  <c r="D430" i="11" a="1"/>
  <c r="D430" i="11" s="1"/>
  <c r="G430" i="11" s="1"/>
  <c r="I430" i="11" s="1"/>
  <c r="Y430" i="11" s="1"/>
  <c r="H429" i="11" a="1"/>
  <c r="H429" i="11" s="1"/>
  <c r="D429" i="11" a="1"/>
  <c r="D429" i="11" s="1"/>
  <c r="G429" i="11" s="1"/>
  <c r="I429" i="11" s="1"/>
  <c r="Y429" i="11" s="1"/>
  <c r="H428" i="11" a="1"/>
  <c r="H428" i="11" s="1"/>
  <c r="D428" i="11" a="1"/>
  <c r="D428" i="11" s="1"/>
  <c r="G428" i="11" s="1"/>
  <c r="I428" i="11" s="1"/>
  <c r="Y428" i="11" s="1"/>
  <c r="H427" i="11" a="1"/>
  <c r="H427" i="11" s="1"/>
  <c r="D427" i="11" a="1"/>
  <c r="D427" i="11" s="1"/>
  <c r="G427" i="11" s="1"/>
  <c r="I427" i="11" s="1"/>
  <c r="Y427" i="11" s="1"/>
  <c r="H426" i="11" a="1"/>
  <c r="H426" i="11" s="1"/>
  <c r="D426" i="11" a="1"/>
  <c r="D426" i="11" s="1"/>
  <c r="G426" i="11" s="1"/>
  <c r="I426" i="11" s="1"/>
  <c r="Y426" i="11" s="1"/>
  <c r="H425" i="11" a="1"/>
  <c r="H425" i="11" s="1"/>
  <c r="D425" i="11" a="1"/>
  <c r="D425" i="11" s="1"/>
  <c r="G425" i="11" s="1"/>
  <c r="I425" i="11" s="1"/>
  <c r="Y425" i="11" s="1"/>
  <c r="H424" i="11" a="1"/>
  <c r="H424" i="11" s="1"/>
  <c r="D424" i="11" a="1"/>
  <c r="D424" i="11" s="1"/>
  <c r="G424" i="11" s="1"/>
  <c r="I424" i="11" s="1"/>
  <c r="Y424" i="11" s="1"/>
  <c r="H423" i="11" a="1"/>
  <c r="H423" i="11" s="1"/>
  <c r="D423" i="11" a="1"/>
  <c r="D423" i="11" s="1"/>
  <c r="G423" i="11" s="1"/>
  <c r="I423" i="11" s="1"/>
  <c r="Y423" i="11" s="1"/>
  <c r="H422" i="11" a="1"/>
  <c r="H422" i="11" s="1"/>
  <c r="D422" i="11" a="1"/>
  <c r="D422" i="11" s="1"/>
  <c r="G422" i="11" s="1"/>
  <c r="I422" i="11" s="1"/>
  <c r="Y422" i="11" s="1"/>
  <c r="H421" i="11" a="1"/>
  <c r="H421" i="11" s="1"/>
  <c r="D421" i="11" a="1"/>
  <c r="D421" i="11" s="1"/>
  <c r="G421" i="11" s="1"/>
  <c r="I421" i="11" s="1"/>
  <c r="Y421" i="11" s="1"/>
  <c r="H420" i="11" a="1"/>
  <c r="H420" i="11" s="1"/>
  <c r="D420" i="11" a="1"/>
  <c r="D420" i="11" s="1"/>
  <c r="G420" i="11" s="1"/>
  <c r="I420" i="11" s="1"/>
  <c r="Y420" i="11" s="1"/>
  <c r="H419" i="11" a="1"/>
  <c r="H419" i="11" s="1"/>
  <c r="D419" i="11" a="1"/>
  <c r="D419" i="11" s="1"/>
  <c r="G419" i="11" s="1"/>
  <c r="I419" i="11" s="1"/>
  <c r="Y419" i="11" s="1"/>
  <c r="H418" i="11" a="1"/>
  <c r="H418" i="11" s="1"/>
  <c r="D418" i="11" a="1"/>
  <c r="D418" i="11" s="1"/>
  <c r="G418" i="11" s="1"/>
  <c r="I418" i="11" s="1"/>
  <c r="Y418" i="11" s="1"/>
  <c r="H417" i="11" a="1"/>
  <c r="H417" i="11" s="1"/>
  <c r="D417" i="11" a="1"/>
  <c r="D417" i="11" s="1"/>
  <c r="G417" i="11" s="1"/>
  <c r="I417" i="11" s="1"/>
  <c r="Y417" i="11" s="1"/>
  <c r="H416" i="11" a="1"/>
  <c r="H416" i="11" s="1"/>
  <c r="D416" i="11" a="1"/>
  <c r="D416" i="11" s="1"/>
  <c r="G416" i="11" s="1"/>
  <c r="I416" i="11" s="1"/>
  <c r="Y416" i="11" s="1"/>
  <c r="H415" i="11" a="1"/>
  <c r="H415" i="11" s="1"/>
  <c r="D415" i="11" a="1"/>
  <c r="D415" i="11" s="1"/>
  <c r="G415" i="11" s="1"/>
  <c r="I415" i="11" s="1"/>
  <c r="Y415" i="11" s="1"/>
  <c r="H414" i="11" a="1"/>
  <c r="H414" i="11" s="1"/>
  <c r="D414" i="11" a="1"/>
  <c r="D414" i="11" s="1"/>
  <c r="G414" i="11" s="1"/>
  <c r="I414" i="11" s="1"/>
  <c r="Y414" i="11" s="1"/>
  <c r="H413" i="11" a="1"/>
  <c r="H413" i="11" s="1"/>
  <c r="D413" i="11" a="1"/>
  <c r="D413" i="11" s="1"/>
  <c r="G413" i="11" s="1"/>
  <c r="I413" i="11" s="1"/>
  <c r="Y413" i="11" s="1"/>
  <c r="H412" i="11" a="1"/>
  <c r="H412" i="11" s="1"/>
  <c r="D412" i="11" a="1"/>
  <c r="D412" i="11" s="1"/>
  <c r="G412" i="11" s="1"/>
  <c r="I412" i="11" s="1"/>
  <c r="Y412" i="11" s="1"/>
  <c r="H411" i="11" a="1"/>
  <c r="H411" i="11" s="1"/>
  <c r="D411" i="11" a="1"/>
  <c r="D411" i="11" s="1"/>
  <c r="G411" i="11" s="1"/>
  <c r="I411" i="11" s="1"/>
  <c r="Y411" i="11" s="1"/>
  <c r="H410" i="11" a="1"/>
  <c r="H410" i="11" s="1"/>
  <c r="D410" i="11" a="1"/>
  <c r="D410" i="11" s="1"/>
  <c r="G410" i="11" s="1"/>
  <c r="I410" i="11" s="1"/>
  <c r="Y410" i="11" s="1"/>
  <c r="H409" i="11" a="1"/>
  <c r="H409" i="11" s="1"/>
  <c r="D409" i="11" a="1"/>
  <c r="D409" i="11" s="1"/>
  <c r="G409" i="11" s="1"/>
  <c r="I409" i="11" s="1"/>
  <c r="Y409" i="11" s="1"/>
  <c r="H408" i="11" a="1"/>
  <c r="H408" i="11" s="1"/>
  <c r="D408" i="11" a="1"/>
  <c r="D408" i="11" s="1"/>
  <c r="G408" i="11" s="1"/>
  <c r="I408" i="11" s="1"/>
  <c r="Y408" i="11" s="1"/>
  <c r="H407" i="11" a="1"/>
  <c r="H407" i="11" s="1"/>
  <c r="D407" i="11" a="1"/>
  <c r="D407" i="11" s="1"/>
  <c r="G407" i="11" s="1"/>
  <c r="I407" i="11" s="1"/>
  <c r="Y407" i="11" s="1"/>
  <c r="H406" i="11" a="1"/>
  <c r="H406" i="11" s="1"/>
  <c r="D406" i="11" a="1"/>
  <c r="D406" i="11" s="1"/>
  <c r="G406" i="11" s="1"/>
  <c r="I406" i="11" s="1"/>
  <c r="Y406" i="11" s="1"/>
  <c r="H405" i="11" a="1"/>
  <c r="H405" i="11" s="1"/>
  <c r="D405" i="11" a="1"/>
  <c r="D405" i="11" s="1"/>
  <c r="G405" i="11" s="1"/>
  <c r="I405" i="11" s="1"/>
  <c r="Y405" i="11" s="1"/>
  <c r="H404" i="11" a="1"/>
  <c r="H404" i="11" s="1"/>
  <c r="D404" i="11" a="1"/>
  <c r="D404" i="11" s="1"/>
  <c r="G404" i="11" s="1"/>
  <c r="I404" i="11" s="1"/>
  <c r="Y404" i="11" s="1"/>
  <c r="H403" i="11" a="1"/>
  <c r="H403" i="11" s="1"/>
  <c r="D403" i="11" a="1"/>
  <c r="D403" i="11" s="1"/>
  <c r="G403" i="11" s="1"/>
  <c r="I403" i="11" s="1"/>
  <c r="Y403" i="11" s="1"/>
  <c r="H402" i="11" a="1"/>
  <c r="H402" i="11" s="1"/>
  <c r="D402" i="11" a="1"/>
  <c r="D402" i="11" s="1"/>
  <c r="G402" i="11" s="1"/>
  <c r="I402" i="11" s="1"/>
  <c r="Y402" i="11" s="1"/>
  <c r="H401" i="11" a="1"/>
  <c r="H401" i="11" s="1"/>
  <c r="D401" i="11" a="1"/>
  <c r="D401" i="11" s="1"/>
  <c r="G401" i="11" s="1"/>
  <c r="I401" i="11" s="1"/>
  <c r="Y401" i="11" s="1"/>
  <c r="H400" i="11" a="1"/>
  <c r="H400" i="11" s="1"/>
  <c r="D400" i="11" a="1"/>
  <c r="D400" i="11" s="1"/>
  <c r="G400" i="11" s="1"/>
  <c r="I400" i="11" s="1"/>
  <c r="Y400" i="11" s="1"/>
  <c r="H399" i="11" a="1"/>
  <c r="H399" i="11" s="1"/>
  <c r="D399" i="11" a="1"/>
  <c r="D399" i="11" s="1"/>
  <c r="G399" i="11" s="1"/>
  <c r="I399" i="11" s="1"/>
  <c r="Y399" i="11" s="1"/>
  <c r="H398" i="11" a="1"/>
  <c r="H398" i="11" s="1"/>
  <c r="D398" i="11" a="1"/>
  <c r="D398" i="11" s="1"/>
  <c r="G398" i="11" s="1"/>
  <c r="I398" i="11" s="1"/>
  <c r="Y398" i="11" s="1"/>
  <c r="H397" i="11" a="1"/>
  <c r="H397" i="11" s="1"/>
  <c r="D397" i="11" a="1"/>
  <c r="D397" i="11" s="1"/>
  <c r="G397" i="11" s="1"/>
  <c r="I397" i="11" s="1"/>
  <c r="Y397" i="11" s="1"/>
  <c r="H396" i="11" a="1"/>
  <c r="H396" i="11" s="1"/>
  <c r="D396" i="11" a="1"/>
  <c r="D396" i="11" s="1"/>
  <c r="G396" i="11" s="1"/>
  <c r="I396" i="11" s="1"/>
  <c r="Y396" i="11" s="1"/>
  <c r="H395" i="11" a="1"/>
  <c r="H395" i="11" s="1"/>
  <c r="D395" i="11" a="1"/>
  <c r="D395" i="11" s="1"/>
  <c r="G395" i="11" s="1"/>
  <c r="I395" i="11" s="1"/>
  <c r="Y395" i="11" s="1"/>
  <c r="H394" i="11" a="1"/>
  <c r="H394" i="11" s="1"/>
  <c r="D394" i="11" a="1"/>
  <c r="D394" i="11" s="1"/>
  <c r="G394" i="11" s="1"/>
  <c r="I394" i="11" s="1"/>
  <c r="Y394" i="11" s="1"/>
  <c r="H393" i="11" a="1"/>
  <c r="H393" i="11" s="1"/>
  <c r="D393" i="11" a="1"/>
  <c r="D393" i="11" s="1"/>
  <c r="G393" i="11" s="1"/>
  <c r="I393" i="11" s="1"/>
  <c r="Y393" i="11" s="1"/>
  <c r="H392" i="11" a="1"/>
  <c r="H392" i="11" s="1"/>
  <c r="D392" i="11" a="1"/>
  <c r="D392" i="11" s="1"/>
  <c r="G392" i="11" s="1"/>
  <c r="I392" i="11" s="1"/>
  <c r="Y392" i="11" s="1"/>
  <c r="H391" i="11" a="1"/>
  <c r="H391" i="11" s="1"/>
  <c r="D391" i="11" a="1"/>
  <c r="D391" i="11" s="1"/>
  <c r="G391" i="11" s="1"/>
  <c r="I391" i="11" s="1"/>
  <c r="Y391" i="11" s="1"/>
  <c r="H390" i="11" a="1"/>
  <c r="H390" i="11" s="1"/>
  <c r="D390" i="11" a="1"/>
  <c r="D390" i="11" s="1"/>
  <c r="G390" i="11" s="1"/>
  <c r="I390" i="11" s="1"/>
  <c r="Y390" i="11" s="1"/>
  <c r="H389" i="11" a="1"/>
  <c r="H389" i="11" s="1"/>
  <c r="D389" i="11" a="1"/>
  <c r="D389" i="11" s="1"/>
  <c r="G389" i="11" s="1"/>
  <c r="I389" i="11" s="1"/>
  <c r="Y389" i="11" s="1"/>
  <c r="H388" i="11" a="1"/>
  <c r="H388" i="11" s="1"/>
  <c r="D388" i="11" a="1"/>
  <c r="D388" i="11" s="1"/>
  <c r="G388" i="11" s="1"/>
  <c r="I388" i="11" s="1"/>
  <c r="Y388" i="11" s="1"/>
  <c r="H387" i="11" a="1"/>
  <c r="H387" i="11" s="1"/>
  <c r="D387" i="11" a="1"/>
  <c r="D387" i="11" s="1"/>
  <c r="G387" i="11" s="1"/>
  <c r="I387" i="11" s="1"/>
  <c r="Y387" i="11" s="1"/>
  <c r="H386" i="11" a="1"/>
  <c r="H386" i="11" s="1"/>
  <c r="D386" i="11" a="1"/>
  <c r="D386" i="11" s="1"/>
  <c r="G386" i="11" s="1"/>
  <c r="I386" i="11" s="1"/>
  <c r="Y386" i="11" s="1"/>
  <c r="H385" i="11" a="1"/>
  <c r="H385" i="11" s="1"/>
  <c r="D385" i="11" a="1"/>
  <c r="D385" i="11" s="1"/>
  <c r="G385" i="11" s="1"/>
  <c r="I385" i="11" s="1"/>
  <c r="Y385" i="11" s="1"/>
  <c r="H384" i="11" a="1"/>
  <c r="H384" i="11" s="1"/>
  <c r="D384" i="11" a="1"/>
  <c r="D384" i="11" s="1"/>
  <c r="G384" i="11" s="1"/>
  <c r="I384" i="11" s="1"/>
  <c r="Y384" i="11" s="1"/>
  <c r="H383" i="11" a="1"/>
  <c r="H383" i="11" s="1"/>
  <c r="D383" i="11" a="1"/>
  <c r="D383" i="11" s="1"/>
  <c r="G383" i="11" s="1"/>
  <c r="I383" i="11" s="1"/>
  <c r="Y383" i="11" s="1"/>
  <c r="H382" i="11" a="1"/>
  <c r="H382" i="11" s="1"/>
  <c r="D382" i="11" a="1"/>
  <c r="D382" i="11" s="1"/>
  <c r="G382" i="11" s="1"/>
  <c r="I382" i="11" s="1"/>
  <c r="Y382" i="11" s="1"/>
  <c r="H381" i="11" a="1"/>
  <c r="H381" i="11" s="1"/>
  <c r="D381" i="11" a="1"/>
  <c r="D381" i="11" s="1"/>
  <c r="G381" i="11" s="1"/>
  <c r="I381" i="11" s="1"/>
  <c r="Y381" i="11" s="1"/>
  <c r="H380" i="11" a="1"/>
  <c r="H380" i="11" s="1"/>
  <c r="D380" i="11" a="1"/>
  <c r="D380" i="11" s="1"/>
  <c r="G380" i="11" s="1"/>
  <c r="I380" i="11" s="1"/>
  <c r="Y380" i="11" s="1"/>
  <c r="H379" i="11" a="1"/>
  <c r="H379" i="11" s="1"/>
  <c r="D379" i="11" a="1"/>
  <c r="D379" i="11" s="1"/>
  <c r="G379" i="11" s="1"/>
  <c r="I379" i="11" s="1"/>
  <c r="Y379" i="11" s="1"/>
  <c r="H378" i="11" a="1"/>
  <c r="H378" i="11" s="1"/>
  <c r="D378" i="11" a="1"/>
  <c r="D378" i="11" s="1"/>
  <c r="G378" i="11" s="1"/>
  <c r="I378" i="11" s="1"/>
  <c r="Y378" i="11" s="1"/>
  <c r="H377" i="11" a="1"/>
  <c r="H377" i="11" s="1"/>
  <c r="D377" i="11" a="1"/>
  <c r="D377" i="11" s="1"/>
  <c r="G377" i="11" s="1"/>
  <c r="I377" i="11" s="1"/>
  <c r="Y377" i="11" s="1"/>
  <c r="H376" i="11" a="1"/>
  <c r="H376" i="11" s="1"/>
  <c r="D376" i="11" a="1"/>
  <c r="D376" i="11" s="1"/>
  <c r="G376" i="11" s="1"/>
  <c r="I376" i="11" s="1"/>
  <c r="Y376" i="11" s="1"/>
  <c r="H375" i="11" a="1"/>
  <c r="H375" i="11" s="1"/>
  <c r="D375" i="11" a="1"/>
  <c r="D375" i="11" s="1"/>
  <c r="G375" i="11" s="1"/>
  <c r="I375" i="11" s="1"/>
  <c r="Y375" i="11" s="1"/>
  <c r="H374" i="11" a="1"/>
  <c r="H374" i="11" s="1"/>
  <c r="D374" i="11" a="1"/>
  <c r="D374" i="11" s="1"/>
  <c r="G374" i="11" s="1"/>
  <c r="I374" i="11" s="1"/>
  <c r="Y374" i="11" s="1"/>
  <c r="H373" i="11" a="1"/>
  <c r="H373" i="11" s="1"/>
  <c r="D373" i="11" a="1"/>
  <c r="D373" i="11" s="1"/>
  <c r="G373" i="11" s="1"/>
  <c r="I373" i="11" s="1"/>
  <c r="Y373" i="11" s="1"/>
  <c r="H372" i="11" a="1"/>
  <c r="H372" i="11" s="1"/>
  <c r="D372" i="11" a="1"/>
  <c r="D372" i="11" s="1"/>
  <c r="G372" i="11" s="1"/>
  <c r="I372" i="11" s="1"/>
  <c r="Y372" i="11" s="1"/>
  <c r="H371" i="11" a="1"/>
  <c r="H371" i="11" s="1"/>
  <c r="D371" i="11" a="1"/>
  <c r="D371" i="11" s="1"/>
  <c r="G371" i="11" s="1"/>
  <c r="I371" i="11" s="1"/>
  <c r="Y371" i="11" s="1"/>
  <c r="H370" i="11" a="1"/>
  <c r="H370" i="11" s="1"/>
  <c r="D370" i="11" a="1"/>
  <c r="D370" i="11" s="1"/>
  <c r="G370" i="11" s="1"/>
  <c r="I370" i="11" s="1"/>
  <c r="Y370" i="11" s="1"/>
  <c r="H369" i="11" a="1"/>
  <c r="H369" i="11" s="1"/>
  <c r="D369" i="11" a="1"/>
  <c r="D369" i="11" s="1"/>
  <c r="G369" i="11" s="1"/>
  <c r="I369" i="11" s="1"/>
  <c r="Y369" i="11" s="1"/>
  <c r="H368" i="11" a="1"/>
  <c r="H368" i="11" s="1"/>
  <c r="D368" i="11" a="1"/>
  <c r="D368" i="11" s="1"/>
  <c r="G368" i="11" s="1"/>
  <c r="I368" i="11" s="1"/>
  <c r="Y368" i="11" s="1"/>
  <c r="H367" i="11" a="1"/>
  <c r="H367" i="11" s="1"/>
  <c r="D367" i="11" a="1"/>
  <c r="D367" i="11" s="1"/>
  <c r="G367" i="11" s="1"/>
  <c r="I367" i="11" s="1"/>
  <c r="Y367" i="11" s="1"/>
  <c r="H366" i="11" a="1"/>
  <c r="H366" i="11" s="1"/>
  <c r="D366" i="11" a="1"/>
  <c r="D366" i="11" s="1"/>
  <c r="G366" i="11" s="1"/>
  <c r="I366" i="11" s="1"/>
  <c r="Y366" i="11" s="1"/>
  <c r="H365" i="11" a="1"/>
  <c r="H365" i="11" s="1"/>
  <c r="D365" i="11" a="1"/>
  <c r="D365" i="11" s="1"/>
  <c r="G365" i="11" s="1"/>
  <c r="I365" i="11" s="1"/>
  <c r="Y365" i="11" s="1"/>
  <c r="H364" i="11" a="1"/>
  <c r="H364" i="11" s="1"/>
  <c r="D364" i="11" a="1"/>
  <c r="D364" i="11" s="1"/>
  <c r="G364" i="11" s="1"/>
  <c r="I364" i="11" s="1"/>
  <c r="Y364" i="11" s="1"/>
  <c r="H363" i="11" a="1"/>
  <c r="H363" i="11" s="1"/>
  <c r="D363" i="11" a="1"/>
  <c r="D363" i="11" s="1"/>
  <c r="G363" i="11" s="1"/>
  <c r="I363" i="11" s="1"/>
  <c r="Y363" i="11" s="1"/>
  <c r="H362" i="11" a="1"/>
  <c r="H362" i="11" s="1"/>
  <c r="D362" i="11" a="1"/>
  <c r="D362" i="11" s="1"/>
  <c r="G362" i="11" s="1"/>
  <c r="I362" i="11" s="1"/>
  <c r="Y362" i="11" s="1"/>
  <c r="H361" i="11" a="1"/>
  <c r="H361" i="11" s="1"/>
  <c r="D361" i="11" a="1"/>
  <c r="D361" i="11" s="1"/>
  <c r="G361" i="11" s="1"/>
  <c r="I361" i="11" s="1"/>
  <c r="Y361" i="11" s="1"/>
  <c r="H360" i="11" a="1"/>
  <c r="H360" i="11" s="1"/>
  <c r="D360" i="11" a="1"/>
  <c r="D360" i="11" s="1"/>
  <c r="G360" i="11" s="1"/>
  <c r="I360" i="11" s="1"/>
  <c r="Y360" i="11" s="1"/>
  <c r="H359" i="11" a="1"/>
  <c r="H359" i="11" s="1"/>
  <c r="D359" i="11" a="1"/>
  <c r="D359" i="11" s="1"/>
  <c r="G359" i="11" s="1"/>
  <c r="I359" i="11" s="1"/>
  <c r="Y359" i="11" s="1"/>
  <c r="H358" i="11" a="1"/>
  <c r="H358" i="11" s="1"/>
  <c r="D358" i="11" a="1"/>
  <c r="D358" i="11" s="1"/>
  <c r="G358" i="11" s="1"/>
  <c r="I358" i="11" s="1"/>
  <c r="Y358" i="11" s="1"/>
  <c r="H357" i="11" a="1"/>
  <c r="H357" i="11" s="1"/>
  <c r="D357" i="11" a="1"/>
  <c r="D357" i="11" s="1"/>
  <c r="G357" i="11" s="1"/>
  <c r="I357" i="11" s="1"/>
  <c r="Y357" i="11" s="1"/>
  <c r="H356" i="11" a="1"/>
  <c r="H356" i="11" s="1"/>
  <c r="D356" i="11" a="1"/>
  <c r="D356" i="11" s="1"/>
  <c r="G356" i="11" s="1"/>
  <c r="I356" i="11" s="1"/>
  <c r="Y356" i="11" s="1"/>
  <c r="H355" i="11" a="1"/>
  <c r="H355" i="11" s="1"/>
  <c r="D355" i="11" a="1"/>
  <c r="D355" i="11" s="1"/>
  <c r="G355" i="11" s="1"/>
  <c r="I355" i="11" s="1"/>
  <c r="Y355" i="11" s="1"/>
  <c r="H354" i="11" a="1"/>
  <c r="H354" i="11" s="1"/>
  <c r="D354" i="11" a="1"/>
  <c r="D354" i="11" s="1"/>
  <c r="G354" i="11" s="1"/>
  <c r="I354" i="11" s="1"/>
  <c r="Y354" i="11" s="1"/>
  <c r="H353" i="11" a="1"/>
  <c r="H353" i="11" s="1"/>
  <c r="D353" i="11" a="1"/>
  <c r="D353" i="11" s="1"/>
  <c r="G353" i="11" s="1"/>
  <c r="I353" i="11" s="1"/>
  <c r="Y353" i="11" s="1"/>
  <c r="H352" i="11" a="1"/>
  <c r="H352" i="11" s="1"/>
  <c r="D352" i="11" a="1"/>
  <c r="D352" i="11" s="1"/>
  <c r="G352" i="11" s="1"/>
  <c r="I352" i="11" s="1"/>
  <c r="Y352" i="11" s="1"/>
  <c r="H351" i="11" a="1"/>
  <c r="H351" i="11" s="1"/>
  <c r="D351" i="11" a="1"/>
  <c r="D351" i="11" s="1"/>
  <c r="G351" i="11" s="1"/>
  <c r="I351" i="11" s="1"/>
  <c r="Y351" i="11" s="1"/>
  <c r="H350" i="11" a="1"/>
  <c r="H350" i="11" s="1"/>
  <c r="D350" i="11" a="1"/>
  <c r="D350" i="11" s="1"/>
  <c r="G350" i="11" s="1"/>
  <c r="I350" i="11" s="1"/>
  <c r="Y350" i="11" s="1"/>
  <c r="H349" i="11" a="1"/>
  <c r="H349" i="11" s="1"/>
  <c r="D349" i="11" a="1"/>
  <c r="D349" i="11" s="1"/>
  <c r="G349" i="11" s="1"/>
  <c r="I349" i="11" s="1"/>
  <c r="Y349" i="11" s="1"/>
  <c r="H348" i="11" a="1"/>
  <c r="H348" i="11" s="1"/>
  <c r="D348" i="11" a="1"/>
  <c r="D348" i="11" s="1"/>
  <c r="G348" i="11" s="1"/>
  <c r="I348" i="11" s="1"/>
  <c r="Y348" i="11" s="1"/>
  <c r="H347" i="11" a="1"/>
  <c r="H347" i="11" s="1"/>
  <c r="D347" i="11" a="1"/>
  <c r="D347" i="11" s="1"/>
  <c r="G347" i="11" s="1"/>
  <c r="I347" i="11" s="1"/>
  <c r="Y347" i="11" s="1"/>
  <c r="H346" i="11" a="1"/>
  <c r="H346" i="11" s="1"/>
  <c r="D346" i="11" a="1"/>
  <c r="D346" i="11" s="1"/>
  <c r="G346" i="11" s="1"/>
  <c r="I346" i="11" s="1"/>
  <c r="Y346" i="11" s="1"/>
  <c r="H345" i="11" a="1"/>
  <c r="H345" i="11" s="1"/>
  <c r="D345" i="11" a="1"/>
  <c r="D345" i="11" s="1"/>
  <c r="G345" i="11" s="1"/>
  <c r="I345" i="11" s="1"/>
  <c r="Y345" i="11" s="1"/>
  <c r="H344" i="11" a="1"/>
  <c r="H344" i="11" s="1"/>
  <c r="D344" i="11" a="1"/>
  <c r="D344" i="11" s="1"/>
  <c r="G344" i="11" s="1"/>
  <c r="I344" i="11" s="1"/>
  <c r="Y344" i="11" s="1"/>
  <c r="H343" i="11" a="1"/>
  <c r="H343" i="11" s="1"/>
  <c r="D343" i="11" a="1"/>
  <c r="D343" i="11" s="1"/>
  <c r="G343" i="11" s="1"/>
  <c r="I343" i="11" s="1"/>
  <c r="Y343" i="11" s="1"/>
  <c r="H342" i="11" a="1"/>
  <c r="H342" i="11" s="1"/>
  <c r="D342" i="11" a="1"/>
  <c r="D342" i="11" s="1"/>
  <c r="G342" i="11" s="1"/>
  <c r="I342" i="11" s="1"/>
  <c r="Y342" i="11" s="1"/>
  <c r="H341" i="11" a="1"/>
  <c r="H341" i="11" s="1"/>
  <c r="D341" i="11" a="1"/>
  <c r="D341" i="11" s="1"/>
  <c r="G341" i="11" s="1"/>
  <c r="I341" i="11" s="1"/>
  <c r="Y341" i="11" s="1"/>
  <c r="H340" i="11" a="1"/>
  <c r="H340" i="11" s="1"/>
  <c r="D340" i="11" a="1"/>
  <c r="D340" i="11" s="1"/>
  <c r="G340" i="11" s="1"/>
  <c r="I340" i="11" s="1"/>
  <c r="Y340" i="11" s="1"/>
  <c r="H339" i="11" a="1"/>
  <c r="H339" i="11" s="1"/>
  <c r="D339" i="11" a="1"/>
  <c r="D339" i="11" s="1"/>
  <c r="G339" i="11" s="1"/>
  <c r="I339" i="11" s="1"/>
  <c r="Y339" i="11" s="1"/>
  <c r="H338" i="11" a="1"/>
  <c r="H338" i="11" s="1"/>
  <c r="D338" i="11" a="1"/>
  <c r="D338" i="11" s="1"/>
  <c r="G338" i="11" s="1"/>
  <c r="I338" i="11" s="1"/>
  <c r="Y338" i="11" s="1"/>
  <c r="H337" i="11" a="1"/>
  <c r="H337" i="11" s="1"/>
  <c r="D337" i="11" a="1"/>
  <c r="D337" i="11" s="1"/>
  <c r="G337" i="11" s="1"/>
  <c r="I337" i="11" s="1"/>
  <c r="Y337" i="11" s="1"/>
  <c r="H336" i="11" a="1"/>
  <c r="H336" i="11" s="1"/>
  <c r="D336" i="11" a="1"/>
  <c r="D336" i="11" s="1"/>
  <c r="G336" i="11" s="1"/>
  <c r="I336" i="11" s="1"/>
  <c r="Y336" i="11" s="1"/>
  <c r="H335" i="11" a="1"/>
  <c r="H335" i="11" s="1"/>
  <c r="D335" i="11" a="1"/>
  <c r="D335" i="11" s="1"/>
  <c r="G335" i="11" s="1"/>
  <c r="I335" i="11" s="1"/>
  <c r="Y335" i="11" s="1"/>
  <c r="H334" i="11" a="1"/>
  <c r="H334" i="11" s="1"/>
  <c r="D334" i="11" a="1"/>
  <c r="D334" i="11" s="1"/>
  <c r="G334" i="11" s="1"/>
  <c r="I334" i="11" s="1"/>
  <c r="Y334" i="11" s="1"/>
  <c r="H333" i="11" a="1"/>
  <c r="H333" i="11" s="1"/>
  <c r="D333" i="11" a="1"/>
  <c r="D333" i="11" s="1"/>
  <c r="G333" i="11" s="1"/>
  <c r="I333" i="11" s="1"/>
  <c r="Y333" i="11" s="1"/>
  <c r="H332" i="11" a="1"/>
  <c r="H332" i="11" s="1"/>
  <c r="D332" i="11" a="1"/>
  <c r="D332" i="11" s="1"/>
  <c r="G332" i="11" s="1"/>
  <c r="I332" i="11" s="1"/>
  <c r="Y332" i="11" s="1"/>
  <c r="H331" i="11" a="1"/>
  <c r="H331" i="11" s="1"/>
  <c r="D331" i="11" a="1"/>
  <c r="D331" i="11" s="1"/>
  <c r="G331" i="11" s="1"/>
  <c r="I331" i="11" s="1"/>
  <c r="Y331" i="11" s="1"/>
  <c r="H330" i="11" a="1"/>
  <c r="H330" i="11" s="1"/>
  <c r="D330" i="11" a="1"/>
  <c r="D330" i="11" s="1"/>
  <c r="G330" i="11" s="1"/>
  <c r="I330" i="11" s="1"/>
  <c r="Y330" i="11" s="1"/>
  <c r="H329" i="11" a="1"/>
  <c r="H329" i="11" s="1"/>
  <c r="D329" i="11" a="1"/>
  <c r="D329" i="11" s="1"/>
  <c r="G329" i="11" s="1"/>
  <c r="I329" i="11" s="1"/>
  <c r="Y329" i="11" s="1"/>
  <c r="H328" i="11" a="1"/>
  <c r="H328" i="11" s="1"/>
  <c r="D328" i="11" a="1"/>
  <c r="D328" i="11" s="1"/>
  <c r="G328" i="11" s="1"/>
  <c r="I328" i="11" s="1"/>
  <c r="Y328" i="11" s="1"/>
  <c r="H327" i="11" a="1"/>
  <c r="H327" i="11" s="1"/>
  <c r="D327" i="11" a="1"/>
  <c r="D327" i="11" s="1"/>
  <c r="G327" i="11" s="1"/>
  <c r="I327" i="11" s="1"/>
  <c r="Y327" i="11" s="1"/>
  <c r="H326" i="11" a="1"/>
  <c r="H326" i="11" s="1"/>
  <c r="D326" i="11" a="1"/>
  <c r="D326" i="11" s="1"/>
  <c r="G326" i="11" s="1"/>
  <c r="I326" i="11" s="1"/>
  <c r="Y326" i="11" s="1"/>
  <c r="H325" i="11" a="1"/>
  <c r="H325" i="11" s="1"/>
  <c r="D325" i="11" a="1"/>
  <c r="D325" i="11" s="1"/>
  <c r="G325" i="11" s="1"/>
  <c r="I325" i="11" s="1"/>
  <c r="Y325" i="11" s="1"/>
  <c r="H324" i="11" a="1"/>
  <c r="H324" i="11" s="1"/>
  <c r="D324" i="11" a="1"/>
  <c r="D324" i="11" s="1"/>
  <c r="G324" i="11" s="1"/>
  <c r="I324" i="11" s="1"/>
  <c r="Y324" i="11" s="1"/>
  <c r="H323" i="11" a="1"/>
  <c r="H323" i="11" s="1"/>
  <c r="D323" i="11" a="1"/>
  <c r="D323" i="11" s="1"/>
  <c r="G323" i="11" s="1"/>
  <c r="I323" i="11" s="1"/>
  <c r="Y323" i="11" s="1"/>
  <c r="H322" i="11" a="1"/>
  <c r="H322" i="11" s="1"/>
  <c r="D322" i="11" a="1"/>
  <c r="D322" i="11" s="1"/>
  <c r="G322" i="11" s="1"/>
  <c r="I322" i="11" s="1"/>
  <c r="Y322" i="11" s="1"/>
  <c r="H321" i="11" a="1"/>
  <c r="H321" i="11" s="1"/>
  <c r="D321" i="11" a="1"/>
  <c r="D321" i="11" s="1"/>
  <c r="G321" i="11" s="1"/>
  <c r="I321" i="11" s="1"/>
  <c r="Y321" i="11" s="1"/>
  <c r="H320" i="11" a="1"/>
  <c r="H320" i="11" s="1"/>
  <c r="D320" i="11" a="1"/>
  <c r="D320" i="11" s="1"/>
  <c r="G320" i="11" s="1"/>
  <c r="I320" i="11" s="1"/>
  <c r="Y320" i="11" s="1"/>
  <c r="H319" i="11" a="1"/>
  <c r="H319" i="11" s="1"/>
  <c r="D319" i="11" a="1"/>
  <c r="D319" i="11" s="1"/>
  <c r="G319" i="11" s="1"/>
  <c r="I319" i="11" s="1"/>
  <c r="Y319" i="11" s="1"/>
  <c r="H318" i="11" a="1"/>
  <c r="H318" i="11" s="1"/>
  <c r="D318" i="11" a="1"/>
  <c r="D318" i="11" s="1"/>
  <c r="G318" i="11" s="1"/>
  <c r="I318" i="11" s="1"/>
  <c r="Y318" i="11" s="1"/>
  <c r="H317" i="11" a="1"/>
  <c r="H317" i="11" s="1"/>
  <c r="D317" i="11" a="1"/>
  <c r="D317" i="11" s="1"/>
  <c r="G317" i="11" s="1"/>
  <c r="I317" i="11" s="1"/>
  <c r="Y317" i="11" s="1"/>
  <c r="H316" i="11" a="1"/>
  <c r="H316" i="11" s="1"/>
  <c r="D316" i="11" a="1"/>
  <c r="D316" i="11" s="1"/>
  <c r="G316" i="11" s="1"/>
  <c r="I316" i="11" s="1"/>
  <c r="Y316" i="11" s="1"/>
  <c r="H315" i="11" a="1"/>
  <c r="H315" i="11" s="1"/>
  <c r="D315" i="11" a="1"/>
  <c r="D315" i="11" s="1"/>
  <c r="G315" i="11" s="1"/>
  <c r="I315" i="11" s="1"/>
  <c r="Y315" i="11" s="1"/>
  <c r="H314" i="11" a="1"/>
  <c r="H314" i="11" s="1"/>
  <c r="D314" i="11" a="1"/>
  <c r="D314" i="11" s="1"/>
  <c r="G314" i="11" s="1"/>
  <c r="I314" i="11" s="1"/>
  <c r="Y314" i="11" s="1"/>
  <c r="H313" i="11" a="1"/>
  <c r="H313" i="11" s="1"/>
  <c r="D313" i="11" a="1"/>
  <c r="D313" i="11" s="1"/>
  <c r="G313" i="11" s="1"/>
  <c r="I313" i="11" s="1"/>
  <c r="Y313" i="11" s="1"/>
  <c r="H312" i="11" a="1"/>
  <c r="H312" i="11" s="1"/>
  <c r="D312" i="11" a="1"/>
  <c r="D312" i="11" s="1"/>
  <c r="G312" i="11" s="1"/>
  <c r="I312" i="11" s="1"/>
  <c r="Y312" i="11" s="1"/>
  <c r="H311" i="11" a="1"/>
  <c r="H311" i="11" s="1"/>
  <c r="D311" i="11" a="1"/>
  <c r="D311" i="11" s="1"/>
  <c r="G311" i="11" s="1"/>
  <c r="I311" i="11" s="1"/>
  <c r="Y311" i="11" s="1"/>
  <c r="H310" i="11" a="1"/>
  <c r="H310" i="11" s="1"/>
  <c r="D310" i="11" a="1"/>
  <c r="D310" i="11" s="1"/>
  <c r="G310" i="11" s="1"/>
  <c r="I310" i="11" s="1"/>
  <c r="Y310" i="11" s="1"/>
  <c r="H309" i="11" a="1"/>
  <c r="H309" i="11" s="1"/>
  <c r="D309" i="11" a="1"/>
  <c r="D309" i="11" s="1"/>
  <c r="G309" i="11" s="1"/>
  <c r="I309" i="11" s="1"/>
  <c r="Y309" i="11" s="1"/>
  <c r="H308" i="11" a="1"/>
  <c r="H308" i="11" s="1"/>
  <c r="D308" i="11" a="1"/>
  <c r="D308" i="11" s="1"/>
  <c r="G308" i="11" s="1"/>
  <c r="I308" i="11" s="1"/>
  <c r="Y308" i="11" s="1"/>
  <c r="H307" i="11" a="1"/>
  <c r="H307" i="11" s="1"/>
  <c r="D307" i="11" a="1"/>
  <c r="D307" i="11" s="1"/>
  <c r="G307" i="11" s="1"/>
  <c r="I307" i="11" s="1"/>
  <c r="Y307" i="11" s="1"/>
  <c r="H306" i="11" a="1"/>
  <c r="H306" i="11" s="1"/>
  <c r="D306" i="11" a="1"/>
  <c r="D306" i="11" s="1"/>
  <c r="G306" i="11" s="1"/>
  <c r="I306" i="11" s="1"/>
  <c r="Y306" i="11" s="1"/>
  <c r="H305" i="11" a="1"/>
  <c r="H305" i="11" s="1"/>
  <c r="D305" i="11" a="1"/>
  <c r="D305" i="11" s="1"/>
  <c r="G305" i="11" s="1"/>
  <c r="I305" i="11" s="1"/>
  <c r="Y305" i="11" s="1"/>
  <c r="H304" i="11" a="1"/>
  <c r="H304" i="11" s="1"/>
  <c r="D304" i="11" a="1"/>
  <c r="D304" i="11" s="1"/>
  <c r="G304" i="11" s="1"/>
  <c r="I304" i="11" s="1"/>
  <c r="Y304" i="11" s="1"/>
  <c r="H303" i="11" a="1"/>
  <c r="H303" i="11" s="1"/>
  <c r="D303" i="11" a="1"/>
  <c r="D303" i="11" s="1"/>
  <c r="G303" i="11" s="1"/>
  <c r="I303" i="11" s="1"/>
  <c r="Y303" i="11" s="1"/>
  <c r="H302" i="11" a="1"/>
  <c r="H302" i="11" s="1"/>
  <c r="D302" i="11" a="1"/>
  <c r="D302" i="11" s="1"/>
  <c r="G302" i="11" s="1"/>
  <c r="I302" i="11" s="1"/>
  <c r="Y302" i="11" s="1"/>
  <c r="H301" i="11" a="1"/>
  <c r="H301" i="11" s="1"/>
  <c r="D301" i="11" a="1"/>
  <c r="D301" i="11" s="1"/>
  <c r="G301" i="11" s="1"/>
  <c r="I301" i="11" s="1"/>
  <c r="Y301" i="11" s="1"/>
  <c r="H300" i="11" a="1"/>
  <c r="H300" i="11" s="1"/>
  <c r="D300" i="11" a="1"/>
  <c r="D300" i="11" s="1"/>
  <c r="G300" i="11" s="1"/>
  <c r="I300" i="11" s="1"/>
  <c r="Y300" i="11" s="1"/>
  <c r="H299" i="11" a="1"/>
  <c r="H299" i="11" s="1"/>
  <c r="D299" i="11" a="1"/>
  <c r="D299" i="11" s="1"/>
  <c r="G299" i="11" s="1"/>
  <c r="I299" i="11" s="1"/>
  <c r="Y299" i="11" s="1"/>
  <c r="H298" i="11" a="1"/>
  <c r="H298" i="11" s="1"/>
  <c r="D298" i="11" a="1"/>
  <c r="D298" i="11" s="1"/>
  <c r="G298" i="11" s="1"/>
  <c r="I298" i="11" s="1"/>
  <c r="Y298" i="11" s="1"/>
  <c r="H297" i="11" a="1"/>
  <c r="H297" i="11" s="1"/>
  <c r="D297" i="11" a="1"/>
  <c r="D297" i="11" s="1"/>
  <c r="G297" i="11" s="1"/>
  <c r="I297" i="11" s="1"/>
  <c r="Y297" i="11" s="1"/>
  <c r="H296" i="11" a="1"/>
  <c r="H296" i="11" s="1"/>
  <c r="D296" i="11" a="1"/>
  <c r="D296" i="11" s="1"/>
  <c r="G296" i="11" s="1"/>
  <c r="I296" i="11" s="1"/>
  <c r="Y296" i="11" s="1"/>
  <c r="H295" i="11" a="1"/>
  <c r="H295" i="11" s="1"/>
  <c r="D295" i="11" a="1"/>
  <c r="D295" i="11" s="1"/>
  <c r="G295" i="11" s="1"/>
  <c r="I295" i="11" s="1"/>
  <c r="Y295" i="11" s="1"/>
  <c r="H294" i="11" a="1"/>
  <c r="H294" i="11" s="1"/>
  <c r="D294" i="11" a="1"/>
  <c r="D294" i="11" s="1"/>
  <c r="G294" i="11" s="1"/>
  <c r="I294" i="11" s="1"/>
  <c r="Y294" i="11" s="1"/>
  <c r="H293" i="11" a="1"/>
  <c r="H293" i="11" s="1"/>
  <c r="D293" i="11" a="1"/>
  <c r="D293" i="11" s="1"/>
  <c r="G293" i="11" s="1"/>
  <c r="I293" i="11" s="1"/>
  <c r="Y293" i="11" s="1"/>
  <c r="H292" i="11" a="1"/>
  <c r="H292" i="11" s="1"/>
  <c r="D292" i="11" a="1"/>
  <c r="D292" i="11" s="1"/>
  <c r="G292" i="11" s="1"/>
  <c r="I292" i="11" s="1"/>
  <c r="Y292" i="11" s="1"/>
  <c r="H291" i="11" a="1"/>
  <c r="H291" i="11" s="1"/>
  <c r="D291" i="11" a="1"/>
  <c r="D291" i="11" s="1"/>
  <c r="G291" i="11" s="1"/>
  <c r="I291" i="11" s="1"/>
  <c r="Y291" i="11" s="1"/>
  <c r="H290" i="11" a="1"/>
  <c r="H290" i="11" s="1"/>
  <c r="D290" i="11" a="1"/>
  <c r="D290" i="11" s="1"/>
  <c r="G290" i="11" s="1"/>
  <c r="I290" i="11" s="1"/>
  <c r="Y290" i="11" s="1"/>
  <c r="H289" i="11" a="1"/>
  <c r="H289" i="11" s="1"/>
  <c r="D289" i="11" a="1"/>
  <c r="D289" i="11" s="1"/>
  <c r="G289" i="11" s="1"/>
  <c r="I289" i="11" s="1"/>
  <c r="Y289" i="11" s="1"/>
  <c r="H288" i="11" a="1"/>
  <c r="H288" i="11" s="1"/>
  <c r="D288" i="11" a="1"/>
  <c r="D288" i="11" s="1"/>
  <c r="G288" i="11" s="1"/>
  <c r="I288" i="11" s="1"/>
  <c r="Y288" i="11" s="1"/>
  <c r="H287" i="11" a="1"/>
  <c r="H287" i="11" s="1"/>
  <c r="D287" i="11" a="1"/>
  <c r="D287" i="11" s="1"/>
  <c r="G287" i="11" s="1"/>
  <c r="I287" i="11" s="1"/>
  <c r="Y287" i="11" s="1"/>
  <c r="H286" i="11" a="1"/>
  <c r="H286" i="11" s="1"/>
  <c r="D286" i="11" a="1"/>
  <c r="D286" i="11" s="1"/>
  <c r="G286" i="11" s="1"/>
  <c r="I286" i="11" s="1"/>
  <c r="Y286" i="11" s="1"/>
  <c r="H285" i="11" a="1"/>
  <c r="H285" i="11" s="1"/>
  <c r="D285" i="11" a="1"/>
  <c r="D285" i="11" s="1"/>
  <c r="G285" i="11" s="1"/>
  <c r="I285" i="11" s="1"/>
  <c r="Y285" i="11" s="1"/>
  <c r="H284" i="11" a="1"/>
  <c r="H284" i="11" s="1"/>
  <c r="D284" i="11" a="1"/>
  <c r="D284" i="11" s="1"/>
  <c r="G284" i="11" s="1"/>
  <c r="I284" i="11" s="1"/>
  <c r="Y284" i="11" s="1"/>
  <c r="H283" i="11" a="1"/>
  <c r="H283" i="11" s="1"/>
  <c r="D283" i="11" a="1"/>
  <c r="D283" i="11" s="1"/>
  <c r="G283" i="11" s="1"/>
  <c r="I283" i="11" s="1"/>
  <c r="Y283" i="11" s="1"/>
  <c r="H282" i="11" a="1"/>
  <c r="H282" i="11" s="1"/>
  <c r="D282" i="11" a="1"/>
  <c r="D282" i="11" s="1"/>
  <c r="G282" i="11" s="1"/>
  <c r="I282" i="11" s="1"/>
  <c r="Y282" i="11" s="1"/>
  <c r="H281" i="11" a="1"/>
  <c r="H281" i="11" s="1"/>
  <c r="D281" i="11" a="1"/>
  <c r="D281" i="11" s="1"/>
  <c r="G281" i="11" s="1"/>
  <c r="I281" i="11" s="1"/>
  <c r="Y281" i="11" s="1"/>
  <c r="H280" i="11" a="1"/>
  <c r="H280" i="11" s="1"/>
  <c r="D280" i="11" a="1"/>
  <c r="D280" i="11" s="1"/>
  <c r="G280" i="11" s="1"/>
  <c r="I280" i="11" s="1"/>
  <c r="Y280" i="11" s="1"/>
  <c r="H279" i="11" a="1"/>
  <c r="H279" i="11" s="1"/>
  <c r="D279" i="11" a="1"/>
  <c r="D279" i="11" s="1"/>
  <c r="G279" i="11" s="1"/>
  <c r="I279" i="11" s="1"/>
  <c r="Y279" i="11" s="1"/>
  <c r="H278" i="11" a="1"/>
  <c r="H278" i="11" s="1"/>
  <c r="D278" i="11" a="1"/>
  <c r="D278" i="11" s="1"/>
  <c r="G278" i="11" s="1"/>
  <c r="I278" i="11" s="1"/>
  <c r="Y278" i="11" s="1"/>
  <c r="H277" i="11" a="1"/>
  <c r="H277" i="11" s="1"/>
  <c r="D277" i="11" a="1"/>
  <c r="D277" i="11" s="1"/>
  <c r="G277" i="11" s="1"/>
  <c r="I277" i="11" s="1"/>
  <c r="Y277" i="11" s="1"/>
  <c r="H276" i="11" a="1"/>
  <c r="H276" i="11" s="1"/>
  <c r="D276" i="11" a="1"/>
  <c r="D276" i="11" s="1"/>
  <c r="G276" i="11" s="1"/>
  <c r="I276" i="11" s="1"/>
  <c r="Y276" i="11" s="1"/>
  <c r="H275" i="11" a="1"/>
  <c r="H275" i="11" s="1"/>
  <c r="D275" i="11" a="1"/>
  <c r="D275" i="11" s="1"/>
  <c r="G275" i="11" s="1"/>
  <c r="I275" i="11" s="1"/>
  <c r="Y275" i="11" s="1"/>
  <c r="H274" i="11" a="1"/>
  <c r="H274" i="11" s="1"/>
  <c r="D274" i="11" a="1"/>
  <c r="D274" i="11" s="1"/>
  <c r="G274" i="11" s="1"/>
  <c r="I274" i="11" s="1"/>
  <c r="Y274" i="11" s="1"/>
  <c r="H273" i="11" a="1"/>
  <c r="H273" i="11" s="1"/>
  <c r="D273" i="11" a="1"/>
  <c r="D273" i="11" s="1"/>
  <c r="G273" i="11" s="1"/>
  <c r="I273" i="11" s="1"/>
  <c r="Y273" i="11" s="1"/>
  <c r="H272" i="11" a="1"/>
  <c r="H272" i="11" s="1"/>
  <c r="D272" i="11" a="1"/>
  <c r="D272" i="11" s="1"/>
  <c r="G272" i="11" s="1"/>
  <c r="I272" i="11" s="1"/>
  <c r="Y272" i="11" s="1"/>
  <c r="H271" i="11" a="1"/>
  <c r="H271" i="11" s="1"/>
  <c r="D271" i="11" a="1"/>
  <c r="D271" i="11" s="1"/>
  <c r="G271" i="11" s="1"/>
  <c r="I271" i="11" s="1"/>
  <c r="Y271" i="11" s="1"/>
  <c r="H270" i="11" a="1"/>
  <c r="H270" i="11" s="1"/>
  <c r="D270" i="11" a="1"/>
  <c r="D270" i="11" s="1"/>
  <c r="G270" i="11" s="1"/>
  <c r="I270" i="11" s="1"/>
  <c r="Y270" i="11" s="1"/>
  <c r="H269" i="11" a="1"/>
  <c r="H269" i="11" s="1"/>
  <c r="D269" i="11" a="1"/>
  <c r="D269" i="11" s="1"/>
  <c r="G269" i="11" s="1"/>
  <c r="I269" i="11" s="1"/>
  <c r="Y269" i="11" s="1"/>
  <c r="H268" i="11" a="1"/>
  <c r="H268" i="11" s="1"/>
  <c r="D268" i="11" a="1"/>
  <c r="D268" i="11" s="1"/>
  <c r="G268" i="11" s="1"/>
  <c r="I268" i="11" s="1"/>
  <c r="Y268" i="11" s="1"/>
  <c r="H267" i="11" a="1"/>
  <c r="H267" i="11" s="1"/>
  <c r="D267" i="11" a="1"/>
  <c r="D267" i="11" s="1"/>
  <c r="G267" i="11" s="1"/>
  <c r="I267" i="11" s="1"/>
  <c r="Y267" i="11" s="1"/>
  <c r="H266" i="11" a="1"/>
  <c r="H266" i="11" s="1"/>
  <c r="D266" i="11" a="1"/>
  <c r="D266" i="11" s="1"/>
  <c r="G266" i="11" s="1"/>
  <c r="I266" i="11" s="1"/>
  <c r="Y266" i="11" s="1"/>
  <c r="H265" i="11" a="1"/>
  <c r="H265" i="11" s="1"/>
  <c r="D265" i="11" a="1"/>
  <c r="D265" i="11" s="1"/>
  <c r="G265" i="11" s="1"/>
  <c r="I265" i="11" s="1"/>
  <c r="Y265" i="11" s="1"/>
  <c r="H264" i="11" a="1"/>
  <c r="H264" i="11" s="1"/>
  <c r="D264" i="11" a="1"/>
  <c r="D264" i="11" s="1"/>
  <c r="G264" i="11" s="1"/>
  <c r="I264" i="11" s="1"/>
  <c r="Y264" i="11" s="1"/>
  <c r="H263" i="11" a="1"/>
  <c r="H263" i="11" s="1"/>
  <c r="D263" i="11" a="1"/>
  <c r="D263" i="11" s="1"/>
  <c r="G263" i="11" s="1"/>
  <c r="I263" i="11" s="1"/>
  <c r="Y263" i="11" s="1"/>
  <c r="H262" i="11" a="1"/>
  <c r="H262" i="11" s="1"/>
  <c r="D262" i="11" a="1"/>
  <c r="D262" i="11" s="1"/>
  <c r="G262" i="11" s="1"/>
  <c r="I262" i="11" s="1"/>
  <c r="Y262" i="11" s="1"/>
  <c r="H261" i="11" a="1"/>
  <c r="H261" i="11" s="1"/>
  <c r="D261" i="11" a="1"/>
  <c r="D261" i="11" s="1"/>
  <c r="G261" i="11" s="1"/>
  <c r="I261" i="11" s="1"/>
  <c r="Y261" i="11" s="1"/>
  <c r="H260" i="11" a="1"/>
  <c r="H260" i="11" s="1"/>
  <c r="D260" i="11" a="1"/>
  <c r="D260" i="11" s="1"/>
  <c r="G260" i="11" s="1"/>
  <c r="I260" i="11" s="1"/>
  <c r="Y260" i="11" s="1"/>
  <c r="H259" i="11" a="1"/>
  <c r="H259" i="11" s="1"/>
  <c r="D259" i="11" a="1"/>
  <c r="D259" i="11" s="1"/>
  <c r="G259" i="11" s="1"/>
  <c r="I259" i="11" s="1"/>
  <c r="Y259" i="11" s="1"/>
  <c r="H258" i="11" a="1"/>
  <c r="H258" i="11" s="1"/>
  <c r="D258" i="11" a="1"/>
  <c r="D258" i="11" s="1"/>
  <c r="G258" i="11" s="1"/>
  <c r="I258" i="11" s="1"/>
  <c r="Y258" i="11" s="1"/>
  <c r="H257" i="11" a="1"/>
  <c r="H257" i="11" s="1"/>
  <c r="D257" i="11" a="1"/>
  <c r="D257" i="11" s="1"/>
  <c r="G257" i="11" s="1"/>
  <c r="I257" i="11" s="1"/>
  <c r="Y257" i="11" s="1"/>
  <c r="H256" i="11" a="1"/>
  <c r="H256" i="11" s="1"/>
  <c r="D256" i="11" a="1"/>
  <c r="D256" i="11" s="1"/>
  <c r="G256" i="11" s="1"/>
  <c r="I256" i="11" s="1"/>
  <c r="Y256" i="11" s="1"/>
  <c r="H255" i="11" a="1"/>
  <c r="H255" i="11" s="1"/>
  <c r="D255" i="11" a="1"/>
  <c r="D255" i="11" s="1"/>
  <c r="G255" i="11" s="1"/>
  <c r="I255" i="11" s="1"/>
  <c r="Y255" i="11" s="1"/>
  <c r="H254" i="11" a="1"/>
  <c r="H254" i="11" s="1"/>
  <c r="D254" i="11" a="1"/>
  <c r="D254" i="11" s="1"/>
  <c r="G254" i="11" s="1"/>
  <c r="I254" i="11" s="1"/>
  <c r="Y254" i="11" s="1"/>
  <c r="H253" i="11" a="1"/>
  <c r="H253" i="11" s="1"/>
  <c r="D253" i="11" a="1"/>
  <c r="D253" i="11" s="1"/>
  <c r="G253" i="11" s="1"/>
  <c r="I253" i="11" s="1"/>
  <c r="Y253" i="11" s="1"/>
  <c r="H252" i="11" a="1"/>
  <c r="H252" i="11" s="1"/>
  <c r="D252" i="11" a="1"/>
  <c r="D252" i="11" s="1"/>
  <c r="G252" i="11" s="1"/>
  <c r="I252" i="11" s="1"/>
  <c r="Y252" i="11" s="1"/>
  <c r="H251" i="11" a="1"/>
  <c r="H251" i="11" s="1"/>
  <c r="D251" i="11" a="1"/>
  <c r="D251" i="11" s="1"/>
  <c r="G251" i="11" s="1"/>
  <c r="I251" i="11" s="1"/>
  <c r="Y251" i="11" s="1"/>
  <c r="H250" i="11" a="1"/>
  <c r="H250" i="11" s="1"/>
  <c r="D250" i="11" a="1"/>
  <c r="D250" i="11" s="1"/>
  <c r="G250" i="11" s="1"/>
  <c r="I250" i="11" s="1"/>
  <c r="Y250" i="11" s="1"/>
  <c r="H249" i="11" a="1"/>
  <c r="H249" i="11" s="1"/>
  <c r="D249" i="11" a="1"/>
  <c r="D249" i="11" s="1"/>
  <c r="G249" i="11" s="1"/>
  <c r="I249" i="11" s="1"/>
  <c r="Y249" i="11" s="1"/>
  <c r="H248" i="11" a="1"/>
  <c r="H248" i="11" s="1"/>
  <c r="D248" i="11" a="1"/>
  <c r="D248" i="11" s="1"/>
  <c r="G248" i="11" s="1"/>
  <c r="I248" i="11" s="1"/>
  <c r="Y248" i="11" s="1"/>
  <c r="H247" i="11" a="1"/>
  <c r="H247" i="11" s="1"/>
  <c r="D247" i="11" a="1"/>
  <c r="D247" i="11" s="1"/>
  <c r="G247" i="11" s="1"/>
  <c r="I247" i="11" s="1"/>
  <c r="Y247" i="11" s="1"/>
  <c r="H246" i="11" a="1"/>
  <c r="H246" i="11" s="1"/>
  <c r="D246" i="11" a="1"/>
  <c r="D246" i="11" s="1"/>
  <c r="G246" i="11" s="1"/>
  <c r="I246" i="11" s="1"/>
  <c r="Y246" i="11" s="1"/>
  <c r="H245" i="11" a="1"/>
  <c r="H245" i="11" s="1"/>
  <c r="D245" i="11" a="1"/>
  <c r="D245" i="11" s="1"/>
  <c r="G245" i="11" s="1"/>
  <c r="I245" i="11" s="1"/>
  <c r="Y245" i="11" s="1"/>
  <c r="H244" i="11" a="1"/>
  <c r="H244" i="11" s="1"/>
  <c r="D244" i="11" a="1"/>
  <c r="D244" i="11" s="1"/>
  <c r="G244" i="11" s="1"/>
  <c r="I244" i="11" s="1"/>
  <c r="Y244" i="11" s="1"/>
  <c r="H243" i="11" a="1"/>
  <c r="H243" i="11" s="1"/>
  <c r="D243" i="11" a="1"/>
  <c r="D243" i="11" s="1"/>
  <c r="G243" i="11" s="1"/>
  <c r="I243" i="11" s="1"/>
  <c r="Y243" i="11" s="1"/>
  <c r="H242" i="11" a="1"/>
  <c r="H242" i="11" s="1"/>
  <c r="D242" i="11" a="1"/>
  <c r="D242" i="11" s="1"/>
  <c r="G242" i="11" s="1"/>
  <c r="I242" i="11" s="1"/>
  <c r="Y242" i="11" s="1"/>
  <c r="H241" i="11" a="1"/>
  <c r="H241" i="11" s="1"/>
  <c r="D241" i="11" a="1"/>
  <c r="D241" i="11" s="1"/>
  <c r="G241" i="11" s="1"/>
  <c r="I241" i="11" s="1"/>
  <c r="Y241" i="11" s="1"/>
  <c r="H240" i="11" a="1"/>
  <c r="H240" i="11" s="1"/>
  <c r="D240" i="11" a="1"/>
  <c r="D240" i="11" s="1"/>
  <c r="G240" i="11" s="1"/>
  <c r="I240" i="11" s="1"/>
  <c r="Y240" i="11" s="1"/>
  <c r="H239" i="11" a="1"/>
  <c r="H239" i="11" s="1"/>
  <c r="D239" i="11" a="1"/>
  <c r="D239" i="11" s="1"/>
  <c r="G239" i="11" s="1"/>
  <c r="I239" i="11" s="1"/>
  <c r="Y239" i="11" s="1"/>
  <c r="H238" i="11" a="1"/>
  <c r="H238" i="11" s="1"/>
  <c r="D238" i="11" a="1"/>
  <c r="D238" i="11" s="1"/>
  <c r="G238" i="11" s="1"/>
  <c r="I238" i="11" s="1"/>
  <c r="Y238" i="11" s="1"/>
  <c r="H237" i="11" a="1"/>
  <c r="H237" i="11" s="1"/>
  <c r="D237" i="11" a="1"/>
  <c r="D237" i="11" s="1"/>
  <c r="G237" i="11" s="1"/>
  <c r="I237" i="11" s="1"/>
  <c r="Y237" i="11" s="1"/>
  <c r="H236" i="11" a="1"/>
  <c r="H236" i="11" s="1"/>
  <c r="D236" i="11" a="1"/>
  <c r="D236" i="11" s="1"/>
  <c r="G236" i="11" s="1"/>
  <c r="I236" i="11" s="1"/>
  <c r="Y236" i="11" s="1"/>
  <c r="H235" i="11" a="1"/>
  <c r="H235" i="11" s="1"/>
  <c r="D235" i="11" a="1"/>
  <c r="D235" i="11" s="1"/>
  <c r="G235" i="11" s="1"/>
  <c r="I235" i="11" s="1"/>
  <c r="Y235" i="11" s="1"/>
  <c r="H234" i="11" a="1"/>
  <c r="H234" i="11" s="1"/>
  <c r="D234" i="11" a="1"/>
  <c r="D234" i="11" s="1"/>
  <c r="G234" i="11" s="1"/>
  <c r="I234" i="11" s="1"/>
  <c r="Y234" i="11" s="1"/>
  <c r="H233" i="11" a="1"/>
  <c r="H233" i="11" s="1"/>
  <c r="D233" i="11" a="1"/>
  <c r="D233" i="11" s="1"/>
  <c r="G233" i="11" s="1"/>
  <c r="I233" i="11" s="1"/>
  <c r="Y233" i="11" s="1"/>
  <c r="H232" i="11" a="1"/>
  <c r="H232" i="11" s="1"/>
  <c r="D232" i="11" a="1"/>
  <c r="D232" i="11" s="1"/>
  <c r="G232" i="11" s="1"/>
  <c r="I232" i="11" s="1"/>
  <c r="Y232" i="11" s="1"/>
  <c r="H231" i="11" a="1"/>
  <c r="H231" i="11" s="1"/>
  <c r="D231" i="11" a="1"/>
  <c r="D231" i="11" s="1"/>
  <c r="G231" i="11" s="1"/>
  <c r="I231" i="11" s="1"/>
  <c r="Y231" i="11" s="1"/>
  <c r="H230" i="11" a="1"/>
  <c r="H230" i="11" s="1"/>
  <c r="D230" i="11" a="1"/>
  <c r="D230" i="11" s="1"/>
  <c r="G230" i="11" s="1"/>
  <c r="I230" i="11" s="1"/>
  <c r="Y230" i="11" s="1"/>
  <c r="H229" i="11" a="1"/>
  <c r="H229" i="11" s="1"/>
  <c r="D229" i="11" a="1"/>
  <c r="D229" i="11" s="1"/>
  <c r="G229" i="11" s="1"/>
  <c r="I229" i="11" s="1"/>
  <c r="Y229" i="11" s="1"/>
  <c r="H228" i="11" a="1"/>
  <c r="H228" i="11" s="1"/>
  <c r="D228" i="11" a="1"/>
  <c r="D228" i="11" s="1"/>
  <c r="G228" i="11" s="1"/>
  <c r="I228" i="11" s="1"/>
  <c r="Y228" i="11" s="1"/>
  <c r="H227" i="11" a="1"/>
  <c r="H227" i="11" s="1"/>
  <c r="D227" i="11" a="1"/>
  <c r="D227" i="11" s="1"/>
  <c r="G227" i="11" s="1"/>
  <c r="I227" i="11" s="1"/>
  <c r="Y227" i="11" s="1"/>
  <c r="H226" i="11" a="1"/>
  <c r="H226" i="11" s="1"/>
  <c r="D226" i="11" a="1"/>
  <c r="D226" i="11" s="1"/>
  <c r="G226" i="11" s="1"/>
  <c r="I226" i="11" s="1"/>
  <c r="Y226" i="11" s="1"/>
  <c r="H225" i="11" a="1"/>
  <c r="H225" i="11" s="1"/>
  <c r="D225" i="11" a="1"/>
  <c r="D225" i="11" s="1"/>
  <c r="G225" i="11" s="1"/>
  <c r="I225" i="11" s="1"/>
  <c r="Y225" i="11" s="1"/>
  <c r="H224" i="11" a="1"/>
  <c r="H224" i="11" s="1"/>
  <c r="D224" i="11" a="1"/>
  <c r="D224" i="11" s="1"/>
  <c r="G224" i="11" s="1"/>
  <c r="I224" i="11" s="1"/>
  <c r="Y224" i="11" s="1"/>
  <c r="H223" i="11" a="1"/>
  <c r="H223" i="11" s="1"/>
  <c r="D223" i="11" a="1"/>
  <c r="D223" i="11" s="1"/>
  <c r="G223" i="11" s="1"/>
  <c r="I223" i="11" s="1"/>
  <c r="Y223" i="11" s="1"/>
  <c r="H222" i="11" a="1"/>
  <c r="H222" i="11" s="1"/>
  <c r="D222" i="11" a="1"/>
  <c r="D222" i="11" s="1"/>
  <c r="G222" i="11" s="1"/>
  <c r="I222" i="11" s="1"/>
  <c r="Y222" i="11" s="1"/>
  <c r="H221" i="11" a="1"/>
  <c r="H221" i="11" s="1"/>
  <c r="D221" i="11" a="1"/>
  <c r="D221" i="11" s="1"/>
  <c r="G221" i="11" s="1"/>
  <c r="I221" i="11" s="1"/>
  <c r="Y221" i="11" s="1"/>
  <c r="H220" i="11" a="1"/>
  <c r="H220" i="11" s="1"/>
  <c r="D220" i="11" a="1"/>
  <c r="D220" i="11" s="1"/>
  <c r="G220" i="11" s="1"/>
  <c r="I220" i="11" s="1"/>
  <c r="Y220" i="11" s="1"/>
  <c r="H219" i="11" a="1"/>
  <c r="H219" i="11" s="1"/>
  <c r="D219" i="11" a="1"/>
  <c r="D219" i="11" s="1"/>
  <c r="G219" i="11" s="1"/>
  <c r="I219" i="11" s="1"/>
  <c r="Y219" i="11" s="1"/>
  <c r="H218" i="11" a="1"/>
  <c r="H218" i="11" s="1"/>
  <c r="D218" i="11" a="1"/>
  <c r="D218" i="11" s="1"/>
  <c r="G218" i="11" s="1"/>
  <c r="I218" i="11" s="1"/>
  <c r="Y218" i="11" s="1"/>
  <c r="H217" i="11" a="1"/>
  <c r="H217" i="11" s="1"/>
  <c r="D217" i="11" a="1"/>
  <c r="D217" i="11" s="1"/>
  <c r="G217" i="11" s="1"/>
  <c r="I217" i="11" s="1"/>
  <c r="Y217" i="11" s="1"/>
  <c r="H216" i="11" a="1"/>
  <c r="H216" i="11" s="1"/>
  <c r="D216" i="11" a="1"/>
  <c r="D216" i="11" s="1"/>
  <c r="G216" i="11" s="1"/>
  <c r="I216" i="11" s="1"/>
  <c r="Y216" i="11" s="1"/>
  <c r="H215" i="11" a="1"/>
  <c r="H215" i="11" s="1"/>
  <c r="D215" i="11" a="1"/>
  <c r="D215" i="11" s="1"/>
  <c r="G215" i="11" s="1"/>
  <c r="I215" i="11" s="1"/>
  <c r="Y215" i="11" s="1"/>
  <c r="H214" i="11" a="1"/>
  <c r="H214" i="11" s="1"/>
  <c r="D214" i="11" a="1"/>
  <c r="D214" i="11" s="1"/>
  <c r="G214" i="11" s="1"/>
  <c r="I214" i="11" s="1"/>
  <c r="Y214" i="11" s="1"/>
  <c r="H213" i="11" a="1"/>
  <c r="H213" i="11" s="1"/>
  <c r="D213" i="11" a="1"/>
  <c r="D213" i="11" s="1"/>
  <c r="G213" i="11" s="1"/>
  <c r="I213" i="11" s="1"/>
  <c r="Y213" i="11" s="1"/>
  <c r="H212" i="11" a="1"/>
  <c r="H212" i="11" s="1"/>
  <c r="D212" i="11" a="1"/>
  <c r="D212" i="11" s="1"/>
  <c r="G212" i="11" s="1"/>
  <c r="I212" i="11" s="1"/>
  <c r="Y212" i="11" s="1"/>
  <c r="H211" i="11" a="1"/>
  <c r="H211" i="11" s="1"/>
  <c r="D211" i="11" a="1"/>
  <c r="D211" i="11" s="1"/>
  <c r="G211" i="11" s="1"/>
  <c r="I211" i="11" s="1"/>
  <c r="Y211" i="11" s="1"/>
  <c r="H210" i="11" a="1"/>
  <c r="H210" i="11" s="1"/>
  <c r="D210" i="11" a="1"/>
  <c r="D210" i="11" s="1"/>
  <c r="G210" i="11" s="1"/>
  <c r="I210" i="11" s="1"/>
  <c r="Y210" i="11" s="1"/>
  <c r="H209" i="11" a="1"/>
  <c r="H209" i="11" s="1"/>
  <c r="D209" i="11" a="1"/>
  <c r="D209" i="11" s="1"/>
  <c r="G209" i="11" s="1"/>
  <c r="I209" i="11" s="1"/>
  <c r="Y209" i="11" s="1"/>
  <c r="H208" i="11" a="1"/>
  <c r="H208" i="11" s="1"/>
  <c r="D208" i="11" a="1"/>
  <c r="D208" i="11" s="1"/>
  <c r="G208" i="11" s="1"/>
  <c r="I208" i="11" s="1"/>
  <c r="Y208" i="11" s="1"/>
  <c r="H207" i="11" a="1"/>
  <c r="H207" i="11" s="1"/>
  <c r="D207" i="11" a="1"/>
  <c r="D207" i="11" s="1"/>
  <c r="G207" i="11" s="1"/>
  <c r="I207" i="11" s="1"/>
  <c r="Y207" i="11" s="1"/>
  <c r="H206" i="11" a="1"/>
  <c r="H206" i="11" s="1"/>
  <c r="D206" i="11" a="1"/>
  <c r="D206" i="11" s="1"/>
  <c r="G206" i="11" s="1"/>
  <c r="I206" i="11" s="1"/>
  <c r="Y206" i="11" s="1"/>
  <c r="H205" i="11" a="1"/>
  <c r="H205" i="11" s="1"/>
  <c r="D205" i="11" a="1"/>
  <c r="D205" i="11" s="1"/>
  <c r="G205" i="11" s="1"/>
  <c r="I205" i="11" s="1"/>
  <c r="Y205" i="11" s="1"/>
  <c r="H204" i="11" a="1"/>
  <c r="H204" i="11" s="1"/>
  <c r="D204" i="11" a="1"/>
  <c r="D204" i="11" s="1"/>
  <c r="G204" i="11" s="1"/>
  <c r="I204" i="11" s="1"/>
  <c r="Y204" i="11" s="1"/>
  <c r="H203" i="11" a="1"/>
  <c r="H203" i="11" s="1"/>
  <c r="D203" i="11" a="1"/>
  <c r="D203" i="11" s="1"/>
  <c r="G203" i="11" s="1"/>
  <c r="I203" i="11" s="1"/>
  <c r="Y203" i="11" s="1"/>
  <c r="H202" i="11" a="1"/>
  <c r="H202" i="11" s="1"/>
  <c r="D202" i="11" a="1"/>
  <c r="D202" i="11" s="1"/>
  <c r="G202" i="11" s="1"/>
  <c r="I202" i="11" s="1"/>
  <c r="Y202" i="11" s="1"/>
  <c r="H201" i="11" a="1"/>
  <c r="H201" i="11" s="1"/>
  <c r="D201" i="11" a="1"/>
  <c r="D201" i="11" s="1"/>
  <c r="G201" i="11" s="1"/>
  <c r="I201" i="11" s="1"/>
  <c r="Y201" i="11" s="1"/>
  <c r="H200" i="11" a="1"/>
  <c r="H200" i="11" s="1"/>
  <c r="D200" i="11" a="1"/>
  <c r="D200" i="11" s="1"/>
  <c r="G200" i="11" s="1"/>
  <c r="I200" i="11" s="1"/>
  <c r="Y200" i="11" s="1"/>
  <c r="H199" i="11" a="1"/>
  <c r="H199" i="11" s="1"/>
  <c r="D199" i="11" a="1"/>
  <c r="D199" i="11" s="1"/>
  <c r="G199" i="11" s="1"/>
  <c r="I199" i="11" s="1"/>
  <c r="Y199" i="11" s="1"/>
  <c r="H198" i="11" a="1"/>
  <c r="H198" i="11" s="1"/>
  <c r="D198" i="11" a="1"/>
  <c r="D198" i="11" s="1"/>
  <c r="G198" i="11" s="1"/>
  <c r="I198" i="11" s="1"/>
  <c r="Y198" i="11" s="1"/>
  <c r="H197" i="11" a="1"/>
  <c r="H197" i="11" s="1"/>
  <c r="D197" i="11" a="1"/>
  <c r="D197" i="11" s="1"/>
  <c r="G197" i="11" s="1"/>
  <c r="I197" i="11" s="1"/>
  <c r="Y197" i="11" s="1"/>
  <c r="H196" i="11" a="1"/>
  <c r="H196" i="11" s="1"/>
  <c r="D196" i="11" a="1"/>
  <c r="D196" i="11" s="1"/>
  <c r="G196" i="11" s="1"/>
  <c r="I196" i="11" s="1"/>
  <c r="Y196" i="11" s="1"/>
  <c r="H195" i="11" a="1"/>
  <c r="H195" i="11" s="1"/>
  <c r="D195" i="11" a="1"/>
  <c r="D195" i="11" s="1"/>
  <c r="G195" i="11" s="1"/>
  <c r="I195" i="11" s="1"/>
  <c r="Y195" i="11" s="1"/>
  <c r="H194" i="11" a="1"/>
  <c r="H194" i="11" s="1"/>
  <c r="D194" i="11" a="1"/>
  <c r="D194" i="11" s="1"/>
  <c r="G194" i="11" s="1"/>
  <c r="I194" i="11" s="1"/>
  <c r="Y194" i="11" s="1"/>
  <c r="H193" i="11" a="1"/>
  <c r="H193" i="11" s="1"/>
  <c r="D193" i="11" a="1"/>
  <c r="D193" i="11" s="1"/>
  <c r="G193" i="11" s="1"/>
  <c r="I193" i="11" s="1"/>
  <c r="Y193" i="11" s="1"/>
  <c r="H192" i="11" a="1"/>
  <c r="H192" i="11" s="1"/>
  <c r="D192" i="11" a="1"/>
  <c r="D192" i="11" s="1"/>
  <c r="G192" i="11" s="1"/>
  <c r="I192" i="11" s="1"/>
  <c r="Y192" i="11" s="1"/>
  <c r="H191" i="11" a="1"/>
  <c r="H191" i="11" s="1"/>
  <c r="D191" i="11" a="1"/>
  <c r="D191" i="11" s="1"/>
  <c r="G191" i="11" s="1"/>
  <c r="I191" i="11" s="1"/>
  <c r="Y191" i="11" s="1"/>
  <c r="H190" i="11" a="1"/>
  <c r="H190" i="11" s="1"/>
  <c r="D190" i="11" a="1"/>
  <c r="D190" i="11" s="1"/>
  <c r="G190" i="11" s="1"/>
  <c r="I190" i="11" s="1"/>
  <c r="Y190" i="11" s="1"/>
  <c r="H189" i="11" a="1"/>
  <c r="H189" i="11" s="1"/>
  <c r="D189" i="11" a="1"/>
  <c r="D189" i="11" s="1"/>
  <c r="G189" i="11" s="1"/>
  <c r="I189" i="11" s="1"/>
  <c r="Y189" i="11" s="1"/>
  <c r="H188" i="11" a="1"/>
  <c r="H188" i="11" s="1"/>
  <c r="D188" i="11" a="1"/>
  <c r="D188" i="11" s="1"/>
  <c r="G188" i="11" s="1"/>
  <c r="I188" i="11" s="1"/>
  <c r="Y188" i="11" s="1"/>
  <c r="H187" i="11" a="1"/>
  <c r="H187" i="11" s="1"/>
  <c r="D187" i="11" a="1"/>
  <c r="D187" i="11" s="1"/>
  <c r="G187" i="11" s="1"/>
  <c r="I187" i="11" s="1"/>
  <c r="Y187" i="11" s="1"/>
  <c r="H186" i="11" a="1"/>
  <c r="H186" i="11" s="1"/>
  <c r="D186" i="11" a="1"/>
  <c r="D186" i="11" s="1"/>
  <c r="G186" i="11" s="1"/>
  <c r="I186" i="11" s="1"/>
  <c r="Y186" i="11" s="1"/>
  <c r="H185" i="11" a="1"/>
  <c r="H185" i="11" s="1"/>
  <c r="D185" i="11" a="1"/>
  <c r="D185" i="11" s="1"/>
  <c r="G185" i="11" s="1"/>
  <c r="I185" i="11" s="1"/>
  <c r="Y185" i="11" s="1"/>
  <c r="H184" i="11" a="1"/>
  <c r="H184" i="11" s="1"/>
  <c r="D184" i="11" a="1"/>
  <c r="D184" i="11" s="1"/>
  <c r="G184" i="11" s="1"/>
  <c r="I184" i="11" s="1"/>
  <c r="Y184" i="11" s="1"/>
  <c r="H183" i="11" a="1"/>
  <c r="H183" i="11" s="1"/>
  <c r="D183" i="11" a="1"/>
  <c r="D183" i="11" s="1"/>
  <c r="G183" i="11" s="1"/>
  <c r="I183" i="11" s="1"/>
  <c r="Y183" i="11" s="1"/>
  <c r="H182" i="11" a="1"/>
  <c r="H182" i="11" s="1"/>
  <c r="D182" i="11" a="1"/>
  <c r="D182" i="11" s="1"/>
  <c r="G182" i="11" s="1"/>
  <c r="I182" i="11" s="1"/>
  <c r="Y182" i="11" s="1"/>
  <c r="H181" i="11" a="1"/>
  <c r="H181" i="11" s="1"/>
  <c r="D181" i="11" a="1"/>
  <c r="D181" i="11" s="1"/>
  <c r="G181" i="11" s="1"/>
  <c r="I181" i="11" s="1"/>
  <c r="Y181" i="11" s="1"/>
  <c r="H180" i="11" a="1"/>
  <c r="H180" i="11" s="1"/>
  <c r="D180" i="11" a="1"/>
  <c r="D180" i="11" s="1"/>
  <c r="G180" i="11" s="1"/>
  <c r="I180" i="11" s="1"/>
  <c r="Y180" i="11" s="1"/>
  <c r="H179" i="11" a="1"/>
  <c r="H179" i="11" s="1"/>
  <c r="D179" i="11" a="1"/>
  <c r="D179" i="11" s="1"/>
  <c r="G179" i="11" s="1"/>
  <c r="I179" i="11" s="1"/>
  <c r="Y179" i="11" s="1"/>
  <c r="H178" i="11" a="1"/>
  <c r="H178" i="11" s="1"/>
  <c r="D178" i="11" a="1"/>
  <c r="D178" i="11" s="1"/>
  <c r="G178" i="11" s="1"/>
  <c r="I178" i="11" s="1"/>
  <c r="Y178" i="11" s="1"/>
  <c r="H177" i="11" a="1"/>
  <c r="H177" i="11" s="1"/>
  <c r="D177" i="11" a="1"/>
  <c r="D177" i="11" s="1"/>
  <c r="G177" i="11" s="1"/>
  <c r="I177" i="11" s="1"/>
  <c r="Y177" i="11" s="1"/>
  <c r="H176" i="11" a="1"/>
  <c r="H176" i="11" s="1"/>
  <c r="D176" i="11" a="1"/>
  <c r="D176" i="11" s="1"/>
  <c r="G176" i="11" s="1"/>
  <c r="I176" i="11" s="1"/>
  <c r="Y176" i="11" s="1"/>
  <c r="H175" i="11" a="1"/>
  <c r="H175" i="11" s="1"/>
  <c r="D175" i="11" a="1"/>
  <c r="D175" i="11" s="1"/>
  <c r="G175" i="11" s="1"/>
  <c r="I175" i="11" s="1"/>
  <c r="Y175" i="11" s="1"/>
  <c r="H174" i="11" a="1"/>
  <c r="H174" i="11" s="1"/>
  <c r="D174" i="11" a="1"/>
  <c r="D174" i="11" s="1"/>
  <c r="G174" i="11" s="1"/>
  <c r="I174" i="11" s="1"/>
  <c r="Y174" i="11" s="1"/>
  <c r="H173" i="11" a="1"/>
  <c r="H173" i="11" s="1"/>
  <c r="D173" i="11" a="1"/>
  <c r="D173" i="11" s="1"/>
  <c r="G173" i="11" s="1"/>
  <c r="I173" i="11" s="1"/>
  <c r="Y173" i="11" s="1"/>
  <c r="H172" i="11" a="1"/>
  <c r="H172" i="11" s="1"/>
  <c r="D172" i="11" a="1"/>
  <c r="D172" i="11" s="1"/>
  <c r="G172" i="11" s="1"/>
  <c r="I172" i="11" s="1"/>
  <c r="Y172" i="11" s="1"/>
  <c r="H171" i="11" a="1"/>
  <c r="H171" i="11" s="1"/>
  <c r="D171" i="11" a="1"/>
  <c r="D171" i="11" s="1"/>
  <c r="G171" i="11" s="1"/>
  <c r="I171" i="11" s="1"/>
  <c r="Y171" i="11" s="1"/>
  <c r="H170" i="11" a="1"/>
  <c r="H170" i="11" s="1"/>
  <c r="D170" i="11" a="1"/>
  <c r="D170" i="11" s="1"/>
  <c r="G170" i="11" s="1"/>
  <c r="I170" i="11" s="1"/>
  <c r="Y170" i="11" s="1"/>
  <c r="H169" i="11" a="1"/>
  <c r="H169" i="11" s="1"/>
  <c r="D169" i="11" a="1"/>
  <c r="D169" i="11" s="1"/>
  <c r="G169" i="11" s="1"/>
  <c r="I169" i="11" s="1"/>
  <c r="Y169" i="11" s="1"/>
  <c r="H168" i="11" a="1"/>
  <c r="H168" i="11" s="1"/>
  <c r="D168" i="11" a="1"/>
  <c r="D168" i="11" s="1"/>
  <c r="G168" i="11" s="1"/>
  <c r="I168" i="11" s="1"/>
  <c r="Y168" i="11" s="1"/>
  <c r="H167" i="11" a="1"/>
  <c r="H167" i="11" s="1"/>
  <c r="D167" i="11" a="1"/>
  <c r="D167" i="11" s="1"/>
  <c r="G167" i="11" s="1"/>
  <c r="I167" i="11" s="1"/>
  <c r="Y167" i="11" s="1"/>
  <c r="H166" i="11" a="1"/>
  <c r="H166" i="11" s="1"/>
  <c r="D166" i="11" a="1"/>
  <c r="D166" i="11" s="1"/>
  <c r="G166" i="11" s="1"/>
  <c r="I166" i="11" s="1"/>
  <c r="Y166" i="11" s="1"/>
  <c r="H165" i="11" a="1"/>
  <c r="H165" i="11" s="1"/>
  <c r="D165" i="11" a="1"/>
  <c r="D165" i="11" s="1"/>
  <c r="G165" i="11" s="1"/>
  <c r="I165" i="11" s="1"/>
  <c r="Y165" i="11" s="1"/>
  <c r="H164" i="11" a="1"/>
  <c r="H164" i="11" s="1"/>
  <c r="D164" i="11" a="1"/>
  <c r="D164" i="11" s="1"/>
  <c r="G164" i="11" s="1"/>
  <c r="I164" i="11" s="1"/>
  <c r="Y164" i="11" s="1"/>
  <c r="H163" i="11" a="1"/>
  <c r="H163" i="11" s="1"/>
  <c r="D163" i="11" a="1"/>
  <c r="D163" i="11" s="1"/>
  <c r="G163" i="11" s="1"/>
  <c r="I163" i="11" s="1"/>
  <c r="Y163" i="11" s="1"/>
  <c r="H162" i="11" a="1"/>
  <c r="H162" i="11" s="1"/>
  <c r="D162" i="11" a="1"/>
  <c r="D162" i="11" s="1"/>
  <c r="G162" i="11" s="1"/>
  <c r="I162" i="11" s="1"/>
  <c r="Y162" i="11" s="1"/>
  <c r="H161" i="11" a="1"/>
  <c r="H161" i="11" s="1"/>
  <c r="D161" i="11" a="1"/>
  <c r="D161" i="11" s="1"/>
  <c r="G161" i="11" s="1"/>
  <c r="I161" i="11" s="1"/>
  <c r="Y161" i="11" s="1"/>
  <c r="H160" i="11" a="1"/>
  <c r="H160" i="11" s="1"/>
  <c r="D160" i="11" a="1"/>
  <c r="D160" i="11" s="1"/>
  <c r="G160" i="11" s="1"/>
  <c r="I160" i="11" s="1"/>
  <c r="Y160" i="11" s="1"/>
  <c r="H159" i="11" a="1"/>
  <c r="H159" i="11" s="1"/>
  <c r="D159" i="11" a="1"/>
  <c r="D159" i="11" s="1"/>
  <c r="G159" i="11" s="1"/>
  <c r="I159" i="11" s="1"/>
  <c r="Y159" i="11" s="1"/>
  <c r="H158" i="11" a="1"/>
  <c r="H158" i="11" s="1"/>
  <c r="D158" i="11" a="1"/>
  <c r="D158" i="11" s="1"/>
  <c r="G158" i="11" s="1"/>
  <c r="I158" i="11" s="1"/>
  <c r="Y158" i="11" s="1"/>
  <c r="H157" i="11" a="1"/>
  <c r="H157" i="11" s="1"/>
  <c r="D157" i="11" a="1"/>
  <c r="D157" i="11" s="1"/>
  <c r="G157" i="11" s="1"/>
  <c r="I157" i="11" s="1"/>
  <c r="Y157" i="11" s="1"/>
  <c r="H156" i="11" a="1"/>
  <c r="H156" i="11" s="1"/>
  <c r="D156" i="11" a="1"/>
  <c r="D156" i="11" s="1"/>
  <c r="G156" i="11" s="1"/>
  <c r="I156" i="11" s="1"/>
  <c r="Y156" i="11" s="1"/>
  <c r="H155" i="11" a="1"/>
  <c r="H155" i="11" s="1"/>
  <c r="D155" i="11" a="1"/>
  <c r="D155" i="11" s="1"/>
  <c r="G155" i="11" s="1"/>
  <c r="I155" i="11" s="1"/>
  <c r="Y155" i="11" s="1"/>
  <c r="H154" i="11" a="1"/>
  <c r="H154" i="11" s="1"/>
  <c r="D154" i="11" a="1"/>
  <c r="D154" i="11" s="1"/>
  <c r="G154" i="11" s="1"/>
  <c r="I154" i="11" s="1"/>
  <c r="Y154" i="11" s="1"/>
  <c r="H153" i="11" a="1"/>
  <c r="H153" i="11" s="1"/>
  <c r="D153" i="11" a="1"/>
  <c r="D153" i="11" s="1"/>
  <c r="G153" i="11" s="1"/>
  <c r="I153" i="11" s="1"/>
  <c r="Y153" i="11" s="1"/>
  <c r="H152" i="11" a="1"/>
  <c r="H152" i="11" s="1"/>
  <c r="D152" i="11" a="1"/>
  <c r="D152" i="11" s="1"/>
  <c r="G152" i="11" s="1"/>
  <c r="I152" i="11" s="1"/>
  <c r="Y152" i="11" s="1"/>
  <c r="H151" i="11" a="1"/>
  <c r="H151" i="11" s="1"/>
  <c r="D151" i="11" a="1"/>
  <c r="D151" i="11" s="1"/>
  <c r="G151" i="11" s="1"/>
  <c r="I151" i="11" s="1"/>
  <c r="Y151" i="11" s="1"/>
  <c r="H150" i="11" a="1"/>
  <c r="H150" i="11" s="1"/>
  <c r="D150" i="11" a="1"/>
  <c r="D150" i="11" s="1"/>
  <c r="G150" i="11" s="1"/>
  <c r="I150" i="11" s="1"/>
  <c r="Y150" i="11" s="1"/>
  <c r="H149" i="11" a="1"/>
  <c r="H149" i="11" s="1"/>
  <c r="D149" i="11" a="1"/>
  <c r="D149" i="11" s="1"/>
  <c r="G149" i="11" s="1"/>
  <c r="I149" i="11" s="1"/>
  <c r="Y149" i="11" s="1"/>
  <c r="H148" i="11" a="1"/>
  <c r="H148" i="11" s="1"/>
  <c r="D148" i="11" a="1"/>
  <c r="D148" i="11" s="1"/>
  <c r="G148" i="11" s="1"/>
  <c r="I148" i="11" s="1"/>
  <c r="Y148" i="11" s="1"/>
  <c r="H147" i="11" a="1"/>
  <c r="H147" i="11" s="1"/>
  <c r="D147" i="11" a="1"/>
  <c r="D147" i="11" s="1"/>
  <c r="G147" i="11" s="1"/>
  <c r="I147" i="11" s="1"/>
  <c r="Y147" i="11" s="1"/>
  <c r="H146" i="11" a="1"/>
  <c r="H146" i="11" s="1"/>
  <c r="D146" i="11" a="1"/>
  <c r="D146" i="11" s="1"/>
  <c r="G146" i="11" s="1"/>
  <c r="I146" i="11" s="1"/>
  <c r="Y146" i="11" s="1"/>
  <c r="H145" i="11" a="1"/>
  <c r="H145" i="11" s="1"/>
  <c r="D145" i="11" a="1"/>
  <c r="D145" i="11" s="1"/>
  <c r="G145" i="11" s="1"/>
  <c r="I145" i="11" s="1"/>
  <c r="Y145" i="11" s="1"/>
  <c r="H144" i="11" a="1"/>
  <c r="H144" i="11" s="1"/>
  <c r="D144" i="11" a="1"/>
  <c r="D144" i="11" s="1"/>
  <c r="G144" i="11" s="1"/>
  <c r="I144" i="11" s="1"/>
  <c r="Y144" i="11" s="1"/>
  <c r="H143" i="11" a="1"/>
  <c r="H143" i="11" s="1"/>
  <c r="D143" i="11" a="1"/>
  <c r="D143" i="11" s="1"/>
  <c r="G143" i="11" s="1"/>
  <c r="I143" i="11" s="1"/>
  <c r="Y143" i="11" s="1"/>
  <c r="H142" i="11" a="1"/>
  <c r="H142" i="11" s="1"/>
  <c r="D142" i="11" a="1"/>
  <c r="D142" i="11" s="1"/>
  <c r="G142" i="11" s="1"/>
  <c r="I142" i="11" s="1"/>
  <c r="Y142" i="11" s="1"/>
  <c r="H141" i="11" a="1"/>
  <c r="H141" i="11" s="1"/>
  <c r="D141" i="11" a="1"/>
  <c r="D141" i="11" s="1"/>
  <c r="G141" i="11" s="1"/>
  <c r="I141" i="11" s="1"/>
  <c r="Y141" i="11" s="1"/>
  <c r="H140" i="11" a="1"/>
  <c r="H140" i="11" s="1"/>
  <c r="D140" i="11" a="1"/>
  <c r="D140" i="11" s="1"/>
  <c r="G140" i="11" s="1"/>
  <c r="I140" i="11" s="1"/>
  <c r="Y140" i="11" s="1"/>
  <c r="H139" i="11" a="1"/>
  <c r="H139" i="11" s="1"/>
  <c r="D139" i="11" a="1"/>
  <c r="D139" i="11" s="1"/>
  <c r="G139" i="11" s="1"/>
  <c r="I139" i="11" s="1"/>
  <c r="Y139" i="11" s="1"/>
  <c r="H138" i="11" a="1"/>
  <c r="H138" i="11" s="1"/>
  <c r="D138" i="11" a="1"/>
  <c r="D138" i="11" s="1"/>
  <c r="G138" i="11" s="1"/>
  <c r="I138" i="11" s="1"/>
  <c r="Y138" i="11" s="1"/>
  <c r="H137" i="11" a="1"/>
  <c r="H137" i="11" s="1"/>
  <c r="D137" i="11" a="1"/>
  <c r="D137" i="11" s="1"/>
  <c r="G137" i="11" s="1"/>
  <c r="I137" i="11" s="1"/>
  <c r="Y137" i="11" s="1"/>
  <c r="H136" i="11" a="1"/>
  <c r="H136" i="11" s="1"/>
  <c r="D136" i="11" a="1"/>
  <c r="D136" i="11" s="1"/>
  <c r="G136" i="11" s="1"/>
  <c r="I136" i="11" s="1"/>
  <c r="Y136" i="11" s="1"/>
  <c r="H135" i="11" a="1"/>
  <c r="H135" i="11" s="1"/>
  <c r="D135" i="11" a="1"/>
  <c r="D135" i="11" s="1"/>
  <c r="G135" i="11" s="1"/>
  <c r="I135" i="11" s="1"/>
  <c r="Y135" i="11" s="1"/>
  <c r="H134" i="11" a="1"/>
  <c r="H134" i="11" s="1"/>
  <c r="D134" i="11" a="1"/>
  <c r="D134" i="11" s="1"/>
  <c r="G134" i="11" s="1"/>
  <c r="I134" i="11" s="1"/>
  <c r="Y134" i="11" s="1"/>
  <c r="H133" i="11" a="1"/>
  <c r="H133" i="11" s="1"/>
  <c r="D133" i="11" a="1"/>
  <c r="D133" i="11" s="1"/>
  <c r="G133" i="11" s="1"/>
  <c r="I133" i="11" s="1"/>
  <c r="Y133" i="11" s="1"/>
  <c r="H132" i="11" a="1"/>
  <c r="H132" i="11" s="1"/>
  <c r="D132" i="11" a="1"/>
  <c r="D132" i="11" s="1"/>
  <c r="G132" i="11" s="1"/>
  <c r="I132" i="11" s="1"/>
  <c r="Y132" i="11" s="1"/>
  <c r="H131" i="11" a="1"/>
  <c r="H131" i="11" s="1"/>
  <c r="D131" i="11" a="1"/>
  <c r="D131" i="11" s="1"/>
  <c r="G131" i="11" s="1"/>
  <c r="I131" i="11" s="1"/>
  <c r="Y131" i="11" s="1"/>
  <c r="H130" i="11" a="1"/>
  <c r="H130" i="11" s="1"/>
  <c r="D130" i="11" a="1"/>
  <c r="D130" i="11" s="1"/>
  <c r="G130" i="11" s="1"/>
  <c r="I130" i="11" s="1"/>
  <c r="Y130" i="11" s="1"/>
  <c r="H129" i="11" a="1"/>
  <c r="H129" i="11" s="1"/>
  <c r="D129" i="11" a="1"/>
  <c r="D129" i="11" s="1"/>
  <c r="G129" i="11" s="1"/>
  <c r="I129" i="11" s="1"/>
  <c r="Y129" i="11" s="1"/>
  <c r="H128" i="11" a="1"/>
  <c r="H128" i="11" s="1"/>
  <c r="D128" i="11" a="1"/>
  <c r="D128" i="11" s="1"/>
  <c r="G128" i="11" s="1"/>
  <c r="I128" i="11" s="1"/>
  <c r="Y128" i="11" s="1"/>
  <c r="H127" i="11" a="1"/>
  <c r="H127" i="11" s="1"/>
  <c r="D127" i="11" a="1"/>
  <c r="D127" i="11" s="1"/>
  <c r="G127" i="11" s="1"/>
  <c r="I127" i="11" s="1"/>
  <c r="Y127" i="11" s="1"/>
  <c r="H126" i="11" a="1"/>
  <c r="H126" i="11" s="1"/>
  <c r="D126" i="11" a="1"/>
  <c r="D126" i="11" s="1"/>
  <c r="G126" i="11" s="1"/>
  <c r="I126" i="11" s="1"/>
  <c r="Y126" i="11" s="1"/>
  <c r="H125" i="11" a="1"/>
  <c r="H125" i="11" s="1"/>
  <c r="D125" i="11" a="1"/>
  <c r="D125" i="11" s="1"/>
  <c r="G125" i="11" s="1"/>
  <c r="I125" i="11" s="1"/>
  <c r="Y125" i="11" s="1"/>
  <c r="H124" i="11" a="1"/>
  <c r="H124" i="11" s="1"/>
  <c r="D124" i="11" a="1"/>
  <c r="D124" i="11" s="1"/>
  <c r="G124" i="11" s="1"/>
  <c r="I124" i="11" s="1"/>
  <c r="Y124" i="11" s="1"/>
  <c r="H123" i="11" a="1"/>
  <c r="H123" i="11" s="1"/>
  <c r="D123" i="11" a="1"/>
  <c r="D123" i="11" s="1"/>
  <c r="G123" i="11" s="1"/>
  <c r="I123" i="11" s="1"/>
  <c r="Y123" i="11" s="1"/>
  <c r="H122" i="11" a="1"/>
  <c r="H122" i="11" s="1"/>
  <c r="D122" i="11" a="1"/>
  <c r="D122" i="11" s="1"/>
  <c r="G122" i="11" s="1"/>
  <c r="I122" i="11" s="1"/>
  <c r="Y122" i="11" s="1"/>
  <c r="H121" i="11" a="1"/>
  <c r="H121" i="11" s="1"/>
  <c r="D121" i="11" a="1"/>
  <c r="D121" i="11" s="1"/>
  <c r="G121" i="11" s="1"/>
  <c r="I121" i="11" s="1"/>
  <c r="Y121" i="11" s="1"/>
  <c r="H120" i="11" a="1"/>
  <c r="H120" i="11" s="1"/>
  <c r="D120" i="11" a="1"/>
  <c r="D120" i="11" s="1"/>
  <c r="G120" i="11" s="1"/>
  <c r="I120" i="11" s="1"/>
  <c r="Y120" i="11" s="1"/>
  <c r="H119" i="11" a="1"/>
  <c r="H119" i="11" s="1"/>
  <c r="D119" i="11" a="1"/>
  <c r="D119" i="11" s="1"/>
  <c r="G119" i="11" s="1"/>
  <c r="I119" i="11" s="1"/>
  <c r="Y119" i="11" s="1"/>
  <c r="H118" i="11" a="1"/>
  <c r="H118" i="11" s="1"/>
  <c r="D118" i="11" a="1"/>
  <c r="D118" i="11" s="1"/>
  <c r="G118" i="11" s="1"/>
  <c r="I118" i="11" s="1"/>
  <c r="Y118" i="11" s="1"/>
  <c r="H117" i="11" a="1"/>
  <c r="H117" i="11" s="1"/>
  <c r="D117" i="11" a="1"/>
  <c r="D117" i="11" s="1"/>
  <c r="G117" i="11" s="1"/>
  <c r="I117" i="11" s="1"/>
  <c r="Y117" i="11" s="1"/>
  <c r="H116" i="11" a="1"/>
  <c r="H116" i="11" s="1"/>
  <c r="D116" i="11" a="1"/>
  <c r="D116" i="11" s="1"/>
  <c r="G116" i="11" s="1"/>
  <c r="I116" i="11" s="1"/>
  <c r="Y116" i="11" s="1"/>
  <c r="H115" i="11" a="1"/>
  <c r="H115" i="11" s="1"/>
  <c r="D115" i="11" a="1"/>
  <c r="D115" i="11" s="1"/>
  <c r="G115" i="11" s="1"/>
  <c r="I115" i="11" s="1"/>
  <c r="Y115" i="11" s="1"/>
  <c r="H114" i="11" a="1"/>
  <c r="H114" i="11" s="1"/>
  <c r="D114" i="11" a="1"/>
  <c r="D114" i="11" s="1"/>
  <c r="G114" i="11" s="1"/>
  <c r="I114" i="11" s="1"/>
  <c r="Y114" i="11" s="1"/>
  <c r="H113" i="11" a="1"/>
  <c r="H113" i="11" s="1"/>
  <c r="D113" i="11" a="1"/>
  <c r="D113" i="11" s="1"/>
  <c r="G113" i="11" s="1"/>
  <c r="I113" i="11" s="1"/>
  <c r="Y113" i="11" s="1"/>
  <c r="H112" i="11" a="1"/>
  <c r="H112" i="11" s="1"/>
  <c r="D112" i="11" a="1"/>
  <c r="D112" i="11" s="1"/>
  <c r="G112" i="11" s="1"/>
  <c r="I112" i="11" s="1"/>
  <c r="Y112" i="11" s="1"/>
  <c r="H111" i="11" a="1"/>
  <c r="H111" i="11" s="1"/>
  <c r="D111" i="11" a="1"/>
  <c r="D111" i="11" s="1"/>
  <c r="G111" i="11" s="1"/>
  <c r="I111" i="11" s="1"/>
  <c r="Y111" i="11" s="1"/>
  <c r="H110" i="11" a="1"/>
  <c r="H110" i="11" s="1"/>
  <c r="D110" i="11" a="1"/>
  <c r="D110" i="11" s="1"/>
  <c r="G110" i="11" s="1"/>
  <c r="I110" i="11" s="1"/>
  <c r="Y110" i="11" s="1"/>
  <c r="H109" i="11" a="1"/>
  <c r="H109" i="11" s="1"/>
  <c r="D109" i="11" a="1"/>
  <c r="D109" i="11" s="1"/>
  <c r="G109" i="11" s="1"/>
  <c r="I109" i="11" s="1"/>
  <c r="Y109" i="11" s="1"/>
  <c r="H108" i="11" a="1"/>
  <c r="H108" i="11" s="1"/>
  <c r="D108" i="11" a="1"/>
  <c r="D108" i="11" s="1"/>
  <c r="G108" i="11" s="1"/>
  <c r="I108" i="11" s="1"/>
  <c r="Y108" i="11" s="1"/>
  <c r="H107" i="11" a="1"/>
  <c r="H107" i="11" s="1"/>
  <c r="D107" i="11" a="1"/>
  <c r="D107" i="11" s="1"/>
  <c r="G107" i="11" s="1"/>
  <c r="I107" i="11" s="1"/>
  <c r="Y107" i="11" s="1"/>
  <c r="H106" i="11" a="1"/>
  <c r="H106" i="11" s="1"/>
  <c r="D106" i="11" a="1"/>
  <c r="D106" i="11" s="1"/>
  <c r="G106" i="11" s="1"/>
  <c r="I106" i="11" s="1"/>
  <c r="Y106" i="11" s="1"/>
  <c r="H105" i="11" a="1"/>
  <c r="H105" i="11" s="1"/>
  <c r="D105" i="11" a="1"/>
  <c r="D105" i="11" s="1"/>
  <c r="G105" i="11" s="1"/>
  <c r="I105" i="11" s="1"/>
  <c r="Y105" i="11" s="1"/>
  <c r="H104" i="11" a="1"/>
  <c r="H104" i="11" s="1"/>
  <c r="D104" i="11" a="1"/>
  <c r="D104" i="11" s="1"/>
  <c r="G104" i="11" s="1"/>
  <c r="I104" i="11" s="1"/>
  <c r="Y104" i="11" s="1"/>
  <c r="H103" i="11" a="1"/>
  <c r="H103" i="11" s="1"/>
  <c r="D103" i="11" a="1"/>
  <c r="D103" i="11" s="1"/>
  <c r="G103" i="11" s="1"/>
  <c r="I103" i="11" s="1"/>
  <c r="Y103" i="11" s="1"/>
  <c r="H102" i="11" a="1"/>
  <c r="H102" i="11" s="1"/>
  <c r="D102" i="11" a="1"/>
  <c r="D102" i="11" s="1"/>
  <c r="G102" i="11" s="1"/>
  <c r="I102" i="11" s="1"/>
  <c r="Y102" i="11" s="1"/>
  <c r="H101" i="11" a="1"/>
  <c r="H101" i="11" s="1"/>
  <c r="D101" i="11" a="1"/>
  <c r="D101" i="11" s="1"/>
  <c r="G101" i="11" s="1"/>
  <c r="I101" i="11" s="1"/>
  <c r="Y101" i="11" s="1"/>
  <c r="H100" i="11" a="1"/>
  <c r="H100" i="11" s="1"/>
  <c r="D100" i="11" a="1"/>
  <c r="D100" i="11" s="1"/>
  <c r="G100" i="11" s="1"/>
  <c r="I100" i="11" s="1"/>
  <c r="Y100" i="11" s="1"/>
  <c r="H99" i="11" a="1"/>
  <c r="H99" i="11" s="1"/>
  <c r="D99" i="11" a="1"/>
  <c r="D99" i="11" s="1"/>
  <c r="G99" i="11" s="1"/>
  <c r="I99" i="11" s="1"/>
  <c r="Y99" i="11" s="1"/>
  <c r="H98" i="11" a="1"/>
  <c r="H98" i="11" s="1"/>
  <c r="D98" i="11" a="1"/>
  <c r="D98" i="11" s="1"/>
  <c r="G98" i="11" s="1"/>
  <c r="I98" i="11" s="1"/>
  <c r="Y98" i="11" s="1"/>
  <c r="H97" i="11" a="1"/>
  <c r="H97" i="11" s="1"/>
  <c r="D97" i="11" a="1"/>
  <c r="D97" i="11" s="1"/>
  <c r="G97" i="11" s="1"/>
  <c r="I97" i="11" s="1"/>
  <c r="Y97" i="11" s="1"/>
  <c r="H96" i="11" a="1"/>
  <c r="H96" i="11" s="1"/>
  <c r="D96" i="11" a="1"/>
  <c r="D96" i="11" s="1"/>
  <c r="G96" i="11" s="1"/>
  <c r="I96" i="11" s="1"/>
  <c r="Y96" i="11" s="1"/>
  <c r="H95" i="11" a="1"/>
  <c r="H95" i="11" s="1"/>
  <c r="D95" i="11" a="1"/>
  <c r="D95" i="11" s="1"/>
  <c r="G95" i="11" s="1"/>
  <c r="I95" i="11" s="1"/>
  <c r="Y95" i="11" s="1"/>
  <c r="H94" i="11" a="1"/>
  <c r="H94" i="11" s="1"/>
  <c r="D94" i="11" a="1"/>
  <c r="D94" i="11" s="1"/>
  <c r="G94" i="11" s="1"/>
  <c r="I94" i="11" s="1"/>
  <c r="Y94" i="11" s="1"/>
  <c r="H93" i="11" a="1"/>
  <c r="H93" i="11" s="1"/>
  <c r="D93" i="11" a="1"/>
  <c r="D93" i="11" s="1"/>
  <c r="G93" i="11" s="1"/>
  <c r="I93" i="11" s="1"/>
  <c r="Y93" i="11" s="1"/>
  <c r="H92" i="11" a="1"/>
  <c r="H92" i="11" s="1"/>
  <c r="D92" i="11" a="1"/>
  <c r="D92" i="11" s="1"/>
  <c r="G92" i="11" s="1"/>
  <c r="I92" i="11" s="1"/>
  <c r="Y92" i="11" s="1"/>
  <c r="H91" i="11" a="1"/>
  <c r="H91" i="11" s="1"/>
  <c r="D91" i="11" a="1"/>
  <c r="D91" i="11" s="1"/>
  <c r="G91" i="11" s="1"/>
  <c r="I91" i="11" s="1"/>
  <c r="Y91" i="11" s="1"/>
  <c r="H90" i="11" a="1"/>
  <c r="H90" i="11" s="1"/>
  <c r="D90" i="11" a="1"/>
  <c r="D90" i="11" s="1"/>
  <c r="G90" i="11" s="1"/>
  <c r="I90" i="11" s="1"/>
  <c r="Y90" i="11" s="1"/>
  <c r="H89" i="11" a="1"/>
  <c r="H89" i="11" s="1"/>
  <c r="D89" i="11" a="1"/>
  <c r="D89" i="11" s="1"/>
  <c r="G89" i="11" s="1"/>
  <c r="I89" i="11" s="1"/>
  <c r="Y89" i="11" s="1"/>
  <c r="H88" i="11" a="1"/>
  <c r="H88" i="11" s="1"/>
  <c r="D88" i="11" a="1"/>
  <c r="D88" i="11" s="1"/>
  <c r="G88" i="11" s="1"/>
  <c r="I88" i="11" s="1"/>
  <c r="Y88" i="11" s="1"/>
  <c r="H87" i="11" a="1"/>
  <c r="H87" i="11" s="1"/>
  <c r="D87" i="11" a="1"/>
  <c r="D87" i="11" s="1"/>
  <c r="G87" i="11" s="1"/>
  <c r="I87" i="11" s="1"/>
  <c r="Y87" i="11" s="1"/>
  <c r="H86" i="11" a="1"/>
  <c r="H86" i="11" s="1"/>
  <c r="D86" i="11" a="1"/>
  <c r="D86" i="11" s="1"/>
  <c r="G86" i="11" s="1"/>
  <c r="I86" i="11" s="1"/>
  <c r="Y86" i="11" s="1"/>
  <c r="H85" i="11" a="1"/>
  <c r="H85" i="11" s="1"/>
  <c r="D85" i="11" a="1"/>
  <c r="D85" i="11" s="1"/>
  <c r="G85" i="11" s="1"/>
  <c r="I85" i="11" s="1"/>
  <c r="Y85" i="11" s="1"/>
  <c r="H84" i="11" a="1"/>
  <c r="H84" i="11" s="1"/>
  <c r="D84" i="11" a="1"/>
  <c r="D84" i="11" s="1"/>
  <c r="G84" i="11" s="1"/>
  <c r="I84" i="11" s="1"/>
  <c r="Y84" i="11" s="1"/>
  <c r="H83" i="11" a="1"/>
  <c r="H83" i="11" s="1"/>
  <c r="D83" i="11" a="1"/>
  <c r="D83" i="11" s="1"/>
  <c r="G83" i="11" s="1"/>
  <c r="I83" i="11" s="1"/>
  <c r="Y83" i="11" s="1"/>
  <c r="H82" i="11" a="1"/>
  <c r="H82" i="11" s="1"/>
  <c r="D82" i="11" a="1"/>
  <c r="D82" i="11" s="1"/>
  <c r="G82" i="11" s="1"/>
  <c r="I82" i="11" s="1"/>
  <c r="Y82" i="11" s="1"/>
  <c r="H81" i="11" a="1"/>
  <c r="H81" i="11" s="1"/>
  <c r="D81" i="11" a="1"/>
  <c r="D81" i="11" s="1"/>
  <c r="G81" i="11" s="1"/>
  <c r="I81" i="11" s="1"/>
  <c r="Y81" i="11" s="1"/>
  <c r="H80" i="11" a="1"/>
  <c r="H80" i="11" s="1"/>
  <c r="D80" i="11" a="1"/>
  <c r="D80" i="11" s="1"/>
  <c r="G80" i="11" s="1"/>
  <c r="I80" i="11" s="1"/>
  <c r="Y80" i="11" s="1"/>
  <c r="H79" i="11" a="1"/>
  <c r="H79" i="11" s="1"/>
  <c r="D79" i="11" a="1"/>
  <c r="D79" i="11" s="1"/>
  <c r="G79" i="11" s="1"/>
  <c r="I79" i="11" s="1"/>
  <c r="Y79" i="11" s="1"/>
  <c r="H78" i="11" a="1"/>
  <c r="H78" i="11" s="1"/>
  <c r="D78" i="11" a="1"/>
  <c r="D78" i="11" s="1"/>
  <c r="G78" i="11" s="1"/>
  <c r="I78" i="11" s="1"/>
  <c r="Y78" i="11" s="1"/>
  <c r="H77" i="11" a="1"/>
  <c r="H77" i="11" s="1"/>
  <c r="D77" i="11" a="1"/>
  <c r="D77" i="11" s="1"/>
  <c r="G77" i="11" s="1"/>
  <c r="I77" i="11" s="1"/>
  <c r="Y77" i="11" s="1"/>
  <c r="H76" i="11" a="1"/>
  <c r="H76" i="11" s="1"/>
  <c r="D76" i="11" a="1"/>
  <c r="D76" i="11" s="1"/>
  <c r="G76" i="11" s="1"/>
  <c r="I76" i="11" s="1"/>
  <c r="Y76" i="11" s="1"/>
  <c r="H75" i="11" a="1"/>
  <c r="H75" i="11" s="1"/>
  <c r="D75" i="11" a="1"/>
  <c r="D75" i="11" s="1"/>
  <c r="G75" i="11" s="1"/>
  <c r="I75" i="11" s="1"/>
  <c r="Y75" i="11" s="1"/>
  <c r="H74" i="11" a="1"/>
  <c r="H74" i="11" s="1"/>
  <c r="D74" i="11" a="1"/>
  <c r="D74" i="11" s="1"/>
  <c r="G74" i="11" s="1"/>
  <c r="I74" i="11" s="1"/>
  <c r="Y74" i="11" s="1"/>
  <c r="H73" i="11" a="1"/>
  <c r="H73" i="11" s="1"/>
  <c r="D73" i="11" a="1"/>
  <c r="D73" i="11" s="1"/>
  <c r="G73" i="11" s="1"/>
  <c r="I73" i="11" s="1"/>
  <c r="Y73" i="11" s="1"/>
  <c r="H72" i="11" a="1"/>
  <c r="H72" i="11" s="1"/>
  <c r="D72" i="11" a="1"/>
  <c r="D72" i="11" s="1"/>
  <c r="G72" i="11" s="1"/>
  <c r="I72" i="11" s="1"/>
  <c r="Y72" i="11" s="1"/>
  <c r="H71" i="11" a="1"/>
  <c r="H71" i="11" s="1"/>
  <c r="D71" i="11" a="1"/>
  <c r="D71" i="11" s="1"/>
  <c r="G71" i="11" s="1"/>
  <c r="I71" i="11" s="1"/>
  <c r="Y71" i="11" s="1"/>
  <c r="H70" i="11" a="1"/>
  <c r="H70" i="11" s="1"/>
  <c r="D70" i="11" a="1"/>
  <c r="D70" i="11" s="1"/>
  <c r="G70" i="11" s="1"/>
  <c r="I70" i="11" s="1"/>
  <c r="Y70" i="11" s="1"/>
  <c r="H69" i="11" a="1"/>
  <c r="H69" i="11" s="1"/>
  <c r="D69" i="11" a="1"/>
  <c r="D69" i="11" s="1"/>
  <c r="G69" i="11" s="1"/>
  <c r="I69" i="11" s="1"/>
  <c r="Y69" i="11" s="1"/>
  <c r="H68" i="11" a="1"/>
  <c r="H68" i="11" s="1"/>
  <c r="D68" i="11" a="1"/>
  <c r="D68" i="11" s="1"/>
  <c r="G68" i="11" s="1"/>
  <c r="I68" i="11" s="1"/>
  <c r="Y68" i="11" s="1"/>
  <c r="H67" i="11" a="1"/>
  <c r="H67" i="11" s="1"/>
  <c r="D67" i="11" a="1"/>
  <c r="D67" i="11" s="1"/>
  <c r="G67" i="11" s="1"/>
  <c r="I67" i="11" s="1"/>
  <c r="Y67" i="11" s="1"/>
  <c r="H66" i="11" a="1"/>
  <c r="H66" i="11" s="1"/>
  <c r="D66" i="11" a="1"/>
  <c r="D66" i="11" s="1"/>
  <c r="G66" i="11" s="1"/>
  <c r="I66" i="11" s="1"/>
  <c r="Y66" i="11" s="1"/>
  <c r="H65" i="11" a="1"/>
  <c r="H65" i="11" s="1"/>
  <c r="D65" i="11" a="1"/>
  <c r="D65" i="11" s="1"/>
  <c r="G65" i="11" s="1"/>
  <c r="I65" i="11" s="1"/>
  <c r="Y65" i="11" s="1"/>
  <c r="H64" i="11" a="1"/>
  <c r="H64" i="11" s="1"/>
  <c r="D64" i="11" a="1"/>
  <c r="D64" i="11" s="1"/>
  <c r="G64" i="11" s="1"/>
  <c r="I64" i="11" s="1"/>
  <c r="Y64" i="11" s="1"/>
  <c r="H63" i="11" a="1"/>
  <c r="H63" i="11" s="1"/>
  <c r="D63" i="11" a="1"/>
  <c r="D63" i="11" s="1"/>
  <c r="G63" i="11" s="1"/>
  <c r="I63" i="11" s="1"/>
  <c r="Y63" i="11" s="1"/>
  <c r="H62" i="11" a="1"/>
  <c r="H62" i="11" s="1"/>
  <c r="D62" i="11" a="1"/>
  <c r="D62" i="11" s="1"/>
  <c r="G62" i="11" s="1"/>
  <c r="I62" i="11" s="1"/>
  <c r="Y62" i="11" s="1"/>
  <c r="H61" i="11" a="1"/>
  <c r="H61" i="11" s="1"/>
  <c r="D61" i="11" a="1"/>
  <c r="D61" i="11" s="1"/>
  <c r="G61" i="11" s="1"/>
  <c r="I61" i="11" s="1"/>
  <c r="Y61" i="11" s="1"/>
  <c r="H60" i="11" a="1"/>
  <c r="H60" i="11" s="1"/>
  <c r="D60" i="11" a="1"/>
  <c r="D60" i="11" s="1"/>
  <c r="G60" i="11" s="1"/>
  <c r="I60" i="11" s="1"/>
  <c r="Y60" i="11" s="1"/>
  <c r="H59" i="11" a="1"/>
  <c r="H59" i="11" s="1"/>
  <c r="D59" i="11" a="1"/>
  <c r="D59" i="11" s="1"/>
  <c r="G59" i="11" s="1"/>
  <c r="I59" i="11" s="1"/>
  <c r="Y59" i="11" s="1"/>
  <c r="H58" i="11" a="1"/>
  <c r="H58" i="11" s="1"/>
  <c r="D58" i="11" a="1"/>
  <c r="D58" i="11" s="1"/>
  <c r="G58" i="11" s="1"/>
  <c r="I58" i="11" s="1"/>
  <c r="Y58" i="11" s="1"/>
  <c r="H57" i="11" a="1"/>
  <c r="H57" i="11" s="1"/>
  <c r="D57" i="11" a="1"/>
  <c r="D57" i="11" s="1"/>
  <c r="G57" i="11" s="1"/>
  <c r="I57" i="11" s="1"/>
  <c r="Y57" i="11" s="1"/>
  <c r="H56" i="11" a="1"/>
  <c r="H56" i="11" s="1"/>
  <c r="D56" i="11" a="1"/>
  <c r="D56" i="11" s="1"/>
  <c r="G56" i="11" s="1"/>
  <c r="I56" i="11" s="1"/>
  <c r="Y56" i="11" s="1"/>
  <c r="H55" i="11" a="1"/>
  <c r="H55" i="11" s="1"/>
  <c r="D55" i="11" a="1"/>
  <c r="D55" i="11" s="1"/>
  <c r="G55" i="11" s="1"/>
  <c r="I55" i="11" s="1"/>
  <c r="Y55" i="11" s="1"/>
  <c r="H54" i="11" a="1"/>
  <c r="H54" i="11" s="1"/>
  <c r="D54" i="11" a="1"/>
  <c r="D54" i="11" s="1"/>
  <c r="G54" i="11" s="1"/>
  <c r="I54" i="11" s="1"/>
  <c r="Y54" i="11" s="1"/>
  <c r="H53" i="11" a="1"/>
  <c r="H53" i="11" s="1"/>
  <c r="D53" i="11" a="1"/>
  <c r="D53" i="11" s="1"/>
  <c r="G53" i="11" s="1"/>
  <c r="I53" i="11" s="1"/>
  <c r="Y53" i="11" s="1"/>
  <c r="H52" i="11" a="1"/>
  <c r="H52" i="11" s="1"/>
  <c r="D52" i="11" a="1"/>
  <c r="D52" i="11" s="1"/>
  <c r="G52" i="11" s="1"/>
  <c r="I52" i="11" s="1"/>
  <c r="Y52" i="11" s="1"/>
  <c r="H51" i="11" a="1"/>
  <c r="H51" i="11" s="1"/>
  <c r="D51" i="11" a="1"/>
  <c r="D51" i="11" s="1"/>
  <c r="G51" i="11" s="1"/>
  <c r="I51" i="11" s="1"/>
  <c r="Y51" i="11" s="1"/>
  <c r="H50" i="11" a="1"/>
  <c r="H50" i="11" s="1"/>
  <c r="D50" i="11" a="1"/>
  <c r="D50" i="11" s="1"/>
  <c r="G50" i="11" s="1"/>
  <c r="I50" i="11" s="1"/>
  <c r="Y50" i="11" s="1"/>
  <c r="H49" i="11" a="1"/>
  <c r="H49" i="11" s="1"/>
  <c r="D49" i="11" a="1"/>
  <c r="D49" i="11" s="1"/>
  <c r="G49" i="11" s="1"/>
  <c r="I49" i="11" s="1"/>
  <c r="Y49" i="11" s="1"/>
  <c r="H48" i="11" a="1"/>
  <c r="H48" i="11" s="1"/>
  <c r="D48" i="11" a="1"/>
  <c r="D48" i="11" s="1"/>
  <c r="G48" i="11" s="1"/>
  <c r="I48" i="11" s="1"/>
  <c r="Y48" i="11" s="1"/>
  <c r="H47" i="11" a="1"/>
  <c r="H47" i="11" s="1"/>
  <c r="D47" i="11" a="1"/>
  <c r="D47" i="11" s="1"/>
  <c r="G47" i="11" s="1"/>
  <c r="I47" i="11" s="1"/>
  <c r="Y47" i="11" s="1"/>
  <c r="H46" i="11" a="1"/>
  <c r="H46" i="11" s="1"/>
  <c r="D46" i="11" a="1"/>
  <c r="D46" i="11" s="1"/>
  <c r="G46" i="11" s="1"/>
  <c r="I46" i="11" s="1"/>
  <c r="Y46" i="11" s="1"/>
  <c r="H45" i="11" a="1"/>
  <c r="H45" i="11" s="1"/>
  <c r="D45" i="11" a="1"/>
  <c r="D45" i="11" s="1"/>
  <c r="G45" i="11" s="1"/>
  <c r="I45" i="11" s="1"/>
  <c r="Y45" i="11" s="1"/>
  <c r="H44" i="11" a="1"/>
  <c r="H44" i="11" s="1"/>
  <c r="D44" i="11" a="1"/>
  <c r="D44" i="11" s="1"/>
  <c r="G44" i="11" s="1"/>
  <c r="I44" i="11" s="1"/>
  <c r="Y44" i="11" s="1"/>
  <c r="H43" i="11" a="1"/>
  <c r="H43" i="11" s="1"/>
  <c r="D43" i="11" a="1"/>
  <c r="D43" i="11" s="1"/>
  <c r="G43" i="11" s="1"/>
  <c r="I43" i="11" s="1"/>
  <c r="Y43" i="11" s="1"/>
  <c r="H42" i="11" a="1"/>
  <c r="H42" i="11" s="1"/>
  <c r="D42" i="11" a="1"/>
  <c r="D42" i="11" s="1"/>
  <c r="G42" i="11" s="1"/>
  <c r="I42" i="11" s="1"/>
  <c r="Y42" i="11" s="1"/>
  <c r="H41" i="11" a="1"/>
  <c r="H41" i="11" s="1"/>
  <c r="D41" i="11" a="1"/>
  <c r="D41" i="11" s="1"/>
  <c r="G41" i="11" s="1"/>
  <c r="I41" i="11" s="1"/>
  <c r="Y41" i="11" s="1"/>
  <c r="H40" i="11" a="1"/>
  <c r="H40" i="11" s="1"/>
  <c r="D40" i="11" a="1"/>
  <c r="D40" i="11" s="1"/>
  <c r="G40" i="11" s="1"/>
  <c r="I40" i="11" s="1"/>
  <c r="Y40" i="11" s="1"/>
  <c r="H39" i="11" a="1"/>
  <c r="H39" i="11" s="1"/>
  <c r="D39" i="11" a="1"/>
  <c r="D39" i="11" s="1"/>
  <c r="G39" i="11" s="1"/>
  <c r="I39" i="11" s="1"/>
  <c r="Y39" i="11" s="1"/>
  <c r="H38" i="11" a="1"/>
  <c r="H38" i="11" s="1"/>
  <c r="D38" i="11" a="1"/>
  <c r="D38" i="11" s="1"/>
  <c r="G38" i="11" s="1"/>
  <c r="I38" i="11" s="1"/>
  <c r="Y38" i="11" s="1"/>
  <c r="H37" i="11" a="1"/>
  <c r="H37" i="11" s="1"/>
  <c r="D37" i="11" a="1"/>
  <c r="D37" i="11" s="1"/>
  <c r="G37" i="11" s="1"/>
  <c r="I37" i="11" s="1"/>
  <c r="Y37" i="11" s="1"/>
  <c r="H36" i="11" a="1"/>
  <c r="H36" i="11" s="1"/>
  <c r="D36" i="11" a="1"/>
  <c r="D36" i="11" s="1"/>
  <c r="G36" i="11" s="1"/>
  <c r="I36" i="11" s="1"/>
  <c r="Y36" i="11" s="1"/>
  <c r="H35" i="11" a="1"/>
  <c r="H35" i="11" s="1"/>
  <c r="D35" i="11" a="1"/>
  <c r="D35" i="11" s="1"/>
  <c r="G35" i="11" s="1"/>
  <c r="I35" i="11" s="1"/>
  <c r="Y35" i="11" s="1"/>
  <c r="H34" i="11" a="1"/>
  <c r="H34" i="11" s="1"/>
  <c r="D34" i="11" a="1"/>
  <c r="D34" i="11" s="1"/>
  <c r="G34" i="11" s="1"/>
  <c r="I34" i="11" s="1"/>
  <c r="Y34" i="11" s="1"/>
  <c r="H33" i="11" a="1"/>
  <c r="H33" i="11" s="1"/>
  <c r="D33" i="11" a="1"/>
  <c r="D33" i="11" s="1"/>
  <c r="G33" i="11" s="1"/>
  <c r="I33" i="11" s="1"/>
  <c r="Y33" i="11" s="1"/>
  <c r="H32" i="11" a="1"/>
  <c r="H32" i="11" s="1"/>
  <c r="D32" i="11" a="1"/>
  <c r="D32" i="11" s="1"/>
  <c r="G32" i="11" s="1"/>
  <c r="I32" i="11" s="1"/>
  <c r="Y32" i="11" s="1"/>
  <c r="H31" i="11" a="1"/>
  <c r="H31" i="11" s="1"/>
  <c r="D31" i="11" a="1"/>
  <c r="D31" i="11" s="1"/>
  <c r="G31" i="11" s="1"/>
  <c r="I31" i="11" s="1"/>
  <c r="Y31" i="11" s="1"/>
  <c r="H30" i="11" a="1"/>
  <c r="H30" i="11" s="1"/>
  <c r="D30" i="11" a="1"/>
  <c r="D30" i="11" s="1"/>
  <c r="G30" i="11" s="1"/>
  <c r="I30" i="11" s="1"/>
  <c r="Y30" i="11" s="1"/>
  <c r="H29" i="11" a="1"/>
  <c r="H29" i="11" s="1"/>
  <c r="D29" i="11" a="1"/>
  <c r="D29" i="11" s="1"/>
  <c r="G29" i="11" s="1"/>
  <c r="I29" i="11" s="1"/>
  <c r="Y29" i="11" s="1"/>
  <c r="H28" i="11" a="1"/>
  <c r="H28" i="11" s="1"/>
  <c r="D28" i="11" a="1"/>
  <c r="D28" i="11" s="1"/>
  <c r="G28" i="11" s="1"/>
  <c r="I28" i="11" s="1"/>
  <c r="Y28" i="11" s="1"/>
  <c r="H27" i="11" a="1"/>
  <c r="H27" i="11" s="1"/>
  <c r="D27" i="11" a="1"/>
  <c r="D27" i="11" s="1"/>
  <c r="G27" i="11" s="1"/>
  <c r="I27" i="11" s="1"/>
  <c r="Y27" i="11" s="1"/>
  <c r="H26" i="11" a="1"/>
  <c r="H26" i="11" s="1"/>
  <c r="D26" i="11" a="1"/>
  <c r="D26" i="11" s="1"/>
  <c r="G26" i="11" s="1"/>
  <c r="I26" i="11" s="1"/>
  <c r="Y26" i="11" s="1"/>
  <c r="H25" i="11" a="1"/>
  <c r="H25" i="11" s="1"/>
  <c r="D25" i="11" a="1"/>
  <c r="D25" i="11" s="1"/>
  <c r="AI20" i="11"/>
  <c r="AI19" i="11"/>
  <c r="AI18" i="11"/>
  <c r="AI16" i="11"/>
  <c r="AI15" i="11"/>
  <c r="AI14" i="11"/>
  <c r="AI13" i="11"/>
  <c r="AI11" i="11"/>
  <c r="AI10" i="11"/>
  <c r="AI9" i="11"/>
  <c r="AI8" i="11"/>
  <c r="P306" i="9" l="1"/>
  <c r="Q306" i="9" s="1"/>
  <c r="P307" i="9"/>
  <c r="Q307" i="9" s="1"/>
  <c r="V306" i="9"/>
  <c r="G25" i="11"/>
  <c r="M19" i="11" s="1"/>
  <c r="M7" i="11"/>
  <c r="M17" i="11"/>
  <c r="M18" i="11"/>
  <c r="M14" i="11"/>
  <c r="W307" i="9" l="1"/>
  <c r="X307" i="9" s="1"/>
  <c r="J307" i="9" s="1"/>
  <c r="M307" i="9" s="1"/>
  <c r="N307" i="9" s="1"/>
  <c r="W306" i="9"/>
  <c r="X306" i="9" s="1"/>
  <c r="J306" i="9" s="1"/>
  <c r="M306" i="9" s="1"/>
  <c r="N306" i="9" s="1"/>
  <c r="H308" i="9" s="1"/>
  <c r="M10" i="11"/>
  <c r="M9" i="11"/>
  <c r="M16" i="11"/>
  <c r="M13" i="11"/>
  <c r="M12" i="11"/>
  <c r="M15" i="11"/>
  <c r="M8" i="11"/>
  <c r="M11" i="11"/>
  <c r="M20" i="11"/>
  <c r="I25" i="11"/>
  <c r="P309" i="9" l="1"/>
  <c r="P308" i="9"/>
  <c r="Q308" i="9" s="1"/>
  <c r="H309" i="9"/>
  <c r="K153" i="11"/>
  <c r="V308" i="9"/>
  <c r="P153" i="11"/>
  <c r="A9" i="8"/>
  <c r="C12" i="7"/>
  <c r="E10" i="7"/>
  <c r="B7" i="7"/>
  <c r="B9" i="7"/>
  <c r="D7" i="7"/>
  <c r="C13" i="7"/>
  <c r="D8" i="7"/>
  <c r="D10" i="7"/>
  <c r="F6" i="7"/>
  <c r="E20" i="7" s="1"/>
  <c r="D11" i="7"/>
  <c r="C7" i="7"/>
  <c r="B12" i="7"/>
  <c r="E7" i="7"/>
  <c r="C8" i="7"/>
  <c r="B13" i="7"/>
  <c r="F11" i="7"/>
  <c r="B8" i="7"/>
  <c r="E6" i="7"/>
  <c r="B20" i="7" s="1"/>
  <c r="E8" i="7"/>
  <c r="C6" i="7"/>
  <c r="F20" i="7" s="1"/>
  <c r="C11" i="7"/>
  <c r="F9" i="7"/>
  <c r="F8" i="7"/>
  <c r="D12" i="7"/>
  <c r="F12" i="7"/>
  <c r="Y25" i="11"/>
  <c r="C9" i="7"/>
  <c r="D6" i="7"/>
  <c r="D20" i="7" s="1"/>
  <c r="B11" i="7"/>
  <c r="E12" i="7"/>
  <c r="E9" i="7"/>
  <c r="B6" i="7"/>
  <c r="C20" i="7" s="1"/>
  <c r="C10" i="7"/>
  <c r="F7" i="7"/>
  <c r="D9" i="7"/>
  <c r="F10" i="7"/>
  <c r="D13" i="7"/>
  <c r="E11" i="7"/>
  <c r="E13" i="7"/>
  <c r="B10" i="7"/>
  <c r="F13" i="7"/>
  <c r="B29" i="7"/>
  <c r="W308" i="9" l="1"/>
  <c r="X308" i="9" s="1"/>
  <c r="W309" i="9"/>
  <c r="Q309" i="9"/>
  <c r="V309" i="9"/>
  <c r="J308" i="9" l="1"/>
  <c r="M308" i="9" s="1"/>
  <c r="N308" i="9" s="1"/>
  <c r="H310" i="9" s="1"/>
  <c r="X309" i="9"/>
  <c r="J309" i="9" s="1"/>
  <c r="M309" i="9" s="1"/>
  <c r="N309" i="9" s="1"/>
  <c r="H311" i="9"/>
  <c r="K154" i="11"/>
  <c r="P154" i="11"/>
  <c r="P310" i="9" l="1"/>
  <c r="Q310" i="9" s="1"/>
  <c r="P311" i="9"/>
  <c r="Q311" i="9" s="1"/>
  <c r="V310" i="9"/>
  <c r="V311" i="9"/>
  <c r="Q50" i="10"/>
  <c r="P50" i="10"/>
  <c r="W310" i="9" l="1"/>
  <c r="X310" i="9" s="1"/>
  <c r="J310" i="9" s="1"/>
  <c r="M310" i="9" s="1"/>
  <c r="W311" i="9"/>
  <c r="X311" i="9" s="1"/>
  <c r="J311" i="9" s="1"/>
  <c r="M311" i="9" s="1"/>
  <c r="N311" i="9" s="1"/>
  <c r="H313" i="9" s="1"/>
  <c r="R50" i="10"/>
  <c r="P313" i="9" l="1"/>
  <c r="Q313" i="9" s="1"/>
  <c r="P312" i="9"/>
  <c r="V313" i="9"/>
  <c r="K155" i="11"/>
  <c r="N310" i="9"/>
  <c r="H312" i="9" s="1"/>
  <c r="W312" i="9" l="1"/>
  <c r="W313" i="9"/>
  <c r="X313" i="9" s="1"/>
  <c r="Q312" i="9"/>
  <c r="V312" i="9"/>
  <c r="P155" i="11"/>
  <c r="X312" i="9" l="1"/>
  <c r="J312" i="9" s="1"/>
  <c r="M312" i="9" s="1"/>
  <c r="N312" i="9" s="1"/>
  <c r="H314" i="9" s="1"/>
  <c r="J313" i="9"/>
  <c r="M313" i="9" s="1"/>
  <c r="N313" i="9" s="1"/>
  <c r="H315" i="9" s="1"/>
  <c r="K156" i="11"/>
  <c r="P315" i="9" l="1"/>
  <c r="Q315" i="9" s="1"/>
  <c r="P314" i="9"/>
  <c r="Q314" i="9" s="1"/>
  <c r="V315" i="9"/>
  <c r="V314" i="9"/>
  <c r="P156" i="11"/>
  <c r="W314" i="9" l="1"/>
  <c r="X314" i="9" s="1"/>
  <c r="J314" i="9" s="1"/>
  <c r="M314" i="9" s="1"/>
  <c r="W315" i="9"/>
  <c r="X315" i="9" s="1"/>
  <c r="J315" i="9" l="1"/>
  <c r="M315" i="9" s="1"/>
  <c r="N315" i="9" s="1"/>
  <c r="H317" i="9"/>
  <c r="K157" i="11"/>
  <c r="N314" i="9"/>
  <c r="P157" i="11"/>
  <c r="V317" i="9" l="1"/>
  <c r="H316" i="9"/>
  <c r="P317" i="9" s="1"/>
  <c r="Q317" i="9" s="1"/>
  <c r="P316" i="9" l="1"/>
  <c r="Q316" i="9" s="1"/>
  <c r="U158" i="11"/>
  <c r="B12" i="12"/>
  <c r="V316" i="9"/>
  <c r="W316" i="9" s="1"/>
  <c r="W317" i="9" l="1"/>
  <c r="X317" i="9" s="1"/>
  <c r="J317" i="9" s="1"/>
  <c r="M317" i="9" s="1"/>
  <c r="F77" i="6"/>
  <c r="S77" i="6" s="1"/>
  <c r="N2" i="12"/>
  <c r="B17" i="11"/>
  <c r="S17" i="11" s="1"/>
  <c r="X316" i="9"/>
  <c r="J316" i="9" s="1"/>
  <c r="M316" i="9" s="1"/>
  <c r="N316" i="9" l="1"/>
  <c r="N317" i="9"/>
  <c r="H319" i="9" s="1"/>
  <c r="W17" i="11"/>
  <c r="AI17" i="11"/>
  <c r="P158" i="11"/>
  <c r="P319" i="9" l="1"/>
  <c r="Q319" i="9" s="1"/>
  <c r="P318" i="9"/>
  <c r="V319" i="9"/>
  <c r="H318" i="9"/>
  <c r="K158" i="11"/>
  <c r="W319" i="9" l="1"/>
  <c r="X319" i="9" s="1"/>
  <c r="W318" i="9"/>
  <c r="V318" i="9"/>
  <c r="Q318" i="9"/>
  <c r="J319" i="9" l="1"/>
  <c r="M319" i="9" s="1"/>
  <c r="N319" i="9" s="1"/>
  <c r="X318" i="9"/>
  <c r="J318" i="9" s="1"/>
  <c r="M318" i="9" s="1"/>
  <c r="N318" i="9" s="1"/>
  <c r="H321" i="9" l="1"/>
  <c r="H320" i="9"/>
  <c r="K159" i="11"/>
  <c r="P159" i="11"/>
  <c r="P321" i="9" l="1"/>
  <c r="Q321" i="9" s="1"/>
  <c r="P320" i="9"/>
  <c r="Q320" i="9" s="1"/>
  <c r="V321" i="9"/>
  <c r="V320" i="9"/>
  <c r="W321" i="9" l="1"/>
  <c r="X321" i="9" s="1"/>
  <c r="J321" i="9" s="1"/>
  <c r="M321" i="9" s="1"/>
  <c r="N321" i="9" s="1"/>
  <c r="W320" i="9"/>
  <c r="X320" i="9" s="1"/>
  <c r="J320" i="9" s="1"/>
  <c r="M320" i="9" s="1"/>
  <c r="B19" i="7" l="1"/>
  <c r="N320" i="9"/>
  <c r="H19" i="7"/>
  <c r="E19" i="7" s="1"/>
  <c r="B18" i="7"/>
  <c r="H18" i="7"/>
  <c r="E18" i="7" s="1"/>
  <c r="K160" i="11"/>
  <c r="B2" i="12"/>
  <c r="D2" i="12" s="1"/>
  <c r="P160" i="11"/>
  <c r="H17" i="7"/>
  <c r="B7" i="12"/>
  <c r="B17" i="7"/>
  <c r="D18" i="7" l="1"/>
  <c r="F18" i="7"/>
  <c r="C18" i="7"/>
  <c r="B7" i="11"/>
  <c r="S7" i="11" s="1"/>
  <c r="W7" i="11" s="1"/>
  <c r="F79" i="6"/>
  <c r="S79" i="6" s="1"/>
  <c r="D19" i="7"/>
  <c r="C19" i="7"/>
  <c r="F19" i="7"/>
  <c r="B12" i="11"/>
  <c r="I2" i="12"/>
  <c r="F80" i="6"/>
  <c r="S80" i="6" s="1"/>
  <c r="D17" i="7"/>
  <c r="E17" i="7"/>
  <c r="C17" i="7"/>
  <c r="F17" i="7" s="1"/>
  <c r="C4" i="6" l="1"/>
  <c r="A5" i="2" s="1"/>
  <c r="B28" i="7" s="1"/>
  <c r="AI7" i="11"/>
  <c r="A6" i="2"/>
  <c r="C14" i="12"/>
  <c r="C19" i="11" s="1"/>
  <c r="AA19" i="11" s="1"/>
  <c r="C8" i="12"/>
  <c r="C13" i="11" s="1"/>
  <c r="AA13" i="11" s="1"/>
  <c r="C2" i="12"/>
  <c r="C7" i="11" s="1"/>
  <c r="AA7" i="11" s="1"/>
  <c r="C11" i="12"/>
  <c r="C16" i="11" s="1"/>
  <c r="AA16" i="11" s="1"/>
  <c r="C12" i="12"/>
  <c r="C17" i="11" s="1"/>
  <c r="AA17" i="11" s="1"/>
  <c r="C6" i="12"/>
  <c r="C11" i="11" s="1"/>
  <c r="AA11" i="11" s="1"/>
  <c r="C13" i="12"/>
  <c r="C18" i="11" s="1"/>
  <c r="AA18" i="11" s="1"/>
  <c r="C10" i="12"/>
  <c r="C15" i="11" s="1"/>
  <c r="AA15" i="11" s="1"/>
  <c r="C4" i="12"/>
  <c r="C9" i="11" s="1"/>
  <c r="AA9" i="11" s="1"/>
  <c r="C5" i="12"/>
  <c r="C10" i="11" s="1"/>
  <c r="AA10" i="11" s="1"/>
  <c r="C15" i="12"/>
  <c r="C20" i="11" s="1"/>
  <c r="AA20" i="11" s="1"/>
  <c r="C7" i="12"/>
  <c r="C12" i="11" s="1"/>
  <c r="C9" i="12"/>
  <c r="C14" i="11" s="1"/>
  <c r="AA14" i="11" s="1"/>
  <c r="C3" i="12"/>
  <c r="C8" i="11" s="1"/>
  <c r="AA8" i="11" s="1"/>
  <c r="E15" i="11"/>
  <c r="D18" i="11"/>
  <c r="L18" i="11" s="1"/>
  <c r="D10" i="11"/>
  <c r="L10" i="11" s="1"/>
  <c r="B19" i="8"/>
  <c r="E17" i="11"/>
  <c r="D11" i="11"/>
  <c r="L11" i="11" s="1"/>
  <c r="E16" i="11"/>
  <c r="D19" i="8"/>
  <c r="B18" i="8"/>
  <c r="D9" i="11"/>
  <c r="L9" i="11" s="1"/>
  <c r="D14" i="11"/>
  <c r="L14" i="11" s="1"/>
  <c r="E7" i="11"/>
  <c r="E20" i="11"/>
  <c r="B17" i="8"/>
  <c r="D13" i="11"/>
  <c r="L13" i="11" s="1"/>
  <c r="E14" i="11"/>
  <c r="E9" i="11"/>
  <c r="E11" i="11"/>
  <c r="E12" i="11"/>
  <c r="B15" i="4" s="1"/>
  <c r="D20" i="11"/>
  <c r="L20" i="11" s="1"/>
  <c r="C17" i="8"/>
  <c r="A5" i="8"/>
  <c r="D12" i="11"/>
  <c r="L12" i="11" s="1"/>
  <c r="E8" i="11"/>
  <c r="D7" i="11"/>
  <c r="L7" i="11" s="1"/>
  <c r="S12" i="11"/>
  <c r="C18" i="8"/>
  <c r="E18" i="11"/>
  <c r="D15" i="11"/>
  <c r="L15" i="11" s="1"/>
  <c r="E19" i="11"/>
  <c r="D17" i="11"/>
  <c r="L17" i="11" s="1"/>
  <c r="D16" i="11"/>
  <c r="L16" i="11" s="1"/>
  <c r="E13" i="11"/>
  <c r="E10" i="11"/>
  <c r="C19" i="8"/>
  <c r="D18" i="8"/>
  <c r="D19" i="11"/>
  <c r="L19" i="11" s="1"/>
  <c r="D8" i="11"/>
  <c r="L8" i="11" s="1"/>
  <c r="B12" i="4" l="1"/>
  <c r="AA12" i="11"/>
  <c r="B28" i="4" s="1"/>
  <c r="W12" i="11"/>
  <c r="B24" i="4" s="1"/>
  <c r="AI12" i="11"/>
  <c r="A8" i="8"/>
  <c r="B5" i="3" l="1"/>
  <c r="B14" i="3"/>
  <c r="B6" i="3"/>
  <c r="B9" i="3"/>
  <c r="B7" i="3"/>
  <c r="B15" i="3"/>
  <c r="B17" i="3"/>
  <c r="B11" i="3"/>
  <c r="B16" i="3"/>
  <c r="B8" i="3"/>
  <c r="B12" i="3"/>
  <c r="B18" i="3"/>
  <c r="B13" i="3"/>
  <c r="B10" i="3"/>
  <c r="H15" i="3" l="1"/>
  <c r="Q15" i="3"/>
  <c r="S15" i="3"/>
  <c r="E15" i="3"/>
  <c r="R15" i="3"/>
  <c r="C15" i="3"/>
  <c r="U15" i="3" s="1"/>
  <c r="O15" i="3"/>
  <c r="P15" i="3"/>
  <c r="V15" i="3"/>
  <c r="X15" i="3"/>
  <c r="T15" i="3"/>
  <c r="I15" i="3"/>
  <c r="M15" i="3"/>
  <c r="K15" i="3"/>
  <c r="D15" i="3"/>
  <c r="J15" i="3"/>
  <c r="Q13" i="3"/>
  <c r="T13" i="3"/>
  <c r="O13" i="3"/>
  <c r="D13" i="3"/>
  <c r="H13" i="3"/>
  <c r="S13" i="3"/>
  <c r="J13" i="3"/>
  <c r="K13" i="3"/>
  <c r="AE8" i="11" s="1"/>
  <c r="M13" i="3"/>
  <c r="P13" i="3"/>
  <c r="R13" i="3"/>
  <c r="C13" i="3"/>
  <c r="U13" i="3" s="1"/>
  <c r="V13" i="3"/>
  <c r="E13" i="3"/>
  <c r="I13" i="3"/>
  <c r="X13" i="3"/>
  <c r="D7" i="3"/>
  <c r="K7" i="3"/>
  <c r="V7" i="3"/>
  <c r="J7" i="3"/>
  <c r="Q7" i="3"/>
  <c r="O7" i="3"/>
  <c r="T7" i="3"/>
  <c r="I7" i="3"/>
  <c r="X7" i="3"/>
  <c r="S7" i="3"/>
  <c r="E7" i="3"/>
  <c r="C7" i="3"/>
  <c r="U7" i="3" s="1"/>
  <c r="R7" i="3"/>
  <c r="M7" i="3"/>
  <c r="P7" i="3"/>
  <c r="H7" i="3"/>
  <c r="V10" i="3"/>
  <c r="R10" i="3"/>
  <c r="O10" i="3"/>
  <c r="H10" i="3"/>
  <c r="S10" i="3"/>
  <c r="Q10" i="3"/>
  <c r="I10" i="3"/>
  <c r="D10" i="3"/>
  <c r="M10" i="3"/>
  <c r="X10" i="3"/>
  <c r="E10" i="3"/>
  <c r="J10" i="3"/>
  <c r="T10" i="3"/>
  <c r="K10" i="3"/>
  <c r="AE14" i="11" s="1"/>
  <c r="P10" i="3"/>
  <c r="C10" i="3"/>
  <c r="U10" i="3" s="1"/>
  <c r="C17" i="3"/>
  <c r="U17" i="3" s="1"/>
  <c r="D17" i="3"/>
  <c r="I17" i="3"/>
  <c r="R17" i="3"/>
  <c r="K17" i="3"/>
  <c r="AE10" i="11" s="1"/>
  <c r="J17" i="3"/>
  <c r="X17" i="3"/>
  <c r="T17" i="3"/>
  <c r="V17" i="3"/>
  <c r="Q17" i="3"/>
  <c r="S17" i="3"/>
  <c r="H17" i="3"/>
  <c r="O17" i="3"/>
  <c r="E17" i="3"/>
  <c r="M17" i="3"/>
  <c r="P17" i="3"/>
  <c r="V9" i="3"/>
  <c r="H9" i="3"/>
  <c r="J9" i="3"/>
  <c r="R9" i="3"/>
  <c r="M9" i="3"/>
  <c r="K9" i="3"/>
  <c r="I9" i="3"/>
  <c r="T9" i="3"/>
  <c r="O9" i="3"/>
  <c r="D9" i="3"/>
  <c r="X9" i="3"/>
  <c r="S9" i="3"/>
  <c r="Q9" i="3"/>
  <c r="E9" i="3"/>
  <c r="P9" i="3"/>
  <c r="C9" i="3"/>
  <c r="U9" i="3" s="1"/>
  <c r="M12" i="3"/>
  <c r="D12" i="3"/>
  <c r="AD19" i="11" s="1"/>
  <c r="H12" i="3"/>
  <c r="C12" i="3"/>
  <c r="U12" i="3" s="1"/>
  <c r="J12" i="3"/>
  <c r="Q12" i="3"/>
  <c r="O12" i="3"/>
  <c r="R12" i="3"/>
  <c r="V12" i="3"/>
  <c r="E12" i="3"/>
  <c r="X12" i="3"/>
  <c r="S12" i="3"/>
  <c r="K12" i="3"/>
  <c r="AE19" i="11" s="1"/>
  <c r="I12" i="3"/>
  <c r="P12" i="3"/>
  <c r="T12" i="3"/>
  <c r="S16" i="3"/>
  <c r="R16" i="3"/>
  <c r="Q16" i="3"/>
  <c r="T16" i="3"/>
  <c r="D16" i="3"/>
  <c r="AD20" i="11" s="1"/>
  <c r="AF20" i="11" s="1"/>
  <c r="C16" i="3"/>
  <c r="U16" i="3" s="1"/>
  <c r="V16" i="3"/>
  <c r="H16" i="3"/>
  <c r="X16" i="3"/>
  <c r="K16" i="3"/>
  <c r="Y20" i="11" s="1"/>
  <c r="M16" i="3"/>
  <c r="O16" i="3"/>
  <c r="P16" i="3"/>
  <c r="J16" i="3"/>
  <c r="E16" i="3"/>
  <c r="I16" i="3"/>
  <c r="M6" i="3"/>
  <c r="C6" i="3"/>
  <c r="U6" i="3" s="1"/>
  <c r="I6" i="3"/>
  <c r="T6" i="3"/>
  <c r="S6" i="3"/>
  <c r="V6" i="3"/>
  <c r="J6" i="3"/>
  <c r="X6" i="3"/>
  <c r="K6" i="3"/>
  <c r="AE11" i="11" s="1"/>
  <c r="R6" i="3"/>
  <c r="P6" i="3"/>
  <c r="E6" i="3"/>
  <c r="Q6" i="3"/>
  <c r="O6" i="3"/>
  <c r="H6" i="3"/>
  <c r="D6" i="3"/>
  <c r="T18" i="3"/>
  <c r="V18" i="3"/>
  <c r="S18" i="3"/>
  <c r="O18" i="3"/>
  <c r="I18" i="3"/>
  <c r="H18" i="3"/>
  <c r="D18" i="3"/>
  <c r="AD16" i="11" s="1"/>
  <c r="J18" i="3"/>
  <c r="E18" i="3"/>
  <c r="Q18" i="3"/>
  <c r="K18" i="3"/>
  <c r="AE16" i="11" s="1"/>
  <c r="X18" i="3"/>
  <c r="M18" i="3"/>
  <c r="C18" i="3"/>
  <c r="U18" i="3" s="1"/>
  <c r="P18" i="3"/>
  <c r="R18" i="3"/>
  <c r="K11" i="3"/>
  <c r="AE18" i="11" s="1"/>
  <c r="T11" i="3"/>
  <c r="V11" i="3"/>
  <c r="R11" i="3"/>
  <c r="I11" i="3"/>
  <c r="S11" i="3"/>
  <c r="M11" i="3"/>
  <c r="O11" i="3"/>
  <c r="E11" i="3"/>
  <c r="C11" i="3"/>
  <c r="U11" i="3" s="1"/>
  <c r="H11" i="3"/>
  <c r="X11" i="3"/>
  <c r="D11" i="3"/>
  <c r="P11" i="3"/>
  <c r="Q11" i="3"/>
  <c r="J11" i="3"/>
  <c r="D14" i="3"/>
  <c r="M14" i="3"/>
  <c r="O14" i="3"/>
  <c r="H14" i="3"/>
  <c r="P14" i="3"/>
  <c r="S14" i="3"/>
  <c r="X14" i="3"/>
  <c r="K14" i="3"/>
  <c r="I14" i="3"/>
  <c r="V14" i="3"/>
  <c r="C14" i="3"/>
  <c r="U14" i="3" s="1"/>
  <c r="R14" i="3"/>
  <c r="Q14" i="3"/>
  <c r="J14" i="3"/>
  <c r="E14" i="3"/>
  <c r="T14" i="3"/>
  <c r="V8" i="3"/>
  <c r="M8" i="3"/>
  <c r="D8" i="3"/>
  <c r="S8" i="3"/>
  <c r="X8" i="3"/>
  <c r="T8" i="3"/>
  <c r="C8" i="3"/>
  <c r="U8" i="3" s="1"/>
  <c r="R8" i="3"/>
  <c r="Q8" i="3"/>
  <c r="K8" i="3"/>
  <c r="AE13" i="11" s="1"/>
  <c r="I8" i="3"/>
  <c r="E8" i="3"/>
  <c r="H8" i="3"/>
  <c r="J8" i="3"/>
  <c r="O8" i="3"/>
  <c r="P8" i="3"/>
  <c r="P5" i="3"/>
  <c r="B5" i="4"/>
  <c r="X5" i="3"/>
  <c r="I5" i="3"/>
  <c r="J5" i="3"/>
  <c r="C5" i="3"/>
  <c r="K5" i="3"/>
  <c r="H5" i="3"/>
  <c r="T5" i="3"/>
  <c r="R5" i="3"/>
  <c r="Q5" i="3"/>
  <c r="M5" i="3"/>
  <c r="D5" i="3"/>
  <c r="E5" i="3"/>
  <c r="V5" i="3"/>
  <c r="O5" i="3"/>
  <c r="S5" i="3"/>
  <c r="AD8" i="11"/>
  <c r="AD7" i="11"/>
  <c r="AD9" i="11" l="1"/>
  <c r="Y9" i="11"/>
  <c r="B6" i="4"/>
  <c r="AD12" i="11"/>
  <c r="B10" i="4"/>
  <c r="AE17" i="11"/>
  <c r="T2" i="3"/>
  <c r="Y7" i="11"/>
  <c r="F11" i="3"/>
  <c r="L11" i="3"/>
  <c r="G11" i="3"/>
  <c r="X18" i="11" s="1"/>
  <c r="AE9" i="11"/>
  <c r="Y15" i="11"/>
  <c r="B22" i="7"/>
  <c r="B31" i="7"/>
  <c r="C22" i="7"/>
  <c r="N11" i="3"/>
  <c r="U5" i="3"/>
  <c r="N5" i="3"/>
  <c r="N9" i="3"/>
  <c r="N16" i="3"/>
  <c r="N6" i="3"/>
  <c r="N15" i="3"/>
  <c r="N7" i="3"/>
  <c r="N18" i="3"/>
  <c r="N8" i="3"/>
  <c r="N17" i="3"/>
  <c r="B33" i="7"/>
  <c r="N13" i="3"/>
  <c r="N10" i="3"/>
  <c r="N14" i="3"/>
  <c r="N12" i="3"/>
  <c r="AD14" i="11"/>
  <c r="F9" i="3"/>
  <c r="G9" i="3"/>
  <c r="X17" i="11" s="1"/>
  <c r="L9" i="3"/>
  <c r="Y19" i="11"/>
  <c r="Y10" i="11"/>
  <c r="Y14" i="11"/>
  <c r="AD18" i="11"/>
  <c r="AF18" i="11" s="1"/>
  <c r="Y16" i="11"/>
  <c r="L18" i="3"/>
  <c r="G18" i="3"/>
  <c r="X16" i="11" s="1"/>
  <c r="F18" i="3"/>
  <c r="F10" i="3"/>
  <c r="G10" i="3"/>
  <c r="X14" i="11" s="1"/>
  <c r="L10" i="3"/>
  <c r="AE20" i="11"/>
  <c r="F16" i="3"/>
  <c r="L16" i="3"/>
  <c r="G16" i="3"/>
  <c r="Y12" i="11"/>
  <c r="B26" i="4" s="1"/>
  <c r="AD17" i="11"/>
  <c r="AE12" i="11"/>
  <c r="L8" i="3"/>
  <c r="F8" i="3"/>
  <c r="G8" i="3"/>
  <c r="F14" i="3"/>
  <c r="G14" i="3"/>
  <c r="L14" i="3"/>
  <c r="F13" i="3"/>
  <c r="G13" i="3"/>
  <c r="X8" i="11" s="1"/>
  <c r="L13" i="3"/>
  <c r="Y13" i="11"/>
  <c r="Y8" i="11"/>
  <c r="AE7" i="11"/>
  <c r="Y18" i="11"/>
  <c r="A10" i="8"/>
  <c r="L5" i="3"/>
  <c r="G5" i="3"/>
  <c r="X15" i="11" s="1"/>
  <c r="B30" i="7"/>
  <c r="F5" i="3"/>
  <c r="B21" i="7"/>
  <c r="C21" i="7"/>
  <c r="F21" i="7" s="1"/>
  <c r="AD11" i="11"/>
  <c r="F6" i="3"/>
  <c r="G6" i="3"/>
  <c r="X11" i="11" s="1"/>
  <c r="L6" i="3"/>
  <c r="L7" i="3"/>
  <c r="F7" i="3"/>
  <c r="G7" i="3"/>
  <c r="AF19" i="11"/>
  <c r="W12" i="3" s="1"/>
  <c r="AE15" i="11"/>
  <c r="AD13" i="11"/>
  <c r="AD15" i="11"/>
  <c r="G12" i="3"/>
  <c r="X19" i="11" s="1"/>
  <c r="F12" i="3"/>
  <c r="L12" i="3"/>
  <c r="Y11" i="11"/>
  <c r="L17" i="3"/>
  <c r="F17" i="3"/>
  <c r="G17" i="3"/>
  <c r="X10" i="11" s="1"/>
  <c r="B11" i="4"/>
  <c r="Y17" i="11"/>
  <c r="AD10" i="11"/>
  <c r="G15" i="3"/>
  <c r="L15" i="3"/>
  <c r="F15" i="3"/>
  <c r="B16" i="4" l="1"/>
  <c r="B8" i="4"/>
  <c r="AB11" i="11"/>
  <c r="AF11" i="11" s="1"/>
  <c r="W6" i="3" s="1"/>
  <c r="X7" i="11"/>
  <c r="AB7" i="11" s="1"/>
  <c r="AF7" i="11" s="1"/>
  <c r="X13" i="11"/>
  <c r="AB13" i="11" s="1"/>
  <c r="AF13" i="11" s="1"/>
  <c r="AB19" i="11"/>
  <c r="AB15" i="11"/>
  <c r="AF15" i="11"/>
  <c r="W5" i="3" s="1"/>
  <c r="A3" i="3"/>
  <c r="X20" i="11"/>
  <c r="AB20" i="11" s="1"/>
  <c r="B9" i="4"/>
  <c r="X12" i="11"/>
  <c r="AB17" i="11"/>
  <c r="AF17" i="11" s="1"/>
  <c r="W9" i="3" s="1"/>
  <c r="X9" i="11"/>
  <c r="AB9" i="11" s="1"/>
  <c r="AF9" i="11" s="1"/>
  <c r="AB8" i="11"/>
  <c r="AF8" i="11" s="1"/>
  <c r="W13" i="3" s="1"/>
  <c r="AB14" i="11"/>
  <c r="AF14" i="11" s="1"/>
  <c r="W10" i="3" s="1"/>
  <c r="AB10" i="11"/>
  <c r="AF10" i="11" s="1"/>
  <c r="W17" i="3" s="1"/>
  <c r="AB18" i="11"/>
  <c r="AB16" i="11"/>
  <c r="AF16" i="11" s="1"/>
  <c r="W18" i="3" s="1"/>
  <c r="W8" i="3" l="1"/>
  <c r="W7" i="3"/>
  <c r="B25" i="4"/>
  <c r="AB12" i="11"/>
  <c r="B23" i="4" l="1"/>
  <c r="AF12" i="11"/>
  <c r="W15" i="3" l="1"/>
  <c r="W14" i="3"/>
  <c r="W11" i="3"/>
  <c r="W16" i="3"/>
  <c r="B7" i="4"/>
</calcChain>
</file>

<file path=xl/sharedStrings.xml><?xml version="1.0" encoding="utf-8"?>
<sst xmlns="http://schemas.openxmlformats.org/spreadsheetml/2006/main" count="1887" uniqueCount="447">
  <si>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</si>
  <si>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</si>
  <si>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</si>
  <si>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</si>
  <si>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</si>
  <si>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</si>
  <si>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</si>
  <si>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</si>
  <si>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</si>
  <si>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</si>
  <si>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</si>
  <si>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</si>
  <si>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</si>
  <si>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</si>
  <si>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</si>
  <si>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</si>
  <si>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</si>
  <si>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</si>
  <si>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</si>
  <si>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</si>
  <si>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</si>
  <si>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</si>
  <si>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</si>
  <si>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</si>
  <si>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</si>
  <si>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</si>
  <si>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</si>
  <si>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</si>
  <si>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</si>
  <si>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</si>
  <si>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</si>
  <si>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</si>
  <si>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</si>
  <si>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</si>
  <si>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</si>
  <si>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</si>
  <si>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</si>
  <si>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</si>
  <si>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</si>
  <si>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</si>
  <si>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</si>
  <si>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</si>
  <si>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</si>
  <si>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</si>
  <si>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</si>
  <si>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</si>
  <si>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</si>
  <si>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</si>
  <si>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</si>
  <si>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</si>
  <si>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</si>
  <si>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</si>
  <si>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</si>
  <si>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</si>
  <si>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</si>
  <si>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</si>
  <si>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</si>
  <si>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</si>
  <si>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</si>
  <si>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</si>
  <si>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</si>
  <si>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</si>
  <si>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</si>
  <si>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</si>
  <si>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</si>
  <si>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</si>
  <si>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</si>
  <si>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</si>
  <si>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</si>
  <si>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</si>
  <si>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</si>
  <si>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</si>
  <si>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</si>
  <si>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</si>
  <si>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</si>
  <si>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</si>
  <si>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</si>
  <si>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</si>
  <si>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</si>
  <si>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</si>
  <si>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</si>
  <si>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</si>
  <si>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</si>
  <si>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</si>
  <si>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</si>
  <si>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</si>
  <si>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</si>
  <si>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</si>
  <si>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</si>
  <si>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</si>
  <si>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</si>
  <si>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</si>
  <si>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</si>
  <si>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</si>
  <si>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</si>
  <si>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</si>
  <si>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</si>
  <si>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</si>
  <si>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</si>
  <si>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</si>
  <si>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</si>
  <si>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</si>
  <si>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</si>
  <si>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</si>
  <si>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</si>
  <si>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</si>
  <si>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</si>
  <si>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</si>
  <si>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</si>
  <si>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</si>
  <si>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</si>
  <si>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</si>
  <si>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</si>
  <si>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</si>
  <si>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</si>
  <si>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</si>
  <si>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</si>
  <si>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</si>
  <si>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</si>
  <si>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</si>
  <si>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</si>
  <si>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</si>
  <si>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</si>
  <si>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</si>
  <si>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</si>
  <si>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</si>
  <si>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</si>
  <si>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</si>
  <si>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</si>
  <si>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</si>
  <si>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</si>
  <si>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</si>
  <si>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</si>
  <si>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</si>
  <si>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</si>
  <si>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</si>
  <si>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</si>
  <si>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</si>
  <si>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</si>
  <si>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</si>
  <si>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</si>
  <si>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</si>
  <si>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</si>
  <si>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</si>
  <si>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</si>
  <si>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</si>
  <si>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</si>
  <si>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</si>
  <si>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</si>
  <si>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</si>
  <si>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</si>
  <si>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</si>
  <si>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</si>
  <si>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</si>
  <si>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</si>
  <si>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</si>
  <si>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</si>
  <si>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</si>
  <si>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</si>
  <si>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</si>
  <si>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</si>
  <si>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</si>
  <si>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</si>
  <si>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</si>
  <si>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</si>
  <si>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</si>
  <si>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</si>
  <si>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</si>
  <si>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</si>
  <si>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</si>
  <si>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</si>
  <si>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</si>
  <si>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</si>
  <si>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</si>
  <si>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</si>
  <si>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</si>
  <si>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</si>
  <si>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</si>
  <si>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</si>
  <si>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</si>
  <si>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</si>
  <si>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</si>
  <si>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</si>
  <si>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</si>
  <si>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</si>
  <si>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</si>
  <si>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</si>
  <si>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</si>
  <si>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</si>
  <si>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</si>
  <si>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</si>
  <si>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</si>
  <si>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</si>
  <si>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</si>
  <si>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</si>
  <si>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</si>
  <si>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</si>
  <si>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</si>
  <si>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</si>
  <si>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</si>
  <si>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</si>
  <si>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</si>
  <si>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</si>
  <si>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</si>
  <si>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</si>
  <si>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</si>
  <si>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</si>
  <si>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</si>
  <si>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</si>
  <si>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</si>
  <si>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</si>
  <si>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</si>
  <si>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</si>
  <si>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</si>
  <si>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</si>
  <si>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</si>
  <si>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</si>
  <si>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</si>
  <si>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</si>
  <si>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</si>
  <si>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</si>
  <si>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</si>
  <si>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</si>
  <si>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</si>
  <si>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</si>
  <si>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</si>
  <si>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</si>
  <si>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</si>
  <si>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</si>
  <si>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</si>
  <si>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</si>
  <si>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</si>
  <si>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</si>
  <si>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</si>
  <si>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</si>
  <si>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</si>
  <si>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</si>
  <si>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</si>
  <si>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</si>
  <si>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</si>
  <si>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</si>
  <si>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</si>
  <si>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</si>
  <si>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</si>
  <si>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</si>
  <si>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</si>
  <si>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</si>
  <si>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</si>
  <si>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</si>
  <si>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</si>
  <si>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</si>
  <si>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</si>
  <si>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</si>
  <si>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</si>
  <si>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</si>
  <si>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</si>
  <si>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</si>
  <si>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</si>
  <si>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</si>
  <si>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</si>
  <si>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</si>
  <si>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</si>
  <si>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</si>
  <si>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</si>
  <si>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</si>
  <si>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</si>
  <si>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</si>
  <si>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</si>
  <si>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</si>
  <si>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</si>
  <si>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</si>
  <si>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</si>
  <si>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</si>
  <si>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</si>
  <si>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</si>
  <si>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</si>
  <si>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</si>
  <si>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</si>
  <si>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</si>
  <si>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</si>
  <si>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</si>
  <si>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</si>
  <si>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</si>
  <si>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</si>
  <si>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</si>
  <si>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</si>
  <si>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</si>
  <si>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</si>
  <si>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</si>
  <si>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</si>
  <si>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</si>
  <si>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</si>
  <si>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</si>
  <si>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</si>
  <si>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</si>
  <si>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</si>
  <si>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</si>
  <si>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</si>
  <si>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</si>
  <si>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</si>
  <si>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</si>
  <si>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</si>
  <si>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</si>
  <si>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</si>
  <si>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</si>
  <si>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</si>
  <si>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</si>
  <si>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</si>
  <si>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</si>
  <si>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</si>
  <si>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</si>
  <si>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</si>
  <si>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</si>
  <si>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</si>
  <si>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</si>
  <si>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</si>
  <si>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</si>
  <si>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</si>
  <si>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</si>
  <si>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</si>
  <si>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</si>
  <si>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</si>
  <si>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</si>
  <si>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</si>
  <si>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</si>
  <si>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</si>
  <si>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</si>
  <si>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</si>
  <si>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</si>
  <si>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</si>
  <si>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</si>
  <si>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</si>
  <si>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</si>
  <si>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</si>
  <si>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</si>
  <si>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</si>
  <si>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</si>
  <si>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</si>
  <si>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</si>
  <si>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</si>
  <si>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</si>
  <si>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</si>
  <si>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</si>
  <si>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</si>
  <si>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</si>
  <si>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</si>
  <si>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</si>
  <si>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</si>
  <si>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</si>
  <si>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</si>
  <si>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</si>
  <si>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</si>
  <si>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</si>
  <si>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</si>
  <si>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</si>
  <si>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</si>
  <si>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</si>
  <si>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</si>
  <si>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</si>
  <si>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</si>
  <si>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</si>
  <si>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</si>
  <si>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</si>
  <si>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</si>
  <si>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</si>
  <si>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</si>
  <si>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</si>
  <si>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</si>
  <si>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</si>
  <si>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</si>
  <si>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</si>
  <si>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</si>
  <si>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</si>
  <si>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</si>
  <si>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</si>
  <si>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</si>
  <si>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</si>
  <si>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</si>
  <si>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</si>
  <si>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</si>
  <si>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</si>
  <si>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</si>
  <si>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</si>
  <si>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</si>
  <si>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</si>
  <si>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</si>
  <si>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</si>
  <si>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</si>
  <si>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</si>
  <si>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</si>
  <si>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</si>
  <si>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</si>
  <si>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</si>
  <si>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</si>
  <si>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</si>
  <si>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</si>
  <si>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</si>
  <si>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</si>
  <si>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</si>
  <si>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</si>
  <si>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</si>
  <si>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</si>
  <si>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</si>
  <si>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</si>
  <si>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</si>
  <si>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</si>
  <si>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</si>
  <si>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</si>
  <si>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</si>
  <si>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</si>
  <si>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At 4 weeks idle  →  the slide begins: you lose 10 rating points EVERY week, and you cannot hold the live Champion crown until you play again.</t>
  </si>
  <si>
    <t>•  There is NO maximum. You keep losing 10 points a week, forever, until you play a game.</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</si>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</sst>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62" fillId="0" borderId="0" xfId="0" applyFont="1" applyAlignment="1">
      <alignment horizontal="center" vertical="center"/>
    </xf>
    <xf numFmtId="0" fontId="0" fillId="0" borderId="0" xfId="0"/>
    <xf numFmtId="0" fontId="63" fillId="0" borderId="0" xfId="0" applyFont="1" applyAlignment="1">
      <alignment horizontal="center" vertical="center"/>
    </xf>
    <xf numFmtId="0" fontId="68" fillId="0" borderId="0" xfId="0" applyFont="1" applyAlignment="1">
      <alignment horizontal="left" vertical="top" wrapText="1"/>
    </xf>
    <xf numFmtId="0" fontId="64" fillId="4" borderId="0" xfId="0" applyFont="1" applyFill="1" applyAlignment="1">
      <alignment horizontal="left" vertical="center" indent="1"/>
    </xf>
    <xf numFmtId="0" fontId="65"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56" fillId="0" borderId="0" xfId="0" applyFont="1"/>
    <xf numFmtId="0" fontId="57" fillId="0" borderId="0" xfId="0" applyFont="1"/>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410</v>
      </c>
    </row>
    <row r="62" spans="2:4" ht="30" customHeight="1" x14ac:dyDescent="0.2">
      <c r="B62" s="3" t="s">
        <v>411</v>
      </c>
    </row>
    <row r="63" spans="2:4" ht="30" customHeight="1" x14ac:dyDescent="0.2">
      <c r="B63" s="3" t="s">
        <v>412</v>
      </c>
    </row>
    <row r="64" spans="2:4" ht="30" customHeight="1" x14ac:dyDescent="0.2">
      <c r="B64" s="3" t="s">
        <v>413</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414</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415</v>
      </c>
    </row>
    <row r="99" spans="2:2" ht="30" x14ac:dyDescent="0.2">
      <c r="B99" s="3" t="s">
        <v>416</v>
      </c>
    </row>
    <row r="100" spans="2:2" ht="30" x14ac:dyDescent="0.2">
      <c r="B100" s="3" t="s">
        <v>417</v>
      </c>
    </row>
    <row r="101" spans="2:2" ht="30" x14ac:dyDescent="0.2">
      <c r="B101" s="3" t="s">
        <v>418</v>
      </c>
    </row>
    <row r="103" spans="2:2" x14ac:dyDescent="0.2">
      <c r="B103" t="s">
        <v>419</v>
      </c>
    </row>
    <row r="104" spans="2:2" x14ac:dyDescent="0.2">
      <c r="B104" t="s">
        <v>420</v>
      </c>
    </row>
    <row r="105" spans="2:2" x14ac:dyDescent="0.2">
      <c r="B105" t="s">
        <v>421</v>
      </c>
    </row>
    <row r="106" spans="2:2" x14ac:dyDescent="0.2">
      <c r="B106" t="s">
        <v>446</v>
      </c>
    </row>
    <row r="107" spans="2:2" x14ac:dyDescent="0.2">
      <c r="B107" t="s">
        <v>422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3" t="s">
        <v>359</v>
      </c>
      <c r="B1" s="144"/>
      <c r="C1" s="144"/>
      <c r="D1" s="144"/>
      <c r="E1" s="144"/>
      <c r="F1" s="144"/>
      <c r="G1" s="144"/>
      <c r="H1" s="144"/>
    </row>
    <row r="2" spans="1:8" ht="18" customHeight="1" x14ac:dyDescent="0.2">
      <c r="A2" s="145" t="s">
        <v>372</v>
      </c>
      <c r="B2" s="144"/>
      <c r="C2" s="144"/>
      <c r="D2" s="144"/>
      <c r="E2" s="144"/>
      <c r="F2" s="144"/>
      <c r="G2" s="144"/>
      <c r="H2" s="144"/>
    </row>
    <row r="3" spans="1:8" ht="48" customHeight="1" x14ac:dyDescent="0.2">
      <c r="A3" s="146" t="s">
        <v>360</v>
      </c>
      <c r="B3" s="144"/>
      <c r="C3" s="144"/>
      <c r="D3" s="144"/>
      <c r="E3" s="144"/>
      <c r="F3" s="144"/>
      <c r="G3" s="144"/>
      <c r="H3" s="144"/>
    </row>
    <row r="6" spans="1:8" ht="22" customHeight="1" x14ac:dyDescent="0.2">
      <c r="A6" s="147" t="s">
        <v>361</v>
      </c>
      <c r="B6" s="144"/>
      <c r="C6" s="144"/>
      <c r="D6" s="144"/>
      <c r="E6" s="144"/>
      <c r="F6" s="144"/>
      <c r="G6" s="144"/>
      <c r="H6" s="144"/>
    </row>
    <row r="7" spans="1:8" ht="51" customHeight="1" x14ac:dyDescent="0.2">
      <c r="A7" s="129" t="s">
        <v>362</v>
      </c>
      <c r="B7" s="148" t="s">
        <v>373</v>
      </c>
      <c r="C7" s="144"/>
      <c r="D7" s="144"/>
      <c r="E7" s="144"/>
      <c r="F7" s="144"/>
      <c r="G7" s="144"/>
      <c r="H7" s="144"/>
    </row>
    <row r="8" spans="1:8" ht="36" customHeight="1" x14ac:dyDescent="0.2">
      <c r="A8" s="130" t="s">
        <v>363</v>
      </c>
      <c r="B8" s="148" t="s">
        <v>374</v>
      </c>
      <c r="C8" s="144"/>
      <c r="D8" s="144"/>
      <c r="E8" s="144"/>
      <c r="F8" s="144"/>
      <c r="G8" s="144"/>
      <c r="H8" s="144"/>
    </row>
    <row r="9" spans="1:8" ht="21" customHeight="1" x14ac:dyDescent="0.2">
      <c r="A9" s="129" t="s">
        <v>362</v>
      </c>
      <c r="B9" s="148" t="s">
        <v>375</v>
      </c>
      <c r="C9" s="144"/>
      <c r="D9" s="144"/>
      <c r="E9" s="144"/>
      <c r="F9" s="144"/>
      <c r="G9" s="144"/>
      <c r="H9" s="144"/>
    </row>
    <row r="10" spans="1:8" ht="36" customHeight="1" x14ac:dyDescent="0.2">
      <c r="A10" s="130" t="s">
        <v>363</v>
      </c>
      <c r="B10" s="148" t="s">
        <v>376</v>
      </c>
      <c r="C10" s="144"/>
      <c r="D10" s="144"/>
      <c r="E10" s="144"/>
      <c r="F10" s="144"/>
      <c r="G10" s="144"/>
      <c r="H10" s="144"/>
    </row>
    <row r="12" spans="1:8" ht="22" customHeight="1" x14ac:dyDescent="0.2">
      <c r="A12" s="147" t="s">
        <v>364</v>
      </c>
      <c r="B12" s="144"/>
      <c r="C12" s="144"/>
      <c r="D12" s="144"/>
      <c r="E12" s="144"/>
      <c r="F12" s="144"/>
      <c r="G12" s="144"/>
      <c r="H12" s="144"/>
    </row>
    <row r="13" spans="1:8" ht="36" customHeight="1" x14ac:dyDescent="0.2">
      <c r="A13" s="129" t="s">
        <v>362</v>
      </c>
      <c r="B13" s="148" t="s">
        <v>377</v>
      </c>
      <c r="C13" s="144"/>
      <c r="D13" s="144"/>
      <c r="E13" s="144"/>
      <c r="F13" s="144"/>
      <c r="G13" s="144"/>
      <c r="H13" s="144"/>
    </row>
    <row r="14" spans="1:8" ht="36" customHeight="1" x14ac:dyDescent="0.2">
      <c r="A14" s="130" t="s">
        <v>363</v>
      </c>
      <c r="B14" s="148" t="s">
        <v>378</v>
      </c>
      <c r="C14" s="144"/>
      <c r="D14" s="144"/>
      <c r="E14" s="144"/>
      <c r="F14" s="144"/>
      <c r="G14" s="144"/>
      <c r="H14" s="144"/>
    </row>
    <row r="15" spans="1:8" ht="21" customHeight="1" x14ac:dyDescent="0.2">
      <c r="A15" s="129" t="s">
        <v>362</v>
      </c>
      <c r="B15" s="148" t="s">
        <v>379</v>
      </c>
      <c r="C15" s="144"/>
      <c r="D15" s="144"/>
      <c r="E15" s="144"/>
      <c r="F15" s="144"/>
      <c r="G15" s="144"/>
      <c r="H15" s="144"/>
    </row>
    <row r="16" spans="1:8" ht="36" customHeight="1" x14ac:dyDescent="0.2">
      <c r="A16" s="130" t="s">
        <v>363</v>
      </c>
      <c r="B16" s="148" t="s">
        <v>380</v>
      </c>
      <c r="C16" s="144"/>
      <c r="D16" s="144"/>
      <c r="E16" s="144"/>
      <c r="F16" s="144"/>
      <c r="G16" s="144"/>
      <c r="H16" s="144"/>
    </row>
    <row r="18" spans="1:8" ht="22" customHeight="1" x14ac:dyDescent="0.2">
      <c r="A18" s="147" t="s">
        <v>365</v>
      </c>
      <c r="B18" s="144"/>
      <c r="C18" s="144"/>
      <c r="D18" s="144"/>
      <c r="E18" s="144"/>
      <c r="F18" s="144"/>
      <c r="G18" s="144"/>
      <c r="H18" s="144"/>
    </row>
    <row r="19" spans="1:8" ht="21" customHeight="1" x14ac:dyDescent="0.2">
      <c r="A19" s="129" t="s">
        <v>362</v>
      </c>
      <c r="B19" s="148" t="s">
        <v>381</v>
      </c>
      <c r="C19" s="144"/>
      <c r="D19" s="144"/>
      <c r="E19" s="144"/>
      <c r="F19" s="144"/>
      <c r="G19" s="144"/>
      <c r="H19" s="144"/>
    </row>
    <row r="20" spans="1:8" ht="51" customHeight="1" x14ac:dyDescent="0.2">
      <c r="A20" s="130" t="s">
        <v>363</v>
      </c>
      <c r="B20" s="148" t="s">
        <v>382</v>
      </c>
      <c r="C20" s="144"/>
      <c r="D20" s="144"/>
      <c r="E20" s="144"/>
      <c r="F20" s="144"/>
      <c r="G20" s="144"/>
      <c r="H20" s="144"/>
    </row>
    <row r="21" spans="1:8" ht="21" customHeight="1" x14ac:dyDescent="0.2">
      <c r="A21" s="129" t="s">
        <v>362</v>
      </c>
      <c r="B21" s="148" t="s">
        <v>383</v>
      </c>
      <c r="C21" s="144"/>
      <c r="D21" s="144"/>
      <c r="E21" s="144"/>
      <c r="F21" s="144"/>
      <c r="G21" s="144"/>
      <c r="H21" s="144"/>
    </row>
    <row r="22" spans="1:8" ht="51" customHeight="1" x14ac:dyDescent="0.2">
      <c r="A22" s="130" t="s">
        <v>363</v>
      </c>
      <c r="B22" s="148" t="s">
        <v>384</v>
      </c>
      <c r="C22" s="144"/>
      <c r="D22" s="144"/>
      <c r="E22" s="144"/>
      <c r="F22" s="144"/>
      <c r="G22" s="144"/>
      <c r="H22" s="144"/>
    </row>
    <row r="24" spans="1:8" ht="22" customHeight="1" x14ac:dyDescent="0.2">
      <c r="A24" s="147" t="s">
        <v>366</v>
      </c>
      <c r="B24" s="144"/>
      <c r="C24" s="144"/>
      <c r="D24" s="144"/>
      <c r="E24" s="144"/>
      <c r="F24" s="144"/>
      <c r="G24" s="144"/>
      <c r="H24" s="144"/>
    </row>
    <row r="25" spans="1:8" ht="21" customHeight="1" x14ac:dyDescent="0.2">
      <c r="A25" s="129" t="s">
        <v>362</v>
      </c>
      <c r="B25" s="148" t="s">
        <v>385</v>
      </c>
      <c r="C25" s="144"/>
      <c r="D25" s="144"/>
      <c r="E25" s="144"/>
      <c r="F25" s="144"/>
      <c r="G25" s="144"/>
      <c r="H25" s="144"/>
    </row>
    <row r="26" spans="1:8" ht="51" customHeight="1" x14ac:dyDescent="0.2">
      <c r="A26" s="130" t="s">
        <v>363</v>
      </c>
      <c r="B26" s="148" t="s">
        <v>386</v>
      </c>
      <c r="C26" s="144"/>
      <c r="D26" s="144"/>
      <c r="E26" s="144"/>
      <c r="F26" s="144"/>
      <c r="G26" s="144"/>
      <c r="H26" s="144"/>
    </row>
    <row r="27" spans="1:8" ht="21" customHeight="1" x14ac:dyDescent="0.2">
      <c r="A27" s="129" t="s">
        <v>362</v>
      </c>
      <c r="B27" s="148" t="s">
        <v>387</v>
      </c>
      <c r="C27" s="144"/>
      <c r="D27" s="144"/>
      <c r="E27" s="144"/>
      <c r="F27" s="144"/>
      <c r="G27" s="144"/>
      <c r="H27" s="144"/>
    </row>
    <row r="28" spans="1:8" ht="51" customHeight="1" x14ac:dyDescent="0.2">
      <c r="A28" s="130" t="s">
        <v>363</v>
      </c>
      <c r="B28" s="148" t="s">
        <v>388</v>
      </c>
      <c r="C28" s="144"/>
      <c r="D28" s="144"/>
      <c r="E28" s="144"/>
      <c r="F28" s="144"/>
      <c r="G28" s="144"/>
      <c r="H28" s="144"/>
    </row>
    <row r="29" spans="1:8" ht="21" customHeight="1" x14ac:dyDescent="0.2">
      <c r="A29" s="129" t="s">
        <v>362</v>
      </c>
      <c r="B29" s="148" t="s">
        <v>389</v>
      </c>
      <c r="C29" s="144"/>
      <c r="D29" s="144"/>
      <c r="E29" s="144"/>
      <c r="F29" s="144"/>
      <c r="G29" s="144"/>
      <c r="H29" s="144"/>
    </row>
    <row r="30" spans="1:8" ht="36" customHeight="1" x14ac:dyDescent="0.2">
      <c r="A30" s="130" t="s">
        <v>363</v>
      </c>
      <c r="B30" s="148" t="s">
        <v>390</v>
      </c>
      <c r="C30" s="144"/>
      <c r="D30" s="144"/>
      <c r="E30" s="144"/>
      <c r="F30" s="144"/>
      <c r="G30" s="144"/>
      <c r="H30" s="144"/>
    </row>
    <row r="32" spans="1:8" ht="22" customHeight="1" x14ac:dyDescent="0.2">
      <c r="A32" s="147" t="s">
        <v>367</v>
      </c>
      <c r="B32" s="144"/>
      <c r="C32" s="144"/>
      <c r="D32" s="144"/>
      <c r="E32" s="144"/>
      <c r="F32" s="144"/>
      <c r="G32" s="144"/>
      <c r="H32" s="144"/>
    </row>
    <row r="33" spans="1:8" ht="21" customHeight="1" x14ac:dyDescent="0.2">
      <c r="A33" s="129" t="s">
        <v>362</v>
      </c>
      <c r="B33" s="148" t="s">
        <v>391</v>
      </c>
      <c r="C33" s="144"/>
      <c r="D33" s="144"/>
      <c r="E33" s="144"/>
      <c r="F33" s="144"/>
      <c r="G33" s="144"/>
      <c r="H33" s="144"/>
    </row>
    <row r="34" spans="1:8" ht="51" customHeight="1" x14ac:dyDescent="0.2">
      <c r="A34" s="130" t="s">
        <v>363</v>
      </c>
      <c r="B34" s="148" t="s">
        <v>392</v>
      </c>
      <c r="C34" s="144"/>
      <c r="D34" s="144"/>
      <c r="E34" s="144"/>
      <c r="F34" s="144"/>
      <c r="G34" s="144"/>
      <c r="H34" s="144"/>
    </row>
    <row r="35" spans="1:8" ht="21" customHeight="1" x14ac:dyDescent="0.2">
      <c r="A35" s="129" t="s">
        <v>362</v>
      </c>
      <c r="B35" s="148" t="s">
        <v>393</v>
      </c>
      <c r="C35" s="144"/>
      <c r="D35" s="144"/>
      <c r="E35" s="144"/>
      <c r="F35" s="144"/>
      <c r="G35" s="144"/>
      <c r="H35" s="144"/>
    </row>
    <row r="36" spans="1:8" ht="36" customHeight="1" x14ac:dyDescent="0.2">
      <c r="A36" s="130" t="s">
        <v>363</v>
      </c>
      <c r="B36" s="148" t="s">
        <v>394</v>
      </c>
      <c r="C36" s="144"/>
      <c r="D36" s="144"/>
      <c r="E36" s="144"/>
      <c r="F36" s="144"/>
      <c r="G36" s="144"/>
      <c r="H36" s="144"/>
    </row>
    <row r="37" spans="1:8" ht="21" customHeight="1" x14ac:dyDescent="0.2">
      <c r="A37" s="129" t="s">
        <v>362</v>
      </c>
      <c r="B37" s="148" t="s">
        <v>395</v>
      </c>
      <c r="C37" s="144"/>
      <c r="D37" s="144"/>
      <c r="E37" s="144"/>
      <c r="F37" s="144"/>
      <c r="G37" s="144"/>
      <c r="H37" s="144"/>
    </row>
    <row r="38" spans="1:8" ht="51" customHeight="1" x14ac:dyDescent="0.2">
      <c r="A38" s="130" t="s">
        <v>363</v>
      </c>
      <c r="B38" s="148" t="s">
        <v>396</v>
      </c>
      <c r="C38" s="144"/>
      <c r="D38" s="144"/>
      <c r="E38" s="144"/>
      <c r="F38" s="144"/>
      <c r="G38" s="144"/>
      <c r="H38" s="144"/>
    </row>
    <row r="39" spans="1:8" ht="21" customHeight="1" x14ac:dyDescent="0.2">
      <c r="A39" s="129" t="s">
        <v>362</v>
      </c>
      <c r="B39" s="148" t="s">
        <v>397</v>
      </c>
      <c r="C39" s="144"/>
      <c r="D39" s="144"/>
      <c r="E39" s="144"/>
      <c r="F39" s="144"/>
      <c r="G39" s="144"/>
      <c r="H39" s="144"/>
    </row>
    <row r="41" spans="1:8" ht="22" customHeight="1" x14ac:dyDescent="0.2">
      <c r="A41" s="147" t="s">
        <v>368</v>
      </c>
      <c r="B41" s="144"/>
      <c r="C41" s="144"/>
      <c r="D41" s="144"/>
      <c r="E41" s="144"/>
      <c r="F41" s="144"/>
      <c r="G41" s="144"/>
      <c r="H41" s="144"/>
    </row>
    <row r="42" spans="1:8" ht="21" customHeight="1" x14ac:dyDescent="0.2">
      <c r="A42" s="129" t="s">
        <v>362</v>
      </c>
      <c r="B42" s="148" t="s">
        <v>398</v>
      </c>
      <c r="C42" s="144"/>
      <c r="D42" s="144"/>
      <c r="E42" s="144"/>
      <c r="F42" s="144"/>
      <c r="G42" s="144"/>
      <c r="H42" s="144"/>
    </row>
    <row r="43" spans="1:8" ht="51" customHeight="1" x14ac:dyDescent="0.2">
      <c r="A43" s="130" t="s">
        <v>363</v>
      </c>
      <c r="B43" s="148" t="s">
        <v>399</v>
      </c>
      <c r="C43" s="144"/>
      <c r="D43" s="144"/>
      <c r="E43" s="144"/>
      <c r="F43" s="144"/>
      <c r="G43" s="144"/>
      <c r="H43" s="144"/>
    </row>
    <row r="44" spans="1:8" ht="21" customHeight="1" x14ac:dyDescent="0.2">
      <c r="A44" s="129" t="s">
        <v>362</v>
      </c>
      <c r="B44" s="148" t="s">
        <v>400</v>
      </c>
      <c r="C44" s="144"/>
      <c r="D44" s="144"/>
      <c r="E44" s="144"/>
      <c r="F44" s="144"/>
      <c r="G44" s="144"/>
      <c r="H44" s="144"/>
    </row>
    <row r="45" spans="1:8" ht="36" customHeight="1" x14ac:dyDescent="0.2">
      <c r="A45" s="130" t="s">
        <v>363</v>
      </c>
      <c r="B45" s="148" t="s">
        <v>401</v>
      </c>
      <c r="C45" s="144"/>
      <c r="D45" s="144"/>
      <c r="E45" s="144"/>
      <c r="F45" s="144"/>
      <c r="G45" s="144"/>
      <c r="H45" s="144"/>
    </row>
    <row r="46" spans="1:8" ht="21" customHeight="1" x14ac:dyDescent="0.2">
      <c r="A46" s="129" t="s">
        <v>362</v>
      </c>
      <c r="B46" s="148" t="s">
        <v>402</v>
      </c>
      <c r="C46" s="144"/>
      <c r="D46" s="144"/>
      <c r="E46" s="144"/>
      <c r="F46" s="144"/>
      <c r="G46" s="144"/>
      <c r="H46" s="144"/>
    </row>
    <row r="47" spans="1:8" ht="21" customHeight="1" x14ac:dyDescent="0.2">
      <c r="A47" s="130" t="s">
        <v>363</v>
      </c>
      <c r="B47" s="148" t="s">
        <v>369</v>
      </c>
      <c r="C47" s="144"/>
      <c r="D47" s="144"/>
      <c r="E47" s="144"/>
      <c r="F47" s="144"/>
      <c r="G47" s="144"/>
      <c r="H47" s="144"/>
    </row>
    <row r="49" spans="1:8" ht="22" customHeight="1" x14ac:dyDescent="0.2">
      <c r="A49" s="147" t="s">
        <v>370</v>
      </c>
      <c r="B49" s="144"/>
      <c r="C49" s="144"/>
      <c r="D49" s="144"/>
      <c r="E49" s="144"/>
      <c r="F49" s="144"/>
      <c r="G49" s="144"/>
      <c r="H49" s="144"/>
    </row>
    <row r="50" spans="1:8" ht="36" customHeight="1" x14ac:dyDescent="0.2">
      <c r="A50" s="129" t="s">
        <v>362</v>
      </c>
      <c r="B50" s="148" t="s">
        <v>403</v>
      </c>
      <c r="C50" s="144"/>
      <c r="D50" s="144"/>
      <c r="E50" s="144"/>
      <c r="F50" s="144"/>
      <c r="G50" s="144"/>
      <c r="H50" s="144"/>
    </row>
    <row r="51" spans="1:8" ht="21" customHeight="1" x14ac:dyDescent="0.2">
      <c r="A51" s="130" t="s">
        <v>363</v>
      </c>
      <c r="B51" s="148" t="s">
        <v>404</v>
      </c>
      <c r="C51" s="144"/>
      <c r="D51" s="144"/>
      <c r="E51" s="144"/>
      <c r="F51" s="144"/>
      <c r="G51" s="144"/>
      <c r="H51" s="144"/>
    </row>
    <row r="52" spans="1:8" ht="21" customHeight="1" x14ac:dyDescent="0.2">
      <c r="A52" s="129" t="s">
        <v>362</v>
      </c>
      <c r="B52" s="148" t="s">
        <v>371</v>
      </c>
      <c r="C52" s="144"/>
      <c r="D52" s="144"/>
      <c r="E52" s="144"/>
      <c r="F52" s="144"/>
      <c r="G52" s="144"/>
      <c r="H52" s="144"/>
    </row>
  </sheetData>
  <mergeCells count="44">
    <mergeCell ref="A49:H49"/>
    <mergeCell ref="B50:H50"/>
    <mergeCell ref="B51:H51"/>
    <mergeCell ref="B52:H52"/>
    <mergeCell ref="B43:H43"/>
    <mergeCell ref="B44:H44"/>
    <mergeCell ref="B45:H45"/>
    <mergeCell ref="B46:H46"/>
    <mergeCell ref="B47:H47"/>
    <mergeCell ref="B37:H37"/>
    <mergeCell ref="B38:H38"/>
    <mergeCell ref="B39:H39"/>
    <mergeCell ref="A41:H41"/>
    <mergeCell ref="B42:H42"/>
    <mergeCell ref="A32:H32"/>
    <mergeCell ref="B33:H33"/>
    <mergeCell ref="B34:H34"/>
    <mergeCell ref="B35:H35"/>
    <mergeCell ref="B36:H36"/>
    <mergeCell ref="B26:H26"/>
    <mergeCell ref="B27:H27"/>
    <mergeCell ref="B28:H28"/>
    <mergeCell ref="B29:H29"/>
    <mergeCell ref="B30:H30"/>
    <mergeCell ref="B20:H20"/>
    <mergeCell ref="B21:H21"/>
    <mergeCell ref="B22:H22"/>
    <mergeCell ref="A24:H24"/>
    <mergeCell ref="B25:H25"/>
    <mergeCell ref="B14:H14"/>
    <mergeCell ref="B15:H15"/>
    <mergeCell ref="B16:H16"/>
    <mergeCell ref="A18:H18"/>
    <mergeCell ref="B19:H19"/>
    <mergeCell ref="B8:H8"/>
    <mergeCell ref="B9:H9"/>
    <mergeCell ref="B10:H10"/>
    <mergeCell ref="A12:H12"/>
    <mergeCell ref="B13:H13"/>
    <mergeCell ref="A1:H1"/>
    <mergeCell ref="A2:H2"/>
    <mergeCell ref="A3:H3"/>
    <mergeCell ref="A6:H6"/>
    <mergeCell ref="B7:H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29"/>
  <sheetViews>
    <sheetView showGridLines="0" zoomScale="160" zoomScaleNormal="160" workbookViewId="0">
      <pane ySplit="9" topLeftCell="A10" activePane="bottomLeft" state="frozen"/>
      <selection pane="bottomLeft" activeCell="J28" sqref="J28"/>
    </sheetView>
  </sheetViews>
  <sheetFormatPr baseColWidth="10" defaultColWidth="8.83203125" defaultRowHeight="15" x14ac:dyDescent="0.2"/>
  <cols>
    <col min="1" max="1" width="17"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0" t="s">
        <v>119</v>
      </c>
      <c r="B1" s="150"/>
      <c r="C1" s="150"/>
      <c r="D1" s="150"/>
      <c r="E1" s="150"/>
      <c r="G1" s="26"/>
      <c r="H1" s="26"/>
      <c r="I1" s="26"/>
    </row>
    <row r="2" spans="1:9" ht="28.5" customHeight="1" x14ac:dyDescent="0.2">
      <c r="A2" s="151" t="s">
        <v>120</v>
      </c>
      <c r="B2" s="151"/>
      <c r="C2" s="151"/>
      <c r="D2" s="151"/>
      <c r="E2" s="151"/>
      <c r="G2" s="26"/>
      <c r="H2" s="26"/>
      <c r="I2" s="26"/>
    </row>
    <row r="3" spans="1:9" ht="3" customHeight="1" x14ac:dyDescent="0.2">
      <c r="G3" s="26"/>
      <c r="H3" s="26"/>
      <c r="I3" s="26"/>
    </row>
    <row r="4" spans="1:9" ht="15" customHeight="1" x14ac:dyDescent="0.2">
      <c r="A4" s="152" t="s">
        <v>121</v>
      </c>
      <c r="B4" s="152"/>
      <c r="C4" s="152"/>
      <c r="D4" s="152"/>
      <c r="E4" s="152"/>
      <c r="G4" s="26"/>
      <c r="H4" s="26"/>
      <c r="I4" s="26"/>
    </row>
    <row r="5" spans="1:9" ht="24.75" customHeight="1" x14ac:dyDescent="0.2">
      <c r="A5" s="153" t="str">
        <f>'Sport Records'!$C$4</f>
        <v>Dean B</v>
      </c>
      <c r="B5" s="153"/>
      <c r="C5" s="153"/>
      <c r="D5" s="153"/>
      <c r="E5" s="153"/>
      <c r="G5" s="26"/>
      <c r="H5" s="26"/>
      <c r="I5" s="26"/>
    </row>
    <row r="6" spans="1:9" ht="15" customHeight="1" x14ac:dyDescent="0.2">
      <c r="A6" s="154" t="str">
        <f>"FWC rating "&amp;TEXT(IFERROR(INDEX(Engine!$B$2:$B$15,MATCH('Sport Records'!$C$4,Engine!$A$2:$A$15,0)),0),"0")&amp;"   |   "&amp;COUNTIFS('Match Log'!$D$4:$D$810,'Sport Records'!$C$4,'Match Log'!$E$4:$E$810,"Win")&amp;" wins, "&amp;(COUNTIF('Match Log'!$D$4:$D$810,'Sport Records'!$C$4)-COUNTIFS('Match Log'!$D$4:$D$810,'Sport Records'!$C$4,'Match Log'!$E$4:$E$810,"Win"))&amp;" losses"&amp;"   |   highest-rated eligible player"</f>
        <v>FWC rating 1168   |   15 wins, 8 losses   |   highest-rated eligible player</v>
      </c>
      <c r="B6" s="154"/>
      <c r="C6" s="154"/>
      <c r="D6" s="154"/>
      <c r="E6" s="154"/>
      <c r="G6" s="26"/>
      <c r="H6" s="26"/>
      <c r="I6" s="26"/>
    </row>
    <row r="7" spans="1:9" ht="15" customHeight="1" x14ac:dyDescent="0.2">
      <c r="G7" s="26"/>
      <c r="H7" s="26"/>
      <c r="I7" s="26"/>
    </row>
    <row r="8" spans="1:9" ht="15" customHeight="1" x14ac:dyDescent="0.2">
      <c r="A8" s="149" t="s">
        <v>122</v>
      </c>
      <c r="B8" s="149"/>
      <c r="C8" s="149"/>
      <c r="D8" s="149"/>
      <c r="E8" s="149"/>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Records'!$P$91,"—")</f>
        <v>Shawn</v>
      </c>
      <c r="C10" s="30">
        <f>IF(OR($B10="—",$B10=""),"",ROUND(MAX('Sport Records'!$B$91:$O$91),0))</f>
        <v>1031</v>
      </c>
      <c r="D10" s="30" t="str">
        <f>IF(OR($B10="—",$B10=""),"—",COUNTIFS('Match Log'!$D$4:$D$810,$B10,'Match Log'!$C$4:$C$810,$A10,'Match Log'!$E$4:$E$810,"Win")&amp;"–"&amp;(COUNTIFS('Match Log'!$D$4:$D$810,$B10,'Match Log'!$C$4:$C$810,$A10)-COUNTIFS('Match Log'!$D$4:$D$810,$B10,'Match Log'!$C$4:$C$810,$A10,'Match Log'!$E$4:$E$810,"Win")))</f>
        <v>2–0</v>
      </c>
      <c r="E10" s="30">
        <f>IFERROR('Sport Records'!$P$8,0)</f>
        <v>2</v>
      </c>
      <c r="G10" s="31" t="s">
        <v>128</v>
      </c>
      <c r="H10" s="26"/>
      <c r="I10" s="26"/>
    </row>
    <row r="11" spans="1:9" ht="15" customHeight="1" x14ac:dyDescent="0.2">
      <c r="A11" s="28" t="str">
        <f>IF(Lists!$C$3="","",Lists!$C$3)</f>
        <v>Darts</v>
      </c>
      <c r="B11" s="29" t="str">
        <f>IFERROR('Sport Records'!$P$92,"—")</f>
        <v>—</v>
      </c>
      <c r="C11" s="30" t="str">
        <f>IF(OR($B11="—",$B11=""),"",ROUND(MAX('Sport Records'!$B$92:$O$92),0))</f>
        <v/>
      </c>
      <c r="D11" s="30" t="str">
        <f>IF(OR($B11="—",$B11=""),"—",COUNTIFS('Match Log'!$D$4:$D$810,$B11,'Match Log'!$C$4:$C$810,$A11,'Match Log'!$E$4:$E$810,"Win")&amp;"–"&amp;(COUNTIFS('Match Log'!$D$4:$D$810,$B11,'Match Log'!$C$4:$C$810,$A11)-COUNTIFS('Match Log'!$D$4:$D$810,$B11,'Match Log'!$C$4:$C$810,$A11,'Match Log'!$E$4:$E$810,"Win")))</f>
        <v>—</v>
      </c>
      <c r="E11" s="30">
        <f>IFERROR('Sport Records'!$P$9,0)</f>
        <v>0</v>
      </c>
      <c r="G11" s="32" t="s">
        <v>129</v>
      </c>
      <c r="H11" s="26"/>
      <c r="I11" s="26"/>
    </row>
    <row r="12" spans="1:9" ht="15" customHeight="1" x14ac:dyDescent="0.2">
      <c r="A12" s="28" t="str">
        <f>IF(Lists!$C$4="","",Lists!$C$4)</f>
        <v>FIFA</v>
      </c>
      <c r="B12" s="29" t="str">
        <f>IFERROR('Sport Records'!$P$93,"—")</f>
        <v>Aaron</v>
      </c>
      <c r="C12" s="30">
        <f>IF(OR($B12="—",$B12=""),"",ROUND(MAX('Sport Records'!$B$93:$O$93),0))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Records'!$P$94,"—")</f>
        <v>—</v>
      </c>
      <c r="C13" s="30" t="str">
        <f>IF(OR($B13="—",$B13=""),"",ROUND(MAX('Sport Records'!$B$94:$O$94),0))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Records'!$P$95,"—")</f>
        <v>Simon</v>
      </c>
      <c r="C14" s="30">
        <f>IF(OR($B14="—",$B14=""),"",ROUND(MAX('Sport Records'!$B$95:$O$95),0))</f>
        <v>1030</v>
      </c>
      <c r="D14" s="30" t="str">
        <f>IF(OR($B14="—",$B14=""),"—",COUNTIFS('Match Log'!$D$4:$D$810,$B14,'Match Log'!$C$4:$C$810,$A14,'Match Log'!$E$4:$E$810,"Win")&amp;"–"&amp;(COUNTIFS('Match Log'!$D$4:$D$810,$B14,'Match Log'!$C$4:$C$810,$A14)-COUNTIFS('Match Log'!$D$4:$D$810,$B14,'Match Log'!$C$4:$C$810,$A14,'Match Log'!$E$4:$E$810,"Win")))</f>
        <v>2–0</v>
      </c>
      <c r="E14" s="30">
        <f>IFERROR('Sport Records'!$P$12,0)</f>
        <v>10</v>
      </c>
      <c r="G14" s="34" t="s">
        <v>133</v>
      </c>
      <c r="H14" s="35" t="s">
        <v>134</v>
      </c>
      <c r="I14" s="36" t="s">
        <v>135</v>
      </c>
    </row>
    <row r="15" spans="1:9" ht="15" customHeight="1" x14ac:dyDescent="0.2">
      <c r="A15" s="28" t="str">
        <f>IF(Lists!$C$7="","",Lists!$C$7)</f>
        <v>Kelly Pool</v>
      </c>
      <c r="B15" s="29" t="str">
        <f>IFERROR('Sport Records'!$P$96,"—")</f>
        <v>Aaron</v>
      </c>
      <c r="C15" s="30">
        <f>IF(OR($B15="—",$B15=""),"",ROUND(MAX('Sport Records'!$B$96:$O$96),0))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Records'!$P$97,"—")</f>
        <v>—</v>
      </c>
      <c r="C16" s="30" t="str">
        <f>IF(OR($B16="—",$B16=""),"",ROUND(MAX('Sport Records'!$B$97:$O$97),0))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Records'!$P$98,"—")</f>
        <v>—</v>
      </c>
      <c r="C17" s="30" t="str">
        <f>IF(OR($B17="—",$B17=""),"",ROUND(MAX('Sport Records'!$B$98:$O$98),0))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Records'!$P$99,"—")</f>
        <v>Josh</v>
      </c>
      <c r="C18" s="30">
        <f>IF(OR($B18="—",$B18=""),"",ROUND(MAX('Sport Records'!$B$99:$O$99),0))</f>
        <v>1016</v>
      </c>
      <c r="D18" s="30" t="str">
        <f>IF(OR($B18="—",$B18=""),"—",COUNTIFS('Match Log'!$D$4:$D$810,$B18,'Match Log'!$C$4:$C$810,$A18,'Match Log'!$E$4:$E$810,"Win")&amp;"–"&amp;(COUNTIFS('Match Log'!$D$4:$D$810,$B18,'Match Log'!$C$4:$C$810,$A18)-COUNTIFS('Match Log'!$D$4:$D$810,$B18,'Match Log'!$C$4:$C$810,$A18,'Match Log'!$E$4:$E$810,"Win")))</f>
        <v>1–0</v>
      </c>
      <c r="E18" s="30">
        <f>IFERROR('Sport Records'!$P$16,0)</f>
        <v>1</v>
      </c>
      <c r="G18" s="34" t="s">
        <v>143</v>
      </c>
      <c r="H18" s="40" t="s">
        <v>144</v>
      </c>
      <c r="I18" s="36"/>
    </row>
    <row r="19" spans="1:9" ht="15" customHeight="1" x14ac:dyDescent="0.2">
      <c r="A19" s="28" t="str">
        <f>IF(Lists!$C$11="","",Lists!$C$11)</f>
        <v>Back Yard Putt Putt</v>
      </c>
      <c r="B19" s="29" t="str">
        <f>IFERROR('Sport Records'!$P$100,"—")</f>
        <v>—</v>
      </c>
      <c r="C19" s="30" t="str">
        <f>IF(OR($B19="—",$B19=""),"",ROUND(MAX('Sport Records'!$B$100:$O$100),0))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Records'!$P$101,"—")</f>
        <v>—</v>
      </c>
      <c r="C20" s="30" t="str">
        <f>IF(OR($B20="—",$B20=""),"",ROUND(MAX('Sport Records'!$B$101:$O$101),0))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Records'!$P$102,"—")</f>
        <v>Josh</v>
      </c>
      <c r="C21" s="30">
        <f>IF(OR($B21="—",$B21=""),"",ROUND(MAX('Sport Records'!$B$102:$O$102),0))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Records'!$P$103,"—")</f>
        <v>Daniel (Ferret)</v>
      </c>
      <c r="C22" s="30">
        <f>IF(OR($B22="—",$B22=""),"",ROUND(MAX('Sport Records'!$B$103:$O$103),0))</f>
        <v>1051</v>
      </c>
      <c r="D22" s="30" t="str">
        <f>IF(OR($B22="—",$B22=""),"—",COUNTIFS('Match Log'!$D$4:$D$810,$B22,'Match Log'!$C$4:$C$810,$A22,'Match Log'!$E$4:$E$810,"Win")&amp;"–"&amp;(COUNTIFS('Match Log'!$D$4:$D$810,$B22,'Match Log'!$C$4:$C$810,$A22)-COUNTIFS('Match Log'!$D$4:$D$810,$B22,'Match Log'!$C$4:$C$810,$A22,'Match Log'!$E$4:$E$810,"Win")))</f>
        <v>5–1</v>
      </c>
      <c r="E22" s="30">
        <f>IFERROR('Sport Records'!$P$20,0)</f>
        <v>10</v>
      </c>
      <c r="G22" s="26"/>
      <c r="H22" s="26"/>
      <c r="I22" s="26"/>
    </row>
    <row r="23" spans="1:9" ht="15" customHeight="1" x14ac:dyDescent="0.2">
      <c r="A23" s="28" t="str">
        <f>IF(Lists!$C$15="","",Lists!$C$15)</f>
        <v>Mario Kart</v>
      </c>
      <c r="B23" s="29" t="str">
        <f>IFERROR('Sport Records'!$P$104,"—")</f>
        <v>Chase</v>
      </c>
      <c r="C23" s="30">
        <f>IF(OR($B23="—",$B23=""),"",ROUND(MAX('Sport Records'!$B$104:$O$104),0))</f>
        <v>1056</v>
      </c>
      <c r="D23" s="30" t="str">
        <f>IF(OR($B23="—",$B23=""),"—",COUNTIFS('Match Log'!$D$4:$D$810,$B23,'Match Log'!$C$4:$C$810,$A23,'Match Log'!$E$4:$E$810,"Win")&amp;"–"&amp;(COUNTIFS('Match Log'!$D$4:$D$810,$B23,'Match Log'!$C$4:$C$810,$A23)-COUNTIFS('Match Log'!$D$4:$D$810,$B23,'Match Log'!$C$4:$C$810,$A23,'Match Log'!$E$4:$E$810,"Win")))</f>
        <v>4–0</v>
      </c>
      <c r="E23" s="30">
        <f>IFERROR('Sport Records'!$P$21,0)</f>
        <v>14</v>
      </c>
      <c r="G23" s="42" t="s">
        <v>150</v>
      </c>
      <c r="H23" s="43" t="s">
        <v>151</v>
      </c>
      <c r="I23" s="26"/>
    </row>
    <row r="24" spans="1:9" ht="15" customHeight="1" x14ac:dyDescent="0.2">
      <c r="A24" s="28" t="str">
        <f>IF(Lists!$C$16="","",Lists!$C$16)</f>
        <v>Go Karting</v>
      </c>
      <c r="B24" s="29" t="str">
        <f>IFERROR('Sport Records'!$P$105,"—")</f>
        <v>—</v>
      </c>
      <c r="C24" s="30" t="str">
        <f>IF(OR($B24="—",$B24=""),"",ROUND(MAX('Sport Records'!$B$105:$O$105),0))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Records'!$P$106,"—")</f>
        <v>Daniel (Ferret)</v>
      </c>
      <c r="C25" s="30">
        <f>IF(OR($B25="—",$B25=""),"",ROUND(MAX('Sport Records'!$B$106:$O$106),0))</f>
        <v>1031</v>
      </c>
      <c r="D25" s="30" t="str">
        <f>IF(OR($B25="—",$B25=""),"—",COUNTIFS('Match Log'!$D$4:$D$810,$B25,'Match Log'!$C$4:$C$810,$A25,'Match Log'!$E$4:$E$810,"Win")&amp;"–"&amp;(COUNTIFS('Match Log'!$D$4:$D$810,$B25,'Match Log'!$C$4:$C$810,$A25)-COUNTIFS('Match Log'!$D$4:$D$810,$B25,'Match Log'!$C$4:$C$810,$A25,'Match Log'!$E$4:$E$810,"Win")))</f>
        <v>2–0</v>
      </c>
      <c r="E25" s="30">
        <f>IFERROR('Sport Records'!$P$23,0)</f>
        <v>3</v>
      </c>
    </row>
    <row r="26" spans="1:9" ht="15" customHeight="1" x14ac:dyDescent="0.2">
      <c r="A26" s="28" t="str">
        <f>IF(Lists!$C$18="","",Lists!$C$18)</f>
        <v>Poker</v>
      </c>
      <c r="B26" s="29" t="str">
        <f>IFERROR('Sport Records'!$P$107,"—")</f>
        <v>Josh</v>
      </c>
      <c r="C26" s="30">
        <f>IF(OR($B26="—",$B26=""),"",ROUND(MAX('Sport Records'!$B$107:$O$107),0))</f>
        <v>1016</v>
      </c>
      <c r="D26" s="30" t="str">
        <f>IF(OR($B26="—",$B26=""),"—",COUNTIFS('Match Log'!$D$4:$D$810,$B26,'Match Log'!$C$4:$C$810,$A26,'Match Log'!$E$4:$E$810,"Win")&amp;"–"&amp;(COUNTIFS('Match Log'!$D$4:$D$810,$B26,'Match Log'!$C$4:$C$810,$A26)-COUNTIFS('Match Log'!$D$4:$D$810,$B26,'Match Log'!$C$4:$C$810,$A26,'Match Log'!$E$4:$E$810,"Win")))</f>
        <v>1–0</v>
      </c>
      <c r="E26" s="30">
        <f>IFERROR('Sport Records'!$P$24,0)</f>
        <v>1</v>
      </c>
    </row>
    <row r="27" spans="1:9" ht="15" customHeight="1" x14ac:dyDescent="0.2">
      <c r="A27" s="28" t="str">
        <f>IF(Lists!$C$19="","",Lists!$C$19)</f>
        <v>ShuffleBoard</v>
      </c>
      <c r="B27" s="29" t="str">
        <f>IFERROR('Sport Records'!$P$108,"—")</f>
        <v>Simon</v>
      </c>
      <c r="C27" s="30">
        <f>IF(OR($B27="—",$B27=""),"",ROUND(MAX('Sport Records'!$B$108:$O$108),0))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Records'!$P$109</f>
        <v>Shawn</v>
      </c>
      <c r="C28" s="30">
        <f>IF(OR($B28="—",$B28=""),"",ROUND(MAX('Sport Records'!$B$109:$O$109),0))</f>
        <v>1035</v>
      </c>
      <c r="D28" s="30" t="str">
        <f>IF(OR($B28="—",$B28=""),"—",COUNTIFS('Match Log'!$D$4:$D$810,$B28,'Match Log'!$C$4:$C$810,$A28,'Match Log'!$E$4:$E$810,"Win")&amp;"–"&amp;(COUNTIFS('Match Log'!$D$4:$D$810,$B28,'Match Log'!$C$4:$C$810,$A28)-COUNTIFS('Match Log'!$D$4:$D$810,$B28,'Match Log'!$C$4:$C$810,$A28,'Match Log'!$E$4:$E$810,"Win")))</f>
        <v>4–1</v>
      </c>
      <c r="E28" s="30">
        <f>'Sport Records'!$P$26</f>
        <v>9</v>
      </c>
    </row>
    <row r="29" spans="1:9" x14ac:dyDescent="0.2">
      <c r="A29" s="28" t="s">
        <v>407</v>
      </c>
      <c r="B29" s="29" t="str">
        <f>IFERROR('Sport Records'!$P$110,"—")</f>
        <v>—</v>
      </c>
      <c r="C29" s="30" t="str">
        <f>IF(OR($B29="—",$B29=""),"",ROUND(MAX('Sport Records'!$B$110:$O$110),0))</f>
        <v/>
      </c>
      <c r="D29" s="30" t="str">
        <f>IF(OR($B29="—",$B29=""),"—",COUNTIFS('Match Log'!$D$4:$D$810,$B29,'Match Log'!$C$4:$C$810,$A29,'Match Log'!$E$4:$E$810,"Win")&amp;"–"&amp;(COUNTIFS('Match Log'!$D$4:$D$810,$B29,'Match Log'!$C$4:$C$810,$A29)-COUNTIFS('Match Log'!$D$4:$D$810,$B29,'Match Log'!$C$4:$C$810,$A29,'Match Log'!$E$4:$E$810,"Win")))</f>
        <v>—</v>
      </c>
      <c r="E29" s="30">
        <f>IFERROR('Sport Records'!$P$27,0)</f>
        <v>0</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zoomScale="180" zoomScaleNormal="100" workbookViewId="0">
      <pane xSplit="3" ySplit="4" topLeftCell="O5" activePane="bottomRight" state="frozen"/>
      <selection pane="topRight" activeCell="D1" sqref="D1"/>
      <selection pane="bottomLeft" activeCell="A5" sqref="A5"/>
      <selection pane="bottomRight" activeCell="B21" sqref="B21"/>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136  ·  10 Jul 2026</v>
      </c>
      <c r="T2" s="44" t="str">
        <f>IF(COUNTIF($T$5:$T$18,"At risk")+COUNTIF($T$5:$T$18,"Inactive")=0,"Inactivity watch:  all players active ✓","⚠ Inactivity watch:  "&amp;(COUNTIF($T$5:$T$18,"At risk")+COUNTIF($T$5:$T$18,"Inactive"))&amp;" player(s) need a game — see Activity column")</f>
        <v>⚠ Inactivity watch:  9 player(s) need a game — see Activity column</v>
      </c>
    </row>
    <row r="3" spans="1:24" ht="15.75" customHeight="1" x14ac:dyDescent="0.2">
      <c r="A3" s="137" t="str">
        <f>"Current Champion:  "&amp;IFERROR(INDEX($B$5:$B$18,MATCH(SUMPRODUCT(MAX(($L$5:$L$18="Eligible")*($T$5:$T$18&lt;&gt;"Inactive")*$V$5:$V$18)),$V$5:$V$18,0)),"— none eligible yet —")</f>
        <v>Current Champion:  Dean B</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423</v>
      </c>
    </row>
    <row r="5" spans="1:24" ht="15" customHeight="1" x14ac:dyDescent="0.2">
      <c r="A5" s="46">
        <f>ROW()-4</f>
        <v>1</v>
      </c>
      <c r="B5" s="47" t="str">
        <f>IFERROR(INDEX(Calcs!$A$7:$A$20,MATCH(LARGE(Calcs!$AI$7:$AI$20,ROW()-4),Calcs!$AI$7:$AI$20,0)),"")</f>
        <v>Dean B</v>
      </c>
      <c r="C5" s="48">
        <f>INDEX(Engine!$B$2:$B$15,MATCH($B5,Engine!$A$2:$A$15,0))+SUMIF('Poker Stake Ledger'!$C$18:$C$137,$B5,'Poker Stake Ledger'!$K$18:$K$137)</f>
        <v>1168.2113436007442</v>
      </c>
      <c r="D5" s="49">
        <f>COUNTIF('Match Log'!$D$4:$D$810,$B5)</f>
        <v>23</v>
      </c>
      <c r="E5" s="49">
        <f>COUNTIFS('Match Log'!$D$4:$D$810,$B5,'Match Log'!$E$4:$E$810,"Win")</f>
        <v>15</v>
      </c>
      <c r="F5" s="49">
        <f>$D5-$E5</f>
        <v>8</v>
      </c>
      <c r="G5" s="50">
        <f>IF($D5=0,"",$E5/$D5)</f>
        <v>0.65217391304347827</v>
      </c>
      <c r="H5" s="51">
        <f>SUMIF('Match Log'!$D$4:$D$810,$B5,'Match Log'!$J$4:$J$810)</f>
        <v>79.570981480915592</v>
      </c>
      <c r="I5" s="51">
        <f>SUMIF('Match Log'!$D$4:$D$810,$B5,'Match Log'!$K$4:$K$810)</f>
        <v>56.640362119828737</v>
      </c>
      <c r="J5" s="51">
        <f>SUMIF('Match Log'!$D$4:$D$810,$B5,'Match Log'!$L$4:$L$810)</f>
        <v>32</v>
      </c>
      <c r="K5" s="49">
        <f>SUMPRODUCT(--(COUNTIFS('Match Log'!$D$4:$D$810,$B5,'Match Log'!$C$4:$C$810,Lists!$C$2:$C$21)&gt;0))</f>
        <v>3</v>
      </c>
      <c r="L5" s="49" t="str">
        <f>IF($D5=0,"No games",IF(AND($D5&gt;='Guide &amp; Settings'!$C$45,$K5&gt;='Guide &amp; Settings'!$C$46),"Eligible","Provisional"))</f>
        <v>Eligible</v>
      </c>
      <c r="M5" s="48">
        <f>IFERROR(INDEX(Calcs!$C$7:$C$20,MATCH($B5,Calcs!$A$7:$A$20,0)),"")</f>
        <v>1052.5762893009789</v>
      </c>
      <c r="N5" s="48">
        <f>MAX($C$5:$C$18)-$C5</f>
        <v>0</v>
      </c>
      <c r="O5" s="49" t="str">
        <f>IFERROR(INDEX(Calcs!$H$7:$H$20,MATCH($B5,Calcs!$A$7:$A$20,0)),"")</f>
        <v>W2</v>
      </c>
      <c r="P5" s="49" t="str">
        <f>IFERROR(INDEX(Calcs!$I$7:$I$20,MATCH($B5,Calcs!$A$7:$A$20,0)),"")</f>
        <v>LLLWW</v>
      </c>
      <c r="Q5" s="49" t="str">
        <f>IFERROR(IF(INDEX(Calcs!$L$7:$L$20,MATCH($B5,Calcs!$A$7:$A$20,0))&gt;0,"▲"&amp;INDEX(Calcs!$L$7:$L$20,MATCH($B5,Calcs!$A$7:$A$20,0)),IF(INDEX(Calcs!$L$7:$L$20,MATCH($B5,Calcs!$A$7:$A$20,0))&lt;0,"▼"&amp;ABS(INDEX(Calcs!$L$7:$L$20,MATCH($B5,Calcs!$A$7:$A$20,0))),"–")),"")</f>
        <v>–</v>
      </c>
      <c r="R5" s="49" t="str">
        <f>IFERROR(IF(INDEX(Calcs!$P$7:$P$20,MATCH($B5,Calcs!$A$7:$A$20,0))=0,"—",TEXT(INDEX(Calcs!$P$7:$P$20,MATCH($B5,Calcs!$A$7:$A$20,0)),"d mmm")),"")</f>
        <v>16 Jun</v>
      </c>
      <c r="S5" s="49">
        <f>IFERROR(ROUND(INDEX(Calcs!$Q$7:$Q$20,MATCH($B5,Calcs!$A$7:$A$20,0)),1),"")</f>
        <v>3.4</v>
      </c>
      <c r="T5" s="49" t="str">
        <f>IFERROR(INDEX(Calcs!$T$7:$T$20,MATCH($B5,Calcs!$A$7:$A$20,0)),"")</f>
        <v>At risk</v>
      </c>
      <c r="U5">
        <f>IFERROR(MAX(0,ROUND($C5-INDEX(Calcs!$S$7:$S$20,MATCH($B5,Calcs!$A$7:$A$20,0)),0)),0)</f>
        <v>0</v>
      </c>
      <c r="V5" s="51">
        <f>IFERROR(ROUND(INDEX(Calcs!$S$7:$S$20,MATCH($B5,Calcs!$A$7:$A$20,0)),0),"")</f>
        <v>1168</v>
      </c>
      <c r="W5" s="49" t="str">
        <f>IFERROR(INDEX(Calcs!$AF$7:$AF$20,MATCH($B5,Calcs!$A$7:$A$20,0)),"")</f>
        <v>Strong</v>
      </c>
      <c r="X5" s="51">
        <f>IFERROR(ROUND(SUMIF('Poker Stake Ledger'!$C$18:$C$137,$B5,'Poker Stake Ledger'!$K$18:$K$137),1),0)</f>
        <v>0</v>
      </c>
    </row>
    <row r="6" spans="1:24" ht="15" customHeight="1" x14ac:dyDescent="0.2">
      <c r="A6" s="46">
        <f>ROW()-4</f>
        <v>2</v>
      </c>
      <c r="B6" s="47" t="str">
        <f>IFERROR(INDEX(Calcs!$A$7:$A$20,MATCH(LARGE(Calcs!$AI$7:$AI$20,ROW()-4),Calcs!$AI$7:$AI$20,0)),"")</f>
        <v>Josh</v>
      </c>
      <c r="C6" s="48">
        <f>INDEX(Engine!$B$2:$B$15,MATCH($B6,Engine!$A$2:$A$15,0))+SUMIF('Poker Stake Ledger'!$C$18:$C$137,$B6,'Poker Stake Ledger'!$K$18:$K$137)</f>
        <v>1129.7012289075892</v>
      </c>
      <c r="D6" s="49">
        <f>COUNTIF('Match Log'!$D$4:$D$810,$B6)</f>
        <v>32</v>
      </c>
      <c r="E6" s="49">
        <f>COUNTIFS('Match Log'!$D$4:$D$810,$B6,'Match Log'!$E$4:$E$810,"Win")</f>
        <v>20</v>
      </c>
      <c r="F6" s="49">
        <f>$D6-$E6</f>
        <v>12</v>
      </c>
      <c r="G6" s="50">
        <f>IF($D6=0,"",$E6/$D6)</f>
        <v>0.625</v>
      </c>
      <c r="H6" s="51">
        <f>SUMIF('Match Log'!$D$4:$D$810,$B6,'Match Log'!$J$4:$J$810)</f>
        <v>36.229836962054236</v>
      </c>
      <c r="I6" s="51">
        <f>SUMIF('Match Log'!$D$4:$D$810,$B6,'Match Log'!$K$4:$K$810)</f>
        <v>51.471391945534876</v>
      </c>
      <c r="J6" s="51">
        <f>SUMIF('Match Log'!$D$4:$D$810,$B6,'Match Log'!$L$4:$L$810)</f>
        <v>42</v>
      </c>
      <c r="K6" s="49">
        <f>SUMPRODUCT(--(COUNTIFS('Match Log'!$D$4:$D$810,$B6,'Match Log'!$C$4:$C$810,Lists!$C$2:$C$21)&gt;0))</f>
        <v>8</v>
      </c>
      <c r="L6" s="49" t="str">
        <f>IF($D6=0,"No games",IF(AND($D6&gt;='Guide &amp; Settings'!$C$45,$K6&gt;='Guide &amp; Settings'!$C$46),"Eligible","Provisional"))</f>
        <v>Eligible</v>
      </c>
      <c r="M6" s="48">
        <f>IFERROR(INDEX(Calcs!$C$7:$C$20,MATCH($B6,Calcs!$A$7:$A$20,0)),"")</f>
        <v>1040.8228664166516</v>
      </c>
      <c r="N6" s="48">
        <f>MAX($C$5:$C$18)-$C6</f>
        <v>38.510114693154947</v>
      </c>
      <c r="O6" s="49" t="str">
        <f>IFERROR(INDEX(Calcs!$H$7:$H$20,MATCH($B6,Calcs!$A$7:$A$20,0)),"")</f>
        <v>L1</v>
      </c>
      <c r="P6" s="49" t="str">
        <f>IFERROR(INDEX(Calcs!$I$7:$I$20,MATCH($B6,Calcs!$A$7:$A$20,0)),"")</f>
        <v>LLWWL</v>
      </c>
      <c r="Q6" s="49" t="str">
        <f>IFERROR(IF(INDEX(Calcs!$L$7:$L$20,MATCH($B6,Calcs!$A$7:$A$20,0))&gt;0,"▲"&amp;INDEX(Calcs!$L$7:$L$20,MATCH($B6,Calcs!$A$7:$A$20,0)),IF(INDEX(Calcs!$L$7:$L$20,MATCH($B6,Calcs!$A$7:$A$20,0))&lt;0,"▼"&amp;ABS(INDEX(Calcs!$L$7:$L$20,MATCH($B6,Calcs!$A$7:$A$20,0))),"–")),"")</f>
        <v>–</v>
      </c>
      <c r="R6" s="49" t="str">
        <f>IFERROR(IF(INDEX(Calcs!$P$7:$P$20,MATCH($B6,Calcs!$A$7:$A$20,0))=0,"—",TEXT(INDEX(Calcs!$P$7:$P$20,MATCH($B6,Calcs!$A$7:$A$20,0)),"d mmm")),"")</f>
        <v>26 Jun</v>
      </c>
      <c r="S6" s="49">
        <f>IFERROR(ROUND(INDEX(Calcs!$Q$7:$Q$20,MATCH($B6,Calcs!$A$7:$A$20,0)),1),"")</f>
        <v>2</v>
      </c>
      <c r="T6" s="49" t="str">
        <f>IFERROR(INDEX(Calcs!$T$7:$T$20,MATCH($B6,Calcs!$A$7:$A$20,0)),"")</f>
        <v>At risk</v>
      </c>
      <c r="U6">
        <f>IFERROR(MAX(0,ROUND($C6-INDEX(Calcs!$S$7:$S$20,MATCH($B6,Calcs!$A$7:$A$20,0)),0)),0)</f>
        <v>0</v>
      </c>
      <c r="V6" s="51">
        <f>IFERROR(ROUND(INDEX(Calcs!$S$7:$S$20,MATCH($B6,Calcs!$A$7:$A$20,0)),0),"")</f>
        <v>1130</v>
      </c>
      <c r="W6" s="49" t="str">
        <f>IFERROR(INDEX(Calcs!$AF$7:$AF$20,MATCH($B6,Calcs!$A$7:$A$20,0)),"")</f>
        <v>Elite</v>
      </c>
      <c r="X6" s="51">
        <f>IFERROR(ROUND(SUMIF('Poker Stake Ledger'!$C$18:$C$137,$B6,'Poker Stake Ledger'!$K$18:$K$137),1),0)</f>
        <v>0</v>
      </c>
    </row>
    <row r="7" spans="1:24" ht="15" customHeight="1" x14ac:dyDescent="0.2">
      <c r="A7" s="46">
        <f>ROW()-4</f>
        <v>3</v>
      </c>
      <c r="B7" s="47" t="str">
        <f>IFERROR(INDEX(Calcs!$A$7:$A$20,MATCH(LARGE(Calcs!$AI$7:$AI$20,ROW()-4),Calcs!$AI$7:$AI$20,0)),"")</f>
        <v>Aaron</v>
      </c>
      <c r="C7" s="48">
        <f>INDEX(Engine!$B$2:$B$15,MATCH($B7,Engine!$A$2:$A$15,0))+SUMIF('Poker Stake Ledger'!$C$18:$C$137,$B7,'Poker Stake Ledger'!$K$18:$K$137)</f>
        <v>1107.5369206684595</v>
      </c>
      <c r="D7" s="49">
        <f>COUNTIF('Match Log'!$D$4:$D$810,$B7)</f>
        <v>35</v>
      </c>
      <c r="E7" s="49">
        <f>COUNTIFS('Match Log'!$D$4:$D$810,$B7,'Match Log'!$E$4:$E$810,"Win")</f>
        <v>20</v>
      </c>
      <c r="F7" s="49">
        <f>$D7-$E7</f>
        <v>15</v>
      </c>
      <c r="G7" s="50">
        <f>IF($D7=0,"",$E7/$D7)</f>
        <v>0.5714285714285714</v>
      </c>
      <c r="H7" s="51">
        <f>SUMIF('Match Log'!$D$4:$D$810,$B7,'Match Log'!$J$4:$J$810)</f>
        <v>32.568807690085229</v>
      </c>
      <c r="I7" s="51">
        <f>SUMIF('Match Log'!$D$4:$D$810,$B7,'Match Log'!$K$4:$K$810)</f>
        <v>46.968112978374535</v>
      </c>
      <c r="J7" s="51">
        <f>SUMIF('Match Log'!$D$4:$D$810,$B7,'Match Log'!$L$4:$L$810)</f>
        <v>28</v>
      </c>
      <c r="K7" s="49">
        <f>SUMPRODUCT(--(COUNTIFS('Match Log'!$D$4:$D$810,$B7,'Match Log'!$C$4:$C$810,Lists!$C$2:$C$21)&gt;0))</f>
        <v>8</v>
      </c>
      <c r="L7" s="49" t="str">
        <f>IF($D7=0,"No games",IF(AND($D7&gt;='Guide &amp; Settings'!$C$45,$K7&gt;='Guide &amp; Settings'!$C$46),"Eligible","Provisional"))</f>
        <v>Eligible</v>
      </c>
      <c r="M7" s="48">
        <f>IFERROR(INDEX(Calcs!$C$7:$C$20,MATCH($B7,Calcs!$A$7:$A$20,0)),"")</f>
        <v>1034.5118064997557</v>
      </c>
      <c r="N7" s="48">
        <f>MAX($C$5:$C$18)-$C7</f>
        <v>60.674422932284642</v>
      </c>
      <c r="O7" s="49" t="str">
        <f>IFERROR(INDEX(Calcs!$H$7:$H$20,MATCH($B7,Calcs!$A$7:$A$20,0)),"")</f>
        <v>W2</v>
      </c>
      <c r="P7" s="49" t="str">
        <f>IFERROR(INDEX(Calcs!$I$7:$I$20,MATCH($B7,Calcs!$A$7:$A$20,0)),"")</f>
        <v>WWLWW</v>
      </c>
      <c r="Q7" s="49" t="str">
        <f>IFERROR(IF(INDEX(Calcs!$L$7:$L$20,MATCH($B7,Calcs!$A$7:$A$20,0))&gt;0,"▲"&amp;INDEX(Calcs!$L$7:$L$20,MATCH($B7,Calcs!$A$7:$A$20,0)),IF(INDEX(Calcs!$L$7:$L$20,MATCH($B7,Calcs!$A$7:$A$20,0))&lt;0,"▼"&amp;ABS(INDEX(Calcs!$L$7:$L$20,MATCH($B7,Calcs!$A$7:$A$20,0))),"–")),"")</f>
        <v>–</v>
      </c>
      <c r="R7" s="49" t="str">
        <f>IFERROR(IF(INDEX(Calcs!$P$7:$P$20,MATCH($B7,Calcs!$A$7:$A$20,0))=0,"—",TEXT(INDEX(Calcs!$P$7:$P$20,MATCH($B7,Calcs!$A$7:$A$20,0)),"d mmm")),"")</f>
        <v>10 Jul</v>
      </c>
      <c r="S7" s="49">
        <f>IFERROR(ROUND(INDEX(Calcs!$Q$7:$Q$20,MATCH($B7,Calcs!$A$7:$A$20,0)),1),"")</f>
        <v>0</v>
      </c>
      <c r="T7" s="49" t="str">
        <f>IFERROR(INDEX(Calcs!$T$7:$T$20,MATCH($B7,Calcs!$A$7:$A$20,0)),"")</f>
        <v>Active</v>
      </c>
      <c r="U7">
        <f>IFERROR(MAX(0,ROUND($C7-INDEX(Calcs!$S$7:$S$20,MATCH($B7,Calcs!$A$7:$A$20,0)),0)),0)</f>
        <v>0</v>
      </c>
      <c r="V7" s="51">
        <f>IFERROR(ROUND(INDEX(Calcs!$S$7:$S$20,MATCH($B7,Calcs!$A$7:$A$20,0)),0),"")</f>
        <v>1108</v>
      </c>
      <c r="W7" s="49" t="str">
        <f>IFERROR(INDEX(Calcs!$AF$7:$AF$20,MATCH($B7,Calcs!$A$7:$A$20,0)),"")</f>
        <v>Elite</v>
      </c>
      <c r="X7" s="51">
        <f>IFERROR(ROUND(SUMIF('Poker Stake Ledger'!$C$18:$C$137,$B7,'Poker Stake Ledger'!$K$18:$K$137),1),0)</f>
        <v>0</v>
      </c>
    </row>
    <row r="8" spans="1:24" ht="15" customHeight="1" x14ac:dyDescent="0.2">
      <c r="A8" s="46">
        <f>ROW()-4</f>
        <v>4</v>
      </c>
      <c r="B8" s="47" t="str">
        <f>IFERROR(INDEX(Calcs!$A$7:$A$20,MATCH(LARGE(Calcs!$AI$7:$AI$20,ROW()-4),Calcs!$AI$7:$AI$20,0)),"")</f>
        <v>Simon</v>
      </c>
      <c r="C8" s="48">
        <f>INDEX(Engine!$B$2:$B$15,MATCH($B8,Engine!$A$2:$A$15,0))+SUMIF('Poker Stake Ledger'!$C$18:$C$137,$B8,'Poker Stake Ledger'!$K$18:$K$137)</f>
        <v>1084.8903813508514</v>
      </c>
      <c r="D8" s="49">
        <f>COUNTIF('Match Log'!$D$4:$D$810,$B8)</f>
        <v>17</v>
      </c>
      <c r="E8" s="49">
        <f>COUNTIFS('Match Log'!$D$4:$D$810,$B8,'Match Log'!$E$4:$E$810,"Win")</f>
        <v>10</v>
      </c>
      <c r="F8" s="49">
        <f>$D8-$E8</f>
        <v>7</v>
      </c>
      <c r="G8" s="50">
        <f>IF($D8=0,"",$E8/$D8)</f>
        <v>0.58823529411764708</v>
      </c>
      <c r="H8" s="51">
        <f>SUMIF('Match Log'!$D$4:$D$810,$B8,'Match Log'!$J$4:$J$810)</f>
        <v>19.980017009183754</v>
      </c>
      <c r="I8" s="51">
        <f>SUMIF('Match Log'!$D$4:$D$810,$B8,'Match Log'!$K$4:$K$810)</f>
        <v>28.910364341667837</v>
      </c>
      <c r="J8" s="51">
        <f>SUMIF('Match Log'!$D$4:$D$810,$B8,'Match Log'!$L$4:$L$810)</f>
        <v>36</v>
      </c>
      <c r="K8" s="49">
        <f>SUMPRODUCT(--(COUNTIFS('Match Log'!$D$4:$D$810,$B8,'Match Log'!$C$4:$C$810,Lists!$C$2:$C$21)&gt;0))</f>
        <v>4</v>
      </c>
      <c r="L8" s="49" t="str">
        <f>IF($D8=0,"No games",IF(AND($D8&gt;='Guide &amp; Settings'!$C$45,$K8&gt;='Guide &amp; Settings'!$C$46),"Eligible","Provisional"))</f>
        <v>Eligible</v>
      </c>
      <c r="M8" s="48">
        <f>IFERROR(INDEX(Calcs!$C$7:$C$20,MATCH($B8,Calcs!$A$7:$A$20,0)),"")</f>
        <v>1053.519533678787</v>
      </c>
      <c r="N8" s="48">
        <f>MAX($C$5:$C$18)-$C8</f>
        <v>83.320962249892773</v>
      </c>
      <c r="O8" s="49" t="str">
        <f>IFERROR(INDEX(Calcs!$H$7:$H$20,MATCH($B8,Calcs!$A$7:$A$20,0)),"")</f>
        <v>L3</v>
      </c>
      <c r="P8" s="49" t="str">
        <f>IFERROR(INDEX(Calcs!$I$7:$I$20,MATCH($B8,Calcs!$A$7:$A$20,0)),"")</f>
        <v>WWLLL</v>
      </c>
      <c r="Q8" s="49" t="str">
        <f>IFERROR(IF(INDEX(Calcs!$L$7:$L$20,MATCH($B8,Calcs!$A$7:$A$20,0))&gt;0,"▲"&amp;INDEX(Calcs!$L$7:$L$20,MATCH($B8,Calcs!$A$7:$A$20,0)),IF(INDEX(Calcs!$L$7:$L$20,MATCH($B8,Calcs!$A$7:$A$20,0))&lt;0,"▼"&amp;ABS(INDEX(Calcs!$L$7:$L$20,MATCH($B8,Calcs!$A$7:$A$20,0))),"–")),"")</f>
        <v>–</v>
      </c>
      <c r="R8" s="49" t="str">
        <f>IFERROR(IF(INDEX(Calcs!$P$7:$P$20,MATCH($B8,Calcs!$A$7:$A$20,0))=0,"—",TEXT(INDEX(Calcs!$P$7:$P$20,MATCH($B8,Calcs!$A$7:$A$20,0)),"d mmm")),"")</f>
        <v>15 Jun</v>
      </c>
      <c r="S8" s="49">
        <f>IFERROR(ROUND(INDEX(Calcs!$Q$7:$Q$20,MATCH($B8,Calcs!$A$7:$A$20,0)),1),"")</f>
        <v>3.6</v>
      </c>
      <c r="T8" s="49" t="str">
        <f>IFERROR(INDEX(Calcs!$T$7:$T$20,MATCH($B8,Calcs!$A$7:$A$20,0)),"")</f>
        <v>At risk</v>
      </c>
      <c r="U8">
        <f>IFERROR(MAX(0,ROUND($C8-INDEX(Calcs!$S$7:$S$20,MATCH($B8,Calcs!$A$7:$A$20,0)),0)),0)</f>
        <v>0</v>
      </c>
      <c r="V8" s="51">
        <f>IFERROR(ROUND(INDEX(Calcs!$S$7:$S$20,MATCH($B8,Calcs!$A$7:$A$20,0)),0),"")</f>
        <v>1085</v>
      </c>
      <c r="W8" s="49" t="str">
        <f>IFERROR(INDEX(Calcs!$AF$7:$AF$20,MATCH($B8,Calcs!$A$7:$A$20,0)),"")</f>
        <v>Strong</v>
      </c>
      <c r="X8" s="51">
        <f>IFERROR(ROUND(SUMIF('Poker Stake Ledger'!$C$18:$C$137,$B8,'Poker Stake Ledger'!$K$18:$K$137),1),0)</f>
        <v>0</v>
      </c>
    </row>
    <row r="9" spans="1:24" ht="15" customHeight="1" x14ac:dyDescent="0.2">
      <c r="A9" s="46">
        <f>ROW()-4</f>
        <v>5</v>
      </c>
      <c r="B9" s="47" t="str">
        <f>IFERROR(INDEX(Calcs!$A$7:$A$20,MATCH(LARGE(Calcs!$AI$7:$AI$20,ROW()-4),Calcs!$AI$7:$AI$20,0)),"")</f>
        <v>Oscar</v>
      </c>
      <c r="C9" s="48">
        <f>INDEX(Engine!$B$2:$B$15,MATCH($B9,Engine!$A$2:$A$15,0))+SUMIF('Poker Stake Ledger'!$C$18:$C$137,$B9,'Poker Stake Ledger'!$K$18:$K$137)</f>
        <v>1058.6657209484931</v>
      </c>
      <c r="D9" s="49">
        <f>COUNTIF('Match Log'!$D$4:$D$810,$B9)</f>
        <v>44</v>
      </c>
      <c r="E9" s="49">
        <f>COUNTIFS('Match Log'!$D$4:$D$810,$B9,'Match Log'!$E$4:$E$810,"Win")</f>
        <v>20</v>
      </c>
      <c r="F9" s="49">
        <f>$D9-$E9</f>
        <v>24</v>
      </c>
      <c r="G9" s="50">
        <f>IF($D9=0,"",$E9/$D9)</f>
        <v>0.45454545454545453</v>
      </c>
      <c r="H9" s="51">
        <f>SUMIF('Match Log'!$D$4:$D$810,$B9,'Match Log'!$J$4:$J$810)</f>
        <v>-4.5119528516974903</v>
      </c>
      <c r="I9" s="51">
        <f>SUMIF('Match Log'!$D$4:$D$810,$B9,'Match Log'!$K$4:$K$810)</f>
        <v>18.177673800191201</v>
      </c>
      <c r="J9" s="51">
        <f>SUMIF('Match Log'!$D$4:$D$810,$B9,'Match Log'!$L$4:$L$810)</f>
        <v>45</v>
      </c>
      <c r="K9" s="49">
        <f>SUMPRODUCT(--(COUNTIFS('Match Log'!$D$4:$D$810,$B9,'Match Log'!$C$4:$C$810,Lists!$C$2:$C$21)&gt;0))</f>
        <v>8</v>
      </c>
      <c r="L9" s="49" t="str">
        <f>IF($D9=0,"No games",IF(AND($D9&gt;='Guide &amp; Settings'!$C$45,$K9&gt;='Guide &amp; Settings'!$C$46),"Eligible","Provisional"))</f>
        <v>Eligible</v>
      </c>
      <c r="M9" s="48">
        <f>IFERROR(INDEX(Calcs!$C$7:$C$20,MATCH($B9,Calcs!$A$7:$A$20,0)),"")</f>
        <v>1060.0060557014265</v>
      </c>
      <c r="N9" s="48">
        <f>MAX($C$5:$C$18)-$C9</f>
        <v>109.54562265225104</v>
      </c>
      <c r="O9" s="49" t="str">
        <f>IFERROR(INDEX(Calcs!$H$7:$H$20,MATCH($B9,Calcs!$A$7:$A$20,0)),"")</f>
        <v>L1</v>
      </c>
      <c r="P9" s="49" t="str">
        <f>IFERROR(INDEX(Calcs!$I$7:$I$20,MATCH($B9,Calcs!$A$7:$A$20,0)),"")</f>
        <v>LLLWL</v>
      </c>
      <c r="Q9" s="49" t="str">
        <f>IFERROR(IF(INDEX(Calcs!$L$7:$L$20,MATCH($B9,Calcs!$A$7:$A$20,0))&gt;0,"▲"&amp;INDEX(Calcs!$L$7:$L$20,MATCH($B9,Calcs!$A$7:$A$20,0)),IF(INDEX(Calcs!$L$7:$L$20,MATCH($B9,Calcs!$A$7:$A$20,0))&lt;0,"▼"&amp;ABS(INDEX(Calcs!$L$7:$L$20,MATCH($B9,Calcs!$A$7:$A$20,0))),"–")),"")</f>
        <v>–</v>
      </c>
      <c r="R9" s="49" t="str">
        <f>IFERROR(IF(INDEX(Calcs!$P$7:$P$20,MATCH($B9,Calcs!$A$7:$A$20,0))=0,"—",TEXT(INDEX(Calcs!$P$7:$P$20,MATCH($B9,Calcs!$A$7:$A$20,0)),"d mmm")),"")</f>
        <v>6 Jul</v>
      </c>
      <c r="S9" s="49">
        <f>IFERROR(ROUND(INDEX(Calcs!$Q$7:$Q$20,MATCH($B9,Calcs!$A$7:$A$20,0)),1),"")</f>
        <v>0.6</v>
      </c>
      <c r="T9" s="49" t="str">
        <f>IFERROR(INDEX(Calcs!$T$7:$T$20,MATCH($B9,Calcs!$A$7:$A$20,0)),"")</f>
        <v>Active</v>
      </c>
      <c r="U9">
        <f>IFERROR(MAX(0,ROUND($C9-INDEX(Calcs!$S$7:$S$20,MATCH($B9,Calcs!$A$7:$A$20,0)),0)),0)</f>
        <v>0</v>
      </c>
      <c r="V9" s="51">
        <f>IFERROR(ROUND(INDEX(Calcs!$S$7:$S$20,MATCH($B9,Calcs!$A$7:$A$20,0)),0),"")</f>
        <v>1059</v>
      </c>
      <c r="W9" s="49" t="str">
        <f>IFERROR(INDEX(Calcs!$AF$7:$AF$20,MATCH($B9,Calcs!$A$7:$A$20,0)),"")</f>
        <v>Strong</v>
      </c>
      <c r="X9" s="51">
        <f>IFERROR(ROUND(SUMIF('Poker Stake Ledger'!$C$18:$C$137,$B9,'Poker Stake Ledger'!$K$18:$K$137),1),0)</f>
        <v>0</v>
      </c>
    </row>
    <row r="10" spans="1:24" ht="15" customHeight="1" x14ac:dyDescent="0.2">
      <c r="A10" s="46">
        <f>ROW()-4</f>
        <v>6</v>
      </c>
      <c r="B10" s="47" t="str">
        <f>IFERROR(INDEX(Calcs!$A$7:$A$20,MATCH(LARGE(Calcs!$AI$7:$AI$20,ROW()-4),Calcs!$AI$7:$AI$20,0)),"")</f>
        <v>Daniel (Ferret)</v>
      </c>
      <c r="C10" s="48">
        <f>INDEX(Engine!$B$2:$B$15,MATCH($B10,Engine!$A$2:$A$15,0))+SUMIF('Poker Stake Ledger'!$C$18:$C$137,$B10,'Poker Stake Ledger'!$K$18:$K$137)</f>
        <v>1050.8634549674414</v>
      </c>
      <c r="D10" s="49">
        <f>COUNTIF('Match Log'!$D$4:$D$810,$B10)</f>
        <v>52</v>
      </c>
      <c r="E10" s="49">
        <f>COUNTIFS('Match Log'!$D$4:$D$810,$B10,'Match Log'!$E$4:$E$810,"Win")</f>
        <v>23</v>
      </c>
      <c r="F10" s="49">
        <f>$D10-$E10</f>
        <v>29</v>
      </c>
      <c r="G10" s="50">
        <f>IF($D10=0,"",$E10/$D10)</f>
        <v>0.44230769230769229</v>
      </c>
      <c r="H10" s="51">
        <f>SUMIF('Match Log'!$D$4:$D$810,$B10,'Match Log'!$J$4:$J$810)</f>
        <v>-23.673795462339218</v>
      </c>
      <c r="I10" s="51">
        <f>SUMIF('Match Log'!$D$4:$D$810,$B10,'Match Log'!$K$4:$K$810)</f>
        <v>25.537250429780578</v>
      </c>
      <c r="J10" s="51">
        <f>SUMIF('Match Log'!$D$4:$D$810,$B10,'Match Log'!$L$4:$L$810)</f>
        <v>49</v>
      </c>
      <c r="K10" s="49">
        <f>SUMPRODUCT(--(COUNTIFS('Match Log'!$D$4:$D$810,$B10,'Match Log'!$C$4:$C$810,Lists!$C$2:$C$21)&gt;0))</f>
        <v>11</v>
      </c>
      <c r="L10" s="49" t="str">
        <f>IF($D10=0,"No games",IF(AND($D10&gt;='Guide &amp; Settings'!$C$45,$K10&gt;='Guide &amp; Settings'!$C$46),"Eligible","Provisional"))</f>
        <v>Eligible</v>
      </c>
      <c r="M10" s="48">
        <f>IFERROR(INDEX(Calcs!$C$7:$C$20,MATCH($B10,Calcs!$A$7:$A$20,0)),"")</f>
        <v>1066.7017859970554</v>
      </c>
      <c r="N10" s="48">
        <f>MAX($C$5:$C$18)-$C10</f>
        <v>117.34788863330277</v>
      </c>
      <c r="O10" s="49" t="str">
        <f>IFERROR(INDEX(Calcs!$H$7:$H$20,MATCH($B10,Calcs!$A$7:$A$20,0)),"")</f>
        <v>W1</v>
      </c>
      <c r="P10" s="49" t="str">
        <f>IFERROR(INDEX(Calcs!$I$7:$I$20,MATCH($B10,Calcs!$A$7:$A$20,0)),"")</f>
        <v>WLWLW</v>
      </c>
      <c r="Q10" s="49" t="str">
        <f>IFERROR(IF(INDEX(Calcs!$L$7:$L$20,MATCH($B10,Calcs!$A$7:$A$20,0))&gt;0,"▲"&amp;INDEX(Calcs!$L$7:$L$20,MATCH($B10,Calcs!$A$7:$A$20,0)),IF(INDEX(Calcs!$L$7:$L$20,MATCH($B10,Calcs!$A$7:$A$20,0))&lt;0,"▼"&amp;ABS(INDEX(Calcs!$L$7:$L$20,MATCH($B10,Calcs!$A$7:$A$20,0))),"–")),"")</f>
        <v>–</v>
      </c>
      <c r="R10" s="49" t="str">
        <f>IFERROR(IF(INDEX(Calcs!$P$7:$P$20,MATCH($B10,Calcs!$A$7:$A$20,0))=0,"—",TEXT(INDEX(Calcs!$P$7:$P$20,MATCH($B10,Calcs!$A$7:$A$20,0)),"d mmm")),"")</f>
        <v>5 Jul</v>
      </c>
      <c r="S10" s="49">
        <f>IFERROR(ROUND(INDEX(Calcs!$Q$7:$Q$20,MATCH($B10,Calcs!$A$7:$A$20,0)),1),"")</f>
        <v>0.7</v>
      </c>
      <c r="T10" s="49" t="str">
        <f>IFERROR(INDEX(Calcs!$T$7:$T$20,MATCH($B10,Calcs!$A$7:$A$20,0)),"")</f>
        <v>Active</v>
      </c>
      <c r="U10">
        <f>IFERROR(MAX(0,ROUND($C10-INDEX(Calcs!$S$7:$S$20,MATCH($B10,Calcs!$A$7:$A$20,0)),0)),0)</f>
        <v>0</v>
      </c>
      <c r="V10" s="51">
        <f>IFERROR(ROUND(INDEX(Calcs!$S$7:$S$20,MATCH($B10,Calcs!$A$7:$A$20,0)),0),"")</f>
        <v>1051</v>
      </c>
      <c r="W10" s="49" t="str">
        <f>IFERROR(INDEX(Calcs!$AF$7:$AF$20,MATCH($B10,Calcs!$A$7:$A$20,0)),"")</f>
        <v>Strong</v>
      </c>
      <c r="X10" s="51">
        <f>IFERROR(ROUND(SUMIF('Poker Stake Ledger'!$C$18:$C$137,$B10,'Poker Stake Ledger'!$K$18:$K$137),1),0)</f>
        <v>0</v>
      </c>
    </row>
    <row r="11" spans="1:24" ht="15" customHeight="1" x14ac:dyDescent="0.2">
      <c r="A11" s="46">
        <f>ROW()-4</f>
        <v>7</v>
      </c>
      <c r="B11" s="47" t="str">
        <f>IFERROR(INDEX(Calcs!$A$7:$A$20,MATCH(LARGE(Calcs!$AI$7:$AI$20,ROW()-4),Calcs!$AI$7:$AI$20,0)),"")</f>
        <v>Dean M</v>
      </c>
      <c r="C11" s="48">
        <f>INDEX(Engine!$B$2:$B$15,MATCH($B11,Engine!$A$2:$A$15,0))+SUMIF('Poker Stake Ledger'!$C$18:$C$137,$B11,'Poker Stake Ledger'!$K$18:$K$137)</f>
        <v>1031.225848367051</v>
      </c>
      <c r="D11" s="49">
        <f>COUNTIF('Match Log'!$D$4:$D$810,$B11)</f>
        <v>5</v>
      </c>
      <c r="E11" s="49">
        <f>COUNTIFS('Match Log'!$D$4:$D$810,$B11,'Match Log'!$E$4:$E$810,"Win")</f>
        <v>2</v>
      </c>
      <c r="F11" s="49">
        <f>$D11-$E11</f>
        <v>3</v>
      </c>
      <c r="G11" s="50">
        <f>IF($D11=0,"",$E11/$D11)</f>
        <v>0.4</v>
      </c>
      <c r="H11" s="51">
        <f>SUMIF('Match Log'!$D$4:$D$810,$B11,'Match Log'!$J$4:$J$810)</f>
        <v>-2.241024178669619</v>
      </c>
      <c r="I11" s="51">
        <f>SUMIF('Match Log'!$D$4:$D$810,$B11,'Match Log'!$K$4:$K$810)</f>
        <v>13.466872545720536</v>
      </c>
      <c r="J11" s="51">
        <f>SUMIF('Match Log'!$D$4:$D$810,$B11,'Match Log'!$L$4:$L$810)</f>
        <v>20</v>
      </c>
      <c r="K11" s="49">
        <f>SUMPRODUCT(--(COUNTIFS('Match Log'!$D$4:$D$810,$B11,'Match Log'!$C$4:$C$810,Lists!$C$2:$C$21)&gt;0))</f>
        <v>1</v>
      </c>
      <c r="L11" s="49" t="str">
        <f>IF($D11=0,"No games",IF(AND($D11&gt;='Guide &amp; Settings'!$C$45,$K11&gt;='Guide &amp; Settings'!$C$46),"Eligible","Provisional"))</f>
        <v>Provisional</v>
      </c>
      <c r="M11" s="48">
        <f>IFERROR(INDEX(Calcs!$C$7:$C$20,MATCH($B11,Calcs!$A$7:$A$20,0)),"")</f>
        <v>1051.9562851744297</v>
      </c>
      <c r="N11" s="48">
        <f>MAX($C$5:$C$18)-$C11</f>
        <v>136.9854952336932</v>
      </c>
      <c r="O11" s="49" t="str">
        <f>IFERROR(INDEX(Calcs!$H$7:$H$20,MATCH($B11,Calcs!$A$7:$A$20,0)),"")</f>
        <v>W2</v>
      </c>
      <c r="P11" s="49" t="str">
        <f>IFERROR(INDEX(Calcs!$I$7:$I$20,MATCH($B11,Calcs!$A$7:$A$20,0)),"")</f>
        <v>LLLWW</v>
      </c>
      <c r="Q11" s="49" t="str">
        <f>IFERROR(IF(INDEX(Calcs!$L$7:$L$20,MATCH($B11,Calcs!$A$7:$A$20,0))&gt;0,"▲"&amp;INDEX(Calcs!$L$7:$L$20,MATCH($B11,Calcs!$A$7:$A$20,0)),IF(INDEX(Calcs!$L$7:$L$20,MATCH($B11,Calcs!$A$7:$A$20,0))&lt;0,"▼"&amp;ABS(INDEX(Calcs!$L$7:$L$20,MATCH($B11,Calcs!$A$7:$A$20,0))),"–")),"")</f>
        <v>–</v>
      </c>
      <c r="R11" s="49" t="str">
        <f>IFERROR(IF(INDEX(Calcs!$P$7:$P$20,MATCH($B11,Calcs!$A$7:$A$20,0))=0,"—",TEXT(INDEX(Calcs!$P$7:$P$20,MATCH($B11,Calcs!$A$7:$A$20,0)),"d mmm")),"")</f>
        <v>15 Jun</v>
      </c>
      <c r="S11" s="49">
        <f>IFERROR(ROUND(INDEX(Calcs!$Q$7:$Q$20,MATCH($B11,Calcs!$A$7:$A$20,0)),1),"")</f>
        <v>3.6</v>
      </c>
      <c r="T11" s="49" t="str">
        <f>IFERROR(INDEX(Calcs!$T$7:$T$20,MATCH($B11,Calcs!$A$7:$A$20,0)),"")</f>
        <v>At risk</v>
      </c>
      <c r="U11">
        <f>IFERROR(MAX(0,ROUND($C11-INDEX(Calcs!$S$7:$S$20,MATCH($B11,Calcs!$A$7:$A$20,0)),0)),0)</f>
        <v>0</v>
      </c>
      <c r="V11" s="51">
        <f>IFERROR(ROUND(INDEX(Calcs!$S$7:$S$20,MATCH($B11,Calcs!$A$7:$A$20,0)),0),"")</f>
        <v>1031</v>
      </c>
      <c r="W11" s="49" t="str">
        <f>IFERROR(INDEX(Calcs!$AF$7:$AF$20,MATCH($B11,Calcs!$A$7:$A$20,0)),"")</f>
        <v>Unranked</v>
      </c>
      <c r="X11" s="51">
        <f>IFERROR(ROUND(SUMIF('Poker Stake Ledger'!$C$18:$C$137,$B11,'Poker Stake Ledger'!$K$18:$K$137),1),0)</f>
        <v>0</v>
      </c>
    </row>
    <row r="12" spans="1:24" ht="15" customHeight="1" x14ac:dyDescent="0.2">
      <c r="A12" s="46">
        <f>ROW()-4</f>
        <v>8</v>
      </c>
      <c r="B12" s="47" t="str">
        <f>IFERROR(INDEX(Calcs!$A$7:$A$20,MATCH(LARGE(Calcs!$AI$7:$AI$20,ROW()-4),Calcs!$AI$7:$AI$20,0)),"")</f>
        <v>Dylan A</v>
      </c>
      <c r="C12" s="48">
        <f>INDEX(Engine!$B$2:$B$15,MATCH($B12,Engine!$A$2:$A$15,0))+SUMIF('Poker Stake Ledger'!$C$18:$C$137,$B12,'Poker Stake Ledger'!$K$18:$K$137)</f>
        <v>1030.3815983388336</v>
      </c>
      <c r="D12" s="49">
        <f>COUNTIF('Match Log'!$D$4:$D$810,$B12)</f>
        <v>4</v>
      </c>
      <c r="E12" s="49">
        <f>COUNTIFS('Match Log'!$D$4:$D$810,$B12,'Match Log'!$E$4:$E$810,"Win")</f>
        <v>2</v>
      </c>
      <c r="F12" s="49">
        <f>$D12-$E12</f>
        <v>2</v>
      </c>
      <c r="G12" s="50">
        <f>IF($D12=0,"",$E12/$D12)</f>
        <v>0.5</v>
      </c>
      <c r="H12" s="51">
        <f>SUMIF('Match Log'!$D$4:$D$810,$B12,'Match Log'!$J$4:$J$810)</f>
        <v>1.5163071728259316</v>
      </c>
      <c r="I12" s="51">
        <f>SUMIF('Match Log'!$D$4:$D$810,$B12,'Match Log'!$K$4:$K$810)</f>
        <v>12.865291166007616</v>
      </c>
      <c r="J12" s="51">
        <f>SUMIF('Match Log'!$D$4:$D$810,$B12,'Match Log'!$L$4:$L$810)</f>
        <v>16</v>
      </c>
      <c r="K12" s="49">
        <f>SUMPRODUCT(--(COUNTIFS('Match Log'!$D$4:$D$810,$B12,'Match Log'!$C$4:$C$810,Lists!$C$2:$C$21)&gt;0))</f>
        <v>1</v>
      </c>
      <c r="L12" s="49" t="str">
        <f>IF($D12=0,"No games",IF(AND($D12&gt;='Guide &amp; Settings'!$C$45,$K12&gt;='Guide &amp; Settings'!$C$46),"Eligible","Provisional"))</f>
        <v>Provisional</v>
      </c>
      <c r="M12" s="48">
        <f>IFERROR(INDEX(Calcs!$C$7:$C$20,MATCH($B12,Calcs!$A$7:$A$20,0)),"")</f>
        <v>1064.5272835761066</v>
      </c>
      <c r="N12" s="48">
        <f>MAX($C$5:$C$18)-$C12</f>
        <v>137.8297452619106</v>
      </c>
      <c r="O12" s="49" t="str">
        <f>IFERROR(INDEX(Calcs!$H$7:$H$20,MATCH($B12,Calcs!$A$7:$A$20,0)),"")</f>
        <v>L1</v>
      </c>
      <c r="P12" s="49" t="str">
        <f>IFERROR(INDEX(Calcs!$I$7:$I$20,MATCH($B12,Calcs!$A$7:$A$20,0)),"")</f>
        <v>WLWL</v>
      </c>
      <c r="Q12" s="49" t="str">
        <f>IFERROR(IF(INDEX(Calcs!$L$7:$L$20,MATCH($B12,Calcs!$A$7:$A$20,0))&gt;0,"▲"&amp;INDEX(Calcs!$L$7:$L$20,MATCH($B12,Calcs!$A$7:$A$20,0)),IF(INDEX(Calcs!$L$7:$L$20,MATCH($B12,Calcs!$A$7:$A$20,0))&lt;0,"▼"&amp;ABS(INDEX(Calcs!$L$7:$L$20,MATCH($B12,Calcs!$A$7:$A$20,0))),"–")),"")</f>
        <v>–</v>
      </c>
      <c r="R12" s="49" t="str">
        <f>IFERROR(IF(INDEX(Calcs!$P$7:$P$20,MATCH($B12,Calcs!$A$7:$A$20,0))=0,"—",TEXT(INDEX(Calcs!$P$7:$P$20,MATCH($B12,Calcs!$A$7:$A$20,0)),"d mmm")),"")</f>
        <v>15 Jun</v>
      </c>
      <c r="S12" s="49">
        <f>IFERROR(ROUND(INDEX(Calcs!$Q$7:$Q$20,MATCH($B12,Calcs!$A$7:$A$20,0)),1),"")</f>
        <v>3.6</v>
      </c>
      <c r="T12" s="49" t="str">
        <f>IFERROR(INDEX(Calcs!$T$7:$T$20,MATCH($B12,Calcs!$A$7:$A$20,0)),"")</f>
        <v>At risk</v>
      </c>
      <c r="U12">
        <f>IFERROR(MAX(0,ROUND($C12-INDEX(Calcs!$S$7:$S$20,MATCH($B12,Calcs!$A$7:$A$20,0)),0)),0)</f>
        <v>0</v>
      </c>
      <c r="V12" s="51">
        <f>IFERROR(ROUND(INDEX(Calcs!$S$7:$S$20,MATCH($B12,Calcs!$A$7:$A$20,0)),0),"")</f>
        <v>1030</v>
      </c>
      <c r="W12" s="49" t="str">
        <f>IFERROR(INDEX(Calcs!$AF$7:$AF$20,MATCH($B12,Calcs!$A$7:$A$20,0)),"")</f>
        <v>Unranked</v>
      </c>
      <c r="X12" s="51">
        <f>IFERROR(ROUND(SUMIF('Poker Stake Ledger'!$C$18:$C$137,$B12,'Poker Stake Ledger'!$K$18:$K$137),1),0)</f>
        <v>0</v>
      </c>
    </row>
    <row r="13" spans="1:24" ht="15" customHeight="1" x14ac:dyDescent="0.2">
      <c r="A13" s="46">
        <f>ROW()-4</f>
        <v>9</v>
      </c>
      <c r="B13" s="47" t="str">
        <f>IFERROR(INDEX(Calcs!$A$7:$A$20,MATCH(LARGE(Calcs!$AI$7:$AI$20,ROW()-4),Calcs!$AI$7:$AI$20,0)),"")</f>
        <v>Beau</v>
      </c>
      <c r="C13" s="48">
        <f>INDEX(Engine!$B$2:$B$15,MATCH($B13,Engine!$A$2:$A$15,0))+SUMIF('Poker Stake Ledger'!$C$18:$C$137,$B13,'Poker Stake Ledger'!$K$18:$K$137)</f>
        <v>1029.2201908859522</v>
      </c>
      <c r="D13" s="49">
        <f>COUNTIF('Match Log'!$D$4:$D$810,$B13)</f>
        <v>10</v>
      </c>
      <c r="E13" s="49">
        <f>COUNTIFS('Match Log'!$D$4:$D$810,$B13,'Match Log'!$E$4:$E$810,"Win")</f>
        <v>5</v>
      </c>
      <c r="F13" s="49">
        <f>$D13-$E13</f>
        <v>5</v>
      </c>
      <c r="G13" s="50">
        <f>IF($D13=0,"",$E13/$D13)</f>
        <v>0.5</v>
      </c>
      <c r="H13" s="51">
        <f>SUMIF('Match Log'!$D$4:$D$810,$B13,'Match Log'!$J$4:$J$810)</f>
        <v>-14.85952397332303</v>
      </c>
      <c r="I13" s="51">
        <f>SUMIF('Match Log'!$D$4:$D$810,$B13,'Match Log'!$K$4:$K$810)</f>
        <v>16.079714859275072</v>
      </c>
      <c r="J13" s="51">
        <f>SUMIF('Match Log'!$D$4:$D$810,$B13,'Match Log'!$L$4:$L$810)</f>
        <v>28</v>
      </c>
      <c r="K13" s="49">
        <f>SUMPRODUCT(--(COUNTIFS('Match Log'!$D$4:$D$810,$B13,'Match Log'!$C$4:$C$810,Lists!$C$2:$C$21)&gt;0))</f>
        <v>3</v>
      </c>
      <c r="L13" s="49" t="str">
        <f>IF($D13=0,"No games",IF(AND($D13&gt;='Guide &amp; Settings'!$C$45,$K13&gt;='Guide &amp; Settings'!$C$46),"Eligible","Provisional"))</f>
        <v>Eligible</v>
      </c>
      <c r="M13" s="48">
        <f>IFERROR(INDEX(Calcs!$C$7:$C$20,MATCH($B13,Calcs!$A$7:$A$20,0)),"")</f>
        <v>1061.9888793259895</v>
      </c>
      <c r="N13" s="48">
        <f>MAX($C$5:$C$18)-$C13</f>
        <v>138.99115271479195</v>
      </c>
      <c r="O13" s="49" t="str">
        <f>IFERROR(INDEX(Calcs!$H$7:$H$20,MATCH($B13,Calcs!$A$7:$A$20,0)),"")</f>
        <v>L2</v>
      </c>
      <c r="P13" s="49" t="str">
        <f>IFERROR(INDEX(Calcs!$I$7:$I$20,MATCH($B13,Calcs!$A$7:$A$20,0)),"")</f>
        <v>LWWLL</v>
      </c>
      <c r="Q13" s="49" t="str">
        <f>IFERROR(IF(INDEX(Calcs!$L$7:$L$20,MATCH($B13,Calcs!$A$7:$A$20,0))&gt;0,"▲"&amp;INDEX(Calcs!$L$7:$L$20,MATCH($B13,Calcs!$A$7:$A$20,0)),IF(INDEX(Calcs!$L$7:$L$20,MATCH($B13,Calcs!$A$7:$A$20,0))&lt;0,"▼"&amp;ABS(INDEX(Calcs!$L$7:$L$20,MATCH($B13,Calcs!$A$7:$A$20,0))),"–")),"")</f>
        <v>–</v>
      </c>
      <c r="R13" s="49" t="str">
        <f>IFERROR(IF(INDEX(Calcs!$P$7:$P$20,MATCH($B13,Calcs!$A$7:$A$20,0))=0,"—",TEXT(INDEX(Calcs!$P$7:$P$20,MATCH($B13,Calcs!$A$7:$A$20,0)),"d mmm")),"")</f>
        <v>15 Jun</v>
      </c>
      <c r="S13" s="49">
        <f>IFERROR(ROUND(INDEX(Calcs!$Q$7:$Q$20,MATCH($B13,Calcs!$A$7:$A$20,0)),1),"")</f>
        <v>3.6</v>
      </c>
      <c r="T13" s="49" t="str">
        <f>IFERROR(INDEX(Calcs!$T$7:$T$20,MATCH($B13,Calcs!$A$7:$A$20,0)),"")</f>
        <v>At risk</v>
      </c>
      <c r="U13">
        <f>IFERROR(MAX(0,ROUND($C13-INDEX(Calcs!$S$7:$S$20,MATCH($B13,Calcs!$A$7:$A$20,0)),0)),0)</f>
        <v>0</v>
      </c>
      <c r="V13" s="51">
        <f>IFERROR(ROUND(INDEX(Calcs!$S$7:$S$20,MATCH($B13,Calcs!$A$7:$A$20,0)),0),"")</f>
        <v>1029</v>
      </c>
      <c r="W13" s="49" t="str">
        <f>IFERROR(INDEX(Calcs!$AF$7:$AF$20,MATCH($B13,Calcs!$A$7:$A$20,0)),"")</f>
        <v>Mid</v>
      </c>
      <c r="X13" s="51">
        <f>IFERROR(ROUND(SUMIF('Poker Stake Ledger'!$C$18:$C$137,$B13,'Poker Stake Ledger'!$K$18:$K$137),1),0)</f>
        <v>0</v>
      </c>
    </row>
    <row r="14" spans="1:24" ht="15" customHeight="1" x14ac:dyDescent="0.2">
      <c r="A14" s="46">
        <f>ROW()-4</f>
        <v>10</v>
      </c>
      <c r="B14" s="47" t="str">
        <f>IFERROR(INDEX(Calcs!$A$7:$A$20,MATCH(LARGE(Calcs!$AI$7:$AI$20,ROW()-4),Calcs!$AI$7:$AI$20,0)),"")</f>
        <v>Shawn</v>
      </c>
      <c r="C14" s="48">
        <f>INDEX(Engine!$B$2:$B$15,MATCH($B14,Engine!$A$2:$A$15,0))+SUMIF('Poker Stake Ledger'!$C$18:$C$137,$B14,'Poker Stake Ledger'!$K$18:$K$137)</f>
        <v>1021.558407295008</v>
      </c>
      <c r="D14" s="49">
        <f>COUNTIF('Match Log'!$D$4:$D$810,$B14)</f>
        <v>59</v>
      </c>
      <c r="E14" s="49">
        <f>COUNTIFS('Match Log'!$D$4:$D$810,$B14,'Match Log'!$E$4:$E$810,"Win")</f>
        <v>26</v>
      </c>
      <c r="F14" s="49">
        <f>$D14-$E14</f>
        <v>33</v>
      </c>
      <c r="G14" s="50">
        <f>IF($D14=0,"",$E14/$D14)</f>
        <v>0.44067796610169491</v>
      </c>
      <c r="H14" s="51">
        <f>SUMIF('Match Log'!$D$4:$D$810,$B14,'Match Log'!$J$4:$J$810)</f>
        <v>-10.560828100230212</v>
      </c>
      <c r="I14" s="51">
        <f>SUMIF('Match Log'!$D$4:$D$810,$B14,'Match Log'!$K$4:$K$810)</f>
        <v>-12.880764604761797</v>
      </c>
      <c r="J14" s="51">
        <f>SUMIF('Match Log'!$D$4:$D$810,$B14,'Match Log'!$L$4:$L$810)</f>
        <v>45</v>
      </c>
      <c r="K14" s="49">
        <f>SUMPRODUCT(--(COUNTIFS('Match Log'!$D$4:$D$810,$B14,'Match Log'!$C$4:$C$810,Lists!$C$2:$C$21)&gt;0))</f>
        <v>9</v>
      </c>
      <c r="L14" s="49" t="str">
        <f>IF($D14=0,"No games",IF(AND($D14&gt;='Guide &amp; Settings'!$C$45,$K14&gt;='Guide &amp; Settings'!$C$46),"Eligible","Provisional"))</f>
        <v>Eligible</v>
      </c>
      <c r="M14" s="48">
        <f>IFERROR(INDEX(Calcs!$C$7:$C$20,MATCH($B14,Calcs!$A$7:$A$20,0)),"")</f>
        <v>1079.2971490225038</v>
      </c>
      <c r="N14" s="48">
        <f>MAX($C$5:$C$18)-$C14</f>
        <v>146.65293630573615</v>
      </c>
      <c r="O14" s="49" t="str">
        <f>IFERROR(INDEX(Calcs!$H$7:$H$20,MATCH($B14,Calcs!$A$7:$A$20,0)),"")</f>
        <v>L2</v>
      </c>
      <c r="P14" s="49" t="str">
        <f>IFERROR(INDEX(Calcs!$I$7:$I$20,MATCH($B14,Calcs!$A$7:$A$20,0)),"")</f>
        <v>LLWLL</v>
      </c>
      <c r="Q14" s="49" t="str">
        <f>IFERROR(IF(INDEX(Calcs!$L$7:$L$20,MATCH($B14,Calcs!$A$7:$A$20,0))&gt;0,"▲"&amp;INDEX(Calcs!$L$7:$L$20,MATCH($B14,Calcs!$A$7:$A$20,0)),IF(INDEX(Calcs!$L$7:$L$20,MATCH($B14,Calcs!$A$7:$A$20,0))&lt;0,"▼"&amp;ABS(INDEX(Calcs!$L$7:$L$20,MATCH($B14,Calcs!$A$7:$A$20,0))),"–")),"")</f>
        <v>▲1</v>
      </c>
      <c r="R14" s="49" t="str">
        <f>IFERROR(IF(INDEX(Calcs!$P$7:$P$20,MATCH($B14,Calcs!$A$7:$A$20,0))=0,"—",TEXT(INDEX(Calcs!$P$7:$P$20,MATCH($B14,Calcs!$A$7:$A$20,0)),"d mmm")),"")</f>
        <v>10 Jul</v>
      </c>
      <c r="S14" s="49">
        <f>IFERROR(ROUND(INDEX(Calcs!$Q$7:$Q$20,MATCH($B14,Calcs!$A$7:$A$20,0)),1),"")</f>
        <v>0</v>
      </c>
      <c r="T14" s="49" t="str">
        <f>IFERROR(INDEX(Calcs!$T$7:$T$20,MATCH($B14,Calcs!$A$7:$A$20,0)),"")</f>
        <v>Active</v>
      </c>
      <c r="U14">
        <f>IFERROR(MAX(0,ROUND($C14-INDEX(Calcs!$S$7:$S$20,MATCH($B14,Calcs!$A$7:$A$20,0)),0)),0)</f>
        <v>0</v>
      </c>
      <c r="V14" s="51">
        <f>IFERROR(ROUND(INDEX(Calcs!$S$7:$S$20,MATCH($B14,Calcs!$A$7:$A$20,0)),0),"")</f>
        <v>1022</v>
      </c>
      <c r="W14" s="49" t="str">
        <f>IFERROR(INDEX(Calcs!$AF$7:$AF$20,MATCH($B14,Calcs!$A$7:$A$20,0)),"")</f>
        <v>Strong</v>
      </c>
      <c r="X14" s="51">
        <f>IFERROR(ROUND(SUMIF('Poker Stake Ledger'!$C$18:$C$137,$B14,'Poker Stake Ledger'!$K$18:$K$137),1),0)</f>
        <v>0</v>
      </c>
    </row>
    <row r="15" spans="1:24" ht="15" customHeight="1" x14ac:dyDescent="0.2">
      <c r="A15" s="46">
        <f>ROW()-4</f>
        <v>11</v>
      </c>
      <c r="B15" s="47" t="str">
        <f>IFERROR(INDEX(Calcs!$A$7:$A$20,MATCH(LARGE(Calcs!$AI$7:$AI$20,ROW()-4),Calcs!$AI$7:$AI$20,0)),"")</f>
        <v>Chase</v>
      </c>
      <c r="C15" s="48">
        <f>INDEX(Engine!$B$2:$B$15,MATCH($B15,Engine!$A$2:$A$15,0))+SUMIF('Poker Stake Ledger'!$C$18:$C$137,$B15,'Poker Stake Ledger'!$K$18:$K$137)</f>
        <v>1016.7837867075796</v>
      </c>
      <c r="D15" s="49">
        <f>COUNTIF('Match Log'!$D$4:$D$810,$B15)</f>
        <v>10</v>
      </c>
      <c r="E15" s="49">
        <f>COUNTIFS('Match Log'!$D$4:$D$810,$B15,'Match Log'!$E$4:$E$810,"Win")</f>
        <v>5</v>
      </c>
      <c r="F15" s="49">
        <f>$D15-$E15</f>
        <v>5</v>
      </c>
      <c r="G15" s="50">
        <f>IF($D15=0,"",$E15/$D15)</f>
        <v>0.5</v>
      </c>
      <c r="H15" s="51">
        <f>SUMIF('Match Log'!$D$4:$D$810,$B15,'Match Log'!$J$4:$J$810)</f>
        <v>7.3695009932937108</v>
      </c>
      <c r="I15" s="51">
        <f>SUMIF('Match Log'!$D$4:$D$810,$B15,'Match Log'!$K$4:$K$810)</f>
        <v>-1.5857142857142881</v>
      </c>
      <c r="J15" s="51">
        <f>SUMIF('Match Log'!$D$4:$D$810,$B15,'Match Log'!$L$4:$L$810)</f>
        <v>11</v>
      </c>
      <c r="K15" s="49">
        <f>SUMPRODUCT(--(COUNTIFS('Match Log'!$D$4:$D$810,$B15,'Match Log'!$C$4:$C$810,Lists!$C$2:$C$21)&gt;0))</f>
        <v>6</v>
      </c>
      <c r="L15" s="49" t="str">
        <f>IF($D15=0,"No games",IF(AND($D15&gt;='Guide &amp; Settings'!$C$45,$K15&gt;='Guide &amp; Settings'!$C$46),"Eligible","Provisional"))</f>
        <v>Eligible</v>
      </c>
      <c r="M15" s="48">
        <f>IFERROR(INDEX(Calcs!$C$7:$C$20,MATCH($B15,Calcs!$A$7:$A$20,0)),"")</f>
        <v>1057.537237185235</v>
      </c>
      <c r="N15" s="48">
        <f>MAX($C$5:$C$18)-$C15</f>
        <v>151.42755689316459</v>
      </c>
      <c r="O15" s="49" t="str">
        <f>IFERROR(INDEX(Calcs!$H$7:$H$20,MATCH($B15,Calcs!$A$7:$A$20,0)),"")</f>
        <v>W1</v>
      </c>
      <c r="P15" s="49" t="str">
        <f>IFERROR(INDEX(Calcs!$I$7:$I$20,MATCH($B15,Calcs!$A$7:$A$20,0)),"")</f>
        <v>WLLLW</v>
      </c>
      <c r="Q15" s="49" t="str">
        <f>IFERROR(IF(INDEX(Calcs!$L$7:$L$20,MATCH($B15,Calcs!$A$7:$A$20,0))&gt;0,"▲"&amp;INDEX(Calcs!$L$7:$L$20,MATCH($B15,Calcs!$A$7:$A$20,0)),IF(INDEX(Calcs!$L$7:$L$20,MATCH($B15,Calcs!$A$7:$A$20,0))&lt;0,"▼"&amp;ABS(INDEX(Calcs!$L$7:$L$20,MATCH($B15,Calcs!$A$7:$A$20,0))),"–")),"")</f>
        <v>▼1</v>
      </c>
      <c r="R15" s="49" t="str">
        <f>IFERROR(IF(INDEX(Calcs!$P$7:$P$20,MATCH($B15,Calcs!$A$7:$A$20,0))=0,"—",TEXT(INDEX(Calcs!$P$7:$P$20,MATCH($B15,Calcs!$A$7:$A$20,0)),"d mmm")),"")</f>
        <v>15 Jun</v>
      </c>
      <c r="S15" s="49">
        <f>IFERROR(ROUND(INDEX(Calcs!$Q$7:$Q$20,MATCH($B15,Calcs!$A$7:$A$20,0)),1),"")</f>
        <v>3.6</v>
      </c>
      <c r="T15" s="49" t="str">
        <f>IFERROR(INDEX(Calcs!$T$7:$T$20,MATCH($B15,Calcs!$A$7:$A$20,0)),"")</f>
        <v>At risk</v>
      </c>
      <c r="U15">
        <f>IFERROR(MAX(0,ROUND($C15-INDEX(Calcs!$S$7:$S$20,MATCH($B15,Calcs!$A$7:$A$20,0)),0)),0)</f>
        <v>0</v>
      </c>
      <c r="V15" s="51">
        <f>IFERROR(ROUND(INDEX(Calcs!$S$7:$S$20,MATCH($B15,Calcs!$A$7:$A$20,0)),0),"")</f>
        <v>1017</v>
      </c>
      <c r="W15" s="49" t="str">
        <f>IFERROR(INDEX(Calcs!$AF$7:$AF$20,MATCH($B15,Calcs!$A$7:$A$20,0)),"")</f>
        <v>Mid</v>
      </c>
      <c r="X15" s="51">
        <f>IFERROR(ROUND(SUMIF('Poker Stake Ledger'!$C$18:$C$137,$B15,'Poker Stake Ledger'!$K$18:$K$137),1),0)</f>
        <v>0</v>
      </c>
    </row>
    <row r="16" spans="1:24" ht="15" customHeight="1" x14ac:dyDescent="0.2">
      <c r="A16" s="46">
        <f>ROW()-4</f>
        <v>12</v>
      </c>
      <c r="B16" s="47" t="str">
        <f>IFERROR(INDEX(Calcs!$A$7:$A$20,MATCH(LARGE(Calcs!$AI$7:$AI$20,ROW()-4),Calcs!$AI$7:$AI$20,0)),"")</f>
        <v>Dylan S</v>
      </c>
      <c r="C16" s="48">
        <f>INDEX(Engine!$B$2:$B$15,MATCH($B16,Engine!$A$2:$A$15,0))+SUMIF('Poker Stake Ledger'!$C$18:$C$137,$B16,'Poker Stake Ledger'!$K$18:$K$137)</f>
        <v>1000</v>
      </c>
      <c r="D16" s="49">
        <f>COUNTIF('Match Log'!$D$4:$D$810,$B16)</f>
        <v>0</v>
      </c>
      <c r="E16" s="49">
        <f>COUNTIFS('Match Log'!$D$4:$D$810,$B16,'Match Log'!$E$4:$E$810,"Win")</f>
        <v>0</v>
      </c>
      <c r="F16" s="49">
        <f>$D16-$E16</f>
        <v>0</v>
      </c>
      <c r="G16" s="50" t="str">
        <f>IF($D16=0,"",$E16/$D16)</f>
        <v/>
      </c>
      <c r="H16" s="51">
        <f>SUMIF('Match Log'!$D$4:$D$810,$B16,'Match Log'!$J$4:$J$810)</f>
        <v>0</v>
      </c>
      <c r="I16" s="51">
        <f>SUMIF('Match Log'!$D$4:$D$810,$B16,'Match Log'!$K$4:$K$810)</f>
        <v>0</v>
      </c>
      <c r="J16" s="51">
        <f>SUMIF('Match Log'!$D$4:$D$810,$B16,'Match Log'!$L$4:$L$810)</f>
        <v>0</v>
      </c>
      <c r="K16" s="49">
        <f>SUMPRODUCT(--(COUNTIFS('Match Log'!$D$4:$D$810,$B16,'Match Log'!$C$4:$C$810,Lists!$C$2:$C$21)&gt;0))</f>
        <v>0</v>
      </c>
      <c r="L16" s="49" t="str">
        <f>IF($D16=0,"No games",IF(AND($D16&gt;='Guide &amp; Settings'!$C$45,$K16&gt;='Guide &amp; Settings'!$C$46),"Eligible","Provisional"))</f>
        <v>No games</v>
      </c>
      <c r="M16" s="48" t="str">
        <f>IFERROR(INDEX(Calcs!$C$7:$C$20,MATCH($B16,Calcs!$A$7:$A$20,0)),"")</f>
        <v/>
      </c>
      <c r="N16" s="48">
        <f>MAX($C$5:$C$18)-$C16</f>
        <v>168.21134360074416</v>
      </c>
      <c r="O16" s="49" t="str">
        <f>IFERROR(INDEX(Calcs!$H$7:$H$20,MATCH($B16,Calcs!$A$7:$A$20,0)),"")</f>
        <v/>
      </c>
      <c r="P16" s="49" t="str">
        <f>IFERROR(INDEX(Calcs!$I$7:$I$20,MATCH($B16,Calcs!$A$7:$A$20,0)),"")</f>
        <v/>
      </c>
      <c r="Q16" s="49" t="str">
        <f>IFERROR(IF(INDEX(Calcs!$L$7:$L$20,MATCH($B16,Calcs!$A$7:$A$20,0))&gt;0,"▲"&amp;INDEX(Calcs!$L$7:$L$20,MATCH($B16,Calcs!$A$7:$A$20,0)),IF(INDEX(Calcs!$L$7:$L$20,MATCH($B16,Calcs!$A$7:$A$20,0))&lt;0,"▼"&amp;ABS(INDEX(Calcs!$L$7:$L$20,MATCH($B16,Calcs!$A$7:$A$20,0))),"–")),"")</f>
        <v>–</v>
      </c>
      <c r="R16" s="49" t="str">
        <f>IFERROR(IF(INDEX(Calcs!$P$7:$P$20,MATCH($B16,Calcs!$A$7:$A$20,0))=0,"—",TEXT(INDEX(Calcs!$P$7:$P$20,MATCH($B16,Calcs!$A$7:$A$20,0)),"d mmm")),"")</f>
        <v>—</v>
      </c>
      <c r="S16" s="49" t="str">
        <f>IFERROR(ROUND(INDEX(Calcs!$Q$7:$Q$20,MATCH($B16,Calcs!$A$7:$A$20,0)),1),"")</f>
        <v/>
      </c>
      <c r="T16" s="49" t="str">
        <f>IFERROR(INDEX(Calcs!$T$7:$T$20,MATCH($B16,Calcs!$A$7:$A$20,0)),"")</f>
        <v>No games</v>
      </c>
      <c r="U16">
        <f>IFERROR(MAX(0,ROUND($C16-INDEX(Calcs!$S$7:$S$20,MATCH($B16,Calcs!$A$7:$A$20,0)),0)),0)</f>
        <v>0</v>
      </c>
      <c r="V16" s="51">
        <f>IFERROR(ROUND(INDEX(Calcs!$S$7:$S$20,MATCH($B16,Calcs!$A$7:$A$20,0)),0),"")</f>
        <v>1000</v>
      </c>
      <c r="W16" s="49" t="str">
        <f>IFERROR(INDEX(Calcs!$AF$7:$AF$20,MATCH($B16,Calcs!$A$7:$A$20,0)),"")</f>
        <v>No games</v>
      </c>
      <c r="X16" s="51">
        <f>IFERROR(ROUND(SUMIF('Poker Stake Ledger'!$C$18:$C$137,$B16,'Poker Stake Ledger'!$K$18:$K$137),1),0)</f>
        <v>0</v>
      </c>
    </row>
    <row r="17" spans="1:24" ht="15" customHeight="1" x14ac:dyDescent="0.2">
      <c r="A17" s="46">
        <f>ROW()-4</f>
        <v>13</v>
      </c>
      <c r="B17" s="47" t="str">
        <f>IFERROR(INDEX(Calcs!$A$7:$A$20,MATCH(LARGE(Calcs!$AI$7:$AI$20,ROW()-4),Calcs!$AI$7:$AI$20,0)),"")</f>
        <v>David</v>
      </c>
      <c r="C17" s="48">
        <f>INDEX(Engine!$B$2:$B$15,MATCH($B17,Engine!$A$2:$A$15,0))+SUMIF('Poker Stake Ledger'!$C$18:$C$137,$B17,'Poker Stake Ledger'!$K$18:$K$137)</f>
        <v>981.92436608474441</v>
      </c>
      <c r="D17" s="49">
        <f>COUNTIF('Match Log'!$D$4:$D$810,$B17)</f>
        <v>14</v>
      </c>
      <c r="E17" s="49">
        <f>COUNTIFS('Match Log'!$D$4:$D$810,$B17,'Match Log'!$E$4:$E$810,"Win")</f>
        <v>4</v>
      </c>
      <c r="F17" s="49">
        <f>$D17-$E17</f>
        <v>10</v>
      </c>
      <c r="G17" s="50">
        <f>IF($D17=0,"",$E17/$D17)</f>
        <v>0.2857142857142857</v>
      </c>
      <c r="H17" s="51">
        <f>SUMIF('Match Log'!$D$4:$D$810,$B17,'Match Log'!$J$4:$J$810)</f>
        <v>-40.038181653505887</v>
      </c>
      <c r="I17" s="51">
        <f>SUMIF('Match Log'!$D$4:$D$810,$B17,'Match Log'!$K$4:$K$810)</f>
        <v>-6.0374522617496993</v>
      </c>
      <c r="J17" s="51">
        <f>SUMIF('Match Log'!$D$4:$D$810,$B17,'Match Log'!$L$4:$L$810)</f>
        <v>28</v>
      </c>
      <c r="K17" s="49">
        <f>SUMPRODUCT(--(COUNTIFS('Match Log'!$D$4:$D$810,$B17,'Match Log'!$C$4:$C$810,Lists!$C$2:$C$21)&gt;0))</f>
        <v>3</v>
      </c>
      <c r="L17" s="49" t="str">
        <f>IF($D17=0,"No games",IF(AND($D17&gt;='Guide &amp; Settings'!$C$45,$K17&gt;='Guide &amp; Settings'!$C$46),"Eligible","Provisional"))</f>
        <v>Eligible</v>
      </c>
      <c r="M17" s="48">
        <f>IFERROR(INDEX(Calcs!$C$7:$C$20,MATCH($B17,Calcs!$A$7:$A$20,0)),"")</f>
        <v>1073.7380222792842</v>
      </c>
      <c r="N17" s="48">
        <f>MAX($C$5:$C$18)-$C17</f>
        <v>186.28697751599975</v>
      </c>
      <c r="O17" s="49" t="str">
        <f>IFERROR(INDEX(Calcs!$H$7:$H$20,MATCH($B17,Calcs!$A$7:$A$20,0)),"")</f>
        <v>W2</v>
      </c>
      <c r="P17" s="49" t="str">
        <f>IFERROR(INDEX(Calcs!$I$7:$I$20,MATCH($B17,Calcs!$A$7:$A$20,0)),"")</f>
        <v>LLLWW</v>
      </c>
      <c r="Q17" s="49" t="str">
        <f>IFERROR(IF(INDEX(Calcs!$L$7:$L$20,MATCH($B17,Calcs!$A$7:$A$20,0))&gt;0,"▲"&amp;INDEX(Calcs!$L$7:$L$20,MATCH($B17,Calcs!$A$7:$A$20,0)),IF(INDEX(Calcs!$L$7:$L$20,MATCH($B17,Calcs!$A$7:$A$20,0))&lt;0,"▼"&amp;ABS(INDEX(Calcs!$L$7:$L$20,MATCH($B17,Calcs!$A$7:$A$20,0))),"–")),"")</f>
        <v>–</v>
      </c>
      <c r="R17" s="49" t="str">
        <f>IFERROR(IF(INDEX(Calcs!$P$7:$P$20,MATCH($B17,Calcs!$A$7:$A$20,0))=0,"—",TEXT(INDEX(Calcs!$P$7:$P$20,MATCH($B17,Calcs!$A$7:$A$20,0)),"d mmm")),"")</f>
        <v>15 Jun</v>
      </c>
      <c r="S17" s="49">
        <f>IFERROR(ROUND(INDEX(Calcs!$Q$7:$Q$20,MATCH($B17,Calcs!$A$7:$A$20,0)),1),"")</f>
        <v>3.6</v>
      </c>
      <c r="T17" s="49" t="str">
        <f>IFERROR(INDEX(Calcs!$T$7:$T$20,MATCH($B17,Calcs!$A$7:$A$20,0)),"")</f>
        <v>At risk</v>
      </c>
      <c r="U17">
        <f>IFERROR(MAX(0,ROUND($C17-INDEX(Calcs!$S$7:$S$20,MATCH($B17,Calcs!$A$7:$A$20,0)),0)),0)</f>
        <v>0</v>
      </c>
      <c r="V17" s="51">
        <f>IFERROR(ROUND(INDEX(Calcs!$S$7:$S$20,MATCH($B17,Calcs!$A$7:$A$20,0)),0),"")</f>
        <v>982</v>
      </c>
      <c r="W17" s="49" t="str">
        <f>IFERROR(INDEX(Calcs!$AF$7:$AF$20,MATCH($B17,Calcs!$A$7:$A$20,0)),"")</f>
        <v>Developing</v>
      </c>
      <c r="X17" s="51">
        <f>IFERROR(ROUND(SUMIF('Poker Stake Ledger'!$C$18:$C$137,$B17,'Poker Stake Ledger'!$K$18:$K$137),1),0)</f>
        <v>0</v>
      </c>
    </row>
    <row r="18" spans="1:24" ht="15" customHeight="1" x14ac:dyDescent="0.2">
      <c r="A18" s="46">
        <f>ROW()-4</f>
        <v>14</v>
      </c>
      <c r="B18" s="47" t="str">
        <f>IFERROR(INDEX(Calcs!$A$7:$A$20,MATCH(LARGE(Calcs!$AI$7:$AI$20,ROW()-4),Calcs!$AI$7:$AI$20,0)),"")</f>
        <v>Cody</v>
      </c>
      <c r="C18" s="48">
        <f>INDEX(Engine!$B$2:$B$15,MATCH($B18,Engine!$A$2:$A$15,0))+SUMIF('Poker Stake Ledger'!$C$18:$C$137,$B18,'Poker Stake Ledger'!$K$18:$K$137)</f>
        <v>893.03675187725173</v>
      </c>
      <c r="D18" s="49">
        <f>COUNTIF('Match Log'!$D$4:$D$810,$B18)</f>
        <v>13</v>
      </c>
      <c r="E18" s="49">
        <f>COUNTIFS('Match Log'!$D$4:$D$810,$B18,'Match Log'!$E$4:$E$810,"Win")</f>
        <v>2</v>
      </c>
      <c r="F18" s="49">
        <f>$D18-$E18</f>
        <v>11</v>
      </c>
      <c r="G18" s="50">
        <f>IF($D18=0,"",$E18/$D18)</f>
        <v>0.15384615384615385</v>
      </c>
      <c r="H18" s="51">
        <f>SUMIF('Match Log'!$D$4:$D$810,$B18,'Match Log'!$J$4:$J$810)</f>
        <v>-81.350145088592967</v>
      </c>
      <c r="I18" s="51">
        <f>SUMIF('Match Log'!$D$4:$D$810,$B18,'Match Log'!$K$4:$K$810)</f>
        <v>-33.613103034155223</v>
      </c>
      <c r="J18" s="51">
        <f>SUMIF('Match Log'!$D$4:$D$810,$B18,'Match Log'!$L$4:$L$810)</f>
        <v>8</v>
      </c>
      <c r="K18" s="49">
        <f>SUMPRODUCT(--(COUNTIFS('Match Log'!$D$4:$D$810,$B18,'Match Log'!$C$4:$C$810,Lists!$C$2:$C$21)&gt;0))</f>
        <v>3</v>
      </c>
      <c r="L18" s="49" t="str">
        <f>IF($D18=0,"No games",IF(AND($D18&gt;='Guide &amp; Settings'!$C$45,$K18&gt;='Guide &amp; Settings'!$C$46),"Eligible","Provisional"))</f>
        <v>Eligible</v>
      </c>
      <c r="M18" s="48">
        <f>IFERROR(INDEX(Calcs!$C$7:$C$20,MATCH($B18,Calcs!$A$7:$A$20,0)),"")</f>
        <v>1081.0307811604919</v>
      </c>
      <c r="N18" s="48">
        <f>MAX($C$5:$C$18)-$C18</f>
        <v>275.17459172349243</v>
      </c>
      <c r="O18" s="49" t="str">
        <f>IFERROR(INDEX(Calcs!$H$7:$H$20,MATCH($B18,Calcs!$A$7:$A$20,0)),"")</f>
        <v>L4</v>
      </c>
      <c r="P18" s="49" t="str">
        <f>IFERROR(INDEX(Calcs!$I$7:$I$20,MATCH($B18,Calcs!$A$7:$A$20,0)),"")</f>
        <v>WLLLL</v>
      </c>
      <c r="Q18" s="49" t="str">
        <f>IFERROR(IF(INDEX(Calcs!$L$7:$L$20,MATCH($B18,Calcs!$A$7:$A$20,0))&gt;0,"▲"&amp;INDEX(Calcs!$L$7:$L$20,MATCH($B18,Calcs!$A$7:$A$20,0)),IF(INDEX(Calcs!$L$7:$L$20,MATCH($B18,Calcs!$A$7:$A$20,0))&lt;0,"▼"&amp;ABS(INDEX(Calcs!$L$7:$L$20,MATCH($B18,Calcs!$A$7:$A$20,0))),"–")),"")</f>
        <v>–</v>
      </c>
      <c r="R18" s="49" t="str">
        <f>IFERROR(IF(INDEX(Calcs!$P$7:$P$20,MATCH($B18,Calcs!$A$7:$A$20,0))=0,"—",TEXT(INDEX(Calcs!$P$7:$P$20,MATCH($B18,Calcs!$A$7:$A$20,0)),"d mmm")),"")</f>
        <v>15 Jun</v>
      </c>
      <c r="S18" s="49">
        <f>IFERROR(ROUND(INDEX(Calcs!$Q$7:$Q$20,MATCH($B18,Calcs!$A$7:$A$20,0)),1),"")</f>
        <v>3.6</v>
      </c>
      <c r="T18" s="49" t="str">
        <f>IFERROR(INDEX(Calcs!$T$7:$T$20,MATCH($B18,Calcs!$A$7:$A$20,0)),"")</f>
        <v>At risk</v>
      </c>
      <c r="U18">
        <f>IFERROR(MAX(0,ROUND($C18-INDEX(Calcs!$S$7:$S$20,MATCH($B18,Calcs!$A$7:$A$20,0)),0)),0)</f>
        <v>0</v>
      </c>
      <c r="V18" s="51">
        <f>IFERROR(ROUND(INDEX(Calcs!$S$7:$S$20,MATCH($B18,Calcs!$A$7:$A$20,0)),0),"")</f>
        <v>893</v>
      </c>
      <c r="W18" s="49" t="str">
        <f>IFERROR(INDEX(Calcs!$AF$7:$AF$20,MATCH($B18,Calcs!$A$7:$A$20,0)),"")</f>
        <v>Developing</v>
      </c>
      <c r="X18" s="51">
        <f>IFERROR(ROUND(SUMIF('Poker Stake Ledger'!$C$18:$C$137,$B18,'Poker Stake Ledger'!$K$18:$K$137),1),0)</f>
        <v>0</v>
      </c>
    </row>
    <row r="19" spans="1:24" ht="15" customHeight="1" x14ac:dyDescent="0.2">
      <c r="A19" s="138" t="s">
        <v>445</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4.1640625"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IFERROR(INDEX(Dashboard!$A$5:$A$18,MATCH($B$3,Dashboard!$B$5:$B$18,0)),"")</f>
        <v>10</v>
      </c>
      <c r="D5" s="56" t="s">
        <v>181</v>
      </c>
      <c r="E5" s="36">
        <f>COUNTIFS('Match Log'!$D$4:$D$810,$B$3,'Match Log'!$C$4:$C$810,$D5)</f>
        <v>2</v>
      </c>
      <c r="F5" s="36">
        <f>COUNTIFS('Match Log'!$D$4:$D$810,$B$3,'Match Log'!$C$4:$C$810,$D5,'Match Log'!$E$4:$E$810,"Win")</f>
        <v>2</v>
      </c>
      <c r="G5" s="57">
        <f t="shared" ref="G5:G23" si="0">IF($E5=0,"",$F5/$E5)</f>
        <v>1</v>
      </c>
      <c r="H5" s="58">
        <f>IFERROR(IF($E5=0,"",INDEX('Sport Records'!$B$91:$O$110,MATCH($D5,'Sport Records'!$A$91:$A$110,0),MATCH($B$3,'Sport Records'!$B$90:$O$90,0))),"")</f>
        <v>1030.5304984710244</v>
      </c>
    </row>
    <row r="6" spans="1:8" ht="15" customHeight="1" x14ac:dyDescent="0.2">
      <c r="A6" s="54" t="s">
        <v>69</v>
      </c>
      <c r="B6" s="59">
        <f>IFERROR(INDEX(Dashboard!$C$5:$C$18,MATCH($B$3,Dashboard!$B$5:$B$18,0)),"")</f>
        <v>1021.558407295008</v>
      </c>
      <c r="D6" s="60" t="s">
        <v>182</v>
      </c>
      <c r="E6" s="39">
        <f>COUNTIFS('Match Log'!$D$4:$D$810,$B$3,'Match Log'!$C$4:$C$810,$D6)</f>
        <v>0</v>
      </c>
      <c r="F6" s="39">
        <f>COUNTIFS('Match Log'!$D$4:$D$810,$B$3,'Match Log'!$C$4:$C$810,$D6,'Match Log'!$E$4:$E$810,"Win")</f>
        <v>0</v>
      </c>
      <c r="G6" s="61" t="str">
        <f t="shared" si="0"/>
        <v/>
      </c>
      <c r="H6" s="62" t="str">
        <f>IFERROR(IF($E6=0,"",INDEX('Sport Records'!$B$91:$O$110,MATCH($D6,'Sport Records'!$A$91:$A$110,0),MATCH($B$3,'Sport Records'!$B$90:$O$90,0))),"")</f>
        <v/>
      </c>
    </row>
    <row r="7" spans="1:8" ht="15" customHeight="1" x14ac:dyDescent="0.2">
      <c r="A7" s="54" t="s">
        <v>98</v>
      </c>
      <c r="B7" s="55" t="str">
        <f>IFERROR(INDEX(Calcs!$AF$7:$AF$20,MATCH($B$3,Calcs!$A$7:$A$20,0)),"")</f>
        <v>Strong</v>
      </c>
      <c r="D7" s="56" t="s">
        <v>183</v>
      </c>
      <c r="E7" s="36">
        <f>COUNTIFS('Match Log'!$D$4:$D$810,$B$3,'Match Log'!$C$4:$C$810,$D7)</f>
        <v>20</v>
      </c>
      <c r="F7" s="36">
        <f>COUNTIFS('Match Log'!$D$4:$D$810,$B$3,'Match Log'!$C$4:$C$810,$D7,'Match Log'!$E$4:$E$810,"Win")</f>
        <v>9</v>
      </c>
      <c r="G7" s="57">
        <f t="shared" si="0"/>
        <v>0.45</v>
      </c>
      <c r="H7" s="58">
        <f>IFERROR(IF($E7=0,"",INDEX('Sport Records'!$B$91:$O$110,MATCH($D7,'Sport Records'!$A$91:$A$110,0),MATCH($B$3,'Sport Records'!$B$90:$O$90,0))),"")</f>
        <v>974.00768231912002</v>
      </c>
    </row>
    <row r="8" spans="1:8" ht="15" customHeight="1" x14ac:dyDescent="0.2">
      <c r="A8" s="54" t="s">
        <v>126</v>
      </c>
      <c r="B8" s="55" t="str">
        <f>IFERROR(INDEX(Dashboard!$E$5:$E$18,MATCH($B$3,Dashboard!$B$5:$B$18,0))&amp;"–"&amp;INDEX(Dashboard!$F$5:$F$18,MATCH($B$3,Dashboard!$B$5:$B$18,0)),"")</f>
        <v>26–33</v>
      </c>
      <c r="D8" s="60" t="s">
        <v>184</v>
      </c>
      <c r="E8" s="39">
        <f>COUNTIFS('Match Log'!$D$4:$D$810,$B$3,'Match Log'!$C$4:$C$810,$D8)</f>
        <v>0</v>
      </c>
      <c r="F8" s="39">
        <f>COUNTIFS('Match Log'!$D$4:$D$810,$B$3,'Match Log'!$C$4:$C$810,$D8,'Match Log'!$E$4:$E$810,"Win")</f>
        <v>0</v>
      </c>
      <c r="G8" s="61" t="str">
        <f t="shared" si="0"/>
        <v/>
      </c>
      <c r="H8" s="62" t="str">
        <f>IFERROR(IF($E8=0,"",INDEX('Sport Records'!$B$91:$O$110,MATCH($D8,'Sport Records'!$A$91:$A$110,0),MATCH($B$3,'Sport Records'!$B$90:$O$90,0))),"")</f>
        <v/>
      </c>
    </row>
    <row r="9" spans="1:8" ht="15" customHeight="1" x14ac:dyDescent="0.2">
      <c r="A9" s="54" t="s">
        <v>102</v>
      </c>
      <c r="B9" s="63">
        <f>IFERROR(INDEX(Dashboard!$G$5:$G$18,MATCH($B$3,Dashboard!$B$5:$B$18,0)),"")</f>
        <v>0.44067796610169491</v>
      </c>
      <c r="D9" s="56" t="s">
        <v>185</v>
      </c>
      <c r="E9" s="36">
        <f>COUNTIFS('Match Log'!$D$4:$D$810,$B$3,'Match Log'!$C$4:$C$810,$D9)</f>
        <v>0</v>
      </c>
      <c r="F9" s="36">
        <f>COUNTIFS('Match Log'!$D$4:$D$810,$B$3,'Match Log'!$C$4:$C$810,$D9,'Match Log'!$E$4:$E$810,"Win")</f>
        <v>0</v>
      </c>
      <c r="G9" s="57" t="str">
        <f t="shared" si="0"/>
        <v/>
      </c>
      <c r="H9" s="58" t="str">
        <f>IFERROR(IF($E9=0,"",INDEX('Sport Records'!$B$91:$O$110,MATCH($D9,'Sport Records'!$A$91:$A$110,0),MATCH($B$3,'Sport Records'!$B$90:$O$90,0))),"")</f>
        <v/>
      </c>
    </row>
    <row r="10" spans="1:8" ht="15" customHeight="1" x14ac:dyDescent="0.2">
      <c r="A10" s="54" t="s">
        <v>127</v>
      </c>
      <c r="B10" s="55">
        <f>IFERROR(INDEX(Dashboard!$D$5:$D$18,MATCH($B$3,Dashboard!$B$5:$B$18,0)),"")</f>
        <v>59</v>
      </c>
      <c r="D10" s="60" t="s">
        <v>186</v>
      </c>
      <c r="E10" s="39">
        <f>COUNTIFS('Match Log'!$D$4:$D$810,$B$3,'Match Log'!$C$4:$C$810,$D10)</f>
        <v>1</v>
      </c>
      <c r="F10" s="39">
        <f>COUNTIFS('Match Log'!$D$4:$D$810,$B$3,'Match Log'!$C$4:$C$810,$D10,'Match Log'!$E$4:$E$810,"Win")</f>
        <v>0</v>
      </c>
      <c r="G10" s="61">
        <f t="shared" si="0"/>
        <v>0</v>
      </c>
      <c r="H10" s="62">
        <f>IFERROR(IF($E10=0,"",INDEX('Sport Records'!$B$91:$O$110,MATCH($D10,'Sport Records'!$A$91:$A$110,0),MATCH($B$3,'Sport Records'!$B$90:$O$90,0))),"")</f>
        <v>997.71428571428567</v>
      </c>
    </row>
    <row r="11" spans="1:8" ht="15" customHeight="1" x14ac:dyDescent="0.2">
      <c r="A11" s="54" t="s">
        <v>187</v>
      </c>
      <c r="B11" s="55">
        <f>IFERROR(INDEX(Dashboard!$K$5:$K$18,MATCH($B$3,Dashboard!$B$5:$B$18,0)),"")</f>
        <v>9</v>
      </c>
      <c r="D11" s="56" t="s">
        <v>188</v>
      </c>
      <c r="E11" s="36">
        <f>COUNTIFS('Match Log'!$D$4:$D$810,$B$3,'Match Log'!$C$4:$C$810,$D11)</f>
        <v>0</v>
      </c>
      <c r="F11" s="36">
        <f>COUNTIFS('Match Log'!$D$4:$D$810,$B$3,'Match Log'!$C$4:$C$810,$D11,'Match Log'!$E$4:$E$810,"Win")</f>
        <v>0</v>
      </c>
      <c r="G11" s="57" t="str">
        <f t="shared" si="0"/>
        <v/>
      </c>
      <c r="H11" s="58" t="str">
        <f>IFERROR(IF($E11=0,"",INDEX('Sport Records'!$B$91:$O$110,MATCH($D11,'Sport Records'!$A$91:$A$110,0),MATCH($B$3,'Sport Records'!$B$90:$O$90,0))),"")</f>
        <v/>
      </c>
    </row>
    <row r="12" spans="1:8" ht="15" customHeight="1" x14ac:dyDescent="0.2">
      <c r="A12" s="54" t="s">
        <v>189</v>
      </c>
      <c r="B12" s="59">
        <f>IFERROR(INDEX(Calcs!$C$7:$C$20,MATCH($B$3,Calcs!$A$7:$A$20,0)),"")</f>
        <v>1079.2971490225038</v>
      </c>
      <c r="D12" s="60" t="s">
        <v>190</v>
      </c>
      <c r="E12" s="39">
        <f>COUNTIFS('Match Log'!$D$4:$D$810,$B$3,'Match Log'!$C$4:$C$810,$D12)</f>
        <v>0</v>
      </c>
      <c r="F12" s="39">
        <f>COUNTIFS('Match Log'!$D$4:$D$810,$B$3,'Match Log'!$C$4:$C$810,$D12,'Match Log'!$E$4:$E$810,"Win")</f>
        <v>0</v>
      </c>
      <c r="G12" s="61" t="str">
        <f t="shared" si="0"/>
        <v/>
      </c>
      <c r="H12" s="62" t="str">
        <f>IFERROR(IF($E12=0,"",INDEX('Sport Records'!$B$91:$O$110,MATCH($D12,'Sport Records'!$A$91:$A$110,0),MATCH($B$3,'Sport Records'!$B$90:$O$90,0))),"")</f>
        <v/>
      </c>
    </row>
    <row r="13" spans="1:8" ht="15" customHeight="1" x14ac:dyDescent="0.2">
      <c r="A13" s="54" t="s">
        <v>191</v>
      </c>
      <c r="B13" s="55" t="str">
        <f>IFERROR(INDEX(Calcs!$H$7:$H$20,MATCH($B$3,Calcs!$A$7:$A$20,0)),"")</f>
        <v>L2</v>
      </c>
      <c r="D13" s="56" t="s">
        <v>192</v>
      </c>
      <c r="E13" s="36">
        <f>COUNTIFS('Match Log'!$D$4:$D$810,$B$3,'Match Log'!$C$4:$C$810,$D13)</f>
        <v>1</v>
      </c>
      <c r="F13" s="36">
        <f>COUNTIFS('Match Log'!$D$4:$D$810,$B$3,'Match Log'!$C$4:$C$810,$D13,'Match Log'!$E$4:$E$810,"Win")</f>
        <v>0</v>
      </c>
      <c r="G13" s="57">
        <f t="shared" si="0"/>
        <v>0</v>
      </c>
      <c r="H13" s="58">
        <f>IFERROR(IF($E13=0,"",INDEX('Sport Records'!$B$91:$O$110,MATCH($D13,'Sport Records'!$A$91:$A$110,0),MATCH($B$3,'Sport Records'!$B$90:$O$90,0))),"")</f>
        <v>992</v>
      </c>
    </row>
    <row r="14" spans="1:8" ht="15" customHeight="1" x14ac:dyDescent="0.2">
      <c r="A14" s="54" t="s">
        <v>162</v>
      </c>
      <c r="B14" s="55" t="str">
        <f>IFERROR(INDEX(Calcs!$I$7:$I$20,MATCH($B$3,Calcs!$A$7:$A$20,0)),"")</f>
        <v>LLWLL</v>
      </c>
      <c r="D14" s="60" t="s">
        <v>193</v>
      </c>
      <c r="E14" s="39">
        <f>COUNTIFS('Match Log'!$D$4:$D$810,$B$3,'Match Log'!$C$4:$C$810,$D14)</f>
        <v>0</v>
      </c>
      <c r="F14" s="39">
        <f>COUNTIFS('Match Log'!$D$4:$D$810,$B$3,'Match Log'!$C$4:$C$810,$D14,'Match Log'!$E$4:$E$810,"Win")</f>
        <v>0</v>
      </c>
      <c r="G14" s="61" t="str">
        <f t="shared" si="0"/>
        <v/>
      </c>
      <c r="H14" s="62" t="str">
        <f>IFERROR(IF($E14=0,"",INDEX('Sport Records'!$B$91:$O$110,MATCH($D14,'Sport Records'!$A$91:$A$110,0),MATCH($B$3,'Sport Records'!$B$90:$O$90,0))),"")</f>
        <v/>
      </c>
    </row>
    <row r="15" spans="1:8" ht="15" customHeight="1" x14ac:dyDescent="0.2">
      <c r="A15" s="54" t="s">
        <v>112</v>
      </c>
      <c r="B15" s="59">
        <f>IFERROR(INDEX(Calcs!$E$7:$E$20,MATCH($B$3,Calcs!$A$7:$A$20,0)),"")</f>
        <v>146.65293630573615</v>
      </c>
      <c r="D15" s="56" t="s">
        <v>194</v>
      </c>
      <c r="E15" s="36">
        <f>COUNTIFS('Match Log'!$D$4:$D$810,$B$3,'Match Log'!$C$4:$C$810,$D15)</f>
        <v>0</v>
      </c>
      <c r="F15" s="36">
        <f>COUNTIFS('Match Log'!$D$4:$D$810,$B$3,'Match Log'!$C$4:$C$810,$D15,'Match Log'!$E$4:$E$810,"Win")</f>
        <v>0</v>
      </c>
      <c r="G15" s="57" t="str">
        <f t="shared" si="0"/>
        <v/>
      </c>
      <c r="H15" s="58" t="str">
        <f>IFERROR(IF($E15=0,"",INDEX('Sport Records'!$B$91:$O$110,MATCH($D15,'Sport Records'!$A$91:$A$110,0),MATCH($B$3,'Sport Records'!$B$90:$O$90,0))),"")</f>
        <v/>
      </c>
    </row>
    <row r="16" spans="1:8" ht="15" customHeight="1" x14ac:dyDescent="0.2">
      <c r="A16" s="54" t="s">
        <v>100</v>
      </c>
      <c r="B16" s="55" t="str">
        <f>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Records'!$B$91:$O$110,MATCH($D16,'Sport Records'!$A$91:$A$110,0),MATCH($B$3,'Sport Records'!$B$90:$O$90,0))),"")</f>
        <v>1073.39235221687</v>
      </c>
    </row>
    <row r="17" spans="1:8" ht="15" customHeight="1" x14ac:dyDescent="0.2">
      <c r="A17" s="64" t="s">
        <v>196</v>
      </c>
      <c r="B17" s="65" t="str">
        <f>IFERROR(TEXT(INDEX(Calcs!$P$7:$P$20,MATCH($B$3,Calcs!$A$7:$A$20,0)),"d mmm")&amp;"  ·  "&amp;INDEX(Calcs!$T$7:$T$20,MATCH($B$3,Calcs!$A$7:$A$20,0)),"")</f>
        <v>10 Jul  ·  Active</v>
      </c>
      <c r="D17" s="56" t="s">
        <v>197</v>
      </c>
      <c r="E17" s="36">
        <f>COUNTIFS('Match Log'!$D$4:$D$810,$B$3,'Match Log'!$C$4:$C$810,$D17)</f>
        <v>9</v>
      </c>
      <c r="F17" s="36">
        <f>COUNTIFS('Match Log'!$D$4:$D$810,$B$3,'Match Log'!$C$4:$C$810,$D17,'Match Log'!$E$4:$E$810,"Win")</f>
        <v>2</v>
      </c>
      <c r="G17" s="57">
        <f t="shared" si="0"/>
        <v>0.22222222222222221</v>
      </c>
      <c r="H17" s="58">
        <f>IFERROR(IF($E17=0,"",INDEX('Sport Records'!$B$91:$O$110,MATCH($D17,'Sport Records'!$A$91:$A$110,0),MATCH($B$3,'Sport Records'!$B$90:$O$90,0))),"")</f>
        <v>948.96790333240949</v>
      </c>
    </row>
    <row r="18" spans="1:8" ht="15" customHeight="1" x14ac:dyDescent="0.2">
      <c r="A18" s="12" t="s">
        <v>198</v>
      </c>
      <c r="D18" s="60" t="s">
        <v>199</v>
      </c>
      <c r="E18" s="39">
        <f>COUNTIFS('Match Log'!$D$4:$D$810,$B$3,'Match Log'!$C$4:$C$810,$D18)</f>
        <v>7</v>
      </c>
      <c r="F18" s="39">
        <f>COUNTIFS('Match Log'!$D$4:$D$810,$B$3,'Match Log'!$C$4:$C$810,$D18,'Match Log'!$E$4:$E$810,"Win")</f>
        <v>0</v>
      </c>
      <c r="G18" s="61">
        <f t="shared" si="0"/>
        <v>0</v>
      </c>
      <c r="H18" s="62">
        <f>IFERROR(IF($E18=0,"",INDEX('Sport Records'!$B$91:$O$110,MATCH($D18,'Sport Records'!$A$91:$A$110,0),MATCH($B$3,'Sport Records'!$B$90:$O$90,0))),"")</f>
        <v>904.65647514018167</v>
      </c>
    </row>
    <row r="19" spans="1:8" ht="15" customHeight="1" x14ac:dyDescent="0.2">
      <c r="A19" s="64" t="s">
        <v>200</v>
      </c>
      <c r="B19" s="66" t="str">
        <f>IFERROR(INDEX($D$5:$D$24,MATCH(MAX($H$5:$H$24),$H$5:$H$24,0)),"")</f>
        <v>Table Tennis</v>
      </c>
      <c r="D19" s="56" t="s">
        <v>201</v>
      </c>
      <c r="E19" s="36">
        <f>COUNTIFS('Match Log'!$D$4:$D$810,$B$3,'Match Log'!$C$4:$C$810,$D19)</f>
        <v>0</v>
      </c>
      <c r="F19" s="36">
        <f>COUNTIFS('Match Log'!$D$4:$D$810,$B$3,'Match Log'!$C$4:$C$810,$D19,'Match Log'!$E$4:$E$810,"Win")</f>
        <v>0</v>
      </c>
      <c r="G19" s="57" t="str">
        <f t="shared" si="0"/>
        <v/>
      </c>
      <c r="H19" s="58" t="str">
        <f>IFERROR(IF($E19=0,"",INDEX('Sport Records'!$B$91:$O$110,MATCH($D19,'Sport Records'!$A$91:$A$110,0),MATCH($B$3,'Sport Records'!$B$90:$O$90,0))),"")</f>
        <v/>
      </c>
    </row>
    <row r="20" spans="1:8" ht="15" customHeight="1" x14ac:dyDescent="0.2">
      <c r="A20" s="64" t="s">
        <v>202</v>
      </c>
      <c r="B20" s="66" t="str">
        <f>IFERROR(INDEX($D$5:$D$24,MATCH(MAX($E$5:$E$24),$E$5:$E$24,0)),"")</f>
        <v>FIFA</v>
      </c>
      <c r="D20" s="60" t="s">
        <v>203</v>
      </c>
      <c r="E20" s="39">
        <f>COUNTIFS('Match Log'!$D$4:$D$810,$B$3,'Match Log'!$C$4:$C$810,$D20)</f>
        <v>0</v>
      </c>
      <c r="F20" s="39">
        <f>COUNTIFS('Match Log'!$D$4:$D$810,$B$3,'Match Log'!$C$4:$C$810,$D20,'Match Log'!$E$4:$E$810,"Win")</f>
        <v>0</v>
      </c>
      <c r="G20" s="61" t="str">
        <f t="shared" si="0"/>
        <v/>
      </c>
      <c r="H20" s="62" t="str">
        <f>IFERROR(IF($E20=0,"",INDEX('Sport Records'!$B$91:$O$110,MATCH($D20,'Sport Records'!$A$91:$A$110,0),MATCH($B$3,'Sport Records'!$B$90:$O$90,0))),"")</f>
        <v/>
      </c>
    </row>
    <row r="21" spans="1:8" ht="15" customHeight="1" x14ac:dyDescent="0.2">
      <c r="D21" s="56" t="s">
        <v>204</v>
      </c>
      <c r="E21" s="36">
        <f>COUNTIFS('Match Log'!$D$4:$D$810,$B$3,'Match Log'!$C$4:$C$810,$D21)</f>
        <v>0</v>
      </c>
      <c r="F21" s="36">
        <f>COUNTIFS('Match Log'!$D$4:$D$810,$B$3,'Match Log'!$C$4:$C$810,$D21,'Match Log'!$E$4:$E$810,"Win")</f>
        <v>0</v>
      </c>
      <c r="G21" s="57" t="str">
        <f t="shared" si="0"/>
        <v/>
      </c>
      <c r="H21" s="58" t="str">
        <f>IFERROR(IF($E21=0,"",INDEX('Sport Records'!$B$91:$O$110,MATCH($D21,'Sport Records'!$A$91:$A$110,0),MATCH($B$3,'Sport Records'!$B$90:$O$90,0))),"")</f>
        <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Records'!$B$91:$O$110,MATCH($D22,'Sport Records'!$A$91:$A$110,0),MATCH($B$3,'Sport Records'!$B$90:$O$90,0))),"")</f>
        <v>994.87575697010811</v>
      </c>
    </row>
    <row r="23" spans="1:8" ht="15" customHeight="1" x14ac:dyDescent="0.2">
      <c r="A23" s="64" t="s">
        <v>207</v>
      </c>
      <c r="B23" s="67">
        <f>IFERROR(ROUND(INDEX(Calcs!$AB$7:$AB$20,MATCH($B$3,Calcs!$A$7:$A$20,0)),0),"")</f>
        <v>58</v>
      </c>
      <c r="D23" s="56" t="s">
        <v>208</v>
      </c>
      <c r="E23" s="36">
        <f>COUNTIFS('Match Log'!$D$4:$D$810,$B$3,'Match Log'!$C$4:$C$810,$D23)</f>
        <v>5</v>
      </c>
      <c r="F23" s="36">
        <f>COUNTIFS('Match Log'!$D$4:$D$810,$B$3,'Match Log'!$C$4:$C$810,$D23,'Match Log'!$E$4:$E$810,"Win")</f>
        <v>4</v>
      </c>
      <c r="G23" s="57">
        <f t="shared" si="0"/>
        <v>0.8</v>
      </c>
      <c r="H23" s="58">
        <f>IFERROR(IF($E23=0,"",INDEX('Sport Records'!$B$91:$O$110,MATCH($D23,'Sport Records'!$A$91:$A$110,0),MATCH($B$3,'Sport Records'!$B$90:$O$90,0))),"")</f>
        <v>1034.8312456204001</v>
      </c>
    </row>
    <row r="24" spans="1:8" x14ac:dyDescent="0.2">
      <c r="A24" s="64" t="s">
        <v>209</v>
      </c>
      <c r="B24" s="65">
        <f>IFERROR(ROUND(INDEX(Calcs!$W$7:$W$20,MATCH($B$3,Calcs!$A$7:$A$20,0)),0),"")</f>
        <v>55</v>
      </c>
      <c r="D24" s="56" t="s">
        <v>407</v>
      </c>
      <c r="E24" s="36">
        <f>COUNTIFS('Match Log'!$D$4:$D$810,$B$3,'Match Log'!$C$4:$C$810,$D24)</f>
        <v>0</v>
      </c>
      <c r="F24" s="36">
        <f>COUNTIFS('Match Log'!$D$4:$D$810,$B$3,'Match Log'!$C$4:$C$810,$D24,'Match Log'!$E$4:$E$810,"Win")</f>
        <v>0</v>
      </c>
      <c r="G24" s="57" t="str">
        <f>IF($E24=0,"",$F24/$E24)</f>
        <v/>
      </c>
      <c r="H24" s="58" t="str">
        <f>IFERROR(IF($E24=0,"",INDEX('Sport Records'!$B$91:$O$110,MATCH($D24,'Sport Records'!$A$91:$A$110,0),MATCH($B$3,'Sport Records'!$B$90:$O$90,0))),"")</f>
        <v/>
      </c>
    </row>
    <row r="25" spans="1:8" x14ac:dyDescent="0.2">
      <c r="A25" s="64" t="s">
        <v>210</v>
      </c>
      <c r="B25" s="65">
        <f>IFERROR(ROUND(INDEX(Calcs!$X$7:$X$20,MATCH($B$3,Calcs!$A$7:$A$20,0)),0),"")</f>
        <v>44</v>
      </c>
    </row>
    <row r="26" spans="1:8" x14ac:dyDescent="0.2">
      <c r="A26" s="64" t="s">
        <v>211</v>
      </c>
      <c r="B26" s="65">
        <f>IFERROR(ROUND(INDEX(Calcs!$Y$7:$Y$20,MATCH($B$3,Calcs!$A$7:$A$20,0)),0),"")</f>
        <v>100</v>
      </c>
    </row>
    <row r="27" spans="1:8" x14ac:dyDescent="0.2">
      <c r="A27" s="64" t="s">
        <v>212</v>
      </c>
      <c r="B27" s="65">
        <f>IFERROR(ROUND(INDEX(Calcs!$Z$7:$Z$20,MATCH($B$3,Calcs!$A$7:$A$20,0)),0),"")</f>
        <v>20</v>
      </c>
    </row>
    <row r="28" spans="1:8" x14ac:dyDescent="0.2">
      <c r="A28" s="64" t="s">
        <v>213</v>
      </c>
      <c r="B28" s="65">
        <f>IFERROR(ROUND(INDEX(Calcs!$AA$7:$AA$20,MATCH($B$3,Calcs!$A$7:$A$20,0)),0),"")</f>
        <v>70</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5" t="s">
        <v>215</v>
      </c>
      <c r="B2" s="155"/>
      <c r="C2" s="155"/>
      <c r="D2" s="155"/>
      <c r="E2" s="155"/>
      <c r="F2" s="155"/>
      <c r="G2" s="155"/>
      <c r="H2" s="155"/>
      <c r="I2" s="155"/>
      <c r="J2" s="155"/>
      <c r="K2" s="155"/>
      <c r="L2" s="155"/>
      <c r="M2" s="155"/>
      <c r="N2" s="155"/>
      <c r="O2" s="155"/>
    </row>
    <row r="3" spans="1:15" ht="38" customHeight="1" x14ac:dyDescent="0.2">
      <c r="A3" s="156" t="s">
        <v>216</v>
      </c>
      <c r="B3" s="156"/>
      <c r="C3" s="156"/>
      <c r="D3" s="156"/>
      <c r="E3" s="156"/>
      <c r="F3" s="156"/>
      <c r="G3" s="156"/>
      <c r="H3" s="156"/>
      <c r="I3" s="156"/>
      <c r="J3" s="156"/>
      <c r="K3" s="156"/>
      <c r="L3" s="156"/>
      <c r="M3" s="156"/>
      <c r="N3" s="156"/>
      <c r="O3" s="156"/>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100% of 2</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62% of 21</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60% of 5</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100% of 1</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0% of 2</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50% of 2</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50% of 2</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58% of 12</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40% of 5</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38% of 21</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0% of 1</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50% of 2</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50% of 2</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52% of 21</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38% of 13</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50% of 2</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50% of 2</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40% of 5</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42% of 12</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48% of 21</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4</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80% of 5</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60% of 5</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4</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62% of 13</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20% of 5</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4</v>
      </c>
      <c r="F22" s="70">
        <f>IF($A22=F$21,0,SUMPRODUCT(('Match Log'!$D$4:$D$810=$A22)*(COUNTIFS('Match Log'!$A$4:$A$810,'Match Log'!$A$4:$A$810,'Match Log'!$D$4:$D$810,F$21)&gt;0)))</f>
        <v>2</v>
      </c>
      <c r="G22" s="70">
        <f>IF($A22=G$21,0,SUMPRODUCT(('Match Log'!$D$4:$D$810=$A22)*(COUNTIFS('Match Log'!$A$4:$A$810,'Match Log'!$A$4:$A$810,'Match Log'!$D$4:$D$810,G$21)&gt;0)))</f>
        <v>21</v>
      </c>
      <c r="H22" s="70">
        <f>IF($A22=H$21,0,SUMPRODUCT(('Match Log'!$D$4:$D$810=$A22)*(COUNTIFS('Match Log'!$A$4:$A$810,'Match Log'!$A$4:$A$810,'Match Log'!$D$4:$D$810,H$21)&gt;0)))</f>
        <v>4</v>
      </c>
      <c r="I22" s="70">
        <f>IF($A22=I$21,0,SUMPRODUCT(('Match Log'!$D$4:$D$810=$A22)*(COUNTIFS('Match Log'!$A$4:$A$810,'Match Log'!$A$4:$A$810,'Match Log'!$D$4:$D$810,I$21)&gt;0)))</f>
        <v>5</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1</v>
      </c>
      <c r="H24" s="70">
        <f>IF($A24=H$21,0,SUMPRODUCT(('Match Log'!$D$4:$D$810=$A24)*(COUNTIFS('Match Log'!$A$4:$A$810,'Match Log'!$A$4:$A$810,'Match Log'!$D$4:$D$810,H$21)&gt;0)))</f>
        <v>1</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1</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4</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2</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2</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10</v>
      </c>
      <c r="H26" s="70">
        <f>IF($A26=H$21,0,SUMPRODUCT(('Match Log'!$D$4:$D$810=$A26)*(COUNTIFS('Match Log'!$A$4:$A$810,'Match Log'!$A$4:$A$810,'Match Log'!$D$4:$D$810,H$21)&gt;0)))</f>
        <v>3</v>
      </c>
      <c r="I26" s="70">
        <f>IF($A26=I$21,0,SUMPRODUCT(('Match Log'!$D$4:$D$810=$A26)*(COUNTIFS('Match Log'!$A$4:$A$810,'Match Log'!$A$4:$A$810,'Match Log'!$D$4:$D$810,I$21)&gt;0)))</f>
        <v>13</v>
      </c>
      <c r="J26" s="70">
        <f>IF($A26=J$21,0,SUMPRODUCT(('Match Log'!$D$4:$D$810=$A26)*(COUNTIFS('Match Log'!$A$4:$A$810,'Match Log'!$A$4:$A$810,'Match Log'!$D$4:$D$810,J$21)&gt;0)))</f>
        <v>5</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21</v>
      </c>
      <c r="C27" s="70">
        <f>IF($A27=C$21,0,SUMPRODUCT(('Match Log'!$D$4:$D$810=$A27)*(COUNTIFS('Match Log'!$A$4:$A$810,'Match Log'!$A$4:$A$810,'Match Log'!$D$4:$D$810,C$21)&gt;0)))</f>
        <v>1</v>
      </c>
      <c r="D27" s="70">
        <f>IF($A27=D$21,0,SUMPRODUCT(('Match Log'!$D$4:$D$810=$A27)*(COUNTIFS('Match Log'!$A$4:$A$810,'Match Log'!$A$4:$A$810,'Match Log'!$D$4:$D$810,D$21)&gt;0)))</f>
        <v>1</v>
      </c>
      <c r="E27" s="70">
        <f>IF($A27=E$21,0,SUMPRODUCT(('Match Log'!$D$4:$D$810=$A27)*(COUNTIFS('Match Log'!$A$4:$A$810,'Match Log'!$A$4:$A$810,'Match Log'!$D$4:$D$810,E$21)&gt;0)))</f>
        <v>2</v>
      </c>
      <c r="F27" s="70">
        <f>IF($A27=F$21,0,SUMPRODUCT(('Match Log'!$D$4:$D$810=$A27)*(COUNTIFS('Match Log'!$A$4:$A$810,'Match Log'!$A$4:$A$810,'Match Log'!$D$4:$D$810,F$21)&gt;0)))</f>
        <v>10</v>
      </c>
      <c r="G27" s="70">
        <f>IF($A27=G$21,0,SUMPRODUCT(('Match Log'!$D$4:$D$810=$A27)*(COUNTIFS('Match Log'!$A$4:$A$810,'Match Log'!$A$4:$A$810,'Match Log'!$D$4:$D$810,G$21)&gt;0)))</f>
        <v>0</v>
      </c>
      <c r="H27" s="70">
        <f>IF($A27=H$21,0,SUMPRODUCT(('Match Log'!$D$4:$D$810=$A27)*(COUNTIFS('Match Log'!$A$4:$A$810,'Match Log'!$A$4:$A$810,'Match Log'!$D$4:$D$810,H$21)&gt;0)))</f>
        <v>3</v>
      </c>
      <c r="I27" s="70">
        <f>IF($A27=I$21,0,SUMPRODUCT(('Match Log'!$D$4:$D$810=$A27)*(COUNTIFS('Match Log'!$A$4:$A$810,'Match Log'!$A$4:$A$810,'Match Log'!$D$4:$D$810,I$21)&gt;0)))</f>
        <v>22</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17</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4</v>
      </c>
      <c r="C28" s="70">
        <f>IF($A28=C$21,0,SUMPRODUCT(('Match Log'!$D$4:$D$810=$A28)*(COUNTIFS('Match Log'!$A$4:$A$810,'Match Log'!$A$4:$A$810,'Match Log'!$D$4:$D$810,C$21)&gt;0)))</f>
        <v>3</v>
      </c>
      <c r="D28" s="70">
        <f>IF($A28=D$21,0,SUMPRODUCT(('Match Log'!$D$4:$D$810=$A28)*(COUNTIFS('Match Log'!$A$4:$A$810,'Match Log'!$A$4:$A$810,'Match Log'!$D$4:$D$810,D$21)&gt;0)))</f>
        <v>1</v>
      </c>
      <c r="E28" s="70">
        <f>IF($A28=E$21,0,SUMPRODUCT(('Match Log'!$D$4:$D$810=$A28)*(COUNTIFS('Match Log'!$A$4:$A$810,'Match Log'!$A$4:$A$810,'Match Log'!$D$4:$D$810,E$21)&gt;0)))</f>
        <v>2</v>
      </c>
      <c r="F28" s="70">
        <f>IF($A28=F$21,0,SUMPRODUCT(('Match Log'!$D$4:$D$810=$A28)*(COUNTIFS('Match Log'!$A$4:$A$810,'Match Log'!$A$4:$A$810,'Match Log'!$D$4:$D$810,F$21)&gt;0)))</f>
        <v>3</v>
      </c>
      <c r="G28" s="70">
        <f>IF($A28=G$21,0,SUMPRODUCT(('Match Log'!$D$4:$D$810=$A28)*(COUNTIFS('Match Log'!$A$4:$A$810,'Match Log'!$A$4:$A$810,'Match Log'!$D$4:$D$810,G$21)&gt;0)))</f>
        <v>3</v>
      </c>
      <c r="H28" s="70">
        <f>IF($A28=H$21,0,SUMPRODUCT(('Match Log'!$D$4:$D$810=$A28)*(COUNTIFS('Match Log'!$A$4:$A$810,'Match Log'!$A$4:$A$810,'Match Log'!$D$4:$D$810,H$21)&gt;0)))</f>
        <v>0</v>
      </c>
      <c r="I28" s="70">
        <f>IF($A28=I$21,0,SUMPRODUCT(('Match Log'!$D$4:$D$810=$A28)*(COUNTIFS('Match Log'!$A$4:$A$810,'Match Log'!$A$4:$A$810,'Match Log'!$D$4:$D$810,I$21)&gt;0)))</f>
        <v>1</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13</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5</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13</v>
      </c>
      <c r="G29" s="70">
        <f>IF($A29=G$21,0,SUMPRODUCT(('Match Log'!$D$4:$D$810=$A29)*(COUNTIFS('Match Log'!$A$4:$A$810,'Match Log'!$A$4:$A$810,'Match Log'!$D$4:$D$810,G$21)&gt;0)))</f>
        <v>22</v>
      </c>
      <c r="H29" s="70">
        <f>IF($A29=H$21,0,SUMPRODUCT(('Match Log'!$D$4:$D$810=$A29)*(COUNTIFS('Match Log'!$A$4:$A$810,'Match Log'!$A$4:$A$810,'Match Log'!$D$4:$D$810,H$21)&gt;0)))</f>
        <v>1</v>
      </c>
      <c r="I29" s="70">
        <f>IF($A29=I$21,0,SUMPRODUCT(('Match Log'!$D$4:$D$810=$A29)*(COUNTIFS('Match Log'!$A$4:$A$810,'Match Log'!$A$4:$A$810,'Match Log'!$D$4:$D$810,I$21)&gt;0)))</f>
        <v>0</v>
      </c>
      <c r="J29" s="70">
        <f>IF($A29=J$21,0,SUMPRODUCT(('Match Log'!$D$4:$D$810=$A29)*(COUNTIFS('Match Log'!$A$4:$A$810,'Match Log'!$A$4:$A$810,'Match Log'!$D$4:$D$810,J$21)&gt;0)))</f>
        <v>12</v>
      </c>
      <c r="K29" s="70">
        <f>IF($A29=K$21,0,SUMPRODUCT(('Match Log'!$D$4:$D$810=$A29)*(COUNTIFS('Match Log'!$A$4:$A$810,'Match Log'!$A$4:$A$810,'Match Log'!$D$4:$D$810,K$21)&gt;0)))</f>
        <v>2</v>
      </c>
      <c r="L29" s="70">
        <f>IF($A29=L$21,0,SUMPRODUCT(('Match Log'!$D$4:$D$810=$A29)*(COUNTIFS('Match Log'!$A$4:$A$810,'Match Log'!$A$4:$A$810,'Match Log'!$D$4:$D$810,L$21)&gt;0)))</f>
        <v>6</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5</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12</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0</v>
      </c>
      <c r="N31" s="70">
        <f>IF($A31=N$21,0,SUMPRODUCT(('Match Log'!$D$4:$D$810=$A31)*(COUNTIFS('Match Log'!$A$4:$A$810,'Match Log'!$A$4:$A$810,'Match Log'!$D$4:$D$810,N$21)&gt;0)))</f>
        <v>0</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1</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17</v>
      </c>
      <c r="H32" s="70">
        <f>IF($A32=H$21,0,SUMPRODUCT(('Match Log'!$D$4:$D$810=$A32)*(COUNTIFS('Match Log'!$A$4:$A$810,'Match Log'!$A$4:$A$810,'Match Log'!$D$4:$D$810,H$21)&gt;0)))</f>
        <v>13</v>
      </c>
      <c r="I32" s="70">
        <f>IF($A32=I$21,0,SUMPRODUCT(('Match Log'!$D$4:$D$810=$A32)*(COUNTIFS('Match Log'!$A$4:$A$810,'Match Log'!$A$4:$A$810,'Match Log'!$D$4:$D$810,I$21)&gt;0)))</f>
        <v>6</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0</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0</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0</v>
      </c>
      <c r="L34" s="70">
        <f>IF($A34=L$21,0,SUMPRODUCT(('Match Log'!$D$4:$D$810=$A34)*(COUNTIFS('Match Log'!$A$4:$A$810,'Match Log'!$A$4:$A$810,'Match Log'!$D$4:$D$810,L$21)&gt;0)))</f>
        <v>2</v>
      </c>
      <c r="M34" s="70">
        <f>IF($A34=M$21,0,SUMPRODUCT(('Match Log'!$D$4:$D$810=$A34)*(COUNTIFS('Match Log'!$A$4:$A$810,'Match Log'!$A$4:$A$810,'Match Log'!$D$4:$D$810,M$21)&gt;0)))</f>
        <v>0</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10"/>
  <sheetViews>
    <sheetView showGridLines="0" zoomScale="126" zoomScaleNormal="126" workbookViewId="0">
      <pane ySplit="7" topLeftCell="A90"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58" t="s">
        <v>221</v>
      </c>
      <c r="B2" s="158"/>
      <c r="C2" s="158"/>
      <c r="D2" s="158"/>
      <c r="E2" s="158"/>
      <c r="F2" s="158"/>
      <c r="G2" s="158"/>
      <c r="H2" s="158"/>
      <c r="I2" s="158"/>
      <c r="J2" s="158"/>
      <c r="K2" s="158"/>
      <c r="L2" s="158"/>
      <c r="M2" s="158"/>
      <c r="N2" s="158"/>
      <c r="O2" s="158"/>
      <c r="P2" s="158"/>
      <c r="Q2" s="158"/>
    </row>
    <row r="3" spans="1:18" ht="18.75" customHeight="1" x14ac:dyDescent="0.2">
      <c r="A3" s="73" t="s">
        <v>222</v>
      </c>
      <c r="C3" s="1">
        <f>SUM($P$8:$P$27)</f>
        <v>136</v>
      </c>
    </row>
    <row r="4" spans="1:18" ht="18.75" customHeight="1" x14ac:dyDescent="0.2">
      <c r="A4" s="73" t="s">
        <v>223</v>
      </c>
      <c r="C4" s="159" t="str">
        <f>INDEX($A$74:$A$87,MATCH(MAX($S$74:$S$87),$S$74:$S$87,0))</f>
        <v>Dean B</v>
      </c>
      <c r="D4" s="159"/>
      <c r="E4" s="159"/>
      <c r="F4" s="159"/>
      <c r="G4" s="159"/>
    </row>
    <row r="6" spans="1:18" ht="15" customHeight="1" x14ac:dyDescent="0.2">
      <c r="A6" s="157" t="s">
        <v>224</v>
      </c>
      <c r="B6" s="157"/>
      <c r="C6" s="157"/>
      <c r="D6" s="157"/>
      <c r="E6" s="157"/>
      <c r="F6" s="157"/>
      <c r="G6" s="157"/>
      <c r="H6" s="157"/>
      <c r="I6" s="157"/>
      <c r="J6" s="157"/>
      <c r="K6" s="157"/>
      <c r="L6" s="157"/>
      <c r="M6" s="157"/>
      <c r="N6" s="157"/>
      <c r="O6" s="157"/>
      <c r="P6" s="157"/>
      <c r="Q6" s="157"/>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Log'!$D$4:$D$810,B$7,'Match Log'!$C$4:$C$810,$A8)</f>
        <v>0</v>
      </c>
      <c r="C8" s="77">
        <f>COUNTIFS('Match Log'!$D$4:$D$810,C$7,'Match Log'!$C$4:$C$810,$A8)</f>
        <v>0</v>
      </c>
      <c r="D8" s="77">
        <f>COUNTIFS('Match Log'!$D$4:$D$810,D$7,'Match Log'!$C$4:$C$810,$A8)</f>
        <v>0</v>
      </c>
      <c r="E8" s="77">
        <f>COUNTIFS('Match Log'!$D$4:$D$810,E$7,'Match Log'!$C$4:$C$810,$A8)</f>
        <v>0</v>
      </c>
      <c r="F8" s="77">
        <f>COUNTIFS('Match Log'!$D$4:$D$810,F$7,'Match Log'!$C$4:$C$810,$A8)</f>
        <v>0</v>
      </c>
      <c r="G8" s="77">
        <f>COUNTIFS('Match Log'!$D$4:$D$810,G$7,'Match Log'!$C$4:$C$810,$A8)</f>
        <v>2</v>
      </c>
      <c r="H8" s="77">
        <f>COUNTIFS('Match Log'!$D$4:$D$810,H$7,'Match Log'!$C$4:$C$810,$A8)</f>
        <v>0</v>
      </c>
      <c r="I8" s="77">
        <f>COUNTIFS('Match Log'!$D$4:$D$810,I$7,'Match Log'!$C$4:$C$810,$A8)</f>
        <v>2</v>
      </c>
      <c r="J8" s="77">
        <f>COUNTIFS('Match Log'!$D$4:$D$810,J$7,'Match Log'!$C$4:$C$810,$A8)</f>
        <v>0</v>
      </c>
      <c r="K8" s="77">
        <f>COUNTIFS('Match Log'!$D$4:$D$810,K$7,'Match Log'!$C$4:$C$810,$A8)</f>
        <v>0</v>
      </c>
      <c r="L8" s="77">
        <f>COUNTIFS('Match Log'!$D$4:$D$810,L$7,'Match Log'!$C$4:$C$810,$A8)</f>
        <v>0</v>
      </c>
      <c r="M8" s="77">
        <f>COUNTIFS('Match Log'!$D$4:$D$810,M$7,'Match Log'!$C$4:$C$810,$A8)</f>
        <v>0</v>
      </c>
      <c r="N8" s="77">
        <f>COUNTIFS('Match Log'!$D$4:$D$810,N$7,'Match Log'!$C$4:$C$810,$A8)</f>
        <v>0</v>
      </c>
      <c r="O8" s="77">
        <f>COUNTIFS('Match Log'!$D$4:$D$810,O$7,'Match Log'!$C$4:$C$810,$A8)</f>
        <v>0</v>
      </c>
      <c r="P8" s="78">
        <f>SUMPRODUCT(('Match Log'!$C$4:$C$810=$A8)*('Match Log'!$D$4:$D$810='Match Log'!$G$4:$G$810)*('Match Log'!$D$4:$D$810&lt;&gt;""))</f>
        <v>2</v>
      </c>
      <c r="Q8" s="79" t="str">
        <f t="shared" ref="Q8:Q26" si="0">IF($P8=0,"—",INDEX($B$29:$O$29,MATCH(MAX($B30:$O30),$B30:$O30,0)))</f>
        <v>Shawn</v>
      </c>
      <c r="R8" s="78">
        <f t="shared" ref="R8:R26" si="1">IF($P8=0,"—",MAX($B30:$O30))</f>
        <v>2</v>
      </c>
    </row>
    <row r="9" spans="1:18" ht="15" customHeight="1" x14ac:dyDescent="0.2">
      <c r="A9" s="76" t="s">
        <v>182</v>
      </c>
      <c r="B9" s="77">
        <f>COUNTIFS('Match Log'!$D$4:$D$810,B$7,'Match Log'!$C$4:$C$810,$A9)</f>
        <v>0</v>
      </c>
      <c r="C9" s="77">
        <f>COUNTIFS('Match Log'!$D$4:$D$810,C$7,'Match Log'!$C$4:$C$810,$A9)</f>
        <v>0</v>
      </c>
      <c r="D9" s="77">
        <f>COUNTIFS('Match Log'!$D$4:$D$810,D$7,'Match Log'!$C$4:$C$810,$A9)</f>
        <v>0</v>
      </c>
      <c r="E9" s="77">
        <f>COUNTIFS('Match Log'!$D$4:$D$810,E$7,'Match Log'!$C$4:$C$810,$A9)</f>
        <v>0</v>
      </c>
      <c r="F9" s="77">
        <f>COUNTIFS('Match Log'!$D$4:$D$810,F$7,'Match Log'!$C$4:$C$810,$A9)</f>
        <v>0</v>
      </c>
      <c r="G9" s="77">
        <f>COUNTIFS('Match Log'!$D$4:$D$810,G$7,'Match Log'!$C$4:$C$810,$A9)</f>
        <v>0</v>
      </c>
      <c r="H9" s="77">
        <f>COUNTIFS('Match Log'!$D$4:$D$810,H$7,'Match Log'!$C$4:$C$810,$A9)</f>
        <v>0</v>
      </c>
      <c r="I9" s="77">
        <f>COUNTIFS('Match Log'!$D$4:$D$810,I$7,'Match Log'!$C$4:$C$810,$A9)</f>
        <v>0</v>
      </c>
      <c r="J9" s="77">
        <f>COUNTIFS('Match Log'!$D$4:$D$810,J$7,'Match Log'!$C$4:$C$810,$A9)</f>
        <v>0</v>
      </c>
      <c r="K9" s="77">
        <f>COUNTIFS('Match Log'!$D$4:$D$810,K$7,'Match Log'!$C$4:$C$810,$A9)</f>
        <v>0</v>
      </c>
      <c r="L9" s="77">
        <f>COUNTIFS('Match Log'!$D$4:$D$810,L$7,'Match Log'!$C$4:$C$810,$A9)</f>
        <v>0</v>
      </c>
      <c r="M9" s="77">
        <f>COUNTIFS('Match Log'!$D$4:$D$810,M$7,'Match Log'!$C$4:$C$810,$A9)</f>
        <v>0</v>
      </c>
      <c r="N9" s="77">
        <f>COUNTIFS('Match Log'!$D$4:$D$810,N$7,'Match Log'!$C$4:$C$810,$A9)</f>
        <v>0</v>
      </c>
      <c r="O9" s="77">
        <f>COUNTIFS('Match Log'!$D$4:$D$810,O$7,'Match Log'!$C$4:$C$810,$A9)</f>
        <v>0</v>
      </c>
      <c r="P9" s="78">
        <f>SUMPRODUCT(('Match Log'!$C$4:$C$810=$A9)*('Match Log'!$D$4:$D$810='Match Log'!$G$4:$G$810)*('Match Log'!$D$4:$D$810&lt;&gt;""))</f>
        <v>0</v>
      </c>
      <c r="Q9" s="79" t="str">
        <f t="shared" si="0"/>
        <v>—</v>
      </c>
      <c r="R9" s="78" t="str">
        <f t="shared" si="1"/>
        <v>—</v>
      </c>
    </row>
    <row r="10" spans="1:18" ht="15" customHeight="1" x14ac:dyDescent="0.2">
      <c r="A10" s="76" t="s">
        <v>183</v>
      </c>
      <c r="B10" s="77">
        <f>COUNTIFS('Match Log'!$D$4:$D$810,B$7,'Match Log'!$C$4:$C$810,$A10)</f>
        <v>12</v>
      </c>
      <c r="C10" s="77">
        <f>COUNTIFS('Match Log'!$D$4:$D$810,C$7,'Match Log'!$C$4:$C$810,$A10)</f>
        <v>0</v>
      </c>
      <c r="D10" s="77">
        <f>COUNTIFS('Match Log'!$D$4:$D$810,D$7,'Match Log'!$C$4:$C$810,$A10)</f>
        <v>1</v>
      </c>
      <c r="E10" s="77">
        <f>COUNTIFS('Match Log'!$D$4:$D$810,E$7,'Match Log'!$C$4:$C$810,$A10)</f>
        <v>0</v>
      </c>
      <c r="F10" s="77">
        <f>COUNTIFS('Match Log'!$D$4:$D$810,F$7,'Match Log'!$C$4:$C$810,$A10)</f>
        <v>1</v>
      </c>
      <c r="G10" s="77">
        <f>COUNTIFS('Match Log'!$D$4:$D$810,G$7,'Match Log'!$C$4:$C$810,$A10)</f>
        <v>20</v>
      </c>
      <c r="H10" s="77">
        <f>COUNTIFS('Match Log'!$D$4:$D$810,H$7,'Match Log'!$C$4:$C$810,$A10)</f>
        <v>0</v>
      </c>
      <c r="I10" s="77">
        <f>COUNTIFS('Match Log'!$D$4:$D$810,I$7,'Match Log'!$C$4:$C$810,$A10)</f>
        <v>9</v>
      </c>
      <c r="J10" s="77">
        <f>COUNTIFS('Match Log'!$D$4:$D$810,J$7,'Match Log'!$C$4:$C$810,$A10)</f>
        <v>0</v>
      </c>
      <c r="K10" s="77">
        <f>COUNTIFS('Match Log'!$D$4:$D$810,K$7,'Match Log'!$C$4:$C$810,$A10)</f>
        <v>0</v>
      </c>
      <c r="L10" s="77">
        <f>COUNTIFS('Match Log'!$D$4:$D$810,L$7,'Match Log'!$C$4:$C$810,$A10)</f>
        <v>3</v>
      </c>
      <c r="M10" s="77">
        <f>COUNTIFS('Match Log'!$D$4:$D$810,M$7,'Match Log'!$C$4:$C$810,$A10)</f>
        <v>0</v>
      </c>
      <c r="N10" s="77">
        <f>COUNTIFS('Match Log'!$D$4:$D$810,N$7,'Match Log'!$C$4:$C$810,$A10)</f>
        <v>0</v>
      </c>
      <c r="O10" s="77">
        <f>COUNTIFS('Match Log'!$D$4:$D$810,O$7,'Match Log'!$C$4:$C$810,$A10)</f>
        <v>0</v>
      </c>
      <c r="P10" s="78">
        <f>SUMPRODUCT(('Match Log'!$C$4:$C$810=$A10)*('Match Log'!$D$4:$D$810='Match Log'!$G$4:$G$810)*('Match Log'!$D$4:$D$810&lt;&gt;""))</f>
        <v>23</v>
      </c>
      <c r="Q10" s="79" t="str">
        <f t="shared" si="0"/>
        <v>Aaron</v>
      </c>
      <c r="R10" s="78">
        <f t="shared" si="1"/>
        <v>9</v>
      </c>
    </row>
    <row r="11" spans="1:18" ht="15" customHeight="1" x14ac:dyDescent="0.2">
      <c r="A11" s="76" t="s">
        <v>184</v>
      </c>
      <c r="B11" s="77">
        <f>COUNTIFS('Match Log'!$D$4:$D$810,B$7,'Match Log'!$C$4:$C$810,$A11)</f>
        <v>0</v>
      </c>
      <c r="C11" s="77">
        <f>COUNTIFS('Match Log'!$D$4:$D$810,C$7,'Match Log'!$C$4:$C$810,$A11)</f>
        <v>0</v>
      </c>
      <c r="D11" s="77">
        <f>COUNTIFS('Match Log'!$D$4:$D$810,D$7,'Match Log'!$C$4:$C$810,$A11)</f>
        <v>0</v>
      </c>
      <c r="E11" s="77">
        <f>COUNTIFS('Match Log'!$D$4:$D$810,E$7,'Match Log'!$C$4:$C$810,$A11)</f>
        <v>0</v>
      </c>
      <c r="F11" s="77">
        <f>COUNTIFS('Match Log'!$D$4:$D$810,F$7,'Match Log'!$C$4:$C$810,$A11)</f>
        <v>0</v>
      </c>
      <c r="G11" s="77">
        <f>COUNTIFS('Match Log'!$D$4:$D$810,G$7,'Match Log'!$C$4:$C$810,$A11)</f>
        <v>0</v>
      </c>
      <c r="H11" s="77">
        <f>COUNTIFS('Match Log'!$D$4:$D$810,H$7,'Match Log'!$C$4:$C$810,$A11)</f>
        <v>0</v>
      </c>
      <c r="I11" s="77">
        <f>COUNTIFS('Match Log'!$D$4:$D$810,I$7,'Match Log'!$C$4:$C$810,$A11)</f>
        <v>0</v>
      </c>
      <c r="J11" s="77">
        <f>COUNTIFS('Match Log'!$D$4:$D$810,J$7,'Match Log'!$C$4:$C$810,$A11)</f>
        <v>0</v>
      </c>
      <c r="K11" s="77">
        <f>COUNTIFS('Match Log'!$D$4:$D$810,K$7,'Match Log'!$C$4:$C$810,$A11)</f>
        <v>0</v>
      </c>
      <c r="L11" s="77">
        <f>COUNTIFS('Match Log'!$D$4:$D$810,L$7,'Match Log'!$C$4:$C$810,$A11)</f>
        <v>0</v>
      </c>
      <c r="M11" s="77">
        <f>COUNTIFS('Match Log'!$D$4:$D$810,M$7,'Match Log'!$C$4:$C$810,$A11)</f>
        <v>0</v>
      </c>
      <c r="N11" s="77">
        <f>COUNTIFS('Match Log'!$D$4:$D$810,N$7,'Match Log'!$C$4:$C$810,$A11)</f>
        <v>0</v>
      </c>
      <c r="O11" s="77">
        <f>COUNTIFS('Match Log'!$D$4:$D$810,O$7,'Match Log'!$C$4:$C$810,$A11)</f>
        <v>0</v>
      </c>
      <c r="P11" s="78">
        <f>SUMPRODUCT(('Match Log'!$C$4:$C$810=$A11)*('Match Log'!$D$4:$D$810='Match Log'!$G$4:$G$810)*('Match Log'!$D$4:$D$810&lt;&gt;""))</f>
        <v>0</v>
      </c>
      <c r="Q11" s="79" t="str">
        <f t="shared" si="0"/>
        <v>—</v>
      </c>
      <c r="R11" s="78" t="str">
        <f t="shared" si="1"/>
        <v>—</v>
      </c>
    </row>
    <row r="12" spans="1:18" ht="15" customHeight="1" x14ac:dyDescent="0.2">
      <c r="A12" s="76" t="s">
        <v>185</v>
      </c>
      <c r="B12" s="77">
        <f>COUNTIFS('Match Log'!$D$4:$D$810,B$7,'Match Log'!$C$4:$C$810,$A12)</f>
        <v>0</v>
      </c>
      <c r="C12" s="77">
        <f>COUNTIFS('Match Log'!$D$4:$D$810,C$7,'Match Log'!$C$4:$C$810,$A12)</f>
        <v>1</v>
      </c>
      <c r="D12" s="77">
        <f>COUNTIFS('Match Log'!$D$4:$D$810,D$7,'Match Log'!$C$4:$C$810,$A12)</f>
        <v>0</v>
      </c>
      <c r="E12" s="77">
        <f>COUNTIFS('Match Log'!$D$4:$D$810,E$7,'Match Log'!$C$4:$C$810,$A12)</f>
        <v>0</v>
      </c>
      <c r="F12" s="77">
        <f>COUNTIFS('Match Log'!$D$4:$D$810,F$7,'Match Log'!$C$4:$C$810,$A12)</f>
        <v>0</v>
      </c>
      <c r="G12" s="77">
        <f>COUNTIFS('Match Log'!$D$4:$D$810,G$7,'Match Log'!$C$4:$C$810,$A12)</f>
        <v>0</v>
      </c>
      <c r="H12" s="77">
        <f>COUNTIFS('Match Log'!$D$4:$D$810,H$7,'Match Log'!$C$4:$C$810,$A12)</f>
        <v>2</v>
      </c>
      <c r="I12" s="77">
        <f>COUNTIFS('Match Log'!$D$4:$D$810,I$7,'Match Log'!$C$4:$C$810,$A12)</f>
        <v>4</v>
      </c>
      <c r="J12" s="77">
        <f>COUNTIFS('Match Log'!$D$4:$D$810,J$7,'Match Log'!$C$4:$C$810,$A12)</f>
        <v>8</v>
      </c>
      <c r="K12" s="77">
        <f>COUNTIFS('Match Log'!$D$4:$D$810,K$7,'Match Log'!$C$4:$C$810,$A12)</f>
        <v>1</v>
      </c>
      <c r="L12" s="77">
        <f>COUNTIFS('Match Log'!$D$4:$D$810,L$7,'Match Log'!$C$4:$C$810,$A12)</f>
        <v>4</v>
      </c>
      <c r="M12" s="77">
        <f>COUNTIFS('Match Log'!$D$4:$D$810,M$7,'Match Log'!$C$4:$C$810,$A12)</f>
        <v>0</v>
      </c>
      <c r="N12" s="77">
        <f>COUNTIFS('Match Log'!$D$4:$D$810,N$7,'Match Log'!$C$4:$C$810,$A12)</f>
        <v>0</v>
      </c>
      <c r="O12" s="77">
        <f>COUNTIFS('Match Log'!$D$4:$D$810,O$7,'Match Log'!$C$4:$C$810,$A12)</f>
        <v>0</v>
      </c>
      <c r="P12" s="78">
        <f>SUMPRODUCT(('Match Log'!$C$4:$C$810=$A12)*('Match Log'!$D$4:$D$810='Match Log'!$G$4:$G$810)*('Match Log'!$D$4:$D$810&lt;&gt;""))</f>
        <v>10</v>
      </c>
      <c r="Q12" s="79" t="str">
        <f t="shared" si="0"/>
        <v>Dean B</v>
      </c>
      <c r="R12" s="78">
        <f t="shared" si="1"/>
        <v>4</v>
      </c>
    </row>
    <row r="13" spans="1:18" ht="15" customHeight="1" x14ac:dyDescent="0.2">
      <c r="A13" s="76" t="s">
        <v>186</v>
      </c>
      <c r="B13" s="77">
        <f>COUNTIFS('Match Log'!$D$4:$D$810,B$7,'Match Log'!$C$4:$C$810,$A13)</f>
        <v>1</v>
      </c>
      <c r="C13" s="77">
        <f>COUNTIFS('Match Log'!$D$4:$D$810,C$7,'Match Log'!$C$4:$C$810,$A13)</f>
        <v>0</v>
      </c>
      <c r="D13" s="77">
        <f>COUNTIFS('Match Log'!$D$4:$D$810,D$7,'Match Log'!$C$4:$C$810,$A13)</f>
        <v>1</v>
      </c>
      <c r="E13" s="77">
        <f>COUNTIFS('Match Log'!$D$4:$D$810,E$7,'Match Log'!$C$4:$C$810,$A13)</f>
        <v>1</v>
      </c>
      <c r="F13" s="77">
        <f>COUNTIFS('Match Log'!$D$4:$D$810,F$7,'Match Log'!$C$4:$C$810,$A13)</f>
        <v>1</v>
      </c>
      <c r="G13" s="77">
        <f>COUNTIFS('Match Log'!$D$4:$D$810,G$7,'Match Log'!$C$4:$C$810,$A13)</f>
        <v>1</v>
      </c>
      <c r="H13" s="77">
        <f>COUNTIFS('Match Log'!$D$4:$D$810,H$7,'Match Log'!$C$4:$C$810,$A13)</f>
        <v>1</v>
      </c>
      <c r="I13" s="77">
        <f>COUNTIFS('Match Log'!$D$4:$D$810,I$7,'Match Log'!$C$4:$C$810,$A13)</f>
        <v>1</v>
      </c>
      <c r="J13" s="77">
        <f>COUNTIFS('Match Log'!$D$4:$D$810,J$7,'Match Log'!$C$4:$C$810,$A13)</f>
        <v>0</v>
      </c>
      <c r="K13" s="77">
        <f>COUNTIFS('Match Log'!$D$4:$D$810,K$7,'Match Log'!$C$4:$C$810,$A13)</f>
        <v>0</v>
      </c>
      <c r="L13" s="77">
        <f>COUNTIFS('Match Log'!$D$4:$D$810,L$7,'Match Log'!$C$4:$C$810,$A13)</f>
        <v>1</v>
      </c>
      <c r="M13" s="77">
        <f>COUNTIFS('Match Log'!$D$4:$D$810,M$7,'Match Log'!$C$4:$C$810,$A13)</f>
        <v>0</v>
      </c>
      <c r="N13" s="77">
        <f>COUNTIFS('Match Log'!$D$4:$D$810,N$7,'Match Log'!$C$4:$C$810,$A13)</f>
        <v>0</v>
      </c>
      <c r="O13" s="77">
        <f>COUNTIFS('Match Log'!$D$4:$D$810,O$7,'Match Log'!$C$4:$C$810,$A13)</f>
        <v>0</v>
      </c>
      <c r="P13" s="78">
        <f>SUMPRODUCT(('Match Log'!$C$4:$C$810=$A13)*('Match Log'!$D$4:$D$810='Match Log'!$G$4:$G$810)*('Match Log'!$D$4:$D$810&lt;&gt;""))</f>
        <v>1</v>
      </c>
      <c r="Q13" s="79" t="str">
        <f t="shared" si="0"/>
        <v>Aaron</v>
      </c>
      <c r="R13" s="78">
        <f t="shared" si="1"/>
        <v>1</v>
      </c>
    </row>
    <row r="14" spans="1:18" ht="15" customHeight="1" x14ac:dyDescent="0.2">
      <c r="A14" s="76" t="s">
        <v>188</v>
      </c>
      <c r="B14" s="77">
        <f>COUNTIFS('Match Log'!$D$4:$D$810,B$7,'Match Log'!$C$4:$C$810,$A14)</f>
        <v>0</v>
      </c>
      <c r="C14" s="77">
        <f>COUNTIFS('Match Log'!$D$4:$D$810,C$7,'Match Log'!$C$4:$C$810,$A14)</f>
        <v>0</v>
      </c>
      <c r="D14" s="77">
        <f>COUNTIFS('Match Log'!$D$4:$D$810,D$7,'Match Log'!$C$4:$C$810,$A14)</f>
        <v>0</v>
      </c>
      <c r="E14" s="77">
        <f>COUNTIFS('Match Log'!$D$4:$D$810,E$7,'Match Log'!$C$4:$C$810,$A14)</f>
        <v>0</v>
      </c>
      <c r="F14" s="77">
        <f>COUNTIFS('Match Log'!$D$4:$D$810,F$7,'Match Log'!$C$4:$C$810,$A14)</f>
        <v>0</v>
      </c>
      <c r="G14" s="77">
        <f>COUNTIFS('Match Log'!$D$4:$D$810,G$7,'Match Log'!$C$4:$C$810,$A14)</f>
        <v>0</v>
      </c>
      <c r="H14" s="77">
        <f>COUNTIFS('Match Log'!$D$4:$D$810,H$7,'Match Log'!$C$4:$C$810,$A14)</f>
        <v>0</v>
      </c>
      <c r="I14" s="77">
        <f>COUNTIFS('Match Log'!$D$4:$D$810,I$7,'Match Log'!$C$4:$C$810,$A14)</f>
        <v>0</v>
      </c>
      <c r="J14" s="77">
        <f>COUNTIFS('Match Log'!$D$4:$D$810,J$7,'Match Log'!$C$4:$C$810,$A14)</f>
        <v>0</v>
      </c>
      <c r="K14" s="77">
        <f>COUNTIFS('Match Log'!$D$4:$D$810,K$7,'Match Log'!$C$4:$C$810,$A14)</f>
        <v>0</v>
      </c>
      <c r="L14" s="77">
        <f>COUNTIFS('Match Log'!$D$4:$D$810,L$7,'Match Log'!$C$4:$C$810,$A14)</f>
        <v>0</v>
      </c>
      <c r="M14" s="77">
        <f>COUNTIFS('Match Log'!$D$4:$D$810,M$7,'Match Log'!$C$4:$C$810,$A14)</f>
        <v>0</v>
      </c>
      <c r="N14" s="77">
        <f>COUNTIFS('Match Log'!$D$4:$D$810,N$7,'Match Log'!$C$4:$C$810,$A14)</f>
        <v>0</v>
      </c>
      <c r="O14" s="77">
        <f>COUNTIFS('Match Log'!$D$4:$D$810,O$7,'Match Log'!$C$4:$C$810,$A14)</f>
        <v>0</v>
      </c>
      <c r="P14" s="78">
        <f>SUMPRODUCT(('Match Log'!$C$4:$C$810=$A14)*('Match Log'!$D$4:$D$810='Match Log'!$G$4:$G$810)*('Match Log'!$D$4:$D$810&lt;&gt;""))</f>
        <v>0</v>
      </c>
      <c r="Q14" s="79" t="str">
        <f t="shared" si="0"/>
        <v>—</v>
      </c>
      <c r="R14" s="78" t="str">
        <f t="shared" si="1"/>
        <v>—</v>
      </c>
    </row>
    <row r="15" spans="1:18" ht="15" customHeight="1" x14ac:dyDescent="0.2">
      <c r="A15" s="76" t="s">
        <v>190</v>
      </c>
      <c r="B15" s="77">
        <f>COUNTIFS('Match Log'!$D$4:$D$810,B$7,'Match Log'!$C$4:$C$810,$A15)</f>
        <v>0</v>
      </c>
      <c r="C15" s="77">
        <f>COUNTIFS('Match Log'!$D$4:$D$810,C$7,'Match Log'!$C$4:$C$810,$A15)</f>
        <v>0</v>
      </c>
      <c r="D15" s="77">
        <f>COUNTIFS('Match Log'!$D$4:$D$810,D$7,'Match Log'!$C$4:$C$810,$A15)</f>
        <v>0</v>
      </c>
      <c r="E15" s="77">
        <f>COUNTIFS('Match Log'!$D$4:$D$810,E$7,'Match Log'!$C$4:$C$810,$A15)</f>
        <v>0</v>
      </c>
      <c r="F15" s="77">
        <f>COUNTIFS('Match Log'!$D$4:$D$810,F$7,'Match Log'!$C$4:$C$810,$A15)</f>
        <v>0</v>
      </c>
      <c r="G15" s="77">
        <f>COUNTIFS('Match Log'!$D$4:$D$810,G$7,'Match Log'!$C$4:$C$810,$A15)</f>
        <v>0</v>
      </c>
      <c r="H15" s="77">
        <f>COUNTIFS('Match Log'!$D$4:$D$810,H$7,'Match Log'!$C$4:$C$810,$A15)</f>
        <v>0</v>
      </c>
      <c r="I15" s="77">
        <f>COUNTIFS('Match Log'!$D$4:$D$810,I$7,'Match Log'!$C$4:$C$810,$A15)</f>
        <v>0</v>
      </c>
      <c r="J15" s="77">
        <f>COUNTIFS('Match Log'!$D$4:$D$810,J$7,'Match Log'!$C$4:$C$810,$A15)</f>
        <v>0</v>
      </c>
      <c r="K15" s="77">
        <f>COUNTIFS('Match Log'!$D$4:$D$810,K$7,'Match Log'!$C$4:$C$810,$A15)</f>
        <v>0</v>
      </c>
      <c r="L15" s="77">
        <f>COUNTIFS('Match Log'!$D$4:$D$810,L$7,'Match Log'!$C$4:$C$810,$A15)</f>
        <v>0</v>
      </c>
      <c r="M15" s="77">
        <f>COUNTIFS('Match Log'!$D$4:$D$810,M$7,'Match Log'!$C$4:$C$810,$A15)</f>
        <v>0</v>
      </c>
      <c r="N15" s="77">
        <f>COUNTIFS('Match Log'!$D$4:$D$810,N$7,'Match Log'!$C$4:$C$810,$A15)</f>
        <v>0</v>
      </c>
      <c r="O15" s="77">
        <f>COUNTIFS('Match Log'!$D$4:$D$810,O$7,'Match Log'!$C$4:$C$810,$A15)</f>
        <v>0</v>
      </c>
      <c r="P15" s="78">
        <f>SUMPRODUCT(('Match Log'!$C$4:$C$810=$A15)*('Match Log'!$D$4:$D$810='Match Log'!$G$4:$G$810)*('Match Log'!$D$4:$D$810&lt;&gt;""))</f>
        <v>0</v>
      </c>
      <c r="Q15" s="79" t="str">
        <f t="shared" si="0"/>
        <v>—</v>
      </c>
      <c r="R15" s="78" t="str">
        <f t="shared" si="1"/>
        <v>—</v>
      </c>
    </row>
    <row r="16" spans="1:18" ht="15" customHeight="1" x14ac:dyDescent="0.2">
      <c r="A16" s="76" t="s">
        <v>192</v>
      </c>
      <c r="B16" s="77">
        <f>COUNTIFS('Match Log'!$D$4:$D$810,B$7,'Match Log'!$C$4:$C$810,$A16)</f>
        <v>0</v>
      </c>
      <c r="C16" s="77">
        <f>COUNTIFS('Match Log'!$D$4:$D$810,C$7,'Match Log'!$C$4:$C$810,$A16)</f>
        <v>0</v>
      </c>
      <c r="D16" s="77">
        <f>COUNTIFS('Match Log'!$D$4:$D$810,D$7,'Match Log'!$C$4:$C$810,$A16)</f>
        <v>0</v>
      </c>
      <c r="E16" s="77">
        <f>COUNTIFS('Match Log'!$D$4:$D$810,E$7,'Match Log'!$C$4:$C$810,$A16)</f>
        <v>0</v>
      </c>
      <c r="F16" s="77">
        <f>COUNTIFS('Match Log'!$D$4:$D$810,F$7,'Match Log'!$C$4:$C$810,$A16)</f>
        <v>1</v>
      </c>
      <c r="G16" s="77">
        <f>COUNTIFS('Match Log'!$D$4:$D$810,G$7,'Match Log'!$C$4:$C$810,$A16)</f>
        <v>1</v>
      </c>
      <c r="H16" s="77">
        <f>COUNTIFS('Match Log'!$D$4:$D$810,H$7,'Match Log'!$C$4:$C$810,$A16)</f>
        <v>0</v>
      </c>
      <c r="I16" s="77">
        <f>COUNTIFS('Match Log'!$D$4:$D$810,I$7,'Match Log'!$C$4:$C$810,$A16)</f>
        <v>0</v>
      </c>
      <c r="J16" s="77">
        <f>COUNTIFS('Match Log'!$D$4:$D$810,J$7,'Match Log'!$C$4:$C$810,$A16)</f>
        <v>0</v>
      </c>
      <c r="K16" s="77">
        <f>COUNTIFS('Match Log'!$D$4:$D$810,K$7,'Match Log'!$C$4:$C$810,$A16)</f>
        <v>0</v>
      </c>
      <c r="L16" s="77">
        <f>COUNTIFS('Match Log'!$D$4:$D$810,L$7,'Match Log'!$C$4:$C$810,$A16)</f>
        <v>1</v>
      </c>
      <c r="M16" s="77">
        <f>COUNTIFS('Match Log'!$D$4:$D$810,M$7,'Match Log'!$C$4:$C$810,$A16)</f>
        <v>0</v>
      </c>
      <c r="N16" s="77">
        <f>COUNTIFS('Match Log'!$D$4:$D$810,N$7,'Match Log'!$C$4:$C$810,$A16)</f>
        <v>0</v>
      </c>
      <c r="O16" s="77">
        <f>COUNTIFS('Match Log'!$D$4:$D$810,O$7,'Match Log'!$C$4:$C$810,$A16)</f>
        <v>0</v>
      </c>
      <c r="P16" s="78">
        <f>SUMPRODUCT(('Match Log'!$C$4:$C$810=$A16)*('Match Log'!$D$4:$D$810='Match Log'!$G$4:$G$810)*('Match Log'!$D$4:$D$810&lt;&gt;""))</f>
        <v>1</v>
      </c>
      <c r="Q16" s="79" t="str">
        <f t="shared" si="0"/>
        <v>Josh</v>
      </c>
      <c r="R16" s="78">
        <f t="shared" si="1"/>
        <v>1</v>
      </c>
    </row>
    <row r="17" spans="1:18" ht="15" customHeight="1" x14ac:dyDescent="0.2">
      <c r="A17" s="76" t="s">
        <v>193</v>
      </c>
      <c r="B17" s="77">
        <f>COUNTIFS('Match Log'!$D$4:$D$810,B$7,'Match Log'!$C$4:$C$810,$A17)</f>
        <v>0</v>
      </c>
      <c r="C17" s="77">
        <f>COUNTIFS('Match Log'!$D$4:$D$810,C$7,'Match Log'!$C$4:$C$810,$A17)</f>
        <v>0</v>
      </c>
      <c r="D17" s="77">
        <f>COUNTIFS('Match Log'!$D$4:$D$810,D$7,'Match Log'!$C$4:$C$810,$A17)</f>
        <v>0</v>
      </c>
      <c r="E17" s="77">
        <f>COUNTIFS('Match Log'!$D$4:$D$810,E$7,'Match Log'!$C$4:$C$810,$A17)</f>
        <v>0</v>
      </c>
      <c r="F17" s="77">
        <f>COUNTIFS('Match Log'!$D$4:$D$810,F$7,'Match Log'!$C$4:$C$810,$A17)</f>
        <v>0</v>
      </c>
      <c r="G17" s="77">
        <f>COUNTIFS('Match Log'!$D$4:$D$810,G$7,'Match Log'!$C$4:$C$810,$A17)</f>
        <v>0</v>
      </c>
      <c r="H17" s="77">
        <f>COUNTIFS('Match Log'!$D$4:$D$810,H$7,'Match Log'!$C$4:$C$810,$A17)</f>
        <v>0</v>
      </c>
      <c r="I17" s="77">
        <f>COUNTIFS('Match Log'!$D$4:$D$810,I$7,'Match Log'!$C$4:$C$810,$A17)</f>
        <v>0</v>
      </c>
      <c r="J17" s="77">
        <f>COUNTIFS('Match Log'!$D$4:$D$810,J$7,'Match Log'!$C$4:$C$810,$A17)</f>
        <v>0</v>
      </c>
      <c r="K17" s="77">
        <f>COUNTIFS('Match Log'!$D$4:$D$810,K$7,'Match Log'!$C$4:$C$810,$A17)</f>
        <v>0</v>
      </c>
      <c r="L17" s="77">
        <f>COUNTIFS('Match Log'!$D$4:$D$810,L$7,'Match Log'!$C$4:$C$810,$A17)</f>
        <v>0</v>
      </c>
      <c r="M17" s="77">
        <f>COUNTIFS('Match Log'!$D$4:$D$810,M$7,'Match Log'!$C$4:$C$810,$A17)</f>
        <v>0</v>
      </c>
      <c r="N17" s="77">
        <f>COUNTIFS('Match Log'!$D$4:$D$810,N$7,'Match Log'!$C$4:$C$810,$A17)</f>
        <v>0</v>
      </c>
      <c r="O17" s="77">
        <f>COUNTIFS('Match Log'!$D$4:$D$810,O$7,'Match Log'!$C$4:$C$810,$A17)</f>
        <v>0</v>
      </c>
      <c r="P17" s="78">
        <f>SUMPRODUCT(('Match Log'!$C$4:$C$810=$A17)*('Match Log'!$D$4:$D$810='Match Log'!$G$4:$G$810)*('Match Log'!$D$4:$D$810&lt;&gt;""))</f>
        <v>0</v>
      </c>
      <c r="Q17" s="79" t="str">
        <f t="shared" si="0"/>
        <v>—</v>
      </c>
      <c r="R17" s="78" t="str">
        <f t="shared" si="1"/>
        <v>—</v>
      </c>
    </row>
    <row r="18" spans="1:18" ht="15" customHeight="1" x14ac:dyDescent="0.2">
      <c r="A18" s="76" t="s">
        <v>194</v>
      </c>
      <c r="B18" s="77">
        <f>COUNTIFS('Match Log'!$D$4:$D$810,B$7,'Match Log'!$C$4:$C$810,$A18)</f>
        <v>0</v>
      </c>
      <c r="C18" s="77">
        <f>COUNTIFS('Match Log'!$D$4:$D$810,C$7,'Match Log'!$C$4:$C$810,$A18)</f>
        <v>0</v>
      </c>
      <c r="D18" s="77">
        <f>COUNTIFS('Match Log'!$D$4:$D$810,D$7,'Match Log'!$C$4:$C$810,$A18)</f>
        <v>0</v>
      </c>
      <c r="E18" s="77">
        <f>COUNTIFS('Match Log'!$D$4:$D$810,E$7,'Match Log'!$C$4:$C$810,$A18)</f>
        <v>0</v>
      </c>
      <c r="F18" s="77">
        <f>COUNTIFS('Match Log'!$D$4:$D$810,F$7,'Match Log'!$C$4:$C$810,$A18)</f>
        <v>0</v>
      </c>
      <c r="G18" s="77">
        <f>COUNTIFS('Match Log'!$D$4:$D$810,G$7,'Match Log'!$C$4:$C$810,$A18)</f>
        <v>0</v>
      </c>
      <c r="H18" s="77">
        <f>COUNTIFS('Match Log'!$D$4:$D$810,H$7,'Match Log'!$C$4:$C$810,$A18)</f>
        <v>0</v>
      </c>
      <c r="I18" s="77">
        <f>COUNTIFS('Match Log'!$D$4:$D$810,I$7,'Match Log'!$C$4:$C$810,$A18)</f>
        <v>0</v>
      </c>
      <c r="J18" s="77">
        <f>COUNTIFS('Match Log'!$D$4:$D$810,J$7,'Match Log'!$C$4:$C$810,$A18)</f>
        <v>0</v>
      </c>
      <c r="K18" s="77">
        <f>COUNTIFS('Match Log'!$D$4:$D$810,K$7,'Match Log'!$C$4:$C$810,$A18)</f>
        <v>0</v>
      </c>
      <c r="L18" s="77">
        <f>COUNTIFS('Match Log'!$D$4:$D$810,L$7,'Match Log'!$C$4:$C$810,$A18)</f>
        <v>0</v>
      </c>
      <c r="M18" s="77">
        <f>COUNTIFS('Match Log'!$D$4:$D$810,M$7,'Match Log'!$C$4:$C$810,$A18)</f>
        <v>0</v>
      </c>
      <c r="N18" s="77">
        <f>COUNTIFS('Match Log'!$D$4:$D$810,N$7,'Match Log'!$C$4:$C$810,$A18)</f>
        <v>0</v>
      </c>
      <c r="O18" s="77">
        <f>COUNTIFS('Match Log'!$D$4:$D$810,O$7,'Match Log'!$C$4:$C$810,$A18)</f>
        <v>0</v>
      </c>
      <c r="P18" s="78">
        <f>SUMPRODUCT(('Match Log'!$C$4:$C$810=$A18)*('Match Log'!$D$4:$D$810='Match Log'!$G$4:$G$810)*('Match Log'!$D$4:$D$810&lt;&gt;""))</f>
        <v>0</v>
      </c>
      <c r="Q18" s="79" t="str">
        <f t="shared" si="0"/>
        <v>—</v>
      </c>
      <c r="R18" s="78" t="str">
        <f t="shared" si="1"/>
        <v>—</v>
      </c>
    </row>
    <row r="19" spans="1:18" ht="15" customHeight="1" x14ac:dyDescent="0.2">
      <c r="A19" s="76" t="s">
        <v>195</v>
      </c>
      <c r="B19" s="77">
        <f>COUNTIFS('Match Log'!$D$4:$D$810,B$7,'Match Log'!$C$4:$C$810,$A19)</f>
        <v>2</v>
      </c>
      <c r="C19" s="77">
        <f>COUNTIFS('Match Log'!$D$4:$D$810,C$7,'Match Log'!$C$4:$C$810,$A19)</f>
        <v>1</v>
      </c>
      <c r="D19" s="77">
        <f>COUNTIFS('Match Log'!$D$4:$D$810,D$7,'Match Log'!$C$4:$C$810,$A19)</f>
        <v>0</v>
      </c>
      <c r="E19" s="77">
        <f>COUNTIFS('Match Log'!$D$4:$D$810,E$7,'Match Log'!$C$4:$C$810,$A19)</f>
        <v>6</v>
      </c>
      <c r="F19" s="77">
        <f>COUNTIFS('Match Log'!$D$4:$D$810,F$7,'Match Log'!$C$4:$C$810,$A19)</f>
        <v>15</v>
      </c>
      <c r="G19" s="77">
        <f>COUNTIFS('Match Log'!$D$4:$D$810,G$7,'Match Log'!$C$4:$C$810,$A19)</f>
        <v>5</v>
      </c>
      <c r="H19" s="77">
        <f>COUNTIFS('Match Log'!$D$4:$D$810,H$7,'Match Log'!$C$4:$C$810,$A19)</f>
        <v>3</v>
      </c>
      <c r="I19" s="77">
        <f>COUNTIFS('Match Log'!$D$4:$D$810,I$7,'Match Log'!$C$4:$C$810,$A19)</f>
        <v>7</v>
      </c>
      <c r="J19" s="77">
        <f>COUNTIFS('Match Log'!$D$4:$D$810,J$7,'Match Log'!$C$4:$C$810,$A19)</f>
        <v>5</v>
      </c>
      <c r="K19" s="77">
        <f>COUNTIFS('Match Log'!$D$4:$D$810,K$7,'Match Log'!$C$4:$C$810,$A19)</f>
        <v>5</v>
      </c>
      <c r="L19" s="77">
        <f>COUNTIFS('Match Log'!$D$4:$D$810,L$7,'Match Log'!$C$4:$C$810,$A19)</f>
        <v>13</v>
      </c>
      <c r="M19" s="77">
        <f>COUNTIFS('Match Log'!$D$4:$D$810,M$7,'Match Log'!$C$4:$C$810,$A19)</f>
        <v>0</v>
      </c>
      <c r="N19" s="77">
        <f>COUNTIFS('Match Log'!$D$4:$D$810,N$7,'Match Log'!$C$4:$C$810,$A19)</f>
        <v>0</v>
      </c>
      <c r="O19" s="77">
        <f>COUNTIFS('Match Log'!$D$4:$D$810,O$7,'Match Log'!$C$4:$C$810,$A19)</f>
        <v>0</v>
      </c>
      <c r="P19" s="78">
        <f>SUMPRODUCT(('Match Log'!$C$4:$C$810=$A19)*('Match Log'!$D$4:$D$810='Match Log'!$G$4:$G$810)*('Match Log'!$D$4:$D$810&lt;&gt;""))</f>
        <v>31</v>
      </c>
      <c r="Q19" s="79" t="str">
        <f t="shared" si="0"/>
        <v>Josh</v>
      </c>
      <c r="R19" s="78">
        <f t="shared" si="1"/>
        <v>13</v>
      </c>
    </row>
    <row r="20" spans="1:18" ht="15" customHeight="1" x14ac:dyDescent="0.2">
      <c r="A20" s="76" t="s">
        <v>197</v>
      </c>
      <c r="B20" s="77">
        <f>COUNTIFS('Match Log'!$D$4:$D$810,B$7,'Match Log'!$C$4:$C$810,$A20)</f>
        <v>3</v>
      </c>
      <c r="C20" s="77">
        <f>COUNTIFS('Match Log'!$D$4:$D$810,C$7,'Match Log'!$C$4:$C$810,$A20)</f>
        <v>0</v>
      </c>
      <c r="D20" s="77">
        <f>COUNTIFS('Match Log'!$D$4:$D$810,D$7,'Match Log'!$C$4:$C$810,$A20)</f>
        <v>0</v>
      </c>
      <c r="E20" s="77">
        <f>COUNTIFS('Match Log'!$D$4:$D$810,E$7,'Match Log'!$C$4:$C$810,$A20)</f>
        <v>0</v>
      </c>
      <c r="F20" s="77">
        <f>COUNTIFS('Match Log'!$D$4:$D$810,F$7,'Match Log'!$C$4:$C$810,$A20)</f>
        <v>1</v>
      </c>
      <c r="G20" s="77">
        <f>COUNTIFS('Match Log'!$D$4:$D$810,G$7,'Match Log'!$C$4:$C$810,$A20)</f>
        <v>9</v>
      </c>
      <c r="H20" s="77">
        <f>COUNTIFS('Match Log'!$D$4:$D$810,H$7,'Match Log'!$C$4:$C$810,$A20)</f>
        <v>0</v>
      </c>
      <c r="I20" s="77">
        <f>COUNTIFS('Match Log'!$D$4:$D$810,I$7,'Match Log'!$C$4:$C$810,$A20)</f>
        <v>6</v>
      </c>
      <c r="J20" s="77">
        <f>COUNTIFS('Match Log'!$D$4:$D$810,J$7,'Match Log'!$C$4:$C$810,$A20)</f>
        <v>0</v>
      </c>
      <c r="K20" s="77">
        <f>COUNTIFS('Match Log'!$D$4:$D$810,K$7,'Match Log'!$C$4:$C$810,$A20)</f>
        <v>0</v>
      </c>
      <c r="L20" s="77">
        <f>COUNTIFS('Match Log'!$D$4:$D$810,L$7,'Match Log'!$C$4:$C$810,$A20)</f>
        <v>3</v>
      </c>
      <c r="M20" s="77">
        <f>COUNTIFS('Match Log'!$D$4:$D$810,M$7,'Match Log'!$C$4:$C$810,$A20)</f>
        <v>0</v>
      </c>
      <c r="N20" s="77">
        <f>COUNTIFS('Match Log'!$D$4:$D$810,N$7,'Match Log'!$C$4:$C$810,$A20)</f>
        <v>0</v>
      </c>
      <c r="O20" s="77">
        <f>COUNTIFS('Match Log'!$D$4:$D$810,O$7,'Match Log'!$C$4:$C$810,$A20)</f>
        <v>0</v>
      </c>
      <c r="P20" s="78">
        <f>SUMPRODUCT(('Match Log'!$C$4:$C$810=$A20)*('Match Log'!$D$4:$D$810='Match Log'!$G$4:$G$810)*('Match Log'!$D$4:$D$810&lt;&gt;""))</f>
        <v>10</v>
      </c>
      <c r="Q20" s="79" t="str">
        <f t="shared" si="0"/>
        <v>Daniel (Ferret)</v>
      </c>
      <c r="R20" s="78">
        <f t="shared" si="1"/>
        <v>5</v>
      </c>
    </row>
    <row r="21" spans="1:18" ht="15" customHeight="1" x14ac:dyDescent="0.2">
      <c r="A21" s="76" t="s">
        <v>199</v>
      </c>
      <c r="B21" s="77">
        <f>COUNTIFS('Match Log'!$D$4:$D$810,B$7,'Match Log'!$C$4:$C$810,$A21)</f>
        <v>3</v>
      </c>
      <c r="C21" s="77">
        <f>COUNTIFS('Match Log'!$D$4:$D$810,C$7,'Match Log'!$C$4:$C$810,$A21)</f>
        <v>0</v>
      </c>
      <c r="D21" s="77">
        <f>COUNTIFS('Match Log'!$D$4:$D$810,D$7,'Match Log'!$C$4:$C$810,$A21)</f>
        <v>4</v>
      </c>
      <c r="E21" s="77">
        <f>COUNTIFS('Match Log'!$D$4:$D$810,E$7,'Match Log'!$C$4:$C$810,$A21)</f>
        <v>0</v>
      </c>
      <c r="F21" s="77">
        <f>COUNTIFS('Match Log'!$D$4:$D$810,F$7,'Match Log'!$C$4:$C$810,$A21)</f>
        <v>0</v>
      </c>
      <c r="G21" s="77">
        <f>COUNTIFS('Match Log'!$D$4:$D$810,G$7,'Match Log'!$C$4:$C$810,$A21)</f>
        <v>7</v>
      </c>
      <c r="H21" s="77">
        <f>COUNTIFS('Match Log'!$D$4:$D$810,H$7,'Match Log'!$C$4:$C$810,$A21)</f>
        <v>0</v>
      </c>
      <c r="I21" s="77">
        <f>COUNTIFS('Match Log'!$D$4:$D$810,I$7,'Match Log'!$C$4:$C$810,$A21)</f>
        <v>7</v>
      </c>
      <c r="J21" s="77">
        <f>COUNTIFS('Match Log'!$D$4:$D$810,J$7,'Match Log'!$C$4:$C$810,$A21)</f>
        <v>0</v>
      </c>
      <c r="K21" s="77">
        <f>COUNTIFS('Match Log'!$D$4:$D$810,K$7,'Match Log'!$C$4:$C$810,$A21)</f>
        <v>0</v>
      </c>
      <c r="L21" s="77">
        <f>COUNTIFS('Match Log'!$D$4:$D$810,L$7,'Match Log'!$C$4:$C$810,$A21)</f>
        <v>7</v>
      </c>
      <c r="M21" s="77">
        <f>COUNTIFS('Match Log'!$D$4:$D$810,M$7,'Match Log'!$C$4:$C$810,$A21)</f>
        <v>0</v>
      </c>
      <c r="N21" s="77">
        <f>COUNTIFS('Match Log'!$D$4:$D$810,N$7,'Match Log'!$C$4:$C$810,$A21)</f>
        <v>0</v>
      </c>
      <c r="O21" s="77">
        <f>COUNTIFS('Match Log'!$D$4:$D$810,O$7,'Match Log'!$C$4:$C$810,$A21)</f>
        <v>0</v>
      </c>
      <c r="P21" s="78">
        <f>SUMPRODUCT(('Match Log'!$C$4:$C$810=$A21)*('Match Log'!$D$4:$D$810='Match Log'!$G$4:$G$810)*('Match Log'!$D$4:$D$810&lt;&gt;""))</f>
        <v>14</v>
      </c>
      <c r="Q21" s="79" t="str">
        <f t="shared" si="0"/>
        <v>Oscar</v>
      </c>
      <c r="R21" s="78">
        <f t="shared" si="1"/>
        <v>5</v>
      </c>
    </row>
    <row r="22" spans="1:18" ht="15" customHeight="1" x14ac:dyDescent="0.2">
      <c r="A22" s="76" t="s">
        <v>201</v>
      </c>
      <c r="B22" s="77">
        <f>COUNTIFS('Match Log'!$D$4:$D$810,B$7,'Match Log'!$C$4:$C$810,$A22)</f>
        <v>0</v>
      </c>
      <c r="C22" s="77">
        <f>COUNTIFS('Match Log'!$D$4:$D$810,C$7,'Match Log'!$C$4:$C$810,$A22)</f>
        <v>0</v>
      </c>
      <c r="D22" s="77">
        <f>COUNTIFS('Match Log'!$D$4:$D$810,D$7,'Match Log'!$C$4:$C$810,$A22)</f>
        <v>0</v>
      </c>
      <c r="E22" s="77">
        <f>COUNTIFS('Match Log'!$D$4:$D$810,E$7,'Match Log'!$C$4:$C$810,$A22)</f>
        <v>0</v>
      </c>
      <c r="F22" s="77">
        <f>COUNTIFS('Match Log'!$D$4:$D$810,F$7,'Match Log'!$C$4:$C$810,$A22)</f>
        <v>0</v>
      </c>
      <c r="G22" s="77">
        <f>COUNTIFS('Match Log'!$D$4:$D$810,G$7,'Match Log'!$C$4:$C$810,$A22)</f>
        <v>0</v>
      </c>
      <c r="H22" s="77">
        <f>COUNTIFS('Match Log'!$D$4:$D$810,H$7,'Match Log'!$C$4:$C$810,$A22)</f>
        <v>0</v>
      </c>
      <c r="I22" s="77">
        <f>COUNTIFS('Match Log'!$D$4:$D$810,I$7,'Match Log'!$C$4:$C$810,$A22)</f>
        <v>0</v>
      </c>
      <c r="J22" s="77">
        <f>COUNTIFS('Match Log'!$D$4:$D$810,J$7,'Match Log'!$C$4:$C$810,$A22)</f>
        <v>0</v>
      </c>
      <c r="K22" s="77">
        <f>COUNTIFS('Match Log'!$D$4:$D$810,K$7,'Match Log'!$C$4:$C$810,$A22)</f>
        <v>0</v>
      </c>
      <c r="L22" s="77">
        <f>COUNTIFS('Match Log'!$D$4:$D$810,L$7,'Match Log'!$C$4:$C$810,$A22)</f>
        <v>0</v>
      </c>
      <c r="M22" s="77">
        <f>COUNTIFS('Match Log'!$D$4:$D$810,M$7,'Match Log'!$C$4:$C$810,$A22)</f>
        <v>0</v>
      </c>
      <c r="N22" s="77">
        <f>COUNTIFS('Match Log'!$D$4:$D$810,N$7,'Match Log'!$C$4:$C$810,$A22)</f>
        <v>0</v>
      </c>
      <c r="O22" s="77">
        <f>COUNTIFS('Match Log'!$D$4:$D$810,O$7,'Match Log'!$C$4:$C$810,$A22)</f>
        <v>0</v>
      </c>
      <c r="P22" s="78">
        <f>SUMPRODUCT(('Match Log'!$C$4:$C$810=$A22)*('Match Log'!$D$4:$D$810='Match Log'!$G$4:$G$810)*('Match Log'!$D$4:$D$810&lt;&gt;""))</f>
        <v>0</v>
      </c>
      <c r="Q22" s="79" t="str">
        <f t="shared" si="0"/>
        <v>—</v>
      </c>
      <c r="R22" s="78" t="str">
        <f t="shared" si="1"/>
        <v>—</v>
      </c>
    </row>
    <row r="23" spans="1:18" ht="15" customHeight="1" x14ac:dyDescent="0.2">
      <c r="A23" s="76" t="s">
        <v>203</v>
      </c>
      <c r="B23" s="77">
        <f>COUNTIFS('Match Log'!$D$4:$D$810,B$7,'Match Log'!$C$4:$C$810,$A23)</f>
        <v>2</v>
      </c>
      <c r="C23" s="77">
        <f>COUNTIFS('Match Log'!$D$4:$D$810,C$7,'Match Log'!$C$4:$C$810,$A23)</f>
        <v>0</v>
      </c>
      <c r="D23" s="77">
        <f>COUNTIFS('Match Log'!$D$4:$D$810,D$7,'Match Log'!$C$4:$C$810,$A23)</f>
        <v>2</v>
      </c>
      <c r="E23" s="77">
        <f>COUNTIFS('Match Log'!$D$4:$D$810,E$7,'Match Log'!$C$4:$C$810,$A23)</f>
        <v>0</v>
      </c>
      <c r="F23" s="77">
        <f>COUNTIFS('Match Log'!$D$4:$D$810,F$7,'Match Log'!$C$4:$C$810,$A23)</f>
        <v>0</v>
      </c>
      <c r="G23" s="77">
        <f>COUNTIFS('Match Log'!$D$4:$D$810,G$7,'Match Log'!$C$4:$C$810,$A23)</f>
        <v>0</v>
      </c>
      <c r="H23" s="77">
        <f>COUNTIFS('Match Log'!$D$4:$D$810,H$7,'Match Log'!$C$4:$C$810,$A23)</f>
        <v>0</v>
      </c>
      <c r="I23" s="77">
        <f>COUNTIFS('Match Log'!$D$4:$D$810,I$7,'Match Log'!$C$4:$C$810,$A23)</f>
        <v>2</v>
      </c>
      <c r="J23" s="77">
        <f>COUNTIFS('Match Log'!$D$4:$D$810,J$7,'Match Log'!$C$4:$C$810,$A23)</f>
        <v>0</v>
      </c>
      <c r="K23" s="77">
        <f>COUNTIFS('Match Log'!$D$4:$D$810,K$7,'Match Log'!$C$4:$C$810,$A23)</f>
        <v>0</v>
      </c>
      <c r="L23" s="77">
        <f>COUNTIFS('Match Log'!$D$4:$D$810,L$7,'Match Log'!$C$4:$C$810,$A23)</f>
        <v>0</v>
      </c>
      <c r="M23" s="77">
        <f>COUNTIFS('Match Log'!$D$4:$D$810,M$7,'Match Log'!$C$4:$C$810,$A23)</f>
        <v>0</v>
      </c>
      <c r="N23" s="77">
        <f>COUNTIFS('Match Log'!$D$4:$D$810,N$7,'Match Log'!$C$4:$C$810,$A23)</f>
        <v>0</v>
      </c>
      <c r="O23" s="77">
        <f>COUNTIFS('Match Log'!$D$4:$D$810,O$7,'Match Log'!$C$4:$C$810,$A23)</f>
        <v>0</v>
      </c>
      <c r="P23" s="78">
        <f>SUMPRODUCT(('Match Log'!$C$4:$C$810=$A23)*('Match Log'!$D$4:$D$810='Match Log'!$G$4:$G$810)*('Match Log'!$D$4:$D$810&lt;&gt;""))</f>
        <v>3</v>
      </c>
      <c r="Q23" s="79" t="str">
        <f t="shared" si="0"/>
        <v>Daniel (Ferret)</v>
      </c>
      <c r="R23" s="78">
        <f t="shared" si="1"/>
        <v>2</v>
      </c>
    </row>
    <row r="24" spans="1:18" ht="15" customHeight="1" x14ac:dyDescent="0.2">
      <c r="A24" s="76" t="s">
        <v>204</v>
      </c>
      <c r="B24" s="77">
        <f>COUNTIFS('Match Log'!$D$4:$D$810,B$7,'Match Log'!$C$4:$C$810,$A24)</f>
        <v>0</v>
      </c>
      <c r="C24" s="77">
        <f>COUNTIFS('Match Log'!$D$4:$D$810,C$7,'Match Log'!$C$4:$C$810,$A24)</f>
        <v>0</v>
      </c>
      <c r="D24" s="77">
        <f>COUNTIFS('Match Log'!$D$4:$D$810,D$7,'Match Log'!$C$4:$C$810,$A24)</f>
        <v>1</v>
      </c>
      <c r="E24" s="77">
        <f>COUNTIFS('Match Log'!$D$4:$D$810,E$7,'Match Log'!$C$4:$C$810,$A24)</f>
        <v>0</v>
      </c>
      <c r="F24" s="77">
        <f>COUNTIFS('Match Log'!$D$4:$D$810,F$7,'Match Log'!$C$4:$C$810,$A24)</f>
        <v>1</v>
      </c>
      <c r="G24" s="77">
        <f>COUNTIFS('Match Log'!$D$4:$D$810,G$7,'Match Log'!$C$4:$C$810,$A24)</f>
        <v>0</v>
      </c>
      <c r="H24" s="77">
        <f>COUNTIFS('Match Log'!$D$4:$D$810,H$7,'Match Log'!$C$4:$C$810,$A24)</f>
        <v>0</v>
      </c>
      <c r="I24" s="77">
        <f>COUNTIFS('Match Log'!$D$4:$D$810,I$7,'Match Log'!$C$4:$C$810,$A24)</f>
        <v>1</v>
      </c>
      <c r="J24" s="77">
        <f>COUNTIFS('Match Log'!$D$4:$D$810,J$7,'Match Log'!$C$4:$C$810,$A24)</f>
        <v>0</v>
      </c>
      <c r="K24" s="77">
        <f>COUNTIFS('Match Log'!$D$4:$D$810,K$7,'Match Log'!$C$4:$C$810,$A24)</f>
        <v>0</v>
      </c>
      <c r="L24" s="77">
        <f>COUNTIFS('Match Log'!$D$4:$D$810,L$7,'Match Log'!$C$4:$C$810,$A24)</f>
        <v>0</v>
      </c>
      <c r="M24" s="77">
        <f>COUNTIFS('Match Log'!$D$4:$D$810,M$7,'Match Log'!$C$4:$C$810,$A24)</f>
        <v>0</v>
      </c>
      <c r="N24" s="77">
        <f>COUNTIFS('Match Log'!$D$4:$D$810,N$7,'Match Log'!$C$4:$C$810,$A24)</f>
        <v>0</v>
      </c>
      <c r="O24" s="77">
        <f>COUNTIFS('Match Log'!$D$4:$D$810,O$7,'Match Log'!$C$4:$C$810,$A24)</f>
        <v>0</v>
      </c>
      <c r="P24" s="78">
        <f>SUMPRODUCT(('Match Log'!$C$4:$C$810=$A24)*('Match Log'!$D$4:$D$810='Match Log'!$G$4:$G$810)*('Match Log'!$D$4:$D$810&lt;&gt;""))</f>
        <v>1</v>
      </c>
      <c r="Q24" s="79" t="str">
        <f t="shared" si="0"/>
        <v>Josh</v>
      </c>
      <c r="R24" s="78">
        <f t="shared" si="1"/>
        <v>1</v>
      </c>
    </row>
    <row r="25" spans="1:18" ht="15" customHeight="1" x14ac:dyDescent="0.2">
      <c r="A25" s="76" t="s">
        <v>206</v>
      </c>
      <c r="B25" s="77">
        <f>COUNTIFS('Match Log'!$D$4:$D$810,B$7,'Match Log'!$C$4:$C$810,$A25)</f>
        <v>7</v>
      </c>
      <c r="C25" s="77">
        <f>COUNTIFS('Match Log'!$D$4:$D$810,C$7,'Match Log'!$C$4:$C$810,$A25)</f>
        <v>8</v>
      </c>
      <c r="D25" s="77">
        <f>COUNTIFS('Match Log'!$D$4:$D$810,D$7,'Match Log'!$C$4:$C$810,$A25)</f>
        <v>1</v>
      </c>
      <c r="E25" s="77">
        <f>COUNTIFS('Match Log'!$D$4:$D$810,E$7,'Match Log'!$C$4:$C$810,$A25)</f>
        <v>7</v>
      </c>
      <c r="F25" s="77">
        <f>COUNTIFS('Match Log'!$D$4:$D$810,F$7,'Match Log'!$C$4:$C$810,$A25)</f>
        <v>8</v>
      </c>
      <c r="G25" s="77">
        <f>COUNTIFS('Match Log'!$D$4:$D$810,G$7,'Match Log'!$C$4:$C$810,$A25)</f>
        <v>9</v>
      </c>
      <c r="H25" s="77">
        <f>COUNTIFS('Match Log'!$D$4:$D$810,H$7,'Match Log'!$C$4:$C$810,$A25)</f>
        <v>11</v>
      </c>
      <c r="I25" s="77">
        <f>COUNTIFS('Match Log'!$D$4:$D$810,I$7,'Match Log'!$C$4:$C$810,$A25)</f>
        <v>9</v>
      </c>
      <c r="J25" s="77">
        <f>COUNTIFS('Match Log'!$D$4:$D$810,J$7,'Match Log'!$C$4:$C$810,$A25)</f>
        <v>10</v>
      </c>
      <c r="K25" s="77">
        <f>COUNTIFS('Match Log'!$D$4:$D$810,K$7,'Match Log'!$C$4:$C$810,$A25)</f>
        <v>7</v>
      </c>
      <c r="L25" s="77">
        <f>COUNTIFS('Match Log'!$D$4:$D$810,L$7,'Match Log'!$C$4:$C$810,$A25)</f>
        <v>12</v>
      </c>
      <c r="M25" s="77">
        <f>COUNTIFS('Match Log'!$D$4:$D$810,M$7,'Match Log'!$C$4:$C$810,$A25)</f>
        <v>5</v>
      </c>
      <c r="N25" s="77">
        <f>COUNTIFS('Match Log'!$D$4:$D$810,N$7,'Match Log'!$C$4:$C$810,$A25)</f>
        <v>4</v>
      </c>
      <c r="O25" s="77">
        <f>COUNTIFS('Match Log'!$D$4:$D$810,O$7,'Match Log'!$C$4:$C$810,$A25)</f>
        <v>0</v>
      </c>
      <c r="P25" s="78">
        <f>SUMPRODUCT(('Match Log'!$C$4:$C$810=$A25)*('Match Log'!$D$4:$D$810='Match Log'!$G$4:$G$810)*('Match Log'!$D$4:$D$810&lt;&gt;""))</f>
        <v>31</v>
      </c>
      <c r="Q25" s="79" t="str">
        <f t="shared" si="0"/>
        <v>Simon</v>
      </c>
      <c r="R25" s="78">
        <f t="shared" si="1"/>
        <v>8</v>
      </c>
    </row>
    <row r="26" spans="1:18" ht="15" customHeight="1" x14ac:dyDescent="0.2">
      <c r="A26" s="76" t="s">
        <v>208</v>
      </c>
      <c r="B26" s="77">
        <f>COUNTIFS('Match Log'!$D$4:$D$810,B$7,'Match Log'!$C$4:$C$810,$A26)</f>
        <v>5</v>
      </c>
      <c r="C26" s="77">
        <f>COUNTIFS('Match Log'!$D$4:$D$810,C$7,'Match Log'!$C$4:$C$810,$A26)</f>
        <v>0</v>
      </c>
      <c r="D26" s="77">
        <f>COUNTIFS('Match Log'!$D$4:$D$810,D$7,'Match Log'!$C$4:$C$810,$A26)</f>
        <v>0</v>
      </c>
      <c r="E26" s="77">
        <f>COUNTIFS('Match Log'!$D$4:$D$810,E$7,'Match Log'!$C$4:$C$810,$A26)</f>
        <v>0</v>
      </c>
      <c r="F26" s="77">
        <f>COUNTIFS('Match Log'!$D$4:$D$810,F$7,'Match Log'!$C$4:$C$810,$A26)</f>
        <v>4</v>
      </c>
      <c r="G26" s="77">
        <f>COUNTIFS('Match Log'!$D$4:$D$810,G$7,'Match Log'!$C$4:$C$810,$A26)</f>
        <v>5</v>
      </c>
      <c r="H26" s="77">
        <f>COUNTIFS('Match Log'!$D$4:$D$810,H$7,'Match Log'!$C$4:$C$810,$A26)</f>
        <v>0</v>
      </c>
      <c r="I26" s="77">
        <f>COUNTIFS('Match Log'!$D$4:$D$810,I$7,'Match Log'!$C$4:$C$810,$A26)</f>
        <v>4</v>
      </c>
      <c r="J26" s="77">
        <f>COUNTIFS('Match Log'!$D$4:$D$810,J$7,'Match Log'!$C$4:$C$810,$A26)</f>
        <v>0</v>
      </c>
      <c r="K26" s="77">
        <f>COUNTIFS('Match Log'!$D$4:$D$810,K$7,'Match Log'!$C$4:$C$810,$A26)</f>
        <v>0</v>
      </c>
      <c r="L26" s="77">
        <f>COUNTIFS('Match Log'!$D$4:$D$810,L$7,'Match Log'!$C$4:$C$810,$A26)</f>
        <v>0</v>
      </c>
      <c r="M26" s="77">
        <f>COUNTIFS('Match Log'!$D$4:$D$810,M$7,'Match Log'!$C$4:$C$810,$A26)</f>
        <v>0</v>
      </c>
      <c r="N26" s="77">
        <f>COUNTIFS('Match Log'!$D$4:$D$810,N$7,'Match Log'!$C$4:$C$810,$A26)</f>
        <v>0</v>
      </c>
      <c r="O26" s="77">
        <f>COUNTIFS('Match Log'!$D$4:$D$810,O$7,'Match Log'!$C$4:$C$810,$A26)</f>
        <v>0</v>
      </c>
      <c r="P26" s="78">
        <f>SUMPRODUCT(('Match Log'!$C$4:$C$810=$A26)*('Match Log'!$D$4:$D$810='Match Log'!$G$4:$G$810)*('Match Log'!$D$4:$D$810&lt;&gt;""))</f>
        <v>9</v>
      </c>
      <c r="Q26" s="79" t="str">
        <f t="shared" si="0"/>
        <v>Shawn</v>
      </c>
      <c r="R26" s="78">
        <f t="shared" si="1"/>
        <v>4</v>
      </c>
    </row>
    <row r="27" spans="1:18" x14ac:dyDescent="0.2">
      <c r="A27" s="76" t="s">
        <v>407</v>
      </c>
      <c r="B27" s="77">
        <f>COUNTIFS('Match Log'!$D$4:$D$810,B$7,'Match Log'!$C$4:$C$810,$A27)</f>
        <v>0</v>
      </c>
      <c r="C27" s="77">
        <f>COUNTIFS('Match Log'!$D$4:$D$810,C$7,'Match Log'!$C$4:$C$810,$A27)</f>
        <v>0</v>
      </c>
      <c r="D27" s="77">
        <f>COUNTIFS('Match Log'!$D$4:$D$810,D$7,'Match Log'!$C$4:$C$810,$A27)</f>
        <v>0</v>
      </c>
      <c r="E27" s="77">
        <f>COUNTIFS('Match Log'!$D$4:$D$810,E$7,'Match Log'!$C$4:$C$810,$A27)</f>
        <v>0</v>
      </c>
      <c r="F27" s="77">
        <f>COUNTIFS('Match Log'!$D$4:$D$810,F$7,'Match Log'!$C$4:$C$810,$A27)</f>
        <v>0</v>
      </c>
      <c r="G27" s="77">
        <f>COUNTIFS('Match Log'!$D$4:$D$810,G$7,'Match Log'!$C$4:$C$810,$A27)</f>
        <v>0</v>
      </c>
      <c r="H27" s="77">
        <f>COUNTIFS('Match Log'!$D$4:$D$810,H$7,'Match Log'!$C$4:$C$810,$A27)</f>
        <v>0</v>
      </c>
      <c r="I27" s="77">
        <f>COUNTIFS('Match Log'!$D$4:$D$810,I$7,'Match Log'!$C$4:$C$810,$A27)</f>
        <v>0</v>
      </c>
      <c r="J27" s="77">
        <f>COUNTIFS('Match Log'!$D$4:$D$810,J$7,'Match Log'!$C$4:$C$810,$A27)</f>
        <v>0</v>
      </c>
      <c r="K27" s="77">
        <f>COUNTIFS('Match Log'!$D$4:$D$810,K$7,'Match Log'!$C$4:$C$810,$A27)</f>
        <v>0</v>
      </c>
      <c r="L27" s="77">
        <f>COUNTIFS('Match Log'!$D$4:$D$810,L$7,'Match Log'!$C$4:$C$810,$A27)</f>
        <v>0</v>
      </c>
      <c r="M27" s="77">
        <f>COUNTIFS('Match Log'!$D$4:$D$810,M$7,'Match Log'!$C$4:$C$810,$A27)</f>
        <v>0</v>
      </c>
      <c r="N27" s="77">
        <f>COUNTIFS('Match Log'!$D$4:$D$810,N$7,'Match Log'!$C$4:$C$810,$A27)</f>
        <v>0</v>
      </c>
      <c r="O27" s="77">
        <f>COUNTIFS('Match Log'!$D$4:$D$810,O$7,'Match Log'!$C$4:$C$810,$A27)</f>
        <v>0</v>
      </c>
      <c r="P27" s="78">
        <f>SUMPRODUCT(('Match Log'!$C$4:$C$810=$A27)*('Match Log'!$D$4:$D$810='Match Log'!$G$4:$G$810)*('Match Log'!$D$4:$D$810&lt;&gt;""))</f>
        <v>0</v>
      </c>
      <c r="Q27" s="79" t="str">
        <f>IF($P27=0,"—",INDEX($B$29:$O$29,MATCH(MAX($B49:$O49),$B49:$O49,0)))</f>
        <v>—</v>
      </c>
      <c r="R27" s="78" t="str">
        <f>IF($P27=0,"—",MAX($B49:$O49))</f>
        <v>—</v>
      </c>
    </row>
    <row r="28" spans="1:18" ht="15" customHeight="1" x14ac:dyDescent="0.2">
      <c r="A28" s="157" t="s">
        <v>226</v>
      </c>
      <c r="B28" s="157"/>
      <c r="C28" s="157"/>
      <c r="D28" s="157"/>
      <c r="E28" s="157"/>
      <c r="F28" s="157"/>
      <c r="G28" s="157"/>
      <c r="H28" s="157"/>
      <c r="I28" s="157"/>
      <c r="J28" s="157"/>
      <c r="K28" s="157"/>
      <c r="L28" s="157"/>
      <c r="M28" s="157"/>
      <c r="N28" s="157"/>
      <c r="O28" s="157"/>
      <c r="P28" s="157"/>
      <c r="Q28" s="157"/>
    </row>
    <row r="29" spans="1:18" ht="91.5" customHeight="1" x14ac:dyDescent="0.2">
      <c r="A29" s="74" t="s">
        <v>123</v>
      </c>
      <c r="B29" s="75" t="s">
        <v>138</v>
      </c>
      <c r="C29" s="75" t="s">
        <v>135</v>
      </c>
      <c r="D29" s="75" t="s">
        <v>173</v>
      </c>
      <c r="E29" s="75" t="s">
        <v>140</v>
      </c>
      <c r="F29" s="75" t="s">
        <v>137</v>
      </c>
      <c r="G29" s="75" t="s">
        <v>134</v>
      </c>
      <c r="H29" s="75" t="s">
        <v>168</v>
      </c>
      <c r="I29" s="75" t="s">
        <v>170</v>
      </c>
      <c r="J29" s="75" t="s">
        <v>167</v>
      </c>
      <c r="K29" s="75" t="s">
        <v>175</v>
      </c>
      <c r="L29" s="75" t="s">
        <v>169</v>
      </c>
      <c r="M29" s="75" t="s">
        <v>171</v>
      </c>
      <c r="N29" s="75" t="s">
        <v>172</v>
      </c>
      <c r="O29" s="75" t="s">
        <v>174</v>
      </c>
    </row>
    <row r="30" spans="1:18" ht="15" customHeight="1" x14ac:dyDescent="0.2">
      <c r="A30" s="76" t="s">
        <v>181</v>
      </c>
      <c r="B30" s="77">
        <f>COUNTIFS('Match Log'!$D$4:$D$810,B$29,'Match Log'!$C$4:$C$810,$A30,'Match Log'!$E$4:$E$810,"Win")</f>
        <v>0</v>
      </c>
      <c r="C30" s="77">
        <f>COUNTIFS('Match Log'!$D$4:$D$810,C$29,'Match Log'!$C$4:$C$810,$A30,'Match Log'!$E$4:$E$810,"Win")</f>
        <v>0</v>
      </c>
      <c r="D30" s="77">
        <f>COUNTIFS('Match Log'!$D$4:$D$810,D$29,'Match Log'!$C$4:$C$810,$A30,'Match Log'!$E$4:$E$810,"Win")</f>
        <v>0</v>
      </c>
      <c r="E30" s="77">
        <f>COUNTIFS('Match Log'!$D$4:$D$810,E$29,'Match Log'!$C$4:$C$810,$A30,'Match Log'!$E$4:$E$810,"Win")</f>
        <v>0</v>
      </c>
      <c r="F30" s="77">
        <f>COUNTIFS('Match Log'!$D$4:$D$810,F$29,'Match Log'!$C$4:$C$810,$A30,'Match Log'!$E$4:$E$810,"Win")</f>
        <v>0</v>
      </c>
      <c r="G30" s="77">
        <f>COUNTIFS('Match Log'!$D$4:$D$810,G$29,'Match Log'!$C$4:$C$810,$A30,'Match Log'!$E$4:$E$810,"Win")</f>
        <v>2</v>
      </c>
      <c r="H30" s="77">
        <f>COUNTIFS('Match Log'!$D$4:$D$810,H$29,'Match Log'!$C$4:$C$810,$A30,'Match Log'!$E$4:$E$810,"Win")</f>
        <v>0</v>
      </c>
      <c r="I30" s="77">
        <f>COUNTIFS('Match Log'!$D$4:$D$810,I$29,'Match Log'!$C$4:$C$810,$A30,'Match Log'!$E$4:$E$810,"Win")</f>
        <v>0</v>
      </c>
      <c r="J30" s="77">
        <f>COUNTIFS('Match Log'!$D$4:$D$810,J$29,'Match Log'!$C$4:$C$810,$A30,'Match Log'!$E$4:$E$810,"Win")</f>
        <v>0</v>
      </c>
      <c r="K30" s="77">
        <f>COUNTIFS('Match Log'!$D$4:$D$810,K$29,'Match Log'!$C$4:$C$810,$A30,'Match Log'!$E$4:$E$810,"Win")</f>
        <v>0</v>
      </c>
      <c r="L30" s="77">
        <f>COUNTIFS('Match Log'!$D$4:$D$810,L$29,'Match Log'!$C$4:$C$810,$A30,'Match Log'!$E$4:$E$810,"Win")</f>
        <v>0</v>
      </c>
      <c r="M30" s="77">
        <f>COUNTIFS('Match Log'!$D$4:$D$810,M$29,'Match Log'!$C$4:$C$810,$A30,'Match Log'!$E$4:$E$810,"Win")</f>
        <v>0</v>
      </c>
      <c r="N30" s="77">
        <f>COUNTIFS('Match Log'!$D$4:$D$810,N$29,'Match Log'!$C$4:$C$810,$A30,'Match Log'!$E$4:$E$810,"Win")</f>
        <v>0</v>
      </c>
      <c r="O30" s="77">
        <f>COUNTIFS('Match Log'!$D$4:$D$810,O$29,'Match Log'!$C$4:$C$810,$A30,'Match Log'!$E$4:$E$810,"Win")</f>
        <v>0</v>
      </c>
    </row>
    <row r="31" spans="1:18" ht="15" customHeight="1" x14ac:dyDescent="0.2">
      <c r="A31" s="76" t="s">
        <v>182</v>
      </c>
      <c r="B31" s="77">
        <f>COUNTIFS('Match Log'!$D$4:$D$810,B$29,'Match Log'!$C$4:$C$810,$A31,'Match Log'!$E$4:$E$810,"Win")</f>
        <v>0</v>
      </c>
      <c r="C31" s="77">
        <f>COUNTIFS('Match Log'!$D$4:$D$810,C$29,'Match Log'!$C$4:$C$810,$A31,'Match Log'!$E$4:$E$810,"Win")</f>
        <v>0</v>
      </c>
      <c r="D31" s="77">
        <f>COUNTIFS('Match Log'!$D$4:$D$810,D$29,'Match Log'!$C$4:$C$810,$A31,'Match Log'!$E$4:$E$810,"Win")</f>
        <v>0</v>
      </c>
      <c r="E31" s="77">
        <f>COUNTIFS('Match Log'!$D$4:$D$810,E$29,'Match Log'!$C$4:$C$810,$A31,'Match Log'!$E$4:$E$810,"Win")</f>
        <v>0</v>
      </c>
      <c r="F31" s="77">
        <f>COUNTIFS('Match Log'!$D$4:$D$810,F$29,'Match Log'!$C$4:$C$810,$A31,'Match Log'!$E$4:$E$810,"Win")</f>
        <v>0</v>
      </c>
      <c r="G31" s="77">
        <f>COUNTIFS('Match Log'!$D$4:$D$810,G$29,'Match Log'!$C$4:$C$810,$A31,'Match Log'!$E$4:$E$810,"Win")</f>
        <v>0</v>
      </c>
      <c r="H31" s="77">
        <f>COUNTIFS('Match Log'!$D$4:$D$810,H$29,'Match Log'!$C$4:$C$810,$A31,'Match Log'!$E$4:$E$810,"Win")</f>
        <v>0</v>
      </c>
      <c r="I31" s="77">
        <f>COUNTIFS('Match Log'!$D$4:$D$810,I$29,'Match Log'!$C$4:$C$810,$A31,'Match Log'!$E$4:$E$810,"Win")</f>
        <v>0</v>
      </c>
      <c r="J31" s="77">
        <f>COUNTIFS('Match Log'!$D$4:$D$810,J$29,'Match Log'!$C$4:$C$810,$A31,'Match Log'!$E$4:$E$810,"Win")</f>
        <v>0</v>
      </c>
      <c r="K31" s="77">
        <f>COUNTIFS('Match Log'!$D$4:$D$810,K$29,'Match Log'!$C$4:$C$810,$A31,'Match Log'!$E$4:$E$810,"Win")</f>
        <v>0</v>
      </c>
      <c r="L31" s="77">
        <f>COUNTIFS('Match Log'!$D$4:$D$810,L$29,'Match Log'!$C$4:$C$810,$A31,'Match Log'!$E$4:$E$810,"Win")</f>
        <v>0</v>
      </c>
      <c r="M31" s="77">
        <f>COUNTIFS('Match Log'!$D$4:$D$810,M$29,'Match Log'!$C$4:$C$810,$A31,'Match Log'!$E$4:$E$810,"Win")</f>
        <v>0</v>
      </c>
      <c r="N31" s="77">
        <f>COUNTIFS('Match Log'!$D$4:$D$810,N$29,'Match Log'!$C$4:$C$810,$A31,'Match Log'!$E$4:$E$810,"Win")</f>
        <v>0</v>
      </c>
      <c r="O31" s="77">
        <f>COUNTIFS('Match Log'!$D$4:$D$810,O$29,'Match Log'!$C$4:$C$810,$A31,'Match Log'!$E$4:$E$810,"Win")</f>
        <v>0</v>
      </c>
    </row>
    <row r="32" spans="1:18" ht="15" customHeight="1" x14ac:dyDescent="0.2">
      <c r="A32" s="76" t="s">
        <v>183</v>
      </c>
      <c r="B32" s="77">
        <f>COUNTIFS('Match Log'!$D$4:$D$810,B$29,'Match Log'!$C$4:$C$810,$A32,'Match Log'!$E$4:$E$810,"Win")</f>
        <v>9</v>
      </c>
      <c r="C32" s="77">
        <f>COUNTIFS('Match Log'!$D$4:$D$810,C$29,'Match Log'!$C$4:$C$810,$A32,'Match Log'!$E$4:$E$810,"Win")</f>
        <v>0</v>
      </c>
      <c r="D32" s="77">
        <f>COUNTIFS('Match Log'!$D$4:$D$810,D$29,'Match Log'!$C$4:$C$810,$A32,'Match Log'!$E$4:$E$810,"Win")</f>
        <v>0</v>
      </c>
      <c r="E32" s="77">
        <f>COUNTIFS('Match Log'!$D$4:$D$810,E$29,'Match Log'!$C$4:$C$810,$A32,'Match Log'!$E$4:$E$810,"Win")</f>
        <v>0</v>
      </c>
      <c r="F32" s="77">
        <f>COUNTIFS('Match Log'!$D$4:$D$810,F$29,'Match Log'!$C$4:$C$810,$A32,'Match Log'!$E$4:$E$810,"Win")</f>
        <v>0</v>
      </c>
      <c r="G32" s="77">
        <f>COUNTIFS('Match Log'!$D$4:$D$810,G$29,'Match Log'!$C$4:$C$810,$A32,'Match Log'!$E$4:$E$810,"Win")</f>
        <v>9</v>
      </c>
      <c r="H32" s="77">
        <f>COUNTIFS('Match Log'!$D$4:$D$810,H$29,'Match Log'!$C$4:$C$810,$A32,'Match Log'!$E$4:$E$810,"Win")</f>
        <v>0</v>
      </c>
      <c r="I32" s="77">
        <f>COUNTIFS('Match Log'!$D$4:$D$810,I$29,'Match Log'!$C$4:$C$810,$A32,'Match Log'!$E$4:$E$810,"Win")</f>
        <v>4</v>
      </c>
      <c r="J32" s="77">
        <f>COUNTIFS('Match Log'!$D$4:$D$810,J$29,'Match Log'!$C$4:$C$810,$A32,'Match Log'!$E$4:$E$810,"Win")</f>
        <v>0</v>
      </c>
      <c r="K32" s="77">
        <f>COUNTIFS('Match Log'!$D$4:$D$810,K$29,'Match Log'!$C$4:$C$810,$A32,'Match Log'!$E$4:$E$810,"Win")</f>
        <v>0</v>
      </c>
      <c r="L32" s="77">
        <f>COUNTIFS('Match Log'!$D$4:$D$810,L$29,'Match Log'!$C$4:$C$810,$A32,'Match Log'!$E$4:$E$810,"Win")</f>
        <v>1</v>
      </c>
      <c r="M32" s="77">
        <f>COUNTIFS('Match Log'!$D$4:$D$810,M$29,'Match Log'!$C$4:$C$810,$A32,'Match Log'!$E$4:$E$810,"Win")</f>
        <v>0</v>
      </c>
      <c r="N32" s="77">
        <f>COUNTIFS('Match Log'!$D$4:$D$810,N$29,'Match Log'!$C$4:$C$810,$A32,'Match Log'!$E$4:$E$810,"Win")</f>
        <v>0</v>
      </c>
      <c r="O32" s="77">
        <f>COUNTIFS('Match Log'!$D$4:$D$810,O$29,'Match Log'!$C$4:$C$810,$A32,'Match Log'!$E$4:$E$810,"Win")</f>
        <v>0</v>
      </c>
    </row>
    <row r="33" spans="1:15" ht="15" customHeight="1" x14ac:dyDescent="0.2">
      <c r="A33" s="76" t="s">
        <v>184</v>
      </c>
      <c r="B33" s="77">
        <f>COUNTIFS('Match Log'!$D$4:$D$810,B$29,'Match Log'!$C$4:$C$810,$A33,'Match Log'!$E$4:$E$810,"Win")</f>
        <v>0</v>
      </c>
      <c r="C33" s="77">
        <f>COUNTIFS('Match Log'!$D$4:$D$810,C$29,'Match Log'!$C$4:$C$810,$A33,'Match Log'!$E$4:$E$810,"Win")</f>
        <v>0</v>
      </c>
      <c r="D33" s="77">
        <f>COUNTIFS('Match Log'!$D$4:$D$810,D$29,'Match Log'!$C$4:$C$810,$A33,'Match Log'!$E$4:$E$810,"Win")</f>
        <v>0</v>
      </c>
      <c r="E33" s="77">
        <f>COUNTIFS('Match Log'!$D$4:$D$810,E$29,'Match Log'!$C$4:$C$810,$A33,'Match Log'!$E$4:$E$810,"Win")</f>
        <v>0</v>
      </c>
      <c r="F33" s="77">
        <f>COUNTIFS('Match Log'!$D$4:$D$810,F$29,'Match Log'!$C$4:$C$810,$A33,'Match Log'!$E$4:$E$810,"Win")</f>
        <v>0</v>
      </c>
      <c r="G33" s="77">
        <f>COUNTIFS('Match Log'!$D$4:$D$810,G$29,'Match Log'!$C$4:$C$810,$A33,'Match Log'!$E$4:$E$810,"Win")</f>
        <v>0</v>
      </c>
      <c r="H33" s="77">
        <f>COUNTIFS('Match Log'!$D$4:$D$810,H$29,'Match Log'!$C$4:$C$810,$A33,'Match Log'!$E$4:$E$810,"Win")</f>
        <v>0</v>
      </c>
      <c r="I33" s="77">
        <f>COUNTIFS('Match Log'!$D$4:$D$810,I$29,'Match Log'!$C$4:$C$810,$A33,'Match Log'!$E$4:$E$810,"Win")</f>
        <v>0</v>
      </c>
      <c r="J33" s="77">
        <f>COUNTIFS('Match Log'!$D$4:$D$810,J$29,'Match Log'!$C$4:$C$810,$A33,'Match Log'!$E$4:$E$810,"Win")</f>
        <v>0</v>
      </c>
      <c r="K33" s="77">
        <f>COUNTIFS('Match Log'!$D$4:$D$810,K$29,'Match Log'!$C$4:$C$810,$A33,'Match Log'!$E$4:$E$810,"Win")</f>
        <v>0</v>
      </c>
      <c r="L33" s="77">
        <f>COUNTIFS('Match Log'!$D$4:$D$810,L$29,'Match Log'!$C$4:$C$810,$A33,'Match Log'!$E$4:$E$810,"Win")</f>
        <v>0</v>
      </c>
      <c r="M33" s="77">
        <f>COUNTIFS('Match Log'!$D$4:$D$810,M$29,'Match Log'!$C$4:$C$810,$A33,'Match Log'!$E$4:$E$810,"Win")</f>
        <v>0</v>
      </c>
      <c r="N33" s="77">
        <f>COUNTIFS('Match Log'!$D$4:$D$810,N$29,'Match Log'!$C$4:$C$810,$A33,'Match Log'!$E$4:$E$810,"Win")</f>
        <v>0</v>
      </c>
      <c r="O33" s="77">
        <f>COUNTIFS('Match Log'!$D$4:$D$810,O$29,'Match Log'!$C$4:$C$810,$A33,'Match Log'!$E$4:$E$810,"Win")</f>
        <v>0</v>
      </c>
    </row>
    <row r="34" spans="1:15" ht="15" customHeight="1" x14ac:dyDescent="0.2">
      <c r="A34" s="76" t="s">
        <v>185</v>
      </c>
      <c r="B34" s="77">
        <f>COUNTIFS('Match Log'!$D$4:$D$810,B$29,'Match Log'!$C$4:$C$810,$A34,'Match Log'!$E$4:$E$810,"Win")</f>
        <v>0</v>
      </c>
      <c r="C34" s="77">
        <f>COUNTIFS('Match Log'!$D$4:$D$810,C$29,'Match Log'!$C$4:$C$810,$A34,'Match Log'!$E$4:$E$810,"Win")</f>
        <v>0</v>
      </c>
      <c r="D34" s="77">
        <f>COUNTIFS('Match Log'!$D$4:$D$810,D$29,'Match Log'!$C$4:$C$810,$A34,'Match Log'!$E$4:$E$810,"Win")</f>
        <v>0</v>
      </c>
      <c r="E34" s="77">
        <f>COUNTIFS('Match Log'!$D$4:$D$810,E$29,'Match Log'!$C$4:$C$810,$A34,'Match Log'!$E$4:$E$810,"Win")</f>
        <v>0</v>
      </c>
      <c r="F34" s="77">
        <f>COUNTIFS('Match Log'!$D$4:$D$810,F$29,'Match Log'!$C$4:$C$810,$A34,'Match Log'!$E$4:$E$810,"Win")</f>
        <v>0</v>
      </c>
      <c r="G34" s="77">
        <f>COUNTIFS('Match Log'!$D$4:$D$810,G$29,'Match Log'!$C$4:$C$810,$A34,'Match Log'!$E$4:$E$810,"Win")</f>
        <v>0</v>
      </c>
      <c r="H34" s="77">
        <f>COUNTIFS('Match Log'!$D$4:$D$810,H$29,'Match Log'!$C$4:$C$810,$A34,'Match Log'!$E$4:$E$810,"Win")</f>
        <v>2</v>
      </c>
      <c r="I34" s="77">
        <f>COUNTIFS('Match Log'!$D$4:$D$810,I$29,'Match Log'!$C$4:$C$810,$A34,'Match Log'!$E$4:$E$810,"Win")</f>
        <v>2</v>
      </c>
      <c r="J34" s="77">
        <f>COUNTIFS('Match Log'!$D$4:$D$810,J$29,'Match Log'!$C$4:$C$810,$A34,'Match Log'!$E$4:$E$810,"Win")</f>
        <v>4</v>
      </c>
      <c r="K34" s="77">
        <f>COUNTIFS('Match Log'!$D$4:$D$810,K$29,'Match Log'!$C$4:$C$810,$A34,'Match Log'!$E$4:$E$810,"Win")</f>
        <v>0</v>
      </c>
      <c r="L34" s="77">
        <f>COUNTIFS('Match Log'!$D$4:$D$810,L$29,'Match Log'!$C$4:$C$810,$A34,'Match Log'!$E$4:$E$810,"Win")</f>
        <v>2</v>
      </c>
      <c r="M34" s="77">
        <f>COUNTIFS('Match Log'!$D$4:$D$810,M$29,'Match Log'!$C$4:$C$810,$A34,'Match Log'!$E$4:$E$810,"Win")</f>
        <v>0</v>
      </c>
      <c r="N34" s="77">
        <f>COUNTIFS('Match Log'!$D$4:$D$810,N$29,'Match Log'!$C$4:$C$810,$A34,'Match Log'!$E$4:$E$810,"Win")</f>
        <v>0</v>
      </c>
      <c r="O34" s="77">
        <f>COUNTIFS('Match Log'!$D$4:$D$810,O$29,'Match Log'!$C$4:$C$810,$A34,'Match Log'!$E$4:$E$810,"Win")</f>
        <v>0</v>
      </c>
    </row>
    <row r="35" spans="1:15" ht="15" customHeight="1" x14ac:dyDescent="0.2">
      <c r="A35" s="76" t="s">
        <v>186</v>
      </c>
      <c r="B35" s="77">
        <f>COUNTIFS('Match Log'!$D$4:$D$810,B$29,'Match Log'!$C$4:$C$810,$A35,'Match Log'!$E$4:$E$810,"Win")</f>
        <v>1</v>
      </c>
      <c r="C35" s="77">
        <f>COUNTIFS('Match Log'!$D$4:$D$810,C$29,'Match Log'!$C$4:$C$810,$A35,'Match Log'!$E$4:$E$810,"Win")</f>
        <v>0</v>
      </c>
      <c r="D35" s="77">
        <f>COUNTIFS('Match Log'!$D$4:$D$810,D$29,'Match Log'!$C$4:$C$810,$A35,'Match Log'!$E$4:$E$810,"Win")</f>
        <v>0</v>
      </c>
      <c r="E35" s="77">
        <f>COUNTIFS('Match Log'!$D$4:$D$810,E$29,'Match Log'!$C$4:$C$810,$A35,'Match Log'!$E$4:$E$810,"Win")</f>
        <v>0</v>
      </c>
      <c r="F35" s="77">
        <f>COUNTIFS('Match Log'!$D$4:$D$810,F$29,'Match Log'!$C$4:$C$810,$A35,'Match Log'!$E$4:$E$810,"Win")</f>
        <v>0</v>
      </c>
      <c r="G35" s="77">
        <f>COUNTIFS('Match Log'!$D$4:$D$810,G$29,'Match Log'!$C$4:$C$810,$A35,'Match Log'!$E$4:$E$810,"Win")</f>
        <v>0</v>
      </c>
      <c r="H35" s="77">
        <f>COUNTIFS('Match Log'!$D$4:$D$810,H$29,'Match Log'!$C$4:$C$810,$A35,'Match Log'!$E$4:$E$810,"Win")</f>
        <v>0</v>
      </c>
      <c r="I35" s="77">
        <f>COUNTIFS('Match Log'!$D$4:$D$810,I$29,'Match Log'!$C$4:$C$810,$A35,'Match Log'!$E$4:$E$810,"Win")</f>
        <v>0</v>
      </c>
      <c r="J35" s="77">
        <f>COUNTIFS('Match Log'!$D$4:$D$810,J$29,'Match Log'!$C$4:$C$810,$A35,'Match Log'!$E$4:$E$810,"Win")</f>
        <v>0</v>
      </c>
      <c r="K35" s="77">
        <f>COUNTIFS('Match Log'!$D$4:$D$810,K$29,'Match Log'!$C$4:$C$810,$A35,'Match Log'!$E$4:$E$810,"Win")</f>
        <v>0</v>
      </c>
      <c r="L35" s="77">
        <f>COUNTIFS('Match Log'!$D$4:$D$810,L$29,'Match Log'!$C$4:$C$810,$A35,'Match Log'!$E$4:$E$810,"Win")</f>
        <v>0</v>
      </c>
      <c r="M35" s="77">
        <f>COUNTIFS('Match Log'!$D$4:$D$810,M$29,'Match Log'!$C$4:$C$810,$A35,'Match Log'!$E$4:$E$810,"Win")</f>
        <v>0</v>
      </c>
      <c r="N35" s="77">
        <f>COUNTIFS('Match Log'!$D$4:$D$810,N$29,'Match Log'!$C$4:$C$810,$A35,'Match Log'!$E$4:$E$810,"Win")</f>
        <v>0</v>
      </c>
      <c r="O35" s="77">
        <f>COUNTIFS('Match Log'!$D$4:$D$810,O$29,'Match Log'!$C$4:$C$810,$A35,'Match Log'!$E$4:$E$810,"Win")</f>
        <v>0</v>
      </c>
    </row>
    <row r="36" spans="1:15" ht="15" customHeight="1" x14ac:dyDescent="0.2">
      <c r="A36" s="76" t="s">
        <v>188</v>
      </c>
      <c r="B36" s="77">
        <f>COUNTIFS('Match Log'!$D$4:$D$810,B$29,'Match Log'!$C$4:$C$810,$A36,'Match Log'!$E$4:$E$810,"Win")</f>
        <v>0</v>
      </c>
      <c r="C36" s="77">
        <f>COUNTIFS('Match Log'!$D$4:$D$810,C$29,'Match Log'!$C$4:$C$810,$A36,'Match Log'!$E$4:$E$810,"Win")</f>
        <v>0</v>
      </c>
      <c r="D36" s="77">
        <f>COUNTIFS('Match Log'!$D$4:$D$810,D$29,'Match Log'!$C$4:$C$810,$A36,'Match Log'!$E$4:$E$810,"Win")</f>
        <v>0</v>
      </c>
      <c r="E36" s="77">
        <f>COUNTIFS('Match Log'!$D$4:$D$810,E$29,'Match Log'!$C$4:$C$810,$A36,'Match Log'!$E$4:$E$810,"Win")</f>
        <v>0</v>
      </c>
      <c r="F36" s="77">
        <f>COUNTIFS('Match Log'!$D$4:$D$810,F$29,'Match Log'!$C$4:$C$810,$A36,'Match Log'!$E$4:$E$810,"Win")</f>
        <v>0</v>
      </c>
      <c r="G36" s="77">
        <f>COUNTIFS('Match Log'!$D$4:$D$810,G$29,'Match Log'!$C$4:$C$810,$A36,'Match Log'!$E$4:$E$810,"Win")</f>
        <v>0</v>
      </c>
      <c r="H36" s="77">
        <f>COUNTIFS('Match Log'!$D$4:$D$810,H$29,'Match Log'!$C$4:$C$810,$A36,'Match Log'!$E$4:$E$810,"Win")</f>
        <v>0</v>
      </c>
      <c r="I36" s="77">
        <f>COUNTIFS('Match Log'!$D$4:$D$810,I$29,'Match Log'!$C$4:$C$810,$A36,'Match Log'!$E$4:$E$810,"Win")</f>
        <v>0</v>
      </c>
      <c r="J36" s="77">
        <f>COUNTIFS('Match Log'!$D$4:$D$810,J$29,'Match Log'!$C$4:$C$810,$A36,'Match Log'!$E$4:$E$810,"Win")</f>
        <v>0</v>
      </c>
      <c r="K36" s="77">
        <f>COUNTIFS('Match Log'!$D$4:$D$810,K$29,'Match Log'!$C$4:$C$810,$A36,'Match Log'!$E$4:$E$810,"Win")</f>
        <v>0</v>
      </c>
      <c r="L36" s="77">
        <f>COUNTIFS('Match Log'!$D$4:$D$810,L$29,'Match Log'!$C$4:$C$810,$A36,'Match Log'!$E$4:$E$810,"Win")</f>
        <v>0</v>
      </c>
      <c r="M36" s="77">
        <f>COUNTIFS('Match Log'!$D$4:$D$810,M$29,'Match Log'!$C$4:$C$810,$A36,'Match Log'!$E$4:$E$810,"Win")</f>
        <v>0</v>
      </c>
      <c r="N36" s="77">
        <f>COUNTIFS('Match Log'!$D$4:$D$810,N$29,'Match Log'!$C$4:$C$810,$A36,'Match Log'!$E$4:$E$810,"Win")</f>
        <v>0</v>
      </c>
      <c r="O36" s="77">
        <f>COUNTIFS('Match Log'!$D$4:$D$810,O$29,'Match Log'!$C$4:$C$810,$A36,'Match Log'!$E$4:$E$810,"Win")</f>
        <v>0</v>
      </c>
    </row>
    <row r="37" spans="1:15" ht="15" customHeight="1" x14ac:dyDescent="0.2">
      <c r="A37" s="76" t="s">
        <v>190</v>
      </c>
      <c r="B37" s="77">
        <f>COUNTIFS('Match Log'!$D$4:$D$810,B$29,'Match Log'!$C$4:$C$810,$A37,'Match Log'!$E$4:$E$810,"Win")</f>
        <v>0</v>
      </c>
      <c r="C37" s="77">
        <f>COUNTIFS('Match Log'!$D$4:$D$810,C$29,'Match Log'!$C$4:$C$810,$A37,'Match Log'!$E$4:$E$810,"Win")</f>
        <v>0</v>
      </c>
      <c r="D37" s="77">
        <f>COUNTIFS('Match Log'!$D$4:$D$810,D$29,'Match Log'!$C$4:$C$810,$A37,'Match Log'!$E$4:$E$810,"Win")</f>
        <v>0</v>
      </c>
      <c r="E37" s="77">
        <f>COUNTIFS('Match Log'!$D$4:$D$810,E$29,'Match Log'!$C$4:$C$810,$A37,'Match Log'!$E$4:$E$810,"Win")</f>
        <v>0</v>
      </c>
      <c r="F37" s="77">
        <f>COUNTIFS('Match Log'!$D$4:$D$810,F$29,'Match Log'!$C$4:$C$810,$A37,'Match Log'!$E$4:$E$810,"Win")</f>
        <v>0</v>
      </c>
      <c r="G37" s="77">
        <f>COUNTIFS('Match Log'!$D$4:$D$810,G$29,'Match Log'!$C$4:$C$810,$A37,'Match Log'!$E$4:$E$810,"Win")</f>
        <v>0</v>
      </c>
      <c r="H37" s="77">
        <f>COUNTIFS('Match Log'!$D$4:$D$810,H$29,'Match Log'!$C$4:$C$810,$A37,'Match Log'!$E$4:$E$810,"Win")</f>
        <v>0</v>
      </c>
      <c r="I37" s="77">
        <f>COUNTIFS('Match Log'!$D$4:$D$810,I$29,'Match Log'!$C$4:$C$810,$A37,'Match Log'!$E$4:$E$810,"Win")</f>
        <v>0</v>
      </c>
      <c r="J37" s="77">
        <f>COUNTIFS('Match Log'!$D$4:$D$810,J$29,'Match Log'!$C$4:$C$810,$A37,'Match Log'!$E$4:$E$810,"Win")</f>
        <v>0</v>
      </c>
      <c r="K37" s="77">
        <f>COUNTIFS('Match Log'!$D$4:$D$810,K$29,'Match Log'!$C$4:$C$810,$A37,'Match Log'!$E$4:$E$810,"Win")</f>
        <v>0</v>
      </c>
      <c r="L37" s="77">
        <f>COUNTIFS('Match Log'!$D$4:$D$810,L$29,'Match Log'!$C$4:$C$810,$A37,'Match Log'!$E$4:$E$810,"Win")</f>
        <v>0</v>
      </c>
      <c r="M37" s="77">
        <f>COUNTIFS('Match Log'!$D$4:$D$810,M$29,'Match Log'!$C$4:$C$810,$A37,'Match Log'!$E$4:$E$810,"Win")</f>
        <v>0</v>
      </c>
      <c r="N37" s="77">
        <f>COUNTIFS('Match Log'!$D$4:$D$810,N$29,'Match Log'!$C$4:$C$810,$A37,'Match Log'!$E$4:$E$810,"Win")</f>
        <v>0</v>
      </c>
      <c r="O37" s="77">
        <f>COUNTIFS('Match Log'!$D$4:$D$810,O$29,'Match Log'!$C$4:$C$810,$A37,'Match Log'!$E$4:$E$810,"Win")</f>
        <v>0</v>
      </c>
    </row>
    <row r="38" spans="1:15" ht="15" customHeight="1" x14ac:dyDescent="0.2">
      <c r="A38" s="76" t="s">
        <v>192</v>
      </c>
      <c r="B38" s="77">
        <f>COUNTIFS('Match Log'!$D$4:$D$810,B$29,'Match Log'!$C$4:$C$810,$A38,'Match Log'!$E$4:$E$810,"Win")</f>
        <v>0</v>
      </c>
      <c r="C38" s="77">
        <f>COUNTIFS('Match Log'!$D$4:$D$810,C$29,'Match Log'!$C$4:$C$810,$A38,'Match Log'!$E$4:$E$810,"Win")</f>
        <v>0</v>
      </c>
      <c r="D38" s="77">
        <f>COUNTIFS('Match Log'!$D$4:$D$810,D$29,'Match Log'!$C$4:$C$810,$A38,'Match Log'!$E$4:$E$810,"Win")</f>
        <v>0</v>
      </c>
      <c r="E38" s="77">
        <f>COUNTIFS('Match Log'!$D$4:$D$810,E$29,'Match Log'!$C$4:$C$810,$A38,'Match Log'!$E$4:$E$810,"Win")</f>
        <v>0</v>
      </c>
      <c r="F38" s="77">
        <f>COUNTIFS('Match Log'!$D$4:$D$810,F$29,'Match Log'!$C$4:$C$810,$A38,'Match Log'!$E$4:$E$810,"Win")</f>
        <v>1</v>
      </c>
      <c r="G38" s="77">
        <f>COUNTIFS('Match Log'!$D$4:$D$810,G$29,'Match Log'!$C$4:$C$810,$A38,'Match Log'!$E$4:$E$810,"Win")</f>
        <v>0</v>
      </c>
      <c r="H38" s="77">
        <f>COUNTIFS('Match Log'!$D$4:$D$810,H$29,'Match Log'!$C$4:$C$810,$A38,'Match Log'!$E$4:$E$810,"Win")</f>
        <v>0</v>
      </c>
      <c r="I38" s="77">
        <f>COUNTIFS('Match Log'!$D$4:$D$810,I$29,'Match Log'!$C$4:$C$810,$A38,'Match Log'!$E$4:$E$810,"Win")</f>
        <v>0</v>
      </c>
      <c r="J38" s="77">
        <f>COUNTIFS('Match Log'!$D$4:$D$810,J$29,'Match Log'!$C$4:$C$810,$A38,'Match Log'!$E$4:$E$810,"Win")</f>
        <v>0</v>
      </c>
      <c r="K38" s="77">
        <f>COUNTIFS('Match Log'!$D$4:$D$810,K$29,'Match Log'!$C$4:$C$810,$A38,'Match Log'!$E$4:$E$810,"Win")</f>
        <v>0</v>
      </c>
      <c r="L38" s="77">
        <f>COUNTIFS('Match Log'!$D$4:$D$810,L$29,'Match Log'!$C$4:$C$810,$A38,'Match Log'!$E$4:$E$810,"Win")</f>
        <v>0</v>
      </c>
      <c r="M38" s="77">
        <f>COUNTIFS('Match Log'!$D$4:$D$810,M$29,'Match Log'!$C$4:$C$810,$A38,'Match Log'!$E$4:$E$810,"Win")</f>
        <v>0</v>
      </c>
      <c r="N38" s="77">
        <f>COUNTIFS('Match Log'!$D$4:$D$810,N$29,'Match Log'!$C$4:$C$810,$A38,'Match Log'!$E$4:$E$810,"Win")</f>
        <v>0</v>
      </c>
      <c r="O38" s="77">
        <f>COUNTIFS('Match Log'!$D$4:$D$810,O$29,'Match Log'!$C$4:$C$810,$A38,'Match Log'!$E$4:$E$810,"Win")</f>
        <v>0</v>
      </c>
    </row>
    <row r="39" spans="1:15" ht="15" customHeight="1" x14ac:dyDescent="0.2">
      <c r="A39" s="76" t="s">
        <v>193</v>
      </c>
      <c r="B39" s="77">
        <f>COUNTIFS('Match Log'!$D$4:$D$810,B$29,'Match Log'!$C$4:$C$810,$A39,'Match Log'!$E$4:$E$810,"Win")</f>
        <v>0</v>
      </c>
      <c r="C39" s="77">
        <f>COUNTIFS('Match Log'!$D$4:$D$810,C$29,'Match Log'!$C$4:$C$810,$A39,'Match Log'!$E$4:$E$810,"Win")</f>
        <v>0</v>
      </c>
      <c r="D39" s="77">
        <f>COUNTIFS('Match Log'!$D$4:$D$810,D$29,'Match Log'!$C$4:$C$810,$A39,'Match Log'!$E$4:$E$810,"Win")</f>
        <v>0</v>
      </c>
      <c r="E39" s="77">
        <f>COUNTIFS('Match Log'!$D$4:$D$810,E$29,'Match Log'!$C$4:$C$810,$A39,'Match Log'!$E$4:$E$810,"Win")</f>
        <v>0</v>
      </c>
      <c r="F39" s="77">
        <f>COUNTIFS('Match Log'!$D$4:$D$810,F$29,'Match Log'!$C$4:$C$810,$A39,'Match Log'!$E$4:$E$810,"Win")</f>
        <v>0</v>
      </c>
      <c r="G39" s="77">
        <f>COUNTIFS('Match Log'!$D$4:$D$810,G$29,'Match Log'!$C$4:$C$810,$A39,'Match Log'!$E$4:$E$810,"Win")</f>
        <v>0</v>
      </c>
      <c r="H39" s="77">
        <f>COUNTIFS('Match Log'!$D$4:$D$810,H$29,'Match Log'!$C$4:$C$810,$A39,'Match Log'!$E$4:$E$810,"Win")</f>
        <v>0</v>
      </c>
      <c r="I39" s="77">
        <f>COUNTIFS('Match Log'!$D$4:$D$810,I$29,'Match Log'!$C$4:$C$810,$A39,'Match Log'!$E$4:$E$810,"Win")</f>
        <v>0</v>
      </c>
      <c r="J39" s="77">
        <f>COUNTIFS('Match Log'!$D$4:$D$810,J$29,'Match Log'!$C$4:$C$810,$A39,'Match Log'!$E$4:$E$810,"Win")</f>
        <v>0</v>
      </c>
      <c r="K39" s="77">
        <f>COUNTIFS('Match Log'!$D$4:$D$810,K$29,'Match Log'!$C$4:$C$810,$A39,'Match Log'!$E$4:$E$810,"Win")</f>
        <v>0</v>
      </c>
      <c r="L39" s="77">
        <f>COUNTIFS('Match Log'!$D$4:$D$810,L$29,'Match Log'!$C$4:$C$810,$A39,'Match Log'!$E$4:$E$810,"Win")</f>
        <v>0</v>
      </c>
      <c r="M39" s="77">
        <f>COUNTIFS('Match Log'!$D$4:$D$810,M$29,'Match Log'!$C$4:$C$810,$A39,'Match Log'!$E$4:$E$810,"Win")</f>
        <v>0</v>
      </c>
      <c r="N39" s="77">
        <f>COUNTIFS('Match Log'!$D$4:$D$810,N$29,'Match Log'!$C$4:$C$810,$A39,'Match Log'!$E$4:$E$810,"Win")</f>
        <v>0</v>
      </c>
      <c r="O39" s="77">
        <f>COUNTIFS('Match Log'!$D$4:$D$810,O$29,'Match Log'!$C$4:$C$810,$A39,'Match Log'!$E$4:$E$810,"Win")</f>
        <v>0</v>
      </c>
    </row>
    <row r="40" spans="1:15" ht="15" customHeight="1" x14ac:dyDescent="0.2">
      <c r="A40" s="76" t="s">
        <v>194</v>
      </c>
      <c r="B40" s="77">
        <f>COUNTIFS('Match Log'!$D$4:$D$810,B$29,'Match Log'!$C$4:$C$810,$A40,'Match Log'!$E$4:$E$810,"Win")</f>
        <v>0</v>
      </c>
      <c r="C40" s="77">
        <f>COUNTIFS('Match Log'!$D$4:$D$810,C$29,'Match Log'!$C$4:$C$810,$A40,'Match Log'!$E$4:$E$810,"Win")</f>
        <v>0</v>
      </c>
      <c r="D40" s="77">
        <f>COUNTIFS('Match Log'!$D$4:$D$810,D$29,'Match Log'!$C$4:$C$810,$A40,'Match Log'!$E$4:$E$810,"Win")</f>
        <v>0</v>
      </c>
      <c r="E40" s="77">
        <f>COUNTIFS('Match Log'!$D$4:$D$810,E$29,'Match Log'!$C$4:$C$810,$A40,'Match Log'!$E$4:$E$810,"Win")</f>
        <v>0</v>
      </c>
      <c r="F40" s="77">
        <f>COUNTIFS('Match Log'!$D$4:$D$810,F$29,'Match Log'!$C$4:$C$810,$A40,'Match Log'!$E$4:$E$810,"Win")</f>
        <v>0</v>
      </c>
      <c r="G40" s="77">
        <f>COUNTIFS('Match Log'!$D$4:$D$810,G$29,'Match Log'!$C$4:$C$810,$A40,'Match Log'!$E$4:$E$810,"Win")</f>
        <v>0</v>
      </c>
      <c r="H40" s="77">
        <f>COUNTIFS('Match Log'!$D$4:$D$810,H$29,'Match Log'!$C$4:$C$810,$A40,'Match Log'!$E$4:$E$810,"Win")</f>
        <v>0</v>
      </c>
      <c r="I40" s="77">
        <f>COUNTIFS('Match Log'!$D$4:$D$810,I$29,'Match Log'!$C$4:$C$810,$A40,'Match Log'!$E$4:$E$810,"Win")</f>
        <v>0</v>
      </c>
      <c r="J40" s="77">
        <f>COUNTIFS('Match Log'!$D$4:$D$810,J$29,'Match Log'!$C$4:$C$810,$A40,'Match Log'!$E$4:$E$810,"Win")</f>
        <v>0</v>
      </c>
      <c r="K40" s="77">
        <f>COUNTIFS('Match Log'!$D$4:$D$810,K$29,'Match Log'!$C$4:$C$810,$A40,'Match Log'!$E$4:$E$810,"Win")</f>
        <v>0</v>
      </c>
      <c r="L40" s="77">
        <f>COUNTIFS('Match Log'!$D$4:$D$810,L$29,'Match Log'!$C$4:$C$810,$A40,'Match Log'!$E$4:$E$810,"Win")</f>
        <v>0</v>
      </c>
      <c r="M40" s="77">
        <f>COUNTIFS('Match Log'!$D$4:$D$810,M$29,'Match Log'!$C$4:$C$810,$A40,'Match Log'!$E$4:$E$810,"Win")</f>
        <v>0</v>
      </c>
      <c r="N40" s="77">
        <f>COUNTIFS('Match Log'!$D$4:$D$810,N$29,'Match Log'!$C$4:$C$810,$A40,'Match Log'!$E$4:$E$810,"Win")</f>
        <v>0</v>
      </c>
      <c r="O40" s="77">
        <f>COUNTIFS('Match Log'!$D$4:$D$810,O$29,'Match Log'!$C$4:$C$810,$A40,'Match Log'!$E$4:$E$810,"Win")</f>
        <v>0</v>
      </c>
    </row>
    <row r="41" spans="1:15" ht="15" customHeight="1" x14ac:dyDescent="0.2">
      <c r="A41" s="76" t="s">
        <v>195</v>
      </c>
      <c r="B41" s="77">
        <f>COUNTIFS('Match Log'!$D$4:$D$810,B$29,'Match Log'!$C$4:$C$810,$A41,'Match Log'!$E$4:$E$810,"Win")</f>
        <v>1</v>
      </c>
      <c r="C41" s="77">
        <f>COUNTIFS('Match Log'!$D$4:$D$810,C$29,'Match Log'!$C$4:$C$810,$A41,'Match Log'!$E$4:$E$810,"Win")</f>
        <v>0</v>
      </c>
      <c r="D41" s="77">
        <f>COUNTIFS('Match Log'!$D$4:$D$810,D$29,'Match Log'!$C$4:$C$810,$A41,'Match Log'!$E$4:$E$810,"Win")</f>
        <v>0</v>
      </c>
      <c r="E41" s="77">
        <f>COUNTIFS('Match Log'!$D$4:$D$810,E$29,'Match Log'!$C$4:$C$810,$A41,'Match Log'!$E$4:$E$810,"Win")</f>
        <v>1</v>
      </c>
      <c r="F41" s="77">
        <f>COUNTIFS('Match Log'!$D$4:$D$810,F$29,'Match Log'!$C$4:$C$810,$A41,'Match Log'!$E$4:$E$810,"Win")</f>
        <v>13</v>
      </c>
      <c r="G41" s="77">
        <f>COUNTIFS('Match Log'!$D$4:$D$810,G$29,'Match Log'!$C$4:$C$810,$A41,'Match Log'!$E$4:$E$810,"Win")</f>
        <v>5</v>
      </c>
      <c r="H41" s="77">
        <f>COUNTIFS('Match Log'!$D$4:$D$810,H$29,'Match Log'!$C$4:$C$810,$A41,'Match Log'!$E$4:$E$810,"Win")</f>
        <v>0</v>
      </c>
      <c r="I41" s="77">
        <f>COUNTIFS('Match Log'!$D$4:$D$810,I$29,'Match Log'!$C$4:$C$810,$A41,'Match Log'!$E$4:$E$810,"Win")</f>
        <v>1</v>
      </c>
      <c r="J41" s="77">
        <f>COUNTIFS('Match Log'!$D$4:$D$810,J$29,'Match Log'!$C$4:$C$810,$A41,'Match Log'!$E$4:$E$810,"Win")</f>
        <v>4</v>
      </c>
      <c r="K41" s="77">
        <f>COUNTIFS('Match Log'!$D$4:$D$810,K$29,'Match Log'!$C$4:$C$810,$A41,'Match Log'!$E$4:$E$810,"Win")</f>
        <v>0</v>
      </c>
      <c r="L41" s="77">
        <f>COUNTIFS('Match Log'!$D$4:$D$810,L$29,'Match Log'!$C$4:$C$810,$A41,'Match Log'!$E$4:$E$810,"Win")</f>
        <v>6</v>
      </c>
      <c r="M41" s="77">
        <f>COUNTIFS('Match Log'!$D$4:$D$810,M$29,'Match Log'!$C$4:$C$810,$A41,'Match Log'!$E$4:$E$810,"Win")</f>
        <v>0</v>
      </c>
      <c r="N41" s="77">
        <f>COUNTIFS('Match Log'!$D$4:$D$810,N$29,'Match Log'!$C$4:$C$810,$A41,'Match Log'!$E$4:$E$810,"Win")</f>
        <v>0</v>
      </c>
      <c r="O41" s="77">
        <f>COUNTIFS('Match Log'!$D$4:$D$810,O$29,'Match Log'!$C$4:$C$810,$A41,'Match Log'!$E$4:$E$810,"Win")</f>
        <v>0</v>
      </c>
    </row>
    <row r="42" spans="1:15" ht="15" customHeight="1" x14ac:dyDescent="0.2">
      <c r="A42" s="76" t="s">
        <v>197</v>
      </c>
      <c r="B42" s="77">
        <f>COUNTIFS('Match Log'!$D$4:$D$810,B$29,'Match Log'!$C$4:$C$810,$A42,'Match Log'!$E$4:$E$810,"Win")</f>
        <v>2</v>
      </c>
      <c r="C42" s="77">
        <f>COUNTIFS('Match Log'!$D$4:$D$810,C$29,'Match Log'!$C$4:$C$810,$A42,'Match Log'!$E$4:$E$810,"Win")</f>
        <v>0</v>
      </c>
      <c r="D42" s="77">
        <f>COUNTIFS('Match Log'!$D$4:$D$810,D$29,'Match Log'!$C$4:$C$810,$A42,'Match Log'!$E$4:$E$810,"Win")</f>
        <v>0</v>
      </c>
      <c r="E42" s="77">
        <f>COUNTIFS('Match Log'!$D$4:$D$810,E$29,'Match Log'!$C$4:$C$810,$A42,'Match Log'!$E$4:$E$810,"Win")</f>
        <v>0</v>
      </c>
      <c r="F42" s="77">
        <f>COUNTIFS('Match Log'!$D$4:$D$810,F$29,'Match Log'!$C$4:$C$810,$A42,'Match Log'!$E$4:$E$810,"Win")</f>
        <v>0</v>
      </c>
      <c r="G42" s="77">
        <f>COUNTIFS('Match Log'!$D$4:$D$810,G$29,'Match Log'!$C$4:$C$810,$A42,'Match Log'!$E$4:$E$810,"Win")</f>
        <v>2</v>
      </c>
      <c r="H42" s="77">
        <f>COUNTIFS('Match Log'!$D$4:$D$810,H$29,'Match Log'!$C$4:$C$810,$A42,'Match Log'!$E$4:$E$810,"Win")</f>
        <v>0</v>
      </c>
      <c r="I42" s="77">
        <f>COUNTIFS('Match Log'!$D$4:$D$810,I$29,'Match Log'!$C$4:$C$810,$A42,'Match Log'!$E$4:$E$810,"Win")</f>
        <v>5</v>
      </c>
      <c r="J42" s="77">
        <f>COUNTIFS('Match Log'!$D$4:$D$810,J$29,'Match Log'!$C$4:$C$810,$A42,'Match Log'!$E$4:$E$810,"Win")</f>
        <v>0</v>
      </c>
      <c r="K42" s="77">
        <f>COUNTIFS('Match Log'!$D$4:$D$810,K$29,'Match Log'!$C$4:$C$810,$A42,'Match Log'!$E$4:$E$810,"Win")</f>
        <v>0</v>
      </c>
      <c r="L42" s="77">
        <f>COUNTIFS('Match Log'!$D$4:$D$810,L$29,'Match Log'!$C$4:$C$810,$A42,'Match Log'!$E$4:$E$810,"Win")</f>
        <v>1</v>
      </c>
      <c r="M42" s="77">
        <f>COUNTIFS('Match Log'!$D$4:$D$810,M$29,'Match Log'!$C$4:$C$810,$A42,'Match Log'!$E$4:$E$810,"Win")</f>
        <v>0</v>
      </c>
      <c r="N42" s="77">
        <f>COUNTIFS('Match Log'!$D$4:$D$810,N$29,'Match Log'!$C$4:$C$810,$A42,'Match Log'!$E$4:$E$810,"Win")</f>
        <v>0</v>
      </c>
      <c r="O42" s="77">
        <f>COUNTIFS('Match Log'!$D$4:$D$810,O$29,'Match Log'!$C$4:$C$810,$A42,'Match Log'!$E$4:$E$810,"Win")</f>
        <v>0</v>
      </c>
    </row>
    <row r="43" spans="1:15" ht="15" customHeight="1" x14ac:dyDescent="0.2">
      <c r="A43" s="76" t="s">
        <v>199</v>
      </c>
      <c r="B43" s="77">
        <f>COUNTIFS('Match Log'!$D$4:$D$810,B$29,'Match Log'!$C$4:$C$810,$A43,'Match Log'!$E$4:$E$810,"Win")</f>
        <v>3</v>
      </c>
      <c r="C43" s="77">
        <f>COUNTIFS('Match Log'!$D$4:$D$810,C$29,'Match Log'!$C$4:$C$810,$A43,'Match Log'!$E$4:$E$810,"Win")</f>
        <v>0</v>
      </c>
      <c r="D43" s="77">
        <f>COUNTIFS('Match Log'!$D$4:$D$810,D$29,'Match Log'!$C$4:$C$810,$A43,'Match Log'!$E$4:$E$810,"Win")</f>
        <v>4</v>
      </c>
      <c r="E43" s="77">
        <f>COUNTIFS('Match Log'!$D$4:$D$810,E$29,'Match Log'!$C$4:$C$810,$A43,'Match Log'!$E$4:$E$810,"Win")</f>
        <v>0</v>
      </c>
      <c r="F43" s="77">
        <f>COUNTIFS('Match Log'!$D$4:$D$810,F$29,'Match Log'!$C$4:$C$810,$A43,'Match Log'!$E$4:$E$810,"Win")</f>
        <v>0</v>
      </c>
      <c r="G43" s="77">
        <f>COUNTIFS('Match Log'!$D$4:$D$810,G$29,'Match Log'!$C$4:$C$810,$A43,'Match Log'!$E$4:$E$810,"Win")</f>
        <v>0</v>
      </c>
      <c r="H43" s="77">
        <f>COUNTIFS('Match Log'!$D$4:$D$810,H$29,'Match Log'!$C$4:$C$810,$A43,'Match Log'!$E$4:$E$810,"Win")</f>
        <v>0</v>
      </c>
      <c r="I43" s="77">
        <f>COUNTIFS('Match Log'!$D$4:$D$810,I$29,'Match Log'!$C$4:$C$810,$A43,'Match Log'!$E$4:$E$810,"Win")</f>
        <v>2</v>
      </c>
      <c r="J43" s="77">
        <f>COUNTIFS('Match Log'!$D$4:$D$810,J$29,'Match Log'!$C$4:$C$810,$A43,'Match Log'!$E$4:$E$810,"Win")</f>
        <v>0</v>
      </c>
      <c r="K43" s="77">
        <f>COUNTIFS('Match Log'!$D$4:$D$810,K$29,'Match Log'!$C$4:$C$810,$A43,'Match Log'!$E$4:$E$810,"Win")</f>
        <v>0</v>
      </c>
      <c r="L43" s="77">
        <f>COUNTIFS('Match Log'!$D$4:$D$810,L$29,'Match Log'!$C$4:$C$810,$A43,'Match Log'!$E$4:$E$810,"Win")</f>
        <v>5</v>
      </c>
      <c r="M43" s="77">
        <f>COUNTIFS('Match Log'!$D$4:$D$810,M$29,'Match Log'!$C$4:$C$810,$A43,'Match Log'!$E$4:$E$810,"Win")</f>
        <v>0</v>
      </c>
      <c r="N43" s="77">
        <f>COUNTIFS('Match Log'!$D$4:$D$810,N$29,'Match Log'!$C$4:$C$810,$A43,'Match Log'!$E$4:$E$810,"Win")</f>
        <v>0</v>
      </c>
      <c r="O43" s="77">
        <f>COUNTIFS('Match Log'!$D$4:$D$810,O$29,'Match Log'!$C$4:$C$810,$A43,'Match Log'!$E$4:$E$810,"Win")</f>
        <v>0</v>
      </c>
    </row>
    <row r="44" spans="1:15" ht="15" customHeight="1" x14ac:dyDescent="0.2">
      <c r="A44" s="76" t="s">
        <v>201</v>
      </c>
      <c r="B44" s="77">
        <f>COUNTIFS('Match Log'!$D$4:$D$810,B$29,'Match Log'!$C$4:$C$810,$A44,'Match Log'!$E$4:$E$810,"Win")</f>
        <v>0</v>
      </c>
      <c r="C44" s="77">
        <f>COUNTIFS('Match Log'!$D$4:$D$810,C$29,'Match Log'!$C$4:$C$810,$A44,'Match Log'!$E$4:$E$810,"Win")</f>
        <v>0</v>
      </c>
      <c r="D44" s="77">
        <f>COUNTIFS('Match Log'!$D$4:$D$810,D$29,'Match Log'!$C$4:$C$810,$A44,'Match Log'!$E$4:$E$810,"Win")</f>
        <v>0</v>
      </c>
      <c r="E44" s="77">
        <f>COUNTIFS('Match Log'!$D$4:$D$810,E$29,'Match Log'!$C$4:$C$810,$A44,'Match Log'!$E$4:$E$810,"Win")</f>
        <v>0</v>
      </c>
      <c r="F44" s="77">
        <f>COUNTIFS('Match Log'!$D$4:$D$810,F$29,'Match Log'!$C$4:$C$810,$A44,'Match Log'!$E$4:$E$810,"Win")</f>
        <v>0</v>
      </c>
      <c r="G44" s="77">
        <f>COUNTIFS('Match Log'!$D$4:$D$810,G$29,'Match Log'!$C$4:$C$810,$A44,'Match Log'!$E$4:$E$810,"Win")</f>
        <v>0</v>
      </c>
      <c r="H44" s="77">
        <f>COUNTIFS('Match Log'!$D$4:$D$810,H$29,'Match Log'!$C$4:$C$810,$A44,'Match Log'!$E$4:$E$810,"Win")</f>
        <v>0</v>
      </c>
      <c r="I44" s="77">
        <f>COUNTIFS('Match Log'!$D$4:$D$810,I$29,'Match Log'!$C$4:$C$810,$A44,'Match Log'!$E$4:$E$810,"Win")</f>
        <v>0</v>
      </c>
      <c r="J44" s="77">
        <f>COUNTIFS('Match Log'!$D$4:$D$810,J$29,'Match Log'!$C$4:$C$810,$A44,'Match Log'!$E$4:$E$810,"Win")</f>
        <v>0</v>
      </c>
      <c r="K44" s="77">
        <f>COUNTIFS('Match Log'!$D$4:$D$810,K$29,'Match Log'!$C$4:$C$810,$A44,'Match Log'!$E$4:$E$810,"Win")</f>
        <v>0</v>
      </c>
      <c r="L44" s="77">
        <f>COUNTIFS('Match Log'!$D$4:$D$810,L$29,'Match Log'!$C$4:$C$810,$A44,'Match Log'!$E$4:$E$810,"Win")</f>
        <v>0</v>
      </c>
      <c r="M44" s="77">
        <f>COUNTIFS('Match Log'!$D$4:$D$810,M$29,'Match Log'!$C$4:$C$810,$A44,'Match Log'!$E$4:$E$810,"Win")</f>
        <v>0</v>
      </c>
      <c r="N44" s="77">
        <f>COUNTIFS('Match Log'!$D$4:$D$810,N$29,'Match Log'!$C$4:$C$810,$A44,'Match Log'!$E$4:$E$810,"Win")</f>
        <v>0</v>
      </c>
      <c r="O44" s="77">
        <f>COUNTIFS('Match Log'!$D$4:$D$810,O$29,'Match Log'!$C$4:$C$810,$A44,'Match Log'!$E$4:$E$810,"Win")</f>
        <v>0</v>
      </c>
    </row>
    <row r="45" spans="1:15" ht="15" customHeight="1" x14ac:dyDescent="0.2">
      <c r="A45" s="76" t="s">
        <v>203</v>
      </c>
      <c r="B45" s="77">
        <f>COUNTIFS('Match Log'!$D$4:$D$810,B$29,'Match Log'!$C$4:$C$810,$A45,'Match Log'!$E$4:$E$810,"Win")</f>
        <v>1</v>
      </c>
      <c r="C45" s="77">
        <f>COUNTIFS('Match Log'!$D$4:$D$810,C$29,'Match Log'!$C$4:$C$810,$A45,'Match Log'!$E$4:$E$810,"Win")</f>
        <v>0</v>
      </c>
      <c r="D45" s="77">
        <f>COUNTIFS('Match Log'!$D$4:$D$810,D$29,'Match Log'!$C$4:$C$810,$A45,'Match Log'!$E$4:$E$810,"Win")</f>
        <v>0</v>
      </c>
      <c r="E45" s="77">
        <f>COUNTIFS('Match Log'!$D$4:$D$810,E$29,'Match Log'!$C$4:$C$810,$A45,'Match Log'!$E$4:$E$810,"Win")</f>
        <v>0</v>
      </c>
      <c r="F45" s="77">
        <f>COUNTIFS('Match Log'!$D$4:$D$810,F$29,'Match Log'!$C$4:$C$810,$A45,'Match Log'!$E$4:$E$810,"Win")</f>
        <v>0</v>
      </c>
      <c r="G45" s="77">
        <f>COUNTIFS('Match Log'!$D$4:$D$810,G$29,'Match Log'!$C$4:$C$810,$A45,'Match Log'!$E$4:$E$810,"Win")</f>
        <v>0</v>
      </c>
      <c r="H45" s="77">
        <f>COUNTIFS('Match Log'!$D$4:$D$810,H$29,'Match Log'!$C$4:$C$810,$A45,'Match Log'!$E$4:$E$810,"Win")</f>
        <v>0</v>
      </c>
      <c r="I45" s="77">
        <f>COUNTIFS('Match Log'!$D$4:$D$810,I$29,'Match Log'!$C$4:$C$810,$A45,'Match Log'!$E$4:$E$810,"Win")</f>
        <v>2</v>
      </c>
      <c r="J45" s="77">
        <f>COUNTIFS('Match Log'!$D$4:$D$810,J$29,'Match Log'!$C$4:$C$810,$A45,'Match Log'!$E$4:$E$810,"Win")</f>
        <v>0</v>
      </c>
      <c r="K45" s="77">
        <f>COUNTIFS('Match Log'!$D$4:$D$810,K$29,'Match Log'!$C$4:$C$810,$A45,'Match Log'!$E$4:$E$810,"Win")</f>
        <v>0</v>
      </c>
      <c r="L45" s="77">
        <f>COUNTIFS('Match Log'!$D$4:$D$810,L$29,'Match Log'!$C$4:$C$810,$A45,'Match Log'!$E$4:$E$810,"Win")</f>
        <v>0</v>
      </c>
      <c r="M45" s="77">
        <f>COUNTIFS('Match Log'!$D$4:$D$810,M$29,'Match Log'!$C$4:$C$810,$A45,'Match Log'!$E$4:$E$810,"Win")</f>
        <v>0</v>
      </c>
      <c r="N45" s="77">
        <f>COUNTIFS('Match Log'!$D$4:$D$810,N$29,'Match Log'!$C$4:$C$810,$A45,'Match Log'!$E$4:$E$810,"Win")</f>
        <v>0</v>
      </c>
      <c r="O45" s="77">
        <f>COUNTIFS('Match Log'!$D$4:$D$810,O$29,'Match Log'!$C$4:$C$810,$A45,'Match Log'!$E$4:$E$810,"Win")</f>
        <v>0</v>
      </c>
    </row>
    <row r="46" spans="1:15" ht="15" customHeight="1" x14ac:dyDescent="0.2">
      <c r="A46" s="76" t="s">
        <v>204</v>
      </c>
      <c r="B46" s="77">
        <f>COUNTIFS('Match Log'!$D$4:$D$810,B$29,'Match Log'!$C$4:$C$810,$A46,'Match Log'!$E$4:$E$810,"Win")</f>
        <v>0</v>
      </c>
      <c r="C46" s="77">
        <f>COUNTIFS('Match Log'!$D$4:$D$810,C$29,'Match Log'!$C$4:$C$810,$A46,'Match Log'!$E$4:$E$810,"Win")</f>
        <v>0</v>
      </c>
      <c r="D46" s="77">
        <f>COUNTIFS('Match Log'!$D$4:$D$810,D$29,'Match Log'!$C$4:$C$810,$A46,'Match Log'!$E$4:$E$810,"Win")</f>
        <v>0</v>
      </c>
      <c r="E46" s="77">
        <f>COUNTIFS('Match Log'!$D$4:$D$810,E$29,'Match Log'!$C$4:$C$810,$A46,'Match Log'!$E$4:$E$810,"Win")</f>
        <v>0</v>
      </c>
      <c r="F46" s="77">
        <f>COUNTIFS('Match Log'!$D$4:$D$810,F$29,'Match Log'!$C$4:$C$810,$A46,'Match Log'!$E$4:$E$810,"Win")</f>
        <v>1</v>
      </c>
      <c r="G46" s="77">
        <f>COUNTIFS('Match Log'!$D$4:$D$810,G$29,'Match Log'!$C$4:$C$810,$A46,'Match Log'!$E$4:$E$810,"Win")</f>
        <v>0</v>
      </c>
      <c r="H46" s="77">
        <f>COUNTIFS('Match Log'!$D$4:$D$810,H$29,'Match Log'!$C$4:$C$810,$A46,'Match Log'!$E$4:$E$810,"Win")</f>
        <v>0</v>
      </c>
      <c r="I46" s="77">
        <f>COUNTIFS('Match Log'!$D$4:$D$810,I$29,'Match Log'!$C$4:$C$810,$A46,'Match Log'!$E$4:$E$810,"Win")</f>
        <v>0</v>
      </c>
      <c r="J46" s="77">
        <f>COUNTIFS('Match Log'!$D$4:$D$810,J$29,'Match Log'!$C$4:$C$810,$A46,'Match Log'!$E$4:$E$810,"Win")</f>
        <v>0</v>
      </c>
      <c r="K46" s="77">
        <f>COUNTIFS('Match Log'!$D$4:$D$810,K$29,'Match Log'!$C$4:$C$810,$A46,'Match Log'!$E$4:$E$810,"Win")</f>
        <v>0</v>
      </c>
      <c r="L46" s="77">
        <f>COUNTIFS('Match Log'!$D$4:$D$810,L$29,'Match Log'!$C$4:$C$810,$A46,'Match Log'!$E$4:$E$810,"Win")</f>
        <v>0</v>
      </c>
      <c r="M46" s="77">
        <f>COUNTIFS('Match Log'!$D$4:$D$810,M$29,'Match Log'!$C$4:$C$810,$A46,'Match Log'!$E$4:$E$810,"Win")</f>
        <v>0</v>
      </c>
      <c r="N46" s="77">
        <f>COUNTIFS('Match Log'!$D$4:$D$810,N$29,'Match Log'!$C$4:$C$810,$A46,'Match Log'!$E$4:$E$810,"Win")</f>
        <v>0</v>
      </c>
      <c r="O46" s="77">
        <f>COUNTIFS('Match Log'!$D$4:$D$810,O$29,'Match Log'!$C$4:$C$810,$A46,'Match Log'!$E$4:$E$810,"Win")</f>
        <v>0</v>
      </c>
    </row>
    <row r="47" spans="1:15" ht="15" customHeight="1" x14ac:dyDescent="0.2">
      <c r="A47" s="76" t="s">
        <v>206</v>
      </c>
      <c r="B47" s="77">
        <f>COUNTIFS('Match Log'!$D$4:$D$810,B$29,'Match Log'!$C$4:$C$810,$A47,'Match Log'!$E$4:$E$810,"Win")</f>
        <v>2</v>
      </c>
      <c r="C47" s="77">
        <f>COUNTIFS('Match Log'!$D$4:$D$810,C$29,'Match Log'!$C$4:$C$810,$A47,'Match Log'!$E$4:$E$810,"Win")</f>
        <v>5</v>
      </c>
      <c r="D47" s="77">
        <f>COUNTIFS('Match Log'!$D$4:$D$810,D$29,'Match Log'!$C$4:$C$810,$A47,'Match Log'!$E$4:$E$810,"Win")</f>
        <v>1</v>
      </c>
      <c r="E47" s="77">
        <f>COUNTIFS('Match Log'!$D$4:$D$810,E$29,'Match Log'!$C$4:$C$810,$A47,'Match Log'!$E$4:$E$810,"Win")</f>
        <v>3</v>
      </c>
      <c r="F47" s="77">
        <f>COUNTIFS('Match Log'!$D$4:$D$810,F$29,'Match Log'!$C$4:$C$810,$A47,'Match Log'!$E$4:$E$810,"Win")</f>
        <v>3</v>
      </c>
      <c r="G47" s="77">
        <f>COUNTIFS('Match Log'!$D$4:$D$810,G$29,'Match Log'!$C$4:$C$810,$A47,'Match Log'!$E$4:$E$810,"Win")</f>
        <v>4</v>
      </c>
      <c r="H47" s="77">
        <f>COUNTIFS('Match Log'!$D$4:$D$810,H$29,'Match Log'!$C$4:$C$810,$A47,'Match Log'!$E$4:$E$810,"Win")</f>
        <v>8</v>
      </c>
      <c r="I47" s="77">
        <f>COUNTIFS('Match Log'!$D$4:$D$810,I$29,'Match Log'!$C$4:$C$810,$A47,'Match Log'!$E$4:$E$810,"Win")</f>
        <v>5</v>
      </c>
      <c r="J47" s="77">
        <f>COUNTIFS('Match Log'!$D$4:$D$810,J$29,'Match Log'!$C$4:$C$810,$A47,'Match Log'!$E$4:$E$810,"Win")</f>
        <v>7</v>
      </c>
      <c r="K47" s="77">
        <f>COUNTIFS('Match Log'!$D$4:$D$810,K$29,'Match Log'!$C$4:$C$810,$A47,'Match Log'!$E$4:$E$810,"Win")</f>
        <v>2</v>
      </c>
      <c r="L47" s="77">
        <f>COUNTIFS('Match Log'!$D$4:$D$810,L$29,'Match Log'!$C$4:$C$810,$A47,'Match Log'!$E$4:$E$810,"Win")</f>
        <v>5</v>
      </c>
      <c r="M47" s="77">
        <f>COUNTIFS('Match Log'!$D$4:$D$810,M$29,'Match Log'!$C$4:$C$810,$A47,'Match Log'!$E$4:$E$810,"Win")</f>
        <v>2</v>
      </c>
      <c r="N47" s="77">
        <f>COUNTIFS('Match Log'!$D$4:$D$810,N$29,'Match Log'!$C$4:$C$810,$A47,'Match Log'!$E$4:$E$810,"Win")</f>
        <v>2</v>
      </c>
      <c r="O47" s="77">
        <f>COUNTIFS('Match Log'!$D$4:$D$810,O$29,'Match Log'!$C$4:$C$810,$A47,'Match Log'!$E$4:$E$810,"Win")</f>
        <v>0</v>
      </c>
    </row>
    <row r="48" spans="1:15" ht="15" customHeight="1" x14ac:dyDescent="0.2">
      <c r="A48" s="76" t="s">
        <v>208</v>
      </c>
      <c r="B48" s="77">
        <f>COUNTIFS('Match Log'!$D$4:$D$810,B$29,'Match Log'!$C$4:$C$810,$A48,'Match Log'!$E$4:$E$810,"Win")</f>
        <v>1</v>
      </c>
      <c r="C48" s="77">
        <f>COUNTIFS('Match Log'!$D$4:$D$810,C$29,'Match Log'!$C$4:$C$810,$A48,'Match Log'!$E$4:$E$810,"Win")</f>
        <v>0</v>
      </c>
      <c r="D48" s="77">
        <f>COUNTIFS('Match Log'!$D$4:$D$810,D$29,'Match Log'!$C$4:$C$810,$A48,'Match Log'!$E$4:$E$810,"Win")</f>
        <v>0</v>
      </c>
      <c r="E48" s="77">
        <f>COUNTIFS('Match Log'!$D$4:$D$810,E$29,'Match Log'!$C$4:$C$810,$A48,'Match Log'!$E$4:$E$810,"Win")</f>
        <v>0</v>
      </c>
      <c r="F48" s="77">
        <f>COUNTIFS('Match Log'!$D$4:$D$810,F$29,'Match Log'!$C$4:$C$810,$A48,'Match Log'!$E$4:$E$810,"Win")</f>
        <v>2</v>
      </c>
      <c r="G48" s="77">
        <f>COUNTIFS('Match Log'!$D$4:$D$810,G$29,'Match Log'!$C$4:$C$810,$A48,'Match Log'!$E$4:$E$810,"Win")</f>
        <v>4</v>
      </c>
      <c r="H48" s="77">
        <f>COUNTIFS('Match Log'!$D$4:$D$810,H$29,'Match Log'!$C$4:$C$810,$A48,'Match Log'!$E$4:$E$810,"Win")</f>
        <v>0</v>
      </c>
      <c r="I48" s="77">
        <f>COUNTIFS('Match Log'!$D$4:$D$810,I$29,'Match Log'!$C$4:$C$810,$A48,'Match Log'!$E$4:$E$810,"Win")</f>
        <v>2</v>
      </c>
      <c r="J48" s="77">
        <f>COUNTIFS('Match Log'!$D$4:$D$810,J$29,'Match Log'!$C$4:$C$810,$A48,'Match Log'!$E$4:$E$810,"Win")</f>
        <v>0</v>
      </c>
      <c r="K48" s="77">
        <f>COUNTIFS('Match Log'!$D$4:$D$810,K$29,'Match Log'!$C$4:$C$810,$A48,'Match Log'!$E$4:$E$810,"Win")</f>
        <v>0</v>
      </c>
      <c r="L48" s="77">
        <f>COUNTIFS('Match Log'!$D$4:$D$810,L$29,'Match Log'!$C$4:$C$810,$A48,'Match Log'!$E$4:$E$810,"Win")</f>
        <v>0</v>
      </c>
      <c r="M48" s="77">
        <f>COUNTIFS('Match Log'!$D$4:$D$810,M$29,'Match Log'!$C$4:$C$810,$A48,'Match Log'!$E$4:$E$810,"Win")</f>
        <v>0</v>
      </c>
      <c r="N48" s="77">
        <f>COUNTIFS('Match Log'!$D$4:$D$810,N$29,'Match Log'!$C$4:$C$810,$A48,'Match Log'!$E$4:$E$810,"Win")</f>
        <v>0</v>
      </c>
      <c r="O48" s="77">
        <f>COUNTIFS('Match Log'!$D$4:$D$810,O$29,'Match Log'!$C$4:$C$810,$A48,'Match Log'!$E$4:$E$810,"Win")</f>
        <v>0</v>
      </c>
    </row>
    <row r="49" spans="1:17" x14ac:dyDescent="0.2">
      <c r="A49" s="76" t="s">
        <v>407</v>
      </c>
      <c r="B49" s="77">
        <f>COUNTIFS('Match Log'!$D$4:$D$810,B$29,'Match Log'!$C$4:$C$810,$A49,'Match Log'!$E$4:$E$810,"Win")</f>
        <v>0</v>
      </c>
      <c r="C49" s="77">
        <f>COUNTIFS('Match Log'!$D$4:$D$810,C$29,'Match Log'!$C$4:$C$810,$A49,'Match Log'!$E$4:$E$810,"Win")</f>
        <v>0</v>
      </c>
      <c r="D49" s="77">
        <f>COUNTIFS('Match Log'!$D$4:$D$810,D$29,'Match Log'!$C$4:$C$810,$A49,'Match Log'!$E$4:$E$810,"Win")</f>
        <v>0</v>
      </c>
      <c r="E49" s="77">
        <f>COUNTIFS('Match Log'!$D$4:$D$810,E$29,'Match Log'!$C$4:$C$810,$A49,'Match Log'!$E$4:$E$810,"Win")</f>
        <v>0</v>
      </c>
      <c r="F49" s="77">
        <f>COUNTIFS('Match Log'!$D$4:$D$810,F$29,'Match Log'!$C$4:$C$810,$A49,'Match Log'!$E$4:$E$810,"Win")</f>
        <v>0</v>
      </c>
      <c r="G49" s="77">
        <f>COUNTIFS('Match Log'!$D$4:$D$810,G$29,'Match Log'!$C$4:$C$810,$A49,'Match Log'!$E$4:$E$810,"Win")</f>
        <v>0</v>
      </c>
      <c r="H49" s="77">
        <f>COUNTIFS('Match Log'!$D$4:$D$810,H$29,'Match Log'!$C$4:$C$810,$A49,'Match Log'!$E$4:$E$810,"Win")</f>
        <v>0</v>
      </c>
      <c r="I49" s="77">
        <f>COUNTIFS('Match Log'!$D$4:$D$810,I$29,'Match Log'!$C$4:$C$810,$A49,'Match Log'!$E$4:$E$810,"Win")</f>
        <v>0</v>
      </c>
      <c r="J49" s="77">
        <f>COUNTIFS('Match Log'!$D$4:$D$810,J$29,'Match Log'!$C$4:$C$810,$A49,'Match Log'!$E$4:$E$810,"Win")</f>
        <v>0</v>
      </c>
      <c r="K49" s="77">
        <f>COUNTIFS('Match Log'!$D$4:$D$810,K$29,'Match Log'!$C$4:$C$810,$A49,'Match Log'!$E$4:$E$810,"Win")</f>
        <v>0</v>
      </c>
      <c r="L49" s="77">
        <f>COUNTIFS('Match Log'!$D$4:$D$810,L$29,'Match Log'!$C$4:$C$810,$A49,'Match Log'!$E$4:$E$810,"Win")</f>
        <v>0</v>
      </c>
      <c r="M49" s="77">
        <f>COUNTIFS('Match Log'!$D$4:$D$810,M$29,'Match Log'!$C$4:$C$810,$A49,'Match Log'!$E$4:$E$810,"Win")</f>
        <v>0</v>
      </c>
      <c r="N49" s="77">
        <f>COUNTIFS('Match Log'!$D$4:$D$810,N$29,'Match Log'!$C$4:$C$810,$A49,'Match Log'!$E$4:$E$810,"Win")</f>
        <v>0</v>
      </c>
      <c r="O49" s="77">
        <f>COUNTIFS('Match Log'!$D$4:$D$810,O$29,'Match Log'!$C$4:$C$810,$A49,'Match Log'!$E$4:$E$810,"Win")</f>
        <v>0</v>
      </c>
    </row>
    <row r="50" spans="1:17" ht="15" customHeight="1" x14ac:dyDescent="0.2">
      <c r="A50" s="157" t="s">
        <v>227</v>
      </c>
      <c r="B50" s="157"/>
      <c r="C50" s="157"/>
      <c r="D50" s="157"/>
      <c r="E50" s="157"/>
      <c r="F50" s="157"/>
      <c r="G50" s="157"/>
      <c r="H50" s="157"/>
      <c r="I50" s="157"/>
      <c r="J50" s="157"/>
      <c r="K50" s="157"/>
      <c r="L50" s="157"/>
      <c r="M50" s="157"/>
      <c r="N50" s="157"/>
      <c r="O50" s="157"/>
      <c r="P50" s="157"/>
      <c r="Q50" s="157"/>
    </row>
    <row r="51" spans="1:17" ht="91.5" customHeight="1" x14ac:dyDescent="0.2">
      <c r="A51" s="74" t="s">
        <v>123</v>
      </c>
      <c r="B51" s="75" t="s">
        <v>138</v>
      </c>
      <c r="C51" s="75" t="s">
        <v>135</v>
      </c>
      <c r="D51" s="75" t="s">
        <v>173</v>
      </c>
      <c r="E51" s="75" t="s">
        <v>140</v>
      </c>
      <c r="F51" s="75" t="s">
        <v>137</v>
      </c>
      <c r="G51" s="75" t="s">
        <v>134</v>
      </c>
      <c r="H51" s="75" t="s">
        <v>168</v>
      </c>
      <c r="I51" s="75" t="s">
        <v>170</v>
      </c>
      <c r="J51" s="75" t="s">
        <v>167</v>
      </c>
      <c r="K51" s="75" t="s">
        <v>175</v>
      </c>
      <c r="L51" s="75" t="s">
        <v>169</v>
      </c>
      <c r="M51" s="75" t="s">
        <v>171</v>
      </c>
      <c r="N51" s="75" t="s">
        <v>172</v>
      </c>
      <c r="O51" s="75" t="s">
        <v>174</v>
      </c>
    </row>
    <row r="52" spans="1:17" ht="15" customHeight="1" x14ac:dyDescent="0.2">
      <c r="A52" s="76" t="s">
        <v>181</v>
      </c>
      <c r="B52" s="80" t="str">
        <f t="shared" ref="B52:O52" si="2">IF(B8=0,"",B30/B8)</f>
        <v/>
      </c>
      <c r="C52" s="80" t="str">
        <f t="shared" si="2"/>
        <v/>
      </c>
      <c r="D52" s="80" t="str">
        <f t="shared" si="2"/>
        <v/>
      </c>
      <c r="E52" s="80" t="str">
        <f t="shared" si="2"/>
        <v/>
      </c>
      <c r="F52" s="80" t="str">
        <f t="shared" si="2"/>
        <v/>
      </c>
      <c r="G52" s="80">
        <f t="shared" si="2"/>
        <v>1</v>
      </c>
      <c r="H52" s="80" t="str">
        <f t="shared" si="2"/>
        <v/>
      </c>
      <c r="I52" s="80">
        <f t="shared" si="2"/>
        <v>0</v>
      </c>
      <c r="J52" s="80" t="str">
        <f t="shared" si="2"/>
        <v/>
      </c>
      <c r="K52" s="80" t="str">
        <f t="shared" si="2"/>
        <v/>
      </c>
      <c r="L52" s="80" t="str">
        <f t="shared" si="2"/>
        <v/>
      </c>
      <c r="M52" s="80" t="str">
        <f t="shared" si="2"/>
        <v/>
      </c>
      <c r="N52" s="80" t="str">
        <f t="shared" si="2"/>
        <v/>
      </c>
      <c r="O52" s="80" t="str">
        <f t="shared" si="2"/>
        <v/>
      </c>
    </row>
    <row r="53" spans="1:17" ht="15" customHeight="1" x14ac:dyDescent="0.2">
      <c r="A53" s="76" t="s">
        <v>182</v>
      </c>
      <c r="B53" s="80" t="str">
        <f t="shared" ref="B53:O53" si="3">IF(B9=0,"",B31/B9)</f>
        <v/>
      </c>
      <c r="C53" s="80" t="str">
        <f t="shared" si="3"/>
        <v/>
      </c>
      <c r="D53" s="80" t="str">
        <f t="shared" si="3"/>
        <v/>
      </c>
      <c r="E53" s="80" t="str">
        <f t="shared" si="3"/>
        <v/>
      </c>
      <c r="F53" s="80" t="str">
        <f t="shared" si="3"/>
        <v/>
      </c>
      <c r="G53" s="80" t="str">
        <f t="shared" si="3"/>
        <v/>
      </c>
      <c r="H53" s="80" t="str">
        <f t="shared" si="3"/>
        <v/>
      </c>
      <c r="I53" s="80" t="str">
        <f t="shared" si="3"/>
        <v/>
      </c>
      <c r="J53" s="80" t="str">
        <f t="shared" si="3"/>
        <v/>
      </c>
      <c r="K53" s="80" t="str">
        <f t="shared" si="3"/>
        <v/>
      </c>
      <c r="L53" s="80" t="str">
        <f t="shared" si="3"/>
        <v/>
      </c>
      <c r="M53" s="80" t="str">
        <f t="shared" si="3"/>
        <v/>
      </c>
      <c r="N53" s="80" t="str">
        <f t="shared" si="3"/>
        <v/>
      </c>
      <c r="O53" s="80" t="str">
        <f t="shared" si="3"/>
        <v/>
      </c>
    </row>
    <row r="54" spans="1:17" ht="15" customHeight="1" x14ac:dyDescent="0.2">
      <c r="A54" s="76" t="s">
        <v>183</v>
      </c>
      <c r="B54" s="80">
        <f t="shared" ref="B54:O54" si="4">IF(B10=0,"",B32/B10)</f>
        <v>0.75</v>
      </c>
      <c r="C54" s="80" t="str">
        <f t="shared" si="4"/>
        <v/>
      </c>
      <c r="D54" s="80">
        <f t="shared" si="4"/>
        <v>0</v>
      </c>
      <c r="E54" s="80" t="str">
        <f t="shared" si="4"/>
        <v/>
      </c>
      <c r="F54" s="80">
        <f t="shared" si="4"/>
        <v>0</v>
      </c>
      <c r="G54" s="80">
        <f t="shared" si="4"/>
        <v>0.45</v>
      </c>
      <c r="H54" s="80" t="str">
        <f t="shared" si="4"/>
        <v/>
      </c>
      <c r="I54" s="80">
        <f t="shared" si="4"/>
        <v>0.44444444444444442</v>
      </c>
      <c r="J54" s="80" t="str">
        <f t="shared" si="4"/>
        <v/>
      </c>
      <c r="K54" s="80" t="str">
        <f t="shared" si="4"/>
        <v/>
      </c>
      <c r="L54" s="80">
        <f t="shared" si="4"/>
        <v>0.33333333333333331</v>
      </c>
      <c r="M54" s="80" t="str">
        <f t="shared" si="4"/>
        <v/>
      </c>
      <c r="N54" s="80" t="str">
        <f t="shared" si="4"/>
        <v/>
      </c>
      <c r="O54" s="80" t="str">
        <f t="shared" si="4"/>
        <v/>
      </c>
    </row>
    <row r="55" spans="1:17" ht="15" customHeight="1" x14ac:dyDescent="0.2">
      <c r="A55" s="76" t="s">
        <v>184</v>
      </c>
      <c r="B55" s="80" t="str">
        <f t="shared" ref="B55:O55" si="5">IF(B11=0,"",B33/B11)</f>
        <v/>
      </c>
      <c r="C55" s="80" t="str">
        <f t="shared" si="5"/>
        <v/>
      </c>
      <c r="D55" s="80" t="str">
        <f t="shared" si="5"/>
        <v/>
      </c>
      <c r="E55" s="80" t="str">
        <f t="shared" si="5"/>
        <v/>
      </c>
      <c r="F55" s="80" t="str">
        <f t="shared" si="5"/>
        <v/>
      </c>
      <c r="G55" s="80" t="str">
        <f t="shared" si="5"/>
        <v/>
      </c>
      <c r="H55" s="80" t="str">
        <f t="shared" si="5"/>
        <v/>
      </c>
      <c r="I55" s="80" t="str">
        <f t="shared" si="5"/>
        <v/>
      </c>
      <c r="J55" s="80" t="str">
        <f t="shared" si="5"/>
        <v/>
      </c>
      <c r="K55" s="80" t="str">
        <f t="shared" si="5"/>
        <v/>
      </c>
      <c r="L55" s="80" t="str">
        <f t="shared" si="5"/>
        <v/>
      </c>
      <c r="M55" s="80" t="str">
        <f t="shared" si="5"/>
        <v/>
      </c>
      <c r="N55" s="80" t="str">
        <f t="shared" si="5"/>
        <v/>
      </c>
      <c r="O55" s="80" t="str">
        <f t="shared" si="5"/>
        <v/>
      </c>
    </row>
    <row r="56" spans="1:17" ht="15" customHeight="1" x14ac:dyDescent="0.2">
      <c r="A56" s="76" t="s">
        <v>185</v>
      </c>
      <c r="B56" s="80" t="str">
        <f t="shared" ref="B56:O56" si="6">IF(B12=0,"",B34/B12)</f>
        <v/>
      </c>
      <c r="C56" s="80">
        <f t="shared" si="6"/>
        <v>0</v>
      </c>
      <c r="D56" s="80" t="str">
        <f t="shared" si="6"/>
        <v/>
      </c>
      <c r="E56" s="80" t="str">
        <f t="shared" si="6"/>
        <v/>
      </c>
      <c r="F56" s="80" t="str">
        <f t="shared" si="6"/>
        <v/>
      </c>
      <c r="G56" s="80" t="str">
        <f t="shared" si="6"/>
        <v/>
      </c>
      <c r="H56" s="80">
        <f t="shared" si="6"/>
        <v>1</v>
      </c>
      <c r="I56" s="80">
        <f t="shared" si="6"/>
        <v>0.5</v>
      </c>
      <c r="J56" s="80">
        <f t="shared" si="6"/>
        <v>0.5</v>
      </c>
      <c r="K56" s="80">
        <f t="shared" si="6"/>
        <v>0</v>
      </c>
      <c r="L56" s="80">
        <f t="shared" si="6"/>
        <v>0.5</v>
      </c>
      <c r="M56" s="80" t="str">
        <f t="shared" si="6"/>
        <v/>
      </c>
      <c r="N56" s="80" t="str">
        <f t="shared" si="6"/>
        <v/>
      </c>
      <c r="O56" s="80" t="str">
        <f t="shared" si="6"/>
        <v/>
      </c>
    </row>
    <row r="57" spans="1:17" ht="15" customHeight="1" x14ac:dyDescent="0.2">
      <c r="A57" s="76" t="s">
        <v>186</v>
      </c>
      <c r="B57" s="80">
        <f t="shared" ref="B57:O57" si="7">IF(B13=0,"",B35/B13)</f>
        <v>1</v>
      </c>
      <c r="C57" s="80" t="str">
        <f t="shared" si="7"/>
        <v/>
      </c>
      <c r="D57" s="80">
        <f t="shared" si="7"/>
        <v>0</v>
      </c>
      <c r="E57" s="80">
        <f t="shared" si="7"/>
        <v>0</v>
      </c>
      <c r="F57" s="80">
        <f t="shared" si="7"/>
        <v>0</v>
      </c>
      <c r="G57" s="80">
        <f t="shared" si="7"/>
        <v>0</v>
      </c>
      <c r="H57" s="80">
        <f t="shared" si="7"/>
        <v>0</v>
      </c>
      <c r="I57" s="80">
        <f t="shared" si="7"/>
        <v>0</v>
      </c>
      <c r="J57" s="80" t="str">
        <f t="shared" si="7"/>
        <v/>
      </c>
      <c r="K57" s="80" t="str">
        <f t="shared" si="7"/>
        <v/>
      </c>
      <c r="L57" s="80">
        <f t="shared" si="7"/>
        <v>0</v>
      </c>
      <c r="M57" s="80" t="str">
        <f t="shared" si="7"/>
        <v/>
      </c>
      <c r="N57" s="80" t="str">
        <f t="shared" si="7"/>
        <v/>
      </c>
      <c r="O57" s="80" t="str">
        <f t="shared" si="7"/>
        <v/>
      </c>
    </row>
    <row r="58" spans="1:17" ht="15" customHeight="1" x14ac:dyDescent="0.2">
      <c r="A58" s="76" t="s">
        <v>188</v>
      </c>
      <c r="B58" s="80" t="str">
        <f t="shared" ref="B58:O58" si="8">IF(B14=0,"",B36/B14)</f>
        <v/>
      </c>
      <c r="C58" s="80" t="str">
        <f t="shared" si="8"/>
        <v/>
      </c>
      <c r="D58" s="80" t="str">
        <f t="shared" si="8"/>
        <v/>
      </c>
      <c r="E58" s="80" t="str">
        <f t="shared" si="8"/>
        <v/>
      </c>
      <c r="F58" s="80" t="str">
        <f t="shared" si="8"/>
        <v/>
      </c>
      <c r="G58" s="80" t="str">
        <f t="shared" si="8"/>
        <v/>
      </c>
      <c r="H58" s="80" t="str">
        <f t="shared" si="8"/>
        <v/>
      </c>
      <c r="I58" s="80" t="str">
        <f t="shared" si="8"/>
        <v/>
      </c>
      <c r="J58" s="80" t="str">
        <f t="shared" si="8"/>
        <v/>
      </c>
      <c r="K58" s="80" t="str">
        <f t="shared" si="8"/>
        <v/>
      </c>
      <c r="L58" s="80" t="str">
        <f t="shared" si="8"/>
        <v/>
      </c>
      <c r="M58" s="80" t="str">
        <f t="shared" si="8"/>
        <v/>
      </c>
      <c r="N58" s="80" t="str">
        <f t="shared" si="8"/>
        <v/>
      </c>
      <c r="O58" s="80" t="str">
        <f t="shared" si="8"/>
        <v/>
      </c>
    </row>
    <row r="59" spans="1:17" ht="15" customHeight="1" x14ac:dyDescent="0.2">
      <c r="A59" s="76" t="s">
        <v>190</v>
      </c>
      <c r="B59" s="80" t="str">
        <f t="shared" ref="B59:O59" si="9">IF(B15=0,"",B37/B15)</f>
        <v/>
      </c>
      <c r="C59" s="80" t="str">
        <f t="shared" si="9"/>
        <v/>
      </c>
      <c r="D59" s="80" t="str">
        <f t="shared" si="9"/>
        <v/>
      </c>
      <c r="E59" s="80" t="str">
        <f t="shared" si="9"/>
        <v/>
      </c>
      <c r="F59" s="80" t="str">
        <f t="shared" si="9"/>
        <v/>
      </c>
      <c r="G59" s="80" t="str">
        <f t="shared" si="9"/>
        <v/>
      </c>
      <c r="H59" s="80" t="str">
        <f t="shared" si="9"/>
        <v/>
      </c>
      <c r="I59" s="80" t="str">
        <f t="shared" si="9"/>
        <v/>
      </c>
      <c r="J59" s="80" t="str">
        <f t="shared" si="9"/>
        <v/>
      </c>
      <c r="K59" s="80" t="str">
        <f t="shared" si="9"/>
        <v/>
      </c>
      <c r="L59" s="80" t="str">
        <f t="shared" si="9"/>
        <v/>
      </c>
      <c r="M59" s="80" t="str">
        <f t="shared" si="9"/>
        <v/>
      </c>
      <c r="N59" s="80" t="str">
        <f t="shared" si="9"/>
        <v/>
      </c>
      <c r="O59" s="80" t="str">
        <f t="shared" si="9"/>
        <v/>
      </c>
    </row>
    <row r="60" spans="1:17" ht="15" customHeight="1" x14ac:dyDescent="0.2">
      <c r="A60" s="76" t="s">
        <v>192</v>
      </c>
      <c r="B60" s="80" t="str">
        <f t="shared" ref="B60:O60" si="10">IF(B16=0,"",B38/B16)</f>
        <v/>
      </c>
      <c r="C60" s="80" t="str">
        <f t="shared" si="10"/>
        <v/>
      </c>
      <c r="D60" s="80" t="str">
        <f t="shared" si="10"/>
        <v/>
      </c>
      <c r="E60" s="80" t="str">
        <f t="shared" si="10"/>
        <v/>
      </c>
      <c r="F60" s="80">
        <f t="shared" si="10"/>
        <v>1</v>
      </c>
      <c r="G60" s="80">
        <f t="shared" si="10"/>
        <v>0</v>
      </c>
      <c r="H60" s="80" t="str">
        <f t="shared" si="10"/>
        <v/>
      </c>
      <c r="I60" s="80" t="str">
        <f t="shared" si="10"/>
        <v/>
      </c>
      <c r="J60" s="80" t="str">
        <f t="shared" si="10"/>
        <v/>
      </c>
      <c r="K60" s="80" t="str">
        <f t="shared" si="10"/>
        <v/>
      </c>
      <c r="L60" s="80">
        <f t="shared" si="10"/>
        <v>0</v>
      </c>
      <c r="M60" s="80" t="str">
        <f t="shared" si="10"/>
        <v/>
      </c>
      <c r="N60" s="80" t="str">
        <f t="shared" si="10"/>
        <v/>
      </c>
      <c r="O60" s="80" t="str">
        <f t="shared" si="10"/>
        <v/>
      </c>
    </row>
    <row r="61" spans="1:17" ht="15" customHeight="1" x14ac:dyDescent="0.2">
      <c r="A61" s="76" t="s">
        <v>193</v>
      </c>
      <c r="B61" s="80" t="str">
        <f t="shared" ref="B61:O61" si="11">IF(B17=0,"",B39/B17)</f>
        <v/>
      </c>
      <c r="C61" s="80" t="str">
        <f t="shared" si="11"/>
        <v/>
      </c>
      <c r="D61" s="80" t="str">
        <f t="shared" si="11"/>
        <v/>
      </c>
      <c r="E61" s="80" t="str">
        <f t="shared" si="11"/>
        <v/>
      </c>
      <c r="F61" s="80" t="str">
        <f t="shared" si="11"/>
        <v/>
      </c>
      <c r="G61" s="80" t="str">
        <f t="shared" si="11"/>
        <v/>
      </c>
      <c r="H61" s="80" t="str">
        <f t="shared" si="11"/>
        <v/>
      </c>
      <c r="I61" s="80" t="str">
        <f t="shared" si="11"/>
        <v/>
      </c>
      <c r="J61" s="80" t="str">
        <f t="shared" si="11"/>
        <v/>
      </c>
      <c r="K61" s="80" t="str">
        <f t="shared" si="11"/>
        <v/>
      </c>
      <c r="L61" s="80" t="str">
        <f t="shared" si="11"/>
        <v/>
      </c>
      <c r="M61" s="80" t="str">
        <f t="shared" si="11"/>
        <v/>
      </c>
      <c r="N61" s="80" t="str">
        <f t="shared" si="11"/>
        <v/>
      </c>
      <c r="O61" s="80" t="str">
        <f t="shared" si="11"/>
        <v/>
      </c>
    </row>
    <row r="62" spans="1:17" ht="15" customHeight="1" x14ac:dyDescent="0.2">
      <c r="A62" s="76" t="s">
        <v>194</v>
      </c>
      <c r="B62" s="80" t="str">
        <f t="shared" ref="B62:O62" si="12">IF(B18=0,"",B40/B18)</f>
        <v/>
      </c>
      <c r="C62" s="80" t="str">
        <f t="shared" si="12"/>
        <v/>
      </c>
      <c r="D62" s="80" t="str">
        <f t="shared" si="12"/>
        <v/>
      </c>
      <c r="E62" s="80" t="str">
        <f t="shared" si="12"/>
        <v/>
      </c>
      <c r="F62" s="80" t="str">
        <f t="shared" si="12"/>
        <v/>
      </c>
      <c r="G62" s="80" t="str">
        <f t="shared" si="12"/>
        <v/>
      </c>
      <c r="H62" s="80" t="str">
        <f t="shared" si="12"/>
        <v/>
      </c>
      <c r="I62" s="80" t="str">
        <f t="shared" si="12"/>
        <v/>
      </c>
      <c r="J62" s="80" t="str">
        <f t="shared" si="12"/>
        <v/>
      </c>
      <c r="K62" s="80" t="str">
        <f t="shared" si="12"/>
        <v/>
      </c>
      <c r="L62" s="80" t="str">
        <f t="shared" si="12"/>
        <v/>
      </c>
      <c r="M62" s="80" t="str">
        <f t="shared" si="12"/>
        <v/>
      </c>
      <c r="N62" s="80" t="str">
        <f t="shared" si="12"/>
        <v/>
      </c>
      <c r="O62" s="80" t="str">
        <f t="shared" si="12"/>
        <v/>
      </c>
    </row>
    <row r="63" spans="1:17" ht="15" customHeight="1" x14ac:dyDescent="0.2">
      <c r="A63" s="76" t="s">
        <v>195</v>
      </c>
      <c r="B63" s="80">
        <f t="shared" ref="B63:O63" si="13">IF(B19=0,"",B41/B19)</f>
        <v>0.5</v>
      </c>
      <c r="C63" s="80">
        <f t="shared" si="13"/>
        <v>0</v>
      </c>
      <c r="D63" s="80" t="str">
        <f t="shared" si="13"/>
        <v/>
      </c>
      <c r="E63" s="80">
        <f t="shared" si="13"/>
        <v>0.16666666666666666</v>
      </c>
      <c r="F63" s="80">
        <f t="shared" si="13"/>
        <v>0.8666666666666667</v>
      </c>
      <c r="G63" s="80">
        <f t="shared" si="13"/>
        <v>1</v>
      </c>
      <c r="H63" s="80">
        <f t="shared" si="13"/>
        <v>0</v>
      </c>
      <c r="I63" s="80">
        <f t="shared" si="13"/>
        <v>0.14285714285714285</v>
      </c>
      <c r="J63" s="80">
        <f t="shared" si="13"/>
        <v>0.8</v>
      </c>
      <c r="K63" s="80">
        <f t="shared" si="13"/>
        <v>0</v>
      </c>
      <c r="L63" s="80">
        <f t="shared" si="13"/>
        <v>0.46153846153846156</v>
      </c>
      <c r="M63" s="80" t="str">
        <f t="shared" si="13"/>
        <v/>
      </c>
      <c r="N63" s="80" t="str">
        <f t="shared" si="13"/>
        <v/>
      </c>
      <c r="O63" s="80" t="str">
        <f t="shared" si="13"/>
        <v/>
      </c>
    </row>
    <row r="64" spans="1:17" ht="15" customHeight="1" x14ac:dyDescent="0.2">
      <c r="A64" s="76" t="s">
        <v>197</v>
      </c>
      <c r="B64" s="80">
        <f t="shared" ref="B64:O64" si="14">IF(B20=0,"",B42/B20)</f>
        <v>0.66666666666666663</v>
      </c>
      <c r="C64" s="80" t="str">
        <f t="shared" si="14"/>
        <v/>
      </c>
      <c r="D64" s="80" t="str">
        <f t="shared" si="14"/>
        <v/>
      </c>
      <c r="E64" s="80" t="str">
        <f t="shared" si="14"/>
        <v/>
      </c>
      <c r="F64" s="80">
        <f t="shared" si="14"/>
        <v>0</v>
      </c>
      <c r="G64" s="80">
        <f t="shared" si="14"/>
        <v>0.22222222222222221</v>
      </c>
      <c r="H64" s="80" t="str">
        <f t="shared" si="14"/>
        <v/>
      </c>
      <c r="I64" s="80">
        <f t="shared" si="14"/>
        <v>0.83333333333333337</v>
      </c>
      <c r="J64" s="80" t="str">
        <f t="shared" si="14"/>
        <v/>
      </c>
      <c r="K64" s="80" t="str">
        <f t="shared" si="14"/>
        <v/>
      </c>
      <c r="L64" s="80">
        <f t="shared" si="14"/>
        <v>0.33333333333333331</v>
      </c>
      <c r="M64" s="80" t="str">
        <f t="shared" si="14"/>
        <v/>
      </c>
      <c r="N64" s="80" t="str">
        <f t="shared" si="14"/>
        <v/>
      </c>
      <c r="O64" s="80" t="str">
        <f t="shared" si="14"/>
        <v/>
      </c>
    </row>
    <row r="65" spans="1:19" ht="15" customHeight="1" x14ac:dyDescent="0.2">
      <c r="A65" s="76" t="s">
        <v>199</v>
      </c>
      <c r="B65" s="80">
        <f t="shared" ref="B65:O65" si="15">IF(B21=0,"",B43/B21)</f>
        <v>1</v>
      </c>
      <c r="C65" s="80" t="str">
        <f t="shared" si="15"/>
        <v/>
      </c>
      <c r="D65" s="80">
        <f t="shared" si="15"/>
        <v>1</v>
      </c>
      <c r="E65" s="80" t="str">
        <f t="shared" si="15"/>
        <v/>
      </c>
      <c r="F65" s="80" t="str">
        <f t="shared" si="15"/>
        <v/>
      </c>
      <c r="G65" s="80">
        <f t="shared" si="15"/>
        <v>0</v>
      </c>
      <c r="H65" s="80" t="str">
        <f t="shared" si="15"/>
        <v/>
      </c>
      <c r="I65" s="80">
        <f t="shared" si="15"/>
        <v>0.2857142857142857</v>
      </c>
      <c r="J65" s="80" t="str">
        <f t="shared" si="15"/>
        <v/>
      </c>
      <c r="K65" s="80" t="str">
        <f t="shared" si="15"/>
        <v/>
      </c>
      <c r="L65" s="80">
        <f t="shared" si="15"/>
        <v>0.7142857142857143</v>
      </c>
      <c r="M65" s="80" t="str">
        <f t="shared" si="15"/>
        <v/>
      </c>
      <c r="N65" s="80" t="str">
        <f t="shared" si="15"/>
        <v/>
      </c>
      <c r="O65" s="80" t="str">
        <f t="shared" si="15"/>
        <v/>
      </c>
    </row>
    <row r="66" spans="1:19" ht="15" customHeight="1" x14ac:dyDescent="0.2">
      <c r="A66" s="76" t="s">
        <v>201</v>
      </c>
      <c r="B66" s="80" t="str">
        <f t="shared" ref="B66:O66" si="16">IF(B22=0,"",B44/B22)</f>
        <v/>
      </c>
      <c r="C66" s="80" t="str">
        <f t="shared" si="16"/>
        <v/>
      </c>
      <c r="D66" s="80" t="str">
        <f t="shared" si="16"/>
        <v/>
      </c>
      <c r="E66" s="80" t="str">
        <f t="shared" si="16"/>
        <v/>
      </c>
      <c r="F66" s="80" t="str">
        <f t="shared" si="16"/>
        <v/>
      </c>
      <c r="G66" s="80" t="str">
        <f t="shared" si="16"/>
        <v/>
      </c>
      <c r="H66" s="80" t="str">
        <f t="shared" si="16"/>
        <v/>
      </c>
      <c r="I66" s="80" t="str">
        <f t="shared" si="16"/>
        <v/>
      </c>
      <c r="J66" s="80" t="str">
        <f t="shared" si="16"/>
        <v/>
      </c>
      <c r="K66" s="80" t="str">
        <f t="shared" si="16"/>
        <v/>
      </c>
      <c r="L66" s="80" t="str">
        <f t="shared" si="16"/>
        <v/>
      </c>
      <c r="M66" s="80" t="str">
        <f t="shared" si="16"/>
        <v/>
      </c>
      <c r="N66" s="80" t="str">
        <f t="shared" si="16"/>
        <v/>
      </c>
      <c r="O66" s="80" t="str">
        <f t="shared" si="16"/>
        <v/>
      </c>
    </row>
    <row r="67" spans="1:19" ht="15" customHeight="1" x14ac:dyDescent="0.2">
      <c r="A67" s="76" t="s">
        <v>203</v>
      </c>
      <c r="B67" s="80">
        <f t="shared" ref="B67:O67" si="17">IF(B23=0,"",B45/B23)</f>
        <v>0.5</v>
      </c>
      <c r="C67" s="80" t="str">
        <f t="shared" si="17"/>
        <v/>
      </c>
      <c r="D67" s="80">
        <f t="shared" si="17"/>
        <v>0</v>
      </c>
      <c r="E67" s="80" t="str">
        <f t="shared" si="17"/>
        <v/>
      </c>
      <c r="F67" s="80" t="str">
        <f t="shared" si="17"/>
        <v/>
      </c>
      <c r="G67" s="80" t="str">
        <f t="shared" si="17"/>
        <v/>
      </c>
      <c r="H67" s="80" t="str">
        <f t="shared" si="17"/>
        <v/>
      </c>
      <c r="I67" s="80">
        <f t="shared" si="17"/>
        <v>1</v>
      </c>
      <c r="J67" s="80" t="str">
        <f t="shared" si="17"/>
        <v/>
      </c>
      <c r="K67" s="80" t="str">
        <f t="shared" si="17"/>
        <v/>
      </c>
      <c r="L67" s="80" t="str">
        <f t="shared" si="17"/>
        <v/>
      </c>
      <c r="M67" s="80" t="str">
        <f t="shared" si="17"/>
        <v/>
      </c>
      <c r="N67" s="80" t="str">
        <f t="shared" si="17"/>
        <v/>
      </c>
      <c r="O67" s="80" t="str">
        <f t="shared" si="17"/>
        <v/>
      </c>
    </row>
    <row r="68" spans="1:19" ht="15" customHeight="1" x14ac:dyDescent="0.2">
      <c r="A68" s="76" t="s">
        <v>204</v>
      </c>
      <c r="B68" s="80" t="str">
        <f t="shared" ref="B68:O68" si="18">IF(B24=0,"",B46/B24)</f>
        <v/>
      </c>
      <c r="C68" s="80" t="str">
        <f t="shared" si="18"/>
        <v/>
      </c>
      <c r="D68" s="80">
        <f t="shared" si="18"/>
        <v>0</v>
      </c>
      <c r="E68" s="80" t="str">
        <f t="shared" si="18"/>
        <v/>
      </c>
      <c r="F68" s="80">
        <f t="shared" si="18"/>
        <v>1</v>
      </c>
      <c r="G68" s="80" t="str">
        <f t="shared" si="18"/>
        <v/>
      </c>
      <c r="H68" s="80" t="str">
        <f t="shared" si="18"/>
        <v/>
      </c>
      <c r="I68" s="80">
        <f t="shared" si="18"/>
        <v>0</v>
      </c>
      <c r="J68" s="80" t="str">
        <f t="shared" si="18"/>
        <v/>
      </c>
      <c r="K68" s="80" t="str">
        <f t="shared" si="18"/>
        <v/>
      </c>
      <c r="L68" s="80" t="str">
        <f t="shared" si="18"/>
        <v/>
      </c>
      <c r="M68" s="80" t="str">
        <f t="shared" si="18"/>
        <v/>
      </c>
      <c r="N68" s="80" t="str">
        <f t="shared" si="18"/>
        <v/>
      </c>
      <c r="O68" s="80" t="str">
        <f t="shared" si="18"/>
        <v/>
      </c>
    </row>
    <row r="69" spans="1:19" ht="15" customHeight="1" x14ac:dyDescent="0.2">
      <c r="A69" s="76" t="s">
        <v>206</v>
      </c>
      <c r="B69" s="80">
        <f t="shared" ref="B69:O69" si="19">IF(B25=0,"",B47/B25)</f>
        <v>0.2857142857142857</v>
      </c>
      <c r="C69" s="80">
        <f t="shared" si="19"/>
        <v>0.625</v>
      </c>
      <c r="D69" s="80">
        <f t="shared" si="19"/>
        <v>1</v>
      </c>
      <c r="E69" s="80">
        <f t="shared" si="19"/>
        <v>0.42857142857142855</v>
      </c>
      <c r="F69" s="80">
        <f t="shared" si="19"/>
        <v>0.375</v>
      </c>
      <c r="G69" s="80">
        <f t="shared" si="19"/>
        <v>0.44444444444444442</v>
      </c>
      <c r="H69" s="80">
        <f t="shared" si="19"/>
        <v>0.72727272727272729</v>
      </c>
      <c r="I69" s="80">
        <f t="shared" si="19"/>
        <v>0.55555555555555558</v>
      </c>
      <c r="J69" s="80">
        <f t="shared" si="19"/>
        <v>0.7</v>
      </c>
      <c r="K69" s="80">
        <f t="shared" si="19"/>
        <v>0.2857142857142857</v>
      </c>
      <c r="L69" s="80">
        <f t="shared" si="19"/>
        <v>0.41666666666666669</v>
      </c>
      <c r="M69" s="80">
        <f t="shared" si="19"/>
        <v>0.4</v>
      </c>
      <c r="N69" s="80">
        <f t="shared" si="19"/>
        <v>0.5</v>
      </c>
      <c r="O69" s="80" t="str">
        <f t="shared" si="19"/>
        <v/>
      </c>
    </row>
    <row r="70" spans="1:19" ht="15" customHeight="1" x14ac:dyDescent="0.2">
      <c r="A70" s="76" t="s">
        <v>208</v>
      </c>
      <c r="B70" s="80">
        <f t="shared" ref="B70:O70" si="20">IF(B26=0,"",B48/B26)</f>
        <v>0.2</v>
      </c>
      <c r="C70" s="80" t="str">
        <f t="shared" si="20"/>
        <v/>
      </c>
      <c r="D70" s="80" t="str">
        <f t="shared" si="20"/>
        <v/>
      </c>
      <c r="E70" s="80" t="str">
        <f t="shared" si="20"/>
        <v/>
      </c>
      <c r="F70" s="80">
        <f t="shared" si="20"/>
        <v>0.5</v>
      </c>
      <c r="G70" s="80">
        <f t="shared" si="20"/>
        <v>0.8</v>
      </c>
      <c r="H70" s="80" t="str">
        <f t="shared" si="20"/>
        <v/>
      </c>
      <c r="I70" s="80">
        <f t="shared" si="20"/>
        <v>0.5</v>
      </c>
      <c r="J70" s="80" t="str">
        <f t="shared" si="20"/>
        <v/>
      </c>
      <c r="K70" s="80" t="str">
        <f t="shared" si="20"/>
        <v/>
      </c>
      <c r="L70" s="80" t="str">
        <f t="shared" si="20"/>
        <v/>
      </c>
      <c r="M70" s="80" t="str">
        <f t="shared" si="20"/>
        <v/>
      </c>
      <c r="N70" s="80" t="str">
        <f t="shared" si="20"/>
        <v/>
      </c>
      <c r="O70" s="80" t="str">
        <f t="shared" si="20"/>
        <v/>
      </c>
    </row>
    <row r="71" spans="1:19" x14ac:dyDescent="0.2">
      <c r="A71" s="76" t="s">
        <v>407</v>
      </c>
      <c r="B71" s="80" t="str">
        <f t="shared" ref="B71:O71" si="21">IF(B27=0,"",B49/B27)</f>
        <v/>
      </c>
      <c r="C71" s="80" t="str">
        <f t="shared" si="21"/>
        <v/>
      </c>
      <c r="D71" s="80" t="str">
        <f t="shared" si="21"/>
        <v/>
      </c>
      <c r="E71" s="80" t="str">
        <f t="shared" si="21"/>
        <v/>
      </c>
      <c r="F71" s="80" t="str">
        <f t="shared" si="21"/>
        <v/>
      </c>
      <c r="G71" s="80" t="str">
        <f t="shared" si="21"/>
        <v/>
      </c>
      <c r="H71" s="80" t="str">
        <f t="shared" si="21"/>
        <v/>
      </c>
      <c r="I71" s="80" t="str">
        <f t="shared" si="21"/>
        <v/>
      </c>
      <c r="J71" s="80" t="str">
        <f t="shared" si="21"/>
        <v/>
      </c>
      <c r="K71" s="80" t="str">
        <f t="shared" si="21"/>
        <v/>
      </c>
      <c r="L71" s="80" t="str">
        <f t="shared" si="21"/>
        <v/>
      </c>
      <c r="M71" s="80" t="str">
        <f t="shared" si="21"/>
        <v/>
      </c>
      <c r="N71" s="80" t="str">
        <f t="shared" si="21"/>
        <v/>
      </c>
      <c r="O71" s="80" t="str">
        <f t="shared" si="21"/>
        <v/>
      </c>
    </row>
    <row r="72" spans="1:19" ht="15" customHeight="1" x14ac:dyDescent="0.2">
      <c r="A72" s="157" t="s">
        <v>228</v>
      </c>
      <c r="B72" s="157"/>
      <c r="C72" s="157"/>
      <c r="D72" s="157"/>
      <c r="E72" s="157"/>
      <c r="F72" s="157"/>
      <c r="G72" s="157"/>
      <c r="H72" s="157"/>
      <c r="I72" s="157"/>
      <c r="J72" s="157"/>
      <c r="K72" s="157"/>
      <c r="L72" s="157"/>
      <c r="M72" s="157"/>
      <c r="N72" s="157"/>
      <c r="O72" s="157"/>
      <c r="P72" s="157"/>
      <c r="Q72" s="157"/>
    </row>
    <row r="73" spans="1:19" ht="15" customHeight="1" x14ac:dyDescent="0.2">
      <c r="A73" s="81" t="s">
        <v>229</v>
      </c>
      <c r="B73" s="74" t="s">
        <v>127</v>
      </c>
      <c r="C73" s="74" t="s">
        <v>187</v>
      </c>
      <c r="D73" s="74" t="s">
        <v>180</v>
      </c>
      <c r="E73" s="74" t="s">
        <v>102</v>
      </c>
      <c r="F73" s="74" t="s">
        <v>230</v>
      </c>
      <c r="G73" s="74" t="s">
        <v>100</v>
      </c>
    </row>
    <row r="74" spans="1:19" ht="15" customHeight="1" x14ac:dyDescent="0.2">
      <c r="A74" s="76" t="s">
        <v>167</v>
      </c>
      <c r="B74" s="77">
        <f>COUNTIF('Match Log'!$D$4:$D$810,$A74)</f>
        <v>23</v>
      </c>
      <c r="C74" s="77">
        <f>SUMPRODUCT(--(COUNTIFS('Match Log'!$D$4:$D$810,$A74,'Match Log'!$C$4:$C$810,Lists!$C$2:$C$21)&gt;0))</f>
        <v>3</v>
      </c>
      <c r="D74" s="77">
        <f>COUNTIFS('Match Log'!$D$4:$D$810,$A74,'Match Log'!$E$4:$E$810,"Win")</f>
        <v>15</v>
      </c>
      <c r="E74" s="80">
        <f t="shared" ref="E74:E87" si="22">IF($B74=0,"",$D74/$B74)</f>
        <v>0.65217391304347827</v>
      </c>
      <c r="F74" s="82">
        <f>IFERROR(INDEX(Engine!$B$2:$B$15,MATCH($A74,Engine!$A$2:$A$15,0)),"")</f>
        <v>1168.2113436007442</v>
      </c>
      <c r="G74" s="77" t="str">
        <f>IF($B74=0,"No games",IF(AND($B74&gt;='Guide &amp; Settings'!$C$45,$C74&gt;='Guide &amp; Settings'!$C$46),"Eligible","Provisional"))</f>
        <v>Eligible</v>
      </c>
      <c r="S74" s="83">
        <f t="shared" ref="S74:S87" si="23">IF($G74="Eligible",$F74,-1)</f>
        <v>1168.2113436007442</v>
      </c>
    </row>
    <row r="75" spans="1:19" ht="15" customHeight="1" x14ac:dyDescent="0.2">
      <c r="A75" s="76" t="s">
        <v>137</v>
      </c>
      <c r="B75" s="77">
        <f>COUNTIF('Match Log'!$D$4:$D$810,$A75)</f>
        <v>32</v>
      </c>
      <c r="C75" s="77">
        <f>SUMPRODUCT(--(COUNTIFS('Match Log'!$D$4:$D$810,$A75,'Match Log'!$C$4:$C$810,Lists!$C$2:$C$21)&gt;0))</f>
        <v>8</v>
      </c>
      <c r="D75" s="77">
        <f>COUNTIFS('Match Log'!$D$4:$D$810,$A75,'Match Log'!$E$4:$E$810,"Win")</f>
        <v>20</v>
      </c>
      <c r="E75" s="80">
        <f t="shared" si="22"/>
        <v>0.625</v>
      </c>
      <c r="F75" s="82">
        <f>IFERROR(INDEX(Engine!$B$2:$B$15,MATCH($A75,Engine!$A$2:$A$15,0)),"")</f>
        <v>1129.7012289075892</v>
      </c>
      <c r="G75" s="77" t="str">
        <f>IF($B75=0,"No games",IF(AND($B75&gt;='Guide &amp; Settings'!$C$45,$C75&gt;='Guide &amp; Settings'!$C$46),"Eligible","Provisional"))</f>
        <v>Eligible</v>
      </c>
      <c r="S75" s="83">
        <f t="shared" si="23"/>
        <v>1129.7012289075892</v>
      </c>
    </row>
    <row r="76" spans="1:19" ht="15" customHeight="1" x14ac:dyDescent="0.2">
      <c r="A76" s="76" t="s">
        <v>168</v>
      </c>
      <c r="B76" s="77">
        <f>COUNTIF('Match Log'!$D$4:$D$810,$A76)</f>
        <v>17</v>
      </c>
      <c r="C76" s="77">
        <f>SUMPRODUCT(--(COUNTIFS('Match Log'!$D$4:$D$810,$A76,'Match Log'!$C$4:$C$810,Lists!$C$2:$C$21)&gt;0))</f>
        <v>4</v>
      </c>
      <c r="D76" s="77">
        <f>COUNTIFS('Match Log'!$D$4:$D$810,$A76,'Match Log'!$E$4:$E$810,"Win")</f>
        <v>10</v>
      </c>
      <c r="E76" s="80">
        <f t="shared" si="22"/>
        <v>0.58823529411764708</v>
      </c>
      <c r="F76" s="82">
        <f>IFERROR(INDEX(Engine!$B$2:$B$15,MATCH($A76,Engine!$A$2:$A$15,0)),"")</f>
        <v>1084.8903813508514</v>
      </c>
      <c r="G76" s="77" t="str">
        <f>IF($B76=0,"No games",IF(AND($B76&gt;='Guide &amp; Settings'!$C$45,$C76&gt;='Guide &amp; Settings'!$C$46),"Eligible","Provisional"))</f>
        <v>Eligible</v>
      </c>
      <c r="S76" s="83">
        <f t="shared" si="23"/>
        <v>1084.8903813508514</v>
      </c>
    </row>
    <row r="77" spans="1:19" ht="15" customHeight="1" x14ac:dyDescent="0.2">
      <c r="A77" s="76" t="s">
        <v>169</v>
      </c>
      <c r="B77" s="77">
        <f>COUNTIF('Match Log'!$D$4:$D$810,$A77)</f>
        <v>44</v>
      </c>
      <c r="C77" s="77">
        <f>SUMPRODUCT(--(COUNTIFS('Match Log'!$D$4:$D$810,$A77,'Match Log'!$C$4:$C$810,Lists!$C$2:$C$21)&gt;0))</f>
        <v>8</v>
      </c>
      <c r="D77" s="77">
        <f>COUNTIFS('Match Log'!$D$4:$D$810,$A77,'Match Log'!$E$4:$E$810,"Win")</f>
        <v>20</v>
      </c>
      <c r="E77" s="80">
        <f t="shared" si="22"/>
        <v>0.45454545454545453</v>
      </c>
      <c r="F77" s="82">
        <f>IFERROR(INDEX(Engine!$B$2:$B$15,MATCH($A77,Engine!$A$2:$A$15,0)),"")</f>
        <v>1058.6657209484931</v>
      </c>
      <c r="G77" s="77" t="str">
        <f>IF($B77=0,"No games",IF(AND($B77&gt;='Guide &amp; Settings'!$C$45,$C77&gt;='Guide &amp; Settings'!$C$46),"Eligible","Provisional"))</f>
        <v>Eligible</v>
      </c>
      <c r="S77" s="83">
        <f t="shared" si="23"/>
        <v>1058.6657209484931</v>
      </c>
    </row>
    <row r="78" spans="1:19" ht="15" customHeight="1" x14ac:dyDescent="0.2">
      <c r="A78" s="76" t="s">
        <v>170</v>
      </c>
      <c r="B78" s="77">
        <f>COUNTIF('Match Log'!$D$4:$D$810,$A78)</f>
        <v>52</v>
      </c>
      <c r="C78" s="77">
        <f>SUMPRODUCT(--(COUNTIFS('Match Log'!$D$4:$D$810,$A78,'Match Log'!$C$4:$C$810,Lists!$C$2:$C$21)&gt;0))</f>
        <v>11</v>
      </c>
      <c r="D78" s="77">
        <f>COUNTIFS('Match Log'!$D$4:$D$810,$A78,'Match Log'!$E$4:$E$810,"Win")</f>
        <v>23</v>
      </c>
      <c r="E78" s="80">
        <f t="shared" si="22"/>
        <v>0.44230769230769229</v>
      </c>
      <c r="F78" s="82">
        <f>IFERROR(INDEX(Engine!$B$2:$B$15,MATCH($A78,Engine!$A$2:$A$15,0)),"")</f>
        <v>1050.8634549674414</v>
      </c>
      <c r="G78" s="77" t="str">
        <f>IF($B78=0,"No games",IF(AND($B78&gt;='Guide &amp; Settings'!$C$45,$C78&gt;='Guide &amp; Settings'!$C$46),"Eligible","Provisional"))</f>
        <v>Eligible</v>
      </c>
      <c r="S78" s="83">
        <f t="shared" si="23"/>
        <v>1050.8634549674414</v>
      </c>
    </row>
    <row r="79" spans="1:19" ht="15" customHeight="1" x14ac:dyDescent="0.2">
      <c r="A79" s="76" t="s">
        <v>138</v>
      </c>
      <c r="B79" s="77">
        <f>COUNTIF('Match Log'!$D$4:$D$810,$A79)</f>
        <v>35</v>
      </c>
      <c r="C79" s="77">
        <f>SUMPRODUCT(--(COUNTIFS('Match Log'!$D$4:$D$810,$A79,'Match Log'!$C$4:$C$810,Lists!$C$2:$C$21)&gt;0))</f>
        <v>8</v>
      </c>
      <c r="D79" s="77">
        <f>COUNTIFS('Match Log'!$D$4:$D$810,$A79,'Match Log'!$E$4:$E$810,"Win")</f>
        <v>20</v>
      </c>
      <c r="E79" s="80">
        <f t="shared" si="22"/>
        <v>0.5714285714285714</v>
      </c>
      <c r="F79" s="82">
        <f>IFERROR(INDEX(Engine!$B$2:$B$15,MATCH($A79,Engine!$A$2:$A$15,0)),"")</f>
        <v>1107.5369206684595</v>
      </c>
      <c r="G79" s="77" t="str">
        <f>IF($B79=0,"No games",IF(AND($B79&gt;='Guide &amp; Settings'!$C$45,$C79&gt;='Guide &amp; Settings'!$C$46),"Eligible","Provisional"))</f>
        <v>Eligible</v>
      </c>
      <c r="S79" s="83">
        <f t="shared" si="23"/>
        <v>1107.5369206684595</v>
      </c>
    </row>
    <row r="80" spans="1:19" ht="15" customHeight="1" x14ac:dyDescent="0.2">
      <c r="A80" s="76" t="s">
        <v>134</v>
      </c>
      <c r="B80" s="77">
        <f>COUNTIF('Match Log'!$D$4:$D$810,$A80)</f>
        <v>59</v>
      </c>
      <c r="C80" s="77">
        <f>SUMPRODUCT(--(COUNTIFS('Match Log'!$D$4:$D$810,$A80,'Match Log'!$C$4:$C$810,Lists!$C$2:$C$21)&gt;0))</f>
        <v>9</v>
      </c>
      <c r="D80" s="77">
        <f>COUNTIFS('Match Log'!$D$4:$D$810,$A80,'Match Log'!$E$4:$E$810,"Win")</f>
        <v>26</v>
      </c>
      <c r="E80" s="80">
        <f t="shared" si="22"/>
        <v>0.44067796610169491</v>
      </c>
      <c r="F80" s="82">
        <f>IFERROR(INDEX(Engine!$B$2:$B$15,MATCH($A80,Engine!$A$2:$A$15,0)),"")</f>
        <v>1021.558407295008</v>
      </c>
      <c r="G80" s="77" t="str">
        <f>IF($B80=0,"No games",IF(AND($B80&gt;='Guide &amp; Settings'!$C$45,$C80&gt;='Guide &amp; Settings'!$C$46),"Eligible","Provisional"))</f>
        <v>Eligible</v>
      </c>
      <c r="S80" s="83">
        <f t="shared" si="23"/>
        <v>1021.558407295008</v>
      </c>
    </row>
    <row r="81" spans="1:19" ht="15" customHeight="1" x14ac:dyDescent="0.2">
      <c r="A81" s="76" t="s">
        <v>135</v>
      </c>
      <c r="B81" s="77">
        <f>COUNTIF('Match Log'!$D$4:$D$810,$A81)</f>
        <v>10</v>
      </c>
      <c r="C81" s="77">
        <f>SUMPRODUCT(--(COUNTIFS('Match Log'!$D$4:$D$810,$A81,'Match Log'!$C$4:$C$810,Lists!$C$2:$C$21)&gt;0))</f>
        <v>3</v>
      </c>
      <c r="D81" s="77">
        <f>COUNTIFS('Match Log'!$D$4:$D$810,$A81,'Match Log'!$E$4:$E$810,"Win")</f>
        <v>5</v>
      </c>
      <c r="E81" s="80">
        <f t="shared" si="22"/>
        <v>0.5</v>
      </c>
      <c r="F81" s="82">
        <f>IFERROR(INDEX(Engine!$B$2:$B$15,MATCH($A81,Engine!$A$2:$A$15,0)),"")</f>
        <v>1029.2201908859522</v>
      </c>
      <c r="G81" s="77" t="str">
        <f>IF($B81=0,"No games",IF(AND($B81&gt;='Guide &amp; Settings'!$C$45,$C81&gt;='Guide &amp; Settings'!$C$46),"Eligible","Provisional"))</f>
        <v>Eligible</v>
      </c>
      <c r="S81" s="83">
        <f t="shared" si="23"/>
        <v>1029.2201908859522</v>
      </c>
    </row>
    <row r="82" spans="1:19" ht="15" customHeight="1" x14ac:dyDescent="0.2">
      <c r="A82" s="76" t="s">
        <v>171</v>
      </c>
      <c r="B82" s="77">
        <f>COUNTIF('Match Log'!$D$4:$D$810,$A82)</f>
        <v>5</v>
      </c>
      <c r="C82" s="77">
        <f>SUMPRODUCT(--(COUNTIFS('Match Log'!$D$4:$D$810,$A82,'Match Log'!$C$4:$C$810,Lists!$C$2:$C$21)&gt;0))</f>
        <v>1</v>
      </c>
      <c r="D82" s="77">
        <f>COUNTIFS('Match Log'!$D$4:$D$810,$A82,'Match Log'!$E$4:$E$810,"Win")</f>
        <v>2</v>
      </c>
      <c r="E82" s="80">
        <f t="shared" si="22"/>
        <v>0.4</v>
      </c>
      <c r="F82" s="82">
        <f>IFERROR(INDEX(Engine!$B$2:$B$15,MATCH($A82,Engine!$A$2:$A$15,0)),"")</f>
        <v>1031.225848367051</v>
      </c>
      <c r="G82" s="77" t="str">
        <f>IF($B82=0,"No games",IF(AND($B82&gt;='Guide &amp; Settings'!$C$45,$C82&gt;='Guide &amp; Settings'!$C$46),"Eligible","Provisional"))</f>
        <v>Provisional</v>
      </c>
      <c r="S82" s="83">
        <f t="shared" si="23"/>
        <v>-1</v>
      </c>
    </row>
    <row r="83" spans="1:19" ht="15" customHeight="1" x14ac:dyDescent="0.2">
      <c r="A83" s="76" t="s">
        <v>172</v>
      </c>
      <c r="B83" s="77">
        <f>COUNTIF('Match Log'!$D$4:$D$810,$A83)</f>
        <v>4</v>
      </c>
      <c r="C83" s="77">
        <f>SUMPRODUCT(--(COUNTIFS('Match Log'!$D$4:$D$810,$A83,'Match Log'!$C$4:$C$810,Lists!$C$2:$C$21)&gt;0))</f>
        <v>1</v>
      </c>
      <c r="D83" s="77">
        <f>COUNTIFS('Match Log'!$D$4:$D$810,$A83,'Match Log'!$E$4:$E$810,"Win")</f>
        <v>2</v>
      </c>
      <c r="E83" s="80">
        <f t="shared" si="22"/>
        <v>0.5</v>
      </c>
      <c r="F83" s="82">
        <f>IFERROR(INDEX(Engine!$B$2:$B$15,MATCH($A83,Engine!$A$2:$A$15,0)),"")</f>
        <v>1030.3815983388336</v>
      </c>
      <c r="G83" s="77" t="str">
        <f>IF($B83=0,"No games",IF(AND($B83&gt;='Guide &amp; Settings'!$C$45,$C83&gt;='Guide &amp; Settings'!$C$46),"Eligible","Provisional"))</f>
        <v>Provisional</v>
      </c>
      <c r="S83" s="83">
        <f t="shared" si="23"/>
        <v>-1</v>
      </c>
    </row>
    <row r="84" spans="1:19" ht="15" customHeight="1" x14ac:dyDescent="0.2">
      <c r="A84" s="76" t="s">
        <v>173</v>
      </c>
      <c r="B84" s="77">
        <f>COUNTIF('Match Log'!$D$4:$D$810,$A84)</f>
        <v>10</v>
      </c>
      <c r="C84" s="77">
        <f>SUMPRODUCT(--(COUNTIFS('Match Log'!$D$4:$D$810,$A84,'Match Log'!$C$4:$C$810,Lists!$C$2:$C$21)&gt;0))</f>
        <v>6</v>
      </c>
      <c r="D84" s="77">
        <f>COUNTIFS('Match Log'!$D$4:$D$810,$A84,'Match Log'!$E$4:$E$810,"Win")</f>
        <v>5</v>
      </c>
      <c r="E84" s="80">
        <f t="shared" si="22"/>
        <v>0.5</v>
      </c>
      <c r="F84" s="82">
        <f>IFERROR(INDEX(Engine!$B$2:$B$15,MATCH($A84,Engine!$A$2:$A$15,0)),"")</f>
        <v>1016.7837867075796</v>
      </c>
      <c r="G84" s="77" t="str">
        <f>IF($B84=0,"No games",IF(AND($B84&gt;='Guide &amp; Settings'!$C$45,$C84&gt;='Guide &amp; Settings'!$C$46),"Eligible","Provisional"))</f>
        <v>Eligible</v>
      </c>
      <c r="S84" s="83">
        <f t="shared" si="23"/>
        <v>1016.7837867075796</v>
      </c>
    </row>
    <row r="85" spans="1:19" ht="15" customHeight="1" x14ac:dyDescent="0.2">
      <c r="A85" s="76" t="s">
        <v>174</v>
      </c>
      <c r="B85" s="77">
        <f>COUNTIF('Match Log'!$D$4:$D$810,$A85)</f>
        <v>0</v>
      </c>
      <c r="C85" s="77">
        <f>SUMPRODUCT(--(COUNTIFS('Match Log'!$D$4:$D$810,$A85,'Match Log'!$C$4:$C$810,Lists!$C$2:$C$21)&gt;0))</f>
        <v>0</v>
      </c>
      <c r="D85" s="77">
        <f>COUNTIFS('Match Log'!$D$4:$D$810,$A85,'Match Log'!$E$4:$E$810,"Win")</f>
        <v>0</v>
      </c>
      <c r="E85" s="80" t="str">
        <f t="shared" si="22"/>
        <v/>
      </c>
      <c r="F85" s="82">
        <f>IFERROR(INDEX(Engine!$B$2:$B$15,MATCH($A85,Engine!$A$2:$A$15,0)),"")</f>
        <v>1000</v>
      </c>
      <c r="G85" s="77" t="str">
        <f>IF($B85=0,"No games",IF(AND($B85&gt;='Guide &amp; Settings'!$C$45,$C85&gt;='Guide &amp; Settings'!$C$46),"Eligible","Provisional"))</f>
        <v>No games</v>
      </c>
      <c r="S85">
        <f t="shared" si="23"/>
        <v>-1</v>
      </c>
    </row>
    <row r="86" spans="1:19" ht="15" customHeight="1" x14ac:dyDescent="0.2">
      <c r="A86" s="76" t="s">
        <v>140</v>
      </c>
      <c r="B86" s="77">
        <f>COUNTIF('Match Log'!$D$4:$D$810,$A86)</f>
        <v>14</v>
      </c>
      <c r="C86" s="77">
        <f>SUMPRODUCT(--(COUNTIFS('Match Log'!$D$4:$D$810,$A86,'Match Log'!$C$4:$C$810,Lists!$C$2:$C$21)&gt;0))</f>
        <v>3</v>
      </c>
      <c r="D86" s="77">
        <f>COUNTIFS('Match Log'!$D$4:$D$810,$A86,'Match Log'!$E$4:$E$810,"Win")</f>
        <v>4</v>
      </c>
      <c r="E86" s="80">
        <f t="shared" si="22"/>
        <v>0.2857142857142857</v>
      </c>
      <c r="F86" s="82">
        <f>IFERROR(INDEX(Engine!$B$2:$B$15,MATCH($A86,Engine!$A$2:$A$15,0)),"")</f>
        <v>981.92436608474441</v>
      </c>
      <c r="G86" s="77" t="str">
        <f>IF($B86=0,"No games",IF(AND($B86&gt;='Guide &amp; Settings'!$C$45,$C86&gt;='Guide &amp; Settings'!$C$46),"Eligible","Provisional"))</f>
        <v>Eligible</v>
      </c>
      <c r="S86" s="83">
        <f t="shared" si="23"/>
        <v>981.92436608474441</v>
      </c>
    </row>
    <row r="87" spans="1:19" ht="15" customHeight="1" x14ac:dyDescent="0.2">
      <c r="A87" s="76" t="s">
        <v>175</v>
      </c>
      <c r="B87" s="77">
        <f>COUNTIF('Match Log'!$D$4:$D$810,$A87)</f>
        <v>13</v>
      </c>
      <c r="C87" s="77">
        <f>SUMPRODUCT(--(COUNTIFS('Match Log'!$D$4:$D$810,$A87,'Match Log'!$C$4:$C$810,Lists!$C$2:$C$21)&gt;0))</f>
        <v>3</v>
      </c>
      <c r="D87" s="77">
        <f>COUNTIFS('Match Log'!$D$4:$D$810,$A87,'Match Log'!$E$4:$E$810,"Win")</f>
        <v>2</v>
      </c>
      <c r="E87" s="80">
        <f t="shared" si="22"/>
        <v>0.15384615384615385</v>
      </c>
      <c r="F87" s="82">
        <f>IFERROR(INDEX(Engine!$B$2:$B$15,MATCH($A87,Engine!$A$2:$A$15,0)),"")</f>
        <v>893.03675187725173</v>
      </c>
      <c r="G87" s="77" t="str">
        <f>IF($B87=0,"No games",IF(AND($B87&gt;='Guide &amp; Settings'!$C$45,$C87&gt;='Guide &amp; Settings'!$C$46),"Eligible","Provisional"))</f>
        <v>Eligible</v>
      </c>
      <c r="S87" s="83">
        <f t="shared" si="23"/>
        <v>893.03675187725173</v>
      </c>
    </row>
    <row r="89" spans="1:19" ht="15" customHeight="1" x14ac:dyDescent="0.2">
      <c r="A89" s="157" t="s">
        <v>231</v>
      </c>
      <c r="B89" s="157"/>
      <c r="C89" s="157"/>
      <c r="D89" s="157"/>
      <c r="E89" s="157"/>
      <c r="F89" s="157"/>
      <c r="G89" s="157"/>
      <c r="H89" s="157"/>
      <c r="I89" s="157"/>
      <c r="J89" s="157"/>
      <c r="K89" s="157"/>
      <c r="L89" s="157"/>
      <c r="M89" s="157"/>
      <c r="N89" s="157"/>
      <c r="O89" s="157"/>
      <c r="P89" s="157"/>
      <c r="Q89" s="157"/>
    </row>
    <row r="90" spans="1:19" ht="91.5" customHeight="1" x14ac:dyDescent="0.2">
      <c r="A90" s="74" t="s">
        <v>123</v>
      </c>
      <c r="B90" s="75" t="s">
        <v>138</v>
      </c>
      <c r="C90" s="75" t="s">
        <v>135</v>
      </c>
      <c r="D90" s="75" t="s">
        <v>173</v>
      </c>
      <c r="E90" s="75" t="s">
        <v>140</v>
      </c>
      <c r="F90" s="75" t="s">
        <v>137</v>
      </c>
      <c r="G90" s="75" t="s">
        <v>134</v>
      </c>
      <c r="H90" s="75" t="s">
        <v>168</v>
      </c>
      <c r="I90" s="75" t="s">
        <v>170</v>
      </c>
      <c r="J90" s="75" t="s">
        <v>167</v>
      </c>
      <c r="K90" s="75" t="s">
        <v>175</v>
      </c>
      <c r="L90" s="75" t="s">
        <v>169</v>
      </c>
      <c r="M90" s="75" t="s">
        <v>171</v>
      </c>
      <c r="N90" s="75" t="s">
        <v>172</v>
      </c>
      <c r="O90" s="75" t="s">
        <v>174</v>
      </c>
      <c r="P90" s="74" t="s">
        <v>232</v>
      </c>
    </row>
    <row r="91" spans="1:19" ht="15" customHeight="1" x14ac:dyDescent="0.2">
      <c r="A91" s="76" t="s">
        <v>181</v>
      </c>
      <c r="B91" s="82" t="str">
        <f>IFERROR(LOOKUP(2,1/(('Match Log'!$D$4:$D$810=B$90)*('Match Log'!$C$4:$C$810=$A91)),'Match Log'!$AB$4:$AB$810),"")</f>
        <v/>
      </c>
      <c r="C91" s="82" t="str">
        <f>IFERROR(LOOKUP(2,1/(('Match Log'!$D$4:$D$810=C$90)*('Match Log'!$C$4:$C$810=$A91)),'Match Log'!$AB$4:$AB$810),"")</f>
        <v/>
      </c>
      <c r="D91" s="82" t="str">
        <f>IFERROR(LOOKUP(2,1/(('Match Log'!$D$4:$D$810=D$90)*('Match Log'!$C$4:$C$810=$A91)),'Match Log'!$AB$4:$AB$810),"")</f>
        <v/>
      </c>
      <c r="E91" s="82" t="str">
        <f>IFERROR(LOOKUP(2,1/(('Match Log'!$D$4:$D$810=E$90)*('Match Log'!$C$4:$C$810=$A91)),'Match Log'!$AB$4:$AB$810),"")</f>
        <v/>
      </c>
      <c r="F91" s="82" t="str">
        <f>IFERROR(LOOKUP(2,1/(('Match Log'!$D$4:$D$810=F$90)*('Match Log'!$C$4:$C$810=$A91)),'Match Log'!$AB$4:$AB$810),"")</f>
        <v/>
      </c>
      <c r="G91" s="82">
        <f>IFERROR(LOOKUP(2,1/(('Match Log'!$D$4:$D$810=G$90)*('Match Log'!$C$4:$C$810=$A91)),'Match Log'!$AB$4:$AB$810),"")</f>
        <v>1030.5304984710244</v>
      </c>
      <c r="H91" s="82" t="str">
        <f>IFERROR(LOOKUP(2,1/(('Match Log'!$D$4:$D$810=H$90)*('Match Log'!$C$4:$C$810=$A91)),'Match Log'!$AB$4:$AB$810),"")</f>
        <v/>
      </c>
      <c r="I91" s="82">
        <f>IFERROR(LOOKUP(2,1/(('Match Log'!$D$4:$D$810=I$90)*('Match Log'!$C$4:$C$810=$A91)),'Match Log'!$AB$4:$AB$810),"")</f>
        <v>969.46950152897546</v>
      </c>
      <c r="J91" s="82" t="str">
        <f>IFERROR(LOOKUP(2,1/(('Match Log'!$D$4:$D$810=J$90)*('Match Log'!$C$4:$C$810=$A91)),'Match Log'!$AB$4:$AB$810),"")</f>
        <v/>
      </c>
      <c r="K91" s="82" t="str">
        <f>IFERROR(LOOKUP(2,1/(('Match Log'!$D$4:$D$810=K$90)*('Match Log'!$C$4:$C$810=$A91)),'Match Log'!$AB$4:$AB$810),"")</f>
        <v/>
      </c>
      <c r="L91" s="82" t="str">
        <f>IFERROR(LOOKUP(2,1/(('Match Log'!$D$4:$D$810=L$90)*('Match Log'!$C$4:$C$810=$A91)),'Match Log'!$AB$4:$AB$810),"")</f>
        <v/>
      </c>
      <c r="M91" s="82" t="str">
        <f>IFERROR(LOOKUP(2,1/(('Match Log'!$D$4:$D$810=M$90)*('Match Log'!$C$4:$C$810=$A91)),'Match Log'!$AB$4:$AB$810),"")</f>
        <v/>
      </c>
      <c r="N91" s="82" t="str">
        <f>IFERROR(LOOKUP(2,1/(('Match Log'!$D$4:$D$810=N$90)*('Match Log'!$C$4:$C$810=$A91)),'Match Log'!$AB$4:$AB$810),"")</f>
        <v/>
      </c>
      <c r="O91" s="82" t="str">
        <f>IFERROR(LOOKUP(2,1/(('Match Log'!$D$4:$D$810=O$90)*('Match Log'!$C$4:$C$810=$A91)),'Match Log'!$AB$4:$AB$810),"")</f>
        <v/>
      </c>
      <c r="P91" s="79" t="str">
        <f t="shared" ref="P91:P109" si="24">IFERROR(INDEX($B$90:$O$90,MATCH(MAX($B91:$O91),$B91:$O91,0)),"—")</f>
        <v>Shawn</v>
      </c>
    </row>
    <row r="92" spans="1:19" ht="15" customHeight="1" x14ac:dyDescent="0.2">
      <c r="A92" s="76" t="s">
        <v>182</v>
      </c>
      <c r="B92" s="82" t="str">
        <f>IFERROR(LOOKUP(2,1/(('Match Log'!$D$4:$D$810=B$90)*('Match Log'!$C$4:$C$810=$A92)),'Match Log'!$AB$4:$AB$810),"")</f>
        <v/>
      </c>
      <c r="C92" s="82" t="str">
        <f>IFERROR(LOOKUP(2,1/(('Match Log'!$D$4:$D$810=C$90)*('Match Log'!$C$4:$C$810=$A92)),'Match Log'!$AB$4:$AB$810),"")</f>
        <v/>
      </c>
      <c r="D92" s="82" t="str">
        <f>IFERROR(LOOKUP(2,1/(('Match Log'!$D$4:$D$810=D$90)*('Match Log'!$C$4:$C$810=$A92)),'Match Log'!$AB$4:$AB$810),"")</f>
        <v/>
      </c>
      <c r="E92" s="82" t="str">
        <f>IFERROR(LOOKUP(2,1/(('Match Log'!$D$4:$D$810=E$90)*('Match Log'!$C$4:$C$810=$A92)),'Match Log'!$AB$4:$AB$810),"")</f>
        <v/>
      </c>
      <c r="F92" s="82" t="str">
        <f>IFERROR(LOOKUP(2,1/(('Match Log'!$D$4:$D$810=F$90)*('Match Log'!$C$4:$C$810=$A92)),'Match Log'!$AB$4:$AB$810),"")</f>
        <v/>
      </c>
      <c r="G92" s="82" t="str">
        <f>IFERROR(LOOKUP(2,1/(('Match Log'!$D$4:$D$810=G$90)*('Match Log'!$C$4:$C$810=$A92)),'Match Log'!$AB$4:$AB$810),"")</f>
        <v/>
      </c>
      <c r="H92" s="82" t="str">
        <f>IFERROR(LOOKUP(2,1/(('Match Log'!$D$4:$D$810=H$90)*('Match Log'!$C$4:$C$810=$A92)),'Match Log'!$AB$4:$AB$810),"")</f>
        <v/>
      </c>
      <c r="I92" s="82" t="str">
        <f>IFERROR(LOOKUP(2,1/(('Match Log'!$D$4:$D$810=I$90)*('Match Log'!$C$4:$C$810=$A92)),'Match Log'!$AB$4:$AB$810),"")</f>
        <v/>
      </c>
      <c r="J92" s="82" t="str">
        <f>IFERROR(LOOKUP(2,1/(('Match Log'!$D$4:$D$810=J$90)*('Match Log'!$C$4:$C$810=$A92)),'Match Log'!$AB$4:$AB$810),"")</f>
        <v/>
      </c>
      <c r="K92" s="82" t="str">
        <f>IFERROR(LOOKUP(2,1/(('Match Log'!$D$4:$D$810=K$90)*('Match Log'!$C$4:$C$810=$A92)),'Match Log'!$AB$4:$AB$810),"")</f>
        <v/>
      </c>
      <c r="L92" s="82" t="str">
        <f>IFERROR(LOOKUP(2,1/(('Match Log'!$D$4:$D$810=L$90)*('Match Log'!$C$4:$C$810=$A92)),'Match Log'!$AB$4:$AB$810),"")</f>
        <v/>
      </c>
      <c r="M92" s="82" t="str">
        <f>IFERROR(LOOKUP(2,1/(('Match Log'!$D$4:$D$810=M$90)*('Match Log'!$C$4:$C$810=$A92)),'Match Log'!$AB$4:$AB$810),"")</f>
        <v/>
      </c>
      <c r="N92" s="82" t="str">
        <f>IFERROR(LOOKUP(2,1/(('Match Log'!$D$4:$D$810=N$90)*('Match Log'!$C$4:$C$810=$A92)),'Match Log'!$AB$4:$AB$810),"")</f>
        <v/>
      </c>
      <c r="O92" s="82" t="str">
        <f>IFERROR(LOOKUP(2,1/(('Match Log'!$D$4:$D$810=O$90)*('Match Log'!$C$4:$C$810=$A92)),'Match Log'!$AB$4:$AB$810),"")</f>
        <v/>
      </c>
      <c r="P92" s="79" t="str">
        <f t="shared" si="24"/>
        <v>—</v>
      </c>
    </row>
    <row r="93" spans="1:19" ht="15" customHeight="1" x14ac:dyDescent="0.2">
      <c r="A93" s="76" t="s">
        <v>183</v>
      </c>
      <c r="B93" s="82">
        <f>IFERROR(LOOKUP(2,1/(('Match Log'!$D$4:$D$810=B$90)*('Match Log'!$C$4:$C$810=$A93)),'Match Log'!$AB$4:$AB$810),"")</f>
        <v>1074.1933125090914</v>
      </c>
      <c r="C93" s="82" t="str">
        <f>IFERROR(LOOKUP(2,1/(('Match Log'!$D$4:$D$810=C$90)*('Match Log'!$C$4:$C$810=$A93)),'Match Log'!$AB$4:$AB$810),"")</f>
        <v/>
      </c>
      <c r="D93" s="82">
        <f>IFERROR(LOOKUP(2,1/(('Match Log'!$D$4:$D$810=D$90)*('Match Log'!$C$4:$C$810=$A93)),'Match Log'!$AB$4:$AB$810),"")</f>
        <v>984.73630679352198</v>
      </c>
      <c r="E93" s="82" t="str">
        <f>IFERROR(LOOKUP(2,1/(('Match Log'!$D$4:$D$810=E$90)*('Match Log'!$C$4:$C$810=$A93)),'Match Log'!$AB$4:$AB$810),"")</f>
        <v/>
      </c>
      <c r="F93" s="82">
        <f>IFERROR(LOOKUP(2,1/(('Match Log'!$D$4:$D$810=F$90)*('Match Log'!$C$4:$C$810=$A93)),'Match Log'!$AB$4:$AB$810),"")</f>
        <v>984</v>
      </c>
      <c r="G93" s="82">
        <f>IFERROR(LOOKUP(2,1/(('Match Log'!$D$4:$D$810=G$90)*('Match Log'!$C$4:$C$810=$A93)),'Match Log'!$AB$4:$AB$810),"")</f>
        <v>974.00768231912002</v>
      </c>
      <c r="H93" s="82" t="str">
        <f>IFERROR(LOOKUP(2,1/(('Match Log'!$D$4:$D$810=H$90)*('Match Log'!$C$4:$C$810=$A93)),'Match Log'!$AB$4:$AB$810),"")</f>
        <v/>
      </c>
      <c r="I93" s="82">
        <f>IFERROR(LOOKUP(2,1/(('Match Log'!$D$4:$D$810=I$90)*('Match Log'!$C$4:$C$810=$A93)),'Match Log'!$AB$4:$AB$810),"")</f>
        <v>1000.2353336759772</v>
      </c>
      <c r="J93" s="82" t="str">
        <f>IFERROR(LOOKUP(2,1/(('Match Log'!$D$4:$D$810=J$90)*('Match Log'!$C$4:$C$810=$A93)),'Match Log'!$AB$4:$AB$810),"")</f>
        <v/>
      </c>
      <c r="K93" s="82" t="str">
        <f>IFERROR(LOOKUP(2,1/(('Match Log'!$D$4:$D$810=K$90)*('Match Log'!$C$4:$C$810=$A93)),'Match Log'!$AB$4:$AB$810),"")</f>
        <v/>
      </c>
      <c r="L93" s="82">
        <f>IFERROR(LOOKUP(2,1/(('Match Log'!$D$4:$D$810=L$90)*('Match Log'!$C$4:$C$810=$A93)),'Match Log'!$AB$4:$AB$810),"")</f>
        <v>982.82736470228917</v>
      </c>
      <c r="M93" s="82" t="str">
        <f>IFERROR(LOOKUP(2,1/(('Match Log'!$D$4:$D$810=M$90)*('Match Log'!$C$4:$C$810=$A93)),'Match Log'!$AB$4:$AB$810),"")</f>
        <v/>
      </c>
      <c r="N93" s="82" t="str">
        <f>IFERROR(LOOKUP(2,1/(('Match Log'!$D$4:$D$810=N$90)*('Match Log'!$C$4:$C$810=$A93)),'Match Log'!$AB$4:$AB$810),"")</f>
        <v/>
      </c>
      <c r="O93" s="82" t="str">
        <f>IFERROR(LOOKUP(2,1/(('Match Log'!$D$4:$D$810=O$90)*('Match Log'!$C$4:$C$810=$A93)),'Match Log'!$AB$4:$AB$810),"")</f>
        <v/>
      </c>
      <c r="P93" s="79" t="str">
        <f t="shared" si="24"/>
        <v>Aaron</v>
      </c>
    </row>
    <row r="94" spans="1:19" ht="15" customHeight="1" x14ac:dyDescent="0.2">
      <c r="A94" s="76" t="s">
        <v>184</v>
      </c>
      <c r="B94" s="82" t="str">
        <f>IFERROR(LOOKUP(2,1/(('Match Log'!$D$4:$D$810=B$90)*('Match Log'!$C$4:$C$810=$A94)),'Match Log'!$AB$4:$AB$810),"")</f>
        <v/>
      </c>
      <c r="C94" s="82" t="str">
        <f>IFERROR(LOOKUP(2,1/(('Match Log'!$D$4:$D$810=C$90)*('Match Log'!$C$4:$C$810=$A94)),'Match Log'!$AB$4:$AB$810),"")</f>
        <v/>
      </c>
      <c r="D94" s="82" t="str">
        <f>IFERROR(LOOKUP(2,1/(('Match Log'!$D$4:$D$810=D$90)*('Match Log'!$C$4:$C$810=$A94)),'Match Log'!$AB$4:$AB$810),"")</f>
        <v/>
      </c>
      <c r="E94" s="82" t="str">
        <f>IFERROR(LOOKUP(2,1/(('Match Log'!$D$4:$D$810=E$90)*('Match Log'!$C$4:$C$810=$A94)),'Match Log'!$AB$4:$AB$810),"")</f>
        <v/>
      </c>
      <c r="F94" s="82" t="str">
        <f>IFERROR(LOOKUP(2,1/(('Match Log'!$D$4:$D$810=F$90)*('Match Log'!$C$4:$C$810=$A94)),'Match Log'!$AB$4:$AB$810),"")</f>
        <v/>
      </c>
      <c r="G94" s="82" t="str">
        <f>IFERROR(LOOKUP(2,1/(('Match Log'!$D$4:$D$810=G$90)*('Match Log'!$C$4:$C$810=$A94)),'Match Log'!$AB$4:$AB$810),"")</f>
        <v/>
      </c>
      <c r="H94" s="82" t="str">
        <f>IFERROR(LOOKUP(2,1/(('Match Log'!$D$4:$D$810=H$90)*('Match Log'!$C$4:$C$810=$A94)),'Match Log'!$AB$4:$AB$810),"")</f>
        <v/>
      </c>
      <c r="I94" s="82" t="str">
        <f>IFERROR(LOOKUP(2,1/(('Match Log'!$D$4:$D$810=I$90)*('Match Log'!$C$4:$C$810=$A94)),'Match Log'!$AB$4:$AB$810),"")</f>
        <v/>
      </c>
      <c r="J94" s="82" t="str">
        <f>IFERROR(LOOKUP(2,1/(('Match Log'!$D$4:$D$810=J$90)*('Match Log'!$C$4:$C$810=$A94)),'Match Log'!$AB$4:$AB$810),"")</f>
        <v/>
      </c>
      <c r="K94" s="82" t="str">
        <f>IFERROR(LOOKUP(2,1/(('Match Log'!$D$4:$D$810=K$90)*('Match Log'!$C$4:$C$810=$A94)),'Match Log'!$AB$4:$AB$810),"")</f>
        <v/>
      </c>
      <c r="L94" s="82" t="str">
        <f>IFERROR(LOOKUP(2,1/(('Match Log'!$D$4:$D$810=L$90)*('Match Log'!$C$4:$C$810=$A94)),'Match Log'!$AB$4:$AB$810),"")</f>
        <v/>
      </c>
      <c r="M94" s="82" t="str">
        <f>IFERROR(LOOKUP(2,1/(('Match Log'!$D$4:$D$810=M$90)*('Match Log'!$C$4:$C$810=$A94)),'Match Log'!$AB$4:$AB$810),"")</f>
        <v/>
      </c>
      <c r="N94" s="82" t="str">
        <f>IFERROR(LOOKUP(2,1/(('Match Log'!$D$4:$D$810=N$90)*('Match Log'!$C$4:$C$810=$A94)),'Match Log'!$AB$4:$AB$810),"")</f>
        <v/>
      </c>
      <c r="O94" s="82" t="str">
        <f>IFERROR(LOOKUP(2,1/(('Match Log'!$D$4:$D$810=O$90)*('Match Log'!$C$4:$C$810=$A94)),'Match Log'!$AB$4:$AB$810),"")</f>
        <v/>
      </c>
      <c r="P94" s="79" t="str">
        <f t="shared" si="24"/>
        <v>—</v>
      </c>
    </row>
    <row r="95" spans="1:19" ht="15" customHeight="1" x14ac:dyDescent="0.2">
      <c r="A95" s="76" t="s">
        <v>185</v>
      </c>
      <c r="B95" s="82" t="str">
        <f>IFERROR(LOOKUP(2,1/(('Match Log'!$D$4:$D$810=B$90)*('Match Log'!$C$4:$C$810=$A95)),'Match Log'!$AB$4:$AB$810),"")</f>
        <v/>
      </c>
      <c r="C95" s="82">
        <f>IFERROR(LOOKUP(2,1/(('Match Log'!$D$4:$D$810=C$90)*('Match Log'!$C$4:$C$810=$A95)),'Match Log'!$AB$4:$AB$810),"")</f>
        <v>983.42320102843655</v>
      </c>
      <c r="D95" s="82" t="str">
        <f>IFERROR(LOOKUP(2,1/(('Match Log'!$D$4:$D$810=D$90)*('Match Log'!$C$4:$C$810=$A95)),'Match Log'!$AB$4:$AB$810),"")</f>
        <v/>
      </c>
      <c r="E95" s="82" t="str">
        <f>IFERROR(LOOKUP(2,1/(('Match Log'!$D$4:$D$810=E$90)*('Match Log'!$C$4:$C$810=$A95)),'Match Log'!$AB$4:$AB$810),"")</f>
        <v/>
      </c>
      <c r="F95" s="82" t="str">
        <f>IFERROR(LOOKUP(2,1/(('Match Log'!$D$4:$D$810=F$90)*('Match Log'!$C$4:$C$810=$A95)),'Match Log'!$AB$4:$AB$810),"")</f>
        <v/>
      </c>
      <c r="G95" s="82" t="str">
        <f>IFERROR(LOOKUP(2,1/(('Match Log'!$D$4:$D$810=G$90)*('Match Log'!$C$4:$C$810=$A95)),'Match Log'!$AB$4:$AB$810),"")</f>
        <v/>
      </c>
      <c r="H95" s="82">
        <f>IFERROR(LOOKUP(2,1/(('Match Log'!$D$4:$D$810=H$90)*('Match Log'!$C$4:$C$810=$A95)),'Match Log'!$AB$4:$AB$810),"")</f>
        <v>1030.1044213761372</v>
      </c>
      <c r="I95" s="82">
        <f>IFERROR(LOOKUP(2,1/(('Match Log'!$D$4:$D$810=I$90)*('Match Log'!$C$4:$C$810=$A95)),'Match Log'!$AB$4:$AB$810),"")</f>
        <v>996.17609348029987</v>
      </c>
      <c r="J95" s="82">
        <f>IFERROR(LOOKUP(2,1/(('Match Log'!$D$4:$D$810=J$90)*('Match Log'!$C$4:$C$810=$A95)),'Match Log'!$AB$4:$AB$810),"")</f>
        <v>1001.4492063389166</v>
      </c>
      <c r="K95" s="82">
        <f>IFERROR(LOOKUP(2,1/(('Match Log'!$D$4:$D$810=K$90)*('Match Log'!$C$4:$C$810=$A95)),'Match Log'!$AB$4:$AB$810),"")</f>
        <v>984.80073939960539</v>
      </c>
      <c r="L95" s="82">
        <f>IFERROR(LOOKUP(2,1/(('Match Log'!$D$4:$D$810=L$90)*('Match Log'!$C$4:$C$810=$A95)),'Match Log'!$AB$4:$AB$810),"")</f>
        <v>1004.0463383766044</v>
      </c>
      <c r="M95" s="82" t="str">
        <f>IFERROR(LOOKUP(2,1/(('Match Log'!$D$4:$D$810=M$90)*('Match Log'!$C$4:$C$810=$A95)),'Match Log'!$AB$4:$AB$810),"")</f>
        <v/>
      </c>
      <c r="N95" s="82" t="str">
        <f>IFERROR(LOOKUP(2,1/(('Match Log'!$D$4:$D$810=N$90)*('Match Log'!$C$4:$C$810=$A95)),'Match Log'!$AB$4:$AB$810),"")</f>
        <v/>
      </c>
      <c r="O95" s="82" t="str">
        <f>IFERROR(LOOKUP(2,1/(('Match Log'!$D$4:$D$810=O$90)*('Match Log'!$C$4:$C$810=$A95)),'Match Log'!$AB$4:$AB$810),"")</f>
        <v/>
      </c>
      <c r="P95" s="79" t="str">
        <f t="shared" si="24"/>
        <v>Simon</v>
      </c>
    </row>
    <row r="96" spans="1:19" ht="15" customHeight="1" x14ac:dyDescent="0.2">
      <c r="A96" s="76" t="s">
        <v>186</v>
      </c>
      <c r="B96" s="82">
        <f>IFERROR(LOOKUP(2,1/(('Match Log'!$D$4:$D$810=B$90)*('Match Log'!$C$4:$C$810=$A96)),'Match Log'!$AB$4:$AB$810),"")</f>
        <v>1016</v>
      </c>
      <c r="C96" s="82" t="str">
        <f>IFERROR(LOOKUP(2,1/(('Match Log'!$D$4:$D$810=C$90)*('Match Log'!$C$4:$C$810=$A96)),'Match Log'!$AB$4:$AB$810),"")</f>
        <v/>
      </c>
      <c r="D96" s="82">
        <f>IFERROR(LOOKUP(2,1/(('Match Log'!$D$4:$D$810=D$90)*('Match Log'!$C$4:$C$810=$A96)),'Match Log'!$AB$4:$AB$810),"")</f>
        <v>997.71428571428567</v>
      </c>
      <c r="E96" s="82">
        <f>IFERROR(LOOKUP(2,1/(('Match Log'!$D$4:$D$810=E$90)*('Match Log'!$C$4:$C$810=$A96)),'Match Log'!$AB$4:$AB$810),"")</f>
        <v>997.71428571428567</v>
      </c>
      <c r="F96" s="82">
        <f>IFERROR(LOOKUP(2,1/(('Match Log'!$D$4:$D$810=F$90)*('Match Log'!$C$4:$C$810=$A96)),'Match Log'!$AB$4:$AB$810),"")</f>
        <v>997.71428571428567</v>
      </c>
      <c r="G96" s="82">
        <f>IFERROR(LOOKUP(2,1/(('Match Log'!$D$4:$D$810=G$90)*('Match Log'!$C$4:$C$810=$A96)),'Match Log'!$AB$4:$AB$810),"")</f>
        <v>997.71428571428567</v>
      </c>
      <c r="H96" s="82">
        <f>IFERROR(LOOKUP(2,1/(('Match Log'!$D$4:$D$810=H$90)*('Match Log'!$C$4:$C$810=$A96)),'Match Log'!$AB$4:$AB$810),"")</f>
        <v>997.71428571428567</v>
      </c>
      <c r="I96" s="82">
        <f>IFERROR(LOOKUP(2,1/(('Match Log'!$D$4:$D$810=I$90)*('Match Log'!$C$4:$C$810=$A96)),'Match Log'!$AB$4:$AB$810),"")</f>
        <v>997.71428571428567</v>
      </c>
      <c r="J96" s="82" t="str">
        <f>IFERROR(LOOKUP(2,1/(('Match Log'!$D$4:$D$810=J$90)*('Match Log'!$C$4:$C$810=$A96)),'Match Log'!$AB$4:$AB$810),"")</f>
        <v/>
      </c>
      <c r="K96" s="82" t="str">
        <f>IFERROR(LOOKUP(2,1/(('Match Log'!$D$4:$D$810=K$90)*('Match Log'!$C$4:$C$810=$A96)),'Match Log'!$AB$4:$AB$810),"")</f>
        <v/>
      </c>
      <c r="L96" s="82">
        <f>IFERROR(LOOKUP(2,1/(('Match Log'!$D$4:$D$810=L$90)*('Match Log'!$C$4:$C$810=$A96)),'Match Log'!$AB$4:$AB$810),"")</f>
        <v>997.71428571428567</v>
      </c>
      <c r="M96" s="82" t="str">
        <f>IFERROR(LOOKUP(2,1/(('Match Log'!$D$4:$D$810=M$90)*('Match Log'!$C$4:$C$810=$A96)),'Match Log'!$AB$4:$AB$810),"")</f>
        <v/>
      </c>
      <c r="N96" s="82" t="str">
        <f>IFERROR(LOOKUP(2,1/(('Match Log'!$D$4:$D$810=N$90)*('Match Log'!$C$4:$C$810=$A96)),'Match Log'!$AB$4:$AB$810),"")</f>
        <v/>
      </c>
      <c r="O96" s="82" t="str">
        <f>IFERROR(LOOKUP(2,1/(('Match Log'!$D$4:$D$810=O$90)*('Match Log'!$C$4:$C$810=$A96)),'Match Log'!$AB$4:$AB$810),"")</f>
        <v/>
      </c>
      <c r="P96" s="79" t="str">
        <f t="shared" si="24"/>
        <v>Aaron</v>
      </c>
    </row>
    <row r="97" spans="1:16" ht="15" customHeight="1" x14ac:dyDescent="0.2">
      <c r="A97" s="76" t="s">
        <v>188</v>
      </c>
      <c r="B97" s="82" t="str">
        <f>IFERROR(LOOKUP(2,1/(('Match Log'!$D$4:$D$810=B$90)*('Match Log'!$C$4:$C$810=$A97)),'Match Log'!$AB$4:$AB$810),"")</f>
        <v/>
      </c>
      <c r="C97" s="82" t="str">
        <f>IFERROR(LOOKUP(2,1/(('Match Log'!$D$4:$D$810=C$90)*('Match Log'!$C$4:$C$810=$A97)),'Match Log'!$AB$4:$AB$810),"")</f>
        <v/>
      </c>
      <c r="D97" s="82" t="str">
        <f>IFERROR(LOOKUP(2,1/(('Match Log'!$D$4:$D$810=D$90)*('Match Log'!$C$4:$C$810=$A97)),'Match Log'!$AB$4:$AB$810),"")</f>
        <v/>
      </c>
      <c r="E97" s="82" t="str">
        <f>IFERROR(LOOKUP(2,1/(('Match Log'!$D$4:$D$810=E$90)*('Match Log'!$C$4:$C$810=$A97)),'Match Log'!$AB$4:$AB$810),"")</f>
        <v/>
      </c>
      <c r="F97" s="82" t="str">
        <f>IFERROR(LOOKUP(2,1/(('Match Log'!$D$4:$D$810=F$90)*('Match Log'!$C$4:$C$810=$A97)),'Match Log'!$AB$4:$AB$810),"")</f>
        <v/>
      </c>
      <c r="G97" s="82" t="str">
        <f>IFERROR(LOOKUP(2,1/(('Match Log'!$D$4:$D$810=G$90)*('Match Log'!$C$4:$C$810=$A97)),'Match Log'!$AB$4:$AB$810),"")</f>
        <v/>
      </c>
      <c r="H97" s="82" t="str">
        <f>IFERROR(LOOKUP(2,1/(('Match Log'!$D$4:$D$810=H$90)*('Match Log'!$C$4:$C$810=$A97)),'Match Log'!$AB$4:$AB$810),"")</f>
        <v/>
      </c>
      <c r="I97" s="82" t="str">
        <f>IFERROR(LOOKUP(2,1/(('Match Log'!$D$4:$D$810=I$90)*('Match Log'!$C$4:$C$810=$A97)),'Match Log'!$AB$4:$AB$810),"")</f>
        <v/>
      </c>
      <c r="J97" s="82" t="str">
        <f>IFERROR(LOOKUP(2,1/(('Match Log'!$D$4:$D$810=J$90)*('Match Log'!$C$4:$C$810=$A97)),'Match Log'!$AB$4:$AB$810),"")</f>
        <v/>
      </c>
      <c r="K97" s="82" t="str">
        <f>IFERROR(LOOKUP(2,1/(('Match Log'!$D$4:$D$810=K$90)*('Match Log'!$C$4:$C$810=$A97)),'Match Log'!$AB$4:$AB$810),"")</f>
        <v/>
      </c>
      <c r="L97" s="82" t="str">
        <f>IFERROR(LOOKUP(2,1/(('Match Log'!$D$4:$D$810=L$90)*('Match Log'!$C$4:$C$810=$A97)),'Match Log'!$AB$4:$AB$810),"")</f>
        <v/>
      </c>
      <c r="M97" s="82" t="str">
        <f>IFERROR(LOOKUP(2,1/(('Match Log'!$D$4:$D$810=M$90)*('Match Log'!$C$4:$C$810=$A97)),'Match Log'!$AB$4:$AB$810),"")</f>
        <v/>
      </c>
      <c r="N97" s="82" t="str">
        <f>IFERROR(LOOKUP(2,1/(('Match Log'!$D$4:$D$810=N$90)*('Match Log'!$C$4:$C$810=$A97)),'Match Log'!$AB$4:$AB$810),"")</f>
        <v/>
      </c>
      <c r="O97" s="82" t="str">
        <f>IFERROR(LOOKUP(2,1/(('Match Log'!$D$4:$D$810=O$90)*('Match Log'!$C$4:$C$810=$A97)),'Match Log'!$AB$4:$AB$810),"")</f>
        <v/>
      </c>
      <c r="P97" s="79" t="str">
        <f t="shared" si="24"/>
        <v>—</v>
      </c>
    </row>
    <row r="98" spans="1:16" ht="15" customHeight="1" x14ac:dyDescent="0.2">
      <c r="A98" s="76" t="s">
        <v>190</v>
      </c>
      <c r="B98" s="82" t="str">
        <f>IFERROR(LOOKUP(2,1/(('Match Log'!$D$4:$D$810=B$90)*('Match Log'!$C$4:$C$810=$A98)),'Match Log'!$AB$4:$AB$810),"")</f>
        <v/>
      </c>
      <c r="C98" s="82" t="str">
        <f>IFERROR(LOOKUP(2,1/(('Match Log'!$D$4:$D$810=C$90)*('Match Log'!$C$4:$C$810=$A98)),'Match Log'!$AB$4:$AB$810),"")</f>
        <v/>
      </c>
      <c r="D98" s="82" t="str">
        <f>IFERROR(LOOKUP(2,1/(('Match Log'!$D$4:$D$810=D$90)*('Match Log'!$C$4:$C$810=$A98)),'Match Log'!$AB$4:$AB$810),"")</f>
        <v/>
      </c>
      <c r="E98" s="82" t="str">
        <f>IFERROR(LOOKUP(2,1/(('Match Log'!$D$4:$D$810=E$90)*('Match Log'!$C$4:$C$810=$A98)),'Match Log'!$AB$4:$AB$810),"")</f>
        <v/>
      </c>
      <c r="F98" s="82" t="str">
        <f>IFERROR(LOOKUP(2,1/(('Match Log'!$D$4:$D$810=F$90)*('Match Log'!$C$4:$C$810=$A98)),'Match Log'!$AB$4:$AB$810),"")</f>
        <v/>
      </c>
      <c r="G98" s="82" t="str">
        <f>IFERROR(LOOKUP(2,1/(('Match Log'!$D$4:$D$810=G$90)*('Match Log'!$C$4:$C$810=$A98)),'Match Log'!$AB$4:$AB$810),"")</f>
        <v/>
      </c>
      <c r="H98" s="82" t="str">
        <f>IFERROR(LOOKUP(2,1/(('Match Log'!$D$4:$D$810=H$90)*('Match Log'!$C$4:$C$810=$A98)),'Match Log'!$AB$4:$AB$810),"")</f>
        <v/>
      </c>
      <c r="I98" s="82" t="str">
        <f>IFERROR(LOOKUP(2,1/(('Match Log'!$D$4:$D$810=I$90)*('Match Log'!$C$4:$C$810=$A98)),'Match Log'!$AB$4:$AB$810),"")</f>
        <v/>
      </c>
      <c r="J98" s="82" t="str">
        <f>IFERROR(LOOKUP(2,1/(('Match Log'!$D$4:$D$810=J$90)*('Match Log'!$C$4:$C$810=$A98)),'Match Log'!$AB$4:$AB$810),"")</f>
        <v/>
      </c>
      <c r="K98" s="82" t="str">
        <f>IFERROR(LOOKUP(2,1/(('Match Log'!$D$4:$D$810=K$90)*('Match Log'!$C$4:$C$810=$A98)),'Match Log'!$AB$4:$AB$810),"")</f>
        <v/>
      </c>
      <c r="L98" s="82" t="str">
        <f>IFERROR(LOOKUP(2,1/(('Match Log'!$D$4:$D$810=L$90)*('Match Log'!$C$4:$C$810=$A98)),'Match Log'!$AB$4:$AB$810),"")</f>
        <v/>
      </c>
      <c r="M98" s="82" t="str">
        <f>IFERROR(LOOKUP(2,1/(('Match Log'!$D$4:$D$810=M$90)*('Match Log'!$C$4:$C$810=$A98)),'Match Log'!$AB$4:$AB$810),"")</f>
        <v/>
      </c>
      <c r="N98" s="82" t="str">
        <f>IFERROR(LOOKUP(2,1/(('Match Log'!$D$4:$D$810=N$90)*('Match Log'!$C$4:$C$810=$A98)),'Match Log'!$AB$4:$AB$810),"")</f>
        <v/>
      </c>
      <c r="O98" s="82" t="str">
        <f>IFERROR(LOOKUP(2,1/(('Match Log'!$D$4:$D$810=O$90)*('Match Log'!$C$4:$C$810=$A98)),'Match Log'!$AB$4:$AB$810),"")</f>
        <v/>
      </c>
      <c r="P98" s="79" t="str">
        <f t="shared" si="24"/>
        <v>—</v>
      </c>
    </row>
    <row r="99" spans="1:16" ht="15" customHeight="1" x14ac:dyDescent="0.2">
      <c r="A99" s="76" t="s">
        <v>192</v>
      </c>
      <c r="B99" s="82" t="str">
        <f>IFERROR(LOOKUP(2,1/(('Match Log'!$D$4:$D$810=B$90)*('Match Log'!$C$4:$C$810=$A99)),'Match Log'!$AB$4:$AB$810),"")</f>
        <v/>
      </c>
      <c r="C99" s="82" t="str">
        <f>IFERROR(LOOKUP(2,1/(('Match Log'!$D$4:$D$810=C$90)*('Match Log'!$C$4:$C$810=$A99)),'Match Log'!$AB$4:$AB$810),"")</f>
        <v/>
      </c>
      <c r="D99" s="82" t="str">
        <f>IFERROR(LOOKUP(2,1/(('Match Log'!$D$4:$D$810=D$90)*('Match Log'!$C$4:$C$810=$A99)),'Match Log'!$AB$4:$AB$810),"")</f>
        <v/>
      </c>
      <c r="E99" s="82" t="str">
        <f>IFERROR(LOOKUP(2,1/(('Match Log'!$D$4:$D$810=E$90)*('Match Log'!$C$4:$C$810=$A99)),'Match Log'!$AB$4:$AB$810),"")</f>
        <v/>
      </c>
      <c r="F99" s="82">
        <f>IFERROR(LOOKUP(2,1/(('Match Log'!$D$4:$D$810=F$90)*('Match Log'!$C$4:$C$810=$A99)),'Match Log'!$AB$4:$AB$810),"")</f>
        <v>1016</v>
      </c>
      <c r="G99" s="82">
        <f>IFERROR(LOOKUP(2,1/(('Match Log'!$D$4:$D$810=G$90)*('Match Log'!$C$4:$C$810=$A99)),'Match Log'!$AB$4:$AB$810),"")</f>
        <v>992</v>
      </c>
      <c r="H99" s="82" t="str">
        <f>IFERROR(LOOKUP(2,1/(('Match Log'!$D$4:$D$810=H$90)*('Match Log'!$C$4:$C$810=$A99)),'Match Log'!$AB$4:$AB$810),"")</f>
        <v/>
      </c>
      <c r="I99" s="82" t="str">
        <f>IFERROR(LOOKUP(2,1/(('Match Log'!$D$4:$D$810=I$90)*('Match Log'!$C$4:$C$810=$A99)),'Match Log'!$AB$4:$AB$810),"")</f>
        <v/>
      </c>
      <c r="J99" s="82" t="str">
        <f>IFERROR(LOOKUP(2,1/(('Match Log'!$D$4:$D$810=J$90)*('Match Log'!$C$4:$C$810=$A99)),'Match Log'!$AB$4:$AB$810),"")</f>
        <v/>
      </c>
      <c r="K99" s="82" t="str">
        <f>IFERROR(LOOKUP(2,1/(('Match Log'!$D$4:$D$810=K$90)*('Match Log'!$C$4:$C$810=$A99)),'Match Log'!$AB$4:$AB$810),"")</f>
        <v/>
      </c>
      <c r="L99" s="82">
        <f>IFERROR(LOOKUP(2,1/(('Match Log'!$D$4:$D$810=L$90)*('Match Log'!$C$4:$C$810=$A99)),'Match Log'!$AB$4:$AB$810),"")</f>
        <v>992</v>
      </c>
      <c r="M99" s="82" t="str">
        <f>IFERROR(LOOKUP(2,1/(('Match Log'!$D$4:$D$810=M$90)*('Match Log'!$C$4:$C$810=$A99)),'Match Log'!$AB$4:$AB$810),"")</f>
        <v/>
      </c>
      <c r="N99" s="82" t="str">
        <f>IFERROR(LOOKUP(2,1/(('Match Log'!$D$4:$D$810=N$90)*('Match Log'!$C$4:$C$810=$A99)),'Match Log'!$AB$4:$AB$810),"")</f>
        <v/>
      </c>
      <c r="O99" s="82" t="str">
        <f>IFERROR(LOOKUP(2,1/(('Match Log'!$D$4:$D$810=O$90)*('Match Log'!$C$4:$C$810=$A99)),'Match Log'!$AB$4:$AB$810),"")</f>
        <v/>
      </c>
      <c r="P99" s="79" t="str">
        <f t="shared" si="24"/>
        <v>Josh</v>
      </c>
    </row>
    <row r="100" spans="1:16" ht="15" customHeight="1" x14ac:dyDescent="0.2">
      <c r="A100" s="76" t="s">
        <v>193</v>
      </c>
      <c r="B100" s="82" t="str">
        <f>IFERROR(LOOKUP(2,1/(('Match Log'!$D$4:$D$810=B$90)*('Match Log'!$C$4:$C$810=$A100)),'Match Log'!$AB$4:$AB$810),"")</f>
        <v/>
      </c>
      <c r="C100" s="82" t="str">
        <f>IFERROR(LOOKUP(2,1/(('Match Log'!$D$4:$D$810=C$90)*('Match Log'!$C$4:$C$810=$A100)),'Match Log'!$AB$4:$AB$810),"")</f>
        <v/>
      </c>
      <c r="D100" s="82" t="str">
        <f>IFERROR(LOOKUP(2,1/(('Match Log'!$D$4:$D$810=D$90)*('Match Log'!$C$4:$C$810=$A100)),'Match Log'!$AB$4:$AB$810),"")</f>
        <v/>
      </c>
      <c r="E100" s="82" t="str">
        <f>IFERROR(LOOKUP(2,1/(('Match Log'!$D$4:$D$810=E$90)*('Match Log'!$C$4:$C$810=$A100)),'Match Log'!$AB$4:$AB$810),"")</f>
        <v/>
      </c>
      <c r="F100" s="82" t="str">
        <f>IFERROR(LOOKUP(2,1/(('Match Log'!$D$4:$D$810=F$90)*('Match Log'!$C$4:$C$810=$A100)),'Match Log'!$AB$4:$AB$810),"")</f>
        <v/>
      </c>
      <c r="G100" s="82" t="str">
        <f>IFERROR(LOOKUP(2,1/(('Match Log'!$D$4:$D$810=G$90)*('Match Log'!$C$4:$C$810=$A100)),'Match Log'!$AB$4:$AB$810),"")</f>
        <v/>
      </c>
      <c r="H100" s="82" t="str">
        <f>IFERROR(LOOKUP(2,1/(('Match Log'!$D$4:$D$810=H$90)*('Match Log'!$C$4:$C$810=$A100)),'Match Log'!$AB$4:$AB$810),"")</f>
        <v/>
      </c>
      <c r="I100" s="82" t="str">
        <f>IFERROR(LOOKUP(2,1/(('Match Log'!$D$4:$D$810=I$90)*('Match Log'!$C$4:$C$810=$A100)),'Match Log'!$AB$4:$AB$810),"")</f>
        <v/>
      </c>
      <c r="J100" s="82" t="str">
        <f>IFERROR(LOOKUP(2,1/(('Match Log'!$D$4:$D$810=J$90)*('Match Log'!$C$4:$C$810=$A100)),'Match Log'!$AB$4:$AB$810),"")</f>
        <v/>
      </c>
      <c r="K100" s="82" t="str">
        <f>IFERROR(LOOKUP(2,1/(('Match Log'!$D$4:$D$810=K$90)*('Match Log'!$C$4:$C$810=$A100)),'Match Log'!$AB$4:$AB$810),"")</f>
        <v/>
      </c>
      <c r="L100" s="82" t="str">
        <f>IFERROR(LOOKUP(2,1/(('Match Log'!$D$4:$D$810=L$90)*('Match Log'!$C$4:$C$810=$A100)),'Match Log'!$AB$4:$AB$810),"")</f>
        <v/>
      </c>
      <c r="M100" s="82" t="str">
        <f>IFERROR(LOOKUP(2,1/(('Match Log'!$D$4:$D$810=M$90)*('Match Log'!$C$4:$C$810=$A100)),'Match Log'!$AB$4:$AB$810),"")</f>
        <v/>
      </c>
      <c r="N100" s="82" t="str">
        <f>IFERROR(LOOKUP(2,1/(('Match Log'!$D$4:$D$810=N$90)*('Match Log'!$C$4:$C$810=$A100)),'Match Log'!$AB$4:$AB$810),"")</f>
        <v/>
      </c>
      <c r="O100" s="82" t="str">
        <f>IFERROR(LOOKUP(2,1/(('Match Log'!$D$4:$D$810=O$90)*('Match Log'!$C$4:$C$810=$A100)),'Match Log'!$AB$4:$AB$810),"")</f>
        <v/>
      </c>
      <c r="P100" s="79" t="str">
        <f t="shared" si="24"/>
        <v>—</v>
      </c>
    </row>
    <row r="101" spans="1:16" ht="15" customHeight="1" x14ac:dyDescent="0.2">
      <c r="A101" s="76" t="s">
        <v>194</v>
      </c>
      <c r="B101" s="82" t="str">
        <f>IFERROR(LOOKUP(2,1/(('Match Log'!$D$4:$D$810=B$90)*('Match Log'!$C$4:$C$810=$A101)),'Match Log'!$AB$4:$AB$810),"")</f>
        <v/>
      </c>
      <c r="C101" s="82" t="str">
        <f>IFERROR(LOOKUP(2,1/(('Match Log'!$D$4:$D$810=C$90)*('Match Log'!$C$4:$C$810=$A101)),'Match Log'!$AB$4:$AB$810),"")</f>
        <v/>
      </c>
      <c r="D101" s="82" t="str">
        <f>IFERROR(LOOKUP(2,1/(('Match Log'!$D$4:$D$810=D$90)*('Match Log'!$C$4:$C$810=$A101)),'Match Log'!$AB$4:$AB$810),"")</f>
        <v/>
      </c>
      <c r="E101" s="82" t="str">
        <f>IFERROR(LOOKUP(2,1/(('Match Log'!$D$4:$D$810=E$90)*('Match Log'!$C$4:$C$810=$A101)),'Match Log'!$AB$4:$AB$810),"")</f>
        <v/>
      </c>
      <c r="F101" s="82" t="str">
        <f>IFERROR(LOOKUP(2,1/(('Match Log'!$D$4:$D$810=F$90)*('Match Log'!$C$4:$C$810=$A101)),'Match Log'!$AB$4:$AB$810),"")</f>
        <v/>
      </c>
      <c r="G101" s="82" t="str">
        <f>IFERROR(LOOKUP(2,1/(('Match Log'!$D$4:$D$810=G$90)*('Match Log'!$C$4:$C$810=$A101)),'Match Log'!$AB$4:$AB$810),"")</f>
        <v/>
      </c>
      <c r="H101" s="82" t="str">
        <f>IFERROR(LOOKUP(2,1/(('Match Log'!$D$4:$D$810=H$90)*('Match Log'!$C$4:$C$810=$A101)),'Match Log'!$AB$4:$AB$810),"")</f>
        <v/>
      </c>
      <c r="I101" s="82" t="str">
        <f>IFERROR(LOOKUP(2,1/(('Match Log'!$D$4:$D$810=I$90)*('Match Log'!$C$4:$C$810=$A101)),'Match Log'!$AB$4:$AB$810),"")</f>
        <v/>
      </c>
      <c r="J101" s="82" t="str">
        <f>IFERROR(LOOKUP(2,1/(('Match Log'!$D$4:$D$810=J$90)*('Match Log'!$C$4:$C$810=$A101)),'Match Log'!$AB$4:$AB$810),"")</f>
        <v/>
      </c>
      <c r="K101" s="82" t="str">
        <f>IFERROR(LOOKUP(2,1/(('Match Log'!$D$4:$D$810=K$90)*('Match Log'!$C$4:$C$810=$A101)),'Match Log'!$AB$4:$AB$810),"")</f>
        <v/>
      </c>
      <c r="L101" s="82" t="str">
        <f>IFERROR(LOOKUP(2,1/(('Match Log'!$D$4:$D$810=L$90)*('Match Log'!$C$4:$C$810=$A101)),'Match Log'!$AB$4:$AB$810),"")</f>
        <v/>
      </c>
      <c r="M101" s="82" t="str">
        <f>IFERROR(LOOKUP(2,1/(('Match Log'!$D$4:$D$810=M$90)*('Match Log'!$C$4:$C$810=$A101)),'Match Log'!$AB$4:$AB$810),"")</f>
        <v/>
      </c>
      <c r="N101" s="82" t="str">
        <f>IFERROR(LOOKUP(2,1/(('Match Log'!$D$4:$D$810=N$90)*('Match Log'!$C$4:$C$810=$A101)),'Match Log'!$AB$4:$AB$810),"")</f>
        <v/>
      </c>
      <c r="O101" s="82" t="str">
        <f>IFERROR(LOOKUP(2,1/(('Match Log'!$D$4:$D$810=O$90)*('Match Log'!$C$4:$C$810=$A101)),'Match Log'!$AB$4:$AB$810),"")</f>
        <v/>
      </c>
      <c r="P101" s="79" t="str">
        <f t="shared" si="24"/>
        <v>—</v>
      </c>
    </row>
    <row r="102" spans="1:16" ht="15" customHeight="1" x14ac:dyDescent="0.2">
      <c r="A102" s="76" t="s">
        <v>195</v>
      </c>
      <c r="B102" s="82">
        <f>IFERROR(LOOKUP(2,1/(('Match Log'!$D$4:$D$810=B$90)*('Match Log'!$C$4:$C$810=$A102)),'Match Log'!$AB$4:$AB$810),"")</f>
        <v>998.78601149183976</v>
      </c>
      <c r="C102" s="82">
        <f>IFERROR(LOOKUP(2,1/(('Match Log'!$D$4:$D$810=C$90)*('Match Log'!$C$4:$C$810=$A102)),'Match Log'!$AB$4:$AB$810),"")</f>
        <v>984.84959931593869</v>
      </c>
      <c r="D102" s="82" t="str">
        <f>IFERROR(LOOKUP(2,1/(('Match Log'!$D$4:$D$810=D$90)*('Match Log'!$C$4:$C$810=$A102)),'Match Log'!$AB$4:$AB$810),"")</f>
        <v/>
      </c>
      <c r="E102" s="82">
        <f>IFERROR(LOOKUP(2,1/(('Match Log'!$D$4:$D$810=E$90)*('Match Log'!$C$4:$C$810=$A102)),'Match Log'!$AB$4:$AB$810),"")</f>
        <v>949.22600883289385</v>
      </c>
      <c r="F102" s="82">
        <f>IFERROR(LOOKUP(2,1/(('Match Log'!$D$4:$D$810=F$90)*('Match Log'!$C$4:$C$810=$A102)),'Match Log'!$AB$4:$AB$810),"")</f>
        <v>1109.0218511200758</v>
      </c>
      <c r="G102" s="82">
        <f>IFERROR(LOOKUP(2,1/(('Match Log'!$D$4:$D$810=G$90)*('Match Log'!$C$4:$C$810=$A102)),'Match Log'!$AB$4:$AB$810),"")</f>
        <v>1073.39235221687</v>
      </c>
      <c r="H102" s="82">
        <f>IFERROR(LOOKUP(2,1/(('Match Log'!$D$4:$D$810=H$90)*('Match Log'!$C$4:$C$810=$A102)),'Match Log'!$AB$4:$AB$810),"")</f>
        <v>952.64656852410087</v>
      </c>
      <c r="I102" s="82">
        <f>IFERROR(LOOKUP(2,1/(('Match Log'!$D$4:$D$810=I$90)*('Match Log'!$C$4:$C$810=$A102)),'Match Log'!$AB$4:$AB$810),"")</f>
        <v>941.80241083787075</v>
      </c>
      <c r="J102" s="82">
        <f>IFERROR(LOOKUP(2,1/(('Match Log'!$D$4:$D$810=J$90)*('Match Log'!$C$4:$C$810=$A102)),'Match Log'!$AB$4:$AB$810),"")</f>
        <v>1055.7052432790952</v>
      </c>
      <c r="K102" s="82">
        <f>IFERROR(LOOKUP(2,1/(('Match Log'!$D$4:$D$810=K$90)*('Match Log'!$C$4:$C$810=$A102)),'Match Log'!$AB$4:$AB$810),"")</f>
        <v>930.59858869041068</v>
      </c>
      <c r="L102" s="82">
        <f>IFERROR(LOOKUP(2,1/(('Match Log'!$D$4:$D$810=L$90)*('Match Log'!$C$4:$C$810=$A102)),'Match Log'!$AB$4:$AB$810),"")</f>
        <v>1003.9713656909046</v>
      </c>
      <c r="M102" s="82" t="str">
        <f>IFERROR(LOOKUP(2,1/(('Match Log'!$D$4:$D$810=M$90)*('Match Log'!$C$4:$C$810=$A102)),'Match Log'!$AB$4:$AB$810),"")</f>
        <v/>
      </c>
      <c r="N102" s="82" t="str">
        <f>IFERROR(LOOKUP(2,1/(('Match Log'!$D$4:$D$810=N$90)*('Match Log'!$C$4:$C$810=$A102)),'Match Log'!$AB$4:$AB$810),"")</f>
        <v/>
      </c>
      <c r="O102" s="82" t="str">
        <f>IFERROR(LOOKUP(2,1/(('Match Log'!$D$4:$D$810=O$90)*('Match Log'!$C$4:$C$810=$A102)),'Match Log'!$AB$4:$AB$810),"")</f>
        <v/>
      </c>
      <c r="P102" s="79" t="str">
        <f t="shared" si="24"/>
        <v>Josh</v>
      </c>
    </row>
    <row r="103" spans="1:16" ht="15" customHeight="1" x14ac:dyDescent="0.2">
      <c r="A103" s="76" t="s">
        <v>197</v>
      </c>
      <c r="B103" s="82">
        <f>IFERROR(LOOKUP(2,1/(('Match Log'!$D$4:$D$810=B$90)*('Match Log'!$C$4:$C$810=$A103)),'Match Log'!$AB$4:$AB$810),"")</f>
        <v>1014.4258934061545</v>
      </c>
      <c r="C103" s="82" t="str">
        <f>IFERROR(LOOKUP(2,1/(('Match Log'!$D$4:$D$810=C$90)*('Match Log'!$C$4:$C$810=$A103)),'Match Log'!$AB$4:$AB$810),"")</f>
        <v/>
      </c>
      <c r="D103" s="82" t="str">
        <f>IFERROR(LOOKUP(2,1/(('Match Log'!$D$4:$D$810=D$90)*('Match Log'!$C$4:$C$810=$A103)),'Match Log'!$AB$4:$AB$810),"")</f>
        <v/>
      </c>
      <c r="E103" s="82" t="str">
        <f>IFERROR(LOOKUP(2,1/(('Match Log'!$D$4:$D$810=E$90)*('Match Log'!$C$4:$C$810=$A103)),'Match Log'!$AB$4:$AB$810),"")</f>
        <v/>
      </c>
      <c r="F103" s="82">
        <f>IFERROR(LOOKUP(2,1/(('Match Log'!$D$4:$D$810=F$90)*('Match Log'!$C$4:$C$810=$A103)),'Match Log'!$AB$4:$AB$810),"")</f>
        <v>985.41909823644232</v>
      </c>
      <c r="G103" s="82">
        <f>IFERROR(LOOKUP(2,1/(('Match Log'!$D$4:$D$810=G$90)*('Match Log'!$C$4:$C$810=$A103)),'Match Log'!$AB$4:$AB$810),"")</f>
        <v>948.96790333240949</v>
      </c>
      <c r="H103" s="82" t="str">
        <f>IFERROR(LOOKUP(2,1/(('Match Log'!$D$4:$D$810=H$90)*('Match Log'!$C$4:$C$810=$A103)),'Match Log'!$AB$4:$AB$810),"")</f>
        <v/>
      </c>
      <c r="I103" s="82">
        <f>IFERROR(LOOKUP(2,1/(('Match Log'!$D$4:$D$810=I$90)*('Match Log'!$C$4:$C$810=$A103)),'Match Log'!$AB$4:$AB$810),"")</f>
        <v>1050.6407052513002</v>
      </c>
      <c r="J103" s="82" t="str">
        <f>IFERROR(LOOKUP(2,1/(('Match Log'!$D$4:$D$810=J$90)*('Match Log'!$C$4:$C$810=$A103)),'Match Log'!$AB$4:$AB$810),"")</f>
        <v/>
      </c>
      <c r="K103" s="82" t="str">
        <f>IFERROR(LOOKUP(2,1/(('Match Log'!$D$4:$D$810=K$90)*('Match Log'!$C$4:$C$810=$A103)),'Match Log'!$AB$4:$AB$810),"")</f>
        <v/>
      </c>
      <c r="L103" s="82">
        <f>IFERROR(LOOKUP(2,1/(('Match Log'!$D$4:$D$810=L$90)*('Match Log'!$C$4:$C$810=$A103)),'Match Log'!$AB$4:$AB$810),"")</f>
        <v>1000.5463997736937</v>
      </c>
      <c r="M103" s="82" t="str">
        <f>IFERROR(LOOKUP(2,1/(('Match Log'!$D$4:$D$810=M$90)*('Match Log'!$C$4:$C$810=$A103)),'Match Log'!$AB$4:$AB$810),"")</f>
        <v/>
      </c>
      <c r="N103" s="82" t="str">
        <f>IFERROR(LOOKUP(2,1/(('Match Log'!$D$4:$D$810=N$90)*('Match Log'!$C$4:$C$810=$A103)),'Match Log'!$AB$4:$AB$810),"")</f>
        <v/>
      </c>
      <c r="O103" s="82" t="str">
        <f>IFERROR(LOOKUP(2,1/(('Match Log'!$D$4:$D$810=O$90)*('Match Log'!$C$4:$C$810=$A103)),'Match Log'!$AB$4:$AB$810),"")</f>
        <v/>
      </c>
      <c r="P103" s="79" t="str">
        <f t="shared" si="24"/>
        <v>Daniel (Ferret)</v>
      </c>
    </row>
    <row r="104" spans="1:16" ht="15" customHeight="1" x14ac:dyDescent="0.2">
      <c r="A104" s="76" t="s">
        <v>199</v>
      </c>
      <c r="B104" s="82">
        <f>IFERROR(LOOKUP(2,1/(('Match Log'!$D$4:$D$810=B$90)*('Match Log'!$C$4:$C$810=$A104)),'Match Log'!$AB$4:$AB$810),"")</f>
        <v>1041.6585373017128</v>
      </c>
      <c r="C104" s="82" t="str">
        <f>IFERROR(LOOKUP(2,1/(('Match Log'!$D$4:$D$810=C$90)*('Match Log'!$C$4:$C$810=$A104)),'Match Log'!$AB$4:$AB$810),"")</f>
        <v/>
      </c>
      <c r="D104" s="82">
        <f>IFERROR(LOOKUP(2,1/(('Match Log'!$D$4:$D$810=D$90)*('Match Log'!$C$4:$C$810=$A104)),'Match Log'!$AB$4:$AB$810),"")</f>
        <v>1055.8009426289977</v>
      </c>
      <c r="E104" s="82" t="str">
        <f>IFERROR(LOOKUP(2,1/(('Match Log'!$D$4:$D$810=E$90)*('Match Log'!$C$4:$C$810=$A104)),'Match Log'!$AB$4:$AB$810),"")</f>
        <v/>
      </c>
      <c r="F104" s="82" t="str">
        <f>IFERROR(LOOKUP(2,1/(('Match Log'!$D$4:$D$810=F$90)*('Match Log'!$C$4:$C$810=$A104)),'Match Log'!$AB$4:$AB$810),"")</f>
        <v/>
      </c>
      <c r="G104" s="82">
        <f>IFERROR(LOOKUP(2,1/(('Match Log'!$D$4:$D$810=G$90)*('Match Log'!$C$4:$C$810=$A104)),'Match Log'!$AB$4:$AB$810),"")</f>
        <v>904.65647514018167</v>
      </c>
      <c r="H104" s="82" t="str">
        <f>IFERROR(LOOKUP(2,1/(('Match Log'!$D$4:$D$810=H$90)*('Match Log'!$C$4:$C$810=$A104)),'Match Log'!$AB$4:$AB$810),"")</f>
        <v/>
      </c>
      <c r="I104" s="82">
        <f>IFERROR(LOOKUP(2,1/(('Match Log'!$D$4:$D$810=I$90)*('Match Log'!$C$4:$C$810=$A104)),'Match Log'!$AB$4:$AB$810),"")</f>
        <v>962.91641343501885</v>
      </c>
      <c r="J104" s="82" t="str">
        <f>IFERROR(LOOKUP(2,1/(('Match Log'!$D$4:$D$810=J$90)*('Match Log'!$C$4:$C$810=$A104)),'Match Log'!$AB$4:$AB$810),"")</f>
        <v/>
      </c>
      <c r="K104" s="82" t="str">
        <f>IFERROR(LOOKUP(2,1/(('Match Log'!$D$4:$D$810=K$90)*('Match Log'!$C$4:$C$810=$A104)),'Match Log'!$AB$4:$AB$810),"")</f>
        <v/>
      </c>
      <c r="L104" s="82">
        <f>IFERROR(LOOKUP(2,1/(('Match Log'!$D$4:$D$810=L$90)*('Match Log'!$C$4:$C$810=$A104)),'Match Log'!$AB$4:$AB$810),"")</f>
        <v>1034.9676314940889</v>
      </c>
      <c r="M104" s="82" t="str">
        <f>IFERROR(LOOKUP(2,1/(('Match Log'!$D$4:$D$810=M$90)*('Match Log'!$C$4:$C$810=$A104)),'Match Log'!$AB$4:$AB$810),"")</f>
        <v/>
      </c>
      <c r="N104" s="82" t="str">
        <f>IFERROR(LOOKUP(2,1/(('Match Log'!$D$4:$D$810=N$90)*('Match Log'!$C$4:$C$810=$A104)),'Match Log'!$AB$4:$AB$810),"")</f>
        <v/>
      </c>
      <c r="O104" s="82" t="str">
        <f>IFERROR(LOOKUP(2,1/(('Match Log'!$D$4:$D$810=O$90)*('Match Log'!$C$4:$C$810=$A104)),'Match Log'!$AB$4:$AB$810),"")</f>
        <v/>
      </c>
      <c r="P104" s="79" t="str">
        <f t="shared" si="24"/>
        <v>Chase</v>
      </c>
    </row>
    <row r="105" spans="1:16" ht="15" customHeight="1" x14ac:dyDescent="0.2">
      <c r="A105" s="76" t="s">
        <v>201</v>
      </c>
      <c r="B105" s="82" t="str">
        <f>IFERROR(LOOKUP(2,1/(('Match Log'!$D$4:$D$810=B$90)*('Match Log'!$C$4:$C$810=$A105)),'Match Log'!$AB$4:$AB$810),"")</f>
        <v/>
      </c>
      <c r="C105" s="82" t="str">
        <f>IFERROR(LOOKUP(2,1/(('Match Log'!$D$4:$D$810=C$90)*('Match Log'!$C$4:$C$810=$A105)),'Match Log'!$AB$4:$AB$810),"")</f>
        <v/>
      </c>
      <c r="D105" s="82" t="str">
        <f>IFERROR(LOOKUP(2,1/(('Match Log'!$D$4:$D$810=D$90)*('Match Log'!$C$4:$C$810=$A105)),'Match Log'!$AB$4:$AB$810),"")</f>
        <v/>
      </c>
      <c r="E105" s="82" t="str">
        <f>IFERROR(LOOKUP(2,1/(('Match Log'!$D$4:$D$810=E$90)*('Match Log'!$C$4:$C$810=$A105)),'Match Log'!$AB$4:$AB$810),"")</f>
        <v/>
      </c>
      <c r="F105" s="82" t="str">
        <f>IFERROR(LOOKUP(2,1/(('Match Log'!$D$4:$D$810=F$90)*('Match Log'!$C$4:$C$810=$A105)),'Match Log'!$AB$4:$AB$810),"")</f>
        <v/>
      </c>
      <c r="G105" s="82" t="str">
        <f>IFERROR(LOOKUP(2,1/(('Match Log'!$D$4:$D$810=G$90)*('Match Log'!$C$4:$C$810=$A105)),'Match Log'!$AB$4:$AB$810),"")</f>
        <v/>
      </c>
      <c r="H105" s="82" t="str">
        <f>IFERROR(LOOKUP(2,1/(('Match Log'!$D$4:$D$810=H$90)*('Match Log'!$C$4:$C$810=$A105)),'Match Log'!$AB$4:$AB$810),"")</f>
        <v/>
      </c>
      <c r="I105" s="82" t="str">
        <f>IFERROR(LOOKUP(2,1/(('Match Log'!$D$4:$D$810=I$90)*('Match Log'!$C$4:$C$810=$A105)),'Match Log'!$AB$4:$AB$810),"")</f>
        <v/>
      </c>
      <c r="J105" s="82" t="str">
        <f>IFERROR(LOOKUP(2,1/(('Match Log'!$D$4:$D$810=J$90)*('Match Log'!$C$4:$C$810=$A105)),'Match Log'!$AB$4:$AB$810),"")</f>
        <v/>
      </c>
      <c r="K105" s="82" t="str">
        <f>IFERROR(LOOKUP(2,1/(('Match Log'!$D$4:$D$810=K$90)*('Match Log'!$C$4:$C$810=$A105)),'Match Log'!$AB$4:$AB$810),"")</f>
        <v/>
      </c>
      <c r="L105" s="82" t="str">
        <f>IFERROR(LOOKUP(2,1/(('Match Log'!$D$4:$D$810=L$90)*('Match Log'!$C$4:$C$810=$A105)),'Match Log'!$AB$4:$AB$810),"")</f>
        <v/>
      </c>
      <c r="M105" s="82" t="str">
        <f>IFERROR(LOOKUP(2,1/(('Match Log'!$D$4:$D$810=M$90)*('Match Log'!$C$4:$C$810=$A105)),'Match Log'!$AB$4:$AB$810),"")</f>
        <v/>
      </c>
      <c r="N105" s="82" t="str">
        <f>IFERROR(LOOKUP(2,1/(('Match Log'!$D$4:$D$810=N$90)*('Match Log'!$C$4:$C$810=$A105)),'Match Log'!$AB$4:$AB$810),"")</f>
        <v/>
      </c>
      <c r="O105" s="82" t="str">
        <f>IFERROR(LOOKUP(2,1/(('Match Log'!$D$4:$D$810=O$90)*('Match Log'!$C$4:$C$810=$A105)),'Match Log'!$AB$4:$AB$810),"")</f>
        <v/>
      </c>
      <c r="P105" s="79" t="str">
        <f t="shared" si="24"/>
        <v>—</v>
      </c>
    </row>
    <row r="106" spans="1:16" ht="15" customHeight="1" x14ac:dyDescent="0.2">
      <c r="A106" s="76" t="s">
        <v>203</v>
      </c>
      <c r="B106" s="82">
        <f>IFERROR(LOOKUP(2,1/(('Match Log'!$D$4:$D$810=B$90)*('Match Log'!$C$4:$C$810=$A106)),'Match Log'!$AB$4:$AB$810),"")</f>
        <v>1000.0339081301692</v>
      </c>
      <c r="C106" s="82" t="str">
        <f>IFERROR(LOOKUP(2,1/(('Match Log'!$D$4:$D$810=C$90)*('Match Log'!$C$4:$C$810=$A106)),'Match Log'!$AB$4:$AB$810),"")</f>
        <v/>
      </c>
      <c r="D106" s="82">
        <f>IFERROR(LOOKUP(2,1/(('Match Log'!$D$4:$D$810=D$90)*('Match Log'!$C$4:$C$810=$A106)),'Match Log'!$AB$4:$AB$810),"")</f>
        <v>968.70239866335282</v>
      </c>
      <c r="E106" s="82" t="str">
        <f>IFERROR(LOOKUP(2,1/(('Match Log'!$D$4:$D$810=E$90)*('Match Log'!$C$4:$C$810=$A106)),'Match Log'!$AB$4:$AB$810),"")</f>
        <v/>
      </c>
      <c r="F106" s="82" t="str">
        <f>IFERROR(LOOKUP(2,1/(('Match Log'!$D$4:$D$810=F$90)*('Match Log'!$C$4:$C$810=$A106)),'Match Log'!$AB$4:$AB$810),"")</f>
        <v/>
      </c>
      <c r="G106" s="82" t="str">
        <f>IFERROR(LOOKUP(2,1/(('Match Log'!$D$4:$D$810=G$90)*('Match Log'!$C$4:$C$810=$A106)),'Match Log'!$AB$4:$AB$810),"")</f>
        <v/>
      </c>
      <c r="H106" s="82" t="str">
        <f>IFERROR(LOOKUP(2,1/(('Match Log'!$D$4:$D$810=H$90)*('Match Log'!$C$4:$C$810=$A106)),'Match Log'!$AB$4:$AB$810),"")</f>
        <v/>
      </c>
      <c r="I106" s="82">
        <f>IFERROR(LOOKUP(2,1/(('Match Log'!$D$4:$D$810=I$90)*('Match Log'!$C$4:$C$810=$A106)),'Match Log'!$AB$4:$AB$810),"")</f>
        <v>1031.2636932064779</v>
      </c>
      <c r="J106" s="82" t="str">
        <f>IFERROR(LOOKUP(2,1/(('Match Log'!$D$4:$D$810=J$90)*('Match Log'!$C$4:$C$810=$A106)),'Match Log'!$AB$4:$AB$810),"")</f>
        <v/>
      </c>
      <c r="K106" s="82" t="str">
        <f>IFERROR(LOOKUP(2,1/(('Match Log'!$D$4:$D$810=K$90)*('Match Log'!$C$4:$C$810=$A106)),'Match Log'!$AB$4:$AB$810),"")</f>
        <v/>
      </c>
      <c r="L106" s="82" t="str">
        <f>IFERROR(LOOKUP(2,1/(('Match Log'!$D$4:$D$810=L$90)*('Match Log'!$C$4:$C$810=$A106)),'Match Log'!$AB$4:$AB$810),"")</f>
        <v/>
      </c>
      <c r="M106" s="82" t="str">
        <f>IFERROR(LOOKUP(2,1/(('Match Log'!$D$4:$D$810=M$90)*('Match Log'!$C$4:$C$810=$A106)),'Match Log'!$AB$4:$AB$810),"")</f>
        <v/>
      </c>
      <c r="N106" s="82" t="str">
        <f>IFERROR(LOOKUP(2,1/(('Match Log'!$D$4:$D$810=N$90)*('Match Log'!$C$4:$C$810=$A106)),'Match Log'!$AB$4:$AB$810),"")</f>
        <v/>
      </c>
      <c r="O106" s="82" t="str">
        <f>IFERROR(LOOKUP(2,1/(('Match Log'!$D$4:$D$810=O$90)*('Match Log'!$C$4:$C$810=$A106)),'Match Log'!$AB$4:$AB$810),"")</f>
        <v/>
      </c>
      <c r="P106" s="79" t="str">
        <f t="shared" si="24"/>
        <v>Daniel (Ferret)</v>
      </c>
    </row>
    <row r="107" spans="1:16" ht="15" customHeight="1" x14ac:dyDescent="0.2">
      <c r="A107" s="76" t="s">
        <v>204</v>
      </c>
      <c r="B107" s="82" t="str">
        <f>IFERROR(LOOKUP(2,1/(('Match Log'!$D$4:$D$810=B$90)*('Match Log'!$C$4:$C$810=$A107)),'Match Log'!$AB$4:$AB$810),"")</f>
        <v/>
      </c>
      <c r="C107" s="82" t="str">
        <f>IFERROR(LOOKUP(2,1/(('Match Log'!$D$4:$D$810=C$90)*('Match Log'!$C$4:$C$810=$A107)),'Match Log'!$AB$4:$AB$810),"")</f>
        <v/>
      </c>
      <c r="D107" s="82">
        <f>IFERROR(LOOKUP(2,1/(('Match Log'!$D$4:$D$810=D$90)*('Match Log'!$C$4:$C$810=$A107)),'Match Log'!$AB$4:$AB$810),"")</f>
        <v>992</v>
      </c>
      <c r="E107" s="82" t="str">
        <f>IFERROR(LOOKUP(2,1/(('Match Log'!$D$4:$D$810=E$90)*('Match Log'!$C$4:$C$810=$A107)),'Match Log'!$AB$4:$AB$810),"")</f>
        <v/>
      </c>
      <c r="F107" s="82">
        <f>IFERROR(LOOKUP(2,1/(('Match Log'!$D$4:$D$810=F$90)*('Match Log'!$C$4:$C$810=$A107)),'Match Log'!$AB$4:$AB$810),"")</f>
        <v>1016</v>
      </c>
      <c r="G107" s="82" t="str">
        <f>IFERROR(LOOKUP(2,1/(('Match Log'!$D$4:$D$810=G$90)*('Match Log'!$C$4:$C$810=$A107)),'Match Log'!$AB$4:$AB$810),"")</f>
        <v/>
      </c>
      <c r="H107" s="82" t="str">
        <f>IFERROR(LOOKUP(2,1/(('Match Log'!$D$4:$D$810=H$90)*('Match Log'!$C$4:$C$810=$A107)),'Match Log'!$AB$4:$AB$810),"")</f>
        <v/>
      </c>
      <c r="I107" s="82">
        <f>IFERROR(LOOKUP(2,1/(('Match Log'!$D$4:$D$810=I$90)*('Match Log'!$C$4:$C$810=$A107)),'Match Log'!$AB$4:$AB$810),"")</f>
        <v>992</v>
      </c>
      <c r="J107" s="82" t="str">
        <f>IFERROR(LOOKUP(2,1/(('Match Log'!$D$4:$D$810=J$90)*('Match Log'!$C$4:$C$810=$A107)),'Match Log'!$AB$4:$AB$810),"")</f>
        <v/>
      </c>
      <c r="K107" s="82" t="str">
        <f>IFERROR(LOOKUP(2,1/(('Match Log'!$D$4:$D$810=K$90)*('Match Log'!$C$4:$C$810=$A107)),'Match Log'!$AB$4:$AB$810),"")</f>
        <v/>
      </c>
      <c r="L107" s="82" t="str">
        <f>IFERROR(LOOKUP(2,1/(('Match Log'!$D$4:$D$810=L$90)*('Match Log'!$C$4:$C$810=$A107)),'Match Log'!$AB$4:$AB$810),"")</f>
        <v/>
      </c>
      <c r="M107" s="82" t="str">
        <f>IFERROR(LOOKUP(2,1/(('Match Log'!$D$4:$D$810=M$90)*('Match Log'!$C$4:$C$810=$A107)),'Match Log'!$AB$4:$AB$810),"")</f>
        <v/>
      </c>
      <c r="N107" s="82" t="str">
        <f>IFERROR(LOOKUP(2,1/(('Match Log'!$D$4:$D$810=N$90)*('Match Log'!$C$4:$C$810=$A107)),'Match Log'!$AB$4:$AB$810),"")</f>
        <v/>
      </c>
      <c r="O107" s="82" t="str">
        <f>IFERROR(LOOKUP(2,1/(('Match Log'!$D$4:$D$810=O$90)*('Match Log'!$C$4:$C$810=$A107)),'Match Log'!$AB$4:$AB$810),"")</f>
        <v/>
      </c>
      <c r="P107" s="79" t="str">
        <f t="shared" si="24"/>
        <v>Josh</v>
      </c>
    </row>
    <row r="108" spans="1:16" ht="15" customHeight="1" x14ac:dyDescent="0.2">
      <c r="A108" s="76" t="s">
        <v>206</v>
      </c>
      <c r="B108" s="82">
        <f>IFERROR(LOOKUP(2,1/(('Match Log'!$D$4:$D$810=B$90)*('Match Log'!$C$4:$C$810=$A108)),'Match Log'!$AB$4:$AB$810),"")</f>
        <v>965.94883287862285</v>
      </c>
      <c r="C108" s="82">
        <f>IFERROR(LOOKUP(2,1/(('Match Log'!$D$4:$D$810=C$90)*('Match Log'!$C$4:$C$810=$A108)),'Match Log'!$AB$4:$AB$810),"")</f>
        <v>1021.3645876209866</v>
      </c>
      <c r="D108" s="82">
        <f>IFERROR(LOOKUP(2,1/(('Match Log'!$D$4:$D$810=D$90)*('Match Log'!$C$4:$C$810=$A108)),'Match Log'!$AB$4:$AB$810),"")</f>
        <v>1015.263693206478</v>
      </c>
      <c r="E108" s="82">
        <f>IFERROR(LOOKUP(2,1/(('Match Log'!$D$4:$D$810=E$90)*('Match Log'!$C$4:$C$810=$A108)),'Match Log'!$AB$4:$AB$810),"")</f>
        <v>995.72748489903177</v>
      </c>
      <c r="F108" s="82">
        <f>IFERROR(LOOKUP(2,1/(('Match Log'!$D$4:$D$810=F$90)*('Match Log'!$C$4:$C$810=$A108)),'Match Log'!$AB$4:$AB$810),"")</f>
        <v>980.52721563547436</v>
      </c>
      <c r="G108" s="82">
        <f>IFERROR(LOOKUP(2,1/(('Match Log'!$D$4:$D$810=G$90)*('Match Log'!$C$4:$C$810=$A108)),'Match Log'!$AB$4:$AB$810),"")</f>
        <v>994.87575697010811</v>
      </c>
      <c r="H108" s="82">
        <f>IFERROR(LOOKUP(2,1/(('Match Log'!$D$4:$D$810=H$90)*('Match Log'!$C$4:$C$810=$A108)),'Match Log'!$AB$4:$AB$810),"")</f>
        <v>1060.1693378874229</v>
      </c>
      <c r="I108" s="82">
        <f>IFERROR(LOOKUP(2,1/(('Match Log'!$D$4:$D$810=I$90)*('Match Log'!$C$4:$C$810=$A108)),'Match Log'!$AB$4:$AB$810),"")</f>
        <v>993.32139176969508</v>
      </c>
      <c r="J108" s="82">
        <f>IFERROR(LOOKUP(2,1/(('Match Log'!$D$4:$D$810=J$90)*('Match Log'!$C$4:$C$810=$A108)),'Match Log'!$AB$4:$AB$810),"")</f>
        <v>1039.1570131462133</v>
      </c>
      <c r="K108" s="82">
        <f>IFERROR(LOOKUP(2,1/(('Match Log'!$D$4:$D$810=K$90)*('Match Log'!$C$4:$C$810=$A108)),'Match Log'!$AB$4:$AB$810),"")</f>
        <v>977.68101586373621</v>
      </c>
      <c r="L108" s="82">
        <f>IFERROR(LOOKUP(2,1/(('Match Log'!$D$4:$D$810=L$90)*('Match Log'!$C$4:$C$810=$A108)),'Match Log'!$AB$4:$AB$810),"")</f>
        <v>959.92547606336859</v>
      </c>
      <c r="M108" s="82">
        <f>IFERROR(LOOKUP(2,1/(('Match Log'!$D$4:$D$810=M$90)*('Match Log'!$C$4:$C$810=$A108)),'Match Log'!$AB$4:$AB$810),"")</f>
        <v>995.72748489903177</v>
      </c>
      <c r="N108" s="82">
        <f>IFERROR(LOOKUP(2,1/(('Match Log'!$D$4:$D$810=N$90)*('Match Log'!$C$4:$C$810=$A108)),'Match Log'!$AB$4:$AB$810),"")</f>
        <v>1000.3107091598305</v>
      </c>
      <c r="O108" s="82" t="str">
        <f>IFERROR(LOOKUP(2,1/(('Match Log'!$D$4:$D$810=O$90)*('Match Log'!$C$4:$C$810=$A108)),'Match Log'!$AB$4:$AB$810),"")</f>
        <v/>
      </c>
      <c r="P108" s="79" t="str">
        <f t="shared" si="24"/>
        <v>Simon</v>
      </c>
    </row>
    <row r="109" spans="1:16" ht="15" customHeight="1" x14ac:dyDescent="0.2">
      <c r="A109" s="76" t="s">
        <v>208</v>
      </c>
      <c r="B109" s="82">
        <f>IFERROR(LOOKUP(2,1/(('Match Log'!$D$4:$D$810=B$90)*('Match Log'!$C$4:$C$810=$A109)),'Match Log'!$AB$4:$AB$810),"")</f>
        <v>965.16875437959993</v>
      </c>
      <c r="C109" s="82" t="str">
        <f>IFERROR(LOOKUP(2,1/(('Match Log'!$D$4:$D$810=C$90)*('Match Log'!$C$4:$C$810=$A109)),'Match Log'!$AB$4:$AB$810),"")</f>
        <v/>
      </c>
      <c r="D109" s="82" t="str">
        <f>IFERROR(LOOKUP(2,1/(('Match Log'!$D$4:$D$810=D$90)*('Match Log'!$C$4:$C$810=$A109)),'Match Log'!$AB$4:$AB$810),"")</f>
        <v/>
      </c>
      <c r="E109" s="82" t="str">
        <f>IFERROR(LOOKUP(2,1/(('Match Log'!$D$4:$D$810=E$90)*('Match Log'!$C$4:$C$810=$A109)),'Match Log'!$AB$4:$AB$810),"")</f>
        <v/>
      </c>
      <c r="F109" s="82">
        <f>IFERROR(LOOKUP(2,1/(('Match Log'!$D$4:$D$810=F$90)*('Match Log'!$C$4:$C$810=$A109)),'Match Log'!$AB$4:$AB$810),"")</f>
        <v>1005.3331712136038</v>
      </c>
      <c r="G109" s="82">
        <f>IFERROR(LOOKUP(2,1/(('Match Log'!$D$4:$D$810=G$90)*('Match Log'!$C$4:$C$810=$A109)),'Match Log'!$AB$4:$AB$810),"")</f>
        <v>1034.8312456204001</v>
      </c>
      <c r="H109" s="82" t="str">
        <f>IFERROR(LOOKUP(2,1/(('Match Log'!$D$4:$D$810=H$90)*('Match Log'!$C$4:$C$810=$A109)),'Match Log'!$AB$4:$AB$810),"")</f>
        <v/>
      </c>
      <c r="I109" s="82">
        <f>IFERROR(LOOKUP(2,1/(('Match Log'!$D$4:$D$810=I$90)*('Match Log'!$C$4:$C$810=$A109)),'Match Log'!$AB$4:$AB$810),"")</f>
        <v>994.66682878639608</v>
      </c>
      <c r="J109" s="82" t="str">
        <f>IFERROR(LOOKUP(2,1/(('Match Log'!$D$4:$D$810=J$90)*('Match Log'!$C$4:$C$810=$A109)),'Match Log'!$AB$4:$AB$810),"")</f>
        <v/>
      </c>
      <c r="K109" s="82" t="str">
        <f>IFERROR(LOOKUP(2,1/(('Match Log'!$D$4:$D$810=K$90)*('Match Log'!$C$4:$C$810=$A109)),'Match Log'!$AB$4:$AB$810),"")</f>
        <v/>
      </c>
      <c r="L109" s="82" t="str">
        <f>IFERROR(LOOKUP(2,1/(('Match Log'!$D$4:$D$810=L$90)*('Match Log'!$C$4:$C$810=$A109)),'Match Log'!$AB$4:$AB$810),"")</f>
        <v/>
      </c>
      <c r="M109" s="82" t="str">
        <f>IFERROR(LOOKUP(2,1/(('Match Log'!$D$4:$D$810=M$90)*('Match Log'!$C$4:$C$810=$A109)),'Match Log'!$AB$4:$AB$810),"")</f>
        <v/>
      </c>
      <c r="N109" s="82" t="str">
        <f>IFERROR(LOOKUP(2,1/(('Match Log'!$D$4:$D$810=N$90)*('Match Log'!$C$4:$C$810=$A109)),'Match Log'!$AB$4:$AB$810),"")</f>
        <v/>
      </c>
      <c r="O109" s="82" t="str">
        <f>IFERROR(LOOKUP(2,1/(('Match Log'!$D$4:$D$810=O$90)*('Match Log'!$C$4:$C$810=$A109)),'Match Log'!$AB$4:$AB$810),"")</f>
        <v/>
      </c>
      <c r="P109" s="79" t="str">
        <f t="shared" si="24"/>
        <v>Shawn</v>
      </c>
    </row>
    <row r="110" spans="1:16" x14ac:dyDescent="0.2">
      <c r="A110" s="76" t="s">
        <v>407</v>
      </c>
      <c r="B110" s="82" t="str">
        <f>IFERROR(LOOKUP(2,1/(('Match Log'!$D$4:$D$810=B$90)*('Match Log'!$C$4:$C$810=$A110)),'Match Log'!$AB$4:$AB$810),"")</f>
        <v/>
      </c>
      <c r="C110" s="82" t="str">
        <f>IFERROR(LOOKUP(2,1/(('Match Log'!$D$4:$D$810=C$90)*('Match Log'!$C$4:$C$810=$A110)),'Match Log'!$AB$4:$AB$810),"")</f>
        <v/>
      </c>
      <c r="D110" s="82" t="str">
        <f>IFERROR(LOOKUP(2,1/(('Match Log'!$D$4:$D$810=D$90)*('Match Log'!$C$4:$C$810=$A110)),'Match Log'!$AB$4:$AB$810),"")</f>
        <v/>
      </c>
      <c r="E110" s="82" t="str">
        <f>IFERROR(LOOKUP(2,1/(('Match Log'!$D$4:$D$810=E$90)*('Match Log'!$C$4:$C$810=$A110)),'Match Log'!$AB$4:$AB$810),"")</f>
        <v/>
      </c>
      <c r="F110" s="82" t="str">
        <f>IFERROR(LOOKUP(2,1/(('Match Log'!$D$4:$D$810=F$90)*('Match Log'!$C$4:$C$810=$A110)),'Match Log'!$AB$4:$AB$810),"")</f>
        <v/>
      </c>
      <c r="G110" s="82" t="str">
        <f>IFERROR(LOOKUP(2,1/(('Match Log'!$D$4:$D$810=G$90)*('Match Log'!$C$4:$C$810=$A110)),'Match Log'!$AB$4:$AB$810),"")</f>
        <v/>
      </c>
      <c r="H110" s="82" t="str">
        <f>IFERROR(LOOKUP(2,1/(('Match Log'!$D$4:$D$810=H$90)*('Match Log'!$C$4:$C$810=$A110)),'Match Log'!$AB$4:$AB$810),"")</f>
        <v/>
      </c>
      <c r="I110" s="82" t="str">
        <f>IFERROR(LOOKUP(2,1/(('Match Log'!$D$4:$D$810=I$90)*('Match Log'!$C$4:$C$810=$A110)),'Match Log'!$AB$4:$AB$810),"")</f>
        <v/>
      </c>
      <c r="J110" s="82" t="str">
        <f>IFERROR(LOOKUP(2,1/(('Match Log'!$D$4:$D$810=J$90)*('Match Log'!$C$4:$C$810=$A110)),'Match Log'!$AB$4:$AB$810),"")</f>
        <v/>
      </c>
      <c r="K110" s="82" t="str">
        <f>IFERROR(LOOKUP(2,1/(('Match Log'!$D$4:$D$810=K$90)*('Match Log'!$C$4:$C$810=$A110)),'Match Log'!$AB$4:$AB$810),"")</f>
        <v/>
      </c>
      <c r="L110" s="82" t="str">
        <f>IFERROR(LOOKUP(2,1/(('Match Log'!$D$4:$D$810=L$90)*('Match Log'!$C$4:$C$810=$A110)),'Match Log'!$AB$4:$AB$810),"")</f>
        <v/>
      </c>
      <c r="M110" s="82" t="str">
        <f>IFERROR(LOOKUP(2,1/(('Match Log'!$D$4:$D$810=M$90)*('Match Log'!$C$4:$C$810=$A110)),'Match Log'!$AB$4:$AB$810),"")</f>
        <v/>
      </c>
      <c r="N110" s="82" t="str">
        <f>IFERROR(LOOKUP(2,1/(('Match Log'!$D$4:$D$810=N$90)*('Match Log'!$C$4:$C$810=$A110)),'Match Log'!$AB$4:$AB$810),"")</f>
        <v/>
      </c>
      <c r="O110" s="82" t="str">
        <f>IFERROR(LOOKUP(2,1/(('Match Log'!$D$4:$D$810=O$90)*('Match Log'!$C$4:$C$810=$A110)),'Match Log'!$AB$4:$AB$810),"")</f>
        <v/>
      </c>
      <c r="P110" s="79" t="str">
        <f>IFERROR(INDEX($B$90:$O$90,MATCH(MAX($B110:$O110),$B110:$O110,0)),"—")</f>
        <v>—</v>
      </c>
    </row>
  </sheetData>
  <autoFilter ref="A73:G87" xr:uid="{00000000-0009-0000-0000-000005000000}">
    <sortState xmlns:xlrd2="http://schemas.microsoft.com/office/spreadsheetml/2017/richdata2" ref="A74:G87">
      <sortCondition descending="1" ref="A74:A87"/>
    </sortState>
  </autoFilter>
  <mergeCells count="7">
    <mergeCell ref="A72:Q72"/>
    <mergeCell ref="A89:Q89"/>
    <mergeCell ref="A2:Q2"/>
    <mergeCell ref="C4:G4"/>
    <mergeCell ref="A6:Q6"/>
    <mergeCell ref="A28:Q28"/>
    <mergeCell ref="A50:Q50"/>
  </mergeCells>
  <conditionalFormatting sqref="B50:O70">
    <cfRule type="colorScale" priority="6">
      <colorScale>
        <cfvo type="num" val="0"/>
        <cfvo type="num" val="0.5"/>
        <cfvo type="num" val="1"/>
        <color rgb="FFF8696B"/>
        <color rgb="FFFFEB84"/>
        <color rgb="FF63BE7B"/>
      </colorScale>
    </cfRule>
  </conditionalFormatting>
  <conditionalFormatting sqref="B52:O69">
    <cfRule type="colorScale" priority="2">
      <colorScale>
        <cfvo type="num" val="0"/>
        <cfvo type="num" val="0.5"/>
        <cfvo type="num" val="1"/>
        <color rgb="FFF2A29B"/>
        <color rgb="FFFCE7A1"/>
        <color rgb="FF8FCFA3"/>
      </colorScale>
    </cfRule>
  </conditionalFormatting>
  <conditionalFormatting sqref="B70:O70">
    <cfRule type="colorScale" priority="5">
      <colorScale>
        <cfvo type="num" val="0"/>
        <cfvo type="num" val="0.5"/>
        <cfvo type="num" val="1"/>
        <color rgb="FFF2A29B"/>
        <color rgb="FFFCE7A1"/>
        <color rgb="FF8FCFA3"/>
      </colorScale>
    </cfRule>
  </conditionalFormatting>
  <conditionalFormatting sqref="B91:O108">
    <cfRule type="colorScale" priority="3">
      <colorScale>
        <cfvo type="num" val="880"/>
        <cfvo type="num" val="1000"/>
        <cfvo type="num" val="1140"/>
        <color rgb="FFF2A29B"/>
        <color rgb="FFFCF3DD"/>
        <color rgb="FF8FCFA3"/>
      </colorScale>
    </cfRule>
  </conditionalFormatting>
  <conditionalFormatting sqref="B109:O109">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topLeftCell="A2"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0" t="s">
        <v>234</v>
      </c>
      <c r="B2" s="160"/>
      <c r="C2" s="160"/>
      <c r="D2" s="160"/>
      <c r="E2" s="160"/>
      <c r="F2" s="160"/>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Daniel (Ferret)</v>
      </c>
      <c r="C9" s="39" t="str">
        <f>IFERROR(INDEX(Calcs!$H$25:$H$444,MATCH(LARGE(Calcs!$I$25:$I$444,4),Calcs!$I$25:$I$444,0)),"")</f>
        <v>Oscar</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Josh</v>
      </c>
      <c r="C10" s="36" t="str">
        <f>IFERROR(INDEX(Calcs!$H$25:$H$444,MATCH(LARGE(Calcs!$I$25:$I$444,5),Calcs!$I$25:$I$444,0)),"")</f>
        <v>Daniel (Ferret)</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Dean B</v>
      </c>
      <c r="C11" s="39" t="str">
        <f>IFERROR(INDEX(Calcs!$H$25:$H$444,MATCH(LARGE(Calcs!$I$25:$I$444,6),Calcs!$I$25:$I$444,0)),"")</f>
        <v>Josh</v>
      </c>
      <c r="D11" s="39" t="str">
        <f>IFERROR(INDEX(Calcs!$C$25:$C$444,MATCH(LARGE(Calcs!$I$25:$I$444,6),Calcs!$I$25:$I$444,0)),"")</f>
        <v>Table Tennis</v>
      </c>
      <c r="E11" s="39" t="str">
        <f>IFERROR(TEXT(INDEX(Calcs!$F$25:$F$444,MATCH(LARGE(Calcs!$I$25:$I$444,6),Calcs!$I$25:$I$444,0)),"0%"),"")</f>
        <v>27%</v>
      </c>
      <c r="F11" s="39" t="str">
        <f>IFERROR(TEXT(INDEX(Calcs!$B$25:$B$444,MATCH(LARGE(Calcs!$I$25:$I$444,6),Calcs!$I$25:$I$444,0)),"d mmm"),"")</f>
        <v>3 Jun</v>
      </c>
    </row>
    <row r="12" spans="1:6" ht="15" customHeight="1" x14ac:dyDescent="0.2">
      <c r="A12" s="56">
        <v>7</v>
      </c>
      <c r="B12" s="36" t="str">
        <f>IFERROR(INDEX(Calcs!$D$25:$D$444,MATCH(LARGE(Calcs!$I$25:$I$444,7),Calcs!$I$25:$I$444,0)),"")</f>
        <v>Daniel (Ferret)</v>
      </c>
      <c r="C12" s="36" t="str">
        <f>IFERROR(INDEX(Calcs!$H$25:$H$444,MATCH(LARGE(Calcs!$I$25:$I$444,7),Calcs!$I$25:$I$444,0)),"")</f>
        <v>Shawn</v>
      </c>
      <c r="D12" s="36" t="str">
        <f>IFERROR(INDEX(Calcs!$C$25:$C$444,MATCH(LARGE(Calcs!$I$25:$I$444,7),Calcs!$I$25:$I$444,0)),"")</f>
        <v>FIFA</v>
      </c>
      <c r="E12" s="36" t="str">
        <f>IFERROR(TEXT(INDEX(Calcs!$F$25:$F$444,MATCH(LARGE(Calcs!$I$25:$I$444,7),Calcs!$I$25:$I$444,0)),"0%"),"")</f>
        <v>29%</v>
      </c>
      <c r="F12" s="36" t="str">
        <f>IFERROR(TEXT(INDEX(Calcs!$B$25:$B$444,MATCH(LARGE(Calcs!$I$25:$I$444,7),Calcs!$I$25:$I$444,0)),"d mmm"),"")</f>
        <v>31 May</v>
      </c>
    </row>
    <row r="13" spans="1:6" ht="15" customHeight="1" x14ac:dyDescent="0.2">
      <c r="A13" s="60">
        <v>8</v>
      </c>
      <c r="B13" s="39" t="str">
        <f>IFERROR(INDEX(Calcs!$D$25:$D$444,MATCH(LARGE(Calcs!$I$25:$I$444,8),Calcs!$I$25:$I$444,0)),"")</f>
        <v>Oscar</v>
      </c>
      <c r="C13" s="39" t="str">
        <f>IFERROR(INDEX(Calcs!$H$25:$H$444,MATCH(LARGE(Calcs!$I$25:$I$444,8),Calcs!$I$25:$I$444,0)),"")</f>
        <v>Dean B</v>
      </c>
      <c r="D13" s="39" t="str">
        <f>IFERROR(INDEX(Calcs!$C$25:$C$444,MATCH(LARGE(Calcs!$I$25:$I$444,8),Calcs!$I$25:$I$444,0)),"")</f>
        <v>Pool</v>
      </c>
      <c r="E13" s="39" t="str">
        <f>IFERROR(TEXT(INDEX(Calcs!$F$25:$F$444,MATCH(LARGE(Calcs!$I$25:$I$444,8),Calcs!$I$25:$I$444,0)),"0%"),"")</f>
        <v>29%</v>
      </c>
      <c r="F13" s="39" t="str">
        <f>IFERROR(TEXT(INDEX(Calcs!$B$25:$B$444,MATCH(LARGE(Calcs!$I$25:$I$444,8),Calcs!$I$25:$I$444,0)),"d mmm"),"")</f>
        <v>4 Jun</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1186</v>
      </c>
      <c r="C17" s="36" t="str">
        <f>INDEX('Match Log'!$D$4:$D$810,$H17)</f>
        <v>Josh</v>
      </c>
      <c r="D17" s="36" t="str">
        <f>INDEX('Match Log'!$C$4:$C$810,$H17)</f>
        <v>Table Tennis</v>
      </c>
      <c r="E17" s="36" t="str">
        <f>TEXT(INDEX('Match Log'!$B$4:$B$810,$H17),"d mmm yyyy")</f>
        <v>3 Jun 2026</v>
      </c>
      <c r="F17" s="36" t="str">
        <f>IFERROR(IF(INDEX('Match Log'!$F$4:$F$810,$H17)=2,"vs "&amp;LOOKUP(2,1/(('Match Log'!$A$4:$A$810=INDEX('Match Log'!$A$4:$A$810,$H17))*('Match Log'!$D$4:$D$810&lt;&gt;$C17)),'Match Log'!$D$4:$D$810),INDEX('Match Log'!$F$4:$F$810,$H17)&amp;"-player game"),"")</f>
        <v>vs Dean B</v>
      </c>
      <c r="H17">
        <f>MATCH(MAX('Match Log'!$N$4:$N$810),'Match Log'!$N$4:$N$810,0)</f>
        <v>91</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Table Tennis</v>
      </c>
      <c r="E19" s="36" t="str">
        <f>TEXT(INDEX('Match Log'!$B$4:$B$810,$H19),"d mmm yyyy")</f>
        <v>3 Jun 2026</v>
      </c>
      <c r="F19" s="36" t="str">
        <f>IFERROR("lost to "&amp;INDEX('Match Log'!$G$4:$G$810,$H19),"")</f>
        <v>lost to Oscar</v>
      </c>
      <c r="H19">
        <f>MATCH(MIN('Match Log'!$M$4:$M$810),'Match Log'!$M$4:$M$810,0)</f>
        <v>99</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TEXT(MAX(Dashboard!$D$5:$D$18),"0")</f>
        <v>59</v>
      </c>
      <c r="C21" s="36" t="str">
        <f>INDEX(Dashboard!$B$5:$B$18,MATCH(MAX(Dashboard!$D$5:$D$18),Dashboard!$D$5:$D$18,0))</f>
        <v>Shawn</v>
      </c>
      <c r="D21" s="36" t="s">
        <v>252</v>
      </c>
      <c r="E21" s="36" t="s">
        <v>252</v>
      </c>
      <c r="F21" s="36" t="str">
        <f>"across "&amp;INDEX(Dashboard!$K$5:$K$18,MATCH($C21,Dashboard!$B$5:$B$18,0))&amp;" sports"</f>
        <v>across 9 sports</v>
      </c>
    </row>
    <row r="22" spans="1:8" ht="15" customHeight="1" x14ac:dyDescent="0.2">
      <c r="A22" s="87" t="s">
        <v>253</v>
      </c>
      <c r="B22" s="39" t="str">
        <f>TEXT(MAX(Dashboard!$K$5:$K$18),"0")</f>
        <v>11</v>
      </c>
      <c r="C22" s="39" t="str">
        <f>INDEX(Dashboard!$B$5:$B$18,MATCH(MAX(Dashboard!$K$5:$K$18),Dashboard!$K$5:$K$18,0))</f>
        <v>Daniel (Ferret)</v>
      </c>
      <c r="D22" s="39" t="s">
        <v>252</v>
      </c>
      <c r="E22" s="39" t="s">
        <v>252</v>
      </c>
      <c r="F22" s="39" t="str">
        <f>"of "&amp;COUNTA(Lists!$C$2:$C$21)&amp;" sports available"</f>
        <v>of 20 sports available</v>
      </c>
    </row>
    <row r="23" spans="1:8" ht="15" customHeight="1" x14ac:dyDescent="0.2">
      <c r="A23" s="86" t="s">
        <v>254</v>
      </c>
      <c r="B23" s="36" t="str">
        <f>TEXT(MAX('Sport Records'!$P$8:$P$27),"0")&amp;" games"</f>
        <v>31 games</v>
      </c>
      <c r="C23" s="36" t="str">
        <f>INDEX('Sport Records'!$A$8:$A$27,MATCH(MAX('Sport Records'!$P$8:$P$27),'Sport Records'!$P$8:$P$27,0))</f>
        <v>Table Tennis</v>
      </c>
      <c r="D23" s="36" t="s">
        <v>252</v>
      </c>
      <c r="E23" s="36" t="s">
        <v>252</v>
      </c>
      <c r="F23" s="36" t="s">
        <v>255</v>
      </c>
    </row>
    <row r="24" spans="1:8" ht="15" customHeight="1" x14ac:dyDescent="0.2">
      <c r="A24" s="87" t="s">
        <v>256</v>
      </c>
      <c r="B24" s="39" t="str">
        <f>MAX(Calcs!$O$7:$O$20)&amp;" wins"</f>
        <v>2 wins</v>
      </c>
      <c r="C24" s="39" t="str">
        <f>INDEX(Calcs!$A$7:$A$20,MATCH(MAX(Calcs!$O$7:$O$20),Calcs!$O$7:$O$20,0))</f>
        <v>Aaron</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Leaders!$A$5</f>
        <v>Dean B</v>
      </c>
      <c r="C28" s="39" t="s">
        <v>262</v>
      </c>
    </row>
    <row r="29" spans="1:8" ht="15" customHeight="1" x14ac:dyDescent="0.2">
      <c r="A29" s="89" t="s">
        <v>263</v>
      </c>
      <c r="B29" s="37" t="str">
        <f>INDEX(Calcs!$A$7:$A$20,MATCH(MAX(Calcs!$M$7:$M$20),Calcs!$M$7:$M$20,0))</f>
        <v>Daniel (Ferret)</v>
      </c>
      <c r="C29" s="39" t="s">
        <v>264</v>
      </c>
    </row>
    <row r="30" spans="1:8" ht="15" customHeight="1" x14ac:dyDescent="0.2">
      <c r="A30" s="89" t="s">
        <v>265</v>
      </c>
      <c r="B30" s="37" t="str">
        <f>INDEX(Dashboard!$B$5:$B$18,MATCH(MAX(Dashboard!$D$5:$D$18),Dashboard!$D$5:$D$18,0))</f>
        <v>Shawn</v>
      </c>
      <c r="C30" s="39" t="s">
        <v>266</v>
      </c>
    </row>
    <row r="31" spans="1:8" ht="15" customHeight="1" x14ac:dyDescent="0.2">
      <c r="A31" s="89" t="s">
        <v>267</v>
      </c>
      <c r="B31" s="37" t="str">
        <f>INDEX(Dashboard!$B$5:$B$18,MATCH(MAX(Dashboard!$K$5:$K$18),Dashboard!$K$5:$K$18,0))</f>
        <v>Daniel (Ferret)</v>
      </c>
      <c r="C31" s="39" t="s">
        <v>268</v>
      </c>
    </row>
    <row r="32" spans="1:8" ht="15" customHeight="1" x14ac:dyDescent="0.2">
      <c r="A32" s="89" t="s">
        <v>269</v>
      </c>
      <c r="B32" s="37" t="str">
        <f>INDEX(Calcs!$A$7:$A$20,MATCH(MAX(Calcs!$N$7:$N$20),Calcs!$N$7:$N$20,0))</f>
        <v>Aaron</v>
      </c>
      <c r="C32" s="39" t="s">
        <v>270</v>
      </c>
    </row>
    <row r="33" spans="1:3" ht="15" customHeight="1" x14ac:dyDescent="0.2">
      <c r="A33" s="89" t="s">
        <v>271</v>
      </c>
      <c r="B33" s="37" t="str">
        <f>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U83"/>
  <sheetViews>
    <sheetView tabSelected="1"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39 points clear of Josh.</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Aaron is on a heater — 2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Cody can't take a trick — 4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Shawn is surging — up 1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Daniel (Ferret) is the giant-killer — 4 win(s) against the odds.</v>
      </c>
      <c r="B9" s="91"/>
      <c r="C9" s="91"/>
      <c r="D9" s="96"/>
      <c r="E9" s="97"/>
      <c r="F9" s="91"/>
    </row>
    <row r="10" spans="1:6" ht="15" customHeight="1" x14ac:dyDescent="0.2">
      <c r="A10" s="92" t="str">
        <f>"🐎  "&amp;INDEX(Dashboard!$B$5:$B$18,MATCH(MAX(Dashboard!$D$5:$D$18),Dashboard!$D$5:$D$18,0))&amp;" never misses a session — "&amp;MAX(Dashboard!$D$5:$D$18)&amp;" games, more than anyone."</f>
        <v>🐎  Shawn never misses a session — 59 games, more than anyone.</v>
      </c>
      <c r="B10" s="93"/>
      <c r="C10" s="93"/>
      <c r="D10" s="94"/>
      <c r="E10" s="95"/>
      <c r="F10" s="93"/>
    </row>
    <row r="11" spans="1:6" ht="15" customHeight="1" x14ac:dyDescent="0.2">
      <c r="A11" s="90" t="str">
        <f>"🎯  "&amp;INDEX('Sport Records'!$Q$8:$Q$27,MATCH(MAX('Sport Records'!$P$8:$P$27),'Sport Records'!$P$8:$P$27,0))&amp;" rules "&amp;INDEX('Sport Records'!$A$8:$A$27,MATCH(MAX('Sport Records'!$P$8:$P$27),'Sport Records'!$P$8:$P$27,0))&amp;" — the family's most-played game with "&amp;MAX('Sport Records'!$P$8:$P$27)&amp;" contests."</f>
        <v>🎯  Josh rules Table Tennis — the family's most-played game with 31 contests.</v>
      </c>
      <c r="B11" s="91"/>
      <c r="C11" s="91"/>
      <c r="D11" s="96"/>
      <c r="E11" s="97"/>
      <c r="F11" s="91"/>
    </row>
    <row r="12" spans="1:6" ht="15" customHeight="1" x14ac:dyDescent="0.2">
      <c r="A12" s="92" t="str">
        <f>"🎲  "&amp;MAX('Match Log'!$A$4:$A$810)&amp;" games played across "&amp;COUNTIF('Sport Records'!$P$8:$P$27,"&gt;0")&amp;" different sports — and counting."</f>
        <v>🎲  136 games played across 12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1168</v>
      </c>
      <c r="D17" s="103" t="str">
        <f>IF(1=1,"— leader —",ROUND(MAX(Calcs!$B$7:$B$20)-LARGE(Calcs!$B$7:$B$20,1),0)&amp;" behind")</f>
        <v>— leader —</v>
      </c>
      <c r="E17" s="99"/>
      <c r="F17" s="26"/>
    </row>
    <row r="18" spans="1:6" ht="15" customHeight="1" x14ac:dyDescent="0.2">
      <c r="A18" s="104">
        <v>2</v>
      </c>
      <c r="B18" s="55" t="str">
        <f>INDEX(Calcs!$A$7:$A$20,MATCH(LARGE(Calcs!$B$7:$B$20,2),Calcs!$B$7:$B$20,0))</f>
        <v>Josh</v>
      </c>
      <c r="C18" s="104">
        <f>ROUND(LARGE(Calcs!$B$7:$B$20,2),0)</f>
        <v>1130</v>
      </c>
      <c r="D18" s="105" t="str">
        <f>IF(2=1,"— leader —",ROUND(MAX(Calcs!$B$7:$B$20)-LARGE(Calcs!$B$7:$B$20,2),0)&amp;" behind")</f>
        <v>39 behind</v>
      </c>
      <c r="E18" s="99"/>
      <c r="F18" s="26"/>
    </row>
    <row r="19" spans="1:6" ht="15" customHeight="1" x14ac:dyDescent="0.2">
      <c r="A19" s="104">
        <v>3</v>
      </c>
      <c r="B19" s="55" t="str">
        <f>INDEX(Calcs!$A$7:$A$20,MATCH(LARGE(Calcs!$B$7:$B$20,3),Calcs!$B$7:$B$20,0))</f>
        <v>Aaron</v>
      </c>
      <c r="C19" s="104">
        <f>ROUND(LARGE(Calcs!$B$7:$B$20,3),0)</f>
        <v>1108</v>
      </c>
      <c r="D19" s="105" t="str">
        <f>IF(3=1,"— leader —",ROUND(MAX(Calcs!$B$7:$B$20)-LARGE(Calcs!$B$7:$B$20,3),0)&amp;" behind")</f>
        <v>61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3</v>
      </c>
      <c r="C23" s="36">
        <f>COUNTIFS('Match Log'!$D$4:$D$810,$A23,'Match Log'!$C$4:$C$810,$D$21,'Match Log'!$E$4:$E$810,"Win")</f>
        <v>2</v>
      </c>
      <c r="D23" s="57">
        <f t="shared" ref="D23:D36" si="0">IF($B23=0,"",$C23/$B23)</f>
        <v>0.66666666666666663</v>
      </c>
      <c r="E23" s="58">
        <f>IFERROR(IF($B23=0,"",INDEX('Sport Records'!$B$91:$O$110,MATCH($D$21,'Sport Records'!$A$91:$A$110,0),MATCH($A23,'Sport Records'!$B$90:$O$90,0))),"")</f>
        <v>1014.4258934061545</v>
      </c>
      <c r="F23" s="36">
        <f t="shared" ref="F23:F36" si="1">IF($E23="","",RANK($E23,$E$23:$E$36))</f>
        <v>2</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Records'!$B$91:$O$110,MATCH($D$21,'Sport Records'!$A$91:$A$110,0),MATCH($A24,'Sport Records'!$B$90:$O$90,0))),"")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Records'!$B$91:$O$110,MATCH($D$21,'Sport Records'!$A$91:$A$110,0),MATCH($A25,'Sport Records'!$B$90:$O$90,0))),"")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Records'!$B$91:$O$110,MATCH($D$21,'Sport Records'!$A$91:$A$110,0),MATCH($A26,'Sport Records'!$B$90:$O$90,0))),"")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Records'!$B$91:$O$110,MATCH($D$21,'Sport Records'!$A$91:$A$110,0),MATCH($A27,'Sport Records'!$B$90:$O$90,0))),"")</f>
        <v>985.41909823644232</v>
      </c>
      <c r="F27" s="36">
        <f t="shared" si="1"/>
        <v>4</v>
      </c>
    </row>
    <row r="28" spans="1:6" x14ac:dyDescent="0.2">
      <c r="A28" s="60" t="s">
        <v>134</v>
      </c>
      <c r="B28" s="39">
        <f>COUNTIFS('Match Log'!$D$4:$D$810,$A28,'Match Log'!$C$4:$C$810,$D$21)</f>
        <v>9</v>
      </c>
      <c r="C28" s="39">
        <f>COUNTIFS('Match Log'!$D$4:$D$810,$A28,'Match Log'!$C$4:$C$810,$D$21,'Match Log'!$E$4:$E$810,"Win")</f>
        <v>2</v>
      </c>
      <c r="D28" s="61">
        <f t="shared" si="0"/>
        <v>0.22222222222222221</v>
      </c>
      <c r="E28" s="62">
        <f>IFERROR(IF($B28=0,"",INDEX('Sport Records'!$B$91:$O$110,MATCH($D$21,'Sport Records'!$A$91:$A$110,0),MATCH($A28,'Sport Records'!$B$90:$O$90,0))),"")</f>
        <v>948.96790333240949</v>
      </c>
      <c r="F28" s="39">
        <f t="shared" si="1"/>
        <v>5</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Records'!$B$91:$O$110,MATCH($D$21,'Sport Records'!$A$91:$A$110,0),MATCH($A29,'Sport Records'!$B$90:$O$90,0))),"")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Records'!$B$91:$O$110,MATCH($D$21,'Sport Records'!$A$91:$A$110,0),MATCH($A30,'Sport Records'!$B$90:$O$90,0))),"")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Records'!$B$91:$O$110,MATCH($D$21,'Sport Records'!$A$91:$A$110,0),MATCH($A31,'Sport Records'!$B$90:$O$90,0))),"")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Records'!$B$91:$O$110,MATCH($D$21,'Sport Records'!$A$91:$A$110,0),MATCH($A32,'Sport Records'!$B$90:$O$90,0))),"")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Records'!$B$91:$O$110,MATCH($D$21,'Sport Records'!$A$91:$A$110,0),MATCH($A33,'Sport Records'!$B$90:$O$90,0))),"")</f>
        <v>1000.5463997736937</v>
      </c>
      <c r="F33" s="36">
        <f t="shared" si="1"/>
        <v>3</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Records'!$B$91:$O$110,MATCH($D$21,'Sport Records'!$A$91:$A$110,0),MATCH($A34,'Sport Records'!$B$90:$O$90,0))),"")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Records'!$B$91:$O$110,MATCH($D$21,'Sport Records'!$A$91:$A$110,0),MATCH($A35,'Sport Records'!$B$90:$O$90,0))),"")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Records'!$B$91:$O$110,MATCH($D$21,'Sport Records'!$A$91:$A$110,0),MATCH($A36,'Sport Records'!$B$90:$O$90,0))),"")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L</v>
      </c>
      <c r="C40" s="107" t="str">
        <f>IFERROR(IF(INDEX('Match Log'!$E$1:$E$810,_xlfn.AGGREGATE(14,6,ROW('Match Log'!$A$4:$A$810)/('Match Log'!$D$4:$D$810=$A40),9))="Win","W","L"),"")</f>
        <v>W</v>
      </c>
      <c r="D40" s="107" t="str">
        <f>IFERROR(IF(INDEX('Match Log'!$E$1:$E$810,_xlfn.AGGREGATE(14,6,ROW('Match Log'!$A$4:$A$810)/('Match Log'!$D$4:$D$810=$A40),8))="Win","W","L"),"")</f>
        <v>L</v>
      </c>
      <c r="E40" s="107" t="str">
        <f>IFERROR(IF(INDEX('Match Log'!$E$1:$E$810,_xlfn.AGGREGATE(14,6,ROW('Match Log'!$A$4:$A$810)/('Match Log'!$D$4:$D$810=$A40),7))="Win","W","L"),"")</f>
        <v>L</v>
      </c>
      <c r="F40" s="107" t="str">
        <f>IFERROR(IF(INDEX('Match Log'!$E$1:$E$810,_xlfn.AGGREGATE(14,6,ROW('Match Log'!$A$4:$A$810)/('Match Log'!$D$4:$D$810=$A40),6))="Win","W","L"),"")</f>
        <v>L</v>
      </c>
      <c r="G40" s="107" t="str">
        <f>IFERROR(IF(INDEX('Match Log'!$E$1:$E$810,_xlfn.AGGREGATE(14,6,ROW('Match Log'!$A$4:$A$810)/('Match Log'!$D$4:$D$810=$A40),5))="Win","W","L"),"")</f>
        <v>W</v>
      </c>
      <c r="H40" s="107" t="str">
        <f>IFERROR(IF(INDEX('Match Log'!$E$1:$E$810,_xlfn.AGGREGATE(14,6,ROW('Match Log'!$A$4:$A$810)/('Match Log'!$D$4:$D$810=$A40),4))="Win","W","L"),"")</f>
        <v>W</v>
      </c>
      <c r="I40" s="107" t="str">
        <f>IFERROR(IF(INDEX('Match Log'!$E$1:$E$810,_xlfn.AGGREGATE(14,6,ROW('Match Log'!$A$4:$A$810)/('Match Log'!$D$4:$D$810=$A40),3))="Win","W","L"),"")</f>
        <v>L</v>
      </c>
      <c r="J40" s="107" t="str">
        <f>IFERROR(IF(INDEX('Match Log'!$E$1:$E$810,_xlfn.AGGREGATE(14,6,ROW('Match Log'!$A$4:$A$810)/('Match Log'!$D$4:$D$810=$A40),2))="Win","W","L"),"")</f>
        <v>W</v>
      </c>
      <c r="K40" s="107" t="str">
        <f>IFERROR(IF(INDEX('Match Log'!$E$1:$E$810,_xlfn.AGGREGATE(14,6,ROW('Match Log'!$A$4:$A$810)/('Match Log'!$D$4:$D$810=$A40),1))="Win","W","L"),"")</f>
        <v>W</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L</v>
      </c>
      <c r="D42" s="107" t="str">
        <f>IFERROR(IF(INDEX('Match Log'!$E$1:$E$810,_xlfn.AGGREGATE(14,6,ROW('Match Log'!$A$4:$A$810)/('Match Log'!$D$4:$D$810=$A42),8))="Win","W","L"),"")</f>
        <v>W</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W</v>
      </c>
      <c r="H42" s="107" t="str">
        <f>IFERROR(IF(INDEX('Match Log'!$E$1:$E$810,_xlfn.AGGREGATE(14,6,ROW('Match Log'!$A$4:$A$810)/('Match Log'!$D$4:$D$810=$A42),4))="Win","W","L"),"")</f>
        <v>L</v>
      </c>
      <c r="I42" s="107" t="str">
        <f>IFERROR(IF(INDEX('Match Log'!$E$1:$E$810,_xlfn.AGGREGATE(14,6,ROW('Match Log'!$A$4:$A$810)/('Match Log'!$D$4:$D$810=$A42),3))="Win","W","L"),"")</f>
        <v>L</v>
      </c>
      <c r="J42" s="107" t="str">
        <f>IFERROR(IF(INDEX('Match Log'!$E$1:$E$810,_xlfn.AGGREGATE(14,6,ROW('Match Log'!$A$4:$A$810)/('Match Log'!$D$4:$D$810=$A42),2))="Win","W","L"),"")</f>
        <v>L</v>
      </c>
      <c r="K42" s="107" t="str">
        <f>IFERROR(IF(INDEX('Match Log'!$E$1:$E$810,_xlfn.AGGREGATE(14,6,ROW('Match Log'!$A$4:$A$810)/('Match Log'!$D$4:$D$810=$A42),1))="Win","W","L"),"")</f>
        <v>W</v>
      </c>
    </row>
    <row r="43" spans="1:21" x14ac:dyDescent="0.2">
      <c r="A43" s="86" t="s">
        <v>140</v>
      </c>
      <c r="B43" s="107" t="str">
        <f>IFERROR(IF(INDEX('Match Log'!$E$1:$E$810,_xlfn.AGGREGATE(14,6,ROW('Match Log'!$A$4:$A$810)/('Match Log'!$D$4:$D$810=$A43),10))="Win","W","L"),"")</f>
        <v>L</v>
      </c>
      <c r="C43" s="107" t="str">
        <f>IFERROR(IF(INDEX('Match Log'!$E$1:$E$810,_xlfn.AGGREGATE(14,6,ROW('Match Log'!$A$4:$A$810)/('Match Log'!$D$4:$D$810=$A43),9))="Win","W","L"),"")</f>
        <v>W</v>
      </c>
      <c r="D43" s="107" t="str">
        <f>IFERROR(IF(INDEX('Match Log'!$E$1:$E$810,_xlfn.AGGREGATE(14,6,ROW('Match Log'!$A$4:$A$810)/('Match Log'!$D$4:$D$810=$A43),8))="Win","W","L"),"")</f>
        <v>L</v>
      </c>
      <c r="E43" s="107" t="str">
        <f>IFERROR(IF(INDEX('Match Log'!$E$1:$E$810,_xlfn.AGGREGATE(14,6,ROW('Match Log'!$A$4:$A$810)/('Match Log'!$D$4:$D$810=$A43),7))="Win","W","L"),"")</f>
        <v>W</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L</v>
      </c>
      <c r="J43" s="107" t="str">
        <f>IFERROR(IF(INDEX('Match Log'!$E$1:$E$810,_xlfn.AGGREGATE(14,6,ROW('Match Log'!$A$4:$A$810)/('Match Log'!$D$4:$D$810=$A43),2))="Win","W","L"),"")</f>
        <v>W</v>
      </c>
      <c r="K43" s="107" t="str">
        <f>IFERROR(IF(INDEX('Match Log'!$E$1:$E$810,_xlfn.AGGREGATE(14,6,ROW('Match Log'!$A$4:$A$810)/('Match Log'!$D$4:$D$810=$A43),1))="Win","W","L"),"")</f>
        <v>W</v>
      </c>
    </row>
    <row r="44" spans="1:21" x14ac:dyDescent="0.2">
      <c r="A44" s="86" t="s">
        <v>137</v>
      </c>
      <c r="B44" s="107" t="str">
        <f>IFERROR(IF(INDEX('Match Log'!$E$1:$E$810,_xlfn.AGGREGATE(14,6,ROW('Match Log'!$A$4:$A$810)/('Match Log'!$D$4:$D$810=$A44),10))="Win","W","L"),"")</f>
        <v>W</v>
      </c>
      <c r="C44" s="107" t="str">
        <f>IFERROR(IF(INDEX('Match Log'!$E$1:$E$810,_xlfn.AGGREGATE(14,6,ROW('Match Log'!$A$4:$A$810)/('Match Log'!$D$4:$D$810=$A44),9))="Win","W","L"),"")</f>
        <v>L</v>
      </c>
      <c r="D44" s="107" t="str">
        <f>IFERROR(IF(INDEX('Match Log'!$E$1:$E$810,_xlfn.AGGREGATE(14,6,ROW('Match Log'!$A$4:$A$810)/('Match Log'!$D$4:$D$810=$A44),8))="Win","W","L"),"")</f>
        <v>W</v>
      </c>
      <c r="E44" s="107" t="str">
        <f>IFERROR(IF(INDEX('Match Log'!$E$1:$E$810,_xlfn.AGGREGATE(14,6,ROW('Match Log'!$A$4:$A$810)/('Match Log'!$D$4:$D$810=$A44),7))="Win","W","L"),"")</f>
        <v>L</v>
      </c>
      <c r="F44" s="107" t="str">
        <f>IFERROR(IF(INDEX('Match Log'!$E$1:$E$810,_xlfn.AGGREGATE(14,6,ROW('Match Log'!$A$4:$A$810)/('Match Log'!$D$4:$D$810=$A44),6))="Win","W","L"),"")</f>
        <v>L</v>
      </c>
      <c r="G44" s="107" t="str">
        <f>IFERROR(IF(INDEX('Match Log'!$E$1:$E$810,_xlfn.AGGREGATE(14,6,ROW('Match Log'!$A$4:$A$810)/('Match Log'!$D$4:$D$810=$A44),5))="Win","W","L"),"")</f>
        <v>L</v>
      </c>
      <c r="H44" s="107" t="str">
        <f>IFERROR(IF(INDEX('Match Log'!$E$1:$E$810,_xlfn.AGGREGATE(14,6,ROW('Match Log'!$A$4:$A$810)/('Match Log'!$D$4:$D$810=$A44),4))="Win","W","L"),"")</f>
        <v>L</v>
      </c>
      <c r="I44" s="107" t="str">
        <f>IFERROR(IF(INDEX('Match Log'!$E$1:$E$810,_xlfn.AGGREGATE(14,6,ROW('Match Log'!$A$4:$A$810)/('Match Log'!$D$4:$D$810=$A44),3))="Win","W","L"),"")</f>
        <v>W</v>
      </c>
      <c r="J44" s="107" t="str">
        <f>IFERROR(IF(INDEX('Match Log'!$E$1:$E$810,_xlfn.AGGREGATE(14,6,ROW('Match Log'!$A$4:$A$810)/('Match Log'!$D$4:$D$810=$A44),2))="Win","W","L"),"")</f>
        <v>W</v>
      </c>
      <c r="K44" s="107" t="str">
        <f>IFERROR(IF(INDEX('Match Log'!$E$1:$E$810,_xlfn.AGGREGATE(14,6,ROW('Match Log'!$A$4:$A$810)/('Match Log'!$D$4:$D$810=$A44),1))="Win","W","L"),"")</f>
        <v>L</v>
      </c>
    </row>
    <row r="45" spans="1:21" x14ac:dyDescent="0.2">
      <c r="A45" s="86" t="s">
        <v>134</v>
      </c>
      <c r="B45" s="107" t="str">
        <f>IFERROR(IF(INDEX('Match Log'!$E$1:$E$810,_xlfn.AGGREGATE(14,6,ROW('Match Log'!$A$4:$A$810)/('Match Log'!$D$4:$D$810=$A45),10))="Win","W","L"),"")</f>
        <v>W</v>
      </c>
      <c r="C45" s="107" t="str">
        <f>IFERROR(IF(INDEX('Match Log'!$E$1:$E$810,_xlfn.AGGREGATE(14,6,ROW('Match Log'!$A$4:$A$810)/('Match Log'!$D$4:$D$810=$A45),9))="Win","W","L"),"")</f>
        <v>L</v>
      </c>
      <c r="D45" s="107" t="str">
        <f>IFERROR(IF(INDEX('Match Log'!$E$1:$E$810,_xlfn.AGGREGATE(14,6,ROW('Match Log'!$A$4:$A$810)/('Match Log'!$D$4:$D$810=$A45),8))="Win","W","L"),"")</f>
        <v>W</v>
      </c>
      <c r="E45" s="107" t="str">
        <f>IFERROR(IF(INDEX('Match Log'!$E$1:$E$810,_xlfn.AGGREGATE(14,6,ROW('Match Log'!$A$4:$A$810)/('Match Log'!$D$4:$D$810=$A45),7))="Win","W","L"),"")</f>
        <v>W</v>
      </c>
      <c r="F45" s="107" t="str">
        <f>IFERROR(IF(INDEX('Match Log'!$E$1:$E$810,_xlfn.AGGREGATE(14,6,ROW('Match Log'!$A$4:$A$810)/('Match Log'!$D$4:$D$810=$A45),6))="Win","W","L"),"")</f>
        <v>W</v>
      </c>
      <c r="G45" s="107" t="str">
        <f>IFERROR(IF(INDEX('Match Log'!$E$1:$E$810,_xlfn.AGGREGATE(14,6,ROW('Match Log'!$A$4:$A$810)/('Match Log'!$D$4:$D$810=$A45),5))="Win","W","L"),"")</f>
        <v>L</v>
      </c>
      <c r="H45" s="107" t="str">
        <f>IFERROR(IF(INDEX('Match Log'!$E$1:$E$810,_xlfn.AGGREGATE(14,6,ROW('Match Log'!$A$4:$A$810)/('Match Log'!$D$4:$D$810=$A45),4))="Win","W","L"),"")</f>
        <v>L</v>
      </c>
      <c r="I45" s="107" t="str">
        <f>IFERROR(IF(INDEX('Match Log'!$E$1:$E$810,_xlfn.AGGREGATE(14,6,ROW('Match Log'!$A$4:$A$810)/('Match Log'!$D$4:$D$810=$A45),3))="Win","W","L"),"")</f>
        <v>W</v>
      </c>
      <c r="J45" s="107" t="str">
        <f>IFERROR(IF(INDEX('Match Log'!$E$1:$E$810,_xlfn.AGGREGATE(14,6,ROW('Match Log'!$A$4:$A$810)/('Match Log'!$D$4:$D$810=$A45),2))="Win","W","L"),"")</f>
        <v>L</v>
      </c>
      <c r="K45" s="107" t="str">
        <f>IFERROR(IF(INDEX('Match Log'!$E$1:$E$810,_xlfn.AGGREGATE(14,6,ROW('Match Log'!$A$4:$A$810)/('Match Log'!$D$4:$D$810=$A45),1))="Win","W","L"),"")</f>
        <v>L</v>
      </c>
    </row>
    <row r="46" spans="1:21" x14ac:dyDescent="0.2">
      <c r="A46" s="86" t="s">
        <v>168</v>
      </c>
      <c r="B46" s="107" t="str">
        <f>IFERROR(IF(INDEX('Match Log'!$E$1:$E$810,_xlfn.AGGREGATE(14,6,ROW('Match Log'!$A$4:$A$810)/('Match Log'!$D$4:$D$810=$A46),10))="Win","W","L"),"")</f>
        <v>W</v>
      </c>
      <c r="C46" s="107" t="str">
        <f>IFERROR(IF(INDEX('Match Log'!$E$1:$E$810,_xlfn.AGGREGATE(14,6,ROW('Match Log'!$A$4:$A$810)/('Match Log'!$D$4:$D$810=$A46),9))="Win","W","L"),"")</f>
        <v>L</v>
      </c>
      <c r="D46" s="107" t="str">
        <f>IFERROR(IF(INDEX('Match Log'!$E$1:$E$810,_xlfn.AGGREGATE(14,6,ROW('Match Log'!$A$4:$A$810)/('Match Log'!$D$4:$D$810=$A46),8))="Win","W","L"),"")</f>
        <v>W</v>
      </c>
      <c r="E46" s="107" t="str">
        <f>IFERROR(IF(INDEX('Match Log'!$E$1:$E$810,_xlfn.AGGREGATE(14,6,ROW('Match Log'!$A$4:$A$810)/('Match Log'!$D$4:$D$810=$A46),7))="Win","W","L"),"")</f>
        <v>L</v>
      </c>
      <c r="F46" s="107" t="str">
        <f>IFERROR(IF(INDEX('Match Log'!$E$1:$E$810,_xlfn.AGGREGATE(14,6,ROW('Match Log'!$A$4:$A$810)/('Match Log'!$D$4:$D$810=$A46),6))="Win","W","L"),"")</f>
        <v>L</v>
      </c>
      <c r="G46" s="107" t="str">
        <f>IFERROR(IF(INDEX('Match Log'!$E$1:$E$810,_xlfn.AGGREGATE(14,6,ROW('Match Log'!$A$4:$A$810)/('Match Log'!$D$4:$D$810=$A46),5))="Win","W","L"),"")</f>
        <v>W</v>
      </c>
      <c r="H46" s="107" t="str">
        <f>IFERROR(IF(INDEX('Match Log'!$E$1:$E$810,_xlfn.AGGREGATE(14,6,ROW('Match Log'!$A$4:$A$810)/('Match Log'!$D$4:$D$810=$A46),4))="Win","W","L"),"")</f>
        <v>W</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L</v>
      </c>
      <c r="C47" s="107" t="str">
        <f>IFERROR(IF(INDEX('Match Log'!$E$1:$E$810,_xlfn.AGGREGATE(14,6,ROW('Match Log'!$A$4:$A$810)/('Match Log'!$D$4:$D$810=$A47),9))="Win","W","L"),"")</f>
        <v>W</v>
      </c>
      <c r="D47" s="107" t="str">
        <f>IFERROR(IF(INDEX('Match Log'!$E$1:$E$810,_xlfn.AGGREGATE(14,6,ROW('Match Log'!$A$4:$A$810)/('Match Log'!$D$4:$D$810=$A47),8))="Win","W","L"),"")</f>
        <v>W</v>
      </c>
      <c r="E47" s="107" t="str">
        <f>IFERROR(IF(INDEX('Match Log'!$E$1:$E$810,_xlfn.AGGREGATE(14,6,ROW('Match Log'!$A$4:$A$810)/('Match Log'!$D$4:$D$810=$A47),7))="Win","W","L"),"")</f>
        <v>L</v>
      </c>
      <c r="F47" s="107" t="str">
        <f>IFERROR(IF(INDEX('Match Log'!$E$1:$E$810,_xlfn.AGGREGATE(14,6,ROW('Match Log'!$A$4:$A$810)/('Match Log'!$D$4:$D$810=$A47),6))="Win","W","L"),"")</f>
        <v>L</v>
      </c>
      <c r="G47" s="107" t="str">
        <f>IFERROR(IF(INDEX('Match Log'!$E$1:$E$810,_xlfn.AGGREGATE(14,6,ROW('Match Log'!$A$4:$A$810)/('Match Log'!$D$4:$D$810=$A47),5))="Win","W","L"),"")</f>
        <v>W</v>
      </c>
      <c r="H47" s="107" t="str">
        <f>IFERROR(IF(INDEX('Match Log'!$E$1:$E$810,_xlfn.AGGREGATE(14,6,ROW('Match Log'!$A$4:$A$810)/('Match Log'!$D$4:$D$810=$A47),4))="Win","W","L"),"")</f>
        <v>L</v>
      </c>
      <c r="I47" s="107" t="str">
        <f>IFERROR(IF(INDEX('Match Log'!$E$1:$E$810,_xlfn.AGGREGATE(14,6,ROW('Match Log'!$A$4:$A$810)/('Match Log'!$D$4:$D$810=$A47),3))="Win","W","L"),"")</f>
        <v>W</v>
      </c>
      <c r="J47" s="107" t="str">
        <f>IFERROR(IF(INDEX('Match Log'!$E$1:$E$810,_xlfn.AGGREGATE(14,6,ROW('Match Log'!$A$4:$A$810)/('Match Log'!$D$4:$D$810=$A47),2))="Win","W","L"),"")</f>
        <v>L</v>
      </c>
      <c r="K47" s="107" t="str">
        <f>IFERROR(IF(INDEX('Match Log'!$E$1:$E$810,_xlfn.AGGREGATE(14,6,ROW('Match Log'!$A$4:$A$810)/('Match Log'!$D$4:$D$810=$A47),1))="Win","W","L"),"")</f>
        <v>W</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W</v>
      </c>
      <c r="C48" s="107" t="str">
        <f>IFERROR(IF(INDEX('Match Log'!$E$1:$E$810,_xlfn.AGGREGATE(14,6,ROW('Match Log'!$A$4:$A$810)/('Match Log'!$D$4:$D$810=$A48),9))="Win","W","L"),"")</f>
        <v>W</v>
      </c>
      <c r="D48" s="107" t="str">
        <f>IFERROR(IF(INDEX('Match Log'!$E$1:$E$810,_xlfn.AGGREGATE(14,6,ROW('Match Log'!$A$4:$A$810)/('Match Log'!$D$4:$D$810=$A48),8))="Win","W","L"),"")</f>
        <v>L</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L</v>
      </c>
      <c r="H48" s="107" t="str">
        <f>IFERROR(IF(INDEX('Match Log'!$E$1:$E$810,_xlfn.AGGREGATE(14,6,ROW('Match Log'!$A$4:$A$810)/('Match Log'!$D$4:$D$810=$A48),4))="Win","W","L"),"")</f>
        <v>L</v>
      </c>
      <c r="I48" s="107" t="str">
        <f>IFERROR(IF(INDEX('Match Log'!$E$1:$E$810,_xlfn.AGGREGATE(14,6,ROW('Match Log'!$A$4:$A$810)/('Match Log'!$D$4:$D$810=$A48),3))="Win","W","L"),"")</f>
        <v>L</v>
      </c>
      <c r="J48" s="107" t="str">
        <f>IFERROR(IF(INDEX('Match Log'!$E$1:$E$810,_xlfn.AGGREGATE(14,6,ROW('Match Log'!$A$4:$A$810)/('Match Log'!$D$4:$D$810=$A48),2))="Win","W","L"),"")</f>
        <v>W</v>
      </c>
      <c r="K48" s="107" t="str">
        <f>IFERROR(IF(INDEX('Match Log'!$E$1:$E$810,_xlfn.AGGREGATE(14,6,ROW('Match Log'!$A$4:$A$810)/('Match Log'!$D$4:$D$810=$A48),1))="Win","W","L"),"")</f>
        <v>W</v>
      </c>
      <c r="L48" s="26"/>
      <c r="M48" s="26"/>
      <c r="N48" s="26"/>
      <c r="O48" s="26"/>
      <c r="P48" s="26"/>
      <c r="Q48" s="26"/>
      <c r="R48" s="26"/>
      <c r="S48" s="26"/>
      <c r="T48" s="26"/>
      <c r="U48" s="26"/>
    </row>
    <row r="49" spans="1:21"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L</v>
      </c>
      <c r="E49" s="107" t="str">
        <f>IFERROR(IF(INDEX('Match Log'!$E$1:$E$810,_xlfn.AGGREGATE(14,6,ROW('Match Log'!$A$4:$A$810)/('Match Log'!$D$4:$D$810=$A49),7))="Win","W","L"),"")</f>
        <v>L</v>
      </c>
      <c r="F49" s="107" t="str">
        <f>IFERROR(IF(INDEX('Match Log'!$E$1:$E$810,_xlfn.AGGREGATE(14,6,ROW('Match Log'!$A$4:$A$810)/('Match Log'!$D$4:$D$810=$A49),6))="Win","W","L"),"")</f>
        <v>W</v>
      </c>
      <c r="G49" s="107" t="str">
        <f>IFERROR(IF(INDEX('Match Log'!$E$1:$E$810,_xlfn.AGGREGATE(14,6,ROW('Match Log'!$A$4:$A$810)/('Match Log'!$D$4:$D$810=$A49),5))="Win","W","L"),"")</f>
        <v>W</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1" x14ac:dyDescent="0.2">
      <c r="A50" s="86" t="s">
        <v>169</v>
      </c>
      <c r="B50" s="107" t="str">
        <f>IFERROR(IF(INDEX('Match Log'!$E$1:$E$810,_xlfn.AGGREGATE(14,6,ROW('Match Log'!$A$4:$A$810)/('Match Log'!$D$4:$D$810=$A50),10))="Win","W","L"),"")</f>
        <v>L</v>
      </c>
      <c r="C50" s="107" t="str">
        <f>IFERROR(IF(INDEX('Match Log'!$E$1:$E$810,_xlfn.AGGREGATE(14,6,ROW('Match Log'!$A$4:$A$810)/('Match Log'!$D$4:$D$810=$A50),9))="Win","W","L"),"")</f>
        <v>W</v>
      </c>
      <c r="D50" s="107" t="str">
        <f>IFERROR(IF(INDEX('Match Log'!$E$1:$E$810,_xlfn.AGGREGATE(14,6,ROW('Match Log'!$A$4:$A$810)/('Match Log'!$D$4:$D$810=$A50),8))="Win","W","L"),"")</f>
        <v>W</v>
      </c>
      <c r="E50" s="107" t="str">
        <f>IFERROR(IF(INDEX('Match Log'!$E$1:$E$810,_xlfn.AGGREGATE(14,6,ROW('Match Log'!$A$4:$A$810)/('Match Log'!$D$4:$D$810=$A50),7))="Win","W","L"),"")</f>
        <v>W</v>
      </c>
      <c r="F50" s="107" t="str">
        <f>IFERROR(IF(INDEX('Match Log'!$E$1:$E$810,_xlfn.AGGREGATE(14,6,ROW('Match Log'!$A$4:$A$810)/('Match Log'!$D$4:$D$810=$A50),6))="Win","W","L"),"")</f>
        <v>W</v>
      </c>
      <c r="G50" s="107" t="str">
        <f>IFERROR(IF(INDEX('Match Log'!$E$1:$E$810,_xlfn.AGGREGATE(14,6,ROW('Match Log'!$A$4:$A$810)/('Match Log'!$D$4:$D$810=$A50),5))="Win","W","L"),"")</f>
        <v>L</v>
      </c>
      <c r="H50" s="107" t="str">
        <f>IFERROR(IF(INDEX('Match Log'!$E$1:$E$810,_xlfn.AGGREGATE(14,6,ROW('Match Log'!$A$4:$A$810)/('Match Log'!$D$4:$D$810=$A50),4))="Win","W","L"),"")</f>
        <v>L</v>
      </c>
      <c r="I50" s="107" t="str">
        <f>IFERROR(IF(INDEX('Match Log'!$E$1:$E$810,_xlfn.AGGREGATE(14,6,ROW('Match Log'!$A$4:$A$810)/('Match Log'!$D$4:$D$810=$A50),3))="Win","W","L"),"")</f>
        <v>L</v>
      </c>
      <c r="J50" s="107" t="str">
        <f>IFERROR(IF(INDEX('Match Log'!$E$1:$E$810,_xlfn.AGGREGATE(14,6,ROW('Match Log'!$A$4:$A$810)/('Match Log'!$D$4:$D$810=$A50),2))="Win","W","L"),"")</f>
        <v>W</v>
      </c>
      <c r="K50" s="107" t="str">
        <f>IFERROR(IF(INDEX('Match Log'!$E$1:$E$810,_xlfn.AGGREGATE(14,6,ROW('Match Log'!$A$4:$A$810)/('Match Log'!$D$4:$D$810=$A50),1))="Win","W","L"),"")</f>
        <v>L</v>
      </c>
      <c r="L50" s="26"/>
      <c r="M50" s="26"/>
      <c r="N50" s="26"/>
      <c r="O50" s="26"/>
      <c r="P50" s="26"/>
      <c r="Q50" s="26"/>
      <c r="R50" s="26"/>
      <c r="S50" s="26"/>
      <c r="T50" s="26"/>
      <c r="U50" s="26"/>
    </row>
    <row r="51" spans="1:21" x14ac:dyDescent="0.2">
      <c r="A51" s="86" t="s">
        <v>171</v>
      </c>
      <c r="B51" s="107" t="str">
        <f>IFERROR(IF(INDEX('Match Log'!$E$1:$E$810,_xlfn.AGGREGATE(14,6,ROW('Match Log'!$A$4:$A$810)/('Match Log'!$D$4:$D$810=$A51),10))="Win","W","L"),"")</f>
        <v/>
      </c>
      <c r="C51" s="107" t="str">
        <f>IFERROR(IF(INDEX('Match Log'!$E$1:$E$810,_xlfn.AGGREGATE(14,6,ROW('Match Log'!$A$4:$A$810)/('Match Log'!$D$4:$D$810=$A51),9))="Win","W","L"),"")</f>
        <v/>
      </c>
      <c r="D51" s="107" t="str">
        <f>IFERROR(IF(INDEX('Match Log'!$E$1:$E$810,_xlfn.AGGREGATE(14,6,ROW('Match Log'!$A$4:$A$810)/('Match Log'!$D$4:$D$810=$A51),8))="Win","W","L"),"")</f>
        <v/>
      </c>
      <c r="E51" s="107" t="str">
        <f>IFERROR(IF(INDEX('Match Log'!$E$1:$E$810,_xlfn.AGGREGATE(14,6,ROW('Match Log'!$A$4:$A$810)/('Match Log'!$D$4:$D$810=$A51),7))="Win","W","L"),"")</f>
        <v/>
      </c>
      <c r="F51" s="107" t="str">
        <f>IFERROR(IF(INDEX('Match Log'!$E$1:$E$810,_xlfn.AGGREGATE(14,6,ROW('Match Log'!$A$4:$A$810)/('Match Log'!$D$4:$D$810=$A51),6))="Win","W","L"),"")</f>
        <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L</v>
      </c>
      <c r="J51" s="107" t="str">
        <f>IFERROR(IF(INDEX('Match Log'!$E$1:$E$810,_xlfn.AGGREGATE(14,6,ROW('Match Log'!$A$4:$A$810)/('Match Log'!$D$4:$D$810=$A51),2))="Win","W","L"),"")</f>
        <v>W</v>
      </c>
      <c r="K51" s="107" t="str">
        <f>IFERROR(IF(INDEX('Match Log'!$E$1:$E$810,_xlfn.AGGREGATE(14,6,ROW('Match Log'!$A$4:$A$810)/('Match Log'!$D$4:$D$810=$A51),1))="Win","W","L"),"")</f>
        <v>W</v>
      </c>
      <c r="L51" s="26"/>
      <c r="M51" s="26"/>
      <c r="N51" s="26"/>
      <c r="O51" s="26"/>
      <c r="P51" s="26"/>
      <c r="Q51" s="26"/>
      <c r="R51" s="26"/>
      <c r="S51" s="26"/>
      <c r="T51" s="26"/>
      <c r="U51" s="26"/>
    </row>
    <row r="52" spans="1:21" x14ac:dyDescent="0.2">
      <c r="A52" s="86" t="s">
        <v>172</v>
      </c>
      <c r="B52" s="107" t="str">
        <f>IFERROR(IF(INDEX('Match Log'!$E$1:$E$810,_xlfn.AGGREGATE(14,6,ROW('Match Log'!$A$4:$A$810)/('Match Log'!$D$4:$D$810=$A52),10))="Win","W","L"),"")</f>
        <v/>
      </c>
      <c r="C52" s="107" t="str">
        <f>IFERROR(IF(INDEX('Match Log'!$E$1:$E$810,_xlfn.AGGREGATE(14,6,ROW('Match Log'!$A$4:$A$810)/('Match Log'!$D$4:$D$810=$A52),9))="Win","W","L"),"")</f>
        <v/>
      </c>
      <c r="D52" s="107" t="str">
        <f>IFERROR(IF(INDEX('Match Log'!$E$1:$E$810,_xlfn.AGGREGATE(14,6,ROW('Match Log'!$A$4:$A$810)/('Match Log'!$D$4:$D$810=$A52),8))="Win","W","L"),"")</f>
        <v/>
      </c>
      <c r="E52" s="107" t="str">
        <f>IFERROR(IF(INDEX('Match Log'!$E$1:$E$810,_xlfn.AGGREGATE(14,6,ROW('Match Log'!$A$4:$A$810)/('Match Log'!$D$4:$D$810=$A52),7))="Win","W","L"),"")</f>
        <v/>
      </c>
      <c r="F52" s="107" t="str">
        <f>IFERROR(IF(INDEX('Match Log'!$E$1:$E$810,_xlfn.AGGREGATE(14,6,ROW('Match Log'!$A$4:$A$810)/('Match Log'!$D$4:$D$810=$A52),6))="Win","W","L"),"")</f>
        <v/>
      </c>
      <c r="G52" s="107" t="str">
        <f>IFERROR(IF(INDEX('Match Log'!$E$1:$E$810,_xlfn.AGGREGATE(14,6,ROW('Match Log'!$A$4:$A$810)/('Match Log'!$D$4:$D$810=$A52),5))="Win","W","L"),"")</f>
        <v/>
      </c>
      <c r="H52" s="107" t="str">
        <f>IFERROR(IF(INDEX('Match Log'!$E$1:$E$810,_xlfn.AGGREGATE(14,6,ROW('Match Log'!$A$4:$A$810)/('Match Log'!$D$4:$D$810=$A52),4))="Win","W","L"),"")</f>
        <v>W</v>
      </c>
      <c r="I52" s="107" t="str">
        <f>IFERROR(IF(INDEX('Match Log'!$E$1:$E$810,_xlfn.AGGREGATE(14,6,ROW('Match Log'!$A$4:$A$810)/('Match Log'!$D$4:$D$810=$A52),3))="Win","W","L"),"")</f>
        <v>L</v>
      </c>
      <c r="J52" s="107" t="str">
        <f>IFERROR(IF(INDEX('Match Log'!$E$1:$E$810,_xlfn.AGGREGATE(14,6,ROW('Match Log'!$A$4:$A$810)/('Match Log'!$D$4:$D$810=$A52),2))="Win","W","L"),"")</f>
        <v>W</v>
      </c>
      <c r="K52" s="107" t="str">
        <f>IFERROR(IF(INDEX('Match Log'!$E$1:$E$810,_xlfn.AGGREGATE(14,6,ROW('Match Log'!$A$4:$A$810)/('Match Log'!$D$4:$D$810=$A52),1))="Win","W","L"),"")</f>
        <v>L</v>
      </c>
      <c r="L52" s="26"/>
      <c r="M52" s="26"/>
      <c r="N52" s="26"/>
      <c r="O52" s="26"/>
      <c r="P52" s="26"/>
      <c r="Q52" s="26"/>
      <c r="R52" s="26"/>
      <c r="S52" s="26"/>
      <c r="T52" s="26"/>
      <c r="U52" s="26"/>
    </row>
    <row r="53" spans="1:21"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1" x14ac:dyDescent="0.2">
      <c r="A54" s="26"/>
      <c r="B54" s="26"/>
      <c r="C54" s="26"/>
      <c r="D54" s="26"/>
      <c r="E54" s="26"/>
      <c r="F54" s="26"/>
      <c r="G54" s="26"/>
      <c r="H54" s="26"/>
      <c r="I54" s="26"/>
      <c r="J54" s="26"/>
      <c r="K54" s="26"/>
      <c r="L54" s="26"/>
      <c r="M54" s="26"/>
      <c r="N54" s="26"/>
      <c r="O54" s="26"/>
      <c r="P54" s="26"/>
      <c r="Q54" s="26"/>
      <c r="R54" s="26"/>
      <c r="S54" s="26"/>
      <c r="T54" s="26"/>
      <c r="U54" s="26"/>
    </row>
    <row r="55" spans="1:21"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1"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1"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row>
    <row r="58" spans="1:21" x14ac:dyDescent="0.2">
      <c r="A58" s="86" t="s">
        <v>138</v>
      </c>
      <c r="B58" s="110" t="str">
        <f>IFERROR(INDEX('Sport Records'!$B$52:$O$71,MATCH($B$57,'Sport Records'!$A$52:$A$71,0),MATCH($A58,'Sport Records'!$B$51:$O$51,0)),"")</f>
        <v/>
      </c>
      <c r="C58" s="110" t="str">
        <f>IFERROR(INDEX('Sport Records'!$B$52:$O$71,MATCH($C$57,'Sport Records'!$A$52:$A$71,0),MATCH($A58,'Sport Records'!$B$51:$O$51,0)),"")</f>
        <v/>
      </c>
      <c r="D58" s="110">
        <f>IFERROR(INDEX('Sport Records'!$B$52:$O$71,MATCH($D$57,'Sport Records'!$A$52:$A$71,0),MATCH($A58,'Sport Records'!$B$51:$O$51,0)),"")</f>
        <v>0.75</v>
      </c>
      <c r="E58" s="110" t="str">
        <f>IFERROR(INDEX('Sport Records'!$B$52:$O$71,MATCH($E$57,'Sport Records'!$A$52:$A$71,0),MATCH($A58,'Sport Records'!$B$51:$O$51,0)),"")</f>
        <v/>
      </c>
      <c r="F58" s="110" t="str">
        <f>IFERROR(INDEX('Sport Records'!$B$52:$O$71,MATCH($F$57,'Sport Records'!$A$52:$A$71,0),MATCH($A58,'Sport Records'!$B$51:$O$51,0)),"")</f>
        <v/>
      </c>
      <c r="G58" s="110">
        <f>IFERROR(INDEX('Sport Records'!$B$52:$O$71,MATCH($G$57,'Sport Records'!$A$52:$A$71,0),MATCH($A58,'Sport Records'!$B$51:$O$51,0)),"")</f>
        <v>1</v>
      </c>
      <c r="H58" s="110" t="str">
        <f>IFERROR(INDEX('Sport Records'!$B$52:$O$71,MATCH($H$57,'Sport Records'!$A$52:$A$71,0),MATCH($A58,'Sport Records'!$B$51:$O$51,0)),"")</f>
        <v/>
      </c>
      <c r="I58" s="110" t="str">
        <f>IFERROR(INDEX('Sport Records'!$B$52:$O$71,MATCH($I$57,'Sport Records'!$A$52:$A$71,0),MATCH($A58,'Sport Records'!$B$51:$O$51,0)),"")</f>
        <v/>
      </c>
      <c r="J58" s="110" t="str">
        <f>IFERROR(INDEX('Sport Records'!$B$52:$O$71,MATCH($J$57,'Sport Records'!$A$52:$A$71,0),MATCH($A58,'Sport Records'!$B$51:$O$51,0)),"")</f>
        <v/>
      </c>
      <c r="K58" s="110" t="str">
        <f>IFERROR(INDEX('Sport Records'!$B$52:$O$71,MATCH($K$57,'Sport Records'!$A$52:$A$71,0),MATCH($A58,'Sport Records'!$B$51:$O$51,0)),"")</f>
        <v/>
      </c>
      <c r="L58" s="110" t="str">
        <f>IFERROR(INDEX('Sport Records'!$B$52:$O$71,MATCH($L$57,'Sport Records'!$A$52:$A$71,0),MATCH($A58,'Sport Records'!$B$51:$O$51,0)),"")</f>
        <v/>
      </c>
      <c r="M58" s="110">
        <f>IFERROR(INDEX('Sport Records'!$B$52:$O$71,MATCH($M$57,'Sport Records'!$A$52:$A$71,0),MATCH($A58,'Sport Records'!$B$51:$O$51,0)),"")</f>
        <v>0.5</v>
      </c>
      <c r="N58" s="110">
        <f>IFERROR(INDEX('Sport Records'!$B$52:$O$71,MATCH($N$57,'Sport Records'!$A$52:$A$71,0),MATCH($A58,'Sport Records'!$B$51:$O$51,0)),"")</f>
        <v>0.66666666666666663</v>
      </c>
      <c r="O58" s="110">
        <f>IFERROR(INDEX('Sport Records'!$B$52:$O$71,MATCH($O$57,'Sport Records'!$A$52:$A$71,0),MATCH($A58,'Sport Records'!$B$51:$O$51,0)),"")</f>
        <v>1</v>
      </c>
      <c r="P58" s="110" t="str">
        <f>IFERROR(INDEX('Sport Records'!$B$52:$O$71,MATCH($P$57,'Sport Records'!$A$52:$A$71,0),MATCH($A58,'Sport Records'!$B$51:$O$51,0)),"")</f>
        <v/>
      </c>
      <c r="Q58" s="110">
        <f>IFERROR(INDEX('Sport Records'!$B$52:$O$71,MATCH($Q$57,'Sport Records'!$A$52:$A$71,0),MATCH($A58,'Sport Records'!$B$51:$O$51,0)),"")</f>
        <v>0.5</v>
      </c>
      <c r="R58" s="110" t="str">
        <f>IFERROR(INDEX('Sport Records'!$B$52:$O$71,MATCH($R$57,'Sport Records'!$A$52:$A$71,0),MATCH($A58,'Sport Records'!$B$51:$O$51,0)),"")</f>
        <v/>
      </c>
      <c r="S58" s="110">
        <f>IFERROR(INDEX('Sport Records'!$B$52:$O$71,MATCH($S$57,'Sport Records'!$A$52:$A$71,0),MATCH($A58,'Sport Records'!$B$51:$O$51,0)),"")</f>
        <v>0.2857142857142857</v>
      </c>
      <c r="T58" s="110">
        <f>IFERROR(INDEX('Sport Records'!$B$52:$O$71,MATCH($T$57,'Sport Records'!$A$52:$A$71,0),MATCH($A58,'Sport Records'!$B$51:$O$51,0)),"")</f>
        <v>0.2</v>
      </c>
      <c r="U58" s="26" t="str">
        <f>IFERROR(INDEX('Sport Records'!$B$52:$O$71,MATCH($U$57,'Sport Records'!$A$52:$A$71,0),MATCH($A58,'Sport Records'!$B$51:$O$51,0)),"")</f>
        <v/>
      </c>
    </row>
    <row r="59" spans="1:21" x14ac:dyDescent="0.2">
      <c r="A59" s="86" t="s">
        <v>135</v>
      </c>
      <c r="B59" s="110" t="str">
        <f>IFERROR(INDEX('Sport Records'!$B$52:$O$71,MATCH($B$57,'Sport Records'!$A$52:$A$71,0),MATCH($A59,'Sport Records'!$B$51:$O$51,0)),"")</f>
        <v/>
      </c>
      <c r="C59" s="110" t="str">
        <f>IFERROR(INDEX('Sport Records'!$B$52:$O$71,MATCH($C$57,'Sport Records'!$A$52:$A$71,0),MATCH($A59,'Sport Records'!$B$51:$O$51,0)),"")</f>
        <v/>
      </c>
      <c r="D59" s="110" t="str">
        <f>IFERROR(INDEX('Sport Records'!$B$52:$O$71,MATCH($D$57,'Sport Records'!$A$52:$A$71,0),MATCH($A59,'Sport Records'!$B$51:$O$51,0)),"")</f>
        <v/>
      </c>
      <c r="E59" s="110" t="str">
        <f>IFERROR(INDEX('Sport Records'!$B$52:$O$71,MATCH($E$57,'Sport Records'!$A$52:$A$71,0),MATCH($A59,'Sport Records'!$B$51:$O$51,0)),"")</f>
        <v/>
      </c>
      <c r="F59" s="110">
        <f>IFERROR(INDEX('Sport Records'!$B$52:$O$71,MATCH($F$57,'Sport Records'!$A$52:$A$71,0),MATCH($A59,'Sport Records'!$B$51:$O$51,0)),"")</f>
        <v>0</v>
      </c>
      <c r="G59" s="110" t="str">
        <f>IFERROR(INDEX('Sport Records'!$B$52:$O$71,MATCH($G$57,'Sport Records'!$A$52:$A$71,0),MATCH($A59,'Sport Records'!$B$51:$O$51,0)),"")</f>
        <v/>
      </c>
      <c r="H59" s="110" t="str">
        <f>IFERROR(INDEX('Sport Records'!$B$52:$O$71,MATCH($H$57,'Sport Records'!$A$52:$A$71,0),MATCH($A59,'Sport Records'!$B$51:$O$51,0)),"")</f>
        <v/>
      </c>
      <c r="I59" s="110" t="str">
        <f>IFERROR(INDEX('Sport Records'!$B$52:$O$71,MATCH($I$57,'Sport Records'!$A$52:$A$71,0),MATCH($A59,'Sport Records'!$B$51:$O$51,0)),"")</f>
        <v/>
      </c>
      <c r="J59" s="110" t="str">
        <f>IFERROR(INDEX('Sport Records'!$B$52:$O$71,MATCH($J$57,'Sport Records'!$A$52:$A$71,0),MATCH($A59,'Sport Records'!$B$51:$O$51,0)),"")</f>
        <v/>
      </c>
      <c r="K59" s="110" t="str">
        <f>IFERROR(INDEX('Sport Records'!$B$52:$O$71,MATCH($K$57,'Sport Records'!$A$52:$A$71,0),MATCH($A59,'Sport Records'!$B$51:$O$51,0)),"")</f>
        <v/>
      </c>
      <c r="L59" s="110" t="str">
        <f>IFERROR(INDEX('Sport Records'!$B$52:$O$71,MATCH($L$57,'Sport Records'!$A$52:$A$71,0),MATCH($A59,'Sport Records'!$B$51:$O$51,0)),"")</f>
        <v/>
      </c>
      <c r="M59" s="110">
        <f>IFERROR(INDEX('Sport Records'!$B$52:$O$71,MATCH($M$57,'Sport Records'!$A$52:$A$71,0),MATCH($A59,'Sport Records'!$B$51:$O$51,0)),"")</f>
        <v>0</v>
      </c>
      <c r="N59" s="110" t="str">
        <f>IFERROR(INDEX('Sport Records'!$B$52:$O$71,MATCH($N$57,'Sport Records'!$A$52:$A$71,0),MATCH($A59,'Sport Records'!$B$51:$O$51,0)),"")</f>
        <v/>
      </c>
      <c r="O59" s="110" t="str">
        <f>IFERROR(INDEX('Sport Records'!$B$52:$O$71,MATCH($O$57,'Sport Records'!$A$52:$A$71,0),MATCH($A59,'Sport Records'!$B$51:$O$51,0)),"")</f>
        <v/>
      </c>
      <c r="P59" s="110" t="str">
        <f>IFERROR(INDEX('Sport Records'!$B$52:$O$71,MATCH($P$57,'Sport Records'!$A$52:$A$71,0),MATCH($A59,'Sport Records'!$B$51:$O$51,0)),"")</f>
        <v/>
      </c>
      <c r="Q59" s="110" t="str">
        <f>IFERROR(INDEX('Sport Records'!$B$52:$O$71,MATCH($Q$57,'Sport Records'!$A$52:$A$71,0),MATCH($A59,'Sport Records'!$B$51:$O$51,0)),"")</f>
        <v/>
      </c>
      <c r="R59" s="110" t="str">
        <f>IFERROR(INDEX('Sport Records'!$B$52:$O$71,MATCH($R$57,'Sport Records'!$A$52:$A$71,0),MATCH($A59,'Sport Records'!$B$51:$O$51,0)),"")</f>
        <v/>
      </c>
      <c r="S59" s="110">
        <f>IFERROR(INDEX('Sport Records'!$B$52:$O$71,MATCH($S$57,'Sport Records'!$A$52:$A$71,0),MATCH($A59,'Sport Records'!$B$51:$O$51,0)),"")</f>
        <v>0.625</v>
      </c>
      <c r="T59" s="110" t="str">
        <f>IFERROR(INDEX('Sport Records'!$B$52:$O$71,MATCH($T$57,'Sport Records'!$A$52:$A$71,0),MATCH($A59,'Sport Records'!$B$51:$O$51,0)),"")</f>
        <v/>
      </c>
      <c r="U59" s="26" t="str">
        <f>IFERROR(INDEX('Sport Records'!$B$52:$O$71,MATCH($U$57,'Sport Records'!$A$52:$A$71,0),MATCH($A59,'Sport Records'!$B$51:$O$51,0)),"")</f>
        <v/>
      </c>
    </row>
    <row r="60" spans="1:21" x14ac:dyDescent="0.2">
      <c r="A60" s="86" t="s">
        <v>173</v>
      </c>
      <c r="B60" s="110" t="str">
        <f>IFERROR(INDEX('Sport Records'!$B$52:$O$71,MATCH($B$57,'Sport Records'!$A$52:$A$71,0),MATCH($A60,'Sport Records'!$B$51:$O$51,0)),"")</f>
        <v/>
      </c>
      <c r="C60" s="110" t="str">
        <f>IFERROR(INDEX('Sport Records'!$B$52:$O$71,MATCH($C$57,'Sport Records'!$A$52:$A$71,0),MATCH($A60,'Sport Records'!$B$51:$O$51,0)),"")</f>
        <v/>
      </c>
      <c r="D60" s="110">
        <f>IFERROR(INDEX('Sport Records'!$B$52:$O$71,MATCH($D$57,'Sport Records'!$A$52:$A$71,0),MATCH($A60,'Sport Records'!$B$51:$O$51,0)),"")</f>
        <v>0</v>
      </c>
      <c r="E60" s="110" t="str">
        <f>IFERROR(INDEX('Sport Records'!$B$52:$O$71,MATCH($E$57,'Sport Records'!$A$52:$A$71,0),MATCH($A60,'Sport Records'!$B$51:$O$51,0)),"")</f>
        <v/>
      </c>
      <c r="F60" s="110" t="str">
        <f>IFERROR(INDEX('Sport Records'!$B$52:$O$71,MATCH($F$57,'Sport Records'!$A$52:$A$71,0),MATCH($A60,'Sport Records'!$B$51:$O$51,0)),"")</f>
        <v/>
      </c>
      <c r="G60" s="110">
        <f>IFERROR(INDEX('Sport Records'!$B$52:$O$71,MATCH($G$57,'Sport Records'!$A$52:$A$71,0),MATCH($A60,'Sport Records'!$B$51:$O$51,0)),"")</f>
        <v>0</v>
      </c>
      <c r="H60" s="110" t="str">
        <f>IFERROR(INDEX('Sport Records'!$B$52:$O$71,MATCH($H$57,'Sport Records'!$A$52:$A$71,0),MATCH($A60,'Sport Records'!$B$51:$O$51,0)),"")</f>
        <v/>
      </c>
      <c r="I60" s="110" t="str">
        <f>IFERROR(INDEX('Sport Records'!$B$52:$O$71,MATCH($I$57,'Sport Records'!$A$52:$A$71,0),MATCH($A60,'Sport Records'!$B$51:$O$51,0)),"")</f>
        <v/>
      </c>
      <c r="J60" s="110" t="str">
        <f>IFERROR(INDEX('Sport Records'!$B$52:$O$71,MATCH($J$57,'Sport Records'!$A$52:$A$71,0),MATCH($A60,'Sport Records'!$B$51:$O$51,0)),"")</f>
        <v/>
      </c>
      <c r="K60" s="110" t="str">
        <f>IFERROR(INDEX('Sport Records'!$B$52:$O$71,MATCH($K$57,'Sport Records'!$A$52:$A$71,0),MATCH($A60,'Sport Records'!$B$51:$O$51,0)),"")</f>
        <v/>
      </c>
      <c r="L60" s="110" t="str">
        <f>IFERROR(INDEX('Sport Records'!$B$52:$O$71,MATCH($L$57,'Sport Records'!$A$52:$A$71,0),MATCH($A60,'Sport Records'!$B$51:$O$51,0)),"")</f>
        <v/>
      </c>
      <c r="M60" s="110" t="str">
        <f>IFERROR(INDEX('Sport Records'!$B$52:$O$71,MATCH($M$57,'Sport Records'!$A$52:$A$71,0),MATCH($A60,'Sport Records'!$B$51:$O$51,0)),"")</f>
        <v/>
      </c>
      <c r="N60" s="110" t="str">
        <f>IFERROR(INDEX('Sport Records'!$B$52:$O$71,MATCH($N$57,'Sport Records'!$A$52:$A$71,0),MATCH($A60,'Sport Records'!$B$51:$O$51,0)),"")</f>
        <v/>
      </c>
      <c r="O60" s="110">
        <f>IFERROR(INDEX('Sport Records'!$B$52:$O$71,MATCH($O$57,'Sport Records'!$A$52:$A$71,0),MATCH($A60,'Sport Records'!$B$51:$O$51,0)),"")</f>
        <v>1</v>
      </c>
      <c r="P60" s="110" t="str">
        <f>IFERROR(INDEX('Sport Records'!$B$52:$O$71,MATCH($P$57,'Sport Records'!$A$52:$A$71,0),MATCH($A60,'Sport Records'!$B$51:$O$51,0)),"")</f>
        <v/>
      </c>
      <c r="Q60" s="110">
        <f>IFERROR(INDEX('Sport Records'!$B$52:$O$71,MATCH($Q$57,'Sport Records'!$A$52:$A$71,0),MATCH($A60,'Sport Records'!$B$51:$O$51,0)),"")</f>
        <v>0</v>
      </c>
      <c r="R60" s="110">
        <f>IFERROR(INDEX('Sport Records'!$B$52:$O$71,MATCH($R$57,'Sport Records'!$A$52:$A$71,0),MATCH($A60,'Sport Records'!$B$51:$O$51,0)),"")</f>
        <v>0</v>
      </c>
      <c r="S60" s="110">
        <f>IFERROR(INDEX('Sport Records'!$B$52:$O$71,MATCH($S$57,'Sport Records'!$A$52:$A$71,0),MATCH($A60,'Sport Records'!$B$51:$O$51,0)),"")</f>
        <v>1</v>
      </c>
      <c r="T60" s="110" t="str">
        <f>IFERROR(INDEX('Sport Records'!$B$52:$O$71,MATCH($T$57,'Sport Records'!$A$52:$A$71,0),MATCH($A60,'Sport Records'!$B$51:$O$51,0)),"")</f>
        <v/>
      </c>
      <c r="U60" s="26" t="str">
        <f>IFERROR(INDEX('Sport Records'!$B$52:$O$71,MATCH($U$57,'Sport Records'!$A$52:$A$71,0),MATCH($A60,'Sport Records'!$B$51:$O$51,0)),"")</f>
        <v/>
      </c>
    </row>
    <row r="61" spans="1:21" x14ac:dyDescent="0.2">
      <c r="A61" s="86" t="s">
        <v>140</v>
      </c>
      <c r="B61" s="110" t="str">
        <f>IFERROR(INDEX('Sport Records'!$B$52:$O$71,MATCH($B$57,'Sport Records'!$A$52:$A$71,0),MATCH($A61,'Sport Records'!$B$51:$O$51,0)),"")</f>
        <v/>
      </c>
      <c r="C61" s="110" t="str">
        <f>IFERROR(INDEX('Sport Records'!$B$52:$O$71,MATCH($C$57,'Sport Records'!$A$52:$A$71,0),MATCH($A61,'Sport Records'!$B$51:$O$51,0)),"")</f>
        <v/>
      </c>
      <c r="D61" s="110" t="str">
        <f>IFERROR(INDEX('Sport Records'!$B$52:$O$71,MATCH($D$57,'Sport Records'!$A$52:$A$71,0),MATCH($A61,'Sport Records'!$B$51:$O$51,0)),"")</f>
        <v/>
      </c>
      <c r="E61" s="110" t="str">
        <f>IFERROR(INDEX('Sport Records'!$B$52:$O$71,MATCH($E$57,'Sport Records'!$A$52:$A$71,0),MATCH($A61,'Sport Records'!$B$51:$O$51,0)),"")</f>
        <v/>
      </c>
      <c r="F61" s="110" t="str">
        <f>IFERROR(INDEX('Sport Records'!$B$52:$O$71,MATCH($F$57,'Sport Records'!$A$52:$A$71,0),MATCH($A61,'Sport Records'!$B$51:$O$51,0)),"")</f>
        <v/>
      </c>
      <c r="G61" s="110">
        <f>IFERROR(INDEX('Sport Records'!$B$52:$O$71,MATCH($G$57,'Sport Records'!$A$52:$A$71,0),MATCH($A61,'Sport Records'!$B$51:$O$51,0)),"")</f>
        <v>0</v>
      </c>
      <c r="H61" s="110" t="str">
        <f>IFERROR(INDEX('Sport Records'!$B$52:$O$71,MATCH($H$57,'Sport Records'!$A$52:$A$71,0),MATCH($A61,'Sport Records'!$B$51:$O$51,0)),"")</f>
        <v/>
      </c>
      <c r="I61" s="110" t="str">
        <f>IFERROR(INDEX('Sport Records'!$B$52:$O$71,MATCH($I$57,'Sport Records'!$A$52:$A$71,0),MATCH($A61,'Sport Records'!$B$51:$O$51,0)),"")</f>
        <v/>
      </c>
      <c r="J61" s="110" t="str">
        <f>IFERROR(INDEX('Sport Records'!$B$52:$O$71,MATCH($J$57,'Sport Records'!$A$52:$A$71,0),MATCH($A61,'Sport Records'!$B$51:$O$51,0)),"")</f>
        <v/>
      </c>
      <c r="K61" s="110" t="str">
        <f>IFERROR(INDEX('Sport Records'!$B$52:$O$71,MATCH($K$57,'Sport Records'!$A$52:$A$71,0),MATCH($A61,'Sport Records'!$B$51:$O$51,0)),"")</f>
        <v/>
      </c>
      <c r="L61" s="110" t="str">
        <f>IFERROR(INDEX('Sport Records'!$B$52:$O$71,MATCH($L$57,'Sport Records'!$A$52:$A$71,0),MATCH($A61,'Sport Records'!$B$51:$O$51,0)),"")</f>
        <v/>
      </c>
      <c r="M61" s="110">
        <f>IFERROR(INDEX('Sport Records'!$B$52:$O$71,MATCH($M$57,'Sport Records'!$A$52:$A$71,0),MATCH($A61,'Sport Records'!$B$51:$O$51,0)),"")</f>
        <v>0.16666666666666666</v>
      </c>
      <c r="N61" s="110" t="str">
        <f>IFERROR(INDEX('Sport Records'!$B$52:$O$71,MATCH($N$57,'Sport Records'!$A$52:$A$71,0),MATCH($A61,'Sport Records'!$B$51:$O$51,0)),"")</f>
        <v/>
      </c>
      <c r="O61" s="110" t="str">
        <f>IFERROR(INDEX('Sport Records'!$B$52:$O$71,MATCH($O$57,'Sport Records'!$A$52:$A$71,0),MATCH($A61,'Sport Records'!$B$51:$O$51,0)),"")</f>
        <v/>
      </c>
      <c r="P61" s="110" t="str">
        <f>IFERROR(INDEX('Sport Records'!$B$52:$O$71,MATCH($P$57,'Sport Records'!$A$52:$A$71,0),MATCH($A61,'Sport Records'!$B$51:$O$51,0)),"")</f>
        <v/>
      </c>
      <c r="Q61" s="110" t="str">
        <f>IFERROR(INDEX('Sport Records'!$B$52:$O$71,MATCH($Q$57,'Sport Records'!$A$52:$A$71,0),MATCH($A61,'Sport Records'!$B$51:$O$51,0)),"")</f>
        <v/>
      </c>
      <c r="R61" s="110" t="str">
        <f>IFERROR(INDEX('Sport Records'!$B$52:$O$71,MATCH($R$57,'Sport Records'!$A$52:$A$71,0),MATCH($A61,'Sport Records'!$B$51:$O$51,0)),"")</f>
        <v/>
      </c>
      <c r="S61" s="110">
        <f>IFERROR(INDEX('Sport Records'!$B$52:$O$71,MATCH($S$57,'Sport Records'!$A$52:$A$71,0),MATCH($A61,'Sport Records'!$B$51:$O$51,0)),"")</f>
        <v>0.42857142857142855</v>
      </c>
      <c r="T61" s="110" t="str">
        <f>IFERROR(INDEX('Sport Records'!$B$52:$O$71,MATCH($T$57,'Sport Records'!$A$52:$A$71,0),MATCH($A61,'Sport Records'!$B$51:$O$51,0)),"")</f>
        <v/>
      </c>
      <c r="U61" s="26" t="str">
        <f>IFERROR(INDEX('Sport Records'!$B$52:$O$71,MATCH($U$57,'Sport Records'!$A$52:$A$71,0),MATCH($A61,'Sport Records'!$B$51:$O$51,0)),"")</f>
        <v/>
      </c>
    </row>
    <row r="62" spans="1:21" x14ac:dyDescent="0.2">
      <c r="A62" s="86" t="s">
        <v>137</v>
      </c>
      <c r="B62" s="110" t="str">
        <f>IFERROR(INDEX('Sport Records'!$B$52:$O$71,MATCH($B$57,'Sport Records'!$A$52:$A$71,0),MATCH($A62,'Sport Records'!$B$51:$O$51,0)),"")</f>
        <v/>
      </c>
      <c r="C62" s="110" t="str">
        <f>IFERROR(INDEX('Sport Records'!$B$52:$O$71,MATCH($C$57,'Sport Records'!$A$52:$A$71,0),MATCH($A62,'Sport Records'!$B$51:$O$51,0)),"")</f>
        <v/>
      </c>
      <c r="D62" s="110">
        <f>IFERROR(INDEX('Sport Records'!$B$52:$O$71,MATCH($D$57,'Sport Records'!$A$52:$A$71,0),MATCH($A62,'Sport Records'!$B$51:$O$51,0)),"")</f>
        <v>0</v>
      </c>
      <c r="E62" s="110" t="str">
        <f>IFERROR(INDEX('Sport Records'!$B$52:$O$71,MATCH($E$57,'Sport Records'!$A$52:$A$71,0),MATCH($A62,'Sport Records'!$B$51:$O$51,0)),"")</f>
        <v/>
      </c>
      <c r="F62" s="110" t="str">
        <f>IFERROR(INDEX('Sport Records'!$B$52:$O$71,MATCH($F$57,'Sport Records'!$A$52:$A$71,0),MATCH($A62,'Sport Records'!$B$51:$O$51,0)),"")</f>
        <v/>
      </c>
      <c r="G62" s="110">
        <f>IFERROR(INDEX('Sport Records'!$B$52:$O$71,MATCH($G$57,'Sport Records'!$A$52:$A$71,0),MATCH($A62,'Sport Records'!$B$51:$O$51,0)),"")</f>
        <v>0</v>
      </c>
      <c r="H62" s="110" t="str">
        <f>IFERROR(INDEX('Sport Records'!$B$52:$O$71,MATCH($H$57,'Sport Records'!$A$52:$A$71,0),MATCH($A62,'Sport Records'!$B$51:$O$51,0)),"")</f>
        <v/>
      </c>
      <c r="I62" s="110" t="str">
        <f>IFERROR(INDEX('Sport Records'!$B$52:$O$71,MATCH($I$57,'Sport Records'!$A$52:$A$71,0),MATCH($A62,'Sport Records'!$B$51:$O$51,0)),"")</f>
        <v/>
      </c>
      <c r="J62" s="110">
        <f>IFERROR(INDEX('Sport Records'!$B$52:$O$71,MATCH($J$57,'Sport Records'!$A$52:$A$71,0),MATCH($A62,'Sport Records'!$B$51:$O$51,0)),"")</f>
        <v>1</v>
      </c>
      <c r="K62" s="110" t="str">
        <f>IFERROR(INDEX('Sport Records'!$B$52:$O$71,MATCH($K$57,'Sport Records'!$A$52:$A$71,0),MATCH($A62,'Sport Records'!$B$51:$O$51,0)),"")</f>
        <v/>
      </c>
      <c r="L62" s="110" t="str">
        <f>IFERROR(INDEX('Sport Records'!$B$52:$O$71,MATCH($L$57,'Sport Records'!$A$52:$A$71,0),MATCH($A62,'Sport Records'!$B$51:$O$51,0)),"")</f>
        <v/>
      </c>
      <c r="M62" s="110">
        <f>IFERROR(INDEX('Sport Records'!$B$52:$O$71,MATCH($M$57,'Sport Records'!$A$52:$A$71,0),MATCH($A62,'Sport Records'!$B$51:$O$51,0)),"")</f>
        <v>0.8666666666666667</v>
      </c>
      <c r="N62" s="110">
        <f>IFERROR(INDEX('Sport Records'!$B$52:$O$71,MATCH($N$57,'Sport Records'!$A$52:$A$71,0),MATCH($A62,'Sport Records'!$B$51:$O$51,0)),"")</f>
        <v>0</v>
      </c>
      <c r="O62" s="110" t="str">
        <f>IFERROR(INDEX('Sport Records'!$B$52:$O$71,MATCH($O$57,'Sport Records'!$A$52:$A$71,0),MATCH($A62,'Sport Records'!$B$51:$O$51,0)),"")</f>
        <v/>
      </c>
      <c r="P62" s="110" t="str">
        <f>IFERROR(INDEX('Sport Records'!$B$52:$O$71,MATCH($P$57,'Sport Records'!$A$52:$A$71,0),MATCH($A62,'Sport Records'!$B$51:$O$51,0)),"")</f>
        <v/>
      </c>
      <c r="Q62" s="110" t="str">
        <f>IFERROR(INDEX('Sport Records'!$B$52:$O$71,MATCH($Q$57,'Sport Records'!$A$52:$A$71,0),MATCH($A62,'Sport Records'!$B$51:$O$51,0)),"")</f>
        <v/>
      </c>
      <c r="R62" s="110">
        <f>IFERROR(INDEX('Sport Records'!$B$52:$O$71,MATCH($R$57,'Sport Records'!$A$52:$A$71,0),MATCH($A62,'Sport Records'!$B$51:$O$51,0)),"")</f>
        <v>1</v>
      </c>
      <c r="S62" s="110">
        <f>IFERROR(INDEX('Sport Records'!$B$52:$O$71,MATCH($S$57,'Sport Records'!$A$52:$A$71,0),MATCH($A62,'Sport Records'!$B$51:$O$51,0)),"")</f>
        <v>0.375</v>
      </c>
      <c r="T62" s="110">
        <f>IFERROR(INDEX('Sport Records'!$B$52:$O$71,MATCH($T$57,'Sport Records'!$A$52:$A$71,0),MATCH($A62,'Sport Records'!$B$51:$O$51,0)),"")</f>
        <v>0.5</v>
      </c>
      <c r="U62" s="26" t="str">
        <f>IFERROR(INDEX('Sport Records'!$B$52:$O$71,MATCH($U$57,'Sport Records'!$A$52:$A$71,0),MATCH($A62,'Sport Records'!$B$51:$O$51,0)),"")</f>
        <v/>
      </c>
    </row>
    <row r="63" spans="1:21" x14ac:dyDescent="0.2">
      <c r="A63" s="86" t="s">
        <v>134</v>
      </c>
      <c r="B63" s="110">
        <f>IFERROR(INDEX('Sport Records'!$B$52:$O$71,MATCH($B$57,'Sport Records'!$A$52:$A$71,0),MATCH($A63,'Sport Records'!$B$51:$O$51,0)),"")</f>
        <v>1</v>
      </c>
      <c r="C63" s="110" t="str">
        <f>IFERROR(INDEX('Sport Records'!$B$52:$O$71,MATCH($C$57,'Sport Records'!$A$52:$A$71,0),MATCH($A63,'Sport Records'!$B$51:$O$51,0)),"")</f>
        <v/>
      </c>
      <c r="D63" s="110">
        <f>IFERROR(INDEX('Sport Records'!$B$52:$O$71,MATCH($D$57,'Sport Records'!$A$52:$A$71,0),MATCH($A63,'Sport Records'!$B$51:$O$51,0)),"")</f>
        <v>0.45</v>
      </c>
      <c r="E63" s="110" t="str">
        <f>IFERROR(INDEX('Sport Records'!$B$52:$O$71,MATCH($E$57,'Sport Records'!$A$52:$A$71,0),MATCH($A63,'Sport Records'!$B$51:$O$51,0)),"")</f>
        <v/>
      </c>
      <c r="F63" s="110" t="str">
        <f>IFERROR(INDEX('Sport Records'!$B$52:$O$71,MATCH($F$57,'Sport Records'!$A$52:$A$71,0),MATCH($A63,'Sport Records'!$B$51:$O$51,0)),"")</f>
        <v/>
      </c>
      <c r="G63" s="110">
        <f>IFERROR(INDEX('Sport Records'!$B$52:$O$71,MATCH($G$57,'Sport Records'!$A$52:$A$71,0),MATCH($A63,'Sport Records'!$B$51:$O$51,0)),"")</f>
        <v>0</v>
      </c>
      <c r="H63" s="110" t="str">
        <f>IFERROR(INDEX('Sport Records'!$B$52:$O$71,MATCH($H$57,'Sport Records'!$A$52:$A$71,0),MATCH($A63,'Sport Records'!$B$51:$O$51,0)),"")</f>
        <v/>
      </c>
      <c r="I63" s="110" t="str">
        <f>IFERROR(INDEX('Sport Records'!$B$52:$O$71,MATCH($I$57,'Sport Records'!$A$52:$A$71,0),MATCH($A63,'Sport Records'!$B$51:$O$51,0)),"")</f>
        <v/>
      </c>
      <c r="J63" s="110">
        <f>IFERROR(INDEX('Sport Records'!$B$52:$O$71,MATCH($J$57,'Sport Records'!$A$52:$A$71,0),MATCH($A63,'Sport Records'!$B$51:$O$51,0)),"")</f>
        <v>0</v>
      </c>
      <c r="K63" s="110" t="str">
        <f>IFERROR(INDEX('Sport Records'!$B$52:$O$71,MATCH($K$57,'Sport Records'!$A$52:$A$71,0),MATCH($A63,'Sport Records'!$B$51:$O$51,0)),"")</f>
        <v/>
      </c>
      <c r="L63" s="110" t="str">
        <f>IFERROR(INDEX('Sport Records'!$B$52:$O$71,MATCH($L$57,'Sport Records'!$A$52:$A$71,0),MATCH($A63,'Sport Records'!$B$51:$O$51,0)),"")</f>
        <v/>
      </c>
      <c r="M63" s="110">
        <f>IFERROR(INDEX('Sport Records'!$B$52:$O$71,MATCH($M$57,'Sport Records'!$A$52:$A$71,0),MATCH($A63,'Sport Records'!$B$51:$O$51,0)),"")</f>
        <v>1</v>
      </c>
      <c r="N63" s="110">
        <f>IFERROR(INDEX('Sport Records'!$B$52:$O$71,MATCH($N$57,'Sport Records'!$A$52:$A$71,0),MATCH($A63,'Sport Records'!$B$51:$O$51,0)),"")</f>
        <v>0.22222222222222221</v>
      </c>
      <c r="O63" s="110">
        <f>IFERROR(INDEX('Sport Records'!$B$52:$O$71,MATCH($O$57,'Sport Records'!$A$52:$A$71,0),MATCH($A63,'Sport Records'!$B$51:$O$51,0)),"")</f>
        <v>0</v>
      </c>
      <c r="P63" s="110" t="str">
        <f>IFERROR(INDEX('Sport Records'!$B$52:$O$71,MATCH($P$57,'Sport Records'!$A$52:$A$71,0),MATCH($A63,'Sport Records'!$B$51:$O$51,0)),"")</f>
        <v/>
      </c>
      <c r="Q63" s="110" t="str">
        <f>IFERROR(INDEX('Sport Records'!$B$52:$O$71,MATCH($Q$57,'Sport Records'!$A$52:$A$71,0),MATCH($A63,'Sport Records'!$B$51:$O$51,0)),"")</f>
        <v/>
      </c>
      <c r="R63" s="110" t="str">
        <f>IFERROR(INDEX('Sport Records'!$B$52:$O$71,MATCH($R$57,'Sport Records'!$A$52:$A$71,0),MATCH($A63,'Sport Records'!$B$51:$O$51,0)),"")</f>
        <v/>
      </c>
      <c r="S63" s="110">
        <f>IFERROR(INDEX('Sport Records'!$B$52:$O$71,MATCH($S$57,'Sport Records'!$A$52:$A$71,0),MATCH($A63,'Sport Records'!$B$51:$O$51,0)),"")</f>
        <v>0.44444444444444442</v>
      </c>
      <c r="T63" s="110">
        <f>IFERROR(INDEX('Sport Records'!$B$52:$O$71,MATCH($T$57,'Sport Records'!$A$52:$A$71,0),MATCH($A63,'Sport Records'!$B$51:$O$51,0)),"")</f>
        <v>0.8</v>
      </c>
      <c r="U63" s="26" t="str">
        <f>IFERROR(INDEX('Sport Records'!$B$52:$O$71,MATCH($U$57,'Sport Records'!$A$52:$A$71,0),MATCH($A63,'Sport Records'!$B$51:$O$51,0)),"")</f>
        <v/>
      </c>
    </row>
    <row r="64" spans="1:21" x14ac:dyDescent="0.2">
      <c r="A64" s="86" t="s">
        <v>168</v>
      </c>
      <c r="B64" s="110" t="str">
        <f>IFERROR(INDEX('Sport Records'!$B$52:$O$71,MATCH($B$57,'Sport Records'!$A$52:$A$71,0),MATCH($A64,'Sport Records'!$B$51:$O$51,0)),"")</f>
        <v/>
      </c>
      <c r="C64" s="110" t="str">
        <f>IFERROR(INDEX('Sport Records'!$B$52:$O$71,MATCH($C$57,'Sport Records'!$A$52:$A$71,0),MATCH($A64,'Sport Records'!$B$51:$O$51,0)),"")</f>
        <v/>
      </c>
      <c r="D64" s="110" t="str">
        <f>IFERROR(INDEX('Sport Records'!$B$52:$O$71,MATCH($D$57,'Sport Records'!$A$52:$A$71,0),MATCH($A64,'Sport Records'!$B$51:$O$51,0)),"")</f>
        <v/>
      </c>
      <c r="E64" s="110" t="str">
        <f>IFERROR(INDEX('Sport Records'!$B$52:$O$71,MATCH($E$57,'Sport Records'!$A$52:$A$71,0),MATCH($A64,'Sport Records'!$B$51:$O$51,0)),"")</f>
        <v/>
      </c>
      <c r="F64" s="110">
        <f>IFERROR(INDEX('Sport Records'!$B$52:$O$71,MATCH($F$57,'Sport Records'!$A$52:$A$71,0),MATCH($A64,'Sport Records'!$B$51:$O$51,0)),"")</f>
        <v>1</v>
      </c>
      <c r="G64" s="110">
        <f>IFERROR(INDEX('Sport Records'!$B$52:$O$71,MATCH($G$57,'Sport Records'!$A$52:$A$71,0),MATCH($A64,'Sport Records'!$B$51:$O$51,0)),"")</f>
        <v>0</v>
      </c>
      <c r="H64" s="110" t="str">
        <f>IFERROR(INDEX('Sport Records'!$B$52:$O$71,MATCH($H$57,'Sport Records'!$A$52:$A$71,0),MATCH($A64,'Sport Records'!$B$51:$O$51,0)),"")</f>
        <v/>
      </c>
      <c r="I64" s="110" t="str">
        <f>IFERROR(INDEX('Sport Records'!$B$52:$O$71,MATCH($I$57,'Sport Records'!$A$52:$A$71,0),MATCH($A64,'Sport Records'!$B$51:$O$51,0)),"")</f>
        <v/>
      </c>
      <c r="J64" s="110" t="str">
        <f>IFERROR(INDEX('Sport Records'!$B$52:$O$71,MATCH($J$57,'Sport Records'!$A$52:$A$71,0),MATCH($A64,'Sport Records'!$B$51:$O$51,0)),"")</f>
        <v/>
      </c>
      <c r="K64" s="110" t="str">
        <f>IFERROR(INDEX('Sport Records'!$B$52:$O$71,MATCH($K$57,'Sport Records'!$A$52:$A$71,0),MATCH($A64,'Sport Records'!$B$51:$O$51,0)),"")</f>
        <v/>
      </c>
      <c r="L64" s="110" t="str">
        <f>IFERROR(INDEX('Sport Records'!$B$52:$O$71,MATCH($L$57,'Sport Records'!$A$52:$A$71,0),MATCH($A64,'Sport Records'!$B$51:$O$51,0)),"")</f>
        <v/>
      </c>
      <c r="M64" s="110">
        <f>IFERROR(INDEX('Sport Records'!$B$52:$O$71,MATCH($M$57,'Sport Records'!$A$52:$A$71,0),MATCH($A64,'Sport Records'!$B$51:$O$51,0)),"")</f>
        <v>0</v>
      </c>
      <c r="N64" s="110" t="str">
        <f>IFERROR(INDEX('Sport Records'!$B$52:$O$71,MATCH($N$57,'Sport Records'!$A$52:$A$71,0),MATCH($A64,'Sport Records'!$B$51:$O$51,0)),"")</f>
        <v/>
      </c>
      <c r="O64" s="110" t="str">
        <f>IFERROR(INDEX('Sport Records'!$B$52:$O$71,MATCH($O$57,'Sport Records'!$A$52:$A$71,0),MATCH($A64,'Sport Records'!$B$51:$O$51,0)),"")</f>
        <v/>
      </c>
      <c r="P64" s="110" t="str">
        <f>IFERROR(INDEX('Sport Records'!$B$52:$O$71,MATCH($P$57,'Sport Records'!$A$52:$A$71,0),MATCH($A64,'Sport Records'!$B$51:$O$51,0)),"")</f>
        <v/>
      </c>
      <c r="Q64" s="110" t="str">
        <f>IFERROR(INDEX('Sport Records'!$B$52:$O$71,MATCH($Q$57,'Sport Records'!$A$52:$A$71,0),MATCH($A64,'Sport Records'!$B$51:$O$51,0)),"")</f>
        <v/>
      </c>
      <c r="R64" s="110" t="str">
        <f>IFERROR(INDEX('Sport Records'!$B$52:$O$71,MATCH($R$57,'Sport Records'!$A$52:$A$71,0),MATCH($A64,'Sport Records'!$B$51:$O$51,0)),"")</f>
        <v/>
      </c>
      <c r="S64" s="110">
        <f>IFERROR(INDEX('Sport Records'!$B$52:$O$71,MATCH($S$57,'Sport Records'!$A$52:$A$71,0),MATCH($A64,'Sport Records'!$B$51:$O$51,0)),"")</f>
        <v>0.72727272727272729</v>
      </c>
      <c r="T64" s="110" t="str">
        <f>IFERROR(INDEX('Sport Records'!$B$52:$O$71,MATCH($T$57,'Sport Records'!$A$52:$A$71,0),MATCH($A64,'Sport Records'!$B$51:$O$51,0)),"")</f>
        <v/>
      </c>
      <c r="U64" s="26" t="str">
        <f>IFERROR(INDEX('Sport Records'!$B$52:$O$71,MATCH($U$57,'Sport Records'!$A$52:$A$71,0),MATCH($A64,'Sport Records'!$B$51:$O$51,0)),"")</f>
        <v/>
      </c>
    </row>
    <row r="65" spans="1:21" ht="15.75" customHeight="1" x14ac:dyDescent="0.2">
      <c r="A65" s="86" t="s">
        <v>170</v>
      </c>
      <c r="B65" s="110">
        <f>IFERROR(INDEX('Sport Records'!$B$52:$O$71,MATCH($B$57,'Sport Records'!$A$52:$A$71,0),MATCH($A65,'Sport Records'!$B$51:$O$51,0)),"")</f>
        <v>0</v>
      </c>
      <c r="C65" s="110" t="str">
        <f>IFERROR(INDEX('Sport Records'!$B$52:$O$71,MATCH($C$57,'Sport Records'!$A$52:$A$71,0),MATCH($A65,'Sport Records'!$B$51:$O$51,0)),"")</f>
        <v/>
      </c>
      <c r="D65" s="110">
        <f>IFERROR(INDEX('Sport Records'!$B$52:$O$71,MATCH($D$57,'Sport Records'!$A$52:$A$71,0),MATCH($A65,'Sport Records'!$B$51:$O$51,0)),"")</f>
        <v>0.44444444444444442</v>
      </c>
      <c r="E65" s="110" t="str">
        <f>IFERROR(INDEX('Sport Records'!$B$52:$O$71,MATCH($E$57,'Sport Records'!$A$52:$A$71,0),MATCH($A65,'Sport Records'!$B$51:$O$51,0)),"")</f>
        <v/>
      </c>
      <c r="F65" s="110">
        <f>IFERROR(INDEX('Sport Records'!$B$52:$O$71,MATCH($F$57,'Sport Records'!$A$52:$A$71,0),MATCH($A65,'Sport Records'!$B$51:$O$51,0)),"")</f>
        <v>0.5</v>
      </c>
      <c r="G65" s="110">
        <f>IFERROR(INDEX('Sport Records'!$B$52:$O$71,MATCH($G$57,'Sport Records'!$A$52:$A$71,0),MATCH($A65,'Sport Records'!$B$51:$O$51,0)),"")</f>
        <v>0</v>
      </c>
      <c r="H65" s="110" t="str">
        <f>IFERROR(INDEX('Sport Records'!$B$52:$O$71,MATCH($H$57,'Sport Records'!$A$52:$A$71,0),MATCH($A65,'Sport Records'!$B$51:$O$51,0)),"")</f>
        <v/>
      </c>
      <c r="I65" s="110" t="str">
        <f>IFERROR(INDEX('Sport Records'!$B$52:$O$71,MATCH($I$57,'Sport Records'!$A$52:$A$71,0),MATCH($A65,'Sport Records'!$B$51:$O$51,0)),"")</f>
        <v/>
      </c>
      <c r="J65" s="110" t="str">
        <f>IFERROR(INDEX('Sport Records'!$B$52:$O$71,MATCH($J$57,'Sport Records'!$A$52:$A$71,0),MATCH($A65,'Sport Records'!$B$51:$O$51,0)),"")</f>
        <v/>
      </c>
      <c r="K65" s="110" t="str">
        <f>IFERROR(INDEX('Sport Records'!$B$52:$O$71,MATCH($K$57,'Sport Records'!$A$52:$A$71,0),MATCH($A65,'Sport Records'!$B$51:$O$51,0)),"")</f>
        <v/>
      </c>
      <c r="L65" s="110" t="str">
        <f>IFERROR(INDEX('Sport Records'!$B$52:$O$71,MATCH($L$57,'Sport Records'!$A$52:$A$71,0),MATCH($A65,'Sport Records'!$B$51:$O$51,0)),"")</f>
        <v/>
      </c>
      <c r="M65" s="110">
        <f>IFERROR(INDEX('Sport Records'!$B$52:$O$71,MATCH($M$57,'Sport Records'!$A$52:$A$71,0),MATCH($A65,'Sport Records'!$B$51:$O$51,0)),"")</f>
        <v>0.14285714285714285</v>
      </c>
      <c r="N65" s="110">
        <f>IFERROR(INDEX('Sport Records'!$B$52:$O$71,MATCH($N$57,'Sport Records'!$A$52:$A$71,0),MATCH($A65,'Sport Records'!$B$51:$O$51,0)),"")</f>
        <v>0.83333333333333337</v>
      </c>
      <c r="O65" s="110">
        <f>IFERROR(INDEX('Sport Records'!$B$52:$O$71,MATCH($O$57,'Sport Records'!$A$52:$A$71,0),MATCH($A65,'Sport Records'!$B$51:$O$51,0)),"")</f>
        <v>0.2857142857142857</v>
      </c>
      <c r="P65" s="110" t="str">
        <f>IFERROR(INDEX('Sport Records'!$B$52:$O$71,MATCH($P$57,'Sport Records'!$A$52:$A$71,0),MATCH($A65,'Sport Records'!$B$51:$O$51,0)),"")</f>
        <v/>
      </c>
      <c r="Q65" s="110">
        <f>IFERROR(INDEX('Sport Records'!$B$52:$O$71,MATCH($Q$57,'Sport Records'!$A$52:$A$71,0),MATCH($A65,'Sport Records'!$B$51:$O$51,0)),"")</f>
        <v>1</v>
      </c>
      <c r="R65" s="110">
        <f>IFERROR(INDEX('Sport Records'!$B$52:$O$71,MATCH($R$57,'Sport Records'!$A$52:$A$71,0),MATCH($A65,'Sport Records'!$B$51:$O$51,0)),"")</f>
        <v>0</v>
      </c>
      <c r="S65" s="110">
        <f>IFERROR(INDEX('Sport Records'!$B$52:$O$71,MATCH($S$57,'Sport Records'!$A$52:$A$71,0),MATCH($A65,'Sport Records'!$B$51:$O$51,0)),"")</f>
        <v>0.55555555555555558</v>
      </c>
      <c r="T65" s="110">
        <f>IFERROR(INDEX('Sport Records'!$B$52:$O$71,MATCH($T$57,'Sport Records'!$A$52:$A$71,0),MATCH($A65,'Sport Records'!$B$51:$O$51,0)),"")</f>
        <v>0.5</v>
      </c>
      <c r="U65" s="26" t="str">
        <f>IFERROR(INDEX('Sport Records'!$B$52:$O$71,MATCH($U$57,'Sport Records'!$A$52:$A$71,0),MATCH($A65,'Sport Records'!$B$51:$O$51,0)),"")</f>
        <v/>
      </c>
    </row>
    <row r="66" spans="1:21" x14ac:dyDescent="0.2">
      <c r="A66" s="86" t="s">
        <v>167</v>
      </c>
      <c r="B66" s="110" t="str">
        <f>IFERROR(INDEX('Sport Records'!$B$52:$O$71,MATCH($B$57,'Sport Records'!$A$52:$A$71,0),MATCH($A66,'Sport Records'!$B$51:$O$51,0)),"")</f>
        <v/>
      </c>
      <c r="C66" s="110" t="str">
        <f>IFERROR(INDEX('Sport Records'!$B$52:$O$71,MATCH($C$57,'Sport Records'!$A$52:$A$71,0),MATCH($A66,'Sport Records'!$B$51:$O$51,0)),"")</f>
        <v/>
      </c>
      <c r="D66" s="110" t="str">
        <f>IFERROR(INDEX('Sport Records'!$B$52:$O$71,MATCH($D$57,'Sport Records'!$A$52:$A$71,0),MATCH($A66,'Sport Records'!$B$51:$O$51,0)),"")</f>
        <v/>
      </c>
      <c r="E66" s="110" t="str">
        <f>IFERROR(INDEX('Sport Records'!$B$52:$O$71,MATCH($E$57,'Sport Records'!$A$52:$A$71,0),MATCH($A66,'Sport Records'!$B$51:$O$51,0)),"")</f>
        <v/>
      </c>
      <c r="F66" s="110">
        <f>IFERROR(INDEX('Sport Records'!$B$52:$O$71,MATCH($F$57,'Sport Records'!$A$52:$A$71,0),MATCH($A66,'Sport Records'!$B$51:$O$51,0)),"")</f>
        <v>0.5</v>
      </c>
      <c r="G66" s="110" t="str">
        <f>IFERROR(INDEX('Sport Records'!$B$52:$O$71,MATCH($G$57,'Sport Records'!$A$52:$A$71,0),MATCH($A66,'Sport Records'!$B$51:$O$51,0)),"")</f>
        <v/>
      </c>
      <c r="H66" s="110" t="str">
        <f>IFERROR(INDEX('Sport Records'!$B$52:$O$71,MATCH($H$57,'Sport Records'!$A$52:$A$71,0),MATCH($A66,'Sport Records'!$B$51:$O$51,0)),"")</f>
        <v/>
      </c>
      <c r="I66" s="110" t="str">
        <f>IFERROR(INDEX('Sport Records'!$B$52:$O$71,MATCH($I$57,'Sport Records'!$A$52:$A$71,0),MATCH($A66,'Sport Records'!$B$51:$O$51,0)),"")</f>
        <v/>
      </c>
      <c r="J66" s="110" t="str">
        <f>IFERROR(INDEX('Sport Records'!$B$52:$O$71,MATCH($J$57,'Sport Records'!$A$52:$A$71,0),MATCH($A66,'Sport Records'!$B$51:$O$51,0)),"")</f>
        <v/>
      </c>
      <c r="K66" s="110" t="str">
        <f>IFERROR(INDEX('Sport Records'!$B$52:$O$71,MATCH($K$57,'Sport Records'!$A$52:$A$71,0),MATCH($A66,'Sport Records'!$B$51:$O$51,0)),"")</f>
        <v/>
      </c>
      <c r="L66" s="110" t="str">
        <f>IFERROR(INDEX('Sport Records'!$B$52:$O$71,MATCH($L$57,'Sport Records'!$A$52:$A$71,0),MATCH($A66,'Sport Records'!$B$51:$O$51,0)),"")</f>
        <v/>
      </c>
      <c r="M66" s="110">
        <f>IFERROR(INDEX('Sport Records'!$B$52:$O$71,MATCH($M$57,'Sport Records'!$A$52:$A$71,0),MATCH($A66,'Sport Records'!$B$51:$O$51,0)),"")</f>
        <v>0.8</v>
      </c>
      <c r="N66" s="110" t="str">
        <f>IFERROR(INDEX('Sport Records'!$B$52:$O$71,MATCH($N$57,'Sport Records'!$A$52:$A$71,0),MATCH($A66,'Sport Records'!$B$51:$O$51,0)),"")</f>
        <v/>
      </c>
      <c r="O66" s="110" t="str">
        <f>IFERROR(INDEX('Sport Records'!$B$52:$O$71,MATCH($O$57,'Sport Records'!$A$52:$A$71,0),MATCH($A66,'Sport Records'!$B$51:$O$51,0)),"")</f>
        <v/>
      </c>
      <c r="P66" s="110" t="str">
        <f>IFERROR(INDEX('Sport Records'!$B$52:$O$71,MATCH($P$57,'Sport Records'!$A$52:$A$71,0),MATCH($A66,'Sport Records'!$B$51:$O$51,0)),"")</f>
        <v/>
      </c>
      <c r="Q66" s="110" t="str">
        <f>IFERROR(INDEX('Sport Records'!$B$52:$O$71,MATCH($Q$57,'Sport Records'!$A$52:$A$71,0),MATCH($A66,'Sport Records'!$B$51:$O$51,0)),"")</f>
        <v/>
      </c>
      <c r="R66" s="110" t="str">
        <f>IFERROR(INDEX('Sport Records'!$B$52:$O$71,MATCH($R$57,'Sport Records'!$A$52:$A$71,0),MATCH($A66,'Sport Records'!$B$51:$O$51,0)),"")</f>
        <v/>
      </c>
      <c r="S66" s="110">
        <f>IFERROR(INDEX('Sport Records'!$B$52:$O$71,MATCH($S$57,'Sport Records'!$A$52:$A$71,0),MATCH($A66,'Sport Records'!$B$51:$O$51,0)),"")</f>
        <v>0.7</v>
      </c>
      <c r="T66" s="110" t="str">
        <f>IFERROR(INDEX('Sport Records'!$B$52:$O$71,MATCH($T$57,'Sport Records'!$A$52:$A$71,0),MATCH($A66,'Sport Records'!$B$51:$O$51,0)),"")</f>
        <v/>
      </c>
      <c r="U66" s="26" t="str">
        <f>IFERROR(INDEX('Sport Records'!$B$52:$O$71,MATCH($U$57,'Sport Records'!$A$52:$A$71,0),MATCH($A66,'Sport Records'!$B$51:$O$51,0)),"")</f>
        <v/>
      </c>
    </row>
    <row r="67" spans="1:21" x14ac:dyDescent="0.2">
      <c r="A67" s="86" t="s">
        <v>175</v>
      </c>
      <c r="B67" s="110" t="str">
        <f>IFERROR(INDEX('Sport Records'!$B$52:$O$71,MATCH($B$57,'Sport Records'!$A$52:$A$71,0),MATCH($A67,'Sport Records'!$B$51:$O$51,0)),"")</f>
        <v/>
      </c>
      <c r="C67" s="110" t="str">
        <f>IFERROR(INDEX('Sport Records'!$B$52:$O$71,MATCH($C$57,'Sport Records'!$A$52:$A$71,0),MATCH($A67,'Sport Records'!$B$51:$O$51,0)),"")</f>
        <v/>
      </c>
      <c r="D67" s="110" t="str">
        <f>IFERROR(INDEX('Sport Records'!$B$52:$O$71,MATCH($D$57,'Sport Records'!$A$52:$A$71,0),MATCH($A67,'Sport Records'!$B$51:$O$51,0)),"")</f>
        <v/>
      </c>
      <c r="E67" s="110" t="str">
        <f>IFERROR(INDEX('Sport Records'!$B$52:$O$71,MATCH($E$57,'Sport Records'!$A$52:$A$71,0),MATCH($A67,'Sport Records'!$B$51:$O$51,0)),"")</f>
        <v/>
      </c>
      <c r="F67" s="110">
        <f>IFERROR(INDEX('Sport Records'!$B$52:$O$71,MATCH($F$57,'Sport Records'!$A$52:$A$71,0),MATCH($A67,'Sport Records'!$B$51:$O$51,0)),"")</f>
        <v>0</v>
      </c>
      <c r="G67" s="110" t="str">
        <f>IFERROR(INDEX('Sport Records'!$B$52:$O$71,MATCH($G$57,'Sport Records'!$A$52:$A$71,0),MATCH($A67,'Sport Records'!$B$51:$O$51,0)),"")</f>
        <v/>
      </c>
      <c r="H67" s="110" t="str">
        <f>IFERROR(INDEX('Sport Records'!$B$52:$O$71,MATCH($H$57,'Sport Records'!$A$52:$A$71,0),MATCH($A67,'Sport Records'!$B$51:$O$51,0)),"")</f>
        <v/>
      </c>
      <c r="I67" s="110" t="str">
        <f>IFERROR(INDEX('Sport Records'!$B$52:$O$71,MATCH($I$57,'Sport Records'!$A$52:$A$71,0),MATCH($A67,'Sport Records'!$B$51:$O$51,0)),"")</f>
        <v/>
      </c>
      <c r="J67" s="110" t="str">
        <f>IFERROR(INDEX('Sport Records'!$B$52:$O$71,MATCH($J$57,'Sport Records'!$A$52:$A$71,0),MATCH($A67,'Sport Records'!$B$51:$O$51,0)),"")</f>
        <v/>
      </c>
      <c r="K67" s="110" t="str">
        <f>IFERROR(INDEX('Sport Records'!$B$52:$O$71,MATCH($K$57,'Sport Records'!$A$52:$A$71,0),MATCH($A67,'Sport Records'!$B$51:$O$51,0)),"")</f>
        <v/>
      </c>
      <c r="L67" s="110" t="str">
        <f>IFERROR(INDEX('Sport Records'!$B$52:$O$71,MATCH($L$57,'Sport Records'!$A$52:$A$71,0),MATCH($A67,'Sport Records'!$B$51:$O$51,0)),"")</f>
        <v/>
      </c>
      <c r="M67" s="110">
        <f>IFERROR(INDEX('Sport Records'!$B$52:$O$71,MATCH($M$57,'Sport Records'!$A$52:$A$71,0),MATCH($A67,'Sport Records'!$B$51:$O$51,0)),"")</f>
        <v>0</v>
      </c>
      <c r="N67" s="110" t="str">
        <f>IFERROR(INDEX('Sport Records'!$B$52:$O$71,MATCH($N$57,'Sport Records'!$A$52:$A$71,0),MATCH($A67,'Sport Records'!$B$51:$O$51,0)),"")</f>
        <v/>
      </c>
      <c r="O67" s="110" t="str">
        <f>IFERROR(INDEX('Sport Records'!$B$52:$O$71,MATCH($O$57,'Sport Records'!$A$52:$A$71,0),MATCH($A67,'Sport Records'!$B$51:$O$51,0)),"")</f>
        <v/>
      </c>
      <c r="P67" s="110" t="str">
        <f>IFERROR(INDEX('Sport Records'!$B$52:$O$71,MATCH($P$57,'Sport Records'!$A$52:$A$71,0),MATCH($A67,'Sport Records'!$B$51:$O$51,0)),"")</f>
        <v/>
      </c>
      <c r="Q67" s="110" t="str">
        <f>IFERROR(INDEX('Sport Records'!$B$52:$O$71,MATCH($Q$57,'Sport Records'!$A$52:$A$71,0),MATCH($A67,'Sport Records'!$B$51:$O$51,0)),"")</f>
        <v/>
      </c>
      <c r="R67" s="110" t="str">
        <f>IFERROR(INDEX('Sport Records'!$B$52:$O$71,MATCH($R$57,'Sport Records'!$A$52:$A$71,0),MATCH($A67,'Sport Records'!$B$51:$O$51,0)),"")</f>
        <v/>
      </c>
      <c r="S67" s="110">
        <f>IFERROR(INDEX('Sport Records'!$B$52:$O$71,MATCH($S$57,'Sport Records'!$A$52:$A$71,0),MATCH($A67,'Sport Records'!$B$51:$O$51,0)),"")</f>
        <v>0.2857142857142857</v>
      </c>
      <c r="T67" s="110" t="str">
        <f>IFERROR(INDEX('Sport Records'!$B$52:$O$71,MATCH($T$57,'Sport Records'!$A$52:$A$71,0),MATCH($A67,'Sport Records'!$B$51:$O$51,0)),"")</f>
        <v/>
      </c>
      <c r="U67" s="26" t="str">
        <f>IFERROR(INDEX('Sport Records'!$B$52:$O$71,MATCH($U$57,'Sport Records'!$A$52:$A$71,0),MATCH($A67,'Sport Records'!$B$51:$O$51,0)),"")</f>
        <v/>
      </c>
    </row>
    <row r="68" spans="1:21" x14ac:dyDescent="0.2">
      <c r="A68" s="86" t="s">
        <v>169</v>
      </c>
      <c r="B68" s="110" t="str">
        <f>IFERROR(INDEX('Sport Records'!$B$52:$O$71,MATCH($B$57,'Sport Records'!$A$52:$A$71,0),MATCH($A68,'Sport Records'!$B$51:$O$51,0)),"")</f>
        <v/>
      </c>
      <c r="C68" s="110" t="str">
        <f>IFERROR(INDEX('Sport Records'!$B$52:$O$71,MATCH($C$57,'Sport Records'!$A$52:$A$71,0),MATCH($A68,'Sport Records'!$B$51:$O$51,0)),"")</f>
        <v/>
      </c>
      <c r="D68" s="110">
        <f>IFERROR(INDEX('Sport Records'!$B$52:$O$71,MATCH($D$57,'Sport Records'!$A$52:$A$71,0),MATCH($A68,'Sport Records'!$B$51:$O$51,0)),"")</f>
        <v>0.33333333333333331</v>
      </c>
      <c r="E68" s="110" t="str">
        <f>IFERROR(INDEX('Sport Records'!$B$52:$O$71,MATCH($E$57,'Sport Records'!$A$52:$A$71,0),MATCH($A68,'Sport Records'!$B$51:$O$51,0)),"")</f>
        <v/>
      </c>
      <c r="F68" s="110">
        <f>IFERROR(INDEX('Sport Records'!$B$52:$O$71,MATCH($F$57,'Sport Records'!$A$52:$A$71,0),MATCH($A68,'Sport Records'!$B$51:$O$51,0)),"")</f>
        <v>0.5</v>
      </c>
      <c r="G68" s="110">
        <f>IFERROR(INDEX('Sport Records'!$B$52:$O$71,MATCH($G$57,'Sport Records'!$A$52:$A$71,0),MATCH($A68,'Sport Records'!$B$51:$O$51,0)),"")</f>
        <v>0</v>
      </c>
      <c r="H68" s="110" t="str">
        <f>IFERROR(INDEX('Sport Records'!$B$52:$O$71,MATCH($H$57,'Sport Records'!$A$52:$A$71,0),MATCH($A68,'Sport Records'!$B$51:$O$51,0)),"")</f>
        <v/>
      </c>
      <c r="I68" s="110" t="str">
        <f>IFERROR(INDEX('Sport Records'!$B$52:$O$71,MATCH($I$57,'Sport Records'!$A$52:$A$71,0),MATCH($A68,'Sport Records'!$B$51:$O$51,0)),"")</f>
        <v/>
      </c>
      <c r="J68" s="110">
        <f>IFERROR(INDEX('Sport Records'!$B$52:$O$71,MATCH($J$57,'Sport Records'!$A$52:$A$71,0),MATCH($A68,'Sport Records'!$B$51:$O$51,0)),"")</f>
        <v>0</v>
      </c>
      <c r="K68" s="110" t="str">
        <f>IFERROR(INDEX('Sport Records'!$B$52:$O$71,MATCH($K$57,'Sport Records'!$A$52:$A$71,0),MATCH($A68,'Sport Records'!$B$51:$O$51,0)),"")</f>
        <v/>
      </c>
      <c r="L68" s="110" t="str">
        <f>IFERROR(INDEX('Sport Records'!$B$52:$O$71,MATCH($L$57,'Sport Records'!$A$52:$A$71,0),MATCH($A68,'Sport Records'!$B$51:$O$51,0)),"")</f>
        <v/>
      </c>
      <c r="M68" s="110">
        <f>IFERROR(INDEX('Sport Records'!$B$52:$O$71,MATCH($M$57,'Sport Records'!$A$52:$A$71,0),MATCH($A68,'Sport Records'!$B$51:$O$51,0)),"")</f>
        <v>0.46153846153846156</v>
      </c>
      <c r="N68" s="110">
        <f>IFERROR(INDEX('Sport Records'!$B$52:$O$71,MATCH($N$57,'Sport Records'!$A$52:$A$71,0),MATCH($A68,'Sport Records'!$B$51:$O$51,0)),"")</f>
        <v>0.33333333333333331</v>
      </c>
      <c r="O68" s="110">
        <f>IFERROR(INDEX('Sport Records'!$B$52:$O$71,MATCH($O$57,'Sport Records'!$A$52:$A$71,0),MATCH($A68,'Sport Records'!$B$51:$O$51,0)),"")</f>
        <v>0.7142857142857143</v>
      </c>
      <c r="P68" s="110" t="str">
        <f>IFERROR(INDEX('Sport Records'!$B$52:$O$71,MATCH($P$57,'Sport Records'!$A$52:$A$71,0),MATCH($A68,'Sport Records'!$B$51:$O$51,0)),"")</f>
        <v/>
      </c>
      <c r="Q68" s="110" t="str">
        <f>IFERROR(INDEX('Sport Records'!$B$52:$O$71,MATCH($Q$57,'Sport Records'!$A$52:$A$71,0),MATCH($A68,'Sport Records'!$B$51:$O$51,0)),"")</f>
        <v/>
      </c>
      <c r="R68" s="110" t="str">
        <f>IFERROR(INDEX('Sport Records'!$B$52:$O$71,MATCH($R$57,'Sport Records'!$A$52:$A$71,0),MATCH($A68,'Sport Records'!$B$51:$O$51,0)),"")</f>
        <v/>
      </c>
      <c r="S68" s="110">
        <f>IFERROR(INDEX('Sport Records'!$B$52:$O$71,MATCH($S$57,'Sport Records'!$A$52:$A$71,0),MATCH($A68,'Sport Records'!$B$51:$O$51,0)),"")</f>
        <v>0.41666666666666669</v>
      </c>
      <c r="T68" s="110" t="str">
        <f>IFERROR(INDEX('Sport Records'!$B$52:$O$71,MATCH($T$57,'Sport Records'!$A$52:$A$71,0),MATCH($A68,'Sport Records'!$B$51:$O$51,0)),"")</f>
        <v/>
      </c>
      <c r="U68" s="26" t="str">
        <f>IFERROR(INDEX('Sport Records'!$B$52:$O$71,MATCH($U$57,'Sport Records'!$A$52:$A$71,0),MATCH($A68,'Sport Records'!$B$51:$O$51,0)),"")</f>
        <v/>
      </c>
    </row>
    <row r="69" spans="1:21" x14ac:dyDescent="0.2">
      <c r="A69" s="86" t="s">
        <v>171</v>
      </c>
      <c r="B69" s="110" t="str">
        <f>IFERROR(INDEX('Sport Records'!$B$52:$O$71,MATCH($B$57,'Sport Records'!$A$52:$A$71,0),MATCH($A69,'Sport Records'!$B$51:$O$51,0)),"")</f>
        <v/>
      </c>
      <c r="C69" s="110" t="str">
        <f>IFERROR(INDEX('Sport Records'!$B$52:$O$71,MATCH($C$57,'Sport Records'!$A$52:$A$71,0),MATCH($A69,'Sport Records'!$B$51:$O$51,0)),"")</f>
        <v/>
      </c>
      <c r="D69" s="110" t="str">
        <f>IFERROR(INDEX('Sport Records'!$B$52:$O$71,MATCH($D$57,'Sport Records'!$A$52:$A$71,0),MATCH($A69,'Sport Records'!$B$51:$O$51,0)),"")</f>
        <v/>
      </c>
      <c r="E69" s="110" t="str">
        <f>IFERROR(INDEX('Sport Records'!$B$52:$O$71,MATCH($E$57,'Sport Records'!$A$52:$A$71,0),MATCH($A69,'Sport Records'!$B$51:$O$51,0)),"")</f>
        <v/>
      </c>
      <c r="F69" s="110" t="str">
        <f>IFERROR(INDEX('Sport Records'!$B$52:$O$71,MATCH($F$57,'Sport Records'!$A$52:$A$71,0),MATCH($A69,'Sport Records'!$B$51:$O$51,0)),"")</f>
        <v/>
      </c>
      <c r="G69" s="110" t="str">
        <f>IFERROR(INDEX('Sport Records'!$B$52:$O$71,MATCH($G$57,'Sport Records'!$A$52:$A$71,0),MATCH($A69,'Sport Records'!$B$51:$O$51,0)),"")</f>
        <v/>
      </c>
      <c r="H69" s="110" t="str">
        <f>IFERROR(INDEX('Sport Records'!$B$52:$O$71,MATCH($H$57,'Sport Records'!$A$52:$A$71,0),MATCH($A69,'Sport Records'!$B$51:$O$51,0)),"")</f>
        <v/>
      </c>
      <c r="I69" s="110" t="str">
        <f>IFERROR(INDEX('Sport Records'!$B$52:$O$71,MATCH($I$57,'Sport Records'!$A$52:$A$71,0),MATCH($A69,'Sport Records'!$B$51:$O$51,0)),"")</f>
        <v/>
      </c>
      <c r="J69" s="110" t="str">
        <f>IFERROR(INDEX('Sport Records'!$B$52:$O$71,MATCH($J$57,'Sport Records'!$A$52:$A$71,0),MATCH($A69,'Sport Records'!$B$51:$O$51,0)),"")</f>
        <v/>
      </c>
      <c r="K69" s="110" t="str">
        <f>IFERROR(INDEX('Sport Records'!$B$52:$O$71,MATCH($K$57,'Sport Records'!$A$52:$A$71,0),MATCH($A69,'Sport Records'!$B$51:$O$51,0)),"")</f>
        <v/>
      </c>
      <c r="L69" s="110" t="str">
        <f>IFERROR(INDEX('Sport Records'!$B$52:$O$71,MATCH($L$57,'Sport Records'!$A$52:$A$71,0),MATCH($A69,'Sport Records'!$B$51:$O$51,0)),"")</f>
        <v/>
      </c>
      <c r="M69" s="110" t="str">
        <f>IFERROR(INDEX('Sport Records'!$B$52:$O$71,MATCH($M$57,'Sport Records'!$A$52:$A$71,0),MATCH($A69,'Sport Records'!$B$51:$O$51,0)),"")</f>
        <v/>
      </c>
      <c r="N69" s="110" t="str">
        <f>IFERROR(INDEX('Sport Records'!$B$52:$O$71,MATCH($N$57,'Sport Records'!$A$52:$A$71,0),MATCH($A69,'Sport Records'!$B$51:$O$51,0)),"")</f>
        <v/>
      </c>
      <c r="O69" s="110" t="str">
        <f>IFERROR(INDEX('Sport Records'!$B$52:$O$71,MATCH($O$57,'Sport Records'!$A$52:$A$71,0),MATCH($A69,'Sport Records'!$B$51:$O$51,0)),"")</f>
        <v/>
      </c>
      <c r="P69" s="110" t="str">
        <f>IFERROR(INDEX('Sport Records'!$B$52:$O$71,MATCH($P$57,'Sport Records'!$A$52:$A$71,0),MATCH($A69,'Sport Records'!$B$51:$O$51,0)),"")</f>
        <v/>
      </c>
      <c r="Q69" s="110" t="str">
        <f>IFERROR(INDEX('Sport Records'!$B$52:$O$71,MATCH($Q$57,'Sport Records'!$A$52:$A$71,0),MATCH($A69,'Sport Records'!$B$51:$O$51,0)),"")</f>
        <v/>
      </c>
      <c r="R69" s="110" t="str">
        <f>IFERROR(INDEX('Sport Records'!$B$52:$O$71,MATCH($R$57,'Sport Records'!$A$52:$A$71,0),MATCH($A69,'Sport Records'!$B$51:$O$51,0)),"")</f>
        <v/>
      </c>
      <c r="S69" s="110">
        <f>IFERROR(INDEX('Sport Records'!$B$52:$O$71,MATCH($S$57,'Sport Records'!$A$52:$A$71,0),MATCH($A69,'Sport Records'!$B$51:$O$51,0)),"")</f>
        <v>0.4</v>
      </c>
      <c r="T69" s="110" t="str">
        <f>IFERROR(INDEX('Sport Records'!$B$52:$O$71,MATCH($T$57,'Sport Records'!$A$52:$A$71,0),MATCH($A69,'Sport Records'!$B$51:$O$51,0)),"")</f>
        <v/>
      </c>
      <c r="U69" s="26" t="str">
        <f>IFERROR(INDEX('Sport Records'!$B$52:$O$71,MATCH($U$57,'Sport Records'!$A$52:$A$71,0),MATCH($A69,'Sport Records'!$B$51:$O$51,0)),"")</f>
        <v/>
      </c>
    </row>
    <row r="70" spans="1:21" x14ac:dyDescent="0.2">
      <c r="A70" s="86" t="s">
        <v>172</v>
      </c>
      <c r="B70" s="110" t="str">
        <f>IFERROR(INDEX('Sport Records'!$B$52:$O$71,MATCH($B$57,'Sport Records'!$A$52:$A$71,0),MATCH($A70,'Sport Records'!$B$51:$O$51,0)),"")</f>
        <v/>
      </c>
      <c r="C70" s="110" t="str">
        <f>IFERROR(INDEX('Sport Records'!$B$52:$O$71,MATCH($C$57,'Sport Records'!$A$52:$A$71,0),MATCH($A70,'Sport Records'!$B$51:$O$51,0)),"")</f>
        <v/>
      </c>
      <c r="D70" s="110" t="str">
        <f>IFERROR(INDEX('Sport Records'!$B$52:$O$71,MATCH($D$57,'Sport Records'!$A$52:$A$71,0),MATCH($A70,'Sport Records'!$B$51:$O$51,0)),"")</f>
        <v/>
      </c>
      <c r="E70" s="110" t="str">
        <f>IFERROR(INDEX('Sport Records'!$B$52:$O$71,MATCH($E$57,'Sport Records'!$A$52:$A$71,0),MATCH($A70,'Sport Records'!$B$51:$O$51,0)),"")</f>
        <v/>
      </c>
      <c r="F70" s="110" t="str">
        <f>IFERROR(INDEX('Sport Records'!$B$52:$O$71,MATCH($F$57,'Sport Records'!$A$52:$A$71,0),MATCH($A70,'Sport Records'!$B$51:$O$51,0)),"")</f>
        <v/>
      </c>
      <c r="G70" s="110" t="str">
        <f>IFERROR(INDEX('Sport Records'!$B$52:$O$71,MATCH($G$57,'Sport Records'!$A$52:$A$71,0),MATCH($A70,'Sport Records'!$B$51:$O$51,0)),"")</f>
        <v/>
      </c>
      <c r="H70" s="110" t="str">
        <f>IFERROR(INDEX('Sport Records'!$B$52:$O$71,MATCH($H$57,'Sport Records'!$A$52:$A$71,0),MATCH($A70,'Sport Records'!$B$51:$O$51,0)),"")</f>
        <v/>
      </c>
      <c r="I70" s="110" t="str">
        <f>IFERROR(INDEX('Sport Records'!$B$52:$O$71,MATCH($I$57,'Sport Records'!$A$52:$A$71,0),MATCH($A70,'Sport Records'!$B$51:$O$51,0)),"")</f>
        <v/>
      </c>
      <c r="J70" s="110" t="str">
        <f>IFERROR(INDEX('Sport Records'!$B$52:$O$71,MATCH($J$57,'Sport Records'!$A$52:$A$71,0),MATCH($A70,'Sport Records'!$B$51:$O$51,0)),"")</f>
        <v/>
      </c>
      <c r="K70" s="110" t="str">
        <f>IFERROR(INDEX('Sport Records'!$B$52:$O$71,MATCH($K$57,'Sport Records'!$A$52:$A$71,0),MATCH($A70,'Sport Records'!$B$51:$O$51,0)),"")</f>
        <v/>
      </c>
      <c r="L70" s="110" t="str">
        <f>IFERROR(INDEX('Sport Records'!$B$52:$O$71,MATCH($L$57,'Sport Records'!$A$52:$A$71,0),MATCH($A70,'Sport Records'!$B$51:$O$51,0)),"")</f>
        <v/>
      </c>
      <c r="M70" s="110" t="str">
        <f>IFERROR(INDEX('Sport Records'!$B$52:$O$71,MATCH($M$57,'Sport Records'!$A$52:$A$71,0),MATCH($A70,'Sport Records'!$B$51:$O$51,0)),"")</f>
        <v/>
      </c>
      <c r="N70" s="110" t="str">
        <f>IFERROR(INDEX('Sport Records'!$B$52:$O$71,MATCH($N$57,'Sport Records'!$A$52:$A$71,0),MATCH($A70,'Sport Records'!$B$51:$O$51,0)),"")</f>
        <v/>
      </c>
      <c r="O70" s="110" t="str">
        <f>IFERROR(INDEX('Sport Records'!$B$52:$O$71,MATCH($O$57,'Sport Records'!$A$52:$A$71,0),MATCH($A70,'Sport Records'!$B$51:$O$51,0)),"")</f>
        <v/>
      </c>
      <c r="P70" s="110" t="str">
        <f>IFERROR(INDEX('Sport Records'!$B$52:$O$71,MATCH($P$57,'Sport Records'!$A$52:$A$71,0),MATCH($A70,'Sport Records'!$B$51:$O$51,0)),"")</f>
        <v/>
      </c>
      <c r="Q70" s="110" t="str">
        <f>IFERROR(INDEX('Sport Records'!$B$52:$O$71,MATCH($Q$57,'Sport Records'!$A$52:$A$71,0),MATCH($A70,'Sport Records'!$B$51:$O$51,0)),"")</f>
        <v/>
      </c>
      <c r="R70" s="110" t="str">
        <f>IFERROR(INDEX('Sport Records'!$B$52:$O$71,MATCH($R$57,'Sport Records'!$A$52:$A$71,0),MATCH($A70,'Sport Records'!$B$51:$O$51,0)),"")</f>
        <v/>
      </c>
      <c r="S70" s="110">
        <f>IFERROR(INDEX('Sport Records'!$B$52:$O$71,MATCH($S$57,'Sport Records'!$A$52:$A$71,0),MATCH($A70,'Sport Records'!$B$51:$O$51,0)),"")</f>
        <v>0.5</v>
      </c>
      <c r="T70" s="110" t="str">
        <f>IFERROR(INDEX('Sport Records'!$B$52:$O$71,MATCH($T$57,'Sport Records'!$A$52:$A$71,0),MATCH($A70,'Sport Records'!$B$51:$O$51,0)),"")</f>
        <v/>
      </c>
      <c r="U70" s="26" t="str">
        <f>IFERROR(INDEX('Sport Records'!$B$52:$O$71,MATCH($U$57,'Sport Records'!$A$52:$A$71,0),MATCH($A70,'Sport Records'!$B$51:$O$51,0)),"")</f>
        <v/>
      </c>
    </row>
    <row r="71" spans="1:21" x14ac:dyDescent="0.2">
      <c r="A71" s="86" t="s">
        <v>174</v>
      </c>
      <c r="B71" s="110" t="str">
        <f>IFERROR(INDEX('Sport Records'!$B$52:$O$71,MATCH($B$57,'Sport Records'!$A$52:$A$71,0),MATCH($A71,'Sport Records'!$B$51:$O$51,0)),"")</f>
        <v/>
      </c>
      <c r="C71" s="110" t="str">
        <f>IFERROR(INDEX('Sport Records'!$B$52:$O$71,MATCH($C$57,'Sport Records'!$A$52:$A$71,0),MATCH($A71,'Sport Records'!$B$51:$O$51,0)),"")</f>
        <v/>
      </c>
      <c r="D71" s="110" t="str">
        <f>IFERROR(INDEX('Sport Records'!$B$52:$O$71,MATCH($D$57,'Sport Records'!$A$52:$A$71,0),MATCH($A71,'Sport Records'!$B$51:$O$51,0)),"")</f>
        <v/>
      </c>
      <c r="E71" s="110" t="str">
        <f>IFERROR(INDEX('Sport Records'!$B$52:$O$71,MATCH($E$57,'Sport Records'!$A$52:$A$71,0),MATCH($A71,'Sport Records'!$B$51:$O$51,0)),"")</f>
        <v/>
      </c>
      <c r="F71" s="110" t="str">
        <f>IFERROR(INDEX('Sport Records'!$B$52:$O$71,MATCH($F$57,'Sport Records'!$A$52:$A$71,0),MATCH($A71,'Sport Records'!$B$51:$O$51,0)),"")</f>
        <v/>
      </c>
      <c r="G71" s="110" t="str">
        <f>IFERROR(INDEX('Sport Records'!$B$52:$O$71,MATCH($G$57,'Sport Records'!$A$52:$A$71,0),MATCH($A71,'Sport Records'!$B$51:$O$51,0)),"")</f>
        <v/>
      </c>
      <c r="H71" s="110" t="str">
        <f>IFERROR(INDEX('Sport Records'!$B$52:$O$71,MATCH($H$57,'Sport Records'!$A$52:$A$71,0),MATCH($A71,'Sport Records'!$B$51:$O$51,0)),"")</f>
        <v/>
      </c>
      <c r="I71" s="110" t="str">
        <f>IFERROR(INDEX('Sport Records'!$B$52:$O$71,MATCH($I$57,'Sport Records'!$A$52:$A$71,0),MATCH($A71,'Sport Records'!$B$51:$O$51,0)),"")</f>
        <v/>
      </c>
      <c r="J71" s="110" t="str">
        <f>IFERROR(INDEX('Sport Records'!$B$52:$O$71,MATCH($J$57,'Sport Records'!$A$52:$A$71,0),MATCH($A71,'Sport Records'!$B$51:$O$51,0)),"")</f>
        <v/>
      </c>
      <c r="K71" s="110" t="str">
        <f>IFERROR(INDEX('Sport Records'!$B$52:$O$71,MATCH($K$57,'Sport Records'!$A$52:$A$71,0),MATCH($A71,'Sport Records'!$B$51:$O$51,0)),"")</f>
        <v/>
      </c>
      <c r="L71" s="110" t="str">
        <f>IFERROR(INDEX('Sport Records'!$B$52:$O$71,MATCH($L$57,'Sport Records'!$A$52:$A$71,0),MATCH($A71,'Sport Records'!$B$51:$O$51,0)),"")</f>
        <v/>
      </c>
      <c r="M71" s="110" t="str">
        <f>IFERROR(INDEX('Sport Records'!$B$52:$O$71,MATCH($M$57,'Sport Records'!$A$52:$A$71,0),MATCH($A71,'Sport Records'!$B$51:$O$51,0)),"")</f>
        <v/>
      </c>
      <c r="N71" s="110" t="str">
        <f>IFERROR(INDEX('Sport Records'!$B$52:$O$71,MATCH($N$57,'Sport Records'!$A$52:$A$71,0),MATCH($A71,'Sport Records'!$B$51:$O$51,0)),"")</f>
        <v/>
      </c>
      <c r="O71" s="110" t="str">
        <f>IFERROR(INDEX('Sport Records'!$B$52:$O$71,MATCH($O$57,'Sport Records'!$A$52:$A$71,0),MATCH($A71,'Sport Records'!$B$51:$O$51,0)),"")</f>
        <v/>
      </c>
      <c r="P71" s="110" t="str">
        <f>IFERROR(INDEX('Sport Records'!$B$52:$O$71,MATCH($P$57,'Sport Records'!$A$52:$A$71,0),MATCH($A71,'Sport Records'!$B$51:$O$51,0)),"")</f>
        <v/>
      </c>
      <c r="Q71" s="110" t="str">
        <f>IFERROR(INDEX('Sport Records'!$B$52:$O$71,MATCH($Q$57,'Sport Records'!$A$52:$A$71,0),MATCH($A71,'Sport Records'!$B$51:$O$51,0)),"")</f>
        <v/>
      </c>
      <c r="R71" s="110" t="str">
        <f>IFERROR(INDEX('Sport Records'!$B$52:$O$71,MATCH($R$57,'Sport Records'!$A$52:$A$71,0),MATCH($A71,'Sport Records'!$B$51:$O$51,0)),"")</f>
        <v/>
      </c>
      <c r="S71" s="110" t="str">
        <f>IFERROR(INDEX('Sport Records'!$B$52:$O$71,MATCH($S$57,'Sport Records'!$A$52:$A$71,0),MATCH($A71,'Sport Records'!$B$51:$O$51,0)),"")</f>
        <v/>
      </c>
      <c r="T71" s="110" t="str">
        <f>IFERROR(INDEX('Sport Records'!$B$52:$O$71,MATCH($T$57,'Sport Records'!$A$52:$A$71,0),MATCH($A71,'Sport Records'!$B$51:$O$51,0)),"")</f>
        <v/>
      </c>
      <c r="U71" s="26" t="str">
        <f>IFERROR(INDEX('Sport Records'!$B$52:$O$71,MATCH($U$57,'Sport Records'!$A$52:$A$71,0),MATCH($A71,'Sport Records'!$B$51:$O$51,0)),"")</f>
        <v/>
      </c>
    </row>
    <row r="72" spans="1:21" x14ac:dyDescent="0.2">
      <c r="A72" s="26"/>
      <c r="B72" s="98"/>
      <c r="C72" s="98"/>
      <c r="D72" s="98"/>
      <c r="E72" s="98"/>
      <c r="F72" s="98"/>
      <c r="G72" s="98"/>
      <c r="H72" s="98"/>
      <c r="I72" s="98"/>
      <c r="J72" s="98"/>
      <c r="K72" s="98"/>
      <c r="L72" s="98"/>
      <c r="M72" s="98"/>
      <c r="N72" s="98"/>
      <c r="O72" s="98"/>
      <c r="P72" s="98"/>
      <c r="Q72" s="98"/>
      <c r="R72" s="98"/>
      <c r="S72" s="98"/>
      <c r="T72" s="98"/>
      <c r="U72" s="26"/>
    </row>
    <row r="73" spans="1:21" x14ac:dyDescent="0.2">
      <c r="A73" s="26"/>
      <c r="B73" s="98"/>
      <c r="C73" s="98"/>
      <c r="D73" s="98"/>
      <c r="E73" s="98"/>
      <c r="F73" s="98"/>
      <c r="G73" s="98"/>
      <c r="H73" s="98"/>
      <c r="I73" s="98"/>
      <c r="J73" s="98"/>
      <c r="K73" s="98"/>
      <c r="L73" s="98"/>
      <c r="M73" s="98"/>
      <c r="N73" s="98"/>
      <c r="O73" s="98"/>
      <c r="P73" s="98"/>
      <c r="Q73" s="98"/>
      <c r="R73" s="98"/>
      <c r="S73" s="98"/>
      <c r="T73" s="98"/>
      <c r="U73" s="26"/>
    </row>
    <row r="74" spans="1:21" x14ac:dyDescent="0.2">
      <c r="A74" s="26"/>
      <c r="B74" s="98"/>
      <c r="C74" s="98"/>
      <c r="D74" s="98"/>
      <c r="E74" s="98"/>
      <c r="F74" s="98"/>
      <c r="G74" s="98"/>
      <c r="H74" s="98"/>
      <c r="I74" s="98"/>
      <c r="J74" s="98"/>
      <c r="K74" s="98"/>
      <c r="L74" s="98"/>
      <c r="M74" s="98"/>
      <c r="N74" s="98"/>
      <c r="O74" s="98"/>
      <c r="P74" s="98"/>
      <c r="Q74" s="98"/>
      <c r="R74" s="98"/>
      <c r="S74" s="98"/>
      <c r="T74" s="98"/>
      <c r="U74" s="26"/>
    </row>
    <row r="75" spans="1:21" x14ac:dyDescent="0.2">
      <c r="A75" s="26"/>
      <c r="B75" s="98"/>
      <c r="C75" s="98"/>
      <c r="D75" s="98"/>
      <c r="E75" s="98"/>
      <c r="F75" s="98"/>
      <c r="G75" s="98"/>
      <c r="H75" s="98"/>
      <c r="I75" s="98"/>
      <c r="J75" s="98"/>
      <c r="K75" s="98"/>
      <c r="L75" s="98"/>
      <c r="M75" s="98"/>
      <c r="N75" s="98"/>
      <c r="O75" s="98"/>
      <c r="P75" s="98"/>
      <c r="Q75" s="98"/>
      <c r="R75" s="98"/>
      <c r="S75" s="98"/>
      <c r="T75" s="98"/>
      <c r="U75" s="26"/>
    </row>
    <row r="76" spans="1:21" x14ac:dyDescent="0.2">
      <c r="A76" s="26"/>
      <c r="B76" s="98"/>
      <c r="C76" s="98"/>
      <c r="D76" s="98"/>
      <c r="E76" s="98"/>
      <c r="F76" s="98"/>
      <c r="G76" s="98"/>
      <c r="H76" s="98"/>
      <c r="I76" s="98"/>
      <c r="J76" s="98"/>
      <c r="K76" s="98"/>
      <c r="L76" s="98"/>
      <c r="M76" s="98"/>
      <c r="N76" s="98"/>
      <c r="O76" s="98"/>
      <c r="P76" s="98"/>
      <c r="Q76" s="98"/>
      <c r="R76" s="98"/>
      <c r="S76" s="98"/>
      <c r="T76" s="98"/>
      <c r="U76" s="26"/>
    </row>
    <row r="77" spans="1:21" x14ac:dyDescent="0.2">
      <c r="A77" s="26"/>
      <c r="B77" s="98"/>
      <c r="C77" s="98"/>
      <c r="D77" s="98"/>
      <c r="E77" s="98"/>
      <c r="F77" s="98"/>
      <c r="G77" s="98"/>
      <c r="H77" s="98"/>
      <c r="I77" s="98"/>
      <c r="J77" s="98"/>
      <c r="K77" s="98"/>
      <c r="L77" s="98"/>
      <c r="M77" s="98"/>
      <c r="N77" s="98"/>
      <c r="O77" s="98"/>
      <c r="P77" s="98"/>
      <c r="Q77" s="98"/>
      <c r="R77" s="98"/>
      <c r="S77" s="98"/>
      <c r="T77" s="98"/>
      <c r="U77" s="26"/>
    </row>
    <row r="78" spans="1:21" x14ac:dyDescent="0.2">
      <c r="A78" s="26"/>
      <c r="B78" s="98"/>
      <c r="C78" s="98"/>
      <c r="D78" s="98"/>
      <c r="E78" s="98"/>
      <c r="F78" s="98"/>
      <c r="G78" s="98"/>
      <c r="H78" s="98"/>
      <c r="I78" s="98"/>
      <c r="J78" s="98"/>
      <c r="K78" s="98"/>
      <c r="L78" s="98"/>
      <c r="M78" s="98"/>
      <c r="N78" s="98"/>
      <c r="O78" s="98"/>
      <c r="P78" s="98"/>
      <c r="Q78" s="98"/>
      <c r="R78" s="98"/>
      <c r="S78" s="98"/>
      <c r="T78" s="98"/>
      <c r="U78" s="26"/>
    </row>
    <row r="79" spans="1:21" x14ac:dyDescent="0.2">
      <c r="A79" s="26"/>
      <c r="B79" s="98"/>
      <c r="C79" s="98"/>
      <c r="D79" s="98"/>
      <c r="E79" s="98"/>
      <c r="F79" s="98"/>
      <c r="G79" s="98"/>
      <c r="H79" s="98"/>
      <c r="I79" s="98"/>
      <c r="J79" s="98"/>
      <c r="K79" s="98"/>
      <c r="L79" s="98"/>
      <c r="M79" s="98"/>
      <c r="N79" s="98"/>
      <c r="O79" s="98"/>
      <c r="P79" s="98"/>
      <c r="Q79" s="98"/>
      <c r="R79" s="98"/>
      <c r="S79" s="98"/>
      <c r="T79" s="98"/>
      <c r="U79" s="26"/>
    </row>
    <row r="80" spans="1:21"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Lists!$C$2:$C$21</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zoomScale="118" zoomScaleNormal="118" workbookViewId="0">
      <pane xSplit="5" ySplit="3" topLeftCell="F286" activePane="bottomRight" state="frozen"/>
      <selection pane="topRight" activeCell="F1" sqref="F1"/>
      <selection pane="bottomLeft" activeCell="A244" sqref="A244"/>
      <selection pane="bottomRight" activeCell="E321" sqref="E321"/>
    </sheetView>
  </sheetViews>
  <sheetFormatPr baseColWidth="10" defaultColWidth="8.6640625" defaultRowHeight="15" x14ac:dyDescent="0.2"/>
  <cols>
    <col min="1" max="1" width="12.1640625" customWidth="1"/>
    <col min="2"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1" t="s">
        <v>284</v>
      </c>
      <c r="B1" s="161"/>
      <c r="C1" s="161"/>
      <c r="D1" s="161"/>
      <c r="E1" s="161"/>
      <c r="F1" s="161"/>
      <c r="G1" s="161"/>
      <c r="H1" s="161"/>
      <c r="I1" s="161"/>
      <c r="J1" s="161"/>
      <c r="K1" s="161"/>
      <c r="L1" s="161"/>
      <c r="M1" s="161"/>
      <c r="N1" s="161"/>
      <c r="O1" s="161"/>
    </row>
    <row r="2" spans="1:29" ht="15" customHeight="1" x14ac:dyDescent="0.2">
      <c r="A2" s="162" t="s">
        <v>285</v>
      </c>
      <c r="B2" s="162"/>
      <c r="C2" s="162"/>
      <c r="D2" s="162"/>
      <c r="E2" s="162"/>
      <c r="F2" s="162"/>
      <c r="G2" s="162"/>
      <c r="H2" s="162"/>
      <c r="I2" s="162"/>
      <c r="J2" s="162"/>
      <c r="K2" s="162"/>
      <c r="L2" s="162"/>
      <c r="M2" s="162"/>
      <c r="N2" s="162"/>
      <c r="O2" s="162"/>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IF($D4="","",IF(SUMPRODUCT(MAX(($D$4:$D$810=$D4)*($B$4:$B$810&lt;$B4)*$B$4:$B$810))=0,0,MAX(($B4-MAX(SUMPRODUCT(MAX(($D$4:$D$810=$D4)*($B$4:$B$810&lt;$B4)*$B$4:$B$810)),'Guide &amp; Settings'!$C$50))/7-'Guide &amp; Settings'!$C$48,0)*'Guide &amp; Settings'!$C$49))</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IF($D5="","",IF(SUMPRODUCT(MAX(($D$4:$D$810=$D5)*($B$4:$B$810&lt;$B5)*$B$4:$B$810))=0,0,MAX(($B5-MAX(SUMPRODUCT(MAX(($D$4:$D$810=$D5)*($B$4:$B$810&lt;$B5)*$B$4:$B$810)),'Guide &amp; Settings'!$C$50))/7-'Guide &amp; Settings'!$C$48,0)*'Guide &amp; Settings'!$C$49))</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IF($D6="","",IF(SUMPRODUCT(MAX(($D$4:$D$810=$D6)*($B$4:$B$810&lt;$B6)*$B$4:$B$810))=0,0,MAX(($B6-MAX(SUMPRODUCT(MAX(($D$4:$D$810=$D6)*($B$4:$B$810&lt;$B6)*$B$4:$B$810)),'Guide &amp; Settings'!$C$50))/7-'Guide &amp; Settings'!$C$48,0)*'Guide &amp; Settings'!$C$49))</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IF($D7="","",IF(SUMPRODUCT(MAX(($D$4:$D$810=$D7)*($B$4:$B$810&lt;$B7)*$B$4:$B$810))=0,0,MAX(($B7-MAX(SUMPRODUCT(MAX(($D$4:$D$810=$D7)*($B$4:$B$810&lt;$B7)*$B$4:$B$810)),'Guide &amp; Settings'!$C$50))/7-'Guide &amp; Settings'!$C$48,0)*'Guide &amp; Settings'!$C$49))</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IF($D8="","",IF(SUMPRODUCT(MAX(($D$4:$D$810=$D8)*($B$4:$B$810&lt;$B8)*$B$4:$B$810))=0,0,MAX(($B8-MAX(SUMPRODUCT(MAX(($D$4:$D$810=$D8)*($B$4:$B$810&lt;$B8)*$B$4:$B$810)),'Guide &amp; Settings'!$C$50))/7-'Guide &amp; Settings'!$C$48,0)*'Guide &amp; Settings'!$C$49))</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IF($D9="","",IF(SUMPRODUCT(MAX(($D$4:$D$810=$D9)*($B$4:$B$810&lt;$B9)*$B$4:$B$810))=0,0,MAX(($B9-MAX(SUMPRODUCT(MAX(($D$4:$D$810=$D9)*($B$4:$B$810&lt;$B9)*$B$4:$B$810)),'Guide &amp; Settings'!$C$50))/7-'Guide &amp; Settings'!$C$48,0)*'Guide &amp; Settings'!$C$49))</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IF($D10="","",IF(SUMPRODUCT(MAX(($D$4:$D$810=$D10)*($B$4:$B$810&lt;$B10)*$B$4:$B$810))=0,0,MAX(($B10-MAX(SUMPRODUCT(MAX(($D$4:$D$810=$D10)*($B$4:$B$810&lt;$B10)*$B$4:$B$810)),'Guide &amp; Settings'!$C$50))/7-'Guide &amp; Settings'!$C$48,0)*'Guide &amp; Settings'!$C$49))</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IF($D11="","",IF(SUMPRODUCT(MAX(($D$4:$D$810=$D11)*($B$4:$B$810&lt;$B11)*$B$4:$B$810))=0,0,MAX(($B11-MAX(SUMPRODUCT(MAX(($D$4:$D$810=$D11)*($B$4:$B$810&lt;$B11)*$B$4:$B$810)),'Guide &amp; Settings'!$C$50))/7-'Guide &amp; Settings'!$C$48,0)*'Guide &amp; Settings'!$C$49))</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IF($D12="","",IF(SUMPRODUCT(MAX(($D$4:$D$810=$D12)*($B$4:$B$810&lt;$B12)*$B$4:$B$810))=0,0,MAX(($B12-MAX(SUMPRODUCT(MAX(($D$4:$D$810=$D12)*($B$4:$B$810&lt;$B12)*$B$4:$B$810)),'Guide &amp; Settings'!$C$50))/7-'Guide &amp; Settings'!$C$48,0)*'Guide &amp; Settings'!$C$49))</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IF($D13="","",IF(SUMPRODUCT(MAX(($D$4:$D$810=$D13)*($B$4:$B$810&lt;$B13)*$B$4:$B$810))=0,0,MAX(($B13-MAX(SUMPRODUCT(MAX(($D$4:$D$810=$D13)*($B$4:$B$810&lt;$B13)*$B$4:$B$810)),'Guide &amp; Settings'!$C$50))/7-'Guide &amp; Settings'!$C$48,0)*'Guide &amp; Settings'!$C$49))</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IF($D14="","",IF(SUMPRODUCT(MAX(($D$4:$D$810=$D14)*($B$4:$B$810&lt;$B14)*$B$4:$B$810))=0,0,MAX(($B14-MAX(SUMPRODUCT(MAX(($D$4:$D$810=$D14)*($B$4:$B$810&lt;$B14)*$B$4:$B$810)),'Guide &amp; Settings'!$C$50))/7-'Guide &amp; Settings'!$C$48,0)*'Guide &amp; Settings'!$C$49))</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IF($D15="","",IF(SUMPRODUCT(MAX(($D$4:$D$810=$D15)*($B$4:$B$810&lt;$B15)*$B$4:$B$810))=0,0,MAX(($B15-MAX(SUMPRODUCT(MAX(($D$4:$D$810=$D15)*($B$4:$B$810&lt;$B15)*$B$4:$B$810)),'Guide &amp; Settings'!$C$50))/7-'Guide &amp; Settings'!$C$48,0)*'Guide &amp; Settings'!$C$49))</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IF($D16="","",IF(SUMPRODUCT(MAX(($D$4:$D$810=$D16)*($B$4:$B$810&lt;$B16)*$B$4:$B$810))=0,0,MAX(($B16-MAX(SUMPRODUCT(MAX(($D$4:$D$810=$D16)*($B$4:$B$810&lt;$B16)*$B$4:$B$810)),'Guide &amp; Settings'!$C$50))/7-'Guide &amp; Settings'!$C$48,0)*'Guide &amp; Settings'!$C$49))</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IF($D17="","",IF(SUMPRODUCT(MAX(($D$4:$D$810=$D17)*($B$4:$B$810&lt;$B17)*$B$4:$B$810))=0,0,MAX(($B17-MAX(SUMPRODUCT(MAX(($D$4:$D$810=$D17)*($B$4:$B$810&lt;$B17)*$B$4:$B$810)),'Guide &amp; Settings'!$C$50))/7-'Guide &amp; Settings'!$C$48,0)*'Guide &amp; Settings'!$C$49))</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IF($D18="","",IF(SUMPRODUCT(MAX(($D$4:$D$810=$D18)*($B$4:$B$810&lt;$B18)*$B$4:$B$810))=0,0,MAX(($B18-MAX(SUMPRODUCT(MAX(($D$4:$D$810=$D18)*($B$4:$B$810&lt;$B18)*$B$4:$B$810)),'Guide &amp; Settings'!$C$50))/7-'Guide &amp; Settings'!$C$48,0)*'Guide &amp; Settings'!$C$49))</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IF($D19="","",IF(SUMPRODUCT(MAX(($D$4:$D$810=$D19)*($B$4:$B$810&lt;$B19)*$B$4:$B$810))=0,0,MAX(($B19-MAX(SUMPRODUCT(MAX(($D$4:$D$810=$D19)*($B$4:$B$810&lt;$B19)*$B$4:$B$810)),'Guide &amp; Settings'!$C$50))/7-'Guide &amp; Settings'!$C$48,0)*'Guide &amp; Settings'!$C$49))</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IF($D20="","",IF(SUMPRODUCT(MAX(($D$4:$D$810=$D20)*($B$4:$B$810&lt;$B20)*$B$4:$B$810))=0,0,MAX(($B20-MAX(SUMPRODUCT(MAX(($D$4:$D$810=$D20)*($B$4:$B$810&lt;$B20)*$B$4:$B$810)),'Guide &amp; Settings'!$C$50))/7-'Guide &amp; Settings'!$C$48,0)*'Guide &amp; Settings'!$C$49))</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IF($D21="","",IF(SUMPRODUCT(MAX(($D$4:$D$810=$D21)*($B$4:$B$810&lt;$B21)*$B$4:$B$810))=0,0,MAX(($B21-MAX(SUMPRODUCT(MAX(($D$4:$D$810=$D21)*($B$4:$B$810&lt;$B21)*$B$4:$B$810)),'Guide &amp; Settings'!$C$50))/7-'Guide &amp; Settings'!$C$48,0)*'Guide &amp; Settings'!$C$49))</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IF($D22="","",IF(SUMPRODUCT(MAX(($D$4:$D$810=$D22)*($B$4:$B$810&lt;$B22)*$B$4:$B$810))=0,0,MAX(($B22-MAX(SUMPRODUCT(MAX(($D$4:$D$810=$D22)*($B$4:$B$810&lt;$B22)*$B$4:$B$810)),'Guide &amp; Settings'!$C$50))/7-'Guide &amp; Settings'!$C$48,0)*'Guide &amp; Settings'!$C$49))</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IF($D23="","",IF(SUMPRODUCT(MAX(($D$4:$D$810=$D23)*($B$4:$B$810&lt;$B23)*$B$4:$B$810))=0,0,MAX(($B23-MAX(SUMPRODUCT(MAX(($D$4:$D$810=$D23)*($B$4:$B$810&lt;$B23)*$B$4:$B$810)),'Guide &amp; Settings'!$C$50))/7-'Guide &amp; Settings'!$C$48,0)*'Guide &amp; Settings'!$C$49))</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IF($D24="","",IF(SUMPRODUCT(MAX(($D$4:$D$810=$D24)*($B$4:$B$810&lt;$B24)*$B$4:$B$810))=0,0,MAX(($B24-MAX(SUMPRODUCT(MAX(($D$4:$D$810=$D24)*($B$4:$B$810&lt;$B24)*$B$4:$B$810)),'Guide &amp; Settings'!$C$50))/7-'Guide &amp; Settings'!$C$48,0)*'Guide &amp; Settings'!$C$49))</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IF($D25="","",IF(SUMPRODUCT(MAX(($D$4:$D$810=$D25)*($B$4:$B$810&lt;$B25)*$B$4:$B$810))=0,0,MAX(($B25-MAX(SUMPRODUCT(MAX(($D$4:$D$810=$D25)*($B$4:$B$810&lt;$B25)*$B$4:$B$810)),'Guide &amp; Settings'!$C$50))/7-'Guide &amp; Settings'!$C$48,0)*'Guide &amp; Settings'!$C$49))</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IF($D26="","",IF(SUMPRODUCT(MAX(($D$4:$D$810=$D26)*($B$4:$B$810&lt;$B26)*$B$4:$B$810))=0,0,MAX(($B26-MAX(SUMPRODUCT(MAX(($D$4:$D$810=$D26)*($B$4:$B$810&lt;$B26)*$B$4:$B$810)),'Guide &amp; Settings'!$C$50))/7-'Guide &amp; Settings'!$C$48,0)*'Guide &amp; Settings'!$C$49))</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IF($D27="","",IF(SUMPRODUCT(MAX(($D$4:$D$810=$D27)*($B$4:$B$810&lt;$B27)*$B$4:$B$810))=0,0,MAX(($B27-MAX(SUMPRODUCT(MAX(($D$4:$D$810=$D27)*($B$4:$B$810&lt;$B27)*$B$4:$B$810)),'Guide &amp; Settings'!$C$50))/7-'Guide &amp; Settings'!$C$48,0)*'Guide &amp; Settings'!$C$49))</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IF($D28="","",IF(SUMPRODUCT(MAX(($D$4:$D$810=$D28)*($B$4:$B$810&lt;$B28)*$B$4:$B$810))=0,0,MAX(($B28-MAX(SUMPRODUCT(MAX(($D$4:$D$810=$D28)*($B$4:$B$810&lt;$B28)*$B$4:$B$810)),'Guide &amp; Settings'!$C$50))/7-'Guide &amp; Settings'!$C$48,0)*'Guide &amp; Settings'!$C$49))</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IF($D29="","",IF(SUMPRODUCT(MAX(($D$4:$D$810=$D29)*($B$4:$B$810&lt;$B29)*$B$4:$B$810))=0,0,MAX(($B29-MAX(SUMPRODUCT(MAX(($D$4:$D$810=$D29)*($B$4:$B$810&lt;$B29)*$B$4:$B$810)),'Guide &amp; Settings'!$C$50))/7-'Guide &amp; Settings'!$C$48,0)*'Guide &amp; Settings'!$C$49))</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IF($D30="","",IF(SUMPRODUCT(MAX(($D$4:$D$810=$D30)*($B$4:$B$810&lt;$B30)*$B$4:$B$810))=0,0,MAX(($B30-MAX(SUMPRODUCT(MAX(($D$4:$D$810=$D30)*($B$4:$B$810&lt;$B30)*$B$4:$B$810)),'Guide &amp; Settings'!$C$50))/7-'Guide &amp; Settings'!$C$48,0)*'Guide &amp; Settings'!$C$49))</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IF($D31="","",IF(SUMPRODUCT(MAX(($D$4:$D$810=$D31)*($B$4:$B$810&lt;$B31)*$B$4:$B$810))=0,0,MAX(($B31-MAX(SUMPRODUCT(MAX(($D$4:$D$810=$D31)*($B$4:$B$810&lt;$B31)*$B$4:$B$810)),'Guide &amp; Settings'!$C$50))/7-'Guide &amp; Settings'!$C$48,0)*'Guide &amp; Settings'!$C$49))</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IF($D32="","",IF(SUMPRODUCT(MAX(($D$4:$D$810=$D32)*($B$4:$B$810&lt;$B32)*$B$4:$B$810))=0,0,MAX(($B32-MAX(SUMPRODUCT(MAX(($D$4:$D$810=$D32)*($B$4:$B$810&lt;$B32)*$B$4:$B$810)),'Guide &amp; Settings'!$C$50))/7-'Guide &amp; Settings'!$C$48,0)*'Guide &amp; Settings'!$C$49))</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IF($D33="","",IF(SUMPRODUCT(MAX(($D$4:$D$810=$D33)*($B$4:$B$810&lt;$B33)*$B$4:$B$810))=0,0,MAX(($B33-MAX(SUMPRODUCT(MAX(($D$4:$D$810=$D33)*($B$4:$B$810&lt;$B33)*$B$4:$B$810)),'Guide &amp; Settings'!$C$50))/7-'Guide &amp; Settings'!$C$48,0)*'Guide &amp; Settings'!$C$49))</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IF($D34="","",IF(SUMPRODUCT(MAX(($D$4:$D$810=$D34)*($B$4:$B$810&lt;$B34)*$B$4:$B$810))=0,0,MAX(($B34-MAX(SUMPRODUCT(MAX(($D$4:$D$810=$D34)*($B$4:$B$810&lt;$B34)*$B$4:$B$810)),'Guide &amp; Settings'!$C$50))/7-'Guide &amp; Settings'!$C$48,0)*'Guide &amp; Settings'!$C$49))</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IF($D35="","",IF(SUMPRODUCT(MAX(($D$4:$D$810=$D35)*($B$4:$B$810&lt;$B35)*$B$4:$B$810))=0,0,MAX(($B35-MAX(SUMPRODUCT(MAX(($D$4:$D$810=$D35)*($B$4:$B$810&lt;$B35)*$B$4:$B$810)),'Guide &amp; Settings'!$C$50))/7-'Guide &amp; Settings'!$C$48,0)*'Guide &amp; Settings'!$C$49))</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IF($D36="","",IF(SUMPRODUCT(MAX(($D$4:$D$810=$D36)*($B$4:$B$810&lt;$B36)*$B$4:$B$810))=0,0,MAX(($B36-MAX(SUMPRODUCT(MAX(($D$4:$D$810=$D36)*($B$4:$B$810&lt;$B36)*$B$4:$B$810)),'Guide &amp; Settings'!$C$50))/7-'Guide &amp; Settings'!$C$48,0)*'Guide &amp; Settings'!$C$49))</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IF($D37="","",IF(SUMPRODUCT(MAX(($D$4:$D$810=$D37)*($B$4:$B$810&lt;$B37)*$B$4:$B$810))=0,0,MAX(($B37-MAX(SUMPRODUCT(MAX(($D$4:$D$810=$D37)*($B$4:$B$810&lt;$B37)*$B$4:$B$810)),'Guide &amp; Settings'!$C$50))/7-'Guide &amp; Settings'!$C$48,0)*'Guide &amp; Settings'!$C$49))</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IF($D38="","",IF(SUMPRODUCT(MAX(($D$4:$D$810=$D38)*($B$4:$B$810&lt;$B38)*$B$4:$B$810))=0,0,MAX(($B38-MAX(SUMPRODUCT(MAX(($D$4:$D$810=$D38)*($B$4:$B$810&lt;$B38)*$B$4:$B$810)),'Guide &amp; Settings'!$C$50))/7-'Guide &amp; Settings'!$C$48,0)*'Guide &amp; Settings'!$C$49))</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IF($D39="","",IF(SUMPRODUCT(MAX(($D$4:$D$810=$D39)*($B$4:$B$810&lt;$B39)*$B$4:$B$810))=0,0,MAX(($B39-MAX(SUMPRODUCT(MAX(($D$4:$D$810=$D39)*($B$4:$B$810&lt;$B39)*$B$4:$B$810)),'Guide &amp; Settings'!$C$50))/7-'Guide &amp; Settings'!$C$48,0)*'Guide &amp; Settings'!$C$49))</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IF($D40="","",IF(SUMPRODUCT(MAX(($D$4:$D$810=$D40)*($B$4:$B$810&lt;$B40)*$B$4:$B$810))=0,0,MAX(($B40-MAX(SUMPRODUCT(MAX(($D$4:$D$810=$D40)*($B$4:$B$810&lt;$B40)*$B$4:$B$810)),'Guide &amp; Settings'!$C$50))/7-'Guide &amp; Settings'!$C$48,0)*'Guide &amp; Settings'!$C$49))</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IF($D41="","",IF(SUMPRODUCT(MAX(($D$4:$D$810=$D41)*($B$4:$B$810&lt;$B41)*$B$4:$B$810))=0,0,MAX(($B41-MAX(SUMPRODUCT(MAX(($D$4:$D$810=$D41)*($B$4:$B$810&lt;$B41)*$B$4:$B$810)),'Guide &amp; Settings'!$C$50))/7-'Guide &amp; Settings'!$C$48,0)*'Guide &amp; Settings'!$C$49))</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IF($D42="","",IF(SUMPRODUCT(MAX(($D$4:$D$810=$D42)*($B$4:$B$810&lt;$B42)*$B$4:$B$810))=0,0,MAX(($B42-MAX(SUMPRODUCT(MAX(($D$4:$D$810=$D42)*($B$4:$B$810&lt;$B42)*$B$4:$B$810)),'Guide &amp; Settings'!$C$50))/7-'Guide &amp; Settings'!$C$48,0)*'Guide &amp; Settings'!$C$49))</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IF($D43="","",IF(SUMPRODUCT(MAX(($D$4:$D$810=$D43)*($B$4:$B$810&lt;$B43)*$B$4:$B$810))=0,0,MAX(($B43-MAX(SUMPRODUCT(MAX(($D$4:$D$810=$D43)*($B$4:$B$810&lt;$B43)*$B$4:$B$810)),'Guide &amp; Settings'!$C$50))/7-'Guide &amp; Settings'!$C$48,0)*'Guide &amp; Settings'!$C$49))</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IF($D44="","",IF(SUMPRODUCT(MAX(($D$4:$D$810=$D44)*($B$4:$B$810&lt;$B44)*$B$4:$B$810))=0,0,MAX(($B44-MAX(SUMPRODUCT(MAX(($D$4:$D$810=$D44)*($B$4:$B$810&lt;$B44)*$B$4:$B$810)),'Guide &amp; Settings'!$C$50))/7-'Guide &amp; Settings'!$C$48,0)*'Guide &amp; Settings'!$C$49))</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IF($D45="","",IF(SUMPRODUCT(MAX(($D$4:$D$810=$D45)*($B$4:$B$810&lt;$B45)*$B$4:$B$810))=0,0,MAX(($B45-MAX(SUMPRODUCT(MAX(($D$4:$D$810=$D45)*($B$4:$B$810&lt;$B45)*$B$4:$B$810)),'Guide &amp; Settings'!$C$50))/7-'Guide &amp; Settings'!$C$48,0)*'Guide &amp; Settings'!$C$49))</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IF($D46="","",IF(SUMPRODUCT(MAX(($D$4:$D$810=$D46)*($B$4:$B$810&lt;$B46)*$B$4:$B$810))=0,0,MAX(($B46-MAX(SUMPRODUCT(MAX(($D$4:$D$810=$D46)*($B$4:$B$810&lt;$B46)*$B$4:$B$810)),'Guide &amp; Settings'!$C$50))/7-'Guide &amp; Settings'!$C$48,0)*'Guide &amp; Settings'!$C$49))</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IF($D47="","",IF(SUMPRODUCT(MAX(($D$4:$D$810=$D47)*($B$4:$B$810&lt;$B47)*$B$4:$B$810))=0,0,MAX(($B47-MAX(SUMPRODUCT(MAX(($D$4:$D$810=$D47)*($B$4:$B$810&lt;$B47)*$B$4:$B$810)),'Guide &amp; Settings'!$C$50))/7-'Guide &amp; Settings'!$C$48,0)*'Guide &amp; Settings'!$C$49))</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IF($D48="","",IF(SUMPRODUCT(MAX(($D$4:$D$810=$D48)*($B$4:$B$810&lt;$B48)*$B$4:$B$810))=0,0,MAX(($B48-MAX(SUMPRODUCT(MAX(($D$4:$D$810=$D48)*($B$4:$B$810&lt;$B48)*$B$4:$B$810)),'Guide &amp; Settings'!$C$50))/7-'Guide &amp; Settings'!$C$48,0)*'Guide &amp; Settings'!$C$49))</f>
        <v>0</v>
      </c>
    </row>
    <row r="49" spans="1:29" ht="15" customHeight="1" x14ac:dyDescent="0.2">
      <c r="A49" s="111">
        <v>20</v>
      </c>
      <c r="B49" s="112">
        <v>46175</v>
      </c>
      <c r="C49" s="113" t="s">
        <v>199</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IF($D49="","",IF(SUMPRODUCT(MAX(($D$4:$D$810=$D49)*($B$4:$B$810&lt;$B49)*$B$4:$B$810))=0,0,MAX(($B49-MAX(SUMPRODUCT(MAX(($D$4:$D$810=$D49)*($B$4:$B$810&lt;$B49)*$B$4:$B$810)),'Guide &amp; Settings'!$C$50))/7-'Guide &amp; Settings'!$C$48,0)*'Guide &amp; Settings'!$C$49))</f>
        <v>0</v>
      </c>
    </row>
    <row r="50" spans="1:29" ht="15" customHeight="1" x14ac:dyDescent="0.2">
      <c r="A50" s="111">
        <v>20</v>
      </c>
      <c r="B50" s="112">
        <v>46175</v>
      </c>
      <c r="C50" s="113" t="s">
        <v>199</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IF($D50="","",IF(SUMPRODUCT(MAX(($D$4:$D$810=$D50)*($B$4:$B$810&lt;$B50)*$B$4:$B$810))=0,0,MAX(($B50-MAX(SUMPRODUCT(MAX(($D$4:$D$810=$D50)*($B$4:$B$810&lt;$B50)*$B$4:$B$810)),'Guide &amp; Settings'!$C$50))/7-'Guide &amp; Settings'!$C$48,0)*'Guide &amp; Settings'!$C$49))</f>
        <v>0</v>
      </c>
    </row>
    <row r="51" spans="1:29" ht="15" customHeight="1" x14ac:dyDescent="0.2">
      <c r="A51" s="111">
        <v>21</v>
      </c>
      <c r="B51" s="112">
        <v>46175</v>
      </c>
      <c r="C51" s="113" t="s">
        <v>199</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IF($D51="","",IF(SUMPRODUCT(MAX(($D$4:$D$810=$D51)*($B$4:$B$810&lt;$B51)*$B$4:$B$810))=0,0,MAX(($B51-MAX(SUMPRODUCT(MAX(($D$4:$D$810=$D51)*($B$4:$B$810&lt;$B51)*$B$4:$B$810)),'Guide &amp; Settings'!$C$50))/7-'Guide &amp; Settings'!$C$48,0)*'Guide &amp; Settings'!$C$49))</f>
        <v>0</v>
      </c>
    </row>
    <row r="52" spans="1:29" ht="15" customHeight="1" x14ac:dyDescent="0.2">
      <c r="A52" s="111">
        <v>21</v>
      </c>
      <c r="B52" s="112">
        <v>46175</v>
      </c>
      <c r="C52" s="113" t="s">
        <v>199</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IF($D52="","",IF(SUMPRODUCT(MAX(($D$4:$D$810=$D52)*($B$4:$B$810&lt;$B52)*$B$4:$B$810))=0,0,MAX(($B52-MAX(SUMPRODUCT(MAX(($D$4:$D$810=$D52)*($B$4:$B$810&lt;$B52)*$B$4:$B$810)),'Guide &amp; Settings'!$C$50))/7-'Guide &amp; Settings'!$C$48,0)*'Guide &amp; Settings'!$C$49))</f>
        <v>0</v>
      </c>
    </row>
    <row r="53" spans="1:29" ht="15" customHeight="1" x14ac:dyDescent="0.2">
      <c r="A53" s="111">
        <v>22</v>
      </c>
      <c r="B53" s="112">
        <v>46175</v>
      </c>
      <c r="C53" s="113" t="s">
        <v>199</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IF($D53="","",IF(SUMPRODUCT(MAX(($D$4:$D$810=$D53)*($B$4:$B$810&lt;$B53)*$B$4:$B$810))=0,0,MAX(($B53-MAX(SUMPRODUCT(MAX(($D$4:$D$810=$D53)*($B$4:$B$810&lt;$B53)*$B$4:$B$810)),'Guide &amp; Settings'!$C$50))/7-'Guide &amp; Settings'!$C$48,0)*'Guide &amp; Settings'!$C$49))</f>
        <v>0</v>
      </c>
    </row>
    <row r="54" spans="1:29" ht="15" customHeight="1" x14ac:dyDescent="0.2">
      <c r="A54" s="111">
        <v>22</v>
      </c>
      <c r="B54" s="112">
        <v>46175</v>
      </c>
      <c r="C54" s="113" t="s">
        <v>199</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IF($D54="","",IF(SUMPRODUCT(MAX(($D$4:$D$810=$D54)*($B$4:$B$810&lt;$B54)*$B$4:$B$810))=0,0,MAX(($B54-MAX(SUMPRODUCT(MAX(($D$4:$D$810=$D54)*($B$4:$B$810&lt;$B54)*$B$4:$B$810)),'Guide &amp; Settings'!$C$50))/7-'Guide &amp; Settings'!$C$48,0)*'Guide &amp; Settings'!$C$49))</f>
        <v>0</v>
      </c>
    </row>
    <row r="55" spans="1:29" ht="15" customHeight="1" x14ac:dyDescent="0.2">
      <c r="A55" s="111">
        <v>23</v>
      </c>
      <c r="B55" s="112">
        <v>46175</v>
      </c>
      <c r="C55" s="113" t="s">
        <v>199</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IF($D55="","",IF(SUMPRODUCT(MAX(($D$4:$D$810=$D55)*($B$4:$B$810&lt;$B55)*$B$4:$B$810))=0,0,MAX(($B55-MAX(SUMPRODUCT(MAX(($D$4:$D$810=$D55)*($B$4:$B$810&lt;$B55)*$B$4:$B$810)),'Guide &amp; Settings'!$C$50))/7-'Guide &amp; Settings'!$C$48,0)*'Guide &amp; Settings'!$C$49))</f>
        <v>0</v>
      </c>
    </row>
    <row r="56" spans="1:29" ht="15" customHeight="1" x14ac:dyDescent="0.2">
      <c r="A56" s="111">
        <v>23</v>
      </c>
      <c r="B56" s="112">
        <v>46175</v>
      </c>
      <c r="C56" s="113" t="s">
        <v>199</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IF($D56="","",IF(SUMPRODUCT(MAX(($D$4:$D$810=$D56)*($B$4:$B$810&lt;$B56)*$B$4:$B$810))=0,0,MAX(($B56-MAX(SUMPRODUCT(MAX(($D$4:$D$810=$D56)*($B$4:$B$810&lt;$B56)*$B$4:$B$810)),'Guide &amp; Settings'!$C$50))/7-'Guide &amp; Settings'!$C$48,0)*'Guide &amp; Settings'!$C$49))</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IF($D57="","",IF(SUMPRODUCT(MAX(($D$4:$D$810=$D57)*($B$4:$B$810&lt;$B57)*$B$4:$B$810))=0,0,MAX(($B57-MAX(SUMPRODUCT(MAX(($D$4:$D$810=$D57)*($B$4:$B$810&lt;$B57)*$B$4:$B$810)),'Guide &amp; Settings'!$C$50))/7-'Guide &amp; Settings'!$C$48,0)*'Guide &amp; Settings'!$C$49))</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IF($D58="","",IF(SUMPRODUCT(MAX(($D$4:$D$810=$D58)*($B$4:$B$810&lt;$B58)*$B$4:$B$810))=0,0,MAX(($B58-MAX(SUMPRODUCT(MAX(($D$4:$D$810=$D58)*($B$4:$B$810&lt;$B58)*$B$4:$B$810)),'Guide &amp; Settings'!$C$50))/7-'Guide &amp; Settings'!$C$48,0)*'Guide &amp; Settings'!$C$49))</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IF($D59="","",IF(SUMPRODUCT(MAX(($D$4:$D$810=$D59)*($B$4:$B$810&lt;$B59)*$B$4:$B$810))=0,0,MAX(($B59-MAX(SUMPRODUCT(MAX(($D$4:$D$810=$D59)*($B$4:$B$810&lt;$B59)*$B$4:$B$810)),'Guide &amp; Settings'!$C$50))/7-'Guide &amp; Settings'!$C$48,0)*'Guide &amp; Settings'!$C$49))</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IF($D60="","",IF(SUMPRODUCT(MAX(($D$4:$D$810=$D60)*($B$4:$B$810&lt;$B60)*$B$4:$B$810))=0,0,MAX(($B60-MAX(SUMPRODUCT(MAX(($D$4:$D$810=$D60)*($B$4:$B$810&lt;$B60)*$B$4:$B$810)),'Guide &amp; Settings'!$C$50))/7-'Guide &amp; Settings'!$C$48,0)*'Guide &amp; Settings'!$C$49))</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IF($D61="","",IF(SUMPRODUCT(MAX(($D$4:$D$810=$D61)*($B$4:$B$810&lt;$B61)*$B$4:$B$810))=0,0,MAX(($B61-MAX(SUMPRODUCT(MAX(($D$4:$D$810=$D61)*($B$4:$B$810&lt;$B61)*$B$4:$B$810)),'Guide &amp; Settings'!$C$50))/7-'Guide &amp; Settings'!$C$48,0)*'Guide &amp; Settings'!$C$49))</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IF($D62="","",IF(SUMPRODUCT(MAX(($D$4:$D$810=$D62)*($B$4:$B$810&lt;$B62)*$B$4:$B$810))=0,0,MAX(($B62-MAX(SUMPRODUCT(MAX(($D$4:$D$810=$D62)*($B$4:$B$810&lt;$B62)*$B$4:$B$810)),'Guide &amp; Settings'!$C$50))/7-'Guide &amp; Settings'!$C$48,0)*'Guide &amp; Settings'!$C$49))</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IF($D63="","",IF(SUMPRODUCT(MAX(($D$4:$D$810=$D63)*($B$4:$B$810&lt;$B63)*$B$4:$B$810))=0,0,MAX(($B63-MAX(SUMPRODUCT(MAX(($D$4:$D$810=$D63)*($B$4:$B$810&lt;$B63)*$B$4:$B$810)),'Guide &amp; Settings'!$C$50))/7-'Guide &amp; Settings'!$C$48,0)*'Guide &amp; Settings'!$C$49))</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IF($D64="","",IF(SUMPRODUCT(MAX(($D$4:$D$810=$D64)*($B$4:$B$810&lt;$B64)*$B$4:$B$810))=0,0,MAX(($B64-MAX(SUMPRODUCT(MAX(($D$4:$D$810=$D64)*($B$4:$B$810&lt;$B64)*$B$4:$B$810)),'Guide &amp; Settings'!$C$50))/7-'Guide &amp; Settings'!$C$48,0)*'Guide &amp; Settings'!$C$49))</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IF($D65="","",IF(SUMPRODUCT(MAX(($D$4:$D$810=$D65)*($B$4:$B$810&lt;$B65)*$B$4:$B$810))=0,0,MAX(($B65-MAX(SUMPRODUCT(MAX(($D$4:$D$810=$D65)*($B$4:$B$810&lt;$B65)*$B$4:$B$810)),'Guide &amp; Settings'!$C$50))/7-'Guide &amp; Settings'!$C$48,0)*'Guide &amp; Settings'!$C$49))</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IF($D66="","",IF(SUMPRODUCT(MAX(($D$4:$D$810=$D66)*($B$4:$B$810&lt;$B66)*$B$4:$B$810))=0,0,MAX(($B66-MAX(SUMPRODUCT(MAX(($D$4:$D$810=$D66)*($B$4:$B$810&lt;$B66)*$B$4:$B$810)),'Guide &amp; Settings'!$C$50))/7-'Guide &amp; Settings'!$C$48,0)*'Guide &amp; Settings'!$C$49))</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IF($D67="","",IF(SUMPRODUCT(MAX(($D$4:$D$810=$D67)*($B$4:$B$810&lt;$B67)*$B$4:$B$810))=0,0,MAX(($B67-MAX(SUMPRODUCT(MAX(($D$4:$D$810=$D67)*($B$4:$B$810&lt;$B67)*$B$4:$B$810)),'Guide &amp; Settings'!$C$50))/7-'Guide &amp; Settings'!$C$48,0)*'Guide &amp; Settings'!$C$49))</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IF($D68="","",IF(SUMPRODUCT(MAX(($D$4:$D$810=$D68)*($B$4:$B$810&lt;$B68)*$B$4:$B$810))=0,0,MAX(($B68-MAX(SUMPRODUCT(MAX(($D$4:$D$810=$D68)*($B$4:$B$810&lt;$B68)*$B$4:$B$810)),'Guide &amp; Settings'!$C$50))/7-'Guide &amp; Settings'!$C$48,0)*'Guide &amp; Settings'!$C$49))</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IF($D69="","",IF(SUMPRODUCT(MAX(($D$4:$D$810=$D69)*($B$4:$B$810&lt;$B69)*$B$4:$B$810))=0,0,MAX(($B69-MAX(SUMPRODUCT(MAX(($D$4:$D$810=$D69)*($B$4:$B$810&lt;$B69)*$B$4:$B$810)),'Guide &amp; Settings'!$C$50))/7-'Guide &amp; Settings'!$C$48,0)*'Guide &amp; Settings'!$C$49))</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IF($D70="","",IF(SUMPRODUCT(MAX(($D$4:$D$810=$D70)*($B$4:$B$810&lt;$B70)*$B$4:$B$810))=0,0,MAX(($B70-MAX(SUMPRODUCT(MAX(($D$4:$D$810=$D70)*($B$4:$B$810&lt;$B70)*$B$4:$B$810)),'Guide &amp; Settings'!$C$50))/7-'Guide &amp; Settings'!$C$48,0)*'Guide &amp; Settings'!$C$49))</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IF($D71="","",IF(SUMPRODUCT(MAX(($D$4:$D$810=$D71)*($B$4:$B$810&lt;$B71)*$B$4:$B$810))=0,0,MAX(($B71-MAX(SUMPRODUCT(MAX(($D$4:$D$810=$D71)*($B$4:$B$810&lt;$B71)*$B$4:$B$810)),'Guide &amp; Settings'!$C$50))/7-'Guide &amp; Settings'!$C$48,0)*'Guide &amp; Settings'!$C$49))</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IF($D72="","",IF(SUMPRODUCT(MAX(($D$4:$D$810=$D72)*($B$4:$B$810&lt;$B72)*$B$4:$B$810))=0,0,MAX(($B72-MAX(SUMPRODUCT(MAX(($D$4:$D$810=$D72)*($B$4:$B$810&lt;$B72)*$B$4:$B$810)),'Guide &amp; Settings'!$C$50))/7-'Guide &amp; Settings'!$C$48,0)*'Guide &amp; Settings'!$C$49))</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IF($D73="","",IF(SUMPRODUCT(MAX(($D$4:$D$810=$D73)*($B$4:$B$810&lt;$B73)*$B$4:$B$810))=0,0,MAX(($B73-MAX(SUMPRODUCT(MAX(($D$4:$D$810=$D73)*($B$4:$B$810&lt;$B73)*$B$4:$B$810)),'Guide &amp; Settings'!$C$50))/7-'Guide &amp; Settings'!$C$48,0)*'Guide &amp; Settings'!$C$49))</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IF($D74="","",IF(SUMPRODUCT(MAX(($D$4:$D$810=$D74)*($B$4:$B$810&lt;$B74)*$B$4:$B$810))=0,0,MAX(($B74-MAX(SUMPRODUCT(MAX(($D$4:$D$810=$D74)*($B$4:$B$810&lt;$B74)*$B$4:$B$810)),'Guide &amp; Settings'!$C$50))/7-'Guide &amp; Settings'!$C$48,0)*'Guide &amp; Settings'!$C$49))</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IF($D75="","",IF(SUMPRODUCT(MAX(($D$4:$D$810=$D75)*($B$4:$B$810&lt;$B75)*$B$4:$B$810))=0,0,MAX(($B75-MAX(SUMPRODUCT(MAX(($D$4:$D$810=$D75)*($B$4:$B$810&lt;$B75)*$B$4:$B$810)),'Guide &amp; Settings'!$C$50))/7-'Guide &amp; Settings'!$C$48,0)*'Guide &amp; Settings'!$C$49))</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IF($D76="","",IF(SUMPRODUCT(MAX(($D$4:$D$810=$D76)*($B$4:$B$810&lt;$B76)*$B$4:$B$810))=0,0,MAX(($B76-MAX(SUMPRODUCT(MAX(($D$4:$D$810=$D76)*($B$4:$B$810&lt;$B76)*$B$4:$B$810)),'Guide &amp; Settings'!$C$50))/7-'Guide &amp; Settings'!$C$48,0)*'Guide &amp; Settings'!$C$49))</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IF($D77="","",IF(SUMPRODUCT(MAX(($D$4:$D$810=$D77)*($B$4:$B$810&lt;$B77)*$B$4:$B$810))=0,0,MAX(($B77-MAX(SUMPRODUCT(MAX(($D$4:$D$810=$D77)*($B$4:$B$810&lt;$B77)*$B$4:$B$810)),'Guide &amp; Settings'!$C$50))/7-'Guide &amp; Settings'!$C$48,0)*'Guide &amp; Settings'!$C$49))</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IF($D78="","",IF(SUMPRODUCT(MAX(($D$4:$D$810=$D78)*($B$4:$B$810&lt;$B78)*$B$4:$B$810))=0,0,MAX(($B78-MAX(SUMPRODUCT(MAX(($D$4:$D$810=$D78)*($B$4:$B$810&lt;$B78)*$B$4:$B$810)),'Guide &amp; Settings'!$C$50))/7-'Guide &amp; Settings'!$C$48,0)*'Guide &amp; Settings'!$C$49))</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IF($D79="","",IF(SUMPRODUCT(MAX(($D$4:$D$810=$D79)*($B$4:$B$810&lt;$B79)*$B$4:$B$810))=0,0,MAX(($B79-MAX(SUMPRODUCT(MAX(($D$4:$D$810=$D79)*($B$4:$B$810&lt;$B79)*$B$4:$B$810)),'Guide &amp; Settings'!$C$50))/7-'Guide &amp; Settings'!$C$48,0)*'Guide &amp; Settings'!$C$49))</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IF($D80="","",IF(SUMPRODUCT(MAX(($D$4:$D$810=$D80)*($B$4:$B$810&lt;$B80)*$B$4:$B$810))=0,0,MAX(($B80-MAX(SUMPRODUCT(MAX(($D$4:$D$810=$D80)*($B$4:$B$810&lt;$B80)*$B$4:$B$810)),'Guide &amp; Settings'!$C$50))/7-'Guide &amp; Settings'!$C$48,0)*'Guide &amp; Settings'!$C$49))</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IF($D81="","",IF(SUMPRODUCT(MAX(($D$4:$D$810=$D81)*($B$4:$B$810&lt;$B81)*$B$4:$B$810))=0,0,MAX(($B81-MAX(SUMPRODUCT(MAX(($D$4:$D$810=$D81)*($B$4:$B$810&lt;$B81)*$B$4:$B$810)),'Guide &amp; Settings'!$C$50))/7-'Guide &amp; Settings'!$C$48,0)*'Guide &amp; Settings'!$C$49))</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IF($D82="","",IF(SUMPRODUCT(MAX(($D$4:$D$810=$D82)*($B$4:$B$810&lt;$B82)*$B$4:$B$810))=0,0,MAX(($B82-MAX(SUMPRODUCT(MAX(($D$4:$D$810=$D82)*($B$4:$B$810&lt;$B82)*$B$4:$B$810)),'Guide &amp; Settings'!$C$50))/7-'Guide &amp; Settings'!$C$48,0)*'Guide &amp; Settings'!$C$49))</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IF($D83="","",IF(SUMPRODUCT(MAX(($D$4:$D$810=$D83)*($B$4:$B$810&lt;$B83)*$B$4:$B$810))=0,0,MAX(($B83-MAX(SUMPRODUCT(MAX(($D$4:$D$810=$D83)*($B$4:$B$810&lt;$B83)*$B$4:$B$810)),'Guide &amp; Settings'!$C$50))/7-'Guide &amp; Settings'!$C$48,0)*'Guide &amp; Settings'!$C$49))</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IF($D84="","",IF(SUMPRODUCT(MAX(($D$4:$D$810=$D84)*($B$4:$B$810&lt;$B84)*$B$4:$B$810))=0,0,MAX(($B84-MAX(SUMPRODUCT(MAX(($D$4:$D$810=$D84)*($B$4:$B$810&lt;$B84)*$B$4:$B$810)),'Guide &amp; Settings'!$C$50))/7-'Guide &amp; Settings'!$C$48,0)*'Guide &amp; Settings'!$C$49))</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IF($D85="","",IF(SUMPRODUCT(MAX(($D$4:$D$810=$D85)*($B$4:$B$810&lt;$B85)*$B$4:$B$810))=0,0,MAX(($B85-MAX(SUMPRODUCT(MAX(($D$4:$D$810=$D85)*($B$4:$B$810&lt;$B85)*$B$4:$B$810)),'Guide &amp; Settings'!$C$50))/7-'Guide &amp; Settings'!$C$48,0)*'Guide &amp; Settings'!$C$49))</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IF($D86="","",IF(SUMPRODUCT(MAX(($D$4:$D$810=$D86)*($B$4:$B$810&lt;$B86)*$B$4:$B$810))=0,0,MAX(($B86-MAX(SUMPRODUCT(MAX(($D$4:$D$810=$D86)*($B$4:$B$810&lt;$B86)*$B$4:$B$810)),'Guide &amp; Settings'!$C$50))/7-'Guide &amp; Settings'!$C$48,0)*'Guide &amp; Settings'!$C$49))</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IF($D87="","",IF(SUMPRODUCT(MAX(($D$4:$D$810=$D87)*($B$4:$B$810&lt;$B87)*$B$4:$B$810))=0,0,MAX(($B87-MAX(SUMPRODUCT(MAX(($D$4:$D$810=$D87)*($B$4:$B$810&lt;$B87)*$B$4:$B$810)),'Guide &amp; Settings'!$C$50))/7-'Guide &amp; Settings'!$C$48,0)*'Guide &amp; Settings'!$C$49))</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IF($D88="","",IF(SUMPRODUCT(MAX(($D$4:$D$810=$D88)*($B$4:$B$810&lt;$B88)*$B$4:$B$810))=0,0,MAX(($B88-MAX(SUMPRODUCT(MAX(($D$4:$D$810=$D88)*($B$4:$B$810&lt;$B88)*$B$4:$B$810)),'Guide &amp; Settings'!$C$50))/7-'Guide &amp; Settings'!$C$48,0)*'Guide &amp; Settings'!$C$49))</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IF($D89="","",IF(SUMPRODUCT(MAX(($D$4:$D$810=$D89)*($B$4:$B$810&lt;$B89)*$B$4:$B$810))=0,0,MAX(($B89-MAX(SUMPRODUCT(MAX(($D$4:$D$810=$D89)*($B$4:$B$810&lt;$B89)*$B$4:$B$810)),'Guide &amp; Settings'!$C$50))/7-'Guide &amp; Settings'!$C$48,0)*'Guide &amp; Settings'!$C$49))</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IF($D90="","",IF(SUMPRODUCT(MAX(($D$4:$D$810=$D90)*($B$4:$B$810&lt;$B90)*$B$4:$B$810))=0,0,MAX(($B90-MAX(SUMPRODUCT(MAX(($D$4:$D$810=$D90)*($B$4:$B$810&lt;$B90)*$B$4:$B$810)),'Guide &amp; Settings'!$C$50))/7-'Guide &amp; Settings'!$C$48,0)*'Guide &amp; Settings'!$C$49))</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IF($D91="","",IF(SUMPRODUCT(MAX(($D$4:$D$810=$D91)*($B$4:$B$810&lt;$B91)*$B$4:$B$810))=0,0,MAX(($B91-MAX(SUMPRODUCT(MAX(($D$4:$D$810=$D91)*($B$4:$B$810&lt;$B91)*$B$4:$B$810)),'Guide &amp; Settings'!$C$50))/7-'Guide &amp; Settings'!$C$48,0)*'Guide &amp; Settings'!$C$49))</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IF($D92="","",IF(SUMPRODUCT(MAX(($D$4:$D$810=$D92)*($B$4:$B$810&lt;$B92)*$B$4:$B$810))=0,0,MAX(($B92-MAX(SUMPRODUCT(MAX(($D$4:$D$810=$D92)*($B$4:$B$810&lt;$B92)*$B$4:$B$810)),'Guide &amp; Settings'!$C$50))/7-'Guide &amp; Settings'!$C$48,0)*'Guide &amp; Settings'!$C$49))</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IF($D93="","",IF(SUMPRODUCT(MAX(($D$4:$D$810=$D93)*($B$4:$B$810&lt;$B93)*$B$4:$B$810))=0,0,MAX(($B93-MAX(SUMPRODUCT(MAX(($D$4:$D$810=$D93)*($B$4:$B$810&lt;$B93)*$B$4:$B$810)),'Guide &amp; Settings'!$C$50))/7-'Guide &amp; Settings'!$C$48,0)*'Guide &amp; Settings'!$C$49))</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IF($D94="","",IF(SUMPRODUCT(MAX(($D$4:$D$810=$D94)*($B$4:$B$810&lt;$B94)*$B$4:$B$810))=0,0,MAX(($B94-MAX(SUMPRODUCT(MAX(($D$4:$D$810=$D94)*($B$4:$B$810&lt;$B94)*$B$4:$B$810)),'Guide &amp; Settings'!$C$50))/7-'Guide &amp; Settings'!$C$48,0)*'Guide &amp; Settings'!$C$49))</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IF($D95="","",IF(SUMPRODUCT(MAX(($D$4:$D$810=$D95)*($B$4:$B$810&lt;$B95)*$B$4:$B$810))=0,0,MAX(($B95-MAX(SUMPRODUCT(MAX(($D$4:$D$810=$D95)*($B$4:$B$810&lt;$B95)*$B$4:$B$810)),'Guide &amp; Settings'!$C$50))/7-'Guide &amp; Settings'!$C$48,0)*'Guide &amp; Settings'!$C$49))</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IF($D96="","",IF(SUMPRODUCT(MAX(($D$4:$D$810=$D96)*($B$4:$B$810&lt;$B96)*$B$4:$B$810))=0,0,MAX(($B96-MAX(SUMPRODUCT(MAX(($D$4:$D$810=$D96)*($B$4:$B$810&lt;$B96)*$B$4:$B$810)),'Guide &amp; Settings'!$C$50))/7-'Guide &amp; Settings'!$C$48,0)*'Guide &amp; Settings'!$C$49))</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IF($D97="","",IF(SUMPRODUCT(MAX(($D$4:$D$810=$D97)*($B$4:$B$810&lt;$B97)*$B$4:$B$810))=0,0,MAX(($B97-MAX(SUMPRODUCT(MAX(($D$4:$D$810=$D97)*($B$4:$B$810&lt;$B97)*$B$4:$B$810)),'Guide &amp; Settings'!$C$50))/7-'Guide &amp; Settings'!$C$48,0)*'Guide &amp; Settings'!$C$49))</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IF($D98="","",IF(SUMPRODUCT(MAX(($D$4:$D$810=$D98)*($B$4:$B$810&lt;$B98)*$B$4:$B$810))=0,0,MAX(($B98-MAX(SUMPRODUCT(MAX(($D$4:$D$810=$D98)*($B$4:$B$810&lt;$B98)*$B$4:$B$810)),'Guide &amp; Settings'!$C$50))/7-'Guide &amp; Settings'!$C$48,0)*'Guide &amp; Settings'!$C$49))</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IF($D99="","",IF(SUMPRODUCT(MAX(($D$4:$D$810=$D99)*($B$4:$B$810&lt;$B99)*$B$4:$B$810))=0,0,MAX(($B99-MAX(SUMPRODUCT(MAX(($D$4:$D$810=$D99)*($B$4:$B$810&lt;$B99)*$B$4:$B$810)),'Guide &amp; Settings'!$C$50))/7-'Guide &amp; Settings'!$C$48,0)*'Guide &amp; Settings'!$C$49))</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IF($D100="","",IF(SUMPRODUCT(MAX(($D$4:$D$810=$D100)*($B$4:$B$810&lt;$B100)*$B$4:$B$810))=0,0,MAX(($B100-MAX(SUMPRODUCT(MAX(($D$4:$D$810=$D100)*($B$4:$B$810&lt;$B100)*$B$4:$B$810)),'Guide &amp; Settings'!$C$50))/7-'Guide &amp; Settings'!$C$48,0)*'Guide &amp; Settings'!$C$49))</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IF($D101="","",IF(SUMPRODUCT(MAX(($D$4:$D$810=$D101)*($B$4:$B$810&lt;$B101)*$B$4:$B$810))=0,0,MAX(($B101-MAX(SUMPRODUCT(MAX(($D$4:$D$810=$D101)*($B$4:$B$810&lt;$B101)*$B$4:$B$810)),'Guide &amp; Settings'!$C$50))/7-'Guide &amp; Settings'!$C$48,0)*'Guide &amp; Settings'!$C$49))</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IF($D102="","",IF(SUMPRODUCT(MAX(($D$4:$D$810=$D102)*($B$4:$B$810&lt;$B102)*$B$4:$B$810))=0,0,MAX(($B102-MAX(SUMPRODUCT(MAX(($D$4:$D$810=$D102)*($B$4:$B$810&lt;$B102)*$B$4:$B$810)),'Guide &amp; Settings'!$C$50))/7-'Guide &amp; Settings'!$C$48,0)*'Guide &amp; Settings'!$C$49))</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IF($D103="","",IF(SUMPRODUCT(MAX(($D$4:$D$810=$D103)*($B$4:$B$810&lt;$B103)*$B$4:$B$810))=0,0,MAX(($B103-MAX(SUMPRODUCT(MAX(($D$4:$D$810=$D103)*($B$4:$B$810&lt;$B103)*$B$4:$B$810)),'Guide &amp; Settings'!$C$50))/7-'Guide &amp; Settings'!$C$48,0)*'Guide &amp; Settings'!$C$49))</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0.25</v>
      </c>
      <c r="J104" s="118">
        <f>IF($D104="",0,IF($F104&lt;2,0,IF($E104="Win",('Guide &amp; Settings'!$C$42/(($F104-1)*COUNTIFS($A$4:$A$810,$A104,$E$4:$E$810,"Win")))*SUMIFS($X$4:$X$810,$A$4:$A$810,$A104,$E$4:$E$810,"Loss"),-('Guide &amp; Settings'!$C$42/($F104-1))*$X104)))</f>
        <v>17.06184968395684</v>
      </c>
      <c r="K104" s="118">
        <f>IF($D104="",0,'Guide &amp; Settings'!$C$43*(IF($E104="Win",1,0)-$I104))</f>
        <v>9</v>
      </c>
      <c r="L104" s="119">
        <f>IF($D104="",0,'Guide &amp; Settings'!$C$44*IF($F104&gt;=3,$F104,0))</f>
        <v>0</v>
      </c>
      <c r="M104" s="118">
        <f t="shared" si="20"/>
        <v>26.06184968395684</v>
      </c>
      <c r="N104" s="116">
        <f t="shared" si="21"/>
        <v>998.28627447903841</v>
      </c>
      <c r="O104" s="115" t="str">
        <f t="shared" si="22"/>
        <v>OK</v>
      </c>
      <c r="P104">
        <f t="shared" si="23"/>
        <v>972.22442479508152</v>
      </c>
      <c r="Q104">
        <f t="shared" si="24"/>
        <v>0.5</v>
      </c>
      <c r="R104">
        <f t="shared" si="25"/>
        <v>0.16666666666666666</v>
      </c>
      <c r="S104">
        <f t="shared" si="26"/>
        <v>0.66666666666666663</v>
      </c>
      <c r="T104" s="83">
        <f t="shared" si="27"/>
        <v>4</v>
      </c>
      <c r="U104" s="120">
        <f>IF($D104="",0,IFERROR(LOOKUP(2,1/(($D$3:D103=$D104)*($C$3:C103=$C104)*($A$3:A103&lt;$A104)),$AB$3:AB103),1000))</f>
        <v>944.19905737100225</v>
      </c>
      <c r="V104" s="120">
        <f t="shared" si="28"/>
        <v>959.76870593993522</v>
      </c>
      <c r="W104">
        <f t="shared" si="29"/>
        <v>959.76870593993522</v>
      </c>
      <c r="X104">
        <f t="shared" si="30"/>
        <v>0.5</v>
      </c>
      <c r="Y104">
        <f t="shared" si="31"/>
        <v>944.19905737100225</v>
      </c>
      <c r="Z104">
        <f t="shared" si="32"/>
        <v>0.5</v>
      </c>
      <c r="AA104">
        <f>IF($D104="",0,IF($F104&lt;2,0,IF($E104="Win",('Guide &amp; Settings'!$C$42/(($F104-1)*COUNTIFS($A$4:$A$810,$A104,$E$4:$E$810,"Win")))*SUMIFS($Z$4:$Z$810,$A$4:$A$810,$A104,$E$4:$E$810,"Loss"),-('Guide &amp; Settings'!$C$42/($F104-1))*$Z104)))</f>
        <v>18.547858669515744</v>
      </c>
      <c r="AB104" s="120">
        <f t="shared" si="33"/>
        <v>962.74691604051804</v>
      </c>
      <c r="AC104" s="120">
        <f>IF($D104="","",IF(SUMPRODUCT(MAX(($D$4:$D$810=$D104)*($B$4:$B$810&lt;$B104)*$B$4:$B$810))=0,0,MAX(($B104-MAX(SUMPRODUCT(MAX(($D$4:$D$810=$D104)*($B$4:$B$810&lt;$B104)*$B$4:$B$810)),'Guide &amp; Settings'!$C$50))/7-'Guide &amp; Settings'!$C$48,0)*'Guide &amp; Settings'!$C$49))</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0.75</v>
      </c>
      <c r="J105" s="118">
        <f>IF($D105="",0,IF($F105&lt;2,0,IF($E105="Win",('Guide &amp; Settings'!$C$42/(($F105-1)*COUNTIFS($A$4:$A$810,$A105,$E$4:$E$810,"Win")))*SUMIFS($X$4:$X$810,$A$4:$A$810,$A105,$E$4:$E$810,"Loss"),-('Guide &amp; Settings'!$C$42/($F105-1))*$X105)))</f>
        <v>-17.06184968395684</v>
      </c>
      <c r="K105" s="118">
        <f>IF($D105="",0,'Guide &amp; Settings'!$C$43*(IF($E105="Win",1,0)-$I105))</f>
        <v>-9</v>
      </c>
      <c r="L105" s="119">
        <f>IF($D105="",0,'Guide &amp; Settings'!$C$44*IF($F105&gt;=3,$F105,0))</f>
        <v>0</v>
      </c>
      <c r="M105" s="118">
        <f t="shared" si="20"/>
        <v>-26.06184968395684</v>
      </c>
      <c r="N105" s="116">
        <f t="shared" si="21"/>
        <v>956.79857074963707</v>
      </c>
      <c r="O105" s="115" t="str">
        <f t="shared" si="22"/>
        <v>OK</v>
      </c>
      <c r="P105">
        <f t="shared" si="23"/>
        <v>972.22442479508152</v>
      </c>
      <c r="Q105">
        <f t="shared" si="24"/>
        <v>0.51530164846311244</v>
      </c>
      <c r="R105">
        <f t="shared" si="25"/>
        <v>0.5</v>
      </c>
      <c r="S105">
        <f t="shared" si="26"/>
        <v>0.66666666666666663</v>
      </c>
      <c r="T105" s="83">
        <f t="shared" si="27"/>
        <v>0</v>
      </c>
      <c r="U105" s="120">
        <f>IF($D105="",0,IFERROR(LOOKUP(2,1/(($D$3:D104=$D105)*($C$3:C104=$C105)*($A$3:A104&lt;$A105)),$AB$3:AB104),1000))</f>
        <v>1000</v>
      </c>
      <c r="V105" s="120">
        <f t="shared" si="28"/>
        <v>982.86042043359396</v>
      </c>
      <c r="W105">
        <f t="shared" si="29"/>
        <v>959.76870593993522</v>
      </c>
      <c r="X105">
        <f t="shared" si="30"/>
        <v>0.53318280262365125</v>
      </c>
      <c r="Y105">
        <f t="shared" si="31"/>
        <v>944.19905737100225</v>
      </c>
      <c r="Z105">
        <f t="shared" si="32"/>
        <v>0.579620583422367</v>
      </c>
      <c r="AA105">
        <f>IF($D105="",0,IF($F105&lt;2,0,IF($E105="Win",('Guide &amp; Settings'!$C$42/(($F105-1)*COUNTIFS($A$4:$A$810,$A105,$E$4:$E$810,"Win")))*SUMIFS($Z$4:$Z$810,$A$4:$A$810,$A105,$E$4:$E$810,"Loss"),-('Guide &amp; Settings'!$C$42/($F105-1))*$Z105)))</f>
        <v>-18.547858669515744</v>
      </c>
      <c r="AB105" s="120">
        <f t="shared" si="33"/>
        <v>981.45214133048421</v>
      </c>
      <c r="AC105" s="120">
        <f>IF($D105="","",IF(SUMPRODUCT(MAX(($D$4:$D$810=$D105)*($B$4:$B$810&lt;$B105)*$B$4:$B$810))=0,0,MAX(($B105-MAX(SUMPRODUCT(MAX(($D$4:$D$810=$D105)*($B$4:$B$810&lt;$B105)*$B$4:$B$810)),'Guide &amp; Settings'!$C$50))/7-'Guide &amp; Settings'!$C$48,0)*'Guide &amp; Settings'!$C$49))</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998.28627447903841</v>
      </c>
      <c r="I106" s="117">
        <f t="shared" si="19"/>
        <v>0.46153846153846151</v>
      </c>
      <c r="J106" s="118">
        <f>IF($D106="",0,IF($F106&lt;2,0,IF($E106="Win",('Guide &amp; Settings'!$C$42/(($F106-1)*COUNTIFS($A$4:$A$810,$A106,$E$4:$E$810,"Win")))*SUMIFS($X$4:$X$810,$A$4:$A$810,$A106,$E$4:$E$810,"Loss"),-('Guide &amp; Settings'!$C$42/($F106-1))*$X106)))</f>
        <v>15.097925378753624</v>
      </c>
      <c r="K106" s="118">
        <f>IF($D106="",0,'Guide &amp; Settings'!$C$43*(IF($E106="Win",1,0)-$I106))</f>
        <v>6.4615384615384626</v>
      </c>
      <c r="L106" s="119">
        <f>IF($D106="",0,'Guide &amp; Settings'!$C$44*IF($F106&gt;=3,$F106,0))</f>
        <v>0</v>
      </c>
      <c r="M106" s="118">
        <f t="shared" si="20"/>
        <v>21.559463840292086</v>
      </c>
      <c r="N106" s="116">
        <f t="shared" si="21"/>
        <v>1019.8457383193305</v>
      </c>
      <c r="O106" s="115" t="str">
        <f t="shared" si="22"/>
        <v>OK</v>
      </c>
      <c r="P106">
        <f t="shared" si="23"/>
        <v>998.28627447903841</v>
      </c>
      <c r="Q106">
        <f t="shared" si="24"/>
        <v>0.5</v>
      </c>
      <c r="R106">
        <f t="shared" si="25"/>
        <v>0.2857142857142857</v>
      </c>
      <c r="S106">
        <f t="shared" si="26"/>
        <v>0.61904761904761907</v>
      </c>
      <c r="T106" s="83">
        <f t="shared" si="27"/>
        <v>5</v>
      </c>
      <c r="U106" s="120">
        <f>IF($D106="",0,IFERROR(LOOKUP(2,1/(($D$3:D105=$D106)*($C$3:C105=$C106)*($A$3:A105&lt;$A106)),$AB$3:AB105),1000))</f>
        <v>962.74691604051804</v>
      </c>
      <c r="V106" s="120">
        <f t="shared" si="28"/>
        <v>980.51659525977823</v>
      </c>
      <c r="W106">
        <f t="shared" si="29"/>
        <v>980.51659525977823</v>
      </c>
      <c r="X106">
        <f t="shared" si="30"/>
        <v>0.5</v>
      </c>
      <c r="Y106">
        <f t="shared" si="31"/>
        <v>962.74691604051804</v>
      </c>
      <c r="Z106">
        <f t="shared" si="32"/>
        <v>0.5</v>
      </c>
      <c r="AA106">
        <f>IF($D106="",0,IF($F106&lt;2,0,IF($E106="Win",('Guide &amp; Settings'!$C$42/(($F106-1)*COUNTIFS($A$4:$A$810,$A106,$E$4:$E$810,"Win")))*SUMIFS($Z$4:$Z$810,$A$4:$A$810,$A106,$E$4:$E$810,"Loss"),-('Guide &amp; Settings'!$C$42/($F106-1))*$Z106)))</f>
        <v>16.860576151278366</v>
      </c>
      <c r="AB106" s="120">
        <f t="shared" si="33"/>
        <v>979.60749219179638</v>
      </c>
      <c r="AC106" s="120">
        <f>IF($D106="","",IF(SUMPRODUCT(MAX(($D$4:$D$810=$D106)*($B$4:$B$810&lt;$B106)*$B$4:$B$810))=0,0,MAX(($B106-MAX(SUMPRODUCT(MAX(($D$4:$D$810=$D106)*($B$4:$B$810&lt;$B106)*$B$4:$B$810)),'Guide &amp; Settings'!$C$50))/7-'Guide &amp; Settings'!$C$48,0)*'Guide &amp; Settings'!$C$49))</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956.79857074963707</v>
      </c>
      <c r="I107" s="117">
        <f t="shared" si="19"/>
        <v>0.53846153846153844</v>
      </c>
      <c r="J107" s="118">
        <f>IF($D107="",0,IF($F107&lt;2,0,IF($E107="Win",('Guide &amp; Settings'!$C$42/(($F107-1)*COUNTIFS($A$4:$A$810,$A107,$E$4:$E$810,"Win")))*SUMIFS($X$4:$X$810,$A$4:$A$810,$A107,$E$4:$E$810,"Loss"),-('Guide &amp; Settings'!$C$42/($F107-1))*$X107)))</f>
        <v>-15.097925378753624</v>
      </c>
      <c r="K107" s="118">
        <f>IF($D107="",0,'Guide &amp; Settings'!$C$43*(IF($E107="Win",1,0)-$I107))</f>
        <v>-6.4615384615384617</v>
      </c>
      <c r="L107" s="119">
        <f>IF($D107="",0,'Guide &amp; Settings'!$C$44*IF($F107&gt;=3,$F107,0))</f>
        <v>0</v>
      </c>
      <c r="M107" s="118">
        <f t="shared" si="20"/>
        <v>-21.559463840292086</v>
      </c>
      <c r="N107" s="116">
        <f t="shared" si="21"/>
        <v>935.23910690934497</v>
      </c>
      <c r="O107" s="115" t="str">
        <f t="shared" si="22"/>
        <v>OK</v>
      </c>
      <c r="P107">
        <f t="shared" si="23"/>
        <v>998.28627447903841</v>
      </c>
      <c r="Q107">
        <f t="shared" si="24"/>
        <v>0.44057656709379672</v>
      </c>
      <c r="R107">
        <f t="shared" si="25"/>
        <v>0.33333333333333331</v>
      </c>
      <c r="S107">
        <f t="shared" si="26"/>
        <v>0.61904761904761907</v>
      </c>
      <c r="T107" s="83">
        <f t="shared" si="27"/>
        <v>1</v>
      </c>
      <c r="U107" s="120">
        <f>IF($D107="",0,IFERROR(LOOKUP(2,1/(($D$3:D106=$D107)*($C$3:C106=$C107)*($A$3:A106&lt;$A107)),$AB$3:AB106),1000))</f>
        <v>981.45214133048421</v>
      </c>
      <c r="V107" s="120">
        <f t="shared" si="28"/>
        <v>960.90749917977826</v>
      </c>
      <c r="W107">
        <f t="shared" si="29"/>
        <v>980.51659525977823</v>
      </c>
      <c r="X107">
        <f t="shared" si="30"/>
        <v>0.47181016808605075</v>
      </c>
      <c r="Y107">
        <f t="shared" si="31"/>
        <v>962.74691604051804</v>
      </c>
      <c r="Z107">
        <f t="shared" si="32"/>
        <v>0.52689300472744893</v>
      </c>
      <c r="AA107">
        <f>IF($D107="",0,IF($F107&lt;2,0,IF($E107="Win",('Guide &amp; Settings'!$C$42/(($F107-1)*COUNTIFS($A$4:$A$810,$A107,$E$4:$E$810,"Win")))*SUMIFS($Z$4:$Z$810,$A$4:$A$810,$A107,$E$4:$E$810,"Loss"),-('Guide &amp; Settings'!$C$42/($F107-1))*$Z107)))</f>
        <v>-16.860576151278366</v>
      </c>
      <c r="AB107" s="120">
        <f t="shared" si="33"/>
        <v>964.59156517920587</v>
      </c>
      <c r="AC107" s="120">
        <f>IF($D107="","",IF(SUMPRODUCT(MAX(($D$4:$D$810=$D107)*($B$4:$B$810&lt;$B107)*$B$4:$B$810))=0,0,MAX(($B107-MAX(SUMPRODUCT(MAX(($D$4:$D$810=$D107)*($B$4:$B$810&lt;$B107)*$B$4:$B$810)),'Guide &amp; Settings'!$C$50))/7-'Guide &amp; Settings'!$C$48,0)*'Guide &amp; Settings'!$C$49))</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1019.8457383193305</v>
      </c>
      <c r="I108" s="117">
        <f t="shared" si="19"/>
        <v>0.6</v>
      </c>
      <c r="J108" s="118">
        <f>IF($D108="",0,IF($F108&lt;2,0,IF($E108="Win",('Guide &amp; Settings'!$C$42/(($F108-1)*COUNTIFS($A$4:$A$810,$A108,$E$4:$E$810,"Win")))*SUMIFS($X$4:$X$810,$A$4:$A$810,$A108,$E$4:$E$810,"Loss"),-('Guide &amp; Settings'!$C$42/($F108-1))*$X108)))</f>
        <v>-18.479189647467326</v>
      </c>
      <c r="K108" s="118">
        <f>IF($D108="",0,'Guide &amp; Settings'!$C$43*(IF($E108="Win",1,0)-$I108))</f>
        <v>-7.1999999999999993</v>
      </c>
      <c r="L108" s="119">
        <f>IF($D108="",0,'Guide &amp; Settings'!$C$44*IF($F108&gt;=3,$F108,0))</f>
        <v>0</v>
      </c>
      <c r="M108" s="118">
        <f t="shared" si="20"/>
        <v>-25.679189647467325</v>
      </c>
      <c r="N108" s="116">
        <f t="shared" si="21"/>
        <v>994.16654867186321</v>
      </c>
      <c r="O108" s="115" t="str">
        <f t="shared" si="22"/>
        <v>OK</v>
      </c>
      <c r="P108">
        <f t="shared" si="23"/>
        <v>935.23910690934497</v>
      </c>
      <c r="Q108">
        <f t="shared" si="24"/>
        <v>0.61940768708822447</v>
      </c>
      <c r="R108">
        <f t="shared" si="25"/>
        <v>0.375</v>
      </c>
      <c r="S108">
        <f t="shared" si="26"/>
        <v>0.625</v>
      </c>
      <c r="T108" s="83">
        <f t="shared" si="27"/>
        <v>6</v>
      </c>
      <c r="U108" s="120">
        <f>IF($D108="",0,IFERROR(LOOKUP(2,1/(($D$3:D107=$D108)*($C$3:C107=$C108)*($A$3:A107&lt;$A108)),$AB$3:AB107),1000))</f>
        <v>979.60749219179638</v>
      </c>
      <c r="V108" s="120">
        <f t="shared" si="28"/>
        <v>997.89760406794835</v>
      </c>
      <c r="W108">
        <f t="shared" si="29"/>
        <v>943.6255235578767</v>
      </c>
      <c r="X108">
        <f t="shared" si="30"/>
        <v>0.57747467648335393</v>
      </c>
      <c r="Y108">
        <f t="shared" si="31"/>
        <v>964.59156517920587</v>
      </c>
      <c r="Z108">
        <f t="shared" si="32"/>
        <v>0.52159621114929866</v>
      </c>
      <c r="AA108">
        <f>IF($D108="",0,IF($F108&lt;2,0,IF($E108="Win",('Guide &amp; Settings'!$C$42/(($F108-1)*COUNTIFS($A$4:$A$810,$A108,$E$4:$E$810,"Win")))*SUMIFS($Z$4:$Z$810,$A$4:$A$810,$A108,$E$4:$E$810,"Loss"),-('Guide &amp; Settings'!$C$42/($F108-1))*$Z108)))</f>
        <v>-16.691078756777557</v>
      </c>
      <c r="AB108" s="120">
        <f t="shared" si="33"/>
        <v>962.91641343501885</v>
      </c>
      <c r="AC108" s="120">
        <f>IF($D108="","",IF(SUMPRODUCT(MAX(($D$4:$D$810=$D108)*($B$4:$B$810&lt;$B108)*$B$4:$B$810))=0,0,MAX(($B108-MAX(SUMPRODUCT(MAX(($D$4:$D$810=$D108)*($B$4:$B$810&lt;$B108)*$B$4:$B$810)),'Guide &amp; Settings'!$C$50))/7-'Guide &amp; Settings'!$C$48,0)*'Guide &amp; Settings'!$C$49))</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935.23910690934497</v>
      </c>
      <c r="I109" s="117">
        <f t="shared" si="19"/>
        <v>0.4</v>
      </c>
      <c r="J109" s="118">
        <f>IF($D109="",0,IF($F109&lt;2,0,IF($E109="Win",('Guide &amp; Settings'!$C$42/(($F109-1)*COUNTIFS($A$4:$A$810,$A109,$E$4:$E$810,"Win")))*SUMIFS($X$4:$X$810,$A$4:$A$810,$A109,$E$4:$E$810,"Loss"),-('Guide &amp; Settings'!$C$42/($F109-1))*$X109)))</f>
        <v>18.479189647467326</v>
      </c>
      <c r="K109" s="118">
        <f>IF($D109="",0,'Guide &amp; Settings'!$C$43*(IF($E109="Win",1,0)-$I109))</f>
        <v>7.1999999999999993</v>
      </c>
      <c r="L109" s="119">
        <f>IF($D109="",0,'Guide &amp; Settings'!$C$44*IF($F109&gt;=3,$F109,0))</f>
        <v>0</v>
      </c>
      <c r="M109" s="118">
        <f t="shared" si="20"/>
        <v>25.679189647467325</v>
      </c>
      <c r="N109" s="116">
        <f t="shared" si="21"/>
        <v>960.91829655681227</v>
      </c>
      <c r="O109" s="115" t="str">
        <f t="shared" si="22"/>
        <v>OK</v>
      </c>
      <c r="P109">
        <f t="shared" si="23"/>
        <v>935.23910690934497</v>
      </c>
      <c r="Q109">
        <f t="shared" si="24"/>
        <v>0.5</v>
      </c>
      <c r="R109">
        <f t="shared" si="25"/>
        <v>0.25</v>
      </c>
      <c r="S109">
        <f t="shared" si="26"/>
        <v>0.625</v>
      </c>
      <c r="T109" s="83">
        <f t="shared" si="27"/>
        <v>2</v>
      </c>
      <c r="U109" s="120">
        <f>IF($D109="",0,IFERROR(LOOKUP(2,1/(($D$3:D108=$D109)*($C$3:C108=$C109)*($A$3:A108&lt;$A109)),$AB$3:AB108),1000))</f>
        <v>964.59156517920587</v>
      </c>
      <c r="V109" s="120">
        <f t="shared" si="28"/>
        <v>943.6255235578767</v>
      </c>
      <c r="W109">
        <f t="shared" si="29"/>
        <v>943.6255235578767</v>
      </c>
      <c r="X109">
        <f t="shared" si="30"/>
        <v>0.5</v>
      </c>
      <c r="Y109">
        <f t="shared" si="31"/>
        <v>964.59156517920587</v>
      </c>
      <c r="Z109">
        <f t="shared" si="32"/>
        <v>0.5</v>
      </c>
      <c r="AA109">
        <f>IF($D109="",0,IF($F109&lt;2,0,IF($E109="Win",('Guide &amp; Settings'!$C$42/(($F109-1)*COUNTIFS($A$4:$A$810,$A109,$E$4:$E$810,"Win")))*SUMIFS($Z$4:$Z$810,$A$4:$A$810,$A109,$E$4:$E$810,"Loss"),-('Guide &amp; Settings'!$C$42/($F109-1))*$Z109)))</f>
        <v>16.691078756777557</v>
      </c>
      <c r="AB109" s="120">
        <f t="shared" si="33"/>
        <v>981.2826439359834</v>
      </c>
      <c r="AC109" s="120">
        <f>IF($D109="","",IF(SUMPRODUCT(MAX(($D$4:$D$810=$D109)*($B$4:$B$810&lt;$B109)*$B$4:$B$810))=0,0,MAX(($B109-MAX(SUMPRODUCT(MAX(($D$4:$D$810=$D109)*($B$4:$B$810&lt;$B109)*$B$4:$B$810)),'Guide &amp; Settings'!$C$50))/7-'Guide &amp; Settings'!$C$48,0)*'Guide &amp; Settings'!$C$49))</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14.138800551081921</v>
      </c>
      <c r="K110" s="118">
        <f>IF($D110="",0,'Guide &amp; Settings'!$C$43*(IF($E110="Win",1,0)-$I110))</f>
        <v>6</v>
      </c>
      <c r="L110" s="119">
        <f>IF($D110="",0,'Guide &amp; Settings'!$C$44*IF($F110&gt;=3,$F110,0))</f>
        <v>0</v>
      </c>
      <c r="M110" s="118">
        <f t="shared" si="20"/>
        <v>20.138800551081921</v>
      </c>
      <c r="N110" s="116">
        <f t="shared" si="21"/>
        <v>1051.5351713835635</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IF($D110="","",IF(SUMPRODUCT(MAX(($D$4:$D$810=$D110)*($B$4:$B$810&lt;$B110)*$B$4:$B$810))=0,0,MAX(($B110-MAX(SUMPRODUCT(MAX(($D$4:$D$810=$D110)*($B$4:$B$810&lt;$B110)*$B$4:$B$810)),'Guide &amp; Settings'!$C$50))/7-'Guide &amp; Settings'!$C$48,0)*'Guide &amp; Settings'!$C$49))</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960.91829655681227</v>
      </c>
      <c r="I111" s="117">
        <f t="shared" si="19"/>
        <v>0.5</v>
      </c>
      <c r="J111" s="118">
        <f>IF($D111="",0,IF($F111&lt;2,0,IF($E111="Win",('Guide &amp; Settings'!$C$42/(($F111-1)*COUNTIFS($A$4:$A$810,$A111,$E$4:$E$810,"Win")))*SUMIFS($X$4:$X$810,$A$4:$A$810,$A111,$E$4:$E$810,"Loss"),-('Guide &amp; Settings'!$C$42/($F111-1))*$X111)))</f>
        <v>-14.138800551081921</v>
      </c>
      <c r="K111" s="118">
        <f>IF($D111="",0,'Guide &amp; Settings'!$C$43*(IF($E111="Win",1,0)-$I111))</f>
        <v>-6</v>
      </c>
      <c r="L111" s="119">
        <f>IF($D111="",0,'Guide &amp; Settings'!$C$44*IF($F111&gt;=3,$F111,0))</f>
        <v>0</v>
      </c>
      <c r="M111" s="118">
        <f t="shared" si="20"/>
        <v>-20.138800551081921</v>
      </c>
      <c r="N111" s="116">
        <f t="shared" si="21"/>
        <v>940.77949600573038</v>
      </c>
      <c r="O111" s="115" t="str">
        <f t="shared" si="22"/>
        <v>OK</v>
      </c>
      <c r="P111">
        <f t="shared" si="23"/>
        <v>1031.3963708324816</v>
      </c>
      <c r="Q111">
        <f t="shared" si="24"/>
        <v>0.39994256939449746</v>
      </c>
      <c r="R111">
        <f t="shared" si="25"/>
        <v>0.5</v>
      </c>
      <c r="S111">
        <f t="shared" si="26"/>
        <v>1</v>
      </c>
      <c r="T111" s="83">
        <f t="shared" si="27"/>
        <v>4</v>
      </c>
      <c r="U111" s="120">
        <f>IF($D111="",0,IFERROR(LOOKUP(2,1/(($D$3:D110=$D111)*($C$3:C110=$C111)*($A$3:A110&lt;$A111)),$AB$3:AB110),1000))</f>
        <v>1015.3406373059906</v>
      </c>
      <c r="V111" s="120">
        <f t="shared" si="28"/>
        <v>985.10600355644715</v>
      </c>
      <c r="W111">
        <f t="shared" si="29"/>
        <v>1025.7052243338603</v>
      </c>
      <c r="X111">
        <f t="shared" si="30"/>
        <v>0.44183751722131004</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IF($D111="","",IF(SUMPRODUCT(MAX(($D$4:$D$810=$D111)*($B$4:$B$810&lt;$B111)*$B$4:$B$810))=0,0,MAX(($B111-MAX(SUMPRODUCT(MAX(($D$4:$D$810=$D111)*($B$4:$B$810&lt;$B111)*$B$4:$B$810)),'Guide &amp; Settings'!$C$50))/7-'Guide &amp; Settings'!$C$48,0)*'Guide &amp; Settings'!$C$49))</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1051.5351713835635</v>
      </c>
      <c r="I112" s="117">
        <f t="shared" si="19"/>
        <v>0.58333333333333337</v>
      </c>
      <c r="J112" s="118">
        <f>IF($D112="",0,IF($F112&lt;2,0,IF($E112="Win",('Guide &amp; Settings'!$C$42/(($F112-1)*COUNTIFS($A$4:$A$810,$A112,$E$4:$E$810,"Win")))*SUMIFS($X$4:$X$810,$A$4:$A$810,$A112,$E$4:$E$810,"Loss"),-('Guide &amp; Settings'!$C$42/($F112-1))*$X112)))</f>
        <v>12.704071969967577</v>
      </c>
      <c r="K112" s="118">
        <f>IF($D112="",0,'Guide &amp; Settings'!$C$43*(IF($E112="Win",1,0)-$I112))</f>
        <v>5</v>
      </c>
      <c r="L112" s="119">
        <f>IF($D112="",0,'Guide &amp; Settings'!$C$44*IF($F112&gt;=3,$F112,0))</f>
        <v>0</v>
      </c>
      <c r="M112" s="118">
        <f t="shared" si="20"/>
        <v>17.704071969967579</v>
      </c>
      <c r="N112" s="116">
        <f t="shared" si="21"/>
        <v>1069.239243353531</v>
      </c>
      <c r="O112" s="115" t="str">
        <f t="shared" si="22"/>
        <v>OK</v>
      </c>
      <c r="P112">
        <f t="shared" si="23"/>
        <v>1051.5351713835635</v>
      </c>
      <c r="Q112">
        <f t="shared" si="24"/>
        <v>0.5</v>
      </c>
      <c r="R112">
        <f t="shared" si="25"/>
        <v>0.6</v>
      </c>
      <c r="S112">
        <f t="shared" si="26"/>
        <v>1.0285714285714285</v>
      </c>
      <c r="T112" s="83">
        <f t="shared" si="27"/>
        <v>3</v>
      </c>
      <c r="U112" s="120">
        <f>IF($D112="",0,IFERROR(LOOKUP(2,1/(($D$3:D111=$D112)*($C$3:C111=$C112)*($A$3:A111&lt;$A112)),$AB$3:AB111),1000))</f>
        <v>1027.6552613380845</v>
      </c>
      <c r="V112" s="120">
        <f t="shared" si="28"/>
        <v>1042.5802051165088</v>
      </c>
      <c r="W112">
        <f t="shared" si="29"/>
        <v>1042.5802051165088</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IF($D112="","",IF(SUMPRODUCT(MAX(($D$4:$D$810=$D112)*($B$4:$B$810&lt;$B112)*$B$4:$B$810))=0,0,MAX(($B112-MAX(SUMPRODUCT(MAX(($D$4:$D$810=$D112)*($B$4:$B$810&lt;$B112)*$B$4:$B$810)),'Guide &amp; Settings'!$C$50))/7-'Guide &amp; Settings'!$C$48,0)*'Guide &amp; Settings'!$C$49))</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940.77949600573038</v>
      </c>
      <c r="I113" s="117">
        <f t="shared" si="19"/>
        <v>0.41666666666666669</v>
      </c>
      <c r="J113" s="118">
        <f>IF($D113="",0,IF($F113&lt;2,0,IF($E113="Win",('Guide &amp; Settings'!$C$42/(($F113-1)*COUNTIFS($A$4:$A$810,$A113,$E$4:$E$810,"Win")))*SUMIFS($X$4:$X$810,$A$4:$A$810,$A113,$E$4:$E$810,"Loss"),-('Guide &amp; Settings'!$C$42/($F113-1))*$X113)))</f>
        <v>-12.704071969967577</v>
      </c>
      <c r="K113" s="118">
        <f>IF($D113="",0,'Guide &amp; Settings'!$C$43*(IF($E113="Win",1,0)-$I113))</f>
        <v>-5</v>
      </c>
      <c r="L113" s="119">
        <f>IF($D113="",0,'Guide &amp; Settings'!$C$44*IF($F113&gt;=3,$F113,0))</f>
        <v>0</v>
      </c>
      <c r="M113" s="118">
        <f t="shared" si="20"/>
        <v>-17.704071969967579</v>
      </c>
      <c r="N113" s="116">
        <f t="shared" si="21"/>
        <v>923.07542403576281</v>
      </c>
      <c r="O113" s="115" t="str">
        <f t="shared" si="22"/>
        <v>OK</v>
      </c>
      <c r="P113">
        <f t="shared" si="23"/>
        <v>1051.5351713835635</v>
      </c>
      <c r="Q113">
        <f t="shared" si="24"/>
        <v>0.34579810519368054</v>
      </c>
      <c r="R113">
        <f t="shared" si="25"/>
        <v>0.42857142857142855</v>
      </c>
      <c r="S113">
        <f t="shared" si="26"/>
        <v>1.0285714285714285</v>
      </c>
      <c r="T113" s="83">
        <f t="shared" si="27"/>
        <v>5</v>
      </c>
      <c r="U113" s="120">
        <f>IF($D113="",0,IFERROR(LOOKUP(2,1/(($D$3:D112=$D113)*($C$3:C112=$C113)*($A$3:A112&lt;$A113)),$AB$3:AB112),1000))</f>
        <v>999.1627340552136</v>
      </c>
      <c r="V113" s="120">
        <f t="shared" si="28"/>
        <v>969.97111503047199</v>
      </c>
      <c r="W113">
        <f t="shared" si="29"/>
        <v>1042.5802051165088</v>
      </c>
      <c r="X113">
        <f t="shared" si="30"/>
        <v>0.39700224906148679</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IF($D113="","",IF(SUMPRODUCT(MAX(($D$4:$D$810=$D113)*($B$4:$B$810&lt;$B113)*$B$4:$B$810))=0,0,MAX(($B113-MAX(SUMPRODUCT(MAX(($D$4:$D$810=$D113)*($B$4:$B$810&lt;$B113)*$B$4:$B$810)),'Guide &amp; Settings'!$C$50))/7-'Guide &amp; Settings'!$C$48,0)*'Guide &amp; Settings'!$C$49))</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1069.239243353531</v>
      </c>
      <c r="I114" s="117">
        <f t="shared" si="19"/>
        <v>0.64</v>
      </c>
      <c r="J114" s="118">
        <f>IF($D114="",0,IF($F114&lt;2,0,IF($E114="Win",('Guide &amp; Settings'!$C$42/(($F114-1)*COUNTIFS($A$4:$A$810,$A114,$E$4:$E$810,"Win")))*SUMIFS($X$4:$X$810,$A$4:$A$810,$A114,$E$4:$E$810,"Loss"),-('Guide &amp; Settings'!$C$42/($F114-1))*$X114)))</f>
        <v>11.487285309072599</v>
      </c>
      <c r="K114" s="118">
        <f>IF($D114="",0,'Guide &amp; Settings'!$C$43*(IF($E114="Win",1,0)-$I114))</f>
        <v>4.32</v>
      </c>
      <c r="L114" s="119">
        <f>IF($D114="",0,'Guide &amp; Settings'!$C$44*IF($F114&gt;=3,$F114,0))</f>
        <v>0</v>
      </c>
      <c r="M114" s="118">
        <f t="shared" si="20"/>
        <v>15.807285309072599</v>
      </c>
      <c r="N114" s="116">
        <f t="shared" si="21"/>
        <v>1085.0465286626036</v>
      </c>
      <c r="O114" s="115" t="str">
        <f t="shared" si="22"/>
        <v>OK</v>
      </c>
      <c r="P114">
        <f t="shared" si="23"/>
        <v>1069.239243353531</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1057.2867198960498</v>
      </c>
      <c r="W114">
        <f t="shared" si="29"/>
        <v>1057.2867198960498</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IF($D114="","",IF(SUMPRODUCT(MAX(($D$4:$D$810=$D114)*($B$4:$B$810&lt;$B114)*$B$4:$B$810))=0,0,MAX(($B114-MAX(SUMPRODUCT(MAX(($D$4:$D$810=$D114)*($B$4:$B$810&lt;$B114)*$B$4:$B$810)),'Guide &amp; Settings'!$C$50))/7-'Guide &amp; Settings'!$C$48,0)*'Guide &amp; Settings'!$C$49))</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923.07542403576281</v>
      </c>
      <c r="I115" s="117">
        <f t="shared" si="19"/>
        <v>0.36000000000000004</v>
      </c>
      <c r="J115" s="118">
        <f>IF($D115="",0,IF($F115&lt;2,0,IF($E115="Win",('Guide &amp; Settings'!$C$42/(($F115-1)*COUNTIFS($A$4:$A$810,$A115,$E$4:$E$810,"Win")))*SUMIFS($X$4:$X$810,$A$4:$A$810,$A115,$E$4:$E$810,"Loss"),-('Guide &amp; Settings'!$C$42/($F115-1))*$X115)))</f>
        <v>-11.487285309072599</v>
      </c>
      <c r="K115" s="118">
        <f>IF($D115="",0,'Guide &amp; Settings'!$C$43*(IF($E115="Win",1,0)-$I115))</f>
        <v>-4.32</v>
      </c>
      <c r="L115" s="119">
        <f>IF($D115="",0,'Guide &amp; Settings'!$C$44*IF($F115&gt;=3,$F115,0))</f>
        <v>0</v>
      </c>
      <c r="M115" s="118">
        <f t="shared" si="20"/>
        <v>-15.807285309072599</v>
      </c>
      <c r="N115" s="116">
        <f t="shared" si="21"/>
        <v>907.26813872669015</v>
      </c>
      <c r="O115" s="115" t="str">
        <f t="shared" si="22"/>
        <v>OK</v>
      </c>
      <c r="P115">
        <f t="shared" si="23"/>
        <v>1069.239243353531</v>
      </c>
      <c r="Q115">
        <f t="shared" si="24"/>
        <v>0.30124283487616771</v>
      </c>
      <c r="R115">
        <f t="shared" si="25"/>
        <v>0.375</v>
      </c>
      <c r="S115">
        <f t="shared" si="26"/>
        <v>1.0416666666666665</v>
      </c>
      <c r="T115" s="83">
        <f t="shared" si="27"/>
        <v>6</v>
      </c>
      <c r="U115" s="120">
        <f>IF($D115="",0,IFERROR(LOOKUP(2,1/(($D$3:D114=$D115)*($C$3:C114=$C115)*($A$3:A114&lt;$A115)),$AB$3:AB114),1000))</f>
        <v>984.47192981909961</v>
      </c>
      <c r="V115" s="120">
        <f t="shared" si="28"/>
        <v>956.5644271903102</v>
      </c>
      <c r="W115">
        <f t="shared" si="29"/>
        <v>1057.2867198960498</v>
      </c>
      <c r="X115">
        <f t="shared" si="30"/>
        <v>0.35897766590851871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IF($D115="","",IF(SUMPRODUCT(MAX(($D$4:$D$810=$D115)*($B$4:$B$810&lt;$B115)*$B$4:$B$810))=0,0,MAX(($B115-MAX(SUMPRODUCT(MAX(($D$4:$D$810=$D115)*($B$4:$B$810&lt;$B115)*$B$4:$B$810)),'Guide &amp; Settings'!$C$50))/7-'Guide &amp; Settings'!$C$48,0)*'Guide &amp; Settings'!$C$49))</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907.26813872669015</v>
      </c>
      <c r="I116" s="117">
        <f t="shared" si="19"/>
        <v>0.29411764705882354</v>
      </c>
      <c r="J116" s="118">
        <f>IF($D116="",0,IF($F116&lt;2,0,IF($E116="Win",('Guide &amp; Settings'!$C$42/(($F116-1)*COUNTIFS($A$4:$A$810,$A116,$E$4:$E$810,"Win")))*SUMIFS($X$4:$X$810,$A$4:$A$810,$A116,$E$4:$E$810,"Loss"),-('Guide &amp; Settings'!$C$42/($F116-1))*$X116)))</f>
        <v>21.843735818307859</v>
      </c>
      <c r="K116" s="118">
        <f>IF($D116="",0,'Guide &amp; Settings'!$C$43*(IF($E116="Win",1,0)-$I116))</f>
        <v>8.470588235294116</v>
      </c>
      <c r="L116" s="119">
        <f>IF($D116="",0,'Guide &amp; Settings'!$C$44*IF($F116&gt;=3,$F116,0))</f>
        <v>0</v>
      </c>
      <c r="M116" s="118">
        <f t="shared" si="20"/>
        <v>30.314324053601975</v>
      </c>
      <c r="N116" s="116">
        <f t="shared" si="21"/>
        <v>937.58246278029208</v>
      </c>
      <c r="O116" s="115" t="str">
        <f t="shared" si="22"/>
        <v>OK</v>
      </c>
      <c r="P116">
        <f t="shared" si="23"/>
        <v>907.26813872669015</v>
      </c>
      <c r="Q116">
        <f t="shared" si="24"/>
        <v>0.5</v>
      </c>
      <c r="R116">
        <f t="shared" si="25"/>
        <v>0.25</v>
      </c>
      <c r="S116">
        <f t="shared" si="26"/>
        <v>0.85</v>
      </c>
      <c r="T116" s="83">
        <f t="shared" si="27"/>
        <v>2</v>
      </c>
      <c r="U116" s="120">
        <f>IF($D116="",0,IFERROR(LOOKUP(2,1/(($D$3:D115=$D116)*($C$3:C115=$C116)*($A$3:A115&lt;$A116)),$AB$3:AB115),1000))</f>
        <v>969.46950152897546</v>
      </c>
      <c r="V116" s="120">
        <f t="shared" si="28"/>
        <v>925.03995667020035</v>
      </c>
      <c r="W116">
        <f t="shared" si="29"/>
        <v>925.03995667020035</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IF($D116="","",IF(SUMPRODUCT(MAX(($D$4:$D$810=$D116)*($B$4:$B$810&lt;$B116)*$B$4:$B$810))=0,0,MAX(($B116-MAX(SUMPRODUCT(MAX(($D$4:$D$810=$D116)*($B$4:$B$810&lt;$B116)*$B$4:$B$810)),'Guide &amp; Settings'!$C$50))/7-'Guide &amp; Settings'!$C$48,0)*'Guide &amp; Settings'!$C$49))</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1085.0465286626036</v>
      </c>
      <c r="I117" s="117">
        <f t="shared" si="19"/>
        <v>0.70588235294117652</v>
      </c>
      <c r="J117" s="118">
        <f>IF($D117="",0,IF($F117&lt;2,0,IF($E117="Win",('Guide &amp; Settings'!$C$42/(($F117-1)*COUNTIFS($A$4:$A$810,$A117,$E$4:$E$810,"Win")))*SUMIFS($X$4:$X$810,$A$4:$A$810,$A117,$E$4:$E$810,"Loss"),-('Guide &amp; Settings'!$C$42/($F117-1))*$X117)))</f>
        <v>-21.843735818307859</v>
      </c>
      <c r="K117" s="118">
        <f>IF($D117="",0,'Guide &amp; Settings'!$C$43*(IF($E117="Win",1,0)-$I117))</f>
        <v>-8.4705882352941178</v>
      </c>
      <c r="L117" s="119">
        <f>IF($D117="",0,'Guide &amp; Settings'!$C$44*IF($F117&gt;=3,$F117,0))</f>
        <v>0</v>
      </c>
      <c r="M117" s="118">
        <f t="shared" si="20"/>
        <v>-30.314324053601979</v>
      </c>
      <c r="N117" s="116">
        <f t="shared" si="21"/>
        <v>1054.7322046090017</v>
      </c>
      <c r="O117" s="115" t="str">
        <f t="shared" si="22"/>
        <v>OK</v>
      </c>
      <c r="P117">
        <f t="shared" si="23"/>
        <v>907.26813872669015</v>
      </c>
      <c r="Q117">
        <f t="shared" si="24"/>
        <v>0.73562942404501963</v>
      </c>
      <c r="R117">
        <f t="shared" si="25"/>
        <v>0.6</v>
      </c>
      <c r="S117">
        <f t="shared" si="26"/>
        <v>0.85</v>
      </c>
      <c r="T117" s="83">
        <f t="shared" si="27"/>
        <v>3</v>
      </c>
      <c r="U117" s="120">
        <f>IF($D117="",0,IFERROR(LOOKUP(2,1/(($D$3:D116=$D117)*($C$3:C116=$C117)*($A$3:A116&lt;$A117)),$AB$3:AB116),1000))</f>
        <v>1013.1281248226184</v>
      </c>
      <c r="V117" s="120">
        <f t="shared" si="28"/>
        <v>1058.0771272226093</v>
      </c>
      <c r="W117">
        <f t="shared" si="29"/>
        <v>925.03995667020035</v>
      </c>
      <c r="X117">
        <f t="shared" si="30"/>
        <v>0.68261674432212061</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IF($D117="","",IF(SUMPRODUCT(MAX(($D$4:$D$810=$D117)*($B$4:$B$810&lt;$B117)*$B$4:$B$810))=0,0,MAX(($B117-MAX(SUMPRODUCT(MAX(($D$4:$D$810=$D117)*($B$4:$B$810&lt;$B117)*$B$4:$B$810)),'Guide &amp; Settings'!$C$50))/7-'Guide &amp; Settings'!$C$48,0)*'Guide &amp; Settings'!$C$49))</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937.58246278029208</v>
      </c>
      <c r="I118" s="117">
        <f t="shared" si="19"/>
        <v>0.44444444444444448</v>
      </c>
      <c r="J118" s="118">
        <f>IF($D118="",0,IF($F118&lt;2,0,IF($E118="Win",('Guide &amp; Settings'!$C$42/(($F118-1)*COUNTIFS($A$4:$A$810,$A118,$E$4:$E$810,"Win")))*SUMIFS($X$4:$X$810,$A$4:$A$810,$A118,$E$4:$E$810,"Loss"),-('Guide &amp; Settings'!$C$42/($F118-1))*$X118)))</f>
        <v>18.002361566192853</v>
      </c>
      <c r="K118" s="118">
        <f>IF($D118="",0,'Guide &amp; Settings'!$C$43*(IF($E118="Win",1,0)-$I118))</f>
        <v>6.666666666666667</v>
      </c>
      <c r="L118" s="119">
        <f>IF($D118="",0,'Guide &amp; Settings'!$C$44*IF($F118&gt;=3,$F118,0))</f>
        <v>0</v>
      </c>
      <c r="M118" s="118">
        <f t="shared" si="20"/>
        <v>24.669028232859521</v>
      </c>
      <c r="N118" s="116">
        <f t="shared" si="21"/>
        <v>962.25149101315162</v>
      </c>
      <c r="O118" s="115" t="str">
        <f t="shared" si="22"/>
        <v>OK</v>
      </c>
      <c r="P118">
        <f t="shared" si="23"/>
        <v>937.58246278029208</v>
      </c>
      <c r="Q118">
        <f t="shared" si="24"/>
        <v>0.5</v>
      </c>
      <c r="R118">
        <f t="shared" si="25"/>
        <v>0.4</v>
      </c>
      <c r="S118">
        <f t="shared" si="26"/>
        <v>0.9</v>
      </c>
      <c r="T118" s="83">
        <f t="shared" si="27"/>
        <v>3</v>
      </c>
      <c r="U118" s="120">
        <f>IF($D118="",0,IFERROR(LOOKUP(2,1/(($D$3:D117=$D118)*($C$3:C117=$C118)*($A$3:A117&lt;$A118)),$AB$3:AB117),1000))</f>
        <v>987.4695394050409</v>
      </c>
      <c r="V118" s="120">
        <f t="shared" si="28"/>
        <v>956.2901165145729</v>
      </c>
      <c r="W118">
        <f t="shared" si="29"/>
        <v>956.2901165145729</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IF($D118="","",IF(SUMPRODUCT(MAX(($D$4:$D$810=$D118)*($B$4:$B$810&lt;$B118)*$B$4:$B$810))=0,0,MAX(($B118-MAX(SUMPRODUCT(MAX(($D$4:$D$810=$D118)*($B$4:$B$810&lt;$B118)*$B$4:$B$810)),'Guide &amp; Settings'!$C$50))/7-'Guide &amp; Settings'!$C$48,0)*'Guide &amp; Settings'!$C$49))</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-18.002361566192853</v>
      </c>
      <c r="K119" s="118">
        <f>IF($D119="",0,'Guide &amp; Settings'!$C$43*(IF($E119="Win",1,0)-$I119))</f>
        <v>-6.666666666666667</v>
      </c>
      <c r="L119" s="119">
        <f>IF($D119="",0,'Guide &amp; Settings'!$C$44*IF($F119&gt;=3,$F119,0))</f>
        <v>0</v>
      </c>
      <c r="M119" s="118">
        <f t="shared" si="20"/>
        <v>-24.669028232859521</v>
      </c>
      <c r="N119" s="116">
        <f t="shared" si="21"/>
        <v>975.33097176714045</v>
      </c>
      <c r="O119" s="115" t="str">
        <f t="shared" si="22"/>
        <v>OK</v>
      </c>
      <c r="P119">
        <f t="shared" si="23"/>
        <v>937.58246278029208</v>
      </c>
      <c r="Q119">
        <f t="shared" si="24"/>
        <v>0.58887199657296974</v>
      </c>
      <c r="R119">
        <f t="shared" si="25"/>
        <v>0.5</v>
      </c>
      <c r="S119">
        <f t="shared" si="26"/>
        <v>0.9</v>
      </c>
      <c r="T119" s="83">
        <f t="shared" si="27"/>
        <v>0</v>
      </c>
      <c r="U119" s="120">
        <f>IF($D119="",0,IFERROR(LOOKUP(2,1/(($D$3:D118=$D119)*($C$3:C118=$C119)*($A$3:A118&lt;$A119)),$AB$3:AB118),1000))</f>
        <v>1000</v>
      </c>
      <c r="V119" s="120">
        <f t="shared" si="28"/>
        <v>1000</v>
      </c>
      <c r="W119">
        <f t="shared" si="29"/>
        <v>956.2901165145729</v>
      </c>
      <c r="X119">
        <f t="shared" si="30"/>
        <v>0.56257379894352666</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IF($D119="","",IF(SUMPRODUCT(MAX(($D$4:$D$810=$D119)*($B$4:$B$810&lt;$B119)*$B$4:$B$810))=0,0,MAX(($B119-MAX(SUMPRODUCT(MAX(($D$4:$D$810=$D119)*($B$4:$B$810&lt;$B119)*$B$4:$B$810)),'Guide &amp; Settings'!$C$50))/7-'Guide &amp; Settings'!$C$48,0)*'Guide &amp; Settings'!$C$49))</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-17.74694146669885</v>
      </c>
      <c r="K120" s="118">
        <f>IF($D120="",0,'Guide &amp; Settings'!$C$43*(IF($E120="Win",1,0)-$I120))</f>
        <v>-6.666666666666667</v>
      </c>
      <c r="L120" s="119">
        <f>IF($D120="",0,'Guide &amp; Settings'!$C$44*IF($F120&gt;=3,$F120,0))</f>
        <v>0</v>
      </c>
      <c r="M120" s="118">
        <f t="shared" si="20"/>
        <v>-24.413608133365518</v>
      </c>
      <c r="N120" s="116">
        <f t="shared" si="21"/>
        <v>983.06074452161181</v>
      </c>
      <c r="O120" s="115" t="str">
        <f t="shared" si="22"/>
        <v>OK</v>
      </c>
      <c r="P120">
        <f t="shared" si="23"/>
        <v>962.25149101315162</v>
      </c>
      <c r="Q120">
        <f t="shared" si="24"/>
        <v>0.56471586711762944</v>
      </c>
      <c r="R120">
        <f t="shared" si="25"/>
        <v>0.5</v>
      </c>
      <c r="S120">
        <f t="shared" si="26"/>
        <v>0.9</v>
      </c>
      <c r="T120" s="83">
        <f t="shared" si="27"/>
        <v>0</v>
      </c>
      <c r="U120" s="120">
        <f>IF($D120="",0,IFERROR(LOOKUP(2,1/(($D$3:D119=$D120)*($C$3:C119=$C120)*($A$3:A119&lt;$A120)),$AB$3:AB119),1000))</f>
        <v>1000</v>
      </c>
      <c r="V120" s="120">
        <f t="shared" si="28"/>
        <v>1007.4743526549773</v>
      </c>
      <c r="W120">
        <f t="shared" si="29"/>
        <v>969.38817335921362</v>
      </c>
      <c r="X120">
        <f t="shared" si="30"/>
        <v>0.55459192083433906</v>
      </c>
      <c r="Y120">
        <f t="shared" si="31"/>
        <v>981.2826439359834</v>
      </c>
      <c r="Z120">
        <f t="shared" si="32"/>
        <v>0.52691041177827491</v>
      </c>
      <c r="AA120">
        <f>IF($D120="",0,IF($F120&lt;2,0,IF($E120="Win",('Guide &amp; Settings'!$C$42/(($F120-1)*COUNTIFS($A$4:$A$810,$A120,$E$4:$E$810,"Win")))*SUMIFS($Z$4:$Z$810,$A$4:$A$810,$A120,$E$4:$E$810,"Loss"),-('Guide &amp; Settings'!$C$42/($F120-1))*$Z120)))</f>
        <v>-16.861133176904797</v>
      </c>
      <c r="AB120" s="120">
        <f t="shared" si="33"/>
        <v>983.13886682309521</v>
      </c>
      <c r="AC120" s="120">
        <f>IF($D120="","",IF(SUMPRODUCT(MAX(($D$4:$D$810=$D120)*($B$4:$B$810&lt;$B120)*$B$4:$B$810))=0,0,MAX(($B120-MAX(SUMPRODUCT(MAX(($D$4:$D$810=$D120)*($B$4:$B$810&lt;$B120)*$B$4:$B$810)),'Guide &amp; Settings'!$C$50))/7-'Guide &amp; Settings'!$C$48,0)*'Guide &amp; Settings'!$C$49))</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962.25149101315162</v>
      </c>
      <c r="I121" s="117">
        <f t="shared" si="19"/>
        <v>0.44444444444444448</v>
      </c>
      <c r="J121" s="118">
        <f>IF($D121="",0,IF($F121&lt;2,0,IF($E121="Win",('Guide &amp; Settings'!$C$42/(($F121-1)*COUNTIFS($A$4:$A$810,$A121,$E$4:$E$810,"Win")))*SUMIFS($X$4:$X$810,$A$4:$A$810,$A121,$E$4:$E$810,"Loss"),-('Guide &amp; Settings'!$C$42/($F121-1))*$X121)))</f>
        <v>17.74694146669885</v>
      </c>
      <c r="K121" s="118">
        <f>IF($D121="",0,'Guide &amp; Settings'!$C$43*(IF($E121="Win",1,0)-$I121))</f>
        <v>6.666666666666667</v>
      </c>
      <c r="L121" s="119">
        <f>IF($D121="",0,'Guide &amp; Settings'!$C$44*IF($F121&gt;=3,$F121,0))</f>
        <v>0</v>
      </c>
      <c r="M121" s="118">
        <f t="shared" si="20"/>
        <v>24.413608133365518</v>
      </c>
      <c r="N121" s="116">
        <f t="shared" si="21"/>
        <v>986.66509914651715</v>
      </c>
      <c r="O121" s="115" t="str">
        <f t="shared" si="22"/>
        <v>OK</v>
      </c>
      <c r="P121">
        <f t="shared" si="23"/>
        <v>962.25149101315162</v>
      </c>
      <c r="Q121">
        <f t="shared" si="24"/>
        <v>0.5</v>
      </c>
      <c r="R121">
        <f t="shared" si="25"/>
        <v>0.4</v>
      </c>
      <c r="S121">
        <f t="shared" si="26"/>
        <v>0.9</v>
      </c>
      <c r="T121" s="83">
        <f t="shared" si="27"/>
        <v>3</v>
      </c>
      <c r="U121" s="120">
        <f>IF($D121="",0,IFERROR(LOOKUP(2,1/(($D$3:D120=$D121)*($C$3:C120=$C121)*($A$3:A120&lt;$A121)),$AB$3:AB120),1000))</f>
        <v>981.2826439359834</v>
      </c>
      <c r="V121" s="120">
        <f t="shared" si="28"/>
        <v>969.38817335921362</v>
      </c>
      <c r="W121">
        <f t="shared" si="29"/>
        <v>969.38817335921362</v>
      </c>
      <c r="X121">
        <f t="shared" si="30"/>
        <v>0.5</v>
      </c>
      <c r="Y121">
        <f t="shared" si="31"/>
        <v>981.2826439359834</v>
      </c>
      <c r="Z121">
        <f t="shared" si="32"/>
        <v>0.5</v>
      </c>
      <c r="AA121">
        <f>IF($D121="",0,IF($F121&lt;2,0,IF($E121="Win",('Guide &amp; Settings'!$C$42/(($F121-1)*COUNTIFS($A$4:$A$810,$A121,$E$4:$E$810,"Win")))*SUMIFS($Z$4:$Z$810,$A$4:$A$810,$A121,$E$4:$E$810,"Loss"),-('Guide &amp; Settings'!$C$42/($F121-1))*$Z121)))</f>
        <v>16.861133176904797</v>
      </c>
      <c r="AB121" s="120">
        <f t="shared" si="33"/>
        <v>998.14377711288819</v>
      </c>
      <c r="AC121" s="120">
        <f>IF($D121="","",IF(SUMPRODUCT(MAX(($D$4:$D$810=$D121)*($B$4:$B$810&lt;$B121)*$B$4:$B$810))=0,0,MAX(($B121-MAX(SUMPRODUCT(MAX(($D$4:$D$810=$D121)*($B$4:$B$810&lt;$B121)*$B$4:$B$810)),'Guide &amp; Settings'!$C$50))/7-'Guide &amp; Settings'!$C$48,0)*'Guide &amp; Settings'!$C$49))</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983.06074452161181</v>
      </c>
      <c r="I122" s="117">
        <f t="shared" si="19"/>
        <v>0.5</v>
      </c>
      <c r="J122" s="118">
        <f>IF($D122="",0,IF($F122&lt;2,0,IF($E122="Win",('Guide &amp; Settings'!$C$42/(($F122-1)*COUNTIFS($A$4:$A$810,$A122,$E$4:$E$810,"Win")))*SUMIFS($X$4:$X$810,$A$4:$A$810,$A122,$E$4:$E$810,"Loss"),-('Guide &amp; Settings'!$C$42/($F122-1))*$X122)))</f>
        <v>23.19553712333671</v>
      </c>
      <c r="K122" s="118">
        <f>IF($D122="",0,'Guide &amp; Settings'!$C$43*(IF($E122="Win",1,0)-$I122))</f>
        <v>6</v>
      </c>
      <c r="L122" s="119">
        <f>IF($D122="",0,'Guide &amp; Settings'!$C$44*IF($F122&gt;=3,$F122,0))</f>
        <v>0</v>
      </c>
      <c r="M122" s="118">
        <f t="shared" si="20"/>
        <v>29.19553712333671</v>
      </c>
      <c r="N122" s="116">
        <f t="shared" si="21"/>
        <v>1012.2562816449486</v>
      </c>
      <c r="O122" s="115" t="str">
        <f t="shared" si="22"/>
        <v>OK</v>
      </c>
      <c r="P122">
        <f t="shared" si="23"/>
        <v>983.06074452161181</v>
      </c>
      <c r="Q122">
        <f t="shared" si="24"/>
        <v>0.5</v>
      </c>
      <c r="R122">
        <f t="shared" si="25"/>
        <v>0.5</v>
      </c>
      <c r="S122">
        <f t="shared" si="26"/>
        <v>1</v>
      </c>
      <c r="T122" s="83">
        <f t="shared" si="27"/>
        <v>0</v>
      </c>
      <c r="U122" s="120">
        <f>IF($D122="",0,IFERROR(LOOKUP(2,1/(($D$3:D121=$D122)*($C$3:C121=$C122)*($A$3:A121&lt;$A122)),$AB$3:AB121),1000))</f>
        <v>1000</v>
      </c>
      <c r="V122" s="120">
        <f t="shared" si="28"/>
        <v>983.06074452161181</v>
      </c>
      <c r="W122">
        <f t="shared" si="29"/>
        <v>983.06074452161181</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IF($D122="","",IF(SUMPRODUCT(MAX(($D$4:$D$810=$D122)*($B$4:$B$810&lt;$B122)*$B$4:$B$810))=0,0,MAX(($B122-MAX(SUMPRODUCT(MAX(($D$4:$D$810=$D122)*($B$4:$B$810&lt;$B122)*$B$4:$B$810)),'Guide &amp; Settings'!$C$50))/7-'Guide &amp; Settings'!$C$48,0)*'Guide &amp; Settings'!$C$49))</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-23.19553712333671</v>
      </c>
      <c r="K123" s="118">
        <f>IF($D123="",0,'Guide &amp; Settings'!$C$43*(IF($E123="Win",1,0)-$I123))</f>
        <v>-6</v>
      </c>
      <c r="L123" s="119">
        <f>IF($D123="",0,'Guide &amp; Settings'!$C$44*IF($F123&gt;=3,$F123,0))</f>
        <v>0</v>
      </c>
      <c r="M123" s="118">
        <f t="shared" si="20"/>
        <v>-29.19553712333671</v>
      </c>
      <c r="N123" s="116">
        <f t="shared" si="21"/>
        <v>1122.1458342010349</v>
      </c>
      <c r="O123" s="115" t="str">
        <f t="shared" si="22"/>
        <v>OK</v>
      </c>
      <c r="P123">
        <f t="shared" si="23"/>
        <v>983.06074452161181</v>
      </c>
      <c r="Q123">
        <f t="shared" si="24"/>
        <v>0.72486053510427217</v>
      </c>
      <c r="R123">
        <f t="shared" si="25"/>
        <v>0.5</v>
      </c>
      <c r="S123">
        <f t="shared" si="26"/>
        <v>1</v>
      </c>
      <c r="T123" s="83">
        <f t="shared" si="27"/>
        <v>0</v>
      </c>
      <c r="U123" s="120">
        <f>IF($D123="",0,IFERROR(LOOKUP(2,1/(($D$3:D122=$D123)*($C$3:C122=$C123)*($A$3:A122&lt;$A123)),$AB$3:AB122),1000))</f>
        <v>1000</v>
      </c>
      <c r="V123" s="120">
        <f t="shared" si="28"/>
        <v>1151.3413713243715</v>
      </c>
      <c r="W123">
        <f t="shared" si="29"/>
        <v>983.06074452161181</v>
      </c>
      <c r="X123">
        <f t="shared" si="30"/>
        <v>0.72486053510427217</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IF($D123="","",IF(SUMPRODUCT(MAX(($D$4:$D$810=$D123)*($B$4:$B$810&lt;$B123)*$B$4:$B$810))=0,0,MAX(($B123-MAX(SUMPRODUCT(MAX(($D$4:$D$810=$D123)*($B$4:$B$810&lt;$B123)*$B$4:$B$810)),'Guide &amp; Settings'!$C$50))/7-'Guide &amp; Settings'!$C$48,0)*'Guide &amp; Settings'!$C$49))</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IF($D124="","",IF(SUMPRODUCT(MAX(($D$4:$D$810=$D124)*($B$4:$B$810&lt;$B124)*$B$4:$B$810))=0,0,MAX(($B124-MAX(SUMPRODUCT(MAX(($D$4:$D$810=$D124)*($B$4:$B$810&lt;$B124)*$B$4:$B$810)),'Guide &amp; Settings'!$C$50))/7-'Guide &amp; Settings'!$C$48,0)*'Guide &amp; Settings'!$C$49))</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IF($D125="","",IF(SUMPRODUCT(MAX(($D$4:$D$810=$D125)*($B$4:$B$810&lt;$B125)*$B$4:$B$810))=0,0,MAX(($B125-MAX(SUMPRODUCT(MAX(($D$4:$D$810=$D125)*($B$4:$B$810&lt;$B125)*$B$4:$B$810)),'Guide &amp; Settings'!$C$50))/7-'Guide &amp; Settings'!$C$48,0)*'Guide &amp; Settings'!$C$49))</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1054.7322046090017</v>
      </c>
      <c r="I126" s="117">
        <f t="shared" si="19"/>
        <v>0.5</v>
      </c>
      <c r="J126" s="118">
        <f>IF($D126="",0,IF($F126&lt;2,0,IF($E126="Win",('Guide &amp; Settings'!$C$42/(($F126-1)*COUNTIFS($A$4:$A$810,$A126,$E$4:$E$810,"Win")))*SUMIFS($X$4:$X$810,$A$4:$A$810,$A126,$E$4:$E$810,"Loss"),-('Guide &amp; Settings'!$C$42/($F126-1))*$X126)))</f>
        <v>13.238761611881984</v>
      </c>
      <c r="K126" s="118">
        <f>IF($D126="",0,'Guide &amp; Settings'!$C$43*(IF($E126="Win",1,0)-$I126))</f>
        <v>6</v>
      </c>
      <c r="L126" s="119">
        <f>IF($D126="",0,'Guide &amp; Settings'!$C$44*IF($F126&gt;=3,$F126,0))</f>
        <v>0</v>
      </c>
      <c r="M126" s="118">
        <f t="shared" si="20"/>
        <v>19.238761611881984</v>
      </c>
      <c r="N126" s="116">
        <f t="shared" si="21"/>
        <v>1073.9709662208836</v>
      </c>
      <c r="O126" s="115" t="str">
        <f t="shared" si="22"/>
        <v>OK</v>
      </c>
      <c r="P126">
        <f t="shared" si="23"/>
        <v>1054.7322046090017</v>
      </c>
      <c r="Q126">
        <f t="shared" si="24"/>
        <v>0.5</v>
      </c>
      <c r="R126">
        <f t="shared" si="25"/>
        <v>0.5</v>
      </c>
      <c r="S126">
        <f t="shared" si="26"/>
        <v>1</v>
      </c>
      <c r="T126" s="83">
        <f t="shared" si="27"/>
        <v>0</v>
      </c>
      <c r="U126" s="120">
        <f>IF($D126="",0,IFERROR(LOOKUP(2,1/(($D$3:D125=$D126)*($C$3:C125=$C126)*($A$3:A125&lt;$A126)),$AB$3:AB125),1000))</f>
        <v>1000</v>
      </c>
      <c r="V126" s="120">
        <f t="shared" si="28"/>
        <v>1054.7322046090017</v>
      </c>
      <c r="W126">
        <f t="shared" si="29"/>
        <v>1054.7322046090017</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IF($D126="","",IF(SUMPRODUCT(MAX(($D$4:$D$810=$D126)*($B$4:$B$810&lt;$B126)*$B$4:$B$810))=0,0,MAX(($B126-MAX(SUMPRODUCT(MAX(($D$4:$D$810=$D126)*($B$4:$B$810&lt;$B126)*$B$4:$B$810)),'Guide &amp; Settings'!$C$50))/7-'Guide &amp; Settings'!$C$48,0)*'Guide &amp; Settings'!$C$49))</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994.16654867186321</v>
      </c>
      <c r="I127" s="117">
        <f t="shared" si="19"/>
        <v>0.5</v>
      </c>
      <c r="J127" s="118">
        <f>IF($D127="",0,IF($F127&lt;2,0,IF($E127="Win",('Guide &amp; Settings'!$C$42/(($F127-1)*COUNTIFS($A$4:$A$810,$A127,$E$4:$E$810,"Win")))*SUMIFS($X$4:$X$810,$A$4:$A$810,$A127,$E$4:$E$810,"Loss"),-('Guide &amp; Settings'!$C$42/($F127-1))*$X127)))</f>
        <v>-13.238761611881984</v>
      </c>
      <c r="K127" s="118">
        <f>IF($D127="",0,'Guide &amp; Settings'!$C$43*(IF($E127="Win",1,0)-$I127))</f>
        <v>-6</v>
      </c>
      <c r="L127" s="119">
        <f>IF($D127="",0,'Guide &amp; Settings'!$C$44*IF($F127&gt;=3,$F127,0))</f>
        <v>0</v>
      </c>
      <c r="M127" s="118">
        <f t="shared" si="20"/>
        <v>-19.238761611881984</v>
      </c>
      <c r="N127" s="116">
        <f t="shared" si="21"/>
        <v>974.92778705998126</v>
      </c>
      <c r="O127" s="115" t="str">
        <f t="shared" si="22"/>
        <v>OK</v>
      </c>
      <c r="P127">
        <f t="shared" si="23"/>
        <v>1054.7322046090017</v>
      </c>
      <c r="Q127">
        <f t="shared" si="24"/>
        <v>0.41371130037131199</v>
      </c>
      <c r="R127">
        <f t="shared" si="25"/>
        <v>0.5</v>
      </c>
      <c r="S127">
        <f t="shared" si="26"/>
        <v>1</v>
      </c>
      <c r="T127" s="83">
        <f t="shared" si="27"/>
        <v>0</v>
      </c>
      <c r="U127" s="120">
        <f>IF($D127="",0,IFERROR(LOOKUP(2,1/(($D$3:D126=$D127)*($C$3:C126=$C127)*($A$3:A126&lt;$A127)),$AB$3:AB126),1000))</f>
        <v>1000</v>
      </c>
      <c r="V127" s="120">
        <f t="shared" si="28"/>
        <v>994.16654867186321</v>
      </c>
      <c r="W127">
        <f t="shared" si="29"/>
        <v>1054.7322046090017</v>
      </c>
      <c r="X127">
        <f t="shared" si="30"/>
        <v>0.41371130037131199</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IF($D127="","",IF(SUMPRODUCT(MAX(($D$4:$D$810=$D127)*($B$4:$B$810&lt;$B127)*$B$4:$B$810))=0,0,MAX(($B127-MAX(SUMPRODUCT(MAX(($D$4:$D$810=$D127)*($B$4:$B$810&lt;$B127)*$B$4:$B$810)),'Guide &amp; Settings'!$C$50))/7-'Guide &amp; Settings'!$C$48,0)*'Guide &amp; Settings'!$C$49))</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IF($D128="","",IF(SUMPRODUCT(MAX(($D$4:$D$810=$D128)*($B$4:$B$810&lt;$B128)*$B$4:$B$810))=0,0,MAX(($B128-MAX(SUMPRODUCT(MAX(($D$4:$D$810=$D128)*($B$4:$B$810&lt;$B128)*$B$4:$B$810)),'Guide &amp; Settings'!$C$50))/7-'Guide &amp; Settings'!$C$48,0)*'Guide &amp; Settings'!$C$49))</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IF($D129="","",IF(SUMPRODUCT(MAX(($D$4:$D$810=$D129)*($B$4:$B$810&lt;$B129)*$B$4:$B$810))=0,0,MAX(($B129-MAX(SUMPRODUCT(MAX(($D$4:$D$810=$D129)*($B$4:$B$810&lt;$B129)*$B$4:$B$810)),'Guide &amp; Settings'!$C$50))/7-'Guide &amp; Settings'!$C$48,0)*'Guide &amp; Settings'!$C$49))</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975.33097176714045</v>
      </c>
      <c r="I130" s="117">
        <f t="shared" si="19"/>
        <v>0.5</v>
      </c>
      <c r="J130" s="118">
        <f>IF($D130="",0,IF($F130&lt;2,0,IF($E130="Win",('Guide &amp; Settings'!$C$42/(($F130-1)*COUNTIFS($A$4:$A$810,$A130,$E$4:$E$810,"Win")))*SUMIFS($X$4:$X$810,$A$4:$A$810,$A130,$E$4:$E$810,"Loss"),-('Guide &amp; Settings'!$C$42/($F130-1))*$X130)))</f>
        <v>13.223557123611547</v>
      </c>
      <c r="K130" s="118">
        <f>IF($D130="",0,'Guide &amp; Settings'!$C$43*(IF($E130="Win",1,0)-$I130))</f>
        <v>6</v>
      </c>
      <c r="L130" s="119">
        <f>IF($D130="",0,'Guide &amp; Settings'!$C$44*IF($F130&gt;=3,$F130,0))</f>
        <v>0</v>
      </c>
      <c r="M130" s="118">
        <f t="shared" si="20"/>
        <v>19.223557123611549</v>
      </c>
      <c r="N130" s="116">
        <f t="shared" si="21"/>
        <v>994.55452889075195</v>
      </c>
      <c r="O130" s="115" t="str">
        <f t="shared" si="22"/>
        <v>OK</v>
      </c>
      <c r="P130">
        <f t="shared" si="23"/>
        <v>975.33097176714045</v>
      </c>
      <c r="Q130">
        <f t="shared" si="24"/>
        <v>0.5</v>
      </c>
      <c r="R130">
        <f t="shared" si="25"/>
        <v>0.5</v>
      </c>
      <c r="S130">
        <f t="shared" si="26"/>
        <v>1</v>
      </c>
      <c r="T130" s="83">
        <f t="shared" si="27"/>
        <v>0</v>
      </c>
      <c r="U130" s="120">
        <f>IF($D130="",0,IFERROR(LOOKUP(2,1/(($D$3:D129=$D130)*($C$3:C129=$C130)*($A$3:A129&lt;$A130)),$AB$3:AB129),1000))</f>
        <v>1000</v>
      </c>
      <c r="V130" s="120">
        <f t="shared" si="28"/>
        <v>975.33097176714045</v>
      </c>
      <c r="W130">
        <f t="shared" si="29"/>
        <v>975.33097176714045</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IF($D130="","",IF(SUMPRODUCT(MAX(($D$4:$D$810=$D130)*($B$4:$B$810&lt;$B130)*$B$4:$B$810))=0,0,MAX(($B130-MAX(SUMPRODUCT(MAX(($D$4:$D$810=$D130)*($B$4:$B$810&lt;$B130)*$B$4:$B$810)),'Guide &amp; Settings'!$C$50))/7-'Guide &amp; Settings'!$C$48,0)*'Guide &amp; Settings'!$C$49))</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-13.223557123611547</v>
      </c>
      <c r="K131" s="118">
        <f>IF($D131="",0,'Guide &amp; Settings'!$C$43*(IF($E131="Win",1,0)-$I131))</f>
        <v>-6</v>
      </c>
      <c r="L131" s="119">
        <f>IF($D131="",0,'Guide &amp; Settings'!$C$44*IF($F131&gt;=3,$F131,0))</f>
        <v>0</v>
      </c>
      <c r="M131" s="118">
        <f t="shared" si="20"/>
        <v>-19.223557123611549</v>
      </c>
      <c r="N131" s="116">
        <f t="shared" si="21"/>
        <v>895.20140476869074</v>
      </c>
      <c r="O131" s="115" t="str">
        <f t="shared" si="22"/>
        <v>OK</v>
      </c>
      <c r="P131">
        <f t="shared" si="23"/>
        <v>975.33097176714045</v>
      </c>
      <c r="Q131">
        <f t="shared" si="24"/>
        <v>0.41323616011286085</v>
      </c>
      <c r="R131">
        <f t="shared" si="25"/>
        <v>0.5</v>
      </c>
      <c r="S131">
        <f t="shared" si="26"/>
        <v>1</v>
      </c>
      <c r="T131" s="83">
        <f t="shared" si="27"/>
        <v>0</v>
      </c>
      <c r="U131" s="120">
        <f>IF($D131="",0,IFERROR(LOOKUP(2,1/(($D$3:D130=$D131)*($C$3:C130=$C131)*($A$3:A130&lt;$A131)),$AB$3:AB130),1000))</f>
        <v>1000</v>
      </c>
      <c r="V131" s="120">
        <f t="shared" si="28"/>
        <v>914.42496189230224</v>
      </c>
      <c r="W131">
        <f t="shared" si="29"/>
        <v>975.33097176714045</v>
      </c>
      <c r="X131">
        <f t="shared" si="30"/>
        <v>0.41323616011286085</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IF($D131="","",IF(SUMPRODUCT(MAX(($D$4:$D$810=$D131)*($B$4:$B$810&lt;$B131)*$B$4:$B$810))=0,0,MAX(($B131-MAX(SUMPRODUCT(MAX(($D$4:$D$810=$D131)*($B$4:$B$810&lt;$B131)*$B$4:$B$810)),'Guide &amp; Settings'!$C$50))/7-'Guide &amp; Settings'!$C$48,0)*'Guide &amp; Settings'!$C$49))</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986.66509914651715</v>
      </c>
      <c r="I132" s="117">
        <f t="shared" ref="I132:I195" si="36">IF($D132="",0,IF($S132=0,0,$R132/$S132))</f>
        <v>0.4285714285714286</v>
      </c>
      <c r="J132" s="118">
        <f>IF($D132="",0,IF($F132&lt;2,0,IF($E132="Win",('Guide &amp; Settings'!$C$42/(($F132-1)*COUNTIFS($A$4:$A$810,$A132,$E$4:$E$810,"Win")))*SUMIFS($X$4:$X$810,$A$4:$A$810,$A132,$E$4:$E$810,"Loss"),-('Guide &amp; Settings'!$C$42/($F132-1))*$X132)))</f>
        <v>17.204965774962339</v>
      </c>
      <c r="K132" s="118">
        <f>IF($D132="",0,'Guide &amp; Settings'!$C$43*(IF($E132="Win",1,0)-$I132))</f>
        <v>6.8571428571428568</v>
      </c>
      <c r="L132" s="119">
        <f>IF($D132="",0,'Guide &amp; Settings'!$C$44*IF($F132&gt;=3,$F132,0))</f>
        <v>0</v>
      </c>
      <c r="M132" s="118">
        <f t="shared" ref="M132:M195" si="37">IF($D132="",0,$J132+$K132+$L132)</f>
        <v>24.062108632105197</v>
      </c>
      <c r="N132" s="116">
        <f t="shared" ref="N132:N195" si="38">IF($D132="",0,$H132+$M132)</f>
        <v>1010.7272077786223</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986.66509914651715</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986.66509914651715</v>
      </c>
      <c r="W132">
        <f t="shared" ref="W132:W195" si="46">IF($D132="",0,IFERROR(SUMIFS($V$4:$V$810,$A$4:$A$810,$A132,$E$4:$E$810,"Win")/COUNTIFS($A$4:$A$810,$A132,$E$4:$E$810,"Win"),0))</f>
        <v>986.66509914651715</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IF($D132="","",IF(SUMPRODUCT(MAX(($D$4:$D$810=$D132)*($B$4:$B$810&lt;$B132)*$B$4:$B$810))=0,0,MAX(($B132-MAX(SUMPRODUCT(MAX(($D$4:$D$810=$D132)*($B$4:$B$810&lt;$B132)*$B$4:$B$810)),'Guide &amp; Settings'!$C$50))/7-'Guide &amp; Settings'!$C$48,0)*'Guide &amp; Settings'!$C$49))</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1012.2562816449486</v>
      </c>
      <c r="I133" s="117">
        <f t="shared" si="36"/>
        <v>0.57142857142857151</v>
      </c>
      <c r="J133" s="118">
        <f>IF($D133="",0,IF($F133&lt;2,0,IF($E133="Win",('Guide &amp; Settings'!$C$42/(($F133-1)*COUNTIFS($A$4:$A$810,$A133,$E$4:$E$810,"Win")))*SUMIFS($X$4:$X$810,$A$4:$A$810,$A133,$E$4:$E$810,"Loss"),-('Guide &amp; Settings'!$C$42/($F133-1))*$X133)))</f>
        <v>-17.204965774962339</v>
      </c>
      <c r="K133" s="118">
        <f>IF($D133="",0,'Guide &amp; Settings'!$C$43*(IF($E133="Win",1,0)-$I133))</f>
        <v>-6.8571428571428577</v>
      </c>
      <c r="L133" s="119">
        <f>IF($D133="",0,'Guide &amp; Settings'!$C$44*IF($F133&gt;=3,$F133,0))</f>
        <v>0</v>
      </c>
      <c r="M133" s="118">
        <f t="shared" si="37"/>
        <v>-24.062108632105197</v>
      </c>
      <c r="N133" s="116">
        <f t="shared" si="38"/>
        <v>988.19417301284341</v>
      </c>
      <c r="O133" s="115" t="str">
        <f t="shared" si="39"/>
        <v>OK</v>
      </c>
      <c r="P133">
        <f t="shared" si="40"/>
        <v>986.66509914651715</v>
      </c>
      <c r="Q133">
        <f t="shared" si="41"/>
        <v>0.53676221282748315</v>
      </c>
      <c r="R133">
        <f t="shared" si="42"/>
        <v>0.66666666666666663</v>
      </c>
      <c r="S133">
        <f t="shared" si="43"/>
        <v>1.1666666666666665</v>
      </c>
      <c r="T133" s="83">
        <f t="shared" si="44"/>
        <v>1</v>
      </c>
      <c r="U133" s="120">
        <f>IF($D133="",0,IFERROR(LOOKUP(2,1/(($D$3:D132=$D133)*($C$3:C132=$C133)*($A$3:A132&lt;$A133)),$AB$3:AB132),1000))</f>
        <v>1016</v>
      </c>
      <c r="V133" s="120">
        <f t="shared" si="45"/>
        <v>1012.8802347041237</v>
      </c>
      <c r="W133">
        <f t="shared" si="46"/>
        <v>986.66509914651715</v>
      </c>
      <c r="X133">
        <f t="shared" si="47"/>
        <v>0.5376551804675731</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IF($D133="","",IF(SUMPRODUCT(MAX(($D$4:$D$810=$D133)*($B$4:$B$810&lt;$B133)*$B$4:$B$810))=0,0,MAX(($B133-MAX(SUMPRODUCT(MAX(($D$4:$D$810=$D133)*($B$4:$B$810&lt;$B133)*$B$4:$B$810)),'Guide &amp; Settings'!$C$50))/7-'Guide &amp; Settings'!$C$48,0)*'Guide &amp; Settings'!$C$49))</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1073.9709662208836</v>
      </c>
      <c r="I134" s="117">
        <f t="shared" si="36"/>
        <v>0.5</v>
      </c>
      <c r="J134" s="118">
        <f>IF($D134="",0,IF($F134&lt;2,0,IF($E134="Win",('Guide &amp; Settings'!$C$42/(($F134-1)*COUNTIFS($A$4:$A$810,$A134,$E$4:$E$810,"Win")))*SUMIFS($X$4:$X$810,$A$4:$A$810,$A134,$E$4:$E$810,"Loss"),-('Guide &amp; Settings'!$C$42/($F134-1))*$X134)))</f>
        <v>12.066887756734788</v>
      </c>
      <c r="K134" s="118">
        <f>IF($D134="",0,'Guide &amp; Settings'!$C$43*(IF($E134="Win",1,0)-$I134))</f>
        <v>6</v>
      </c>
      <c r="L134" s="119">
        <f>IF($D134="",0,'Guide &amp; Settings'!$C$44*IF($F134&gt;=3,$F134,0))</f>
        <v>0</v>
      </c>
      <c r="M134" s="118">
        <f t="shared" si="37"/>
        <v>18.066887756734786</v>
      </c>
      <c r="N134" s="116">
        <f t="shared" si="38"/>
        <v>1092.0378539776184</v>
      </c>
      <c r="O134" s="115" t="str">
        <f t="shared" si="39"/>
        <v>OK</v>
      </c>
      <c r="P134">
        <f t="shared" si="40"/>
        <v>1073.9709662208836</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1064.309138517403</v>
      </c>
      <c r="W134">
        <f t="shared" si="46"/>
        <v>1064.309138517403</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IF($D134="","",IF(SUMPRODUCT(MAX(($D$4:$D$810=$D134)*($B$4:$B$810&lt;$B134)*$B$4:$B$810))=0,0,MAX(($B134-MAX(SUMPRODUCT(MAX(($D$4:$D$810=$D134)*($B$4:$B$810&lt;$B134)*$B$4:$B$810)),'Guide &amp; Settings'!$C$50))/7-'Guide &amp; Settings'!$C$48,0)*'Guide &amp; Settings'!$C$49))</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-12.066887756734788</v>
      </c>
      <c r="K135" s="118">
        <f>IF($D135="",0,'Guide &amp; Settings'!$C$43*(IF($E135="Win",1,0)-$I135))</f>
        <v>-6</v>
      </c>
      <c r="L135" s="119">
        <f>IF($D135="",0,'Guide &amp; Settings'!$C$44*IF($F135&gt;=3,$F135,0))</f>
        <v>0</v>
      </c>
      <c r="M135" s="118">
        <f t="shared" si="37"/>
        <v>-18.066887756734786</v>
      </c>
      <c r="N135" s="116">
        <f t="shared" si="38"/>
        <v>951.2737556356999</v>
      </c>
      <c r="O135" s="115" t="str">
        <f t="shared" si="39"/>
        <v>OK</v>
      </c>
      <c r="P135">
        <f t="shared" si="40"/>
        <v>1073.9709662208836</v>
      </c>
      <c r="Q135">
        <f t="shared" si="41"/>
        <v>0.35381753980437913</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1064.309138517403</v>
      </c>
      <c r="X135">
        <f t="shared" si="47"/>
        <v>0.37709024239796213</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IF($D135="","",IF(SUMPRODUCT(MAX(($D$4:$D$810=$D135)*($B$4:$B$810&lt;$B135)*$B$4:$B$810))=0,0,MAX(($B135-MAX(SUMPRODUCT(MAX(($D$4:$D$810=$D135)*($B$4:$B$810&lt;$B135)*$B$4:$B$810)),'Guide &amp; Settings'!$C$50))/7-'Guide &amp; Settings'!$C$48,0)*'Guide &amp; Settings'!$C$49))</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15.403940044730891</v>
      </c>
      <c r="K136" s="118">
        <f>IF($D136="",0,'Guide &amp; Settings'!$C$43*(IF($E136="Win",1,0)-$I136))</f>
        <v>6</v>
      </c>
      <c r="L136" s="119">
        <f>IF($D136="",0,'Guide &amp; Settings'!$C$44*IF($F136&gt;=3,$F136,0))</f>
        <v>0</v>
      </c>
      <c r="M136" s="118">
        <f t="shared" si="37"/>
        <v>21.403940044730891</v>
      </c>
      <c r="N136" s="116">
        <f t="shared" si="38"/>
        <v>1047.9647947853223</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IF($D136="","",IF(SUMPRODUCT(MAX(($D$4:$D$810=$D136)*($B$4:$B$810&lt;$B136)*$B$4:$B$810))=0,0,MAX(($B136-MAX(SUMPRODUCT(MAX(($D$4:$D$810=$D136)*($B$4:$B$810&lt;$B136)*$B$4:$B$810)),'Guide &amp; Settings'!$C$50))/7-'Guide &amp; Settings'!$C$48,0)*'Guide &amp; Settings'!$C$49))</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1010.7272077786223</v>
      </c>
      <c r="I137" s="117">
        <f t="shared" si="36"/>
        <v>0.5</v>
      </c>
      <c r="J137" s="118">
        <f>IF($D137="",0,IF($F137&lt;2,0,IF($E137="Win",('Guide &amp; Settings'!$C$42/(($F137-1)*COUNTIFS($A$4:$A$810,$A137,$E$4:$E$810,"Win")))*SUMIFS($X$4:$X$810,$A$4:$A$810,$A137,$E$4:$E$810,"Loss"),-('Guide &amp; Settings'!$C$42/($F137-1))*$X137)))</f>
        <v>-15.403940044730891</v>
      </c>
      <c r="K137" s="118">
        <f>IF($D137="",0,'Guide &amp; Settings'!$C$43*(IF($E137="Win",1,0)-$I137))</f>
        <v>-6</v>
      </c>
      <c r="L137" s="119">
        <f>IF($D137="",0,'Guide &amp; Settings'!$C$44*IF($F137&gt;=3,$F137,0))</f>
        <v>0</v>
      </c>
      <c r="M137" s="118">
        <f t="shared" si="37"/>
        <v>-21.403940044730891</v>
      </c>
      <c r="N137" s="116">
        <f t="shared" si="38"/>
        <v>989.32326773389138</v>
      </c>
      <c r="O137" s="115" t="str">
        <f t="shared" si="39"/>
        <v>OK</v>
      </c>
      <c r="P137">
        <f t="shared" si="40"/>
        <v>1026.5608547405914</v>
      </c>
      <c r="Q137">
        <f t="shared" si="41"/>
        <v>0.47722931221859638</v>
      </c>
      <c r="R137">
        <f t="shared" si="42"/>
        <v>0.66666666666666663</v>
      </c>
      <c r="S137">
        <f t="shared" si="43"/>
        <v>1.3333333333333333</v>
      </c>
      <c r="T137" s="83">
        <f t="shared" si="44"/>
        <v>1</v>
      </c>
      <c r="U137" s="120">
        <f>IF($D137="",0,IFERROR(LOOKUP(2,1/(($D$3:D136=$D137)*($C$3:C136=$C137)*($A$3:A136&lt;$A137)),$AB$3:AB136),1000))</f>
        <v>1016.736306793522</v>
      </c>
      <c r="V137" s="120">
        <f t="shared" si="45"/>
        <v>1011.7287242811055</v>
      </c>
      <c r="W137">
        <f t="shared" si="46"/>
        <v>1024.6779944849059</v>
      </c>
      <c r="X137">
        <f t="shared" si="47"/>
        <v>0.48137312639784036</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IF($D137="","",IF(SUMPRODUCT(MAX(($D$4:$D$810=$D137)*($B$4:$B$810&lt;$B137)*$B$4:$B$810))=0,0,MAX(($B137-MAX(SUMPRODUCT(MAX(($D$4:$D$810=$D137)*($B$4:$B$810&lt;$B137)*$B$4:$B$810)),'Guide &amp; Settings'!$C$50))/7-'Guide &amp; Settings'!$C$48,0)*'Guide &amp; Settings'!$C$49))</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11.943963722712418</v>
      </c>
      <c r="K138" s="118">
        <f>IF($D138="",0,'Guide &amp; Settings'!$C$43*(IF($E138="Win",1,0)-$I138))</f>
        <v>4.7999999999999989</v>
      </c>
      <c r="L138" s="119">
        <f>IF($D138="",0,'Guide &amp; Settings'!$C$44*IF($F138&gt;=3,$F138,0))</f>
        <v>0</v>
      </c>
      <c r="M138" s="118">
        <f t="shared" si="37"/>
        <v>16.743963722712415</v>
      </c>
      <c r="N138" s="116">
        <f t="shared" si="38"/>
        <v>1016.7837867075796</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IF($D138="","",IF(SUMPRODUCT(MAX(($D$4:$D$810=$D138)*($B$4:$B$810&lt;$B138)*$B$4:$B$810))=0,0,MAX(($B138-MAX(SUMPRODUCT(MAX(($D$4:$D$810=$D138)*($B$4:$B$810&lt;$B138)*$B$4:$B$810)),'Guide &amp; Settings'!$C$50))/7-'Guide &amp; Settings'!$C$48,0)*'Guide &amp; Settings'!$C$49))</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895.20140476869074</v>
      </c>
      <c r="I139" s="117">
        <f t="shared" si="36"/>
        <v>0.4</v>
      </c>
      <c r="J139" s="118">
        <f>IF($D139="",0,IF($F139&lt;2,0,IF($E139="Win",('Guide &amp; Settings'!$C$42/(($F139-1)*COUNTIFS($A$4:$A$810,$A139,$E$4:$E$810,"Win")))*SUMIFS($X$4:$X$810,$A$4:$A$810,$A139,$E$4:$E$810,"Loss"),-('Guide &amp; Settings'!$C$42/($F139-1))*$X139)))</f>
        <v>-11.943963722712418</v>
      </c>
      <c r="K139" s="118">
        <f>IF($D139="",0,'Guide &amp; Settings'!$C$43*(IF($E139="Win",1,0)-$I139))</f>
        <v>-4.8000000000000007</v>
      </c>
      <c r="L139" s="119">
        <f>IF($D139="",0,'Guide &amp; Settings'!$C$44*IF($F139&gt;=3,$F139,0))</f>
        <v>0</v>
      </c>
      <c r="M139" s="118">
        <f t="shared" si="37"/>
        <v>-16.743963722712419</v>
      </c>
      <c r="N139" s="116">
        <f t="shared" si="38"/>
        <v>878.45744104597827</v>
      </c>
      <c r="O139" s="115" t="str">
        <f t="shared" si="39"/>
        <v>OK</v>
      </c>
      <c r="P139">
        <f t="shared" si="40"/>
        <v>1000.0398229848671</v>
      </c>
      <c r="Q139">
        <f t="shared" si="41"/>
        <v>0.35354371260743206</v>
      </c>
      <c r="R139">
        <f t="shared" si="42"/>
        <v>0.33333333333333331</v>
      </c>
      <c r="S139">
        <f t="shared" si="43"/>
        <v>0.83333333333333326</v>
      </c>
      <c r="T139" s="83">
        <f t="shared" si="44"/>
        <v>1</v>
      </c>
      <c r="U139" s="120">
        <f>IF($D139="",0,IFERROR(LOOKUP(2,1/(($D$3:D138=$D139)*($C$3:C138=$C139)*($A$3:A138&lt;$A139)),$AB$3:AB138),1000))</f>
        <v>984</v>
      </c>
      <c r="V139" s="120">
        <f t="shared" si="45"/>
        <v>910.00117064057565</v>
      </c>
      <c r="W139">
        <f t="shared" si="46"/>
        <v>1000.0398229848671</v>
      </c>
      <c r="X139">
        <f t="shared" si="47"/>
        <v>0.37324886633476306</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IF($D139="","",IF(SUMPRODUCT(MAX(($D$4:$D$810=$D139)*($B$4:$B$810&lt;$B139)*$B$4:$B$810))=0,0,MAX(($B139-MAX(SUMPRODUCT(MAX(($D$4:$D$810=$D139)*($B$4:$B$810&lt;$B139)*$B$4:$B$810)),'Guide &amp; Settings'!$C$50))/7-'Guide &amp; Settings'!$C$48,0)*'Guide &amp; Settings'!$C$49))</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878.45744104597827</v>
      </c>
      <c r="I140" s="117">
        <f t="shared" si="36"/>
        <v>0.33333333333333331</v>
      </c>
      <c r="J140" s="118">
        <f>IF($D140="",0,IF($F140&lt;2,0,IF($E140="Win",('Guide &amp; Settings'!$C$42/(($F140-1)*COUNTIFS($A$4:$A$810,$A140,$E$4:$E$810,"Win")))*SUMIFS($X$4:$X$810,$A$4:$A$810,$A140,$E$4:$E$810,"Loss"),-('Guide &amp; Settings'!$C$42/($F140-1))*$X140)))</f>
        <v>19.981596316011267</v>
      </c>
      <c r="K140" s="118">
        <f>IF($D140="",0,'Guide &amp; Settings'!$C$43*(IF($E140="Win",1,0)-$I140))</f>
        <v>8</v>
      </c>
      <c r="L140" s="119">
        <f>IF($D140="",0,'Guide &amp; Settings'!$C$44*IF($F140&gt;=3,$F140,0))</f>
        <v>0</v>
      </c>
      <c r="M140" s="118">
        <f t="shared" si="37"/>
        <v>27.981596316011267</v>
      </c>
      <c r="N140" s="116">
        <f t="shared" si="38"/>
        <v>906.43903736198956</v>
      </c>
      <c r="O140" s="115" t="str">
        <f t="shared" si="39"/>
        <v>OK</v>
      </c>
      <c r="P140">
        <f t="shared" si="40"/>
        <v>878.45744104597827</v>
      </c>
      <c r="Q140">
        <f t="shared" si="41"/>
        <v>0.5</v>
      </c>
      <c r="R140">
        <f t="shared" si="42"/>
        <v>0.25</v>
      </c>
      <c r="S140">
        <f t="shared" si="43"/>
        <v>0.75</v>
      </c>
      <c r="T140" s="83">
        <f t="shared" si="44"/>
        <v>2</v>
      </c>
      <c r="U140" s="120">
        <f>IF($D140="",0,IFERROR(LOOKUP(2,1/(($D$3:D139=$D140)*($C$3:C139=$C140)*($A$3:A139&lt;$A140)),$AB$3:AB139),1000))</f>
        <v>968.73630679352198</v>
      </c>
      <c r="V140" s="120">
        <f t="shared" si="45"/>
        <v>904.25140268813368</v>
      </c>
      <c r="W140">
        <f t="shared" si="46"/>
        <v>904.25140268813368</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IF($D140="","",IF(SUMPRODUCT(MAX(($D$4:$D$810=$D140)*($B$4:$B$810&lt;$B140)*$B$4:$B$810))=0,0,MAX(($B140-MAX(SUMPRODUCT(MAX(($D$4:$D$810=$D140)*($B$4:$B$810&lt;$B140)*$B$4:$B$810)),'Guide &amp; Settings'!$C$50))/7-'Guide &amp; Settings'!$C$48,0)*'Guide &amp; Settings'!$C$49))</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989.32326773389138</v>
      </c>
      <c r="I141" s="117">
        <f t="shared" si="36"/>
        <v>0.66666666666666663</v>
      </c>
      <c r="J141" s="118">
        <f>IF($D141="",0,IF($F141&lt;2,0,IF($E141="Win",('Guide &amp; Settings'!$C$42/(($F141-1)*COUNTIFS($A$4:$A$810,$A141,$E$4:$E$810,"Win")))*SUMIFS($X$4:$X$810,$A$4:$A$810,$A141,$E$4:$E$810,"Loss"),-('Guide &amp; Settings'!$C$42/($F141-1))*$X141)))</f>
        <v>-19.981596316011267</v>
      </c>
      <c r="K141" s="118">
        <f>IF($D141="",0,'Guide &amp; Settings'!$C$43*(IF($E141="Win",1,0)-$I141))</f>
        <v>-8</v>
      </c>
      <c r="L141" s="119">
        <f>IF($D141="",0,'Guide &amp; Settings'!$C$44*IF($F141&gt;=3,$F141,0))</f>
        <v>0</v>
      </c>
      <c r="M141" s="118">
        <f t="shared" si="37"/>
        <v>-27.981596316011267</v>
      </c>
      <c r="N141" s="116">
        <f t="shared" si="38"/>
        <v>961.34167141788009</v>
      </c>
      <c r="O141" s="115" t="str">
        <f t="shared" si="39"/>
        <v>OK</v>
      </c>
      <c r="P141">
        <f t="shared" si="40"/>
        <v>878.45744104597827</v>
      </c>
      <c r="Q141">
        <f t="shared" si="41"/>
        <v>0.65434532391339806</v>
      </c>
      <c r="R141">
        <f t="shared" si="42"/>
        <v>0.5</v>
      </c>
      <c r="S141">
        <f t="shared" si="43"/>
        <v>0.75</v>
      </c>
      <c r="T141" s="83">
        <f t="shared" si="44"/>
        <v>2</v>
      </c>
      <c r="U141" s="120">
        <f>IF($D141="",0,IFERROR(LOOKUP(2,1/(($D$3:D140=$D141)*($C$3:C140=$C141)*($A$3:A140&lt;$A141)),$AB$3:AB140),1000))</f>
        <v>1000.6684908377623</v>
      </c>
      <c r="V141" s="120">
        <f t="shared" si="45"/>
        <v>992.564760049283</v>
      </c>
      <c r="W141">
        <f t="shared" si="46"/>
        <v>904.25140268813368</v>
      </c>
      <c r="X141">
        <f t="shared" si="47"/>
        <v>0.62442488487535208</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IF($D141="","",IF(SUMPRODUCT(MAX(($D$4:$D$810=$D141)*($B$4:$B$810&lt;$B141)*$B$4:$B$810))=0,0,MAX(($B141-MAX(SUMPRODUCT(MAX(($D$4:$D$810=$D141)*($B$4:$B$810&lt;$B141)*$B$4:$B$810)),'Guide &amp; Settings'!$C$50))/7-'Guide &amp; Settings'!$C$48,0)*'Guide &amp; Settings'!$C$49))</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1047.9647947853223</v>
      </c>
      <c r="I142" s="117">
        <f t="shared" si="36"/>
        <v>0.65217391304347827</v>
      </c>
      <c r="J142" s="118">
        <f>IF($D142="",0,IF($F142&lt;2,0,IF($E142="Win",('Guide &amp; Settings'!$C$42/(($F142-1)*COUNTIFS($A$4:$A$810,$A142,$E$4:$E$810,"Win")))*SUMIFS($X$4:$X$810,$A$4:$A$810,$A142,$E$4:$E$810,"Loss"),-('Guide &amp; Settings'!$C$42/($F142-1))*$X142)))</f>
        <v>12.657181456418279</v>
      </c>
      <c r="K142" s="118">
        <f>IF($D142="",0,'Guide &amp; Settings'!$C$43*(IF($E142="Win",1,0)-$I142))</f>
        <v>4.1739130434782608</v>
      </c>
      <c r="L142" s="119">
        <f>IF($D142="",0,'Guide &amp; Settings'!$C$44*IF($F142&gt;=3,$F142,0))</f>
        <v>0</v>
      </c>
      <c r="M142" s="118">
        <f t="shared" si="37"/>
        <v>16.83109449989654</v>
      </c>
      <c r="N142" s="116">
        <f t="shared" si="38"/>
        <v>1064.7958892852189</v>
      </c>
      <c r="O142" s="115" t="str">
        <f t="shared" si="39"/>
        <v>OK</v>
      </c>
      <c r="P142">
        <f t="shared" si="40"/>
        <v>1047.9647947853223</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1043.2124274644409</v>
      </c>
      <c r="W142">
        <f t="shared" si="46"/>
        <v>1043.2124274644409</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IF($D142="","",IF(SUMPRODUCT(MAX(($D$4:$D$810=$D142)*($B$4:$B$810&lt;$B142)*$B$4:$B$810))=0,0,MAX(($B142-MAX(SUMPRODUCT(MAX(($D$4:$D$810=$D142)*($B$4:$B$810&lt;$B142)*$B$4:$B$810)),'Guide &amp; Settings'!$C$50))/7-'Guide &amp; Settings'!$C$48,0)*'Guide &amp; Settings'!$C$49))</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961.34167141788009</v>
      </c>
      <c r="I143" s="117">
        <f t="shared" si="36"/>
        <v>0.34782608695652178</v>
      </c>
      <c r="J143" s="118">
        <f>IF($D143="",0,IF($F143&lt;2,0,IF($E143="Win",('Guide &amp; Settings'!$C$42/(($F143-1)*COUNTIFS($A$4:$A$810,$A143,$E$4:$E$810,"Win")))*SUMIFS($X$4:$X$810,$A$4:$A$810,$A143,$E$4:$E$810,"Loss"),-('Guide &amp; Settings'!$C$42/($F143-1))*$X143)))</f>
        <v>-12.657181456418279</v>
      </c>
      <c r="K143" s="118">
        <f>IF($D143="",0,'Guide &amp; Settings'!$C$43*(IF($E143="Win",1,0)-$I143))</f>
        <v>-4.1739130434782616</v>
      </c>
      <c r="L143" s="119">
        <f>IF($D143="",0,'Guide &amp; Settings'!$C$44*IF($F143&gt;=3,$F143,0))</f>
        <v>0</v>
      </c>
      <c r="M143" s="118">
        <f t="shared" si="37"/>
        <v>-16.83109449989654</v>
      </c>
      <c r="N143" s="116">
        <f t="shared" si="38"/>
        <v>944.5105769179836</v>
      </c>
      <c r="O143" s="115" t="str">
        <f t="shared" si="39"/>
        <v>OK</v>
      </c>
      <c r="P143">
        <f t="shared" si="40"/>
        <v>1047.9647947853223</v>
      </c>
      <c r="Q143">
        <f t="shared" si="41"/>
        <v>0.37785967316978014</v>
      </c>
      <c r="R143">
        <f t="shared" si="42"/>
        <v>0.4</v>
      </c>
      <c r="S143">
        <f t="shared" si="43"/>
        <v>1.1499999999999999</v>
      </c>
      <c r="T143" s="83">
        <f t="shared" si="44"/>
        <v>3</v>
      </c>
      <c r="U143" s="120">
        <f>IF($D143="",0,IFERROR(LOOKUP(2,1/(($D$3:D142=$D143)*($C$3:C142=$C143)*($A$3:A142&lt;$A143)),$AB$3:AB142),1000))</f>
        <v>983.2020860606832</v>
      </c>
      <c r="V143" s="120">
        <f t="shared" si="45"/>
        <v>969.53932690893123</v>
      </c>
      <c r="W143">
        <f t="shared" si="46"/>
        <v>1043.2124274644409</v>
      </c>
      <c r="X143">
        <f t="shared" si="47"/>
        <v>0.39553692051307121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IF($D143="","",IF(SUMPRODUCT(MAX(($D$4:$D$810=$D143)*($B$4:$B$810&lt;$B143)*$B$4:$B$810))=0,0,MAX(($B143-MAX(SUMPRODUCT(MAX(($D$4:$D$810=$D143)*($B$4:$B$810&lt;$B143)*$B$4:$B$810)),'Guide &amp; Settings'!$C$50))/7-'Guide &amp; Settings'!$C$48,0)*'Guide &amp; Settings'!$C$49))</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906.43903736198956</v>
      </c>
      <c r="I144" s="117">
        <f t="shared" si="36"/>
        <v>0.54545454545454541</v>
      </c>
      <c r="J144" s="118">
        <f>IF($D144="",0,IF($F144&lt;2,0,IF($E144="Win",('Guide &amp; Settings'!$C$42/(($F144-1)*COUNTIFS($A$4:$A$810,$A144,$E$4:$E$810,"Win")))*SUMIFS($X$4:$X$810,$A$4:$A$810,$A144,$E$4:$E$810,"Loss"),-('Guide &amp; Settings'!$C$42/($F144-1))*$X144)))</f>
        <v>16.884400566534442</v>
      </c>
      <c r="K144" s="118">
        <f>IF($D144="",0,'Guide &amp; Settings'!$C$43*(IF($E144="Win",1,0)-$I144))</f>
        <v>5.454545454545455</v>
      </c>
      <c r="L144" s="119">
        <f>IF($D144="",0,'Guide &amp; Settings'!$C$44*IF($F144&gt;=3,$F144,0))</f>
        <v>0</v>
      </c>
      <c r="M144" s="118">
        <f t="shared" si="37"/>
        <v>22.338946021079899</v>
      </c>
      <c r="N144" s="116">
        <f t="shared" si="38"/>
        <v>928.77798338306945</v>
      </c>
      <c r="O144" s="115" t="str">
        <f t="shared" si="39"/>
        <v>OK</v>
      </c>
      <c r="P144">
        <f t="shared" si="40"/>
        <v>906.43903736198956</v>
      </c>
      <c r="Q144">
        <f t="shared" si="41"/>
        <v>0.5</v>
      </c>
      <c r="R144">
        <f t="shared" si="42"/>
        <v>0.4</v>
      </c>
      <c r="S144">
        <f t="shared" si="43"/>
        <v>0.73333333333333339</v>
      </c>
      <c r="T144" s="83">
        <f t="shared" si="44"/>
        <v>3</v>
      </c>
      <c r="U144" s="120">
        <f>IF($D144="",0,IFERROR(LOOKUP(2,1/(($D$3:D143=$D144)*($C$3:C143=$C144)*($A$3:A143&lt;$A144)),$AB$3:AB143),1000))</f>
        <v>986.20271157060108</v>
      </c>
      <c r="V144" s="120">
        <f t="shared" si="45"/>
        <v>936.35041519021888</v>
      </c>
      <c r="W144">
        <f t="shared" si="46"/>
        <v>936.35041519021888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IF($D144="","",IF(SUMPRODUCT(MAX(($D$4:$D$810=$D144)*($B$4:$B$810&lt;$B144)*$B$4:$B$810))=0,0,MAX(($B144-MAX(SUMPRODUCT(MAX(($D$4:$D$810=$D144)*($B$4:$B$810&lt;$B144)*$B$4:$B$810)),'Guide &amp; Settings'!$C$50))/7-'Guide &amp; Settings'!$C$48,0)*'Guide &amp; Settings'!$C$49))</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944.5105769179836</v>
      </c>
      <c r="I145" s="117">
        <f t="shared" si="36"/>
        <v>0.45454545454545447</v>
      </c>
      <c r="J145" s="118">
        <f>IF($D145="",0,IF($F145&lt;2,0,IF($E145="Win",('Guide &amp; Settings'!$C$42/(($F145-1)*COUNTIFS($A$4:$A$810,$A145,$E$4:$E$810,"Win")))*SUMIFS($X$4:$X$810,$A$4:$A$810,$A145,$E$4:$E$810,"Loss"),-('Guide &amp; Settings'!$C$42/($F145-1))*$X145)))</f>
        <v>-16.884400566534442</v>
      </c>
      <c r="K145" s="118">
        <f>IF($D145="",0,'Guide &amp; Settings'!$C$43*(IF($E145="Win",1,0)-$I145))</f>
        <v>-5.4545454545454533</v>
      </c>
      <c r="L145" s="119">
        <f>IF($D145="",0,'Guide &amp; Settings'!$C$44*IF($F145&gt;=3,$F145,0))</f>
        <v>0</v>
      </c>
      <c r="M145" s="118">
        <f t="shared" si="37"/>
        <v>-22.338946021079895</v>
      </c>
      <c r="N145" s="116">
        <f t="shared" si="38"/>
        <v>922.17163089690371</v>
      </c>
      <c r="O145" s="115" t="str">
        <f t="shared" si="39"/>
        <v>OK</v>
      </c>
      <c r="P145">
        <f t="shared" si="40"/>
        <v>906.43903736198956</v>
      </c>
      <c r="Q145">
        <f t="shared" si="41"/>
        <v>0.55457110361677942</v>
      </c>
      <c r="R145">
        <f t="shared" si="42"/>
        <v>0.33333333333333331</v>
      </c>
      <c r="S145">
        <f t="shared" si="43"/>
        <v>0.73333333333333339</v>
      </c>
      <c r="T145" s="83">
        <f t="shared" si="44"/>
        <v>4</v>
      </c>
      <c r="U145" s="120">
        <f>IF($D145="",0,IFERROR(LOOKUP(2,1/(($D$3:D144=$D145)*($C$3:C144=$C145)*($A$3:A144&lt;$A145)),$AB$3:AB144),1000))</f>
        <v>969.40445812732128</v>
      </c>
      <c r="V145" s="120">
        <f t="shared" si="45"/>
        <v>955.57452412213365</v>
      </c>
      <c r="W145">
        <f t="shared" si="46"/>
        <v>936.35041519021888</v>
      </c>
      <c r="X145">
        <f t="shared" si="47"/>
        <v>0.52763751770420131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IF($D145="","",IF(SUMPRODUCT(MAX(($D$4:$D$810=$D145)*($B$4:$B$810&lt;$B145)*$B$4:$B$810))=0,0,MAX(($B145-MAX(SUMPRODUCT(MAX(($D$4:$D$810=$D145)*($B$4:$B$810&lt;$B145)*$B$4:$B$810)),'Guide &amp; Settings'!$C$50))/7-'Guide &amp; Settings'!$C$48,0)*'Guide &amp; Settings'!$C$49))</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1064.7958892852189</v>
      </c>
      <c r="I146" s="117">
        <f t="shared" si="36"/>
        <v>0.61538461538461542</v>
      </c>
      <c r="J146" s="118">
        <f>IF($D146="",0,IF($F146&lt;2,0,IF($E146="Win",('Guide &amp; Settings'!$C$42/(($F146-1)*COUNTIFS($A$4:$A$810,$A146,$E$4:$E$810,"Win")))*SUMIFS($X$4:$X$810,$A$4:$A$810,$A146,$E$4:$E$810,"Loss"),-('Guide &amp; Settings'!$C$42/($F146-1))*$X146)))</f>
        <v>11.673132748701628</v>
      </c>
      <c r="K146" s="118">
        <f>IF($D146="",0,'Guide &amp; Settings'!$C$43*(IF($E146="Win",1,0)-$I146))</f>
        <v>4.615384615384615</v>
      </c>
      <c r="L146" s="119">
        <f>IF($D146="",0,'Guide &amp; Settings'!$C$44*IF($F146&gt;=3,$F146,0))</f>
        <v>0</v>
      </c>
      <c r="M146" s="118">
        <f t="shared" si="37"/>
        <v>16.288517364086243</v>
      </c>
      <c r="N146" s="116">
        <f t="shared" si="38"/>
        <v>1081.084406649305</v>
      </c>
      <c r="O146" s="115" t="str">
        <f t="shared" si="39"/>
        <v>OK</v>
      </c>
      <c r="P146">
        <f t="shared" si="40"/>
        <v>1064.7958892852189</v>
      </c>
      <c r="Q146">
        <f t="shared" si="41"/>
        <v>0.5</v>
      </c>
      <c r="R146">
        <f t="shared" si="42"/>
        <v>0.8</v>
      </c>
      <c r="S146">
        <f t="shared" si="43"/>
        <v>1.3</v>
      </c>
      <c r="T146" s="83">
        <f t="shared" si="44"/>
        <v>3</v>
      </c>
      <c r="U146" s="120">
        <f>IF($D146="",0,IFERROR(LOOKUP(2,1/(($D$3:D145=$D146)*($C$3:C145=$C146)*($A$3:A145&lt;$A146)),$AB$3:AB145),1000))</f>
        <v>1045.1291370955996</v>
      </c>
      <c r="V146" s="120">
        <f t="shared" si="45"/>
        <v>1057.4208572141115</v>
      </c>
      <c r="W146">
        <f t="shared" si="46"/>
        <v>1057.4208572141115</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IF($D146="","",IF(SUMPRODUCT(MAX(($D$4:$D$810=$D146)*($B$4:$B$810&lt;$B146)*$B$4:$B$810))=0,0,MAX(($B146-MAX(SUMPRODUCT(MAX(($D$4:$D$810=$D146)*($B$4:$B$810&lt;$B146)*$B$4:$B$810)),'Guide &amp; Settings'!$C$50))/7-'Guide &amp; Settings'!$C$48,0)*'Guide &amp; Settings'!$C$49))</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928.77798338306945</v>
      </c>
      <c r="I147" s="117">
        <f t="shared" si="36"/>
        <v>0.38461538461538458</v>
      </c>
      <c r="J147" s="118">
        <f>IF($D147="",0,IF($F147&lt;2,0,IF($E147="Win",('Guide &amp; Settings'!$C$42/(($F147-1)*COUNTIFS($A$4:$A$810,$A147,$E$4:$E$810,"Win")))*SUMIFS($X$4:$X$810,$A$4:$A$810,$A147,$E$4:$E$810,"Loss"),-('Guide &amp; Settings'!$C$42/($F147-1))*$X147)))</f>
        <v>-11.673132748701628</v>
      </c>
      <c r="K147" s="118">
        <f>IF($D147="",0,'Guide &amp; Settings'!$C$43*(IF($E147="Win",1,0)-$I147))</f>
        <v>-4.615384615384615</v>
      </c>
      <c r="L147" s="119">
        <f>IF($D147="",0,'Guide &amp; Settings'!$C$44*IF($F147&gt;=3,$F147,0))</f>
        <v>0</v>
      </c>
      <c r="M147" s="118">
        <f t="shared" si="37"/>
        <v>-16.288517364086243</v>
      </c>
      <c r="N147" s="116">
        <f t="shared" si="38"/>
        <v>912.48946601898319</v>
      </c>
      <c r="O147" s="115" t="str">
        <f t="shared" si="39"/>
        <v>OK</v>
      </c>
      <c r="P147">
        <f t="shared" si="40"/>
        <v>1064.7958892852189</v>
      </c>
      <c r="Q147">
        <f t="shared" si="41"/>
        <v>0.3136775515714163</v>
      </c>
      <c r="R147">
        <f t="shared" si="42"/>
        <v>0.5</v>
      </c>
      <c r="S147">
        <f t="shared" si="43"/>
        <v>1.3</v>
      </c>
      <c r="T147" s="83">
        <f t="shared" si="44"/>
        <v>4</v>
      </c>
      <c r="U147" s="120">
        <f>IF($D147="",0,IFERROR(LOOKUP(2,1/(($D$3:D146=$D147)*($C$3:C146=$C147)*($A$3:A146&lt;$A147)),$AB$3:AB146),1000))</f>
        <v>1001.4297256411783</v>
      </c>
      <c r="V147" s="120">
        <f t="shared" si="45"/>
        <v>961.06764660889553</v>
      </c>
      <c r="W147">
        <f t="shared" si="46"/>
        <v>1057.4208572141115</v>
      </c>
      <c r="X147">
        <f t="shared" si="47"/>
        <v>0.36478539839692586</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IF($D147="","",IF(SUMPRODUCT(MAX(($D$4:$D$810=$D147)*($B$4:$B$810&lt;$B147)*$B$4:$B$810))=0,0,MAX(($B147-MAX(SUMPRODUCT(MAX(($D$4:$D$810=$D147)*($B$4:$B$810&lt;$B147)*$B$4:$B$810)),'Guide &amp; Settings'!$C$50))/7-'Guide &amp; Settings'!$C$48,0)*'Guide &amp; Settings'!$C$49))</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988.19417301284341</v>
      </c>
      <c r="I148" s="117">
        <f t="shared" si="36"/>
        <v>0.2608695652173913</v>
      </c>
      <c r="J148" s="118">
        <f>IF($D148="",0,IF($F148&lt;2,0,IF($E148="Win",('Guide &amp; Settings'!$C$42/(($F148-1)*COUNTIFS($A$4:$A$810,$A148,$E$4:$E$810,"Win")))*SUMIFS($X$4:$X$810,$A$4:$A$810,$A148,$E$4:$E$810,"Loss"),-('Guide &amp; Settings'!$C$42/($F148-1))*$X148)))</f>
        <v>5.0390569864289532</v>
      </c>
      <c r="K148" s="118">
        <f>IF($D148="",0,'Guide &amp; Settings'!$C$43*(IF($E148="Win",1,0)-$I148))</f>
        <v>8.8695652173913047</v>
      </c>
      <c r="L148" s="119">
        <f>IF($D148="",0,'Guide &amp; Settings'!$C$44*IF($F148&gt;=3,$F148,0))</f>
        <v>4</v>
      </c>
      <c r="M148" s="118">
        <f t="shared" si="37"/>
        <v>17.908622203820258</v>
      </c>
      <c r="N148" s="116">
        <f t="shared" si="38"/>
        <v>1006.1027952166637</v>
      </c>
      <c r="O148" s="115" t="str">
        <f t="shared" si="39"/>
        <v>OK</v>
      </c>
      <c r="P148">
        <f t="shared" si="40"/>
        <v>1055.1700036069392</v>
      </c>
      <c r="Q148">
        <f t="shared" si="41"/>
        <v>0.40479048127992689</v>
      </c>
      <c r="R148">
        <f t="shared" si="42"/>
        <v>0.5</v>
      </c>
      <c r="S148">
        <f t="shared" si="43"/>
        <v>1.9166666666666665</v>
      </c>
      <c r="T148" s="83">
        <f t="shared" si="44"/>
        <v>2</v>
      </c>
      <c r="U148" s="120">
        <f>IF($D148="",0,IFERROR(LOOKUP(2,1/(($D$3:D147=$D148)*($C$3:C147=$C148)*($A$3:A147&lt;$A148)),$AB$3:AB147),1000))</f>
        <v>999.26369320647802</v>
      </c>
      <c r="V148" s="120">
        <f t="shared" si="45"/>
        <v>991.35689306816766</v>
      </c>
      <c r="W148">
        <f t="shared" si="46"/>
        <v>1045.2392107845151</v>
      </c>
      <c r="X148">
        <f t="shared" si="47"/>
        <v>0.42307286506570896</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IF($D148="","",IF(SUMPRODUCT(MAX(($D$4:$D$810=$D148)*($B$4:$B$810&lt;$B148)*$B$4:$B$810))=0,0,MAX(($B148-MAX(SUMPRODUCT(MAX(($D$4:$D$810=$D148)*($B$4:$B$810&lt;$B148)*$B$4:$B$810)),'Guide &amp; Settings'!$C$50))/7-'Guide &amp; Settings'!$C$48,0)*'Guide &amp; Settings'!$C$49))</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1122.1458342010349</v>
      </c>
      <c r="I149" s="117">
        <f t="shared" si="36"/>
        <v>0.17391304347826086</v>
      </c>
      <c r="J149" s="118">
        <f>IF($D149="",0,IF($F149&lt;2,0,IF($E149="Win",('Guide &amp; Settings'!$C$42/(($F149-1)*COUNTIFS($A$4:$A$810,$A149,$E$4:$E$810,"Win")))*SUMIFS($X$4:$X$810,$A$4:$A$810,$A149,$E$4:$E$810,"Loss"),-('Guide &amp; Settings'!$C$42/($F149-1))*$X149)))</f>
        <v>5.0390569864289532</v>
      </c>
      <c r="K149" s="118">
        <f>IF($D149="",0,'Guide &amp; Settings'!$C$43*(IF($E149="Win",1,0)-$I149))</f>
        <v>9.9130434782608692</v>
      </c>
      <c r="L149" s="119">
        <f>IF($D149="",0,'Guide &amp; Settings'!$C$44*IF($F149&gt;=3,$F149,0))</f>
        <v>4</v>
      </c>
      <c r="M149" s="118">
        <f t="shared" si="37"/>
        <v>18.952100464689821</v>
      </c>
      <c r="N149" s="116">
        <f t="shared" si="38"/>
        <v>1141.0979346657248</v>
      </c>
      <c r="O149" s="115" t="str">
        <f t="shared" si="39"/>
        <v>OK</v>
      </c>
      <c r="P149">
        <f t="shared" si="40"/>
        <v>1055.1700036069392</v>
      </c>
      <c r="Q149">
        <f t="shared" si="41"/>
        <v>0.59520951872007299</v>
      </c>
      <c r="R149">
        <f t="shared" si="42"/>
        <v>0.33333333333333331</v>
      </c>
      <c r="S149">
        <f t="shared" si="43"/>
        <v>1.9166666666666665</v>
      </c>
      <c r="T149" s="83">
        <f t="shared" si="44"/>
        <v>1</v>
      </c>
      <c r="U149" s="120">
        <f>IF($D149="",0,IFERROR(LOOKUP(2,1/(($D$3:D148=$D149)*($C$3:C148=$C149)*($A$3:A148&lt;$A149)),$AB$3:AB148),1000))</f>
        <v>984</v>
      </c>
      <c r="V149" s="120">
        <f t="shared" si="45"/>
        <v>1099.1215285008625</v>
      </c>
      <c r="W149">
        <f t="shared" si="46"/>
        <v>1045.2392107845151</v>
      </c>
      <c r="X149">
        <f t="shared" si="47"/>
        <v>0.57692713493429104</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IF($D149="","",IF(SUMPRODUCT(MAX(($D$4:$D$810=$D149)*($B$4:$B$810&lt;$B149)*$B$4:$B$810))=0,0,MAX(($B149-MAX(SUMPRODUCT(MAX(($D$4:$D$810=$D149)*($B$4:$B$810&lt;$B149)*$B$4:$B$810)),'Guide &amp; Settings'!$C$50))/7-'Guide &amp; Settings'!$C$48,0)*'Guide &amp; Settings'!$C$49))</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1092.0378539776184</v>
      </c>
      <c r="I150" s="117">
        <f t="shared" si="36"/>
        <v>0.39130434782608697</v>
      </c>
      <c r="J150" s="118">
        <f>IF($D150="",0,IF($F150&lt;2,0,IF($E150="Win",('Guide &amp; Settings'!$C$42/(($F150-1)*COUNTIFS($A$4:$A$810,$A150,$E$4:$E$810,"Win")))*SUMIFS($X$4:$X$810,$A$4:$A$810,$A150,$E$4:$E$810,"Loss"),-('Guide &amp; Settings'!$C$42/($F150-1))*$X150)))</f>
        <v>-5.787299303928604</v>
      </c>
      <c r="K150" s="118">
        <f>IF($D150="",0,'Guide &amp; Settings'!$C$43*(IF($E150="Win",1,0)-$I150))</f>
        <v>-4.6956521739130439</v>
      </c>
      <c r="L150" s="119">
        <f>IF($D150="",0,'Guide &amp; Settings'!$C$44*IF($F150&gt;=3,$F150,0))</f>
        <v>4</v>
      </c>
      <c r="M150" s="118">
        <f t="shared" si="37"/>
        <v>-6.4829514778416488</v>
      </c>
      <c r="N150" s="116">
        <f t="shared" si="38"/>
        <v>1085.5549024997767</v>
      </c>
      <c r="O150" s="115" t="str">
        <f t="shared" si="39"/>
        <v>OK</v>
      </c>
      <c r="P150">
        <f t="shared" si="40"/>
        <v>1055.1700036069392</v>
      </c>
      <c r="Q150">
        <f t="shared" si="41"/>
        <v>0.5528588496160477</v>
      </c>
      <c r="R150">
        <f t="shared" si="42"/>
        <v>0.75</v>
      </c>
      <c r="S150">
        <f t="shared" si="43"/>
        <v>1.9166666666666665</v>
      </c>
      <c r="T150" s="83">
        <f t="shared" si="44"/>
        <v>2</v>
      </c>
      <c r="U150" s="120">
        <f>IF($D150="",0,IFERROR(LOOKUP(2,1/(($D$3:D149=$D150)*($C$3:C149=$C150)*($A$3:A149&lt;$A150)),$AB$3:AB149),1000))</f>
        <v>1032</v>
      </c>
      <c r="V150" s="120">
        <f t="shared" si="45"/>
        <v>1074.8841814125847</v>
      </c>
      <c r="W150">
        <f t="shared" si="46"/>
        <v>1045.2392107845151</v>
      </c>
      <c r="X150">
        <f t="shared" si="47"/>
        <v>0.54255930974330668</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IF($D150="","",IF(SUMPRODUCT(MAX(($D$4:$D$810=$D150)*($B$4:$B$810&lt;$B150)*$B$4:$B$810))=0,0,MAX(($B150-MAX(SUMPRODUCT(MAX(($D$4:$D$810=$D150)*($B$4:$B$810&lt;$B150)*$B$4:$B$810)),'Guide &amp; Settings'!$C$50))/7-'Guide &amp; Settings'!$C$48,0)*'Guide &amp; Settings'!$C$49))</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974.92778705998126</v>
      </c>
      <c r="I151" s="117">
        <f t="shared" si="36"/>
        <v>0.17391304347826086</v>
      </c>
      <c r="J151" s="118">
        <f>IF($D151="",0,IF($F151&lt;2,0,IF($E151="Win",('Guide &amp; Settings'!$C$42/(($F151-1)*COUNTIFS($A$4:$A$810,$A151,$E$4:$E$810,"Win")))*SUMIFS($X$4:$X$810,$A$4:$A$810,$A151,$E$4:$E$810,"Loss"),-('Guide &amp; Settings'!$C$42/($F151-1))*$X151)))</f>
        <v>-4.2908146689293023</v>
      </c>
      <c r="K151" s="118">
        <f>IF($D151="",0,'Guide &amp; Settings'!$C$43*(IF($E151="Win",1,0)-$I151))</f>
        <v>-2.0869565217391304</v>
      </c>
      <c r="L151" s="119">
        <f>IF($D151="",0,'Guide &amp; Settings'!$C$44*IF($F151&gt;=3,$F151,0))</f>
        <v>4</v>
      </c>
      <c r="M151" s="118">
        <f t="shared" si="37"/>
        <v>-2.3777711906684331</v>
      </c>
      <c r="N151" s="116">
        <f t="shared" si="38"/>
        <v>972.5500158693128</v>
      </c>
      <c r="O151" s="115" t="str">
        <f t="shared" si="39"/>
        <v>OK</v>
      </c>
      <c r="P151">
        <f t="shared" si="40"/>
        <v>1055.1700036069392</v>
      </c>
      <c r="Q151">
        <f t="shared" si="41"/>
        <v>0.38653250152396323</v>
      </c>
      <c r="R151">
        <f t="shared" si="42"/>
        <v>0.33333333333333331</v>
      </c>
      <c r="S151">
        <f t="shared" si="43"/>
        <v>1.9166666666666665</v>
      </c>
      <c r="T151" s="83">
        <f t="shared" si="44"/>
        <v>1</v>
      </c>
      <c r="U151" s="120">
        <f>IF($D151="",0,IFERROR(LOOKUP(2,1/(($D$3:D150=$D151)*($C$3:C150=$C151)*($A$3:A150&lt;$A151)),$AB$3:AB150),1000))</f>
        <v>984</v>
      </c>
      <c r="V151" s="120">
        <f t="shared" si="45"/>
        <v>976.43982254998446</v>
      </c>
      <c r="W151">
        <f t="shared" si="46"/>
        <v>1045.2392107845151</v>
      </c>
      <c r="X151">
        <f t="shared" si="47"/>
        <v>0.40226387521212209</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IF($D151="","",IF(SUMPRODUCT(MAX(($D$4:$D$810=$D151)*($B$4:$B$810&lt;$B151)*$B$4:$B$810))=0,0,MAX(($B151-MAX(SUMPRODUCT(MAX(($D$4:$D$810=$D151)*($B$4:$B$810&lt;$B151)*$B$4:$B$810)),'Guide &amp; Settings'!$C$50))/7-'Guide &amp; Settings'!$C$48,0)*'Guide &amp; Settings'!$C$49))</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922.17163089690371</v>
      </c>
      <c r="I152" s="117">
        <f t="shared" si="36"/>
        <v>0.12875536480686695</v>
      </c>
      <c r="J152" s="118">
        <f>IF($D152="",0,IF($F152&lt;2,0,IF($E152="Win",('Guide &amp; Settings'!$C$42/(($F152-1)*COUNTIFS($A$4:$A$810,$A152,$E$4:$E$810,"Win")))*SUMIFS($X$4:$X$810,$A$4:$A$810,$A152,$E$4:$E$810,"Loss"),-('Guide &amp; Settings'!$C$42/($F152-1))*$X152)))</f>
        <v>6.0377431655972345</v>
      </c>
      <c r="K152" s="118">
        <f>IF($D152="",0,'Guide &amp; Settings'!$C$43*(IF($E152="Win",1,0)-$I152))</f>
        <v>10.454935622317597</v>
      </c>
      <c r="L152" s="119">
        <f>IF($D152="",0,'Guide &amp; Settings'!$C$44*IF($F152&gt;=3,$F152,0))</f>
        <v>4</v>
      </c>
      <c r="M152" s="118">
        <f t="shared" si="37"/>
        <v>20.492678787914834</v>
      </c>
      <c r="N152" s="116">
        <f t="shared" si="38"/>
        <v>942.66430968481859</v>
      </c>
      <c r="O152" s="115" t="str">
        <f t="shared" si="39"/>
        <v>OK</v>
      </c>
      <c r="P152">
        <f t="shared" si="40"/>
        <v>1001.6280187731044</v>
      </c>
      <c r="Q152">
        <f t="shared" si="41"/>
        <v>0.38760570822243079</v>
      </c>
      <c r="R152">
        <f t="shared" si="42"/>
        <v>0.2857142857142857</v>
      </c>
      <c r="S152">
        <f t="shared" si="43"/>
        <v>2.2190476190476192</v>
      </c>
      <c r="T152" s="83">
        <f t="shared" si="44"/>
        <v>5</v>
      </c>
      <c r="U152" s="120">
        <f>IF($D152="",0,IFERROR(LOOKUP(2,1/(($D$3:D151=$D152)*($C$3:C151=$C152)*($A$3:A151&lt;$A152)),$AB$3:AB151),1000))</f>
        <v>954.17744405674409</v>
      </c>
      <c r="V152" s="120">
        <f t="shared" si="45"/>
        <v>938.17453747682384</v>
      </c>
      <c r="W152">
        <f t="shared" si="46"/>
        <v>1004.7501039705544</v>
      </c>
      <c r="X152">
        <f t="shared" si="47"/>
        <v>0.4053457428124756</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IF($D152="","",IF(SUMPRODUCT(MAX(($D$4:$D$810=$D152)*($B$4:$B$810&lt;$B152)*$B$4:$B$810))=0,0,MAX(($B152-MAX(SUMPRODUCT(MAX(($D$4:$D$810=$D152)*($B$4:$B$810&lt;$B152)*$B$4:$B$810)),'Guide &amp; Settings'!$C$50))/7-'Guide &amp; Settings'!$C$48,0)*'Guide &amp; Settings'!$C$49))</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1081.084406649305</v>
      </c>
      <c r="I153" s="117">
        <f t="shared" si="36"/>
        <v>0.37553648068669526</v>
      </c>
      <c r="J153" s="118">
        <f>IF($D153="",0,IF($F153&lt;2,0,IF($E153="Win",('Guide &amp; Settings'!$C$42/(($F153-1)*COUNTIFS($A$4:$A$810,$A153,$E$4:$E$810,"Win")))*SUMIFS($X$4:$X$810,$A$4:$A$810,$A153,$E$4:$E$810,"Loss"),-('Guide &amp; Settings'!$C$42/($F153-1))*$X153)))</f>
        <v>6.0377431655972345</v>
      </c>
      <c r="K153" s="118">
        <f>IF($D153="",0,'Guide &amp; Settings'!$C$43*(IF($E153="Win",1,0)-$I153))</f>
        <v>7.4935622317596575</v>
      </c>
      <c r="L153" s="119">
        <f>IF($D153="",0,'Guide &amp; Settings'!$C$44*IF($F153&gt;=3,$F153,0))</f>
        <v>4</v>
      </c>
      <c r="M153" s="118">
        <f t="shared" si="37"/>
        <v>17.531305397356892</v>
      </c>
      <c r="N153" s="116">
        <f t="shared" si="38"/>
        <v>1098.6157120466619</v>
      </c>
      <c r="O153" s="115" t="str">
        <f t="shared" si="39"/>
        <v>OK</v>
      </c>
      <c r="P153">
        <f t="shared" si="40"/>
        <v>1001.6280187731044</v>
      </c>
      <c r="Q153">
        <f t="shared" si="41"/>
        <v>0.61239429177756921</v>
      </c>
      <c r="R153">
        <f t="shared" si="42"/>
        <v>0.83333333333333337</v>
      </c>
      <c r="S153">
        <f t="shared" si="43"/>
        <v>2.2190476190476192</v>
      </c>
      <c r="T153" s="83">
        <f t="shared" si="44"/>
        <v>4</v>
      </c>
      <c r="U153" s="120">
        <f>IF($D153="",0,IFERROR(LOOKUP(2,1/(($D$3:D152=$D153)*($C$3:C152=$C153)*($A$3:A152&lt;$A153)),$AB$3:AB152),1000))</f>
        <v>1059.1272502330096</v>
      </c>
      <c r="V153" s="120">
        <f t="shared" si="45"/>
        <v>1071.3256704642849</v>
      </c>
      <c r="W153">
        <f t="shared" si="46"/>
        <v>1004.7501039705544</v>
      </c>
      <c r="X153">
        <f t="shared" si="47"/>
        <v>0.5946542571875244</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IF($D153="","",IF(SUMPRODUCT(MAX(($D$4:$D$810=$D153)*($B$4:$B$810&lt;$B153)*$B$4:$B$810))=0,0,MAX(($B153-MAX(SUMPRODUCT(MAX(($D$4:$D$810=$D153)*($B$4:$B$810&lt;$B153)*$B$4:$B$810)),'Guide &amp; Settings'!$C$50))/7-'Guide &amp; Settings'!$C$48,0)*'Guide &amp; Settings'!$C$49))</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1006.1027952166637</v>
      </c>
      <c r="I154" s="117">
        <f t="shared" si="36"/>
        <v>0.27038626609442057</v>
      </c>
      <c r="J154" s="118">
        <f>IF($D154="",0,IF($F154&lt;2,0,IF($E154="Win",('Guide &amp; Settings'!$C$42/(($F154-1)*COUNTIFS($A$4:$A$810,$A154,$E$4:$E$810,"Win")))*SUMIFS($X$4:$X$810,$A$4:$A$810,$A154,$E$4:$E$810,"Loss"),-('Guide &amp; Settings'!$C$42/($F154-1))*$X154)))</f>
        <v>-5.3468684237226469</v>
      </c>
      <c r="K154" s="118">
        <f>IF($D154="",0,'Guide &amp; Settings'!$C$43*(IF($E154="Win",1,0)-$I154))</f>
        <v>-3.244635193133047</v>
      </c>
      <c r="L154" s="119">
        <f>IF($D154="",0,'Guide &amp; Settings'!$C$44*IF($F154&gt;=3,$F154,0))</f>
        <v>4</v>
      </c>
      <c r="M154" s="118">
        <f t="shared" si="37"/>
        <v>-4.5915036168556931</v>
      </c>
      <c r="N154" s="116">
        <f t="shared" si="38"/>
        <v>1001.511291599808</v>
      </c>
      <c r="O154" s="115" t="str">
        <f t="shared" si="39"/>
        <v>OK</v>
      </c>
      <c r="P154">
        <f t="shared" si="40"/>
        <v>1001.6280187731044</v>
      </c>
      <c r="Q154">
        <f t="shared" si="41"/>
        <v>0.50643936490832331</v>
      </c>
      <c r="R154">
        <f t="shared" si="42"/>
        <v>0.6</v>
      </c>
      <c r="S154">
        <f t="shared" si="43"/>
        <v>2.2190476190476192</v>
      </c>
      <c r="T154" s="83">
        <f t="shared" si="44"/>
        <v>3</v>
      </c>
      <c r="U154" s="120">
        <f>IF($D154="",0,IFERROR(LOOKUP(2,1/(($D$3:D153=$D154)*($C$3:C153=$C154)*($A$3:A153&lt;$A154)),$AB$3:AB153),1000))</f>
        <v>1004.8469096355284</v>
      </c>
      <c r="V154" s="120">
        <f t="shared" si="45"/>
        <v>1005.631838123738</v>
      </c>
      <c r="W154">
        <f t="shared" si="46"/>
        <v>1004.7501039705544</v>
      </c>
      <c r="X154">
        <f t="shared" si="47"/>
        <v>0.50126891472399815</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IF($D154="","",IF(SUMPRODUCT(MAX(($D$4:$D$810=$D154)*($B$4:$B$810&lt;$B154)*$B$4:$B$810))=0,0,MAX(($B154-MAX(SUMPRODUCT(MAX(($D$4:$D$810=$D154)*($B$4:$B$810&lt;$B154)*$B$4:$B$810)),'Guide &amp; Settings'!$C$50))/7-'Guide &amp; Settings'!$C$48,0)*'Guide &amp; Settings'!$C$49))</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1141.0979346657248</v>
      </c>
      <c r="I155" s="117">
        <f t="shared" si="36"/>
        <v>0.22532188841201717</v>
      </c>
      <c r="J155" s="118">
        <f>IF($D155="",0,IF($F155&lt;2,0,IF($E155="Win",('Guide &amp; Settings'!$C$42/(($F155-1)*COUNTIFS($A$4:$A$810,$A155,$E$4:$E$810,"Win")))*SUMIFS($X$4:$X$810,$A$4:$A$810,$A155,$E$4:$E$810,"Loss"),-('Guide &amp; Settings'!$C$42/($F155-1))*$X155)))</f>
        <v>-6.7286179074718229</v>
      </c>
      <c r="K155" s="118">
        <f>IF($D155="",0,'Guide &amp; Settings'!$C$43*(IF($E155="Win",1,0)-$I155))</f>
        <v>-2.703862660944206</v>
      </c>
      <c r="L155" s="119">
        <f>IF($D155="",0,'Guide &amp; Settings'!$C$44*IF($F155&gt;=3,$F155,0))</f>
        <v>4</v>
      </c>
      <c r="M155" s="118">
        <f t="shared" si="37"/>
        <v>-5.4324805684160289</v>
      </c>
      <c r="N155" s="116">
        <f t="shared" si="38"/>
        <v>1135.6654540973088</v>
      </c>
      <c r="O155" s="115" t="str">
        <f t="shared" si="39"/>
        <v>OK</v>
      </c>
      <c r="P155">
        <f t="shared" si="40"/>
        <v>1001.6280187731044</v>
      </c>
      <c r="Q155">
        <f t="shared" si="41"/>
        <v>0.69058451421641132</v>
      </c>
      <c r="R155">
        <f t="shared" si="42"/>
        <v>0.5</v>
      </c>
      <c r="S155">
        <f t="shared" si="43"/>
        <v>2.2190476190476192</v>
      </c>
      <c r="T155" s="83">
        <f t="shared" si="44"/>
        <v>2</v>
      </c>
      <c r="U155" s="120">
        <f>IF($D155="",0,IFERROR(LOOKUP(2,1/(($D$3:D154=$D155)*($C$3:C154=$C155)*($A$3:A154&lt;$A155)),$AB$3:AB154),1000))</f>
        <v>989.58321642905037</v>
      </c>
      <c r="V155" s="120">
        <f t="shared" si="45"/>
        <v>1097.8080151695322</v>
      </c>
      <c r="W155">
        <f t="shared" si="46"/>
        <v>1004.7501039705544</v>
      </c>
      <c r="X155">
        <f t="shared" si="47"/>
        <v>0.63080792882548342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IF($D155="","",IF(SUMPRODUCT(MAX(($D$4:$D$810=$D155)*($B$4:$B$810&lt;$B155)*$B$4:$B$810))=0,0,MAX(($B155-MAX(SUMPRODUCT(MAX(($D$4:$D$810=$D155)*($B$4:$B$810&lt;$B155)*$B$4:$B$810)),'Guide &amp; Settings'!$C$50))/7-'Guide &amp; Settings'!$C$48,0)*'Guide &amp; Settings'!$C$49))</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1098.6157120466619</v>
      </c>
      <c r="I156" s="117">
        <f t="shared" si="36"/>
        <v>0.38399999999999995</v>
      </c>
      <c r="J156" s="118">
        <f>IF($D156="",0,IF($F156&lt;2,0,IF($E156="Win",('Guide &amp; Settings'!$C$42/(($F156-1)*COUNTIFS($A$4:$A$810,$A156,$E$4:$E$810,"Win")))*SUMIFS($X$4:$X$810,$A$4:$A$810,$A156,$E$4:$E$810,"Loss"),-('Guide &amp; Settings'!$C$42/($F156-1))*$X156)))</f>
        <v>4.8140265020540536</v>
      </c>
      <c r="K156" s="118">
        <f>IF($D156="",0,'Guide &amp; Settings'!$C$43*(IF($E156="Win",1,0)-$I156))</f>
        <v>7.3920000000000012</v>
      </c>
      <c r="L156" s="119">
        <f>IF($D156="",0,'Guide &amp; Settings'!$C$44*IF($F156&gt;=3,$F156,0))</f>
        <v>4</v>
      </c>
      <c r="M156" s="118">
        <f t="shared" si="37"/>
        <v>16.206026502054055</v>
      </c>
      <c r="N156" s="116">
        <f t="shared" si="38"/>
        <v>1114.821738548716</v>
      </c>
      <c r="O156" s="115" t="str">
        <f t="shared" si="39"/>
        <v>OK</v>
      </c>
      <c r="P156">
        <f t="shared" si="40"/>
        <v>1020.6400108657402</v>
      </c>
      <c r="Q156">
        <f t="shared" si="41"/>
        <v>0.61036915766612798</v>
      </c>
      <c r="R156">
        <f t="shared" si="42"/>
        <v>0.8571428571428571</v>
      </c>
      <c r="S156">
        <f t="shared" si="43"/>
        <v>2.2321428571428572</v>
      </c>
      <c r="T156" s="83">
        <f t="shared" si="44"/>
        <v>5</v>
      </c>
      <c r="U156" s="120">
        <f>IF($D156="",0,IFERROR(LOOKUP(2,1/(($D$3:D155=$D156)*($C$3:C155=$C156)*($A$3:A155&lt;$A156)),$AB$3:AB155),1000))</f>
        <v>1064.3158213290476</v>
      </c>
      <c r="V156" s="120">
        <f t="shared" si="45"/>
        <v>1081.4657666878547</v>
      </c>
      <c r="W156">
        <f t="shared" si="46"/>
        <v>1016.6200487685085</v>
      </c>
      <c r="X156">
        <f t="shared" si="47"/>
        <v>0.59225177664658835</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IF($D156="","",IF(SUMPRODUCT(MAX(($D$4:$D$810=$D156)*($B$4:$B$810&lt;$B156)*$B$4:$B$810))=0,0,MAX(($B156-MAX(SUMPRODUCT(MAX(($D$4:$D$810=$D156)*($B$4:$B$810&lt;$B156)*$B$4:$B$810)),'Guide &amp; Settings'!$C$50))/7-'Guide &amp; Settings'!$C$48,0)*'Guide &amp; Settings'!$C$49))</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942.66430968481859</v>
      </c>
      <c r="I157" s="117">
        <f t="shared" si="36"/>
        <v>0.16799999999999998</v>
      </c>
      <c r="J157" s="118">
        <f>IF($D157="",0,IF($F157&lt;2,0,IF($E157="Win",('Guide &amp; Settings'!$C$42/(($F157-1)*COUNTIFS($A$4:$A$810,$A157,$E$4:$E$810,"Win")))*SUMIFS($X$4:$X$810,$A$4:$A$810,$A157,$E$4:$E$810,"Loss"),-('Guide &amp; Settings'!$C$42/($F157-1))*$X157)))</f>
        <v>4.8140265020540536</v>
      </c>
      <c r="K157" s="118">
        <f>IF($D157="",0,'Guide &amp; Settings'!$C$43*(IF($E157="Win",1,0)-$I157))</f>
        <v>9.9840000000000018</v>
      </c>
      <c r="L157" s="119">
        <f>IF($D157="",0,'Guide &amp; Settings'!$C$44*IF($F157&gt;=3,$F157,0))</f>
        <v>4</v>
      </c>
      <c r="M157" s="118">
        <f t="shared" si="37"/>
        <v>18.798026502054057</v>
      </c>
      <c r="N157" s="116">
        <f t="shared" si="38"/>
        <v>961.46233618687268</v>
      </c>
      <c r="O157" s="115" t="str">
        <f t="shared" si="39"/>
        <v>OK</v>
      </c>
      <c r="P157">
        <f t="shared" si="40"/>
        <v>1020.6400108657402</v>
      </c>
      <c r="Q157">
        <f t="shared" si="41"/>
        <v>0.38963084233387202</v>
      </c>
      <c r="R157">
        <f t="shared" si="42"/>
        <v>0.375</v>
      </c>
      <c r="S157">
        <f t="shared" si="43"/>
        <v>2.2321428571428572</v>
      </c>
      <c r="T157" s="83">
        <f t="shared" si="44"/>
        <v>6</v>
      </c>
      <c r="U157" s="120">
        <f>IF($D157="",0,IFERROR(LOOKUP(2,1/(($D$3:D156=$D157)*($C$3:C156=$C157)*($A$3:A156&lt;$A157)),$AB$3:AB156),1000))</f>
        <v>959.36601515278198</v>
      </c>
      <c r="V157" s="120">
        <f t="shared" si="45"/>
        <v>951.7743308491622</v>
      </c>
      <c r="W157">
        <f t="shared" si="46"/>
        <v>1016.6200487685085</v>
      </c>
      <c r="X157">
        <f t="shared" si="47"/>
        <v>0.4077482233534116</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IF($D157="","",IF(SUMPRODUCT(MAX(($D$4:$D$810=$D157)*($B$4:$B$810&lt;$B157)*$B$4:$B$810))=0,0,MAX(($B157-MAX(SUMPRODUCT(MAX(($D$4:$D$810=$D157)*($B$4:$B$810&lt;$B157)*$B$4:$B$810)),'Guide &amp; Settings'!$C$50))/7-'Guide &amp; Settings'!$C$48,0)*'Guide &amp; Settings'!$C$49))</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951.2737556356999</v>
      </c>
      <c r="I158" s="117">
        <f t="shared" si="36"/>
        <v>0.224</v>
      </c>
      <c r="J158" s="118">
        <f>IF($D158="",0,IF($F158&lt;2,0,IF($E158="Win",('Guide &amp; Settings'!$C$42/(($F158-1)*COUNTIFS($A$4:$A$810,$A158,$E$4:$E$810,"Win")))*SUMIFS($X$4:$X$810,$A$4:$A$810,$A158,$E$4:$E$810,"Loss"),-('Guide &amp; Settings'!$C$42/($F158-1))*$X158)))</f>
        <v>-4.5496524217997738</v>
      </c>
      <c r="K158" s="118">
        <f>IF($D158="",0,'Guide &amp; Settings'!$C$43*(IF($E158="Win",1,0)-$I158))</f>
        <v>-2.6880000000000002</v>
      </c>
      <c r="L158" s="119">
        <f>IF($D158="",0,'Guide &amp; Settings'!$C$44*IF($F158&gt;=3,$F158,0))</f>
        <v>4</v>
      </c>
      <c r="M158" s="118">
        <f t="shared" si="37"/>
        <v>-3.2376524217997744</v>
      </c>
      <c r="N158" s="116">
        <f t="shared" si="38"/>
        <v>948.03610321390011</v>
      </c>
      <c r="O158" s="115" t="str">
        <f t="shared" si="39"/>
        <v>OK</v>
      </c>
      <c r="P158">
        <f t="shared" si="40"/>
        <v>1020.6400108657402</v>
      </c>
      <c r="Q158">
        <f t="shared" si="41"/>
        <v>0.40147950961950735</v>
      </c>
      <c r="R158">
        <f t="shared" si="42"/>
        <v>0.5</v>
      </c>
      <c r="S158">
        <f t="shared" si="43"/>
        <v>2.2321428571428572</v>
      </c>
      <c r="T158" s="83">
        <f t="shared" si="44"/>
        <v>2</v>
      </c>
      <c r="U158" s="120">
        <f>IF($D158="",0,IFERROR(LOOKUP(2,1/(($D$3:D157=$D158)*($C$3:C157=$C158)*($A$3:A157&lt;$A158)),$AB$3:AB157),1000))</f>
        <v>1000</v>
      </c>
      <c r="V158" s="120">
        <f t="shared" si="45"/>
        <v>965.19553973978577</v>
      </c>
      <c r="W158">
        <f t="shared" si="46"/>
        <v>1016.6200487685085</v>
      </c>
      <c r="X158">
        <f t="shared" si="47"/>
        <v>0.42652991454372879</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IF($D158="","",IF(SUMPRODUCT(MAX(($D$4:$D$810=$D158)*($B$4:$B$810&lt;$B158)*$B$4:$B$810))=0,0,MAX(($B158-MAX(SUMPRODUCT(MAX(($D$4:$D$810=$D158)*($B$4:$B$810&lt;$B158)*$B$4:$B$810)),'Guide &amp; Settings'!$C$50))/7-'Guide &amp; Settings'!$C$48,0)*'Guide &amp; Settings'!$C$49))</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-5.0784005823083334</v>
      </c>
      <c r="K159" s="118">
        <f>IF($D159="",0,'Guide &amp; Settings'!$C$43*(IF($E159="Win",1,0)-$I159))</f>
        <v>-2.6880000000000002</v>
      </c>
      <c r="L159" s="119">
        <f>IF($D159="",0,'Guide &amp; Settings'!$C$44*IF($F159&gt;=3,$F159,0))</f>
        <v>4</v>
      </c>
      <c r="M159" s="118">
        <f t="shared" si="37"/>
        <v>-3.766400582308334</v>
      </c>
      <c r="N159" s="116">
        <f t="shared" si="38"/>
        <v>996.23359941769172</v>
      </c>
      <c r="O159" s="115" t="str">
        <f t="shared" si="39"/>
        <v>OK</v>
      </c>
      <c r="P159">
        <f t="shared" si="40"/>
        <v>1020.6400108657402</v>
      </c>
      <c r="Q159">
        <f t="shared" si="41"/>
        <v>0.47033153003884332</v>
      </c>
      <c r="R159">
        <f t="shared" si="42"/>
        <v>0.5</v>
      </c>
      <c r="S159">
        <f t="shared" si="43"/>
        <v>2.2321428571428572</v>
      </c>
      <c r="T159" s="83">
        <f t="shared" si="44"/>
        <v>0</v>
      </c>
      <c r="U159" s="120">
        <f>IF($D159="",0,IFERROR(LOOKUP(2,1/(($D$3:D158=$D159)*($C$3:C158=$C159)*($A$3:A158&lt;$A159)),$AB$3:AB158),1000))</f>
        <v>1000</v>
      </c>
      <c r="V159" s="120">
        <f t="shared" si="45"/>
        <v>1000</v>
      </c>
      <c r="W159">
        <f t="shared" si="46"/>
        <v>1016.6200487685085</v>
      </c>
      <c r="X159">
        <f t="shared" si="47"/>
        <v>0.47610005459140625</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IF($D159="","",IF(SUMPRODUCT(MAX(($D$4:$D$810=$D159)*($B$4:$B$810&lt;$B159)*$B$4:$B$810))=0,0,MAX(($B159-MAX(SUMPRODUCT(MAX(($D$4:$D$810=$D159)*($B$4:$B$810&lt;$B159)*$B$4:$B$810)),'Guide &amp; Settings'!$C$50))/7-'Guide &amp; Settings'!$C$48,0)*'Guide &amp; Settings'!$C$49))</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1114.821738548716</v>
      </c>
      <c r="I160" s="117">
        <f t="shared" si="36"/>
        <v>0.43793445878848064</v>
      </c>
      <c r="J160" s="118">
        <f>IF($D160="",0,IF($F160&lt;2,0,IF($E160="Win",('Guide &amp; Settings'!$C$42/(($F160-1)*COUNTIFS($A$4:$A$810,$A160,$E$4:$E$810,"Win")))*SUMIFS($X$4:$X$810,$A$4:$A$810,$A160,$E$4:$E$810,"Loss"),-('Guide &amp; Settings'!$C$42/($F160-1))*$X160)))</f>
        <v>4.6252712844412409</v>
      </c>
      <c r="K160" s="118">
        <f>IF($D160="",0,'Guide &amp; Settings'!$C$43*(IF($E160="Win",1,0)-$I160))</f>
        <v>6.744786494538233</v>
      </c>
      <c r="L160" s="119">
        <f>IF($D160="",0,'Guide &amp; Settings'!$C$44*IF($F160&gt;=3,$F160,0))</f>
        <v>4</v>
      </c>
      <c r="M160" s="118">
        <f t="shared" si="37"/>
        <v>15.370057778979474</v>
      </c>
      <c r="N160" s="116">
        <f t="shared" si="38"/>
        <v>1130.1917963276956</v>
      </c>
      <c r="O160" s="115" t="str">
        <f t="shared" si="39"/>
        <v>OK</v>
      </c>
      <c r="P160">
        <f t="shared" si="40"/>
        <v>1038.1420373677943</v>
      </c>
      <c r="Q160">
        <f t="shared" si="41"/>
        <v>0.60859348735253671</v>
      </c>
      <c r="R160">
        <f t="shared" si="42"/>
        <v>0.875</v>
      </c>
      <c r="S160">
        <f t="shared" si="43"/>
        <v>1.998015873015873</v>
      </c>
      <c r="T160" s="83">
        <f t="shared" si="44"/>
        <v>6</v>
      </c>
      <c r="U160" s="120">
        <f>IF($D160="",0,IFERROR(LOOKUP(2,1/(($D$3:D159=$D160)*($C$3:C159=$C160)*($A$3:A159&lt;$A160)),$AB$3:AB159),1000))</f>
        <v>1069.4674601912629</v>
      </c>
      <c r="V160" s="120">
        <f t="shared" si="45"/>
        <v>1090.0830412628325</v>
      </c>
      <c r="W160">
        <f t="shared" si="46"/>
        <v>1026.6638230913891</v>
      </c>
      <c r="X160">
        <f t="shared" si="47"/>
        <v>0.59026727016584035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IF($D160="","",IF(SUMPRODUCT(MAX(($D$4:$D$810=$D160)*($B$4:$B$810&lt;$B160)*$B$4:$B$810))=0,0,MAX(($B160-MAX(SUMPRODUCT(MAX(($D$4:$D$810=$D160)*($B$4:$B$810&lt;$B160)*$B$4:$B$810)),'Guide &amp; Settings'!$C$50))/7-'Guide &amp; Settings'!$C$48,0)*'Guide &amp; Settings'!$C$49))</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961.46233618687268</v>
      </c>
      <c r="I161" s="117">
        <f t="shared" si="36"/>
        <v>0.22244289970208539</v>
      </c>
      <c r="J161" s="118">
        <f>IF($D161="",0,IF($F161&lt;2,0,IF($E161="Win",('Guide &amp; Settings'!$C$42/(($F161-1)*COUNTIFS($A$4:$A$810,$A161,$E$4:$E$810,"Win")))*SUMIFS($X$4:$X$810,$A$4:$A$810,$A161,$E$4:$E$810,"Loss"),-('Guide &amp; Settings'!$C$42/($F161-1))*$X161)))</f>
        <v>4.6252712844412409</v>
      </c>
      <c r="K161" s="118">
        <f>IF($D161="",0,'Guide &amp; Settings'!$C$43*(IF($E161="Win",1,0)-$I161))</f>
        <v>9.3306852035749746</v>
      </c>
      <c r="L161" s="119">
        <f>IF($D161="",0,'Guide &amp; Settings'!$C$44*IF($F161&gt;=3,$F161,0))</f>
        <v>4</v>
      </c>
      <c r="M161" s="118">
        <f t="shared" si="37"/>
        <v>17.955956488016216</v>
      </c>
      <c r="N161" s="116">
        <f t="shared" si="38"/>
        <v>979.4182926748889</v>
      </c>
      <c r="O161" s="115" t="str">
        <f t="shared" si="39"/>
        <v>OK</v>
      </c>
      <c r="P161">
        <f t="shared" si="40"/>
        <v>1038.1420373677943</v>
      </c>
      <c r="Q161">
        <f t="shared" si="41"/>
        <v>0.39140651264746346</v>
      </c>
      <c r="R161">
        <f t="shared" si="42"/>
        <v>0.44444444444444442</v>
      </c>
      <c r="S161">
        <f t="shared" si="43"/>
        <v>1.998015873015873</v>
      </c>
      <c r="T161" s="83">
        <f t="shared" si="44"/>
        <v>7</v>
      </c>
      <c r="U161" s="120">
        <f>IF($D161="",0,IFERROR(LOOKUP(2,1/(($D$3:D160=$D161)*($C$3:C160=$C161)*($A$3:A160&lt;$A161)),$AB$3:AB160),1000))</f>
        <v>964.51765401499733</v>
      </c>
      <c r="V161" s="120">
        <f t="shared" si="45"/>
        <v>963.24460491994546</v>
      </c>
      <c r="W161">
        <f t="shared" si="46"/>
        <v>1026.6638230913891</v>
      </c>
      <c r="X161">
        <f t="shared" si="47"/>
        <v>0.40973272983415937</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IF($D161="","",IF(SUMPRODUCT(MAX(($D$4:$D$810=$D161)*($B$4:$B$810&lt;$B161)*$B$4:$B$810))=0,0,MAX(($B161-MAX(SUMPRODUCT(MAX(($D$4:$D$810=$D161)*($B$4:$B$810&lt;$B161)*$B$4:$B$810)),'Guide &amp; Settings'!$C$50))/7-'Guide &amp; Settings'!$C$48,0)*'Guide &amp; Settings'!$C$49))</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912.48946601898319</v>
      </c>
      <c r="I162" s="117">
        <f t="shared" si="36"/>
        <v>0.2144985104270109</v>
      </c>
      <c r="J162" s="118">
        <f>IF($D162="",0,IF($F162&lt;2,0,IF($E162="Win",('Guide &amp; Settings'!$C$42/(($F162-1)*COUNTIFS($A$4:$A$810,$A162,$E$4:$E$810,"Win")))*SUMIFS($X$4:$X$810,$A$4:$A$810,$A162,$E$4:$E$810,"Loss"),-('Guide &amp; Settings'!$C$42/($F162-1))*$X162)))</f>
        <v>-4.1746578755546757</v>
      </c>
      <c r="K162" s="118">
        <f>IF($D162="",0,'Guide &amp; Settings'!$C$43*(IF($E162="Win",1,0)-$I162))</f>
        <v>-2.5739821251241306</v>
      </c>
      <c r="L162" s="119">
        <f>IF($D162="",0,'Guide &amp; Settings'!$C$44*IF($F162&gt;=3,$F162,0))</f>
        <v>4</v>
      </c>
      <c r="M162" s="118">
        <f t="shared" si="37"/>
        <v>-2.7486400006788063</v>
      </c>
      <c r="N162" s="116">
        <f t="shared" si="38"/>
        <v>909.74082601830435</v>
      </c>
      <c r="O162" s="115" t="str">
        <f t="shared" si="39"/>
        <v>OK</v>
      </c>
      <c r="P162">
        <f t="shared" si="40"/>
        <v>1038.1420373677943</v>
      </c>
      <c r="Q162">
        <f t="shared" si="41"/>
        <v>0.32666355969653349</v>
      </c>
      <c r="R162">
        <f t="shared" si="42"/>
        <v>0.42857142857142855</v>
      </c>
      <c r="S162">
        <f t="shared" si="43"/>
        <v>1.998015873015873</v>
      </c>
      <c r="T162" s="83">
        <f t="shared" si="44"/>
        <v>5</v>
      </c>
      <c r="U162" s="120">
        <f>IF($D162="",0,IFERROR(LOOKUP(2,1/(($D$3:D161=$D162)*($C$3:C161=$C162)*($A$3:A161&lt;$A162)),$AB$3:AB161),1000))</f>
        <v>987.43161250376841</v>
      </c>
      <c r="V162" s="120">
        <f t="shared" si="45"/>
        <v>949.96053926137574</v>
      </c>
      <c r="W162">
        <f t="shared" si="46"/>
        <v>1026.6638230913891</v>
      </c>
      <c r="X162">
        <f t="shared" si="47"/>
        <v>0.3913741758332509</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IF($D162="","",IF(SUMPRODUCT(MAX(($D$4:$D$810=$D162)*($B$4:$B$810&lt;$B162)*$B$4:$B$810))=0,0,MAX(($B162-MAX(SUMPRODUCT(MAX(($D$4:$D$810=$D162)*($B$4:$B$810&lt;$B162)*$B$4:$B$810)),'Guide &amp; Settings'!$C$50))/7-'Guide &amp; Settings'!$C$48,0)*'Guide &amp; Settings'!$C$49))</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-5.0758846933278061</v>
      </c>
      <c r="K163" s="118">
        <f>IF($D163="",0,'Guide &amp; Settings'!$C$43*(IF($E163="Win",1,0)-$I163))</f>
        <v>-1.5014895729890765</v>
      </c>
      <c r="L163" s="119">
        <f>IF($D163="",0,'Guide &amp; Settings'!$C$44*IF($F163&gt;=3,$F163,0))</f>
        <v>4</v>
      </c>
      <c r="M163" s="118">
        <f t="shared" si="37"/>
        <v>-2.5773742663168822</v>
      </c>
      <c r="N163" s="116">
        <f t="shared" si="38"/>
        <v>1023.7594026829813</v>
      </c>
      <c r="O163" s="115" t="str">
        <f t="shared" si="39"/>
        <v>OK</v>
      </c>
      <c r="P163">
        <f t="shared" si="40"/>
        <v>1038.1420373677943</v>
      </c>
      <c r="Q163">
        <f t="shared" si="41"/>
        <v>0.48301739968568758</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1026.6638230913891</v>
      </c>
      <c r="X163">
        <f t="shared" si="47"/>
        <v>0.47586418999948188</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IF($D163="","",IF(SUMPRODUCT(MAX(($D$4:$D$810=$D163)*($B$4:$B$810&lt;$B163)*$B$4:$B$810))=0,0,MAX(($B163-MAX(SUMPRODUCT(MAX(($D$4:$D$810=$D163)*($B$4:$B$810&lt;$B163)*$B$4:$B$810)),'Guide &amp; Settings'!$C$50))/7-'Guide &amp; Settings'!$C$48,0)*'Guide &amp; Settings'!$C$49))</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994.55452889075195</v>
      </c>
      <c r="I164" s="117">
        <f t="shared" si="36"/>
        <v>0.2608695652173913</v>
      </c>
      <c r="J164" s="118">
        <f>IF($D164="",0,IF($F164&lt;2,0,IF($E164="Win",('Guide &amp; Settings'!$C$42/(($F164-1)*COUNTIFS($A$4:$A$810,$A164,$E$4:$E$810,"Win")))*SUMIFS($X$4:$X$810,$A$4:$A$810,$A164,$E$4:$E$810,"Loss"),-('Guide &amp; Settings'!$C$42/($F164-1))*$X164)))</f>
        <v>5.8710885566634632</v>
      </c>
      <c r="K164" s="118">
        <f>IF($D164="",0,'Guide &amp; Settings'!$C$43*(IF($E164="Win",1,0)-$I164))</f>
        <v>8.8695652173913047</v>
      </c>
      <c r="L164" s="119">
        <f>IF($D164="",0,'Guide &amp; Settings'!$C$44*IF($F164&gt;=3,$F164,0))</f>
        <v>4</v>
      </c>
      <c r="M164" s="118">
        <f t="shared" si="37"/>
        <v>18.740653774054767</v>
      </c>
      <c r="N164" s="116">
        <f t="shared" si="38"/>
        <v>1013.2951826648067</v>
      </c>
      <c r="O164" s="115" t="str">
        <f t="shared" si="39"/>
        <v>OK</v>
      </c>
      <c r="P164">
        <f t="shared" si="40"/>
        <v>997.27726444537598</v>
      </c>
      <c r="Q164">
        <f t="shared" si="41"/>
        <v>0.49608174877291339</v>
      </c>
      <c r="R164">
        <f t="shared" si="42"/>
        <v>0.66666666666666663</v>
      </c>
      <c r="S164">
        <f t="shared" si="43"/>
        <v>2.5555555555555554</v>
      </c>
      <c r="T164" s="83">
        <f t="shared" si="44"/>
        <v>1</v>
      </c>
      <c r="U164" s="120">
        <f>IF($D164="",0,IFERROR(LOOKUP(2,1/(($D$3:D163=$D164)*($C$3:C163=$C164)*($A$3:A163&lt;$A164)),$AB$3:AB163),1000))</f>
        <v>1016</v>
      </c>
      <c r="V164" s="120">
        <f t="shared" si="45"/>
        <v>998.12877407562655</v>
      </c>
      <c r="W164">
        <f t="shared" si="46"/>
        <v>999.06438703781328</v>
      </c>
      <c r="X164">
        <f t="shared" si="47"/>
        <v>0.49865354796750289</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IF($D164="","",IF(SUMPRODUCT(MAX(($D$4:$D$810=$D164)*($B$4:$B$810&lt;$B164)*$B$4:$B$810))=0,0,MAX(($B164-MAX(SUMPRODUCT(MAX(($D$4:$D$810=$D164)*($B$4:$B$810&lt;$B164)*$B$4:$B$810)),'Guide &amp; Settings'!$C$50))/7-'Guide &amp; Settings'!$C$48,0)*'Guide &amp; Settings'!$C$49))</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5.8710885566634632</v>
      </c>
      <c r="K165" s="118">
        <f>IF($D165="",0,'Guide &amp; Settings'!$C$43*(IF($E165="Win",1,0)-$I165))</f>
        <v>9.6521739130434785</v>
      </c>
      <c r="L165" s="119">
        <f>IF($D165="",0,'Guide &amp; Settings'!$C$44*IF($F165&gt;=3,$F165,0))</f>
        <v>4</v>
      </c>
      <c r="M165" s="118">
        <f t="shared" si="37"/>
        <v>19.523262469706943</v>
      </c>
      <c r="N165" s="116">
        <f t="shared" si="38"/>
        <v>1019.523262469707</v>
      </c>
      <c r="O165" s="115" t="str">
        <f t="shared" si="39"/>
        <v>OK</v>
      </c>
      <c r="P165">
        <f t="shared" si="40"/>
        <v>997.27726444537598</v>
      </c>
      <c r="Q165">
        <f t="shared" si="41"/>
        <v>0.50391825122708667</v>
      </c>
      <c r="R165">
        <f t="shared" si="42"/>
        <v>0.5</v>
      </c>
      <c r="S165">
        <f t="shared" si="43"/>
        <v>2.5555555555555554</v>
      </c>
      <c r="T165" s="83">
        <f t="shared" si="44"/>
        <v>0</v>
      </c>
      <c r="U165" s="120">
        <f>IF($D165="",0,IFERROR(LOOKUP(2,1/(($D$3:D164=$D165)*($C$3:C164=$C165)*($A$3:A164&lt;$A165)),$AB$3:AB164),1000))</f>
        <v>1000</v>
      </c>
      <c r="V165" s="120">
        <f t="shared" si="45"/>
        <v>1000</v>
      </c>
      <c r="W165">
        <f t="shared" si="46"/>
        <v>999.06438703781328</v>
      </c>
      <c r="X165">
        <f t="shared" si="47"/>
        <v>0.50134645203249706</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IF($D165="","",IF(SUMPRODUCT(MAX(($D$4:$D$810=$D165)*($B$4:$B$810&lt;$B165)*$B$4:$B$810))=0,0,MAX(($B165-MAX(SUMPRODUCT(MAX(($D$4:$D$810=$D165)*($B$4:$B$810&lt;$B165)*$B$4:$B$810)),'Guide &amp; Settings'!$C$50))/7-'Guide &amp; Settings'!$C$48,0)*'Guide &amp; Settings'!$C$49))</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979.4182926748889</v>
      </c>
      <c r="I166" s="117">
        <f t="shared" si="36"/>
        <v>0.19565217391304349</v>
      </c>
      <c r="J166" s="118">
        <f>IF($D166="",0,IF($F166&lt;2,0,IF($E166="Win",('Guide &amp; Settings'!$C$42/(($F166-1)*COUNTIFS($A$4:$A$810,$A166,$E$4:$E$810,"Win")))*SUMIFS($X$4:$X$810,$A$4:$A$810,$A166,$E$4:$E$810,"Loss"),-('Guide &amp; Settings'!$C$42/($F166-1))*$X166)))</f>
        <v>-4.9364972273926551</v>
      </c>
      <c r="K166" s="118">
        <f>IF($D166="",0,'Guide &amp; Settings'!$C$43*(IF($E166="Win",1,0)-$I166))</f>
        <v>-2.347826086956522</v>
      </c>
      <c r="L166" s="119">
        <f>IF($D166="",0,'Guide &amp; Settings'!$C$44*IF($F166&gt;=3,$F166,0))</f>
        <v>4</v>
      </c>
      <c r="M166" s="118">
        <f t="shared" si="37"/>
        <v>-3.2843233143491766</v>
      </c>
      <c r="N166" s="116">
        <f t="shared" si="38"/>
        <v>976.13396936053971</v>
      </c>
      <c r="O166" s="115" t="str">
        <f t="shared" si="39"/>
        <v>OK</v>
      </c>
      <c r="P166">
        <f t="shared" si="40"/>
        <v>997.27726444537598</v>
      </c>
      <c r="Q166">
        <f t="shared" si="41"/>
        <v>0.47432148550960995</v>
      </c>
      <c r="R166">
        <f t="shared" si="42"/>
        <v>0.5</v>
      </c>
      <c r="S166">
        <f t="shared" si="43"/>
        <v>2.5555555555555554</v>
      </c>
      <c r="T166" s="83">
        <f t="shared" si="44"/>
        <v>8</v>
      </c>
      <c r="U166" s="120">
        <f>IF($D166="",0,IFERROR(LOOKUP(2,1/(($D$3:D165=$D166)*($C$3:C165=$C166)*($A$3:A165&lt;$A166)),$AB$3:AB165),1000))</f>
        <v>969.25662767305062</v>
      </c>
      <c r="V166" s="120">
        <f t="shared" si="45"/>
        <v>973.16496036606532</v>
      </c>
      <c r="W166">
        <f t="shared" si="46"/>
        <v>999.06438703781328</v>
      </c>
      <c r="X166">
        <f t="shared" si="47"/>
        <v>0.46279661506806141</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IF($D166="","",IF(SUMPRODUCT(MAX(($D$4:$D$810=$D166)*($B$4:$B$810&lt;$B166)*$B$4:$B$810))=0,0,MAX(($B166-MAX(SUMPRODUCT(MAX(($D$4:$D$810=$D166)*($B$4:$B$810&lt;$B166)*$B$4:$B$810)),'Guide &amp; Settings'!$C$50))/7-'Guide &amp; Settings'!$C$48,0)*'Guide &amp; Settings'!$C$49))</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1130.1917963276956</v>
      </c>
      <c r="I167" s="117">
        <f t="shared" si="36"/>
        <v>0.34782608695652173</v>
      </c>
      <c r="J167" s="118">
        <f>IF($D167="",0,IF($F167&lt;2,0,IF($E167="Win",('Guide &amp; Settings'!$C$42/(($F167-1)*COUNTIFS($A$4:$A$810,$A167,$E$4:$E$810,"Win")))*SUMIFS($X$4:$X$810,$A$4:$A$810,$A167,$E$4:$E$810,"Loss"),-('Guide &amp; Settings'!$C$42/($F167-1))*$X167)))</f>
        <v>-6.8056798859342713</v>
      </c>
      <c r="K167" s="118">
        <f>IF($D167="",0,'Guide &amp; Settings'!$C$43*(IF($E167="Win",1,0)-$I167))</f>
        <v>-4.1739130434782608</v>
      </c>
      <c r="L167" s="119">
        <f>IF($D167="",0,'Guide &amp; Settings'!$C$44*IF($F167&gt;=3,$F167,0))</f>
        <v>4</v>
      </c>
      <c r="M167" s="118">
        <f t="shared" si="37"/>
        <v>-6.979592929412533</v>
      </c>
      <c r="N167" s="116">
        <f t="shared" si="38"/>
        <v>1123.212203398283</v>
      </c>
      <c r="O167" s="115" t="str">
        <f t="shared" si="39"/>
        <v>OK</v>
      </c>
      <c r="P167">
        <f t="shared" si="40"/>
        <v>997.27726444537598</v>
      </c>
      <c r="Q167">
        <f t="shared" si="41"/>
        <v>0.68246377651077772</v>
      </c>
      <c r="R167">
        <f t="shared" si="42"/>
        <v>0.88888888888888884</v>
      </c>
      <c r="S167">
        <f t="shared" si="43"/>
        <v>2.5555555555555554</v>
      </c>
      <c r="T167" s="83">
        <f t="shared" si="44"/>
        <v>7</v>
      </c>
      <c r="U167" s="120">
        <f>IF($D167="",0,IFERROR(LOOKUP(2,1/(($D$3:D166=$D167)*($C$3:C166=$C167)*($A$3:A166&lt;$A167)),$AB$3:AB166),1000))</f>
        <v>1074.2064338493162</v>
      </c>
      <c r="V167" s="120">
        <f t="shared" si="45"/>
        <v>1097.5336682153077</v>
      </c>
      <c r="W167">
        <f t="shared" si="46"/>
        <v>999.06438703781328</v>
      </c>
      <c r="X167">
        <f t="shared" si="47"/>
        <v>0.63803248930633794</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IF($D167="","",IF(SUMPRODUCT(MAX(($D$4:$D$810=$D167)*($B$4:$B$810&lt;$B167)*$B$4:$B$810))=0,0,MAX(($B167-MAX(SUMPRODUCT(MAX(($D$4:$D$810=$D167)*($B$4:$B$810&lt;$B167)*$B$4:$B$810)),'Guide &amp; Settings'!$C$50))/7-'Guide &amp; Settings'!$C$48,0)*'Guide &amp; Settings'!$C$49))</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1135.6654540973088</v>
      </c>
      <c r="I168" s="117">
        <f t="shared" si="36"/>
        <v>0.17266187050359716</v>
      </c>
      <c r="J168" s="118">
        <f>IF($D168="",0,IF($F168&lt;2,0,IF($E168="Win",('Guide &amp; Settings'!$C$42/(($F168-1)*COUNTIFS($A$4:$A$810,$A168,$E$4:$E$810,"Win")))*SUMIFS($X$4:$X$810,$A$4:$A$810,$A168,$E$4:$E$810,"Loss"),-('Guide &amp; Settings'!$C$42/($F168-1))*$X168)))</f>
        <v>4.9748627606210771</v>
      </c>
      <c r="K168" s="118">
        <f>IF($D168="",0,'Guide &amp; Settings'!$C$43*(IF($E168="Win",1,0)-$I168))</f>
        <v>9.9280575539568332</v>
      </c>
      <c r="L168" s="119">
        <f>IF($D168="",0,'Guide &amp; Settings'!$C$44*IF($F168&gt;=3,$F168,0))</f>
        <v>4</v>
      </c>
      <c r="M168" s="118">
        <f t="shared" si="37"/>
        <v>18.902920314577912</v>
      </c>
      <c r="N168" s="116">
        <f t="shared" si="38"/>
        <v>1154.5683744118867</v>
      </c>
      <c r="O168" s="115" t="str">
        <f t="shared" si="39"/>
        <v>OK</v>
      </c>
      <c r="P168">
        <f t="shared" si="40"/>
        <v>1068.5883728485585</v>
      </c>
      <c r="Q168">
        <f t="shared" si="41"/>
        <v>0.59534993891932586</v>
      </c>
      <c r="R168">
        <f t="shared" si="42"/>
        <v>0.4</v>
      </c>
      <c r="S168">
        <f t="shared" si="43"/>
        <v>2.3166666666666664</v>
      </c>
      <c r="T168" s="83">
        <f t="shared" si="44"/>
        <v>3</v>
      </c>
      <c r="U168" s="120">
        <f>IF($D168="",0,IFERROR(LOOKUP(2,1/(($D$3:D167=$D168)*($C$3:C167=$C168)*($A$3:A167&lt;$A168)),$AB$3:AB167),1000))</f>
        <v>984.51169332979669</v>
      </c>
      <c r="V168" s="120">
        <f t="shared" si="45"/>
        <v>1078.9827938094918</v>
      </c>
      <c r="W168">
        <f t="shared" si="46"/>
        <v>1039.8092646919606</v>
      </c>
      <c r="X168">
        <f t="shared" si="47"/>
        <v>0.55613755539667342</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IF($D168="","",IF(SUMPRODUCT(MAX(($D$4:$D$810=$D168)*($B$4:$B$810&lt;$B168)*$B$4:$B$810))=0,0,MAX(($B168-MAX(SUMPRODUCT(MAX(($D$4:$D$810=$D168)*($B$4:$B$810&lt;$B168)*$B$4:$B$810)),'Guide &amp; Settings'!$C$50))/7-'Guide &amp; Settings'!$C$48,0)*'Guide &amp; Settings'!$C$49))</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1001.511291599808</v>
      </c>
      <c r="I169" s="117">
        <f t="shared" si="36"/>
        <v>0.21582733812949642</v>
      </c>
      <c r="J169" s="118">
        <f>IF($D169="",0,IF($F169&lt;2,0,IF($E169="Win",('Guide &amp; Settings'!$C$42/(($F169-1)*COUNTIFS($A$4:$A$810,$A169,$E$4:$E$810,"Win")))*SUMIFS($X$4:$X$810,$A$4:$A$810,$A169,$E$4:$E$810,"Loss"),-('Guide &amp; Settings'!$C$42/($F169-1))*$X169)))</f>
        <v>4.9748627606210771</v>
      </c>
      <c r="K169" s="118">
        <f>IF($D169="",0,'Guide &amp; Settings'!$C$43*(IF($E169="Win",1,0)-$I169))</f>
        <v>9.4100719424460433</v>
      </c>
      <c r="L169" s="119">
        <f>IF($D169="",0,'Guide &amp; Settings'!$C$44*IF($F169&gt;=3,$F169,0))</f>
        <v>4</v>
      </c>
      <c r="M169" s="118">
        <f t="shared" si="37"/>
        <v>18.38493470306712</v>
      </c>
      <c r="N169" s="116">
        <f t="shared" si="38"/>
        <v>1019.8962263028751</v>
      </c>
      <c r="O169" s="115" t="str">
        <f t="shared" si="39"/>
        <v>OK</v>
      </c>
      <c r="P169">
        <f t="shared" si="40"/>
        <v>1068.5883728485585</v>
      </c>
      <c r="Q169">
        <f t="shared" si="41"/>
        <v>0.40465006108067397</v>
      </c>
      <c r="R169">
        <f t="shared" si="42"/>
        <v>0.5</v>
      </c>
      <c r="S169">
        <f t="shared" si="43"/>
        <v>2.3166666666666664</v>
      </c>
      <c r="T169" s="83">
        <f t="shared" si="44"/>
        <v>4</v>
      </c>
      <c r="U169" s="120">
        <f>IF($D169="",0,IFERROR(LOOKUP(2,1/(($D$3:D168=$D169)*($C$3:C168=$C169)*($A$3:A168&lt;$A169)),$AB$3:AB168),1000))</f>
        <v>999.54129054270618</v>
      </c>
      <c r="V169" s="120">
        <f t="shared" si="45"/>
        <v>1000.6357355744294</v>
      </c>
      <c r="W169">
        <f t="shared" si="46"/>
        <v>1039.8092646919606</v>
      </c>
      <c r="X169">
        <f t="shared" si="47"/>
        <v>0.44386244460332658</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IF($D169="","",IF(SUMPRODUCT(MAX(($D$4:$D$810=$D169)*($B$4:$B$810&lt;$B169)*$B$4:$B$810))=0,0,MAX(($B169-MAX(SUMPRODUCT(MAX(($D$4:$D$810=$D169)*($B$4:$B$810&lt;$B169)*$B$4:$B$810)),'Guide &amp; Settings'!$C$50))/7-'Guide &amp; Settings'!$C$48,0)*'Guide &amp; Settings'!$C$49))</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1019.523262469707</v>
      </c>
      <c r="I170" s="117">
        <f t="shared" si="36"/>
        <v>0.28776978417266186</v>
      </c>
      <c r="J170" s="118">
        <f>IF($D170="",0,IF($F170&lt;2,0,IF($E170="Win",('Guide &amp; Settings'!$C$42/(($F170-1)*COUNTIFS($A$4:$A$810,$A170,$E$4:$E$810,"Win")))*SUMIFS($X$4:$X$810,$A$4:$A$810,$A170,$E$4:$E$810,"Loss"),-('Guide &amp; Settings'!$C$42/($F170-1))*$X170)))</f>
        <v>-4.9866442494191787</v>
      </c>
      <c r="K170" s="118">
        <f>IF($D170="",0,'Guide &amp; Settings'!$C$43*(IF($E170="Win",1,0)-$I170))</f>
        <v>-3.4532374100719423</v>
      </c>
      <c r="L170" s="119">
        <f>IF($D170="",0,'Guide &amp; Settings'!$C$44*IF($F170&gt;=3,$F170,0))</f>
        <v>4</v>
      </c>
      <c r="M170" s="118">
        <f t="shared" si="37"/>
        <v>-4.439881659491121</v>
      </c>
      <c r="N170" s="116">
        <f t="shared" si="38"/>
        <v>1015.0833808102159</v>
      </c>
      <c r="O170" s="115" t="str">
        <f t="shared" si="39"/>
        <v>OK</v>
      </c>
      <c r="P170">
        <f t="shared" si="40"/>
        <v>1068.5883728485585</v>
      </c>
      <c r="Q170">
        <f t="shared" si="41"/>
        <v>0.42985531678127642</v>
      </c>
      <c r="R170">
        <f t="shared" si="42"/>
        <v>0.66666666666666663</v>
      </c>
      <c r="S170">
        <f t="shared" si="43"/>
        <v>2.3166666666666664</v>
      </c>
      <c r="T170" s="83">
        <f t="shared" si="44"/>
        <v>1</v>
      </c>
      <c r="U170" s="120">
        <f>IF($D170="",0,IFERROR(LOOKUP(2,1/(($D$3:D169=$D170)*($C$3:C169=$C170)*($A$3:A169&lt;$A170)),$AB$3:AB169),1000))</f>
        <v>1005.5392839402241</v>
      </c>
      <c r="V170" s="120">
        <f t="shared" si="45"/>
        <v>1017.1925993814598</v>
      </c>
      <c r="W170">
        <f t="shared" si="46"/>
        <v>1039.8092646919606</v>
      </c>
      <c r="X170">
        <f t="shared" si="47"/>
        <v>0.46749789838304801</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IF($D170="","",IF(SUMPRODUCT(MAX(($D$4:$D$810=$D170)*($B$4:$B$810&lt;$B170)*$B$4:$B$810))=0,0,MAX(($B170-MAX(SUMPRODUCT(MAX(($D$4:$D$810=$D170)*($B$4:$B$810&lt;$B170)*$B$4:$B$810)),'Guide &amp; Settings'!$C$50))/7-'Guide &amp; Settings'!$C$48,0)*'Guide &amp; Settings'!$C$49))</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1013.2951826648067</v>
      </c>
      <c r="I171" s="117">
        <f t="shared" si="36"/>
        <v>0.32374100719424465</v>
      </c>
      <c r="J171" s="118">
        <f>IF($D171="",0,IF($F171&lt;2,0,IF($E171="Win",('Guide &amp; Settings'!$C$42/(($F171-1)*COUNTIFS($A$4:$A$810,$A171,$E$4:$E$810,"Win")))*SUMIFS($X$4:$X$810,$A$4:$A$810,$A171,$E$4:$E$810,"Loss"),-('Guide &amp; Settings'!$C$42/($F171-1))*$X171)))</f>
        <v>-4.9630812718229773</v>
      </c>
      <c r="K171" s="118">
        <f>IF($D171="",0,'Guide &amp; Settings'!$C$43*(IF($E171="Win",1,0)-$I171))</f>
        <v>-3.884892086330936</v>
      </c>
      <c r="L171" s="119">
        <f>IF($D171="",0,'Guide &amp; Settings'!$C$44*IF($F171&gt;=3,$F171,0))</f>
        <v>4</v>
      </c>
      <c r="M171" s="118">
        <f t="shared" si="37"/>
        <v>-4.8479733581539133</v>
      </c>
      <c r="N171" s="116">
        <f t="shared" si="38"/>
        <v>1008.4472093066528</v>
      </c>
      <c r="O171" s="115" t="str">
        <f t="shared" si="39"/>
        <v>OK</v>
      </c>
      <c r="P171">
        <f t="shared" si="40"/>
        <v>1068.5883728485585</v>
      </c>
      <c r="Q171">
        <f t="shared" si="41"/>
        <v>0.42109176708033647</v>
      </c>
      <c r="R171">
        <f t="shared" si="42"/>
        <v>0.75</v>
      </c>
      <c r="S171">
        <f t="shared" si="43"/>
        <v>2.3166666666666664</v>
      </c>
      <c r="T171" s="83">
        <f t="shared" si="44"/>
        <v>2</v>
      </c>
      <c r="U171" s="120">
        <f>IF($D171="",0,IFERROR(LOOKUP(2,1/(($D$3:D170=$D171)*($C$3:C170=$C171)*($A$3:A170&lt;$A171)),$AB$3:AB170),1000))</f>
        <v>1021.5392839402241</v>
      </c>
      <c r="V171" s="120">
        <f t="shared" si="45"/>
        <v>1015.6506401720688</v>
      </c>
      <c r="W171">
        <f t="shared" si="46"/>
        <v>1039.8092646919606</v>
      </c>
      <c r="X171">
        <f t="shared" si="47"/>
        <v>0.46528886923340412</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IF($D171="","",IF(SUMPRODUCT(MAX(($D$4:$D$810=$D171)*($B$4:$B$810&lt;$B171)*$B$4:$B$810))=0,0,MAX(($B171-MAX(SUMPRODUCT(MAX(($D$4:$D$810=$D171)*($B$4:$B$810&lt;$B171)*$B$4:$B$810)),'Guide &amp; Settings'!$C$50))/7-'Guide &amp; Settings'!$C$48,0)*'Guide &amp; Settings'!$C$49))</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1085.5549024997767</v>
      </c>
      <c r="I172" s="117">
        <f t="shared" si="36"/>
        <v>0.31226765799256506</v>
      </c>
      <c r="J172" s="118">
        <f>IF($D172="",0,IF($F172&lt;2,0,IF($E172="Win",('Guide &amp; Settings'!$C$42/(($F172-1)*COUNTIFS($A$4:$A$810,$A172,$E$4:$E$810,"Win")))*SUMIFS($X$4:$X$810,$A$4:$A$810,$A172,$E$4:$E$810,"Loss"),-('Guide &amp; Settings'!$C$42/($F172-1))*$X172)))</f>
        <v>5.7617011540433722</v>
      </c>
      <c r="K172" s="118">
        <f>IF($D172="",0,'Guide &amp; Settings'!$C$43*(IF($E172="Win",1,0)-$I172))</f>
        <v>8.2527881040892197</v>
      </c>
      <c r="L172" s="119">
        <f>IF($D172="",0,'Guide &amp; Settings'!$C$44*IF($F172&gt;=3,$F172,0))</f>
        <v>4</v>
      </c>
      <c r="M172" s="118">
        <f t="shared" si="37"/>
        <v>18.014489258132592</v>
      </c>
      <c r="N172" s="116">
        <f t="shared" si="38"/>
        <v>1103.5693917579094</v>
      </c>
      <c r="O172" s="115" t="str">
        <f t="shared" si="39"/>
        <v>OK</v>
      </c>
      <c r="P172">
        <f t="shared" si="40"/>
        <v>1029.0524591845447</v>
      </c>
      <c r="Q172">
        <f t="shared" si="41"/>
        <v>0.58060420679121871</v>
      </c>
      <c r="R172">
        <f t="shared" si="42"/>
        <v>0.6</v>
      </c>
      <c r="S172">
        <f t="shared" si="43"/>
        <v>1.9214285714285715</v>
      </c>
      <c r="T172" s="83">
        <f t="shared" si="44"/>
        <v>3</v>
      </c>
      <c r="U172" s="120">
        <f>IF($D172="",0,IFERROR(LOOKUP(2,1/(($D$3:D171=$D172)*($C$3:C171=$C172)*($A$3:A171&lt;$A172)),$AB$3:AB171),1000))</f>
        <v>1026.049766139507</v>
      </c>
      <c r="V172" s="120">
        <f t="shared" si="45"/>
        <v>1063.2404763646755</v>
      </c>
      <c r="W172">
        <f t="shared" si="46"/>
        <v>1018.7857868502912</v>
      </c>
      <c r="X172">
        <f t="shared" si="47"/>
        <v>0.56362858896498691</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IF($D172="","",IF(SUMPRODUCT(MAX(($D$4:$D$810=$D172)*($B$4:$B$810&lt;$B172)*$B$4:$B$810))=0,0,MAX(($B172-MAX(SUMPRODUCT(MAX(($D$4:$D$810=$D172)*($B$4:$B$810&lt;$B172)*$B$4:$B$810)),'Guide &amp; Settings'!$C$50))/7-'Guide &amp; Settings'!$C$48,0)*'Guide &amp; Settings'!$C$49))</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972.5500158693128</v>
      </c>
      <c r="I173" s="117">
        <f t="shared" si="36"/>
        <v>0.13011152416356878</v>
      </c>
      <c r="J173" s="118">
        <f>IF($D173="",0,IF($F173&lt;2,0,IF($E173="Win",('Guide &amp; Settings'!$C$42/(($F173-1)*COUNTIFS($A$4:$A$810,$A173,$E$4:$E$810,"Win")))*SUMIFS($X$4:$X$810,$A$4:$A$810,$A173,$E$4:$E$810,"Loss"),-('Guide &amp; Settings'!$C$42/($F173-1))*$X173)))</f>
        <v>5.7617011540433722</v>
      </c>
      <c r="K173" s="118">
        <f>IF($D173="",0,'Guide &amp; Settings'!$C$43*(IF($E173="Win",1,0)-$I173))</f>
        <v>10.438661710037175</v>
      </c>
      <c r="L173" s="119">
        <f>IF($D173="",0,'Guide &amp; Settings'!$C$44*IF($F173&gt;=3,$F173,0))</f>
        <v>4</v>
      </c>
      <c r="M173" s="118">
        <f t="shared" si="37"/>
        <v>20.200362864080546</v>
      </c>
      <c r="N173" s="116">
        <f t="shared" si="38"/>
        <v>992.75037873339329</v>
      </c>
      <c r="O173" s="115" t="str">
        <f t="shared" si="39"/>
        <v>OK</v>
      </c>
      <c r="P173">
        <f t="shared" si="40"/>
        <v>1029.0524591845447</v>
      </c>
      <c r="Q173">
        <f t="shared" si="41"/>
        <v>0.41939579320878162</v>
      </c>
      <c r="R173">
        <f t="shared" si="42"/>
        <v>0.25</v>
      </c>
      <c r="S173">
        <f t="shared" si="43"/>
        <v>1.9214285714285715</v>
      </c>
      <c r="T173" s="83">
        <f t="shared" si="44"/>
        <v>2</v>
      </c>
      <c r="U173" s="120">
        <f>IF($D173="",0,IFERROR(LOOKUP(2,1/(($D$3:D172=$D173)*($C$3:C172=$C173)*($A$3:A172&lt;$A173)),$AB$3:AB172),1000))</f>
        <v>978.78380100239212</v>
      </c>
      <c r="V173" s="120">
        <f t="shared" si="45"/>
        <v>974.33109733590686</v>
      </c>
      <c r="W173">
        <f t="shared" si="46"/>
        <v>1018.7857868502912</v>
      </c>
      <c r="X173">
        <f t="shared" si="47"/>
        <v>0.43637141103501309</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IF($D173="","",IF(SUMPRODUCT(MAX(($D$4:$D$810=$D173)*($B$4:$B$810&lt;$B173)*$B$4:$B$810))=0,0,MAX(($B173-MAX(SUMPRODUCT(MAX(($D$4:$D$810=$D173)*($B$4:$B$810&lt;$B173)*$B$4:$B$810)),'Guide &amp; Settings'!$C$50))/7-'Guide &amp; Settings'!$C$48,0)*'Guide &amp; Settings'!$C$49))</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1154.5683744118867</v>
      </c>
      <c r="I174" s="117">
        <f t="shared" si="36"/>
        <v>0.26022304832713755</v>
      </c>
      <c r="J174" s="118">
        <f>IF($D174="",0,IF($F174&lt;2,0,IF($E174="Win",('Guide &amp; Settings'!$C$42/(($F174-1)*COUNTIFS($A$4:$A$810,$A174,$E$4:$E$810,"Win")))*SUMIFS($X$4:$X$810,$A$4:$A$810,$A174,$E$4:$E$810,"Loss"),-('Guide &amp; Settings'!$C$42/($F174-1))*$X174)))</f>
        <v>-6.2857778172081229</v>
      </c>
      <c r="K174" s="118">
        <f>IF($D174="",0,'Guide &amp; Settings'!$C$43*(IF($E174="Win",1,0)-$I174))</f>
        <v>-3.1226765799256508</v>
      </c>
      <c r="L174" s="119">
        <f>IF($D174="",0,'Guide &amp; Settings'!$C$44*IF($F174&gt;=3,$F174,0))</f>
        <v>4</v>
      </c>
      <c r="M174" s="118">
        <f t="shared" si="37"/>
        <v>-5.4084543971337737</v>
      </c>
      <c r="N174" s="116">
        <f t="shared" si="38"/>
        <v>1149.159920014753</v>
      </c>
      <c r="O174" s="115" t="str">
        <f t="shared" si="39"/>
        <v>OK</v>
      </c>
      <c r="P174">
        <f t="shared" si="40"/>
        <v>1029.0524591845447</v>
      </c>
      <c r="Q174">
        <f t="shared" si="41"/>
        <v>0.67316338823397626</v>
      </c>
      <c r="R174">
        <f t="shared" si="42"/>
        <v>0.5</v>
      </c>
      <c r="S174">
        <f t="shared" si="43"/>
        <v>1.9214285714285715</v>
      </c>
      <c r="T174" s="83">
        <f t="shared" si="44"/>
        <v>4</v>
      </c>
      <c r="U174" s="120">
        <f>IF($D174="",0,IFERROR(LOOKUP(2,1/(($D$3:D173=$D174)*($C$3:C173=$C174)*($A$3:A173&lt;$A174)),$AB$3:AB173),1000))</f>
        <v>990.17466470582804</v>
      </c>
      <c r="V174" s="120">
        <f t="shared" si="45"/>
        <v>1081.5045034314162</v>
      </c>
      <c r="W174">
        <f t="shared" si="46"/>
        <v>1018.7857868502912</v>
      </c>
      <c r="X174">
        <f t="shared" si="47"/>
        <v>0.58929167036326158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IF($D174="","",IF(SUMPRODUCT(MAX(($D$4:$D$810=$D174)*($B$4:$B$810&lt;$B174)*$B$4:$B$810))=0,0,MAX(($B174-MAX(SUMPRODUCT(MAX(($D$4:$D$810=$D174)*($B$4:$B$810&lt;$B174)*$B$4:$B$810)),'Guide &amp; Settings'!$C$50))/7-'Guide &amp; Settings'!$C$48,0)*'Guide &amp; Settings'!$C$49))</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1019.8962263028751</v>
      </c>
      <c r="I175" s="117">
        <f t="shared" si="36"/>
        <v>0.29739776951672858</v>
      </c>
      <c r="J175" s="118">
        <f>IF($D175="",0,IF($F175&lt;2,0,IF($E175="Win",('Guide &amp; Settings'!$C$42/(($F175-1)*COUNTIFS($A$4:$A$810,$A175,$E$4:$E$810,"Win")))*SUMIFS($X$4:$X$810,$A$4:$A$810,$A175,$E$4:$E$810,"Loss"),-('Guide &amp; Settings'!$C$42/($F175-1))*$X175)))</f>
        <v>-5.2376244908786216</v>
      </c>
      <c r="K175" s="118">
        <f>IF($D175="",0,'Guide &amp; Settings'!$C$43*(IF($E175="Win",1,0)-$I175))</f>
        <v>-3.568773234200743</v>
      </c>
      <c r="L175" s="119">
        <f>IF($D175="",0,'Guide &amp; Settings'!$C$44*IF($F175&gt;=3,$F175,0))</f>
        <v>4</v>
      </c>
      <c r="M175" s="118">
        <f t="shared" si="37"/>
        <v>-4.8063977250793641</v>
      </c>
      <c r="N175" s="116">
        <f t="shared" si="38"/>
        <v>1015.0898285777957</v>
      </c>
      <c r="O175" s="115" t="str">
        <f t="shared" si="39"/>
        <v>OK</v>
      </c>
      <c r="P175">
        <f t="shared" si="40"/>
        <v>1029.0524591845447</v>
      </c>
      <c r="Q175">
        <f t="shared" si="41"/>
        <v>0.48682617135179013</v>
      </c>
      <c r="R175">
        <f t="shared" si="42"/>
        <v>0.5714285714285714</v>
      </c>
      <c r="S175">
        <f t="shared" si="43"/>
        <v>1.9214285714285715</v>
      </c>
      <c r="T175" s="83">
        <f t="shared" si="44"/>
        <v>5</v>
      </c>
      <c r="U175" s="120">
        <f>IF($D175="",0,IFERROR(LOOKUP(2,1/(($D$3:D174=$D175)*($C$3:C174=$C175)*($A$3:A174&lt;$A175)),$AB$3:AB174),1000))</f>
        <v>1005.2042619187375</v>
      </c>
      <c r="V175" s="120">
        <f t="shared" si="45"/>
        <v>1012.5502441108063</v>
      </c>
      <c r="W175">
        <f t="shared" si="46"/>
        <v>1018.7857868502912</v>
      </c>
      <c r="X175">
        <f t="shared" si="47"/>
        <v>0.49102729601987077</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IF($D175="","",IF(SUMPRODUCT(MAX(($D$4:$D$810=$D175)*($B$4:$B$810&lt;$B175)*$B$4:$B$810))=0,0,MAX(($B175-MAX(SUMPRODUCT(MAX(($D$4:$D$810=$D175)*($B$4:$B$810&lt;$B175)*$B$4:$B$810)),'Guide &amp; Settings'!$C$50))/7-'Guide &amp; Settings'!$C$48,0)*'Guide &amp; Settings'!$C$49))</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1103.5693917579094</v>
      </c>
      <c r="I176" s="117">
        <f t="shared" si="36"/>
        <v>0.37037037037037035</v>
      </c>
      <c r="J176" s="118">
        <f>IF($D176="",0,IF($F176&lt;2,0,IF($E176="Win",('Guide &amp; Settings'!$C$42/(($F176-1)*COUNTIFS($A$4:$A$810,$A176,$E$4:$E$810,"Win")))*SUMIFS($X$4:$X$810,$A$4:$A$810,$A176,$E$4:$E$810,"Loss"),-('Guide &amp; Settings'!$C$42/($F176-1))*$X176)))</f>
        <v>4.5773926750612803</v>
      </c>
      <c r="K176" s="118">
        <f>IF($D176="",0,'Guide &amp; Settings'!$C$43*(IF($E176="Win",1,0)-$I176))</f>
        <v>7.5555555555555554</v>
      </c>
      <c r="L176" s="119">
        <f>IF($D176="",0,'Guide &amp; Settings'!$C$44*IF($F176&gt;=3,$F176,0))</f>
        <v>4</v>
      </c>
      <c r="M176" s="118">
        <f t="shared" si="37"/>
        <v>16.132948230616837</v>
      </c>
      <c r="N176" s="116">
        <f t="shared" si="38"/>
        <v>1119.7023399885263</v>
      </c>
      <c r="O176" s="115" t="str">
        <f t="shared" si="39"/>
        <v>OK</v>
      </c>
      <c r="P176">
        <f t="shared" si="40"/>
        <v>1048.1598852456514</v>
      </c>
      <c r="Q176">
        <f t="shared" si="41"/>
        <v>0.5790714478551412</v>
      </c>
      <c r="R176">
        <f t="shared" si="42"/>
        <v>0.66666666666666663</v>
      </c>
      <c r="S176">
        <f t="shared" si="43"/>
        <v>1.8</v>
      </c>
      <c r="T176" s="83">
        <f t="shared" si="44"/>
        <v>4</v>
      </c>
      <c r="U176" s="120">
        <f>IF($D176="",0,IFERROR(LOOKUP(2,1/(($D$3:D175=$D176)*($C$3:C175=$C176)*($A$3:A175&lt;$A176)),$AB$3:AB175),1000))</f>
        <v>1031.3105708328824</v>
      </c>
      <c r="V176" s="120">
        <f t="shared" si="45"/>
        <v>1071.4543602356753</v>
      </c>
      <c r="W176">
        <f t="shared" si="46"/>
        <v>1030.4700370399794</v>
      </c>
      <c r="X176">
        <f t="shared" si="47"/>
        <v>0.55870911975354287</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IF($D176="","",IF(SUMPRODUCT(MAX(($D$4:$D$810=$D176)*($B$4:$B$810&lt;$B176)*$B$4:$B$810))=0,0,MAX(($B176-MAX(SUMPRODUCT(MAX(($D$4:$D$810=$D176)*($B$4:$B$810&lt;$B176)*$B$4:$B$810)),'Guide &amp; Settings'!$C$50))/7-'Guide &amp; Settings'!$C$48,0)*'Guide &amp; Settings'!$C$49))</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992.75037873339329</v>
      </c>
      <c r="I177" s="117">
        <f t="shared" si="36"/>
        <v>0.22222222222222224</v>
      </c>
      <c r="J177" s="118">
        <f>IF($D177="",0,IF($F177&lt;2,0,IF($E177="Win",('Guide &amp; Settings'!$C$42/(($F177-1)*COUNTIFS($A$4:$A$810,$A177,$E$4:$E$810,"Win")))*SUMIFS($X$4:$X$810,$A$4:$A$810,$A177,$E$4:$E$810,"Loss"),-('Guide &amp; Settings'!$C$42/($F177-1))*$X177)))</f>
        <v>4.5773926750612803</v>
      </c>
      <c r="K177" s="118">
        <f>IF($D177="",0,'Guide &amp; Settings'!$C$43*(IF($E177="Win",1,0)-$I177))</f>
        <v>9.3333333333333339</v>
      </c>
      <c r="L177" s="119">
        <f>IF($D177="",0,'Guide &amp; Settings'!$C$44*IF($F177&gt;=3,$F177,0))</f>
        <v>4</v>
      </c>
      <c r="M177" s="118">
        <f t="shared" si="37"/>
        <v>17.910726008394615</v>
      </c>
      <c r="N177" s="116">
        <f t="shared" si="38"/>
        <v>1010.6611047417879</v>
      </c>
      <c r="O177" s="115" t="str">
        <f t="shared" si="39"/>
        <v>OK</v>
      </c>
      <c r="P177">
        <f t="shared" si="40"/>
        <v>1048.1598852456514</v>
      </c>
      <c r="Q177">
        <f t="shared" si="41"/>
        <v>0.42092855214485886</v>
      </c>
      <c r="R177">
        <f t="shared" si="42"/>
        <v>0.4</v>
      </c>
      <c r="S177">
        <f t="shared" si="43"/>
        <v>1.8</v>
      </c>
      <c r="T177" s="83">
        <f t="shared" si="44"/>
        <v>3</v>
      </c>
      <c r="U177" s="120">
        <f>IF($D177="",0,IFERROR(LOOKUP(2,1/(($D$3:D176=$D177)*($C$3:C176=$C177)*($A$3:A176&lt;$A177)),$AB$3:AB176),1000))</f>
        <v>984.04460569576747</v>
      </c>
      <c r="V177" s="120">
        <f t="shared" si="45"/>
        <v>989.48571384428362</v>
      </c>
      <c r="W177">
        <f t="shared" si="46"/>
        <v>1030.4700370399794</v>
      </c>
      <c r="X177">
        <f t="shared" si="47"/>
        <v>0.4412908802464573</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IF($D177="","",IF(SUMPRODUCT(MAX(($D$4:$D$810=$D177)*($B$4:$B$810&lt;$B177)*$B$4:$B$810))=0,0,MAX(($B177-MAX(SUMPRODUCT(MAX(($D$4:$D$810=$D177)*($B$4:$B$810&lt;$B177)*$B$4:$B$810)),'Guide &amp; Settings'!$C$50))/7-'Guide &amp; Settings'!$C$48,0)*'Guide &amp; Settings'!$C$49))</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948.03610321390011</v>
      </c>
      <c r="I178" s="117">
        <f t="shared" si="36"/>
        <v>0.22222222222222224</v>
      </c>
      <c r="J178" s="118">
        <f>IF($D178="",0,IF($F178&lt;2,0,IF($E178="Win",('Guide &amp; Settings'!$C$42/(($F178-1)*COUNTIFS($A$4:$A$810,$A178,$E$4:$E$810,"Win")))*SUMIFS($X$4:$X$810,$A$4:$A$810,$A178,$E$4:$E$810,"Loss"),-('Guide &amp; Settings'!$C$42/($F178-1))*$X178)))</f>
        <v>-4.3488158857218915</v>
      </c>
      <c r="K178" s="118">
        <f>IF($D178="",0,'Guide &amp; Settings'!$C$43*(IF($E178="Win",1,0)-$I178))</f>
        <v>-2.666666666666667</v>
      </c>
      <c r="L178" s="119">
        <f>IF($D178="",0,'Guide &amp; Settings'!$C$44*IF($F178&gt;=3,$F178,0))</f>
        <v>4</v>
      </c>
      <c r="M178" s="118">
        <f t="shared" si="37"/>
        <v>-3.0154825523885584</v>
      </c>
      <c r="N178" s="116">
        <f t="shared" si="38"/>
        <v>945.02062066151154</v>
      </c>
      <c r="O178" s="115" t="str">
        <f t="shared" si="39"/>
        <v>OK</v>
      </c>
      <c r="P178">
        <f t="shared" si="40"/>
        <v>1048.1598852456514</v>
      </c>
      <c r="Q178">
        <f t="shared" si="41"/>
        <v>0.35977085880836951</v>
      </c>
      <c r="R178">
        <f t="shared" si="42"/>
        <v>0.4</v>
      </c>
      <c r="S178">
        <f t="shared" si="43"/>
        <v>1.8</v>
      </c>
      <c r="T178" s="83">
        <f t="shared" si="44"/>
        <v>3</v>
      </c>
      <c r="U178" s="120">
        <f>IF($D178="",0,IFERROR(LOOKUP(2,1/(($D$3:D177=$D178)*($C$3:C177=$C178)*($A$3:A177&lt;$A178)),$AB$3:AB177),1000))</f>
        <v>994.84836113778465</v>
      </c>
      <c r="V178" s="120">
        <f t="shared" si="45"/>
        <v>965.59069993535672</v>
      </c>
      <c r="W178">
        <f t="shared" si="46"/>
        <v>1030.4700370399794</v>
      </c>
      <c r="X178">
        <f t="shared" si="47"/>
        <v>0.40770148928642735</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IF($D178="","",IF(SUMPRODUCT(MAX(($D$4:$D$810=$D178)*($B$4:$B$810&lt;$B178)*$B$4:$B$810))=0,0,MAX(($B178-MAX(SUMPRODUCT(MAX(($D$4:$D$810=$D178)*($B$4:$B$810&lt;$B178)*$B$4:$B$810)),'Guide &amp; Settings'!$C$50))/7-'Guide &amp; Settings'!$C$48,0)*'Guide &amp; Settings'!$C$49))</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996.23359941769172</v>
      </c>
      <c r="I179" s="117">
        <f t="shared" si="36"/>
        <v>0.18518518518518517</v>
      </c>
      <c r="J179" s="118">
        <f>IF($D179="",0,IF($F179&lt;2,0,IF($E179="Win",('Guide &amp; Settings'!$C$42/(($F179-1)*COUNTIFS($A$4:$A$810,$A179,$E$4:$E$810,"Win")))*SUMIFS($X$4:$X$810,$A$4:$A$810,$A179,$E$4:$E$810,"Loss"),-('Guide &amp; Settings'!$C$42/($F179-1))*$X179)))</f>
        <v>-4.8059694644006701</v>
      </c>
      <c r="K179" s="118">
        <f>IF($D179="",0,'Guide &amp; Settings'!$C$43*(IF($E179="Win",1,0)-$I179))</f>
        <v>-2.2222222222222223</v>
      </c>
      <c r="L179" s="119">
        <f>IF($D179="",0,'Guide &amp; Settings'!$C$44*IF($F179&gt;=3,$F179,0))</f>
        <v>4</v>
      </c>
      <c r="M179" s="118">
        <f t="shared" si="37"/>
        <v>-3.0281916866228924</v>
      </c>
      <c r="N179" s="116">
        <f t="shared" si="38"/>
        <v>993.20540773106882</v>
      </c>
      <c r="O179" s="115" t="str">
        <f t="shared" si="39"/>
        <v>OK</v>
      </c>
      <c r="P179">
        <f t="shared" si="40"/>
        <v>1048.1598852456514</v>
      </c>
      <c r="Q179">
        <f t="shared" si="41"/>
        <v>0.42582354155763658</v>
      </c>
      <c r="R179">
        <f t="shared" si="42"/>
        <v>0.33333333333333331</v>
      </c>
      <c r="S179">
        <f t="shared" si="43"/>
        <v>1.8</v>
      </c>
      <c r="T179" s="83">
        <f t="shared" si="44"/>
        <v>1</v>
      </c>
      <c r="U179" s="120">
        <f>IF($D179="",0,IFERROR(LOOKUP(2,1/(($D$3:D178=$D179)*($C$3:C178=$C179)*($A$3:A178&lt;$A179)),$AB$3:AB178),1000))</f>
        <v>994.84836113778465</v>
      </c>
      <c r="V179" s="120">
        <f t="shared" si="45"/>
        <v>996.00272637104058</v>
      </c>
      <c r="W179">
        <f t="shared" si="46"/>
        <v>1030.4700370399794</v>
      </c>
      <c r="X179">
        <f t="shared" si="47"/>
        <v>0.45055963728756282</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IF($D179="","",IF(SUMPRODUCT(MAX(($D$4:$D$810=$D179)*($B$4:$B$810&lt;$B179)*$B$4:$B$810))=0,0,MAX(($B179-MAX(SUMPRODUCT(MAX(($D$4:$D$810=$D179)*($B$4:$B$810&lt;$B179)*$B$4:$B$810)),'Guide &amp; Settings'!$C$50))/7-'Guide &amp; Settings'!$C$48,0)*'Guide &amp; Settings'!$C$49))</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1119.7023399885263</v>
      </c>
      <c r="I180" s="117">
        <f t="shared" si="36"/>
        <v>0.39920159680638723</v>
      </c>
      <c r="J180" s="118">
        <f>IF($D180="",0,IF($F180&lt;2,0,IF($E180="Win",('Guide &amp; Settings'!$C$42/(($F180-1)*COUNTIFS($A$4:$A$810,$A180,$E$4:$E$810,"Win")))*SUMIFS($X$4:$X$810,$A$4:$A$810,$A180,$E$4:$E$810,"Loss"),-('Guide &amp; Settings'!$C$42/($F180-1))*$X180)))</f>
        <v>4.3646402279410648</v>
      </c>
      <c r="K180" s="118">
        <f>IF($D180="",0,'Guide &amp; Settings'!$C$43*(IF($E180="Win",1,0)-$I180))</f>
        <v>7.2095808383233528</v>
      </c>
      <c r="L180" s="119">
        <f>IF($D180="",0,'Guide &amp; Settings'!$C$44*IF($F180&gt;=3,$F180,0))</f>
        <v>4</v>
      </c>
      <c r="M180" s="118">
        <f t="shared" si="37"/>
        <v>15.574221066264418</v>
      </c>
      <c r="N180" s="116">
        <f t="shared" si="38"/>
        <v>1135.2765610547908</v>
      </c>
      <c r="O180" s="115" t="str">
        <f t="shared" si="39"/>
        <v>OK</v>
      </c>
      <c r="P180">
        <f t="shared" si="40"/>
        <v>1065.1817223651572</v>
      </c>
      <c r="Q180">
        <f t="shared" si="41"/>
        <v>0.5778237238972187</v>
      </c>
      <c r="R180">
        <f t="shared" si="42"/>
        <v>0.7142857142857143</v>
      </c>
      <c r="S180">
        <f t="shared" si="43"/>
        <v>1.7892857142857144</v>
      </c>
      <c r="T180" s="83">
        <f t="shared" si="44"/>
        <v>5</v>
      </c>
      <c r="U180" s="120">
        <f>IF($D180="",0,IFERROR(LOOKUP(2,1/(($D$3:D179=$D180)*($C$3:C179=$C180)*($A$3:A179&lt;$A180)),$AB$3:AB179),1000))</f>
        <v>1036.4470577099905</v>
      </c>
      <c r="V180" s="120">
        <f t="shared" si="45"/>
        <v>1078.0746988492583</v>
      </c>
      <c r="W180">
        <f t="shared" si="46"/>
        <v>1039.5945657579871</v>
      </c>
      <c r="X180">
        <f t="shared" si="47"/>
        <v>0.5551520377205128</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IF($D180="","",IF(SUMPRODUCT(MAX(($D$4:$D$810=$D180)*($B$4:$B$810&lt;$B180)*$B$4:$B$810))=0,0,MAX(($B180-MAX(SUMPRODUCT(MAX(($D$4:$D$810=$D180)*($B$4:$B$810&lt;$B180)*$B$4:$B$810)),'Guide &amp; Settings'!$C$50))/7-'Guide &amp; Settings'!$C$48,0)*'Guide &amp; Settings'!$C$49))</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1010.6611047417879</v>
      </c>
      <c r="I181" s="117">
        <f t="shared" si="36"/>
        <v>0.27944111776447106</v>
      </c>
      <c r="J181" s="118">
        <f>IF($D181="",0,IF($F181&lt;2,0,IF($E181="Win",('Guide &amp; Settings'!$C$42/(($F181-1)*COUNTIFS($A$4:$A$810,$A181,$E$4:$E$810,"Win")))*SUMIFS($X$4:$X$810,$A$4:$A$810,$A181,$E$4:$E$810,"Loss"),-('Guide &amp; Settings'!$C$42/($F181-1))*$X181)))</f>
        <v>4.3646402279410648</v>
      </c>
      <c r="K181" s="118">
        <f>IF($D181="",0,'Guide &amp; Settings'!$C$43*(IF($E181="Win",1,0)-$I181))</f>
        <v>8.6467065868263475</v>
      </c>
      <c r="L181" s="119">
        <f>IF($D181="",0,'Guide &amp; Settings'!$C$44*IF($F181&gt;=3,$F181,0))</f>
        <v>4</v>
      </c>
      <c r="M181" s="118">
        <f t="shared" si="37"/>
        <v>17.011346814767414</v>
      </c>
      <c r="N181" s="116">
        <f t="shared" si="38"/>
        <v>1027.6724515565552</v>
      </c>
      <c r="O181" s="115" t="str">
        <f t="shared" si="39"/>
        <v>OK</v>
      </c>
      <c r="P181">
        <f t="shared" si="40"/>
        <v>1065.1817223651572</v>
      </c>
      <c r="Q181">
        <f t="shared" si="41"/>
        <v>0.42217627610278124</v>
      </c>
      <c r="R181">
        <f t="shared" si="42"/>
        <v>0.5</v>
      </c>
      <c r="S181">
        <f t="shared" si="43"/>
        <v>1.7892857142857144</v>
      </c>
      <c r="T181" s="83">
        <f t="shared" si="44"/>
        <v>4</v>
      </c>
      <c r="U181" s="120">
        <f>IF($D181="",0,IFERROR(LOOKUP(2,1/(($D$3:D180=$D181)*($C$3:C180=$C181)*($A$3:A180&lt;$A181)),$AB$3:AB180),1000))</f>
        <v>989.18109257287563</v>
      </c>
      <c r="V181" s="120">
        <f t="shared" si="45"/>
        <v>1001.1144326667157</v>
      </c>
      <c r="W181">
        <f t="shared" si="46"/>
        <v>1039.5945657579871</v>
      </c>
      <c r="X181">
        <f t="shared" si="47"/>
        <v>0.44484796227948703</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IF($D181="","",IF(SUMPRODUCT(MAX(($D$4:$D$810=$D181)*($B$4:$B$810&lt;$B181)*$B$4:$B$810))=0,0,MAX(($B181-MAX(SUMPRODUCT(MAX(($D$4:$D$810=$D181)*($B$4:$B$810&lt;$B181)*$B$4:$B$810)),'Guide &amp; Settings'!$C$50))/7-'Guide &amp; Settings'!$C$48,0)*'Guide &amp; Settings'!$C$49))</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909.74082601830435</v>
      </c>
      <c r="I182" s="117">
        <f t="shared" si="36"/>
        <v>0.20958083832335328</v>
      </c>
      <c r="J182" s="118">
        <f>IF($D182="",0,IF($F182&lt;2,0,IF($E182="Win",('Guide &amp; Settings'!$C$42/(($F182-1)*COUNTIFS($A$4:$A$810,$A182,$E$4:$E$810,"Win")))*SUMIFS($X$4:$X$810,$A$4:$A$810,$A182,$E$4:$E$810,"Loss"),-('Guide &amp; Settings'!$C$42/($F182-1))*$X182)))</f>
        <v>-3.9798782393524785</v>
      </c>
      <c r="K182" s="118">
        <f>IF($D182="",0,'Guide &amp; Settings'!$C$43*(IF($E182="Win",1,0)-$I182))</f>
        <v>-2.5149700598802394</v>
      </c>
      <c r="L182" s="119">
        <f>IF($D182="",0,'Guide &amp; Settings'!$C$44*IF($F182&gt;=3,$F182,0))</f>
        <v>4</v>
      </c>
      <c r="M182" s="118">
        <f t="shared" si="37"/>
        <v>-2.4948482992327179</v>
      </c>
      <c r="N182" s="116">
        <f t="shared" si="38"/>
        <v>907.24597771907167</v>
      </c>
      <c r="O182" s="115" t="str">
        <f t="shared" si="39"/>
        <v>OK</v>
      </c>
      <c r="P182">
        <f t="shared" si="40"/>
        <v>1065.1817223651572</v>
      </c>
      <c r="Q182">
        <f t="shared" si="41"/>
        <v>0.29012238578581612</v>
      </c>
      <c r="R182">
        <f t="shared" si="42"/>
        <v>0.375</v>
      </c>
      <c r="S182">
        <f t="shared" si="43"/>
        <v>1.7892857142857144</v>
      </c>
      <c r="T182" s="83">
        <f t="shared" si="44"/>
        <v>6</v>
      </c>
      <c r="U182" s="120">
        <f>IF($D182="",0,IFERROR(LOOKUP(2,1/(($D$3:D181=$D182)*($C$3:C181=$C182)*($A$3:A181&lt;$A182)),$AB$3:AB181),1000))</f>
        <v>982.55096461266169</v>
      </c>
      <c r="V182" s="120">
        <f t="shared" si="45"/>
        <v>949.45544706977205</v>
      </c>
      <c r="W182">
        <f t="shared" si="46"/>
        <v>1039.5945657579871</v>
      </c>
      <c r="X182">
        <f t="shared" si="47"/>
        <v>0.37311358493929486</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IF($D182="","",IF(SUMPRODUCT(MAX(($D$4:$D$810=$D182)*($B$4:$B$810&lt;$B182)*$B$4:$B$810))=0,0,MAX(($B182-MAX(SUMPRODUCT(MAX(($D$4:$D$810=$D182)*($B$4:$B$810&lt;$B182)*$B$4:$B$810)),'Guide &amp; Settings'!$C$50))/7-'Guide &amp; Settings'!$C$48,0)*'Guide &amp; Settings'!$C$49))</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1023.7594026829813</v>
      </c>
      <c r="I183" s="117">
        <f t="shared" si="36"/>
        <v>0.11177644710578842</v>
      </c>
      <c r="J183" s="118">
        <f>IF($D183="",0,IF($F183&lt;2,0,IF($E183="Win",('Guide &amp; Settings'!$C$42/(($F183-1)*COUNTIFS($A$4:$A$810,$A183,$E$4:$E$810,"Win")))*SUMIFS($X$4:$X$810,$A$4:$A$810,$A183,$E$4:$E$810,"Loss"),-('Guide &amp; Settings'!$C$42/($F183-1))*$X183)))</f>
        <v>-4.749402216529651</v>
      </c>
      <c r="K183" s="118">
        <f>IF($D183="",0,'Guide &amp; Settings'!$C$43*(IF($E183="Win",1,0)-$I183))</f>
        <v>-1.341317365269461</v>
      </c>
      <c r="L183" s="119">
        <f>IF($D183="",0,'Guide &amp; Settings'!$C$44*IF($F183&gt;=3,$F183,0))</f>
        <v>4</v>
      </c>
      <c r="M183" s="118">
        <f t="shared" si="37"/>
        <v>-2.090719581799112</v>
      </c>
      <c r="N183" s="116">
        <f t="shared" si="38"/>
        <v>1021.6686831011822</v>
      </c>
      <c r="O183" s="115" t="str">
        <f t="shared" si="39"/>
        <v>OK</v>
      </c>
      <c r="P183">
        <f t="shared" si="40"/>
        <v>1065.1817223651572</v>
      </c>
      <c r="Q183">
        <f t="shared" si="41"/>
        <v>0.44066933532027314</v>
      </c>
      <c r="R183">
        <f t="shared" si="42"/>
        <v>0.2</v>
      </c>
      <c r="S183">
        <f t="shared" si="43"/>
        <v>1.7892857142857144</v>
      </c>
      <c r="T183" s="83">
        <f t="shared" si="44"/>
        <v>3</v>
      </c>
      <c r="U183" s="120">
        <f>IF($D183="",0,IFERROR(LOOKUP(2,1/(($D$3:D182=$D183)*($C$3:C182=$C183)*($A$3:A182&lt;$A183)),$AB$3:AB182),1000))</f>
        <v>964.13900736852213</v>
      </c>
      <c r="V183" s="120">
        <f t="shared" si="45"/>
        <v>1001.4017544400591</v>
      </c>
      <c r="W183">
        <f t="shared" si="46"/>
        <v>1039.5945657579871</v>
      </c>
      <c r="X183">
        <f t="shared" si="47"/>
        <v>0.44525645779965478</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IF($D183="","",IF(SUMPRODUCT(MAX(($D$4:$D$810=$D183)*($B$4:$B$810&lt;$B183)*$B$4:$B$810))=0,0,MAX(($B183-MAX(SUMPRODUCT(MAX(($D$4:$D$810=$D183)*($B$4:$B$810&lt;$B183)*$B$4:$B$810)),'Guide &amp; Settings'!$C$50))/7-'Guide &amp; Settings'!$C$48,0)*'Guide &amp; Settings'!$C$49))</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1008.4472093066528</v>
      </c>
      <c r="I184" s="117">
        <f t="shared" si="36"/>
        <v>0.247787610619469</v>
      </c>
      <c r="J184" s="118">
        <f>IF($D184="",0,IF($F184&lt;2,0,IF($E184="Win",('Guide &amp; Settings'!$C$42/(($F184-1)*COUNTIFS($A$4:$A$810,$A184,$E$4:$E$810,"Win")))*SUMIFS($X$4:$X$810,$A$4:$A$810,$A184,$E$4:$E$810,"Loss"),-('Guide &amp; Settings'!$C$42/($F184-1))*$X184)))</f>
        <v>5.8838570941683566</v>
      </c>
      <c r="K184" s="118">
        <f>IF($D184="",0,'Guide &amp; Settings'!$C$43*(IF($E184="Win",1,0)-$I184))</f>
        <v>9.0265486725663724</v>
      </c>
      <c r="L184" s="119">
        <f>IF($D184="",0,'Guide &amp; Settings'!$C$44*IF($F184&gt;=3,$F184,0))</f>
        <v>4</v>
      </c>
      <c r="M184" s="118">
        <f t="shared" si="37"/>
        <v>18.91040576673473</v>
      </c>
      <c r="N184" s="116">
        <f t="shared" si="38"/>
        <v>1027.3576150733875</v>
      </c>
      <c r="O184" s="115" t="str">
        <f t="shared" si="39"/>
        <v>OK</v>
      </c>
      <c r="P184">
        <f t="shared" si="40"/>
        <v>1011.7652950584343</v>
      </c>
      <c r="Q184">
        <f t="shared" si="41"/>
        <v>0.49522503592531653</v>
      </c>
      <c r="R184">
        <f t="shared" si="42"/>
        <v>0.6</v>
      </c>
      <c r="S184">
        <f t="shared" si="43"/>
        <v>2.4214285714285717</v>
      </c>
      <c r="T184" s="83">
        <f t="shared" si="44"/>
        <v>3</v>
      </c>
      <c r="U184" s="120">
        <f>IF($D184="",0,IFERROR(LOOKUP(2,1/(($D$3:D183=$D184)*($C$3:C183=$C184)*($A$3:A183&lt;$A184)),$AB$3:AB183),1000))</f>
        <v>1015.7539990177011</v>
      </c>
      <c r="V184" s="120">
        <f t="shared" si="45"/>
        <v>1011.1872554482959</v>
      </c>
      <c r="W184">
        <f t="shared" si="46"/>
        <v>1010.98035317218</v>
      </c>
      <c r="X184">
        <f t="shared" si="47"/>
        <v>0.50029775627523365</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IF($D184="","",IF(SUMPRODUCT(MAX(($D$4:$D$810=$D184)*($B$4:$B$810&lt;$B184)*$B$4:$B$810))=0,0,MAX(($B184-MAX(SUMPRODUCT(MAX(($D$4:$D$810=$D184)*($B$4:$B$810&lt;$B184)*$B$4:$B$810)),'Guide &amp; Settings'!$C$50))/7-'Guide &amp; Settings'!$C$48,0)*'Guide &amp; Settings'!$C$49))</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1015.0833808102159</v>
      </c>
      <c r="I185" s="117">
        <f t="shared" si="36"/>
        <v>0.20648967551622416</v>
      </c>
      <c r="J185" s="118">
        <f>IF($D185="",0,IF($F185&lt;2,0,IF($E185="Win",('Guide &amp; Settings'!$C$42/(($F185-1)*COUNTIFS($A$4:$A$810,$A185,$E$4:$E$810,"Win")))*SUMIFS($X$4:$X$810,$A$4:$A$810,$A185,$E$4:$E$810,"Loss"),-('Guide &amp; Settings'!$C$42/($F185-1))*$X185)))</f>
        <v>5.8838570941683566</v>
      </c>
      <c r="K185" s="118">
        <f>IF($D185="",0,'Guide &amp; Settings'!$C$43*(IF($E185="Win",1,0)-$I185))</f>
        <v>9.5221238938053094</v>
      </c>
      <c r="L185" s="119">
        <f>IF($D185="",0,'Guide &amp; Settings'!$C$44*IF($F185&gt;=3,$F185,0))</f>
        <v>4</v>
      </c>
      <c r="M185" s="118">
        <f t="shared" si="37"/>
        <v>19.405980987973667</v>
      </c>
      <c r="N185" s="116">
        <f t="shared" si="38"/>
        <v>1034.4893617981895</v>
      </c>
      <c r="O185" s="115" t="str">
        <f t="shared" si="39"/>
        <v>OK</v>
      </c>
      <c r="P185">
        <f t="shared" si="40"/>
        <v>1011.7652950584343</v>
      </c>
      <c r="Q185">
        <f t="shared" si="41"/>
        <v>0.5047749640746837</v>
      </c>
      <c r="R185">
        <f t="shared" si="42"/>
        <v>0.5</v>
      </c>
      <c r="S185">
        <f t="shared" si="43"/>
        <v>2.4214285714285717</v>
      </c>
      <c r="T185" s="83">
        <f t="shared" si="44"/>
        <v>2</v>
      </c>
      <c r="U185" s="120">
        <f>IF($D185="",0,IFERROR(LOOKUP(2,1/(($D$3:D184=$D185)*($C$3:C184=$C185)*($A$3:A184&lt;$A185)),$AB$3:AB184),1000))</f>
        <v>999.99862611068431</v>
      </c>
      <c r="V185" s="120">
        <f t="shared" si="45"/>
        <v>1010.773450896064</v>
      </c>
      <c r="W185">
        <f t="shared" si="46"/>
        <v>1010.98035317218</v>
      </c>
      <c r="X185">
        <f t="shared" si="47"/>
        <v>0.49970224372476624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IF($D185="","",IF(SUMPRODUCT(MAX(($D$4:$D$810=$D185)*($B$4:$B$810&lt;$B185)*$B$4:$B$810))=0,0,MAX(($B185-MAX(SUMPRODUCT(MAX(($D$4:$D$810=$D185)*($B$4:$B$810&lt;$B185)*$B$4:$B$810)),'Guide &amp; Settings'!$C$50))/7-'Guide &amp; Settings'!$C$48,0)*'Guide &amp; Settings'!$C$49))</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1135.2765610547908</v>
      </c>
      <c r="I186" s="117">
        <f t="shared" si="36"/>
        <v>0.30973451327433627</v>
      </c>
      <c r="J186" s="118">
        <f>IF($D186="",0,IF($F186&lt;2,0,IF($E186="Win",('Guide &amp; Settings'!$C$42/(($F186-1)*COUNTIFS($A$4:$A$810,$A186,$E$4:$E$810,"Win")))*SUMIFS($X$4:$X$810,$A$4:$A$810,$A186,$E$4:$E$810,"Loss"),-('Guide &amp; Settings'!$C$42/($F186-1))*$X186)))</f>
        <v>-6.4372720643875461</v>
      </c>
      <c r="K186" s="118">
        <f>IF($D186="",0,'Guide &amp; Settings'!$C$43*(IF($E186="Win",1,0)-$I186))</f>
        <v>-3.716814159292035</v>
      </c>
      <c r="L186" s="119">
        <f>IF($D186="",0,'Guide &amp; Settings'!$C$44*IF($F186&gt;=3,$F186,0))</f>
        <v>4</v>
      </c>
      <c r="M186" s="118">
        <f t="shared" si="37"/>
        <v>-6.154086223679581</v>
      </c>
      <c r="N186" s="116">
        <f t="shared" si="38"/>
        <v>1129.1224748311113</v>
      </c>
      <c r="O186" s="115" t="str">
        <f t="shared" si="39"/>
        <v>OK</v>
      </c>
      <c r="P186">
        <f t="shared" si="40"/>
        <v>1011.7652950584343</v>
      </c>
      <c r="Q186">
        <f t="shared" si="41"/>
        <v>0.6706194348713066</v>
      </c>
      <c r="R186">
        <f t="shared" si="42"/>
        <v>0.75</v>
      </c>
      <c r="S186">
        <f t="shared" si="43"/>
        <v>2.4214285714285717</v>
      </c>
      <c r="T186" s="83">
        <f t="shared" si="44"/>
        <v>6</v>
      </c>
      <c r="U186" s="120">
        <f>IF($D186="",0,IFERROR(LOOKUP(2,1/(($D$3:D185=$D186)*($C$3:C185=$C186)*($A$3:A185&lt;$A186)),$AB$3:AB185),1000))</f>
        <v>1041.1775290035487</v>
      </c>
      <c r="V186" s="120">
        <f t="shared" si="45"/>
        <v>1083.9498162995678</v>
      </c>
      <c r="W186">
        <f t="shared" si="46"/>
        <v>1010.98035317218</v>
      </c>
      <c r="X186">
        <f t="shared" si="47"/>
        <v>0.60349425603633244</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IF($D186="","",IF(SUMPRODUCT(MAX(($D$4:$D$810=$D186)*($B$4:$B$810&lt;$B186)*$B$4:$B$810))=0,0,MAX(($B186-MAX(SUMPRODUCT(MAX(($D$4:$D$810=$D186)*($B$4:$B$810&lt;$B186)*$B$4:$B$810)),'Guide &amp; Settings'!$C$50))/7-'Guide &amp; Settings'!$C$48,0)*'Guide &amp; Settings'!$C$49))</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1027.6724515565552</v>
      </c>
      <c r="I187" s="117">
        <f t="shared" si="36"/>
        <v>0.23598820058997047</v>
      </c>
      <c r="J187" s="118">
        <f>IF($D187="",0,IF($F187&lt;2,0,IF($E187="Win",('Guide &amp; Settings'!$C$42/(($F187-1)*COUNTIFS($A$4:$A$810,$A187,$E$4:$E$810,"Win")))*SUMIFS($X$4:$X$810,$A$4:$A$810,$A187,$E$4:$E$810,"Loss"),-('Guide &amp; Settings'!$C$42/($F187-1))*$X187)))</f>
        <v>-5.3304421239491679</v>
      </c>
      <c r="K187" s="118">
        <f>IF($D187="",0,'Guide &amp; Settings'!$C$43*(IF($E187="Win",1,0)-$I187))</f>
        <v>-2.8318584070796455</v>
      </c>
      <c r="L187" s="119">
        <f>IF($D187="",0,'Guide &amp; Settings'!$C$44*IF($F187&gt;=3,$F187,0))</f>
        <v>4</v>
      </c>
      <c r="M187" s="118">
        <f t="shared" si="37"/>
        <v>-4.1623005310288139</v>
      </c>
      <c r="N187" s="116">
        <f t="shared" si="38"/>
        <v>1023.5101510255264</v>
      </c>
      <c r="O187" s="115" t="str">
        <f t="shared" si="39"/>
        <v>OK</v>
      </c>
      <c r="P187">
        <f t="shared" si="40"/>
        <v>1011.7652950584343</v>
      </c>
      <c r="Q187">
        <f t="shared" si="41"/>
        <v>0.52287625608135213</v>
      </c>
      <c r="R187">
        <f t="shared" si="42"/>
        <v>0.5714285714285714</v>
      </c>
      <c r="S187">
        <f t="shared" si="43"/>
        <v>2.4214285714285717</v>
      </c>
      <c r="T187" s="83">
        <f t="shared" si="44"/>
        <v>5</v>
      </c>
      <c r="U187" s="120">
        <f>IF($D187="",0,IFERROR(LOOKUP(2,1/(($D$3:D186=$D187)*($C$3:C186=$C187)*($A$3:A186&lt;$A187)),$AB$3:AB186),1000))</f>
        <v>993.91156386643377</v>
      </c>
      <c r="V187" s="120">
        <f t="shared" si="45"/>
        <v>1010.7920077114945</v>
      </c>
      <c r="W187">
        <f t="shared" si="46"/>
        <v>1010.98035317218</v>
      </c>
      <c r="X187">
        <f t="shared" si="47"/>
        <v>0.49972894912023452</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IF($D187="","",IF(SUMPRODUCT(MAX(($D$4:$D$810=$D187)*($B$4:$B$810&lt;$B187)*$B$4:$B$810))=0,0,MAX(($B187-MAX(SUMPRODUCT(MAX(($D$4:$D$810=$D187)*($B$4:$B$810&lt;$B187)*$B$4:$B$810)),'Guide &amp; Settings'!$C$50))/7-'Guide &amp; Settings'!$C$48,0)*'Guide &amp; Settings'!$C$49))</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976.13396936053971</v>
      </c>
      <c r="I188" s="117">
        <f t="shared" si="36"/>
        <v>0.18028846153846151</v>
      </c>
      <c r="J188" s="118">
        <f>IF($D188="",0,IF($F188&lt;2,0,IF($E188="Win",('Guide &amp; Settings'!$C$42/(($F188-1)*COUNTIFS($A$4:$A$810,$A188,$E$4:$E$810,"Win")))*SUMIFS($X$4:$X$810,$A$4:$A$810,$A188,$E$4:$E$810,"Loss"),-('Guide &amp; Settings'!$C$42/($F188-1))*$X188)))</f>
        <v>5.2598655984543585</v>
      </c>
      <c r="K188" s="118">
        <f>IF($D188="",0,'Guide &amp; Settings'!$C$43*(IF($E188="Win",1,0)-$I188))</f>
        <v>9.8365384615384635</v>
      </c>
      <c r="L188" s="119">
        <f>IF($D188="",0,'Guide &amp; Settings'!$C$44*IF($F188&gt;=3,$F188,0))</f>
        <v>4</v>
      </c>
      <c r="M188" s="118">
        <f t="shared" si="37"/>
        <v>19.096404059992821</v>
      </c>
      <c r="N188" s="116">
        <f t="shared" si="38"/>
        <v>995.23037342053249</v>
      </c>
      <c r="O188" s="115" t="str">
        <f t="shared" si="39"/>
        <v>OK</v>
      </c>
      <c r="P188">
        <f t="shared" si="40"/>
        <v>1049.6730863794114</v>
      </c>
      <c r="Q188">
        <f t="shared" si="41"/>
        <v>0.39572133664674414</v>
      </c>
      <c r="R188">
        <f t="shared" si="42"/>
        <v>0.45454545454545453</v>
      </c>
      <c r="S188">
        <f t="shared" si="43"/>
        <v>2.5212121212121215</v>
      </c>
      <c r="T188" s="83">
        <f t="shared" si="44"/>
        <v>9</v>
      </c>
      <c r="U188" s="120">
        <f>IF($D188="",0,IFERROR(LOOKUP(2,1/(($D$3:D187=$D188)*($C$3:C187=$C188)*($A$3:A187&lt;$A188)),$AB$3:AB187),1000))</f>
        <v>964.51557411409249</v>
      </c>
      <c r="V188" s="120">
        <f t="shared" si="45"/>
        <v>968.66500098782376</v>
      </c>
      <c r="W188">
        <f t="shared" si="46"/>
        <v>1028.909899463682</v>
      </c>
      <c r="X188">
        <f t="shared" si="47"/>
        <v>0.41415923067895616</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IF($D188="","",IF(SUMPRODUCT(MAX(($D$4:$D$810=$D188)*($B$4:$B$810&lt;$B188)*$B$4:$B$810))=0,0,MAX(($B188-MAX(SUMPRODUCT(MAX(($D$4:$D$810=$D188)*($B$4:$B$810&lt;$B188)*$B$4:$B$810)),'Guide &amp; Settings'!$C$50))/7-'Guide &amp; Settings'!$C$48,0)*'Guide &amp; Settings'!$C$49))</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1123.212203398283</v>
      </c>
      <c r="I189" s="117">
        <f t="shared" si="36"/>
        <v>0.31730769230769229</v>
      </c>
      <c r="J189" s="118">
        <f>IF($D189="",0,IF($F189&lt;2,0,IF($E189="Win",('Guide &amp; Settings'!$C$42/(($F189-1)*COUNTIFS($A$4:$A$810,$A189,$E$4:$E$810,"Win")))*SUMIFS($X$4:$X$810,$A$4:$A$810,$A189,$E$4:$E$810,"Loss"),-('Guide &amp; Settings'!$C$42/($F189-1))*$X189)))</f>
        <v>5.2598655984543585</v>
      </c>
      <c r="K189" s="118">
        <f>IF($D189="",0,'Guide &amp; Settings'!$C$43*(IF($E189="Win",1,0)-$I189))</f>
        <v>8.1923076923076934</v>
      </c>
      <c r="L189" s="119">
        <f>IF($D189="",0,'Guide &amp; Settings'!$C$44*IF($F189&gt;=3,$F189,0))</f>
        <v>4</v>
      </c>
      <c r="M189" s="118">
        <f t="shared" si="37"/>
        <v>17.452173290762051</v>
      </c>
      <c r="N189" s="116">
        <f t="shared" si="38"/>
        <v>1140.664376689045</v>
      </c>
      <c r="O189" s="115" t="str">
        <f t="shared" si="39"/>
        <v>OK</v>
      </c>
      <c r="P189">
        <f t="shared" si="40"/>
        <v>1049.6730863794114</v>
      </c>
      <c r="Q189">
        <f t="shared" si="41"/>
        <v>0.60427866335325575</v>
      </c>
      <c r="R189">
        <f t="shared" si="42"/>
        <v>0.8</v>
      </c>
      <c r="S189">
        <f t="shared" si="43"/>
        <v>2.5212121212121215</v>
      </c>
      <c r="T189" s="83">
        <f t="shared" si="44"/>
        <v>8</v>
      </c>
      <c r="U189" s="120">
        <f>IF($D189="",0,IFERROR(LOOKUP(2,1/(($D$3:D188=$D189)*($C$3:C188=$C189)*($A$3:A188&lt;$A189)),$AB$3:AB188),1000))</f>
        <v>1067.8689195278262</v>
      </c>
      <c r="V189" s="120">
        <f t="shared" si="45"/>
        <v>1089.1547979395402</v>
      </c>
      <c r="W189">
        <f t="shared" si="46"/>
        <v>1028.909899463682</v>
      </c>
      <c r="X189">
        <f t="shared" si="47"/>
        <v>0.5858407693210439</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IF($D189="","",IF(SUMPRODUCT(MAX(($D$4:$D$810=$D189)*($B$4:$B$810&lt;$B189)*$B$4:$B$810))=0,0,MAX(($B189-MAX(SUMPRODUCT(MAX(($D$4:$D$810=$D189)*($B$4:$B$810&lt;$B189)*$B$4:$B$810)),'Guide &amp; Settings'!$C$50))/7-'Guide &amp; Settings'!$C$48,0)*'Guide &amp; Settings'!$C$49))</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1027.3576150733875</v>
      </c>
      <c r="I190" s="117">
        <f t="shared" si="36"/>
        <v>0.26442307692307687</v>
      </c>
      <c r="J190" s="118">
        <f>IF($D190="",0,IF($F190&lt;2,0,IF($E190="Win",('Guide &amp; Settings'!$C$42/(($F190-1)*COUNTIFS($A$4:$A$810,$A190,$E$4:$E$810,"Win")))*SUMIFS($X$4:$X$810,$A$4:$A$810,$A190,$E$4:$E$810,"Loss"),-('Guide &amp; Settings'!$C$42/($F190-1))*$X190)))</f>
        <v>-5.2677369683220068</v>
      </c>
      <c r="K190" s="118">
        <f>IF($D190="",0,'Guide &amp; Settings'!$C$43*(IF($E190="Win",1,0)-$I190))</f>
        <v>-3.1730769230769225</v>
      </c>
      <c r="L190" s="119">
        <f>IF($D190="",0,'Guide &amp; Settings'!$C$44*IF($F190&gt;=3,$F190,0))</f>
        <v>4</v>
      </c>
      <c r="M190" s="118">
        <f t="shared" si="37"/>
        <v>-4.4408138913989283</v>
      </c>
      <c r="N190" s="116">
        <f t="shared" si="38"/>
        <v>1022.9168011819886</v>
      </c>
      <c r="O190" s="115" t="str">
        <f t="shared" si="39"/>
        <v>OK</v>
      </c>
      <c r="P190">
        <f t="shared" si="40"/>
        <v>1049.6730863794114</v>
      </c>
      <c r="Q190">
        <f t="shared" si="41"/>
        <v>0.46792954403890336</v>
      </c>
      <c r="R190">
        <f t="shared" si="42"/>
        <v>0.66666666666666663</v>
      </c>
      <c r="S190">
        <f t="shared" si="43"/>
        <v>2.5212121212121215</v>
      </c>
      <c r="T190" s="83">
        <f t="shared" si="44"/>
        <v>4</v>
      </c>
      <c r="U190" s="120">
        <f>IF($D190="",0,IFERROR(LOOKUP(2,1/(($D$3:D189=$D190)*($C$3:C189=$C190)*($A$3:A189&lt;$A190)),$AB$3:AB189),1000))</f>
        <v>1021.2350230564828</v>
      </c>
      <c r="V190" s="120">
        <f t="shared" si="45"/>
        <v>1024.6364630658743</v>
      </c>
      <c r="W190">
        <f t="shared" si="46"/>
        <v>1028.909899463682</v>
      </c>
      <c r="X190">
        <f t="shared" si="47"/>
        <v>0.49385034078018819</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IF($D190="","",IF(SUMPRODUCT(MAX(($D$4:$D$810=$D190)*($B$4:$B$810&lt;$B190)*$B$4:$B$810))=0,0,MAX(($B190-MAX(SUMPRODUCT(MAX(($D$4:$D$810=$D190)*($B$4:$B$810&lt;$B190)*$B$4:$B$810)),'Guide &amp; Settings'!$C$50))/7-'Guide &amp; Settings'!$C$48,0)*'Guide &amp; Settings'!$C$49))</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1034.4893617981895</v>
      </c>
      <c r="I191" s="117">
        <f t="shared" si="36"/>
        <v>0.23798076923076919</v>
      </c>
      <c r="J191" s="118">
        <f>IF($D191="",0,IF($F191&lt;2,0,IF($E191="Win",('Guide &amp; Settings'!$C$42/(($F191-1)*COUNTIFS($A$4:$A$810,$A191,$E$4:$E$810,"Win")))*SUMIFS($X$4:$X$810,$A$4:$A$810,$A191,$E$4:$E$810,"Loss"),-('Guide &amp; Settings'!$C$42/($F191-1))*$X191)))</f>
        <v>-5.2519942285867094</v>
      </c>
      <c r="K191" s="118">
        <f>IF($D191="",0,'Guide &amp; Settings'!$C$43*(IF($E191="Win",1,0)-$I191))</f>
        <v>-2.8557692307692304</v>
      </c>
      <c r="L191" s="119">
        <f>IF($D191="",0,'Guide &amp; Settings'!$C$44*IF($F191&gt;=3,$F191,0))</f>
        <v>4</v>
      </c>
      <c r="M191" s="118">
        <f t="shared" si="37"/>
        <v>-4.1077634593559402</v>
      </c>
      <c r="N191" s="116">
        <f t="shared" si="38"/>
        <v>1030.3815983388336</v>
      </c>
      <c r="O191" s="115" t="str">
        <f t="shared" si="39"/>
        <v>OK</v>
      </c>
      <c r="P191">
        <f t="shared" si="40"/>
        <v>1049.6730863794114</v>
      </c>
      <c r="Q191">
        <f t="shared" si="41"/>
        <v>0.4781627642864188</v>
      </c>
      <c r="R191">
        <f t="shared" si="42"/>
        <v>0.6</v>
      </c>
      <c r="S191">
        <f t="shared" si="43"/>
        <v>2.5212121212121215</v>
      </c>
      <c r="T191" s="83">
        <f t="shared" si="44"/>
        <v>3</v>
      </c>
      <c r="U191" s="120">
        <f>IF($D191="",0,IFERROR(LOOKUP(2,1/(($D$3:D190=$D191)*($C$3:C190=$C191)*($A$3:A190&lt;$A191)),$AB$3:AB190),1000))</f>
        <v>1005.479650149466</v>
      </c>
      <c r="V191" s="120">
        <f t="shared" si="45"/>
        <v>1023.6107199299182</v>
      </c>
      <c r="W191">
        <f t="shared" si="46"/>
        <v>1028.909899463682</v>
      </c>
      <c r="X191">
        <f t="shared" si="47"/>
        <v>0.49237445893000403</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IF($D191="","",IF(SUMPRODUCT(MAX(($D$4:$D$810=$D191)*($B$4:$B$810&lt;$B191)*$B$4:$B$810))=0,0,MAX(($B191-MAX(SUMPRODUCT(MAX(($D$4:$D$810=$D191)*($B$4:$B$810&lt;$B191)*$B$4:$B$810)),'Guide &amp; Settings'!$C$50))/7-'Guide &amp; Settings'!$C$48,0)*'Guide &amp; Settings'!$C$49))</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1149.159920014753</v>
      </c>
      <c r="I192" s="117">
        <f t="shared" si="36"/>
        <v>0.19075144508670519</v>
      </c>
      <c r="J192" s="118">
        <f>IF($D192="",0,IF($F192&lt;2,0,IF($E192="Win",('Guide &amp; Settings'!$C$42/(($F192-1)*COUNTIFS($A$4:$A$810,$A192,$E$4:$E$810,"Win")))*SUMIFS($X$4:$X$810,$A$4:$A$810,$A192,$E$4:$E$810,"Loss"),-('Guide &amp; Settings'!$C$42/($F192-1))*$X192)))</f>
        <v>5.3459202405647632</v>
      </c>
      <c r="K192" s="118">
        <f>IF($D192="",0,'Guide &amp; Settings'!$C$43*(IF($E192="Win",1,0)-$I192))</f>
        <v>9.7109826589595372</v>
      </c>
      <c r="L192" s="119">
        <f>IF($D192="",0,'Guide &amp; Settings'!$C$44*IF($F192&gt;=3,$F192,0))</f>
        <v>4</v>
      </c>
      <c r="M192" s="118">
        <f t="shared" si="37"/>
        <v>19.056902899524299</v>
      </c>
      <c r="N192" s="116">
        <f t="shared" si="38"/>
        <v>1168.2168229142774</v>
      </c>
      <c r="O192" s="115" t="str">
        <f t="shared" si="39"/>
        <v>OK</v>
      </c>
      <c r="P192">
        <f t="shared" si="40"/>
        <v>1082.1248742962744</v>
      </c>
      <c r="Q192">
        <f t="shared" si="41"/>
        <v>0.59529164353502906</v>
      </c>
      <c r="R192">
        <f t="shared" si="42"/>
        <v>0.42857142857142855</v>
      </c>
      <c r="S192">
        <f t="shared" si="43"/>
        <v>2.2467532467532467</v>
      </c>
      <c r="T192" s="83">
        <f t="shared" si="44"/>
        <v>5</v>
      </c>
      <c r="U192" s="120">
        <f>IF($D192="",0,IFERROR(LOOKUP(2,1/(($D$3:D191=$D192)*($C$3:C191=$C192)*($A$3:A191&lt;$A192)),$AB$3:AB191),1000))</f>
        <v>985.02917710827387</v>
      </c>
      <c r="V192" s="120">
        <f t="shared" si="45"/>
        <v>1067.0945485615134</v>
      </c>
      <c r="W192">
        <f t="shared" si="46"/>
        <v>1036.9299099019486</v>
      </c>
      <c r="X192">
        <f t="shared" si="47"/>
        <v>0.54330165869507263</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IF($D192="","",IF(SUMPRODUCT(MAX(($D$4:$D$810=$D192)*($B$4:$B$810&lt;$B192)*$B$4:$B$810))=0,0,MAX(($B192-MAX(SUMPRODUCT(MAX(($D$4:$D$810=$D192)*($B$4:$B$810&lt;$B192)*$B$4:$B$810)),'Guide &amp; Settings'!$C$50))/7-'Guide &amp; Settings'!$C$48,0)*'Guide &amp; Settings'!$C$49))</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1015.0898285777957</v>
      </c>
      <c r="I193" s="117">
        <f t="shared" si="36"/>
        <v>0.22254335260115607</v>
      </c>
      <c r="J193" s="118">
        <f>IF($D193="",0,IF($F193&lt;2,0,IF($E193="Win",('Guide &amp; Settings'!$C$42/(($F193-1)*COUNTIFS($A$4:$A$810,$A193,$E$4:$E$810,"Win")))*SUMIFS($X$4:$X$810,$A$4:$A$810,$A193,$E$4:$E$810,"Loss"),-('Guide &amp; Settings'!$C$42/($F193-1))*$X193)))</f>
        <v>5.3459202405647632</v>
      </c>
      <c r="K193" s="118">
        <f>IF($D193="",0,'Guide &amp; Settings'!$C$43*(IF($E193="Win",1,0)-$I193))</f>
        <v>9.3294797687861273</v>
      </c>
      <c r="L193" s="119">
        <f>IF($D193="",0,'Guide &amp; Settings'!$C$44*IF($F193&gt;=3,$F193,0))</f>
        <v>4</v>
      </c>
      <c r="M193" s="118">
        <f t="shared" si="37"/>
        <v>18.675400009350891</v>
      </c>
      <c r="N193" s="116">
        <f t="shared" si="38"/>
        <v>1033.7652285871466</v>
      </c>
      <c r="O193" s="115" t="str">
        <f t="shared" si="39"/>
        <v>OK</v>
      </c>
      <c r="P193">
        <f t="shared" si="40"/>
        <v>1082.1248742962744</v>
      </c>
      <c r="Q193">
        <f t="shared" si="41"/>
        <v>0.40470835646497089</v>
      </c>
      <c r="R193">
        <f t="shared" si="42"/>
        <v>0.5</v>
      </c>
      <c r="S193">
        <f t="shared" si="43"/>
        <v>2.2467532467532467</v>
      </c>
      <c r="T193" s="83">
        <f t="shared" si="44"/>
        <v>6</v>
      </c>
      <c r="U193" s="120">
        <f>IF($D193="",0,IFERROR(LOOKUP(2,1/(($D$3:D192=$D193)*($C$3:C192=$C193)*($A$3:A192&lt;$A193)),$AB$3:AB192),1000))</f>
        <v>999.82814012954088</v>
      </c>
      <c r="V193" s="120">
        <f t="shared" si="45"/>
        <v>1006.765271242384</v>
      </c>
      <c r="W193">
        <f t="shared" si="46"/>
        <v>1036.9299099019486</v>
      </c>
      <c r="X193">
        <f t="shared" si="47"/>
        <v>0.4566983413049277</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IF($D193="","",IF(SUMPRODUCT(MAX(($D$4:$D$810=$D193)*($B$4:$B$810&lt;$B193)*$B$4:$B$810))=0,0,MAX(($B193-MAX(SUMPRODUCT(MAX(($D$4:$D$810=$D193)*($B$4:$B$810&lt;$B193)*$B$4:$B$810)),'Guide &amp; Settings'!$C$50))/7-'Guide &amp; Settings'!$C$48,0)*'Guide &amp; Settings'!$C$49))</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1140.664376689045</v>
      </c>
      <c r="I194" s="117">
        <f t="shared" si="36"/>
        <v>0.3641618497109827</v>
      </c>
      <c r="J194" s="118">
        <f>IF($D194="",0,IF($F194&lt;2,0,IF($E194="Win",('Guide &amp; Settings'!$C$42/(($F194-1)*COUNTIFS($A$4:$A$810,$A194,$E$4:$E$810,"Win")))*SUMIFS($X$4:$X$810,$A$4:$A$810,$A194,$E$4:$E$810,"Loss"),-('Guide &amp; Settings'!$C$42/($F194-1))*$X194)))</f>
        <v>-6.2503551510642659</v>
      </c>
      <c r="K194" s="118">
        <f>IF($D194="",0,'Guide &amp; Settings'!$C$43*(IF($E194="Win",1,0)-$I194))</f>
        <v>-4.3699421965317926</v>
      </c>
      <c r="L194" s="119">
        <f>IF($D194="",0,'Guide &amp; Settings'!$C$44*IF($F194&gt;=3,$F194,0))</f>
        <v>4</v>
      </c>
      <c r="M194" s="118">
        <f t="shared" si="37"/>
        <v>-6.6202973475960576</v>
      </c>
      <c r="N194" s="116">
        <f t="shared" si="38"/>
        <v>1134.0440793414489</v>
      </c>
      <c r="O194" s="115" t="str">
        <f t="shared" si="39"/>
        <v>OK</v>
      </c>
      <c r="P194">
        <f t="shared" si="40"/>
        <v>1082.1248742962744</v>
      </c>
      <c r="Q194">
        <f t="shared" si="41"/>
        <v>0.5834568555633578</v>
      </c>
      <c r="R194">
        <f t="shared" si="42"/>
        <v>0.81818181818181823</v>
      </c>
      <c r="S194">
        <f t="shared" si="43"/>
        <v>2.2467532467532467</v>
      </c>
      <c r="T194" s="83">
        <f t="shared" si="44"/>
        <v>9</v>
      </c>
      <c r="U194" s="120">
        <f>IF($D194="",0,IFERROR(LOOKUP(2,1/(($D$3:D193=$D194)*($C$3:C193=$C194)*($A$3:A193&lt;$A194)),$AB$3:AB193),1000))</f>
        <v>1073.1587587095958</v>
      </c>
      <c r="V194" s="120">
        <f t="shared" si="45"/>
        <v>1097.2679079879704</v>
      </c>
      <c r="W194">
        <f t="shared" si="46"/>
        <v>1036.9299099019486</v>
      </c>
      <c r="X194">
        <f t="shared" si="47"/>
        <v>0.58597079541227493</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IF($D194="","",IF(SUMPRODUCT(MAX(($D$4:$D$810=$D194)*($B$4:$B$810&lt;$B194)*$B$4:$B$810))=0,0,MAX(($B194-MAX(SUMPRODUCT(MAX(($D$4:$D$810=$D194)*($B$4:$B$810&lt;$B194)*$B$4:$B$810)),'Guide &amp; Settings'!$C$50))/7-'Guide &amp; Settings'!$C$48,0)*'Guide &amp; Settings'!$C$49))</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995.23037342053249</v>
      </c>
      <c r="I195" s="117">
        <f t="shared" si="36"/>
        <v>0.22254335260115607</v>
      </c>
      <c r="J195" s="118">
        <f>IF($D195="",0,IF($F195&lt;2,0,IF($E195="Win",('Guide &amp; Settings'!$C$42/(($F195-1)*COUNTIFS($A$4:$A$810,$A195,$E$4:$E$810,"Win")))*SUMIFS($X$4:$X$810,$A$4:$A$810,$A195,$E$4:$E$810,"Loss"),-('Guide &amp; Settings'!$C$42/($F195-1))*$X195)))</f>
        <v>-4.4414853300652597</v>
      </c>
      <c r="K195" s="118">
        <f>IF($D195="",0,'Guide &amp; Settings'!$C$43*(IF($E195="Win",1,0)-$I195))</f>
        <v>-2.6705202312138727</v>
      </c>
      <c r="L195" s="119">
        <f>IF($D195="",0,'Guide &amp; Settings'!$C$44*IF($F195&gt;=3,$F195,0))</f>
        <v>4</v>
      </c>
      <c r="M195" s="118">
        <f t="shared" si="37"/>
        <v>-3.1120055612791324</v>
      </c>
      <c r="N195" s="116">
        <f t="shared" si="38"/>
        <v>992.11836785925334</v>
      </c>
      <c r="O195" s="115" t="str">
        <f t="shared" si="39"/>
        <v>OK</v>
      </c>
      <c r="P195">
        <f t="shared" si="40"/>
        <v>1082.1248742962744</v>
      </c>
      <c r="Q195">
        <f t="shared" si="41"/>
        <v>0.37749250459829914</v>
      </c>
      <c r="R195">
        <f t="shared" si="42"/>
        <v>0.5</v>
      </c>
      <c r="S195">
        <f t="shared" si="43"/>
        <v>2.2467532467532467</v>
      </c>
      <c r="T195" s="83">
        <f t="shared" si="44"/>
        <v>10</v>
      </c>
      <c r="U195" s="120">
        <f>IF($D195="",0,IFERROR(LOOKUP(2,1/(($D$3:D194=$D195)*($C$3:C194=$C195)*($A$3:A194&lt;$A195)),$AB$3:AB194),1000))</f>
        <v>969.80541329586208</v>
      </c>
      <c r="V195" s="120">
        <f t="shared" si="45"/>
        <v>978.28040000408555</v>
      </c>
      <c r="W195">
        <f t="shared" si="46"/>
        <v>1036.9299099019486</v>
      </c>
      <c r="X195">
        <f t="shared" si="47"/>
        <v>0.41638924969361812</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IF($D195="","",IF(SUMPRODUCT(MAX(($D$4:$D$810=$D195)*($B$4:$B$810&lt;$B195)*$B$4:$B$810))=0,0,MAX(($B195-MAX(SUMPRODUCT(MAX(($D$4:$D$810=$D195)*($B$4:$B$810&lt;$B195)*$B$4:$B$810)),'Guide &amp; Settings'!$C$50))/7-'Guide &amp; Settings'!$C$48,0)*'Guide &amp; Settings'!$C$49))</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1129.1224748311113</v>
      </c>
      <c r="I196" s="117">
        <f t="shared" ref="I196:I259" si="53">IF($D196="",0,IF($S196=0,0,$R196/$S196))</f>
        <v>0.3</v>
      </c>
      <c r="J196" s="118">
        <f>IF($D196="",0,IF($F196&lt;2,0,IF($E196="Win",('Guide &amp; Settings'!$C$42/(($F196-1)*COUNTIFS($A$4:$A$810,$A196,$E$4:$E$810,"Win")))*SUMIFS($X$4:$X$810,$A$4:$A$810,$A196,$E$4:$E$810,"Loss"),-('Guide &amp; Settings'!$C$42/($F196-1))*$X196)))</f>
        <v>5.4080184891828296</v>
      </c>
      <c r="K196" s="118">
        <f>IF($D196="",0,'Guide &amp; Settings'!$C$43*(IF($E196="Win",1,0)-$I196))</f>
        <v>8.3999999999999986</v>
      </c>
      <c r="L196" s="119">
        <f>IF($D196="",0,'Guide &amp; Settings'!$C$44*IF($F196&gt;=3,$F196,0))</f>
        <v>4</v>
      </c>
      <c r="M196" s="118">
        <f t="shared" ref="M196:M259" si="54">IF($D196="",0,$J196+$K196+$L196)</f>
        <v>17.808018489182828</v>
      </c>
      <c r="N196" s="116">
        <f t="shared" ref="N196:N259" si="55">IF($D196="",0,$H196+$M196)</f>
        <v>1146.9304933202941</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1076.3163129283189</v>
      </c>
      <c r="Q196">
        <f t="shared" ref="Q196:Q259" si="58">IF($D196="",0,1/(1+10^(($P196-$H196)/400)))</f>
        <v>0.57541436593980244</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1074.4128594852377</v>
      </c>
      <c r="W196">
        <f t="shared" ref="W196:W259" si="63">IF($D196="",0,IFERROR(SUMIFS($V$4:$V$810,$A$4:$A$810,$A196,$E$4:$E$810,"Win")/COUNTIFS($A$4:$A$810,$A196,$E$4:$E$810,"Win"),0))</f>
        <v>1039.4930500619125</v>
      </c>
      <c r="X196">
        <f t="shared" ref="X196:X259" si="64">IF($D196="",0,1/(1+10^(($W196-$V196)/400)))</f>
        <v>0.55008511034765195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IF($D196="","",IF(SUMPRODUCT(MAX(($D$4:$D$810=$D196)*($B$4:$B$810&lt;$B196)*$B$4:$B$810))=0,0,MAX(($B196-MAX(SUMPRODUCT(MAX(($D$4:$D$810=$D196)*($B$4:$B$810&lt;$B196)*$B$4:$B$810)),'Guide &amp; Settings'!$C$50))/7-'Guide &amp; Settings'!$C$48,0)*'Guide &amp; Settings'!$C$49))</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1023.5101510255264</v>
      </c>
      <c r="I197" s="117">
        <f t="shared" si="53"/>
        <v>0.22499999999999998</v>
      </c>
      <c r="J197" s="118">
        <f>IF($D197="",0,IF($F197&lt;2,0,IF($E197="Win",('Guide &amp; Settings'!$C$42/(($F197-1)*COUNTIFS($A$4:$A$810,$A197,$E$4:$E$810,"Win")))*SUMIFS($X$4:$X$810,$A$4:$A$810,$A197,$E$4:$E$810,"Loss"),-('Guide &amp; Settings'!$C$42/($F197-1))*$X197)))</f>
        <v>5.4080184891828296</v>
      </c>
      <c r="K197" s="118">
        <f>IF($D197="",0,'Guide &amp; Settings'!$C$43*(IF($E197="Win",1,0)-$I197))</f>
        <v>9.3000000000000007</v>
      </c>
      <c r="L197" s="119">
        <f>IF($D197="",0,'Guide &amp; Settings'!$C$44*IF($F197&gt;=3,$F197,0))</f>
        <v>4</v>
      </c>
      <c r="M197" s="118">
        <f t="shared" si="54"/>
        <v>18.70801848918283</v>
      </c>
      <c r="N197" s="116">
        <f t="shared" si="55"/>
        <v>1042.2181695147092</v>
      </c>
      <c r="O197" s="115" t="str">
        <f t="shared" si="56"/>
        <v>OK</v>
      </c>
      <c r="P197">
        <f t="shared" si="57"/>
        <v>1076.3163129283189</v>
      </c>
      <c r="Q197">
        <f t="shared" si="58"/>
        <v>0.42458563406019734</v>
      </c>
      <c r="R197">
        <f t="shared" si="59"/>
        <v>0.5</v>
      </c>
      <c r="S197">
        <f t="shared" si="60"/>
        <v>2.2222222222222223</v>
      </c>
      <c r="T197" s="83">
        <f t="shared" si="61"/>
        <v>6</v>
      </c>
      <c r="U197" s="120">
        <f>IF($D197="",0,IFERROR(LOOKUP(2,1/(($D$3:D196=$D197)*($C$3:C196=$C197)*($A$3:A196&lt;$A197)),$AB$3:AB196),1000))</f>
        <v>988.79248198280493</v>
      </c>
      <c r="V197" s="120">
        <f t="shared" si="62"/>
        <v>1004.5732406385873</v>
      </c>
      <c r="W197">
        <f t="shared" si="63"/>
        <v>1039.4930500619125</v>
      </c>
      <c r="X197">
        <f t="shared" si="64"/>
        <v>0.4499148896523481</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IF($D197="","",IF(SUMPRODUCT(MAX(($D$4:$D$810=$D197)*($B$4:$B$810&lt;$B197)*$B$4:$B$810))=0,0,MAX(($B197-MAX(SUMPRODUCT(MAX(($D$4:$D$810=$D197)*($B$4:$B$810&lt;$B197)*$B$4:$B$810)),'Guide &amp; Settings'!$C$50))/7-'Guide &amp; Settings'!$C$48,0)*'Guide &amp; Settings'!$C$49))</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1168.2168229142774</v>
      </c>
      <c r="I198" s="117">
        <f t="shared" si="53"/>
        <v>0.22499999999999998</v>
      </c>
      <c r="J198" s="118">
        <f>IF($D198="",0,IF($F198&lt;2,0,IF($E198="Win",('Guide &amp; Settings'!$C$42/(($F198-1)*COUNTIFS($A$4:$A$810,$A198,$E$4:$E$810,"Win")))*SUMIFS($X$4:$X$810,$A$4:$A$810,$A198,$E$4:$E$810,"Loss"),-('Guide &amp; Settings'!$C$42/($F198-1))*$X198)))</f>
        <v>-5.8224026825282742</v>
      </c>
      <c r="K198" s="118">
        <f>IF($D198="",0,'Guide &amp; Settings'!$C$43*(IF($E198="Win",1,0)-$I198))</f>
        <v>-2.6999999999999997</v>
      </c>
      <c r="L198" s="119">
        <f>IF($D198="",0,'Guide &amp; Settings'!$C$44*IF($F198&gt;=3,$F198,0))</f>
        <v>4</v>
      </c>
      <c r="M198" s="118">
        <f t="shared" si="54"/>
        <v>-4.5224026825282735</v>
      </c>
      <c r="N198" s="116">
        <f t="shared" si="55"/>
        <v>1163.6944202317491</v>
      </c>
      <c r="O198" s="115" t="str">
        <f t="shared" si="56"/>
        <v>OK</v>
      </c>
      <c r="P198">
        <f t="shared" si="57"/>
        <v>1076.3163129283189</v>
      </c>
      <c r="Q198">
        <f t="shared" si="58"/>
        <v>0.62925494765594603</v>
      </c>
      <c r="R198">
        <f t="shared" si="59"/>
        <v>0.5</v>
      </c>
      <c r="S198">
        <f t="shared" si="60"/>
        <v>2.2222222222222223</v>
      </c>
      <c r="T198" s="83">
        <f t="shared" si="61"/>
        <v>6</v>
      </c>
      <c r="U198" s="120">
        <f>IF($D198="",0,IFERROR(LOOKUP(2,1/(($D$3:D197=$D198)*($C$3:C197=$C198)*($A$3:A197&lt;$A198)),$AB$3:AB197),1000))</f>
        <v>990.79782626498309</v>
      </c>
      <c r="V198" s="120">
        <f t="shared" si="62"/>
        <v>1071.4428247419351</v>
      </c>
      <c r="W198">
        <f t="shared" si="63"/>
        <v>1039.4930500619125</v>
      </c>
      <c r="X198">
        <f t="shared" si="64"/>
        <v>0.54585025148702571</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IF($D198="","",IF(SUMPRODUCT(MAX(($D$4:$D$810=$D198)*($B$4:$B$810&lt;$B198)*$B$4:$B$810))=0,0,MAX(($B198-MAX(SUMPRODUCT(MAX(($D$4:$D$810=$D198)*($B$4:$B$810&lt;$B198)*$B$4:$B$810)),'Guide &amp; Settings'!$C$50))/7-'Guide &amp; Settings'!$C$48,0)*'Guide &amp; Settings'!$C$49))</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1033.7652285871466</v>
      </c>
      <c r="I199" s="117">
        <f t="shared" si="53"/>
        <v>0.25</v>
      </c>
      <c r="J199" s="118">
        <f>IF($D199="",0,IF($F199&lt;2,0,IF($E199="Win",('Guide &amp; Settings'!$C$42/(($F199-1)*COUNTIFS($A$4:$A$810,$A199,$E$4:$E$810,"Win")))*SUMIFS($X$4:$X$810,$A$4:$A$810,$A199,$E$4:$E$810,"Loss"),-('Guide &amp; Settings'!$C$42/($F199-1))*$X199)))</f>
        <v>-4.9936342958373849</v>
      </c>
      <c r="K199" s="118">
        <f>IF($D199="",0,'Guide &amp; Settings'!$C$43*(IF($E199="Win",1,0)-$I199))</f>
        <v>-3</v>
      </c>
      <c r="L199" s="119">
        <f>IF($D199="",0,'Guide &amp; Settings'!$C$44*IF($F199&gt;=3,$F199,0))</f>
        <v>4</v>
      </c>
      <c r="M199" s="118">
        <f t="shared" si="54"/>
        <v>-3.9936342958373849</v>
      </c>
      <c r="N199" s="116">
        <f t="shared" si="55"/>
        <v>1029.7715942913092</v>
      </c>
      <c r="O199" s="115" t="str">
        <f t="shared" si="56"/>
        <v>OK</v>
      </c>
      <c r="P199">
        <f t="shared" si="57"/>
        <v>1076.3163129283189</v>
      </c>
      <c r="Q199">
        <f t="shared" si="58"/>
        <v>0.43906840791184393</v>
      </c>
      <c r="R199">
        <f t="shared" si="59"/>
        <v>0.55555555555555558</v>
      </c>
      <c r="S199">
        <f t="shared" si="60"/>
        <v>2.2222222222222223</v>
      </c>
      <c r="T199" s="83">
        <f t="shared" si="61"/>
        <v>7</v>
      </c>
      <c r="U199" s="120">
        <f>IF($D199="",0,IFERROR(LOOKUP(2,1/(($D$3:D198=$D199)*($C$3:C198=$C199)*($A$3:A198&lt;$A199)),$AB$3:AB198),1000))</f>
        <v>1005.5967892862501</v>
      </c>
      <c r="V199" s="120">
        <f t="shared" si="62"/>
        <v>1017.333638994957</v>
      </c>
      <c r="W199">
        <f t="shared" si="63"/>
        <v>1039.4930500619125</v>
      </c>
      <c r="X199">
        <f t="shared" si="64"/>
        <v>0.46815321523475489</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IF($D199="","",IF(SUMPRODUCT(MAX(($D$4:$D$810=$D199)*($B$4:$B$810&lt;$B199)*$B$4:$B$810))=0,0,MAX(($B199-MAX(SUMPRODUCT(MAX(($D$4:$D$810=$D199)*($B$4:$B$810&lt;$B199)*$B$4:$B$810)),'Guide &amp; Settings'!$C$50))/7-'Guide &amp; Settings'!$C$48,0)*'Guide &amp; Settings'!$C$49))</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1146.9304933202941</v>
      </c>
      <c r="I200" s="117">
        <f t="shared" si="53"/>
        <v>0.38066465256797583</v>
      </c>
      <c r="J200" s="118">
        <f>IF($D200="",0,IF($F200&lt;2,0,IF($E200="Win",('Guide &amp; Settings'!$C$42/(($F200-1)*COUNTIFS($A$4:$A$810,$A200,$E$4:$E$810,"Win")))*SUMIFS($X$4:$X$810,$A$4:$A$810,$A200,$E$4:$E$810,"Loss"),-('Guide &amp; Settings'!$C$42/($F200-1))*$X200)))</f>
        <v>4.2867761685740229</v>
      </c>
      <c r="K200" s="118">
        <f>IF($D200="",0,'Guide &amp; Settings'!$C$43*(IF($E200="Win",1,0)-$I200))</f>
        <v>7.4320241691842908</v>
      </c>
      <c r="L200" s="119">
        <f>IF($D200="",0,'Guide &amp; Settings'!$C$44*IF($F200&gt;=3,$F200,0))</f>
        <v>4</v>
      </c>
      <c r="M200" s="118">
        <f t="shared" si="54"/>
        <v>15.718800337758314</v>
      </c>
      <c r="N200" s="116">
        <f t="shared" si="55"/>
        <v>1162.6492936580523</v>
      </c>
      <c r="O200" s="115" t="str">
        <f t="shared" si="56"/>
        <v>OK</v>
      </c>
      <c r="P200">
        <f t="shared" si="57"/>
        <v>1094.5743314175015</v>
      </c>
      <c r="Q200">
        <f t="shared" si="58"/>
        <v>0.5747813730762773</v>
      </c>
      <c r="R200">
        <f t="shared" si="59"/>
        <v>0.7</v>
      </c>
      <c r="S200">
        <f t="shared" si="60"/>
        <v>1.8388888888888888</v>
      </c>
      <c r="T200" s="83">
        <f t="shared" si="61"/>
        <v>8</v>
      </c>
      <c r="U200" s="120">
        <f>IF($D200="",0,IFERROR(LOOKUP(2,1/(($D$3:D199=$D200)*($C$3:C199=$C200)*($A$3:A199&lt;$A200)),$AB$3:AB199),1000))</f>
        <v>1040.4552511360616</v>
      </c>
      <c r="V200" s="120">
        <f t="shared" si="62"/>
        <v>1081.4072673607664</v>
      </c>
      <c r="W200">
        <f t="shared" si="63"/>
        <v>1047.7237603361464</v>
      </c>
      <c r="X200">
        <f t="shared" si="64"/>
        <v>0.54832316002380932</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IF($D200="","",IF(SUMPRODUCT(MAX(($D$4:$D$810=$D200)*($B$4:$B$810&lt;$B200)*$B$4:$B$810))=0,0,MAX(($B200-MAX(SUMPRODUCT(MAX(($D$4:$D$810=$D200)*($B$4:$B$810&lt;$B200)*$B$4:$B$810)),'Guide &amp; Settings'!$C$50))/7-'Guide &amp; Settings'!$C$48,0)*'Guide &amp; Settings'!$C$49))</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1042.2181695147092</v>
      </c>
      <c r="I201" s="117">
        <f t="shared" si="53"/>
        <v>0.30211480362537768</v>
      </c>
      <c r="J201" s="118">
        <f>IF($D201="",0,IF($F201&lt;2,0,IF($E201="Win",('Guide &amp; Settings'!$C$42/(($F201-1)*COUNTIFS($A$4:$A$810,$A201,$E$4:$E$810,"Win")))*SUMIFS($X$4:$X$810,$A$4:$A$810,$A201,$E$4:$E$810,"Loss"),-('Guide &amp; Settings'!$C$42/($F201-1))*$X201)))</f>
        <v>4.2867761685740229</v>
      </c>
      <c r="K201" s="118">
        <f>IF($D201="",0,'Guide &amp; Settings'!$C$43*(IF($E201="Win",1,0)-$I201))</f>
        <v>8.3746223564954683</v>
      </c>
      <c r="L201" s="119">
        <f>IF($D201="",0,'Guide &amp; Settings'!$C$44*IF($F201&gt;=3,$F201,0))</f>
        <v>4</v>
      </c>
      <c r="M201" s="118">
        <f t="shared" si="54"/>
        <v>16.66139852506949</v>
      </c>
      <c r="N201" s="116">
        <f t="shared" si="55"/>
        <v>1058.8795680397786</v>
      </c>
      <c r="O201" s="115" t="str">
        <f t="shared" si="56"/>
        <v>OK</v>
      </c>
      <c r="P201">
        <f t="shared" si="57"/>
        <v>1094.5743314175015</v>
      </c>
      <c r="Q201">
        <f t="shared" si="58"/>
        <v>0.42521862692372298</v>
      </c>
      <c r="R201">
        <f t="shared" si="59"/>
        <v>0.55555555555555558</v>
      </c>
      <c r="S201">
        <f t="shared" si="60"/>
        <v>1.8388888888888888</v>
      </c>
      <c r="T201" s="83">
        <f t="shared" si="61"/>
        <v>7</v>
      </c>
      <c r="U201" s="120">
        <f>IF($D201="",0,IFERROR(LOOKUP(2,1/(($D$3:D200=$D201)*($C$3:C200=$C201)*($A$3:A200&lt;$A201)),$AB$3:AB200),1000))</f>
        <v>993.91317030925256</v>
      </c>
      <c r="V201" s="120">
        <f t="shared" si="62"/>
        <v>1014.0402533115262</v>
      </c>
      <c r="W201">
        <f t="shared" si="63"/>
        <v>1047.7237603361464</v>
      </c>
      <c r="X201">
        <f t="shared" si="64"/>
        <v>0.45167683997619035</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IF($D201="","",IF(SUMPRODUCT(MAX(($D$4:$D$810=$D201)*($B$4:$B$810&lt;$B201)*$B$4:$B$810))=0,0,MAX(($B201-MAX(SUMPRODUCT(MAX(($D$4:$D$810=$D201)*($B$4:$B$810&lt;$B201)*$B$4:$B$810)),'Guide &amp; Settings'!$C$50))/7-'Guide &amp; Settings'!$C$48,0)*'Guide &amp; Settings'!$C$49))</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945.02062066151154</v>
      </c>
      <c r="I202" s="117">
        <f t="shared" si="53"/>
        <v>0.18126888217522658</v>
      </c>
      <c r="J202" s="118">
        <f>IF($D202="",0,IF($F202&lt;2,0,IF($E202="Win",('Guide &amp; Settings'!$C$42/(($F202-1)*COUNTIFS($A$4:$A$810,$A202,$E$4:$E$810,"Win")))*SUMIFS($X$4:$X$810,$A$4:$A$810,$A202,$E$4:$E$810,"Loss"),-('Guide &amp; Settings'!$C$42/($F202-1))*$X202)))</f>
        <v>-4.0852491135012858</v>
      </c>
      <c r="K202" s="118">
        <f>IF($D202="",0,'Guide &amp; Settings'!$C$43*(IF($E202="Win",1,0)-$I202))</f>
        <v>-2.1752265861027187</v>
      </c>
      <c r="L202" s="119">
        <f>IF($D202="",0,'Guide &amp; Settings'!$C$44*IF($F202&gt;=3,$F202,0))</f>
        <v>4</v>
      </c>
      <c r="M202" s="118">
        <f t="shared" si="54"/>
        <v>-2.2604756996040045</v>
      </c>
      <c r="N202" s="116">
        <f t="shared" si="55"/>
        <v>942.76014496190749</v>
      </c>
      <c r="O202" s="115" t="str">
        <f t="shared" si="56"/>
        <v>OK</v>
      </c>
      <c r="P202">
        <f t="shared" si="57"/>
        <v>1094.5743314175015</v>
      </c>
      <c r="Q202">
        <f t="shared" si="58"/>
        <v>0.29715126846206036</v>
      </c>
      <c r="R202">
        <f t="shared" si="59"/>
        <v>0.33333333333333331</v>
      </c>
      <c r="S202">
        <f t="shared" si="60"/>
        <v>1.8388888888888888</v>
      </c>
      <c r="T202" s="83">
        <f t="shared" si="61"/>
        <v>4</v>
      </c>
      <c r="U202" s="120">
        <f>IF($D202="",0,IFERROR(LOOKUP(2,1/(($D$3:D201=$D202)*($C$3:C201=$C202)*($A$3:A201&lt;$A202)),$AB$3:AB201),1000))</f>
        <v>989.7118742606765</v>
      </c>
      <c r="V202" s="120">
        <f t="shared" si="62"/>
        <v>964.88340003891824</v>
      </c>
      <c r="W202">
        <f t="shared" si="63"/>
        <v>1047.7237603361464</v>
      </c>
      <c r="X202">
        <f t="shared" si="64"/>
        <v>0.38299210439074555</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IF($D202="","",IF(SUMPRODUCT(MAX(($D$4:$D$810=$D202)*($B$4:$B$810&lt;$B202)*$B$4:$B$810))=0,0,MAX(($B202-MAX(SUMPRODUCT(MAX(($D$4:$D$810=$D202)*($B$4:$B$810&lt;$B202)*$B$4:$B$810)),'Guide &amp; Settings'!$C$50))/7-'Guide &amp; Settings'!$C$48,0)*'Guide &amp; Settings'!$C$49))</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993.20540773106882</v>
      </c>
      <c r="I203" s="117">
        <f t="shared" si="53"/>
        <v>0.13595166163141995</v>
      </c>
      <c r="J203" s="118">
        <f>IF($D203="",0,IF($F203&lt;2,0,IF($E203="Win",('Guide &amp; Settings'!$C$42/(($F203-1)*COUNTIFS($A$4:$A$810,$A203,$E$4:$E$810,"Win")))*SUMIFS($X$4:$X$810,$A$4:$A$810,$A203,$E$4:$E$810,"Loss"),-('Guide &amp; Settings'!$C$42/($F203-1))*$X203)))</f>
        <v>-4.4883032236467599</v>
      </c>
      <c r="K203" s="118">
        <f>IF($D203="",0,'Guide &amp; Settings'!$C$43*(IF($E203="Win",1,0)-$I203))</f>
        <v>-1.6314199395770395</v>
      </c>
      <c r="L203" s="119">
        <f>IF($D203="",0,'Guide &amp; Settings'!$C$44*IF($F203&gt;=3,$F203,0))</f>
        <v>4</v>
      </c>
      <c r="M203" s="118">
        <f t="shared" si="54"/>
        <v>-2.1197231632237994</v>
      </c>
      <c r="N203" s="116">
        <f t="shared" si="55"/>
        <v>991.08568456784496</v>
      </c>
      <c r="O203" s="115" t="str">
        <f t="shared" si="56"/>
        <v>OK</v>
      </c>
      <c r="P203">
        <f t="shared" si="57"/>
        <v>1094.5743314175015</v>
      </c>
      <c r="Q203">
        <f t="shared" si="58"/>
        <v>0.35812156613664275</v>
      </c>
      <c r="R203">
        <f t="shared" si="59"/>
        <v>0.25</v>
      </c>
      <c r="S203">
        <f t="shared" si="60"/>
        <v>1.8388888888888888</v>
      </c>
      <c r="T203" s="83">
        <f t="shared" si="61"/>
        <v>2</v>
      </c>
      <c r="U203" s="120">
        <f>IF($D203="",0,IFERROR(LOOKUP(2,1/(($D$3:D202=$D203)*($C$3:C202=$C203)*($A$3:A202&lt;$A203)),$AB$3:AB202),1000))</f>
        <v>989.7118742606765</v>
      </c>
      <c r="V203" s="120">
        <f t="shared" si="62"/>
        <v>992.20725531095673</v>
      </c>
      <c r="W203">
        <f t="shared" si="63"/>
        <v>1047.7237603361464</v>
      </c>
      <c r="X203">
        <f t="shared" si="64"/>
        <v>0.42077842721688374</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IF($D203="","",IF(SUMPRODUCT(MAX(($D$4:$D$810=$D203)*($B$4:$B$810&lt;$B203)*$B$4:$B$810))=0,0,MAX(($B203-MAX(SUMPRODUCT(MAX(($D$4:$D$810=$D203)*($B$4:$B$810&lt;$B203)*$B$4:$B$810)),'Guide &amp; Settings'!$C$50))/7-'Guide &amp; Settings'!$C$48,0)*'Guide &amp; Settings'!$C$49))</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1021.6686831011822</v>
      </c>
      <c r="I204" s="117">
        <f t="shared" si="53"/>
        <v>8.0695870886606583E-2</v>
      </c>
      <c r="J204" s="118">
        <f>IF($D204="",0,IF($F204&lt;2,0,IF($E204="Win",('Guide &amp; Settings'!$C$42/(($F204-1)*COUNTIFS($A$4:$A$810,$A204,$E$4:$E$810,"Win")))*SUMIFS($X$4:$X$810,$A$4:$A$810,$A204,$E$4:$E$810,"Loss"),-('Guide &amp; Settings'!$C$42/($F204-1))*$X204)))</f>
        <v>6.057306955134333</v>
      </c>
      <c r="K204" s="118">
        <f>IF($D204="",0,'Guide &amp; Settings'!$C$43*(IF($E204="Win",1,0)-$I204))</f>
        <v>11.031649549360722</v>
      </c>
      <c r="L204" s="119">
        <f>IF($D204="",0,'Guide &amp; Settings'!$C$44*IF($F204&gt;=3,$F204,0))</f>
        <v>4</v>
      </c>
      <c r="M204" s="118">
        <f t="shared" si="54"/>
        <v>21.088956504495055</v>
      </c>
      <c r="N204" s="116">
        <f t="shared" si="55"/>
        <v>1042.7576396056772</v>
      </c>
      <c r="O204" s="115" t="str">
        <f t="shared" si="56"/>
        <v>OK</v>
      </c>
      <c r="P204">
        <f t="shared" si="57"/>
        <v>1022.2927421415854</v>
      </c>
      <c r="Q204">
        <f t="shared" si="58"/>
        <v>0.4991019078135957</v>
      </c>
      <c r="R204">
        <f t="shared" si="59"/>
        <v>0.16666666666666666</v>
      </c>
      <c r="S204">
        <f t="shared" si="60"/>
        <v>2.0653679653679653</v>
      </c>
      <c r="T204" s="83">
        <f t="shared" si="61"/>
        <v>4</v>
      </c>
      <c r="U204" s="120">
        <f>IF($D204="",0,IFERROR(LOOKUP(2,1/(($D$3:D203=$D204)*($C$3:C203=$C204)*($A$3:A203&lt;$A204)),$AB$3:AB203),1000))</f>
        <v>959.54801353033133</v>
      </c>
      <c r="V204" s="120">
        <f t="shared" si="62"/>
        <v>994.05949662524847</v>
      </c>
      <c r="W204">
        <f t="shared" si="63"/>
        <v>1006.7150200287662</v>
      </c>
      <c r="X204">
        <f t="shared" si="64"/>
        <v>0.48179528853110926</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IF($D204="","",IF(SUMPRODUCT(MAX(($D$4:$D$810=$D204)*($B$4:$B$810&lt;$B204)*$B$4:$B$810))=0,0,MAX(($B204-MAX(SUMPRODUCT(MAX(($D$4:$D$810=$D204)*($B$4:$B$810&lt;$B204)*$B$4:$B$810)),'Guide &amp; Settings'!$C$50))/7-'Guide &amp; Settings'!$C$48,0)*'Guide &amp; Settings'!$C$49))</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1022.9168011819886</v>
      </c>
      <c r="I205" s="117">
        <f t="shared" si="53"/>
        <v>0.2766715573255083</v>
      </c>
      <c r="J205" s="118">
        <f>IF($D205="",0,IF($F205&lt;2,0,IF($E205="Win",('Guide &amp; Settings'!$C$42/(($F205-1)*COUNTIFS($A$4:$A$810,$A205,$E$4:$E$810,"Win")))*SUMIFS($X$4:$X$810,$A$4:$A$810,$A205,$E$4:$E$810,"Loss"),-('Guide &amp; Settings'!$C$42/($F205-1))*$X205)))</f>
        <v>6.057306955134333</v>
      </c>
      <c r="K205" s="118">
        <f>IF($D205="",0,'Guide &amp; Settings'!$C$43*(IF($E205="Win",1,0)-$I205))</f>
        <v>8.6799413120939004</v>
      </c>
      <c r="L205" s="119">
        <f>IF($D205="",0,'Guide &amp; Settings'!$C$44*IF($F205&gt;=3,$F205,0))</f>
        <v>4</v>
      </c>
      <c r="M205" s="118">
        <f t="shared" si="54"/>
        <v>18.737248267228232</v>
      </c>
      <c r="N205" s="116">
        <f t="shared" si="55"/>
        <v>1041.6540494492169</v>
      </c>
      <c r="O205" s="115" t="str">
        <f t="shared" si="56"/>
        <v>OK</v>
      </c>
      <c r="P205">
        <f t="shared" si="57"/>
        <v>1022.2927421415854</v>
      </c>
      <c r="Q205">
        <f t="shared" si="58"/>
        <v>0.50089809218640413</v>
      </c>
      <c r="R205">
        <f t="shared" si="59"/>
        <v>0.5714285714285714</v>
      </c>
      <c r="S205">
        <f t="shared" si="60"/>
        <v>2.0653679653679653</v>
      </c>
      <c r="T205" s="83">
        <f t="shared" si="61"/>
        <v>5</v>
      </c>
      <c r="U205" s="120">
        <f>IF($D205="",0,IFERROR(LOOKUP(2,1/(($D$3:D204=$D205)*($C$3:C204=$C205)*($A$3:A204&lt;$A205)),$AB$3:AB204),1000))</f>
        <v>1015.8242856825791</v>
      </c>
      <c r="V205" s="120">
        <f t="shared" si="62"/>
        <v>1019.3705434322839</v>
      </c>
      <c r="W205">
        <f t="shared" si="63"/>
        <v>1006.7150200287662</v>
      </c>
      <c r="X205">
        <f t="shared" si="64"/>
        <v>0.5182047114688908</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IF($D205="","",IF(SUMPRODUCT(MAX(($D$4:$D$810=$D205)*($B$4:$B$810&lt;$B205)*$B$4:$B$810))=0,0,MAX(($B205-MAX(SUMPRODUCT(MAX(($D$4:$D$810=$D205)*($B$4:$B$810&lt;$B205)*$B$4:$B$810)),'Guide &amp; Settings'!$C$50))/7-'Guide &amp; Settings'!$C$48,0)*'Guide &amp; Settings'!$C$49))</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1162.6492936580523</v>
      </c>
      <c r="I206" s="117">
        <f t="shared" si="53"/>
        <v>0.35212743659610146</v>
      </c>
      <c r="J206" s="118">
        <f>IF($D206="",0,IF($F206&lt;2,0,IF($E206="Win",('Guide &amp; Settings'!$C$42/(($F206-1)*COUNTIFS($A$4:$A$810,$A206,$E$4:$E$810,"Win")))*SUMIFS($X$4:$X$810,$A$4:$A$810,$A206,$E$4:$E$810,"Loss"),-('Guide &amp; Settings'!$C$42/($F206-1))*$X206)))</f>
        <v>-6.5479735426047423</v>
      </c>
      <c r="K206" s="118">
        <f>IF($D206="",0,'Guide &amp; Settings'!$C$43*(IF($E206="Win",1,0)-$I206))</f>
        <v>-4.225529239153218</v>
      </c>
      <c r="L206" s="119">
        <f>IF($D206="",0,'Guide &amp; Settings'!$C$44*IF($F206&gt;=3,$F206,0))</f>
        <v>4</v>
      </c>
      <c r="M206" s="118">
        <f t="shared" si="54"/>
        <v>-6.7735027817579603</v>
      </c>
      <c r="N206" s="116">
        <f t="shared" si="55"/>
        <v>1155.8757908762943</v>
      </c>
      <c r="O206" s="115" t="str">
        <f t="shared" si="56"/>
        <v>OK</v>
      </c>
      <c r="P206">
        <f t="shared" si="57"/>
        <v>1022.2927421415854</v>
      </c>
      <c r="Q206">
        <f t="shared" si="58"/>
        <v>0.69167403763892399</v>
      </c>
      <c r="R206">
        <f t="shared" si="59"/>
        <v>0.72727272727272729</v>
      </c>
      <c r="S206">
        <f t="shared" si="60"/>
        <v>2.0653679653679653</v>
      </c>
      <c r="T206" s="83">
        <f t="shared" si="61"/>
        <v>9</v>
      </c>
      <c r="U206" s="120">
        <f>IF($D206="",0,IFERROR(LOOKUP(2,1/(($D$3:D205=$D206)*($C$3:C205=$C206)*($A$3:A205&lt;$A206)),$AB$3:AB205),1000))</f>
        <v>1045.3677452313345</v>
      </c>
      <c r="V206" s="120">
        <f t="shared" si="62"/>
        <v>1087.2540125265909</v>
      </c>
      <c r="W206">
        <f t="shared" si="63"/>
        <v>1006.7150200287662</v>
      </c>
      <c r="X206">
        <f t="shared" si="64"/>
        <v>0.61387251961919465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IF($D206="","",IF(SUMPRODUCT(MAX(($D$4:$D$810=$D206)*($B$4:$B$810&lt;$B206)*$B$4:$B$810))=0,0,MAX(($B206-MAX(SUMPRODUCT(MAX(($D$4:$D$810=$D206)*($B$4:$B$810&lt;$B206)*$B$4:$B$810)),'Guide &amp; Settings'!$C$50))/7-'Guide &amp; Settings'!$C$48,0)*'Guide &amp; Settings'!$C$49))</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1058.8795680397786</v>
      </c>
      <c r="I207" s="117">
        <f t="shared" si="53"/>
        <v>0.29050513519178367</v>
      </c>
      <c r="J207" s="118">
        <f>IF($D207="",0,IF($F207&lt;2,0,IF($E207="Win",('Guide &amp; Settings'!$C$42/(($F207-1)*COUNTIFS($A$4:$A$810,$A207,$E$4:$E$810,"Win")))*SUMIFS($X$4:$X$810,$A$4:$A$810,$A207,$E$4:$E$810,"Loss"),-('Guide &amp; Settings'!$C$42/($F207-1))*$X207)))</f>
        <v>-5.5666403676639229</v>
      </c>
      <c r="K207" s="118">
        <f>IF($D207="",0,'Guide &amp; Settings'!$C$43*(IF($E207="Win",1,0)-$I207))</f>
        <v>-3.486061622301404</v>
      </c>
      <c r="L207" s="119">
        <f>IF($D207="",0,'Guide &amp; Settings'!$C$44*IF($F207&gt;=3,$F207,0))</f>
        <v>4</v>
      </c>
      <c r="M207" s="118">
        <f t="shared" si="54"/>
        <v>-5.0527019899653265</v>
      </c>
      <c r="N207" s="116">
        <f t="shared" si="55"/>
        <v>1053.8268660498134</v>
      </c>
      <c r="O207" s="115" t="str">
        <f t="shared" si="56"/>
        <v>OK</v>
      </c>
      <c r="P207">
        <f t="shared" si="57"/>
        <v>1022.2927421415854</v>
      </c>
      <c r="Q207">
        <f t="shared" si="58"/>
        <v>0.552458908745463</v>
      </c>
      <c r="R207">
        <f t="shared" si="59"/>
        <v>0.6</v>
      </c>
      <c r="S207">
        <f t="shared" si="60"/>
        <v>2.0653679653679653</v>
      </c>
      <c r="T207" s="83">
        <f t="shared" si="61"/>
        <v>8</v>
      </c>
      <c r="U207" s="120">
        <f>IF($D207="",0,IFERROR(LOOKUP(2,1/(($D$3:D206=$D207)*($C$3:C206=$C207)*($A$3:A206&lt;$A207)),$AB$3:AB206),1000))</f>
        <v>998.82566440452536</v>
      </c>
      <c r="V207" s="120">
        <f t="shared" si="62"/>
        <v>1021.9233196488535</v>
      </c>
      <c r="W207">
        <f t="shared" si="63"/>
        <v>1006.7150200287662</v>
      </c>
      <c r="X207">
        <f t="shared" si="64"/>
        <v>0.5218725344684928</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IF($D207="","",IF(SUMPRODUCT(MAX(($D$4:$D$810=$D207)*($B$4:$B$810&lt;$B207)*$B$4:$B$810))=0,0,MAX(($B207-MAX(SUMPRODUCT(MAX(($D$4:$D$810=$D207)*($B$4:$B$810&lt;$B207)*$B$4:$B$810)),'Guide &amp; Settings'!$C$50))/7-'Guide &amp; Settings'!$C$48,0)*'Guide &amp; Settings'!$C$49))</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1042.7576396056772</v>
      </c>
      <c r="I208" s="117">
        <f t="shared" si="53"/>
        <v>0.13462783171521034</v>
      </c>
      <c r="J208" s="118">
        <f>IF($D208="",0,IF($F208&lt;2,0,IF($E208="Win",('Guide &amp; Settings'!$C$42/(($F208-1)*COUNTIFS($A$4:$A$810,$A208,$E$4:$E$810,"Win")))*SUMIFS($X$4:$X$810,$A$4:$A$810,$A208,$E$4:$E$810,"Loss"),-('Guide &amp; Settings'!$C$42/($F208-1))*$X208)))</f>
        <v>5.5392646200057039</v>
      </c>
      <c r="K208" s="118">
        <f>IF($D208="",0,'Guide &amp; Settings'!$C$43*(IF($E208="Win",1,0)-$I208))</f>
        <v>10.384466019417477</v>
      </c>
      <c r="L208" s="119">
        <f>IF($D208="",0,'Guide &amp; Settings'!$C$44*IF($F208&gt;=3,$F208,0))</f>
        <v>4</v>
      </c>
      <c r="M208" s="118">
        <f t="shared" si="54"/>
        <v>19.92373063942318</v>
      </c>
      <c r="N208" s="116">
        <f t="shared" si="55"/>
        <v>1062.6813702451004</v>
      </c>
      <c r="O208" s="115" t="str">
        <f t="shared" si="56"/>
        <v>OK</v>
      </c>
      <c r="P208">
        <f t="shared" si="57"/>
        <v>1042.205844527447</v>
      </c>
      <c r="Q208">
        <f t="shared" si="58"/>
        <v>0.50079409628328486</v>
      </c>
      <c r="R208">
        <f t="shared" si="59"/>
        <v>0.2857142857142857</v>
      </c>
      <c r="S208">
        <f t="shared" si="60"/>
        <v>2.1222527472527473</v>
      </c>
      <c r="T208" s="83">
        <f t="shared" si="61"/>
        <v>5</v>
      </c>
      <c r="U208" s="120">
        <f>IF($D208="",0,IFERROR(LOOKUP(2,1/(($D$3:D207=$D208)*($C$3:C207=$C208)*($A$3:A207&lt;$A208)),$AB$3:AB207),1000))</f>
        <v>965.40551589030713</v>
      </c>
      <c r="V208" s="120">
        <f t="shared" si="62"/>
        <v>1004.0815777479922</v>
      </c>
      <c r="W208">
        <f t="shared" si="63"/>
        <v>1017.4208332149695</v>
      </c>
      <c r="X208">
        <f t="shared" si="64"/>
        <v>0.48081269506366647</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IF($D208="","",IF(SUMPRODUCT(MAX(($D$4:$D$810=$D208)*($B$4:$B$810&lt;$B208)*$B$4:$B$810))=0,0,MAX(($B208-MAX(SUMPRODUCT(MAX(($D$4:$D$810=$D208)*($B$4:$B$810&lt;$B208)*$B$4:$B$810)),'Guide &amp; Settings'!$C$50))/7-'Guide &amp; Settings'!$C$48,0)*'Guide &amp; Settings'!$C$49))</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1041.6540494492169</v>
      </c>
      <c r="I209" s="117">
        <f t="shared" si="53"/>
        <v>0.29449838187702265</v>
      </c>
      <c r="J209" s="118">
        <f>IF($D209="",0,IF($F209&lt;2,0,IF($E209="Win",('Guide &amp; Settings'!$C$42/(($F209-1)*COUNTIFS($A$4:$A$810,$A209,$E$4:$E$810,"Win")))*SUMIFS($X$4:$X$810,$A$4:$A$810,$A209,$E$4:$E$810,"Loss"),-('Guide &amp; Settings'!$C$42/($F209-1))*$X209)))</f>
        <v>5.5392646200057039</v>
      </c>
      <c r="K209" s="118">
        <f>IF($D209="",0,'Guide &amp; Settings'!$C$43*(IF($E209="Win",1,0)-$I209))</f>
        <v>8.4660194174757279</v>
      </c>
      <c r="L209" s="119">
        <f>IF($D209="",0,'Guide &amp; Settings'!$C$44*IF($F209&gt;=3,$F209,0))</f>
        <v>4</v>
      </c>
      <c r="M209" s="118">
        <f t="shared" si="54"/>
        <v>18.005284037481431</v>
      </c>
      <c r="N209" s="116">
        <f t="shared" si="55"/>
        <v>1059.6593334866984</v>
      </c>
      <c r="O209" s="115" t="str">
        <f t="shared" si="56"/>
        <v>OK</v>
      </c>
      <c r="P209">
        <f t="shared" si="57"/>
        <v>1042.205844527447</v>
      </c>
      <c r="Q209">
        <f t="shared" si="58"/>
        <v>0.49920590371671542</v>
      </c>
      <c r="R209">
        <f t="shared" si="59"/>
        <v>0.625</v>
      </c>
      <c r="S209">
        <f t="shared" si="60"/>
        <v>2.1222527472527473</v>
      </c>
      <c r="T209" s="83">
        <f t="shared" si="61"/>
        <v>6</v>
      </c>
      <c r="U209" s="120">
        <f>IF($D209="",0,IFERROR(LOOKUP(2,1/(($D$3:D208=$D209)*($C$3:C208=$C209)*($A$3:A208&lt;$A209)),$AB$3:AB208),1000))</f>
        <v>1021.6817880425549</v>
      </c>
      <c r="V209" s="120">
        <f t="shared" si="62"/>
        <v>1030.7600886819469</v>
      </c>
      <c r="W209">
        <f t="shared" si="63"/>
        <v>1017.4208332149695</v>
      </c>
      <c r="X209">
        <f t="shared" si="64"/>
        <v>0.51918730493633347</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IF($D209="","",IF(SUMPRODUCT(MAX(($D$4:$D$810=$D209)*($B$4:$B$810&lt;$B209)*$B$4:$B$810))=0,0,MAX(($B209-MAX(SUMPRODUCT(MAX(($D$4:$D$810=$D209)*($B$4:$B$810&lt;$B209)*$B$4:$B$810)),'Guide &amp; Settings'!$C$50))/7-'Guide &amp; Settings'!$C$48,0)*'Guide &amp; Settings'!$C$49))</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1134.0440793414489</v>
      </c>
      <c r="I210" s="117">
        <f t="shared" si="53"/>
        <v>0.35339805825242721</v>
      </c>
      <c r="J210" s="118">
        <f>IF($D210="",0,IF($F210&lt;2,0,IF($E210="Win",('Guide &amp; Settings'!$C$42/(($F210-1)*COUNTIFS($A$4:$A$810,$A210,$E$4:$E$810,"Win")))*SUMIFS($X$4:$X$810,$A$4:$A$810,$A210,$E$4:$E$810,"Loss"),-('Guide &amp; Settings'!$C$42/($F210-1))*$X210)))</f>
        <v>-6.4181036164884624</v>
      </c>
      <c r="K210" s="118">
        <f>IF($D210="",0,'Guide &amp; Settings'!$C$43*(IF($E210="Win",1,0)-$I210))</f>
        <v>-4.2407766990291265</v>
      </c>
      <c r="L210" s="119">
        <f>IF($D210="",0,'Guide &amp; Settings'!$C$44*IF($F210&gt;=3,$F210,0))</f>
        <v>4</v>
      </c>
      <c r="M210" s="118">
        <f t="shared" si="54"/>
        <v>-6.6588803155175889</v>
      </c>
      <c r="N210" s="116">
        <f t="shared" si="55"/>
        <v>1127.3851990259313</v>
      </c>
      <c r="O210" s="115" t="str">
        <f t="shared" si="56"/>
        <v>OK</v>
      </c>
      <c r="P210">
        <f t="shared" si="57"/>
        <v>1042.205844527447</v>
      </c>
      <c r="Q210">
        <f t="shared" si="58"/>
        <v>0.62917131175203289</v>
      </c>
      <c r="R210">
        <f t="shared" si="59"/>
        <v>0.75</v>
      </c>
      <c r="S210">
        <f t="shared" si="60"/>
        <v>2.1222527472527473</v>
      </c>
      <c r="T210" s="83">
        <f t="shared" si="61"/>
        <v>10</v>
      </c>
      <c r="U210" s="120">
        <f>IF($D210="",0,IFERROR(LOOKUP(2,1/(($D$3:D209=$D210)*($C$3:C209=$C210)*($A$3:A209&lt;$A210)),$AB$3:AB209),1000))</f>
        <v>1066.6080040656045</v>
      </c>
      <c r="V210" s="120">
        <f t="shared" si="62"/>
        <v>1089.0866958242193</v>
      </c>
      <c r="W210">
        <f t="shared" si="63"/>
        <v>1017.4208332149695</v>
      </c>
      <c r="X210">
        <f t="shared" si="64"/>
        <v>0.60169721404579335</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IF($D210="","",IF(SUMPRODUCT(MAX(($D$4:$D$810=$D210)*($B$4:$B$810&lt;$B210)*$B$4:$B$810))=0,0,MAX(($B210-MAX(SUMPRODUCT(MAX(($D$4:$D$810=$D210)*($B$4:$B$810&lt;$B210)*$B$4:$B$810)),'Guide &amp; Settings'!$C$50))/7-'Guide &amp; Settings'!$C$48,0)*'Guide &amp; Settings'!$C$49))</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992.11836785925334</v>
      </c>
      <c r="I211" s="117">
        <f t="shared" si="53"/>
        <v>0.2174757281553398</v>
      </c>
      <c r="J211" s="118">
        <f>IF($D211="",0,IF($F211&lt;2,0,IF($E211="Win",('Guide &amp; Settings'!$C$42/(($F211-1)*COUNTIFS($A$4:$A$810,$A211,$E$4:$E$810,"Win")))*SUMIFS($X$4:$X$810,$A$4:$A$810,$A211,$E$4:$E$810,"Loss"),-('Guide &amp; Settings'!$C$42/($F211-1))*$X211)))</f>
        <v>-4.6604256235229453</v>
      </c>
      <c r="K211" s="118">
        <f>IF($D211="",0,'Guide &amp; Settings'!$C$43*(IF($E211="Win",1,0)-$I211))</f>
        <v>-2.6097087378640778</v>
      </c>
      <c r="L211" s="119">
        <f>IF($D211="",0,'Guide &amp; Settings'!$C$44*IF($F211&gt;=3,$F211,0))</f>
        <v>4</v>
      </c>
      <c r="M211" s="118">
        <f t="shared" si="54"/>
        <v>-3.2701343613870231</v>
      </c>
      <c r="N211" s="116">
        <f t="shared" si="55"/>
        <v>988.84823349786632</v>
      </c>
      <c r="O211" s="115" t="str">
        <f t="shared" si="56"/>
        <v>OK</v>
      </c>
      <c r="P211">
        <f t="shared" si="57"/>
        <v>1042.205844527447</v>
      </c>
      <c r="Q211">
        <f t="shared" si="58"/>
        <v>0.42841356963652888</v>
      </c>
      <c r="R211">
        <f t="shared" si="59"/>
        <v>0.46153846153846156</v>
      </c>
      <c r="S211">
        <f t="shared" si="60"/>
        <v>2.1222527472527473</v>
      </c>
      <c r="T211" s="83">
        <f t="shared" si="61"/>
        <v>11</v>
      </c>
      <c r="U211" s="120">
        <f>IF($D211="",0,IFERROR(LOOKUP(2,1/(($D$3:D210=$D211)*($C$3:C210=$C211)*($A$3:A210&lt;$A211)),$AB$3:AB210),1000))</f>
        <v>964.81886962643489</v>
      </c>
      <c r="V211" s="120">
        <f t="shared" si="62"/>
        <v>973.3499628241907</v>
      </c>
      <c r="W211">
        <f t="shared" si="63"/>
        <v>1017.4208332149695</v>
      </c>
      <c r="X211">
        <f t="shared" si="64"/>
        <v>0.43691490220527618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IF($D211="","",IF(SUMPRODUCT(MAX(($D$4:$D$810=$D211)*($B$4:$B$810&lt;$B211)*$B$4:$B$810))=0,0,MAX(($B211-MAX(SUMPRODUCT(MAX(($D$4:$D$810=$D211)*($B$4:$B$810&lt;$B211)*$B$4:$B$810)),'Guide &amp; Settings'!$C$50))/7-'Guide &amp; Settings'!$C$48,0)*'Guide &amp; Settings'!$C$49))</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991.08568456784496</v>
      </c>
      <c r="I212" s="117">
        <f t="shared" si="53"/>
        <v>0.13094310210444274</v>
      </c>
      <c r="J212" s="118">
        <f>IF($D212="",0,IF($F212&lt;2,0,IF($E212="Win",('Guide &amp; Settings'!$C$42/(($F212-1)*COUNTIFS($A$4:$A$810,$A212,$E$4:$E$810,"Win")))*SUMIFS($X$4:$X$810,$A$4:$A$810,$A212,$E$4:$E$810,"Loss"),-('Guide &amp; Settings'!$C$42/($F212-1))*$X212)))</f>
        <v>6.1020066918505096</v>
      </c>
      <c r="K212" s="118">
        <f>IF($D212="",0,'Guide &amp; Settings'!$C$43*(IF($E212="Win",1,0)-$I212))</f>
        <v>10.428682774746687</v>
      </c>
      <c r="L212" s="119">
        <f>IF($D212="",0,'Guide &amp; Settings'!$C$44*IF($F212&gt;=3,$F212,0))</f>
        <v>4</v>
      </c>
      <c r="M212" s="118">
        <f t="shared" si="54"/>
        <v>20.530689466597195</v>
      </c>
      <c r="N212" s="116">
        <f t="shared" si="55"/>
        <v>1011.6163740344422</v>
      </c>
      <c r="O212" s="115" t="str">
        <f t="shared" si="56"/>
        <v>OK</v>
      </c>
      <c r="P212">
        <f t="shared" si="57"/>
        <v>966.92291476487617</v>
      </c>
      <c r="Q212">
        <f t="shared" si="58"/>
        <v>0.53471706755293213</v>
      </c>
      <c r="R212">
        <f t="shared" si="59"/>
        <v>0.2</v>
      </c>
      <c r="S212">
        <f t="shared" si="60"/>
        <v>1.5273809523809523</v>
      </c>
      <c r="T212" s="83">
        <f t="shared" si="61"/>
        <v>3</v>
      </c>
      <c r="U212" s="120">
        <f>IF($D212="",0,IFERROR(LOOKUP(2,1/(($D$3:D211=$D212)*($C$3:C211=$C212)*($A$3:A211&lt;$A212)),$AB$3:AB211),1000))</f>
        <v>984.7993801654037</v>
      </c>
      <c r="V212" s="120">
        <f t="shared" si="62"/>
        <v>988.72832041692936</v>
      </c>
      <c r="W212">
        <f t="shared" si="63"/>
        <v>976.25404149029248</v>
      </c>
      <c r="X212">
        <f t="shared" si="64"/>
        <v>0.5179442205463477</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IF($D212="","",IF(SUMPRODUCT(MAX(($D$4:$D$810=$D212)*($B$4:$B$810&lt;$B212)*$B$4:$B$810))=0,0,MAX(($B212-MAX(SUMPRODUCT(MAX(($D$4:$D$810=$D212)*($B$4:$B$810&lt;$B212)*$B$4:$B$810)),'Guide &amp; Settings'!$C$50))/7-'Guide &amp; Settings'!$C$48,0)*'Guide &amp; Settings'!$C$49))</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942.76014496190749</v>
      </c>
      <c r="I213" s="117">
        <f t="shared" si="53"/>
        <v>0.18706157443491817</v>
      </c>
      <c r="J213" s="118">
        <f>IF($D213="",0,IF($F213&lt;2,0,IF($E213="Win",('Guide &amp; Settings'!$C$42/(($F213-1)*COUNTIFS($A$4:$A$810,$A213,$E$4:$E$810,"Win")))*SUMIFS($X$4:$X$810,$A$4:$A$810,$A213,$E$4:$E$810,"Loss"),-('Guide &amp; Settings'!$C$42/($F213-1))*$X213)))</f>
        <v>6.1020066918505096</v>
      </c>
      <c r="K213" s="118">
        <f>IF($D213="",0,'Guide &amp; Settings'!$C$43*(IF($E213="Win",1,0)-$I213))</f>
        <v>9.7552611067809814</v>
      </c>
      <c r="L213" s="119">
        <f>IF($D213="",0,'Guide &amp; Settings'!$C$44*IF($F213&gt;=3,$F213,0))</f>
        <v>4</v>
      </c>
      <c r="M213" s="118">
        <f t="shared" si="54"/>
        <v>19.85726779863149</v>
      </c>
      <c r="N213" s="116">
        <f t="shared" si="55"/>
        <v>962.61741276053897</v>
      </c>
      <c r="O213" s="115" t="str">
        <f t="shared" si="56"/>
        <v>OK</v>
      </c>
      <c r="P213">
        <f t="shared" si="57"/>
        <v>966.92291476487617</v>
      </c>
      <c r="Q213">
        <f t="shared" si="58"/>
        <v>0.46528293244706798</v>
      </c>
      <c r="R213">
        <f t="shared" si="59"/>
        <v>0.2857142857142857</v>
      </c>
      <c r="S213">
        <f t="shared" si="60"/>
        <v>1.5273809523809523</v>
      </c>
      <c r="T213" s="83">
        <f t="shared" si="61"/>
        <v>5</v>
      </c>
      <c r="U213" s="120">
        <f>IF($D213="",0,IFERROR(LOOKUP(2,1/(($D$3:D212=$D213)*($C$3:C212=$C213)*($A$3:A212&lt;$A213)),$AB$3:AB212),1000))</f>
        <v>984.7993801654037</v>
      </c>
      <c r="V213" s="120">
        <f t="shared" si="62"/>
        <v>963.77976256365559</v>
      </c>
      <c r="W213">
        <f t="shared" si="63"/>
        <v>976.25404149029248</v>
      </c>
      <c r="X213">
        <f t="shared" si="64"/>
        <v>0.48205577945365236</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IF($D213="","",IF(SUMPRODUCT(MAX(($D$4:$D$810=$D213)*($B$4:$B$810&lt;$B213)*$B$4:$B$810))=0,0,MAX(($B213-MAX(SUMPRODUCT(MAX(($D$4:$D$810=$D213)*($B$4:$B$810&lt;$B213)*$B$4:$B$810)),'Guide &amp; Settings'!$C$50))/7-'Guide &amp; Settings'!$C$48,0)*'Guide &amp; Settings'!$C$49))</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1062.6813702451004</v>
      </c>
      <c r="I214" s="117">
        <f t="shared" si="53"/>
        <v>0.24551831644583011</v>
      </c>
      <c r="J214" s="118">
        <f>IF($D214="",0,IF($F214&lt;2,0,IF($E214="Win",('Guide &amp; Settings'!$C$42/(($F214-1)*COUNTIFS($A$4:$A$810,$A214,$E$4:$E$810,"Win")))*SUMIFS($X$4:$X$810,$A$4:$A$810,$A214,$E$4:$E$810,"Loss"),-('Guide &amp; Settings'!$C$42/($F214-1))*$X214)))</f>
        <v>-5.890944233074265</v>
      </c>
      <c r="K214" s="118">
        <f>IF($D214="",0,'Guide &amp; Settings'!$C$43*(IF($E214="Win",1,0)-$I214))</f>
        <v>-2.9462197973499613</v>
      </c>
      <c r="L214" s="119">
        <f>IF($D214="",0,'Guide &amp; Settings'!$C$44*IF($F214&gt;=3,$F214,0))</f>
        <v>4</v>
      </c>
      <c r="M214" s="118">
        <f t="shared" si="54"/>
        <v>-4.8371640304242263</v>
      </c>
      <c r="N214" s="116">
        <f t="shared" si="55"/>
        <v>1057.8442062146762</v>
      </c>
      <c r="O214" s="115" t="str">
        <f t="shared" si="56"/>
        <v>OK</v>
      </c>
      <c r="P214">
        <f t="shared" si="57"/>
        <v>966.92291476487617</v>
      </c>
      <c r="Q214">
        <f t="shared" si="58"/>
        <v>0.63442090873074974</v>
      </c>
      <c r="R214">
        <f t="shared" si="59"/>
        <v>0.375</v>
      </c>
      <c r="S214">
        <f t="shared" si="60"/>
        <v>1.5273809523809523</v>
      </c>
      <c r="T214" s="83">
        <f t="shared" si="61"/>
        <v>6</v>
      </c>
      <c r="U214" s="120">
        <f>IF($D214="",0,IFERROR(LOOKUP(2,1/(($D$3:D213=$D214)*($C$3:C213=$C214)*($A$3:A213&lt;$A214)),$AB$3:AB213),1000))</f>
        <v>971.07154576093114</v>
      </c>
      <c r="V214" s="120">
        <f t="shared" si="62"/>
        <v>1012.7123750719172</v>
      </c>
      <c r="W214">
        <f t="shared" si="63"/>
        <v>976.25404149029248</v>
      </c>
      <c r="X214">
        <f t="shared" si="64"/>
        <v>0.55227602185071234</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IF($D214="","",IF(SUMPRODUCT(MAX(($D$4:$D$810=$D214)*($B$4:$B$810&lt;$B214)*$B$4:$B$810))=0,0,MAX(($B214-MAX(SUMPRODUCT(MAX(($D$4:$D$810=$D214)*($B$4:$B$810&lt;$B214)*$B$4:$B$810)),'Guide &amp; Settings'!$C$50))/7-'Guide &amp; Settings'!$C$48,0)*'Guide &amp; Settings'!$C$49))</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1059.6593334866984</v>
      </c>
      <c r="I215" s="117">
        <f t="shared" si="53"/>
        <v>0.43647700701480907</v>
      </c>
      <c r="J215" s="118">
        <f>IF($D215="",0,IF($F215&lt;2,0,IF($E215="Win",('Guide &amp; Settings'!$C$42/(($F215-1)*COUNTIFS($A$4:$A$810,$A215,$E$4:$E$810,"Win")))*SUMIFS($X$4:$X$810,$A$4:$A$810,$A215,$E$4:$E$810,"Loss"),-('Guide &amp; Settings'!$C$42/($F215-1))*$X215)))</f>
        <v>-6.3130691506267542</v>
      </c>
      <c r="K215" s="118">
        <f>IF($D215="",0,'Guide &amp; Settings'!$C$43*(IF($E215="Win",1,0)-$I215))</f>
        <v>-5.2377240841777084</v>
      </c>
      <c r="L215" s="119">
        <f>IF($D215="",0,'Guide &amp; Settings'!$C$44*IF($F215&gt;=3,$F215,0))</f>
        <v>4</v>
      </c>
      <c r="M215" s="118">
        <f t="shared" si="54"/>
        <v>-7.5507932348044626</v>
      </c>
      <c r="N215" s="116">
        <f t="shared" si="55"/>
        <v>1052.1085402518941</v>
      </c>
      <c r="O215" s="115" t="str">
        <f t="shared" si="56"/>
        <v>OK</v>
      </c>
      <c r="P215">
        <f t="shared" si="57"/>
        <v>966.92291476487617</v>
      </c>
      <c r="Q215">
        <f t="shared" si="58"/>
        <v>0.63037682582607213</v>
      </c>
      <c r="R215">
        <f t="shared" si="59"/>
        <v>0.66666666666666663</v>
      </c>
      <c r="S215">
        <f t="shared" si="60"/>
        <v>1.5273809523809523</v>
      </c>
      <c r="T215" s="83">
        <f t="shared" si="61"/>
        <v>7</v>
      </c>
      <c r="U215" s="120">
        <f>IF($D215="",0,IFERROR(LOOKUP(2,1/(($D$3:D214=$D215)*($C$3:C214=$C215)*($A$3:A214&lt;$A215)),$AB$3:AB214),1000))</f>
        <v>1027.3478179131789</v>
      </c>
      <c r="V215" s="120">
        <f t="shared" si="62"/>
        <v>1040.8109494021455</v>
      </c>
      <c r="W215">
        <f t="shared" si="63"/>
        <v>976.25404149029248</v>
      </c>
      <c r="X215">
        <f t="shared" si="64"/>
        <v>0.59185023287125826</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IF($D215="","",IF(SUMPRODUCT(MAX(($D$4:$D$810=$D215)*($B$4:$B$810&lt;$B215)*$B$4:$B$810))=0,0,MAX(($B215-MAX(SUMPRODUCT(MAX(($D$4:$D$810=$D215)*($B$4:$B$810&lt;$B215)*$B$4:$B$810)),'Guide &amp; Settings'!$C$50))/7-'Guide &amp; Settings'!$C$48,0)*'Guide &amp; Settings'!$C$49))</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1011.6163740344422</v>
      </c>
      <c r="I216" s="117">
        <f t="shared" si="53"/>
        <v>0.20168067226890757</v>
      </c>
      <c r="J216" s="118">
        <f>IF($D216="",0,IF($F216&lt;2,0,IF($E216="Win",('Guide &amp; Settings'!$C$42/(($F216-1)*COUNTIFS($A$4:$A$810,$A216,$E$4:$E$810,"Win")))*SUMIFS($X$4:$X$810,$A$4:$A$810,$A216,$E$4:$E$810,"Loss"),-('Guide &amp; Settings'!$C$42/($F216-1))*$X216)))</f>
        <v>6.0296423998356339</v>
      </c>
      <c r="K216" s="118">
        <f>IF($D216="",0,'Guide &amp; Settings'!$C$43*(IF($E216="Win",1,0)-$I216))</f>
        <v>9.5798319327731107</v>
      </c>
      <c r="L216" s="119">
        <f>IF($D216="",0,'Guide &amp; Settings'!$C$44*IF($F216&gt;=3,$F216,0))</f>
        <v>4</v>
      </c>
      <c r="M216" s="118">
        <f t="shared" si="54"/>
        <v>19.609474332608745</v>
      </c>
      <c r="N216" s="116">
        <f t="shared" si="55"/>
        <v>1031.225848367051</v>
      </c>
      <c r="O216" s="115" t="str">
        <f t="shared" si="56"/>
        <v>OK</v>
      </c>
      <c r="P216">
        <f t="shared" si="57"/>
        <v>987.11689339749057</v>
      </c>
      <c r="Q216">
        <f t="shared" si="58"/>
        <v>0.53519926465643985</v>
      </c>
      <c r="R216">
        <f t="shared" si="59"/>
        <v>0.33333333333333331</v>
      </c>
      <c r="S216">
        <f t="shared" si="60"/>
        <v>1.6527777777777777</v>
      </c>
      <c r="T216" s="83">
        <f t="shared" si="61"/>
        <v>4</v>
      </c>
      <c r="U216" s="120">
        <f>IF($D216="",0,IFERROR(LOOKUP(2,1/(($D$3:D215=$D216)*($C$3:C215=$C216)*($A$3:A215&lt;$A216)),$AB$3:AB215),1000))</f>
        <v>990.35235175265393</v>
      </c>
      <c r="V216" s="120">
        <f t="shared" si="62"/>
        <v>1002.1656974647585</v>
      </c>
      <c r="W216">
        <f t="shared" si="63"/>
        <v>989.95562938322553</v>
      </c>
      <c r="X216">
        <f t="shared" si="64"/>
        <v>0.51756447001334061</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IF($D216="","",IF(SUMPRODUCT(MAX(($D$4:$D$810=$D216)*($B$4:$B$810&lt;$B216)*$B$4:$B$810))=0,0,MAX(($B216-MAX(SUMPRODUCT(MAX(($D$4:$D$810=$D216)*($B$4:$B$810&lt;$B216)*$B$4:$B$810)),'Guide &amp; Settings'!$C$50))/7-'Guide &amp; Settings'!$C$48,0)*'Guide &amp; Settings'!$C$49))</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962.61741276053897</v>
      </c>
      <c r="I217" s="117">
        <f t="shared" si="53"/>
        <v>0.22689075630252103</v>
      </c>
      <c r="J217" s="118">
        <f>IF($D217="",0,IF($F217&lt;2,0,IF($E217="Win",('Guide &amp; Settings'!$C$42/(($F217-1)*COUNTIFS($A$4:$A$810,$A217,$E$4:$E$810,"Win")))*SUMIFS($X$4:$X$810,$A$4:$A$810,$A217,$E$4:$E$810,"Loss"),-('Guide &amp; Settings'!$C$42/($F217-1))*$X217)))</f>
        <v>6.0296423998356339</v>
      </c>
      <c r="K217" s="118">
        <f>IF($D217="",0,'Guide &amp; Settings'!$C$43*(IF($E217="Win",1,0)-$I217))</f>
        <v>9.2773109243697469</v>
      </c>
      <c r="L217" s="119">
        <f>IF($D217="",0,'Guide &amp; Settings'!$C$44*IF($F217&gt;=3,$F217,0))</f>
        <v>4</v>
      </c>
      <c r="M217" s="118">
        <f t="shared" si="54"/>
        <v>19.306953324205381</v>
      </c>
      <c r="N217" s="116">
        <f t="shared" si="55"/>
        <v>981.92436608474441</v>
      </c>
      <c r="O217" s="115" t="str">
        <f t="shared" si="56"/>
        <v>OK</v>
      </c>
      <c r="P217">
        <f t="shared" si="57"/>
        <v>987.11689339749057</v>
      </c>
      <c r="Q217">
        <f t="shared" si="58"/>
        <v>0.46480073534356003</v>
      </c>
      <c r="R217">
        <f t="shared" si="59"/>
        <v>0.375</v>
      </c>
      <c r="S217">
        <f t="shared" si="60"/>
        <v>1.6527777777777777</v>
      </c>
      <c r="T217" s="83">
        <f t="shared" si="61"/>
        <v>6</v>
      </c>
      <c r="U217" s="120">
        <f>IF($D217="",0,IFERROR(LOOKUP(2,1/(($D$3:D216=$D217)*($C$3:C216=$C217)*($A$3:A216&lt;$A217)),$AB$3:AB216),1000))</f>
        <v>990.35235175265393</v>
      </c>
      <c r="V217" s="120">
        <f t="shared" si="62"/>
        <v>977.74556130169253</v>
      </c>
      <c r="W217">
        <f t="shared" si="63"/>
        <v>989.95562938322553</v>
      </c>
      <c r="X217">
        <f t="shared" si="64"/>
        <v>0.48243552998665945</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IF($D217="","",IF(SUMPRODUCT(MAX(($D$4:$D$810=$D217)*($B$4:$B$810&lt;$B217)*$B$4:$B$810))=0,0,MAX(($B217-MAX(SUMPRODUCT(MAX(($D$4:$D$810=$D217)*($B$4:$B$810&lt;$B217)*$B$4:$B$810)),'Guide &amp; Settings'!$C$50))/7-'Guide &amp; Settings'!$C$48,0)*'Guide &amp; Settings'!$C$49))</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1029.7715942913092</v>
      </c>
      <c r="I218" s="117">
        <f t="shared" si="53"/>
        <v>0.30252100840336138</v>
      </c>
      <c r="J218" s="118">
        <f>IF($D218="",0,IF($F218&lt;2,0,IF($E218="Win",('Guide &amp; Settings'!$C$42/(($F218-1)*COUNTIFS($A$4:$A$810,$A218,$E$4:$E$810,"Win")))*SUMIFS($X$4:$X$810,$A$4:$A$810,$A218,$E$4:$E$810,"Loss"),-('Guide &amp; Settings'!$C$42/($F218-1))*$X218)))</f>
        <v>-5.666286335300609</v>
      </c>
      <c r="K218" s="118">
        <f>IF($D218="",0,'Guide &amp; Settings'!$C$43*(IF($E218="Win",1,0)-$I218))</f>
        <v>-3.6302521008403366</v>
      </c>
      <c r="L218" s="119">
        <f>IF($D218="",0,'Guide &amp; Settings'!$C$44*IF($F218&gt;=3,$F218,0))</f>
        <v>4</v>
      </c>
      <c r="M218" s="118">
        <f t="shared" si="54"/>
        <v>-5.2965384361409455</v>
      </c>
      <c r="N218" s="116">
        <f t="shared" si="55"/>
        <v>1024.4750558551682</v>
      </c>
      <c r="O218" s="115" t="str">
        <f t="shared" si="56"/>
        <v>OK</v>
      </c>
      <c r="P218">
        <f t="shared" si="57"/>
        <v>987.11689339749057</v>
      </c>
      <c r="Q218">
        <f t="shared" si="58"/>
        <v>0.56107848848056352</v>
      </c>
      <c r="R218">
        <f t="shared" si="59"/>
        <v>0.5</v>
      </c>
      <c r="S218">
        <f t="shared" si="60"/>
        <v>1.6527777777777777</v>
      </c>
      <c r="T218" s="83">
        <f t="shared" si="61"/>
        <v>8</v>
      </c>
      <c r="U218" s="120">
        <f>IF($D218="",0,IFERROR(LOOKUP(2,1/(($D$3:D217=$D218)*($C$3:C217=$C218)*($A$3:A217&lt;$A218)),$AB$3:AB217),1000))</f>
        <v>1000.3627125129412</v>
      </c>
      <c r="V218" s="120">
        <f t="shared" si="62"/>
        <v>1011.6738208892366</v>
      </c>
      <c r="W218">
        <f t="shared" si="63"/>
        <v>989.95562938322553</v>
      </c>
      <c r="X218">
        <f t="shared" si="64"/>
        <v>0.53121434393443212</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IF($D218="","",IF(SUMPRODUCT(MAX(($D$4:$D$810=$D218)*($B$4:$B$810&lt;$B218)*$B$4:$B$810))=0,0,MAX(($B218-MAX(SUMPRODUCT(MAX(($D$4:$D$810=$D218)*($B$4:$B$810&lt;$B218)*$B$4:$B$810)),'Guide &amp; Settings'!$C$50))/7-'Guide &amp; Settings'!$C$48,0)*'Guide &amp; Settings'!$C$49))</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1163.6944202317491</v>
      </c>
      <c r="I219" s="117">
        <f t="shared" si="53"/>
        <v>0.26890756302521007</v>
      </c>
      <c r="J219" s="118">
        <f>IF($D219="",0,IF($F219&lt;2,0,IF($E219="Win",('Guide &amp; Settings'!$C$42/(($F219-1)*COUNTIFS($A$4:$A$810,$A219,$E$4:$E$810,"Win")))*SUMIFS($X$4:$X$810,$A$4:$A$810,$A219,$E$4:$E$810,"Loss"),-('Guide &amp; Settings'!$C$42/($F219-1))*$X219)))</f>
        <v>-6.3929984643706579</v>
      </c>
      <c r="K219" s="118">
        <f>IF($D219="",0,'Guide &amp; Settings'!$C$43*(IF($E219="Win",1,0)-$I219))</f>
        <v>-3.2268907563025211</v>
      </c>
      <c r="L219" s="119">
        <f>IF($D219="",0,'Guide &amp; Settings'!$C$44*IF($F219&gt;=3,$F219,0))</f>
        <v>4</v>
      </c>
      <c r="M219" s="118">
        <f t="shared" si="54"/>
        <v>-5.6198892206731799</v>
      </c>
      <c r="N219" s="116">
        <f t="shared" si="55"/>
        <v>1158.0745310110758</v>
      </c>
      <c r="O219" s="115" t="str">
        <f t="shared" si="56"/>
        <v>OK</v>
      </c>
      <c r="P219">
        <f t="shared" si="57"/>
        <v>987.11689339749057</v>
      </c>
      <c r="Q219">
        <f t="shared" si="58"/>
        <v>0.73428285803302462</v>
      </c>
      <c r="R219">
        <f t="shared" si="59"/>
        <v>0.44444444444444442</v>
      </c>
      <c r="S219">
        <f t="shared" si="60"/>
        <v>1.6527777777777777</v>
      </c>
      <c r="T219" s="83">
        <f t="shared" si="61"/>
        <v>7</v>
      </c>
      <c r="U219" s="120">
        <f>IF($D219="",0,IFERROR(LOOKUP(2,1/(($D$3:D218=$D219)*($C$3:C218=$C219)*($A$3:A218&lt;$A219)),$AB$3:AB218),1000))</f>
        <v>985.79052638539679</v>
      </c>
      <c r="V219" s="120">
        <f t="shared" si="62"/>
        <v>1059.9171488213769</v>
      </c>
      <c r="W219">
        <f t="shared" si="63"/>
        <v>989.95562938322553</v>
      </c>
      <c r="X219">
        <f t="shared" si="64"/>
        <v>0.59934360603474923</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IF($D219="","",IF(SUMPRODUCT(MAX(($D$4:$D$810=$D219)*($B$4:$B$810&lt;$B219)*$B$4:$B$810))=0,0,MAX(($B219-MAX(SUMPRODUCT(MAX(($D$4:$D$810=$D219)*($B$4:$B$810&lt;$B219)*$B$4:$B$810)),'Guide &amp; Settings'!$C$50))/7-'Guide &amp; Settings'!$C$48,0)*'Guide &amp; Settings'!$C$49))</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1127.3851990259313</v>
      </c>
      <c r="I220" s="117">
        <f t="shared" si="53"/>
        <v>0.5</v>
      </c>
      <c r="J220" s="118">
        <f>IF($D220="",0,IF($F220&lt;2,0,IF($E220="Win",('Guide &amp; Settings'!$C$42/(($F220-1)*COUNTIFS($A$4:$A$810,$A220,$E$4:$E$810,"Win")))*SUMIFS($X$4:$X$810,$A$4:$A$810,$A220,$E$4:$E$810,"Loss"),-('Guide &amp; Settings'!$C$42/($F220-1))*$X220)))</f>
        <v>14.031965214538561</v>
      </c>
      <c r="K220" s="118">
        <f>IF($D220="",0,'Guide &amp; Settings'!$C$43*(IF($E220="Win",1,0)-$I220))</f>
        <v>6</v>
      </c>
      <c r="L220" s="119">
        <f>IF($D220="",0,'Guide &amp; Settings'!$C$44*IF($F220&gt;=3,$F220,0))</f>
        <v>0</v>
      </c>
      <c r="M220" s="118">
        <f t="shared" si="54"/>
        <v>20.031965214538559</v>
      </c>
      <c r="N220" s="116">
        <f t="shared" si="55"/>
        <v>1147.4171642404699</v>
      </c>
      <c r="O220" s="115" t="str">
        <f t="shared" si="56"/>
        <v>OK</v>
      </c>
      <c r="P220">
        <f t="shared" si="57"/>
        <v>1127.3851990259313</v>
      </c>
      <c r="Q220">
        <f t="shared" si="58"/>
        <v>0.5</v>
      </c>
      <c r="R220">
        <f t="shared" si="59"/>
        <v>0.5</v>
      </c>
      <c r="S220">
        <f t="shared" si="60"/>
        <v>1</v>
      </c>
      <c r="T220" s="83">
        <f t="shared" si="61"/>
        <v>0</v>
      </c>
      <c r="U220" s="120">
        <f>IF($D220="",0,IFERROR(LOOKUP(2,1/(($D$3:D219=$D220)*($C$3:C219=$C220)*($A$3:A219&lt;$A220)),$AB$3:AB219),1000))</f>
        <v>1000</v>
      </c>
      <c r="V220" s="120">
        <f t="shared" si="62"/>
        <v>1127.3851990259313</v>
      </c>
      <c r="W220">
        <f t="shared" si="63"/>
        <v>1127.3851990259313</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IF($D220="","",IF(SUMPRODUCT(MAX(($D$4:$D$810=$D220)*($B$4:$B$810&lt;$B220)*$B$4:$B$810))=0,0,MAX(($B220-MAX(SUMPRODUCT(MAX(($D$4:$D$810=$D220)*($B$4:$B$810&lt;$B220)*$B$4:$B$810)),'Guide &amp; Settings'!$C$50))/7-'Guide &amp; Settings'!$C$48,0)*'Guide &amp; Settings'!$C$49))</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1155.8757908762943</v>
      </c>
      <c r="I221" s="117">
        <f t="shared" si="53"/>
        <v>0.5</v>
      </c>
      <c r="J221" s="118">
        <f>IF($D221="",0,IF($F221&lt;2,0,IF($E221="Win",('Guide &amp; Settings'!$C$42/(($F221-1)*COUNTIFS($A$4:$A$810,$A221,$E$4:$E$810,"Win")))*SUMIFS($X$4:$X$810,$A$4:$A$810,$A221,$E$4:$E$810,"Loss"),-('Guide &amp; Settings'!$C$42/($F221-1))*$X221)))</f>
        <v>-14.031965214538561</v>
      </c>
      <c r="K221" s="118">
        <f>IF($D221="",0,'Guide &amp; Settings'!$C$43*(IF($E221="Win",1,0)-$I221))</f>
        <v>-6</v>
      </c>
      <c r="L221" s="119">
        <f>IF($D221="",0,'Guide &amp; Settings'!$C$44*IF($F221&gt;=3,$F221,0))</f>
        <v>0</v>
      </c>
      <c r="M221" s="118">
        <f t="shared" si="54"/>
        <v>-20.031965214538559</v>
      </c>
      <c r="N221" s="116">
        <f t="shared" si="55"/>
        <v>1135.8438256617558</v>
      </c>
      <c r="O221" s="115" t="str">
        <f t="shared" si="56"/>
        <v>OK</v>
      </c>
      <c r="P221">
        <f t="shared" si="57"/>
        <v>1127.3851990259313</v>
      </c>
      <c r="Q221">
        <f t="shared" si="58"/>
        <v>0.54090960095736162</v>
      </c>
      <c r="R221">
        <f t="shared" si="59"/>
        <v>0.5</v>
      </c>
      <c r="S221">
        <f t="shared" si="60"/>
        <v>1</v>
      </c>
      <c r="T221" s="83">
        <f t="shared" si="61"/>
        <v>4</v>
      </c>
      <c r="U221" s="120">
        <f>IF($D221="",0,IFERROR(LOOKUP(2,1/(($D$3:D220=$D221)*($C$3:C220=$C221)*($A$3:A220&lt;$A221)),$AB$3:AB220),1000))</f>
        <v>995.12808694655291</v>
      </c>
      <c r="V221" s="120">
        <f t="shared" si="62"/>
        <v>1084.4323669075202</v>
      </c>
      <c r="W221">
        <f t="shared" si="63"/>
        <v>1127.3851990259313</v>
      </c>
      <c r="X221">
        <f t="shared" si="64"/>
        <v>0.43849891295433002</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IF($D221="","",IF(SUMPRODUCT(MAX(($D$4:$D$810=$D221)*($B$4:$B$810&lt;$B221)*$B$4:$B$810))=0,0,MAX(($B221-MAX(SUMPRODUCT(MAX(($D$4:$D$810=$D221)*($B$4:$B$810&lt;$B221)*$B$4:$B$810)),'Guide &amp; Settings'!$C$50))/7-'Guide &amp; Settings'!$C$48,0)*'Guide &amp; Settings'!$C$49))</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1147.4171642404699</v>
      </c>
      <c r="I222" s="117">
        <f t="shared" si="53"/>
        <v>0.60869565217391308</v>
      </c>
      <c r="J222" s="118">
        <f>IF($D222="",0,IF($F222&lt;2,0,IF($E222="Win",('Guide &amp; Settings'!$C$42/(($F222-1)*COUNTIFS($A$4:$A$810,$A222,$E$4:$E$810,"Win")))*SUMIFS($X$4:$X$810,$A$4:$A$810,$A222,$E$4:$E$810,"Loss"),-('Guide &amp; Settings'!$C$42/($F222-1))*$X222)))</f>
        <v>12.913240540934135</v>
      </c>
      <c r="K222" s="118">
        <f>IF($D222="",0,'Guide &amp; Settings'!$C$43*(IF($E222="Win",1,0)-$I222))</f>
        <v>4.695652173913043</v>
      </c>
      <c r="L222" s="119">
        <f>IF($D222="",0,'Guide &amp; Settings'!$C$44*IF($F222&gt;=3,$F222,0))</f>
        <v>0</v>
      </c>
      <c r="M222" s="118">
        <f t="shared" si="54"/>
        <v>17.60889271484718</v>
      </c>
      <c r="N222" s="116">
        <f t="shared" si="55"/>
        <v>1165.026056955317</v>
      </c>
      <c r="O222" s="115" t="str">
        <f t="shared" si="56"/>
        <v>OK</v>
      </c>
      <c r="P222">
        <f t="shared" si="57"/>
        <v>1147.4171642404699</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1125.4769126698477</v>
      </c>
      <c r="W222">
        <f t="shared" si="63"/>
        <v>1125.4769126698477</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IF($D222="","",IF(SUMPRODUCT(MAX(($D$4:$D$810=$D222)*($B$4:$B$810&lt;$B222)*$B$4:$B$810))=0,0,MAX(($B222-MAX(SUMPRODUCT(MAX(($D$4:$D$810=$D222)*($B$4:$B$810&lt;$B222)*$B$4:$B$810)),'Guide &amp; Settings'!$C$50))/7-'Guide &amp; Settings'!$C$48,0)*'Guide &amp; Settings'!$C$49))</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1135.8438256617558</v>
      </c>
      <c r="I223" s="117">
        <f t="shared" si="53"/>
        <v>0.39130434782608697</v>
      </c>
      <c r="J223" s="118">
        <f>IF($D223="",0,IF($F223&lt;2,0,IF($E223="Win",('Guide &amp; Settings'!$C$42/(($F223-1)*COUNTIFS($A$4:$A$810,$A223,$E$4:$E$810,"Win")))*SUMIFS($X$4:$X$810,$A$4:$A$810,$A223,$E$4:$E$810,"Loss"),-('Guide &amp; Settings'!$C$42/($F223-1))*$X223)))</f>
        <v>-12.913240540934135</v>
      </c>
      <c r="K223" s="118">
        <f>IF($D223="",0,'Guide &amp; Settings'!$C$43*(IF($E223="Win",1,0)-$I223))</f>
        <v>-4.6956521739130439</v>
      </c>
      <c r="L223" s="119">
        <f>IF($D223="",0,'Guide &amp; Settings'!$C$44*IF($F223&gt;=3,$F223,0))</f>
        <v>0</v>
      </c>
      <c r="M223" s="118">
        <f t="shared" si="54"/>
        <v>-17.60889271484718</v>
      </c>
      <c r="N223" s="116">
        <f t="shared" si="55"/>
        <v>1118.2349329469087</v>
      </c>
      <c r="O223" s="115" t="str">
        <f t="shared" si="56"/>
        <v>OK</v>
      </c>
      <c r="P223">
        <f t="shared" si="57"/>
        <v>1147.4171642404699</v>
      </c>
      <c r="Q223">
        <f t="shared" si="58"/>
        <v>0.48335078451187535</v>
      </c>
      <c r="R223">
        <f t="shared" si="59"/>
        <v>0.42857142857142855</v>
      </c>
      <c r="S223">
        <f t="shared" si="60"/>
        <v>1.0952380952380951</v>
      </c>
      <c r="T223" s="83">
        <f t="shared" si="61"/>
        <v>5</v>
      </c>
      <c r="U223" s="120">
        <f>IF($D223="",0,IFERROR(LOOKUP(2,1/(($D$3:D222=$D223)*($C$3:C222=$C223)*($A$3:A222&lt;$A223)),$AB$3:AB222),1000))</f>
        <v>979.35243212981607</v>
      </c>
      <c r="V223" s="120">
        <f t="shared" si="62"/>
        <v>1057.598128895786</v>
      </c>
      <c r="W223">
        <f t="shared" si="63"/>
        <v>1125.4769126698477</v>
      </c>
      <c r="X223">
        <f t="shared" si="64"/>
        <v>0.40353876690419171</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IF($D223="","",IF(SUMPRODUCT(MAX(($D$4:$D$810=$D223)*($B$4:$B$810&lt;$B223)*$B$4:$B$810))=0,0,MAX(($B223-MAX(SUMPRODUCT(MAX(($D$4:$D$810=$D223)*($B$4:$B$810&lt;$B223)*$B$4:$B$810)),'Guide &amp; Settings'!$C$50))/7-'Guide &amp; Settings'!$C$48,0)*'Guide &amp; Settings'!$C$49))</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1053.8268660498134</v>
      </c>
      <c r="I224" s="117">
        <f t="shared" si="53"/>
        <v>0.33333333333333331</v>
      </c>
      <c r="J224" s="118">
        <f>IF($D224="",0,IF($F224&lt;2,0,IF($E224="Win",('Guide &amp; Settings'!$C$42/(($F224-1)*COUNTIFS($A$4:$A$810,$A224,$E$4:$E$810,"Win")))*SUMIFS($X$4:$X$810,$A$4:$A$810,$A224,$E$4:$E$810,"Loss"),-('Guide &amp; Settings'!$C$42/($F224-1))*$X224)))</f>
        <v>13.846768378582084</v>
      </c>
      <c r="K224" s="118">
        <f>IF($D224="",0,'Guide &amp; Settings'!$C$43*(IF($E224="Win",1,0)-$I224))</f>
        <v>8</v>
      </c>
      <c r="L224" s="119">
        <f>IF($D224="",0,'Guide &amp; Settings'!$C$44*IF($F224&gt;=3,$F224,0))</f>
        <v>3</v>
      </c>
      <c r="M224" s="118">
        <f t="shared" si="54"/>
        <v>24.846768378582084</v>
      </c>
      <c r="N224" s="116">
        <f t="shared" si="55"/>
        <v>1078.6736344283954</v>
      </c>
      <c r="O224" s="115" t="str">
        <f t="shared" si="56"/>
        <v>OK</v>
      </c>
      <c r="P224">
        <f t="shared" si="57"/>
        <v>1053.8268660498134</v>
      </c>
      <c r="Q224">
        <f t="shared" si="58"/>
        <v>0.5</v>
      </c>
      <c r="R224">
        <f t="shared" si="59"/>
        <v>0.5</v>
      </c>
      <c r="S224">
        <f t="shared" si="60"/>
        <v>1.5</v>
      </c>
      <c r="T224" s="83">
        <f t="shared" si="61"/>
        <v>0</v>
      </c>
      <c r="U224" s="120">
        <f>IF($D224="",0,IFERROR(LOOKUP(2,1/(($D$3:D223=$D224)*($C$3:C223=$C224)*($A$3:A223&lt;$A224)),$AB$3:AB223),1000))</f>
        <v>1000</v>
      </c>
      <c r="V224" s="120">
        <f t="shared" si="62"/>
        <v>1053.8268660498134</v>
      </c>
      <c r="W224">
        <f t="shared" si="63"/>
        <v>1053.8268660498134</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IF($D224="","",IF(SUMPRODUCT(MAX(($D$4:$D$810=$D224)*($B$4:$B$810&lt;$B224)*$B$4:$B$810))=0,0,MAX(($B224-MAX(SUMPRODUCT(MAX(($D$4:$D$810=$D224)*($B$4:$B$810&lt;$B224)*$B$4:$B$810)),'Guide &amp; Settings'!$C$50))/7-'Guide &amp; Settings'!$C$48,0)*'Guide &amp; Settings'!$C$49))</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988.84823349786632</v>
      </c>
      <c r="I225" s="117">
        <f t="shared" si="53"/>
        <v>0.33333333333333331</v>
      </c>
      <c r="J225" s="118">
        <f>IF($D225="",0,IF($F225&lt;2,0,IF($E225="Win",('Guide &amp; Settings'!$C$42/(($F225-1)*COUNTIFS($A$4:$A$810,$A225,$E$4:$E$810,"Win")))*SUMIFS($X$4:$X$810,$A$4:$A$810,$A225,$E$4:$E$810,"Loss"),-('Guide &amp; Settings'!$C$42/($F225-1))*$X225)))</f>
        <v>-6.5210154931950557</v>
      </c>
      <c r="K225" s="118">
        <f>IF($D225="",0,'Guide &amp; Settings'!$C$43*(IF($E225="Win",1,0)-$I225))</f>
        <v>-4</v>
      </c>
      <c r="L225" s="119">
        <f>IF($D225="",0,'Guide &amp; Settings'!$C$44*IF($F225&gt;=3,$F225,0))</f>
        <v>3</v>
      </c>
      <c r="M225" s="118">
        <f t="shared" si="54"/>
        <v>-7.5210154931950548</v>
      </c>
      <c r="N225" s="116">
        <f t="shared" si="55"/>
        <v>981.32721800467129</v>
      </c>
      <c r="O225" s="115" t="str">
        <f t="shared" si="56"/>
        <v>OK</v>
      </c>
      <c r="P225">
        <f t="shared" si="57"/>
        <v>1053.8268660498134</v>
      </c>
      <c r="Q225">
        <f t="shared" si="58"/>
        <v>0.40756346832469098</v>
      </c>
      <c r="R225">
        <f t="shared" si="59"/>
        <v>0.5</v>
      </c>
      <c r="S225">
        <f t="shared" si="60"/>
        <v>1.5</v>
      </c>
      <c r="T225" s="83">
        <f t="shared" si="61"/>
        <v>0</v>
      </c>
      <c r="U225" s="120">
        <f>IF($D225="",0,IFERROR(LOOKUP(2,1/(($D$3:D224=$D225)*($C$3:C224=$C225)*($A$3:A224&lt;$A225)),$AB$3:AB224),1000))</f>
        <v>1000</v>
      </c>
      <c r="V225" s="120">
        <f t="shared" si="62"/>
        <v>988.84823349786632</v>
      </c>
      <c r="W225">
        <f t="shared" si="63"/>
        <v>1053.8268660498134</v>
      </c>
      <c r="X225">
        <f t="shared" si="64"/>
        <v>0.40756346832469098</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IF($D225="","",IF(SUMPRODUCT(MAX(($D$4:$D$810=$D225)*($B$4:$B$810&lt;$B225)*$B$4:$B$810))=0,0,MAX(($B225-MAX(SUMPRODUCT(MAX(($D$4:$D$810=$D225)*($B$4:$B$810&lt;$B225)*$B$4:$B$810)),'Guide &amp; Settings'!$C$50))/7-'Guide &amp; Settings'!$C$48,0)*'Guide &amp; Settings'!$C$49))</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1024.4750558551682</v>
      </c>
      <c r="I226" s="117">
        <f t="shared" si="53"/>
        <v>0.33333333333333331</v>
      </c>
      <c r="J226" s="118">
        <f>IF($D226="",0,IF($F226&lt;2,0,IF($E226="Win",('Guide &amp; Settings'!$C$42/(($F226-1)*COUNTIFS($A$4:$A$810,$A226,$E$4:$E$810,"Win")))*SUMIFS($X$4:$X$810,$A$4:$A$810,$A226,$E$4:$E$810,"Loss"),-('Guide &amp; Settings'!$C$42/($F226-1))*$X226)))</f>
        <v>-7.3257528853870291</v>
      </c>
      <c r="K226" s="118">
        <f>IF($D226="",0,'Guide &amp; Settings'!$C$43*(IF($E226="Win",1,0)-$I226))</f>
        <v>-4</v>
      </c>
      <c r="L226" s="119">
        <f>IF($D226="",0,'Guide &amp; Settings'!$C$44*IF($F226&gt;=3,$F226,0))</f>
        <v>3</v>
      </c>
      <c r="M226" s="118">
        <f t="shared" si="54"/>
        <v>-8.3257528853870291</v>
      </c>
      <c r="N226" s="116">
        <f t="shared" si="55"/>
        <v>1016.1493029697812</v>
      </c>
      <c r="O226" s="115" t="str">
        <f t="shared" si="56"/>
        <v>OK</v>
      </c>
      <c r="P226">
        <f t="shared" si="57"/>
        <v>1053.8268660498134</v>
      </c>
      <c r="Q226">
        <f t="shared" si="58"/>
        <v>0.45785955533668932</v>
      </c>
      <c r="R226">
        <f t="shared" si="59"/>
        <v>0.5</v>
      </c>
      <c r="S226">
        <f t="shared" si="60"/>
        <v>1.5</v>
      </c>
      <c r="T226" s="83">
        <f t="shared" si="61"/>
        <v>0</v>
      </c>
      <c r="U226" s="120">
        <f>IF($D226="",0,IFERROR(LOOKUP(2,1/(($D$3:D225=$D226)*($C$3:C225=$C226)*($A$3:A225&lt;$A226)),$AB$3:AB225),1000))</f>
        <v>1000</v>
      </c>
      <c r="V226" s="120">
        <f t="shared" si="62"/>
        <v>1024.4750558551682</v>
      </c>
      <c r="W226">
        <f t="shared" si="63"/>
        <v>1053.8268660498134</v>
      </c>
      <c r="X226">
        <f t="shared" si="64"/>
        <v>0.45785955533668932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IF($D226="","",IF(SUMPRODUCT(MAX(($D$4:$D$810=$D226)*($B$4:$B$810&lt;$B226)*$B$4:$B$810))=0,0,MAX(($B226-MAX(SUMPRODUCT(MAX(($D$4:$D$810=$D226)*($B$4:$B$810&lt;$B226)*$B$4:$B$810)),'Guide &amp; Settings'!$C$50))/7-'Guide &amp; Settings'!$C$48,0)*'Guide &amp; Settings'!$C$49))</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981.32721800467129</v>
      </c>
      <c r="I227" s="117">
        <f t="shared" si="53"/>
        <v>0.4</v>
      </c>
      <c r="J227" s="118">
        <f>IF($D227="",0,IF($F227&lt;2,0,IF($E227="Win",('Guide &amp; Settings'!$C$42/(($F227-1)*COUNTIFS($A$4:$A$810,$A227,$E$4:$E$810,"Win")))*SUMIFS($X$4:$X$810,$A$4:$A$810,$A227,$E$4:$E$810,"Loss"),-('Guide &amp; Settings'!$C$42/($F227-1))*$X227)))</f>
        <v>23.958786071371375</v>
      </c>
      <c r="K227" s="118">
        <f>IF($D227="",0,'Guide &amp; Settings'!$C$43*(IF($E227="Win",1,0)-$I227))</f>
        <v>7.1999999999999993</v>
      </c>
      <c r="L227" s="119">
        <f>IF($D227="",0,'Guide &amp; Settings'!$C$44*IF($F227&gt;=3,$F227,0))</f>
        <v>0</v>
      </c>
      <c r="M227" s="118">
        <f t="shared" si="54"/>
        <v>31.158786071371374</v>
      </c>
      <c r="N227" s="116">
        <f t="shared" si="55"/>
        <v>1012.4860040760427</v>
      </c>
      <c r="O227" s="115" t="str">
        <f t="shared" si="56"/>
        <v>OK</v>
      </c>
      <c r="P227">
        <f t="shared" si="57"/>
        <v>981.32721800467129</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975.36877956856483</v>
      </c>
      <c r="W227">
        <f t="shared" si="63"/>
        <v>975.36877956856483</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IF($D227="","",IF(SUMPRODUCT(MAX(($D$4:$D$810=$D227)*($B$4:$B$810&lt;$B227)*$B$4:$B$810))=0,0,MAX(($B227-MAX(SUMPRODUCT(MAX(($D$4:$D$810=$D227)*($B$4:$B$810&lt;$B227)*$B$4:$B$810)),'Guide &amp; Settings'!$C$50))/7-'Guide &amp; Settings'!$C$48,0)*'Guide &amp; Settings'!$C$49))</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1165.026056955317</v>
      </c>
      <c r="I228" s="117">
        <f t="shared" si="53"/>
        <v>0.60000000000000009</v>
      </c>
      <c r="J228" s="118">
        <f>IF($D228="",0,IF($F228&lt;2,0,IF($E228="Win",('Guide &amp; Settings'!$C$42/(($F228-1)*COUNTIFS($A$4:$A$810,$A228,$E$4:$E$810,"Win")))*SUMIFS($X$4:$X$810,$A$4:$A$810,$A228,$E$4:$E$810,"Loss"),-('Guide &amp; Settings'!$C$42/($F228-1))*$X228)))</f>
        <v>-23.958786071371375</v>
      </c>
      <c r="K228" s="118">
        <f>IF($D228="",0,'Guide &amp; Settings'!$C$43*(IF($E228="Win",1,0)-$I228))</f>
        <v>-7.2000000000000011</v>
      </c>
      <c r="L228" s="119">
        <f>IF($D228="",0,'Guide &amp; Settings'!$C$44*IF($F228&gt;=3,$F228,0))</f>
        <v>0</v>
      </c>
      <c r="M228" s="118">
        <f t="shared" si="54"/>
        <v>-31.158786071371374</v>
      </c>
      <c r="N228" s="116">
        <f t="shared" si="55"/>
        <v>1133.8672708839456</v>
      </c>
      <c r="O228" s="115" t="str">
        <f t="shared" si="56"/>
        <v>OK</v>
      </c>
      <c r="P228">
        <f t="shared" si="57"/>
        <v>981.32721800467129</v>
      </c>
      <c r="Q228">
        <f t="shared" si="58"/>
        <v>0.74220399175455187</v>
      </c>
      <c r="R228">
        <f t="shared" si="59"/>
        <v>0.5</v>
      </c>
      <c r="S228">
        <f t="shared" si="60"/>
        <v>0.83333333333333326</v>
      </c>
      <c r="T228" s="83">
        <f t="shared" si="61"/>
        <v>0</v>
      </c>
      <c r="U228" s="120">
        <f>IF($D228="",0,IFERROR(LOOKUP(2,1/(($D$3:D227=$D228)*($C$3:C227=$C228)*($A$3:A227&lt;$A228)),$AB$3:AB227),1000))</f>
        <v>1000</v>
      </c>
      <c r="V228" s="120">
        <f t="shared" si="62"/>
        <v>1165.026056955317</v>
      </c>
      <c r="W228">
        <f t="shared" si="63"/>
        <v>975.36877956856483</v>
      </c>
      <c r="X228">
        <f t="shared" si="64"/>
        <v>0.74871206473035545</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IF($D228="","",IF(SUMPRODUCT(MAX(($D$4:$D$810=$D228)*($B$4:$B$810&lt;$B228)*$B$4:$B$810))=0,0,MAX(($B228-MAX(SUMPRODUCT(MAX(($D$4:$D$810=$D228)*($B$4:$B$810&lt;$B228)*$B$4:$B$810)),'Guide &amp; Settings'!$C$50))/7-'Guide &amp; Settings'!$C$48,0)*'Guide &amp; Settings'!$C$49))</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1012.4860040760427</v>
      </c>
      <c r="I229" s="117">
        <f t="shared" si="53"/>
        <v>0.54545454545454541</v>
      </c>
      <c r="J229" s="118">
        <f>IF($D229="",0,IF($F229&lt;2,0,IF($E229="Win",('Guide &amp; Settings'!$C$42/(($F229-1)*COUNTIFS($A$4:$A$810,$A229,$E$4:$E$810,"Win")))*SUMIFS($X$4:$X$810,$A$4:$A$810,$A229,$E$4:$E$810,"Loss"),-('Guide &amp; Settings'!$C$42/($F229-1))*$X229)))</f>
        <v>20.943795060250654</v>
      </c>
      <c r="K229" s="118">
        <f>IF($D229="",0,'Guide &amp; Settings'!$C$43*(IF($E229="Win",1,0)-$I229))</f>
        <v>5.454545454545455</v>
      </c>
      <c r="L229" s="119">
        <f>IF($D229="",0,'Guide &amp; Settings'!$C$44*IF($F229&gt;=3,$F229,0))</f>
        <v>0</v>
      </c>
      <c r="M229" s="118">
        <f t="shared" si="54"/>
        <v>26.398340514796111</v>
      </c>
      <c r="N229" s="116">
        <f t="shared" si="55"/>
        <v>1038.8843445908387</v>
      </c>
      <c r="O229" s="115" t="str">
        <f t="shared" si="56"/>
        <v>OK</v>
      </c>
      <c r="P229">
        <f t="shared" si="57"/>
        <v>1012.4860040760427</v>
      </c>
      <c r="Q229">
        <f t="shared" si="58"/>
        <v>0.5</v>
      </c>
      <c r="R229">
        <f t="shared" si="59"/>
        <v>0.4</v>
      </c>
      <c r="S229">
        <f t="shared" si="60"/>
        <v>0.73333333333333339</v>
      </c>
      <c r="T229" s="83">
        <f t="shared" si="61"/>
        <v>8</v>
      </c>
      <c r="U229" s="120">
        <f>IF($D229="",0,IFERROR(LOOKUP(2,1/(($D$3:D228=$D229)*($C$3:C228=$C229)*($A$3:A228&lt;$A229)),$AB$3:AB228),1000))</f>
        <v>988.44000204355825</v>
      </c>
      <c r="V229" s="120">
        <f t="shared" si="62"/>
        <v>997.68846436374463</v>
      </c>
      <c r="W229">
        <f t="shared" si="63"/>
        <v>997.68846436374463</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IF($D229="","",IF(SUMPRODUCT(MAX(($D$4:$D$810=$D229)*($B$4:$B$810&lt;$B229)*$B$4:$B$810))=0,0,MAX(($B229-MAX(SUMPRODUCT(MAX(($D$4:$D$810=$D229)*($B$4:$B$810&lt;$B229)*$B$4:$B$810)),'Guide &amp; Settings'!$C$50))/7-'Guide &amp; Settings'!$C$48,0)*'Guide &amp; Settings'!$C$49))</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1133.8672708839456</v>
      </c>
      <c r="I230" s="117">
        <f t="shared" si="53"/>
        <v>0.45454545454545447</v>
      </c>
      <c r="J230" s="118">
        <f>IF($D230="",0,IF($F230&lt;2,0,IF($E230="Win",('Guide &amp; Settings'!$C$42/(($F230-1)*COUNTIFS($A$4:$A$810,$A230,$E$4:$E$810,"Win")))*SUMIFS($X$4:$X$810,$A$4:$A$810,$A230,$E$4:$E$810,"Loss"),-('Guide &amp; Settings'!$C$42/($F230-1))*$X230)))</f>
        <v>-20.943795060250654</v>
      </c>
      <c r="K230" s="118">
        <f>IF($D230="",0,'Guide &amp; Settings'!$C$43*(IF($E230="Win",1,0)-$I230))</f>
        <v>-5.4545454545454533</v>
      </c>
      <c r="L230" s="119">
        <f>IF($D230="",0,'Guide &amp; Settings'!$C$44*IF($F230&gt;=3,$F230,0))</f>
        <v>0</v>
      </c>
      <c r="M230" s="118">
        <f t="shared" si="54"/>
        <v>-26.398340514796107</v>
      </c>
      <c r="N230" s="116">
        <f t="shared" si="55"/>
        <v>1107.4689303691496</v>
      </c>
      <c r="O230" s="115" t="str">
        <f t="shared" si="56"/>
        <v>OK</v>
      </c>
      <c r="P230">
        <f t="shared" si="57"/>
        <v>1012.4860040760427</v>
      </c>
      <c r="Q230">
        <f t="shared" si="58"/>
        <v>0.66790541334126052</v>
      </c>
      <c r="R230">
        <f t="shared" si="59"/>
        <v>0.33333333333333331</v>
      </c>
      <c r="S230">
        <f t="shared" si="60"/>
        <v>0.73333333333333339</v>
      </c>
      <c r="T230" s="83">
        <f t="shared" si="61"/>
        <v>1</v>
      </c>
      <c r="U230" s="120">
        <f>IF($D230="",0,IFERROR(LOOKUP(2,1/(($D$3:D229=$D230)*($C$3:C229=$C230)*($A$3:A229&lt;$A230)),$AB$3:AB229),1000))</f>
        <v>982.67275007064484</v>
      </c>
      <c r="V230" s="120">
        <f t="shared" si="62"/>
        <v>1108.6681840817289</v>
      </c>
      <c r="W230">
        <f t="shared" si="63"/>
        <v>997.68846436374463</v>
      </c>
      <c r="X230">
        <f t="shared" si="64"/>
        <v>0.65449359563283294</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IF($D230="","",IF(SUMPRODUCT(MAX(($D$4:$D$810=$D230)*($B$4:$B$810&lt;$B230)*$B$4:$B$810))=0,0,MAX(($B230-MAX(SUMPRODUCT(MAX(($D$4:$D$810=$D230)*($B$4:$B$810&lt;$B230)*$B$4:$B$810)),'Guide &amp; Settings'!$C$50))/7-'Guide &amp; Settings'!$C$48,0)*'Guide &amp; Settings'!$C$49))</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1038.8843445908387</v>
      </c>
      <c r="I231" s="117">
        <f t="shared" si="53"/>
        <v>0.64516129032258063</v>
      </c>
      <c r="J231" s="118">
        <f>IF($D231="",0,IF($F231&lt;2,0,IF($E231="Win",('Guide &amp; Settings'!$C$42/(($F231-1)*COUNTIFS($A$4:$A$810,$A231,$E$4:$E$810,"Win")))*SUMIFS($X$4:$X$810,$A$4:$A$810,$A231,$E$4:$E$810,"Loss"),-('Guide &amp; Settings'!$C$42/($F231-1))*$X231)))</f>
        <v>18.320484502169066</v>
      </c>
      <c r="K231" s="118">
        <f>IF($D231="",0,'Guide &amp; Settings'!$C$43*(IF($E231="Win",1,0)-$I231))</f>
        <v>4.258064516129032</v>
      </c>
      <c r="L231" s="119">
        <f>IF($D231="",0,'Guide &amp; Settings'!$C$44*IF($F231&gt;=3,$F231,0))</f>
        <v>0</v>
      </c>
      <c r="M231" s="118">
        <f t="shared" si="54"/>
        <v>22.578549018298098</v>
      </c>
      <c r="N231" s="116">
        <f t="shared" si="55"/>
        <v>1061.4628936091369</v>
      </c>
      <c r="O231" s="115" t="str">
        <f t="shared" si="56"/>
        <v>OK</v>
      </c>
      <c r="P231">
        <f t="shared" si="57"/>
        <v>1038.8843445908387</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1016.5708310680108</v>
      </c>
      <c r="W231">
        <f t="shared" si="63"/>
        <v>1016.5708310680108</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IF($D231="","",IF(SUMPRODUCT(MAX(($D$4:$D$810=$D231)*($B$4:$B$810&lt;$B231)*$B$4:$B$810))=0,0,MAX(($B231-MAX(SUMPRODUCT(MAX(($D$4:$D$810=$D231)*($B$4:$B$810&lt;$B231)*$B$4:$B$810)),'Guide &amp; Settings'!$C$50))/7-'Guide &amp; Settings'!$C$48,0)*'Guide &amp; Settings'!$C$49))</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1107.4689303691496</v>
      </c>
      <c r="I232" s="117">
        <f t="shared" si="53"/>
        <v>0.35483870967741932</v>
      </c>
      <c r="J232" s="118">
        <f>IF($D232="",0,IF($F232&lt;2,0,IF($E232="Win",('Guide &amp; Settings'!$C$42/(($F232-1)*COUNTIFS($A$4:$A$810,$A232,$E$4:$E$810,"Win")))*SUMIFS($X$4:$X$810,$A$4:$A$810,$A232,$E$4:$E$810,"Loss"),-('Guide &amp; Settings'!$C$42/($F232-1))*$X232)))</f>
        <v>-18.320484502169066</v>
      </c>
      <c r="K232" s="118">
        <f>IF($D232="",0,'Guide &amp; Settings'!$C$43*(IF($E232="Win",1,0)-$I232))</f>
        <v>-4.258064516129032</v>
      </c>
      <c r="L232" s="119">
        <f>IF($D232="",0,'Guide &amp; Settings'!$C$44*IF($F232&gt;=3,$F232,0))</f>
        <v>0</v>
      </c>
      <c r="M232" s="118">
        <f t="shared" si="54"/>
        <v>-22.578549018298098</v>
      </c>
      <c r="N232" s="116">
        <f t="shared" si="55"/>
        <v>1084.8903813508514</v>
      </c>
      <c r="O232" s="115" t="str">
        <f t="shared" si="56"/>
        <v>OK</v>
      </c>
      <c r="P232">
        <f t="shared" si="57"/>
        <v>1038.8843445908387</v>
      </c>
      <c r="Q232">
        <f t="shared" si="58"/>
        <v>0.59743877481039909</v>
      </c>
      <c r="R232">
        <f t="shared" si="59"/>
        <v>0.25</v>
      </c>
      <c r="S232">
        <f t="shared" si="60"/>
        <v>0.70454545454545459</v>
      </c>
      <c r="T232" s="83">
        <f t="shared" si="61"/>
        <v>2</v>
      </c>
      <c r="U232" s="120">
        <f>IF($D232="",0,IFERROR(LOOKUP(2,1/(($D$3:D231=$D232)*($C$3:C231=$C232)*($A$3:A231&lt;$A232)),$AB$3:AB231),1000))</f>
        <v>966.93831744776344</v>
      </c>
      <c r="V232" s="120">
        <f t="shared" si="62"/>
        <v>1067.3173266773251</v>
      </c>
      <c r="W232">
        <f t="shared" si="63"/>
        <v>1016.5708310680108</v>
      </c>
      <c r="X232">
        <f t="shared" si="64"/>
        <v>0.57251514069278331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IF($D232="","",IF(SUMPRODUCT(MAX(($D$4:$D$810=$D232)*($B$4:$B$810&lt;$B232)*$B$4:$B$810))=0,0,MAX(($B232-MAX(SUMPRODUCT(MAX(($D$4:$D$810=$D232)*($B$4:$B$810&lt;$B232)*$B$4:$B$810)),'Guide &amp; Settings'!$C$50))/7-'Guide &amp; Settings'!$C$48,0)*'Guide &amp; Settings'!$C$49))</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1052.1085402518941</v>
      </c>
      <c r="I233" s="117">
        <f t="shared" si="53"/>
        <v>0.5</v>
      </c>
      <c r="J233" s="118">
        <f>IF($D233="",0,IF($F233&lt;2,0,IF($E233="Win",('Guide &amp; Settings'!$C$42/(($F233-1)*COUNTIFS($A$4:$A$810,$A233,$E$4:$E$810,"Win")))*SUMIFS($X$4:$X$810,$A$4:$A$810,$A233,$E$4:$E$810,"Loss"),-('Guide &amp; Settings'!$C$42/($F233-1))*$X233)))</f>
        <v>-16.888349365941842</v>
      </c>
      <c r="K233" s="118">
        <f>IF($D233="",0,'Guide &amp; Settings'!$C$43*(IF($E233="Win",1,0)-$I233))</f>
        <v>-6</v>
      </c>
      <c r="L233" s="119">
        <f>IF($D233="",0,'Guide &amp; Settings'!$C$44*IF($F233&gt;=3,$F233,0))</f>
        <v>0</v>
      </c>
      <c r="M233" s="118">
        <f t="shared" si="54"/>
        <v>-22.888349365941842</v>
      </c>
      <c r="N233" s="116">
        <f t="shared" si="55"/>
        <v>1029.2201908859522</v>
      </c>
      <c r="O233" s="115" t="str">
        <f t="shared" si="56"/>
        <v>OK</v>
      </c>
      <c r="P233">
        <f t="shared" si="57"/>
        <v>1061.4628936091369</v>
      </c>
      <c r="Q233">
        <f t="shared" si="58"/>
        <v>0.48654125530865927</v>
      </c>
      <c r="R233">
        <f t="shared" si="59"/>
        <v>0.5</v>
      </c>
      <c r="S233">
        <f t="shared" si="60"/>
        <v>1</v>
      </c>
      <c r="T233" s="83">
        <f t="shared" si="61"/>
        <v>0</v>
      </c>
      <c r="U233" s="120">
        <f>IF($D233="",0,IFERROR(LOOKUP(2,1/(($D$3:D232=$D233)*($C$3:C232=$C233)*($A$3:A232&lt;$A233)),$AB$3:AB232),1000))</f>
        <v>1000</v>
      </c>
      <c r="V233" s="120">
        <f t="shared" si="62"/>
        <v>1052.1085402518941</v>
      </c>
      <c r="W233">
        <f t="shared" si="63"/>
        <v>1032.7984202631137</v>
      </c>
      <c r="X233">
        <f t="shared" si="64"/>
        <v>0.52776091768568256</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IF($D233="","",IF(SUMPRODUCT(MAX(($D$4:$D$810=$D233)*($B$4:$B$810&lt;$B233)*$B$4:$B$810))=0,0,MAX(($B233-MAX(SUMPRODUCT(MAX(($D$4:$D$810=$D233)*($B$4:$B$810&lt;$B233)*$B$4:$B$810)),'Guide &amp; Settings'!$C$50))/7-'Guide &amp; Settings'!$C$48,0)*'Guide &amp; Settings'!$C$49))</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1061.4628936091369</v>
      </c>
      <c r="I234" s="117">
        <f t="shared" si="53"/>
        <v>0.5</v>
      </c>
      <c r="J234" s="118">
        <f>IF($D234="",0,IF($F234&lt;2,0,IF($E234="Win",('Guide &amp; Settings'!$C$42/(($F234-1)*COUNTIFS($A$4:$A$810,$A234,$E$4:$E$810,"Win")))*SUMIFS($X$4:$X$810,$A$4:$A$810,$A234,$E$4:$E$810,"Loss"),-('Guide &amp; Settings'!$C$42/($F234-1))*$X234)))</f>
        <v>16.888349365941842</v>
      </c>
      <c r="K234" s="118">
        <f>IF($D234="",0,'Guide &amp; Settings'!$C$43*(IF($E234="Win",1,0)-$I234))</f>
        <v>6</v>
      </c>
      <c r="L234" s="119">
        <f>IF($D234="",0,'Guide &amp; Settings'!$C$44*IF($F234&gt;=3,$F234,0))</f>
        <v>0</v>
      </c>
      <c r="M234" s="118">
        <f t="shared" si="54"/>
        <v>22.888349365941842</v>
      </c>
      <c r="N234" s="116">
        <f t="shared" si="55"/>
        <v>1084.3512429750788</v>
      </c>
      <c r="O234" s="115" t="str">
        <f t="shared" si="56"/>
        <v>OK</v>
      </c>
      <c r="P234">
        <f t="shared" si="57"/>
        <v>1061.4628936091369</v>
      </c>
      <c r="Q234">
        <f t="shared" si="58"/>
        <v>0.5</v>
      </c>
      <c r="R234">
        <f t="shared" si="59"/>
        <v>0.5</v>
      </c>
      <c r="S234">
        <f t="shared" si="60"/>
        <v>1</v>
      </c>
      <c r="T234" s="83">
        <f t="shared" si="61"/>
        <v>10</v>
      </c>
      <c r="U234" s="120">
        <f>IF($D234="",0,IFERROR(LOOKUP(2,1/(($D$3:D233=$D234)*($C$3:C233=$C234)*($A$3:A233&lt;$A234)),$AB$3:AB233),1000))</f>
        <v>1018.4661835901022</v>
      </c>
      <c r="V234" s="120">
        <f t="shared" si="62"/>
        <v>1032.7984202631137</v>
      </c>
      <c r="W234">
        <f t="shared" si="63"/>
        <v>1032.7984202631137</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IF($D234="","",IF(SUMPRODUCT(MAX(($D$4:$D$810=$D234)*($B$4:$B$810&lt;$B234)*$B$4:$B$810))=0,0,MAX(($B234-MAX(SUMPRODUCT(MAX(($D$4:$D$810=$D234)*($B$4:$B$810&lt;$B234)*$B$4:$B$810)),'Guide &amp; Settings'!$C$50))/7-'Guide &amp; Settings'!$C$48,0)*'Guide &amp; Settings'!$C$49))</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1078.6736344283954</v>
      </c>
      <c r="I235" s="117">
        <f t="shared" si="53"/>
        <v>0.57142857142857151</v>
      </c>
      <c r="J235" s="118">
        <f>IF($D235="",0,IF($F235&lt;2,0,IF($E235="Win",('Guide &amp; Settings'!$C$42/(($F235-1)*COUNTIFS($A$4:$A$810,$A235,$E$4:$E$810,"Win")))*SUMIFS($X$4:$X$810,$A$4:$A$810,$A235,$E$4:$E$810,"Loss"),-('Guide &amp; Settings'!$C$42/($F235-1))*$X235)))</f>
        <v>9.066368698962826</v>
      </c>
      <c r="K235" s="118">
        <f>IF($D235="",0,'Guide &amp; Settings'!$C$43*(IF($E235="Win",1,0)-$I235))</f>
        <v>5.1428571428571423</v>
      </c>
      <c r="L235" s="119">
        <f>IF($D235="",0,'Guide &amp; Settings'!$C$44*IF($F235&gt;=3,$F235,0))</f>
        <v>0</v>
      </c>
      <c r="M235" s="118">
        <f t="shared" si="54"/>
        <v>14.209225841819968</v>
      </c>
      <c r="N235" s="116">
        <f t="shared" si="55"/>
        <v>1092.8828602702154</v>
      </c>
      <c r="O235" s="115" t="str">
        <f t="shared" si="56"/>
        <v>OK</v>
      </c>
      <c r="P235">
        <f t="shared" si="57"/>
        <v>1078.6736344283954</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1068.4617576317305</v>
      </c>
      <c r="W235">
        <f t="shared" si="63"/>
        <v>1068.4617576317305</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IF($D235="","",IF(SUMPRODUCT(MAX(($D$4:$D$810=$D235)*($B$4:$B$810&lt;$B235)*$B$4:$B$810))=0,0,MAX(($B235-MAX(SUMPRODUCT(MAX(($D$4:$D$810=$D235)*($B$4:$B$810&lt;$B235)*$B$4:$B$810)),'Guide &amp; Settings'!$C$50))/7-'Guide &amp; Settings'!$C$48,0)*'Guide &amp; Settings'!$C$49))</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907.24597771907167</v>
      </c>
      <c r="I236" s="117">
        <f t="shared" si="53"/>
        <v>0.4285714285714286</v>
      </c>
      <c r="J236" s="118">
        <f>IF($D236="",0,IF($F236&lt;2,0,IF($E236="Win",('Guide &amp; Settings'!$C$42/(($F236-1)*COUNTIFS($A$4:$A$810,$A236,$E$4:$E$810,"Win")))*SUMIFS($X$4:$X$810,$A$4:$A$810,$A236,$E$4:$E$810,"Loss"),-('Guide &amp; Settings'!$C$42/($F236-1))*$X236)))</f>
        <v>-9.066368698962826</v>
      </c>
      <c r="K236" s="118">
        <f>IF($D236="",0,'Guide &amp; Settings'!$C$43*(IF($E236="Win",1,0)-$I236))</f>
        <v>-5.1428571428571432</v>
      </c>
      <c r="L236" s="119">
        <f>IF($D236="",0,'Guide &amp; Settings'!$C$44*IF($F236&gt;=3,$F236,0))</f>
        <v>0</v>
      </c>
      <c r="M236" s="118">
        <f t="shared" si="54"/>
        <v>-14.209225841819968</v>
      </c>
      <c r="N236" s="116">
        <f t="shared" si="55"/>
        <v>893.03675187725173</v>
      </c>
      <c r="O236" s="115" t="str">
        <f t="shared" si="56"/>
        <v>OK</v>
      </c>
      <c r="P236">
        <f t="shared" si="57"/>
        <v>1078.6736344283954</v>
      </c>
      <c r="Q236">
        <f t="shared" si="58"/>
        <v>0.27154125437832793</v>
      </c>
      <c r="R236">
        <f t="shared" si="59"/>
        <v>0.5</v>
      </c>
      <c r="S236">
        <f t="shared" si="60"/>
        <v>1.1666666666666665</v>
      </c>
      <c r="T236" s="83">
        <f t="shared" si="61"/>
        <v>0</v>
      </c>
      <c r="U236" s="120">
        <f>IF($D236="",0,IFERROR(LOOKUP(2,1/(($D$3:D235=$D236)*($C$3:C235=$C236)*($A$3:A235&lt;$A236)),$AB$3:AB235),1000))</f>
        <v>1000</v>
      </c>
      <c r="V236" s="120">
        <f t="shared" si="62"/>
        <v>907.24597771907167</v>
      </c>
      <c r="W236">
        <f t="shared" si="63"/>
        <v>1068.4617576317305</v>
      </c>
      <c r="X236">
        <f t="shared" si="64"/>
        <v>0.28332402184258831</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IF($D236="","",IF(SUMPRODUCT(MAX(($D$4:$D$810=$D236)*($B$4:$B$810&lt;$B236)*$B$4:$B$810))=0,0,MAX(($B236-MAX(SUMPRODUCT(MAX(($D$4:$D$810=$D236)*($B$4:$B$810&lt;$B236)*$B$4:$B$810)),'Guide &amp; Settings'!$C$50))/7-'Guide &amp; Settings'!$C$48,0)*'Guide &amp; Settings'!$C$49))</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1092.8828602702154</v>
      </c>
      <c r="I237" s="117">
        <f t="shared" si="53"/>
        <v>0.5</v>
      </c>
      <c r="J237" s="118">
        <f>IF($D237="",0,IF($F237&lt;2,0,IF($E237="Win",('Guide &amp; Settings'!$C$42/(($F237-1)*COUNTIFS($A$4:$A$810,$A237,$E$4:$E$810,"Win")))*SUMIFS($X$4:$X$810,$A$4:$A$810,$A237,$E$4:$E$810,"Loss"),-('Guide &amp; Settings'!$C$42/($F237-1))*$X237)))</f>
        <v>14.199437855447254</v>
      </c>
      <c r="K237" s="118">
        <f>IF($D237="",0,'Guide &amp; Settings'!$C$43*(IF($E237="Win",1,0)-$I237))</f>
        <v>6</v>
      </c>
      <c r="L237" s="119">
        <f>IF($D237="",0,'Guide &amp; Settings'!$C$44*IF($F237&gt;=3,$F237,0))</f>
        <v>3</v>
      </c>
      <c r="M237" s="118">
        <f t="shared" si="54"/>
        <v>23.199437855447254</v>
      </c>
      <c r="N237" s="116">
        <f t="shared" si="55"/>
        <v>1116.0822981256626</v>
      </c>
      <c r="O237" s="115" t="str">
        <f t="shared" si="56"/>
        <v>OK</v>
      </c>
      <c r="P237">
        <f t="shared" si="57"/>
        <v>1092.8828602702154</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1080.0690502251796</v>
      </c>
      <c r="W237">
        <f t="shared" si="63"/>
        <v>1080.0690502251796</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IF($D237="","",IF(SUMPRODUCT(MAX(($D$4:$D$810=$D237)*($B$4:$B$810&lt;$B237)*$B$4:$B$810))=0,0,MAX(($B237-MAX(SUMPRODUCT(MAX(($D$4:$D$810=$D237)*($B$4:$B$810&lt;$B237)*$B$4:$B$810)),'Guide &amp; Settings'!$C$50))/7-'Guide &amp; Settings'!$C$48,0)*'Guide &amp; Settings'!$C$49))</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1016.1493029697812</v>
      </c>
      <c r="I238" s="117">
        <f t="shared" si="53"/>
        <v>0.25</v>
      </c>
      <c r="J238" s="118">
        <f>IF($D238="",0,IF($F238&lt;2,0,IF($E238="Win",('Guide &amp; Settings'!$C$42/(($F238-1)*COUNTIFS($A$4:$A$810,$A238,$E$4:$E$810,"Win")))*SUMIFS($X$4:$X$810,$A$4:$A$810,$A238,$E$4:$E$810,"Loss"),-('Guide &amp; Settings'!$C$42/($F238-1))*$X238)))</f>
        <v>-6.4551605647268993</v>
      </c>
      <c r="K238" s="118">
        <f>IF($D238="",0,'Guide &amp; Settings'!$C$43*(IF($E238="Win",1,0)-$I238))</f>
        <v>-3</v>
      </c>
      <c r="L238" s="119">
        <f>IF($D238="",0,'Guide &amp; Settings'!$C$44*IF($F238&gt;=3,$F238,0))</f>
        <v>3</v>
      </c>
      <c r="M238" s="118">
        <f t="shared" si="54"/>
        <v>-6.4551605647268993</v>
      </c>
      <c r="N238" s="116">
        <f t="shared" si="55"/>
        <v>1009.6941424050542</v>
      </c>
      <c r="O238" s="115" t="str">
        <f t="shared" si="56"/>
        <v>OK</v>
      </c>
      <c r="P238">
        <f t="shared" si="57"/>
        <v>1092.8828602702154</v>
      </c>
      <c r="Q238">
        <f t="shared" si="58"/>
        <v>0.39133266588171339</v>
      </c>
      <c r="R238">
        <f t="shared" si="59"/>
        <v>0.33333333333333331</v>
      </c>
      <c r="S238">
        <f t="shared" si="60"/>
        <v>1.3333333333333333</v>
      </c>
      <c r="T238" s="83">
        <f t="shared" si="61"/>
        <v>1</v>
      </c>
      <c r="U238" s="120">
        <f>IF($D238="",0,IFERROR(LOOKUP(2,1/(($D$3:D237=$D238)*($C$3:C237=$C238)*($A$3:A237&lt;$A238)),$AB$3:AB237),1000))</f>
        <v>992</v>
      </c>
      <c r="V238" s="120">
        <f t="shared" si="62"/>
        <v>1012.1244191414844</v>
      </c>
      <c r="W238">
        <f t="shared" si="63"/>
        <v>1080.0690502251796</v>
      </c>
      <c r="X238">
        <f t="shared" si="64"/>
        <v>0.4034475352954312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IF($D238="","",IF(SUMPRODUCT(MAX(($D$4:$D$810=$D238)*($B$4:$B$810&lt;$B238)*$B$4:$B$810))=0,0,MAX(($B238-MAX(SUMPRODUCT(MAX(($D$4:$D$810=$D238)*($B$4:$B$810&lt;$B238)*$B$4:$B$810)),'Guide &amp; Settings'!$C$50))/7-'Guide &amp; Settings'!$C$48,0)*'Guide &amp; Settings'!$C$49))</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1084.3512429750788</v>
      </c>
      <c r="I239" s="117">
        <f t="shared" si="53"/>
        <v>0.25</v>
      </c>
      <c r="J239" s="118">
        <f>IF($D239="",0,IF($F239&lt;2,0,IF($E239="Win",('Guide &amp; Settings'!$C$42/(($F239-1)*COUNTIFS($A$4:$A$810,$A239,$E$4:$E$810,"Win")))*SUMIFS($X$4:$X$810,$A$4:$A$810,$A239,$E$4:$E$810,"Loss"),-('Guide &amp; Settings'!$C$42/($F239-1))*$X239)))</f>
        <v>-7.7442772907203539</v>
      </c>
      <c r="K239" s="118">
        <f>IF($D239="",0,'Guide &amp; Settings'!$C$43*(IF($E239="Win",1,0)-$I239))</f>
        <v>-3</v>
      </c>
      <c r="L239" s="119">
        <f>IF($D239="",0,'Guide &amp; Settings'!$C$44*IF($F239&gt;=3,$F239,0))</f>
        <v>3</v>
      </c>
      <c r="M239" s="118">
        <f t="shared" si="54"/>
        <v>-7.7442772907203548</v>
      </c>
      <c r="N239" s="116">
        <f t="shared" si="55"/>
        <v>1076.6069656843583</v>
      </c>
      <c r="O239" s="115" t="str">
        <f t="shared" si="56"/>
        <v>OK</v>
      </c>
      <c r="P239">
        <f t="shared" si="57"/>
        <v>1092.8828602702154</v>
      </c>
      <c r="Q239">
        <f t="shared" si="58"/>
        <v>0.48772448300986526</v>
      </c>
      <c r="R239">
        <f t="shared" si="59"/>
        <v>0.33333333333333331</v>
      </c>
      <c r="S239">
        <f t="shared" si="60"/>
        <v>1.3333333333333333</v>
      </c>
      <c r="T239" s="83">
        <f t="shared" si="61"/>
        <v>1</v>
      </c>
      <c r="U239" s="120">
        <f>IF($D239="",0,IFERROR(LOOKUP(2,1/(($D$3:D238=$D239)*($C$3:C238=$C239)*($A$3:A238&lt;$A239)),$AB$3:AB238),1000))</f>
        <v>992</v>
      </c>
      <c r="V239" s="120">
        <f t="shared" si="62"/>
        <v>1068.959369145899</v>
      </c>
      <c r="W239">
        <f t="shared" si="63"/>
        <v>1080.0690502251796</v>
      </c>
      <c r="X239">
        <f t="shared" si="64"/>
        <v>0.48401733067002212</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IF($D239="","",IF(SUMPRODUCT(MAX(($D$4:$D$810=$D239)*($B$4:$B$810&lt;$B239)*$B$4:$B$810))=0,0,MAX(($B239-MAX(SUMPRODUCT(MAX(($D$4:$D$810=$D239)*($B$4:$B$810&lt;$B239)*$B$4:$B$810)),'Guide &amp; Settings'!$C$50))/7-'Guide &amp; Settings'!$C$48,0)*'Guide &amp; Settings'!$C$49))</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1118.2349329469087</v>
      </c>
      <c r="I240" s="117">
        <f t="shared" si="53"/>
        <v>0.33333333333333331</v>
      </c>
      <c r="J240" s="118">
        <f>IF($D240="",0,IF($F240&lt;2,0,IF($E240="Win",('Guide &amp; Settings'!$C$42/(($F240-1)*COUNTIFS($A$4:$A$810,$A240,$E$4:$E$810,"Win")))*SUMIFS($X$4:$X$810,$A$4:$A$810,$A240,$E$4:$E$810,"Loss"),-('Guide &amp; Settings'!$C$42/($F240-1))*$X240)))</f>
        <v>18.626995570500643</v>
      </c>
      <c r="K240" s="118">
        <f>IF($D240="",0,'Guide &amp; Settings'!$C$43*(IF($E240="Win",1,0)-$I240))</f>
        <v>8</v>
      </c>
      <c r="L240" s="119">
        <f>IF($D240="",0,'Guide &amp; Settings'!$C$44*IF($F240&gt;=3,$F240,0))</f>
        <v>0</v>
      </c>
      <c r="M240" s="118">
        <f t="shared" si="54"/>
        <v>26.626995570500643</v>
      </c>
      <c r="N240" s="116">
        <f t="shared" si="55"/>
        <v>1144.8619285174093</v>
      </c>
      <c r="O240" s="115" t="str">
        <f t="shared" si="56"/>
        <v>OK</v>
      </c>
      <c r="P240">
        <f t="shared" si="57"/>
        <v>1118.2349329469087</v>
      </c>
      <c r="Q240">
        <f t="shared" si="58"/>
        <v>0.5</v>
      </c>
      <c r="R240">
        <f t="shared" si="59"/>
        <v>0.375</v>
      </c>
      <c r="S240">
        <f t="shared" si="60"/>
        <v>1.125</v>
      </c>
      <c r="T240" s="83">
        <f t="shared" si="61"/>
        <v>6</v>
      </c>
      <c r="U240" s="120">
        <f>IF($D240="",0,IFERROR(LOOKUP(2,1/(($D$3:D239=$D240)*($C$3:C239=$C240)*($A$3:A239&lt;$A240)),$AB$3:AB239),1000))</f>
        <v>965.02366557041569</v>
      </c>
      <c r="V240" s="120">
        <f t="shared" si="62"/>
        <v>1034.665150741549</v>
      </c>
      <c r="W240">
        <f t="shared" si="63"/>
        <v>1034.665150741549</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IF($D240="","",IF(SUMPRODUCT(MAX(($D$4:$D$810=$D240)*($B$4:$B$810&lt;$B240)*$B$4:$B$810))=0,0,MAX(($B240-MAX(SUMPRODUCT(MAX(($D$4:$D$810=$D240)*($B$4:$B$810&lt;$B240)*$B$4:$B$810)),'Guide &amp; Settings'!$C$50))/7-'Guide &amp; Settings'!$C$48,0)*'Guide &amp; Settings'!$C$49))</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1116.0822981256626</v>
      </c>
      <c r="I241" s="117">
        <f t="shared" si="53"/>
        <v>0.66666666666666663</v>
      </c>
      <c r="J241" s="118">
        <f>IF($D241="",0,IF($F241&lt;2,0,IF($E241="Win",('Guide &amp; Settings'!$C$42/(($F241-1)*COUNTIFS($A$4:$A$810,$A241,$E$4:$E$810,"Win")))*SUMIFS($X$4:$X$810,$A$4:$A$810,$A241,$E$4:$E$810,"Loss"),-('Guide &amp; Settings'!$C$42/($F241-1))*$X241)))</f>
        <v>-18.626995570500643</v>
      </c>
      <c r="K241" s="118">
        <f>IF($D241="",0,'Guide &amp; Settings'!$C$43*(IF($E241="Win",1,0)-$I241))</f>
        <v>-8</v>
      </c>
      <c r="L241" s="119">
        <f>IF($D241="",0,'Guide &amp; Settings'!$C$44*IF($F241&gt;=3,$F241,0))</f>
        <v>0</v>
      </c>
      <c r="M241" s="118">
        <f t="shared" si="54"/>
        <v>-26.626995570500643</v>
      </c>
      <c r="N241" s="116">
        <f t="shared" si="55"/>
        <v>1089.455302555162</v>
      </c>
      <c r="O241" s="115" t="str">
        <f t="shared" si="56"/>
        <v>OK</v>
      </c>
      <c r="P241">
        <f t="shared" si="57"/>
        <v>1118.2349329469087</v>
      </c>
      <c r="Q241">
        <f t="shared" si="58"/>
        <v>0.49690214910840375</v>
      </c>
      <c r="R241">
        <f t="shared" si="59"/>
        <v>0.75</v>
      </c>
      <c r="S241">
        <f t="shared" si="60"/>
        <v>1.125</v>
      </c>
      <c r="T241" s="83">
        <f t="shared" si="61"/>
        <v>2</v>
      </c>
      <c r="U241" s="120">
        <f>IF($D241="",0,IFERROR(LOOKUP(2,1/(($D$3:D240=$D241)*($C$3:C240=$C241)*($A$3:A240&lt;$A241)),$AB$3:AB240),1000))</f>
        <v>1032.6016342488008</v>
      </c>
      <c r="V241" s="120">
        <f t="shared" si="62"/>
        <v>1092.2306798751306</v>
      </c>
      <c r="W241">
        <f t="shared" si="63"/>
        <v>1034.665150741549</v>
      </c>
      <c r="X241">
        <f t="shared" si="64"/>
        <v>0.5820936115781451</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IF($D241="","",IF(SUMPRODUCT(MAX(($D$4:$D$810=$D241)*($B$4:$B$810&lt;$B241)*$B$4:$B$810))=0,0,MAX(($B241-MAX(SUMPRODUCT(MAX(($D$4:$D$810=$D241)*($B$4:$B$810&lt;$B241)*$B$4:$B$810)),'Guide &amp; Settings'!$C$50))/7-'Guide &amp; Settings'!$C$48,0)*'Guide &amp; Settings'!$C$49))</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1144.8619285174093</v>
      </c>
      <c r="I242" s="117">
        <f t="shared" si="53"/>
        <v>0.42553191489361708</v>
      </c>
      <c r="J242" s="118">
        <f>IF($D242="",0,IF($F242&lt;2,0,IF($E242="Win",('Guide &amp; Settings'!$C$42/(($F242-1)*COUNTIFS($A$4:$A$810,$A242,$E$4:$E$810,"Win")))*SUMIFS($X$4:$X$810,$A$4:$A$810,$A242,$E$4:$E$810,"Loss"),-('Guide &amp; Settings'!$C$42/($F242-1))*$X242)))</f>
        <v>16.455798062058349</v>
      </c>
      <c r="K242" s="118">
        <f>IF($D242="",0,'Guide &amp; Settings'!$C$43*(IF($E242="Win",1,0)-$I242))</f>
        <v>6.8936170212765955</v>
      </c>
      <c r="L242" s="119">
        <f>IF($D242="",0,'Guide &amp; Settings'!$C$44*IF($F242&gt;=3,$F242,0))</f>
        <v>0</v>
      </c>
      <c r="M242" s="118">
        <f t="shared" si="54"/>
        <v>23.349415083334947</v>
      </c>
      <c r="N242" s="116">
        <f t="shared" si="55"/>
        <v>1168.2113436007442</v>
      </c>
      <c r="O242" s="115" t="str">
        <f t="shared" si="56"/>
        <v>OK</v>
      </c>
      <c r="P242">
        <f t="shared" si="57"/>
        <v>1144.8619285174093</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1051.0824366727627</v>
      </c>
      <c r="W242">
        <f t="shared" si="63"/>
        <v>1051.0824366727627</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IF($D242="","",IF(SUMPRODUCT(MAX(($D$4:$D$810=$D242)*($B$4:$B$810&lt;$B242)*$B$4:$B$810))=0,0,MAX(($B242-MAX(SUMPRODUCT(MAX(($D$4:$D$810=$D242)*($B$4:$B$810&lt;$B242)*$B$4:$B$810)),'Guide &amp; Settings'!$C$50))/7-'Guide &amp; Settings'!$C$48,0)*'Guide &amp; Settings'!$C$49))</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1089.455302555162</v>
      </c>
      <c r="I243" s="117">
        <f t="shared" si="53"/>
        <v>0.57446808510638303</v>
      </c>
      <c r="J243" s="118">
        <f>IF($D243="",0,IF($F243&lt;2,0,IF($E243="Win",('Guide &amp; Settings'!$C$42/(($F243-1)*COUNTIFS($A$4:$A$810,$A243,$E$4:$E$810,"Win")))*SUMIFS($X$4:$X$810,$A$4:$A$810,$A243,$E$4:$E$810,"Loss"),-('Guide &amp; Settings'!$C$42/($F243-1))*$X243)))</f>
        <v>-16.455798062058349</v>
      </c>
      <c r="K243" s="118">
        <f>IF($D243="",0,'Guide &amp; Settings'!$C$43*(IF($E243="Win",1,0)-$I243))</f>
        <v>-6.8936170212765964</v>
      </c>
      <c r="L243" s="119">
        <f>IF($D243="",0,'Guide &amp; Settings'!$C$44*IF($F243&gt;=3,$F243,0))</f>
        <v>0</v>
      </c>
      <c r="M243" s="118">
        <f t="shared" si="54"/>
        <v>-23.349415083334947</v>
      </c>
      <c r="N243" s="116">
        <f t="shared" si="55"/>
        <v>1066.1058874718271</v>
      </c>
      <c r="O243" s="115" t="str">
        <f t="shared" si="56"/>
        <v>OK</v>
      </c>
      <c r="P243">
        <f t="shared" si="57"/>
        <v>1144.8619285174093</v>
      </c>
      <c r="Q243">
        <f t="shared" si="58"/>
        <v>0.42093259392070081</v>
      </c>
      <c r="R243">
        <f t="shared" si="59"/>
        <v>0.6</v>
      </c>
      <c r="S243">
        <f t="shared" si="60"/>
        <v>1.0444444444444443</v>
      </c>
      <c r="T243" s="83">
        <f t="shared" si="61"/>
        <v>3</v>
      </c>
      <c r="U243" s="120">
        <f>IF($D243="",0,IFERROR(LOOKUP(2,1/(($D$3:D242=$D243)*($C$3:C242=$C243)*($A$3:A242&lt;$A243)),$AB$3:AB242),1000))</f>
        <v>1013.5282144640585</v>
      </c>
      <c r="V243" s="120">
        <f t="shared" si="62"/>
        <v>1060.9826445209983</v>
      </c>
      <c r="W243">
        <f t="shared" si="63"/>
        <v>1051.0824366727627</v>
      </c>
      <c r="X243">
        <f t="shared" si="64"/>
        <v>0.51424368943932341</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IF($D243="","",IF(SUMPRODUCT(MAX(($D$4:$D$810=$D243)*($B$4:$B$810&lt;$B243)*$B$4:$B$810))=0,0,MAX(($B243-MAX(SUMPRODUCT(MAX(($D$4:$D$810=$D243)*($B$4:$B$810&lt;$B243)*$B$4:$B$810)),'Guide &amp; Settings'!$C$50))/7-'Guide &amp; Settings'!$C$48,0)*'Guide &amp; Settings'!$C$49))</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1009.6941424050542</v>
      </c>
      <c r="I244" s="117">
        <f t="shared" si="53"/>
        <v>0.5</v>
      </c>
      <c r="J244" s="118">
        <f>IF($D244="",0,IF($F244&lt;2,0,IF($E244="Win",('Guide &amp; Settings'!$C$42/(($F244-1)*COUNTIFS($A$4:$A$810,$A244,$E$4:$E$810,"Win")))*SUMIFS($X$4:$X$810,$A$4:$A$810,$A244,$E$4:$E$810,"Loss"),-('Guide &amp; Settings'!$C$42/($F244-1))*$X244)))</f>
        <v>18.575266185041961</v>
      </c>
      <c r="K244" s="118">
        <f>IF($D244="",0,'Guide &amp; Settings'!$C$43*(IF($E244="Win",1,0)-$I244))</f>
        <v>6</v>
      </c>
      <c r="L244" s="119">
        <f>IF($D244="",0,'Guide &amp; Settings'!$C$44*IF($F244&gt;=3,$F244,0))</f>
        <v>0</v>
      </c>
      <c r="M244" s="118">
        <f t="shared" si="54"/>
        <v>24.575266185041961</v>
      </c>
      <c r="N244" s="116">
        <f t="shared" si="55"/>
        <v>1034.2694085900962</v>
      </c>
      <c r="O244" s="115" t="str">
        <f t="shared" si="56"/>
        <v>OK</v>
      </c>
      <c r="P244">
        <f t="shared" si="57"/>
        <v>1009.6941424050542</v>
      </c>
      <c r="Q244">
        <f t="shared" si="58"/>
        <v>0.5</v>
      </c>
      <c r="R244">
        <f t="shared" si="59"/>
        <v>0.5</v>
      </c>
      <c r="S244">
        <f t="shared" si="60"/>
        <v>1</v>
      </c>
      <c r="T244" s="83">
        <f t="shared" si="61"/>
        <v>0</v>
      </c>
      <c r="U244" s="120">
        <f>IF($D244="",0,IFERROR(LOOKUP(2,1/(($D$3:D243=$D244)*($C$3:C243=$C244)*($A$3:A243&lt;$A244)),$AB$3:AB243),1000))</f>
        <v>1000</v>
      </c>
      <c r="V244" s="120">
        <f t="shared" si="62"/>
        <v>1009.6941424050542</v>
      </c>
      <c r="W244">
        <f t="shared" si="63"/>
        <v>1009.6941424050542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IF($D244="","",IF(SUMPRODUCT(MAX(($D$4:$D$810=$D244)*($B$4:$B$810&lt;$B244)*$B$4:$B$810))=0,0,MAX(($B244-MAX(SUMPRODUCT(MAX(($D$4:$D$810=$D244)*($B$4:$B$810&lt;$B244)*$B$4:$B$810)),'Guide &amp; Settings'!$C$50))/7-'Guide &amp; Settings'!$C$48,0)*'Guide &amp; Settings'!$C$49))</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1066.1058874718271</v>
      </c>
      <c r="I245" s="117">
        <f t="shared" si="53"/>
        <v>0.5</v>
      </c>
      <c r="J245" s="118">
        <f>IF($D245="",0,IF($F245&lt;2,0,IF($E245="Win",('Guide &amp; Settings'!$C$42/(($F245-1)*COUNTIFS($A$4:$A$810,$A245,$E$4:$E$810,"Win")))*SUMIFS($X$4:$X$810,$A$4:$A$810,$A245,$E$4:$E$810,"Loss"),-('Guide &amp; Settings'!$C$42/($F245-1))*$X245)))</f>
        <v>-18.575266185041961</v>
      </c>
      <c r="K245" s="118">
        <f>IF($D245="",0,'Guide &amp; Settings'!$C$43*(IF($E245="Win",1,0)-$I245))</f>
        <v>-6</v>
      </c>
      <c r="L245" s="119">
        <f>IF($D245="",0,'Guide &amp; Settings'!$C$44*IF($F245&gt;=3,$F245,0))</f>
        <v>0</v>
      </c>
      <c r="M245" s="118">
        <f t="shared" si="54"/>
        <v>-24.575266185041961</v>
      </c>
      <c r="N245" s="116">
        <f t="shared" si="55"/>
        <v>1041.5306212867852</v>
      </c>
      <c r="O245" s="115" t="str">
        <f t="shared" si="56"/>
        <v>OK</v>
      </c>
      <c r="P245">
        <f t="shared" si="57"/>
        <v>1009.6941424050542</v>
      </c>
      <c r="Q245">
        <f t="shared" si="58"/>
        <v>0.58047706828256129</v>
      </c>
      <c r="R245">
        <f t="shared" si="59"/>
        <v>0.5</v>
      </c>
      <c r="S245">
        <f t="shared" si="60"/>
        <v>1</v>
      </c>
      <c r="T245" s="83">
        <f t="shared" si="61"/>
        <v>0</v>
      </c>
      <c r="U245" s="120">
        <f>IF($D245="",0,IFERROR(LOOKUP(2,1/(($D$3:D244=$D245)*($C$3:C244=$C245)*($A$3:A244&lt;$A245)),$AB$3:AB244),1000))</f>
        <v>1000</v>
      </c>
      <c r="V245" s="120">
        <f t="shared" si="62"/>
        <v>1066.1058874718271</v>
      </c>
      <c r="W245">
        <f t="shared" si="63"/>
        <v>1009.6941424050542</v>
      </c>
      <c r="X245">
        <f t="shared" si="64"/>
        <v>0.58047706828256129</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IF($D245="","",IF(SUMPRODUCT(MAX(($D$4:$D$810=$D245)*($B$4:$B$810&lt;$B245)*$B$4:$B$810))=0,0,MAX(($B245-MAX(SUMPRODUCT(MAX(($D$4:$D$810=$D245)*($B$4:$B$810&lt;$B245)*$B$4:$B$810)),'Guide &amp; Settings'!$C$50))/7-'Guide &amp; Settings'!$C$48,0)*'Guide &amp; Settings'!$C$49))</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1041.5306212867852</v>
      </c>
      <c r="I246" s="117">
        <f t="shared" si="53"/>
        <v>0.5</v>
      </c>
      <c r="J246" s="118">
        <f>IF($D246="",0,IF($F246&lt;2,0,IF($E246="Win",('Guide &amp; Settings'!$C$42/(($F246-1)*COUNTIFS($A$4:$A$810,$A246,$E$4:$E$810,"Win")))*SUMIFS($X$4:$X$810,$A$4:$A$810,$A246,$E$4:$E$810,"Loss"),-('Guide &amp; Settings'!$C$42/($F246-1))*$X246)))</f>
        <v>21.174410514250127</v>
      </c>
      <c r="K246" s="118">
        <f>IF($D246="",0,'Guide &amp; Settings'!$C$43*(IF($E246="Win",1,0)-$I246))</f>
        <v>6</v>
      </c>
      <c r="L246" s="119">
        <f>IF($D246="",0,'Guide &amp; Settings'!$C$44*IF($F246&gt;=3,$F246,0))</f>
        <v>0</v>
      </c>
      <c r="M246" s="118">
        <f t="shared" si="54"/>
        <v>27.174410514250127</v>
      </c>
      <c r="N246" s="116">
        <f t="shared" si="55"/>
        <v>1068.7050318010354</v>
      </c>
      <c r="O246" s="115" t="str">
        <f t="shared" si="56"/>
        <v>OK</v>
      </c>
      <c r="P246">
        <f t="shared" si="57"/>
        <v>1041.5306212867852</v>
      </c>
      <c r="Q246">
        <f t="shared" si="58"/>
        <v>0.5</v>
      </c>
      <c r="R246">
        <f t="shared" si="59"/>
        <v>0.5</v>
      </c>
      <c r="S246">
        <f t="shared" si="60"/>
        <v>1</v>
      </c>
      <c r="T246" s="83">
        <f t="shared" si="61"/>
        <v>0</v>
      </c>
      <c r="U246" s="120">
        <f>IF($D246="",0,IFERROR(LOOKUP(2,1/(($D$3:D245=$D246)*($C$3:C245=$C246)*($A$3:A245&lt;$A246)),$AB$3:AB245),1000))</f>
        <v>1000</v>
      </c>
      <c r="V246" s="120">
        <f t="shared" si="62"/>
        <v>1041.5306212867852</v>
      </c>
      <c r="W246">
        <f t="shared" si="63"/>
        <v>1041.5306212867852</v>
      </c>
      <c r="X246">
        <f t="shared" si="64"/>
        <v>0.5</v>
      </c>
      <c r="Y246">
        <f t="shared" si="65"/>
        <v>1000</v>
      </c>
      <c r="Z246">
        <f t="shared" si="66"/>
        <v>0.5</v>
      </c>
      <c r="AA246">
        <f>IF($D246="",0,IF($F246&lt;2,0,IF($E246="Win",('Guide &amp; Settings'!$C$42/(($F246-1)*COUNTIFS($A$4:$A$810,$A246,$E$4:$E$810,"Win")))*SUMIFS($Z$4:$Z$810,$A$4:$A$810,$A246,$E$4:$E$810,"Loss"),-('Guide &amp; Settings'!$C$42/($F246-1))*$Z246)))</f>
        <v>16</v>
      </c>
      <c r="AB246" s="120">
        <f t="shared" si="67"/>
        <v>1016</v>
      </c>
      <c r="AC246" s="120">
        <f>IF($D246="","",IF(SUMPRODUCT(MAX(($D$4:$D$810=$D246)*($B$4:$B$810&lt;$B246)*$B$4:$B$810))=0,0,MAX(($B246-MAX(SUMPRODUCT(MAX(($D$4:$D$810=$D246)*($B$4:$B$810&lt;$B246)*$B$4:$B$810)),'Guide &amp; Settings'!$C$50))/7-'Guide &amp; Settings'!$C$48,0)*'Guide &amp; Settings'!$C$49))</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1158.0745310110758</v>
      </c>
      <c r="I247" s="117">
        <f t="shared" si="53"/>
        <v>0.5</v>
      </c>
      <c r="J247" s="118">
        <f>IF($D247="",0,IF($F247&lt;2,0,IF($E247="Win",('Guide &amp; Settings'!$C$42/(($F247-1)*COUNTIFS($A$4:$A$810,$A247,$E$4:$E$810,"Win")))*SUMIFS($X$4:$X$810,$A$4:$A$810,$A247,$E$4:$E$810,"Loss"),-('Guide &amp; Settings'!$C$42/($F247-1))*$X247)))</f>
        <v>-21.174410514250127</v>
      </c>
      <c r="K247" s="118">
        <f>IF($D247="",0,'Guide &amp; Settings'!$C$43*(IF($E247="Win",1,0)-$I247))</f>
        <v>-6</v>
      </c>
      <c r="L247" s="119">
        <f>IF($D247="",0,'Guide &amp; Settings'!$C$44*IF($F247&gt;=3,$F247,0))</f>
        <v>0</v>
      </c>
      <c r="M247" s="118">
        <f t="shared" si="54"/>
        <v>-27.174410514250127</v>
      </c>
      <c r="N247" s="116">
        <f t="shared" si="55"/>
        <v>1130.9001204968256</v>
      </c>
      <c r="O247" s="115" t="str">
        <f t="shared" si="56"/>
        <v>OK</v>
      </c>
      <c r="P247">
        <f t="shared" si="57"/>
        <v>1041.5306212867852</v>
      </c>
      <c r="Q247">
        <f t="shared" si="58"/>
        <v>0.66170032857031647</v>
      </c>
      <c r="R247">
        <f t="shared" si="59"/>
        <v>0.5</v>
      </c>
      <c r="S247">
        <f t="shared" si="60"/>
        <v>1</v>
      </c>
      <c r="T247" s="83">
        <f t="shared" si="61"/>
        <v>0</v>
      </c>
      <c r="U247" s="120">
        <f>IF($D247="",0,IFERROR(LOOKUP(2,1/(($D$3:D246=$D247)*($C$3:C246=$C247)*($A$3:A246&lt;$A247)),$AB$3:AB246),1000))</f>
        <v>1000</v>
      </c>
      <c r="V247" s="120">
        <f t="shared" si="62"/>
        <v>1158.0745310110758</v>
      </c>
      <c r="W247">
        <f t="shared" si="63"/>
        <v>1041.5306212867852</v>
      </c>
      <c r="X247">
        <f t="shared" si="64"/>
        <v>0.66170032857031647</v>
      </c>
      <c r="Y247">
        <f t="shared" si="65"/>
        <v>1000</v>
      </c>
      <c r="Z247">
        <f t="shared" si="66"/>
        <v>0.5</v>
      </c>
      <c r="AA247">
        <f>IF($D247="",0,IF($F247&lt;2,0,IF($E247="Win",('Guide &amp; Settings'!$C$42/(($F247-1)*COUNTIFS($A$4:$A$810,$A247,$E$4:$E$810,"Win")))*SUMIFS($Z$4:$Z$810,$A$4:$A$810,$A247,$E$4:$E$810,"Loss"),-('Guide &amp; Settings'!$C$42/($F247-1))*$Z247)))</f>
        <v>-16</v>
      </c>
      <c r="AB247" s="120">
        <f t="shared" si="67"/>
        <v>984</v>
      </c>
      <c r="AC247" s="120">
        <f>IF($D247="","",IF(SUMPRODUCT(MAX(($D$4:$D$810=$D247)*($B$4:$B$810&lt;$B247)*$B$4:$B$810))=0,0,MAX(($B247-MAX(SUMPRODUCT(MAX(($D$4:$D$810=$D247)*($B$4:$B$810&lt;$B247)*$B$4:$B$810)),'Guide &amp; Settings'!$C$50))/7-'Guide &amp; Settings'!$C$48,0)*'Guide &amp; Settings'!$C$49))</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1068.7050318010354</v>
      </c>
      <c r="I248" s="117">
        <f t="shared" si="53"/>
        <v>0.66666666666666663</v>
      </c>
      <c r="J248" s="118">
        <f>IF($D248="",0,IF($F248&lt;2,0,IF($E248="Win",('Guide &amp; Settings'!$C$42/(($F248-1)*COUNTIFS($A$4:$A$810,$A248,$E$4:$E$810,"Win")))*SUMIFS($X$4:$X$810,$A$4:$A$810,$A248,$E$4:$E$810,"Loss"),-('Guide &amp; Settings'!$C$42/($F248-1))*$X248)))</f>
        <v>18.12852394688333</v>
      </c>
      <c r="K248" s="118">
        <f>IF($D248="",0,'Guide &amp; Settings'!$C$43*(IF($E248="Win",1,0)-$I248))</f>
        <v>4</v>
      </c>
      <c r="L248" s="119">
        <f>IF($D248="",0,'Guide &amp; Settings'!$C$44*IF($F248&gt;=3,$F248,0))</f>
        <v>0</v>
      </c>
      <c r="M248" s="118">
        <f t="shared" si="54"/>
        <v>22.12852394688333</v>
      </c>
      <c r="N248" s="116">
        <f t="shared" si="55"/>
        <v>1090.8335557479188</v>
      </c>
      <c r="O248" s="115" t="str">
        <f t="shared" si="56"/>
        <v>OK</v>
      </c>
      <c r="P248">
        <f t="shared" si="57"/>
        <v>1068.7050318010354</v>
      </c>
      <c r="Q248">
        <f t="shared" si="58"/>
        <v>0.5</v>
      </c>
      <c r="R248">
        <f t="shared" si="59"/>
        <v>0.66666666666666663</v>
      </c>
      <c r="S248">
        <f t="shared" si="60"/>
        <v>1</v>
      </c>
      <c r="T248" s="83">
        <f t="shared" si="61"/>
        <v>1</v>
      </c>
      <c r="U248" s="120">
        <f>IF($D248="",0,IFERROR(LOOKUP(2,1/(($D$3:D247=$D248)*($C$3:C247=$C248)*($A$3:A247&lt;$A248)),$AB$3:AB247),1000))</f>
        <v>1016</v>
      </c>
      <c r="V248" s="120">
        <f t="shared" si="62"/>
        <v>1059.9208598341961</v>
      </c>
      <c r="W248">
        <f t="shared" si="63"/>
        <v>1059.9208598341961</v>
      </c>
      <c r="X248">
        <f t="shared" si="64"/>
        <v>0.5</v>
      </c>
      <c r="Y248">
        <f t="shared" si="65"/>
        <v>1016</v>
      </c>
      <c r="Z248">
        <f t="shared" si="66"/>
        <v>0.5</v>
      </c>
      <c r="AA248">
        <f>IF($D248="",0,IF($F248&lt;2,0,IF($E248="Win",('Guide &amp; Settings'!$C$42/(($F248-1)*COUNTIFS($A$4:$A$810,$A248,$E$4:$E$810,"Win")))*SUMIFS($Z$4:$Z$810,$A$4:$A$810,$A248,$E$4:$E$810,"Loss"),-('Guide &amp; Settings'!$C$42/($F248-1))*$Z248)))</f>
        <v>14.530498471024522</v>
      </c>
      <c r="AB248" s="120">
        <f t="shared" si="67"/>
        <v>1030.5304984710244</v>
      </c>
      <c r="AC248" s="120">
        <f>IF($D248="","",IF(SUMPRODUCT(MAX(($D$4:$D$810=$D248)*($B$4:$B$810&lt;$B248)*$B$4:$B$810))=0,0,MAX(($B248-MAX(SUMPRODUCT(MAX(($D$4:$D$810=$D248)*($B$4:$B$810&lt;$B248)*$B$4:$B$810)),'Guide &amp; Settings'!$C$50))/7-'Guide &amp; Settings'!$C$48,0)*'Guide &amp; Settings'!$C$49))</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1130.9001204968256</v>
      </c>
      <c r="I249" s="117">
        <f t="shared" si="53"/>
        <v>0.33333333333333331</v>
      </c>
      <c r="J249" s="118">
        <f>IF($D249="",0,IF($F249&lt;2,0,IF($E249="Win",('Guide &amp; Settings'!$C$42/(($F249-1)*COUNTIFS($A$4:$A$810,$A249,$E$4:$E$810,"Win")))*SUMIFS($X$4:$X$810,$A$4:$A$810,$A249,$E$4:$E$810,"Loss"),-('Guide &amp; Settings'!$C$42/($F249-1))*$X249)))</f>
        <v>-18.12852394688333</v>
      </c>
      <c r="K249" s="118">
        <f>IF($D249="",0,'Guide &amp; Settings'!$C$43*(IF($E249="Win",1,0)-$I249))</f>
        <v>-4</v>
      </c>
      <c r="L249" s="119">
        <f>IF($D249="",0,'Guide &amp; Settings'!$C$44*IF($F249&gt;=3,$F249,0))</f>
        <v>0</v>
      </c>
      <c r="M249" s="118">
        <f t="shared" si="54"/>
        <v>-22.12852394688333</v>
      </c>
      <c r="N249" s="116">
        <f t="shared" si="55"/>
        <v>1108.7715965499422</v>
      </c>
      <c r="O249" s="115" t="str">
        <f t="shared" si="56"/>
        <v>OK</v>
      </c>
      <c r="P249">
        <f t="shared" si="57"/>
        <v>1068.7050318010354</v>
      </c>
      <c r="Q249">
        <f t="shared" si="58"/>
        <v>0.58856194598867784</v>
      </c>
      <c r="R249">
        <f t="shared" si="59"/>
        <v>0.33333333333333331</v>
      </c>
      <c r="S249">
        <f t="shared" si="60"/>
        <v>1</v>
      </c>
      <c r="T249" s="83">
        <f t="shared" si="61"/>
        <v>1</v>
      </c>
      <c r="U249" s="120">
        <f>IF($D249="",0,IFERROR(LOOKUP(2,1/(($D$3:D248=$D249)*($C$3:C248=$C249)*($A$3:A248&lt;$A249)),$AB$3:AB248),1000))</f>
        <v>984</v>
      </c>
      <c r="V249" s="120">
        <f t="shared" si="62"/>
        <v>1106.416767080688</v>
      </c>
      <c r="W249">
        <f t="shared" si="63"/>
        <v>1059.9208598341961</v>
      </c>
      <c r="X249">
        <f t="shared" si="64"/>
        <v>0.56651637334010407</v>
      </c>
      <c r="Y249">
        <f t="shared" si="65"/>
        <v>1016</v>
      </c>
      <c r="Z249">
        <f t="shared" si="66"/>
        <v>0.45407807721951632</v>
      </c>
      <c r="AA249">
        <f>IF($D249="",0,IF($F249&lt;2,0,IF($E249="Win",('Guide &amp; Settings'!$C$42/(($F249-1)*COUNTIFS($A$4:$A$810,$A249,$E$4:$E$810,"Win")))*SUMIFS($Z$4:$Z$810,$A$4:$A$810,$A249,$E$4:$E$810,"Loss"),-('Guide &amp; Settings'!$C$42/($F249-1))*$Z249)))</f>
        <v>-14.530498471024522</v>
      </c>
      <c r="AB249" s="120">
        <f t="shared" si="67"/>
        <v>969.46950152897546</v>
      </c>
      <c r="AC249" s="120">
        <f>IF($D249="","",IF(SUMPRODUCT(MAX(($D$4:$D$810=$D249)*($B$4:$B$810&lt;$B249)*$B$4:$B$810))=0,0,MAX(($B249-MAX(SUMPRODUCT(MAX(($D$4:$D$810=$D249)*($B$4:$B$810&lt;$B249)*$B$4:$B$810)),'Guide &amp; Settings'!$C$50))/7-'Guide &amp; Settings'!$C$48,0)*'Guide &amp; Settings'!$C$49))</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1108.7715965499422</v>
      </c>
      <c r="I250" s="117">
        <f t="shared" si="53"/>
        <v>0.25</v>
      </c>
      <c r="J250" s="118">
        <f>IF($D250="",0,IF($F250&lt;2,0,IF($E250="Win",('Guide &amp; Settings'!$C$42/(($F250-1)*COUNTIFS($A$4:$A$810,$A250,$E$4:$E$810,"Win")))*SUMIFS($X$4:$X$810,$A$4:$A$810,$A250,$E$4:$E$810,"Loss"),-('Guide &amp; Settings'!$C$42/($F250-1))*$X250)))</f>
        <v>16.213350084848507</v>
      </c>
      <c r="K250" s="118">
        <f>IF($D250="",0,'Guide &amp; Settings'!$C$43*(IF($E250="Win",1,0)-$I250))</f>
        <v>9</v>
      </c>
      <c r="L250" s="119">
        <f>IF($D250="",0,'Guide &amp; Settings'!$C$44*IF($F250&gt;=3,$F250,0))</f>
        <v>0</v>
      </c>
      <c r="M250" s="118">
        <f t="shared" si="54"/>
        <v>25.213350084848507</v>
      </c>
      <c r="N250" s="116">
        <f t="shared" si="55"/>
        <v>1133.9849466347907</v>
      </c>
      <c r="O250" s="115" t="str">
        <f t="shared" si="56"/>
        <v>OK</v>
      </c>
      <c r="P250">
        <f t="shared" si="57"/>
        <v>1108.7715965499422</v>
      </c>
      <c r="Q250">
        <f t="shared" si="58"/>
        <v>0.5</v>
      </c>
      <c r="R250">
        <f t="shared" si="59"/>
        <v>0.25</v>
      </c>
      <c r="S250">
        <f t="shared" si="60"/>
        <v>1</v>
      </c>
      <c r="T250" s="83">
        <f t="shared" si="61"/>
        <v>2</v>
      </c>
      <c r="U250" s="120">
        <f>IF($D250="",0,IFERROR(LOOKUP(2,1/(($D$3:D249=$D250)*($C$3:C249=$C250)*($A$3:A249&lt;$A250)),$AB$3:AB249),1000))</f>
        <v>969.46950152897546</v>
      </c>
      <c r="V250" s="120">
        <f t="shared" si="62"/>
        <v>1068.970997972523</v>
      </c>
      <c r="W250">
        <f t="shared" si="63"/>
        <v>1068.970997972523</v>
      </c>
      <c r="X250">
        <f t="shared" si="64"/>
        <v>0.5</v>
      </c>
      <c r="Y250">
        <f t="shared" si="65"/>
        <v>969.46950152897546</v>
      </c>
      <c r="Z250">
        <f t="shared" si="66"/>
        <v>0.5</v>
      </c>
      <c r="AA250">
        <f>IF($D250="",0,IF($F250&lt;2,0,IF($E250="Win",('Guide &amp; Settings'!$C$42/(($F250-1)*COUNTIFS($A$4:$A$810,$A250,$E$4:$E$810,"Win")))*SUMIFS($Z$4:$Z$810,$A$4:$A$810,$A250,$E$4:$E$810,"Loss"),-('Guide &amp; Settings'!$C$42/($F250-1))*$Z250)))</f>
        <v>18.783364837413572</v>
      </c>
      <c r="AB250" s="120">
        <f t="shared" si="67"/>
        <v>988.25286636638907</v>
      </c>
      <c r="AC250" s="120">
        <f>IF($D250="","",IF(SUMPRODUCT(MAX(($D$4:$D$810=$D250)*($B$4:$B$810&lt;$B250)*$B$4:$B$810))=0,0,MAX(($B250-MAX(SUMPRODUCT(MAX(($D$4:$D$810=$D250)*($B$4:$B$810&lt;$B250)*$B$4:$B$810)),'Guide &amp; Settings'!$C$50))/7-'Guide &amp; Settings'!$C$48,0)*'Guide &amp; Settings'!$C$49))</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1090.8335557479188</v>
      </c>
      <c r="I251" s="117">
        <f t="shared" si="53"/>
        <v>0.75</v>
      </c>
      <c r="J251" s="118">
        <f>IF($D251="",0,IF($F251&lt;2,0,IF($E251="Win",('Guide &amp; Settings'!$C$42/(($F251-1)*COUNTIFS($A$4:$A$810,$A251,$E$4:$E$810,"Win")))*SUMIFS($X$4:$X$810,$A$4:$A$810,$A251,$E$4:$E$810,"Loss"),-('Guide &amp; Settings'!$C$42/($F251-1))*$X251)))</f>
        <v>-16.213350084848507</v>
      </c>
      <c r="K251" s="118">
        <f>IF($D251="",0,'Guide &amp; Settings'!$C$43*(IF($E251="Win",1,0)-$I251))</f>
        <v>-9</v>
      </c>
      <c r="L251" s="119">
        <f>IF($D251="",0,'Guide &amp; Settings'!$C$44*IF($F251&gt;=3,$F251,0))</f>
        <v>0</v>
      </c>
      <c r="M251" s="118">
        <f t="shared" si="54"/>
        <v>-25.213350084848507</v>
      </c>
      <c r="N251" s="116">
        <f t="shared" si="55"/>
        <v>1065.6202056630702</v>
      </c>
      <c r="O251" s="115" t="str">
        <f t="shared" si="56"/>
        <v>OK</v>
      </c>
      <c r="P251">
        <f t="shared" si="57"/>
        <v>1108.7715965499422</v>
      </c>
      <c r="Q251">
        <f t="shared" si="58"/>
        <v>0.47420799747947673</v>
      </c>
      <c r="R251">
        <f t="shared" si="59"/>
        <v>0.75</v>
      </c>
      <c r="S251">
        <f t="shared" si="60"/>
        <v>1</v>
      </c>
      <c r="T251" s="83">
        <f t="shared" si="61"/>
        <v>2</v>
      </c>
      <c r="U251" s="120">
        <f>IF($D251="",0,IFERROR(LOOKUP(2,1/(($D$3:D250=$D251)*($C$3:C250=$C251)*($A$3:A250&lt;$A251)),$AB$3:AB250),1000))</f>
        <v>1030.5304984710244</v>
      </c>
      <c r="V251" s="120">
        <f t="shared" si="62"/>
        <v>1073.6041108116633</v>
      </c>
      <c r="W251">
        <f t="shared" si="63"/>
        <v>1068.970997972523</v>
      </c>
      <c r="X251">
        <f t="shared" si="64"/>
        <v>0.50666719015151584</v>
      </c>
      <c r="Y251">
        <f t="shared" si="65"/>
        <v>969.46950152897546</v>
      </c>
      <c r="Z251">
        <f t="shared" si="66"/>
        <v>0.58698015116917412</v>
      </c>
      <c r="AA251">
        <f>IF($D251="",0,IF($F251&lt;2,0,IF($E251="Win",('Guide &amp; Settings'!$C$42/(($F251-1)*COUNTIFS($A$4:$A$810,$A251,$E$4:$E$810,"Win")))*SUMIFS($Z$4:$Z$810,$A$4:$A$810,$A251,$E$4:$E$810,"Loss"),-('Guide &amp; Settings'!$C$42/($F251-1))*$Z251)))</f>
        <v>-18.783364837413572</v>
      </c>
      <c r="AB251" s="120">
        <f t="shared" si="67"/>
        <v>1011.7471336336108</v>
      </c>
      <c r="AC251" s="120">
        <f>IF($D251="","",IF(SUMPRODUCT(MAX(($D$4:$D$810=$D251)*($B$4:$B$810&lt;$B251)*$B$4:$B$810))=0,0,MAX(($B251-MAX(SUMPRODUCT(MAX(($D$4:$D$810=$D251)*($B$4:$B$810&lt;$B251)*$B$4:$B$810)),'Guide &amp; Settings'!$C$50))/7-'Guide &amp; Settings'!$C$48,0)*'Guide &amp; Settings'!$C$49))</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1133.9849466347907</v>
      </c>
      <c r="I252" s="117">
        <f t="shared" si="53"/>
        <v>0.4</v>
      </c>
      <c r="J252" s="118">
        <f>IF($D252="",0,IF($F252&lt;2,0,IF($E252="Win",('Guide &amp; Settings'!$C$42/(($F252-1)*COUNTIFS($A$4:$A$810,$A252,$E$4:$E$810,"Win")))*SUMIFS($X$4:$X$810,$A$4:$A$810,$A252,$E$4:$E$810,"Loss"),-('Guide &amp; Settings'!$C$42/($F252-1))*$X252)))</f>
        <v>14.442979302969768</v>
      </c>
      <c r="K252" s="118">
        <f>IF($D252="",0,'Guide &amp; Settings'!$C$43*(IF($E252="Win",1,0)-$I252))</f>
        <v>7.1999999999999993</v>
      </c>
      <c r="L252" s="119">
        <f>IF($D252="",0,'Guide &amp; Settings'!$C$44*IF($F252&gt;=3,$F252,0))</f>
        <v>0</v>
      </c>
      <c r="M252" s="118">
        <f t="shared" si="54"/>
        <v>21.642979302969767</v>
      </c>
      <c r="N252" s="116">
        <f t="shared" si="55"/>
        <v>1155.6279259377604</v>
      </c>
      <c r="O252" s="115" t="str">
        <f t="shared" si="56"/>
        <v>OK</v>
      </c>
      <c r="P252">
        <f t="shared" si="57"/>
        <v>1133.9849466347907</v>
      </c>
      <c r="Q252">
        <f t="shared" si="58"/>
        <v>0.5</v>
      </c>
      <c r="R252">
        <f t="shared" si="59"/>
        <v>0.4</v>
      </c>
      <c r="S252">
        <f t="shared" si="60"/>
        <v>1</v>
      </c>
      <c r="T252" s="83">
        <f t="shared" si="61"/>
        <v>3</v>
      </c>
      <c r="U252" s="120">
        <f>IF($D252="",0,IFERROR(LOOKUP(2,1/(($D$3:D251=$D252)*($C$3:C251=$C252)*($A$3:A251&lt;$A252)),$AB$3:AB251),1000))</f>
        <v>988.25286636638907</v>
      </c>
      <c r="V252" s="120">
        <f t="shared" si="62"/>
        <v>1079.3354165341402</v>
      </c>
      <c r="W252">
        <f t="shared" si="63"/>
        <v>1079.3354165341402</v>
      </c>
      <c r="X252">
        <f t="shared" si="64"/>
        <v>0.5</v>
      </c>
      <c r="Y252">
        <f t="shared" si="65"/>
        <v>988.25286636638907</v>
      </c>
      <c r="Z252">
        <f t="shared" si="66"/>
        <v>0.5</v>
      </c>
      <c r="AA252">
        <f>IF($D252="",0,IF($F252&lt;2,0,IF($E252="Win",('Guide &amp; Settings'!$C$42/(($F252-1)*COUNTIFS($A$4:$A$810,$A252,$E$4:$E$810,"Win")))*SUMIFS($Z$4:$Z$810,$A$4:$A$810,$A252,$E$4:$E$810,"Loss"),-('Guide &amp; Settings'!$C$42/($F252-1))*$Z252)))</f>
        <v>17.080304847214755</v>
      </c>
      <c r="AB252" s="120">
        <f t="shared" si="67"/>
        <v>1005.3331712136038</v>
      </c>
      <c r="AC252" s="120">
        <f>IF($D252="","",IF(SUMPRODUCT(MAX(($D$4:$D$810=$D252)*($B$4:$B$810&lt;$B252)*$B$4:$B$810))=0,0,MAX(($B252-MAX(SUMPRODUCT(MAX(($D$4:$D$810=$D252)*($B$4:$B$810&lt;$B252)*$B$4:$B$810)),'Guide &amp; Settings'!$C$50))/7-'Guide &amp; Settings'!$C$48,0)*'Guide &amp; Settings'!$C$49))</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1065.6202056630702</v>
      </c>
      <c r="I253" s="117">
        <f t="shared" si="53"/>
        <v>0.6</v>
      </c>
      <c r="J253" s="118">
        <f>IF($D253="",0,IF($F253&lt;2,0,IF($E253="Win",('Guide &amp; Settings'!$C$42/(($F253-1)*COUNTIFS($A$4:$A$810,$A253,$E$4:$E$810,"Win")))*SUMIFS($X$4:$X$810,$A$4:$A$810,$A253,$E$4:$E$810,"Loss"),-('Guide &amp; Settings'!$C$42/($F253-1))*$X253)))</f>
        <v>-14.442979302969768</v>
      </c>
      <c r="K253" s="118">
        <f>IF($D253="",0,'Guide &amp; Settings'!$C$43*(IF($E253="Win",1,0)-$I253))</f>
        <v>-7.1999999999999993</v>
      </c>
      <c r="L253" s="119">
        <f>IF($D253="",0,'Guide &amp; Settings'!$C$44*IF($F253&gt;=3,$F253,0))</f>
        <v>0</v>
      </c>
      <c r="M253" s="118">
        <f t="shared" si="54"/>
        <v>-21.642979302969767</v>
      </c>
      <c r="N253" s="116">
        <f t="shared" si="55"/>
        <v>1043.9772263601005</v>
      </c>
      <c r="O253" s="115" t="str">
        <f t="shared" si="56"/>
        <v>OK</v>
      </c>
      <c r="P253">
        <f t="shared" si="57"/>
        <v>1133.9849466347907</v>
      </c>
      <c r="Q253">
        <f t="shared" si="58"/>
        <v>0.40286562946914495</v>
      </c>
      <c r="R253">
        <f t="shared" si="59"/>
        <v>0.6</v>
      </c>
      <c r="S253">
        <f t="shared" si="60"/>
        <v>1</v>
      </c>
      <c r="T253" s="83">
        <f t="shared" si="61"/>
        <v>3</v>
      </c>
      <c r="U253" s="120">
        <f>IF($D253="",0,IFERROR(LOOKUP(2,1/(($D$3:D252=$D253)*($C$3:C252=$C253)*($A$3:A252&lt;$A253)),$AB$3:AB252),1000))</f>
        <v>1011.7471336336108</v>
      </c>
      <c r="V253" s="120">
        <f t="shared" si="62"/>
        <v>1045.4178036520229</v>
      </c>
      <c r="W253">
        <f t="shared" si="63"/>
        <v>1079.3354165341402</v>
      </c>
      <c r="X253">
        <f t="shared" si="64"/>
        <v>0.45134310321780524</v>
      </c>
      <c r="Y253">
        <f t="shared" si="65"/>
        <v>988.25286636638907</v>
      </c>
      <c r="Z253">
        <f t="shared" si="66"/>
        <v>0.5337595264754611</v>
      </c>
      <c r="AA253">
        <f>IF($D253="",0,IF($F253&lt;2,0,IF($E253="Win",('Guide &amp; Settings'!$C$42/(($F253-1)*COUNTIFS($A$4:$A$810,$A253,$E$4:$E$810,"Win")))*SUMIFS($Z$4:$Z$810,$A$4:$A$810,$A253,$E$4:$E$810,"Loss"),-('Guide &amp; Settings'!$C$42/($F253-1))*$Z253)))</f>
        <v>-17.080304847214755</v>
      </c>
      <c r="AB253" s="120">
        <f t="shared" si="67"/>
        <v>994.66682878639608</v>
      </c>
      <c r="AC253" s="120">
        <f>IF($D253="","",IF(SUMPRODUCT(MAX(($D$4:$D$810=$D253)*($B$4:$B$810&lt;$B253)*$B$4:$B$810))=0,0,MAX(($B253-MAX(SUMPRODUCT(MAX(($D$4:$D$810=$D253)*($B$4:$B$810&lt;$B253)*$B$4:$B$810)),'Guide &amp; Settings'!$C$50))/7-'Guide &amp; Settings'!$C$48,0)*'Guide &amp; Settings'!$C$49))</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1043.9772263601005</v>
      </c>
      <c r="I254" s="117">
        <f t="shared" si="53"/>
        <v>0.6</v>
      </c>
      <c r="J254" s="118">
        <f>IF($D254="",0,IF($F254&lt;2,0,IF($E254="Win",('Guide &amp; Settings'!$C$42/(($F254-1)*COUNTIFS($A$4:$A$810,$A254,$E$4:$E$810,"Win")))*SUMIFS($X$4:$X$810,$A$4:$A$810,$A254,$E$4:$E$810,"Loss"),-('Guide &amp; Settings'!$C$42/($F254-1))*$X254)))</f>
        <v>21.12669703017124</v>
      </c>
      <c r="K254" s="118">
        <f>IF($D254="",0,'Guide &amp; Settings'!$C$43*(IF($E254="Win",1,0)-$I254))</f>
        <v>4.8000000000000007</v>
      </c>
      <c r="L254" s="119">
        <f>IF($D254="",0,'Guide &amp; Settings'!$C$44*IF($F254&gt;=3,$F254,0))</f>
        <v>0</v>
      </c>
      <c r="M254" s="118">
        <f t="shared" si="54"/>
        <v>25.92669703017124</v>
      </c>
      <c r="N254" s="116">
        <f t="shared" si="55"/>
        <v>1069.9039233902718</v>
      </c>
      <c r="O254" s="115" t="str">
        <f t="shared" si="56"/>
        <v>OK</v>
      </c>
      <c r="P254">
        <f t="shared" si="57"/>
        <v>1043.9772263601005</v>
      </c>
      <c r="Q254">
        <f t="shared" si="58"/>
        <v>0.5</v>
      </c>
      <c r="R254">
        <f t="shared" si="59"/>
        <v>0.75</v>
      </c>
      <c r="S254">
        <f t="shared" si="60"/>
        <v>1.25</v>
      </c>
      <c r="T254" s="83">
        <f t="shared" si="61"/>
        <v>2</v>
      </c>
      <c r="U254" s="120">
        <f>IF($D254="",0,IFERROR(LOOKUP(2,1/(($D$3:D253=$D254)*($C$3:C253=$C254)*($A$3:A253&lt;$A254)),$AB$3:AB253),1000))</f>
        <v>1030.8965137687414</v>
      </c>
      <c r="V254" s="120">
        <f t="shared" si="62"/>
        <v>1040.2398799054265</v>
      </c>
      <c r="W254">
        <f t="shared" si="63"/>
        <v>1040.2398799054265</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IF($D254="","",IF(SUMPRODUCT(MAX(($D$4:$D$810=$D254)*($B$4:$B$810&lt;$B254)*$B$4:$B$810))=0,0,MAX(($B254-MAX(SUMPRODUCT(MAX(($D$4:$D$810=$D254)*($B$4:$B$810&lt;$B254)*$B$4:$B$810)),'Guide &amp; Settings'!$C$50))/7-'Guide &amp; Settings'!$C$48,0)*'Guide &amp; Settings'!$C$49))</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1155.6279259377604</v>
      </c>
      <c r="I255" s="117">
        <f t="shared" si="53"/>
        <v>0.4</v>
      </c>
      <c r="J255" s="118">
        <f>IF($D255="",0,IF($F255&lt;2,0,IF($E255="Win",('Guide &amp; Settings'!$C$42/(($F255-1)*COUNTIFS($A$4:$A$810,$A255,$E$4:$E$810,"Win")))*SUMIFS($X$4:$X$810,$A$4:$A$810,$A255,$E$4:$E$810,"Loss"),-('Guide &amp; Settings'!$C$42/($F255-1))*$X255)))</f>
        <v>-21.12669703017124</v>
      </c>
      <c r="K255" s="118">
        <f>IF($D255="",0,'Guide &amp; Settings'!$C$43*(IF($E255="Win",1,0)-$I255))</f>
        <v>-4.8000000000000007</v>
      </c>
      <c r="L255" s="119">
        <f>IF($D255="",0,'Guide &amp; Settings'!$C$44*IF($F255&gt;=3,$F255,0))</f>
        <v>0</v>
      </c>
      <c r="M255" s="118">
        <f t="shared" si="54"/>
        <v>-25.92669703017124</v>
      </c>
      <c r="N255" s="116">
        <f t="shared" si="55"/>
        <v>1129.7012289075892</v>
      </c>
      <c r="O255" s="115" t="str">
        <f t="shared" si="56"/>
        <v>OK</v>
      </c>
      <c r="P255">
        <f t="shared" si="57"/>
        <v>1043.9772263601005</v>
      </c>
      <c r="Q255">
        <f t="shared" si="58"/>
        <v>0.65536650080635572</v>
      </c>
      <c r="R255">
        <f t="shared" si="59"/>
        <v>0.5</v>
      </c>
      <c r="S255">
        <f t="shared" si="60"/>
        <v>1.25</v>
      </c>
      <c r="T255" s="83">
        <f t="shared" si="61"/>
        <v>0</v>
      </c>
      <c r="U255" s="120">
        <f>IF($D255="",0,IFERROR(LOOKUP(2,1/(($D$3:D254=$D255)*($C$3:C254=$C255)*($A$3:A254&lt;$A255)),$AB$3:AB254),1000))</f>
        <v>1000</v>
      </c>
      <c r="V255" s="120">
        <f t="shared" si="62"/>
        <v>1155.6279259377604</v>
      </c>
      <c r="W255">
        <f t="shared" si="63"/>
        <v>1040.2398799054265</v>
      </c>
      <c r="X255">
        <f t="shared" si="64"/>
        <v>0.66020928219285124</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IF($D255="","",IF(SUMPRODUCT(MAX(($D$4:$D$810=$D255)*($B$4:$B$810&lt;$B255)*$B$4:$B$810))=0,0,MAX(($B255-MAX(SUMPRODUCT(MAX(($D$4:$D$810=$D255)*($B$4:$B$810&lt;$B255)*$B$4:$B$810)),'Guide &amp; Settings'!$C$50))/7-'Guide &amp; Settings'!$C$48,0)*'Guide &amp; Settings'!$C$49))</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1057.8442062146762</v>
      </c>
      <c r="I256" s="117">
        <f t="shared" si="53"/>
        <v>0.66666666666666663</v>
      </c>
      <c r="J256" s="118">
        <f>IF($D256="",0,IF($F256&lt;2,0,IF($E256="Win",('Guide &amp; Settings'!$C$42/(($F256-1)*COUNTIFS($A$4:$A$810,$A256,$E$4:$E$810,"Win")))*SUMIFS($X$4:$X$810,$A$4:$A$810,$A256,$E$4:$E$810,"Loss"),-('Guide &amp; Settings'!$C$42/($F256-1))*$X256)))</f>
        <v>-17.733001081920793</v>
      </c>
      <c r="K256" s="118">
        <f>IF($D256="",0,'Guide &amp; Settings'!$C$43*(IF($E256="Win",1,0)-$I256))</f>
        <v>-8</v>
      </c>
      <c r="L256" s="119">
        <f>IF($D256="",0,'Guide &amp; Settings'!$C$44*IF($F256&gt;=3,$F256,0))</f>
        <v>0</v>
      </c>
      <c r="M256" s="118">
        <f t="shared" si="54"/>
        <v>-25.733001081920793</v>
      </c>
      <c r="N256" s="116">
        <f t="shared" si="55"/>
        <v>1032.1112051327555</v>
      </c>
      <c r="O256" s="115" t="str">
        <f t="shared" si="56"/>
        <v>OK</v>
      </c>
      <c r="P256">
        <f t="shared" si="57"/>
        <v>1034.2694085900962</v>
      </c>
      <c r="Q256">
        <f t="shared" si="58"/>
        <v>0.53387488883488798</v>
      </c>
      <c r="R256">
        <f t="shared" si="59"/>
        <v>0.5</v>
      </c>
      <c r="S256">
        <f t="shared" si="60"/>
        <v>0.75</v>
      </c>
      <c r="T256" s="83">
        <f t="shared" si="61"/>
        <v>0</v>
      </c>
      <c r="U256" s="120">
        <f>IF($D256="",0,IFERROR(LOOKUP(2,1/(($D$3:D255=$D256)*($C$3:C255=$C256)*($A$3:A255&lt;$A256)),$AB$3:AB255),1000))</f>
        <v>1000</v>
      </c>
      <c r="V256" s="120">
        <f t="shared" si="62"/>
        <v>1057.8442062146762</v>
      </c>
      <c r="W256">
        <f t="shared" si="63"/>
        <v>1020.0643613116772</v>
      </c>
      <c r="X256">
        <f t="shared" si="64"/>
        <v>0.5541562838100248</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IF($D256="","",IF(SUMPRODUCT(MAX(($D$4:$D$810=$D256)*($B$4:$B$810&lt;$B256)*$B$4:$B$810))=0,0,MAX(($B256-MAX(SUMPRODUCT(MAX(($D$4:$D$810=$D256)*($B$4:$B$810&lt;$B256)*$B$4:$B$810)),'Guide &amp; Settings'!$C$50))/7-'Guide &amp; Settings'!$C$48,0)*'Guide &amp; Settings'!$C$49))</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1034.2694085900962</v>
      </c>
      <c r="I257" s="117">
        <f t="shared" si="53"/>
        <v>0.33333333333333331</v>
      </c>
      <c r="J257" s="118">
        <f>IF($D257="",0,IF($F257&lt;2,0,IF($E257="Win",('Guide &amp; Settings'!$C$42/(($F257-1)*COUNTIFS($A$4:$A$810,$A257,$E$4:$E$810,"Win")))*SUMIFS($X$4:$X$810,$A$4:$A$810,$A257,$E$4:$E$810,"Loss"),-('Guide &amp; Settings'!$C$42/($F257-1))*$X257)))</f>
        <v>17.733001081920793</v>
      </c>
      <c r="K257" s="118">
        <f>IF($D257="",0,'Guide &amp; Settings'!$C$43*(IF($E257="Win",1,0)-$I257))</f>
        <v>8</v>
      </c>
      <c r="L257" s="119">
        <f>IF($D257="",0,'Guide &amp; Settings'!$C$44*IF($F257&gt;=3,$F257,0))</f>
        <v>0</v>
      </c>
      <c r="M257" s="118">
        <f t="shared" si="54"/>
        <v>25.733001081920793</v>
      </c>
      <c r="N257" s="116">
        <f t="shared" si="55"/>
        <v>1060.0024096720169</v>
      </c>
      <c r="O257" s="115" t="str">
        <f t="shared" si="56"/>
        <v>OK</v>
      </c>
      <c r="P257">
        <f t="shared" si="57"/>
        <v>1034.2694085900962</v>
      </c>
      <c r="Q257">
        <f t="shared" si="58"/>
        <v>0.5</v>
      </c>
      <c r="R257">
        <f t="shared" si="59"/>
        <v>0.25</v>
      </c>
      <c r="S257">
        <f t="shared" si="60"/>
        <v>0.75</v>
      </c>
      <c r="T257" s="83">
        <f t="shared" si="61"/>
        <v>2</v>
      </c>
      <c r="U257" s="120">
        <f>IF($D257="",0,IFERROR(LOOKUP(2,1/(($D$3:D256=$D257)*($C$3:C256=$C257)*($A$3:A256&lt;$A257)),$AB$3:AB256),1000))</f>
        <v>984.55174311562928</v>
      </c>
      <c r="V257" s="120">
        <f t="shared" si="62"/>
        <v>1020.0643613116772</v>
      </c>
      <c r="W257">
        <f t="shared" si="63"/>
        <v>1020.0643613116772</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IF($D257="","",IF(SUMPRODUCT(MAX(($D$4:$D$810=$D257)*($B$4:$B$810&lt;$B257)*$B$4:$B$810))=0,0,MAX(($B257-MAX(SUMPRODUCT(MAX(($D$4:$D$810=$D257)*($B$4:$B$810&lt;$B257)*$B$4:$B$810)),'Guide &amp; Settings'!$C$50))/7-'Guide &amp; Settings'!$C$48,0)*'Guide &amp; Settings'!$C$49))</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1032.1112051327555</v>
      </c>
      <c r="I258" s="117">
        <f t="shared" si="53"/>
        <v>0.45454545454545447</v>
      </c>
      <c r="J258" s="118">
        <f>IF($D258="",0,IF($F258&lt;2,0,IF($E258="Win",('Guide &amp; Settings'!$C$42/(($F258-1)*COUNTIFS($A$4:$A$810,$A258,$E$4:$E$810,"Win")))*SUMIFS($X$4:$X$810,$A$4:$A$810,$A258,$E$4:$E$810,"Loss"),-('Guide &amp; Settings'!$C$42/($F258-1))*$X258)))</f>
        <v>16.644413575007892</v>
      </c>
      <c r="K258" s="118">
        <f>IF($D258="",0,'Guide &amp; Settings'!$C$43*(IF($E258="Win",1,0)-$I258))</f>
        <v>6.5454545454545467</v>
      </c>
      <c r="L258" s="119">
        <f>IF($D258="",0,'Guide &amp; Settings'!$C$44*IF($F258&gt;=3,$F258,0))</f>
        <v>0</v>
      </c>
      <c r="M258" s="118">
        <f t="shared" si="54"/>
        <v>23.189868120462439</v>
      </c>
      <c r="N258" s="116">
        <f t="shared" si="55"/>
        <v>1055.301073253218</v>
      </c>
      <c r="O258" s="115" t="str">
        <f t="shared" si="56"/>
        <v>OK</v>
      </c>
      <c r="P258">
        <f t="shared" si="57"/>
        <v>1032.1112051327555</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1023.9741792669709</v>
      </c>
      <c r="W258">
        <f t="shared" si="63"/>
        <v>1023.9741792669709</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IF($D258="","",IF(SUMPRODUCT(MAX(($D$4:$D$810=$D258)*($B$4:$B$810&lt;$B258)*$B$4:$B$810))=0,0,MAX(($B258-MAX(SUMPRODUCT(MAX(($D$4:$D$810=$D258)*($B$4:$B$810&lt;$B258)*$B$4:$B$810)),'Guide &amp; Settings'!$C$50))/7-'Guide &amp; Settings'!$C$48,0)*'Guide &amp; Settings'!$C$49))</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1060.0024096720169</v>
      </c>
      <c r="I259" s="117">
        <f t="shared" si="53"/>
        <v>0.54545454545454541</v>
      </c>
      <c r="J259" s="118">
        <f>IF($D259="",0,IF($F259&lt;2,0,IF($E259="Win",('Guide &amp; Settings'!$C$42/(($F259-1)*COUNTIFS($A$4:$A$810,$A259,$E$4:$E$810,"Win")))*SUMIFS($X$4:$X$810,$A$4:$A$810,$A259,$E$4:$E$810,"Loss"),-('Guide &amp; Settings'!$C$42/($F259-1))*$X259)))</f>
        <v>-16.644413575007892</v>
      </c>
      <c r="K259" s="118">
        <f>IF($D259="",0,'Guide &amp; Settings'!$C$43*(IF($E259="Win",1,0)-$I259))</f>
        <v>-6.545454545454545</v>
      </c>
      <c r="L259" s="119">
        <f>IF($D259="",0,'Guide &amp; Settings'!$C$44*IF($F259&gt;=3,$F259,0))</f>
        <v>0</v>
      </c>
      <c r="M259" s="118">
        <f t="shared" si="54"/>
        <v>-23.189868120462435</v>
      </c>
      <c r="N259" s="116">
        <f t="shared" si="55"/>
        <v>1036.8125415515544</v>
      </c>
      <c r="O259" s="115" t="str">
        <f t="shared" si="56"/>
        <v>OK</v>
      </c>
      <c r="P259">
        <f t="shared" si="57"/>
        <v>1032.1112051327555</v>
      </c>
      <c r="Q259">
        <f t="shared" si="58"/>
        <v>0.54005266766084803</v>
      </c>
      <c r="R259">
        <f t="shared" si="59"/>
        <v>0.4</v>
      </c>
      <c r="S259">
        <f t="shared" si="60"/>
        <v>0.73333333333333339</v>
      </c>
      <c r="T259" s="83">
        <f t="shared" si="61"/>
        <v>3</v>
      </c>
      <c r="U259" s="120">
        <f>IF($D259="",0,IFERROR(LOOKUP(2,1/(($D$3:D258=$D259)*($C$3:C258=$C259)*($A$3:A258&lt;$A259)),$AB$3:AB258),1000))</f>
        <v>1001.2626931775815</v>
      </c>
      <c r="V259" s="120">
        <f t="shared" si="62"/>
        <v>1037.9750159866037</v>
      </c>
      <c r="W259">
        <f t="shared" si="63"/>
        <v>1023.9741792669709</v>
      </c>
      <c r="X259">
        <f t="shared" si="64"/>
        <v>0.52013792421899663</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IF($D259="","",IF(SUMPRODUCT(MAX(($D$4:$D$810=$D259)*($B$4:$B$810&lt;$B259)*$B$4:$B$810))=0,0,MAX(($B259-MAX(SUMPRODUCT(MAX(($D$4:$D$810=$D259)*($B$4:$B$810&lt;$B259)*$B$4:$B$810)),'Guide &amp; Settings'!$C$50))/7-'Guide &amp; Settings'!$C$48,0)*'Guide &amp; Settings'!$C$49))</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1055.301073253218</v>
      </c>
      <c r="I260" s="117">
        <f t="shared" ref="I260:I311" si="70">IF($D260="",0,IF($S260=0,0,$R260/$S260))</f>
        <v>0.61538461538461542</v>
      </c>
      <c r="J260" s="118">
        <f>IF($D260="",0,IF($F260&lt;2,0,IF($E260="Win",('Guide &amp; Settings'!$C$42/(($F260-1)*COUNTIFS($A$4:$A$810,$A260,$E$4:$E$810,"Win")))*SUMIFS($X$4:$X$810,$A$4:$A$810,$A260,$E$4:$E$810,"Loss"),-('Guide &amp; Settings'!$C$42/($F260-1))*$X260)))</f>
        <v>13.830530634922741</v>
      </c>
      <c r="K260" s="118">
        <f>IF($D260="",0,'Guide &amp; Settings'!$C$43*(IF($E260="Win",1,0)-$I260))</f>
        <v>4.615384615384615</v>
      </c>
      <c r="L260" s="119">
        <f>IF($D260="",0,'Guide &amp; Settings'!$C$44*IF($F260&gt;=3,$F260,0))</f>
        <v>0</v>
      </c>
      <c r="M260" s="118">
        <f t="shared" ref="M260:M311" si="71">IF($D260="",0,$J260+$K260+$L260)</f>
        <v>18.445915250307358</v>
      </c>
      <c r="N260" s="116">
        <f t="shared" ref="N260:N311" si="72">IF($D260="",0,$H260+$M260)</f>
        <v>1073.7469885035252</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1055.301073253218</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1052.0151916370105</v>
      </c>
      <c r="W260">
        <f t="shared" ref="W260:W311" si="80">IF($D260="",0,IFERROR(SUMIFS($V$4:$V$810,$A$4:$A$810,$A260,$E$4:$E$810,"Win")/COUNTIFS($A$4:$A$810,$A260,$E$4:$E$810,"Win"),0))</f>
        <v>1052.0151916370105</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IF($D260="","",IF(SUMPRODUCT(MAX(($D$4:$D$810=$D260)*($B$4:$B$810&lt;$B260)*$B$4:$B$810))=0,0,MAX(($B260-MAX(SUMPRODUCT(MAX(($D$4:$D$810=$D260)*($B$4:$B$810&lt;$B260)*$B$4:$B$810)),'Guide &amp; Settings'!$C$50))/7-'Guide &amp; Settings'!$C$48,0)*'Guide &amp; Settings'!$C$49))</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1036.8125415515544</v>
      </c>
      <c r="I261" s="117">
        <f t="shared" si="70"/>
        <v>0.38461538461538458</v>
      </c>
      <c r="J261" s="118">
        <f>IF($D261="",0,IF($F261&lt;2,0,IF($E261="Win",('Guide &amp; Settings'!$C$42/(($F261-1)*COUNTIFS($A$4:$A$810,$A261,$E$4:$E$810,"Win")))*SUMIFS($X$4:$X$810,$A$4:$A$810,$A261,$E$4:$E$810,"Loss"),-('Guide &amp; Settings'!$C$42/($F261-1))*$X261)))</f>
        <v>-13.830530634922741</v>
      </c>
      <c r="K261" s="118">
        <f>IF($D261="",0,'Guide &amp; Settings'!$C$43*(IF($E261="Win",1,0)-$I261))</f>
        <v>-4.615384615384615</v>
      </c>
      <c r="L261" s="119">
        <f>IF($D261="",0,'Guide &amp; Settings'!$C$44*IF($F261&gt;=3,$F261,0))</f>
        <v>0</v>
      </c>
      <c r="M261" s="118">
        <f t="shared" si="71"/>
        <v>-18.445915250307358</v>
      </c>
      <c r="N261" s="116">
        <f t="shared" si="72"/>
        <v>1018.366626301247</v>
      </c>
      <c r="O261" s="115" t="str">
        <f t="shared" si="73"/>
        <v>OK</v>
      </c>
      <c r="P261">
        <f t="shared" si="74"/>
        <v>1055.301073253218</v>
      </c>
      <c r="Q261">
        <f t="shared" si="75"/>
        <v>0.47341795065145509</v>
      </c>
      <c r="R261">
        <f t="shared" si="76"/>
        <v>0.5</v>
      </c>
      <c r="S261">
        <f t="shared" si="77"/>
        <v>1.3</v>
      </c>
      <c r="T261" s="83">
        <f t="shared" si="78"/>
        <v>8</v>
      </c>
      <c r="U261" s="120">
        <f>IF($D261="",0,IFERROR(LOOKUP(2,1/(($D$3:D260=$D261)*($C$3:C260=$C261)*($A$3:A260&lt;$A261)),$AB$3:AB260),1000))</f>
        <v>984.48963725383635</v>
      </c>
      <c r="V261" s="120">
        <f t="shared" si="79"/>
        <v>1004.6138312144972</v>
      </c>
      <c r="W261">
        <f t="shared" si="80"/>
        <v>1052.0151916370105</v>
      </c>
      <c r="X261">
        <f t="shared" si="81"/>
        <v>0.43220408234133567</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IF($D261="","",IF(SUMPRODUCT(MAX(($D$4:$D$810=$D261)*($B$4:$B$810&lt;$B261)*$B$4:$B$810))=0,0,MAX(($B261-MAX(SUMPRODUCT(MAX(($D$4:$D$810=$D261)*($B$4:$B$810&lt;$B261)*$B$4:$B$810)),'Guide &amp; Settings'!$C$50))/7-'Guide &amp; Settings'!$C$48,0)*'Guide &amp; Settings'!$C$49))</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1073.7469885035252</v>
      </c>
      <c r="I262" s="117">
        <f t="shared" si="70"/>
        <v>0.6470588235294118</v>
      </c>
      <c r="J262" s="118">
        <f>IF($D262="",0,IF($F262&lt;2,0,IF($E262="Win",('Guide &amp; Settings'!$C$42/(($F262-1)*COUNTIFS($A$4:$A$810,$A262,$E$4:$E$810,"Win")))*SUMIFS($X$4:$X$810,$A$4:$A$810,$A262,$E$4:$E$810,"Loss"),-('Guide &amp; Settings'!$C$42/($F262-1))*$X262)))</f>
        <v>-19.593643479470582</v>
      </c>
      <c r="K262" s="118">
        <f>IF($D262="",0,'Guide &amp; Settings'!$C$43*(IF($E262="Win",1,0)-$I262))</f>
        <v>-7.764705882352942</v>
      </c>
      <c r="L262" s="119">
        <f>IF($D262="",0,'Guide &amp; Settings'!$C$44*IF($F262&gt;=3,$F262,0))</f>
        <v>0</v>
      </c>
      <c r="M262" s="118">
        <f t="shared" si="71"/>
        <v>-27.358349361823525</v>
      </c>
      <c r="N262" s="116">
        <f t="shared" si="72"/>
        <v>1046.3886391417018</v>
      </c>
      <c r="O262" s="115" t="str">
        <f t="shared" si="73"/>
        <v>OK</v>
      </c>
      <c r="P262">
        <f t="shared" si="74"/>
        <v>1018.366626301247</v>
      </c>
      <c r="Q262">
        <f t="shared" si="75"/>
        <v>0.5790305542148666</v>
      </c>
      <c r="R262">
        <f t="shared" si="76"/>
        <v>0.83333333333333337</v>
      </c>
      <c r="S262">
        <f t="shared" si="77"/>
        <v>1.2878787878787878</v>
      </c>
      <c r="T262" s="83">
        <f t="shared" si="78"/>
        <v>4</v>
      </c>
      <c r="U262" s="120">
        <f>IF($D262="",0,IFERROR(LOOKUP(2,1/(($D$3:D261=$D262)*($C$3:C261=$C262)*($A$3:A261&lt;$A262)),$AB$3:AB261),1000))</f>
        <v>1059.7112532647241</v>
      </c>
      <c r="V262" s="120">
        <f t="shared" si="79"/>
        <v>1067.5088839529469</v>
      </c>
      <c r="W262">
        <f t="shared" si="80"/>
        <v>988.12050627844474</v>
      </c>
      <c r="X262">
        <f t="shared" si="81"/>
        <v>0.6123013587334557</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IF($D262="","",IF(SUMPRODUCT(MAX(($D$4:$D$810=$D262)*($B$4:$B$810&lt;$B262)*$B$4:$B$810))=0,0,MAX(($B262-MAX(SUMPRODUCT(MAX(($D$4:$D$810=$D262)*($B$4:$B$810&lt;$B262)*$B$4:$B$810)),'Guide &amp; Settings'!$C$50))/7-'Guide &amp; Settings'!$C$48,0)*'Guide &amp; Settings'!$C$49))</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1018.366626301247</v>
      </c>
      <c r="I263" s="117">
        <f t="shared" si="70"/>
        <v>0.35294117647058826</v>
      </c>
      <c r="J263" s="118">
        <f>IF($D263="",0,IF($F263&lt;2,0,IF($E263="Win",('Guide &amp; Settings'!$C$42/(($F263-1)*COUNTIFS($A$4:$A$810,$A263,$E$4:$E$810,"Win")))*SUMIFS($X$4:$X$810,$A$4:$A$810,$A263,$E$4:$E$810,"Loss"),-('Guide &amp; Settings'!$C$42/($F263-1))*$X263)))</f>
        <v>19.593643479470582</v>
      </c>
      <c r="K263" s="118">
        <f>IF($D263="",0,'Guide &amp; Settings'!$C$43*(IF($E263="Win",1,0)-$I263))</f>
        <v>7.7647058823529402</v>
      </c>
      <c r="L263" s="119">
        <f>IF($D263="",0,'Guide &amp; Settings'!$C$44*IF($F263&gt;=3,$F263,0))</f>
        <v>0</v>
      </c>
      <c r="M263" s="118">
        <f t="shared" si="71"/>
        <v>27.358349361823521</v>
      </c>
      <c r="N263" s="116">
        <f t="shared" si="72"/>
        <v>1045.7249756630706</v>
      </c>
      <c r="O263" s="115" t="str">
        <f t="shared" si="73"/>
        <v>OK</v>
      </c>
      <c r="P263">
        <f t="shared" si="74"/>
        <v>1018.366626301247</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988.12050627844474</v>
      </c>
      <c r="W263">
        <f t="shared" si="80"/>
        <v>988.12050627844474</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IF($D263="","",IF(SUMPRODUCT(MAX(($D$4:$D$810=$D263)*($B$4:$B$810&lt;$B263)*$B$4:$B$810))=0,0,MAX(($B263-MAX(SUMPRODUCT(MAX(($D$4:$D$810=$D263)*($B$4:$B$810&lt;$B263)*$B$4:$B$810)),'Guide &amp; Settings'!$C$50))/7-'Guide &amp; Settings'!$C$48,0)*'Guide &amp; Settings'!$C$49))</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1046.3886391417018</v>
      </c>
      <c r="I264" s="117">
        <f t="shared" si="70"/>
        <v>0.58823529411764697</v>
      </c>
      <c r="J264" s="118">
        <f>IF($D264="",0,IF($F264&lt;2,0,IF($E264="Win",('Guide &amp; Settings'!$C$42/(($F264-1)*COUNTIFS($A$4:$A$810,$A264,$E$4:$E$810,"Win")))*SUMIFS($X$4:$X$810,$A$4:$A$810,$A264,$E$4:$E$810,"Loss"),-('Guide &amp; Settings'!$C$42/($F264-1))*$X264)))</f>
        <v>-17.543182947030239</v>
      </c>
      <c r="K264" s="118">
        <f>IF($D264="",0,'Guide &amp; Settings'!$C$43*(IF($E264="Win",1,0)-$I264))</f>
        <v>-7.0588235294117636</v>
      </c>
      <c r="L264" s="119">
        <f>IF($D264="",0,'Guide &amp; Settings'!$C$44*IF($F264&gt;=3,$F264,0))</f>
        <v>0</v>
      </c>
      <c r="M264" s="118">
        <f t="shared" si="71"/>
        <v>-24.602006476442003</v>
      </c>
      <c r="N264" s="116">
        <f t="shared" si="72"/>
        <v>1021.7866326652597</v>
      </c>
      <c r="O264" s="115" t="str">
        <f t="shared" si="73"/>
        <v>OK</v>
      </c>
      <c r="P264">
        <f t="shared" si="74"/>
        <v>1045.7249756630706</v>
      </c>
      <c r="Q264">
        <f t="shared" si="75"/>
        <v>0.5009550873587798</v>
      </c>
      <c r="R264">
        <f t="shared" si="76"/>
        <v>0.7142857142857143</v>
      </c>
      <c r="S264">
        <f t="shared" si="77"/>
        <v>1.2142857142857144</v>
      </c>
      <c r="T264" s="83">
        <f t="shared" si="78"/>
        <v>5</v>
      </c>
      <c r="U264" s="120">
        <f>IF($D264="",0,IFERROR(LOOKUP(2,1/(($D$3:D263=$D264)*($C$3:C263=$C264)*($A$3:A263&lt;$A264)),$AB$3:AB263),1000))</f>
        <v>1039.7261670468827</v>
      </c>
      <c r="V264" s="120">
        <f t="shared" si="79"/>
        <v>1043.0574030942921</v>
      </c>
      <c r="W264">
        <f t="shared" si="80"/>
        <v>1009.4431202101023</v>
      </c>
      <c r="X264">
        <f t="shared" si="81"/>
        <v>0.54822446709469497</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IF($D264="","",IF(SUMPRODUCT(MAX(($D$4:$D$810=$D264)*($B$4:$B$810&lt;$B264)*$B$4:$B$810))=0,0,MAX(($B264-MAX(SUMPRODUCT(MAX(($D$4:$D$810=$D264)*($B$4:$B$810&lt;$B264)*$B$4:$B$810)),'Guide &amp; Settings'!$C$50))/7-'Guide &amp; Settings'!$C$48,0)*'Guide &amp; Settings'!$C$49))</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1045.7249756630706</v>
      </c>
      <c r="I265" s="117">
        <f t="shared" si="70"/>
        <v>0.41176470588235292</v>
      </c>
      <c r="J265" s="118">
        <f>IF($D265="",0,IF($F265&lt;2,0,IF($E265="Win",('Guide &amp; Settings'!$C$42/(($F265-1)*COUNTIFS($A$4:$A$810,$A265,$E$4:$E$810,"Win")))*SUMIFS($X$4:$X$810,$A$4:$A$810,$A265,$E$4:$E$810,"Loss"),-('Guide &amp; Settings'!$C$42/($F265-1))*$X265)))</f>
        <v>17.543182947030239</v>
      </c>
      <c r="K265" s="118">
        <f>IF($D265="",0,'Guide &amp; Settings'!$C$43*(IF($E265="Win",1,0)-$I265))</f>
        <v>7.0588235294117645</v>
      </c>
      <c r="L265" s="119">
        <f>IF($D265="",0,'Guide &amp; Settings'!$C$44*IF($F265&gt;=3,$F265,0))</f>
        <v>0</v>
      </c>
      <c r="M265" s="118">
        <f t="shared" si="71"/>
        <v>24.602006476442003</v>
      </c>
      <c r="N265" s="116">
        <f t="shared" si="72"/>
        <v>1070.3269821395127</v>
      </c>
      <c r="O265" s="115" t="str">
        <f t="shared" si="73"/>
        <v>OK</v>
      </c>
      <c r="P265">
        <f t="shared" si="74"/>
        <v>1045.7249756630706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1009.4431202101023</v>
      </c>
      <c r="W265">
        <f t="shared" si="80"/>
        <v>1009.4431202101023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IF($D265="","",IF(SUMPRODUCT(MAX(($D$4:$D$810=$D265)*($B$4:$B$810&lt;$B265)*$B$4:$B$810))=0,0,MAX(($B265-MAX(SUMPRODUCT(MAX(($D$4:$D$810=$D265)*($B$4:$B$810&lt;$B265)*$B$4:$B$810)),'Guide &amp; Settings'!$C$50))/7-'Guide &amp; Settings'!$C$48,0)*'Guide &amp; Settings'!$C$49))</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1021.7866326652597</v>
      </c>
      <c r="I266" s="117">
        <f t="shared" si="70"/>
        <v>0.5371900826446282</v>
      </c>
      <c r="J266" s="118">
        <f>IF($D266="",0,IF($F266&lt;2,0,IF($E266="Win",('Guide &amp; Settings'!$C$42/(($F266-1)*COUNTIFS($A$4:$A$810,$A266,$E$4:$E$810,"Win")))*SUMIFS($X$4:$X$810,$A$4:$A$810,$A266,$E$4:$E$810,"Loss"),-('Guide &amp; Settings'!$C$42/($F266-1))*$X266)))</f>
        <v>16.317011079932236</v>
      </c>
      <c r="K266" s="118">
        <f>IF($D266="",0,'Guide &amp; Settings'!$C$43*(IF($E266="Win",1,0)-$I266))</f>
        <v>5.5537190082644621</v>
      </c>
      <c r="L266" s="119">
        <f>IF($D266="",0,'Guide &amp; Settings'!$C$44*IF($F266&gt;=3,$F266,0))</f>
        <v>0</v>
      </c>
      <c r="M266" s="118">
        <f t="shared" si="71"/>
        <v>21.870730088196698</v>
      </c>
      <c r="N266" s="116">
        <f t="shared" si="72"/>
        <v>1043.6573627534565</v>
      </c>
      <c r="O266" s="115" t="str">
        <f t="shared" si="73"/>
        <v>OK</v>
      </c>
      <c r="P266">
        <f t="shared" si="74"/>
        <v>1021.7866326652597</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1021.6360088200665</v>
      </c>
      <c r="W266">
        <f t="shared" si="80"/>
        <v>1021.6360088200665</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IF($D266="","",IF(SUMPRODUCT(MAX(($D$4:$D$810=$D266)*($B$4:$B$810&lt;$B266)*$B$4:$B$810))=0,0,MAX(($B266-MAX(SUMPRODUCT(MAX(($D$4:$D$810=$D266)*($B$4:$B$810&lt;$B266)*$B$4:$B$810)),'Guide &amp; Settings'!$C$50))/7-'Guide &amp; Settings'!$C$48,0)*'Guide &amp; Settings'!$C$49))</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1070.3269821395127</v>
      </c>
      <c r="I267" s="117">
        <f t="shared" si="70"/>
        <v>0.46280991735537191</v>
      </c>
      <c r="J267" s="118">
        <f>IF($D267="",0,IF($F267&lt;2,0,IF($E267="Win",('Guide &amp; Settings'!$C$42/(($F267-1)*COUNTIFS($A$4:$A$810,$A267,$E$4:$E$810,"Win")))*SUMIFS($X$4:$X$810,$A$4:$A$810,$A267,$E$4:$E$810,"Loss"),-('Guide &amp; Settings'!$C$42/($F267-1))*$X267)))</f>
        <v>-16.317011079932236</v>
      </c>
      <c r="K267" s="118">
        <f>IF($D267="",0,'Guide &amp; Settings'!$C$43*(IF($E267="Win",1,0)-$I267))</f>
        <v>-5.553719008264463</v>
      </c>
      <c r="L267" s="119">
        <f>IF($D267="",0,'Guide &amp; Settings'!$C$44*IF($F267&gt;=3,$F267,0))</f>
        <v>0</v>
      </c>
      <c r="M267" s="118">
        <f t="shared" si="71"/>
        <v>-21.870730088196698</v>
      </c>
      <c r="N267" s="116">
        <f t="shared" si="72"/>
        <v>1048.4562520513159</v>
      </c>
      <c r="O267" s="115" t="str">
        <f t="shared" si="73"/>
        <v>OK</v>
      </c>
      <c r="P267">
        <f t="shared" si="74"/>
        <v>1021.7866326652597</v>
      </c>
      <c r="Q267">
        <f t="shared" si="75"/>
        <v>0.56940419823933552</v>
      </c>
      <c r="R267">
        <f t="shared" si="76"/>
        <v>0.53846153846153844</v>
      </c>
      <c r="S267">
        <f t="shared" si="77"/>
        <v>1.1634615384615383</v>
      </c>
      <c r="T267" s="83">
        <f t="shared" si="78"/>
        <v>11</v>
      </c>
      <c r="U267" s="120">
        <f>IF($D267="",0,IFERROR(LOOKUP(2,1/(($D$3:D266=$D267)*($C$3:C266=$C267)*($A$3:A266&lt;$A267)),$AB$3:AB266),1000))</f>
        <v>1009.5178705814286</v>
      </c>
      <c r="V267" s="120">
        <f t="shared" si="79"/>
        <v>1028.5207179433298</v>
      </c>
      <c r="W267">
        <f t="shared" si="80"/>
        <v>1021.6360088200665</v>
      </c>
      <c r="X267">
        <f t="shared" si="81"/>
        <v>0.50990659624788237</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IF($D267="","",IF(SUMPRODUCT(MAX(($D$4:$D$810=$D267)*($B$4:$B$810&lt;$B267)*$B$4:$B$810))=0,0,MAX(($B267-MAX(SUMPRODUCT(MAX(($D$4:$D$810=$D267)*($B$4:$B$810&lt;$B267)*$B$4:$B$810)),'Guide &amp; Settings'!$C$50))/7-'Guide &amp; Settings'!$C$48,0)*'Guide &amp; Settings'!$C$49))</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1043.6573627534565</v>
      </c>
      <c r="I268" s="117">
        <f t="shared" si="70"/>
        <v>0.57142857142857151</v>
      </c>
      <c r="J268" s="118">
        <f>IF($D268="",0,IF($F268&lt;2,0,IF($E268="Win",('Guide &amp; Settings'!$C$42/(($F268-1)*COUNTIFS($A$4:$A$810,$A268,$E$4:$E$810,"Win")))*SUMIFS($X$4:$X$810,$A$4:$A$810,$A268,$E$4:$E$810,"Loss"),-('Guide &amp; Settings'!$C$42/($F268-1))*$X268)))</f>
        <v>14.636329541157044</v>
      </c>
      <c r="K268" s="118">
        <f>IF($D268="",0,'Guide &amp; Settings'!$C$43*(IF($E268="Win",1,0)-$I268))</f>
        <v>5.1428571428571423</v>
      </c>
      <c r="L268" s="119">
        <f>IF($D268="",0,'Guide &amp; Settings'!$C$44*IF($F268&gt;=3,$F268,0))</f>
        <v>0</v>
      </c>
      <c r="M268" s="118">
        <f t="shared" si="71"/>
        <v>19.779186684014185</v>
      </c>
      <c r="N268" s="116">
        <f t="shared" si="72"/>
        <v>1063.4365494374706</v>
      </c>
      <c r="O268" s="115" t="str">
        <f t="shared" si="73"/>
        <v>OK</v>
      </c>
      <c r="P268">
        <f t="shared" si="74"/>
        <v>1043.6573627534565</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1039.7496506383686</v>
      </c>
      <c r="W268">
        <f t="shared" si="80"/>
        <v>1039.7496506383686</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IF($D268="","",IF(SUMPRODUCT(MAX(($D$4:$D$810=$D268)*($B$4:$B$810&lt;$B268)*$B$4:$B$810))=0,0,MAX(($B268-MAX(SUMPRODUCT(MAX(($D$4:$D$810=$D268)*($B$4:$B$810&lt;$B268)*$B$4:$B$810)),'Guide &amp; Settings'!$C$50))/7-'Guide &amp; Settings'!$C$48,0)*'Guide &amp; Settings'!$C$49))</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1048.4562520513159</v>
      </c>
      <c r="I269" s="117">
        <f t="shared" si="70"/>
        <v>0.4285714285714286</v>
      </c>
      <c r="J269" s="118">
        <f>IF($D269="",0,IF($F269&lt;2,0,IF($E269="Win",('Guide &amp; Settings'!$C$42/(($F269-1)*COUNTIFS($A$4:$A$810,$A269,$E$4:$E$810,"Win")))*SUMIFS($X$4:$X$810,$A$4:$A$810,$A269,$E$4:$E$810,"Loss"),-('Guide &amp; Settings'!$C$42/($F269-1))*$X269)))</f>
        <v>-14.636329541157044</v>
      </c>
      <c r="K269" s="118">
        <f>IF($D269="",0,'Guide &amp; Settings'!$C$43*(IF($E269="Win",1,0)-$I269))</f>
        <v>-5.1428571428571432</v>
      </c>
      <c r="L269" s="119">
        <f>IF($D269="",0,'Guide &amp; Settings'!$C$44*IF($F269&gt;=3,$F269,0))</f>
        <v>0</v>
      </c>
      <c r="M269" s="118">
        <f t="shared" si="71"/>
        <v>-19.779186684014189</v>
      </c>
      <c r="N269" s="116">
        <f t="shared" si="72"/>
        <v>1028.6770653673018</v>
      </c>
      <c r="O269" s="115" t="str">
        <f t="shared" si="73"/>
        <v>OK</v>
      </c>
      <c r="P269">
        <f t="shared" si="74"/>
        <v>1043.6573627534565</v>
      </c>
      <c r="Q269">
        <f t="shared" si="75"/>
        <v>0.5069057176980678</v>
      </c>
      <c r="R269">
        <f t="shared" si="76"/>
        <v>0.5</v>
      </c>
      <c r="S269">
        <f t="shared" si="77"/>
        <v>1.1666666666666665</v>
      </c>
      <c r="T269" s="83">
        <f t="shared" si="78"/>
        <v>12</v>
      </c>
      <c r="U269" s="120">
        <f>IF($D269="",0,IFERROR(LOOKUP(2,1/(($D$3:D268=$D269)*($C$3:C268=$C269)*($A$3:A268&lt;$A269)),$AB$3:AB268),1000))</f>
        <v>994.06993183148052</v>
      </c>
      <c r="V269" s="120">
        <f t="shared" si="79"/>
        <v>1010.0659083667263</v>
      </c>
      <c r="W269">
        <f t="shared" si="80"/>
        <v>1039.7496506383686</v>
      </c>
      <c r="X269">
        <f t="shared" si="81"/>
        <v>0.45738529816115764</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IF($D269="","",IF(SUMPRODUCT(MAX(($D$4:$D$810=$D269)*($B$4:$B$810&lt;$B269)*$B$4:$B$810))=0,0,MAX(($B269-MAX(SUMPRODUCT(MAX(($D$4:$D$810=$D269)*($B$4:$B$810&lt;$B269)*$B$4:$B$810)),'Guide &amp; Settings'!$C$50))/7-'Guide &amp; Settings'!$C$48,0)*'Guide &amp; Settings'!$C$49))</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1063.4365494374706</v>
      </c>
      <c r="I270" s="117">
        <f t="shared" si="70"/>
        <v>0.60000000000000009</v>
      </c>
      <c r="J270" s="118">
        <f>IF($D270="",0,IF($F270&lt;2,0,IF($E270="Win",('Guide &amp; Settings'!$C$42/(($F270-1)*COUNTIFS($A$4:$A$810,$A270,$E$4:$E$810,"Win")))*SUMIFS($X$4:$X$810,$A$4:$A$810,$A270,$E$4:$E$810,"Loss"),-('Guide &amp; Settings'!$C$42/($F270-1))*$X270)))</f>
        <v>14.059349483953781</v>
      </c>
      <c r="K270" s="118">
        <f>IF($D270="",0,'Guide &amp; Settings'!$C$43*(IF($E270="Win",1,0)-$I270))</f>
        <v>4.7999999999999989</v>
      </c>
      <c r="L270" s="119">
        <f>IF($D270="",0,'Guide &amp; Settings'!$C$44*IF($F270&gt;=3,$F270,0))</f>
        <v>0</v>
      </c>
      <c r="M270" s="118">
        <f t="shared" si="71"/>
        <v>18.859349483953778</v>
      </c>
      <c r="N270" s="116">
        <f t="shared" si="72"/>
        <v>1082.2958989214244</v>
      </c>
      <c r="O270" s="115" t="str">
        <f t="shared" si="73"/>
        <v>OK</v>
      </c>
      <c r="P270">
        <f t="shared" si="74"/>
        <v>1063.4365494374706</v>
      </c>
      <c r="Q270">
        <f t="shared" si="75"/>
        <v>0.5</v>
      </c>
      <c r="R270">
        <f t="shared" si="76"/>
        <v>0.5</v>
      </c>
      <c r="S270">
        <f t="shared" si="77"/>
        <v>0.83333333333333326</v>
      </c>
      <c r="T270" s="83">
        <f t="shared" si="78"/>
        <v>0</v>
      </c>
      <c r="U270" s="120">
        <f>IF($D270="",0,IFERROR(LOOKUP(2,1/(($D$3:D269=$D270)*($C$3:C269=$C270)*($A$3:A269&lt;$A270)),$AB$3:AB269),1000))</f>
        <v>1000</v>
      </c>
      <c r="V270" s="120">
        <f t="shared" si="79"/>
        <v>1063.4365494374706</v>
      </c>
      <c r="W270">
        <f t="shared" si="80"/>
        <v>1063.4365494374706</v>
      </c>
      <c r="X270">
        <f t="shared" si="81"/>
        <v>0.5</v>
      </c>
      <c r="Y270">
        <f t="shared" si="82"/>
        <v>1000</v>
      </c>
      <c r="Z270">
        <f t="shared" si="83"/>
        <v>0.5</v>
      </c>
      <c r="AA270">
        <f>IF($D270="",0,IF($F270&lt;2,0,IF($E270="Win",('Guide &amp; Settings'!$C$42/(($F270-1)*COUNTIFS($A$4:$A$810,$A270,$E$4:$E$810,"Win")))*SUMIFS($Z$4:$Z$810,$A$4:$A$810,$A270,$E$4:$E$810,"Loss"),-('Guide &amp; Settings'!$C$42/($F270-1))*$Z270)))</f>
        <v>15.224125135766659</v>
      </c>
      <c r="AB270" s="120">
        <f t="shared" si="84"/>
        <v>1015.2241251357667</v>
      </c>
      <c r="AC270" s="120">
        <f>IF($D270="","",IF(SUMPRODUCT(MAX(($D$4:$D$810=$D270)*($B$4:$B$810&lt;$B270)*$B$4:$B$810))=0,0,MAX(($B270-MAX(SUMPRODUCT(MAX(($D$4:$D$810=$D270)*($B$4:$B$810&lt;$B270)*$B$4:$B$810)),'Guide &amp; Settings'!$C$50))/7-'Guide &amp; Settings'!$C$48,0)*'Guide &amp; Settings'!$C$49))</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1028.6770653673018</v>
      </c>
      <c r="I271" s="117">
        <f t="shared" si="70"/>
        <v>0.4</v>
      </c>
      <c r="J271" s="118">
        <f>IF($D271="",0,IF($F271&lt;2,0,IF($E271="Win",('Guide &amp; Settings'!$C$42/(($F271-1)*COUNTIFS($A$4:$A$810,$A271,$E$4:$E$810,"Win")))*SUMIFS($X$4:$X$810,$A$4:$A$810,$A271,$E$4:$E$810,"Loss"),-('Guide &amp; Settings'!$C$42/($F271-1))*$X271)))</f>
        <v>-14.059349483953781</v>
      </c>
      <c r="K271" s="118">
        <f>IF($D271="",0,'Guide &amp; Settings'!$C$43*(IF($E271="Win",1,0)-$I271))</f>
        <v>-4.8000000000000007</v>
      </c>
      <c r="L271" s="119">
        <f>IF($D271="",0,'Guide &amp; Settings'!$C$44*IF($F271&gt;=3,$F271,0))</f>
        <v>0</v>
      </c>
      <c r="M271" s="118">
        <f t="shared" si="71"/>
        <v>-18.859349483953782</v>
      </c>
      <c r="N271" s="116">
        <f t="shared" si="72"/>
        <v>1009.817715883348</v>
      </c>
      <c r="O271" s="115" t="str">
        <f t="shared" si="73"/>
        <v>OK</v>
      </c>
      <c r="P271">
        <f t="shared" si="74"/>
        <v>1063.4365494374706</v>
      </c>
      <c r="Q271">
        <f t="shared" si="75"/>
        <v>0.45014331179594574</v>
      </c>
      <c r="R271">
        <f t="shared" si="76"/>
        <v>0.33333333333333331</v>
      </c>
      <c r="S271">
        <f t="shared" si="77"/>
        <v>0.83333333333333326</v>
      </c>
      <c r="T271" s="83">
        <f t="shared" si="78"/>
        <v>1</v>
      </c>
      <c r="U271" s="120">
        <f>IF($D271="",0,IFERROR(LOOKUP(2,1/(($D$3:D270=$D271)*($C$3:C270=$C271)*($A$3:A270&lt;$A271)),$AB$3:AB270),1000))</f>
        <v>983.13886682309521</v>
      </c>
      <c r="V271" s="120">
        <f t="shared" si="79"/>
        <v>1021.0873656099341</v>
      </c>
      <c r="W271">
        <f t="shared" si="80"/>
        <v>1063.4365494374706</v>
      </c>
      <c r="X271">
        <f t="shared" si="81"/>
        <v>0.43935467137355566</v>
      </c>
      <c r="Y271">
        <f t="shared" si="82"/>
        <v>1000</v>
      </c>
      <c r="Z271">
        <f t="shared" si="83"/>
        <v>0.4757539104927081</v>
      </c>
      <c r="AA271">
        <f>IF($D271="",0,IF($F271&lt;2,0,IF($E271="Win",('Guide &amp; Settings'!$C$42/(($F271-1)*COUNTIFS($A$4:$A$810,$A271,$E$4:$E$810,"Win")))*SUMIFS($Z$4:$Z$810,$A$4:$A$810,$A271,$E$4:$E$810,"Loss"),-('Guide &amp; Settings'!$C$42/($F271-1))*$Z271)))</f>
        <v>-15.224125135766659</v>
      </c>
      <c r="AB271" s="120">
        <f t="shared" si="84"/>
        <v>967.9147416873285</v>
      </c>
      <c r="AC271" s="120">
        <f>IF($D271="","",IF(SUMPRODUCT(MAX(($D$4:$D$810=$D271)*($B$4:$B$810&lt;$B271)*$B$4:$B$810))=0,0,MAX(($B271-MAX(SUMPRODUCT(MAX(($D$4:$D$810=$D271)*($B$4:$B$810&lt;$B271)*$B$4:$B$810)),'Guide &amp; Settings'!$C$50))/7-'Guide &amp; Settings'!$C$48,0)*'Guide &amp; Settings'!$C$49))</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1082.2958989214244</v>
      </c>
      <c r="I272" s="117">
        <f t="shared" si="70"/>
        <v>0.72727272727272729</v>
      </c>
      <c r="J272" s="118">
        <f>IF($D272="",0,IF($F272&lt;2,0,IF($E272="Win",('Guide &amp; Settings'!$C$42/(($F272-1)*COUNTIFS($A$4:$A$810,$A272,$E$4:$E$810,"Win")))*SUMIFS($X$4:$X$810,$A$4:$A$810,$A272,$E$4:$E$810,"Loss"),-('Guide &amp; Settings'!$C$42/($F272-1))*$X272)))</f>
        <v>12.674858180200337</v>
      </c>
      <c r="K272" s="118">
        <f>IF($D272="",0,'Guide &amp; Settings'!$C$43*(IF($E272="Win",1,0)-$I272))</f>
        <v>3.2727272727272725</v>
      </c>
      <c r="L272" s="119">
        <f>IF($D272="",0,'Guide &amp; Settings'!$C$44*IF($F272&gt;=3,$F272,0))</f>
        <v>0</v>
      </c>
      <c r="M272" s="118">
        <f t="shared" si="71"/>
        <v>15.947585452927608</v>
      </c>
      <c r="N272" s="116">
        <f t="shared" si="72"/>
        <v>1098.243484374352</v>
      </c>
      <c r="O272" s="115" t="str">
        <f t="shared" si="73"/>
        <v>OK</v>
      </c>
      <c r="P272">
        <f t="shared" si="74"/>
        <v>1082.2958989214244</v>
      </c>
      <c r="Q272">
        <f t="shared" si="75"/>
        <v>0.5</v>
      </c>
      <c r="R272">
        <f t="shared" si="76"/>
        <v>0.66666666666666663</v>
      </c>
      <c r="S272">
        <f t="shared" si="77"/>
        <v>0.91666666666666663</v>
      </c>
      <c r="T272" s="83">
        <f t="shared" si="78"/>
        <v>1</v>
      </c>
      <c r="U272" s="120">
        <f>IF($D272="",0,IFERROR(LOOKUP(2,1/(($D$3:D271=$D272)*($C$3:C271=$C272)*($A$3:A271&lt;$A272)),$AB$3:AB271),1000))</f>
        <v>1015.2241251357667</v>
      </c>
      <c r="V272" s="120">
        <f t="shared" si="79"/>
        <v>1071.1172699571482</v>
      </c>
      <c r="W272">
        <f t="shared" si="80"/>
        <v>1071.1172699571482</v>
      </c>
      <c r="X272">
        <f t="shared" si="81"/>
        <v>0.5</v>
      </c>
      <c r="Y272">
        <f t="shared" si="82"/>
        <v>1015.2241251357667</v>
      </c>
      <c r="Z272">
        <f t="shared" si="83"/>
        <v>0.5</v>
      </c>
      <c r="AA272">
        <f>IF($D272="",0,IF($F272&lt;2,0,IF($E272="Win",('Guide &amp; Settings'!$C$42/(($F272-1)*COUNTIFS($A$4:$A$810,$A272,$E$4:$E$810,"Win")))*SUMIFS($Z$4:$Z$810,$A$4:$A$810,$A272,$E$4:$E$810,"Loss"),-('Guide &amp; Settings'!$C$42/($F272-1))*$Z272)))</f>
        <v>13.834688606373584</v>
      </c>
      <c r="AB272" s="120">
        <f t="shared" si="84"/>
        <v>1029.0588137421403</v>
      </c>
      <c r="AC272" s="120">
        <f>IF($D272="","",IF(SUMPRODUCT(MAX(($D$4:$D$810=$D272)*($B$4:$B$810&lt;$B272)*$B$4:$B$810))=0,0,MAX(($B272-MAX(SUMPRODUCT(MAX(($D$4:$D$810=$D272)*($B$4:$B$810&lt;$B272)*$B$4:$B$810)),'Guide &amp; Settings'!$C$50))/7-'Guide &amp; Settings'!$C$48,0)*'Guide &amp; Settings'!$C$49))</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1009.817715883348</v>
      </c>
      <c r="I273" s="117">
        <f t="shared" si="70"/>
        <v>0.27272727272727276</v>
      </c>
      <c r="J273" s="118">
        <f>IF($D273="",0,IF($F273&lt;2,0,IF($E273="Win",('Guide &amp; Settings'!$C$42/(($F273-1)*COUNTIFS($A$4:$A$810,$A273,$E$4:$E$810,"Win")))*SUMIFS($X$4:$X$810,$A$4:$A$810,$A273,$E$4:$E$810,"Loss"),-('Guide &amp; Settings'!$C$42/($F273-1))*$X273)))</f>
        <v>-12.674858180200337</v>
      </c>
      <c r="K273" s="118">
        <f>IF($D273="",0,'Guide &amp; Settings'!$C$43*(IF($E273="Win",1,0)-$I273))</f>
        <v>-3.2727272727272734</v>
      </c>
      <c r="L273" s="119">
        <f>IF($D273="",0,'Guide &amp; Settings'!$C$44*IF($F273&gt;=3,$F273,0))</f>
        <v>0</v>
      </c>
      <c r="M273" s="118">
        <f t="shared" si="71"/>
        <v>-15.94758545292761</v>
      </c>
      <c r="N273" s="116">
        <f t="shared" si="72"/>
        <v>993.87013043042043</v>
      </c>
      <c r="O273" s="115" t="str">
        <f t="shared" si="73"/>
        <v>OK</v>
      </c>
      <c r="P273">
        <f t="shared" si="74"/>
        <v>1082.2958989214244</v>
      </c>
      <c r="Q273">
        <f t="shared" si="75"/>
        <v>0.39718265925598023</v>
      </c>
      <c r="R273">
        <f t="shared" si="76"/>
        <v>0.25</v>
      </c>
      <c r="S273">
        <f t="shared" si="77"/>
        <v>0.91666666666666663</v>
      </c>
      <c r="T273" s="83">
        <f t="shared" si="78"/>
        <v>2</v>
      </c>
      <c r="U273" s="120">
        <f>IF($D273="",0,IFERROR(LOOKUP(2,1/(($D$3:D272=$D273)*($C$3:C272=$C273)*($A$3:A272&lt;$A273)),$AB$3:AB272),1000))</f>
        <v>967.9147416873285</v>
      </c>
      <c r="V273" s="120">
        <f t="shared" si="79"/>
        <v>997.84543754162814</v>
      </c>
      <c r="W273">
        <f t="shared" si="80"/>
        <v>1071.1172699571482</v>
      </c>
      <c r="X273">
        <f t="shared" si="81"/>
        <v>0.39608931813126053</v>
      </c>
      <c r="Y273">
        <f t="shared" si="82"/>
        <v>1015.2241251357667</v>
      </c>
      <c r="Z273">
        <f t="shared" si="83"/>
        <v>0.4323340189491745</v>
      </c>
      <c r="AA273">
        <f>IF($D273="",0,IF($F273&lt;2,0,IF($E273="Win",('Guide &amp; Settings'!$C$42/(($F273-1)*COUNTIFS($A$4:$A$810,$A273,$E$4:$E$810,"Win")))*SUMIFS($Z$4:$Z$810,$A$4:$A$810,$A273,$E$4:$E$810,"Loss"),-('Guide &amp; Settings'!$C$42/($F273-1))*$Z273)))</f>
        <v>-13.834688606373584</v>
      </c>
      <c r="AB273" s="120">
        <f t="shared" si="84"/>
        <v>954.08005308095494</v>
      </c>
      <c r="AC273" s="120">
        <f>IF($D273="","",IF(SUMPRODUCT(MAX(($D$4:$D$810=$D273)*($B$4:$B$810&lt;$B273)*$B$4:$B$810))=0,0,MAX(($B273-MAX(SUMPRODUCT(MAX(($D$4:$D$810=$D273)*($B$4:$B$810&lt;$B273)*$B$4:$B$810)),'Guide &amp; Settings'!$C$50))/7-'Guide &amp; Settings'!$C$48,0)*'Guide &amp; Settings'!$C$49))</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1098.243484374352</v>
      </c>
      <c r="I274" s="117">
        <f t="shared" si="70"/>
        <v>0.78947368421052633</v>
      </c>
      <c r="J274" s="118">
        <f>IF($D274="",0,IF($F274&lt;2,0,IF($E274="Win",('Guide &amp; Settings'!$C$42/(($F274-1)*COUNTIFS($A$4:$A$810,$A274,$E$4:$E$810,"Win")))*SUMIFS($X$4:$X$810,$A$4:$A$810,$A274,$E$4:$E$810,"Loss"),-('Guide &amp; Settings'!$C$42/($F274-1))*$X274)))</f>
        <v>11.537975965493914</v>
      </c>
      <c r="K274" s="118">
        <f>IF($D274="",0,'Guide &amp; Settings'!$C$43*(IF($E274="Win",1,0)-$I274))</f>
        <v>2.5263157894736841</v>
      </c>
      <c r="L274" s="119">
        <f>IF($D274="",0,'Guide &amp; Settings'!$C$44*IF($F274&gt;=3,$F274,0))</f>
        <v>0</v>
      </c>
      <c r="M274" s="118">
        <f t="shared" si="71"/>
        <v>14.064291754967599</v>
      </c>
      <c r="N274" s="116">
        <f t="shared" si="72"/>
        <v>1112.3077761293196</v>
      </c>
      <c r="O274" s="115" t="str">
        <f t="shared" si="73"/>
        <v>OK</v>
      </c>
      <c r="P274">
        <f t="shared" si="74"/>
        <v>1098.243484374352</v>
      </c>
      <c r="Q274">
        <f t="shared" si="75"/>
        <v>0.5</v>
      </c>
      <c r="R274">
        <f t="shared" si="76"/>
        <v>0.75</v>
      </c>
      <c r="S274">
        <f t="shared" si="77"/>
        <v>0.95</v>
      </c>
      <c r="T274" s="83">
        <f t="shared" si="78"/>
        <v>2</v>
      </c>
      <c r="U274" s="120">
        <f>IF($D274="",0,IFERROR(LOOKUP(2,1/(($D$3:D273=$D274)*($C$3:C273=$C274)*($A$3:A273&lt;$A274)),$AB$3:AB273),1000))</f>
        <v>1029.0588137421403</v>
      </c>
      <c r="V274" s="120">
        <f t="shared" si="79"/>
        <v>1078.4764356222915</v>
      </c>
      <c r="W274">
        <f t="shared" si="80"/>
        <v>1078.4764356222915</v>
      </c>
      <c r="X274">
        <f t="shared" si="81"/>
        <v>0.5</v>
      </c>
      <c r="Y274">
        <f t="shared" si="82"/>
        <v>1029.0588137421403</v>
      </c>
      <c r="Z274">
        <f t="shared" si="83"/>
        <v>0.5</v>
      </c>
      <c r="AA274">
        <f>IF($D274="",0,IF($F274&lt;2,0,IF($E274="Win",('Guide &amp; Settings'!$C$42/(($F274-1)*COUNTIFS($A$4:$A$810,$A274,$E$4:$E$810,"Win")))*SUMIFS($Z$4:$Z$810,$A$4:$A$810,$A274,$E$4:$E$810,"Loss"),-('Guide &amp; Settings'!$C$42/($F274-1))*$Z274)))</f>
        <v>12.599723559572594</v>
      </c>
      <c r="AB274" s="120">
        <f t="shared" si="84"/>
        <v>1041.6585373017128</v>
      </c>
      <c r="AC274" s="120">
        <f>IF($D274="","",IF(SUMPRODUCT(MAX(($D$4:$D$810=$D274)*($B$4:$B$810&lt;$B274)*$B$4:$B$810))=0,0,MAX(($B274-MAX(SUMPRODUCT(MAX(($D$4:$D$810=$D274)*($B$4:$B$810&lt;$B274)*$B$4:$B$810)),'Guide &amp; Settings'!$C$50))/7-'Guide &amp; Settings'!$C$48,0)*'Guide &amp; Settings'!$C$49))</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993.87013043042043</v>
      </c>
      <c r="I275" s="117">
        <f t="shared" si="70"/>
        <v>0.2105263157894737</v>
      </c>
      <c r="J275" s="118">
        <f>IF($D275="",0,IF($F275&lt;2,0,IF($E275="Win",('Guide &amp; Settings'!$C$42/(($F275-1)*COUNTIFS($A$4:$A$810,$A275,$E$4:$E$810,"Win")))*SUMIFS($X$4:$X$810,$A$4:$A$810,$A275,$E$4:$E$810,"Loss"),-('Guide &amp; Settings'!$C$42/($F275-1))*$X275)))</f>
        <v>-11.537975965493914</v>
      </c>
      <c r="K275" s="118">
        <f>IF($D275="",0,'Guide &amp; Settings'!$C$43*(IF($E275="Win",1,0)-$I275))</f>
        <v>-2.5263157894736845</v>
      </c>
      <c r="L275" s="119">
        <f>IF($D275="",0,'Guide &amp; Settings'!$C$44*IF($F275&gt;=3,$F275,0))</f>
        <v>0</v>
      </c>
      <c r="M275" s="118">
        <f t="shared" si="71"/>
        <v>-14.064291754967599</v>
      </c>
      <c r="N275" s="116">
        <f t="shared" si="72"/>
        <v>979.80583867545283</v>
      </c>
      <c r="O275" s="115" t="str">
        <f t="shared" si="73"/>
        <v>OK</v>
      </c>
      <c r="P275">
        <f t="shared" si="74"/>
        <v>1098.243484374352</v>
      </c>
      <c r="Q275">
        <f t="shared" si="75"/>
        <v>0.35415581067589397</v>
      </c>
      <c r="R275">
        <f t="shared" si="76"/>
        <v>0.2</v>
      </c>
      <c r="S275">
        <f t="shared" si="77"/>
        <v>0.95</v>
      </c>
      <c r="T275" s="83">
        <f t="shared" si="78"/>
        <v>3</v>
      </c>
      <c r="U275" s="120">
        <f>IF($D275="",0,IFERROR(LOOKUP(2,1/(($D$3:D274=$D275)*($C$3:C274=$C275)*($A$3:A274&lt;$A275)),$AB$3:AB274),1000))</f>
        <v>954.08005308095494</v>
      </c>
      <c r="V275" s="120">
        <f t="shared" si="79"/>
        <v>978.9488514243709</v>
      </c>
      <c r="W275">
        <f t="shared" si="80"/>
        <v>1078.4764356222915</v>
      </c>
      <c r="X275">
        <f t="shared" si="81"/>
        <v>0.3605617489216848</v>
      </c>
      <c r="Y275">
        <f t="shared" si="82"/>
        <v>1029.0588137421403</v>
      </c>
      <c r="Z275">
        <f t="shared" si="83"/>
        <v>0.39374136123664355</v>
      </c>
      <c r="AA275">
        <f>IF($D275="",0,IF($F275&lt;2,0,IF($E275="Win",('Guide &amp; Settings'!$C$42/(($F275-1)*COUNTIFS($A$4:$A$810,$A275,$E$4:$E$810,"Win")))*SUMIFS($Z$4:$Z$810,$A$4:$A$810,$A275,$E$4:$E$810,"Loss"),-('Guide &amp; Settings'!$C$42/($F275-1))*$Z275)))</f>
        <v>-12.599723559572594</v>
      </c>
      <c r="AB275" s="120">
        <f t="shared" si="84"/>
        <v>941.48032952138237</v>
      </c>
      <c r="AC275" s="120">
        <f>IF($D275="","",IF(SUMPRODUCT(MAX(($D$4:$D$810=$D275)*($B$4:$B$810&lt;$B275)*$B$4:$B$810))=0,0,MAX(($B275-MAX(SUMPRODUCT(MAX(($D$4:$D$810=$D275)*($B$4:$B$810&lt;$B275)*$B$4:$B$810)),'Guide &amp; Settings'!$C$50))/7-'Guide &amp; Settings'!$C$48,0)*'Guide &amp; Settings'!$C$49))</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979.80583867545283</v>
      </c>
      <c r="I276" s="117">
        <f t="shared" si="70"/>
        <v>0.66666666666666663</v>
      </c>
      <c r="J276" s="118">
        <f>IF($D276="",0,IF($F276&lt;2,0,IF($E276="Win",('Guide &amp; Settings'!$C$42/(($F276-1)*COUNTIFS($A$4:$A$810,$A276,$E$4:$E$810,"Win")))*SUMIFS($X$4:$X$810,$A$4:$A$810,$A276,$E$4:$E$810,"Loss"),-('Guide &amp; Settings'!$C$42/($F276-1))*$X276)))</f>
        <v>19.169567349908785</v>
      </c>
      <c r="K276" s="118">
        <f>IF($D276="",0,'Guide &amp; Settings'!$C$43*(IF($E276="Win",1,0)-$I276))</f>
        <v>4</v>
      </c>
      <c r="L276" s="119">
        <f>IF($D276="",0,'Guide &amp; Settings'!$C$44*IF($F276&gt;=3,$F276,0))</f>
        <v>0</v>
      </c>
      <c r="M276" s="118">
        <f t="shared" si="71"/>
        <v>23.169567349908785</v>
      </c>
      <c r="N276" s="116">
        <f t="shared" si="72"/>
        <v>1002.9754060253616</v>
      </c>
      <c r="O276" s="115" t="str">
        <f t="shared" si="73"/>
        <v>OK</v>
      </c>
      <c r="P276">
        <f t="shared" si="74"/>
        <v>979.80583867545283</v>
      </c>
      <c r="Q276">
        <f t="shared" si="75"/>
        <v>0.5</v>
      </c>
      <c r="R276">
        <f t="shared" si="76"/>
        <v>0.66666666666666663</v>
      </c>
      <c r="S276">
        <f t="shared" si="77"/>
        <v>1</v>
      </c>
      <c r="T276" s="83">
        <f t="shared" si="78"/>
        <v>1</v>
      </c>
      <c r="U276" s="120">
        <f>IF($D276="",0,IFERROR(LOOKUP(2,1/(($D$3:D275=$D276)*($C$3:C275=$C276)*($A$3:A275&lt;$A276)),$AB$3:AB275),1000))</f>
        <v>1016</v>
      </c>
      <c r="V276" s="120">
        <f t="shared" si="79"/>
        <v>985.83819889621077</v>
      </c>
      <c r="W276">
        <f t="shared" si="80"/>
        <v>985.83819889621077</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IF($D276="","",IF(SUMPRODUCT(MAX(($D$4:$D$810=$D276)*($B$4:$B$810&lt;$B276)*$B$4:$B$810))=0,0,MAX(($B276-MAX(SUMPRODUCT(MAX(($D$4:$D$810=$D276)*($B$4:$B$810&lt;$B276)*$B$4:$B$810)),'Guide &amp; Settings'!$C$50))/7-'Guide &amp; Settings'!$C$48,0)*'Guide &amp; Settings'!$C$49))</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1069.9039233902718</v>
      </c>
      <c r="I277" s="117">
        <f t="shared" si="70"/>
        <v>0.33333333333333331</v>
      </c>
      <c r="J277" s="118">
        <f>IF($D277="",0,IF($F277&lt;2,0,IF($E277="Win",('Guide &amp; Settings'!$C$42/(($F277-1)*COUNTIFS($A$4:$A$810,$A277,$E$4:$E$810,"Win")))*SUMIFS($X$4:$X$810,$A$4:$A$810,$A277,$E$4:$E$810,"Loss"),-('Guide &amp; Settings'!$C$42/($F277-1))*$X277)))</f>
        <v>-19.169567349908785</v>
      </c>
      <c r="K277" s="118">
        <f>IF($D277="",0,'Guide &amp; Settings'!$C$43*(IF($E277="Win",1,0)-$I277))</f>
        <v>-4</v>
      </c>
      <c r="L277" s="119">
        <f>IF($D277="",0,'Guide &amp; Settings'!$C$44*IF($F277&gt;=3,$F277,0))</f>
        <v>0</v>
      </c>
      <c r="M277" s="118">
        <f t="shared" si="71"/>
        <v>-23.169567349908785</v>
      </c>
      <c r="N277" s="116">
        <f t="shared" si="72"/>
        <v>1046.7343560403631</v>
      </c>
      <c r="O277" s="115" t="str">
        <f t="shared" si="73"/>
        <v>OK</v>
      </c>
      <c r="P277">
        <f t="shared" si="74"/>
        <v>979.80583867545283</v>
      </c>
      <c r="Q277">
        <f t="shared" si="75"/>
        <v>0.62683116379833637</v>
      </c>
      <c r="R277">
        <f t="shared" si="76"/>
        <v>0.33333333333333331</v>
      </c>
      <c r="S277">
        <f t="shared" si="77"/>
        <v>1</v>
      </c>
      <c r="T277" s="83">
        <f t="shared" si="78"/>
        <v>1</v>
      </c>
      <c r="U277" s="120">
        <f>IF($D277="",0,IFERROR(LOOKUP(2,1/(($D$3:D276=$D277)*($C$3:C276=$C277)*($A$3:A276&lt;$A277)),$AB$3:AB276),1000))</f>
        <v>984</v>
      </c>
      <c r="V277" s="120">
        <f t="shared" si="79"/>
        <v>1055.5866028252265</v>
      </c>
      <c r="W277">
        <f t="shared" si="80"/>
        <v>985.83819889621077</v>
      </c>
      <c r="X277">
        <f t="shared" si="81"/>
        <v>0.59904897968464954</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IF($D277="","",IF(SUMPRODUCT(MAX(($D$4:$D$810=$D277)*($B$4:$B$810&lt;$B277)*$B$4:$B$810))=0,0,MAX(($B277-MAX(SUMPRODUCT(MAX(($D$4:$D$810=$D277)*($B$4:$B$810&lt;$B277)*$B$4:$B$810)),'Guide &amp; Settings'!$C$50))/7-'Guide &amp; Settings'!$C$48,0)*'Guide &amp; Settings'!$C$49))</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1002.9754060253616</v>
      </c>
      <c r="I278" s="117">
        <f t="shared" si="70"/>
        <v>0.25</v>
      </c>
      <c r="J278" s="118">
        <f>IF($D278="",0,IF($F278&lt;2,0,IF($E278="Win",('Guide &amp; Settings'!$C$42/(($F278-1)*COUNTIFS($A$4:$A$810,$A278,$E$4:$E$810,"Win")))*SUMIFS($X$4:$X$810,$A$4:$A$810,$A278,$E$4:$E$810,"Loss"),-('Guide &amp; Settings'!$C$42/($F278-1))*$X278)))</f>
        <v>-12.992621410263446</v>
      </c>
      <c r="K278" s="118">
        <f>IF($D278="",0,'Guide &amp; Settings'!$C$43*(IF($E278="Win",1,0)-$I278))</f>
        <v>-3</v>
      </c>
      <c r="L278" s="119">
        <f>IF($D278="",0,'Guide &amp; Settings'!$C$44*IF($F278&gt;=3,$F278,0))</f>
        <v>0</v>
      </c>
      <c r="M278" s="118">
        <f t="shared" si="71"/>
        <v>-15.992621410263446</v>
      </c>
      <c r="N278" s="116">
        <f t="shared" si="72"/>
        <v>986.98278461509813</v>
      </c>
      <c r="O278" s="115" t="str">
        <f t="shared" si="73"/>
        <v>OK</v>
      </c>
      <c r="P278">
        <f t="shared" si="74"/>
        <v>1076.6069656843583</v>
      </c>
      <c r="Q278">
        <f t="shared" si="75"/>
        <v>0.39559409459721812</v>
      </c>
      <c r="R278">
        <f t="shared" si="76"/>
        <v>0.16666666666666666</v>
      </c>
      <c r="S278">
        <f t="shared" si="77"/>
        <v>0.66666666666666663</v>
      </c>
      <c r="T278" s="83">
        <f t="shared" si="78"/>
        <v>4</v>
      </c>
      <c r="U278" s="120">
        <f>IF($D278="",0,IFERROR(LOOKUP(2,1/(($D$3:D277=$D278)*($C$3:C277=$C278)*($A$3:A277&lt;$A278)),$AB$3:AB277),1000))</f>
        <v>941.48032952138237</v>
      </c>
      <c r="V278" s="120">
        <f t="shared" si="79"/>
        <v>975.64426091248197</v>
      </c>
      <c r="W278">
        <f t="shared" si="80"/>
        <v>1041.7344374303716</v>
      </c>
      <c r="X278">
        <f t="shared" si="81"/>
        <v>0.40601941907073269</v>
      </c>
      <c r="Y278">
        <f t="shared" si="82"/>
        <v>998.14377711288819</v>
      </c>
      <c r="Z278">
        <f t="shared" si="83"/>
        <v>0.41917012785744429</v>
      </c>
      <c r="AA278">
        <f>IF($D278="",0,IF($F278&lt;2,0,IF($E278="Win",('Guide &amp; Settings'!$C$42/(($F278-1)*COUNTIFS($A$4:$A$810,$A278,$E$4:$E$810,"Win")))*SUMIFS($Z$4:$Z$810,$A$4:$A$810,$A278,$E$4:$E$810,"Loss"),-('Guide &amp; Settings'!$C$42/($F278-1))*$Z278)))</f>
        <v>-13.413444091438217</v>
      </c>
      <c r="AB278" s="120">
        <f t="shared" si="84"/>
        <v>928.06688542994414</v>
      </c>
      <c r="AC278" s="120">
        <f>IF($D278="","",IF(SUMPRODUCT(MAX(($D$4:$D$810=$D278)*($B$4:$B$810&lt;$B278)*$B$4:$B$810))=0,0,MAX(($B278-MAX(SUMPRODUCT(MAX(($D$4:$D$810=$D278)*($B$4:$B$810&lt;$B278)*$B$4:$B$810)),'Guide &amp; Settings'!$C$50))/7-'Guide &amp; Settings'!$C$48,0)*'Guide &amp; Settings'!$C$49))</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1076.6069656843583</v>
      </c>
      <c r="I279" s="117">
        <f t="shared" si="70"/>
        <v>0.75</v>
      </c>
      <c r="J279" s="118">
        <f>IF($D279="",0,IF($F279&lt;2,0,IF($E279="Win",('Guide &amp; Settings'!$C$42/(($F279-1)*COUNTIFS($A$4:$A$810,$A279,$E$4:$E$810,"Win")))*SUMIFS($X$4:$X$810,$A$4:$A$810,$A279,$E$4:$E$810,"Loss"),-('Guide &amp; Settings'!$C$42/($F279-1))*$X279)))</f>
        <v>12.992621410263446</v>
      </c>
      <c r="K279" s="118">
        <f>IF($D279="",0,'Guide &amp; Settings'!$C$43*(IF($E279="Win",1,0)-$I279))</f>
        <v>3</v>
      </c>
      <c r="L279" s="119">
        <f>IF($D279="",0,'Guide &amp; Settings'!$C$44*IF($F279&gt;=3,$F279,0))</f>
        <v>0</v>
      </c>
      <c r="M279" s="118">
        <f t="shared" si="71"/>
        <v>15.992621410263446</v>
      </c>
      <c r="N279" s="116">
        <f t="shared" si="72"/>
        <v>1092.5995870946217</v>
      </c>
      <c r="O279" s="115" t="str">
        <f t="shared" si="73"/>
        <v>OK</v>
      </c>
      <c r="P279">
        <f t="shared" si="74"/>
        <v>1076.6069656843583</v>
      </c>
      <c r="Q279">
        <f t="shared" si="75"/>
        <v>0.5</v>
      </c>
      <c r="R279">
        <f t="shared" si="76"/>
        <v>0.5</v>
      </c>
      <c r="S279">
        <f t="shared" si="77"/>
        <v>0.66666666666666663</v>
      </c>
      <c r="T279" s="83">
        <f t="shared" si="78"/>
        <v>4</v>
      </c>
      <c r="U279" s="120">
        <f>IF($D279="",0,IFERROR(LOOKUP(2,1/(($D$3:D278=$D279)*($C$3:C278=$C279)*($A$3:A278&lt;$A279)),$AB$3:AB278),1000))</f>
        <v>998.14377711288819</v>
      </c>
      <c r="V279" s="120">
        <f t="shared" si="79"/>
        <v>1041.7344374303716</v>
      </c>
      <c r="W279">
        <f t="shared" si="80"/>
        <v>1041.7344374303716</v>
      </c>
      <c r="X279">
        <f t="shared" si="81"/>
        <v>0.5</v>
      </c>
      <c r="Y279">
        <f t="shared" si="82"/>
        <v>998.14377711288819</v>
      </c>
      <c r="Z279">
        <f t="shared" si="83"/>
        <v>0.5</v>
      </c>
      <c r="AA279">
        <f>IF($D279="",0,IF($F279&lt;2,0,IF($E279="Win",('Guide &amp; Settings'!$C$42/(($F279-1)*COUNTIFS($A$4:$A$810,$A279,$E$4:$E$810,"Win")))*SUMIFS($Z$4:$Z$810,$A$4:$A$810,$A279,$E$4:$E$810,"Loss"),-('Guide &amp; Settings'!$C$42/($F279-1))*$Z279)))</f>
        <v>13.413444091438217</v>
      </c>
      <c r="AB279" s="120">
        <f t="shared" si="84"/>
        <v>1011.5572212043264</v>
      </c>
      <c r="AC279" s="120">
        <f>IF($D279="","",IF(SUMPRODUCT(MAX(($D$4:$D$810=$D279)*($B$4:$B$810&lt;$B279)*$B$4:$B$810))=0,0,MAX(($B279-MAX(SUMPRODUCT(MAX(($D$4:$D$810=$D279)*($B$4:$B$810&lt;$B279)*$B$4:$B$810)),'Guide &amp; Settings'!$C$50))/7-'Guide &amp; Settings'!$C$48,0)*'Guide &amp; Settings'!$C$49))</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986.98278461509813</v>
      </c>
      <c r="I280" s="117">
        <f t="shared" si="70"/>
        <v>0.2</v>
      </c>
      <c r="J280" s="118">
        <f>IF($D280="",0,IF($F280&lt;2,0,IF($E280="Win",('Guide &amp; Settings'!$C$42/(($F280-1)*COUNTIFS($A$4:$A$810,$A280,$E$4:$E$810,"Win")))*SUMIFS($X$4:$X$810,$A$4:$A$810,$A280,$E$4:$E$810,"Loss"),-('Guide &amp; Settings'!$C$42/($F280-1))*$X280)))</f>
        <v>-11.750055439935712</v>
      </c>
      <c r="K280" s="118">
        <f>IF($D280="",0,'Guide &amp; Settings'!$C$43*(IF($E280="Win",1,0)-$I280))</f>
        <v>-2.4000000000000004</v>
      </c>
      <c r="L280" s="119">
        <f>IF($D280="",0,'Guide &amp; Settings'!$C$44*IF($F280&gt;=3,$F280,0))</f>
        <v>0</v>
      </c>
      <c r="M280" s="118">
        <f t="shared" si="71"/>
        <v>-14.150055439935713</v>
      </c>
      <c r="N280" s="116">
        <f t="shared" si="72"/>
        <v>972.8327291751624</v>
      </c>
      <c r="O280" s="115" t="str">
        <f t="shared" si="73"/>
        <v>OK</v>
      </c>
      <c r="P280">
        <f t="shared" si="74"/>
        <v>1092.5995870946217</v>
      </c>
      <c r="Q280">
        <f t="shared" si="75"/>
        <v>0.35252031029100833</v>
      </c>
      <c r="R280">
        <f t="shared" si="76"/>
        <v>0.14285714285714285</v>
      </c>
      <c r="S280">
        <f t="shared" si="77"/>
        <v>0.71428571428571419</v>
      </c>
      <c r="T280" s="83">
        <f t="shared" si="78"/>
        <v>5</v>
      </c>
      <c r="U280" s="120">
        <f>IF($D280="",0,IFERROR(LOOKUP(2,1/(($D$3:D279=$D280)*($C$3:C279=$C280)*($A$3:A279&lt;$A280)),$AB$3:AB279),1000))</f>
        <v>928.06688542994414</v>
      </c>
      <c r="V280" s="120">
        <f t="shared" si="79"/>
        <v>957.52483502252107</v>
      </c>
      <c r="W280">
        <f t="shared" si="80"/>
        <v>1052.078404149474</v>
      </c>
      <c r="X280">
        <f t="shared" si="81"/>
        <v>0.36718923249799101</v>
      </c>
      <c r="Y280">
        <f t="shared" si="82"/>
        <v>1011.5572212043264</v>
      </c>
      <c r="Z280">
        <f t="shared" si="83"/>
        <v>0.38210832755194674</v>
      </c>
      <c r="AA280">
        <f>IF($D280="",0,IF($F280&lt;2,0,IF($E280="Win",('Guide &amp; Settings'!$C$42/(($F280-1)*COUNTIFS($A$4:$A$810,$A280,$E$4:$E$810,"Win")))*SUMIFS($Z$4:$Z$810,$A$4:$A$810,$A280,$E$4:$E$810,"Loss"),-('Guide &amp; Settings'!$C$42/($F280-1))*$Z280)))</f>
        <v>-12.227466481662296</v>
      </c>
      <c r="AB280" s="120">
        <f t="shared" si="84"/>
        <v>915.83941894828183</v>
      </c>
      <c r="AC280" s="120">
        <f>IF($D280="","",IF(SUMPRODUCT(MAX(($D$4:$D$810=$D280)*($B$4:$B$810&lt;$B280)*$B$4:$B$810))=0,0,MAX(($B280-MAX(SUMPRODUCT(MAX(($D$4:$D$810=$D280)*($B$4:$B$810&lt;$B280)*$B$4:$B$810)),'Guide &amp; Settings'!$C$50))/7-'Guide &amp; Settings'!$C$48,0)*'Guide &amp; Settings'!$C$49))</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1092.5995870946217</v>
      </c>
      <c r="I281" s="117">
        <f t="shared" si="70"/>
        <v>0.8</v>
      </c>
      <c r="J281" s="118">
        <f>IF($D281="",0,IF($F281&lt;2,0,IF($E281="Win",('Guide &amp; Settings'!$C$42/(($F281-1)*COUNTIFS($A$4:$A$810,$A281,$E$4:$E$810,"Win")))*SUMIFS($X$4:$X$810,$A$4:$A$810,$A281,$E$4:$E$810,"Loss"),-('Guide &amp; Settings'!$C$42/($F281-1))*$X281)))</f>
        <v>11.750055439935712</v>
      </c>
      <c r="K281" s="118">
        <f>IF($D281="",0,'Guide &amp; Settings'!$C$43*(IF($E281="Win",1,0)-$I281))</f>
        <v>2.3999999999999995</v>
      </c>
      <c r="L281" s="119">
        <f>IF($D281="",0,'Guide &amp; Settings'!$C$44*IF($F281&gt;=3,$F281,0))</f>
        <v>0</v>
      </c>
      <c r="M281" s="118">
        <f t="shared" si="71"/>
        <v>14.150055439935713</v>
      </c>
      <c r="N281" s="116">
        <f t="shared" si="72"/>
        <v>1106.7496425345573</v>
      </c>
      <c r="O281" s="115" t="str">
        <f t="shared" si="73"/>
        <v>OK</v>
      </c>
      <c r="P281">
        <f t="shared" si="74"/>
        <v>1092.5995870946217</v>
      </c>
      <c r="Q281">
        <f t="shared" si="75"/>
        <v>0.5</v>
      </c>
      <c r="R281">
        <f t="shared" si="76"/>
        <v>0.5714285714285714</v>
      </c>
      <c r="S281">
        <f t="shared" si="77"/>
        <v>0.71428571428571419</v>
      </c>
      <c r="T281" s="83">
        <f t="shared" si="78"/>
        <v>5</v>
      </c>
      <c r="U281" s="120">
        <f>IF($D281="",0,IFERROR(LOOKUP(2,1/(($D$3:D280=$D281)*($C$3:C280=$C281)*($A$3:A280&lt;$A281)),$AB$3:AB280),1000))</f>
        <v>1011.5572212043264</v>
      </c>
      <c r="V281" s="120">
        <f t="shared" si="79"/>
        <v>1052.078404149474</v>
      </c>
      <c r="W281">
        <f t="shared" si="80"/>
        <v>1052.078404149474</v>
      </c>
      <c r="X281">
        <f t="shared" si="81"/>
        <v>0.5</v>
      </c>
      <c r="Y281">
        <f t="shared" si="82"/>
        <v>1011.5572212043264</v>
      </c>
      <c r="Z281">
        <f t="shared" si="83"/>
        <v>0.5</v>
      </c>
      <c r="AA281">
        <f>IF($D281="",0,IF($F281&lt;2,0,IF($E281="Win",('Guide &amp; Settings'!$C$42/(($F281-1)*COUNTIFS($A$4:$A$810,$A281,$E$4:$E$810,"Win")))*SUMIFS($Z$4:$Z$810,$A$4:$A$810,$A281,$E$4:$E$810,"Loss"),-('Guide &amp; Settings'!$C$42/($F281-1))*$Z281)))</f>
        <v>12.227466481662296</v>
      </c>
      <c r="AB281" s="120">
        <f t="shared" si="84"/>
        <v>1023.7846876859887</v>
      </c>
      <c r="AC281" s="120">
        <f>IF($D281="","",IF(SUMPRODUCT(MAX(($D$4:$D$810=$D281)*($B$4:$B$810&lt;$B281)*$B$4:$B$810))=0,0,MAX(($B281-MAX(SUMPRODUCT(MAX(($D$4:$D$810=$D281)*($B$4:$B$810&lt;$B281)*$B$4:$B$810)),'Guide &amp; Settings'!$C$50))/7-'Guide &amp; Settings'!$C$48,0)*'Guide &amp; Settings'!$C$49))</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972.8327291751624</v>
      </c>
      <c r="I282" s="117">
        <f t="shared" si="70"/>
        <v>0.16666666666666666</v>
      </c>
      <c r="J282" s="118">
        <f>IF($D282="",0,IF($F282&lt;2,0,IF($E282="Win",('Guide &amp; Settings'!$C$42/(($F282-1)*COUNTIFS($A$4:$A$810,$A282,$E$4:$E$810,"Win")))*SUMIFS($X$4:$X$810,$A$4:$A$810,$A282,$E$4:$E$810,"Loss"),-('Guide &amp; Settings'!$C$42/($F282-1))*$X282)))</f>
        <v>-10.693759628903043</v>
      </c>
      <c r="K282" s="118">
        <f>IF($D282="",0,'Guide &amp; Settings'!$C$43*(IF($E282="Win",1,0)-$I282))</f>
        <v>-2</v>
      </c>
      <c r="L282" s="119">
        <f>IF($D282="",0,'Guide &amp; Settings'!$C$44*IF($F282&gt;=3,$F282,0))</f>
        <v>0</v>
      </c>
      <c r="M282" s="118">
        <f t="shared" si="71"/>
        <v>-12.693759628903043</v>
      </c>
      <c r="N282" s="116">
        <f t="shared" si="72"/>
        <v>960.13896954625932</v>
      </c>
      <c r="O282" s="115" t="str">
        <f t="shared" si="73"/>
        <v>OK</v>
      </c>
      <c r="P282">
        <f t="shared" si="74"/>
        <v>1106.7496425345573</v>
      </c>
      <c r="Q282">
        <f t="shared" si="75"/>
        <v>0.31628710567640728</v>
      </c>
      <c r="R282">
        <f t="shared" si="76"/>
        <v>0.125</v>
      </c>
      <c r="S282">
        <f t="shared" si="77"/>
        <v>0.75</v>
      </c>
      <c r="T282" s="83">
        <f t="shared" si="78"/>
        <v>6</v>
      </c>
      <c r="U282" s="120">
        <f>IF($D282="",0,IFERROR(LOOKUP(2,1/(($D$3:D281=$D282)*($C$3:C281=$C282)*($A$3:A281&lt;$A282)),$AB$3:AB281),1000))</f>
        <v>915.83941894828183</v>
      </c>
      <c r="V282" s="120">
        <f t="shared" si="79"/>
        <v>941.74546905140937</v>
      </c>
      <c r="W282">
        <f t="shared" si="80"/>
        <v>1061.4960307989745</v>
      </c>
      <c r="X282">
        <f t="shared" si="81"/>
        <v>0.33417998840322011</v>
      </c>
      <c r="Y282">
        <f t="shared" si="82"/>
        <v>1023.7846876859887</v>
      </c>
      <c r="Z282">
        <f t="shared" si="83"/>
        <v>0.34946699400312992</v>
      </c>
      <c r="AA282">
        <f>IF($D282="",0,IF($F282&lt;2,0,IF($E282="Win",('Guide &amp; Settings'!$C$42/(($F282-1)*COUNTIFS($A$4:$A$810,$A282,$E$4:$E$810,"Win")))*SUMIFS($Z$4:$Z$810,$A$4:$A$810,$A282,$E$4:$E$810,"Loss"),-('Guide &amp; Settings'!$C$42/($F282-1))*$Z282)))</f>
        <v>-11.182943808100157</v>
      </c>
      <c r="AB282" s="120">
        <f t="shared" si="84"/>
        <v>904.65647514018167</v>
      </c>
      <c r="AC282" s="120">
        <f>IF($D282="","",IF(SUMPRODUCT(MAX(($D$4:$D$810=$D282)*($B$4:$B$810&lt;$B282)*$B$4:$B$810))=0,0,MAX(($B282-MAX(SUMPRODUCT(MAX(($D$4:$D$810=$D282)*($B$4:$B$810&lt;$B282)*$B$4:$B$810)),'Guide &amp; Settings'!$C$50))/7-'Guide &amp; Settings'!$C$48,0)*'Guide &amp; Settings'!$C$49))</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1106.7496425345573</v>
      </c>
      <c r="I283" s="117">
        <f t="shared" si="70"/>
        <v>0.83333333333333337</v>
      </c>
      <c r="J283" s="118">
        <f>IF($D283="",0,IF($F283&lt;2,0,IF($E283="Win",('Guide &amp; Settings'!$C$42/(($F283-1)*COUNTIFS($A$4:$A$810,$A283,$E$4:$E$810,"Win")))*SUMIFS($X$4:$X$810,$A$4:$A$810,$A283,$E$4:$E$810,"Loss"),-('Guide &amp; Settings'!$C$42/($F283-1))*$X283)))</f>
        <v>10.693759628903043</v>
      </c>
      <c r="K283" s="118">
        <f>IF($D283="",0,'Guide &amp; Settings'!$C$43*(IF($E283="Win",1,0)-$I283))</f>
        <v>1.9999999999999996</v>
      </c>
      <c r="L283" s="119">
        <f>IF($D283="",0,'Guide &amp; Settings'!$C$44*IF($F283&gt;=3,$F283,0))</f>
        <v>0</v>
      </c>
      <c r="M283" s="118">
        <f t="shared" si="71"/>
        <v>12.693759628903043</v>
      </c>
      <c r="N283" s="116">
        <f t="shared" si="72"/>
        <v>1119.4434021634604</v>
      </c>
      <c r="O283" s="115" t="str">
        <f t="shared" si="73"/>
        <v>OK</v>
      </c>
      <c r="P283">
        <f t="shared" si="74"/>
        <v>1106.7496425345573</v>
      </c>
      <c r="Q283">
        <f t="shared" si="75"/>
        <v>0.5</v>
      </c>
      <c r="R283">
        <f t="shared" si="76"/>
        <v>0.625</v>
      </c>
      <c r="S283">
        <f t="shared" si="77"/>
        <v>0.75</v>
      </c>
      <c r="T283" s="83">
        <f t="shared" si="78"/>
        <v>6</v>
      </c>
      <c r="U283" s="120">
        <f>IF($D283="",0,IFERROR(LOOKUP(2,1/(($D$3:D282=$D283)*($C$3:C282=$C283)*($A$3:A282&lt;$A283)),$AB$3:AB282),1000))</f>
        <v>1023.7846876859887</v>
      </c>
      <c r="V283" s="120">
        <f t="shared" si="79"/>
        <v>1061.4960307989745</v>
      </c>
      <c r="W283">
        <f t="shared" si="80"/>
        <v>1061.4960307989745</v>
      </c>
      <c r="X283">
        <f t="shared" si="81"/>
        <v>0.5</v>
      </c>
      <c r="Y283">
        <f t="shared" si="82"/>
        <v>1023.7846876859887</v>
      </c>
      <c r="Z283">
        <f t="shared" si="83"/>
        <v>0.5</v>
      </c>
      <c r="AA283">
        <f>IF($D283="",0,IF($F283&lt;2,0,IF($E283="Win",('Guide &amp; Settings'!$C$42/(($F283-1)*COUNTIFS($A$4:$A$810,$A283,$E$4:$E$810,"Win")))*SUMIFS($Z$4:$Z$810,$A$4:$A$810,$A283,$E$4:$E$810,"Loss"),-('Guide &amp; Settings'!$C$42/($F283-1))*$Z283)))</f>
        <v>11.182943808100157</v>
      </c>
      <c r="AB283" s="120">
        <f t="shared" si="84"/>
        <v>1034.9676314940889</v>
      </c>
      <c r="AC283" s="120">
        <f>IF($D283="","",IF(SUMPRODUCT(MAX(($D$4:$D$810=$D283)*($B$4:$B$810&lt;$B283)*$B$4:$B$810))=0,0,MAX(($B283-MAX(SUMPRODUCT(MAX(($D$4:$D$810=$D283)*($B$4:$B$810&lt;$B283)*$B$4:$B$810)),'Guide &amp; Settings'!$C$50))/7-'Guide &amp; Settings'!$C$48,0)*'Guide &amp; Settings'!$C$49))</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960.13896954625932</v>
      </c>
      <c r="I284" s="117">
        <f t="shared" si="70"/>
        <v>0.57142857142857151</v>
      </c>
      <c r="J284" s="118">
        <f>IF($D284="",0,IF($F284&lt;2,0,IF($E284="Win",('Guide &amp; Settings'!$C$42/(($F284-1)*COUNTIFS($A$4:$A$810,$A284,$E$4:$E$810,"Win")))*SUMIFS($X$4:$X$810,$A$4:$A$810,$A284,$E$4:$E$810,"Loss"),-('Guide &amp; Settings'!$C$42/($F284-1))*$X284)))</f>
        <v>-11.098494227906516</v>
      </c>
      <c r="K284" s="118">
        <f>IF($D284="",0,'Guide &amp; Settings'!$C$43*(IF($E284="Win",1,0)-$I284))</f>
        <v>-6.8571428571428577</v>
      </c>
      <c r="L284" s="119">
        <f>IF($D284="",0,'Guide &amp; Settings'!$C$44*IF($F284&gt;=3,$F284,0))</f>
        <v>0</v>
      </c>
      <c r="M284" s="118">
        <f t="shared" si="71"/>
        <v>-17.955637085049375</v>
      </c>
      <c r="N284" s="116">
        <f t="shared" si="72"/>
        <v>942.18333246120994</v>
      </c>
      <c r="O284" s="115" t="str">
        <f t="shared" si="73"/>
        <v>OK</v>
      </c>
      <c r="P284">
        <f t="shared" si="74"/>
        <v>1119.4434021634604</v>
      </c>
      <c r="Q284">
        <f t="shared" si="75"/>
        <v>0.2855634325569113</v>
      </c>
      <c r="R284">
        <f t="shared" si="76"/>
        <v>0.33333333333333331</v>
      </c>
      <c r="S284">
        <f t="shared" si="77"/>
        <v>0.58333333333333326</v>
      </c>
      <c r="T284" s="83">
        <f t="shared" si="78"/>
        <v>4</v>
      </c>
      <c r="U284" s="120">
        <f>IF($D284="",0,IFERROR(LOOKUP(2,1/(($D$3:D283=$D284)*($C$3:C283=$C284)*($A$3:A283&lt;$A284)),$AB$3:AB283),1000))</f>
        <v>984.43571391543799</v>
      </c>
      <c r="V284" s="120">
        <f t="shared" si="79"/>
        <v>970.93752259922758</v>
      </c>
      <c r="W284">
        <f t="shared" si="80"/>
        <v>1080.9029281497944</v>
      </c>
      <c r="X284">
        <f t="shared" si="81"/>
        <v>0.34682794462207861</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IF($D284="","",IF(SUMPRODUCT(MAX(($D$4:$D$810=$D284)*($B$4:$B$810&lt;$B284)*$B$4:$B$810))=0,0,MAX(($B284-MAX(SUMPRODUCT(MAX(($D$4:$D$810=$D284)*($B$4:$B$810&lt;$B284)*$B$4:$B$810)),'Guide &amp; Settings'!$C$50))/7-'Guide &amp; Settings'!$C$48,0)*'Guide &amp; Settings'!$C$49))</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1119.4434021634604</v>
      </c>
      <c r="I285" s="117">
        <f t="shared" si="70"/>
        <v>0.4285714285714286</v>
      </c>
      <c r="J285" s="118">
        <f>IF($D285="",0,IF($F285&lt;2,0,IF($E285="Win",('Guide &amp; Settings'!$C$42/(($F285-1)*COUNTIFS($A$4:$A$810,$A285,$E$4:$E$810,"Win")))*SUMIFS($X$4:$X$810,$A$4:$A$810,$A285,$E$4:$E$810,"Loss"),-('Guide &amp; Settings'!$C$42/($F285-1))*$X285)))</f>
        <v>11.098494227906516</v>
      </c>
      <c r="K285" s="118">
        <f>IF($D285="",0,'Guide &amp; Settings'!$C$43*(IF($E285="Win",1,0)-$I285))</f>
        <v>6.8571428571428568</v>
      </c>
      <c r="L285" s="119">
        <f>IF($D285="",0,'Guide &amp; Settings'!$C$44*IF($F285&gt;=3,$F285,0))</f>
        <v>0</v>
      </c>
      <c r="M285" s="118">
        <f t="shared" si="71"/>
        <v>17.955637085049371</v>
      </c>
      <c r="N285" s="116">
        <f t="shared" si="72"/>
        <v>1137.3990392485098</v>
      </c>
      <c r="O285" s="115" t="str">
        <f t="shared" si="73"/>
        <v>OK</v>
      </c>
      <c r="P285">
        <f t="shared" si="74"/>
        <v>1119.4434021634604</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1080.9029281497944</v>
      </c>
      <c r="W285">
        <f t="shared" si="80"/>
        <v>1080.9029281497944</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IF($D285="","",IF(SUMPRODUCT(MAX(($D$4:$D$810=$D285)*($B$4:$B$810&lt;$B285)*$B$4:$B$810))=0,0,MAX(($B285-MAX(SUMPRODUCT(MAX(($D$4:$D$810=$D285)*($B$4:$B$810&lt;$B285)*$B$4:$B$810)),'Guide &amp; Settings'!$C$50))/7-'Guide &amp; Settings'!$C$48,0)*'Guide &amp; Settings'!$C$49))</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942.18333246120994</v>
      </c>
      <c r="I286" s="117">
        <f t="shared" si="70"/>
        <v>0.59770114942528729</v>
      </c>
      <c r="J286" s="118">
        <f>IF($D286="",0,IF($F286&lt;2,0,IF($E286="Win",('Guide &amp; Settings'!$C$42/(($F286-1)*COUNTIFS($A$4:$A$810,$A286,$E$4:$E$810,"Win")))*SUMIFS($X$4:$X$810,$A$4:$A$810,$A286,$E$4:$E$810,"Loss"),-('Guide &amp; Settings'!$C$42/($F286-1))*$X286)))</f>
        <v>19.871908411670749</v>
      </c>
      <c r="K286" s="118">
        <f>IF($D286="",0,'Guide &amp; Settings'!$C$43*(IF($E286="Win",1,0)-$I286))</f>
        <v>4.8275862068965525</v>
      </c>
      <c r="L286" s="119">
        <f>IF($D286="",0,'Guide &amp; Settings'!$C$44*IF($F286&gt;=3,$F286,0))</f>
        <v>0</v>
      </c>
      <c r="M286" s="118">
        <f t="shared" si="71"/>
        <v>24.6994946185673</v>
      </c>
      <c r="N286" s="116">
        <f t="shared" si="72"/>
        <v>966.88282707977726</v>
      </c>
      <c r="O286" s="115" t="str">
        <f t="shared" si="73"/>
        <v>OK</v>
      </c>
      <c r="P286">
        <f t="shared" si="74"/>
        <v>942.18333246120994</v>
      </c>
      <c r="Q286">
        <f t="shared" si="75"/>
        <v>0.5</v>
      </c>
      <c r="R286">
        <f t="shared" si="76"/>
        <v>0.8</v>
      </c>
      <c r="S286">
        <f t="shared" si="77"/>
        <v>1.3384615384615386</v>
      </c>
      <c r="T286" s="83">
        <f t="shared" si="78"/>
        <v>3</v>
      </c>
      <c r="U286" s="120">
        <f>IF($D286="",0,IFERROR(LOOKUP(2,1/(($D$3:D285=$D286)*($C$3:C285=$C286)*($A$3:A285&lt;$A286)),$AB$3:AB285),1000))</f>
        <v>1043.7471336336109</v>
      </c>
      <c r="V286" s="120">
        <f t="shared" si="79"/>
        <v>980.26975790086033</v>
      </c>
      <c r="W286">
        <f t="shared" si="80"/>
        <v>980.26975790086033</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IF($D286="","",IF(SUMPRODUCT(MAX(($D$4:$D$810=$D286)*($B$4:$B$810&lt;$B286)*$B$4:$B$810))=0,0,MAX(($B286-MAX(SUMPRODUCT(MAX(($D$4:$D$810=$D286)*($B$4:$B$810&lt;$B286)*$B$4:$B$810)),'Guide &amp; Settings'!$C$50))/7-'Guide &amp; Settings'!$C$48,0)*'Guide &amp; Settings'!$C$49))</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1137.3990392485098</v>
      </c>
      <c r="I287" s="117">
        <f t="shared" si="70"/>
        <v>0.4022988505747126</v>
      </c>
      <c r="J287" s="118">
        <f>IF($D287="",0,IF($F287&lt;2,0,IF($E287="Win",('Guide &amp; Settings'!$C$42/(($F287-1)*COUNTIFS($A$4:$A$810,$A287,$E$4:$E$810,"Win")))*SUMIFS($X$4:$X$810,$A$4:$A$810,$A287,$E$4:$E$810,"Loss"),-('Guide &amp; Settings'!$C$42/($F287-1))*$X287)))</f>
        <v>-19.871908411670749</v>
      </c>
      <c r="K287" s="118">
        <f>IF($D287="",0,'Guide &amp; Settings'!$C$43*(IF($E287="Win",1,0)-$I287))</f>
        <v>-4.8275862068965516</v>
      </c>
      <c r="L287" s="119">
        <f>IF($D287="",0,'Guide &amp; Settings'!$C$44*IF($F287&gt;=3,$F287,0))</f>
        <v>0</v>
      </c>
      <c r="M287" s="118">
        <f t="shared" si="71"/>
        <v>-24.6994946185673</v>
      </c>
      <c r="N287" s="116">
        <f t="shared" si="72"/>
        <v>1112.6995446299425</v>
      </c>
      <c r="O287" s="115" t="str">
        <f t="shared" si="73"/>
        <v>OK</v>
      </c>
      <c r="P287">
        <f t="shared" si="74"/>
        <v>942.18333246120994</v>
      </c>
      <c r="Q287">
        <f t="shared" si="75"/>
        <v>0.75468399957763532</v>
      </c>
      <c r="R287">
        <f t="shared" si="76"/>
        <v>0.53846153846153844</v>
      </c>
      <c r="S287">
        <f t="shared" si="77"/>
        <v>1.3384615384615386</v>
      </c>
      <c r="T287" s="83">
        <f t="shared" si="78"/>
        <v>11</v>
      </c>
      <c r="U287" s="120">
        <f>IF($D287="",0,IFERROR(LOOKUP(2,1/(($D$3:D286=$D287)*($C$3:C286=$C287)*($A$3:A286&lt;$A287)),$AB$3:AB286),1000))</f>
        <v>1033.6165842741636</v>
      </c>
      <c r="V287" s="120">
        <f t="shared" si="79"/>
        <v>1066.0486014536468</v>
      </c>
      <c r="W287">
        <f t="shared" si="80"/>
        <v>980.26975790086033</v>
      </c>
      <c r="X287">
        <f t="shared" si="81"/>
        <v>0.62099713786471089</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IF($D287="","",IF(SUMPRODUCT(MAX(($D$4:$D$810=$D287)*($B$4:$B$810&lt;$B287)*$B$4:$B$810))=0,0,MAX(($B287-MAX(SUMPRODUCT(MAX(($D$4:$D$810=$D287)*($B$4:$B$810&lt;$B287)*$B$4:$B$810)),'Guide &amp; Settings'!$C$50))/7-'Guide &amp; Settings'!$C$48,0)*'Guide &amp; Settings'!$C$49))</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966.88282707977726</v>
      </c>
      <c r="I288" s="117">
        <f t="shared" si="70"/>
        <v>0.625</v>
      </c>
      <c r="J288" s="118">
        <f>IF($D288="",0,IF($F288&lt;2,0,IF($E288="Win",('Guide &amp; Settings'!$C$42/(($F288-1)*COUNTIFS($A$4:$A$810,$A288,$E$4:$E$810,"Win")))*SUMIFS($X$4:$X$810,$A$4:$A$810,$A288,$E$4:$E$810,"Loss"),-('Guide &amp; Settings'!$C$42/($F288-1))*$X288)))</f>
        <v>17.741327950613481</v>
      </c>
      <c r="K288" s="118">
        <f>IF($D288="",0,'Guide &amp; Settings'!$C$43*(IF($E288="Win",1,0)-$I288))</f>
        <v>4.5</v>
      </c>
      <c r="L288" s="119">
        <f>IF($D288="",0,'Guide &amp; Settings'!$C$44*IF($F288&gt;=3,$F288,0))</f>
        <v>0</v>
      </c>
      <c r="M288" s="118">
        <f t="shared" si="71"/>
        <v>22.241327950613481</v>
      </c>
      <c r="N288" s="116">
        <f t="shared" si="72"/>
        <v>989.12415503039074</v>
      </c>
      <c r="O288" s="115" t="str">
        <f t="shared" si="73"/>
        <v>OK</v>
      </c>
      <c r="P288">
        <f t="shared" si="74"/>
        <v>966.88282707977726</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1007.9485647168042</v>
      </c>
      <c r="W288">
        <f t="shared" si="80"/>
        <v>1007.9485647168042</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IF($D288="","",IF(SUMPRODUCT(MAX(($D$4:$D$810=$D288)*($B$4:$B$810&lt;$B288)*$B$4:$B$810))=0,0,MAX(($B288-MAX(SUMPRODUCT(MAX(($D$4:$D$810=$D288)*($B$4:$B$810&lt;$B288)*$B$4:$B$810)),'Guide &amp; Settings'!$C$50))/7-'Guide &amp; Settings'!$C$48,0)*'Guide &amp; Settings'!$C$49))</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1112.6995446299425</v>
      </c>
      <c r="I289" s="117">
        <f t="shared" si="70"/>
        <v>0.37499999999999994</v>
      </c>
      <c r="J289" s="118">
        <f>IF($D289="",0,IF($F289&lt;2,0,IF($E289="Win",('Guide &amp; Settings'!$C$42/(($F289-1)*COUNTIFS($A$4:$A$810,$A289,$E$4:$E$810,"Win")))*SUMIFS($X$4:$X$810,$A$4:$A$810,$A289,$E$4:$E$810,"Loss"),-('Guide &amp; Settings'!$C$42/($F289-1))*$X289)))</f>
        <v>-17.741327950613481</v>
      </c>
      <c r="K289" s="118">
        <f>IF($D289="",0,'Guide &amp; Settings'!$C$43*(IF($E289="Win",1,0)-$I289))</f>
        <v>-4.4999999999999991</v>
      </c>
      <c r="L289" s="119">
        <f>IF($D289="",0,'Guide &amp; Settings'!$C$44*IF($F289&gt;=3,$F289,0))</f>
        <v>0</v>
      </c>
      <c r="M289" s="118">
        <f t="shared" si="71"/>
        <v>-22.241327950613481</v>
      </c>
      <c r="N289" s="116">
        <f t="shared" si="72"/>
        <v>1090.4582166793289</v>
      </c>
      <c r="O289" s="115" t="str">
        <f t="shared" si="73"/>
        <v>OK</v>
      </c>
      <c r="P289">
        <f t="shared" si="74"/>
        <v>966.88282707977726</v>
      </c>
      <c r="Q289">
        <f t="shared" si="75"/>
        <v>0.69833641148080416</v>
      </c>
      <c r="R289">
        <f t="shared" si="76"/>
        <v>0.5</v>
      </c>
      <c r="S289">
        <f t="shared" si="77"/>
        <v>1.3333333333333335</v>
      </c>
      <c r="T289" s="83">
        <f t="shared" si="78"/>
        <v>12</v>
      </c>
      <c r="U289" s="120">
        <f>IF($D289="",0,IFERROR(LOOKUP(2,1/(($D$3:D288=$D289)*($C$3:C288=$C289)*($A$3:A288&lt;$A289)),$AB$3:AB288),1000))</f>
        <v>1018.0829811446868</v>
      </c>
      <c r="V289" s="120">
        <f t="shared" si="79"/>
        <v>1045.911382169762</v>
      </c>
      <c r="W289">
        <f t="shared" si="80"/>
        <v>1007.9485647168042</v>
      </c>
      <c r="X289">
        <f t="shared" si="81"/>
        <v>0.55441649845667129</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IF($D289="","",IF(SUMPRODUCT(MAX(($D$4:$D$810=$D289)*($B$4:$B$810&lt;$B289)*$B$4:$B$810))=0,0,MAX(($B289-MAX(SUMPRODUCT(MAX(($D$4:$D$810=$D289)*($B$4:$B$810&lt;$B289)*$B$4:$B$810)),'Guide &amp; Settings'!$C$50))/7-'Guide &amp; Settings'!$C$48,0)*'Guide &amp; Settings'!$C$49))</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989.12415503039074</v>
      </c>
      <c r="I290" s="117">
        <f t="shared" si="70"/>
        <v>0.26315789473684204</v>
      </c>
      <c r="J290" s="118">
        <f>IF($D290="",0,IF($F290&lt;2,0,IF($E290="Win",('Guide &amp; Settings'!$C$42/(($F290-1)*COUNTIFS($A$4:$A$810,$A290,$E$4:$E$810,"Win")))*SUMIFS($X$4:$X$810,$A$4:$A$810,$A290,$E$4:$E$810,"Loss"),-('Guide &amp; Settings'!$C$42/($F290-1))*$X290)))</f>
        <v>-12.930907985614377</v>
      </c>
      <c r="K290" s="118">
        <f>IF($D290="",0,'Guide &amp; Settings'!$C$43*(IF($E290="Win",1,0)-$I290))</f>
        <v>-3.1578947368421044</v>
      </c>
      <c r="L290" s="119">
        <f>IF($D290="",0,'Guide &amp; Settings'!$C$44*IF($F290&gt;=3,$F290,0))</f>
        <v>0</v>
      </c>
      <c r="M290" s="118">
        <f t="shared" si="71"/>
        <v>-16.088802722456482</v>
      </c>
      <c r="N290" s="116">
        <f t="shared" si="72"/>
        <v>973.0353523079342</v>
      </c>
      <c r="O290" s="115" t="str">
        <f t="shared" si="73"/>
        <v>OK</v>
      </c>
      <c r="P290">
        <f t="shared" si="74"/>
        <v>1046.7343560403631</v>
      </c>
      <c r="Q290">
        <f t="shared" si="75"/>
        <v>0.41784383478495124</v>
      </c>
      <c r="R290">
        <f t="shared" si="76"/>
        <v>0.2857142857142857</v>
      </c>
      <c r="S290">
        <f t="shared" si="77"/>
        <v>1.0857142857142859</v>
      </c>
      <c r="T290" s="83">
        <f t="shared" si="78"/>
        <v>5</v>
      </c>
      <c r="U290" s="120">
        <f>IF($D290="",0,IFERROR(LOOKUP(2,1/(($D$3:D289=$D290)*($C$3:C289=$C290)*($A$3:A289&lt;$A290)),$AB$3:AB289),1000))</f>
        <v>968.44105725737359</v>
      </c>
      <c r="V290" s="120">
        <f t="shared" si="79"/>
        <v>978.78260614388216</v>
      </c>
      <c r="W290">
        <f t="shared" si="80"/>
        <v>1046.263003349839</v>
      </c>
      <c r="X290">
        <f t="shared" si="81"/>
        <v>0.40409087455044929</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IF($D290="","",IF(SUMPRODUCT(MAX(($D$4:$D$810=$D290)*($B$4:$B$810&lt;$B290)*$B$4:$B$810))=0,0,MAX(($B290-MAX(SUMPRODUCT(MAX(($D$4:$D$810=$D290)*($B$4:$B$810&lt;$B290)*$B$4:$B$810)),'Guide &amp; Settings'!$C$50))/7-'Guide &amp; Settings'!$C$48,0)*'Guide &amp; Settings'!$C$49))</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1046.7343560403631</v>
      </c>
      <c r="I291" s="117">
        <f t="shared" si="70"/>
        <v>0.73684210526315785</v>
      </c>
      <c r="J291" s="118">
        <f>IF($D291="",0,IF($F291&lt;2,0,IF($E291="Win",('Guide &amp; Settings'!$C$42/(($F291-1)*COUNTIFS($A$4:$A$810,$A291,$E$4:$E$810,"Win")))*SUMIFS($X$4:$X$810,$A$4:$A$810,$A291,$E$4:$E$810,"Loss"),-('Guide &amp; Settings'!$C$42/($F291-1))*$X291)))</f>
        <v>12.930907985614377</v>
      </c>
      <c r="K291" s="118">
        <f>IF($D291="",0,'Guide &amp; Settings'!$C$43*(IF($E291="Win",1,0)-$I291))</f>
        <v>3.1578947368421058</v>
      </c>
      <c r="L291" s="119">
        <f>IF($D291="",0,'Guide &amp; Settings'!$C$44*IF($F291&gt;=3,$F291,0))</f>
        <v>0</v>
      </c>
      <c r="M291" s="118">
        <f t="shared" si="71"/>
        <v>16.088802722456482</v>
      </c>
      <c r="N291" s="116">
        <f t="shared" si="72"/>
        <v>1062.8231587628195</v>
      </c>
      <c r="O291" s="115" t="str">
        <f t="shared" si="73"/>
        <v>OK</v>
      </c>
      <c r="P291">
        <f t="shared" si="74"/>
        <v>1046.7343560403631</v>
      </c>
      <c r="Q291">
        <f t="shared" si="75"/>
        <v>0.5</v>
      </c>
      <c r="R291">
        <f t="shared" si="76"/>
        <v>0.8</v>
      </c>
      <c r="S291">
        <f t="shared" si="77"/>
        <v>1.0857142857142859</v>
      </c>
      <c r="T291" s="83">
        <f t="shared" si="78"/>
        <v>3</v>
      </c>
      <c r="U291" s="120">
        <f>IF($D291="",0,IFERROR(LOOKUP(2,1/(($D$3:D290=$D291)*($C$3:C290=$C291)*($A$3:A290&lt;$A291)),$AB$3:AB290),1000))</f>
        <v>1045.4774155322991</v>
      </c>
      <c r="V291" s="120">
        <f t="shared" si="79"/>
        <v>1046.263003349839</v>
      </c>
      <c r="W291">
        <f t="shared" si="80"/>
        <v>1046.263003349839</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IF($D291="","",IF(SUMPRODUCT(MAX(($D$4:$D$810=$D291)*($B$4:$B$810&lt;$B291)*$B$4:$B$810))=0,0,MAX(($B291-MAX(SUMPRODUCT(MAX(($D$4:$D$810=$D291)*($B$4:$B$810&lt;$B291)*$B$4:$B$810)),'Guide &amp; Settings'!$C$50))/7-'Guide &amp; Settings'!$C$48,0)*'Guide &amp; Settings'!$C$49))</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973.0353523079342</v>
      </c>
      <c r="I292" s="117">
        <f t="shared" si="70"/>
        <v>0.23076923076923073</v>
      </c>
      <c r="J292" s="118">
        <f>IF($D292="",0,IF($F292&lt;2,0,IF($E292="Win",('Guide &amp; Settings'!$C$42/(($F292-1)*COUNTIFS($A$4:$A$810,$A292,$E$4:$E$810,"Win")))*SUMIFS($X$4:$X$810,$A$4:$A$810,$A292,$E$4:$E$810,"Loss"),-('Guide &amp; Settings'!$C$42/($F292-1))*$X292)))</f>
        <v>20.353077964334474</v>
      </c>
      <c r="K292" s="118">
        <f>IF($D292="",0,'Guide &amp; Settings'!$C$43*(IF($E292="Win",1,0)-$I292))</f>
        <v>9.2307692307692317</v>
      </c>
      <c r="L292" s="119">
        <f>IF($D292="",0,'Guide &amp; Settings'!$C$44*IF($F292&gt;=3,$F292,0))</f>
        <v>0</v>
      </c>
      <c r="M292" s="118">
        <f t="shared" si="71"/>
        <v>29.583847195103708</v>
      </c>
      <c r="N292" s="116">
        <f t="shared" si="72"/>
        <v>1002.6191995030379</v>
      </c>
      <c r="O292" s="115" t="str">
        <f t="shared" si="73"/>
        <v>OK</v>
      </c>
      <c r="P292">
        <f t="shared" si="74"/>
        <v>973.0353523079342</v>
      </c>
      <c r="Q292">
        <f t="shared" si="75"/>
        <v>0.5</v>
      </c>
      <c r="R292">
        <f t="shared" si="76"/>
        <v>0.25</v>
      </c>
      <c r="S292">
        <f t="shared" si="77"/>
        <v>1.0833333333333335</v>
      </c>
      <c r="T292" s="83">
        <f t="shared" si="78"/>
        <v>6</v>
      </c>
      <c r="U292" s="120">
        <f>IF($D292="",0,IFERROR(LOOKUP(2,1/(($D$3:D291=$D292)*($C$3:C291=$C292)*($A$3:A291&lt;$A292)),$AB$3:AB291),1000))</f>
        <v>955.93169527043449</v>
      </c>
      <c r="V292" s="120">
        <f t="shared" si="79"/>
        <v>963.70608483293438</v>
      </c>
      <c r="W292">
        <f t="shared" si="80"/>
        <v>963.70608483293438</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IF($D292="","",IF(SUMPRODUCT(MAX(($D$4:$D$810=$D292)*($B$4:$B$810&lt;$B292)*$B$4:$B$810))=0,0,MAX(($B292-MAX(SUMPRODUCT(MAX(($D$4:$D$810=$D292)*($B$4:$B$810&lt;$B292)*$B$4:$B$810)),'Guide &amp; Settings'!$C$50))/7-'Guide &amp; Settings'!$C$48,0)*'Guide &amp; Settings'!$C$49))</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1062.8231587628195</v>
      </c>
      <c r="I293" s="117">
        <f t="shared" si="70"/>
        <v>0.76923076923076916</v>
      </c>
      <c r="J293" s="118">
        <f>IF($D293="",0,IF($F293&lt;2,0,IF($E293="Win",('Guide &amp; Settings'!$C$42/(($F293-1)*COUNTIFS($A$4:$A$810,$A293,$E$4:$E$810,"Win")))*SUMIFS($X$4:$X$810,$A$4:$A$810,$A293,$E$4:$E$810,"Loss"),-('Guide &amp; Settings'!$C$42/($F293-1))*$X293)))</f>
        <v>-20.353077964334474</v>
      </c>
      <c r="K293" s="118">
        <f>IF($D293="",0,'Guide &amp; Settings'!$C$43*(IF($E293="Win",1,0)-$I293))</f>
        <v>-9.2307692307692299</v>
      </c>
      <c r="L293" s="119">
        <f>IF($D293="",0,'Guide &amp; Settings'!$C$44*IF($F293&gt;=3,$F293,0))</f>
        <v>0</v>
      </c>
      <c r="M293" s="118">
        <f t="shared" si="71"/>
        <v>-29.583847195103704</v>
      </c>
      <c r="N293" s="116">
        <f t="shared" si="72"/>
        <v>1033.2393115677157</v>
      </c>
      <c r="O293" s="115" t="str">
        <f t="shared" si="73"/>
        <v>OK</v>
      </c>
      <c r="P293">
        <f t="shared" si="74"/>
        <v>973.0353523079342</v>
      </c>
      <c r="Q293">
        <f t="shared" si="75"/>
        <v>0.62641327447965833</v>
      </c>
      <c r="R293">
        <f t="shared" si="76"/>
        <v>0.83333333333333337</v>
      </c>
      <c r="S293">
        <f t="shared" si="77"/>
        <v>1.0833333333333335</v>
      </c>
      <c r="T293" s="83">
        <f t="shared" si="78"/>
        <v>4</v>
      </c>
      <c r="U293" s="120">
        <f>IF($D293="",0,IFERROR(LOOKUP(2,1/(($D$3:D292=$D293)*($C$3:C292=$C293)*($A$3:A292&lt;$A293)),$AB$3:AB292),1000))</f>
        <v>1057.9867775192383</v>
      </c>
      <c r="V293" s="120">
        <f t="shared" si="79"/>
        <v>1060.6736559878946</v>
      </c>
      <c r="W293">
        <f t="shared" si="80"/>
        <v>963.70608483293438</v>
      </c>
      <c r="X293">
        <f t="shared" si="81"/>
        <v>0.63603368638545232</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IF($D293="","",IF(SUMPRODUCT(MAX(($D$4:$D$810=$D293)*($B$4:$B$810&lt;$B293)*$B$4:$B$810))=0,0,MAX(($B293-MAX(SUMPRODUCT(MAX(($D$4:$D$810=$D293)*($B$4:$B$810&lt;$B293)*$B$4:$B$810)),'Guide &amp; Settings'!$C$50))/7-'Guide &amp; Settings'!$C$48,0)*'Guide &amp; Settings'!$C$49))</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1002.6191995030379</v>
      </c>
      <c r="I294" s="117">
        <f t="shared" si="70"/>
        <v>0.31818181818181812</v>
      </c>
      <c r="J294" s="118">
        <f>IF($D294="",0,IF($F294&lt;2,0,IF($E294="Win",('Guide &amp; Settings'!$C$42/(($F294-1)*COUNTIFS($A$4:$A$810,$A294,$E$4:$E$810,"Win")))*SUMIFS($X$4:$X$810,$A$4:$A$810,$A294,$E$4:$E$810,"Loss"),-('Guide &amp; Settings'!$C$42/($F294-1))*$X294)))</f>
        <v>-13.80596158154383</v>
      </c>
      <c r="K294" s="118">
        <f>IF($D294="",0,'Guide &amp; Settings'!$C$43*(IF($E294="Win",1,0)-$I294))</f>
        <v>-3.8181818181818175</v>
      </c>
      <c r="L294" s="119">
        <f>IF($D294="",0,'Guide &amp; Settings'!$C$44*IF($F294&gt;=3,$F294,0))</f>
        <v>0</v>
      </c>
      <c r="M294" s="118">
        <f t="shared" si="71"/>
        <v>-17.624143399725646</v>
      </c>
      <c r="N294" s="116">
        <f t="shared" si="72"/>
        <v>984.99505610331221</v>
      </c>
      <c r="O294" s="115" t="str">
        <f t="shared" si="73"/>
        <v>OK</v>
      </c>
      <c r="P294">
        <f t="shared" si="74"/>
        <v>1033.2393115677157</v>
      </c>
      <c r="Q294">
        <f t="shared" si="75"/>
        <v>0.45604785278925686</v>
      </c>
      <c r="R294">
        <f t="shared" si="76"/>
        <v>0.33333333333333331</v>
      </c>
      <c r="S294">
        <f t="shared" si="77"/>
        <v>1.0476190476190477</v>
      </c>
      <c r="T294" s="83">
        <f t="shared" si="78"/>
        <v>7</v>
      </c>
      <c r="U294" s="120">
        <f>IF($D294="",0,IFERROR(LOOKUP(2,1/(($D$3:D293=$D294)*($C$3:C293=$C294)*($A$3:A293&lt;$A294)),$AB$3:AB293),1000))</f>
        <v>976.50084334444693</v>
      </c>
      <c r="V294" s="120">
        <f t="shared" si="79"/>
        <v>987.38349174385985</v>
      </c>
      <c r="W294">
        <f t="shared" si="80"/>
        <v>1035.3284705064707</v>
      </c>
      <c r="X294">
        <f t="shared" si="81"/>
        <v>0.43143629942324468</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IF($D294="","",IF(SUMPRODUCT(MAX(($D$4:$D$810=$D294)*($B$4:$B$810&lt;$B294)*$B$4:$B$810))=0,0,MAX(($B294-MAX(SUMPRODUCT(MAX(($D$4:$D$810=$D294)*($B$4:$B$810&lt;$B294)*$B$4:$B$810)),'Guide &amp; Settings'!$C$50))/7-'Guide &amp; Settings'!$C$48,0)*'Guide &amp; Settings'!$C$49))</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1033.2393115677157</v>
      </c>
      <c r="I295" s="117">
        <f t="shared" si="70"/>
        <v>0.68181818181818177</v>
      </c>
      <c r="J295" s="118">
        <f>IF($D295="",0,IF($F295&lt;2,0,IF($E295="Win",('Guide &amp; Settings'!$C$42/(($F295-1)*COUNTIFS($A$4:$A$810,$A295,$E$4:$E$810,"Win")))*SUMIFS($X$4:$X$810,$A$4:$A$810,$A295,$E$4:$E$810,"Loss"),-('Guide &amp; Settings'!$C$42/($F295-1))*$X295)))</f>
        <v>13.80596158154383</v>
      </c>
      <c r="K295" s="118">
        <f>IF($D295="",0,'Guide &amp; Settings'!$C$43*(IF($E295="Win",1,0)-$I295))</f>
        <v>3.8181818181818188</v>
      </c>
      <c r="L295" s="119">
        <f>IF($D295="",0,'Guide &amp; Settings'!$C$44*IF($F295&gt;=3,$F295,0))</f>
        <v>0</v>
      </c>
      <c r="M295" s="118">
        <f t="shared" si="71"/>
        <v>17.62414339972565</v>
      </c>
      <c r="N295" s="116">
        <f t="shared" si="72"/>
        <v>1050.8634549674414</v>
      </c>
      <c r="O295" s="115" t="str">
        <f t="shared" si="73"/>
        <v>OK</v>
      </c>
      <c r="P295">
        <f t="shared" si="74"/>
        <v>1033.2393115677157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1035.3284705064707</v>
      </c>
      <c r="W295">
        <f t="shared" si="80"/>
        <v>1035.3284705064707</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IF($D295="","",IF(SUMPRODUCT(MAX(($D$4:$D$810=$D295)*($B$4:$B$810&lt;$B295)*$B$4:$B$810))=0,0,MAX(($B295-MAX(SUMPRODUCT(MAX(($D$4:$D$810=$D295)*($B$4:$B$810&lt;$B295)*$B$4:$B$810)),'Guide &amp; Settings'!$C$50))/7-'Guide &amp; Settings'!$C$48,0)*'Guide &amp; Settings'!$C$49))</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984.99505610331221</v>
      </c>
      <c r="I296" s="117">
        <f t="shared" si="70"/>
        <v>0.48275862068965519</v>
      </c>
      <c r="J296" s="118">
        <f>IF($D296="",0,IF($F296&lt;2,0,IF($E296="Win",('Guide &amp; Settings'!$C$42/(($F296-1)*COUNTIFS($A$4:$A$810,$A296,$E$4:$E$810,"Win")))*SUMIFS($X$4:$X$810,$A$4:$A$810,$A296,$E$4:$E$810,"Loss"),-('Guide &amp; Settings'!$C$42/($F296-1))*$X296)))</f>
        <v>20.863082461010471</v>
      </c>
      <c r="K296" s="118">
        <f>IF($D296="",0,'Guide &amp; Settings'!$C$43*(IF($E296="Win",1,0)-$I296))</f>
        <v>6.206896551724137</v>
      </c>
      <c r="L296" s="119">
        <f>IF($D296="",0,'Guide &amp; Settings'!$C$44*IF($F296&gt;=3,$F296,0))</f>
        <v>0</v>
      </c>
      <c r="M296" s="118">
        <f t="shared" si="71"/>
        <v>27.069979012734606</v>
      </c>
      <c r="N296" s="116">
        <f t="shared" si="72"/>
        <v>1012.0650351160468</v>
      </c>
      <c r="O296" s="115" t="str">
        <f t="shared" si="73"/>
        <v>OK</v>
      </c>
      <c r="P296">
        <f t="shared" si="74"/>
        <v>984.99505610331221</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981.41282844929128</v>
      </c>
      <c r="W296">
        <f t="shared" si="80"/>
        <v>981.41282844929128</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IF($D296="","",IF(SUMPRODUCT(MAX(($D$4:$D$810=$D296)*($B$4:$B$810&lt;$B296)*$B$4:$B$810))=0,0,MAX(($B296-MAX(SUMPRODUCT(MAX(($D$4:$D$810=$D296)*($B$4:$B$810&lt;$B296)*$B$4:$B$810)),'Guide &amp; Settings'!$C$50))/7-'Guide &amp; Settings'!$C$48,0)*'Guide &amp; Settings'!$C$49))</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1090.4582166793289</v>
      </c>
      <c r="I297" s="117">
        <f t="shared" si="70"/>
        <v>0.51724137931034486</v>
      </c>
      <c r="J297" s="118">
        <f>IF($D297="",0,IF($F297&lt;2,0,IF($E297="Win",('Guide &amp; Settings'!$C$42/(($F297-1)*COUNTIFS($A$4:$A$810,$A297,$E$4:$E$810,"Win")))*SUMIFS($X$4:$X$810,$A$4:$A$810,$A297,$E$4:$E$810,"Loss"),-('Guide &amp; Settings'!$C$42/($F297-1))*$X297)))</f>
        <v>-20.863082461010471</v>
      </c>
      <c r="K297" s="118">
        <f>IF($D297="",0,'Guide &amp; Settings'!$C$43*(IF($E297="Win",1,0)-$I297))</f>
        <v>-6.2068965517241388</v>
      </c>
      <c r="L297" s="119">
        <f>IF($D297="",0,'Guide &amp; Settings'!$C$44*IF($F297&gt;=3,$F297,0))</f>
        <v>0</v>
      </c>
      <c r="M297" s="118">
        <f t="shared" si="71"/>
        <v>-27.06997901273461</v>
      </c>
      <c r="N297" s="116">
        <f t="shared" si="72"/>
        <v>1063.3882376665943</v>
      </c>
      <c r="O297" s="115" t="str">
        <f t="shared" si="73"/>
        <v>OK</v>
      </c>
      <c r="P297">
        <f t="shared" si="74"/>
        <v>984.99505610331221</v>
      </c>
      <c r="Q297">
        <f t="shared" si="75"/>
        <v>0.64727779158054288</v>
      </c>
      <c r="R297">
        <f t="shared" si="76"/>
        <v>0.5</v>
      </c>
      <c r="S297">
        <f t="shared" si="77"/>
        <v>0.96666666666666667</v>
      </c>
      <c r="T297" s="83">
        <f t="shared" si="78"/>
        <v>0</v>
      </c>
      <c r="U297" s="120">
        <f>IF($D297="",0,IFERROR(LOOKUP(2,1/(($D$3:D296=$D297)*($C$3:C296=$C297)*($A$3:A296&lt;$A297)),$AB$3:AB296),1000))</f>
        <v>1000</v>
      </c>
      <c r="V297" s="120">
        <f t="shared" si="79"/>
        <v>1090.4582166793289</v>
      </c>
      <c r="W297">
        <f t="shared" si="80"/>
        <v>981.41282844929128</v>
      </c>
      <c r="X297">
        <f t="shared" si="81"/>
        <v>0.65197132690657722</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IF($D297="","",IF(SUMPRODUCT(MAX(($D$4:$D$810=$D297)*($B$4:$B$810&lt;$B297)*$B$4:$B$810))=0,0,MAX(($B297-MAX(SUMPRODUCT(MAX(($D$4:$D$810=$D297)*($B$4:$B$810&lt;$B297)*$B$4:$B$810)),'Guide &amp; Settings'!$C$50))/7-'Guide &amp; Settings'!$C$48,0)*'Guide &amp; Settings'!$C$49))</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1012.0650351160468</v>
      </c>
      <c r="I298" s="117">
        <f t="shared" si="70"/>
        <v>0.60000000000000009</v>
      </c>
      <c r="J298" s="118">
        <f>IF($D298="",0,IF($F298&lt;2,0,IF($E298="Win",('Guide &amp; Settings'!$C$42/(($F298-1)*COUNTIFS($A$4:$A$810,$A298,$E$4:$E$810,"Win")))*SUMIFS($X$4:$X$810,$A$4:$A$810,$A298,$E$4:$E$810,"Loss"),-('Guide &amp; Settings'!$C$42/($F298-1))*$X298)))</f>
        <v>-13.754986521513139</v>
      </c>
      <c r="K298" s="118">
        <f>IF($D298="",0,'Guide &amp; Settings'!$C$43*(IF($E298="Win",1,0)-$I298))</f>
        <v>-7.2000000000000011</v>
      </c>
      <c r="L298" s="119">
        <f>IF($D298="",0,'Guide &amp; Settings'!$C$44*IF($F298&gt;=3,$F298,0))</f>
        <v>0</v>
      </c>
      <c r="M298" s="118">
        <f t="shared" si="71"/>
        <v>-20.954986521513142</v>
      </c>
      <c r="N298" s="116">
        <f t="shared" si="72"/>
        <v>991.11004859453374</v>
      </c>
      <c r="O298" s="115" t="str">
        <f t="shared" si="73"/>
        <v>OK</v>
      </c>
      <c r="P298">
        <f t="shared" si="74"/>
        <v>1063.3882376665943</v>
      </c>
      <c r="Q298">
        <f t="shared" si="75"/>
        <v>0.42667256454329139</v>
      </c>
      <c r="R298">
        <f t="shared" si="76"/>
        <v>0.5</v>
      </c>
      <c r="S298">
        <f t="shared" si="77"/>
        <v>0.83333333333333326</v>
      </c>
      <c r="T298" s="83">
        <f t="shared" si="78"/>
        <v>14</v>
      </c>
      <c r="U298" s="120">
        <f>IF($D298="",0,IFERROR(LOOKUP(2,1/(($D$3:D297=$D298)*($C$3:C297=$C298)*($A$3:A297&lt;$A298)),$AB$3:AB297),1000))</f>
        <v>996.95345790737315</v>
      </c>
      <c r="V298" s="120">
        <f t="shared" si="79"/>
        <v>1000.930188751761</v>
      </c>
      <c r="W298">
        <f t="shared" si="80"/>
        <v>1050.0037965013264</v>
      </c>
      <c r="X298">
        <f t="shared" si="81"/>
        <v>0.4298433287972856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IF($D298="","",IF(SUMPRODUCT(MAX(($D$4:$D$810=$D298)*($B$4:$B$810&lt;$B298)*$B$4:$B$810))=0,0,MAX(($B298-MAX(SUMPRODUCT(MAX(($D$4:$D$810=$D298)*($B$4:$B$810&lt;$B298)*$B$4:$B$810)),'Guide &amp; Settings'!$C$50))/7-'Guide &amp; Settings'!$C$48,0)*'Guide &amp; Settings'!$C$49))</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1063.3882376665943</v>
      </c>
      <c r="I299" s="117">
        <f t="shared" si="70"/>
        <v>0.4</v>
      </c>
      <c r="J299" s="118">
        <f>IF($D299="",0,IF($F299&lt;2,0,IF($E299="Win",('Guide &amp; Settings'!$C$42/(($F299-1)*COUNTIFS($A$4:$A$810,$A299,$E$4:$E$810,"Win")))*SUMIFS($X$4:$X$810,$A$4:$A$810,$A299,$E$4:$E$810,"Loss"),-('Guide &amp; Settings'!$C$42/($F299-1))*$X299)))</f>
        <v>13.754986521513139</v>
      </c>
      <c r="K299" s="118">
        <f>IF($D299="",0,'Guide &amp; Settings'!$C$43*(IF($E299="Win",1,0)-$I299))</f>
        <v>7.1999999999999993</v>
      </c>
      <c r="L299" s="119">
        <f>IF($D299="",0,'Guide &amp; Settings'!$C$44*IF($F299&gt;=3,$F299,0))</f>
        <v>0</v>
      </c>
      <c r="M299" s="118">
        <f t="shared" si="71"/>
        <v>20.954986521513138</v>
      </c>
      <c r="N299" s="116">
        <f t="shared" si="72"/>
        <v>1084.3432241881073</v>
      </c>
      <c r="O299" s="115" t="str">
        <f t="shared" si="73"/>
        <v>OK</v>
      </c>
      <c r="P299">
        <f t="shared" si="74"/>
        <v>1063.3882376665943</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1050.0037965013264</v>
      </c>
      <c r="W299">
        <f t="shared" si="80"/>
        <v>1050.0037965013264</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IF($D299="","",IF(SUMPRODUCT(MAX(($D$4:$D$810=$D299)*($B$4:$B$810&lt;$B299)*$B$4:$B$810))=0,0,MAX(($B299-MAX(SUMPRODUCT(MAX(($D$4:$D$810=$D299)*($B$4:$B$810&lt;$B299)*$B$4:$B$810)),'Guide &amp; Settings'!$C$50))/7-'Guide &amp; Settings'!$C$48,0)*'Guide &amp; Settings'!$C$49))</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991.11004859453374</v>
      </c>
      <c r="I300" s="117">
        <f t="shared" si="70"/>
        <v>0.48484848484848486</v>
      </c>
      <c r="J300" s="118">
        <f>IF($D300="",0,IF($F300&lt;2,0,IF($E300="Win",('Guide &amp; Settings'!$C$42/(($F300-1)*COUNTIFS($A$4:$A$810,$A300,$E$4:$E$810,"Win")))*SUMIFS($X$4:$X$810,$A$4:$A$810,$A300,$E$4:$E$810,"Loss"),-('Guide &amp; Settings'!$C$42/($F300-1))*$X300)))</f>
        <v>19.495685057796013</v>
      </c>
      <c r="K300" s="118">
        <f>IF($D300="",0,'Guide &amp; Settings'!$C$43*(IF($E300="Win",1,0)-$I300))</f>
        <v>6.1818181818181817</v>
      </c>
      <c r="L300" s="119">
        <f>IF($D300="",0,'Guide &amp; Settings'!$C$44*IF($F300&gt;=3,$F300,0))</f>
        <v>0</v>
      </c>
      <c r="M300" s="118">
        <f t="shared" si="71"/>
        <v>25.677503239614197</v>
      </c>
      <c r="N300" s="116">
        <f t="shared" si="72"/>
        <v>1016.787551834148</v>
      </c>
      <c r="O300" s="115" t="str">
        <f t="shared" si="73"/>
        <v>OK</v>
      </c>
      <c r="P300">
        <f t="shared" si="74"/>
        <v>991.11004859453374</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983.01374268671793</v>
      </c>
      <c r="W300">
        <f t="shared" si="80"/>
        <v>983.01374268671793</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IF($D300="","",IF(SUMPRODUCT(MAX(($D$4:$D$810=$D300)*($B$4:$B$810&lt;$B300)*$B$4:$B$810))=0,0,MAX(($B300-MAX(SUMPRODUCT(MAX(($D$4:$D$810=$D300)*($B$4:$B$810&lt;$B300)*$B$4:$B$810)),'Guide &amp; Settings'!$C$50))/7-'Guide &amp; Settings'!$C$48,0)*'Guide &amp; Settings'!$C$49))</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1084.3432241881073</v>
      </c>
      <c r="I301" s="117">
        <f t="shared" si="70"/>
        <v>0.51515151515151514</v>
      </c>
      <c r="J301" s="118">
        <f>IF($D301="",0,IF($F301&lt;2,0,IF($E301="Win",('Guide &amp; Settings'!$C$42/(($F301-1)*COUNTIFS($A$4:$A$810,$A301,$E$4:$E$810,"Win")))*SUMIFS($X$4:$X$810,$A$4:$A$810,$A301,$E$4:$E$810,"Loss"),-('Guide &amp; Settings'!$C$42/($F301-1))*$X301)))</f>
        <v>-19.495685057796013</v>
      </c>
      <c r="K301" s="118">
        <f>IF($D301="",0,'Guide &amp; Settings'!$C$43*(IF($E301="Win",1,0)-$I301))</f>
        <v>-6.1818181818181817</v>
      </c>
      <c r="L301" s="119">
        <f>IF($D301="",0,'Guide &amp; Settings'!$C$44*IF($F301&gt;=3,$F301,0))</f>
        <v>0</v>
      </c>
      <c r="M301" s="118">
        <f t="shared" si="71"/>
        <v>-25.677503239614197</v>
      </c>
      <c r="N301" s="116">
        <f t="shared" si="72"/>
        <v>1058.6657209484931</v>
      </c>
      <c r="O301" s="115" t="str">
        <f t="shared" si="73"/>
        <v>OK</v>
      </c>
      <c r="P301">
        <f t="shared" si="74"/>
        <v>991.11004859453374</v>
      </c>
      <c r="Q301">
        <f t="shared" si="75"/>
        <v>0.63104286048981406</v>
      </c>
      <c r="R301">
        <f t="shared" si="76"/>
        <v>0.5</v>
      </c>
      <c r="S301">
        <f t="shared" si="77"/>
        <v>0.97058823529411764</v>
      </c>
      <c r="T301" s="83">
        <f t="shared" si="78"/>
        <v>2</v>
      </c>
      <c r="U301" s="120">
        <f>IF($D301="",0,IFERROR(LOOKUP(2,1/(($D$3:D300=$D301)*($C$3:C300=$C301)*($A$3:A300&lt;$A301)),$AB$3:AB300),1000))</f>
        <v>999.72007453158096</v>
      </c>
      <c r="V301" s="120">
        <f t="shared" si="79"/>
        <v>1060.1651814290999</v>
      </c>
      <c r="W301">
        <f t="shared" si="80"/>
        <v>983.01374268671793</v>
      </c>
      <c r="X301">
        <f t="shared" si="81"/>
        <v>0.60924015805612541</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IF($D301="","",IF(SUMPRODUCT(MAX(($D$4:$D$810=$D301)*($B$4:$B$810&lt;$B301)*$B$4:$B$810))=0,0,MAX(($B301-MAX(SUMPRODUCT(MAX(($D$4:$D$810=$D301)*($B$4:$B$810&lt;$B301)*$B$4:$B$810)),'Guide &amp; Settings'!$C$50))/7-'Guide &amp; Settings'!$C$48,0)*'Guide &amp; Settings'!$C$49))</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1016.787551834148</v>
      </c>
      <c r="I302" s="117">
        <f t="shared" si="70"/>
        <v>0.41666666666666669</v>
      </c>
      <c r="J302" s="118">
        <f>IF($D302="",0,IF($F302&lt;2,0,IF($E302="Win",('Guide &amp; Settings'!$C$42/(($F302-1)*COUNTIFS($A$4:$A$810,$A302,$E$4:$E$810,"Win")))*SUMIFS($X$4:$X$810,$A$4:$A$810,$A302,$E$4:$E$810,"Loss"),-('Guide &amp; Settings'!$C$42/($F302-1))*$X302)))</f>
        <v>19.300211870714467</v>
      </c>
      <c r="K302" s="118">
        <f>IF($D302="",0,'Guide &amp; Settings'!$C$43*(IF($E302="Win",1,0)-$I302))</f>
        <v>6.9999999999999991</v>
      </c>
      <c r="L302" s="119">
        <f>IF($D302="",0,'Guide &amp; Settings'!$C$44*IF($F302&gt;=3,$F302,0))</f>
        <v>0</v>
      </c>
      <c r="M302" s="118">
        <f t="shared" si="71"/>
        <v>26.300211870714467</v>
      </c>
      <c r="N302" s="116">
        <f t="shared" si="72"/>
        <v>1043.0877637048625</v>
      </c>
      <c r="O302" s="115" t="str">
        <f t="shared" si="73"/>
        <v>OK</v>
      </c>
      <c r="P302">
        <f t="shared" si="74"/>
        <v>1016.787551834148</v>
      </c>
      <c r="Q302">
        <f t="shared" si="75"/>
        <v>0.5</v>
      </c>
      <c r="R302">
        <f t="shared" si="76"/>
        <v>0.5</v>
      </c>
      <c r="S302">
        <f t="shared" si="77"/>
        <v>1.2</v>
      </c>
      <c r="T302" s="83">
        <f t="shared" si="78"/>
        <v>16</v>
      </c>
      <c r="U302" s="120">
        <f>IF($D302="",0,IFERROR(LOOKUP(2,1/(($D$3:D301=$D302)*($C$3:C301=$C302)*($A$3:A301&lt;$A302)),$AB$3:AB301),1000))</f>
        <v>997.20768388007116</v>
      </c>
      <c r="V302" s="120">
        <f t="shared" si="79"/>
        <v>1001.8695572024704</v>
      </c>
      <c r="W302">
        <f t="shared" si="80"/>
        <v>1001.8695572024704</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IF($D302="","",IF(SUMPRODUCT(MAX(($D$4:$D$810=$D302)*($B$4:$B$810&lt;$B302)*$B$4:$B$810))=0,0,MAX(($B302-MAX(SUMPRODUCT(MAX(($D$4:$D$810=$D302)*($B$4:$B$810&lt;$B302)*$B$4:$B$810)),'Guide &amp; Settings'!$C$50))/7-'Guide &amp; Settings'!$C$48,0)*'Guide &amp; Settings'!$C$49))</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1112.3077761293196</v>
      </c>
      <c r="I303" s="117">
        <f t="shared" si="70"/>
        <v>0.58333333333333337</v>
      </c>
      <c r="J303" s="118">
        <f>IF($D303="",0,IF($F303&lt;2,0,IF($E303="Win",('Guide &amp; Settings'!$C$42/(($F303-1)*COUNTIFS($A$4:$A$810,$A303,$E$4:$E$810,"Win")))*SUMIFS($X$4:$X$810,$A$4:$A$810,$A303,$E$4:$E$810,"Loss"),-('Guide &amp; Settings'!$C$42/($F303-1))*$X303)))</f>
        <v>-19.300211870714467</v>
      </c>
      <c r="K303" s="118">
        <f>IF($D303="",0,'Guide &amp; Settings'!$C$43*(IF($E303="Win",1,0)-$I303))</f>
        <v>-7</v>
      </c>
      <c r="L303" s="119">
        <f>IF($D303="",0,'Guide &amp; Settings'!$C$44*IF($F303&gt;=3,$F303,0))</f>
        <v>0</v>
      </c>
      <c r="M303" s="118">
        <f t="shared" si="71"/>
        <v>-26.300211870714467</v>
      </c>
      <c r="N303" s="116">
        <f t="shared" si="72"/>
        <v>1086.007564258605</v>
      </c>
      <c r="O303" s="115" t="str">
        <f t="shared" si="73"/>
        <v>OK</v>
      </c>
      <c r="P303">
        <f t="shared" si="74"/>
        <v>1016.787551834148</v>
      </c>
      <c r="Q303">
        <f t="shared" si="75"/>
        <v>0.63410278714213231</v>
      </c>
      <c r="R303">
        <f t="shared" si="76"/>
        <v>0.7</v>
      </c>
      <c r="S303">
        <f t="shared" si="77"/>
        <v>1.2</v>
      </c>
      <c r="T303" s="83">
        <f t="shared" si="78"/>
        <v>8</v>
      </c>
      <c r="U303" s="120">
        <f>IF($D303="",0,IFERROR(LOOKUP(2,1/(($D$3:D302=$D303)*($C$3:C302=$C303)*($A$3:A302&lt;$A303)),$AB$3:AB302),1000))</f>
        <v>1050.9933109481403</v>
      </c>
      <c r="V303" s="120">
        <f t="shared" si="79"/>
        <v>1074.5757975562863</v>
      </c>
      <c r="W303">
        <f t="shared" si="80"/>
        <v>1001.8695572024704</v>
      </c>
      <c r="X303">
        <f t="shared" si="81"/>
        <v>0.60313162095982709</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IF($D303="","",IF(SUMPRODUCT(MAX(($D$4:$D$810=$D303)*($B$4:$B$810&lt;$B303)*$B$4:$B$810))=0,0,MAX(($B303-MAX(SUMPRODUCT(MAX(($D$4:$D$810=$D303)*($B$4:$B$810&lt;$B303)*$B$4:$B$810)),'Guide &amp; Settings'!$C$50))/7-'Guide &amp; Settings'!$C$48,0)*'Guide &amp; Settings'!$C$49))</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1043.0877637048625</v>
      </c>
      <c r="I304" s="117">
        <f t="shared" si="70"/>
        <v>0.45267489711934156</v>
      </c>
      <c r="J304" s="118">
        <f>IF($D304="",0,IF($F304&lt;2,0,IF($E304="Win",('Guide &amp; Settings'!$C$42/(($F304-1)*COUNTIFS($A$4:$A$810,$A304,$E$4:$E$810,"Win")))*SUMIFS($X$4:$X$810,$A$4:$A$810,$A304,$E$4:$E$810,"Loss"),-('Guide &amp; Settings'!$C$42/($F304-1))*$X304)))</f>
        <v>-14.633961934886059</v>
      </c>
      <c r="K304" s="118">
        <f>IF($D304="",0,'Guide &amp; Settings'!$C$43*(IF($E304="Win",1,0)-$I304))</f>
        <v>-5.4320987654320989</v>
      </c>
      <c r="L304" s="119">
        <f>IF($D304="",0,'Guide &amp; Settings'!$C$44*IF($F304&gt;=3,$F304,0))</f>
        <v>0</v>
      </c>
      <c r="M304" s="118">
        <f t="shared" si="71"/>
        <v>-20.066060700318157</v>
      </c>
      <c r="N304" s="116">
        <f t="shared" si="72"/>
        <v>1023.0217030045443</v>
      </c>
      <c r="O304" s="115" t="str">
        <f t="shared" si="73"/>
        <v>OK</v>
      </c>
      <c r="P304">
        <f t="shared" si="74"/>
        <v>1086.007564258605</v>
      </c>
      <c r="Q304">
        <f t="shared" si="75"/>
        <v>0.43854573054319174</v>
      </c>
      <c r="R304">
        <f t="shared" si="76"/>
        <v>0.52631578947368418</v>
      </c>
      <c r="S304">
        <f t="shared" si="77"/>
        <v>1.1626794258373205</v>
      </c>
      <c r="T304" s="83">
        <f t="shared" si="78"/>
        <v>17</v>
      </c>
      <c r="U304" s="120">
        <f>IF($D304="",0,IFERROR(LOOKUP(2,1/(($D$3:D303=$D304)*($C$3:C303=$C304)*($A$3:A303&lt;$A304)),$AB$3:AB303),1000))</f>
        <v>1015.6650046451228</v>
      </c>
      <c r="V304" s="120">
        <f t="shared" si="79"/>
        <v>1021.8974498859728</v>
      </c>
      <c r="W304">
        <f t="shared" si="80"/>
        <v>1051.6329809243446</v>
      </c>
      <c r="X304">
        <f t="shared" si="81"/>
        <v>0.45731131046518936</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IF($D304="","",IF(SUMPRODUCT(MAX(($D$4:$D$810=$D304)*($B$4:$B$810&lt;$B304)*$B$4:$B$810))=0,0,MAX(($B304-MAX(SUMPRODUCT(MAX(($D$4:$D$810=$D304)*($B$4:$B$810&lt;$B304)*$B$4:$B$810)),'Guide &amp; Settings'!$C$50))/7-'Guide &amp; Settings'!$C$48,0)*'Guide &amp; Settings'!$C$49))</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1086.007564258605</v>
      </c>
      <c r="I305" s="117">
        <f t="shared" si="70"/>
        <v>0.5473251028806585</v>
      </c>
      <c r="J305" s="118">
        <f>IF($D305="",0,IF($F305&lt;2,0,IF($E305="Win",('Guide &amp; Settings'!$C$42/(($F305-1)*COUNTIFS($A$4:$A$810,$A305,$E$4:$E$810,"Win")))*SUMIFS($X$4:$X$810,$A$4:$A$810,$A305,$E$4:$E$810,"Loss"),-('Guide &amp; Settings'!$C$42/($F305-1))*$X305)))</f>
        <v>14.633961934886059</v>
      </c>
      <c r="K305" s="118">
        <f>IF($D305="",0,'Guide &amp; Settings'!$C$43*(IF($E305="Win",1,0)-$I305))</f>
        <v>5.432098765432098</v>
      </c>
      <c r="L305" s="119">
        <f>IF($D305="",0,'Guide &amp; Settings'!$C$44*IF($F305&gt;=3,$F305,0))</f>
        <v>0</v>
      </c>
      <c r="M305" s="118">
        <f t="shared" si="71"/>
        <v>20.066060700318157</v>
      </c>
      <c r="N305" s="116">
        <f t="shared" si="72"/>
        <v>1106.0736249589231</v>
      </c>
      <c r="O305" s="115" t="str">
        <f t="shared" si="73"/>
        <v>OK</v>
      </c>
      <c r="P305">
        <f t="shared" si="74"/>
        <v>1086.007564258605</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1051.6329809243446</v>
      </c>
      <c r="W305">
        <f t="shared" si="80"/>
        <v>1051.6329809243446</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IF($D305="","",IF(SUMPRODUCT(MAX(($D$4:$D$810=$D305)*($B$4:$B$810&lt;$B305)*$B$4:$B$810))=0,0,MAX(($B305-MAX(SUMPRODUCT(MAX(($D$4:$D$810=$D305)*($B$4:$B$810&lt;$B305)*$B$4:$B$810)),'Guide &amp; Settings'!$C$50))/7-'Guide &amp; Settings'!$C$48,0)*'Guide &amp; Settings'!$C$49))</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1023.0217030045443</v>
      </c>
      <c r="I306" s="117">
        <f t="shared" si="70"/>
        <v>0.5</v>
      </c>
      <c r="J306" s="118">
        <f>IF($D306="",0,IF($F306&lt;2,0,IF($E306="Win",('Guide &amp; Settings'!$C$42/(($F306-1)*COUNTIFS($A$4:$A$810,$A306,$E$4:$E$810,"Win")))*SUMIFS($X$4:$X$810,$A$4:$A$810,$A306,$E$4:$E$810,"Loss"),-('Guide &amp; Settings'!$C$42/($F306-1))*$X306)))</f>
        <v>19.7534605732545</v>
      </c>
      <c r="K306" s="118">
        <f>IF($D306="",0,'Guide &amp; Settings'!$C$43*(IF($E306="Win",1,0)-$I306))</f>
        <v>6</v>
      </c>
      <c r="L306" s="119">
        <f>IF($D306="",0,'Guide &amp; Settings'!$C$44*IF($F306&gt;=3,$F306,0))</f>
        <v>0</v>
      </c>
      <c r="M306" s="118">
        <f t="shared" si="71"/>
        <v>25.7534605732545</v>
      </c>
      <c r="N306" s="116">
        <f t="shared" si="72"/>
        <v>1048.7751635777988</v>
      </c>
      <c r="O306" s="115" t="str">
        <f t="shared" si="73"/>
        <v>OK</v>
      </c>
      <c r="P306">
        <f t="shared" si="74"/>
        <v>1023.0217030045443</v>
      </c>
      <c r="Q306">
        <f t="shared" si="75"/>
        <v>0.5</v>
      </c>
      <c r="R306">
        <f t="shared" si="76"/>
        <v>0.5</v>
      </c>
      <c r="S306">
        <f t="shared" si="77"/>
        <v>1</v>
      </c>
      <c r="T306" s="83">
        <f t="shared" si="78"/>
        <v>0</v>
      </c>
      <c r="U306" s="120">
        <f>IF($D306="",0,IFERROR(LOOKUP(2,1/(($D$3:D305=$D306)*($C$3:C305=$C306)*($A$3:A305&lt;$A306)),$AB$3:AB305),1000))</f>
        <v>1000</v>
      </c>
      <c r="V306" s="120">
        <f t="shared" si="79"/>
        <v>1023.0217030045443</v>
      </c>
      <c r="W306">
        <f t="shared" si="80"/>
        <v>1023.0217030045443</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IF($D306="","",IF(SUMPRODUCT(MAX(($D$4:$D$810=$D306)*($B$4:$B$810&lt;$B306)*$B$4:$B$810))=0,0,MAX(($B306-MAX(SUMPRODUCT(MAX(($D$4:$D$810=$D306)*($B$4:$B$810&lt;$B306)*$B$4:$B$810)),'Guide &amp; Settings'!$C$50))/7-'Guide &amp; Settings'!$C$48,0)*'Guide &amp; Settings'!$C$49))</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1106.0736249589231</v>
      </c>
      <c r="I307" s="117">
        <f t="shared" si="70"/>
        <v>0.5</v>
      </c>
      <c r="J307" s="118">
        <f>IF($D307="",0,IF($F307&lt;2,0,IF($E307="Win",('Guide &amp; Settings'!$C$42/(($F307-1)*COUNTIFS($A$4:$A$810,$A307,$E$4:$E$810,"Win")))*SUMIFS($X$4:$X$810,$A$4:$A$810,$A307,$E$4:$E$810,"Loss"),-('Guide &amp; Settings'!$C$42/($F307-1))*$X307)))</f>
        <v>-19.7534605732545</v>
      </c>
      <c r="K307" s="118">
        <f>IF($D307="",0,'Guide &amp; Settings'!$C$43*(IF($E307="Win",1,0)-$I307))</f>
        <v>-6</v>
      </c>
      <c r="L307" s="119">
        <f>IF($D307="",0,'Guide &amp; Settings'!$C$44*IF($F307&gt;=3,$F307,0))</f>
        <v>0</v>
      </c>
      <c r="M307" s="118">
        <f t="shared" si="71"/>
        <v>-25.7534605732545</v>
      </c>
      <c r="N307" s="116">
        <f t="shared" si="72"/>
        <v>1080.3201643856687</v>
      </c>
      <c r="O307" s="115" t="str">
        <f t="shared" si="73"/>
        <v>OK</v>
      </c>
      <c r="P307">
        <f t="shared" si="74"/>
        <v>1023.0217030045443</v>
      </c>
      <c r="Q307">
        <f t="shared" si="75"/>
        <v>0.61729564291420314</v>
      </c>
      <c r="R307">
        <f t="shared" si="76"/>
        <v>0.5</v>
      </c>
      <c r="S307">
        <f t="shared" si="77"/>
        <v>1</v>
      </c>
      <c r="T307" s="83">
        <f t="shared" si="78"/>
        <v>0</v>
      </c>
      <c r="U307" s="120">
        <f>IF($D307="",0,IFERROR(LOOKUP(2,1/(($D$3:D306=$D307)*($C$3:C306=$C307)*($A$3:A306&lt;$A307)),$AB$3:AB306),1000))</f>
        <v>1000</v>
      </c>
      <c r="V307" s="120">
        <f t="shared" si="79"/>
        <v>1106.0736249589231</v>
      </c>
      <c r="W307">
        <f t="shared" si="80"/>
        <v>1023.0217030045443</v>
      </c>
      <c r="X307">
        <f t="shared" si="81"/>
        <v>0.61729564291420314</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IF($D307="","",IF(SUMPRODUCT(MAX(($D$4:$D$810=$D307)*($B$4:$B$810&lt;$B307)*$B$4:$B$810))=0,0,MAX(($B307-MAX(SUMPRODUCT(MAX(($D$4:$D$810=$D307)*($B$4:$B$810&lt;$B307)*$B$4:$B$810)),'Guide &amp; Settings'!$C$50))/7-'Guide &amp; Settings'!$C$48,0)*'Guide &amp; Settings'!$C$49))</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1048.7751635777988</v>
      </c>
      <c r="I308" s="117">
        <f t="shared" si="70"/>
        <v>0.66666666666666663</v>
      </c>
      <c r="J308" s="118">
        <f>IF($D308="",0,IF($F308&lt;2,0,IF($E308="Win",('Guide &amp; Settings'!$C$42/(($F308-1)*COUNTIFS($A$4:$A$810,$A308,$E$4:$E$810,"Win")))*SUMIFS($X$4:$X$810,$A$4:$A$810,$A308,$E$4:$E$810,"Loss"),-('Guide &amp; Settings'!$C$42/($F308-1))*$X308)))</f>
        <v>16.963806763649458</v>
      </c>
      <c r="K308" s="118">
        <f>IF($D308="",0,'Guide &amp; Settings'!$C$43*(IF($E308="Win",1,0)-$I308))</f>
        <v>4</v>
      </c>
      <c r="L308" s="119">
        <f>IF($D308="",0,'Guide &amp; Settings'!$C$44*IF($F308&gt;=3,$F308,0))</f>
        <v>0</v>
      </c>
      <c r="M308" s="118">
        <f t="shared" si="71"/>
        <v>20.963806763649458</v>
      </c>
      <c r="N308" s="116">
        <f t="shared" si="72"/>
        <v>1069.7389703414483</v>
      </c>
      <c r="O308" s="115" t="str">
        <f t="shared" si="73"/>
        <v>OK</v>
      </c>
      <c r="P308">
        <f t="shared" si="74"/>
        <v>1048.7751635777988</v>
      </c>
      <c r="Q308">
        <f t="shared" si="75"/>
        <v>0.5</v>
      </c>
      <c r="R308">
        <f t="shared" si="76"/>
        <v>0.66666666666666663</v>
      </c>
      <c r="S308">
        <f t="shared" si="77"/>
        <v>1</v>
      </c>
      <c r="T308" s="83">
        <f t="shared" si="78"/>
        <v>1</v>
      </c>
      <c r="U308" s="120">
        <f>IF($D308="",0,IFERROR(LOOKUP(2,1/(($D$3:D307=$D308)*($C$3:C307=$C308)*($A$3:A307&lt;$A308)),$AB$3:AB307),1000))</f>
        <v>1016</v>
      </c>
      <c r="V308" s="120">
        <f t="shared" si="79"/>
        <v>1043.3126363148324</v>
      </c>
      <c r="W308">
        <f t="shared" si="80"/>
        <v>1043.3126363148324</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IF($D308="","",IF(SUMPRODUCT(MAX(($D$4:$D$810=$D308)*($B$4:$B$810&lt;$B308)*$B$4:$B$810))=0,0,MAX(($B308-MAX(SUMPRODUCT(MAX(($D$4:$D$810=$D308)*($B$4:$B$810&lt;$B308)*$B$4:$B$810)),'Guide &amp; Settings'!$C$50))/7-'Guide &amp; Settings'!$C$48,0)*'Guide &amp; Settings'!$C$49))</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1080.3201643856687</v>
      </c>
      <c r="I309" s="117">
        <f t="shared" si="70"/>
        <v>0.33333333333333331</v>
      </c>
      <c r="J309" s="118">
        <f>IF($D309="",0,IF($F309&lt;2,0,IF($E309="Win",('Guide &amp; Settings'!$C$42/(($F309-1)*COUNTIFS($A$4:$A$810,$A309,$E$4:$E$810,"Win")))*SUMIFS($X$4:$X$810,$A$4:$A$810,$A309,$E$4:$E$810,"Loss"),-('Guide &amp; Settings'!$C$42/($F309-1))*$X309)))</f>
        <v>-16.963806763649458</v>
      </c>
      <c r="K309" s="118">
        <f>IF($D309="",0,'Guide &amp; Settings'!$C$43*(IF($E309="Win",1,0)-$I309))</f>
        <v>-4</v>
      </c>
      <c r="L309" s="119">
        <f>IF($D309="",0,'Guide &amp; Settings'!$C$44*IF($F309&gt;=3,$F309,0))</f>
        <v>0</v>
      </c>
      <c r="M309" s="118">
        <f t="shared" si="71"/>
        <v>-20.963806763649458</v>
      </c>
      <c r="N309" s="116">
        <f t="shared" si="72"/>
        <v>1059.3563576220192</v>
      </c>
      <c r="O309" s="115" t="str">
        <f t="shared" si="73"/>
        <v>OK</v>
      </c>
      <c r="P309">
        <f t="shared" si="74"/>
        <v>1048.7751635777988</v>
      </c>
      <c r="Q309">
        <f t="shared" si="75"/>
        <v>0.54527257197528178</v>
      </c>
      <c r="R309">
        <f t="shared" si="76"/>
        <v>0.33333333333333331</v>
      </c>
      <c r="S309">
        <f t="shared" si="77"/>
        <v>1</v>
      </c>
      <c r="T309" s="83">
        <f t="shared" si="78"/>
        <v>1</v>
      </c>
      <c r="U309" s="120">
        <f>IF($D309="",0,IFERROR(LOOKUP(2,1/(($D$3:D308=$D309)*($C$3:C308=$C309)*($A$3:A308&lt;$A309)),$AB$3:AB308),1000))</f>
        <v>984</v>
      </c>
      <c r="V309" s="120">
        <f t="shared" si="79"/>
        <v>1064.2668036547238</v>
      </c>
      <c r="W309">
        <f t="shared" si="80"/>
        <v>1043.3126363148324</v>
      </c>
      <c r="X309">
        <f t="shared" si="81"/>
        <v>0.53011896136404557</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IF($D309="","",IF(SUMPRODUCT(MAX(($D$4:$D$810=$D309)*($B$4:$B$810&lt;$B309)*$B$4:$B$810))=0,0,MAX(($B309-MAX(SUMPRODUCT(MAX(($D$4:$D$810=$D309)*($B$4:$B$810&lt;$B309)*$B$4:$B$810)),'Guide &amp; Settings'!$C$50))/7-'Guide &amp; Settings'!$C$48,0)*'Guide &amp; Settings'!$C$49))</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1069.7389703414483</v>
      </c>
      <c r="I310" s="117">
        <f t="shared" si="70"/>
        <v>0.75</v>
      </c>
      <c r="J310" s="118">
        <f>IF($D310="",0,IF($F310&lt;2,0,IF($E310="Win",('Guide &amp; Settings'!$C$42/(($F310-1)*COUNTIFS($A$4:$A$810,$A310,$E$4:$E$810,"Win")))*SUMIFS($X$4:$X$810,$A$4:$A$810,$A310,$E$4:$E$810,"Loss"),-('Guide &amp; Settings'!$C$42/($F310-1))*$X310)))</f>
        <v>14.857005939879265</v>
      </c>
      <c r="K310" s="118">
        <f>IF($D310="",0,'Guide &amp; Settings'!$C$43*(IF($E310="Win",1,0)-$I310))</f>
        <v>3</v>
      </c>
      <c r="L310" s="119">
        <f>IF($D310="",0,'Guide &amp; Settings'!$C$44*IF($F310&gt;=3,$F310,0))</f>
        <v>0</v>
      </c>
      <c r="M310" s="118">
        <f t="shared" si="71"/>
        <v>17.857005939879265</v>
      </c>
      <c r="N310" s="116">
        <f t="shared" si="72"/>
        <v>1087.5959762813275</v>
      </c>
      <c r="O310" s="115" t="str">
        <f t="shared" si="73"/>
        <v>OK</v>
      </c>
      <c r="P310">
        <f t="shared" si="74"/>
        <v>1069.7389703414483</v>
      </c>
      <c r="Q310">
        <f t="shared" si="75"/>
        <v>0.5</v>
      </c>
      <c r="R310">
        <f t="shared" si="76"/>
        <v>0.75</v>
      </c>
      <c r="S310">
        <f t="shared" si="77"/>
        <v>1</v>
      </c>
      <c r="T310" s="83">
        <f t="shared" si="78"/>
        <v>2</v>
      </c>
      <c r="U310" s="120">
        <f>IF($D310="",0,IFERROR(LOOKUP(2,1/(($D$3:D309=$D310)*($C$3:C309=$C310)*($A$3:A309&lt;$A310)),$AB$3:AB309),1000))</f>
        <v>1030.5304984710244</v>
      </c>
      <c r="V310" s="120">
        <f t="shared" si="79"/>
        <v>1058.5365498070414</v>
      </c>
      <c r="W310">
        <f t="shared" si="80"/>
        <v>1058.5365498070414</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IF($D310="","",IF(SUMPRODUCT(MAX(($D$4:$D$810=$D310)*($B$4:$B$810&lt;$B310)*$B$4:$B$810))=0,0,MAX(($B310-MAX(SUMPRODUCT(MAX(($D$4:$D$810=$D310)*($B$4:$B$810&lt;$B310)*$B$4:$B$810)),'Guide &amp; Settings'!$C$50))/7-'Guide &amp; Settings'!$C$48,0)*'Guide &amp; Settings'!$C$49))</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1059.3563576220192</v>
      </c>
      <c r="I311" s="117">
        <f t="shared" si="70"/>
        <v>0.25</v>
      </c>
      <c r="J311" s="118">
        <f>IF($D311="",0,IF($F311&lt;2,0,IF($E311="Win",('Guide &amp; Settings'!$C$42/(($F311-1)*COUNTIFS($A$4:$A$810,$A311,$E$4:$E$810,"Win")))*SUMIFS($X$4:$X$810,$A$4:$A$810,$A311,$E$4:$E$810,"Loss"),-('Guide &amp; Settings'!$C$42/($F311-1))*$X311)))</f>
        <v>-14.857005939879265</v>
      </c>
      <c r="K311" s="118">
        <f>IF($D311="",0,'Guide &amp; Settings'!$C$43*(IF($E311="Win",1,0)-$I311))</f>
        <v>-3</v>
      </c>
      <c r="L311" s="119">
        <f>IF($D311="",0,'Guide &amp; Settings'!$C$44*IF($F311&gt;=3,$F311,0))</f>
        <v>0</v>
      </c>
      <c r="M311" s="118">
        <f t="shared" si="71"/>
        <v>-17.857005939879265</v>
      </c>
      <c r="N311" s="116">
        <f t="shared" si="72"/>
        <v>1041.4993516821401</v>
      </c>
      <c r="O311" s="115" t="str">
        <f t="shared" si="73"/>
        <v>OK</v>
      </c>
      <c r="P311">
        <f t="shared" si="74"/>
        <v>1069.7389703414483</v>
      </c>
      <c r="Q311">
        <f t="shared" si="75"/>
        <v>0.48506266542128662</v>
      </c>
      <c r="R311">
        <f t="shared" si="76"/>
        <v>0.25</v>
      </c>
      <c r="S311">
        <f t="shared" si="77"/>
        <v>1</v>
      </c>
      <c r="T311" s="83">
        <f t="shared" si="78"/>
        <v>2</v>
      </c>
      <c r="U311" s="120">
        <f>IF($D311="",0,IFERROR(LOOKUP(2,1/(($D$3:D310=$D311)*($C$3:C310=$C311)*($A$3:A310&lt;$A311)),$AB$3:AB310),1000))</f>
        <v>969.46950152897546</v>
      </c>
      <c r="V311" s="120">
        <f t="shared" si="79"/>
        <v>1033.6743987382924</v>
      </c>
      <c r="W311">
        <f t="shared" si="80"/>
        <v>1058.5365498070414</v>
      </c>
      <c r="X311">
        <f t="shared" si="81"/>
        <v>0.46428143562122703</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IF($D311="","",IF(SUMPRODUCT(MAX(($D$4:$D$810=$D311)*($B$4:$B$810&lt;$B311)*$B$4:$B$810))=0,0,MAX(($B311-MAX(SUMPRODUCT(MAX(($D$4:$D$810=$D311)*($B$4:$B$810&lt;$B311)*$B$4:$B$810)),'Guide &amp; Settings'!$C$50))/7-'Guide &amp; Settings'!$C$48,0)*'Guide &amp; Settings'!$C$49))</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1087.5959762813275</v>
      </c>
      <c r="I312" s="117">
        <f t="shared" ref="I312:I375" si="87">IF($D312="",0,IF($S312=0,0,$R312/$S312))</f>
        <v>0.4285714285714286</v>
      </c>
      <c r="J312" s="118">
        <f>IF($D312="",0,IF($F312&lt;2,0,IF($E312="Win",('Guide &amp; Settings'!$C$42/(($F312-1)*COUNTIFS($A$4:$A$810,$A312,$E$4:$E$810,"Win")))*SUMIFS($X$4:$X$810,$A$4:$A$810,$A312,$E$4:$E$810,"Loss"),-('Guide &amp; Settings'!$C$42/($F312-1))*$X312)))</f>
        <v>-14.791839796411267</v>
      </c>
      <c r="K312" s="118">
        <f>IF($D312="",0,'Guide &amp; Settings'!$C$43*(IF($E312="Win",1,0)-$I312))</f>
        <v>-5.1428571428571432</v>
      </c>
      <c r="L312" s="119">
        <f>IF($D312="",0,'Guide &amp; Settings'!$C$44*IF($F312&gt;=3,$F312,0))</f>
        <v>0</v>
      </c>
      <c r="M312" s="118">
        <f t="shared" ref="M312:M375" si="88">IF($D312="",0,$J312+$K312+$L312)</f>
        <v>-19.934696939268409</v>
      </c>
      <c r="N312" s="116">
        <f t="shared" ref="N312:N375" si="89">IF($D312="",0,$H312+$M312)</f>
        <v>1067.6612793420591</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1041.4993516821401</v>
      </c>
      <c r="Q312">
        <f t="shared" ref="Q312:Q375" si="92">IF($D312="",0,1/(1+10^(($P312-$H312)/400)))</f>
        <v>0.56595184271215493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1019.3879939253603</v>
      </c>
      <c r="W312">
        <f t="shared" ref="W312:W375" si="97">IF($D312="",0,IFERROR(SUMIFS($V$4:$V$810,$A$4:$A$810,$A312,$E$4:$E$810,"Win")/COUNTIFS($A$4:$A$810,$A312,$E$4:$E$810,"Win"),0))</f>
        <v>1045.6728923396452</v>
      </c>
      <c r="X312">
        <f t="shared" ref="X312:X375" si="98">IF($D312="",0,1/(1+10^(($W312-$V312)/400)))</f>
        <v>0.4622449936378521</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IF($D312="","",IF(SUMPRODUCT(MAX(($D$4:$D$810=$D312)*($B$4:$B$810&lt;$B312)*$B$4:$B$810))=0,0,MAX(($B312-MAX(SUMPRODUCT(MAX(($D$4:$D$810=$D312)*($B$4:$B$810&lt;$B312)*$B$4:$B$810)),'Guide &amp; Settings'!$C$50))/7-'Guide &amp; Settings'!$C$48,0)*'Guide &amp; Settings'!$C$49))</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1041.4993516821401</v>
      </c>
      <c r="I313" s="117">
        <f t="shared" si="87"/>
        <v>0.57142857142857151</v>
      </c>
      <c r="J313" s="118">
        <f>IF($D313="",0,IF($F313&lt;2,0,IF($E313="Win",('Guide &amp; Settings'!$C$42/(($F313-1)*COUNTIFS($A$4:$A$810,$A313,$E$4:$E$810,"Win")))*SUMIFS($X$4:$X$810,$A$4:$A$810,$A313,$E$4:$E$810,"Loss"),-('Guide &amp; Settings'!$C$42/($F313-1))*$X313)))</f>
        <v>14.791839796411267</v>
      </c>
      <c r="K313" s="118">
        <f>IF($D313="",0,'Guide &amp; Settings'!$C$43*(IF($E313="Win",1,0)-$I313))</f>
        <v>5.1428571428571423</v>
      </c>
      <c r="L313" s="119">
        <f>IF($D313="",0,'Guide &amp; Settings'!$C$44*IF($F313&gt;=3,$F313,0))</f>
        <v>0</v>
      </c>
      <c r="M313" s="118">
        <f t="shared" si="88"/>
        <v>19.934696939268409</v>
      </c>
      <c r="N313" s="116">
        <f t="shared" si="89"/>
        <v>1061.4340486214085</v>
      </c>
      <c r="O313" s="115" t="str">
        <f t="shared" si="90"/>
        <v>OK</v>
      </c>
      <c r="P313">
        <f t="shared" si="91"/>
        <v>1041.4993516821401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1045.6728923396452</v>
      </c>
      <c r="W313">
        <f t="shared" si="97"/>
        <v>1045.6728923396452</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IF($D313="","",IF(SUMPRODUCT(MAX(($D$4:$D$810=$D313)*($B$4:$B$810&lt;$B313)*$B$4:$B$810))=0,0,MAX(($B313-MAX(SUMPRODUCT(MAX(($D$4:$D$810=$D313)*($B$4:$B$810&lt;$B313)*$B$4:$B$810)),'Guide &amp; Settings'!$C$50))/7-'Guide &amp; Settings'!$C$48,0)*'Guide &amp; Settings'!$C$49))</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1067.6612793420591</v>
      </c>
      <c r="I314" s="117">
        <f t="shared" si="87"/>
        <v>0.40752351097178685</v>
      </c>
      <c r="J314" s="118">
        <f>IF($D314="",0,IF($F314&lt;2,0,IF($E314="Win",('Guide &amp; Settings'!$C$42/(($F314-1)*COUNTIFS($A$4:$A$810,$A314,$E$4:$E$810,"Win")))*SUMIFS($X$4:$X$810,$A$4:$A$810,$A314,$E$4:$E$810,"Loss"),-('Guide &amp; Settings'!$C$42/($F314-1))*$X314)))</f>
        <v>-13.351271819763314</v>
      </c>
      <c r="K314" s="118">
        <f>IF($D314="",0,'Guide &amp; Settings'!$C$43*(IF($E314="Win",1,0)-$I314))</f>
        <v>-4.8902821316614418</v>
      </c>
      <c r="L314" s="119">
        <f>IF($D314="",0,'Guide &amp; Settings'!$C$44*IF($F314&gt;=3,$F314,0))</f>
        <v>0</v>
      </c>
      <c r="M314" s="118">
        <f t="shared" si="88"/>
        <v>-18.241553951424756</v>
      </c>
      <c r="N314" s="116">
        <f t="shared" si="89"/>
        <v>1049.4197253906343</v>
      </c>
      <c r="O314" s="115" t="str">
        <f t="shared" si="90"/>
        <v>OK</v>
      </c>
      <c r="P314">
        <f t="shared" si="91"/>
        <v>1061.4340486214085</v>
      </c>
      <c r="Q314">
        <f t="shared" si="92"/>
        <v>0.5089607458705353</v>
      </c>
      <c r="R314">
        <f t="shared" si="93"/>
        <v>0.47619047619047616</v>
      </c>
      <c r="S314">
        <f t="shared" si="94"/>
        <v>1.1684981684981683</v>
      </c>
      <c r="T314" s="83">
        <f t="shared" si="95"/>
        <v>19</v>
      </c>
      <c r="U314" s="120">
        <f>IF($D314="",0,IFERROR(LOOKUP(2,1/(($D$3:D313=$D314)*($C$3:C313=$C314)*($A$3:A313&lt;$A314)),$AB$3:AB313),1000))</f>
        <v>986.60704803320323</v>
      </c>
      <c r="V314" s="120">
        <f t="shared" si="96"/>
        <v>1003.4933462225482</v>
      </c>
      <c r="W314">
        <f t="shared" si="97"/>
        <v>1061.5439786157583</v>
      </c>
      <c r="X314">
        <f t="shared" si="98"/>
        <v>0.41722724436760356</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IF($D314="","",IF(SUMPRODUCT(MAX(($D$4:$D$810=$D314)*($B$4:$B$810&lt;$B314)*$B$4:$B$810))=0,0,MAX(($B314-MAX(SUMPRODUCT(MAX(($D$4:$D$810=$D314)*($B$4:$B$810&lt;$B314)*$B$4:$B$810)),'Guide &amp; Settings'!$C$50))/7-'Guide &amp; Settings'!$C$48,0)*'Guide &amp; Settings'!$C$49))</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1061.4340486214085</v>
      </c>
      <c r="I315" s="117">
        <f t="shared" si="87"/>
        <v>0.59247648902821326</v>
      </c>
      <c r="J315" s="118">
        <f>IF($D315="",0,IF($F315&lt;2,0,IF($E315="Win",('Guide &amp; Settings'!$C$42/(($F315-1)*COUNTIFS($A$4:$A$810,$A315,$E$4:$E$810,"Win")))*SUMIFS($X$4:$X$810,$A$4:$A$810,$A315,$E$4:$E$810,"Loss"),-('Guide &amp; Settings'!$C$42/($F315-1))*$X315)))</f>
        <v>13.351271819763314</v>
      </c>
      <c r="K315" s="118">
        <f>IF($D315="",0,'Guide &amp; Settings'!$C$43*(IF($E315="Win",1,0)-$I315))</f>
        <v>4.8902821316614409</v>
      </c>
      <c r="L315" s="119">
        <f>IF($D315="",0,'Guide &amp; Settings'!$C$44*IF($F315&gt;=3,$F315,0))</f>
        <v>0</v>
      </c>
      <c r="M315" s="118">
        <f t="shared" si="88"/>
        <v>18.241553951424756</v>
      </c>
      <c r="N315" s="116">
        <f t="shared" si="89"/>
        <v>1079.6756025728332</v>
      </c>
      <c r="O315" s="115" t="str">
        <f t="shared" si="90"/>
        <v>OK</v>
      </c>
      <c r="P315">
        <f t="shared" si="91"/>
        <v>1061.4340486214085</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1061.5439786157583</v>
      </c>
      <c r="W315">
        <f t="shared" si="97"/>
        <v>1061.5439786157583</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IF($D315="","",IF(SUMPRODUCT(MAX(($D$4:$D$810=$D315)*($B$4:$B$810&lt;$B315)*$B$4:$B$810))=0,0,MAX(($B315-MAX(SUMPRODUCT(MAX(($D$4:$D$810=$D315)*($B$4:$B$810&lt;$B315)*$B$4:$B$810)),'Guide &amp; Settings'!$C$50))/7-'Guide &amp; Settings'!$C$48,0)*'Guide &amp; Settings'!$C$49))</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1049.4197253906343</v>
      </c>
      <c r="I316" s="117">
        <f t="shared" si="87"/>
        <v>0.8</v>
      </c>
      <c r="J316" s="118">
        <f>IF($D316="",0,IF($F316&lt;2,0,IF($E316="Win",('Guide &amp; Settings'!$C$42/(($F316-1)*COUNTIFS($A$4:$A$810,$A316,$E$4:$E$810,"Win")))*SUMIFS($X$4:$X$810,$A$4:$A$810,$A316,$E$4:$E$810,"Loss"),-('Guide &amp; Settings'!$C$42/($F316-1))*$X316)))</f>
        <v>15.360203016844471</v>
      </c>
      <c r="K316" s="118">
        <f>IF($D316="",0,'Guide &amp; Settings'!$C$43*(IF($E316="Win",1,0)-$I316))</f>
        <v>2.3999999999999995</v>
      </c>
      <c r="L316" s="119">
        <f>IF($D316="",0,'Guide &amp; Settings'!$C$44*IF($F316&gt;=3,$F316,0))</f>
        <v>0</v>
      </c>
      <c r="M316" s="118">
        <f t="shared" si="88"/>
        <v>17.760203016844471</v>
      </c>
      <c r="N316" s="116">
        <f t="shared" si="89"/>
        <v>1067.1799284074789</v>
      </c>
      <c r="O316" s="115" t="str">
        <f t="shared" si="90"/>
        <v>OK</v>
      </c>
      <c r="P316">
        <f t="shared" si="91"/>
        <v>1049.4197253906343</v>
      </c>
      <c r="Q316">
        <f t="shared" si="92"/>
        <v>0.5</v>
      </c>
      <c r="R316">
        <f t="shared" si="93"/>
        <v>0.8</v>
      </c>
      <c r="S316">
        <f t="shared" si="94"/>
        <v>1</v>
      </c>
      <c r="T316" s="83">
        <f t="shared" si="95"/>
        <v>3</v>
      </c>
      <c r="U316" s="120">
        <f>IF($D316="",0,IFERROR(LOOKUP(2,1/(($D$3:D315=$D316)*($C$3:C315=$C316)*($A$3:A315&lt;$A316)),$AB$3:AB315),1000))</f>
        <v>1043.7471336336109</v>
      </c>
      <c r="V316" s="120">
        <f t="shared" si="96"/>
        <v>1047.2925034817504</v>
      </c>
      <c r="W316">
        <f t="shared" si="97"/>
        <v>1047.2925034817504</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IF($D316="","",IF(SUMPRODUCT(MAX(($D$4:$D$810=$D316)*($B$4:$B$810&lt;$B316)*$B$4:$B$810))=0,0,MAX(($B316-MAX(SUMPRODUCT(MAX(($D$4:$D$810=$D316)*($B$4:$B$810&lt;$B316)*$B$4:$B$810)),'Guide &amp; Settings'!$C$50))/7-'Guide &amp; Settings'!$C$48,0)*'Guide &amp; Settings'!$C$49))</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1079.6756025728332</v>
      </c>
      <c r="I317" s="117">
        <f t="shared" si="87"/>
        <v>0.2</v>
      </c>
      <c r="J317" s="118">
        <f>IF($D317="",0,IF($F317&lt;2,0,IF($E317="Win",('Guide &amp; Settings'!$C$42/(($F317-1)*COUNTIFS($A$4:$A$810,$A317,$E$4:$E$810,"Win")))*SUMIFS($X$4:$X$810,$A$4:$A$810,$A317,$E$4:$E$810,"Loss"),-('Guide &amp; Settings'!$C$42/($F317-1))*$X317)))</f>
        <v>-15.360203016844471</v>
      </c>
      <c r="K317" s="118">
        <f>IF($D317="",0,'Guide &amp; Settings'!$C$43*(IF($E317="Win",1,0)-$I317))</f>
        <v>-2.4000000000000004</v>
      </c>
      <c r="L317" s="119">
        <f>IF($D317="",0,'Guide &amp; Settings'!$C$44*IF($F317&gt;=3,$F317,0))</f>
        <v>0</v>
      </c>
      <c r="M317" s="118">
        <f t="shared" si="88"/>
        <v>-17.760203016844471</v>
      </c>
      <c r="N317" s="116">
        <f t="shared" si="89"/>
        <v>1061.9153995559886</v>
      </c>
      <c r="O317" s="115" t="str">
        <f t="shared" si="90"/>
        <v>OK</v>
      </c>
      <c r="P317">
        <f t="shared" si="91"/>
        <v>1049.4197253906343</v>
      </c>
      <c r="Q317">
        <f t="shared" si="92"/>
        <v>0.54343197372862562</v>
      </c>
      <c r="R317">
        <f t="shared" si="93"/>
        <v>0.2</v>
      </c>
      <c r="S317">
        <f t="shared" si="94"/>
        <v>1</v>
      </c>
      <c r="T317" s="83">
        <f t="shared" si="95"/>
        <v>3</v>
      </c>
      <c r="U317" s="120">
        <f>IF($D317="",0,IFERROR(LOOKUP(2,1/(($D$3:D316=$D317)*($C$3:C316=$C317)*($A$3:A316&lt;$A317)),$AB$3:AB316),1000))</f>
        <v>956.25286636638907</v>
      </c>
      <c r="V317" s="120">
        <f t="shared" si="96"/>
        <v>1033.3920764954169</v>
      </c>
      <c r="W317">
        <f t="shared" si="97"/>
        <v>1047.2925034817504</v>
      </c>
      <c r="X317">
        <f t="shared" si="98"/>
        <v>0.48000634427638972</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IF($D317="","",IF(SUMPRODUCT(MAX(($D$4:$D$810=$D317)*($B$4:$B$810&lt;$B317)*$B$4:$B$810))=0,0,MAX(($B317-MAX(SUMPRODUCT(MAX(($D$4:$D$810=$D317)*($B$4:$B$810&lt;$B317)*$B$4:$B$810)),'Guide &amp; Settings'!$C$50))/7-'Guide &amp; Settings'!$C$48,0)*'Guide &amp; Settings'!$C$49))</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1067.1799284074789</v>
      </c>
      <c r="I318" s="117">
        <f t="shared" si="87"/>
        <v>0.83333333333333337</v>
      </c>
      <c r="J318" s="118">
        <f>IF($D318="",0,IF($F318&lt;2,0,IF($E318="Win",('Guide &amp; Settings'!$C$42/(($F318-1)*COUNTIFS($A$4:$A$810,$A318,$E$4:$E$810,"Win")))*SUMIFS($X$4:$X$810,$A$4:$A$810,$A318,$E$4:$E$810,"Loss"),-('Guide &amp; Settings'!$C$42/($F318-1))*$X318)))</f>
        <v>-18.400630676824097</v>
      </c>
      <c r="K318" s="118">
        <f>IF($D318="",0,'Guide &amp; Settings'!$C$43*(IF($E318="Win",1,0)-$I318))</f>
        <v>-10</v>
      </c>
      <c r="L318" s="119">
        <f>IF($D318="",0,'Guide &amp; Settings'!$C$44*IF($F318&gt;=3,$F318,0))</f>
        <v>0</v>
      </c>
      <c r="M318" s="118">
        <f t="shared" si="88"/>
        <v>-28.400630676824097</v>
      </c>
      <c r="N318" s="116">
        <f t="shared" si="89"/>
        <v>1038.7792977306549</v>
      </c>
      <c r="O318" s="115" t="str">
        <f t="shared" si="90"/>
        <v>OK</v>
      </c>
      <c r="P318">
        <f t="shared" si="91"/>
        <v>1061.9153995559886</v>
      </c>
      <c r="Q318">
        <f t="shared" si="92"/>
        <v>0.50757568625272653</v>
      </c>
      <c r="R318">
        <f t="shared" si="93"/>
        <v>0.83333333333333337</v>
      </c>
      <c r="S318">
        <f t="shared" si="94"/>
        <v>1</v>
      </c>
      <c r="T318" s="83">
        <f t="shared" si="95"/>
        <v>4</v>
      </c>
      <c r="U318" s="120">
        <f>IF($D318="",0,IFERROR(LOOKUP(2,1/(($D$3:D317=$D318)*($C$3:C317=$C318)*($A$3:A317&lt;$A318)),$AB$3:AB317),1000))</f>
        <v>1055.8009426289977</v>
      </c>
      <c r="V318" s="120">
        <f t="shared" si="96"/>
        <v>1062.1226013948205</v>
      </c>
      <c r="W318">
        <f t="shared" si="97"/>
        <v>1009.5970252515502</v>
      </c>
      <c r="X318">
        <f t="shared" si="98"/>
        <v>0.57501970865075303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IF($D318="","",IF(SUMPRODUCT(MAX(($D$4:$D$810=$D318)*($B$4:$B$810&lt;$B318)*$B$4:$B$810))=0,0,MAX(($B318-MAX(SUMPRODUCT(MAX(($D$4:$D$810=$D318)*($B$4:$B$810&lt;$B318)*$B$4:$B$810)),'Guide &amp; Settings'!$C$50))/7-'Guide &amp; Settings'!$C$48,0)*'Guide &amp; Settings'!$C$49))</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1061.9153995559886</v>
      </c>
      <c r="I319" s="117">
        <f t="shared" si="87"/>
        <v>0.16666666666666666</v>
      </c>
      <c r="J319" s="118">
        <f>IF($D319="",0,IF($F319&lt;2,0,IF($E319="Win",('Guide &amp; Settings'!$C$42/(($F319-1)*COUNTIFS($A$4:$A$810,$A319,$E$4:$E$810,"Win")))*SUMIFS($X$4:$X$810,$A$4:$A$810,$A319,$E$4:$E$810,"Loss"),-('Guide &amp; Settings'!$C$42/($F319-1))*$X319)))</f>
        <v>18.400630676824097</v>
      </c>
      <c r="K319" s="118">
        <f>IF($D319="",0,'Guide &amp; Settings'!$C$43*(IF($E319="Win",1,0)-$I319))</f>
        <v>10</v>
      </c>
      <c r="L319" s="119">
        <f>IF($D319="",0,'Guide &amp; Settings'!$C$44*IF($F319&gt;=3,$F319,0))</f>
        <v>0</v>
      </c>
      <c r="M319" s="118">
        <f t="shared" si="88"/>
        <v>28.400630676824097</v>
      </c>
      <c r="N319" s="116">
        <f t="shared" si="89"/>
        <v>1090.3160302328126</v>
      </c>
      <c r="O319" s="115" t="str">
        <f t="shared" si="90"/>
        <v>OK</v>
      </c>
      <c r="P319">
        <f t="shared" si="91"/>
        <v>1061.9153995559886</v>
      </c>
      <c r="Q319">
        <f t="shared" si="92"/>
        <v>0.5</v>
      </c>
      <c r="R319">
        <f t="shared" si="93"/>
        <v>0.16666666666666666</v>
      </c>
      <c r="S319">
        <f t="shared" si="94"/>
        <v>1</v>
      </c>
      <c r="T319" s="83">
        <f t="shared" si="95"/>
        <v>4</v>
      </c>
      <c r="U319" s="120">
        <f>IF($D319="",0,IFERROR(LOOKUP(2,1/(($D$3:D318=$D319)*($C$3:C318=$C319)*($A$3:A318&lt;$A319)),$AB$3:AB318),1000))</f>
        <v>944.19905737100225</v>
      </c>
      <c r="V319" s="120">
        <f t="shared" si="96"/>
        <v>1009.5970252515502</v>
      </c>
      <c r="W319">
        <f t="shared" si="97"/>
        <v>1009.5970252515502</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IF($D319="","",IF(SUMPRODUCT(MAX(($D$4:$D$810=$D319)*($B$4:$B$810&lt;$B319)*$B$4:$B$810))=0,0,MAX(($B319-MAX(SUMPRODUCT(MAX(($D$4:$D$810=$D319)*($B$4:$B$810&lt;$B319)*$B$4:$B$810)),'Guide &amp; Settings'!$C$50))/7-'Guide &amp; Settings'!$C$48,0)*'Guide &amp; Settings'!$C$49))</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1038.7792977306549</v>
      </c>
      <c r="I320" s="117">
        <f t="shared" si="87"/>
        <v>0.37499999999999994</v>
      </c>
      <c r="J320" s="118">
        <f>IF($D320="",0,IF($F320&lt;2,0,IF($E320="Win",('Guide &amp; Settings'!$C$42/(($F320-1)*COUNTIFS($A$4:$A$810,$A320,$E$4:$E$810,"Win")))*SUMIFS($X$4:$X$810,$A$4:$A$810,$A320,$E$4:$E$810,"Loss"),-('Guide &amp; Settings'!$C$42/($F320-1))*$X320)))</f>
        <v>-12.720890435646909</v>
      </c>
      <c r="K320" s="118">
        <f>IF($D320="",0,'Guide &amp; Settings'!$C$43*(IF($E320="Win",1,0)-$I320))</f>
        <v>-4.4999999999999991</v>
      </c>
      <c r="L320" s="119">
        <f>IF($D320="",0,'Guide &amp; Settings'!$C$44*IF($F320&gt;=3,$F320,0))</f>
        <v>0</v>
      </c>
      <c r="M320" s="118">
        <f t="shared" si="88"/>
        <v>-17.220890435646908</v>
      </c>
      <c r="N320" s="116">
        <f t="shared" si="89"/>
        <v>1021.558407295008</v>
      </c>
      <c r="O320" s="115" t="str">
        <f t="shared" si="90"/>
        <v>OK</v>
      </c>
      <c r="P320">
        <f t="shared" si="91"/>
        <v>1090.3160302328126</v>
      </c>
      <c r="Q320">
        <f t="shared" si="92"/>
        <v>0.42637190655665269</v>
      </c>
      <c r="R320">
        <f t="shared" si="93"/>
        <v>0.3</v>
      </c>
      <c r="S320">
        <f t="shared" si="94"/>
        <v>0.8</v>
      </c>
      <c r="T320" s="83">
        <f t="shared" si="95"/>
        <v>8</v>
      </c>
      <c r="U320" s="120">
        <f>IF($D320="",0,IFERROR(LOOKUP(2,1/(($D$3:D319=$D320)*($C$3:C319=$C320)*($A$3:A319&lt;$A320)),$AB$3:AB319),1000))</f>
        <v>963.2777675383727</v>
      </c>
      <c r="V320" s="120">
        <f t="shared" si="96"/>
        <v>992.31681761232744</v>
      </c>
      <c r="W320">
        <f t="shared" si="97"/>
        <v>1064.5446013663495</v>
      </c>
      <c r="X320">
        <f t="shared" si="98"/>
        <v>0.39752782611396592</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IF($D320="","",IF(SUMPRODUCT(MAX(($D$4:$D$810=$D320)*($B$4:$B$810&lt;$B320)*$B$4:$B$810))=0,0,MAX(($B320-MAX(SUMPRODUCT(MAX(($D$4:$D$810=$D320)*($B$4:$B$810&lt;$B320)*$B$4:$B$810)),'Guide &amp; Settings'!$C$50))/7-'Guide &amp; Settings'!$C$48,0)*'Guide &amp; Settings'!$C$49))</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1090.3160302328126</v>
      </c>
      <c r="I321" s="117">
        <f t="shared" si="87"/>
        <v>0.625</v>
      </c>
      <c r="J321" s="118">
        <f>IF($D321="",0,IF($F321&lt;2,0,IF($E321="Win",('Guide &amp; Settings'!$C$42/(($F321-1)*COUNTIFS($A$4:$A$810,$A321,$E$4:$E$810,"Win")))*SUMIFS($X$4:$X$810,$A$4:$A$810,$A321,$E$4:$E$810,"Loss"),-('Guide &amp; Settings'!$C$42/($F321-1))*$X321)))</f>
        <v>12.720890435646909</v>
      </c>
      <c r="K321" s="118">
        <f>IF($D321="",0,'Guide &amp; Settings'!$C$43*(IF($E321="Win",1,0)-$I321))</f>
        <v>4.5</v>
      </c>
      <c r="L321" s="119">
        <f>IF($D321="",0,'Guide &amp; Settings'!$C$44*IF($F321&gt;=3,$F321,0))</f>
        <v>0</v>
      </c>
      <c r="M321" s="118">
        <f t="shared" si="88"/>
        <v>17.220890435646908</v>
      </c>
      <c r="N321" s="116">
        <f t="shared" si="89"/>
        <v>1107.5369206684595</v>
      </c>
      <c r="O321" s="115" t="str">
        <f t="shared" si="90"/>
        <v>OK</v>
      </c>
      <c r="P321">
        <f t="shared" si="91"/>
        <v>1090.3160302328126</v>
      </c>
      <c r="Q321">
        <f t="shared" si="92"/>
        <v>0.5</v>
      </c>
      <c r="R321">
        <f t="shared" si="93"/>
        <v>0.5</v>
      </c>
      <c r="S321">
        <f t="shared" si="94"/>
        <v>0.8</v>
      </c>
      <c r="T321" s="83">
        <f t="shared" si="95"/>
        <v>2</v>
      </c>
      <c r="U321" s="120">
        <f>IF($D321="",0,IFERROR(LOOKUP(2,1/(($D$3:D320=$D321)*($C$3:C320=$C321)*($A$3:A320&lt;$A321)),$AB$3:AB320),1000))</f>
        <v>1000.1160292001913</v>
      </c>
      <c r="V321" s="120">
        <f t="shared" si="96"/>
        <v>1064.5446013663495</v>
      </c>
      <c r="W321">
        <f t="shared" si="97"/>
        <v>1064.5446013663495</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IF($D321="","",IF(SUMPRODUCT(MAX(($D$4:$D$810=$D321)*($B$4:$B$810&lt;$B321)*$B$4:$B$810))=0,0,MAX(($B321-MAX(SUMPRODUCT(MAX(($D$4:$D$810=$D321)*($B$4:$B$810&lt;$B321)*$B$4:$B$810)),'Guide &amp; Settings'!$C$50))/7-'Guide &amp; Settings'!$C$48,0)*'Guide &amp; Settings'!$C$49))</f>
        <v>0</v>
      </c>
    </row>
    <row r="322" spans="1:29" x14ac:dyDescent="0.2">
      <c r="A322" s="111"/>
      <c r="B322" s="112"/>
      <c r="C322" s="113"/>
      <c r="D322" s="113"/>
      <c r="E322" s="111"/>
      <c r="F322" s="114">
        <f t="shared" si="85"/>
        <v>0</v>
      </c>
      <c r="G322" s="115" t="str">
        <f t="shared" si="86"/>
        <v/>
      </c>
      <c r="H322" s="116">
        <f>IF($D322="",0,IFERROR(LOOKUP(2,1/(($D$3:D321=$D322)*($A$3:A321&lt;$A322)),$N$3:N321),'Guide &amp; Settings'!$C$41))</f>
        <v>0</v>
      </c>
      <c r="I322" s="117">
        <f t="shared" si="87"/>
        <v>0</v>
      </c>
      <c r="J322" s="118">
        <f>IF($D322="",0,IF($F322&lt;2,0,IF($E322="Win",('Guide &amp; Settings'!$C$42/(($F322-1)*COUNTIFS($A$4:$A$810,$A322,$E$4:$E$810,"Win")))*SUMIFS($X$4:$X$810,$A$4:$A$810,$A322,$E$4:$E$810,"Loss"),-('Guide &amp; Settings'!$C$42/($F322-1))*$X322)))</f>
        <v>0</v>
      </c>
      <c r="K322" s="118">
        <f>IF($D322="",0,'Guide &amp; Settings'!$C$43*(IF($E322="Win",1,0)-$I322))</f>
        <v>0</v>
      </c>
      <c r="L322" s="119">
        <f>IF($D322="",0,'Guide &amp; Settings'!$C$44*IF($F322&gt;=3,$F322,0))</f>
        <v>0</v>
      </c>
      <c r="M322" s="118">
        <f t="shared" si="88"/>
        <v>0</v>
      </c>
      <c r="N322" s="116">
        <f t="shared" si="89"/>
        <v>0</v>
      </c>
      <c r="O322" s="115" t="str">
        <f t="shared" si="90"/>
        <v/>
      </c>
      <c r="P322">
        <f t="shared" si="91"/>
        <v>0</v>
      </c>
      <c r="Q322">
        <f t="shared" si="92"/>
        <v>0</v>
      </c>
      <c r="R322">
        <f t="shared" si="93"/>
        <v>0</v>
      </c>
      <c r="S322">
        <f t="shared" si="94"/>
        <v>0</v>
      </c>
      <c r="T322" s="83">
        <f t="shared" si="95"/>
        <v>0</v>
      </c>
      <c r="U322" s="120">
        <f>IF($D322="",0,IFERROR(LOOKUP(2,1/(($D$3:D321=$D322)*($C$3:C321=$C322)*($A$3:A321&lt;$A322)),$AB$3:AB321),1000))</f>
        <v>0</v>
      </c>
      <c r="V322" s="120">
        <f t="shared" si="96"/>
        <v>0</v>
      </c>
      <c r="W322">
        <f t="shared" si="97"/>
        <v>0</v>
      </c>
      <c r="X322">
        <f t="shared" si="98"/>
        <v>0</v>
      </c>
      <c r="Y322">
        <f t="shared" si="99"/>
        <v>0</v>
      </c>
      <c r="Z322">
        <f t="shared" si="100"/>
        <v>0</v>
      </c>
      <c r="AA322">
        <f>IF($D322="",0,IF($F322&lt;2,0,IF($E322="Win",('Guide &amp; Settings'!$C$42/(($F322-1)*COUNTIFS($A$4:$A$810,$A322,$E$4:$E$810,"Win")))*SUMIFS($Z$4:$Z$810,$A$4:$A$810,$A322,$E$4:$E$810,"Loss"),-('Guide &amp; Settings'!$C$42/($F322-1))*$Z322)))</f>
        <v>0</v>
      </c>
      <c r="AB322" s="120">
        <f t="shared" si="101"/>
        <v>0</v>
      </c>
      <c r="AC322" s="120" t="str">
        <f>IF($D322="","",IF(SUMPRODUCT(MAX(($D$4:$D$810=$D322)*($B$4:$B$810&lt;$B322)*$B$4:$B$810))=0,0,MAX(($B322-MAX(SUMPRODUCT(MAX(($D$4:$D$810=$D322)*($B$4:$B$810&lt;$B322)*$B$4:$B$810)),'Guide &amp; Settings'!$C$50))/7-'Guide &amp; Settings'!$C$48,0)*'Guide &amp; Settings'!$C$49))</f>
        <v/>
      </c>
    </row>
    <row r="323" spans="1:29" x14ac:dyDescent="0.2">
      <c r="A323" s="111"/>
      <c r="B323" s="112"/>
      <c r="C323" s="113"/>
      <c r="D323" s="113"/>
      <c r="E323" s="111"/>
      <c r="F323" s="114">
        <f t="shared" si="85"/>
        <v>0</v>
      </c>
      <c r="G323" s="115" t="str">
        <f t="shared" si="86"/>
        <v/>
      </c>
      <c r="H323" s="116">
        <f>IF($D323="",0,IFERROR(LOOKUP(2,1/(($D$3:D322=$D323)*($A$3:A322&lt;$A323)),$N$3:N322),'Guide &amp; Settings'!$C$41))</f>
        <v>0</v>
      </c>
      <c r="I323" s="117">
        <f t="shared" si="87"/>
        <v>0</v>
      </c>
      <c r="J323" s="118">
        <f>IF($D323="",0,IF($F323&lt;2,0,IF($E323="Win",('Guide &amp; Settings'!$C$42/(($F323-1)*COUNTIFS($A$4:$A$810,$A323,$E$4:$E$810,"Win")))*SUMIFS($X$4:$X$810,$A$4:$A$810,$A323,$E$4:$E$810,"Loss"),-('Guide &amp; Settings'!$C$42/($F323-1))*$X323)))</f>
        <v>0</v>
      </c>
      <c r="K323" s="118">
        <f>IF($D323="",0,'Guide &amp; Settings'!$C$43*(IF($E323="Win",1,0)-$I323))</f>
        <v>0</v>
      </c>
      <c r="L323" s="119">
        <f>IF($D323="",0,'Guide &amp; Settings'!$C$44*IF($F323&gt;=3,$F323,0))</f>
        <v>0</v>
      </c>
      <c r="M323" s="118">
        <f t="shared" si="88"/>
        <v>0</v>
      </c>
      <c r="N323" s="116">
        <f t="shared" si="89"/>
        <v>0</v>
      </c>
      <c r="O323" s="115" t="str">
        <f t="shared" si="90"/>
        <v/>
      </c>
      <c r="P323">
        <f t="shared" si="91"/>
        <v>0</v>
      </c>
      <c r="Q323">
        <f t="shared" si="92"/>
        <v>0</v>
      </c>
      <c r="R323">
        <f t="shared" si="93"/>
        <v>0</v>
      </c>
      <c r="S323">
        <f t="shared" si="94"/>
        <v>0</v>
      </c>
      <c r="T323" s="83">
        <f t="shared" si="95"/>
        <v>0</v>
      </c>
      <c r="U323" s="120">
        <f>IF($D323="",0,IFERROR(LOOKUP(2,1/(($D$3:D322=$D323)*($C$3:C322=$C323)*($A$3:A322&lt;$A323)),$AB$3:AB322),1000))</f>
        <v>0</v>
      </c>
      <c r="V323" s="120">
        <f t="shared" si="96"/>
        <v>0</v>
      </c>
      <c r="W323">
        <f t="shared" si="97"/>
        <v>0</v>
      </c>
      <c r="X323">
        <f t="shared" si="98"/>
        <v>0</v>
      </c>
      <c r="Y323">
        <f t="shared" si="99"/>
        <v>0</v>
      </c>
      <c r="Z323">
        <f t="shared" si="100"/>
        <v>0</v>
      </c>
      <c r="AA323">
        <f>IF($D323="",0,IF($F323&lt;2,0,IF($E323="Win",('Guide &amp; Settings'!$C$42/(($F323-1)*COUNTIFS($A$4:$A$810,$A323,$E$4:$E$810,"Win")))*SUMIFS($Z$4:$Z$810,$A$4:$A$810,$A323,$E$4:$E$810,"Loss"),-('Guide &amp; Settings'!$C$42/($F323-1))*$Z323)))</f>
        <v>0</v>
      </c>
      <c r="AB323" s="120">
        <f t="shared" si="101"/>
        <v>0</v>
      </c>
      <c r="AC323" s="120" t="str">
        <f>IF($D323="","",IF(SUMPRODUCT(MAX(($D$4:$D$810=$D323)*($B$4:$B$810&lt;$B323)*$B$4:$B$810))=0,0,MAX(($B323-MAX(SUMPRODUCT(MAX(($D$4:$D$810=$D323)*($B$4:$B$810&lt;$B323)*$B$4:$B$810)),'Guide &amp; Settings'!$C$50))/7-'Guide &amp; Settings'!$C$48,0)*'Guide &amp; Settings'!$C$49))</f>
        <v/>
      </c>
    </row>
    <row r="324" spans="1:29" x14ac:dyDescent="0.2">
      <c r="A324" s="111"/>
      <c r="B324" s="112"/>
      <c r="C324" s="113"/>
      <c r="D324" s="113"/>
      <c r="E324" s="111"/>
      <c r="F324" s="114">
        <f t="shared" si="85"/>
        <v>0</v>
      </c>
      <c r="G324" s="115" t="str">
        <f t="shared" si="86"/>
        <v/>
      </c>
      <c r="H324" s="116">
        <f>IF($D324="",0,IFERROR(LOOKUP(2,1/(($D$3:D323=$D324)*($A$3:A323&lt;$A324)),$N$3:N323),'Guide &amp; Settings'!$C$41))</f>
        <v>0</v>
      </c>
      <c r="I324" s="117">
        <f t="shared" si="87"/>
        <v>0</v>
      </c>
      <c r="J324" s="118">
        <f>IF($D324="",0,IF($F324&lt;2,0,IF($E324="Win",('Guide &amp; Settings'!$C$42/(($F324-1)*COUNTIFS($A$4:$A$810,$A324,$E$4:$E$810,"Win")))*SUMIFS($X$4:$X$810,$A$4:$A$810,$A324,$E$4:$E$810,"Loss"),-('Guide &amp; Settings'!$C$42/($F324-1))*$X324)))</f>
        <v>0</v>
      </c>
      <c r="K324" s="118">
        <f>IF($D324="",0,'Guide &amp; Settings'!$C$43*(IF($E324="Win",1,0)-$I324))</f>
        <v>0</v>
      </c>
      <c r="L324" s="119">
        <f>IF($D324="",0,'Guide &amp; Settings'!$C$44*IF($F324&gt;=3,$F324,0))</f>
        <v>0</v>
      </c>
      <c r="M324" s="118">
        <f t="shared" si="88"/>
        <v>0</v>
      </c>
      <c r="N324" s="116">
        <f t="shared" si="89"/>
        <v>0</v>
      </c>
      <c r="O324" s="115" t="str">
        <f t="shared" si="90"/>
        <v/>
      </c>
      <c r="P324">
        <f t="shared" si="91"/>
        <v>0</v>
      </c>
      <c r="Q324">
        <f t="shared" si="92"/>
        <v>0</v>
      </c>
      <c r="R324">
        <f t="shared" si="93"/>
        <v>0</v>
      </c>
      <c r="S324">
        <f t="shared" si="94"/>
        <v>0</v>
      </c>
      <c r="T324" s="83">
        <f t="shared" si="95"/>
        <v>0</v>
      </c>
      <c r="U324" s="120">
        <f>IF($D324="",0,IFERROR(LOOKUP(2,1/(($D$3:D323=$D324)*($C$3:C323=$C324)*($A$3:A323&lt;$A324)),$AB$3:AB323),1000))</f>
        <v>0</v>
      </c>
      <c r="V324" s="120">
        <f t="shared" si="96"/>
        <v>0</v>
      </c>
      <c r="W324">
        <f t="shared" si="97"/>
        <v>0</v>
      </c>
      <c r="X324">
        <f t="shared" si="98"/>
        <v>0</v>
      </c>
      <c r="Y324">
        <f t="shared" si="99"/>
        <v>0</v>
      </c>
      <c r="Z324">
        <f t="shared" si="100"/>
        <v>0</v>
      </c>
      <c r="AA324">
        <f>IF($D324="",0,IF($F324&lt;2,0,IF($E324="Win",('Guide &amp; Settings'!$C$42/(($F324-1)*COUNTIFS($A$4:$A$810,$A324,$E$4:$E$810,"Win")))*SUMIFS($Z$4:$Z$810,$A$4:$A$810,$A324,$E$4:$E$810,"Loss"),-('Guide &amp; Settings'!$C$42/($F324-1))*$Z324)))</f>
        <v>0</v>
      </c>
      <c r="AB324" s="120">
        <f t="shared" si="101"/>
        <v>0</v>
      </c>
      <c r="AC324" s="120" t="str">
        <f>IF($D324="","",IF(SUMPRODUCT(MAX(($D$4:$D$810=$D324)*($B$4:$B$810&lt;$B324)*$B$4:$B$810))=0,0,MAX(($B324-MAX(SUMPRODUCT(MAX(($D$4:$D$810=$D324)*($B$4:$B$810&lt;$B324)*$B$4:$B$810)),'Guide &amp; Settings'!$C$50))/7-'Guide &amp; Settings'!$C$48,0)*'Guide &amp; Settings'!$C$49))</f>
        <v/>
      </c>
    </row>
    <row r="325" spans="1:29" x14ac:dyDescent="0.2">
      <c r="A325" s="111"/>
      <c r="B325" s="112"/>
      <c r="C325" s="113"/>
      <c r="D325" s="113"/>
      <c r="E325" s="111"/>
      <c r="F325" s="114">
        <f t="shared" si="85"/>
        <v>0</v>
      </c>
      <c r="G325" s="115" t="str">
        <f t="shared" si="86"/>
        <v/>
      </c>
      <c r="H325" s="116">
        <f>IF($D325="",0,IFERROR(LOOKUP(2,1/(($D$3:D324=$D325)*($A$3:A324&lt;$A325)),$N$3:N324),'Guide &amp; Settings'!$C$41))</f>
        <v>0</v>
      </c>
      <c r="I325" s="117">
        <f t="shared" si="87"/>
        <v>0</v>
      </c>
      <c r="J325" s="118">
        <f>IF($D325="",0,IF($F325&lt;2,0,IF($E325="Win",('Guide &amp; Settings'!$C$42/(($F325-1)*COUNTIFS($A$4:$A$810,$A325,$E$4:$E$810,"Win")))*SUMIFS($X$4:$X$810,$A$4:$A$810,$A325,$E$4:$E$810,"Loss"),-('Guide &amp; Settings'!$C$42/($F325-1))*$X325)))</f>
        <v>0</v>
      </c>
      <c r="K325" s="118">
        <f>IF($D325="",0,'Guide &amp; Settings'!$C$43*(IF($E325="Win",1,0)-$I325))</f>
        <v>0</v>
      </c>
      <c r="L325" s="119">
        <f>IF($D325="",0,'Guide &amp; Settings'!$C$44*IF($F325&gt;=3,$F325,0))</f>
        <v>0</v>
      </c>
      <c r="M325" s="118">
        <f t="shared" si="88"/>
        <v>0</v>
      </c>
      <c r="N325" s="116">
        <f t="shared" si="89"/>
        <v>0</v>
      </c>
      <c r="O325" s="115" t="str">
        <f t="shared" si="90"/>
        <v/>
      </c>
      <c r="P325">
        <f t="shared" si="91"/>
        <v>0</v>
      </c>
      <c r="Q325">
        <f t="shared" si="92"/>
        <v>0</v>
      </c>
      <c r="R325">
        <f t="shared" si="93"/>
        <v>0</v>
      </c>
      <c r="S325">
        <f t="shared" si="94"/>
        <v>0</v>
      </c>
      <c r="T325" s="83">
        <f t="shared" si="95"/>
        <v>0</v>
      </c>
      <c r="U325" s="120">
        <f>IF($D325="",0,IFERROR(LOOKUP(2,1/(($D$3:D324=$D325)*($C$3:C324=$C325)*($A$3:A324&lt;$A325)),$AB$3:AB324),1000))</f>
        <v>0</v>
      </c>
      <c r="V325" s="120">
        <f t="shared" si="96"/>
        <v>0</v>
      </c>
      <c r="W325">
        <f t="shared" si="97"/>
        <v>0</v>
      </c>
      <c r="X325">
        <f t="shared" si="98"/>
        <v>0</v>
      </c>
      <c r="Y325">
        <f t="shared" si="99"/>
        <v>0</v>
      </c>
      <c r="Z325">
        <f t="shared" si="100"/>
        <v>0</v>
      </c>
      <c r="AA325">
        <f>IF($D325="",0,IF($F325&lt;2,0,IF($E325="Win",('Guide &amp; Settings'!$C$42/(($F325-1)*COUNTIFS($A$4:$A$810,$A325,$E$4:$E$810,"Win")))*SUMIFS($Z$4:$Z$810,$A$4:$A$810,$A325,$E$4:$E$810,"Loss"),-('Guide &amp; Settings'!$C$42/($F325-1))*$Z325)))</f>
        <v>0</v>
      </c>
      <c r="AB325" s="120">
        <f t="shared" si="101"/>
        <v>0</v>
      </c>
      <c r="AC325" s="120" t="str">
        <f>IF($D325="","",IF(SUMPRODUCT(MAX(($D$4:$D$810=$D325)*($B$4:$B$810&lt;$B325)*$B$4:$B$810))=0,0,MAX(($B325-MAX(SUMPRODUCT(MAX(($D$4:$D$810=$D325)*($B$4:$B$810&lt;$B325)*$B$4:$B$810)),'Guide &amp; Settings'!$C$50))/7-'Guide &amp; Settings'!$C$48,0)*'Guide &amp; Settings'!$C$49))</f>
        <v/>
      </c>
    </row>
    <row r="326" spans="1:29" x14ac:dyDescent="0.2">
      <c r="A326" s="111"/>
      <c r="B326" s="112"/>
      <c r="C326" s="113"/>
      <c r="D326" s="113"/>
      <c r="E326" s="111"/>
      <c r="F326" s="114">
        <f t="shared" si="85"/>
        <v>0</v>
      </c>
      <c r="G326" s="115" t="str">
        <f t="shared" si="86"/>
        <v/>
      </c>
      <c r="H326" s="116">
        <f>IF($D326="",0,IFERROR(LOOKUP(2,1/(($D$3:D325=$D326)*($A$3:A325&lt;$A326)),$N$3:N325),'Guide &amp; Settings'!$C$41))</f>
        <v>0</v>
      </c>
      <c r="I326" s="117">
        <f t="shared" si="87"/>
        <v>0</v>
      </c>
      <c r="J326" s="118">
        <f>IF($D326="",0,IF($F326&lt;2,0,IF($E326="Win",('Guide &amp; Settings'!$C$42/(($F326-1)*COUNTIFS($A$4:$A$810,$A326,$E$4:$E$810,"Win")))*SUMIFS($X$4:$X$810,$A$4:$A$810,$A326,$E$4:$E$810,"Loss"),-('Guide &amp; Settings'!$C$42/($F326-1))*$X326)))</f>
        <v>0</v>
      </c>
      <c r="K326" s="118">
        <f>IF($D326="",0,'Guide &amp; Settings'!$C$43*(IF($E326="Win",1,0)-$I326))</f>
        <v>0</v>
      </c>
      <c r="L326" s="119">
        <f>IF($D326="",0,'Guide &amp; Settings'!$C$44*IF($F326&gt;=3,$F326,0))</f>
        <v>0</v>
      </c>
      <c r="M326" s="118">
        <f t="shared" si="88"/>
        <v>0</v>
      </c>
      <c r="N326" s="116">
        <f t="shared" si="89"/>
        <v>0</v>
      </c>
      <c r="O326" s="115" t="str">
        <f t="shared" si="90"/>
        <v/>
      </c>
      <c r="P326">
        <f t="shared" si="91"/>
        <v>0</v>
      </c>
      <c r="Q326">
        <f t="shared" si="92"/>
        <v>0</v>
      </c>
      <c r="R326">
        <f t="shared" si="93"/>
        <v>0</v>
      </c>
      <c r="S326">
        <f t="shared" si="94"/>
        <v>0</v>
      </c>
      <c r="T326" s="83">
        <f t="shared" si="95"/>
        <v>0</v>
      </c>
      <c r="U326" s="120">
        <f>IF($D326="",0,IFERROR(LOOKUP(2,1/(($D$3:D325=$D326)*($C$3:C325=$C326)*($A$3:A325&lt;$A326)),$AB$3:AB325),1000))</f>
        <v>0</v>
      </c>
      <c r="V326" s="120">
        <f t="shared" si="96"/>
        <v>0</v>
      </c>
      <c r="W326">
        <f t="shared" si="97"/>
        <v>0</v>
      </c>
      <c r="X326">
        <f t="shared" si="98"/>
        <v>0</v>
      </c>
      <c r="Y326">
        <f t="shared" si="99"/>
        <v>0</v>
      </c>
      <c r="Z326">
        <f t="shared" si="100"/>
        <v>0</v>
      </c>
      <c r="AA326">
        <f>IF($D326="",0,IF($F326&lt;2,0,IF($E326="Win",('Guide &amp; Settings'!$C$42/(($F326-1)*COUNTIFS($A$4:$A$810,$A326,$E$4:$E$810,"Win")))*SUMIFS($Z$4:$Z$810,$A$4:$A$810,$A326,$E$4:$E$810,"Loss"),-('Guide &amp; Settings'!$C$42/($F326-1))*$Z326)))</f>
        <v>0</v>
      </c>
      <c r="AB326" s="120">
        <f t="shared" si="101"/>
        <v>0</v>
      </c>
      <c r="AC326" s="120" t="str">
        <f>IF($D326="","",IF(SUMPRODUCT(MAX(($D$4:$D$810=$D326)*($B$4:$B$810&lt;$B326)*$B$4:$B$810))=0,0,MAX(($B326-MAX(SUMPRODUCT(MAX(($D$4:$D$810=$D326)*($B$4:$B$810&lt;$B326)*$B$4:$B$810)),'Guide &amp; Settings'!$C$50))/7-'Guide &amp; Settings'!$C$48,0)*'Guide &amp; Settings'!$C$49))</f>
        <v/>
      </c>
    </row>
    <row r="327" spans="1:29" x14ac:dyDescent="0.2">
      <c r="A327" s="111"/>
      <c r="B327" s="112"/>
      <c r="C327" s="113"/>
      <c r="D327" s="113"/>
      <c r="E327" s="111"/>
      <c r="F327" s="114">
        <f t="shared" si="85"/>
        <v>0</v>
      </c>
      <c r="G327" s="115" t="str">
        <f t="shared" si="86"/>
        <v/>
      </c>
      <c r="H327" s="116">
        <f>IF($D327="",0,IFERROR(LOOKUP(2,1/(($D$3:D326=$D327)*($A$3:A326&lt;$A327)),$N$3:N326),'Guide &amp; Settings'!$C$41))</f>
        <v>0</v>
      </c>
      <c r="I327" s="117">
        <f t="shared" si="87"/>
        <v>0</v>
      </c>
      <c r="J327" s="118">
        <f>IF($D327="",0,IF($F327&lt;2,0,IF($E327="Win",('Guide &amp; Settings'!$C$42/(($F327-1)*COUNTIFS($A$4:$A$810,$A327,$E$4:$E$810,"Win")))*SUMIFS($X$4:$X$810,$A$4:$A$810,$A327,$E$4:$E$810,"Loss"),-('Guide &amp; Settings'!$C$42/($F327-1))*$X327)))</f>
        <v>0</v>
      </c>
      <c r="K327" s="118">
        <f>IF($D327="",0,'Guide &amp; Settings'!$C$43*(IF($E327="Win",1,0)-$I327))</f>
        <v>0</v>
      </c>
      <c r="L327" s="119">
        <f>IF($D327="",0,'Guide &amp; Settings'!$C$44*IF($F327&gt;=3,$F327,0))</f>
        <v>0</v>
      </c>
      <c r="M327" s="118">
        <f t="shared" si="88"/>
        <v>0</v>
      </c>
      <c r="N327" s="116">
        <f t="shared" si="89"/>
        <v>0</v>
      </c>
      <c r="O327" s="115" t="str">
        <f t="shared" si="90"/>
        <v/>
      </c>
      <c r="P327">
        <f t="shared" si="91"/>
        <v>0</v>
      </c>
      <c r="Q327">
        <f t="shared" si="92"/>
        <v>0</v>
      </c>
      <c r="R327">
        <f t="shared" si="93"/>
        <v>0</v>
      </c>
      <c r="S327">
        <f t="shared" si="94"/>
        <v>0</v>
      </c>
      <c r="T327" s="83">
        <f t="shared" si="95"/>
        <v>0</v>
      </c>
      <c r="U327" s="120">
        <f>IF($D327="",0,IFERROR(LOOKUP(2,1/(($D$3:D326=$D327)*($C$3:C326=$C327)*($A$3:A326&lt;$A327)),$AB$3:AB326),1000))</f>
        <v>0</v>
      </c>
      <c r="V327" s="120">
        <f t="shared" si="96"/>
        <v>0</v>
      </c>
      <c r="W327">
        <f t="shared" si="97"/>
        <v>0</v>
      </c>
      <c r="X327">
        <f t="shared" si="98"/>
        <v>0</v>
      </c>
      <c r="Y327">
        <f t="shared" si="99"/>
        <v>0</v>
      </c>
      <c r="Z327">
        <f t="shared" si="100"/>
        <v>0</v>
      </c>
      <c r="AA327">
        <f>IF($D327="",0,IF($F327&lt;2,0,IF($E327="Win",('Guide &amp; Settings'!$C$42/(($F327-1)*COUNTIFS($A$4:$A$810,$A327,$E$4:$E$810,"Win")))*SUMIFS($Z$4:$Z$810,$A$4:$A$810,$A327,$E$4:$E$810,"Loss"),-('Guide &amp; Settings'!$C$42/($F327-1))*$Z327)))</f>
        <v>0</v>
      </c>
      <c r="AB327" s="120">
        <f t="shared" si="101"/>
        <v>0</v>
      </c>
      <c r="AC327" s="120" t="str">
        <f>IF($D327="","",IF(SUMPRODUCT(MAX(($D$4:$D$810=$D327)*($B$4:$B$810&lt;$B327)*$B$4:$B$810))=0,0,MAX(($B327-MAX(SUMPRODUCT(MAX(($D$4:$D$810=$D327)*($B$4:$B$810&lt;$B327)*$B$4:$B$810)),'Guide &amp; Settings'!$C$50))/7-'Guide &amp; Settings'!$C$48,0)*'Guide &amp; Settings'!$C$49))</f>
        <v/>
      </c>
    </row>
    <row r="328" spans="1:29" x14ac:dyDescent="0.2">
      <c r="A328" s="111"/>
      <c r="B328" s="112"/>
      <c r="C328" s="113"/>
      <c r="D328" s="113"/>
      <c r="E328" s="111"/>
      <c r="F328" s="114">
        <f t="shared" si="85"/>
        <v>0</v>
      </c>
      <c r="G328" s="115" t="str">
        <f t="shared" si="86"/>
        <v/>
      </c>
      <c r="H328" s="116">
        <f>IF($D328="",0,IFERROR(LOOKUP(2,1/(($D$3:D327=$D328)*($A$3:A327&lt;$A328)),$N$3:N327),'Guide &amp; Settings'!$C$41))</f>
        <v>0</v>
      </c>
      <c r="I328" s="117">
        <f t="shared" si="87"/>
        <v>0</v>
      </c>
      <c r="J328" s="118">
        <f>IF($D328="",0,IF($F328&lt;2,0,IF($E328="Win",('Guide &amp; Settings'!$C$42/(($F328-1)*COUNTIFS($A$4:$A$810,$A328,$E$4:$E$810,"Win")))*SUMIFS($X$4:$X$810,$A$4:$A$810,$A328,$E$4:$E$810,"Loss"),-('Guide &amp; Settings'!$C$42/($F328-1))*$X328)))</f>
        <v>0</v>
      </c>
      <c r="K328" s="118">
        <f>IF($D328="",0,'Guide &amp; Settings'!$C$43*(IF($E328="Win",1,0)-$I328))</f>
        <v>0</v>
      </c>
      <c r="L328" s="119">
        <f>IF($D328="",0,'Guide &amp; Settings'!$C$44*IF($F328&gt;=3,$F328,0))</f>
        <v>0</v>
      </c>
      <c r="M328" s="118">
        <f t="shared" si="88"/>
        <v>0</v>
      </c>
      <c r="N328" s="116">
        <f t="shared" si="89"/>
        <v>0</v>
      </c>
      <c r="O328" s="115" t="str">
        <f t="shared" si="90"/>
        <v/>
      </c>
      <c r="P328">
        <f t="shared" si="91"/>
        <v>0</v>
      </c>
      <c r="Q328">
        <f t="shared" si="92"/>
        <v>0</v>
      </c>
      <c r="R328">
        <f t="shared" si="93"/>
        <v>0</v>
      </c>
      <c r="S328">
        <f t="shared" si="94"/>
        <v>0</v>
      </c>
      <c r="T328" s="83">
        <f t="shared" si="95"/>
        <v>0</v>
      </c>
      <c r="U328" s="120">
        <f>IF($D328="",0,IFERROR(LOOKUP(2,1/(($D$3:D327=$D328)*($C$3:C327=$C328)*($A$3:A327&lt;$A328)),$AB$3:AB327),1000))</f>
        <v>0</v>
      </c>
      <c r="V328" s="120">
        <f t="shared" si="96"/>
        <v>0</v>
      </c>
      <c r="W328">
        <f t="shared" si="97"/>
        <v>0</v>
      </c>
      <c r="X328">
        <f t="shared" si="98"/>
        <v>0</v>
      </c>
      <c r="Y328">
        <f t="shared" si="99"/>
        <v>0</v>
      </c>
      <c r="Z328">
        <f t="shared" si="100"/>
        <v>0</v>
      </c>
      <c r="AA328">
        <f>IF($D328="",0,IF($F328&lt;2,0,IF($E328="Win",('Guide &amp; Settings'!$C$42/(($F328-1)*COUNTIFS($A$4:$A$810,$A328,$E$4:$E$810,"Win")))*SUMIFS($Z$4:$Z$810,$A$4:$A$810,$A328,$E$4:$E$810,"Loss"),-('Guide &amp; Settings'!$C$42/($F328-1))*$Z328)))</f>
        <v>0</v>
      </c>
      <c r="AB328" s="120">
        <f t="shared" si="101"/>
        <v>0</v>
      </c>
      <c r="AC328" s="120" t="str">
        <f>IF($D328="","",IF(SUMPRODUCT(MAX(($D$4:$D$810=$D328)*($B$4:$B$810&lt;$B328)*$B$4:$B$810))=0,0,MAX(($B328-MAX(SUMPRODUCT(MAX(($D$4:$D$810=$D328)*($B$4:$B$810&lt;$B328)*$B$4:$B$810)),'Guide &amp; Settings'!$C$50))/7-'Guide &amp; Settings'!$C$48,0)*'Guide &amp; Settings'!$C$49))</f>
        <v/>
      </c>
    </row>
    <row r="329" spans="1:29" x14ac:dyDescent="0.2">
      <c r="A329" s="111"/>
      <c r="B329" s="112"/>
      <c r="C329" s="113"/>
      <c r="D329" s="113"/>
      <c r="E329" s="111"/>
      <c r="F329" s="114">
        <f t="shared" si="85"/>
        <v>0</v>
      </c>
      <c r="G329" s="115" t="str">
        <f t="shared" si="86"/>
        <v/>
      </c>
      <c r="H329" s="116">
        <f>IF($D329="",0,IFERROR(LOOKUP(2,1/(($D$3:D328=$D329)*($A$3:A328&lt;$A329)),$N$3:N328),'Guide &amp; Settings'!$C$41))</f>
        <v>0</v>
      </c>
      <c r="I329" s="117">
        <f t="shared" si="87"/>
        <v>0</v>
      </c>
      <c r="J329" s="118">
        <f>IF($D329="",0,IF($F329&lt;2,0,IF($E329="Win",('Guide &amp; Settings'!$C$42/(($F329-1)*COUNTIFS($A$4:$A$810,$A329,$E$4:$E$810,"Win")))*SUMIFS($X$4:$X$810,$A$4:$A$810,$A329,$E$4:$E$810,"Loss"),-('Guide &amp; Settings'!$C$42/($F329-1))*$X329)))</f>
        <v>0</v>
      </c>
      <c r="K329" s="118">
        <f>IF($D329="",0,'Guide &amp; Settings'!$C$43*(IF($E329="Win",1,0)-$I329))</f>
        <v>0</v>
      </c>
      <c r="L329" s="119">
        <f>IF($D329="",0,'Guide &amp; Settings'!$C$44*IF($F329&gt;=3,$F329,0))</f>
        <v>0</v>
      </c>
      <c r="M329" s="118">
        <f t="shared" si="88"/>
        <v>0</v>
      </c>
      <c r="N329" s="116">
        <f t="shared" si="89"/>
        <v>0</v>
      </c>
      <c r="O329" s="115" t="str">
        <f t="shared" si="90"/>
        <v/>
      </c>
      <c r="P329">
        <f t="shared" si="91"/>
        <v>0</v>
      </c>
      <c r="Q329">
        <f t="shared" si="92"/>
        <v>0</v>
      </c>
      <c r="R329">
        <f t="shared" si="93"/>
        <v>0</v>
      </c>
      <c r="S329">
        <f t="shared" si="94"/>
        <v>0</v>
      </c>
      <c r="T329" s="83">
        <f t="shared" si="95"/>
        <v>0</v>
      </c>
      <c r="U329" s="120">
        <f>IF($D329="",0,IFERROR(LOOKUP(2,1/(($D$3:D328=$D329)*($C$3:C328=$C329)*($A$3:A328&lt;$A329)),$AB$3:AB328),1000))</f>
        <v>0</v>
      </c>
      <c r="V329" s="120">
        <f t="shared" si="96"/>
        <v>0</v>
      </c>
      <c r="W329">
        <f t="shared" si="97"/>
        <v>0</v>
      </c>
      <c r="X329">
        <f t="shared" si="98"/>
        <v>0</v>
      </c>
      <c r="Y329">
        <f t="shared" si="99"/>
        <v>0</v>
      </c>
      <c r="Z329">
        <f t="shared" si="100"/>
        <v>0</v>
      </c>
      <c r="AA329">
        <f>IF($D329="",0,IF($F329&lt;2,0,IF($E329="Win",('Guide &amp; Settings'!$C$42/(($F329-1)*COUNTIFS($A$4:$A$810,$A329,$E$4:$E$810,"Win")))*SUMIFS($Z$4:$Z$810,$A$4:$A$810,$A329,$E$4:$E$810,"Loss"),-('Guide &amp; Settings'!$C$42/($F329-1))*$Z329)))</f>
        <v>0</v>
      </c>
      <c r="AB329" s="120">
        <f t="shared" si="101"/>
        <v>0</v>
      </c>
      <c r="AC329" s="120" t="str">
        <f>IF($D329="","",IF(SUMPRODUCT(MAX(($D$4:$D$810=$D329)*($B$4:$B$810&lt;$B329)*$B$4:$B$810))=0,0,MAX(($B329-MAX(SUMPRODUCT(MAX(($D$4:$D$810=$D329)*($B$4:$B$810&lt;$B329)*$B$4:$B$810)),'Guide &amp; Settings'!$C$50))/7-'Guide &amp; Settings'!$C$48,0)*'Guide &amp; Settings'!$C$49))</f>
        <v/>
      </c>
    </row>
    <row r="330" spans="1:29" x14ac:dyDescent="0.2">
      <c r="A330" s="111"/>
      <c r="B330" s="112"/>
      <c r="C330" s="113"/>
      <c r="D330" s="113"/>
      <c r="E330" s="111"/>
      <c r="F330" s="114">
        <f t="shared" si="85"/>
        <v>0</v>
      </c>
      <c r="G330" s="115" t="str">
        <f t="shared" si="86"/>
        <v/>
      </c>
      <c r="H330" s="116">
        <f>IF($D330="",0,IFERROR(LOOKUP(2,1/(($D$3:D329=$D330)*($A$3:A329&lt;$A330)),$N$3:N329),'Guide &amp; Settings'!$C$41))</f>
        <v>0</v>
      </c>
      <c r="I330" s="117">
        <f t="shared" si="87"/>
        <v>0</v>
      </c>
      <c r="J330" s="118">
        <f>IF($D330="",0,IF($F330&lt;2,0,IF($E330="Win",('Guide &amp; Settings'!$C$42/(($F330-1)*COUNTIFS($A$4:$A$810,$A330,$E$4:$E$810,"Win")))*SUMIFS($X$4:$X$810,$A$4:$A$810,$A330,$E$4:$E$810,"Loss"),-('Guide &amp; Settings'!$C$42/($F330-1))*$X330)))</f>
        <v>0</v>
      </c>
      <c r="K330" s="118">
        <f>IF($D330="",0,'Guide &amp; Settings'!$C$43*(IF($E330="Win",1,0)-$I330))</f>
        <v>0</v>
      </c>
      <c r="L330" s="119">
        <f>IF($D330="",0,'Guide &amp; Settings'!$C$44*IF($F330&gt;=3,$F330,0))</f>
        <v>0</v>
      </c>
      <c r="M330" s="118">
        <f t="shared" si="88"/>
        <v>0</v>
      </c>
      <c r="N330" s="116">
        <f t="shared" si="89"/>
        <v>0</v>
      </c>
      <c r="O330" s="115" t="str">
        <f t="shared" si="90"/>
        <v/>
      </c>
      <c r="P330">
        <f t="shared" si="91"/>
        <v>0</v>
      </c>
      <c r="Q330">
        <f t="shared" si="92"/>
        <v>0</v>
      </c>
      <c r="R330">
        <f t="shared" si="93"/>
        <v>0</v>
      </c>
      <c r="S330">
        <f t="shared" si="94"/>
        <v>0</v>
      </c>
      <c r="T330" s="83">
        <f t="shared" si="95"/>
        <v>0</v>
      </c>
      <c r="U330" s="120">
        <f>IF($D330="",0,IFERROR(LOOKUP(2,1/(($D$3:D329=$D330)*($C$3:C329=$C330)*($A$3:A329&lt;$A330)),$AB$3:AB329),1000))</f>
        <v>0</v>
      </c>
      <c r="V330" s="120">
        <f t="shared" si="96"/>
        <v>0</v>
      </c>
      <c r="W330">
        <f t="shared" si="97"/>
        <v>0</v>
      </c>
      <c r="X330">
        <f t="shared" si="98"/>
        <v>0</v>
      </c>
      <c r="Y330">
        <f t="shared" si="99"/>
        <v>0</v>
      </c>
      <c r="Z330">
        <f t="shared" si="100"/>
        <v>0</v>
      </c>
      <c r="AA330">
        <f>IF($D330="",0,IF($F330&lt;2,0,IF($E330="Win",('Guide &amp; Settings'!$C$42/(($F330-1)*COUNTIFS($A$4:$A$810,$A330,$E$4:$E$810,"Win")))*SUMIFS($Z$4:$Z$810,$A$4:$A$810,$A330,$E$4:$E$810,"Loss"),-('Guide &amp; Settings'!$C$42/($F330-1))*$Z330)))</f>
        <v>0</v>
      </c>
      <c r="AB330" s="120">
        <f t="shared" si="101"/>
        <v>0</v>
      </c>
      <c r="AC330" s="120" t="str">
        <f>IF($D330="","",IF(SUMPRODUCT(MAX(($D$4:$D$810=$D330)*($B$4:$B$810&lt;$B330)*$B$4:$B$810))=0,0,MAX(($B330-MAX(SUMPRODUCT(MAX(($D$4:$D$810=$D330)*($B$4:$B$810&lt;$B330)*$B$4:$B$810)),'Guide &amp; Settings'!$C$50))/7-'Guide &amp; Settings'!$C$48,0)*'Guide &amp; Settings'!$C$49))</f>
        <v/>
      </c>
    </row>
    <row r="331" spans="1:29" x14ac:dyDescent="0.2">
      <c r="A331" s="111"/>
      <c r="B331" s="112"/>
      <c r="C331" s="113"/>
      <c r="D331" s="113"/>
      <c r="E331" s="111"/>
      <c r="F331" s="114">
        <f t="shared" si="85"/>
        <v>0</v>
      </c>
      <c r="G331" s="115" t="str">
        <f t="shared" si="86"/>
        <v/>
      </c>
      <c r="H331" s="116">
        <f>IF($D331="",0,IFERROR(LOOKUP(2,1/(($D$3:D330=$D331)*($A$3:A330&lt;$A331)),$N$3:N330),'Guide &amp; Settings'!$C$41))</f>
        <v>0</v>
      </c>
      <c r="I331" s="117">
        <f t="shared" si="87"/>
        <v>0</v>
      </c>
      <c r="J331" s="118">
        <f>IF($D331="",0,IF($F331&lt;2,0,IF($E331="Win",('Guide &amp; Settings'!$C$42/(($F331-1)*COUNTIFS($A$4:$A$810,$A331,$E$4:$E$810,"Win")))*SUMIFS($X$4:$X$810,$A$4:$A$810,$A331,$E$4:$E$810,"Loss"),-('Guide &amp; Settings'!$C$42/($F331-1))*$X331)))</f>
        <v>0</v>
      </c>
      <c r="K331" s="118">
        <f>IF($D331="",0,'Guide &amp; Settings'!$C$43*(IF($E331="Win",1,0)-$I331))</f>
        <v>0</v>
      </c>
      <c r="L331" s="119">
        <f>IF($D331="",0,'Guide &amp; Settings'!$C$44*IF($F331&gt;=3,$F331,0))</f>
        <v>0</v>
      </c>
      <c r="M331" s="118">
        <f t="shared" si="88"/>
        <v>0</v>
      </c>
      <c r="N331" s="116">
        <f t="shared" si="89"/>
        <v>0</v>
      </c>
      <c r="O331" s="115" t="str">
        <f t="shared" si="90"/>
        <v/>
      </c>
      <c r="P331">
        <f t="shared" si="91"/>
        <v>0</v>
      </c>
      <c r="Q331">
        <f t="shared" si="92"/>
        <v>0</v>
      </c>
      <c r="R331">
        <f t="shared" si="93"/>
        <v>0</v>
      </c>
      <c r="S331">
        <f t="shared" si="94"/>
        <v>0</v>
      </c>
      <c r="T331" s="83">
        <f t="shared" si="95"/>
        <v>0</v>
      </c>
      <c r="U331" s="120">
        <f>IF($D331="",0,IFERROR(LOOKUP(2,1/(($D$3:D330=$D331)*($C$3:C330=$C331)*($A$3:A330&lt;$A331)),$AB$3:AB330),1000))</f>
        <v>0</v>
      </c>
      <c r="V331" s="120">
        <f t="shared" si="96"/>
        <v>0</v>
      </c>
      <c r="W331">
        <f t="shared" si="97"/>
        <v>0</v>
      </c>
      <c r="X331">
        <f t="shared" si="98"/>
        <v>0</v>
      </c>
      <c r="Y331">
        <f t="shared" si="99"/>
        <v>0</v>
      </c>
      <c r="Z331">
        <f t="shared" si="100"/>
        <v>0</v>
      </c>
      <c r="AA331">
        <f>IF($D331="",0,IF($F331&lt;2,0,IF($E331="Win",('Guide &amp; Settings'!$C$42/(($F331-1)*COUNTIFS($A$4:$A$810,$A331,$E$4:$E$810,"Win")))*SUMIFS($Z$4:$Z$810,$A$4:$A$810,$A331,$E$4:$E$810,"Loss"),-('Guide &amp; Settings'!$C$42/($F331-1))*$Z331)))</f>
        <v>0</v>
      </c>
      <c r="AB331" s="120">
        <f t="shared" si="101"/>
        <v>0</v>
      </c>
      <c r="AC331" s="120" t="str">
        <f>IF($D331="","",IF(SUMPRODUCT(MAX(($D$4:$D$810=$D331)*($B$4:$B$810&lt;$B331)*$B$4:$B$810))=0,0,MAX(($B331-MAX(SUMPRODUCT(MAX(($D$4:$D$810=$D331)*($B$4:$B$810&lt;$B331)*$B$4:$B$810)),'Guide &amp; Settings'!$C$50))/7-'Guide &amp; Settings'!$C$48,0)*'Guide &amp; Settings'!$C$49))</f>
        <v/>
      </c>
    </row>
    <row r="332" spans="1:29" x14ac:dyDescent="0.2">
      <c r="A332" s="111"/>
      <c r="B332" s="112"/>
      <c r="C332" s="113"/>
      <c r="D332" s="113"/>
      <c r="E332" s="111"/>
      <c r="F332" s="114">
        <f t="shared" si="85"/>
        <v>0</v>
      </c>
      <c r="G332" s="115" t="str">
        <f t="shared" si="86"/>
        <v/>
      </c>
      <c r="H332" s="116">
        <f>IF($D332="",0,IFERROR(LOOKUP(2,1/(($D$3:D331=$D332)*($A$3:A331&lt;$A332)),$N$3:N331),'Guide &amp; Settings'!$C$41))</f>
        <v>0</v>
      </c>
      <c r="I332" s="117">
        <f t="shared" si="87"/>
        <v>0</v>
      </c>
      <c r="J332" s="118">
        <f>IF($D332="",0,IF($F332&lt;2,0,IF($E332="Win",('Guide &amp; Settings'!$C$42/(($F332-1)*COUNTIFS($A$4:$A$810,$A332,$E$4:$E$810,"Win")))*SUMIFS($X$4:$X$810,$A$4:$A$810,$A332,$E$4:$E$810,"Loss"),-('Guide &amp; Settings'!$C$42/($F332-1))*$X332)))</f>
        <v>0</v>
      </c>
      <c r="K332" s="118">
        <f>IF($D332="",0,'Guide &amp; Settings'!$C$43*(IF($E332="Win",1,0)-$I332))</f>
        <v>0</v>
      </c>
      <c r="L332" s="119">
        <f>IF($D332="",0,'Guide &amp; Settings'!$C$44*IF($F332&gt;=3,$F332,0))</f>
        <v>0</v>
      </c>
      <c r="M332" s="118">
        <f t="shared" si="88"/>
        <v>0</v>
      </c>
      <c r="N332" s="116">
        <f t="shared" si="89"/>
        <v>0</v>
      </c>
      <c r="O332" s="115" t="str">
        <f t="shared" si="90"/>
        <v/>
      </c>
      <c r="P332">
        <f t="shared" si="91"/>
        <v>0</v>
      </c>
      <c r="Q332">
        <f t="shared" si="92"/>
        <v>0</v>
      </c>
      <c r="R332">
        <f t="shared" si="93"/>
        <v>0</v>
      </c>
      <c r="S332">
        <f t="shared" si="94"/>
        <v>0</v>
      </c>
      <c r="T332" s="83">
        <f t="shared" si="95"/>
        <v>0</v>
      </c>
      <c r="U332" s="120">
        <f>IF($D332="",0,IFERROR(LOOKUP(2,1/(($D$3:D331=$D332)*($C$3:C331=$C332)*($A$3:A331&lt;$A332)),$AB$3:AB331),1000))</f>
        <v>0</v>
      </c>
      <c r="V332" s="120">
        <f t="shared" si="96"/>
        <v>0</v>
      </c>
      <c r="W332">
        <f t="shared" si="97"/>
        <v>0</v>
      </c>
      <c r="X332">
        <f t="shared" si="98"/>
        <v>0</v>
      </c>
      <c r="Y332">
        <f t="shared" si="99"/>
        <v>0</v>
      </c>
      <c r="Z332">
        <f t="shared" si="100"/>
        <v>0</v>
      </c>
      <c r="AA332">
        <f>IF($D332="",0,IF($F332&lt;2,0,IF($E332="Win",('Guide &amp; Settings'!$C$42/(($F332-1)*COUNTIFS($A$4:$A$810,$A332,$E$4:$E$810,"Win")))*SUMIFS($Z$4:$Z$810,$A$4:$A$810,$A332,$E$4:$E$810,"Loss"),-('Guide &amp; Settings'!$C$42/($F332-1))*$Z332)))</f>
        <v>0</v>
      </c>
      <c r="AB332" s="120">
        <f t="shared" si="101"/>
        <v>0</v>
      </c>
      <c r="AC332" s="120" t="str">
        <f>IF($D332="","",IF(SUMPRODUCT(MAX(($D$4:$D$810=$D332)*($B$4:$B$810&lt;$B332)*$B$4:$B$810))=0,0,MAX(($B332-MAX(SUMPRODUCT(MAX(($D$4:$D$810=$D332)*($B$4:$B$810&lt;$B332)*$B$4:$B$810)),'Guide &amp; Settings'!$C$50))/7-'Guide &amp; Settings'!$C$48,0)*'Guide &amp; Settings'!$C$49))</f>
        <v/>
      </c>
    </row>
    <row r="333" spans="1:29" x14ac:dyDescent="0.2">
      <c r="A333" s="111"/>
      <c r="B333" s="112"/>
      <c r="C333" s="113"/>
      <c r="D333" s="113"/>
      <c r="E333" s="111"/>
      <c r="F333" s="114">
        <f t="shared" si="85"/>
        <v>0</v>
      </c>
      <c r="G333" s="115" t="str">
        <f t="shared" si="86"/>
        <v/>
      </c>
      <c r="H333" s="116">
        <f>IF($D333="",0,IFERROR(LOOKUP(2,1/(($D$3:D332=$D333)*($A$3:A332&lt;$A333)),$N$3:N332),'Guide &amp; Settings'!$C$41))</f>
        <v>0</v>
      </c>
      <c r="I333" s="117">
        <f t="shared" si="87"/>
        <v>0</v>
      </c>
      <c r="J333" s="118">
        <f>IF($D333="",0,IF($F333&lt;2,0,IF($E333="Win",('Guide &amp; Settings'!$C$42/(($F333-1)*COUNTIFS($A$4:$A$810,$A333,$E$4:$E$810,"Win")))*SUMIFS($X$4:$X$810,$A$4:$A$810,$A333,$E$4:$E$810,"Loss"),-('Guide &amp; Settings'!$C$42/($F333-1))*$X333)))</f>
        <v>0</v>
      </c>
      <c r="K333" s="118">
        <f>IF($D333="",0,'Guide &amp; Settings'!$C$43*(IF($E333="Win",1,0)-$I333))</f>
        <v>0</v>
      </c>
      <c r="L333" s="119">
        <f>IF($D333="",0,'Guide &amp; Settings'!$C$44*IF($F333&gt;=3,$F333,0))</f>
        <v>0</v>
      </c>
      <c r="M333" s="118">
        <f t="shared" si="88"/>
        <v>0</v>
      </c>
      <c r="N333" s="116">
        <f t="shared" si="89"/>
        <v>0</v>
      </c>
      <c r="O333" s="115" t="str">
        <f t="shared" si="90"/>
        <v/>
      </c>
      <c r="P333">
        <f t="shared" si="91"/>
        <v>0</v>
      </c>
      <c r="Q333">
        <f t="shared" si="92"/>
        <v>0</v>
      </c>
      <c r="R333">
        <f t="shared" si="93"/>
        <v>0</v>
      </c>
      <c r="S333">
        <f t="shared" si="94"/>
        <v>0</v>
      </c>
      <c r="T333" s="83">
        <f t="shared" si="95"/>
        <v>0</v>
      </c>
      <c r="U333" s="120">
        <f>IF($D333="",0,IFERROR(LOOKUP(2,1/(($D$3:D332=$D333)*($C$3:C332=$C333)*($A$3:A332&lt;$A333)),$AB$3:AB332),1000))</f>
        <v>0</v>
      </c>
      <c r="V333" s="120">
        <f t="shared" si="96"/>
        <v>0</v>
      </c>
      <c r="W333">
        <f t="shared" si="97"/>
        <v>0</v>
      </c>
      <c r="X333">
        <f t="shared" si="98"/>
        <v>0</v>
      </c>
      <c r="Y333">
        <f t="shared" si="99"/>
        <v>0</v>
      </c>
      <c r="Z333">
        <f t="shared" si="100"/>
        <v>0</v>
      </c>
      <c r="AA333">
        <f>IF($D333="",0,IF($F333&lt;2,0,IF($E333="Win",('Guide &amp; Settings'!$C$42/(($F333-1)*COUNTIFS($A$4:$A$810,$A333,$E$4:$E$810,"Win")))*SUMIFS($Z$4:$Z$810,$A$4:$A$810,$A333,$E$4:$E$810,"Loss"),-('Guide &amp; Settings'!$C$42/($F333-1))*$Z333)))</f>
        <v>0</v>
      </c>
      <c r="AB333" s="120">
        <f t="shared" si="101"/>
        <v>0</v>
      </c>
      <c r="AC333" s="120" t="str">
        <f>IF($D333="","",IF(SUMPRODUCT(MAX(($D$4:$D$810=$D333)*($B$4:$B$810&lt;$B333)*$B$4:$B$810))=0,0,MAX(($B333-MAX(SUMPRODUCT(MAX(($D$4:$D$810=$D333)*($B$4:$B$810&lt;$B333)*$B$4:$B$810)),'Guide &amp; Settings'!$C$50))/7-'Guide &amp; Settings'!$C$48,0)*'Guide &amp; Settings'!$C$49))</f>
        <v/>
      </c>
    </row>
    <row r="334" spans="1:29" x14ac:dyDescent="0.2">
      <c r="A334" s="111"/>
      <c r="B334" s="112"/>
      <c r="C334" s="113"/>
      <c r="D334" s="113"/>
      <c r="E334" s="111"/>
      <c r="F334" s="114">
        <f t="shared" si="85"/>
        <v>0</v>
      </c>
      <c r="G334" s="115" t="str">
        <f t="shared" si="86"/>
        <v/>
      </c>
      <c r="H334" s="116">
        <f>IF($D334="",0,IFERROR(LOOKUP(2,1/(($D$3:D333=$D334)*($A$3:A333&lt;$A334)),$N$3:N333),'Guide &amp; Settings'!$C$41))</f>
        <v>0</v>
      </c>
      <c r="I334" s="117">
        <f t="shared" si="87"/>
        <v>0</v>
      </c>
      <c r="J334" s="118">
        <f>IF($D334="",0,IF($F334&lt;2,0,IF($E334="Win",('Guide &amp; Settings'!$C$42/(($F334-1)*COUNTIFS($A$4:$A$810,$A334,$E$4:$E$810,"Win")))*SUMIFS($X$4:$X$810,$A$4:$A$810,$A334,$E$4:$E$810,"Loss"),-('Guide &amp; Settings'!$C$42/($F334-1))*$X334)))</f>
        <v>0</v>
      </c>
      <c r="K334" s="118">
        <f>IF($D334="",0,'Guide &amp; Settings'!$C$43*(IF($E334="Win",1,0)-$I334))</f>
        <v>0</v>
      </c>
      <c r="L334" s="119">
        <f>IF($D334="",0,'Guide &amp; Settings'!$C$44*IF($F334&gt;=3,$F334,0))</f>
        <v>0</v>
      </c>
      <c r="M334" s="118">
        <f t="shared" si="88"/>
        <v>0</v>
      </c>
      <c r="N334" s="116">
        <f t="shared" si="89"/>
        <v>0</v>
      </c>
      <c r="O334" s="115" t="str">
        <f t="shared" si="90"/>
        <v/>
      </c>
      <c r="P334">
        <f t="shared" si="91"/>
        <v>0</v>
      </c>
      <c r="Q334">
        <f t="shared" si="92"/>
        <v>0</v>
      </c>
      <c r="R334">
        <f t="shared" si="93"/>
        <v>0</v>
      </c>
      <c r="S334">
        <f t="shared" si="94"/>
        <v>0</v>
      </c>
      <c r="T334" s="83">
        <f t="shared" si="95"/>
        <v>0</v>
      </c>
      <c r="U334" s="120">
        <f>IF($D334="",0,IFERROR(LOOKUP(2,1/(($D$3:D333=$D334)*($C$3:C333=$C334)*($A$3:A333&lt;$A334)),$AB$3:AB333),1000))</f>
        <v>0</v>
      </c>
      <c r="V334" s="120">
        <f t="shared" si="96"/>
        <v>0</v>
      </c>
      <c r="W334">
        <f t="shared" si="97"/>
        <v>0</v>
      </c>
      <c r="X334">
        <f t="shared" si="98"/>
        <v>0</v>
      </c>
      <c r="Y334">
        <f t="shared" si="99"/>
        <v>0</v>
      </c>
      <c r="Z334">
        <f t="shared" si="100"/>
        <v>0</v>
      </c>
      <c r="AA334">
        <f>IF($D334="",0,IF($F334&lt;2,0,IF($E334="Win",('Guide &amp; Settings'!$C$42/(($F334-1)*COUNTIFS($A$4:$A$810,$A334,$E$4:$E$810,"Win")))*SUMIFS($Z$4:$Z$810,$A$4:$A$810,$A334,$E$4:$E$810,"Loss"),-('Guide &amp; Settings'!$C$42/($F334-1))*$Z334)))</f>
        <v>0</v>
      </c>
      <c r="AB334" s="120">
        <f t="shared" si="101"/>
        <v>0</v>
      </c>
      <c r="AC334" s="120" t="str">
        <f>IF($D334="","",IF(SUMPRODUCT(MAX(($D$4:$D$810=$D334)*($B$4:$B$810&lt;$B334)*$B$4:$B$810))=0,0,MAX(($B334-MAX(SUMPRODUCT(MAX(($D$4:$D$810=$D334)*($B$4:$B$810&lt;$B334)*$B$4:$B$810)),'Guide &amp; Settings'!$C$50))/7-'Guide &amp; Settings'!$C$48,0)*'Guide &amp; Settings'!$C$49))</f>
        <v/>
      </c>
    </row>
    <row r="335" spans="1:29" x14ac:dyDescent="0.2">
      <c r="A335" s="111"/>
      <c r="B335" s="112"/>
      <c r="C335" s="113"/>
      <c r="D335" s="113"/>
      <c r="E335" s="111"/>
      <c r="F335" s="114">
        <f t="shared" si="85"/>
        <v>0</v>
      </c>
      <c r="G335" s="115" t="str">
        <f t="shared" si="86"/>
        <v/>
      </c>
      <c r="H335" s="116">
        <f>IF($D335="",0,IFERROR(LOOKUP(2,1/(($D$3:D334=$D335)*($A$3:A334&lt;$A335)),$N$3:N334),'Guide &amp; Settings'!$C$41))</f>
        <v>0</v>
      </c>
      <c r="I335" s="117">
        <f t="shared" si="87"/>
        <v>0</v>
      </c>
      <c r="J335" s="118">
        <f>IF($D335="",0,IF($F335&lt;2,0,IF($E335="Win",('Guide &amp; Settings'!$C$42/(($F335-1)*COUNTIFS($A$4:$A$810,$A335,$E$4:$E$810,"Win")))*SUMIFS($X$4:$X$810,$A$4:$A$810,$A335,$E$4:$E$810,"Loss"),-('Guide &amp; Settings'!$C$42/($F335-1))*$X335)))</f>
        <v>0</v>
      </c>
      <c r="K335" s="118">
        <f>IF($D335="",0,'Guide &amp; Settings'!$C$43*(IF($E335="Win",1,0)-$I335))</f>
        <v>0</v>
      </c>
      <c r="L335" s="119">
        <f>IF($D335="",0,'Guide &amp; Settings'!$C$44*IF($F335&gt;=3,$F335,0))</f>
        <v>0</v>
      </c>
      <c r="M335" s="118">
        <f t="shared" si="88"/>
        <v>0</v>
      </c>
      <c r="N335" s="116">
        <f t="shared" si="89"/>
        <v>0</v>
      </c>
      <c r="O335" s="115" t="str">
        <f t="shared" si="90"/>
        <v/>
      </c>
      <c r="P335">
        <f t="shared" si="91"/>
        <v>0</v>
      </c>
      <c r="Q335">
        <f t="shared" si="92"/>
        <v>0</v>
      </c>
      <c r="R335">
        <f t="shared" si="93"/>
        <v>0</v>
      </c>
      <c r="S335">
        <f t="shared" si="94"/>
        <v>0</v>
      </c>
      <c r="T335" s="83">
        <f t="shared" si="95"/>
        <v>0</v>
      </c>
      <c r="U335" s="120">
        <f>IF($D335="",0,IFERROR(LOOKUP(2,1/(($D$3:D334=$D335)*($C$3:C334=$C335)*($A$3:A334&lt;$A335)),$AB$3:AB334),1000))</f>
        <v>0</v>
      </c>
      <c r="V335" s="120">
        <f t="shared" si="96"/>
        <v>0</v>
      </c>
      <c r="W335">
        <f t="shared" si="97"/>
        <v>0</v>
      </c>
      <c r="X335">
        <f t="shared" si="98"/>
        <v>0</v>
      </c>
      <c r="Y335">
        <f t="shared" si="99"/>
        <v>0</v>
      </c>
      <c r="Z335">
        <f t="shared" si="100"/>
        <v>0</v>
      </c>
      <c r="AA335">
        <f>IF($D335="",0,IF($F335&lt;2,0,IF($E335="Win",('Guide &amp; Settings'!$C$42/(($F335-1)*COUNTIFS($A$4:$A$810,$A335,$E$4:$E$810,"Win")))*SUMIFS($Z$4:$Z$810,$A$4:$A$810,$A335,$E$4:$E$810,"Loss"),-('Guide &amp; Settings'!$C$42/($F335-1))*$Z335)))</f>
        <v>0</v>
      </c>
      <c r="AB335" s="120">
        <f t="shared" si="101"/>
        <v>0</v>
      </c>
      <c r="AC335" s="120" t="str">
        <f>IF($D335="","",IF(SUMPRODUCT(MAX(($D$4:$D$810=$D335)*($B$4:$B$810&lt;$B335)*$B$4:$B$810))=0,0,MAX(($B335-MAX(SUMPRODUCT(MAX(($D$4:$D$810=$D335)*($B$4:$B$810&lt;$B335)*$B$4:$B$810)),'Guide &amp; Settings'!$C$50))/7-'Guide &amp; Settings'!$C$48,0)*'Guide &amp; Settings'!$C$49))</f>
        <v/>
      </c>
    </row>
    <row r="336" spans="1:29" x14ac:dyDescent="0.2">
      <c r="A336" s="111"/>
      <c r="B336" s="112"/>
      <c r="C336" s="113"/>
      <c r="D336" s="113"/>
      <c r="E336" s="111"/>
      <c r="F336" s="114">
        <f t="shared" si="85"/>
        <v>0</v>
      </c>
      <c r="G336" s="115" t="str">
        <f t="shared" si="86"/>
        <v/>
      </c>
      <c r="H336" s="116">
        <f>IF($D336="",0,IFERROR(LOOKUP(2,1/(($D$3:D335=$D336)*($A$3:A335&lt;$A336)),$N$3:N335),'Guide &amp; Settings'!$C$41))</f>
        <v>0</v>
      </c>
      <c r="I336" s="117">
        <f t="shared" si="87"/>
        <v>0</v>
      </c>
      <c r="J336" s="118">
        <f>IF($D336="",0,IF($F336&lt;2,0,IF($E336="Win",('Guide &amp; Settings'!$C$42/(($F336-1)*COUNTIFS($A$4:$A$810,$A336,$E$4:$E$810,"Win")))*SUMIFS($X$4:$X$810,$A$4:$A$810,$A336,$E$4:$E$810,"Loss"),-('Guide &amp; Settings'!$C$42/($F336-1))*$X336)))</f>
        <v>0</v>
      </c>
      <c r="K336" s="118">
        <f>IF($D336="",0,'Guide &amp; Settings'!$C$43*(IF($E336="Win",1,0)-$I336))</f>
        <v>0</v>
      </c>
      <c r="L336" s="119">
        <f>IF($D336="",0,'Guide &amp; Settings'!$C$44*IF($F336&gt;=3,$F336,0))</f>
        <v>0</v>
      </c>
      <c r="M336" s="118">
        <f t="shared" si="88"/>
        <v>0</v>
      </c>
      <c r="N336" s="116">
        <f t="shared" si="89"/>
        <v>0</v>
      </c>
      <c r="O336" s="115" t="str">
        <f t="shared" si="90"/>
        <v/>
      </c>
      <c r="P336">
        <f t="shared" si="91"/>
        <v>0</v>
      </c>
      <c r="Q336">
        <f t="shared" si="92"/>
        <v>0</v>
      </c>
      <c r="R336">
        <f t="shared" si="93"/>
        <v>0</v>
      </c>
      <c r="S336">
        <f t="shared" si="94"/>
        <v>0</v>
      </c>
      <c r="T336" s="83">
        <f t="shared" si="95"/>
        <v>0</v>
      </c>
      <c r="U336" s="120">
        <f>IF($D336="",0,IFERROR(LOOKUP(2,1/(($D$3:D335=$D336)*($C$3:C335=$C336)*($A$3:A335&lt;$A336)),$AB$3:AB335),1000))</f>
        <v>0</v>
      </c>
      <c r="V336" s="120">
        <f t="shared" si="96"/>
        <v>0</v>
      </c>
      <c r="W336">
        <f t="shared" si="97"/>
        <v>0</v>
      </c>
      <c r="X336">
        <f t="shared" si="98"/>
        <v>0</v>
      </c>
      <c r="Y336">
        <f t="shared" si="99"/>
        <v>0</v>
      </c>
      <c r="Z336">
        <f t="shared" si="100"/>
        <v>0</v>
      </c>
      <c r="AA336">
        <f>IF($D336="",0,IF($F336&lt;2,0,IF($E336="Win",('Guide &amp; Settings'!$C$42/(($F336-1)*COUNTIFS($A$4:$A$810,$A336,$E$4:$E$810,"Win")))*SUMIFS($Z$4:$Z$810,$A$4:$A$810,$A336,$E$4:$E$810,"Loss"),-('Guide &amp; Settings'!$C$42/($F336-1))*$Z336)))</f>
        <v>0</v>
      </c>
      <c r="AB336" s="120">
        <f t="shared" si="101"/>
        <v>0</v>
      </c>
      <c r="AC336" s="120" t="str">
        <f>IF($D336="","",IF(SUMPRODUCT(MAX(($D$4:$D$810=$D336)*($B$4:$B$810&lt;$B336)*$B$4:$B$810))=0,0,MAX(($B336-MAX(SUMPRODUCT(MAX(($D$4:$D$810=$D336)*($B$4:$B$810&lt;$B336)*$B$4:$B$810)),'Guide &amp; Settings'!$C$50))/7-'Guide &amp; Settings'!$C$48,0)*'Guide &amp; Settings'!$C$49))</f>
        <v/>
      </c>
    </row>
    <row r="337" spans="1:29" x14ac:dyDescent="0.2">
      <c r="A337" s="111"/>
      <c r="B337" s="112"/>
      <c r="C337" s="113"/>
      <c r="D337" s="113"/>
      <c r="E337" s="111"/>
      <c r="F337" s="114">
        <f t="shared" si="85"/>
        <v>0</v>
      </c>
      <c r="G337" s="115" t="str">
        <f t="shared" si="86"/>
        <v/>
      </c>
      <c r="H337" s="116">
        <f>IF($D337="",0,IFERROR(LOOKUP(2,1/(($D$3:D336=$D337)*($A$3:A336&lt;$A337)),$N$3:N336),'Guide &amp; Settings'!$C$41))</f>
        <v>0</v>
      </c>
      <c r="I337" s="117">
        <f t="shared" si="87"/>
        <v>0</v>
      </c>
      <c r="J337" s="118">
        <f>IF($D337="",0,IF($F337&lt;2,0,IF($E337="Win",('Guide &amp; Settings'!$C$42/(($F337-1)*COUNTIFS($A$4:$A$810,$A337,$E$4:$E$810,"Win")))*SUMIFS($X$4:$X$810,$A$4:$A$810,$A337,$E$4:$E$810,"Loss"),-('Guide &amp; Settings'!$C$42/($F337-1))*$X337)))</f>
        <v>0</v>
      </c>
      <c r="K337" s="118">
        <f>IF($D337="",0,'Guide &amp; Settings'!$C$43*(IF($E337="Win",1,0)-$I337))</f>
        <v>0</v>
      </c>
      <c r="L337" s="119">
        <f>IF($D337="",0,'Guide &amp; Settings'!$C$44*IF($F337&gt;=3,$F337,0))</f>
        <v>0</v>
      </c>
      <c r="M337" s="118">
        <f t="shared" si="88"/>
        <v>0</v>
      </c>
      <c r="N337" s="116">
        <f t="shared" si="89"/>
        <v>0</v>
      </c>
      <c r="O337" s="115" t="str">
        <f t="shared" si="90"/>
        <v/>
      </c>
      <c r="P337">
        <f t="shared" si="91"/>
        <v>0</v>
      </c>
      <c r="Q337">
        <f t="shared" si="92"/>
        <v>0</v>
      </c>
      <c r="R337">
        <f t="shared" si="93"/>
        <v>0</v>
      </c>
      <c r="S337">
        <f t="shared" si="94"/>
        <v>0</v>
      </c>
      <c r="T337" s="83">
        <f t="shared" si="95"/>
        <v>0</v>
      </c>
      <c r="U337" s="120">
        <f>IF($D337="",0,IFERROR(LOOKUP(2,1/(($D$3:D336=$D337)*($C$3:C336=$C337)*($A$3:A336&lt;$A337)),$AB$3:AB336),1000))</f>
        <v>0</v>
      </c>
      <c r="V337" s="120">
        <f t="shared" si="96"/>
        <v>0</v>
      </c>
      <c r="W337">
        <f t="shared" si="97"/>
        <v>0</v>
      </c>
      <c r="X337">
        <f t="shared" si="98"/>
        <v>0</v>
      </c>
      <c r="Y337">
        <f t="shared" si="99"/>
        <v>0</v>
      </c>
      <c r="Z337">
        <f t="shared" si="100"/>
        <v>0</v>
      </c>
      <c r="AA337">
        <f>IF($D337="",0,IF($F337&lt;2,0,IF($E337="Win",('Guide &amp; Settings'!$C$42/(($F337-1)*COUNTIFS($A$4:$A$810,$A337,$E$4:$E$810,"Win")))*SUMIFS($Z$4:$Z$810,$A$4:$A$810,$A337,$E$4:$E$810,"Loss"),-('Guide &amp; Settings'!$C$42/($F337-1))*$Z337)))</f>
        <v>0</v>
      </c>
      <c r="AB337" s="120">
        <f t="shared" si="101"/>
        <v>0</v>
      </c>
      <c r="AC337" s="120" t="str">
        <f>IF($D337="","",IF(SUMPRODUCT(MAX(($D$4:$D$810=$D337)*($B$4:$B$810&lt;$B337)*$B$4:$B$810))=0,0,MAX(($B337-MAX(SUMPRODUCT(MAX(($D$4:$D$810=$D337)*($B$4:$B$810&lt;$B337)*$B$4:$B$810)),'Guide &amp; Settings'!$C$50))/7-'Guide &amp; Settings'!$C$48,0)*'Guide &amp; Settings'!$C$49))</f>
        <v/>
      </c>
    </row>
    <row r="338" spans="1:29" x14ac:dyDescent="0.2">
      <c r="A338" s="111"/>
      <c r="B338" s="112"/>
      <c r="C338" s="113"/>
      <c r="D338" s="113"/>
      <c r="E338" s="111"/>
      <c r="F338" s="114">
        <f t="shared" si="85"/>
        <v>0</v>
      </c>
      <c r="G338" s="115" t="str">
        <f t="shared" si="86"/>
        <v/>
      </c>
      <c r="H338" s="116">
        <f>IF($D338="",0,IFERROR(LOOKUP(2,1/(($D$3:D337=$D338)*($A$3:A337&lt;$A338)),$N$3:N337),'Guide &amp; Settings'!$C$41))</f>
        <v>0</v>
      </c>
      <c r="I338" s="117">
        <f t="shared" si="87"/>
        <v>0</v>
      </c>
      <c r="J338" s="118">
        <f>IF($D338="",0,IF($F338&lt;2,0,IF($E338="Win",('Guide &amp; Settings'!$C$42/(($F338-1)*COUNTIFS($A$4:$A$810,$A338,$E$4:$E$810,"Win")))*SUMIFS($X$4:$X$810,$A$4:$A$810,$A338,$E$4:$E$810,"Loss"),-('Guide &amp; Settings'!$C$42/($F338-1))*$X338)))</f>
        <v>0</v>
      </c>
      <c r="K338" s="118">
        <f>IF($D338="",0,'Guide &amp; Settings'!$C$43*(IF($E338="Win",1,0)-$I338))</f>
        <v>0</v>
      </c>
      <c r="L338" s="119">
        <f>IF($D338="",0,'Guide &amp; Settings'!$C$44*IF($F338&gt;=3,$F338,0))</f>
        <v>0</v>
      </c>
      <c r="M338" s="118">
        <f t="shared" si="88"/>
        <v>0</v>
      </c>
      <c r="N338" s="116">
        <f t="shared" si="89"/>
        <v>0</v>
      </c>
      <c r="O338" s="115" t="str">
        <f t="shared" si="90"/>
        <v/>
      </c>
      <c r="P338">
        <f t="shared" si="91"/>
        <v>0</v>
      </c>
      <c r="Q338">
        <f t="shared" si="92"/>
        <v>0</v>
      </c>
      <c r="R338">
        <f t="shared" si="93"/>
        <v>0</v>
      </c>
      <c r="S338">
        <f t="shared" si="94"/>
        <v>0</v>
      </c>
      <c r="T338" s="83">
        <f t="shared" si="95"/>
        <v>0</v>
      </c>
      <c r="U338" s="120">
        <f>IF($D338="",0,IFERROR(LOOKUP(2,1/(($D$3:D337=$D338)*($C$3:C337=$C338)*($A$3:A337&lt;$A338)),$AB$3:AB337),1000))</f>
        <v>0</v>
      </c>
      <c r="V338" s="120">
        <f t="shared" si="96"/>
        <v>0</v>
      </c>
      <c r="W338">
        <f t="shared" si="97"/>
        <v>0</v>
      </c>
      <c r="X338">
        <f t="shared" si="98"/>
        <v>0</v>
      </c>
      <c r="Y338">
        <f t="shared" si="99"/>
        <v>0</v>
      </c>
      <c r="Z338">
        <f t="shared" si="100"/>
        <v>0</v>
      </c>
      <c r="AA338">
        <f>IF($D338="",0,IF($F338&lt;2,0,IF($E338="Win",('Guide &amp; Settings'!$C$42/(($F338-1)*COUNTIFS($A$4:$A$810,$A338,$E$4:$E$810,"Win")))*SUMIFS($Z$4:$Z$810,$A$4:$A$810,$A338,$E$4:$E$810,"Loss"),-('Guide &amp; Settings'!$C$42/($F338-1))*$Z338)))</f>
        <v>0</v>
      </c>
      <c r="AB338" s="120">
        <f t="shared" si="101"/>
        <v>0</v>
      </c>
      <c r="AC338" s="120" t="str">
        <f>IF($D338="","",IF(SUMPRODUCT(MAX(($D$4:$D$810=$D338)*($B$4:$B$810&lt;$B338)*$B$4:$B$810))=0,0,MAX(($B338-MAX(SUMPRODUCT(MAX(($D$4:$D$810=$D338)*($B$4:$B$810&lt;$B338)*$B$4:$B$810)),'Guide &amp; Settings'!$C$50))/7-'Guide &amp; Settings'!$C$48,0)*'Guide &amp; Settings'!$C$49))</f>
        <v/>
      </c>
    </row>
    <row r="339" spans="1:29" x14ac:dyDescent="0.2">
      <c r="A339" s="111"/>
      <c r="B339" s="112"/>
      <c r="C339" s="113"/>
      <c r="D339" s="113"/>
      <c r="E339" s="111"/>
      <c r="F339" s="114">
        <f t="shared" si="85"/>
        <v>0</v>
      </c>
      <c r="G339" s="115" t="str">
        <f t="shared" si="86"/>
        <v/>
      </c>
      <c r="H339" s="116">
        <f>IF($D339="",0,IFERROR(LOOKUP(2,1/(($D$3:D338=$D339)*($A$3:A338&lt;$A339)),$N$3:N338),'Guide &amp; Settings'!$C$41))</f>
        <v>0</v>
      </c>
      <c r="I339" s="117">
        <f t="shared" si="87"/>
        <v>0</v>
      </c>
      <c r="J339" s="118">
        <f>IF($D339="",0,IF($F339&lt;2,0,IF($E339="Win",('Guide &amp; Settings'!$C$42/(($F339-1)*COUNTIFS($A$4:$A$810,$A339,$E$4:$E$810,"Win")))*SUMIFS($X$4:$X$810,$A$4:$A$810,$A339,$E$4:$E$810,"Loss"),-('Guide &amp; Settings'!$C$42/($F339-1))*$X339)))</f>
        <v>0</v>
      </c>
      <c r="K339" s="118">
        <f>IF($D339="",0,'Guide &amp; Settings'!$C$43*(IF($E339="Win",1,0)-$I339))</f>
        <v>0</v>
      </c>
      <c r="L339" s="119">
        <f>IF($D339="",0,'Guide &amp; Settings'!$C$44*IF($F339&gt;=3,$F339,0))</f>
        <v>0</v>
      </c>
      <c r="M339" s="118">
        <f t="shared" si="88"/>
        <v>0</v>
      </c>
      <c r="N339" s="116">
        <f t="shared" si="89"/>
        <v>0</v>
      </c>
      <c r="O339" s="115" t="str">
        <f t="shared" si="90"/>
        <v/>
      </c>
      <c r="P339">
        <f t="shared" si="91"/>
        <v>0</v>
      </c>
      <c r="Q339">
        <f t="shared" si="92"/>
        <v>0</v>
      </c>
      <c r="R339">
        <f t="shared" si="93"/>
        <v>0</v>
      </c>
      <c r="S339">
        <f t="shared" si="94"/>
        <v>0</v>
      </c>
      <c r="T339" s="83">
        <f t="shared" si="95"/>
        <v>0</v>
      </c>
      <c r="U339" s="120">
        <f>IF($D339="",0,IFERROR(LOOKUP(2,1/(($D$3:D338=$D339)*($C$3:C338=$C339)*($A$3:A338&lt;$A339)),$AB$3:AB338),1000))</f>
        <v>0</v>
      </c>
      <c r="V339" s="120">
        <f t="shared" si="96"/>
        <v>0</v>
      </c>
      <c r="W339">
        <f t="shared" si="97"/>
        <v>0</v>
      </c>
      <c r="X339">
        <f t="shared" si="98"/>
        <v>0</v>
      </c>
      <c r="Y339">
        <f t="shared" si="99"/>
        <v>0</v>
      </c>
      <c r="Z339">
        <f t="shared" si="100"/>
        <v>0</v>
      </c>
      <c r="AA339">
        <f>IF($D339="",0,IF($F339&lt;2,0,IF($E339="Win",('Guide &amp; Settings'!$C$42/(($F339-1)*COUNTIFS($A$4:$A$810,$A339,$E$4:$E$810,"Win")))*SUMIFS($Z$4:$Z$810,$A$4:$A$810,$A339,$E$4:$E$810,"Loss"),-('Guide &amp; Settings'!$C$42/($F339-1))*$Z339)))</f>
        <v>0</v>
      </c>
      <c r="AB339" s="120">
        <f t="shared" si="101"/>
        <v>0</v>
      </c>
      <c r="AC339" s="120" t="str">
        <f>IF($D339="","",IF(SUMPRODUCT(MAX(($D$4:$D$810=$D339)*($B$4:$B$810&lt;$B339)*$B$4:$B$810))=0,0,MAX(($B339-MAX(SUMPRODUCT(MAX(($D$4:$D$810=$D339)*($B$4:$B$810&lt;$B339)*$B$4:$B$810)),'Guide &amp; Settings'!$C$50))/7-'Guide &amp; Settings'!$C$48,0)*'Guide &amp; Settings'!$C$49))</f>
        <v/>
      </c>
    </row>
    <row r="340" spans="1:29" x14ac:dyDescent="0.2">
      <c r="A340" s="111"/>
      <c r="B340" s="112"/>
      <c r="C340" s="113"/>
      <c r="D340" s="113"/>
      <c r="E340" s="111"/>
      <c r="F340" s="114">
        <f t="shared" si="85"/>
        <v>0</v>
      </c>
      <c r="G340" s="115" t="str">
        <f t="shared" si="86"/>
        <v/>
      </c>
      <c r="H340" s="116">
        <f>IF($D340="",0,IFERROR(LOOKUP(2,1/(($D$3:D339=$D340)*($A$3:A339&lt;$A340)),$N$3:N339),'Guide &amp; Settings'!$C$41))</f>
        <v>0</v>
      </c>
      <c r="I340" s="117">
        <f t="shared" si="87"/>
        <v>0</v>
      </c>
      <c r="J340" s="118">
        <f>IF($D340="",0,IF($F340&lt;2,0,IF($E340="Win",('Guide &amp; Settings'!$C$42/(($F340-1)*COUNTIFS($A$4:$A$810,$A340,$E$4:$E$810,"Win")))*SUMIFS($X$4:$X$810,$A$4:$A$810,$A340,$E$4:$E$810,"Loss"),-('Guide &amp; Settings'!$C$42/($F340-1))*$X340)))</f>
        <v>0</v>
      </c>
      <c r="K340" s="118">
        <f>IF($D340="",0,'Guide &amp; Settings'!$C$43*(IF($E340="Win",1,0)-$I340))</f>
        <v>0</v>
      </c>
      <c r="L340" s="119">
        <f>IF($D340="",0,'Guide &amp; Settings'!$C$44*IF($F340&gt;=3,$F340,0))</f>
        <v>0</v>
      </c>
      <c r="M340" s="118">
        <f t="shared" si="88"/>
        <v>0</v>
      </c>
      <c r="N340" s="116">
        <f t="shared" si="89"/>
        <v>0</v>
      </c>
      <c r="O340" s="115" t="str">
        <f t="shared" si="90"/>
        <v/>
      </c>
      <c r="P340">
        <f t="shared" si="91"/>
        <v>0</v>
      </c>
      <c r="Q340">
        <f t="shared" si="92"/>
        <v>0</v>
      </c>
      <c r="R340">
        <f t="shared" si="93"/>
        <v>0</v>
      </c>
      <c r="S340">
        <f t="shared" si="94"/>
        <v>0</v>
      </c>
      <c r="T340" s="83">
        <f t="shared" si="95"/>
        <v>0</v>
      </c>
      <c r="U340" s="120">
        <f>IF($D340="",0,IFERROR(LOOKUP(2,1/(($D$3:D339=$D340)*($C$3:C339=$C340)*($A$3:A339&lt;$A340)),$AB$3:AB339),1000))</f>
        <v>0</v>
      </c>
      <c r="V340" s="120">
        <f t="shared" si="96"/>
        <v>0</v>
      </c>
      <c r="W340">
        <f t="shared" si="97"/>
        <v>0</v>
      </c>
      <c r="X340">
        <f t="shared" si="98"/>
        <v>0</v>
      </c>
      <c r="Y340">
        <f t="shared" si="99"/>
        <v>0</v>
      </c>
      <c r="Z340">
        <f t="shared" si="100"/>
        <v>0</v>
      </c>
      <c r="AA340">
        <f>IF($D340="",0,IF($F340&lt;2,0,IF($E340="Win",('Guide &amp; Settings'!$C$42/(($F340-1)*COUNTIFS($A$4:$A$810,$A340,$E$4:$E$810,"Win")))*SUMIFS($Z$4:$Z$810,$A$4:$A$810,$A340,$E$4:$E$810,"Loss"),-('Guide &amp; Settings'!$C$42/($F340-1))*$Z340)))</f>
        <v>0</v>
      </c>
      <c r="AB340" s="120">
        <f t="shared" si="101"/>
        <v>0</v>
      </c>
      <c r="AC340" s="120" t="str">
        <f>IF($D340="","",IF(SUMPRODUCT(MAX(($D$4:$D$810=$D340)*($B$4:$B$810&lt;$B340)*$B$4:$B$810))=0,0,MAX(($B340-MAX(SUMPRODUCT(MAX(($D$4:$D$810=$D340)*($B$4:$B$810&lt;$B340)*$B$4:$B$810)),'Guide &amp; Settings'!$C$50))/7-'Guide &amp; Settings'!$C$48,0)*'Guide &amp; Settings'!$C$49))</f>
        <v/>
      </c>
    </row>
    <row r="341" spans="1:29" x14ac:dyDescent="0.2">
      <c r="A341" s="111"/>
      <c r="B341" s="112"/>
      <c r="C341" s="113"/>
      <c r="D341" s="113"/>
      <c r="E341" s="111"/>
      <c r="F341" s="114">
        <f t="shared" si="85"/>
        <v>0</v>
      </c>
      <c r="G341" s="115" t="str">
        <f t="shared" si="86"/>
        <v/>
      </c>
      <c r="H341" s="116">
        <f>IF($D341="",0,IFERROR(LOOKUP(2,1/(($D$3:D340=$D341)*($A$3:A340&lt;$A341)),$N$3:N340),'Guide &amp; Settings'!$C$41))</f>
        <v>0</v>
      </c>
      <c r="I341" s="117">
        <f t="shared" si="87"/>
        <v>0</v>
      </c>
      <c r="J341" s="118">
        <f>IF($D341="",0,IF($F341&lt;2,0,IF($E341="Win",('Guide &amp; Settings'!$C$42/(($F341-1)*COUNTIFS($A$4:$A$810,$A341,$E$4:$E$810,"Win")))*SUMIFS($X$4:$X$810,$A$4:$A$810,$A341,$E$4:$E$810,"Loss"),-('Guide &amp; Settings'!$C$42/($F341-1))*$X341)))</f>
        <v>0</v>
      </c>
      <c r="K341" s="118">
        <f>IF($D341="",0,'Guide &amp; Settings'!$C$43*(IF($E341="Win",1,0)-$I341))</f>
        <v>0</v>
      </c>
      <c r="L341" s="119">
        <f>IF($D341="",0,'Guide &amp; Settings'!$C$44*IF($F341&gt;=3,$F341,0))</f>
        <v>0</v>
      </c>
      <c r="M341" s="118">
        <f t="shared" si="88"/>
        <v>0</v>
      </c>
      <c r="N341" s="116">
        <f t="shared" si="89"/>
        <v>0</v>
      </c>
      <c r="O341" s="115" t="str">
        <f t="shared" si="90"/>
        <v/>
      </c>
      <c r="P341">
        <f t="shared" si="91"/>
        <v>0</v>
      </c>
      <c r="Q341">
        <f t="shared" si="92"/>
        <v>0</v>
      </c>
      <c r="R341">
        <f t="shared" si="93"/>
        <v>0</v>
      </c>
      <c r="S341">
        <f t="shared" si="94"/>
        <v>0</v>
      </c>
      <c r="T341" s="83">
        <f t="shared" si="95"/>
        <v>0</v>
      </c>
      <c r="U341" s="120">
        <f>IF($D341="",0,IFERROR(LOOKUP(2,1/(($D$3:D340=$D341)*($C$3:C340=$C341)*($A$3:A340&lt;$A341)),$AB$3:AB340),1000))</f>
        <v>0</v>
      </c>
      <c r="V341" s="120">
        <f t="shared" si="96"/>
        <v>0</v>
      </c>
      <c r="W341">
        <f t="shared" si="97"/>
        <v>0</v>
      </c>
      <c r="X341">
        <f t="shared" si="98"/>
        <v>0</v>
      </c>
      <c r="Y341">
        <f t="shared" si="99"/>
        <v>0</v>
      </c>
      <c r="Z341">
        <f t="shared" si="100"/>
        <v>0</v>
      </c>
      <c r="AA341">
        <f>IF($D341="",0,IF($F341&lt;2,0,IF($E341="Win",('Guide &amp; Settings'!$C$42/(($F341-1)*COUNTIFS($A$4:$A$810,$A341,$E$4:$E$810,"Win")))*SUMIFS($Z$4:$Z$810,$A$4:$A$810,$A341,$E$4:$E$810,"Loss"),-('Guide &amp; Settings'!$C$42/($F341-1))*$Z341)))</f>
        <v>0</v>
      </c>
      <c r="AB341" s="120">
        <f t="shared" si="101"/>
        <v>0</v>
      </c>
      <c r="AC341" s="120" t="str">
        <f>IF($D341="","",IF(SUMPRODUCT(MAX(($D$4:$D$810=$D341)*($B$4:$B$810&lt;$B341)*$B$4:$B$810))=0,0,MAX(($B341-MAX(SUMPRODUCT(MAX(($D$4:$D$810=$D341)*($B$4:$B$810&lt;$B341)*$B$4:$B$810)),'Guide &amp; Settings'!$C$50))/7-'Guide &amp; Settings'!$C$48,0)*'Guide &amp; Settings'!$C$49))</f>
        <v/>
      </c>
    </row>
    <row r="342" spans="1:29" x14ac:dyDescent="0.2">
      <c r="A342" s="111"/>
      <c r="B342" s="112"/>
      <c r="C342" s="113"/>
      <c r="D342" s="113"/>
      <c r="E342" s="111"/>
      <c r="F342" s="114">
        <f t="shared" si="85"/>
        <v>0</v>
      </c>
      <c r="G342" s="115" t="str">
        <f t="shared" si="86"/>
        <v/>
      </c>
      <c r="H342" s="116">
        <f>IF($D342="",0,IFERROR(LOOKUP(2,1/(($D$3:D341=$D342)*($A$3:A341&lt;$A342)),$N$3:N341),'Guide &amp; Settings'!$C$41))</f>
        <v>0</v>
      </c>
      <c r="I342" s="117">
        <f t="shared" si="87"/>
        <v>0</v>
      </c>
      <c r="J342" s="118">
        <f>IF($D342="",0,IF($F342&lt;2,0,IF($E342="Win",('Guide &amp; Settings'!$C$42/(($F342-1)*COUNTIFS($A$4:$A$810,$A342,$E$4:$E$810,"Win")))*SUMIFS($X$4:$X$810,$A$4:$A$810,$A342,$E$4:$E$810,"Loss"),-('Guide &amp; Settings'!$C$42/($F342-1))*$X342)))</f>
        <v>0</v>
      </c>
      <c r="K342" s="118">
        <f>IF($D342="",0,'Guide &amp; Settings'!$C$43*(IF($E342="Win",1,0)-$I342))</f>
        <v>0</v>
      </c>
      <c r="L342" s="119">
        <f>IF($D342="",0,'Guide &amp; Settings'!$C$44*IF($F342&gt;=3,$F342,0))</f>
        <v>0</v>
      </c>
      <c r="M342" s="118">
        <f t="shared" si="88"/>
        <v>0</v>
      </c>
      <c r="N342" s="116">
        <f t="shared" si="89"/>
        <v>0</v>
      </c>
      <c r="O342" s="115" t="str">
        <f t="shared" si="90"/>
        <v/>
      </c>
      <c r="P342">
        <f t="shared" si="91"/>
        <v>0</v>
      </c>
      <c r="Q342">
        <f t="shared" si="92"/>
        <v>0</v>
      </c>
      <c r="R342">
        <f t="shared" si="93"/>
        <v>0</v>
      </c>
      <c r="S342">
        <f t="shared" si="94"/>
        <v>0</v>
      </c>
      <c r="T342" s="83">
        <f t="shared" si="95"/>
        <v>0</v>
      </c>
      <c r="U342" s="120">
        <f>IF($D342="",0,IFERROR(LOOKUP(2,1/(($D$3:D341=$D342)*($C$3:C341=$C342)*($A$3:A341&lt;$A342)),$AB$3:AB341),1000))</f>
        <v>0</v>
      </c>
      <c r="V342" s="120">
        <f t="shared" si="96"/>
        <v>0</v>
      </c>
      <c r="W342">
        <f t="shared" si="97"/>
        <v>0</v>
      </c>
      <c r="X342">
        <f t="shared" si="98"/>
        <v>0</v>
      </c>
      <c r="Y342">
        <f t="shared" si="99"/>
        <v>0</v>
      </c>
      <c r="Z342">
        <f t="shared" si="100"/>
        <v>0</v>
      </c>
      <c r="AA342">
        <f>IF($D342="",0,IF($F342&lt;2,0,IF($E342="Win",('Guide &amp; Settings'!$C$42/(($F342-1)*COUNTIFS($A$4:$A$810,$A342,$E$4:$E$810,"Win")))*SUMIFS($Z$4:$Z$810,$A$4:$A$810,$A342,$E$4:$E$810,"Loss"),-('Guide &amp; Settings'!$C$42/($F342-1))*$Z342)))</f>
        <v>0</v>
      </c>
      <c r="AB342" s="120">
        <f t="shared" si="101"/>
        <v>0</v>
      </c>
      <c r="AC342" s="120" t="str">
        <f>IF($D342="","",IF(SUMPRODUCT(MAX(($D$4:$D$810=$D342)*($B$4:$B$810&lt;$B342)*$B$4:$B$810))=0,0,MAX(($B342-MAX(SUMPRODUCT(MAX(($D$4:$D$810=$D342)*($B$4:$B$810&lt;$B342)*$B$4:$B$810)),'Guide &amp; Settings'!$C$50))/7-'Guide &amp; Settings'!$C$48,0)*'Guide &amp; Settings'!$C$49))</f>
        <v/>
      </c>
    </row>
    <row r="343" spans="1:29" x14ac:dyDescent="0.2">
      <c r="A343" s="111"/>
      <c r="B343" s="112"/>
      <c r="C343" s="113"/>
      <c r="D343" s="113"/>
      <c r="E343" s="111"/>
      <c r="F343" s="114">
        <f t="shared" si="85"/>
        <v>0</v>
      </c>
      <c r="G343" s="115" t="str">
        <f t="shared" si="86"/>
        <v/>
      </c>
      <c r="H343" s="116">
        <f>IF($D343="",0,IFERROR(LOOKUP(2,1/(($D$3:D342=$D343)*($A$3:A342&lt;$A343)),$N$3:N342),'Guide &amp; Settings'!$C$41))</f>
        <v>0</v>
      </c>
      <c r="I343" s="117">
        <f t="shared" si="87"/>
        <v>0</v>
      </c>
      <c r="J343" s="118">
        <f>IF($D343="",0,IF($F343&lt;2,0,IF($E343="Win",('Guide &amp; Settings'!$C$42/(($F343-1)*COUNTIFS($A$4:$A$810,$A343,$E$4:$E$810,"Win")))*SUMIFS($X$4:$X$810,$A$4:$A$810,$A343,$E$4:$E$810,"Loss"),-('Guide &amp; Settings'!$C$42/($F343-1))*$X343)))</f>
        <v>0</v>
      </c>
      <c r="K343" s="118">
        <f>IF($D343="",0,'Guide &amp; Settings'!$C$43*(IF($E343="Win",1,0)-$I343))</f>
        <v>0</v>
      </c>
      <c r="L343" s="119">
        <f>IF($D343="",0,'Guide &amp; Settings'!$C$44*IF($F343&gt;=3,$F343,0))</f>
        <v>0</v>
      </c>
      <c r="M343" s="118">
        <f t="shared" si="88"/>
        <v>0</v>
      </c>
      <c r="N343" s="116">
        <f t="shared" si="89"/>
        <v>0</v>
      </c>
      <c r="O343" s="115" t="str">
        <f t="shared" si="90"/>
        <v/>
      </c>
      <c r="P343">
        <f t="shared" si="91"/>
        <v>0</v>
      </c>
      <c r="Q343">
        <f t="shared" si="92"/>
        <v>0</v>
      </c>
      <c r="R343">
        <f t="shared" si="93"/>
        <v>0</v>
      </c>
      <c r="S343">
        <f t="shared" si="94"/>
        <v>0</v>
      </c>
      <c r="T343" s="83">
        <f t="shared" si="95"/>
        <v>0</v>
      </c>
      <c r="U343" s="120">
        <f>IF($D343="",0,IFERROR(LOOKUP(2,1/(($D$3:D342=$D343)*($C$3:C342=$C343)*($A$3:A342&lt;$A343)),$AB$3:AB342),1000))</f>
        <v>0</v>
      </c>
      <c r="V343" s="120">
        <f t="shared" si="96"/>
        <v>0</v>
      </c>
      <c r="W343">
        <f t="shared" si="97"/>
        <v>0</v>
      </c>
      <c r="X343">
        <f t="shared" si="98"/>
        <v>0</v>
      </c>
      <c r="Y343">
        <f t="shared" si="99"/>
        <v>0</v>
      </c>
      <c r="Z343">
        <f t="shared" si="100"/>
        <v>0</v>
      </c>
      <c r="AA343">
        <f>IF($D343="",0,IF($F343&lt;2,0,IF($E343="Win",('Guide &amp; Settings'!$C$42/(($F343-1)*COUNTIFS($A$4:$A$810,$A343,$E$4:$E$810,"Win")))*SUMIFS($Z$4:$Z$810,$A$4:$A$810,$A343,$E$4:$E$810,"Loss"),-('Guide &amp; Settings'!$C$42/($F343-1))*$Z343)))</f>
        <v>0</v>
      </c>
      <c r="AB343" s="120">
        <f t="shared" si="101"/>
        <v>0</v>
      </c>
      <c r="AC343" s="120" t="str">
        <f>IF($D343="","",IF(SUMPRODUCT(MAX(($D$4:$D$810=$D343)*($B$4:$B$810&lt;$B343)*$B$4:$B$810))=0,0,MAX(($B343-MAX(SUMPRODUCT(MAX(($D$4:$D$810=$D343)*($B$4:$B$810&lt;$B343)*$B$4:$B$810)),'Guide &amp; Settings'!$C$50))/7-'Guide &amp; Settings'!$C$48,0)*'Guide &amp; Settings'!$C$49))</f>
        <v/>
      </c>
    </row>
    <row r="344" spans="1:29" x14ac:dyDescent="0.2">
      <c r="A344" s="111"/>
      <c r="B344" s="112"/>
      <c r="C344" s="113"/>
      <c r="D344" s="113"/>
      <c r="E344" s="111"/>
      <c r="F344" s="114">
        <f t="shared" si="85"/>
        <v>0</v>
      </c>
      <c r="G344" s="115" t="str">
        <f t="shared" si="86"/>
        <v/>
      </c>
      <c r="H344" s="116">
        <f>IF($D344="",0,IFERROR(LOOKUP(2,1/(($D$3:D343=$D344)*($A$3:A343&lt;$A344)),$N$3:N343),'Guide &amp; Settings'!$C$41))</f>
        <v>0</v>
      </c>
      <c r="I344" s="117">
        <f t="shared" si="87"/>
        <v>0</v>
      </c>
      <c r="J344" s="118">
        <f>IF($D344="",0,IF($F344&lt;2,0,IF($E344="Win",('Guide &amp; Settings'!$C$42/(($F344-1)*COUNTIFS($A$4:$A$810,$A344,$E$4:$E$810,"Win")))*SUMIFS($X$4:$X$810,$A$4:$A$810,$A344,$E$4:$E$810,"Loss"),-('Guide &amp; Settings'!$C$42/($F344-1))*$X344)))</f>
        <v>0</v>
      </c>
      <c r="K344" s="118">
        <f>IF($D344="",0,'Guide &amp; Settings'!$C$43*(IF($E344="Win",1,0)-$I344))</f>
        <v>0</v>
      </c>
      <c r="L344" s="119">
        <f>IF($D344="",0,'Guide &amp; Settings'!$C$44*IF($F344&gt;=3,$F344,0))</f>
        <v>0</v>
      </c>
      <c r="M344" s="118">
        <f t="shared" si="88"/>
        <v>0</v>
      </c>
      <c r="N344" s="116">
        <f t="shared" si="89"/>
        <v>0</v>
      </c>
      <c r="O344" s="115" t="str">
        <f t="shared" si="90"/>
        <v/>
      </c>
      <c r="P344">
        <f t="shared" si="91"/>
        <v>0</v>
      </c>
      <c r="Q344">
        <f t="shared" si="92"/>
        <v>0</v>
      </c>
      <c r="R344">
        <f t="shared" si="93"/>
        <v>0</v>
      </c>
      <c r="S344">
        <f t="shared" si="94"/>
        <v>0</v>
      </c>
      <c r="T344" s="83">
        <f t="shared" si="95"/>
        <v>0</v>
      </c>
      <c r="U344" s="120">
        <f>IF($D344="",0,IFERROR(LOOKUP(2,1/(($D$3:D343=$D344)*($C$3:C343=$C344)*($A$3:A343&lt;$A344)),$AB$3:AB343),1000))</f>
        <v>0</v>
      </c>
      <c r="V344" s="120">
        <f t="shared" si="96"/>
        <v>0</v>
      </c>
      <c r="W344">
        <f t="shared" si="97"/>
        <v>0</v>
      </c>
      <c r="X344">
        <f t="shared" si="98"/>
        <v>0</v>
      </c>
      <c r="Y344">
        <f t="shared" si="99"/>
        <v>0</v>
      </c>
      <c r="Z344">
        <f t="shared" si="100"/>
        <v>0</v>
      </c>
      <c r="AA344">
        <f>IF($D344="",0,IF($F344&lt;2,0,IF($E344="Win",('Guide &amp; Settings'!$C$42/(($F344-1)*COUNTIFS($A$4:$A$810,$A344,$E$4:$E$810,"Win")))*SUMIFS($Z$4:$Z$810,$A$4:$A$810,$A344,$E$4:$E$810,"Loss"),-('Guide &amp; Settings'!$C$42/($F344-1))*$Z344)))</f>
        <v>0</v>
      </c>
      <c r="AB344" s="120">
        <f t="shared" si="101"/>
        <v>0</v>
      </c>
      <c r="AC344" s="120" t="str">
        <f>IF($D344="","",IF(SUMPRODUCT(MAX(($D$4:$D$810=$D344)*($B$4:$B$810&lt;$B344)*$B$4:$B$810))=0,0,MAX(($B344-MAX(SUMPRODUCT(MAX(($D$4:$D$810=$D344)*($B$4:$B$810&lt;$B344)*$B$4:$B$810)),'Guide &amp; Settings'!$C$50))/7-'Guide &amp; Settings'!$C$48,0)*'Guide &amp; Settings'!$C$49))</f>
        <v/>
      </c>
    </row>
    <row r="345" spans="1:29" x14ac:dyDescent="0.2">
      <c r="A345" s="111"/>
      <c r="B345" s="112"/>
      <c r="C345" s="113"/>
      <c r="D345" s="113"/>
      <c r="E345" s="111"/>
      <c r="F345" s="114">
        <f t="shared" si="85"/>
        <v>0</v>
      </c>
      <c r="G345" s="115" t="str">
        <f t="shared" si="86"/>
        <v/>
      </c>
      <c r="H345" s="116">
        <f>IF($D345="",0,IFERROR(LOOKUP(2,1/(($D$3:D344=$D345)*($A$3:A344&lt;$A345)),$N$3:N344),'Guide &amp; Settings'!$C$41))</f>
        <v>0</v>
      </c>
      <c r="I345" s="117">
        <f t="shared" si="87"/>
        <v>0</v>
      </c>
      <c r="J345" s="118">
        <f>IF($D345="",0,IF($F345&lt;2,0,IF($E345="Win",('Guide &amp; Settings'!$C$42/(($F345-1)*COUNTIFS($A$4:$A$810,$A345,$E$4:$E$810,"Win")))*SUMIFS($X$4:$X$810,$A$4:$A$810,$A345,$E$4:$E$810,"Loss"),-('Guide &amp; Settings'!$C$42/($F345-1))*$X345)))</f>
        <v>0</v>
      </c>
      <c r="K345" s="118">
        <f>IF($D345="",0,'Guide &amp; Settings'!$C$43*(IF($E345="Win",1,0)-$I345))</f>
        <v>0</v>
      </c>
      <c r="L345" s="119">
        <f>IF($D345="",0,'Guide &amp; Settings'!$C$44*IF($F345&gt;=3,$F345,0))</f>
        <v>0</v>
      </c>
      <c r="M345" s="118">
        <f t="shared" si="88"/>
        <v>0</v>
      </c>
      <c r="N345" s="116">
        <f t="shared" si="89"/>
        <v>0</v>
      </c>
      <c r="O345" s="115" t="str">
        <f t="shared" si="90"/>
        <v/>
      </c>
      <c r="P345">
        <f t="shared" si="91"/>
        <v>0</v>
      </c>
      <c r="Q345">
        <f t="shared" si="92"/>
        <v>0</v>
      </c>
      <c r="R345">
        <f t="shared" si="93"/>
        <v>0</v>
      </c>
      <c r="S345">
        <f t="shared" si="94"/>
        <v>0</v>
      </c>
      <c r="T345" s="83">
        <f t="shared" si="95"/>
        <v>0</v>
      </c>
      <c r="U345" s="120">
        <f>IF($D345="",0,IFERROR(LOOKUP(2,1/(($D$3:D344=$D345)*($C$3:C344=$C345)*($A$3:A344&lt;$A345)),$AB$3:AB344),1000))</f>
        <v>0</v>
      </c>
      <c r="V345" s="120">
        <f t="shared" si="96"/>
        <v>0</v>
      </c>
      <c r="W345">
        <f t="shared" si="97"/>
        <v>0</v>
      </c>
      <c r="X345">
        <f t="shared" si="98"/>
        <v>0</v>
      </c>
      <c r="Y345">
        <f t="shared" si="99"/>
        <v>0</v>
      </c>
      <c r="Z345">
        <f t="shared" si="100"/>
        <v>0</v>
      </c>
      <c r="AA345">
        <f>IF($D345="",0,IF($F345&lt;2,0,IF($E345="Win",('Guide &amp; Settings'!$C$42/(($F345-1)*COUNTIFS($A$4:$A$810,$A345,$E$4:$E$810,"Win")))*SUMIFS($Z$4:$Z$810,$A$4:$A$810,$A345,$E$4:$E$810,"Loss"),-('Guide &amp; Settings'!$C$42/($F345-1))*$Z345)))</f>
        <v>0</v>
      </c>
      <c r="AB345" s="120">
        <f t="shared" si="101"/>
        <v>0</v>
      </c>
      <c r="AC345" s="120" t="str">
        <f>IF($D345="","",IF(SUMPRODUCT(MAX(($D$4:$D$810=$D345)*($B$4:$B$810&lt;$B345)*$B$4:$B$810))=0,0,MAX(($B345-MAX(SUMPRODUCT(MAX(($D$4:$D$810=$D345)*($B$4:$B$810&lt;$B345)*$B$4:$B$810)),'Guide &amp; Settings'!$C$50))/7-'Guide &amp; Settings'!$C$48,0)*'Guide &amp; Settings'!$C$49))</f>
        <v/>
      </c>
    </row>
    <row r="346" spans="1:29" x14ac:dyDescent="0.2">
      <c r="A346" s="111"/>
      <c r="B346" s="112"/>
      <c r="C346" s="113"/>
      <c r="D346" s="113"/>
      <c r="E346" s="111"/>
      <c r="F346" s="114">
        <f t="shared" si="85"/>
        <v>0</v>
      </c>
      <c r="G346" s="115" t="str">
        <f t="shared" si="86"/>
        <v/>
      </c>
      <c r="H346" s="116">
        <f>IF($D346="",0,IFERROR(LOOKUP(2,1/(($D$3:D345=$D346)*($A$3:A345&lt;$A346)),$N$3:N345),'Guide &amp; Settings'!$C$41))</f>
        <v>0</v>
      </c>
      <c r="I346" s="117">
        <f t="shared" si="87"/>
        <v>0</v>
      </c>
      <c r="J346" s="118">
        <f>IF($D346="",0,IF($F346&lt;2,0,IF($E346="Win",('Guide &amp; Settings'!$C$42/(($F346-1)*COUNTIFS($A$4:$A$810,$A346,$E$4:$E$810,"Win")))*SUMIFS($X$4:$X$810,$A$4:$A$810,$A346,$E$4:$E$810,"Loss"),-('Guide &amp; Settings'!$C$42/($F346-1))*$X346)))</f>
        <v>0</v>
      </c>
      <c r="K346" s="118">
        <f>IF($D346="",0,'Guide &amp; Settings'!$C$43*(IF($E346="Win",1,0)-$I346))</f>
        <v>0</v>
      </c>
      <c r="L346" s="119">
        <f>IF($D346="",0,'Guide &amp; Settings'!$C$44*IF($F346&gt;=3,$F346,0))</f>
        <v>0</v>
      </c>
      <c r="M346" s="118">
        <f t="shared" si="88"/>
        <v>0</v>
      </c>
      <c r="N346" s="116">
        <f t="shared" si="89"/>
        <v>0</v>
      </c>
      <c r="O346" s="115" t="str">
        <f t="shared" si="90"/>
        <v/>
      </c>
      <c r="P346">
        <f t="shared" si="91"/>
        <v>0</v>
      </c>
      <c r="Q346">
        <f t="shared" si="92"/>
        <v>0</v>
      </c>
      <c r="R346">
        <f t="shared" si="93"/>
        <v>0</v>
      </c>
      <c r="S346">
        <f t="shared" si="94"/>
        <v>0</v>
      </c>
      <c r="T346" s="83">
        <f t="shared" si="95"/>
        <v>0</v>
      </c>
      <c r="U346" s="120">
        <f>IF($D346="",0,IFERROR(LOOKUP(2,1/(($D$3:D345=$D346)*($C$3:C345=$C346)*($A$3:A345&lt;$A346)),$AB$3:AB345),1000))</f>
        <v>0</v>
      </c>
      <c r="V346" s="120">
        <f t="shared" si="96"/>
        <v>0</v>
      </c>
      <c r="W346">
        <f t="shared" si="97"/>
        <v>0</v>
      </c>
      <c r="X346">
        <f t="shared" si="98"/>
        <v>0</v>
      </c>
      <c r="Y346">
        <f t="shared" si="99"/>
        <v>0</v>
      </c>
      <c r="Z346">
        <f t="shared" si="100"/>
        <v>0</v>
      </c>
      <c r="AA346">
        <f>IF($D346="",0,IF($F346&lt;2,0,IF($E346="Win",('Guide &amp; Settings'!$C$42/(($F346-1)*COUNTIFS($A$4:$A$810,$A346,$E$4:$E$810,"Win")))*SUMIFS($Z$4:$Z$810,$A$4:$A$810,$A346,$E$4:$E$810,"Loss"),-('Guide &amp; Settings'!$C$42/($F346-1))*$Z346)))</f>
        <v>0</v>
      </c>
      <c r="AB346" s="120">
        <f t="shared" si="101"/>
        <v>0</v>
      </c>
      <c r="AC346" s="120" t="str">
        <f>IF($D346="","",IF(SUMPRODUCT(MAX(($D$4:$D$810=$D346)*($B$4:$B$810&lt;$B346)*$B$4:$B$810))=0,0,MAX(($B346-MAX(SUMPRODUCT(MAX(($D$4:$D$810=$D346)*($B$4:$B$810&lt;$B346)*$B$4:$B$810)),'Guide &amp; Settings'!$C$50))/7-'Guide &amp; Settings'!$C$48,0)*'Guide &amp; Settings'!$C$49))</f>
        <v/>
      </c>
    </row>
    <row r="347" spans="1:29" x14ac:dyDescent="0.2">
      <c r="A347" s="111"/>
      <c r="B347" s="112"/>
      <c r="C347" s="113"/>
      <c r="D347" s="113"/>
      <c r="E347" s="111"/>
      <c r="F347" s="114">
        <f t="shared" si="85"/>
        <v>0</v>
      </c>
      <c r="G347" s="115" t="str">
        <f t="shared" si="86"/>
        <v/>
      </c>
      <c r="H347" s="116">
        <f>IF($D347="",0,IFERROR(LOOKUP(2,1/(($D$3:D346=$D347)*($A$3:A346&lt;$A347)),$N$3:N346),'Guide &amp; Settings'!$C$41))</f>
        <v>0</v>
      </c>
      <c r="I347" s="117">
        <f t="shared" si="87"/>
        <v>0</v>
      </c>
      <c r="J347" s="118">
        <f>IF($D347="",0,IF($F347&lt;2,0,IF($E347="Win",('Guide &amp; Settings'!$C$42/(($F347-1)*COUNTIFS($A$4:$A$810,$A347,$E$4:$E$810,"Win")))*SUMIFS($X$4:$X$810,$A$4:$A$810,$A347,$E$4:$E$810,"Loss"),-('Guide &amp; Settings'!$C$42/($F347-1))*$X347)))</f>
        <v>0</v>
      </c>
      <c r="K347" s="118">
        <f>IF($D347="",0,'Guide &amp; Settings'!$C$43*(IF($E347="Win",1,0)-$I347))</f>
        <v>0</v>
      </c>
      <c r="L347" s="119">
        <f>IF($D347="",0,'Guide &amp; Settings'!$C$44*IF($F347&gt;=3,$F347,0))</f>
        <v>0</v>
      </c>
      <c r="M347" s="118">
        <f t="shared" si="88"/>
        <v>0</v>
      </c>
      <c r="N347" s="116">
        <f t="shared" si="89"/>
        <v>0</v>
      </c>
      <c r="O347" s="115" t="str">
        <f t="shared" si="90"/>
        <v/>
      </c>
      <c r="P347">
        <f t="shared" si="91"/>
        <v>0</v>
      </c>
      <c r="Q347">
        <f t="shared" si="92"/>
        <v>0</v>
      </c>
      <c r="R347">
        <f t="shared" si="93"/>
        <v>0</v>
      </c>
      <c r="S347">
        <f t="shared" si="94"/>
        <v>0</v>
      </c>
      <c r="T347" s="83">
        <f t="shared" si="95"/>
        <v>0</v>
      </c>
      <c r="U347" s="120">
        <f>IF($D347="",0,IFERROR(LOOKUP(2,1/(($D$3:D346=$D347)*($C$3:C346=$C347)*($A$3:A346&lt;$A347)),$AB$3:AB346),1000))</f>
        <v>0</v>
      </c>
      <c r="V347" s="120">
        <f t="shared" si="96"/>
        <v>0</v>
      </c>
      <c r="W347">
        <f t="shared" si="97"/>
        <v>0</v>
      </c>
      <c r="X347">
        <f t="shared" si="98"/>
        <v>0</v>
      </c>
      <c r="Y347">
        <f t="shared" si="99"/>
        <v>0</v>
      </c>
      <c r="Z347">
        <f t="shared" si="100"/>
        <v>0</v>
      </c>
      <c r="AA347">
        <f>IF($D347="",0,IF($F347&lt;2,0,IF($E347="Win",('Guide &amp; Settings'!$C$42/(($F347-1)*COUNTIFS($A$4:$A$810,$A347,$E$4:$E$810,"Win")))*SUMIFS($Z$4:$Z$810,$A$4:$A$810,$A347,$E$4:$E$810,"Loss"),-('Guide &amp; Settings'!$C$42/($F347-1))*$Z347)))</f>
        <v>0</v>
      </c>
      <c r="AB347" s="120">
        <f t="shared" si="101"/>
        <v>0</v>
      </c>
      <c r="AC347" s="120" t="str">
        <f>IF($D347="","",IF(SUMPRODUCT(MAX(($D$4:$D$810=$D347)*($B$4:$B$810&lt;$B347)*$B$4:$B$810))=0,0,MAX(($B347-MAX(SUMPRODUCT(MAX(($D$4:$D$810=$D347)*($B$4:$B$810&lt;$B347)*$B$4:$B$810)),'Guide &amp; Settings'!$C$50))/7-'Guide &amp; Settings'!$C$48,0)*'Guide &amp; Settings'!$C$49))</f>
        <v/>
      </c>
    </row>
    <row r="348" spans="1:29" x14ac:dyDescent="0.2">
      <c r="A348" s="111"/>
      <c r="B348" s="112"/>
      <c r="C348" s="113"/>
      <c r="D348" s="113"/>
      <c r="E348" s="111"/>
      <c r="F348" s="114">
        <f t="shared" si="85"/>
        <v>0</v>
      </c>
      <c r="G348" s="115" t="str">
        <f t="shared" si="86"/>
        <v/>
      </c>
      <c r="H348" s="116">
        <f>IF($D348="",0,IFERROR(LOOKUP(2,1/(($D$3:D347=$D348)*($A$3:A347&lt;$A348)),$N$3:N347),'Guide &amp; Settings'!$C$41))</f>
        <v>0</v>
      </c>
      <c r="I348" s="117">
        <f t="shared" si="87"/>
        <v>0</v>
      </c>
      <c r="J348" s="118">
        <f>IF($D348="",0,IF($F348&lt;2,0,IF($E348="Win",('Guide &amp; Settings'!$C$42/(($F348-1)*COUNTIFS($A$4:$A$810,$A348,$E$4:$E$810,"Win")))*SUMIFS($X$4:$X$810,$A$4:$A$810,$A348,$E$4:$E$810,"Loss"),-('Guide &amp; Settings'!$C$42/($F348-1))*$X348)))</f>
        <v>0</v>
      </c>
      <c r="K348" s="118">
        <f>IF($D348="",0,'Guide &amp; Settings'!$C$43*(IF($E348="Win",1,0)-$I348))</f>
        <v>0</v>
      </c>
      <c r="L348" s="119">
        <f>IF($D348="",0,'Guide &amp; Settings'!$C$44*IF($F348&gt;=3,$F348,0))</f>
        <v>0</v>
      </c>
      <c r="M348" s="118">
        <f t="shared" si="88"/>
        <v>0</v>
      </c>
      <c r="N348" s="116">
        <f t="shared" si="89"/>
        <v>0</v>
      </c>
      <c r="O348" s="115" t="str">
        <f t="shared" si="90"/>
        <v/>
      </c>
      <c r="P348">
        <f t="shared" si="91"/>
        <v>0</v>
      </c>
      <c r="Q348">
        <f t="shared" si="92"/>
        <v>0</v>
      </c>
      <c r="R348">
        <f t="shared" si="93"/>
        <v>0</v>
      </c>
      <c r="S348">
        <f t="shared" si="94"/>
        <v>0</v>
      </c>
      <c r="T348" s="83">
        <f t="shared" si="95"/>
        <v>0</v>
      </c>
      <c r="U348" s="120">
        <f>IF($D348="",0,IFERROR(LOOKUP(2,1/(($D$3:D347=$D348)*($C$3:C347=$C348)*($A$3:A347&lt;$A348)),$AB$3:AB347),1000))</f>
        <v>0</v>
      </c>
      <c r="V348" s="120">
        <f t="shared" si="96"/>
        <v>0</v>
      </c>
      <c r="W348">
        <f t="shared" si="97"/>
        <v>0</v>
      </c>
      <c r="X348">
        <f t="shared" si="98"/>
        <v>0</v>
      </c>
      <c r="Y348">
        <f t="shared" si="99"/>
        <v>0</v>
      </c>
      <c r="Z348">
        <f t="shared" si="100"/>
        <v>0</v>
      </c>
      <c r="AA348">
        <f>IF($D348="",0,IF($F348&lt;2,0,IF($E348="Win",('Guide &amp; Settings'!$C$42/(($F348-1)*COUNTIFS($A$4:$A$810,$A348,$E$4:$E$810,"Win")))*SUMIFS($Z$4:$Z$810,$A$4:$A$810,$A348,$E$4:$E$810,"Loss"),-('Guide &amp; Settings'!$C$42/($F348-1))*$Z348)))</f>
        <v>0</v>
      </c>
      <c r="AB348" s="120">
        <f t="shared" si="101"/>
        <v>0</v>
      </c>
      <c r="AC348" s="120" t="str">
        <f>IF($D348="","",IF(SUMPRODUCT(MAX(($D$4:$D$810=$D348)*($B$4:$B$810&lt;$B348)*$B$4:$B$810))=0,0,MAX(($B348-MAX(SUMPRODUCT(MAX(($D$4:$D$810=$D348)*($B$4:$B$810&lt;$B348)*$B$4:$B$810)),'Guide &amp; Settings'!$C$50))/7-'Guide &amp; Settings'!$C$48,0)*'Guide &amp; Settings'!$C$49))</f>
        <v/>
      </c>
    </row>
    <row r="349" spans="1:29" x14ac:dyDescent="0.2">
      <c r="A349" s="111"/>
      <c r="B349" s="112"/>
      <c r="C349" s="113"/>
      <c r="D349" s="113"/>
      <c r="E349" s="111"/>
      <c r="F349" s="114">
        <f t="shared" si="85"/>
        <v>0</v>
      </c>
      <c r="G349" s="115" t="str">
        <f t="shared" si="86"/>
        <v/>
      </c>
      <c r="H349" s="116">
        <f>IF($D349="",0,IFERROR(LOOKUP(2,1/(($D$3:D348=$D349)*($A$3:A348&lt;$A349)),$N$3:N348),'Guide &amp; Settings'!$C$41))</f>
        <v>0</v>
      </c>
      <c r="I349" s="117">
        <f t="shared" si="87"/>
        <v>0</v>
      </c>
      <c r="J349" s="118">
        <f>IF($D349="",0,IF($F349&lt;2,0,IF($E349="Win",('Guide &amp; Settings'!$C$42/(($F349-1)*COUNTIFS($A$4:$A$810,$A349,$E$4:$E$810,"Win")))*SUMIFS($X$4:$X$810,$A$4:$A$810,$A349,$E$4:$E$810,"Loss"),-('Guide &amp; Settings'!$C$42/($F349-1))*$X349)))</f>
        <v>0</v>
      </c>
      <c r="K349" s="118">
        <f>IF($D349="",0,'Guide &amp; Settings'!$C$43*(IF($E349="Win",1,0)-$I349))</f>
        <v>0</v>
      </c>
      <c r="L349" s="119">
        <f>IF($D349="",0,'Guide &amp; Settings'!$C$44*IF($F349&gt;=3,$F349,0))</f>
        <v>0</v>
      </c>
      <c r="M349" s="118">
        <f t="shared" si="88"/>
        <v>0</v>
      </c>
      <c r="N349" s="116">
        <f t="shared" si="89"/>
        <v>0</v>
      </c>
      <c r="O349" s="115" t="str">
        <f t="shared" si="90"/>
        <v/>
      </c>
      <c r="P349">
        <f t="shared" si="91"/>
        <v>0</v>
      </c>
      <c r="Q349">
        <f t="shared" si="92"/>
        <v>0</v>
      </c>
      <c r="R349">
        <f t="shared" si="93"/>
        <v>0</v>
      </c>
      <c r="S349">
        <f t="shared" si="94"/>
        <v>0</v>
      </c>
      <c r="T349" s="83">
        <f t="shared" si="95"/>
        <v>0</v>
      </c>
      <c r="U349" s="120">
        <f>IF($D349="",0,IFERROR(LOOKUP(2,1/(($D$3:D348=$D349)*($C$3:C348=$C349)*($A$3:A348&lt;$A349)),$AB$3:AB348),1000))</f>
        <v>0</v>
      </c>
      <c r="V349" s="120">
        <f t="shared" si="96"/>
        <v>0</v>
      </c>
      <c r="W349">
        <f t="shared" si="97"/>
        <v>0</v>
      </c>
      <c r="X349">
        <f t="shared" si="98"/>
        <v>0</v>
      </c>
      <c r="Y349">
        <f t="shared" si="99"/>
        <v>0</v>
      </c>
      <c r="Z349">
        <f t="shared" si="100"/>
        <v>0</v>
      </c>
      <c r="AA349">
        <f>IF($D349="",0,IF($F349&lt;2,0,IF($E349="Win",('Guide &amp; Settings'!$C$42/(($F349-1)*COUNTIFS($A$4:$A$810,$A349,$E$4:$E$810,"Win")))*SUMIFS($Z$4:$Z$810,$A$4:$A$810,$A349,$E$4:$E$810,"Loss"),-('Guide &amp; Settings'!$C$42/($F349-1))*$Z349)))</f>
        <v>0</v>
      </c>
      <c r="AB349" s="120">
        <f t="shared" si="101"/>
        <v>0</v>
      </c>
      <c r="AC349" s="120" t="str">
        <f>IF($D349="","",IF(SUMPRODUCT(MAX(($D$4:$D$810=$D349)*($B$4:$B$810&lt;$B349)*$B$4:$B$810))=0,0,MAX(($B349-MAX(SUMPRODUCT(MAX(($D$4:$D$810=$D349)*($B$4:$B$810&lt;$B349)*$B$4:$B$810)),'Guide &amp; Settings'!$C$50))/7-'Guide &amp; Settings'!$C$48,0)*'Guide &amp; Settings'!$C$49))</f>
        <v/>
      </c>
    </row>
    <row r="350" spans="1:29" x14ac:dyDescent="0.2">
      <c r="A350" s="111"/>
      <c r="B350" s="112"/>
      <c r="C350" s="113"/>
      <c r="D350" s="113"/>
      <c r="E350" s="111"/>
      <c r="F350" s="114">
        <f t="shared" si="85"/>
        <v>0</v>
      </c>
      <c r="G350" s="115" t="str">
        <f t="shared" si="86"/>
        <v/>
      </c>
      <c r="H350" s="116">
        <f>IF($D350="",0,IFERROR(LOOKUP(2,1/(($D$3:D349=$D350)*($A$3:A349&lt;$A350)),$N$3:N349),'Guide &amp; Settings'!$C$41))</f>
        <v>0</v>
      </c>
      <c r="I350" s="117">
        <f t="shared" si="87"/>
        <v>0</v>
      </c>
      <c r="J350" s="118">
        <f>IF($D350="",0,IF($F350&lt;2,0,IF($E350="Win",('Guide &amp; Settings'!$C$42/(($F350-1)*COUNTIFS($A$4:$A$810,$A350,$E$4:$E$810,"Win")))*SUMIFS($X$4:$X$810,$A$4:$A$810,$A350,$E$4:$E$810,"Loss"),-('Guide &amp; Settings'!$C$42/($F350-1))*$X350)))</f>
        <v>0</v>
      </c>
      <c r="K350" s="118">
        <f>IF($D350="",0,'Guide &amp; Settings'!$C$43*(IF($E350="Win",1,0)-$I350))</f>
        <v>0</v>
      </c>
      <c r="L350" s="119">
        <f>IF($D350="",0,'Guide &amp; Settings'!$C$44*IF($F350&gt;=3,$F350,0))</f>
        <v>0</v>
      </c>
      <c r="M350" s="118">
        <f t="shared" si="88"/>
        <v>0</v>
      </c>
      <c r="N350" s="116">
        <f t="shared" si="89"/>
        <v>0</v>
      </c>
      <c r="O350" s="115" t="str">
        <f t="shared" si="90"/>
        <v/>
      </c>
      <c r="P350">
        <f t="shared" si="91"/>
        <v>0</v>
      </c>
      <c r="Q350">
        <f t="shared" si="92"/>
        <v>0</v>
      </c>
      <c r="R350">
        <f t="shared" si="93"/>
        <v>0</v>
      </c>
      <c r="S350">
        <f t="shared" si="94"/>
        <v>0</v>
      </c>
      <c r="T350" s="83">
        <f t="shared" si="95"/>
        <v>0</v>
      </c>
      <c r="U350" s="120">
        <f>IF($D350="",0,IFERROR(LOOKUP(2,1/(($D$3:D349=$D350)*($C$3:C349=$C350)*($A$3:A349&lt;$A350)),$AB$3:AB349),1000))</f>
        <v>0</v>
      </c>
      <c r="V350" s="120">
        <f t="shared" si="96"/>
        <v>0</v>
      </c>
      <c r="W350">
        <f t="shared" si="97"/>
        <v>0</v>
      </c>
      <c r="X350">
        <f t="shared" si="98"/>
        <v>0</v>
      </c>
      <c r="Y350">
        <f t="shared" si="99"/>
        <v>0</v>
      </c>
      <c r="Z350">
        <f t="shared" si="100"/>
        <v>0</v>
      </c>
      <c r="AA350">
        <f>IF($D350="",0,IF($F350&lt;2,0,IF($E350="Win",('Guide &amp; Settings'!$C$42/(($F350-1)*COUNTIFS($A$4:$A$810,$A350,$E$4:$E$810,"Win")))*SUMIFS($Z$4:$Z$810,$A$4:$A$810,$A350,$E$4:$E$810,"Loss"),-('Guide &amp; Settings'!$C$42/($F350-1))*$Z350)))</f>
        <v>0</v>
      </c>
      <c r="AB350" s="120">
        <f t="shared" si="101"/>
        <v>0</v>
      </c>
      <c r="AC350" s="120" t="str">
        <f>IF($D350="","",IF(SUMPRODUCT(MAX(($D$4:$D$810=$D350)*($B$4:$B$810&lt;$B350)*$B$4:$B$810))=0,0,MAX(($B350-MAX(SUMPRODUCT(MAX(($D$4:$D$810=$D350)*($B$4:$B$810&lt;$B350)*$B$4:$B$810)),'Guide &amp; Settings'!$C$50))/7-'Guide &amp; Settings'!$C$48,0)*'Guide &amp; Settings'!$C$49))</f>
        <v/>
      </c>
    </row>
    <row r="351" spans="1:29" x14ac:dyDescent="0.2">
      <c r="A351" s="111"/>
      <c r="B351" s="112"/>
      <c r="C351" s="113"/>
      <c r="D351" s="113"/>
      <c r="E351" s="111"/>
      <c r="F351" s="114">
        <f t="shared" si="85"/>
        <v>0</v>
      </c>
      <c r="G351" s="115" t="str">
        <f t="shared" si="86"/>
        <v/>
      </c>
      <c r="H351" s="116">
        <f>IF($D351="",0,IFERROR(LOOKUP(2,1/(($D$3:D350=$D351)*($A$3:A350&lt;$A351)),$N$3:N350),'Guide &amp; Settings'!$C$41))</f>
        <v>0</v>
      </c>
      <c r="I351" s="117">
        <f t="shared" si="87"/>
        <v>0</v>
      </c>
      <c r="J351" s="118">
        <f>IF($D351="",0,IF($F351&lt;2,0,IF($E351="Win",('Guide &amp; Settings'!$C$42/(($F351-1)*COUNTIFS($A$4:$A$810,$A351,$E$4:$E$810,"Win")))*SUMIFS($X$4:$X$810,$A$4:$A$810,$A351,$E$4:$E$810,"Loss"),-('Guide &amp; Settings'!$C$42/($F351-1))*$X351)))</f>
        <v>0</v>
      </c>
      <c r="K351" s="118">
        <f>IF($D351="",0,'Guide &amp; Settings'!$C$43*(IF($E351="Win",1,0)-$I351))</f>
        <v>0</v>
      </c>
      <c r="L351" s="119">
        <f>IF($D351="",0,'Guide &amp; Settings'!$C$44*IF($F351&gt;=3,$F351,0))</f>
        <v>0</v>
      </c>
      <c r="M351" s="118">
        <f t="shared" si="88"/>
        <v>0</v>
      </c>
      <c r="N351" s="116">
        <f t="shared" si="89"/>
        <v>0</v>
      </c>
      <c r="O351" s="115" t="str">
        <f t="shared" si="90"/>
        <v/>
      </c>
      <c r="P351">
        <f t="shared" si="91"/>
        <v>0</v>
      </c>
      <c r="Q351">
        <f t="shared" si="92"/>
        <v>0</v>
      </c>
      <c r="R351">
        <f t="shared" si="93"/>
        <v>0</v>
      </c>
      <c r="S351">
        <f t="shared" si="94"/>
        <v>0</v>
      </c>
      <c r="T351" s="83">
        <f t="shared" si="95"/>
        <v>0</v>
      </c>
      <c r="U351" s="120">
        <f>IF($D351="",0,IFERROR(LOOKUP(2,1/(($D$3:D350=$D351)*($C$3:C350=$C351)*($A$3:A350&lt;$A351)),$AB$3:AB350),1000))</f>
        <v>0</v>
      </c>
      <c r="V351" s="120">
        <f t="shared" si="96"/>
        <v>0</v>
      </c>
      <c r="W351">
        <f t="shared" si="97"/>
        <v>0</v>
      </c>
      <c r="X351">
        <f t="shared" si="98"/>
        <v>0</v>
      </c>
      <c r="Y351">
        <f t="shared" si="99"/>
        <v>0</v>
      </c>
      <c r="Z351">
        <f t="shared" si="100"/>
        <v>0</v>
      </c>
      <c r="AA351">
        <f>IF($D351="",0,IF($F351&lt;2,0,IF($E351="Win",('Guide &amp; Settings'!$C$42/(($F351-1)*COUNTIFS($A$4:$A$810,$A351,$E$4:$E$810,"Win")))*SUMIFS($Z$4:$Z$810,$A$4:$A$810,$A351,$E$4:$E$810,"Loss"),-('Guide &amp; Settings'!$C$42/($F351-1))*$Z351)))</f>
        <v>0</v>
      </c>
      <c r="AB351" s="120">
        <f t="shared" si="101"/>
        <v>0</v>
      </c>
      <c r="AC351" s="120" t="str">
        <f>IF($D351="","",IF(SUMPRODUCT(MAX(($D$4:$D$810=$D351)*($B$4:$B$810&lt;$B351)*$B$4:$B$810))=0,0,MAX(($B351-MAX(SUMPRODUCT(MAX(($D$4:$D$810=$D351)*($B$4:$B$810&lt;$B351)*$B$4:$B$810)),'Guide &amp; Settings'!$C$50))/7-'Guide &amp; Settings'!$C$48,0)*'Guide &amp; Settings'!$C$49))</f>
        <v/>
      </c>
    </row>
    <row r="352" spans="1:29" x14ac:dyDescent="0.2">
      <c r="A352" s="111"/>
      <c r="B352" s="112"/>
      <c r="C352" s="113"/>
      <c r="D352" s="113"/>
      <c r="E352" s="111"/>
      <c r="F352" s="114">
        <f t="shared" si="85"/>
        <v>0</v>
      </c>
      <c r="G352" s="115" t="str">
        <f t="shared" si="86"/>
        <v/>
      </c>
      <c r="H352" s="116">
        <f>IF($D352="",0,IFERROR(LOOKUP(2,1/(($D$3:D351=$D352)*($A$3:A351&lt;$A352)),$N$3:N351),'Guide &amp; Settings'!$C$41))</f>
        <v>0</v>
      </c>
      <c r="I352" s="117">
        <f t="shared" si="87"/>
        <v>0</v>
      </c>
      <c r="J352" s="118">
        <f>IF($D352="",0,IF($F352&lt;2,0,IF($E352="Win",('Guide &amp; Settings'!$C$42/(($F352-1)*COUNTIFS($A$4:$A$810,$A352,$E$4:$E$810,"Win")))*SUMIFS($X$4:$X$810,$A$4:$A$810,$A352,$E$4:$E$810,"Loss"),-('Guide &amp; Settings'!$C$42/($F352-1))*$X352)))</f>
        <v>0</v>
      </c>
      <c r="K352" s="118">
        <f>IF($D352="",0,'Guide &amp; Settings'!$C$43*(IF($E352="Win",1,0)-$I352))</f>
        <v>0</v>
      </c>
      <c r="L352" s="119">
        <f>IF($D352="",0,'Guide &amp; Settings'!$C$44*IF($F352&gt;=3,$F352,0))</f>
        <v>0</v>
      </c>
      <c r="M352" s="118">
        <f t="shared" si="88"/>
        <v>0</v>
      </c>
      <c r="N352" s="116">
        <f t="shared" si="89"/>
        <v>0</v>
      </c>
      <c r="O352" s="115" t="str">
        <f t="shared" si="90"/>
        <v/>
      </c>
      <c r="P352">
        <f t="shared" si="91"/>
        <v>0</v>
      </c>
      <c r="Q352">
        <f t="shared" si="92"/>
        <v>0</v>
      </c>
      <c r="R352">
        <f t="shared" si="93"/>
        <v>0</v>
      </c>
      <c r="S352">
        <f t="shared" si="94"/>
        <v>0</v>
      </c>
      <c r="T352" s="83">
        <f t="shared" si="95"/>
        <v>0</v>
      </c>
      <c r="U352" s="120">
        <f>IF($D352="",0,IFERROR(LOOKUP(2,1/(($D$3:D351=$D352)*($C$3:C351=$C352)*($A$3:A351&lt;$A352)),$AB$3:AB351),1000))</f>
        <v>0</v>
      </c>
      <c r="V352" s="120">
        <f t="shared" si="96"/>
        <v>0</v>
      </c>
      <c r="W352">
        <f t="shared" si="97"/>
        <v>0</v>
      </c>
      <c r="X352">
        <f t="shared" si="98"/>
        <v>0</v>
      </c>
      <c r="Y352">
        <f t="shared" si="99"/>
        <v>0</v>
      </c>
      <c r="Z352">
        <f t="shared" si="100"/>
        <v>0</v>
      </c>
      <c r="AA352">
        <f>IF($D352="",0,IF($F352&lt;2,0,IF($E352="Win",('Guide &amp; Settings'!$C$42/(($F352-1)*COUNTIFS($A$4:$A$810,$A352,$E$4:$E$810,"Win")))*SUMIFS($Z$4:$Z$810,$A$4:$A$810,$A352,$E$4:$E$810,"Loss"),-('Guide &amp; Settings'!$C$42/($F352-1))*$Z352)))</f>
        <v>0</v>
      </c>
      <c r="AB352" s="120">
        <f t="shared" si="101"/>
        <v>0</v>
      </c>
      <c r="AC352" s="120" t="str">
        <f>IF($D352="","",IF(SUMPRODUCT(MAX(($D$4:$D$810=$D352)*($B$4:$B$810&lt;$B352)*$B$4:$B$810))=0,0,MAX(($B352-MAX(SUMPRODUCT(MAX(($D$4:$D$810=$D352)*($B$4:$B$810&lt;$B352)*$B$4:$B$810)),'Guide &amp; Settings'!$C$50))/7-'Guide &amp; Settings'!$C$48,0)*'Guide &amp; Settings'!$C$49))</f>
        <v/>
      </c>
    </row>
    <row r="353" spans="1:29" x14ac:dyDescent="0.2">
      <c r="A353" s="111"/>
      <c r="B353" s="112"/>
      <c r="C353" s="113"/>
      <c r="D353" s="113"/>
      <c r="E353" s="111"/>
      <c r="F353" s="114">
        <f t="shared" si="85"/>
        <v>0</v>
      </c>
      <c r="G353" s="115" t="str">
        <f t="shared" si="86"/>
        <v/>
      </c>
      <c r="H353" s="116">
        <f>IF($D353="",0,IFERROR(LOOKUP(2,1/(($D$3:D352=$D353)*($A$3:A352&lt;$A353)),$N$3:N352),'Guide &amp; Settings'!$C$41))</f>
        <v>0</v>
      </c>
      <c r="I353" s="117">
        <f t="shared" si="87"/>
        <v>0</v>
      </c>
      <c r="J353" s="118">
        <f>IF($D353="",0,IF($F353&lt;2,0,IF($E353="Win",('Guide &amp; Settings'!$C$42/(($F353-1)*COUNTIFS($A$4:$A$810,$A353,$E$4:$E$810,"Win")))*SUMIFS($X$4:$X$810,$A$4:$A$810,$A353,$E$4:$E$810,"Loss"),-('Guide &amp; Settings'!$C$42/($F353-1))*$X353)))</f>
        <v>0</v>
      </c>
      <c r="K353" s="118">
        <f>IF($D353="",0,'Guide &amp; Settings'!$C$43*(IF($E353="Win",1,0)-$I353))</f>
        <v>0</v>
      </c>
      <c r="L353" s="119">
        <f>IF($D353="",0,'Guide &amp; Settings'!$C$44*IF($F353&gt;=3,$F353,0))</f>
        <v>0</v>
      </c>
      <c r="M353" s="118">
        <f t="shared" si="88"/>
        <v>0</v>
      </c>
      <c r="N353" s="116">
        <f t="shared" si="89"/>
        <v>0</v>
      </c>
      <c r="O353" s="115" t="str">
        <f t="shared" si="90"/>
        <v/>
      </c>
      <c r="P353">
        <f t="shared" si="91"/>
        <v>0</v>
      </c>
      <c r="Q353">
        <f t="shared" si="92"/>
        <v>0</v>
      </c>
      <c r="R353">
        <f t="shared" si="93"/>
        <v>0</v>
      </c>
      <c r="S353">
        <f t="shared" si="94"/>
        <v>0</v>
      </c>
      <c r="T353" s="83">
        <f t="shared" si="95"/>
        <v>0</v>
      </c>
      <c r="U353" s="120">
        <f>IF($D353="",0,IFERROR(LOOKUP(2,1/(($D$3:D352=$D353)*($C$3:C352=$C353)*($A$3:A352&lt;$A353)),$AB$3:AB352),1000))</f>
        <v>0</v>
      </c>
      <c r="V353" s="120">
        <f t="shared" si="96"/>
        <v>0</v>
      </c>
      <c r="W353">
        <f t="shared" si="97"/>
        <v>0</v>
      </c>
      <c r="X353">
        <f t="shared" si="98"/>
        <v>0</v>
      </c>
      <c r="Y353">
        <f t="shared" si="99"/>
        <v>0</v>
      </c>
      <c r="Z353">
        <f t="shared" si="100"/>
        <v>0</v>
      </c>
      <c r="AA353">
        <f>IF($D353="",0,IF($F353&lt;2,0,IF($E353="Win",('Guide &amp; Settings'!$C$42/(($F353-1)*COUNTIFS($A$4:$A$810,$A353,$E$4:$E$810,"Win")))*SUMIFS($Z$4:$Z$810,$A$4:$A$810,$A353,$E$4:$E$810,"Loss"),-('Guide &amp; Settings'!$C$42/($F353-1))*$Z353)))</f>
        <v>0</v>
      </c>
      <c r="AB353" s="120">
        <f t="shared" si="101"/>
        <v>0</v>
      </c>
      <c r="AC353" s="120" t="str">
        <f>IF($D353="","",IF(SUMPRODUCT(MAX(($D$4:$D$810=$D353)*($B$4:$B$810&lt;$B353)*$B$4:$B$810))=0,0,MAX(($B353-MAX(SUMPRODUCT(MAX(($D$4:$D$810=$D353)*($B$4:$B$810&lt;$B353)*$B$4:$B$810)),'Guide &amp; Settings'!$C$50))/7-'Guide &amp; Settings'!$C$48,0)*'Guide &amp; Settings'!$C$49))</f>
        <v/>
      </c>
    </row>
    <row r="354" spans="1:29" x14ac:dyDescent="0.2">
      <c r="A354" s="111"/>
      <c r="B354" s="112"/>
      <c r="C354" s="113"/>
      <c r="D354" s="113"/>
      <c r="E354" s="111"/>
      <c r="F354" s="114">
        <f t="shared" si="85"/>
        <v>0</v>
      </c>
      <c r="G354" s="115" t="str">
        <f t="shared" si="86"/>
        <v/>
      </c>
      <c r="H354" s="116">
        <f>IF($D354="",0,IFERROR(LOOKUP(2,1/(($D$3:D353=$D354)*($A$3:A353&lt;$A354)),$N$3:N353),'Guide &amp; Settings'!$C$41))</f>
        <v>0</v>
      </c>
      <c r="I354" s="117">
        <f t="shared" si="87"/>
        <v>0</v>
      </c>
      <c r="J354" s="118">
        <f>IF($D354="",0,IF($F354&lt;2,0,IF($E354="Win",('Guide &amp; Settings'!$C$42/(($F354-1)*COUNTIFS($A$4:$A$810,$A354,$E$4:$E$810,"Win")))*SUMIFS($X$4:$X$810,$A$4:$A$810,$A354,$E$4:$E$810,"Loss"),-('Guide &amp; Settings'!$C$42/($F354-1))*$X354)))</f>
        <v>0</v>
      </c>
      <c r="K354" s="118">
        <f>IF($D354="",0,'Guide &amp; Settings'!$C$43*(IF($E354="Win",1,0)-$I354))</f>
        <v>0</v>
      </c>
      <c r="L354" s="119">
        <f>IF($D354="",0,'Guide &amp; Settings'!$C$44*IF($F354&gt;=3,$F354,0))</f>
        <v>0</v>
      </c>
      <c r="M354" s="118">
        <f t="shared" si="88"/>
        <v>0</v>
      </c>
      <c r="N354" s="116">
        <f t="shared" si="89"/>
        <v>0</v>
      </c>
      <c r="O354" s="115" t="str">
        <f t="shared" si="90"/>
        <v/>
      </c>
      <c r="P354">
        <f t="shared" si="91"/>
        <v>0</v>
      </c>
      <c r="Q354">
        <f t="shared" si="92"/>
        <v>0</v>
      </c>
      <c r="R354">
        <f t="shared" si="93"/>
        <v>0</v>
      </c>
      <c r="S354">
        <f t="shared" si="94"/>
        <v>0</v>
      </c>
      <c r="T354" s="83">
        <f t="shared" si="95"/>
        <v>0</v>
      </c>
      <c r="U354" s="120">
        <f>IF($D354="",0,IFERROR(LOOKUP(2,1/(($D$3:D353=$D354)*($C$3:C353=$C354)*($A$3:A353&lt;$A354)),$AB$3:AB353),1000))</f>
        <v>0</v>
      </c>
      <c r="V354" s="120">
        <f t="shared" si="96"/>
        <v>0</v>
      </c>
      <c r="W354">
        <f t="shared" si="97"/>
        <v>0</v>
      </c>
      <c r="X354">
        <f t="shared" si="98"/>
        <v>0</v>
      </c>
      <c r="Y354">
        <f t="shared" si="99"/>
        <v>0</v>
      </c>
      <c r="Z354">
        <f t="shared" si="100"/>
        <v>0</v>
      </c>
      <c r="AA354">
        <f>IF($D354="",0,IF($F354&lt;2,0,IF($E354="Win",('Guide &amp; Settings'!$C$42/(($F354-1)*COUNTIFS($A$4:$A$810,$A354,$E$4:$E$810,"Win")))*SUMIFS($Z$4:$Z$810,$A$4:$A$810,$A354,$E$4:$E$810,"Loss"),-('Guide &amp; Settings'!$C$42/($F354-1))*$Z354)))</f>
        <v>0</v>
      </c>
      <c r="AB354" s="120">
        <f t="shared" si="101"/>
        <v>0</v>
      </c>
      <c r="AC354" s="120" t="str">
        <f>IF($D354="","",IF(SUMPRODUCT(MAX(($D$4:$D$810=$D354)*($B$4:$B$810&lt;$B354)*$B$4:$B$810))=0,0,MAX(($B354-MAX(SUMPRODUCT(MAX(($D$4:$D$810=$D354)*($B$4:$B$810&lt;$B354)*$B$4:$B$810)),'Guide &amp; Settings'!$C$50))/7-'Guide &amp; Settings'!$C$48,0)*'Guide &amp; Settings'!$C$49))</f>
        <v/>
      </c>
    </row>
    <row r="355" spans="1:29" x14ac:dyDescent="0.2">
      <c r="A355" s="111"/>
      <c r="B355" s="112"/>
      <c r="C355" s="113"/>
      <c r="D355" s="113"/>
      <c r="E355" s="111"/>
      <c r="F355" s="114">
        <f t="shared" si="85"/>
        <v>0</v>
      </c>
      <c r="G355" s="115" t="str">
        <f t="shared" si="86"/>
        <v/>
      </c>
      <c r="H355" s="116">
        <f>IF($D355="",0,IFERROR(LOOKUP(2,1/(($D$3:D354=$D355)*($A$3:A354&lt;$A355)),$N$3:N354),'Guide &amp; Settings'!$C$41))</f>
        <v>0</v>
      </c>
      <c r="I355" s="117">
        <f t="shared" si="87"/>
        <v>0</v>
      </c>
      <c r="J355" s="118">
        <f>IF($D355="",0,IF($F355&lt;2,0,IF($E355="Win",('Guide &amp; Settings'!$C$42/(($F355-1)*COUNTIFS($A$4:$A$810,$A355,$E$4:$E$810,"Win")))*SUMIFS($X$4:$X$810,$A$4:$A$810,$A355,$E$4:$E$810,"Loss"),-('Guide &amp; Settings'!$C$42/($F355-1))*$X355)))</f>
        <v>0</v>
      </c>
      <c r="K355" s="118">
        <f>IF($D355="",0,'Guide &amp; Settings'!$C$43*(IF($E355="Win",1,0)-$I355))</f>
        <v>0</v>
      </c>
      <c r="L355" s="119">
        <f>IF($D355="",0,'Guide &amp; Settings'!$C$44*IF($F355&gt;=3,$F355,0))</f>
        <v>0</v>
      </c>
      <c r="M355" s="118">
        <f t="shared" si="88"/>
        <v>0</v>
      </c>
      <c r="N355" s="116">
        <f t="shared" si="89"/>
        <v>0</v>
      </c>
      <c r="O355" s="115" t="str">
        <f t="shared" si="90"/>
        <v/>
      </c>
      <c r="P355">
        <f t="shared" si="91"/>
        <v>0</v>
      </c>
      <c r="Q355">
        <f t="shared" si="92"/>
        <v>0</v>
      </c>
      <c r="R355">
        <f t="shared" si="93"/>
        <v>0</v>
      </c>
      <c r="S355">
        <f t="shared" si="94"/>
        <v>0</v>
      </c>
      <c r="T355" s="83">
        <f t="shared" si="95"/>
        <v>0</v>
      </c>
      <c r="U355" s="120">
        <f>IF($D355="",0,IFERROR(LOOKUP(2,1/(($D$3:D354=$D355)*($C$3:C354=$C355)*($A$3:A354&lt;$A355)),$AB$3:AB354),1000))</f>
        <v>0</v>
      </c>
      <c r="V355" s="120">
        <f t="shared" si="96"/>
        <v>0</v>
      </c>
      <c r="W355">
        <f t="shared" si="97"/>
        <v>0</v>
      </c>
      <c r="X355">
        <f t="shared" si="98"/>
        <v>0</v>
      </c>
      <c r="Y355">
        <f t="shared" si="99"/>
        <v>0</v>
      </c>
      <c r="Z355">
        <f t="shared" si="100"/>
        <v>0</v>
      </c>
      <c r="AA355">
        <f>IF($D355="",0,IF($F355&lt;2,0,IF($E355="Win",('Guide &amp; Settings'!$C$42/(($F355-1)*COUNTIFS($A$4:$A$810,$A355,$E$4:$E$810,"Win")))*SUMIFS($Z$4:$Z$810,$A$4:$A$810,$A355,$E$4:$E$810,"Loss"),-('Guide &amp; Settings'!$C$42/($F355-1))*$Z355)))</f>
        <v>0</v>
      </c>
      <c r="AB355" s="120">
        <f t="shared" si="101"/>
        <v>0</v>
      </c>
      <c r="AC355" s="120" t="str">
        <f>IF($D355="","",IF(SUMPRODUCT(MAX(($D$4:$D$810=$D355)*($B$4:$B$810&lt;$B355)*$B$4:$B$810))=0,0,MAX(($B355-MAX(SUMPRODUCT(MAX(($D$4:$D$810=$D355)*($B$4:$B$810&lt;$B355)*$B$4:$B$810)),'Guide &amp; Settings'!$C$50))/7-'Guide &amp; Settings'!$C$48,0)*'Guide &amp; Settings'!$C$49))</f>
        <v/>
      </c>
    </row>
    <row r="356" spans="1:29" x14ac:dyDescent="0.2">
      <c r="A356" s="111"/>
      <c r="B356" s="112"/>
      <c r="C356" s="113"/>
      <c r="D356" s="113"/>
      <c r="E356" s="111"/>
      <c r="F356" s="114">
        <f t="shared" si="85"/>
        <v>0</v>
      </c>
      <c r="G356" s="115" t="str">
        <f t="shared" si="86"/>
        <v/>
      </c>
      <c r="H356" s="116">
        <f>IF($D356="",0,IFERROR(LOOKUP(2,1/(($D$3:D355=$D356)*($A$3:A355&lt;$A356)),$N$3:N355),'Guide &amp; Settings'!$C$41))</f>
        <v>0</v>
      </c>
      <c r="I356" s="117">
        <f t="shared" si="87"/>
        <v>0</v>
      </c>
      <c r="J356" s="118">
        <f>IF($D356="",0,IF($F356&lt;2,0,IF($E356="Win",('Guide &amp; Settings'!$C$42/(($F356-1)*COUNTIFS($A$4:$A$810,$A356,$E$4:$E$810,"Win")))*SUMIFS($X$4:$X$810,$A$4:$A$810,$A356,$E$4:$E$810,"Loss"),-('Guide &amp; Settings'!$C$42/($F356-1))*$X356)))</f>
        <v>0</v>
      </c>
      <c r="K356" s="118">
        <f>IF($D356="",0,'Guide &amp; Settings'!$C$43*(IF($E356="Win",1,0)-$I356))</f>
        <v>0</v>
      </c>
      <c r="L356" s="119">
        <f>IF($D356="",0,'Guide &amp; Settings'!$C$44*IF($F356&gt;=3,$F356,0))</f>
        <v>0</v>
      </c>
      <c r="M356" s="118">
        <f t="shared" si="88"/>
        <v>0</v>
      </c>
      <c r="N356" s="116">
        <f t="shared" si="89"/>
        <v>0</v>
      </c>
      <c r="O356" s="115" t="str">
        <f t="shared" si="90"/>
        <v/>
      </c>
      <c r="P356">
        <f t="shared" si="91"/>
        <v>0</v>
      </c>
      <c r="Q356">
        <f t="shared" si="92"/>
        <v>0</v>
      </c>
      <c r="R356">
        <f t="shared" si="93"/>
        <v>0</v>
      </c>
      <c r="S356">
        <f t="shared" si="94"/>
        <v>0</v>
      </c>
      <c r="T356" s="83">
        <f t="shared" si="95"/>
        <v>0</v>
      </c>
      <c r="U356" s="120">
        <f>IF($D356="",0,IFERROR(LOOKUP(2,1/(($D$3:D355=$D356)*($C$3:C355=$C356)*($A$3:A355&lt;$A356)),$AB$3:AB355),1000))</f>
        <v>0</v>
      </c>
      <c r="V356" s="120">
        <f t="shared" si="96"/>
        <v>0</v>
      </c>
      <c r="W356">
        <f t="shared" si="97"/>
        <v>0</v>
      </c>
      <c r="X356">
        <f t="shared" si="98"/>
        <v>0</v>
      </c>
      <c r="Y356">
        <f t="shared" si="99"/>
        <v>0</v>
      </c>
      <c r="Z356">
        <f t="shared" si="100"/>
        <v>0</v>
      </c>
      <c r="AA356">
        <f>IF($D356="",0,IF($F356&lt;2,0,IF($E356="Win",('Guide &amp; Settings'!$C$42/(($F356-1)*COUNTIFS($A$4:$A$810,$A356,$E$4:$E$810,"Win")))*SUMIFS($Z$4:$Z$810,$A$4:$A$810,$A356,$E$4:$E$810,"Loss"),-('Guide &amp; Settings'!$C$42/($F356-1))*$Z356)))</f>
        <v>0</v>
      </c>
      <c r="AB356" s="120">
        <f t="shared" si="101"/>
        <v>0</v>
      </c>
      <c r="AC356" s="120" t="str">
        <f>IF($D356="","",IF(SUMPRODUCT(MAX(($D$4:$D$810=$D356)*($B$4:$B$810&lt;$B356)*$B$4:$B$810))=0,0,MAX(($B356-MAX(SUMPRODUCT(MAX(($D$4:$D$810=$D356)*($B$4:$B$810&lt;$B356)*$B$4:$B$810)),'Guide &amp; Settings'!$C$50))/7-'Guide &amp; Settings'!$C$48,0)*'Guide &amp; Settings'!$C$49))</f>
        <v/>
      </c>
    </row>
    <row r="357" spans="1:29" x14ac:dyDescent="0.2">
      <c r="A357" s="111"/>
      <c r="B357" s="112"/>
      <c r="C357" s="113"/>
      <c r="D357" s="113"/>
      <c r="E357" s="111"/>
      <c r="F357" s="114">
        <f t="shared" si="85"/>
        <v>0</v>
      </c>
      <c r="G357" s="115" t="str">
        <f t="shared" si="86"/>
        <v/>
      </c>
      <c r="H357" s="116">
        <f>IF($D357="",0,IFERROR(LOOKUP(2,1/(($D$3:D356=$D357)*($A$3:A356&lt;$A357)),$N$3:N356),'Guide &amp; Settings'!$C$41))</f>
        <v>0</v>
      </c>
      <c r="I357" s="117">
        <f t="shared" si="87"/>
        <v>0</v>
      </c>
      <c r="J357" s="118">
        <f>IF($D357="",0,IF($F357&lt;2,0,IF($E357="Win",('Guide &amp; Settings'!$C$42/(($F357-1)*COUNTIFS($A$4:$A$810,$A357,$E$4:$E$810,"Win")))*SUMIFS($X$4:$X$810,$A$4:$A$810,$A357,$E$4:$E$810,"Loss"),-('Guide &amp; Settings'!$C$42/($F357-1))*$X357)))</f>
        <v>0</v>
      </c>
      <c r="K357" s="118">
        <f>IF($D357="",0,'Guide &amp; Settings'!$C$43*(IF($E357="Win",1,0)-$I357))</f>
        <v>0</v>
      </c>
      <c r="L357" s="119">
        <f>IF($D357="",0,'Guide &amp; Settings'!$C$44*IF($F357&gt;=3,$F357,0))</f>
        <v>0</v>
      </c>
      <c r="M357" s="118">
        <f t="shared" si="88"/>
        <v>0</v>
      </c>
      <c r="N357" s="116">
        <f t="shared" si="89"/>
        <v>0</v>
      </c>
      <c r="O357" s="115" t="str">
        <f t="shared" si="90"/>
        <v/>
      </c>
      <c r="P357">
        <f t="shared" si="91"/>
        <v>0</v>
      </c>
      <c r="Q357">
        <f t="shared" si="92"/>
        <v>0</v>
      </c>
      <c r="R357">
        <f t="shared" si="93"/>
        <v>0</v>
      </c>
      <c r="S357">
        <f t="shared" si="94"/>
        <v>0</v>
      </c>
      <c r="T357" s="83">
        <f t="shared" si="95"/>
        <v>0</v>
      </c>
      <c r="U357" s="120">
        <f>IF($D357="",0,IFERROR(LOOKUP(2,1/(($D$3:D356=$D357)*($C$3:C356=$C357)*($A$3:A356&lt;$A357)),$AB$3:AB356),1000))</f>
        <v>0</v>
      </c>
      <c r="V357" s="120">
        <f t="shared" si="96"/>
        <v>0</v>
      </c>
      <c r="W357">
        <f t="shared" si="97"/>
        <v>0</v>
      </c>
      <c r="X357">
        <f t="shared" si="98"/>
        <v>0</v>
      </c>
      <c r="Y357">
        <f t="shared" si="99"/>
        <v>0</v>
      </c>
      <c r="Z357">
        <f t="shared" si="100"/>
        <v>0</v>
      </c>
      <c r="AA357">
        <f>IF($D357="",0,IF($F357&lt;2,0,IF($E357="Win",('Guide &amp; Settings'!$C$42/(($F357-1)*COUNTIFS($A$4:$A$810,$A357,$E$4:$E$810,"Win")))*SUMIFS($Z$4:$Z$810,$A$4:$A$810,$A357,$E$4:$E$810,"Loss"),-('Guide &amp; Settings'!$C$42/($F357-1))*$Z357)))</f>
        <v>0</v>
      </c>
      <c r="AB357" s="120">
        <f t="shared" si="101"/>
        <v>0</v>
      </c>
      <c r="AC357" s="120" t="str">
        <f>IF($D357="","",IF(SUMPRODUCT(MAX(($D$4:$D$810=$D357)*($B$4:$B$810&lt;$B357)*$B$4:$B$810))=0,0,MAX(($B357-MAX(SUMPRODUCT(MAX(($D$4:$D$810=$D357)*($B$4:$B$810&lt;$B357)*$B$4:$B$810)),'Guide &amp; Settings'!$C$50))/7-'Guide &amp; Settings'!$C$48,0)*'Guide &amp; Settings'!$C$49))</f>
        <v/>
      </c>
    </row>
    <row r="358" spans="1:29" x14ac:dyDescent="0.2">
      <c r="A358" s="111"/>
      <c r="B358" s="112"/>
      <c r="C358" s="113"/>
      <c r="D358" s="113"/>
      <c r="E358" s="111"/>
      <c r="F358" s="114">
        <f t="shared" si="85"/>
        <v>0</v>
      </c>
      <c r="G358" s="115" t="str">
        <f t="shared" si="86"/>
        <v/>
      </c>
      <c r="H358" s="116">
        <f>IF($D358="",0,IFERROR(LOOKUP(2,1/(($D$3:D357=$D358)*($A$3:A357&lt;$A358)),$N$3:N357),'Guide &amp; Settings'!$C$41))</f>
        <v>0</v>
      </c>
      <c r="I358" s="117">
        <f t="shared" si="87"/>
        <v>0</v>
      </c>
      <c r="J358" s="118">
        <f>IF($D358="",0,IF($F358&lt;2,0,IF($E358="Win",('Guide &amp; Settings'!$C$42/(($F358-1)*COUNTIFS($A$4:$A$810,$A358,$E$4:$E$810,"Win")))*SUMIFS($X$4:$X$810,$A$4:$A$810,$A358,$E$4:$E$810,"Loss"),-('Guide &amp; Settings'!$C$42/($F358-1))*$X358)))</f>
        <v>0</v>
      </c>
      <c r="K358" s="118">
        <f>IF($D358="",0,'Guide &amp; Settings'!$C$43*(IF($E358="Win",1,0)-$I358))</f>
        <v>0</v>
      </c>
      <c r="L358" s="119">
        <f>IF($D358="",0,'Guide &amp; Settings'!$C$44*IF($F358&gt;=3,$F358,0))</f>
        <v>0</v>
      </c>
      <c r="M358" s="118">
        <f t="shared" si="88"/>
        <v>0</v>
      </c>
      <c r="N358" s="116">
        <f t="shared" si="89"/>
        <v>0</v>
      </c>
      <c r="O358" s="115" t="str">
        <f t="shared" si="90"/>
        <v/>
      </c>
      <c r="P358">
        <f t="shared" si="91"/>
        <v>0</v>
      </c>
      <c r="Q358">
        <f t="shared" si="92"/>
        <v>0</v>
      </c>
      <c r="R358">
        <f t="shared" si="93"/>
        <v>0</v>
      </c>
      <c r="S358">
        <f t="shared" si="94"/>
        <v>0</v>
      </c>
      <c r="T358" s="83">
        <f t="shared" si="95"/>
        <v>0</v>
      </c>
      <c r="U358" s="120">
        <f>IF($D358="",0,IFERROR(LOOKUP(2,1/(($D$3:D357=$D358)*($C$3:C357=$C358)*($A$3:A357&lt;$A358)),$AB$3:AB357),1000))</f>
        <v>0</v>
      </c>
      <c r="V358" s="120">
        <f t="shared" si="96"/>
        <v>0</v>
      </c>
      <c r="W358">
        <f t="shared" si="97"/>
        <v>0</v>
      </c>
      <c r="X358">
        <f t="shared" si="98"/>
        <v>0</v>
      </c>
      <c r="Y358">
        <f t="shared" si="99"/>
        <v>0</v>
      </c>
      <c r="Z358">
        <f t="shared" si="100"/>
        <v>0</v>
      </c>
      <c r="AA358">
        <f>IF($D358="",0,IF($F358&lt;2,0,IF($E358="Win",('Guide &amp; Settings'!$C$42/(($F358-1)*COUNTIFS($A$4:$A$810,$A358,$E$4:$E$810,"Win")))*SUMIFS($Z$4:$Z$810,$A$4:$A$810,$A358,$E$4:$E$810,"Loss"),-('Guide &amp; Settings'!$C$42/($F358-1))*$Z358)))</f>
        <v>0</v>
      </c>
      <c r="AB358" s="120">
        <f t="shared" si="101"/>
        <v>0</v>
      </c>
      <c r="AC358" s="120" t="str">
        <f>IF($D358="","",IF(SUMPRODUCT(MAX(($D$4:$D$810=$D358)*($B$4:$B$810&lt;$B358)*$B$4:$B$810))=0,0,MAX(($B358-MAX(SUMPRODUCT(MAX(($D$4:$D$810=$D358)*($B$4:$B$810&lt;$B358)*$B$4:$B$810)),'Guide &amp; Settings'!$C$50))/7-'Guide &amp; Settings'!$C$48,0)*'Guide &amp; Settings'!$C$49))</f>
        <v/>
      </c>
    </row>
    <row r="359" spans="1:29" x14ac:dyDescent="0.2">
      <c r="A359" s="111"/>
      <c r="B359" s="112"/>
      <c r="C359" s="113"/>
      <c r="D359" s="113"/>
      <c r="E359" s="111"/>
      <c r="F359" s="114">
        <f t="shared" si="85"/>
        <v>0</v>
      </c>
      <c r="G359" s="115" t="str">
        <f t="shared" si="86"/>
        <v/>
      </c>
      <c r="H359" s="116">
        <f>IF($D359="",0,IFERROR(LOOKUP(2,1/(($D$3:D358=$D359)*($A$3:A358&lt;$A359)),$N$3:N358),'Guide &amp; Settings'!$C$41))</f>
        <v>0</v>
      </c>
      <c r="I359" s="117">
        <f t="shared" si="87"/>
        <v>0</v>
      </c>
      <c r="J359" s="118">
        <f>IF($D359="",0,IF($F359&lt;2,0,IF($E359="Win",('Guide &amp; Settings'!$C$42/(($F359-1)*COUNTIFS($A$4:$A$810,$A359,$E$4:$E$810,"Win")))*SUMIFS($X$4:$X$810,$A$4:$A$810,$A359,$E$4:$E$810,"Loss"),-('Guide &amp; Settings'!$C$42/($F359-1))*$X359)))</f>
        <v>0</v>
      </c>
      <c r="K359" s="118">
        <f>IF($D359="",0,'Guide &amp; Settings'!$C$43*(IF($E359="Win",1,0)-$I359))</f>
        <v>0</v>
      </c>
      <c r="L359" s="119">
        <f>IF($D359="",0,'Guide &amp; Settings'!$C$44*IF($F359&gt;=3,$F359,0))</f>
        <v>0</v>
      </c>
      <c r="M359" s="118">
        <f t="shared" si="88"/>
        <v>0</v>
      </c>
      <c r="N359" s="116">
        <f t="shared" si="89"/>
        <v>0</v>
      </c>
      <c r="O359" s="115" t="str">
        <f t="shared" si="90"/>
        <v/>
      </c>
      <c r="P359">
        <f t="shared" si="91"/>
        <v>0</v>
      </c>
      <c r="Q359">
        <f t="shared" si="92"/>
        <v>0</v>
      </c>
      <c r="R359">
        <f t="shared" si="93"/>
        <v>0</v>
      </c>
      <c r="S359">
        <f t="shared" si="94"/>
        <v>0</v>
      </c>
      <c r="T359" s="83">
        <f t="shared" si="95"/>
        <v>0</v>
      </c>
      <c r="U359" s="120">
        <f>IF($D359="",0,IFERROR(LOOKUP(2,1/(($D$3:D358=$D359)*($C$3:C358=$C359)*($A$3:A358&lt;$A359)),$AB$3:AB358),1000))</f>
        <v>0</v>
      </c>
      <c r="V359" s="120">
        <f t="shared" si="96"/>
        <v>0</v>
      </c>
      <c r="W359">
        <f t="shared" si="97"/>
        <v>0</v>
      </c>
      <c r="X359">
        <f t="shared" si="98"/>
        <v>0</v>
      </c>
      <c r="Y359">
        <f t="shared" si="99"/>
        <v>0</v>
      </c>
      <c r="Z359">
        <f t="shared" si="100"/>
        <v>0</v>
      </c>
      <c r="AA359">
        <f>IF($D359="",0,IF($F359&lt;2,0,IF($E359="Win",('Guide &amp; Settings'!$C$42/(($F359-1)*COUNTIFS($A$4:$A$810,$A359,$E$4:$E$810,"Win")))*SUMIFS($Z$4:$Z$810,$A$4:$A$810,$A359,$E$4:$E$810,"Loss"),-('Guide &amp; Settings'!$C$42/($F359-1))*$Z359)))</f>
        <v>0</v>
      </c>
      <c r="AB359" s="120">
        <f t="shared" si="101"/>
        <v>0</v>
      </c>
      <c r="AC359" s="120" t="str">
        <f>IF($D359="","",IF(SUMPRODUCT(MAX(($D$4:$D$810=$D359)*($B$4:$B$810&lt;$B359)*$B$4:$B$810))=0,0,MAX(($B359-MAX(SUMPRODUCT(MAX(($D$4:$D$810=$D359)*($B$4:$B$810&lt;$B359)*$B$4:$B$810)),'Guide &amp; Settings'!$C$50))/7-'Guide &amp; Settings'!$C$48,0)*'Guide &amp; Settings'!$C$49))</f>
        <v/>
      </c>
    </row>
    <row r="360" spans="1:29" x14ac:dyDescent="0.2">
      <c r="A360" s="111"/>
      <c r="B360" s="112"/>
      <c r="C360" s="113"/>
      <c r="D360" s="113"/>
      <c r="E360" s="111"/>
      <c r="F360" s="114">
        <f t="shared" si="85"/>
        <v>0</v>
      </c>
      <c r="G360" s="115" t="str">
        <f t="shared" si="86"/>
        <v/>
      </c>
      <c r="H360" s="116">
        <f>IF($D360="",0,IFERROR(LOOKUP(2,1/(($D$3:D359=$D360)*($A$3:A359&lt;$A360)),$N$3:N359),'Guide &amp; Settings'!$C$41))</f>
        <v>0</v>
      </c>
      <c r="I360" s="117">
        <f t="shared" si="87"/>
        <v>0</v>
      </c>
      <c r="J360" s="118">
        <f>IF($D360="",0,IF($F360&lt;2,0,IF($E360="Win",('Guide &amp; Settings'!$C$42/(($F360-1)*COUNTIFS($A$4:$A$810,$A360,$E$4:$E$810,"Win")))*SUMIFS($X$4:$X$810,$A$4:$A$810,$A360,$E$4:$E$810,"Loss"),-('Guide &amp; Settings'!$C$42/($F360-1))*$X360)))</f>
        <v>0</v>
      </c>
      <c r="K360" s="118">
        <f>IF($D360="",0,'Guide &amp; Settings'!$C$43*(IF($E360="Win",1,0)-$I360))</f>
        <v>0</v>
      </c>
      <c r="L360" s="119">
        <f>IF($D360="",0,'Guide &amp; Settings'!$C$44*IF($F360&gt;=3,$F360,0))</f>
        <v>0</v>
      </c>
      <c r="M360" s="118">
        <f t="shared" si="88"/>
        <v>0</v>
      </c>
      <c r="N360" s="116">
        <f t="shared" si="89"/>
        <v>0</v>
      </c>
      <c r="O360" s="115" t="str">
        <f t="shared" si="90"/>
        <v/>
      </c>
      <c r="P360">
        <f t="shared" si="91"/>
        <v>0</v>
      </c>
      <c r="Q360">
        <f t="shared" si="92"/>
        <v>0</v>
      </c>
      <c r="R360">
        <f t="shared" si="93"/>
        <v>0</v>
      </c>
      <c r="S360">
        <f t="shared" si="94"/>
        <v>0</v>
      </c>
      <c r="T360" s="83">
        <f t="shared" si="95"/>
        <v>0</v>
      </c>
      <c r="U360" s="120">
        <f>IF($D360="",0,IFERROR(LOOKUP(2,1/(($D$3:D359=$D360)*($C$3:C359=$C360)*($A$3:A359&lt;$A360)),$AB$3:AB359),1000))</f>
        <v>0</v>
      </c>
      <c r="V360" s="120">
        <f t="shared" si="96"/>
        <v>0</v>
      </c>
      <c r="W360">
        <f t="shared" si="97"/>
        <v>0</v>
      </c>
      <c r="X360">
        <f t="shared" si="98"/>
        <v>0</v>
      </c>
      <c r="Y360">
        <f t="shared" si="99"/>
        <v>0</v>
      </c>
      <c r="Z360">
        <f t="shared" si="100"/>
        <v>0</v>
      </c>
      <c r="AA360">
        <f>IF($D360="",0,IF($F360&lt;2,0,IF($E360="Win",('Guide &amp; Settings'!$C$42/(($F360-1)*COUNTIFS($A$4:$A$810,$A360,$E$4:$E$810,"Win")))*SUMIFS($Z$4:$Z$810,$A$4:$A$810,$A360,$E$4:$E$810,"Loss"),-('Guide &amp; Settings'!$C$42/($F360-1))*$Z360)))</f>
        <v>0</v>
      </c>
      <c r="AB360" s="120">
        <f t="shared" si="101"/>
        <v>0</v>
      </c>
      <c r="AC360" s="120" t="str">
        <f>IF($D360="","",IF(SUMPRODUCT(MAX(($D$4:$D$810=$D360)*($B$4:$B$810&lt;$B360)*$B$4:$B$810))=0,0,MAX(($B360-MAX(SUMPRODUCT(MAX(($D$4:$D$810=$D360)*($B$4:$B$810&lt;$B360)*$B$4:$B$810)),'Guide &amp; Settings'!$C$50))/7-'Guide &amp; Settings'!$C$48,0)*'Guide &amp; Settings'!$C$49))</f>
        <v/>
      </c>
    </row>
    <row r="361" spans="1:29" x14ac:dyDescent="0.2">
      <c r="A361" s="111"/>
      <c r="B361" s="112"/>
      <c r="C361" s="113"/>
      <c r="D361" s="113"/>
      <c r="E361" s="111"/>
      <c r="F361" s="114">
        <f t="shared" si="85"/>
        <v>0</v>
      </c>
      <c r="G361" s="115" t="str">
        <f t="shared" si="86"/>
        <v/>
      </c>
      <c r="H361" s="116">
        <f>IF($D361="",0,IFERROR(LOOKUP(2,1/(($D$3:D360=$D361)*($A$3:A360&lt;$A361)),$N$3:N360),'Guide &amp; Settings'!$C$41))</f>
        <v>0</v>
      </c>
      <c r="I361" s="117">
        <f t="shared" si="87"/>
        <v>0</v>
      </c>
      <c r="J361" s="118">
        <f>IF($D361="",0,IF($F361&lt;2,0,IF($E361="Win",('Guide &amp; Settings'!$C$42/(($F361-1)*COUNTIFS($A$4:$A$810,$A361,$E$4:$E$810,"Win")))*SUMIFS($X$4:$X$810,$A$4:$A$810,$A361,$E$4:$E$810,"Loss"),-('Guide &amp; Settings'!$C$42/($F361-1))*$X361)))</f>
        <v>0</v>
      </c>
      <c r="K361" s="118">
        <f>IF($D361="",0,'Guide &amp; Settings'!$C$43*(IF($E361="Win",1,0)-$I361))</f>
        <v>0</v>
      </c>
      <c r="L361" s="119">
        <f>IF($D361="",0,'Guide &amp; Settings'!$C$44*IF($F361&gt;=3,$F361,0))</f>
        <v>0</v>
      </c>
      <c r="M361" s="118">
        <f t="shared" si="88"/>
        <v>0</v>
      </c>
      <c r="N361" s="116">
        <f t="shared" si="89"/>
        <v>0</v>
      </c>
      <c r="O361" s="115" t="str">
        <f t="shared" si="90"/>
        <v/>
      </c>
      <c r="P361">
        <f t="shared" si="91"/>
        <v>0</v>
      </c>
      <c r="Q361">
        <f t="shared" si="92"/>
        <v>0</v>
      </c>
      <c r="R361">
        <f t="shared" si="93"/>
        <v>0</v>
      </c>
      <c r="S361">
        <f t="shared" si="94"/>
        <v>0</v>
      </c>
      <c r="T361" s="83">
        <f t="shared" si="95"/>
        <v>0</v>
      </c>
      <c r="U361" s="120">
        <f>IF($D361="",0,IFERROR(LOOKUP(2,1/(($D$3:D360=$D361)*($C$3:C360=$C361)*($A$3:A360&lt;$A361)),$AB$3:AB360),1000))</f>
        <v>0</v>
      </c>
      <c r="V361" s="120">
        <f t="shared" si="96"/>
        <v>0</v>
      </c>
      <c r="W361">
        <f t="shared" si="97"/>
        <v>0</v>
      </c>
      <c r="X361">
        <f t="shared" si="98"/>
        <v>0</v>
      </c>
      <c r="Y361">
        <f t="shared" si="99"/>
        <v>0</v>
      </c>
      <c r="Z361">
        <f t="shared" si="100"/>
        <v>0</v>
      </c>
      <c r="AA361">
        <f>IF($D361="",0,IF($F361&lt;2,0,IF($E361="Win",('Guide &amp; Settings'!$C$42/(($F361-1)*COUNTIFS($A$4:$A$810,$A361,$E$4:$E$810,"Win")))*SUMIFS($Z$4:$Z$810,$A$4:$A$810,$A361,$E$4:$E$810,"Loss"),-('Guide &amp; Settings'!$C$42/($F361-1))*$Z361)))</f>
        <v>0</v>
      </c>
      <c r="AB361" s="120">
        <f t="shared" si="101"/>
        <v>0</v>
      </c>
      <c r="AC361" s="120" t="str">
        <f>IF($D361="","",IF(SUMPRODUCT(MAX(($D$4:$D$810=$D361)*($B$4:$B$810&lt;$B361)*$B$4:$B$810))=0,0,MAX(($B361-MAX(SUMPRODUCT(MAX(($D$4:$D$810=$D361)*($B$4:$B$810&lt;$B361)*$B$4:$B$810)),'Guide &amp; Settings'!$C$50))/7-'Guide &amp; Settings'!$C$48,0)*'Guide &amp; Settings'!$C$49))</f>
        <v/>
      </c>
    </row>
    <row r="362" spans="1:29" x14ac:dyDescent="0.2">
      <c r="A362" s="111"/>
      <c r="B362" s="112"/>
      <c r="C362" s="113"/>
      <c r="D362" s="113"/>
      <c r="E362" s="111"/>
      <c r="F362" s="114">
        <f t="shared" si="85"/>
        <v>0</v>
      </c>
      <c r="G362" s="115" t="str">
        <f t="shared" si="86"/>
        <v/>
      </c>
      <c r="H362" s="116">
        <f>IF($D362="",0,IFERROR(LOOKUP(2,1/(($D$3:D361=$D362)*($A$3:A361&lt;$A362)),$N$3:N361),'Guide &amp; Settings'!$C$41))</f>
        <v>0</v>
      </c>
      <c r="I362" s="117">
        <f t="shared" si="87"/>
        <v>0</v>
      </c>
      <c r="J362" s="118">
        <f>IF($D362="",0,IF($F362&lt;2,0,IF($E362="Win",('Guide &amp; Settings'!$C$42/(($F362-1)*COUNTIFS($A$4:$A$810,$A362,$E$4:$E$810,"Win")))*SUMIFS($X$4:$X$810,$A$4:$A$810,$A362,$E$4:$E$810,"Loss"),-('Guide &amp; Settings'!$C$42/($F362-1))*$X362)))</f>
        <v>0</v>
      </c>
      <c r="K362" s="118">
        <f>IF($D362="",0,'Guide &amp; Settings'!$C$43*(IF($E362="Win",1,0)-$I362))</f>
        <v>0</v>
      </c>
      <c r="L362" s="119">
        <f>IF($D362="",0,'Guide &amp; Settings'!$C$44*IF($F362&gt;=3,$F362,0))</f>
        <v>0</v>
      </c>
      <c r="M362" s="118">
        <f t="shared" si="88"/>
        <v>0</v>
      </c>
      <c r="N362" s="116">
        <f t="shared" si="89"/>
        <v>0</v>
      </c>
      <c r="O362" s="115" t="str">
        <f t="shared" si="90"/>
        <v/>
      </c>
      <c r="P362">
        <f t="shared" si="91"/>
        <v>0</v>
      </c>
      <c r="Q362">
        <f t="shared" si="92"/>
        <v>0</v>
      </c>
      <c r="R362">
        <f t="shared" si="93"/>
        <v>0</v>
      </c>
      <c r="S362">
        <f t="shared" si="94"/>
        <v>0</v>
      </c>
      <c r="T362" s="83">
        <f t="shared" si="95"/>
        <v>0</v>
      </c>
      <c r="U362" s="120">
        <f>IF($D362="",0,IFERROR(LOOKUP(2,1/(($D$3:D361=$D362)*($C$3:C361=$C362)*($A$3:A361&lt;$A362)),$AB$3:AB361),1000))</f>
        <v>0</v>
      </c>
      <c r="V362" s="120">
        <f t="shared" si="96"/>
        <v>0</v>
      </c>
      <c r="W362">
        <f t="shared" si="97"/>
        <v>0</v>
      </c>
      <c r="X362">
        <f t="shared" si="98"/>
        <v>0</v>
      </c>
      <c r="Y362">
        <f t="shared" si="99"/>
        <v>0</v>
      </c>
      <c r="Z362">
        <f t="shared" si="100"/>
        <v>0</v>
      </c>
      <c r="AA362">
        <f>IF($D362="",0,IF($F362&lt;2,0,IF($E362="Win",('Guide &amp; Settings'!$C$42/(($F362-1)*COUNTIFS($A$4:$A$810,$A362,$E$4:$E$810,"Win")))*SUMIFS($Z$4:$Z$810,$A$4:$A$810,$A362,$E$4:$E$810,"Loss"),-('Guide &amp; Settings'!$C$42/($F362-1))*$Z362)))</f>
        <v>0</v>
      </c>
      <c r="AB362" s="120">
        <f t="shared" si="101"/>
        <v>0</v>
      </c>
      <c r="AC362" s="120" t="str">
        <f>IF($D362="","",IF(SUMPRODUCT(MAX(($D$4:$D$810=$D362)*($B$4:$B$810&lt;$B362)*$B$4:$B$810))=0,0,MAX(($B362-MAX(SUMPRODUCT(MAX(($D$4:$D$810=$D362)*($B$4:$B$810&lt;$B362)*$B$4:$B$810)),'Guide &amp; Settings'!$C$50))/7-'Guide &amp; Settings'!$C$48,0)*'Guide &amp; Settings'!$C$49))</f>
        <v/>
      </c>
    </row>
    <row r="363" spans="1:29" x14ac:dyDescent="0.2">
      <c r="A363" s="111"/>
      <c r="B363" s="112"/>
      <c r="C363" s="113"/>
      <c r="D363" s="113"/>
      <c r="E363" s="111"/>
      <c r="F363" s="114">
        <f t="shared" si="85"/>
        <v>0</v>
      </c>
      <c r="G363" s="115" t="str">
        <f t="shared" si="86"/>
        <v/>
      </c>
      <c r="H363" s="116">
        <f>IF($D363="",0,IFERROR(LOOKUP(2,1/(($D$3:D362=$D363)*($A$3:A362&lt;$A363)),$N$3:N362),'Guide &amp; Settings'!$C$41))</f>
        <v>0</v>
      </c>
      <c r="I363" s="117">
        <f t="shared" si="87"/>
        <v>0</v>
      </c>
      <c r="J363" s="118">
        <f>IF($D363="",0,IF($F363&lt;2,0,IF($E363="Win",('Guide &amp; Settings'!$C$42/(($F363-1)*COUNTIFS($A$4:$A$810,$A363,$E$4:$E$810,"Win")))*SUMIFS($X$4:$X$810,$A$4:$A$810,$A363,$E$4:$E$810,"Loss"),-('Guide &amp; Settings'!$C$42/($F363-1))*$X363)))</f>
        <v>0</v>
      </c>
      <c r="K363" s="118">
        <f>IF($D363="",0,'Guide &amp; Settings'!$C$43*(IF($E363="Win",1,0)-$I363))</f>
        <v>0</v>
      </c>
      <c r="L363" s="119">
        <f>IF($D363="",0,'Guide &amp; Settings'!$C$44*IF($F363&gt;=3,$F363,0))</f>
        <v>0</v>
      </c>
      <c r="M363" s="118">
        <f t="shared" si="88"/>
        <v>0</v>
      </c>
      <c r="N363" s="116">
        <f t="shared" si="89"/>
        <v>0</v>
      </c>
      <c r="O363" s="115" t="str">
        <f t="shared" si="90"/>
        <v/>
      </c>
      <c r="P363">
        <f t="shared" si="91"/>
        <v>0</v>
      </c>
      <c r="Q363">
        <f t="shared" si="92"/>
        <v>0</v>
      </c>
      <c r="R363">
        <f t="shared" si="93"/>
        <v>0</v>
      </c>
      <c r="S363">
        <f t="shared" si="94"/>
        <v>0</v>
      </c>
      <c r="T363" s="83">
        <f t="shared" si="95"/>
        <v>0</v>
      </c>
      <c r="U363" s="120">
        <f>IF($D363="",0,IFERROR(LOOKUP(2,1/(($D$3:D362=$D363)*($C$3:C362=$C363)*($A$3:A362&lt;$A363)),$AB$3:AB362),1000))</f>
        <v>0</v>
      </c>
      <c r="V363" s="120">
        <f t="shared" si="96"/>
        <v>0</v>
      </c>
      <c r="W363">
        <f t="shared" si="97"/>
        <v>0</v>
      </c>
      <c r="X363">
        <f t="shared" si="98"/>
        <v>0</v>
      </c>
      <c r="Y363">
        <f t="shared" si="99"/>
        <v>0</v>
      </c>
      <c r="Z363">
        <f t="shared" si="100"/>
        <v>0</v>
      </c>
      <c r="AA363">
        <f>IF($D363="",0,IF($F363&lt;2,0,IF($E363="Win",('Guide &amp; Settings'!$C$42/(($F363-1)*COUNTIFS($A$4:$A$810,$A363,$E$4:$E$810,"Win")))*SUMIFS($Z$4:$Z$810,$A$4:$A$810,$A363,$E$4:$E$810,"Loss"),-('Guide &amp; Settings'!$C$42/($F363-1))*$Z363)))</f>
        <v>0</v>
      </c>
      <c r="AB363" s="120">
        <f t="shared" si="101"/>
        <v>0</v>
      </c>
      <c r="AC363" s="120" t="str">
        <f>IF($D363="","",IF(SUMPRODUCT(MAX(($D$4:$D$810=$D363)*($B$4:$B$810&lt;$B363)*$B$4:$B$810))=0,0,MAX(($B363-MAX(SUMPRODUCT(MAX(($D$4:$D$810=$D363)*($B$4:$B$810&lt;$B363)*$B$4:$B$810)),'Guide &amp; Settings'!$C$50))/7-'Guide &amp; Settings'!$C$48,0)*'Guide &amp; Settings'!$C$49))</f>
        <v/>
      </c>
    </row>
    <row r="364" spans="1:29" x14ac:dyDescent="0.2">
      <c r="A364" s="111"/>
      <c r="B364" s="112"/>
      <c r="C364" s="113"/>
      <c r="D364" s="113"/>
      <c r="E364" s="111"/>
      <c r="F364" s="114">
        <f t="shared" si="85"/>
        <v>0</v>
      </c>
      <c r="G364" s="115" t="str">
        <f t="shared" si="86"/>
        <v/>
      </c>
      <c r="H364" s="116">
        <f>IF($D364="",0,IFERROR(LOOKUP(2,1/(($D$3:D363=$D364)*($A$3:A363&lt;$A364)),$N$3:N363),'Guide &amp; Settings'!$C$41))</f>
        <v>0</v>
      </c>
      <c r="I364" s="117">
        <f t="shared" si="87"/>
        <v>0</v>
      </c>
      <c r="J364" s="118">
        <f>IF($D364="",0,IF($F364&lt;2,0,IF($E364="Win",('Guide &amp; Settings'!$C$42/(($F364-1)*COUNTIFS($A$4:$A$810,$A364,$E$4:$E$810,"Win")))*SUMIFS($X$4:$X$810,$A$4:$A$810,$A364,$E$4:$E$810,"Loss"),-('Guide &amp; Settings'!$C$42/($F364-1))*$X364)))</f>
        <v>0</v>
      </c>
      <c r="K364" s="118">
        <f>IF($D364="",0,'Guide &amp; Settings'!$C$43*(IF($E364="Win",1,0)-$I364))</f>
        <v>0</v>
      </c>
      <c r="L364" s="119">
        <f>IF($D364="",0,'Guide &amp; Settings'!$C$44*IF($F364&gt;=3,$F364,0))</f>
        <v>0</v>
      </c>
      <c r="M364" s="118">
        <f t="shared" si="88"/>
        <v>0</v>
      </c>
      <c r="N364" s="116">
        <f t="shared" si="89"/>
        <v>0</v>
      </c>
      <c r="O364" s="115" t="str">
        <f t="shared" si="90"/>
        <v/>
      </c>
      <c r="P364">
        <f t="shared" si="91"/>
        <v>0</v>
      </c>
      <c r="Q364">
        <f t="shared" si="92"/>
        <v>0</v>
      </c>
      <c r="R364">
        <f t="shared" si="93"/>
        <v>0</v>
      </c>
      <c r="S364">
        <f t="shared" si="94"/>
        <v>0</v>
      </c>
      <c r="T364" s="83">
        <f t="shared" si="95"/>
        <v>0</v>
      </c>
      <c r="U364" s="120">
        <f>IF($D364="",0,IFERROR(LOOKUP(2,1/(($D$3:D363=$D364)*($C$3:C363=$C364)*($A$3:A363&lt;$A364)),$AB$3:AB363),1000))</f>
        <v>0</v>
      </c>
      <c r="V364" s="120">
        <f t="shared" si="96"/>
        <v>0</v>
      </c>
      <c r="W364">
        <f t="shared" si="97"/>
        <v>0</v>
      </c>
      <c r="X364">
        <f t="shared" si="98"/>
        <v>0</v>
      </c>
      <c r="Y364">
        <f t="shared" si="99"/>
        <v>0</v>
      </c>
      <c r="Z364">
        <f t="shared" si="100"/>
        <v>0</v>
      </c>
      <c r="AA364">
        <f>IF($D364="",0,IF($F364&lt;2,0,IF($E364="Win",('Guide &amp; Settings'!$C$42/(($F364-1)*COUNTIFS($A$4:$A$810,$A364,$E$4:$E$810,"Win")))*SUMIFS($Z$4:$Z$810,$A$4:$A$810,$A364,$E$4:$E$810,"Loss"),-('Guide &amp; Settings'!$C$42/($F364-1))*$Z364)))</f>
        <v>0</v>
      </c>
      <c r="AB364" s="120">
        <f t="shared" si="101"/>
        <v>0</v>
      </c>
      <c r="AC364" s="120" t="str">
        <f>IF($D364="","",IF(SUMPRODUCT(MAX(($D$4:$D$810=$D364)*($B$4:$B$810&lt;$B364)*$B$4:$B$810))=0,0,MAX(($B364-MAX(SUMPRODUCT(MAX(($D$4:$D$810=$D364)*($B$4:$B$810&lt;$B364)*$B$4:$B$810)),'Guide &amp; Settings'!$C$50))/7-'Guide &amp; Settings'!$C$48,0)*'Guide &amp; Settings'!$C$49))</f>
        <v/>
      </c>
    </row>
    <row r="365" spans="1:29" x14ac:dyDescent="0.2">
      <c r="A365" s="111"/>
      <c r="B365" s="112"/>
      <c r="C365" s="113"/>
      <c r="D365" s="113"/>
      <c r="E365" s="111"/>
      <c r="F365" s="114">
        <f t="shared" si="85"/>
        <v>0</v>
      </c>
      <c r="G365" s="115" t="str">
        <f t="shared" si="86"/>
        <v/>
      </c>
      <c r="H365" s="116">
        <f>IF($D365="",0,IFERROR(LOOKUP(2,1/(($D$3:D364=$D365)*($A$3:A364&lt;$A365)),$N$3:N364),'Guide &amp; Settings'!$C$41))</f>
        <v>0</v>
      </c>
      <c r="I365" s="117">
        <f t="shared" si="87"/>
        <v>0</v>
      </c>
      <c r="J365" s="118">
        <f>IF($D365="",0,IF($F365&lt;2,0,IF($E365="Win",('Guide &amp; Settings'!$C$42/(($F365-1)*COUNTIFS($A$4:$A$810,$A365,$E$4:$E$810,"Win")))*SUMIFS($X$4:$X$810,$A$4:$A$810,$A365,$E$4:$E$810,"Loss"),-('Guide &amp; Settings'!$C$42/($F365-1))*$X365)))</f>
        <v>0</v>
      </c>
      <c r="K365" s="118">
        <f>IF($D365="",0,'Guide &amp; Settings'!$C$43*(IF($E365="Win",1,0)-$I365))</f>
        <v>0</v>
      </c>
      <c r="L365" s="119">
        <f>IF($D365="",0,'Guide &amp; Settings'!$C$44*IF($F365&gt;=3,$F365,0))</f>
        <v>0</v>
      </c>
      <c r="M365" s="118">
        <f t="shared" si="88"/>
        <v>0</v>
      </c>
      <c r="N365" s="116">
        <f t="shared" si="89"/>
        <v>0</v>
      </c>
      <c r="O365" s="115" t="str">
        <f t="shared" si="90"/>
        <v/>
      </c>
      <c r="P365">
        <f t="shared" si="91"/>
        <v>0</v>
      </c>
      <c r="Q365">
        <f t="shared" si="92"/>
        <v>0</v>
      </c>
      <c r="R365">
        <f t="shared" si="93"/>
        <v>0</v>
      </c>
      <c r="S365">
        <f t="shared" si="94"/>
        <v>0</v>
      </c>
      <c r="T365" s="83">
        <f t="shared" si="95"/>
        <v>0</v>
      </c>
      <c r="U365" s="120">
        <f>IF($D365="",0,IFERROR(LOOKUP(2,1/(($D$3:D364=$D365)*($C$3:C364=$C365)*($A$3:A364&lt;$A365)),$AB$3:AB364),1000))</f>
        <v>0</v>
      </c>
      <c r="V365" s="120">
        <f t="shared" si="96"/>
        <v>0</v>
      </c>
      <c r="W365">
        <f t="shared" si="97"/>
        <v>0</v>
      </c>
      <c r="X365">
        <f t="shared" si="98"/>
        <v>0</v>
      </c>
      <c r="Y365">
        <f t="shared" si="99"/>
        <v>0</v>
      </c>
      <c r="Z365">
        <f t="shared" si="100"/>
        <v>0</v>
      </c>
      <c r="AA365">
        <f>IF($D365="",0,IF($F365&lt;2,0,IF($E365="Win",('Guide &amp; Settings'!$C$42/(($F365-1)*COUNTIFS($A$4:$A$810,$A365,$E$4:$E$810,"Win")))*SUMIFS($Z$4:$Z$810,$A$4:$A$810,$A365,$E$4:$E$810,"Loss"),-('Guide &amp; Settings'!$C$42/($F365-1))*$Z365)))</f>
        <v>0</v>
      </c>
      <c r="AB365" s="120">
        <f t="shared" si="101"/>
        <v>0</v>
      </c>
      <c r="AC365" s="120" t="str">
        <f>IF($D365="","",IF(SUMPRODUCT(MAX(($D$4:$D$810=$D365)*($B$4:$B$810&lt;$B365)*$B$4:$B$810))=0,0,MAX(($B365-MAX(SUMPRODUCT(MAX(($D$4:$D$810=$D365)*($B$4:$B$810&lt;$B365)*$B$4:$B$810)),'Guide &amp; Settings'!$C$50))/7-'Guide &amp; Settings'!$C$48,0)*'Guide &amp; Settings'!$C$49))</f>
        <v/>
      </c>
    </row>
    <row r="366" spans="1:29" x14ac:dyDescent="0.2">
      <c r="A366" s="111"/>
      <c r="B366" s="112"/>
      <c r="C366" s="113"/>
      <c r="D366" s="113"/>
      <c r="E366" s="111"/>
      <c r="F366" s="114">
        <f t="shared" si="85"/>
        <v>0</v>
      </c>
      <c r="G366" s="115" t="str">
        <f t="shared" si="86"/>
        <v/>
      </c>
      <c r="H366" s="116">
        <f>IF($D366="",0,IFERROR(LOOKUP(2,1/(($D$3:D365=$D366)*($A$3:A365&lt;$A366)),$N$3:N365),'Guide &amp; Settings'!$C$41))</f>
        <v>0</v>
      </c>
      <c r="I366" s="117">
        <f t="shared" si="87"/>
        <v>0</v>
      </c>
      <c r="J366" s="118">
        <f>IF($D366="",0,IF($F366&lt;2,0,IF($E366="Win",('Guide &amp; Settings'!$C$42/(($F366-1)*COUNTIFS($A$4:$A$810,$A366,$E$4:$E$810,"Win")))*SUMIFS($X$4:$X$810,$A$4:$A$810,$A366,$E$4:$E$810,"Loss"),-('Guide &amp; Settings'!$C$42/($F366-1))*$X366)))</f>
        <v>0</v>
      </c>
      <c r="K366" s="118">
        <f>IF($D366="",0,'Guide &amp; Settings'!$C$43*(IF($E366="Win",1,0)-$I366))</f>
        <v>0</v>
      </c>
      <c r="L366" s="119">
        <f>IF($D366="",0,'Guide &amp; Settings'!$C$44*IF($F366&gt;=3,$F366,0))</f>
        <v>0</v>
      </c>
      <c r="M366" s="118">
        <f t="shared" si="88"/>
        <v>0</v>
      </c>
      <c r="N366" s="116">
        <f t="shared" si="89"/>
        <v>0</v>
      </c>
      <c r="O366" s="115" t="str">
        <f t="shared" si="90"/>
        <v/>
      </c>
      <c r="P366">
        <f t="shared" si="91"/>
        <v>0</v>
      </c>
      <c r="Q366">
        <f t="shared" si="92"/>
        <v>0</v>
      </c>
      <c r="R366">
        <f t="shared" si="93"/>
        <v>0</v>
      </c>
      <c r="S366">
        <f t="shared" si="94"/>
        <v>0</v>
      </c>
      <c r="T366" s="83">
        <f t="shared" si="95"/>
        <v>0</v>
      </c>
      <c r="U366" s="120">
        <f>IF($D366="",0,IFERROR(LOOKUP(2,1/(($D$3:D365=$D366)*($C$3:C365=$C366)*($A$3:A365&lt;$A366)),$AB$3:AB365),1000))</f>
        <v>0</v>
      </c>
      <c r="V366" s="120">
        <f t="shared" si="96"/>
        <v>0</v>
      </c>
      <c r="W366">
        <f t="shared" si="97"/>
        <v>0</v>
      </c>
      <c r="X366">
        <f t="shared" si="98"/>
        <v>0</v>
      </c>
      <c r="Y366">
        <f t="shared" si="99"/>
        <v>0</v>
      </c>
      <c r="Z366">
        <f t="shared" si="100"/>
        <v>0</v>
      </c>
      <c r="AA366">
        <f>IF($D366="",0,IF($F366&lt;2,0,IF($E366="Win",('Guide &amp; Settings'!$C$42/(($F366-1)*COUNTIFS($A$4:$A$810,$A366,$E$4:$E$810,"Win")))*SUMIFS($Z$4:$Z$810,$A$4:$A$810,$A366,$E$4:$E$810,"Loss"),-('Guide &amp; Settings'!$C$42/($F366-1))*$Z366)))</f>
        <v>0</v>
      </c>
      <c r="AB366" s="120">
        <f t="shared" si="101"/>
        <v>0</v>
      </c>
      <c r="AC366" s="120" t="str">
        <f>IF($D366="","",IF(SUMPRODUCT(MAX(($D$4:$D$810=$D366)*($B$4:$B$810&lt;$B366)*$B$4:$B$810))=0,0,MAX(($B366-MAX(SUMPRODUCT(MAX(($D$4:$D$810=$D366)*($B$4:$B$810&lt;$B366)*$B$4:$B$810)),'Guide &amp; Settings'!$C$50))/7-'Guide &amp; Settings'!$C$48,0)*'Guide &amp; Settings'!$C$49))</f>
        <v/>
      </c>
    </row>
    <row r="367" spans="1:29" x14ac:dyDescent="0.2">
      <c r="A367" s="111"/>
      <c r="B367" s="112"/>
      <c r="C367" s="113"/>
      <c r="D367" s="113"/>
      <c r="E367" s="111"/>
      <c r="F367" s="114">
        <f t="shared" si="85"/>
        <v>0</v>
      </c>
      <c r="G367" s="115" t="str">
        <f t="shared" si="86"/>
        <v/>
      </c>
      <c r="H367" s="116">
        <f>IF($D367="",0,IFERROR(LOOKUP(2,1/(($D$3:D366=$D367)*($A$3:A366&lt;$A367)),$N$3:N366),'Guide &amp; Settings'!$C$41))</f>
        <v>0</v>
      </c>
      <c r="I367" s="117">
        <f t="shared" si="87"/>
        <v>0</v>
      </c>
      <c r="J367" s="118">
        <f>IF($D367="",0,IF($F367&lt;2,0,IF($E367="Win",('Guide &amp; Settings'!$C$42/(($F367-1)*COUNTIFS($A$4:$A$810,$A367,$E$4:$E$810,"Win")))*SUMIFS($X$4:$X$810,$A$4:$A$810,$A367,$E$4:$E$810,"Loss"),-('Guide &amp; Settings'!$C$42/($F367-1))*$X367)))</f>
        <v>0</v>
      </c>
      <c r="K367" s="118">
        <f>IF($D367="",0,'Guide &amp; Settings'!$C$43*(IF($E367="Win",1,0)-$I367))</f>
        <v>0</v>
      </c>
      <c r="L367" s="119">
        <f>IF($D367="",0,'Guide &amp; Settings'!$C$44*IF($F367&gt;=3,$F367,0))</f>
        <v>0</v>
      </c>
      <c r="M367" s="118">
        <f t="shared" si="88"/>
        <v>0</v>
      </c>
      <c r="N367" s="116">
        <f t="shared" si="89"/>
        <v>0</v>
      </c>
      <c r="O367" s="115" t="str">
        <f t="shared" si="90"/>
        <v/>
      </c>
      <c r="P367">
        <f t="shared" si="91"/>
        <v>0</v>
      </c>
      <c r="Q367">
        <f t="shared" si="92"/>
        <v>0</v>
      </c>
      <c r="R367">
        <f t="shared" si="93"/>
        <v>0</v>
      </c>
      <c r="S367">
        <f t="shared" si="94"/>
        <v>0</v>
      </c>
      <c r="T367" s="83">
        <f t="shared" si="95"/>
        <v>0</v>
      </c>
      <c r="U367" s="120">
        <f>IF($D367="",0,IFERROR(LOOKUP(2,1/(($D$3:D366=$D367)*($C$3:C366=$C367)*($A$3:A366&lt;$A367)),$AB$3:AB366),1000))</f>
        <v>0</v>
      </c>
      <c r="V367" s="120">
        <f t="shared" si="96"/>
        <v>0</v>
      </c>
      <c r="W367">
        <f t="shared" si="97"/>
        <v>0</v>
      </c>
      <c r="X367">
        <f t="shared" si="98"/>
        <v>0</v>
      </c>
      <c r="Y367">
        <f t="shared" si="99"/>
        <v>0</v>
      </c>
      <c r="Z367">
        <f t="shared" si="100"/>
        <v>0</v>
      </c>
      <c r="AA367">
        <f>IF($D367="",0,IF($F367&lt;2,0,IF($E367="Win",('Guide &amp; Settings'!$C$42/(($F367-1)*COUNTIFS($A$4:$A$810,$A367,$E$4:$E$810,"Win")))*SUMIFS($Z$4:$Z$810,$A$4:$A$810,$A367,$E$4:$E$810,"Loss"),-('Guide &amp; Settings'!$C$42/($F367-1))*$Z367)))</f>
        <v>0</v>
      </c>
      <c r="AB367" s="120">
        <f t="shared" si="101"/>
        <v>0</v>
      </c>
      <c r="AC367" s="120" t="str">
        <f>IF($D367="","",IF(SUMPRODUCT(MAX(($D$4:$D$810=$D367)*($B$4:$B$810&lt;$B367)*$B$4:$B$810))=0,0,MAX(($B367-MAX(SUMPRODUCT(MAX(($D$4:$D$810=$D367)*($B$4:$B$810&lt;$B367)*$B$4:$B$810)),'Guide &amp; Settings'!$C$50))/7-'Guide &amp; Settings'!$C$48,0)*'Guide &amp; Settings'!$C$49))</f>
        <v/>
      </c>
    </row>
    <row r="368" spans="1:29" x14ac:dyDescent="0.2">
      <c r="A368" s="111"/>
      <c r="B368" s="112"/>
      <c r="C368" s="113"/>
      <c r="D368" s="113"/>
      <c r="E368" s="111"/>
      <c r="F368" s="114">
        <f t="shared" si="85"/>
        <v>0</v>
      </c>
      <c r="G368" s="115" t="str">
        <f t="shared" si="86"/>
        <v/>
      </c>
      <c r="H368" s="116">
        <f>IF($D368="",0,IFERROR(LOOKUP(2,1/(($D$3:D367=$D368)*($A$3:A367&lt;$A368)),$N$3:N367),'Guide &amp; Settings'!$C$41))</f>
        <v>0</v>
      </c>
      <c r="I368" s="117">
        <f t="shared" si="87"/>
        <v>0</v>
      </c>
      <c r="J368" s="118">
        <f>IF($D368="",0,IF($F368&lt;2,0,IF($E368="Win",('Guide &amp; Settings'!$C$42/(($F368-1)*COUNTIFS($A$4:$A$810,$A368,$E$4:$E$810,"Win")))*SUMIFS($X$4:$X$810,$A$4:$A$810,$A368,$E$4:$E$810,"Loss"),-('Guide &amp; Settings'!$C$42/($F368-1))*$X368)))</f>
        <v>0</v>
      </c>
      <c r="K368" s="118">
        <f>IF($D368="",0,'Guide &amp; Settings'!$C$43*(IF($E368="Win",1,0)-$I368))</f>
        <v>0</v>
      </c>
      <c r="L368" s="119">
        <f>IF($D368="",0,'Guide &amp; Settings'!$C$44*IF($F368&gt;=3,$F368,0))</f>
        <v>0</v>
      </c>
      <c r="M368" s="118">
        <f t="shared" si="88"/>
        <v>0</v>
      </c>
      <c r="N368" s="116">
        <f t="shared" si="89"/>
        <v>0</v>
      </c>
      <c r="O368" s="115" t="str">
        <f t="shared" si="90"/>
        <v/>
      </c>
      <c r="P368">
        <f t="shared" si="91"/>
        <v>0</v>
      </c>
      <c r="Q368">
        <f t="shared" si="92"/>
        <v>0</v>
      </c>
      <c r="R368">
        <f t="shared" si="93"/>
        <v>0</v>
      </c>
      <c r="S368">
        <f t="shared" si="94"/>
        <v>0</v>
      </c>
      <c r="T368" s="83">
        <f t="shared" si="95"/>
        <v>0</v>
      </c>
      <c r="U368" s="120">
        <f>IF($D368="",0,IFERROR(LOOKUP(2,1/(($D$3:D367=$D368)*($C$3:C367=$C368)*($A$3:A367&lt;$A368)),$AB$3:AB367),1000))</f>
        <v>0</v>
      </c>
      <c r="V368" s="120">
        <f t="shared" si="96"/>
        <v>0</v>
      </c>
      <c r="W368">
        <f t="shared" si="97"/>
        <v>0</v>
      </c>
      <c r="X368">
        <f t="shared" si="98"/>
        <v>0</v>
      </c>
      <c r="Y368">
        <f t="shared" si="99"/>
        <v>0</v>
      </c>
      <c r="Z368">
        <f t="shared" si="100"/>
        <v>0</v>
      </c>
      <c r="AA368">
        <f>IF($D368="",0,IF($F368&lt;2,0,IF($E368="Win",('Guide &amp; Settings'!$C$42/(($F368-1)*COUNTIFS($A$4:$A$810,$A368,$E$4:$E$810,"Win")))*SUMIFS($Z$4:$Z$810,$A$4:$A$810,$A368,$E$4:$E$810,"Loss"),-('Guide &amp; Settings'!$C$42/($F368-1))*$Z368)))</f>
        <v>0</v>
      </c>
      <c r="AB368" s="120">
        <f t="shared" si="101"/>
        <v>0</v>
      </c>
      <c r="AC368" s="120" t="str">
        <f>IF($D368="","",IF(SUMPRODUCT(MAX(($D$4:$D$810=$D368)*($B$4:$B$810&lt;$B368)*$B$4:$B$810))=0,0,MAX(($B368-MAX(SUMPRODUCT(MAX(($D$4:$D$810=$D368)*($B$4:$B$810&lt;$B368)*$B$4:$B$810)),'Guide &amp; Settings'!$C$50))/7-'Guide &amp; Settings'!$C$48,0)*'Guide &amp; Settings'!$C$49))</f>
        <v/>
      </c>
    </row>
    <row r="369" spans="1:29" x14ac:dyDescent="0.2">
      <c r="A369" s="111"/>
      <c r="B369" s="112"/>
      <c r="C369" s="113"/>
      <c r="D369" s="113"/>
      <c r="E369" s="111"/>
      <c r="F369" s="114">
        <f t="shared" si="85"/>
        <v>0</v>
      </c>
      <c r="G369" s="115" t="str">
        <f t="shared" si="86"/>
        <v/>
      </c>
      <c r="H369" s="116">
        <f>IF($D369="",0,IFERROR(LOOKUP(2,1/(($D$3:D368=$D369)*($A$3:A368&lt;$A369)),$N$3:N368),'Guide &amp; Settings'!$C$41))</f>
        <v>0</v>
      </c>
      <c r="I369" s="117">
        <f t="shared" si="87"/>
        <v>0</v>
      </c>
      <c r="J369" s="118">
        <f>IF($D369="",0,IF($F369&lt;2,0,IF($E369="Win",('Guide &amp; Settings'!$C$42/(($F369-1)*COUNTIFS($A$4:$A$810,$A369,$E$4:$E$810,"Win")))*SUMIFS($X$4:$X$810,$A$4:$A$810,$A369,$E$4:$E$810,"Loss"),-('Guide &amp; Settings'!$C$42/($F369-1))*$X369)))</f>
        <v>0</v>
      </c>
      <c r="K369" s="118">
        <f>IF($D369="",0,'Guide &amp; Settings'!$C$43*(IF($E369="Win",1,0)-$I369))</f>
        <v>0</v>
      </c>
      <c r="L369" s="119">
        <f>IF($D369="",0,'Guide &amp; Settings'!$C$44*IF($F369&gt;=3,$F369,0))</f>
        <v>0</v>
      </c>
      <c r="M369" s="118">
        <f t="shared" si="88"/>
        <v>0</v>
      </c>
      <c r="N369" s="116">
        <f t="shared" si="89"/>
        <v>0</v>
      </c>
      <c r="O369" s="115" t="str">
        <f t="shared" si="90"/>
        <v/>
      </c>
      <c r="P369">
        <f t="shared" si="91"/>
        <v>0</v>
      </c>
      <c r="Q369">
        <f t="shared" si="92"/>
        <v>0</v>
      </c>
      <c r="R369">
        <f t="shared" si="93"/>
        <v>0</v>
      </c>
      <c r="S369">
        <f t="shared" si="94"/>
        <v>0</v>
      </c>
      <c r="T369" s="83">
        <f t="shared" si="95"/>
        <v>0</v>
      </c>
      <c r="U369" s="120">
        <f>IF($D369="",0,IFERROR(LOOKUP(2,1/(($D$3:D368=$D369)*($C$3:C368=$C369)*($A$3:A368&lt;$A369)),$AB$3:AB368),1000))</f>
        <v>0</v>
      </c>
      <c r="V369" s="120">
        <f t="shared" si="96"/>
        <v>0</v>
      </c>
      <c r="W369">
        <f t="shared" si="97"/>
        <v>0</v>
      </c>
      <c r="X369">
        <f t="shared" si="98"/>
        <v>0</v>
      </c>
      <c r="Y369">
        <f t="shared" si="99"/>
        <v>0</v>
      </c>
      <c r="Z369">
        <f t="shared" si="100"/>
        <v>0</v>
      </c>
      <c r="AA369">
        <f>IF($D369="",0,IF($F369&lt;2,0,IF($E369="Win",('Guide &amp; Settings'!$C$42/(($F369-1)*COUNTIFS($A$4:$A$810,$A369,$E$4:$E$810,"Win")))*SUMIFS($Z$4:$Z$810,$A$4:$A$810,$A369,$E$4:$E$810,"Loss"),-('Guide &amp; Settings'!$C$42/($F369-1))*$Z369)))</f>
        <v>0</v>
      </c>
      <c r="AB369" s="120">
        <f t="shared" si="101"/>
        <v>0</v>
      </c>
      <c r="AC369" s="120" t="str">
        <f>IF($D369="","",IF(SUMPRODUCT(MAX(($D$4:$D$810=$D369)*($B$4:$B$810&lt;$B369)*$B$4:$B$810))=0,0,MAX(($B369-MAX(SUMPRODUCT(MAX(($D$4:$D$810=$D369)*($B$4:$B$810&lt;$B369)*$B$4:$B$810)),'Guide &amp; Settings'!$C$50))/7-'Guide &amp; Settings'!$C$48,0)*'Guide &amp; Settings'!$C$49))</f>
        <v/>
      </c>
    </row>
    <row r="370" spans="1:29" x14ac:dyDescent="0.2">
      <c r="A370" s="111"/>
      <c r="B370" s="112"/>
      <c r="C370" s="113"/>
      <c r="D370" s="113"/>
      <c r="E370" s="111"/>
      <c r="F370" s="114">
        <f t="shared" si="85"/>
        <v>0</v>
      </c>
      <c r="G370" s="115" t="str">
        <f t="shared" si="86"/>
        <v/>
      </c>
      <c r="H370" s="116">
        <f>IF($D370="",0,IFERROR(LOOKUP(2,1/(($D$3:D369=$D370)*($A$3:A369&lt;$A370)),$N$3:N369),'Guide &amp; Settings'!$C$41))</f>
        <v>0</v>
      </c>
      <c r="I370" s="117">
        <f t="shared" si="87"/>
        <v>0</v>
      </c>
      <c r="J370" s="118">
        <f>IF($D370="",0,IF($F370&lt;2,0,IF($E370="Win",('Guide &amp; Settings'!$C$42/(($F370-1)*COUNTIFS($A$4:$A$810,$A370,$E$4:$E$810,"Win")))*SUMIFS($X$4:$X$810,$A$4:$A$810,$A370,$E$4:$E$810,"Loss"),-('Guide &amp; Settings'!$C$42/($F370-1))*$X370)))</f>
        <v>0</v>
      </c>
      <c r="K370" s="118">
        <f>IF($D370="",0,'Guide &amp; Settings'!$C$43*(IF($E370="Win",1,0)-$I370))</f>
        <v>0</v>
      </c>
      <c r="L370" s="119">
        <f>IF($D370="",0,'Guide &amp; Settings'!$C$44*IF($F370&gt;=3,$F370,0))</f>
        <v>0</v>
      </c>
      <c r="M370" s="118">
        <f t="shared" si="88"/>
        <v>0</v>
      </c>
      <c r="N370" s="116">
        <f t="shared" si="89"/>
        <v>0</v>
      </c>
      <c r="O370" s="115" t="str">
        <f t="shared" si="90"/>
        <v/>
      </c>
      <c r="P370">
        <f t="shared" si="91"/>
        <v>0</v>
      </c>
      <c r="Q370">
        <f t="shared" si="92"/>
        <v>0</v>
      </c>
      <c r="R370">
        <f t="shared" si="93"/>
        <v>0</v>
      </c>
      <c r="S370">
        <f t="shared" si="94"/>
        <v>0</v>
      </c>
      <c r="T370" s="83">
        <f t="shared" si="95"/>
        <v>0</v>
      </c>
      <c r="U370" s="120">
        <f>IF($D370="",0,IFERROR(LOOKUP(2,1/(($D$3:D369=$D370)*($C$3:C369=$C370)*($A$3:A369&lt;$A370)),$AB$3:AB369),1000))</f>
        <v>0</v>
      </c>
      <c r="V370" s="120">
        <f t="shared" si="96"/>
        <v>0</v>
      </c>
      <c r="W370">
        <f t="shared" si="97"/>
        <v>0</v>
      </c>
      <c r="X370">
        <f t="shared" si="98"/>
        <v>0</v>
      </c>
      <c r="Y370">
        <f t="shared" si="99"/>
        <v>0</v>
      </c>
      <c r="Z370">
        <f t="shared" si="100"/>
        <v>0</v>
      </c>
      <c r="AA370">
        <f>IF($D370="",0,IF($F370&lt;2,0,IF($E370="Win",('Guide &amp; Settings'!$C$42/(($F370-1)*COUNTIFS($A$4:$A$810,$A370,$E$4:$E$810,"Win")))*SUMIFS($Z$4:$Z$810,$A$4:$A$810,$A370,$E$4:$E$810,"Loss"),-('Guide &amp; Settings'!$C$42/($F370-1))*$Z370)))</f>
        <v>0</v>
      </c>
      <c r="AB370" s="120">
        <f t="shared" si="101"/>
        <v>0</v>
      </c>
      <c r="AC370" s="120" t="str">
        <f>IF($D370="","",IF(SUMPRODUCT(MAX(($D$4:$D$810=$D370)*($B$4:$B$810&lt;$B370)*$B$4:$B$810))=0,0,MAX(($B370-MAX(SUMPRODUCT(MAX(($D$4:$D$810=$D370)*($B$4:$B$810&lt;$B370)*$B$4:$B$810)),'Guide &amp; Settings'!$C$50))/7-'Guide &amp; Settings'!$C$48,0)*'Guide &amp; Settings'!$C$49))</f>
        <v/>
      </c>
    </row>
    <row r="371" spans="1:29" x14ac:dyDescent="0.2">
      <c r="A371" s="111"/>
      <c r="B371" s="112"/>
      <c r="C371" s="113"/>
      <c r="D371" s="113"/>
      <c r="E371" s="111"/>
      <c r="F371" s="114">
        <f t="shared" si="85"/>
        <v>0</v>
      </c>
      <c r="G371" s="115" t="str">
        <f t="shared" si="86"/>
        <v/>
      </c>
      <c r="H371" s="116">
        <f>IF($D371="",0,IFERROR(LOOKUP(2,1/(($D$3:D370=$D371)*($A$3:A370&lt;$A371)),$N$3:N370),'Guide &amp; Settings'!$C$41))</f>
        <v>0</v>
      </c>
      <c r="I371" s="117">
        <f t="shared" si="87"/>
        <v>0</v>
      </c>
      <c r="J371" s="118">
        <f>IF($D371="",0,IF($F371&lt;2,0,IF($E371="Win",('Guide &amp; Settings'!$C$42/(($F371-1)*COUNTIFS($A$4:$A$810,$A371,$E$4:$E$810,"Win")))*SUMIFS($X$4:$X$810,$A$4:$A$810,$A371,$E$4:$E$810,"Loss"),-('Guide &amp; Settings'!$C$42/($F371-1))*$X371)))</f>
        <v>0</v>
      </c>
      <c r="K371" s="118">
        <f>IF($D371="",0,'Guide &amp; Settings'!$C$43*(IF($E371="Win",1,0)-$I371))</f>
        <v>0</v>
      </c>
      <c r="L371" s="119">
        <f>IF($D371="",0,'Guide &amp; Settings'!$C$44*IF($F371&gt;=3,$F371,0))</f>
        <v>0</v>
      </c>
      <c r="M371" s="118">
        <f t="shared" si="88"/>
        <v>0</v>
      </c>
      <c r="N371" s="116">
        <f t="shared" si="89"/>
        <v>0</v>
      </c>
      <c r="O371" s="115" t="str">
        <f t="shared" si="90"/>
        <v/>
      </c>
      <c r="P371">
        <f t="shared" si="91"/>
        <v>0</v>
      </c>
      <c r="Q371">
        <f t="shared" si="92"/>
        <v>0</v>
      </c>
      <c r="R371">
        <f t="shared" si="93"/>
        <v>0</v>
      </c>
      <c r="S371">
        <f t="shared" si="94"/>
        <v>0</v>
      </c>
      <c r="T371" s="83">
        <f t="shared" si="95"/>
        <v>0</v>
      </c>
      <c r="U371" s="120">
        <f>IF($D371="",0,IFERROR(LOOKUP(2,1/(($D$3:D370=$D371)*($C$3:C370=$C371)*($A$3:A370&lt;$A371)),$AB$3:AB370),1000))</f>
        <v>0</v>
      </c>
      <c r="V371" s="120">
        <f t="shared" si="96"/>
        <v>0</v>
      </c>
      <c r="W371">
        <f t="shared" si="97"/>
        <v>0</v>
      </c>
      <c r="X371">
        <f t="shared" si="98"/>
        <v>0</v>
      </c>
      <c r="Y371">
        <f t="shared" si="99"/>
        <v>0</v>
      </c>
      <c r="Z371">
        <f t="shared" si="100"/>
        <v>0</v>
      </c>
      <c r="AA371">
        <f>IF($D371="",0,IF($F371&lt;2,0,IF($E371="Win",('Guide &amp; Settings'!$C$42/(($F371-1)*COUNTIFS($A$4:$A$810,$A371,$E$4:$E$810,"Win")))*SUMIFS($Z$4:$Z$810,$A$4:$A$810,$A371,$E$4:$E$810,"Loss"),-('Guide &amp; Settings'!$C$42/($F371-1))*$Z371)))</f>
        <v>0</v>
      </c>
      <c r="AB371" s="120">
        <f t="shared" si="101"/>
        <v>0</v>
      </c>
      <c r="AC371" s="120" t="str">
        <f>IF($D371="","",IF(SUMPRODUCT(MAX(($D$4:$D$810=$D371)*($B$4:$B$810&lt;$B371)*$B$4:$B$810))=0,0,MAX(($B371-MAX(SUMPRODUCT(MAX(($D$4:$D$810=$D371)*($B$4:$B$810&lt;$B371)*$B$4:$B$810)),'Guide &amp; Settings'!$C$50))/7-'Guide &amp; Settings'!$C$48,0)*'Guide &amp; Settings'!$C$49))</f>
        <v/>
      </c>
    </row>
    <row r="372" spans="1:29" x14ac:dyDescent="0.2">
      <c r="A372" s="111"/>
      <c r="B372" s="112"/>
      <c r="C372" s="113"/>
      <c r="D372" s="113"/>
      <c r="E372" s="111"/>
      <c r="F372" s="114">
        <f t="shared" si="85"/>
        <v>0</v>
      </c>
      <c r="G372" s="115" t="str">
        <f t="shared" si="86"/>
        <v/>
      </c>
      <c r="H372" s="116">
        <f>IF($D372="",0,IFERROR(LOOKUP(2,1/(($D$3:D371=$D372)*($A$3:A371&lt;$A372)),$N$3:N371),'Guide &amp; Settings'!$C$41))</f>
        <v>0</v>
      </c>
      <c r="I372" s="117">
        <f t="shared" si="87"/>
        <v>0</v>
      </c>
      <c r="J372" s="118">
        <f>IF($D372="",0,IF($F372&lt;2,0,IF($E372="Win",('Guide &amp; Settings'!$C$42/(($F372-1)*COUNTIFS($A$4:$A$810,$A372,$E$4:$E$810,"Win")))*SUMIFS($X$4:$X$810,$A$4:$A$810,$A372,$E$4:$E$810,"Loss"),-('Guide &amp; Settings'!$C$42/($F372-1))*$X372)))</f>
        <v>0</v>
      </c>
      <c r="K372" s="118">
        <f>IF($D372="",0,'Guide &amp; Settings'!$C$43*(IF($E372="Win",1,0)-$I372))</f>
        <v>0</v>
      </c>
      <c r="L372" s="119">
        <f>IF($D372="",0,'Guide &amp; Settings'!$C$44*IF($F372&gt;=3,$F372,0))</f>
        <v>0</v>
      </c>
      <c r="M372" s="118">
        <f t="shared" si="88"/>
        <v>0</v>
      </c>
      <c r="N372" s="116">
        <f t="shared" si="89"/>
        <v>0</v>
      </c>
      <c r="O372" s="115" t="str">
        <f t="shared" si="90"/>
        <v/>
      </c>
      <c r="P372">
        <f t="shared" si="91"/>
        <v>0</v>
      </c>
      <c r="Q372">
        <f t="shared" si="92"/>
        <v>0</v>
      </c>
      <c r="R372">
        <f t="shared" si="93"/>
        <v>0</v>
      </c>
      <c r="S372">
        <f t="shared" si="94"/>
        <v>0</v>
      </c>
      <c r="T372" s="83">
        <f t="shared" si="95"/>
        <v>0</v>
      </c>
      <c r="U372" s="120">
        <f>IF($D372="",0,IFERROR(LOOKUP(2,1/(($D$3:D371=$D372)*($C$3:C371=$C372)*($A$3:A371&lt;$A372)),$AB$3:AB371),1000))</f>
        <v>0</v>
      </c>
      <c r="V372" s="120">
        <f t="shared" si="96"/>
        <v>0</v>
      </c>
      <c r="W372">
        <f t="shared" si="97"/>
        <v>0</v>
      </c>
      <c r="X372">
        <f t="shared" si="98"/>
        <v>0</v>
      </c>
      <c r="Y372">
        <f t="shared" si="99"/>
        <v>0</v>
      </c>
      <c r="Z372">
        <f t="shared" si="100"/>
        <v>0</v>
      </c>
      <c r="AA372">
        <f>IF($D372="",0,IF($F372&lt;2,0,IF($E372="Win",('Guide &amp; Settings'!$C$42/(($F372-1)*COUNTIFS($A$4:$A$810,$A372,$E$4:$E$810,"Win")))*SUMIFS($Z$4:$Z$810,$A$4:$A$810,$A372,$E$4:$E$810,"Loss"),-('Guide &amp; Settings'!$C$42/($F372-1))*$Z372)))</f>
        <v>0</v>
      </c>
      <c r="AB372" s="120">
        <f t="shared" si="101"/>
        <v>0</v>
      </c>
      <c r="AC372" s="120" t="str">
        <f>IF($D372="","",IF(SUMPRODUCT(MAX(($D$4:$D$810=$D372)*($B$4:$B$810&lt;$B372)*$B$4:$B$810))=0,0,MAX(($B372-MAX(SUMPRODUCT(MAX(($D$4:$D$810=$D372)*($B$4:$B$810&lt;$B372)*$B$4:$B$810)),'Guide &amp; Settings'!$C$50))/7-'Guide &amp; Settings'!$C$48,0)*'Guide &amp; Settings'!$C$49))</f>
        <v/>
      </c>
    </row>
    <row r="373" spans="1:29" x14ac:dyDescent="0.2">
      <c r="A373" s="111"/>
      <c r="B373" s="112"/>
      <c r="C373" s="113"/>
      <c r="D373" s="113"/>
      <c r="E373" s="111"/>
      <c r="F373" s="114">
        <f t="shared" si="85"/>
        <v>0</v>
      </c>
      <c r="G373" s="115" t="str">
        <f t="shared" si="86"/>
        <v/>
      </c>
      <c r="H373" s="116">
        <f>IF($D373="",0,IFERROR(LOOKUP(2,1/(($D$3:D372=$D373)*($A$3:A372&lt;$A373)),$N$3:N372),'Guide &amp; Settings'!$C$41))</f>
        <v>0</v>
      </c>
      <c r="I373" s="117">
        <f t="shared" si="87"/>
        <v>0</v>
      </c>
      <c r="J373" s="118">
        <f>IF($D373="",0,IF($F373&lt;2,0,IF($E373="Win",('Guide &amp; Settings'!$C$42/(($F373-1)*COUNTIFS($A$4:$A$810,$A373,$E$4:$E$810,"Win")))*SUMIFS($X$4:$X$810,$A$4:$A$810,$A373,$E$4:$E$810,"Loss"),-('Guide &amp; Settings'!$C$42/($F373-1))*$X373)))</f>
        <v>0</v>
      </c>
      <c r="K373" s="118">
        <f>IF($D373="",0,'Guide &amp; Settings'!$C$43*(IF($E373="Win",1,0)-$I373))</f>
        <v>0</v>
      </c>
      <c r="L373" s="119">
        <f>IF($D373="",0,'Guide &amp; Settings'!$C$44*IF($F373&gt;=3,$F373,0))</f>
        <v>0</v>
      </c>
      <c r="M373" s="118">
        <f t="shared" si="88"/>
        <v>0</v>
      </c>
      <c r="N373" s="116">
        <f t="shared" si="89"/>
        <v>0</v>
      </c>
      <c r="O373" s="115" t="str">
        <f t="shared" si="90"/>
        <v/>
      </c>
      <c r="P373">
        <f t="shared" si="91"/>
        <v>0</v>
      </c>
      <c r="Q373">
        <f t="shared" si="92"/>
        <v>0</v>
      </c>
      <c r="R373">
        <f t="shared" si="93"/>
        <v>0</v>
      </c>
      <c r="S373">
        <f t="shared" si="94"/>
        <v>0</v>
      </c>
      <c r="T373" s="83">
        <f t="shared" si="95"/>
        <v>0</v>
      </c>
      <c r="U373" s="120">
        <f>IF($D373="",0,IFERROR(LOOKUP(2,1/(($D$3:D372=$D373)*($C$3:C372=$C373)*($A$3:A372&lt;$A373)),$AB$3:AB372),1000))</f>
        <v>0</v>
      </c>
      <c r="V373" s="120">
        <f t="shared" si="96"/>
        <v>0</v>
      </c>
      <c r="W373">
        <f t="shared" si="97"/>
        <v>0</v>
      </c>
      <c r="X373">
        <f t="shared" si="98"/>
        <v>0</v>
      </c>
      <c r="Y373">
        <f t="shared" si="99"/>
        <v>0</v>
      </c>
      <c r="Z373">
        <f t="shared" si="100"/>
        <v>0</v>
      </c>
      <c r="AA373">
        <f>IF($D373="",0,IF($F373&lt;2,0,IF($E373="Win",('Guide &amp; Settings'!$C$42/(($F373-1)*COUNTIFS($A$4:$A$810,$A373,$E$4:$E$810,"Win")))*SUMIFS($Z$4:$Z$810,$A$4:$A$810,$A373,$E$4:$E$810,"Loss"),-('Guide &amp; Settings'!$C$42/($F373-1))*$Z373)))</f>
        <v>0</v>
      </c>
      <c r="AB373" s="120">
        <f t="shared" si="101"/>
        <v>0</v>
      </c>
      <c r="AC373" s="120" t="str">
        <f>IF($D373="","",IF(SUMPRODUCT(MAX(($D$4:$D$810=$D373)*($B$4:$B$810&lt;$B373)*$B$4:$B$810))=0,0,MAX(($B373-MAX(SUMPRODUCT(MAX(($D$4:$D$810=$D373)*($B$4:$B$810&lt;$B373)*$B$4:$B$810)),'Guide &amp; Settings'!$C$50))/7-'Guide &amp; Settings'!$C$48,0)*'Guide &amp; Settings'!$C$49))</f>
        <v/>
      </c>
    </row>
    <row r="374" spans="1:29" x14ac:dyDescent="0.2">
      <c r="A374" s="111"/>
      <c r="B374" s="112"/>
      <c r="C374" s="113"/>
      <c r="D374" s="113"/>
      <c r="E374" s="111"/>
      <c r="F374" s="114">
        <f t="shared" si="85"/>
        <v>0</v>
      </c>
      <c r="G374" s="115" t="str">
        <f t="shared" si="86"/>
        <v/>
      </c>
      <c r="H374" s="116">
        <f>IF($D374="",0,IFERROR(LOOKUP(2,1/(($D$3:D373=$D374)*($A$3:A373&lt;$A374)),$N$3:N373),'Guide &amp; Settings'!$C$41))</f>
        <v>0</v>
      </c>
      <c r="I374" s="117">
        <f t="shared" si="87"/>
        <v>0</v>
      </c>
      <c r="J374" s="118">
        <f>IF($D374="",0,IF($F374&lt;2,0,IF($E374="Win",('Guide &amp; Settings'!$C$42/(($F374-1)*COUNTIFS($A$4:$A$810,$A374,$E$4:$E$810,"Win")))*SUMIFS($X$4:$X$810,$A$4:$A$810,$A374,$E$4:$E$810,"Loss"),-('Guide &amp; Settings'!$C$42/($F374-1))*$X374)))</f>
        <v>0</v>
      </c>
      <c r="K374" s="118">
        <f>IF($D374="",0,'Guide &amp; Settings'!$C$43*(IF($E374="Win",1,0)-$I374))</f>
        <v>0</v>
      </c>
      <c r="L374" s="119">
        <f>IF($D374="",0,'Guide &amp; Settings'!$C$44*IF($F374&gt;=3,$F374,0))</f>
        <v>0</v>
      </c>
      <c r="M374" s="118">
        <f t="shared" si="88"/>
        <v>0</v>
      </c>
      <c r="N374" s="116">
        <f t="shared" si="89"/>
        <v>0</v>
      </c>
      <c r="O374" s="115" t="str">
        <f t="shared" si="90"/>
        <v/>
      </c>
      <c r="P374">
        <f t="shared" si="91"/>
        <v>0</v>
      </c>
      <c r="Q374">
        <f t="shared" si="92"/>
        <v>0</v>
      </c>
      <c r="R374">
        <f t="shared" si="93"/>
        <v>0</v>
      </c>
      <c r="S374">
        <f t="shared" si="94"/>
        <v>0</v>
      </c>
      <c r="T374" s="83">
        <f t="shared" si="95"/>
        <v>0</v>
      </c>
      <c r="U374" s="120">
        <f>IF($D374="",0,IFERROR(LOOKUP(2,1/(($D$3:D373=$D374)*($C$3:C373=$C374)*($A$3:A373&lt;$A374)),$AB$3:AB373),1000))</f>
        <v>0</v>
      </c>
      <c r="V374" s="120">
        <f t="shared" si="96"/>
        <v>0</v>
      </c>
      <c r="W374">
        <f t="shared" si="97"/>
        <v>0</v>
      </c>
      <c r="X374">
        <f t="shared" si="98"/>
        <v>0</v>
      </c>
      <c r="Y374">
        <f t="shared" si="99"/>
        <v>0</v>
      </c>
      <c r="Z374">
        <f t="shared" si="100"/>
        <v>0</v>
      </c>
      <c r="AA374">
        <f>IF($D374="",0,IF($F374&lt;2,0,IF($E374="Win",('Guide &amp; Settings'!$C$42/(($F374-1)*COUNTIFS($A$4:$A$810,$A374,$E$4:$E$810,"Win")))*SUMIFS($Z$4:$Z$810,$A$4:$A$810,$A374,$E$4:$E$810,"Loss"),-('Guide &amp; Settings'!$C$42/($F374-1))*$Z374)))</f>
        <v>0</v>
      </c>
      <c r="AB374" s="120">
        <f t="shared" si="101"/>
        <v>0</v>
      </c>
      <c r="AC374" s="120" t="str">
        <f>IF($D374="","",IF(SUMPRODUCT(MAX(($D$4:$D$810=$D374)*($B$4:$B$810&lt;$B374)*$B$4:$B$810))=0,0,MAX(($B374-MAX(SUMPRODUCT(MAX(($D$4:$D$810=$D374)*($B$4:$B$810&lt;$B374)*$B$4:$B$810)),'Guide &amp; Settings'!$C$50))/7-'Guide &amp; Settings'!$C$48,0)*'Guide &amp; Settings'!$C$49))</f>
        <v/>
      </c>
    </row>
    <row r="375" spans="1:29" x14ac:dyDescent="0.2">
      <c r="A375" s="111"/>
      <c r="B375" s="112"/>
      <c r="C375" s="113"/>
      <c r="D375" s="113"/>
      <c r="E375" s="111"/>
      <c r="F375" s="114">
        <f t="shared" si="85"/>
        <v>0</v>
      </c>
      <c r="G375" s="115" t="str">
        <f t="shared" si="86"/>
        <v/>
      </c>
      <c r="H375" s="116">
        <f>IF($D375="",0,IFERROR(LOOKUP(2,1/(($D$3:D374=$D375)*($A$3:A374&lt;$A375)),$N$3:N374),'Guide &amp; Settings'!$C$41))</f>
        <v>0</v>
      </c>
      <c r="I375" s="117">
        <f t="shared" si="87"/>
        <v>0</v>
      </c>
      <c r="J375" s="118">
        <f>IF($D375="",0,IF($F375&lt;2,0,IF($E375="Win",('Guide &amp; Settings'!$C$42/(($F375-1)*COUNTIFS($A$4:$A$810,$A375,$E$4:$E$810,"Win")))*SUMIFS($X$4:$X$810,$A$4:$A$810,$A375,$E$4:$E$810,"Loss"),-('Guide &amp; Settings'!$C$42/($F375-1))*$X375)))</f>
        <v>0</v>
      </c>
      <c r="K375" s="118">
        <f>IF($D375="",0,'Guide &amp; Settings'!$C$43*(IF($E375="Win",1,0)-$I375))</f>
        <v>0</v>
      </c>
      <c r="L375" s="119">
        <f>IF($D375="",0,'Guide &amp; Settings'!$C$44*IF($F375&gt;=3,$F375,0))</f>
        <v>0</v>
      </c>
      <c r="M375" s="118">
        <f t="shared" si="88"/>
        <v>0</v>
      </c>
      <c r="N375" s="116">
        <f t="shared" si="89"/>
        <v>0</v>
      </c>
      <c r="O375" s="115" t="str">
        <f t="shared" si="90"/>
        <v/>
      </c>
      <c r="P375">
        <f t="shared" si="91"/>
        <v>0</v>
      </c>
      <c r="Q375">
        <f t="shared" si="92"/>
        <v>0</v>
      </c>
      <c r="R375">
        <f t="shared" si="93"/>
        <v>0</v>
      </c>
      <c r="S375">
        <f t="shared" si="94"/>
        <v>0</v>
      </c>
      <c r="T375" s="83">
        <f t="shared" si="95"/>
        <v>0</v>
      </c>
      <c r="U375" s="120">
        <f>IF($D375="",0,IFERROR(LOOKUP(2,1/(($D$3:D374=$D375)*($C$3:C374=$C375)*($A$3:A374&lt;$A375)),$AB$3:AB374),1000))</f>
        <v>0</v>
      </c>
      <c r="V375" s="120">
        <f t="shared" si="96"/>
        <v>0</v>
      </c>
      <c r="W375">
        <f t="shared" si="97"/>
        <v>0</v>
      </c>
      <c r="X375">
        <f t="shared" si="98"/>
        <v>0</v>
      </c>
      <c r="Y375">
        <f t="shared" si="99"/>
        <v>0</v>
      </c>
      <c r="Z375">
        <f t="shared" si="100"/>
        <v>0</v>
      </c>
      <c r="AA375">
        <f>IF($D375="",0,IF($F375&lt;2,0,IF($E375="Win",('Guide &amp; Settings'!$C$42/(($F375-1)*COUNTIFS($A$4:$A$810,$A375,$E$4:$E$810,"Win")))*SUMIFS($Z$4:$Z$810,$A$4:$A$810,$A375,$E$4:$E$810,"Loss"),-('Guide &amp; Settings'!$C$42/($F375-1))*$Z375)))</f>
        <v>0</v>
      </c>
      <c r="AB375" s="120">
        <f t="shared" si="101"/>
        <v>0</v>
      </c>
      <c r="AC375" s="120" t="str">
        <f>IF($D375="","",IF(SUMPRODUCT(MAX(($D$4:$D$810=$D375)*($B$4:$B$810&lt;$B375)*$B$4:$B$810))=0,0,MAX(($B375-MAX(SUMPRODUCT(MAX(($D$4:$D$810=$D375)*($B$4:$B$810&lt;$B375)*$B$4:$B$810)),'Guide &amp; Settings'!$C$50))/7-'Guide &amp; Settings'!$C$48,0)*'Guide &amp; Settings'!$C$49))</f>
        <v/>
      </c>
    </row>
    <row r="376" spans="1:29" x14ac:dyDescent="0.2">
      <c r="A376" s="111"/>
      <c r="B376" s="112"/>
      <c r="C376" s="113"/>
      <c r="D376" s="113"/>
      <c r="E376" s="111"/>
      <c r="F376" s="114">
        <f t="shared" ref="F376:F439" si="102">IF($D376="",0,COUNTIF($A$4:$A$810,$A376))</f>
        <v>0</v>
      </c>
      <c r="G376" s="115" t="str">
        <f t="shared" ref="G376:G439" si="103">IF($D376="","",IFERROR(LOOKUP(2,1/(($A$4:$A$810=$A376)*($E$4:$E$810="Win")),$D$4:$D$810),"(no winner)"))</f>
        <v/>
      </c>
      <c r="H376" s="116">
        <f>IF($D376="",0,IFERROR(LOOKUP(2,1/(($D$3:D375=$D376)*($A$3:A375&lt;$A376)),$N$3:N375),'Guide &amp; Settings'!$C$41))</f>
        <v>0</v>
      </c>
      <c r="I376" s="117">
        <f t="shared" ref="I376:I439" si="104">IF($D376="",0,IF($S376=0,0,$R376/$S376))</f>
        <v>0</v>
      </c>
      <c r="J376" s="118">
        <f>IF($D376="",0,IF($F376&lt;2,0,IF($E376="Win",('Guide &amp; Settings'!$C$42/(($F376-1)*COUNTIFS($A$4:$A$810,$A376,$E$4:$E$810,"Win")))*SUMIFS($X$4:$X$810,$A$4:$A$810,$A376,$E$4:$E$810,"Loss"),-('Guide &amp; Settings'!$C$42/($F376-1))*$X376)))</f>
        <v>0</v>
      </c>
      <c r="K376" s="118">
        <f>IF($D376="",0,'Guide &amp; Settings'!$C$43*(IF($E376="Win",1,0)-$I376))</f>
        <v>0</v>
      </c>
      <c r="L376" s="119">
        <f>IF($D376="",0,'Guide &amp; Settings'!$C$44*IF($F376&gt;=3,$F376,0))</f>
        <v>0</v>
      </c>
      <c r="M376" s="118">
        <f t="shared" ref="M376:M439" si="105">IF($D376="",0,$J376+$K376+$L376)</f>
        <v>0</v>
      </c>
      <c r="N376" s="116">
        <f t="shared" ref="N376:N439" si="106">IF($D376="",0,$H376+$M376)</f>
        <v>0</v>
      </c>
      <c r="O376" s="115" t="str">
        <f t="shared" ref="O376:O439" si="107">IF($D376="","",IF(COUNTIFS($A$4:$A$810,$A376,$E$4:$E$810,"Win")=0,"need a winner",IF(COUNTIFS($A$4:$A$810,$A376,$E$4:$E$810,"Loss")=0,"need a loser",IF(COUNTIFS($A$4:$A$810,$A376,$D$4:$D$810,$D376)&gt;1,"duplicate player","OK"))))</f>
        <v/>
      </c>
      <c r="P376">
        <f t="shared" ref="P376:P439" si="108">IF($D376="",0,IFERROR(SUMIFS($H$4:$H$810,$A$4:$A$810,$A376,$E$4:$E$810,"Win")/COUNTIFS($A$4:$A$810,$A376,$E$4:$E$810,"Win"),0))</f>
        <v>0</v>
      </c>
      <c r="Q376">
        <f t="shared" ref="Q376:Q439" si="109">IF($D376="",0,1/(1+10^(($P376-$H376)/400)))</f>
        <v>0</v>
      </c>
      <c r="R376">
        <f t="shared" ref="R376:R439" si="110">IF($D376="",0,(COUNTIFS($D$4:$D$810,$D376,$C$4:$C$810,$C376,$E$4:$E$810,"Win",$A$4:$A$810,"&lt;"&amp;$A376)+1)/(COUNTIFS($D$4:$D$810,$D376,$C$4:$C$810,$C376,$A$4:$A$810,"&lt;"&amp;$A376)+2))</f>
        <v>0</v>
      </c>
      <c r="S376">
        <f t="shared" ref="S376:S439" si="111">IF($D376="",0,SUMIFS($R$4:$R$810,$A$4:$A$810,$A376))</f>
        <v>0</v>
      </c>
      <c r="T376" s="83">
        <f t="shared" ref="T376:T439" si="112">IF($D376="",0,COUNTIFS($D$4:$D$810,$D376,$C$4:$C$810,$C376,$A$4:$A$810,"&lt;"&amp;$A376))</f>
        <v>0</v>
      </c>
      <c r="U376" s="120">
        <f>IF($D376="",0,IFERROR(LOOKUP(2,1/(($D$3:D375=$D376)*($C$3:C375=$C376)*($A$3:A375&lt;$A376)),$AB$3:AB375),1000))</f>
        <v>0</v>
      </c>
      <c r="V376" s="120">
        <f t="shared" ref="V376:V439" si="113">IF($D376="",0,$U376*($T376/($T376+5))+$H376*(1-$T376/($T376+5)))</f>
        <v>0</v>
      </c>
      <c r="W376">
        <f t="shared" ref="W376:W439" si="114">IF($D376="",0,IFERROR(SUMIFS($V$4:$V$810,$A$4:$A$810,$A376,$E$4:$E$810,"Win")/COUNTIFS($A$4:$A$810,$A376,$E$4:$E$810,"Win"),0))</f>
        <v>0</v>
      </c>
      <c r="X376">
        <f t="shared" ref="X376:X439" si="115">IF($D376="",0,1/(1+10^(($W376-$V376)/400)))</f>
        <v>0</v>
      </c>
      <c r="Y376">
        <f t="shared" ref="Y376:Y439" si="116">IF($D376="",0,IFERROR(SUMIFS($U$4:$U$810,$A$4:$A$810,$A376,$E$4:$E$810,"Win")/COUNTIFS($A$4:$A$810,$A376,$E$4:$E$810,"Win"),0))</f>
        <v>0</v>
      </c>
      <c r="Z376">
        <f t="shared" ref="Z376:Z439" si="117">IF($D376="",0,1/(1+10^(($Y376-$U376)/400)))</f>
        <v>0</v>
      </c>
      <c r="AA376">
        <f>IF($D376="",0,IF($F376&lt;2,0,IF($E376="Win",('Guide &amp; Settings'!$C$42/(($F376-1)*COUNTIFS($A$4:$A$810,$A376,$E$4:$E$810,"Win")))*SUMIFS($Z$4:$Z$810,$A$4:$A$810,$A376,$E$4:$E$810,"Loss"),-('Guide &amp; Settings'!$C$42/($F376-1))*$Z376)))</f>
        <v>0</v>
      </c>
      <c r="AB376" s="120">
        <f t="shared" ref="AB376:AB439" si="118">IF($D376="",0,$U376+$AA376)</f>
        <v>0</v>
      </c>
      <c r="AC376" s="120" t="str">
        <f>IF($D376="","",IF(SUMPRODUCT(MAX(($D$4:$D$810=$D376)*($B$4:$B$810&lt;$B376)*$B$4:$B$810))=0,0,MAX(($B376-MAX(SUMPRODUCT(MAX(($D$4:$D$810=$D376)*($B$4:$B$810&lt;$B376)*$B$4:$B$810)),'Guide &amp; Settings'!$C$50))/7-'Guide &amp; Settings'!$C$48,0)*'Guide &amp; Settings'!$C$49))</f>
        <v/>
      </c>
    </row>
    <row r="377" spans="1:29" x14ac:dyDescent="0.2">
      <c r="A377" s="111"/>
      <c r="B377" s="112"/>
      <c r="C377" s="113"/>
      <c r="D377" s="113"/>
      <c r="E377" s="111"/>
      <c r="F377" s="114">
        <f t="shared" si="102"/>
        <v>0</v>
      </c>
      <c r="G377" s="115" t="str">
        <f t="shared" si="103"/>
        <v/>
      </c>
      <c r="H377" s="116">
        <f>IF($D377="",0,IFERROR(LOOKUP(2,1/(($D$3:D376=$D377)*($A$3:A376&lt;$A377)),$N$3:N376),'Guide &amp; Settings'!$C$41))</f>
        <v>0</v>
      </c>
      <c r="I377" s="117">
        <f t="shared" si="104"/>
        <v>0</v>
      </c>
      <c r="J377" s="118">
        <f>IF($D377="",0,IF($F377&lt;2,0,IF($E377="Win",('Guide &amp; Settings'!$C$42/(($F377-1)*COUNTIFS($A$4:$A$810,$A377,$E$4:$E$810,"Win")))*SUMIFS($X$4:$X$810,$A$4:$A$810,$A377,$E$4:$E$810,"Loss"),-('Guide &amp; Settings'!$C$42/($F377-1))*$X377)))</f>
        <v>0</v>
      </c>
      <c r="K377" s="118">
        <f>IF($D377="",0,'Guide &amp; Settings'!$C$43*(IF($E377="Win",1,0)-$I377))</f>
        <v>0</v>
      </c>
      <c r="L377" s="119">
        <f>IF($D377="",0,'Guide &amp; Settings'!$C$44*IF($F377&gt;=3,$F377,0))</f>
        <v>0</v>
      </c>
      <c r="M377" s="118">
        <f t="shared" si="105"/>
        <v>0</v>
      </c>
      <c r="N377" s="116">
        <f t="shared" si="106"/>
        <v>0</v>
      </c>
      <c r="O377" s="115" t="str">
        <f t="shared" si="107"/>
        <v/>
      </c>
      <c r="P377">
        <f t="shared" si="108"/>
        <v>0</v>
      </c>
      <c r="Q377">
        <f t="shared" si="109"/>
        <v>0</v>
      </c>
      <c r="R377">
        <f t="shared" si="110"/>
        <v>0</v>
      </c>
      <c r="S377">
        <f t="shared" si="111"/>
        <v>0</v>
      </c>
      <c r="T377" s="83">
        <f t="shared" si="112"/>
        <v>0</v>
      </c>
      <c r="U377" s="120">
        <f>IF($D377="",0,IFERROR(LOOKUP(2,1/(($D$3:D376=$D377)*($C$3:C376=$C377)*($A$3:A376&lt;$A377)),$AB$3:AB376),1000))</f>
        <v>0</v>
      </c>
      <c r="V377" s="120">
        <f t="shared" si="113"/>
        <v>0</v>
      </c>
      <c r="W377">
        <f t="shared" si="114"/>
        <v>0</v>
      </c>
      <c r="X377">
        <f t="shared" si="115"/>
        <v>0</v>
      </c>
      <c r="Y377">
        <f t="shared" si="116"/>
        <v>0</v>
      </c>
      <c r="Z377">
        <f t="shared" si="117"/>
        <v>0</v>
      </c>
      <c r="AA377">
        <f>IF($D377="",0,IF($F377&lt;2,0,IF($E377="Win",('Guide &amp; Settings'!$C$42/(($F377-1)*COUNTIFS($A$4:$A$810,$A377,$E$4:$E$810,"Win")))*SUMIFS($Z$4:$Z$810,$A$4:$A$810,$A377,$E$4:$E$810,"Loss"),-('Guide &amp; Settings'!$C$42/($F377-1))*$Z377)))</f>
        <v>0</v>
      </c>
      <c r="AB377" s="120">
        <f t="shared" si="118"/>
        <v>0</v>
      </c>
      <c r="AC377" s="120" t="str">
        <f>IF($D377="","",IF(SUMPRODUCT(MAX(($D$4:$D$810=$D377)*($B$4:$B$810&lt;$B377)*$B$4:$B$810))=0,0,MAX(($B377-MAX(SUMPRODUCT(MAX(($D$4:$D$810=$D377)*($B$4:$B$810&lt;$B377)*$B$4:$B$810)),'Guide &amp; Settings'!$C$50))/7-'Guide &amp; Settings'!$C$48,0)*'Guide &amp; Settings'!$C$49))</f>
        <v/>
      </c>
    </row>
    <row r="378" spans="1:29" x14ac:dyDescent="0.2">
      <c r="A378" s="111"/>
      <c r="B378" s="112"/>
      <c r="C378" s="113"/>
      <c r="D378" s="113"/>
      <c r="E378" s="111"/>
      <c r="F378" s="114">
        <f t="shared" si="102"/>
        <v>0</v>
      </c>
      <c r="G378" s="115" t="str">
        <f t="shared" si="103"/>
        <v/>
      </c>
      <c r="H378" s="116">
        <f>IF($D378="",0,IFERROR(LOOKUP(2,1/(($D$3:D377=$D378)*($A$3:A377&lt;$A378)),$N$3:N377),'Guide &amp; Settings'!$C$41))</f>
        <v>0</v>
      </c>
      <c r="I378" s="117">
        <f t="shared" si="104"/>
        <v>0</v>
      </c>
      <c r="J378" s="118">
        <f>IF($D378="",0,IF($F378&lt;2,0,IF($E378="Win",('Guide &amp; Settings'!$C$42/(($F378-1)*COUNTIFS($A$4:$A$810,$A378,$E$4:$E$810,"Win")))*SUMIFS($X$4:$X$810,$A$4:$A$810,$A378,$E$4:$E$810,"Loss"),-('Guide &amp; Settings'!$C$42/($F378-1))*$X378)))</f>
        <v>0</v>
      </c>
      <c r="K378" s="118">
        <f>IF($D378="",0,'Guide &amp; Settings'!$C$43*(IF($E378="Win",1,0)-$I378))</f>
        <v>0</v>
      </c>
      <c r="L378" s="119">
        <f>IF($D378="",0,'Guide &amp; Settings'!$C$44*IF($F378&gt;=3,$F378,0))</f>
        <v>0</v>
      </c>
      <c r="M378" s="118">
        <f t="shared" si="105"/>
        <v>0</v>
      </c>
      <c r="N378" s="116">
        <f t="shared" si="106"/>
        <v>0</v>
      </c>
      <c r="O378" s="115" t="str">
        <f t="shared" si="107"/>
        <v/>
      </c>
      <c r="P378">
        <f t="shared" si="108"/>
        <v>0</v>
      </c>
      <c r="Q378">
        <f t="shared" si="109"/>
        <v>0</v>
      </c>
      <c r="R378">
        <f t="shared" si="110"/>
        <v>0</v>
      </c>
      <c r="S378">
        <f t="shared" si="111"/>
        <v>0</v>
      </c>
      <c r="T378" s="83">
        <f t="shared" si="112"/>
        <v>0</v>
      </c>
      <c r="U378" s="120">
        <f>IF($D378="",0,IFERROR(LOOKUP(2,1/(($D$3:D377=$D378)*($C$3:C377=$C378)*($A$3:A377&lt;$A378)),$AB$3:AB377),1000))</f>
        <v>0</v>
      </c>
      <c r="V378" s="120">
        <f t="shared" si="113"/>
        <v>0</v>
      </c>
      <c r="W378">
        <f t="shared" si="114"/>
        <v>0</v>
      </c>
      <c r="X378">
        <f t="shared" si="115"/>
        <v>0</v>
      </c>
      <c r="Y378">
        <f t="shared" si="116"/>
        <v>0</v>
      </c>
      <c r="Z378">
        <f t="shared" si="117"/>
        <v>0</v>
      </c>
      <c r="AA378">
        <f>IF($D378="",0,IF($F378&lt;2,0,IF($E378="Win",('Guide &amp; Settings'!$C$42/(($F378-1)*COUNTIFS($A$4:$A$810,$A378,$E$4:$E$810,"Win")))*SUMIFS($Z$4:$Z$810,$A$4:$A$810,$A378,$E$4:$E$810,"Loss"),-('Guide &amp; Settings'!$C$42/($F378-1))*$Z378)))</f>
        <v>0</v>
      </c>
      <c r="AB378" s="120">
        <f t="shared" si="118"/>
        <v>0</v>
      </c>
      <c r="AC378" s="120" t="str">
        <f>IF($D378="","",IF(SUMPRODUCT(MAX(($D$4:$D$810=$D378)*($B$4:$B$810&lt;$B378)*$B$4:$B$810))=0,0,MAX(($B378-MAX(SUMPRODUCT(MAX(($D$4:$D$810=$D378)*($B$4:$B$810&lt;$B378)*$B$4:$B$810)),'Guide &amp; Settings'!$C$50))/7-'Guide &amp; Settings'!$C$48,0)*'Guide &amp; Settings'!$C$49))</f>
        <v/>
      </c>
    </row>
    <row r="379" spans="1:29" x14ac:dyDescent="0.2">
      <c r="A379" s="111"/>
      <c r="B379" s="112"/>
      <c r="C379" s="113"/>
      <c r="D379" s="113"/>
      <c r="E379" s="111"/>
      <c r="F379" s="114">
        <f t="shared" si="102"/>
        <v>0</v>
      </c>
      <c r="G379" s="115" t="str">
        <f t="shared" si="103"/>
        <v/>
      </c>
      <c r="H379" s="116">
        <f>IF($D379="",0,IFERROR(LOOKUP(2,1/(($D$3:D378=$D379)*($A$3:A378&lt;$A379)),$N$3:N378),'Guide &amp; Settings'!$C$41))</f>
        <v>0</v>
      </c>
      <c r="I379" s="117">
        <f t="shared" si="104"/>
        <v>0</v>
      </c>
      <c r="J379" s="118">
        <f>IF($D379="",0,IF($F379&lt;2,0,IF($E379="Win",('Guide &amp; Settings'!$C$42/(($F379-1)*COUNTIFS($A$4:$A$810,$A379,$E$4:$E$810,"Win")))*SUMIFS($X$4:$X$810,$A$4:$A$810,$A379,$E$4:$E$810,"Loss"),-('Guide &amp; Settings'!$C$42/($F379-1))*$X379)))</f>
        <v>0</v>
      </c>
      <c r="K379" s="118">
        <f>IF($D379="",0,'Guide &amp; Settings'!$C$43*(IF($E379="Win",1,0)-$I379))</f>
        <v>0</v>
      </c>
      <c r="L379" s="119">
        <f>IF($D379="",0,'Guide &amp; Settings'!$C$44*IF($F379&gt;=3,$F379,0))</f>
        <v>0</v>
      </c>
      <c r="M379" s="118">
        <f t="shared" si="105"/>
        <v>0</v>
      </c>
      <c r="N379" s="116">
        <f t="shared" si="106"/>
        <v>0</v>
      </c>
      <c r="O379" s="115" t="str">
        <f t="shared" si="107"/>
        <v/>
      </c>
      <c r="P379">
        <f t="shared" si="108"/>
        <v>0</v>
      </c>
      <c r="Q379">
        <f t="shared" si="109"/>
        <v>0</v>
      </c>
      <c r="R379">
        <f t="shared" si="110"/>
        <v>0</v>
      </c>
      <c r="S379">
        <f t="shared" si="111"/>
        <v>0</v>
      </c>
      <c r="T379" s="83">
        <f t="shared" si="112"/>
        <v>0</v>
      </c>
      <c r="U379" s="120">
        <f>IF($D379="",0,IFERROR(LOOKUP(2,1/(($D$3:D378=$D379)*($C$3:C378=$C379)*($A$3:A378&lt;$A379)),$AB$3:AB378),1000))</f>
        <v>0</v>
      </c>
      <c r="V379" s="120">
        <f t="shared" si="113"/>
        <v>0</v>
      </c>
      <c r="W379">
        <f t="shared" si="114"/>
        <v>0</v>
      </c>
      <c r="X379">
        <f t="shared" si="115"/>
        <v>0</v>
      </c>
      <c r="Y379">
        <f t="shared" si="116"/>
        <v>0</v>
      </c>
      <c r="Z379">
        <f t="shared" si="117"/>
        <v>0</v>
      </c>
      <c r="AA379">
        <f>IF($D379="",0,IF($F379&lt;2,0,IF($E379="Win",('Guide &amp; Settings'!$C$42/(($F379-1)*COUNTIFS($A$4:$A$810,$A379,$E$4:$E$810,"Win")))*SUMIFS($Z$4:$Z$810,$A$4:$A$810,$A379,$E$4:$E$810,"Loss"),-('Guide &amp; Settings'!$C$42/($F379-1))*$Z379)))</f>
        <v>0</v>
      </c>
      <c r="AB379" s="120">
        <f t="shared" si="118"/>
        <v>0</v>
      </c>
      <c r="AC379" s="120" t="str">
        <f>IF($D379="","",IF(SUMPRODUCT(MAX(($D$4:$D$810=$D379)*($B$4:$B$810&lt;$B379)*$B$4:$B$810))=0,0,MAX(($B379-MAX(SUMPRODUCT(MAX(($D$4:$D$810=$D379)*($B$4:$B$810&lt;$B379)*$B$4:$B$810)),'Guide &amp; Settings'!$C$50))/7-'Guide &amp; Settings'!$C$48,0)*'Guide &amp; Settings'!$C$49))</f>
        <v/>
      </c>
    </row>
    <row r="380" spans="1:29" x14ac:dyDescent="0.2">
      <c r="A380" s="111"/>
      <c r="B380" s="112"/>
      <c r="C380" s="113"/>
      <c r="D380" s="113"/>
      <c r="E380" s="111"/>
      <c r="F380" s="114">
        <f t="shared" si="102"/>
        <v>0</v>
      </c>
      <c r="G380" s="115" t="str">
        <f t="shared" si="103"/>
        <v/>
      </c>
      <c r="H380" s="116">
        <f>IF($D380="",0,IFERROR(LOOKUP(2,1/(($D$3:D379=$D380)*($A$3:A379&lt;$A380)),$N$3:N379),'Guide &amp; Settings'!$C$41))</f>
        <v>0</v>
      </c>
      <c r="I380" s="117">
        <f t="shared" si="104"/>
        <v>0</v>
      </c>
      <c r="J380" s="118">
        <f>IF($D380="",0,IF($F380&lt;2,0,IF($E380="Win",('Guide &amp; Settings'!$C$42/(($F380-1)*COUNTIFS($A$4:$A$810,$A380,$E$4:$E$810,"Win")))*SUMIFS($X$4:$X$810,$A$4:$A$810,$A380,$E$4:$E$810,"Loss"),-('Guide &amp; Settings'!$C$42/($F380-1))*$X380)))</f>
        <v>0</v>
      </c>
      <c r="K380" s="118">
        <f>IF($D380="",0,'Guide &amp; Settings'!$C$43*(IF($E380="Win",1,0)-$I380))</f>
        <v>0</v>
      </c>
      <c r="L380" s="119">
        <f>IF($D380="",0,'Guide &amp; Settings'!$C$44*IF($F380&gt;=3,$F380,0))</f>
        <v>0</v>
      </c>
      <c r="M380" s="118">
        <f t="shared" si="105"/>
        <v>0</v>
      </c>
      <c r="N380" s="116">
        <f t="shared" si="106"/>
        <v>0</v>
      </c>
      <c r="O380" s="115" t="str">
        <f t="shared" si="107"/>
        <v/>
      </c>
      <c r="P380">
        <f t="shared" si="108"/>
        <v>0</v>
      </c>
      <c r="Q380">
        <f t="shared" si="109"/>
        <v>0</v>
      </c>
      <c r="R380">
        <f t="shared" si="110"/>
        <v>0</v>
      </c>
      <c r="S380">
        <f t="shared" si="111"/>
        <v>0</v>
      </c>
      <c r="T380" s="83">
        <f t="shared" si="112"/>
        <v>0</v>
      </c>
      <c r="U380" s="120">
        <f>IF($D380="",0,IFERROR(LOOKUP(2,1/(($D$3:D379=$D380)*($C$3:C379=$C380)*($A$3:A379&lt;$A380)),$AB$3:AB379),1000))</f>
        <v>0</v>
      </c>
      <c r="V380" s="120">
        <f t="shared" si="113"/>
        <v>0</v>
      </c>
      <c r="W380">
        <f t="shared" si="114"/>
        <v>0</v>
      </c>
      <c r="X380">
        <f t="shared" si="115"/>
        <v>0</v>
      </c>
      <c r="Y380">
        <f t="shared" si="116"/>
        <v>0</v>
      </c>
      <c r="Z380">
        <f t="shared" si="117"/>
        <v>0</v>
      </c>
      <c r="AA380">
        <f>IF($D380="",0,IF($F380&lt;2,0,IF($E380="Win",('Guide &amp; Settings'!$C$42/(($F380-1)*COUNTIFS($A$4:$A$810,$A380,$E$4:$E$810,"Win")))*SUMIFS($Z$4:$Z$810,$A$4:$A$810,$A380,$E$4:$E$810,"Loss"),-('Guide &amp; Settings'!$C$42/($F380-1))*$Z380)))</f>
        <v>0</v>
      </c>
      <c r="AB380" s="120">
        <f t="shared" si="118"/>
        <v>0</v>
      </c>
      <c r="AC380" s="120" t="str">
        <f>IF($D380="","",IF(SUMPRODUCT(MAX(($D$4:$D$810=$D380)*($B$4:$B$810&lt;$B380)*$B$4:$B$810))=0,0,MAX(($B380-MAX(SUMPRODUCT(MAX(($D$4:$D$810=$D380)*($B$4:$B$810&lt;$B380)*$B$4:$B$810)),'Guide &amp; Settings'!$C$50))/7-'Guide &amp; Settings'!$C$48,0)*'Guide &amp; Settings'!$C$49))</f>
        <v/>
      </c>
    </row>
    <row r="381" spans="1:29" x14ac:dyDescent="0.2">
      <c r="A381" s="111"/>
      <c r="B381" s="112"/>
      <c r="C381" s="113"/>
      <c r="D381" s="113"/>
      <c r="E381" s="111"/>
      <c r="F381" s="114">
        <f t="shared" si="102"/>
        <v>0</v>
      </c>
      <c r="G381" s="115" t="str">
        <f t="shared" si="103"/>
        <v/>
      </c>
      <c r="H381" s="116">
        <f>IF($D381="",0,IFERROR(LOOKUP(2,1/(($D$3:D380=$D381)*($A$3:A380&lt;$A381)),$N$3:N380),'Guide &amp; Settings'!$C$41))</f>
        <v>0</v>
      </c>
      <c r="I381" s="117">
        <f t="shared" si="104"/>
        <v>0</v>
      </c>
      <c r="J381" s="118">
        <f>IF($D381="",0,IF($F381&lt;2,0,IF($E381="Win",('Guide &amp; Settings'!$C$42/(($F381-1)*COUNTIFS($A$4:$A$810,$A381,$E$4:$E$810,"Win")))*SUMIFS($X$4:$X$810,$A$4:$A$810,$A381,$E$4:$E$810,"Loss"),-('Guide &amp; Settings'!$C$42/($F381-1))*$X381)))</f>
        <v>0</v>
      </c>
      <c r="K381" s="118">
        <f>IF($D381="",0,'Guide &amp; Settings'!$C$43*(IF($E381="Win",1,0)-$I381))</f>
        <v>0</v>
      </c>
      <c r="L381" s="119">
        <f>IF($D381="",0,'Guide &amp; Settings'!$C$44*IF($F381&gt;=3,$F381,0))</f>
        <v>0</v>
      </c>
      <c r="M381" s="118">
        <f t="shared" si="105"/>
        <v>0</v>
      </c>
      <c r="N381" s="116">
        <f t="shared" si="106"/>
        <v>0</v>
      </c>
      <c r="O381" s="115" t="str">
        <f t="shared" si="107"/>
        <v/>
      </c>
      <c r="P381">
        <f t="shared" si="108"/>
        <v>0</v>
      </c>
      <c r="Q381">
        <f t="shared" si="109"/>
        <v>0</v>
      </c>
      <c r="R381">
        <f t="shared" si="110"/>
        <v>0</v>
      </c>
      <c r="S381">
        <f t="shared" si="111"/>
        <v>0</v>
      </c>
      <c r="T381" s="83">
        <f t="shared" si="112"/>
        <v>0</v>
      </c>
      <c r="U381" s="120">
        <f>IF($D381="",0,IFERROR(LOOKUP(2,1/(($D$3:D380=$D381)*($C$3:C380=$C381)*($A$3:A380&lt;$A381)),$AB$3:AB380),1000))</f>
        <v>0</v>
      </c>
      <c r="V381" s="120">
        <f t="shared" si="113"/>
        <v>0</v>
      </c>
      <c r="W381">
        <f t="shared" si="114"/>
        <v>0</v>
      </c>
      <c r="X381">
        <f t="shared" si="115"/>
        <v>0</v>
      </c>
      <c r="Y381">
        <f t="shared" si="116"/>
        <v>0</v>
      </c>
      <c r="Z381">
        <f t="shared" si="117"/>
        <v>0</v>
      </c>
      <c r="AA381">
        <f>IF($D381="",0,IF($F381&lt;2,0,IF($E381="Win",('Guide &amp; Settings'!$C$42/(($F381-1)*COUNTIFS($A$4:$A$810,$A381,$E$4:$E$810,"Win")))*SUMIFS($Z$4:$Z$810,$A$4:$A$810,$A381,$E$4:$E$810,"Loss"),-('Guide &amp; Settings'!$C$42/($F381-1))*$Z381)))</f>
        <v>0</v>
      </c>
      <c r="AB381" s="120">
        <f t="shared" si="118"/>
        <v>0</v>
      </c>
      <c r="AC381" s="120" t="str">
        <f>IF($D381="","",IF(SUMPRODUCT(MAX(($D$4:$D$810=$D381)*($B$4:$B$810&lt;$B381)*$B$4:$B$810))=0,0,MAX(($B381-MAX(SUMPRODUCT(MAX(($D$4:$D$810=$D381)*($B$4:$B$810&lt;$B381)*$B$4:$B$810)),'Guide &amp; Settings'!$C$50))/7-'Guide &amp; Settings'!$C$48,0)*'Guide &amp; Settings'!$C$49))</f>
        <v/>
      </c>
    </row>
    <row r="382" spans="1:29" x14ac:dyDescent="0.2">
      <c r="A382" s="111"/>
      <c r="B382" s="112"/>
      <c r="C382" s="113"/>
      <c r="D382" s="113"/>
      <c r="E382" s="111"/>
      <c r="F382" s="114">
        <f t="shared" si="102"/>
        <v>0</v>
      </c>
      <c r="G382" s="115" t="str">
        <f t="shared" si="103"/>
        <v/>
      </c>
      <c r="H382" s="116">
        <f>IF($D382="",0,IFERROR(LOOKUP(2,1/(($D$3:D381=$D382)*($A$3:A381&lt;$A382)),$N$3:N381),'Guide &amp; Settings'!$C$41))</f>
        <v>0</v>
      </c>
      <c r="I382" s="117">
        <f t="shared" si="104"/>
        <v>0</v>
      </c>
      <c r="J382" s="118">
        <f>IF($D382="",0,IF($F382&lt;2,0,IF($E382="Win",('Guide &amp; Settings'!$C$42/(($F382-1)*COUNTIFS($A$4:$A$810,$A382,$E$4:$E$810,"Win")))*SUMIFS($X$4:$X$810,$A$4:$A$810,$A382,$E$4:$E$810,"Loss"),-('Guide &amp; Settings'!$C$42/($F382-1))*$X382)))</f>
        <v>0</v>
      </c>
      <c r="K382" s="118">
        <f>IF($D382="",0,'Guide &amp; Settings'!$C$43*(IF($E382="Win",1,0)-$I382))</f>
        <v>0</v>
      </c>
      <c r="L382" s="119">
        <f>IF($D382="",0,'Guide &amp; Settings'!$C$44*IF($F382&gt;=3,$F382,0))</f>
        <v>0</v>
      </c>
      <c r="M382" s="118">
        <f t="shared" si="105"/>
        <v>0</v>
      </c>
      <c r="N382" s="116">
        <f t="shared" si="106"/>
        <v>0</v>
      </c>
      <c r="O382" s="115" t="str">
        <f t="shared" si="107"/>
        <v/>
      </c>
      <c r="P382">
        <f t="shared" si="108"/>
        <v>0</v>
      </c>
      <c r="Q382">
        <f t="shared" si="109"/>
        <v>0</v>
      </c>
      <c r="R382">
        <f t="shared" si="110"/>
        <v>0</v>
      </c>
      <c r="S382">
        <f t="shared" si="111"/>
        <v>0</v>
      </c>
      <c r="T382" s="83">
        <f t="shared" si="112"/>
        <v>0</v>
      </c>
      <c r="U382" s="120">
        <f>IF($D382="",0,IFERROR(LOOKUP(2,1/(($D$3:D381=$D382)*($C$3:C381=$C382)*($A$3:A381&lt;$A382)),$AB$3:AB381),1000))</f>
        <v>0</v>
      </c>
      <c r="V382" s="120">
        <f t="shared" si="113"/>
        <v>0</v>
      </c>
      <c r="W382">
        <f t="shared" si="114"/>
        <v>0</v>
      </c>
      <c r="X382">
        <f t="shared" si="115"/>
        <v>0</v>
      </c>
      <c r="Y382">
        <f t="shared" si="116"/>
        <v>0</v>
      </c>
      <c r="Z382">
        <f t="shared" si="117"/>
        <v>0</v>
      </c>
      <c r="AA382">
        <f>IF($D382="",0,IF($F382&lt;2,0,IF($E382="Win",('Guide &amp; Settings'!$C$42/(($F382-1)*COUNTIFS($A$4:$A$810,$A382,$E$4:$E$810,"Win")))*SUMIFS($Z$4:$Z$810,$A$4:$A$810,$A382,$E$4:$E$810,"Loss"),-('Guide &amp; Settings'!$C$42/($F382-1))*$Z382)))</f>
        <v>0</v>
      </c>
      <c r="AB382" s="120">
        <f t="shared" si="118"/>
        <v>0</v>
      </c>
      <c r="AC382" s="120" t="str">
        <f>IF($D382="","",IF(SUMPRODUCT(MAX(($D$4:$D$810=$D382)*($B$4:$B$810&lt;$B382)*$B$4:$B$810))=0,0,MAX(($B382-MAX(SUMPRODUCT(MAX(($D$4:$D$810=$D382)*($B$4:$B$810&lt;$B382)*$B$4:$B$810)),'Guide &amp; Settings'!$C$50))/7-'Guide &amp; Settings'!$C$48,0)*'Guide &amp; Settings'!$C$49))</f>
        <v/>
      </c>
    </row>
    <row r="383" spans="1:29" x14ac:dyDescent="0.2">
      <c r="A383" s="111"/>
      <c r="B383" s="112"/>
      <c r="C383" s="113"/>
      <c r="D383" s="113"/>
      <c r="E383" s="111"/>
      <c r="F383" s="114">
        <f t="shared" si="102"/>
        <v>0</v>
      </c>
      <c r="G383" s="115" t="str">
        <f t="shared" si="103"/>
        <v/>
      </c>
      <c r="H383" s="116">
        <f>IF($D383="",0,IFERROR(LOOKUP(2,1/(($D$3:D382=$D383)*($A$3:A382&lt;$A383)),$N$3:N382),'Guide &amp; Settings'!$C$41))</f>
        <v>0</v>
      </c>
      <c r="I383" s="117">
        <f t="shared" si="104"/>
        <v>0</v>
      </c>
      <c r="J383" s="118">
        <f>IF($D383="",0,IF($F383&lt;2,0,IF($E383="Win",('Guide &amp; Settings'!$C$42/(($F383-1)*COUNTIFS($A$4:$A$810,$A383,$E$4:$E$810,"Win")))*SUMIFS($X$4:$X$810,$A$4:$A$810,$A383,$E$4:$E$810,"Loss"),-('Guide &amp; Settings'!$C$42/($F383-1))*$X383)))</f>
        <v>0</v>
      </c>
      <c r="K383" s="118">
        <f>IF($D383="",0,'Guide &amp; Settings'!$C$43*(IF($E383="Win",1,0)-$I383))</f>
        <v>0</v>
      </c>
      <c r="L383" s="119">
        <f>IF($D383="",0,'Guide &amp; Settings'!$C$44*IF($F383&gt;=3,$F383,0))</f>
        <v>0</v>
      </c>
      <c r="M383" s="118">
        <f t="shared" si="105"/>
        <v>0</v>
      </c>
      <c r="N383" s="116">
        <f t="shared" si="106"/>
        <v>0</v>
      </c>
      <c r="O383" s="115" t="str">
        <f t="shared" si="107"/>
        <v/>
      </c>
      <c r="P383">
        <f t="shared" si="108"/>
        <v>0</v>
      </c>
      <c r="Q383">
        <f t="shared" si="109"/>
        <v>0</v>
      </c>
      <c r="R383">
        <f t="shared" si="110"/>
        <v>0</v>
      </c>
      <c r="S383">
        <f t="shared" si="111"/>
        <v>0</v>
      </c>
      <c r="T383" s="83">
        <f t="shared" si="112"/>
        <v>0</v>
      </c>
      <c r="U383" s="120">
        <f>IF($D383="",0,IFERROR(LOOKUP(2,1/(($D$3:D382=$D383)*($C$3:C382=$C383)*($A$3:A382&lt;$A383)),$AB$3:AB382),1000))</f>
        <v>0</v>
      </c>
      <c r="V383" s="120">
        <f t="shared" si="113"/>
        <v>0</v>
      </c>
      <c r="W383">
        <f t="shared" si="114"/>
        <v>0</v>
      </c>
      <c r="X383">
        <f t="shared" si="115"/>
        <v>0</v>
      </c>
      <c r="Y383">
        <f t="shared" si="116"/>
        <v>0</v>
      </c>
      <c r="Z383">
        <f t="shared" si="117"/>
        <v>0</v>
      </c>
      <c r="AA383">
        <f>IF($D383="",0,IF($F383&lt;2,0,IF($E383="Win",('Guide &amp; Settings'!$C$42/(($F383-1)*COUNTIFS($A$4:$A$810,$A383,$E$4:$E$810,"Win")))*SUMIFS($Z$4:$Z$810,$A$4:$A$810,$A383,$E$4:$E$810,"Loss"),-('Guide &amp; Settings'!$C$42/($F383-1))*$Z383)))</f>
        <v>0</v>
      </c>
      <c r="AB383" s="120">
        <f t="shared" si="118"/>
        <v>0</v>
      </c>
      <c r="AC383" s="120" t="str">
        <f>IF($D383="","",IF(SUMPRODUCT(MAX(($D$4:$D$810=$D383)*($B$4:$B$810&lt;$B383)*$B$4:$B$810))=0,0,MAX(($B383-MAX(SUMPRODUCT(MAX(($D$4:$D$810=$D383)*($B$4:$B$810&lt;$B383)*$B$4:$B$810)),'Guide &amp; Settings'!$C$50))/7-'Guide &amp; Settings'!$C$48,0)*'Guide &amp; Settings'!$C$49))</f>
        <v/>
      </c>
    </row>
    <row r="384" spans="1:29" x14ac:dyDescent="0.2">
      <c r="A384" s="111"/>
      <c r="B384" s="112"/>
      <c r="C384" s="113"/>
      <c r="D384" s="113"/>
      <c r="E384" s="111"/>
      <c r="F384" s="114">
        <f t="shared" si="102"/>
        <v>0</v>
      </c>
      <c r="G384" s="115" t="str">
        <f t="shared" si="103"/>
        <v/>
      </c>
      <c r="H384" s="116">
        <f>IF($D384="",0,IFERROR(LOOKUP(2,1/(($D$3:D383=$D384)*($A$3:A383&lt;$A384)),$N$3:N383),'Guide &amp; Settings'!$C$41))</f>
        <v>0</v>
      </c>
      <c r="I384" s="117">
        <f t="shared" si="104"/>
        <v>0</v>
      </c>
      <c r="J384" s="118">
        <f>IF($D384="",0,IF($F384&lt;2,0,IF($E384="Win",('Guide &amp; Settings'!$C$42/(($F384-1)*COUNTIFS($A$4:$A$810,$A384,$E$4:$E$810,"Win")))*SUMIFS($X$4:$X$810,$A$4:$A$810,$A384,$E$4:$E$810,"Loss"),-('Guide &amp; Settings'!$C$42/($F384-1))*$X384)))</f>
        <v>0</v>
      </c>
      <c r="K384" s="118">
        <f>IF($D384="",0,'Guide &amp; Settings'!$C$43*(IF($E384="Win",1,0)-$I384))</f>
        <v>0</v>
      </c>
      <c r="L384" s="119">
        <f>IF($D384="",0,'Guide &amp; Settings'!$C$44*IF($F384&gt;=3,$F384,0))</f>
        <v>0</v>
      </c>
      <c r="M384" s="118">
        <f t="shared" si="105"/>
        <v>0</v>
      </c>
      <c r="N384" s="116">
        <f t="shared" si="106"/>
        <v>0</v>
      </c>
      <c r="O384" s="115" t="str">
        <f t="shared" si="107"/>
        <v/>
      </c>
      <c r="P384">
        <f t="shared" si="108"/>
        <v>0</v>
      </c>
      <c r="Q384">
        <f t="shared" si="109"/>
        <v>0</v>
      </c>
      <c r="R384">
        <f t="shared" si="110"/>
        <v>0</v>
      </c>
      <c r="S384">
        <f t="shared" si="111"/>
        <v>0</v>
      </c>
      <c r="T384" s="83">
        <f t="shared" si="112"/>
        <v>0</v>
      </c>
      <c r="U384" s="120">
        <f>IF($D384="",0,IFERROR(LOOKUP(2,1/(($D$3:D383=$D384)*($C$3:C383=$C384)*($A$3:A383&lt;$A384)),$AB$3:AB383),1000))</f>
        <v>0</v>
      </c>
      <c r="V384" s="120">
        <f t="shared" si="113"/>
        <v>0</v>
      </c>
      <c r="W384">
        <f t="shared" si="114"/>
        <v>0</v>
      </c>
      <c r="X384">
        <f t="shared" si="115"/>
        <v>0</v>
      </c>
      <c r="Y384">
        <f t="shared" si="116"/>
        <v>0</v>
      </c>
      <c r="Z384">
        <f t="shared" si="117"/>
        <v>0</v>
      </c>
      <c r="AA384">
        <f>IF($D384="",0,IF($F384&lt;2,0,IF($E384="Win",('Guide &amp; Settings'!$C$42/(($F384-1)*COUNTIFS($A$4:$A$810,$A384,$E$4:$E$810,"Win")))*SUMIFS($Z$4:$Z$810,$A$4:$A$810,$A384,$E$4:$E$810,"Loss"),-('Guide &amp; Settings'!$C$42/($F384-1))*$Z384)))</f>
        <v>0</v>
      </c>
      <c r="AB384" s="120">
        <f t="shared" si="118"/>
        <v>0</v>
      </c>
      <c r="AC384" s="120" t="str">
        <f>IF($D384="","",IF(SUMPRODUCT(MAX(($D$4:$D$810=$D384)*($B$4:$B$810&lt;$B384)*$B$4:$B$810))=0,0,MAX(($B384-MAX(SUMPRODUCT(MAX(($D$4:$D$810=$D384)*($B$4:$B$810&lt;$B384)*$B$4:$B$810)),'Guide &amp; Settings'!$C$50))/7-'Guide &amp; Settings'!$C$48,0)*'Guide &amp; Settings'!$C$49))</f>
        <v/>
      </c>
    </row>
    <row r="385" spans="1:29" x14ac:dyDescent="0.2">
      <c r="A385" s="111"/>
      <c r="B385" s="112"/>
      <c r="C385" s="113"/>
      <c r="D385" s="113"/>
      <c r="E385" s="111"/>
      <c r="F385" s="114">
        <f t="shared" si="102"/>
        <v>0</v>
      </c>
      <c r="G385" s="115" t="str">
        <f t="shared" si="103"/>
        <v/>
      </c>
      <c r="H385" s="116">
        <f>IF($D385="",0,IFERROR(LOOKUP(2,1/(($D$3:D384=$D385)*($A$3:A384&lt;$A385)),$N$3:N384),'Guide &amp; Settings'!$C$41))</f>
        <v>0</v>
      </c>
      <c r="I385" s="117">
        <f t="shared" si="104"/>
        <v>0</v>
      </c>
      <c r="J385" s="118">
        <f>IF($D385="",0,IF($F385&lt;2,0,IF($E385="Win",('Guide &amp; Settings'!$C$42/(($F385-1)*COUNTIFS($A$4:$A$810,$A385,$E$4:$E$810,"Win")))*SUMIFS($X$4:$X$810,$A$4:$A$810,$A385,$E$4:$E$810,"Loss"),-('Guide &amp; Settings'!$C$42/($F385-1))*$X385)))</f>
        <v>0</v>
      </c>
      <c r="K385" s="118">
        <f>IF($D385="",0,'Guide &amp; Settings'!$C$43*(IF($E385="Win",1,0)-$I385))</f>
        <v>0</v>
      </c>
      <c r="L385" s="119">
        <f>IF($D385="",0,'Guide &amp; Settings'!$C$44*IF($F385&gt;=3,$F385,0))</f>
        <v>0</v>
      </c>
      <c r="M385" s="118">
        <f t="shared" si="105"/>
        <v>0</v>
      </c>
      <c r="N385" s="116">
        <f t="shared" si="106"/>
        <v>0</v>
      </c>
      <c r="O385" s="115" t="str">
        <f t="shared" si="107"/>
        <v/>
      </c>
      <c r="P385">
        <f t="shared" si="108"/>
        <v>0</v>
      </c>
      <c r="Q385">
        <f t="shared" si="109"/>
        <v>0</v>
      </c>
      <c r="R385">
        <f t="shared" si="110"/>
        <v>0</v>
      </c>
      <c r="S385">
        <f t="shared" si="111"/>
        <v>0</v>
      </c>
      <c r="T385" s="83">
        <f t="shared" si="112"/>
        <v>0</v>
      </c>
      <c r="U385" s="120">
        <f>IF($D385="",0,IFERROR(LOOKUP(2,1/(($D$3:D384=$D385)*($C$3:C384=$C385)*($A$3:A384&lt;$A385)),$AB$3:AB384),1000))</f>
        <v>0</v>
      </c>
      <c r="V385" s="120">
        <f t="shared" si="113"/>
        <v>0</v>
      </c>
      <c r="W385">
        <f t="shared" si="114"/>
        <v>0</v>
      </c>
      <c r="X385">
        <f t="shared" si="115"/>
        <v>0</v>
      </c>
      <c r="Y385">
        <f t="shared" si="116"/>
        <v>0</v>
      </c>
      <c r="Z385">
        <f t="shared" si="117"/>
        <v>0</v>
      </c>
      <c r="AA385">
        <f>IF($D385="",0,IF($F385&lt;2,0,IF($E385="Win",('Guide &amp; Settings'!$C$42/(($F385-1)*COUNTIFS($A$4:$A$810,$A385,$E$4:$E$810,"Win")))*SUMIFS($Z$4:$Z$810,$A$4:$A$810,$A385,$E$4:$E$810,"Loss"),-('Guide &amp; Settings'!$C$42/($F385-1))*$Z385)))</f>
        <v>0</v>
      </c>
      <c r="AB385" s="120">
        <f t="shared" si="118"/>
        <v>0</v>
      </c>
      <c r="AC385" s="120" t="str">
        <f>IF($D385="","",IF(SUMPRODUCT(MAX(($D$4:$D$810=$D385)*($B$4:$B$810&lt;$B385)*$B$4:$B$810))=0,0,MAX(($B385-MAX(SUMPRODUCT(MAX(($D$4:$D$810=$D385)*($B$4:$B$810&lt;$B385)*$B$4:$B$810)),'Guide &amp; Settings'!$C$50))/7-'Guide &amp; Settings'!$C$48,0)*'Guide &amp; Settings'!$C$49))</f>
        <v/>
      </c>
    </row>
    <row r="386" spans="1:29" x14ac:dyDescent="0.2">
      <c r="A386" s="111"/>
      <c r="B386" s="112"/>
      <c r="C386" s="113"/>
      <c r="D386" s="113"/>
      <c r="E386" s="111"/>
      <c r="F386" s="114">
        <f t="shared" si="102"/>
        <v>0</v>
      </c>
      <c r="G386" s="115" t="str">
        <f t="shared" si="103"/>
        <v/>
      </c>
      <c r="H386" s="116">
        <f>IF($D386="",0,IFERROR(LOOKUP(2,1/(($D$3:D385=$D386)*($A$3:A385&lt;$A386)),$N$3:N385),'Guide &amp; Settings'!$C$41))</f>
        <v>0</v>
      </c>
      <c r="I386" s="117">
        <f t="shared" si="104"/>
        <v>0</v>
      </c>
      <c r="J386" s="118">
        <f>IF($D386="",0,IF($F386&lt;2,0,IF($E386="Win",('Guide &amp; Settings'!$C$42/(($F386-1)*COUNTIFS($A$4:$A$810,$A386,$E$4:$E$810,"Win")))*SUMIFS($X$4:$X$810,$A$4:$A$810,$A386,$E$4:$E$810,"Loss"),-('Guide &amp; Settings'!$C$42/($F386-1))*$X386)))</f>
        <v>0</v>
      </c>
      <c r="K386" s="118">
        <f>IF($D386="",0,'Guide &amp; Settings'!$C$43*(IF($E386="Win",1,0)-$I386))</f>
        <v>0</v>
      </c>
      <c r="L386" s="119">
        <f>IF($D386="",0,'Guide &amp; Settings'!$C$44*IF($F386&gt;=3,$F386,0))</f>
        <v>0</v>
      </c>
      <c r="M386" s="118">
        <f t="shared" si="105"/>
        <v>0</v>
      </c>
      <c r="N386" s="116">
        <f t="shared" si="106"/>
        <v>0</v>
      </c>
      <c r="O386" s="115" t="str">
        <f t="shared" si="107"/>
        <v/>
      </c>
      <c r="P386">
        <f t="shared" si="108"/>
        <v>0</v>
      </c>
      <c r="Q386">
        <f t="shared" si="109"/>
        <v>0</v>
      </c>
      <c r="R386">
        <f t="shared" si="110"/>
        <v>0</v>
      </c>
      <c r="S386">
        <f t="shared" si="111"/>
        <v>0</v>
      </c>
      <c r="T386" s="83">
        <f t="shared" si="112"/>
        <v>0</v>
      </c>
      <c r="U386" s="120">
        <f>IF($D386="",0,IFERROR(LOOKUP(2,1/(($D$3:D385=$D386)*($C$3:C385=$C386)*($A$3:A385&lt;$A386)),$AB$3:AB385),1000))</f>
        <v>0</v>
      </c>
      <c r="V386" s="120">
        <f t="shared" si="113"/>
        <v>0</v>
      </c>
      <c r="W386">
        <f t="shared" si="114"/>
        <v>0</v>
      </c>
      <c r="X386">
        <f t="shared" si="115"/>
        <v>0</v>
      </c>
      <c r="Y386">
        <f t="shared" si="116"/>
        <v>0</v>
      </c>
      <c r="Z386">
        <f t="shared" si="117"/>
        <v>0</v>
      </c>
      <c r="AA386">
        <f>IF($D386="",0,IF($F386&lt;2,0,IF($E386="Win",('Guide &amp; Settings'!$C$42/(($F386-1)*COUNTIFS($A$4:$A$810,$A386,$E$4:$E$810,"Win")))*SUMIFS($Z$4:$Z$810,$A$4:$A$810,$A386,$E$4:$E$810,"Loss"),-('Guide &amp; Settings'!$C$42/($F386-1))*$Z386)))</f>
        <v>0</v>
      </c>
      <c r="AB386" s="120">
        <f t="shared" si="118"/>
        <v>0</v>
      </c>
      <c r="AC386" s="120" t="str">
        <f>IF($D386="","",IF(SUMPRODUCT(MAX(($D$4:$D$810=$D386)*($B$4:$B$810&lt;$B386)*$B$4:$B$810))=0,0,MAX(($B386-MAX(SUMPRODUCT(MAX(($D$4:$D$810=$D386)*($B$4:$B$810&lt;$B386)*$B$4:$B$810)),'Guide &amp; Settings'!$C$50))/7-'Guide &amp; Settings'!$C$48,0)*'Guide &amp; Settings'!$C$49))</f>
        <v/>
      </c>
    </row>
    <row r="387" spans="1:29" x14ac:dyDescent="0.2">
      <c r="A387" s="111"/>
      <c r="B387" s="112"/>
      <c r="C387" s="113"/>
      <c r="D387" s="113"/>
      <c r="E387" s="111"/>
      <c r="F387" s="114">
        <f t="shared" si="102"/>
        <v>0</v>
      </c>
      <c r="G387" s="115" t="str">
        <f t="shared" si="103"/>
        <v/>
      </c>
      <c r="H387" s="116">
        <f>IF($D387="",0,IFERROR(LOOKUP(2,1/(($D$3:D386=$D387)*($A$3:A386&lt;$A387)),$N$3:N386),'Guide &amp; Settings'!$C$41))</f>
        <v>0</v>
      </c>
      <c r="I387" s="117">
        <f t="shared" si="104"/>
        <v>0</v>
      </c>
      <c r="J387" s="118">
        <f>IF($D387="",0,IF($F387&lt;2,0,IF($E387="Win",('Guide &amp; Settings'!$C$42/(($F387-1)*COUNTIFS($A$4:$A$810,$A387,$E$4:$E$810,"Win")))*SUMIFS($X$4:$X$810,$A$4:$A$810,$A387,$E$4:$E$810,"Loss"),-('Guide &amp; Settings'!$C$42/($F387-1))*$X387)))</f>
        <v>0</v>
      </c>
      <c r="K387" s="118">
        <f>IF($D387="",0,'Guide &amp; Settings'!$C$43*(IF($E387="Win",1,0)-$I387))</f>
        <v>0</v>
      </c>
      <c r="L387" s="119">
        <f>IF($D387="",0,'Guide &amp; Settings'!$C$44*IF($F387&gt;=3,$F387,0))</f>
        <v>0</v>
      </c>
      <c r="M387" s="118">
        <f t="shared" si="105"/>
        <v>0</v>
      </c>
      <c r="N387" s="116">
        <f t="shared" si="106"/>
        <v>0</v>
      </c>
      <c r="O387" s="115" t="str">
        <f t="shared" si="107"/>
        <v/>
      </c>
      <c r="P387">
        <f t="shared" si="108"/>
        <v>0</v>
      </c>
      <c r="Q387">
        <f t="shared" si="109"/>
        <v>0</v>
      </c>
      <c r="R387">
        <f t="shared" si="110"/>
        <v>0</v>
      </c>
      <c r="S387">
        <f t="shared" si="111"/>
        <v>0</v>
      </c>
      <c r="T387" s="83">
        <f t="shared" si="112"/>
        <v>0</v>
      </c>
      <c r="U387" s="120">
        <f>IF($D387="",0,IFERROR(LOOKUP(2,1/(($D$3:D386=$D387)*($C$3:C386=$C387)*($A$3:A386&lt;$A387)),$AB$3:AB386),1000))</f>
        <v>0</v>
      </c>
      <c r="V387" s="120">
        <f t="shared" si="113"/>
        <v>0</v>
      </c>
      <c r="W387">
        <f t="shared" si="114"/>
        <v>0</v>
      </c>
      <c r="X387">
        <f t="shared" si="115"/>
        <v>0</v>
      </c>
      <c r="Y387">
        <f t="shared" si="116"/>
        <v>0</v>
      </c>
      <c r="Z387">
        <f t="shared" si="117"/>
        <v>0</v>
      </c>
      <c r="AA387">
        <f>IF($D387="",0,IF($F387&lt;2,0,IF($E387="Win",('Guide &amp; Settings'!$C$42/(($F387-1)*COUNTIFS($A$4:$A$810,$A387,$E$4:$E$810,"Win")))*SUMIFS($Z$4:$Z$810,$A$4:$A$810,$A387,$E$4:$E$810,"Loss"),-('Guide &amp; Settings'!$C$42/($F387-1))*$Z387)))</f>
        <v>0</v>
      </c>
      <c r="AB387" s="120">
        <f t="shared" si="118"/>
        <v>0</v>
      </c>
      <c r="AC387" s="120" t="str">
        <f>IF($D387="","",IF(SUMPRODUCT(MAX(($D$4:$D$810=$D387)*($B$4:$B$810&lt;$B387)*$B$4:$B$810))=0,0,MAX(($B387-MAX(SUMPRODUCT(MAX(($D$4:$D$810=$D387)*($B$4:$B$810&lt;$B387)*$B$4:$B$810)),'Guide &amp; Settings'!$C$50))/7-'Guide &amp; Settings'!$C$48,0)*'Guide &amp; Settings'!$C$49))</f>
        <v/>
      </c>
    </row>
    <row r="388" spans="1:29" x14ac:dyDescent="0.2">
      <c r="A388" s="111"/>
      <c r="B388" s="112"/>
      <c r="C388" s="113"/>
      <c r="D388" s="113"/>
      <c r="E388" s="111"/>
      <c r="F388" s="114">
        <f t="shared" si="102"/>
        <v>0</v>
      </c>
      <c r="G388" s="115" t="str">
        <f t="shared" si="103"/>
        <v/>
      </c>
      <c r="H388" s="116">
        <f>IF($D388="",0,IFERROR(LOOKUP(2,1/(($D$3:D387=$D388)*($A$3:A387&lt;$A388)),$N$3:N387),'Guide &amp; Settings'!$C$41))</f>
        <v>0</v>
      </c>
      <c r="I388" s="117">
        <f t="shared" si="104"/>
        <v>0</v>
      </c>
      <c r="J388" s="118">
        <f>IF($D388="",0,IF($F388&lt;2,0,IF($E388="Win",('Guide &amp; Settings'!$C$42/(($F388-1)*COUNTIFS($A$4:$A$810,$A388,$E$4:$E$810,"Win")))*SUMIFS($X$4:$X$810,$A$4:$A$810,$A388,$E$4:$E$810,"Loss"),-('Guide &amp; Settings'!$C$42/($F388-1))*$X388)))</f>
        <v>0</v>
      </c>
      <c r="K388" s="118">
        <f>IF($D388="",0,'Guide &amp; Settings'!$C$43*(IF($E388="Win",1,0)-$I388))</f>
        <v>0</v>
      </c>
      <c r="L388" s="119">
        <f>IF($D388="",0,'Guide &amp; Settings'!$C$44*IF($F388&gt;=3,$F388,0))</f>
        <v>0</v>
      </c>
      <c r="M388" s="118">
        <f t="shared" si="105"/>
        <v>0</v>
      </c>
      <c r="N388" s="116">
        <f t="shared" si="106"/>
        <v>0</v>
      </c>
      <c r="O388" s="115" t="str">
        <f t="shared" si="107"/>
        <v/>
      </c>
      <c r="P388">
        <f t="shared" si="108"/>
        <v>0</v>
      </c>
      <c r="Q388">
        <f t="shared" si="109"/>
        <v>0</v>
      </c>
      <c r="R388">
        <f t="shared" si="110"/>
        <v>0</v>
      </c>
      <c r="S388">
        <f t="shared" si="111"/>
        <v>0</v>
      </c>
      <c r="T388" s="83">
        <f t="shared" si="112"/>
        <v>0</v>
      </c>
      <c r="U388" s="120">
        <f>IF($D388="",0,IFERROR(LOOKUP(2,1/(($D$3:D387=$D388)*($C$3:C387=$C388)*($A$3:A387&lt;$A388)),$AB$3:AB387),1000))</f>
        <v>0</v>
      </c>
      <c r="V388" s="120">
        <f t="shared" si="113"/>
        <v>0</v>
      </c>
      <c r="W388">
        <f t="shared" si="114"/>
        <v>0</v>
      </c>
      <c r="X388">
        <f t="shared" si="115"/>
        <v>0</v>
      </c>
      <c r="Y388">
        <f t="shared" si="116"/>
        <v>0</v>
      </c>
      <c r="Z388">
        <f t="shared" si="117"/>
        <v>0</v>
      </c>
      <c r="AA388">
        <f>IF($D388="",0,IF($F388&lt;2,0,IF($E388="Win",('Guide &amp; Settings'!$C$42/(($F388-1)*COUNTIFS($A$4:$A$810,$A388,$E$4:$E$810,"Win")))*SUMIFS($Z$4:$Z$810,$A$4:$A$810,$A388,$E$4:$E$810,"Loss"),-('Guide &amp; Settings'!$C$42/($F388-1))*$Z388)))</f>
        <v>0</v>
      </c>
      <c r="AB388" s="120">
        <f t="shared" si="118"/>
        <v>0</v>
      </c>
      <c r="AC388" s="120" t="str">
        <f>IF($D388="","",IF(SUMPRODUCT(MAX(($D$4:$D$810=$D388)*($B$4:$B$810&lt;$B388)*$B$4:$B$810))=0,0,MAX(($B388-MAX(SUMPRODUCT(MAX(($D$4:$D$810=$D388)*($B$4:$B$810&lt;$B388)*$B$4:$B$810)),'Guide &amp; Settings'!$C$50))/7-'Guide &amp; Settings'!$C$48,0)*'Guide &amp; Settings'!$C$49))</f>
        <v/>
      </c>
    </row>
    <row r="389" spans="1:29" x14ac:dyDescent="0.2">
      <c r="A389" s="111"/>
      <c r="B389" s="112"/>
      <c r="C389" s="113"/>
      <c r="D389" s="113"/>
      <c r="E389" s="111"/>
      <c r="F389" s="114">
        <f t="shared" si="102"/>
        <v>0</v>
      </c>
      <c r="G389" s="115" t="str">
        <f t="shared" si="103"/>
        <v/>
      </c>
      <c r="H389" s="116">
        <f>IF($D389="",0,IFERROR(LOOKUP(2,1/(($D$3:D388=$D389)*($A$3:A388&lt;$A389)),$N$3:N388),'Guide &amp; Settings'!$C$41))</f>
        <v>0</v>
      </c>
      <c r="I389" s="117">
        <f t="shared" si="104"/>
        <v>0</v>
      </c>
      <c r="J389" s="118">
        <f>IF($D389="",0,IF($F389&lt;2,0,IF($E389="Win",('Guide &amp; Settings'!$C$42/(($F389-1)*COUNTIFS($A$4:$A$810,$A389,$E$4:$E$810,"Win")))*SUMIFS($X$4:$X$810,$A$4:$A$810,$A389,$E$4:$E$810,"Loss"),-('Guide &amp; Settings'!$C$42/($F389-1))*$X389)))</f>
        <v>0</v>
      </c>
      <c r="K389" s="118">
        <f>IF($D389="",0,'Guide &amp; Settings'!$C$43*(IF($E389="Win",1,0)-$I389))</f>
        <v>0</v>
      </c>
      <c r="L389" s="119">
        <f>IF($D389="",0,'Guide &amp; Settings'!$C$44*IF($F389&gt;=3,$F389,0))</f>
        <v>0</v>
      </c>
      <c r="M389" s="118">
        <f t="shared" si="105"/>
        <v>0</v>
      </c>
      <c r="N389" s="116">
        <f t="shared" si="106"/>
        <v>0</v>
      </c>
      <c r="O389" s="115" t="str">
        <f t="shared" si="107"/>
        <v/>
      </c>
      <c r="P389">
        <f t="shared" si="108"/>
        <v>0</v>
      </c>
      <c r="Q389">
        <f t="shared" si="109"/>
        <v>0</v>
      </c>
      <c r="R389">
        <f t="shared" si="110"/>
        <v>0</v>
      </c>
      <c r="S389">
        <f t="shared" si="111"/>
        <v>0</v>
      </c>
      <c r="T389" s="83">
        <f t="shared" si="112"/>
        <v>0</v>
      </c>
      <c r="U389" s="120">
        <f>IF($D389="",0,IFERROR(LOOKUP(2,1/(($D$3:D388=$D389)*($C$3:C388=$C389)*($A$3:A388&lt;$A389)),$AB$3:AB388),1000))</f>
        <v>0</v>
      </c>
      <c r="V389" s="120">
        <f t="shared" si="113"/>
        <v>0</v>
      </c>
      <c r="W389">
        <f t="shared" si="114"/>
        <v>0</v>
      </c>
      <c r="X389">
        <f t="shared" si="115"/>
        <v>0</v>
      </c>
      <c r="Y389">
        <f t="shared" si="116"/>
        <v>0</v>
      </c>
      <c r="Z389">
        <f t="shared" si="117"/>
        <v>0</v>
      </c>
      <c r="AA389">
        <f>IF($D389="",0,IF($F389&lt;2,0,IF($E389="Win",('Guide &amp; Settings'!$C$42/(($F389-1)*COUNTIFS($A$4:$A$810,$A389,$E$4:$E$810,"Win")))*SUMIFS($Z$4:$Z$810,$A$4:$A$810,$A389,$E$4:$E$810,"Loss"),-('Guide &amp; Settings'!$C$42/($F389-1))*$Z389)))</f>
        <v>0</v>
      </c>
      <c r="AB389" s="120">
        <f t="shared" si="118"/>
        <v>0</v>
      </c>
      <c r="AC389" s="120" t="str">
        <f>IF($D389="","",IF(SUMPRODUCT(MAX(($D$4:$D$810=$D389)*($B$4:$B$810&lt;$B389)*$B$4:$B$810))=0,0,MAX(($B389-MAX(SUMPRODUCT(MAX(($D$4:$D$810=$D389)*($B$4:$B$810&lt;$B389)*$B$4:$B$810)),'Guide &amp; Settings'!$C$50))/7-'Guide &amp; Settings'!$C$48,0)*'Guide &amp; Settings'!$C$49))</f>
        <v/>
      </c>
    </row>
    <row r="390" spans="1:29" x14ac:dyDescent="0.2">
      <c r="A390" s="111"/>
      <c r="B390" s="112"/>
      <c r="C390" s="113"/>
      <c r="D390" s="113"/>
      <c r="E390" s="111"/>
      <c r="F390" s="114">
        <f t="shared" si="102"/>
        <v>0</v>
      </c>
      <c r="G390" s="115" t="str">
        <f t="shared" si="103"/>
        <v/>
      </c>
      <c r="H390" s="116">
        <f>IF($D390="",0,IFERROR(LOOKUP(2,1/(($D$3:D389=$D390)*($A$3:A389&lt;$A390)),$N$3:N389),'Guide &amp; Settings'!$C$41))</f>
        <v>0</v>
      </c>
      <c r="I390" s="117">
        <f t="shared" si="104"/>
        <v>0</v>
      </c>
      <c r="J390" s="118">
        <f>IF($D390="",0,IF($F390&lt;2,0,IF($E390="Win",('Guide &amp; Settings'!$C$42/(($F390-1)*COUNTIFS($A$4:$A$810,$A390,$E$4:$E$810,"Win")))*SUMIFS($X$4:$X$810,$A$4:$A$810,$A390,$E$4:$E$810,"Loss"),-('Guide &amp; Settings'!$C$42/($F390-1))*$X390)))</f>
        <v>0</v>
      </c>
      <c r="K390" s="118">
        <f>IF($D390="",0,'Guide &amp; Settings'!$C$43*(IF($E390="Win",1,0)-$I390))</f>
        <v>0</v>
      </c>
      <c r="L390" s="119">
        <f>IF($D390="",0,'Guide &amp; Settings'!$C$44*IF($F390&gt;=3,$F390,0))</f>
        <v>0</v>
      </c>
      <c r="M390" s="118">
        <f t="shared" si="105"/>
        <v>0</v>
      </c>
      <c r="N390" s="116">
        <f t="shared" si="106"/>
        <v>0</v>
      </c>
      <c r="O390" s="115" t="str">
        <f t="shared" si="107"/>
        <v/>
      </c>
      <c r="P390">
        <f t="shared" si="108"/>
        <v>0</v>
      </c>
      <c r="Q390">
        <f t="shared" si="109"/>
        <v>0</v>
      </c>
      <c r="R390">
        <f t="shared" si="110"/>
        <v>0</v>
      </c>
      <c r="S390">
        <f t="shared" si="111"/>
        <v>0</v>
      </c>
      <c r="T390" s="83">
        <f t="shared" si="112"/>
        <v>0</v>
      </c>
      <c r="U390" s="120">
        <f>IF($D390="",0,IFERROR(LOOKUP(2,1/(($D$3:D389=$D390)*($C$3:C389=$C390)*($A$3:A389&lt;$A390)),$AB$3:AB389),1000))</f>
        <v>0</v>
      </c>
      <c r="V390" s="120">
        <f t="shared" si="113"/>
        <v>0</v>
      </c>
      <c r="W390">
        <f t="shared" si="114"/>
        <v>0</v>
      </c>
      <c r="X390">
        <f t="shared" si="115"/>
        <v>0</v>
      </c>
      <c r="Y390">
        <f t="shared" si="116"/>
        <v>0</v>
      </c>
      <c r="Z390">
        <f t="shared" si="117"/>
        <v>0</v>
      </c>
      <c r="AA390">
        <f>IF($D390="",0,IF($F390&lt;2,0,IF($E390="Win",('Guide &amp; Settings'!$C$42/(($F390-1)*COUNTIFS($A$4:$A$810,$A390,$E$4:$E$810,"Win")))*SUMIFS($Z$4:$Z$810,$A$4:$A$810,$A390,$E$4:$E$810,"Loss"),-('Guide &amp; Settings'!$C$42/($F390-1))*$Z390)))</f>
        <v>0</v>
      </c>
      <c r="AB390" s="120">
        <f t="shared" si="118"/>
        <v>0</v>
      </c>
      <c r="AC390" s="120" t="str">
        <f>IF($D390="","",IF(SUMPRODUCT(MAX(($D$4:$D$810=$D390)*($B$4:$B$810&lt;$B390)*$B$4:$B$810))=0,0,MAX(($B390-MAX(SUMPRODUCT(MAX(($D$4:$D$810=$D390)*($B$4:$B$810&lt;$B390)*$B$4:$B$810)),'Guide &amp; Settings'!$C$50))/7-'Guide &amp; Settings'!$C$48,0)*'Guide &amp; Settings'!$C$49))</f>
        <v/>
      </c>
    </row>
    <row r="391" spans="1:29" x14ac:dyDescent="0.2">
      <c r="A391" s="111"/>
      <c r="B391" s="112"/>
      <c r="C391" s="113"/>
      <c r="D391" s="113"/>
      <c r="E391" s="111"/>
      <c r="F391" s="114">
        <f t="shared" si="102"/>
        <v>0</v>
      </c>
      <c r="G391" s="115" t="str">
        <f t="shared" si="103"/>
        <v/>
      </c>
      <c r="H391" s="116">
        <f>IF($D391="",0,IFERROR(LOOKUP(2,1/(($D$3:D390=$D391)*($A$3:A390&lt;$A391)),$N$3:N390),'Guide &amp; Settings'!$C$41))</f>
        <v>0</v>
      </c>
      <c r="I391" s="117">
        <f t="shared" si="104"/>
        <v>0</v>
      </c>
      <c r="J391" s="118">
        <f>IF($D391="",0,IF($F391&lt;2,0,IF($E391="Win",('Guide &amp; Settings'!$C$42/(($F391-1)*COUNTIFS($A$4:$A$810,$A391,$E$4:$E$810,"Win")))*SUMIFS($X$4:$X$810,$A$4:$A$810,$A391,$E$4:$E$810,"Loss"),-('Guide &amp; Settings'!$C$42/($F391-1))*$X391)))</f>
        <v>0</v>
      </c>
      <c r="K391" s="118">
        <f>IF($D391="",0,'Guide &amp; Settings'!$C$43*(IF($E391="Win",1,0)-$I391))</f>
        <v>0</v>
      </c>
      <c r="L391" s="119">
        <f>IF($D391="",0,'Guide &amp; Settings'!$C$44*IF($F391&gt;=3,$F391,0))</f>
        <v>0</v>
      </c>
      <c r="M391" s="118">
        <f t="shared" si="105"/>
        <v>0</v>
      </c>
      <c r="N391" s="116">
        <f t="shared" si="106"/>
        <v>0</v>
      </c>
      <c r="O391" s="115" t="str">
        <f t="shared" si="107"/>
        <v/>
      </c>
      <c r="P391">
        <f t="shared" si="108"/>
        <v>0</v>
      </c>
      <c r="Q391">
        <f t="shared" si="109"/>
        <v>0</v>
      </c>
      <c r="R391">
        <f t="shared" si="110"/>
        <v>0</v>
      </c>
      <c r="S391">
        <f t="shared" si="111"/>
        <v>0</v>
      </c>
      <c r="T391" s="83">
        <f t="shared" si="112"/>
        <v>0</v>
      </c>
      <c r="U391" s="120">
        <f>IF($D391="",0,IFERROR(LOOKUP(2,1/(($D$3:D390=$D391)*($C$3:C390=$C391)*($A$3:A390&lt;$A391)),$AB$3:AB390),1000))</f>
        <v>0</v>
      </c>
      <c r="V391" s="120">
        <f t="shared" si="113"/>
        <v>0</v>
      </c>
      <c r="W391">
        <f t="shared" si="114"/>
        <v>0</v>
      </c>
      <c r="X391">
        <f t="shared" si="115"/>
        <v>0</v>
      </c>
      <c r="Y391">
        <f t="shared" si="116"/>
        <v>0</v>
      </c>
      <c r="Z391">
        <f t="shared" si="117"/>
        <v>0</v>
      </c>
      <c r="AA391">
        <f>IF($D391="",0,IF($F391&lt;2,0,IF($E391="Win",('Guide &amp; Settings'!$C$42/(($F391-1)*COUNTIFS($A$4:$A$810,$A391,$E$4:$E$810,"Win")))*SUMIFS($Z$4:$Z$810,$A$4:$A$810,$A391,$E$4:$E$810,"Loss"),-('Guide &amp; Settings'!$C$42/($F391-1))*$Z391)))</f>
        <v>0</v>
      </c>
      <c r="AB391" s="120">
        <f t="shared" si="118"/>
        <v>0</v>
      </c>
      <c r="AC391" s="120" t="str">
        <f>IF($D391="","",IF(SUMPRODUCT(MAX(($D$4:$D$810=$D391)*($B$4:$B$810&lt;$B391)*$B$4:$B$810))=0,0,MAX(($B391-MAX(SUMPRODUCT(MAX(($D$4:$D$810=$D391)*($B$4:$B$810&lt;$B391)*$B$4:$B$810)),'Guide &amp; Settings'!$C$50))/7-'Guide &amp; Settings'!$C$48,0)*'Guide &amp; Settings'!$C$49))</f>
        <v/>
      </c>
    </row>
    <row r="392" spans="1:29" x14ac:dyDescent="0.2">
      <c r="A392" s="111"/>
      <c r="B392" s="112"/>
      <c r="C392" s="113"/>
      <c r="D392" s="113"/>
      <c r="E392" s="111"/>
      <c r="F392" s="114">
        <f t="shared" si="102"/>
        <v>0</v>
      </c>
      <c r="G392" s="115" t="str">
        <f t="shared" si="103"/>
        <v/>
      </c>
      <c r="H392" s="116">
        <f>IF($D392="",0,IFERROR(LOOKUP(2,1/(($D$3:D391=$D392)*($A$3:A391&lt;$A392)),$N$3:N391),'Guide &amp; Settings'!$C$41))</f>
        <v>0</v>
      </c>
      <c r="I392" s="117">
        <f t="shared" si="104"/>
        <v>0</v>
      </c>
      <c r="J392" s="118">
        <f>IF($D392="",0,IF($F392&lt;2,0,IF($E392="Win",('Guide &amp; Settings'!$C$42/(($F392-1)*COUNTIFS($A$4:$A$810,$A392,$E$4:$E$810,"Win")))*SUMIFS($X$4:$X$810,$A$4:$A$810,$A392,$E$4:$E$810,"Loss"),-('Guide &amp; Settings'!$C$42/($F392-1))*$X392)))</f>
        <v>0</v>
      </c>
      <c r="K392" s="118">
        <f>IF($D392="",0,'Guide &amp; Settings'!$C$43*(IF($E392="Win",1,0)-$I392))</f>
        <v>0</v>
      </c>
      <c r="L392" s="119">
        <f>IF($D392="",0,'Guide &amp; Settings'!$C$44*IF($F392&gt;=3,$F392,0))</f>
        <v>0</v>
      </c>
      <c r="M392" s="118">
        <f t="shared" si="105"/>
        <v>0</v>
      </c>
      <c r="N392" s="116">
        <f t="shared" si="106"/>
        <v>0</v>
      </c>
      <c r="O392" s="115" t="str">
        <f t="shared" si="107"/>
        <v/>
      </c>
      <c r="P392">
        <f t="shared" si="108"/>
        <v>0</v>
      </c>
      <c r="Q392">
        <f t="shared" si="109"/>
        <v>0</v>
      </c>
      <c r="R392">
        <f t="shared" si="110"/>
        <v>0</v>
      </c>
      <c r="S392">
        <f t="shared" si="111"/>
        <v>0</v>
      </c>
      <c r="T392" s="83">
        <f t="shared" si="112"/>
        <v>0</v>
      </c>
      <c r="U392" s="120">
        <f>IF($D392="",0,IFERROR(LOOKUP(2,1/(($D$3:D391=$D392)*($C$3:C391=$C392)*($A$3:A391&lt;$A392)),$AB$3:AB391),1000))</f>
        <v>0</v>
      </c>
      <c r="V392" s="120">
        <f t="shared" si="113"/>
        <v>0</v>
      </c>
      <c r="W392">
        <f t="shared" si="114"/>
        <v>0</v>
      </c>
      <c r="X392">
        <f t="shared" si="115"/>
        <v>0</v>
      </c>
      <c r="Y392">
        <f t="shared" si="116"/>
        <v>0</v>
      </c>
      <c r="Z392">
        <f t="shared" si="117"/>
        <v>0</v>
      </c>
      <c r="AA392">
        <f>IF($D392="",0,IF($F392&lt;2,0,IF($E392="Win",('Guide &amp; Settings'!$C$42/(($F392-1)*COUNTIFS($A$4:$A$810,$A392,$E$4:$E$810,"Win")))*SUMIFS($Z$4:$Z$810,$A$4:$A$810,$A392,$E$4:$E$810,"Loss"),-('Guide &amp; Settings'!$C$42/($F392-1))*$Z392)))</f>
        <v>0</v>
      </c>
      <c r="AB392" s="120">
        <f t="shared" si="118"/>
        <v>0</v>
      </c>
      <c r="AC392" s="120" t="str">
        <f>IF($D392="","",IF(SUMPRODUCT(MAX(($D$4:$D$810=$D392)*($B$4:$B$810&lt;$B392)*$B$4:$B$810))=0,0,MAX(($B392-MAX(SUMPRODUCT(MAX(($D$4:$D$810=$D392)*($B$4:$B$810&lt;$B392)*$B$4:$B$810)),'Guide &amp; Settings'!$C$50))/7-'Guide &amp; Settings'!$C$48,0)*'Guide &amp; Settings'!$C$49))</f>
        <v/>
      </c>
    </row>
    <row r="393" spans="1:29" x14ac:dyDescent="0.2">
      <c r="A393" s="111"/>
      <c r="B393" s="112"/>
      <c r="C393" s="113"/>
      <c r="D393" s="113"/>
      <c r="E393" s="111"/>
      <c r="F393" s="114">
        <f t="shared" si="102"/>
        <v>0</v>
      </c>
      <c r="G393" s="115" t="str">
        <f t="shared" si="103"/>
        <v/>
      </c>
      <c r="H393" s="116">
        <f>IF($D393="",0,IFERROR(LOOKUP(2,1/(($D$3:D392=$D393)*($A$3:A392&lt;$A393)),$N$3:N392),'Guide &amp; Settings'!$C$41))</f>
        <v>0</v>
      </c>
      <c r="I393" s="117">
        <f t="shared" si="104"/>
        <v>0</v>
      </c>
      <c r="J393" s="118">
        <f>IF($D393="",0,IF($F393&lt;2,0,IF($E393="Win",('Guide &amp; Settings'!$C$42/(($F393-1)*COUNTIFS($A$4:$A$810,$A393,$E$4:$E$810,"Win")))*SUMIFS($X$4:$X$810,$A$4:$A$810,$A393,$E$4:$E$810,"Loss"),-('Guide &amp; Settings'!$C$42/($F393-1))*$X393)))</f>
        <v>0</v>
      </c>
      <c r="K393" s="118">
        <f>IF($D393="",0,'Guide &amp; Settings'!$C$43*(IF($E393="Win",1,0)-$I393))</f>
        <v>0</v>
      </c>
      <c r="L393" s="119">
        <f>IF($D393="",0,'Guide &amp; Settings'!$C$44*IF($F393&gt;=3,$F393,0))</f>
        <v>0</v>
      </c>
      <c r="M393" s="118">
        <f t="shared" si="105"/>
        <v>0</v>
      </c>
      <c r="N393" s="116">
        <f t="shared" si="106"/>
        <v>0</v>
      </c>
      <c r="O393" s="115" t="str">
        <f t="shared" si="107"/>
        <v/>
      </c>
      <c r="P393">
        <f t="shared" si="108"/>
        <v>0</v>
      </c>
      <c r="Q393">
        <f t="shared" si="109"/>
        <v>0</v>
      </c>
      <c r="R393">
        <f t="shared" si="110"/>
        <v>0</v>
      </c>
      <c r="S393">
        <f t="shared" si="111"/>
        <v>0</v>
      </c>
      <c r="T393" s="83">
        <f t="shared" si="112"/>
        <v>0</v>
      </c>
      <c r="U393" s="120">
        <f>IF($D393="",0,IFERROR(LOOKUP(2,1/(($D$3:D392=$D393)*($C$3:C392=$C393)*($A$3:A392&lt;$A393)),$AB$3:AB392),1000))</f>
        <v>0</v>
      </c>
      <c r="V393" s="120">
        <f t="shared" si="113"/>
        <v>0</v>
      </c>
      <c r="W393">
        <f t="shared" si="114"/>
        <v>0</v>
      </c>
      <c r="X393">
        <f t="shared" si="115"/>
        <v>0</v>
      </c>
      <c r="Y393">
        <f t="shared" si="116"/>
        <v>0</v>
      </c>
      <c r="Z393">
        <f t="shared" si="117"/>
        <v>0</v>
      </c>
      <c r="AA393">
        <f>IF($D393="",0,IF($F393&lt;2,0,IF($E393="Win",('Guide &amp; Settings'!$C$42/(($F393-1)*COUNTIFS($A$4:$A$810,$A393,$E$4:$E$810,"Win")))*SUMIFS($Z$4:$Z$810,$A$4:$A$810,$A393,$E$4:$E$810,"Loss"),-('Guide &amp; Settings'!$C$42/($F393-1))*$Z393)))</f>
        <v>0</v>
      </c>
      <c r="AB393" s="120">
        <f t="shared" si="118"/>
        <v>0</v>
      </c>
      <c r="AC393" s="120" t="str">
        <f>IF($D393="","",IF(SUMPRODUCT(MAX(($D$4:$D$810=$D393)*($B$4:$B$810&lt;$B393)*$B$4:$B$810))=0,0,MAX(($B393-MAX(SUMPRODUCT(MAX(($D$4:$D$810=$D393)*($B$4:$B$810&lt;$B393)*$B$4:$B$810)),'Guide &amp; Settings'!$C$50))/7-'Guide &amp; Settings'!$C$48,0)*'Guide &amp; Settings'!$C$49))</f>
        <v/>
      </c>
    </row>
    <row r="394" spans="1:29" x14ac:dyDescent="0.2">
      <c r="A394" s="111"/>
      <c r="B394" s="112"/>
      <c r="C394" s="113"/>
      <c r="D394" s="113"/>
      <c r="E394" s="111"/>
      <c r="F394" s="114">
        <f t="shared" si="102"/>
        <v>0</v>
      </c>
      <c r="G394" s="115" t="str">
        <f t="shared" si="103"/>
        <v/>
      </c>
      <c r="H394" s="116">
        <f>IF($D394="",0,IFERROR(LOOKUP(2,1/(($D$3:D393=$D394)*($A$3:A393&lt;$A394)),$N$3:N393),'Guide &amp; Settings'!$C$41))</f>
        <v>0</v>
      </c>
      <c r="I394" s="117">
        <f t="shared" si="104"/>
        <v>0</v>
      </c>
      <c r="J394" s="118">
        <f>IF($D394="",0,IF($F394&lt;2,0,IF($E394="Win",('Guide &amp; Settings'!$C$42/(($F394-1)*COUNTIFS($A$4:$A$810,$A394,$E$4:$E$810,"Win")))*SUMIFS($X$4:$X$810,$A$4:$A$810,$A394,$E$4:$E$810,"Loss"),-('Guide &amp; Settings'!$C$42/($F394-1))*$X394)))</f>
        <v>0</v>
      </c>
      <c r="K394" s="118">
        <f>IF($D394="",0,'Guide &amp; Settings'!$C$43*(IF($E394="Win",1,0)-$I394))</f>
        <v>0</v>
      </c>
      <c r="L394" s="119">
        <f>IF($D394="",0,'Guide &amp; Settings'!$C$44*IF($F394&gt;=3,$F394,0))</f>
        <v>0</v>
      </c>
      <c r="M394" s="118">
        <f t="shared" si="105"/>
        <v>0</v>
      </c>
      <c r="N394" s="116">
        <f t="shared" si="106"/>
        <v>0</v>
      </c>
      <c r="O394" s="115" t="str">
        <f t="shared" si="107"/>
        <v/>
      </c>
      <c r="P394">
        <f t="shared" si="108"/>
        <v>0</v>
      </c>
      <c r="Q394">
        <f t="shared" si="109"/>
        <v>0</v>
      </c>
      <c r="R394">
        <f t="shared" si="110"/>
        <v>0</v>
      </c>
      <c r="S394">
        <f t="shared" si="111"/>
        <v>0</v>
      </c>
      <c r="T394" s="83">
        <f t="shared" si="112"/>
        <v>0</v>
      </c>
      <c r="U394" s="120">
        <f>IF($D394="",0,IFERROR(LOOKUP(2,1/(($D$3:D393=$D394)*($C$3:C393=$C394)*($A$3:A393&lt;$A394)),$AB$3:AB393),1000))</f>
        <v>0</v>
      </c>
      <c r="V394" s="120">
        <f t="shared" si="113"/>
        <v>0</v>
      </c>
      <c r="W394">
        <f t="shared" si="114"/>
        <v>0</v>
      </c>
      <c r="X394">
        <f t="shared" si="115"/>
        <v>0</v>
      </c>
      <c r="Y394">
        <f t="shared" si="116"/>
        <v>0</v>
      </c>
      <c r="Z394">
        <f t="shared" si="117"/>
        <v>0</v>
      </c>
      <c r="AA394">
        <f>IF($D394="",0,IF($F394&lt;2,0,IF($E394="Win",('Guide &amp; Settings'!$C$42/(($F394-1)*COUNTIFS($A$4:$A$810,$A394,$E$4:$E$810,"Win")))*SUMIFS($Z$4:$Z$810,$A$4:$A$810,$A394,$E$4:$E$810,"Loss"),-('Guide &amp; Settings'!$C$42/($F394-1))*$Z394)))</f>
        <v>0</v>
      </c>
      <c r="AB394" s="120">
        <f t="shared" si="118"/>
        <v>0</v>
      </c>
      <c r="AC394" s="120" t="str">
        <f>IF($D394="","",IF(SUMPRODUCT(MAX(($D$4:$D$810=$D394)*($B$4:$B$810&lt;$B394)*$B$4:$B$810))=0,0,MAX(($B394-MAX(SUMPRODUCT(MAX(($D$4:$D$810=$D394)*($B$4:$B$810&lt;$B394)*$B$4:$B$810)),'Guide &amp; Settings'!$C$50))/7-'Guide &amp; Settings'!$C$48,0)*'Guide &amp; Settings'!$C$49))</f>
        <v/>
      </c>
    </row>
    <row r="395" spans="1:29" x14ac:dyDescent="0.2">
      <c r="A395" s="111"/>
      <c r="B395" s="112"/>
      <c r="C395" s="113"/>
      <c r="D395" s="113"/>
      <c r="E395" s="111"/>
      <c r="F395" s="114">
        <f t="shared" si="102"/>
        <v>0</v>
      </c>
      <c r="G395" s="115" t="str">
        <f t="shared" si="103"/>
        <v/>
      </c>
      <c r="H395" s="116">
        <f>IF($D395="",0,IFERROR(LOOKUP(2,1/(($D$3:D394=$D395)*($A$3:A394&lt;$A395)),$N$3:N394),'Guide &amp; Settings'!$C$41))</f>
        <v>0</v>
      </c>
      <c r="I395" s="117">
        <f t="shared" si="104"/>
        <v>0</v>
      </c>
      <c r="J395" s="118">
        <f>IF($D395="",0,IF($F395&lt;2,0,IF($E395="Win",('Guide &amp; Settings'!$C$42/(($F395-1)*COUNTIFS($A$4:$A$810,$A395,$E$4:$E$810,"Win")))*SUMIFS($X$4:$X$810,$A$4:$A$810,$A395,$E$4:$E$810,"Loss"),-('Guide &amp; Settings'!$C$42/($F395-1))*$X395)))</f>
        <v>0</v>
      </c>
      <c r="K395" s="118">
        <f>IF($D395="",0,'Guide &amp; Settings'!$C$43*(IF($E395="Win",1,0)-$I395))</f>
        <v>0</v>
      </c>
      <c r="L395" s="119">
        <f>IF($D395="",0,'Guide &amp; Settings'!$C$44*IF($F395&gt;=3,$F395,0))</f>
        <v>0</v>
      </c>
      <c r="M395" s="118">
        <f t="shared" si="105"/>
        <v>0</v>
      </c>
      <c r="N395" s="116">
        <f t="shared" si="106"/>
        <v>0</v>
      </c>
      <c r="O395" s="115" t="str">
        <f t="shared" si="107"/>
        <v/>
      </c>
      <c r="P395">
        <f t="shared" si="108"/>
        <v>0</v>
      </c>
      <c r="Q395">
        <f t="shared" si="109"/>
        <v>0</v>
      </c>
      <c r="R395">
        <f t="shared" si="110"/>
        <v>0</v>
      </c>
      <c r="S395">
        <f t="shared" si="111"/>
        <v>0</v>
      </c>
      <c r="T395" s="83">
        <f t="shared" si="112"/>
        <v>0</v>
      </c>
      <c r="U395" s="120">
        <f>IF($D395="",0,IFERROR(LOOKUP(2,1/(($D$3:D394=$D395)*($C$3:C394=$C395)*($A$3:A394&lt;$A395)),$AB$3:AB394),1000))</f>
        <v>0</v>
      </c>
      <c r="V395" s="120">
        <f t="shared" si="113"/>
        <v>0</v>
      </c>
      <c r="W395">
        <f t="shared" si="114"/>
        <v>0</v>
      </c>
      <c r="X395">
        <f t="shared" si="115"/>
        <v>0</v>
      </c>
      <c r="Y395">
        <f t="shared" si="116"/>
        <v>0</v>
      </c>
      <c r="Z395">
        <f t="shared" si="117"/>
        <v>0</v>
      </c>
      <c r="AA395">
        <f>IF($D395="",0,IF($F395&lt;2,0,IF($E395="Win",('Guide &amp; Settings'!$C$42/(($F395-1)*COUNTIFS($A$4:$A$810,$A395,$E$4:$E$810,"Win")))*SUMIFS($Z$4:$Z$810,$A$4:$A$810,$A395,$E$4:$E$810,"Loss"),-('Guide &amp; Settings'!$C$42/($F395-1))*$Z395)))</f>
        <v>0</v>
      </c>
      <c r="AB395" s="120">
        <f t="shared" si="118"/>
        <v>0</v>
      </c>
      <c r="AC395" s="120" t="str">
        <f>IF($D395="","",IF(SUMPRODUCT(MAX(($D$4:$D$810=$D395)*($B$4:$B$810&lt;$B395)*$B$4:$B$810))=0,0,MAX(($B395-MAX(SUMPRODUCT(MAX(($D$4:$D$810=$D395)*($B$4:$B$810&lt;$B395)*$B$4:$B$810)),'Guide &amp; Settings'!$C$50))/7-'Guide &amp; Settings'!$C$48,0)*'Guide &amp; Settings'!$C$49))</f>
        <v/>
      </c>
    </row>
    <row r="396" spans="1:29" x14ac:dyDescent="0.2">
      <c r="A396" s="111"/>
      <c r="B396" s="112"/>
      <c r="C396" s="113"/>
      <c r="D396" s="113"/>
      <c r="E396" s="111"/>
      <c r="F396" s="114">
        <f t="shared" si="102"/>
        <v>0</v>
      </c>
      <c r="G396" s="115" t="str">
        <f t="shared" si="103"/>
        <v/>
      </c>
      <c r="H396" s="116">
        <f>IF($D396="",0,IFERROR(LOOKUP(2,1/(($D$3:D395=$D396)*($A$3:A395&lt;$A396)),$N$3:N395),'Guide &amp; Settings'!$C$41))</f>
        <v>0</v>
      </c>
      <c r="I396" s="117">
        <f t="shared" si="104"/>
        <v>0</v>
      </c>
      <c r="J396" s="118">
        <f>IF($D396="",0,IF($F396&lt;2,0,IF($E396="Win",('Guide &amp; Settings'!$C$42/(($F396-1)*COUNTIFS($A$4:$A$810,$A396,$E$4:$E$810,"Win")))*SUMIFS($X$4:$X$810,$A$4:$A$810,$A396,$E$4:$E$810,"Loss"),-('Guide &amp; Settings'!$C$42/($F396-1))*$X396)))</f>
        <v>0</v>
      </c>
      <c r="K396" s="118">
        <f>IF($D396="",0,'Guide &amp; Settings'!$C$43*(IF($E396="Win",1,0)-$I396))</f>
        <v>0</v>
      </c>
      <c r="L396" s="119">
        <f>IF($D396="",0,'Guide &amp; Settings'!$C$44*IF($F396&gt;=3,$F396,0))</f>
        <v>0</v>
      </c>
      <c r="M396" s="118">
        <f t="shared" si="105"/>
        <v>0</v>
      </c>
      <c r="N396" s="116">
        <f t="shared" si="106"/>
        <v>0</v>
      </c>
      <c r="O396" s="115" t="str">
        <f t="shared" si="107"/>
        <v/>
      </c>
      <c r="P396">
        <f t="shared" si="108"/>
        <v>0</v>
      </c>
      <c r="Q396">
        <f t="shared" si="109"/>
        <v>0</v>
      </c>
      <c r="R396">
        <f t="shared" si="110"/>
        <v>0</v>
      </c>
      <c r="S396">
        <f t="shared" si="111"/>
        <v>0</v>
      </c>
      <c r="T396" s="83">
        <f t="shared" si="112"/>
        <v>0</v>
      </c>
      <c r="U396" s="120">
        <f>IF($D396="",0,IFERROR(LOOKUP(2,1/(($D$3:D395=$D396)*($C$3:C395=$C396)*($A$3:A395&lt;$A396)),$AB$3:AB395),1000))</f>
        <v>0</v>
      </c>
      <c r="V396" s="120">
        <f t="shared" si="113"/>
        <v>0</v>
      </c>
      <c r="W396">
        <f t="shared" si="114"/>
        <v>0</v>
      </c>
      <c r="X396">
        <f t="shared" si="115"/>
        <v>0</v>
      </c>
      <c r="Y396">
        <f t="shared" si="116"/>
        <v>0</v>
      </c>
      <c r="Z396">
        <f t="shared" si="117"/>
        <v>0</v>
      </c>
      <c r="AA396">
        <f>IF($D396="",0,IF($F396&lt;2,0,IF($E396="Win",('Guide &amp; Settings'!$C$42/(($F396-1)*COUNTIFS($A$4:$A$810,$A396,$E$4:$E$810,"Win")))*SUMIFS($Z$4:$Z$810,$A$4:$A$810,$A396,$E$4:$E$810,"Loss"),-('Guide &amp; Settings'!$C$42/($F396-1))*$Z396)))</f>
        <v>0</v>
      </c>
      <c r="AB396" s="120">
        <f t="shared" si="118"/>
        <v>0</v>
      </c>
      <c r="AC396" s="120" t="str">
        <f>IF($D396="","",IF(SUMPRODUCT(MAX(($D$4:$D$810=$D396)*($B$4:$B$810&lt;$B396)*$B$4:$B$810))=0,0,MAX(($B396-MAX(SUMPRODUCT(MAX(($D$4:$D$810=$D396)*($B$4:$B$810&lt;$B396)*$B$4:$B$810)),'Guide &amp; Settings'!$C$50))/7-'Guide &amp; Settings'!$C$48,0)*'Guide &amp; Settings'!$C$49))</f>
        <v/>
      </c>
    </row>
    <row r="397" spans="1:29" x14ac:dyDescent="0.2">
      <c r="A397" s="111"/>
      <c r="B397" s="112"/>
      <c r="C397" s="113"/>
      <c r="D397" s="113"/>
      <c r="E397" s="111"/>
      <c r="F397" s="114">
        <f t="shared" si="102"/>
        <v>0</v>
      </c>
      <c r="G397" s="115" t="str">
        <f t="shared" si="103"/>
        <v/>
      </c>
      <c r="H397" s="116">
        <f>IF($D397="",0,IFERROR(LOOKUP(2,1/(($D$3:D396=$D397)*($A$3:A396&lt;$A397)),$N$3:N396),'Guide &amp; Settings'!$C$41))</f>
        <v>0</v>
      </c>
      <c r="I397" s="117">
        <f t="shared" si="104"/>
        <v>0</v>
      </c>
      <c r="J397" s="118">
        <f>IF($D397="",0,IF($F397&lt;2,0,IF($E397="Win",('Guide &amp; Settings'!$C$42/(($F397-1)*COUNTIFS($A$4:$A$810,$A397,$E$4:$E$810,"Win")))*SUMIFS($X$4:$X$810,$A$4:$A$810,$A397,$E$4:$E$810,"Loss"),-('Guide &amp; Settings'!$C$42/($F397-1))*$X397)))</f>
        <v>0</v>
      </c>
      <c r="K397" s="118">
        <f>IF($D397="",0,'Guide &amp; Settings'!$C$43*(IF($E397="Win",1,0)-$I397))</f>
        <v>0</v>
      </c>
      <c r="L397" s="119">
        <f>IF($D397="",0,'Guide &amp; Settings'!$C$44*IF($F397&gt;=3,$F397,0))</f>
        <v>0</v>
      </c>
      <c r="M397" s="118">
        <f t="shared" si="105"/>
        <v>0</v>
      </c>
      <c r="N397" s="116">
        <f t="shared" si="106"/>
        <v>0</v>
      </c>
      <c r="O397" s="115" t="str">
        <f t="shared" si="107"/>
        <v/>
      </c>
      <c r="P397">
        <f t="shared" si="108"/>
        <v>0</v>
      </c>
      <c r="Q397">
        <f t="shared" si="109"/>
        <v>0</v>
      </c>
      <c r="R397">
        <f t="shared" si="110"/>
        <v>0</v>
      </c>
      <c r="S397">
        <f t="shared" si="111"/>
        <v>0</v>
      </c>
      <c r="T397" s="83">
        <f t="shared" si="112"/>
        <v>0</v>
      </c>
      <c r="U397" s="120">
        <f>IF($D397="",0,IFERROR(LOOKUP(2,1/(($D$3:D396=$D397)*($C$3:C396=$C397)*($A$3:A396&lt;$A397)),$AB$3:AB396),1000))</f>
        <v>0</v>
      </c>
      <c r="V397" s="120">
        <f t="shared" si="113"/>
        <v>0</v>
      </c>
      <c r="W397">
        <f t="shared" si="114"/>
        <v>0</v>
      </c>
      <c r="X397">
        <f t="shared" si="115"/>
        <v>0</v>
      </c>
      <c r="Y397">
        <f t="shared" si="116"/>
        <v>0</v>
      </c>
      <c r="Z397">
        <f t="shared" si="117"/>
        <v>0</v>
      </c>
      <c r="AA397">
        <f>IF($D397="",0,IF($F397&lt;2,0,IF($E397="Win",('Guide &amp; Settings'!$C$42/(($F397-1)*COUNTIFS($A$4:$A$810,$A397,$E$4:$E$810,"Win")))*SUMIFS($Z$4:$Z$810,$A$4:$A$810,$A397,$E$4:$E$810,"Loss"),-('Guide &amp; Settings'!$C$42/($F397-1))*$Z397)))</f>
        <v>0</v>
      </c>
      <c r="AB397" s="120">
        <f t="shared" si="118"/>
        <v>0</v>
      </c>
      <c r="AC397" s="120" t="str">
        <f>IF($D397="","",IF(SUMPRODUCT(MAX(($D$4:$D$810=$D397)*($B$4:$B$810&lt;$B397)*$B$4:$B$810))=0,0,MAX(($B397-MAX(SUMPRODUCT(MAX(($D$4:$D$810=$D397)*($B$4:$B$810&lt;$B397)*$B$4:$B$810)),'Guide &amp; Settings'!$C$50))/7-'Guide &amp; Settings'!$C$48,0)*'Guide &amp; Settings'!$C$49))</f>
        <v/>
      </c>
    </row>
    <row r="398" spans="1:29" x14ac:dyDescent="0.2">
      <c r="A398" s="111"/>
      <c r="B398" s="112"/>
      <c r="C398" s="113"/>
      <c r="D398" s="113"/>
      <c r="E398" s="111"/>
      <c r="F398" s="114">
        <f t="shared" si="102"/>
        <v>0</v>
      </c>
      <c r="G398" s="115" t="str">
        <f t="shared" si="103"/>
        <v/>
      </c>
      <c r="H398" s="116">
        <f>IF($D398="",0,IFERROR(LOOKUP(2,1/(($D$3:D397=$D398)*($A$3:A397&lt;$A398)),$N$3:N397),'Guide &amp; Settings'!$C$41))</f>
        <v>0</v>
      </c>
      <c r="I398" s="117">
        <f t="shared" si="104"/>
        <v>0</v>
      </c>
      <c r="J398" s="118">
        <f>IF($D398="",0,IF($F398&lt;2,0,IF($E398="Win",('Guide &amp; Settings'!$C$42/(($F398-1)*COUNTIFS($A$4:$A$810,$A398,$E$4:$E$810,"Win")))*SUMIFS($X$4:$X$810,$A$4:$A$810,$A398,$E$4:$E$810,"Loss"),-('Guide &amp; Settings'!$C$42/($F398-1))*$X398)))</f>
        <v>0</v>
      </c>
      <c r="K398" s="118">
        <f>IF($D398="",0,'Guide &amp; Settings'!$C$43*(IF($E398="Win",1,0)-$I398))</f>
        <v>0</v>
      </c>
      <c r="L398" s="119">
        <f>IF($D398="",0,'Guide &amp; Settings'!$C$44*IF($F398&gt;=3,$F398,0))</f>
        <v>0</v>
      </c>
      <c r="M398" s="118">
        <f t="shared" si="105"/>
        <v>0</v>
      </c>
      <c r="N398" s="116">
        <f t="shared" si="106"/>
        <v>0</v>
      </c>
      <c r="O398" s="115" t="str">
        <f t="shared" si="107"/>
        <v/>
      </c>
      <c r="P398">
        <f t="shared" si="108"/>
        <v>0</v>
      </c>
      <c r="Q398">
        <f t="shared" si="109"/>
        <v>0</v>
      </c>
      <c r="R398">
        <f t="shared" si="110"/>
        <v>0</v>
      </c>
      <c r="S398">
        <f t="shared" si="111"/>
        <v>0</v>
      </c>
      <c r="T398" s="83">
        <f t="shared" si="112"/>
        <v>0</v>
      </c>
      <c r="U398" s="120">
        <f>IF($D398="",0,IFERROR(LOOKUP(2,1/(($D$3:D397=$D398)*($C$3:C397=$C398)*($A$3:A397&lt;$A398)),$AB$3:AB397),1000))</f>
        <v>0</v>
      </c>
      <c r="V398" s="120">
        <f t="shared" si="113"/>
        <v>0</v>
      </c>
      <c r="W398">
        <f t="shared" si="114"/>
        <v>0</v>
      </c>
      <c r="X398">
        <f t="shared" si="115"/>
        <v>0</v>
      </c>
      <c r="Y398">
        <f t="shared" si="116"/>
        <v>0</v>
      </c>
      <c r="Z398">
        <f t="shared" si="117"/>
        <v>0</v>
      </c>
      <c r="AA398">
        <f>IF($D398="",0,IF($F398&lt;2,0,IF($E398="Win",('Guide &amp; Settings'!$C$42/(($F398-1)*COUNTIFS($A$4:$A$810,$A398,$E$4:$E$810,"Win")))*SUMIFS($Z$4:$Z$810,$A$4:$A$810,$A398,$E$4:$E$810,"Loss"),-('Guide &amp; Settings'!$C$42/($F398-1))*$Z398)))</f>
        <v>0</v>
      </c>
      <c r="AB398" s="120">
        <f t="shared" si="118"/>
        <v>0</v>
      </c>
      <c r="AC398" s="120" t="str">
        <f>IF($D398="","",IF(SUMPRODUCT(MAX(($D$4:$D$810=$D398)*($B$4:$B$810&lt;$B398)*$B$4:$B$810))=0,0,MAX(($B398-MAX(SUMPRODUCT(MAX(($D$4:$D$810=$D398)*($B$4:$B$810&lt;$B398)*$B$4:$B$810)),'Guide &amp; Settings'!$C$50))/7-'Guide &amp; Settings'!$C$48,0)*'Guide &amp; Settings'!$C$49))</f>
        <v/>
      </c>
    </row>
    <row r="399" spans="1:29" x14ac:dyDescent="0.2">
      <c r="A399" s="111"/>
      <c r="B399" s="112"/>
      <c r="C399" s="113"/>
      <c r="D399" s="113"/>
      <c r="E399" s="111"/>
      <c r="F399" s="114">
        <f t="shared" si="102"/>
        <v>0</v>
      </c>
      <c r="G399" s="115" t="str">
        <f t="shared" si="103"/>
        <v/>
      </c>
      <c r="H399" s="116">
        <f>IF($D399="",0,IFERROR(LOOKUP(2,1/(($D$3:D398=$D399)*($A$3:A398&lt;$A399)),$N$3:N398),'Guide &amp; Settings'!$C$41))</f>
        <v>0</v>
      </c>
      <c r="I399" s="117">
        <f t="shared" si="104"/>
        <v>0</v>
      </c>
      <c r="J399" s="118">
        <f>IF($D399="",0,IF($F399&lt;2,0,IF($E399="Win",('Guide &amp; Settings'!$C$42/(($F399-1)*COUNTIFS($A$4:$A$810,$A399,$E$4:$E$810,"Win")))*SUMIFS($X$4:$X$810,$A$4:$A$810,$A399,$E$4:$E$810,"Loss"),-('Guide &amp; Settings'!$C$42/($F399-1))*$X399)))</f>
        <v>0</v>
      </c>
      <c r="K399" s="118">
        <f>IF($D399="",0,'Guide &amp; Settings'!$C$43*(IF($E399="Win",1,0)-$I399))</f>
        <v>0</v>
      </c>
      <c r="L399" s="119">
        <f>IF($D399="",0,'Guide &amp; Settings'!$C$44*IF($F399&gt;=3,$F399,0))</f>
        <v>0</v>
      </c>
      <c r="M399" s="118">
        <f t="shared" si="105"/>
        <v>0</v>
      </c>
      <c r="N399" s="116">
        <f t="shared" si="106"/>
        <v>0</v>
      </c>
      <c r="O399" s="115" t="str">
        <f t="shared" si="107"/>
        <v/>
      </c>
      <c r="P399">
        <f t="shared" si="108"/>
        <v>0</v>
      </c>
      <c r="Q399">
        <f t="shared" si="109"/>
        <v>0</v>
      </c>
      <c r="R399">
        <f t="shared" si="110"/>
        <v>0</v>
      </c>
      <c r="S399">
        <f t="shared" si="111"/>
        <v>0</v>
      </c>
      <c r="T399" s="83">
        <f t="shared" si="112"/>
        <v>0</v>
      </c>
      <c r="U399" s="120">
        <f>IF($D399="",0,IFERROR(LOOKUP(2,1/(($D$3:D398=$D399)*($C$3:C398=$C399)*($A$3:A398&lt;$A399)),$AB$3:AB398),1000))</f>
        <v>0</v>
      </c>
      <c r="V399" s="120">
        <f t="shared" si="113"/>
        <v>0</v>
      </c>
      <c r="W399">
        <f t="shared" si="114"/>
        <v>0</v>
      </c>
      <c r="X399">
        <f t="shared" si="115"/>
        <v>0</v>
      </c>
      <c r="Y399">
        <f t="shared" si="116"/>
        <v>0</v>
      </c>
      <c r="Z399">
        <f t="shared" si="117"/>
        <v>0</v>
      </c>
      <c r="AA399">
        <f>IF($D399="",0,IF($F399&lt;2,0,IF($E399="Win",('Guide &amp; Settings'!$C$42/(($F399-1)*COUNTIFS($A$4:$A$810,$A399,$E$4:$E$810,"Win")))*SUMIFS($Z$4:$Z$810,$A$4:$A$810,$A399,$E$4:$E$810,"Loss"),-('Guide &amp; Settings'!$C$42/($F399-1))*$Z399)))</f>
        <v>0</v>
      </c>
      <c r="AB399" s="120">
        <f t="shared" si="118"/>
        <v>0</v>
      </c>
      <c r="AC399" s="120" t="str">
        <f>IF($D399="","",IF(SUMPRODUCT(MAX(($D$4:$D$810=$D399)*($B$4:$B$810&lt;$B399)*$B$4:$B$810))=0,0,MAX(($B399-MAX(SUMPRODUCT(MAX(($D$4:$D$810=$D399)*($B$4:$B$810&lt;$B399)*$B$4:$B$810)),'Guide &amp; Settings'!$C$50))/7-'Guide &amp; Settings'!$C$48,0)*'Guide &amp; Settings'!$C$49))</f>
        <v/>
      </c>
    </row>
    <row r="400" spans="1:29" x14ac:dyDescent="0.2">
      <c r="A400" s="111"/>
      <c r="B400" s="112"/>
      <c r="C400" s="113"/>
      <c r="D400" s="113"/>
      <c r="E400" s="111"/>
      <c r="F400" s="114">
        <f t="shared" si="102"/>
        <v>0</v>
      </c>
      <c r="G400" s="115" t="str">
        <f t="shared" si="103"/>
        <v/>
      </c>
      <c r="H400" s="116">
        <f>IF($D400="",0,IFERROR(LOOKUP(2,1/(($D$3:D399=$D400)*($A$3:A399&lt;$A400)),$N$3:N399),'Guide &amp; Settings'!$C$41))</f>
        <v>0</v>
      </c>
      <c r="I400" s="117">
        <f t="shared" si="104"/>
        <v>0</v>
      </c>
      <c r="J400" s="118">
        <f>IF($D400="",0,IF($F400&lt;2,0,IF($E400="Win",('Guide &amp; Settings'!$C$42/(($F400-1)*COUNTIFS($A$4:$A$810,$A400,$E$4:$E$810,"Win")))*SUMIFS($X$4:$X$810,$A$4:$A$810,$A400,$E$4:$E$810,"Loss"),-('Guide &amp; Settings'!$C$42/($F400-1))*$X400)))</f>
        <v>0</v>
      </c>
      <c r="K400" s="118">
        <f>IF($D400="",0,'Guide &amp; Settings'!$C$43*(IF($E400="Win",1,0)-$I400))</f>
        <v>0</v>
      </c>
      <c r="L400" s="119">
        <f>IF($D400="",0,'Guide &amp; Settings'!$C$44*IF($F400&gt;=3,$F400,0))</f>
        <v>0</v>
      </c>
      <c r="M400" s="118">
        <f t="shared" si="105"/>
        <v>0</v>
      </c>
      <c r="N400" s="116">
        <f t="shared" si="106"/>
        <v>0</v>
      </c>
      <c r="O400" s="115" t="str">
        <f t="shared" si="107"/>
        <v/>
      </c>
      <c r="P400">
        <f t="shared" si="108"/>
        <v>0</v>
      </c>
      <c r="Q400">
        <f t="shared" si="109"/>
        <v>0</v>
      </c>
      <c r="R400">
        <f t="shared" si="110"/>
        <v>0</v>
      </c>
      <c r="S400">
        <f t="shared" si="111"/>
        <v>0</v>
      </c>
      <c r="T400" s="83">
        <f t="shared" si="112"/>
        <v>0</v>
      </c>
      <c r="U400" s="120">
        <f>IF($D400="",0,IFERROR(LOOKUP(2,1/(($D$3:D399=$D400)*($C$3:C399=$C400)*($A$3:A399&lt;$A400)),$AB$3:AB399),1000))</f>
        <v>0</v>
      </c>
      <c r="V400" s="120">
        <f t="shared" si="113"/>
        <v>0</v>
      </c>
      <c r="W400">
        <f t="shared" si="114"/>
        <v>0</v>
      </c>
      <c r="X400">
        <f t="shared" si="115"/>
        <v>0</v>
      </c>
      <c r="Y400">
        <f t="shared" si="116"/>
        <v>0</v>
      </c>
      <c r="Z400">
        <f t="shared" si="117"/>
        <v>0</v>
      </c>
      <c r="AA400">
        <f>IF($D400="",0,IF($F400&lt;2,0,IF($E400="Win",('Guide &amp; Settings'!$C$42/(($F400-1)*COUNTIFS($A$4:$A$810,$A400,$E$4:$E$810,"Win")))*SUMIFS($Z$4:$Z$810,$A$4:$A$810,$A400,$E$4:$E$810,"Loss"),-('Guide &amp; Settings'!$C$42/($F400-1))*$Z400)))</f>
        <v>0</v>
      </c>
      <c r="AB400" s="120">
        <f t="shared" si="118"/>
        <v>0</v>
      </c>
      <c r="AC400" s="120" t="str">
        <f>IF($D400="","",IF(SUMPRODUCT(MAX(($D$4:$D$810=$D400)*($B$4:$B$810&lt;$B400)*$B$4:$B$810))=0,0,MAX(($B400-MAX(SUMPRODUCT(MAX(($D$4:$D$810=$D400)*($B$4:$B$810&lt;$B400)*$B$4:$B$810)),'Guide &amp; Settings'!$C$50))/7-'Guide &amp; Settings'!$C$48,0)*'Guide &amp; Settings'!$C$49))</f>
        <v/>
      </c>
    </row>
    <row r="401" spans="1:29" x14ac:dyDescent="0.2">
      <c r="A401" s="111"/>
      <c r="B401" s="112"/>
      <c r="C401" s="113"/>
      <c r="D401" s="113"/>
      <c r="E401" s="111"/>
      <c r="F401" s="114">
        <f t="shared" si="102"/>
        <v>0</v>
      </c>
      <c r="G401" s="115" t="str">
        <f t="shared" si="103"/>
        <v/>
      </c>
      <c r="H401" s="116">
        <f>IF($D401="",0,IFERROR(LOOKUP(2,1/(($D$3:D400=$D401)*($A$3:A400&lt;$A401)),$N$3:N400),'Guide &amp; Settings'!$C$41))</f>
        <v>0</v>
      </c>
      <c r="I401" s="117">
        <f t="shared" si="104"/>
        <v>0</v>
      </c>
      <c r="J401" s="118">
        <f>IF($D401="",0,IF($F401&lt;2,0,IF($E401="Win",('Guide &amp; Settings'!$C$42/(($F401-1)*COUNTIFS($A$4:$A$810,$A401,$E$4:$E$810,"Win")))*SUMIFS($X$4:$X$810,$A$4:$A$810,$A401,$E$4:$E$810,"Loss"),-('Guide &amp; Settings'!$C$42/($F401-1))*$X401)))</f>
        <v>0</v>
      </c>
      <c r="K401" s="118">
        <f>IF($D401="",0,'Guide &amp; Settings'!$C$43*(IF($E401="Win",1,0)-$I401))</f>
        <v>0</v>
      </c>
      <c r="L401" s="119">
        <f>IF($D401="",0,'Guide &amp; Settings'!$C$44*IF($F401&gt;=3,$F401,0))</f>
        <v>0</v>
      </c>
      <c r="M401" s="118">
        <f t="shared" si="105"/>
        <v>0</v>
      </c>
      <c r="N401" s="116">
        <f t="shared" si="106"/>
        <v>0</v>
      </c>
      <c r="O401" s="115" t="str">
        <f t="shared" si="107"/>
        <v/>
      </c>
      <c r="P401">
        <f t="shared" si="108"/>
        <v>0</v>
      </c>
      <c r="Q401">
        <f t="shared" si="109"/>
        <v>0</v>
      </c>
      <c r="R401">
        <f t="shared" si="110"/>
        <v>0</v>
      </c>
      <c r="S401">
        <f t="shared" si="111"/>
        <v>0</v>
      </c>
      <c r="T401" s="83">
        <f t="shared" si="112"/>
        <v>0</v>
      </c>
      <c r="U401" s="120">
        <f>IF($D401="",0,IFERROR(LOOKUP(2,1/(($D$3:D400=$D401)*($C$3:C400=$C401)*($A$3:A400&lt;$A401)),$AB$3:AB400),1000))</f>
        <v>0</v>
      </c>
      <c r="V401" s="120">
        <f t="shared" si="113"/>
        <v>0</v>
      </c>
      <c r="W401">
        <f t="shared" si="114"/>
        <v>0</v>
      </c>
      <c r="X401">
        <f t="shared" si="115"/>
        <v>0</v>
      </c>
      <c r="Y401">
        <f t="shared" si="116"/>
        <v>0</v>
      </c>
      <c r="Z401">
        <f t="shared" si="117"/>
        <v>0</v>
      </c>
      <c r="AA401">
        <f>IF($D401="",0,IF($F401&lt;2,0,IF($E401="Win",('Guide &amp; Settings'!$C$42/(($F401-1)*COUNTIFS($A$4:$A$810,$A401,$E$4:$E$810,"Win")))*SUMIFS($Z$4:$Z$810,$A$4:$A$810,$A401,$E$4:$E$810,"Loss"),-('Guide &amp; Settings'!$C$42/($F401-1))*$Z401)))</f>
        <v>0</v>
      </c>
      <c r="AB401" s="120">
        <f t="shared" si="118"/>
        <v>0</v>
      </c>
      <c r="AC401" s="120" t="str">
        <f>IF($D401="","",IF(SUMPRODUCT(MAX(($D$4:$D$810=$D401)*($B$4:$B$810&lt;$B401)*$B$4:$B$810))=0,0,MAX(($B401-MAX(SUMPRODUCT(MAX(($D$4:$D$810=$D401)*($B$4:$B$810&lt;$B401)*$B$4:$B$810)),'Guide &amp; Settings'!$C$50))/7-'Guide &amp; Settings'!$C$48,0)*'Guide &amp; Settings'!$C$49))</f>
        <v/>
      </c>
    </row>
    <row r="402" spans="1:29" x14ac:dyDescent="0.2">
      <c r="A402" s="111"/>
      <c r="B402" s="112"/>
      <c r="C402" s="113"/>
      <c r="D402" s="113"/>
      <c r="E402" s="111"/>
      <c r="F402" s="114">
        <f t="shared" si="102"/>
        <v>0</v>
      </c>
      <c r="G402" s="115" t="str">
        <f t="shared" si="103"/>
        <v/>
      </c>
      <c r="H402" s="116">
        <f>IF($D402="",0,IFERROR(LOOKUP(2,1/(($D$3:D401=$D402)*($A$3:A401&lt;$A402)),$N$3:N401),'Guide &amp; Settings'!$C$41))</f>
        <v>0</v>
      </c>
      <c r="I402" s="117">
        <f t="shared" si="104"/>
        <v>0</v>
      </c>
      <c r="J402" s="118">
        <f>IF($D402="",0,IF($F402&lt;2,0,IF($E402="Win",('Guide &amp; Settings'!$C$42/(($F402-1)*COUNTIFS($A$4:$A$810,$A402,$E$4:$E$810,"Win")))*SUMIFS($X$4:$X$810,$A$4:$A$810,$A402,$E$4:$E$810,"Loss"),-('Guide &amp; Settings'!$C$42/($F402-1))*$X402)))</f>
        <v>0</v>
      </c>
      <c r="K402" s="118">
        <f>IF($D402="",0,'Guide &amp; Settings'!$C$43*(IF($E402="Win",1,0)-$I402))</f>
        <v>0</v>
      </c>
      <c r="L402" s="119">
        <f>IF($D402="",0,'Guide &amp; Settings'!$C$44*IF($F402&gt;=3,$F402,0))</f>
        <v>0</v>
      </c>
      <c r="M402" s="118">
        <f t="shared" si="105"/>
        <v>0</v>
      </c>
      <c r="N402" s="116">
        <f t="shared" si="106"/>
        <v>0</v>
      </c>
      <c r="O402" s="115" t="str">
        <f t="shared" si="107"/>
        <v/>
      </c>
      <c r="P402">
        <f t="shared" si="108"/>
        <v>0</v>
      </c>
      <c r="Q402">
        <f t="shared" si="109"/>
        <v>0</v>
      </c>
      <c r="R402">
        <f t="shared" si="110"/>
        <v>0</v>
      </c>
      <c r="S402">
        <f t="shared" si="111"/>
        <v>0</v>
      </c>
      <c r="T402" s="83">
        <f t="shared" si="112"/>
        <v>0</v>
      </c>
      <c r="U402" s="120">
        <f>IF($D402="",0,IFERROR(LOOKUP(2,1/(($D$3:D401=$D402)*($C$3:C401=$C402)*($A$3:A401&lt;$A402)),$AB$3:AB401),1000))</f>
        <v>0</v>
      </c>
      <c r="V402" s="120">
        <f t="shared" si="113"/>
        <v>0</v>
      </c>
      <c r="W402">
        <f t="shared" si="114"/>
        <v>0</v>
      </c>
      <c r="X402">
        <f t="shared" si="115"/>
        <v>0</v>
      </c>
      <c r="Y402">
        <f t="shared" si="116"/>
        <v>0</v>
      </c>
      <c r="Z402">
        <f t="shared" si="117"/>
        <v>0</v>
      </c>
      <c r="AA402">
        <f>IF($D402="",0,IF($F402&lt;2,0,IF($E402="Win",('Guide &amp; Settings'!$C$42/(($F402-1)*COUNTIFS($A$4:$A$810,$A402,$E$4:$E$810,"Win")))*SUMIFS($Z$4:$Z$810,$A$4:$A$810,$A402,$E$4:$E$810,"Loss"),-('Guide &amp; Settings'!$C$42/($F402-1))*$Z402)))</f>
        <v>0</v>
      </c>
      <c r="AB402" s="120">
        <f t="shared" si="118"/>
        <v>0</v>
      </c>
      <c r="AC402" s="120" t="str">
        <f>IF($D402="","",IF(SUMPRODUCT(MAX(($D$4:$D$810=$D402)*($B$4:$B$810&lt;$B402)*$B$4:$B$810))=0,0,MAX(($B402-MAX(SUMPRODUCT(MAX(($D$4:$D$810=$D402)*($B$4:$B$810&lt;$B402)*$B$4:$B$810)),'Guide &amp; Settings'!$C$50))/7-'Guide &amp; Settings'!$C$48,0)*'Guide &amp; Settings'!$C$49))</f>
        <v/>
      </c>
    </row>
    <row r="403" spans="1:29" x14ac:dyDescent="0.2">
      <c r="A403" s="111"/>
      <c r="B403" s="112"/>
      <c r="C403" s="113"/>
      <c r="D403" s="113"/>
      <c r="E403" s="111"/>
      <c r="F403" s="114">
        <f t="shared" si="102"/>
        <v>0</v>
      </c>
      <c r="G403" s="115" t="str">
        <f t="shared" si="103"/>
        <v/>
      </c>
      <c r="H403" s="116">
        <f>IF($D403="",0,IFERROR(LOOKUP(2,1/(($D$3:D402=$D403)*($A$3:A402&lt;$A403)),$N$3:N402),'Guide &amp; Settings'!$C$41))</f>
        <v>0</v>
      </c>
      <c r="I403" s="117">
        <f t="shared" si="104"/>
        <v>0</v>
      </c>
      <c r="J403" s="118">
        <f>IF($D403="",0,IF($F403&lt;2,0,IF($E403="Win",('Guide &amp; Settings'!$C$42/(($F403-1)*COUNTIFS($A$4:$A$810,$A403,$E$4:$E$810,"Win")))*SUMIFS($X$4:$X$810,$A$4:$A$810,$A403,$E$4:$E$810,"Loss"),-('Guide &amp; Settings'!$C$42/($F403-1))*$X403)))</f>
        <v>0</v>
      </c>
      <c r="K403" s="118">
        <f>IF($D403="",0,'Guide &amp; Settings'!$C$43*(IF($E403="Win",1,0)-$I403))</f>
        <v>0</v>
      </c>
      <c r="L403" s="119">
        <f>IF($D403="",0,'Guide &amp; Settings'!$C$44*IF($F403&gt;=3,$F403,0))</f>
        <v>0</v>
      </c>
      <c r="M403" s="118">
        <f t="shared" si="105"/>
        <v>0</v>
      </c>
      <c r="N403" s="116">
        <f t="shared" si="106"/>
        <v>0</v>
      </c>
      <c r="O403" s="115" t="str">
        <f t="shared" si="107"/>
        <v/>
      </c>
      <c r="P403">
        <f t="shared" si="108"/>
        <v>0</v>
      </c>
      <c r="Q403">
        <f t="shared" si="109"/>
        <v>0</v>
      </c>
      <c r="R403">
        <f t="shared" si="110"/>
        <v>0</v>
      </c>
      <c r="S403">
        <f t="shared" si="111"/>
        <v>0</v>
      </c>
      <c r="T403" s="83">
        <f t="shared" si="112"/>
        <v>0</v>
      </c>
      <c r="U403" s="120">
        <f>IF($D403="",0,IFERROR(LOOKUP(2,1/(($D$3:D402=$D403)*($C$3:C402=$C403)*($A$3:A402&lt;$A403)),$AB$3:AB402),1000))</f>
        <v>0</v>
      </c>
      <c r="V403" s="120">
        <f t="shared" si="113"/>
        <v>0</v>
      </c>
      <c r="W403">
        <f t="shared" si="114"/>
        <v>0</v>
      </c>
      <c r="X403">
        <f t="shared" si="115"/>
        <v>0</v>
      </c>
      <c r="Y403">
        <f t="shared" si="116"/>
        <v>0</v>
      </c>
      <c r="Z403">
        <f t="shared" si="117"/>
        <v>0</v>
      </c>
      <c r="AA403">
        <f>IF($D403="",0,IF($F403&lt;2,0,IF($E403="Win",('Guide &amp; Settings'!$C$42/(($F403-1)*COUNTIFS($A$4:$A$810,$A403,$E$4:$E$810,"Win")))*SUMIFS($Z$4:$Z$810,$A$4:$A$810,$A403,$E$4:$E$810,"Loss"),-('Guide &amp; Settings'!$C$42/($F403-1))*$Z403)))</f>
        <v>0</v>
      </c>
      <c r="AB403" s="120">
        <f t="shared" si="118"/>
        <v>0</v>
      </c>
      <c r="AC403" s="120" t="str">
        <f>IF($D403="","",IF(SUMPRODUCT(MAX(($D$4:$D$810=$D403)*($B$4:$B$810&lt;$B403)*$B$4:$B$810))=0,0,MAX(($B403-MAX(SUMPRODUCT(MAX(($D$4:$D$810=$D403)*($B$4:$B$810&lt;$B403)*$B$4:$B$810)),'Guide &amp; Settings'!$C$50))/7-'Guide &amp; Settings'!$C$48,0)*'Guide &amp; Settings'!$C$49))</f>
        <v/>
      </c>
    </row>
    <row r="404" spans="1:29" x14ac:dyDescent="0.2">
      <c r="A404" s="111"/>
      <c r="B404" s="112"/>
      <c r="C404" s="113"/>
      <c r="D404" s="113"/>
      <c r="E404" s="111"/>
      <c r="F404" s="114">
        <f t="shared" si="102"/>
        <v>0</v>
      </c>
      <c r="G404" s="115" t="str">
        <f t="shared" si="103"/>
        <v/>
      </c>
      <c r="H404" s="116">
        <f>IF($D404="",0,IFERROR(LOOKUP(2,1/(($D$3:D403=$D404)*($A$3:A403&lt;$A404)),$N$3:N403),'Guide &amp; Settings'!$C$41))</f>
        <v>0</v>
      </c>
      <c r="I404" s="117">
        <f t="shared" si="104"/>
        <v>0</v>
      </c>
      <c r="J404" s="118">
        <f>IF($D404="",0,IF($F404&lt;2,0,IF($E404="Win",('Guide &amp; Settings'!$C$42/(($F404-1)*COUNTIFS($A$4:$A$810,$A404,$E$4:$E$810,"Win")))*SUMIFS($X$4:$X$810,$A$4:$A$810,$A404,$E$4:$E$810,"Loss"),-('Guide &amp; Settings'!$C$42/($F404-1))*$X404)))</f>
        <v>0</v>
      </c>
      <c r="K404" s="118">
        <f>IF($D404="",0,'Guide &amp; Settings'!$C$43*(IF($E404="Win",1,0)-$I404))</f>
        <v>0</v>
      </c>
      <c r="L404" s="119">
        <f>IF($D404="",0,'Guide &amp; Settings'!$C$44*IF($F404&gt;=3,$F404,0))</f>
        <v>0</v>
      </c>
      <c r="M404" s="118">
        <f t="shared" si="105"/>
        <v>0</v>
      </c>
      <c r="N404" s="116">
        <f t="shared" si="106"/>
        <v>0</v>
      </c>
      <c r="O404" s="115" t="str">
        <f t="shared" si="107"/>
        <v/>
      </c>
      <c r="P404">
        <f t="shared" si="108"/>
        <v>0</v>
      </c>
      <c r="Q404">
        <f t="shared" si="109"/>
        <v>0</v>
      </c>
      <c r="R404">
        <f t="shared" si="110"/>
        <v>0</v>
      </c>
      <c r="S404">
        <f t="shared" si="111"/>
        <v>0</v>
      </c>
      <c r="T404" s="83">
        <f t="shared" si="112"/>
        <v>0</v>
      </c>
      <c r="U404" s="120">
        <f>IF($D404="",0,IFERROR(LOOKUP(2,1/(($D$3:D403=$D404)*($C$3:C403=$C404)*($A$3:A403&lt;$A404)),$AB$3:AB403),1000))</f>
        <v>0</v>
      </c>
      <c r="V404" s="120">
        <f t="shared" si="113"/>
        <v>0</v>
      </c>
      <c r="W404">
        <f t="shared" si="114"/>
        <v>0</v>
      </c>
      <c r="X404">
        <f t="shared" si="115"/>
        <v>0</v>
      </c>
      <c r="Y404">
        <f t="shared" si="116"/>
        <v>0</v>
      </c>
      <c r="Z404">
        <f t="shared" si="117"/>
        <v>0</v>
      </c>
      <c r="AA404">
        <f>IF($D404="",0,IF($F404&lt;2,0,IF($E404="Win",('Guide &amp; Settings'!$C$42/(($F404-1)*COUNTIFS($A$4:$A$810,$A404,$E$4:$E$810,"Win")))*SUMIFS($Z$4:$Z$810,$A$4:$A$810,$A404,$E$4:$E$810,"Loss"),-('Guide &amp; Settings'!$C$42/($F404-1))*$Z404)))</f>
        <v>0</v>
      </c>
      <c r="AB404" s="120">
        <f t="shared" si="118"/>
        <v>0</v>
      </c>
      <c r="AC404" s="120" t="str">
        <f>IF($D404="","",IF(SUMPRODUCT(MAX(($D$4:$D$810=$D404)*($B$4:$B$810&lt;$B404)*$B$4:$B$810))=0,0,MAX(($B404-MAX(SUMPRODUCT(MAX(($D$4:$D$810=$D404)*($B$4:$B$810&lt;$B404)*$B$4:$B$810)),'Guide &amp; Settings'!$C$50))/7-'Guide &amp; Settings'!$C$48,0)*'Guide &amp; Settings'!$C$49))</f>
        <v/>
      </c>
    </row>
    <row r="405" spans="1:29" x14ac:dyDescent="0.2">
      <c r="A405" s="111"/>
      <c r="B405" s="112"/>
      <c r="C405" s="113"/>
      <c r="D405" s="113"/>
      <c r="E405" s="111"/>
      <c r="F405" s="114">
        <f t="shared" si="102"/>
        <v>0</v>
      </c>
      <c r="G405" s="115" t="str">
        <f t="shared" si="103"/>
        <v/>
      </c>
      <c r="H405" s="116">
        <f>IF($D405="",0,IFERROR(LOOKUP(2,1/(($D$3:D404=$D405)*($A$3:A404&lt;$A405)),$N$3:N404),'Guide &amp; Settings'!$C$41))</f>
        <v>0</v>
      </c>
      <c r="I405" s="117">
        <f t="shared" si="104"/>
        <v>0</v>
      </c>
      <c r="J405" s="118">
        <f>IF($D405="",0,IF($F405&lt;2,0,IF($E405="Win",('Guide &amp; Settings'!$C$42/(($F405-1)*COUNTIFS($A$4:$A$810,$A405,$E$4:$E$810,"Win")))*SUMIFS($X$4:$X$810,$A$4:$A$810,$A405,$E$4:$E$810,"Loss"),-('Guide &amp; Settings'!$C$42/($F405-1))*$X405)))</f>
        <v>0</v>
      </c>
      <c r="K405" s="118">
        <f>IF($D405="",0,'Guide &amp; Settings'!$C$43*(IF($E405="Win",1,0)-$I405))</f>
        <v>0</v>
      </c>
      <c r="L405" s="119">
        <f>IF($D405="",0,'Guide &amp; Settings'!$C$44*IF($F405&gt;=3,$F405,0))</f>
        <v>0</v>
      </c>
      <c r="M405" s="118">
        <f t="shared" si="105"/>
        <v>0</v>
      </c>
      <c r="N405" s="116">
        <f t="shared" si="106"/>
        <v>0</v>
      </c>
      <c r="O405" s="115" t="str">
        <f t="shared" si="107"/>
        <v/>
      </c>
      <c r="P405">
        <f t="shared" si="108"/>
        <v>0</v>
      </c>
      <c r="Q405">
        <f t="shared" si="109"/>
        <v>0</v>
      </c>
      <c r="R405">
        <f t="shared" si="110"/>
        <v>0</v>
      </c>
      <c r="S405">
        <f t="shared" si="111"/>
        <v>0</v>
      </c>
      <c r="T405" s="83">
        <f t="shared" si="112"/>
        <v>0</v>
      </c>
      <c r="U405" s="120">
        <f>IF($D405="",0,IFERROR(LOOKUP(2,1/(($D$3:D404=$D405)*($C$3:C404=$C405)*($A$3:A404&lt;$A405)),$AB$3:AB404),1000))</f>
        <v>0</v>
      </c>
      <c r="V405" s="120">
        <f t="shared" si="113"/>
        <v>0</v>
      </c>
      <c r="W405">
        <f t="shared" si="114"/>
        <v>0</v>
      </c>
      <c r="X405">
        <f t="shared" si="115"/>
        <v>0</v>
      </c>
      <c r="Y405">
        <f t="shared" si="116"/>
        <v>0</v>
      </c>
      <c r="Z405">
        <f t="shared" si="117"/>
        <v>0</v>
      </c>
      <c r="AA405">
        <f>IF($D405="",0,IF($F405&lt;2,0,IF($E405="Win",('Guide &amp; Settings'!$C$42/(($F405-1)*COUNTIFS($A$4:$A$810,$A405,$E$4:$E$810,"Win")))*SUMIFS($Z$4:$Z$810,$A$4:$A$810,$A405,$E$4:$E$810,"Loss"),-('Guide &amp; Settings'!$C$42/($F405-1))*$Z405)))</f>
        <v>0</v>
      </c>
      <c r="AB405" s="120">
        <f t="shared" si="118"/>
        <v>0</v>
      </c>
      <c r="AC405" s="120" t="str">
        <f>IF($D405="","",IF(SUMPRODUCT(MAX(($D$4:$D$810=$D405)*($B$4:$B$810&lt;$B405)*$B$4:$B$810))=0,0,MAX(($B405-MAX(SUMPRODUCT(MAX(($D$4:$D$810=$D405)*($B$4:$B$810&lt;$B405)*$B$4:$B$810)),'Guide &amp; Settings'!$C$50))/7-'Guide &amp; Settings'!$C$48,0)*'Guide &amp; Settings'!$C$49))</f>
        <v/>
      </c>
    </row>
    <row r="406" spans="1:29" x14ac:dyDescent="0.2">
      <c r="A406" s="111"/>
      <c r="B406" s="112"/>
      <c r="C406" s="113"/>
      <c r="D406" s="113"/>
      <c r="E406" s="111"/>
      <c r="F406" s="114">
        <f t="shared" si="102"/>
        <v>0</v>
      </c>
      <c r="G406" s="115" t="str">
        <f t="shared" si="103"/>
        <v/>
      </c>
      <c r="H406" s="116">
        <f>IF($D406="",0,IFERROR(LOOKUP(2,1/(($D$3:D405=$D406)*($A$3:A405&lt;$A406)),$N$3:N405),'Guide &amp; Settings'!$C$41))</f>
        <v>0</v>
      </c>
      <c r="I406" s="117">
        <f t="shared" si="104"/>
        <v>0</v>
      </c>
      <c r="J406" s="118">
        <f>IF($D406="",0,IF($F406&lt;2,0,IF($E406="Win",('Guide &amp; Settings'!$C$42/(($F406-1)*COUNTIFS($A$4:$A$810,$A406,$E$4:$E$810,"Win")))*SUMIFS($X$4:$X$810,$A$4:$A$810,$A406,$E$4:$E$810,"Loss"),-('Guide &amp; Settings'!$C$42/($F406-1))*$X406)))</f>
        <v>0</v>
      </c>
      <c r="K406" s="118">
        <f>IF($D406="",0,'Guide &amp; Settings'!$C$43*(IF($E406="Win",1,0)-$I406))</f>
        <v>0</v>
      </c>
      <c r="L406" s="119">
        <f>IF($D406="",0,'Guide &amp; Settings'!$C$44*IF($F406&gt;=3,$F406,0))</f>
        <v>0</v>
      </c>
      <c r="M406" s="118">
        <f t="shared" si="105"/>
        <v>0</v>
      </c>
      <c r="N406" s="116">
        <f t="shared" si="106"/>
        <v>0</v>
      </c>
      <c r="O406" s="115" t="str">
        <f t="shared" si="107"/>
        <v/>
      </c>
      <c r="P406">
        <f t="shared" si="108"/>
        <v>0</v>
      </c>
      <c r="Q406">
        <f t="shared" si="109"/>
        <v>0</v>
      </c>
      <c r="R406">
        <f t="shared" si="110"/>
        <v>0</v>
      </c>
      <c r="S406">
        <f t="shared" si="111"/>
        <v>0</v>
      </c>
      <c r="T406" s="83">
        <f t="shared" si="112"/>
        <v>0</v>
      </c>
      <c r="U406" s="120">
        <f>IF($D406="",0,IFERROR(LOOKUP(2,1/(($D$3:D405=$D406)*($C$3:C405=$C406)*($A$3:A405&lt;$A406)),$AB$3:AB405),1000))</f>
        <v>0</v>
      </c>
      <c r="V406" s="120">
        <f t="shared" si="113"/>
        <v>0</v>
      </c>
      <c r="W406">
        <f t="shared" si="114"/>
        <v>0</v>
      </c>
      <c r="X406">
        <f t="shared" si="115"/>
        <v>0</v>
      </c>
      <c r="Y406">
        <f t="shared" si="116"/>
        <v>0</v>
      </c>
      <c r="Z406">
        <f t="shared" si="117"/>
        <v>0</v>
      </c>
      <c r="AA406">
        <f>IF($D406="",0,IF($F406&lt;2,0,IF($E406="Win",('Guide &amp; Settings'!$C$42/(($F406-1)*COUNTIFS($A$4:$A$810,$A406,$E$4:$E$810,"Win")))*SUMIFS($Z$4:$Z$810,$A$4:$A$810,$A406,$E$4:$E$810,"Loss"),-('Guide &amp; Settings'!$C$42/($F406-1))*$Z406)))</f>
        <v>0</v>
      </c>
      <c r="AB406" s="120">
        <f t="shared" si="118"/>
        <v>0</v>
      </c>
      <c r="AC406" s="120" t="str">
        <f>IF($D406="","",IF(SUMPRODUCT(MAX(($D$4:$D$810=$D406)*($B$4:$B$810&lt;$B406)*$B$4:$B$810))=0,0,MAX(($B406-MAX(SUMPRODUCT(MAX(($D$4:$D$810=$D406)*($B$4:$B$810&lt;$B406)*$B$4:$B$810)),'Guide &amp; Settings'!$C$50))/7-'Guide &amp; Settings'!$C$48,0)*'Guide &amp; Settings'!$C$49))</f>
        <v/>
      </c>
    </row>
    <row r="407" spans="1:29" x14ac:dyDescent="0.2">
      <c r="A407" s="111"/>
      <c r="B407" s="112"/>
      <c r="C407" s="113"/>
      <c r="D407" s="113"/>
      <c r="E407" s="111"/>
      <c r="F407" s="114">
        <f t="shared" si="102"/>
        <v>0</v>
      </c>
      <c r="G407" s="115" t="str">
        <f t="shared" si="103"/>
        <v/>
      </c>
      <c r="H407" s="116">
        <f>IF($D407="",0,IFERROR(LOOKUP(2,1/(($D$3:D406=$D407)*($A$3:A406&lt;$A407)),$N$3:N406),'Guide &amp; Settings'!$C$41))</f>
        <v>0</v>
      </c>
      <c r="I407" s="117">
        <f t="shared" si="104"/>
        <v>0</v>
      </c>
      <c r="J407" s="118">
        <f>IF($D407="",0,IF($F407&lt;2,0,IF($E407="Win",('Guide &amp; Settings'!$C$42/(($F407-1)*COUNTIFS($A$4:$A$810,$A407,$E$4:$E$810,"Win")))*SUMIFS($X$4:$X$810,$A$4:$A$810,$A407,$E$4:$E$810,"Loss"),-('Guide &amp; Settings'!$C$42/($F407-1))*$X407)))</f>
        <v>0</v>
      </c>
      <c r="K407" s="118">
        <f>IF($D407="",0,'Guide &amp; Settings'!$C$43*(IF($E407="Win",1,0)-$I407))</f>
        <v>0</v>
      </c>
      <c r="L407" s="119">
        <f>IF($D407="",0,'Guide &amp; Settings'!$C$44*IF($F407&gt;=3,$F407,0))</f>
        <v>0</v>
      </c>
      <c r="M407" s="118">
        <f t="shared" si="105"/>
        <v>0</v>
      </c>
      <c r="N407" s="116">
        <f t="shared" si="106"/>
        <v>0</v>
      </c>
      <c r="O407" s="115" t="str">
        <f t="shared" si="107"/>
        <v/>
      </c>
      <c r="P407">
        <f t="shared" si="108"/>
        <v>0</v>
      </c>
      <c r="Q407">
        <f t="shared" si="109"/>
        <v>0</v>
      </c>
      <c r="R407">
        <f t="shared" si="110"/>
        <v>0</v>
      </c>
      <c r="S407">
        <f t="shared" si="111"/>
        <v>0</v>
      </c>
      <c r="T407" s="83">
        <f t="shared" si="112"/>
        <v>0</v>
      </c>
      <c r="U407" s="120">
        <f>IF($D407="",0,IFERROR(LOOKUP(2,1/(($D$3:D406=$D407)*($C$3:C406=$C407)*($A$3:A406&lt;$A407)),$AB$3:AB406),1000))</f>
        <v>0</v>
      </c>
      <c r="V407" s="120">
        <f t="shared" si="113"/>
        <v>0</v>
      </c>
      <c r="W407">
        <f t="shared" si="114"/>
        <v>0</v>
      </c>
      <c r="X407">
        <f t="shared" si="115"/>
        <v>0</v>
      </c>
      <c r="Y407">
        <f t="shared" si="116"/>
        <v>0</v>
      </c>
      <c r="Z407">
        <f t="shared" si="117"/>
        <v>0</v>
      </c>
      <c r="AA407">
        <f>IF($D407="",0,IF($F407&lt;2,0,IF($E407="Win",('Guide &amp; Settings'!$C$42/(($F407-1)*COUNTIFS($A$4:$A$810,$A407,$E$4:$E$810,"Win")))*SUMIFS($Z$4:$Z$810,$A$4:$A$810,$A407,$E$4:$E$810,"Loss"),-('Guide &amp; Settings'!$C$42/($F407-1))*$Z407)))</f>
        <v>0</v>
      </c>
      <c r="AB407" s="120">
        <f t="shared" si="118"/>
        <v>0</v>
      </c>
      <c r="AC407" s="120" t="str">
        <f>IF($D407="","",IF(SUMPRODUCT(MAX(($D$4:$D$810=$D407)*($B$4:$B$810&lt;$B407)*$B$4:$B$810))=0,0,MAX(($B407-MAX(SUMPRODUCT(MAX(($D$4:$D$810=$D407)*($B$4:$B$810&lt;$B407)*$B$4:$B$810)),'Guide &amp; Settings'!$C$50))/7-'Guide &amp; Settings'!$C$48,0)*'Guide &amp; Settings'!$C$49))</f>
        <v/>
      </c>
    </row>
    <row r="408" spans="1:29" x14ac:dyDescent="0.2">
      <c r="A408" s="111"/>
      <c r="B408" s="112"/>
      <c r="C408" s="113"/>
      <c r="D408" s="113"/>
      <c r="E408" s="111"/>
      <c r="F408" s="114">
        <f t="shared" si="102"/>
        <v>0</v>
      </c>
      <c r="G408" s="115" t="str">
        <f t="shared" si="103"/>
        <v/>
      </c>
      <c r="H408" s="116">
        <f>IF($D408="",0,IFERROR(LOOKUP(2,1/(($D$3:D407=$D408)*($A$3:A407&lt;$A408)),$N$3:N407),'Guide &amp; Settings'!$C$41))</f>
        <v>0</v>
      </c>
      <c r="I408" s="117">
        <f t="shared" si="104"/>
        <v>0</v>
      </c>
      <c r="J408" s="118">
        <f>IF($D408="",0,IF($F408&lt;2,0,IF($E408="Win",('Guide &amp; Settings'!$C$42/(($F408-1)*COUNTIFS($A$4:$A$810,$A408,$E$4:$E$810,"Win")))*SUMIFS($X$4:$X$810,$A$4:$A$810,$A408,$E$4:$E$810,"Loss"),-('Guide &amp; Settings'!$C$42/($F408-1))*$X408)))</f>
        <v>0</v>
      </c>
      <c r="K408" s="118">
        <f>IF($D408="",0,'Guide &amp; Settings'!$C$43*(IF($E408="Win",1,0)-$I408))</f>
        <v>0</v>
      </c>
      <c r="L408" s="119">
        <f>IF($D408="",0,'Guide &amp; Settings'!$C$44*IF($F408&gt;=3,$F408,0))</f>
        <v>0</v>
      </c>
      <c r="M408" s="118">
        <f t="shared" si="105"/>
        <v>0</v>
      </c>
      <c r="N408" s="116">
        <f t="shared" si="106"/>
        <v>0</v>
      </c>
      <c r="O408" s="115" t="str">
        <f t="shared" si="107"/>
        <v/>
      </c>
      <c r="P408">
        <f t="shared" si="108"/>
        <v>0</v>
      </c>
      <c r="Q408">
        <f t="shared" si="109"/>
        <v>0</v>
      </c>
      <c r="R408">
        <f t="shared" si="110"/>
        <v>0</v>
      </c>
      <c r="S408">
        <f t="shared" si="111"/>
        <v>0</v>
      </c>
      <c r="T408" s="83">
        <f t="shared" si="112"/>
        <v>0</v>
      </c>
      <c r="U408" s="120">
        <f>IF($D408="",0,IFERROR(LOOKUP(2,1/(($D$3:D407=$D408)*($C$3:C407=$C408)*($A$3:A407&lt;$A408)),$AB$3:AB407),1000))</f>
        <v>0</v>
      </c>
      <c r="V408" s="120">
        <f t="shared" si="113"/>
        <v>0</v>
      </c>
      <c r="W408">
        <f t="shared" si="114"/>
        <v>0</v>
      </c>
      <c r="X408">
        <f t="shared" si="115"/>
        <v>0</v>
      </c>
      <c r="Y408">
        <f t="shared" si="116"/>
        <v>0</v>
      </c>
      <c r="Z408">
        <f t="shared" si="117"/>
        <v>0</v>
      </c>
      <c r="AA408">
        <f>IF($D408="",0,IF($F408&lt;2,0,IF($E408="Win",('Guide &amp; Settings'!$C$42/(($F408-1)*COUNTIFS($A$4:$A$810,$A408,$E$4:$E$810,"Win")))*SUMIFS($Z$4:$Z$810,$A$4:$A$810,$A408,$E$4:$E$810,"Loss"),-('Guide &amp; Settings'!$C$42/($F408-1))*$Z408)))</f>
        <v>0</v>
      </c>
      <c r="AB408" s="120">
        <f t="shared" si="118"/>
        <v>0</v>
      </c>
      <c r="AC408" s="120" t="str">
        <f>IF($D408="","",IF(SUMPRODUCT(MAX(($D$4:$D$810=$D408)*($B$4:$B$810&lt;$B408)*$B$4:$B$810))=0,0,MAX(($B408-MAX(SUMPRODUCT(MAX(($D$4:$D$810=$D408)*($B$4:$B$810&lt;$B408)*$B$4:$B$810)),'Guide &amp; Settings'!$C$50))/7-'Guide &amp; Settings'!$C$48,0)*'Guide &amp; Settings'!$C$49))</f>
        <v/>
      </c>
    </row>
    <row r="409" spans="1:29" x14ac:dyDescent="0.2">
      <c r="A409" s="111"/>
      <c r="B409" s="112"/>
      <c r="C409" s="113"/>
      <c r="D409" s="113"/>
      <c r="E409" s="111"/>
      <c r="F409" s="114">
        <f t="shared" si="102"/>
        <v>0</v>
      </c>
      <c r="G409" s="115" t="str">
        <f t="shared" si="103"/>
        <v/>
      </c>
      <c r="H409" s="116">
        <f>IF($D409="",0,IFERROR(LOOKUP(2,1/(($D$3:D408=$D409)*($A$3:A408&lt;$A409)),$N$3:N408),'Guide &amp; Settings'!$C$41))</f>
        <v>0</v>
      </c>
      <c r="I409" s="117">
        <f t="shared" si="104"/>
        <v>0</v>
      </c>
      <c r="J409" s="118">
        <f>IF($D409="",0,IF($F409&lt;2,0,IF($E409="Win",('Guide &amp; Settings'!$C$42/(($F409-1)*COUNTIFS($A$4:$A$810,$A409,$E$4:$E$810,"Win")))*SUMIFS($X$4:$X$810,$A$4:$A$810,$A409,$E$4:$E$810,"Loss"),-('Guide &amp; Settings'!$C$42/($F409-1))*$X409)))</f>
        <v>0</v>
      </c>
      <c r="K409" s="118">
        <f>IF($D409="",0,'Guide &amp; Settings'!$C$43*(IF($E409="Win",1,0)-$I409))</f>
        <v>0</v>
      </c>
      <c r="L409" s="119">
        <f>IF($D409="",0,'Guide &amp; Settings'!$C$44*IF($F409&gt;=3,$F409,0))</f>
        <v>0</v>
      </c>
      <c r="M409" s="118">
        <f t="shared" si="105"/>
        <v>0</v>
      </c>
      <c r="N409" s="116">
        <f t="shared" si="106"/>
        <v>0</v>
      </c>
      <c r="O409" s="115" t="str">
        <f t="shared" si="107"/>
        <v/>
      </c>
      <c r="P409">
        <f t="shared" si="108"/>
        <v>0</v>
      </c>
      <c r="Q409">
        <f t="shared" si="109"/>
        <v>0</v>
      </c>
      <c r="R409">
        <f t="shared" si="110"/>
        <v>0</v>
      </c>
      <c r="S409">
        <f t="shared" si="111"/>
        <v>0</v>
      </c>
      <c r="T409" s="83">
        <f t="shared" si="112"/>
        <v>0</v>
      </c>
      <c r="U409" s="120">
        <f>IF($D409="",0,IFERROR(LOOKUP(2,1/(($D$3:D408=$D409)*($C$3:C408=$C409)*($A$3:A408&lt;$A409)),$AB$3:AB408),1000))</f>
        <v>0</v>
      </c>
      <c r="V409" s="120">
        <f t="shared" si="113"/>
        <v>0</v>
      </c>
      <c r="W409">
        <f t="shared" si="114"/>
        <v>0</v>
      </c>
      <c r="X409">
        <f t="shared" si="115"/>
        <v>0</v>
      </c>
      <c r="Y409">
        <f t="shared" si="116"/>
        <v>0</v>
      </c>
      <c r="Z409">
        <f t="shared" si="117"/>
        <v>0</v>
      </c>
      <c r="AA409">
        <f>IF($D409="",0,IF($F409&lt;2,0,IF($E409="Win",('Guide &amp; Settings'!$C$42/(($F409-1)*COUNTIFS($A$4:$A$810,$A409,$E$4:$E$810,"Win")))*SUMIFS($Z$4:$Z$810,$A$4:$A$810,$A409,$E$4:$E$810,"Loss"),-('Guide &amp; Settings'!$C$42/($F409-1))*$Z409)))</f>
        <v>0</v>
      </c>
      <c r="AB409" s="120">
        <f t="shared" si="118"/>
        <v>0</v>
      </c>
      <c r="AC409" s="120" t="str">
        <f>IF($D409="","",IF(SUMPRODUCT(MAX(($D$4:$D$810=$D409)*($B$4:$B$810&lt;$B409)*$B$4:$B$810))=0,0,MAX(($B409-MAX(SUMPRODUCT(MAX(($D$4:$D$810=$D409)*($B$4:$B$810&lt;$B409)*$B$4:$B$810)),'Guide &amp; Settings'!$C$50))/7-'Guide &amp; Settings'!$C$48,0)*'Guide &amp; Settings'!$C$49))</f>
        <v/>
      </c>
    </row>
    <row r="410" spans="1:29" x14ac:dyDescent="0.2">
      <c r="A410" s="111"/>
      <c r="B410" s="112"/>
      <c r="C410" s="113"/>
      <c r="D410" s="113"/>
      <c r="E410" s="111"/>
      <c r="F410" s="114">
        <f t="shared" si="102"/>
        <v>0</v>
      </c>
      <c r="G410" s="115" t="str">
        <f t="shared" si="103"/>
        <v/>
      </c>
      <c r="H410" s="116">
        <f>IF($D410="",0,IFERROR(LOOKUP(2,1/(($D$3:D409=$D410)*($A$3:A409&lt;$A410)),$N$3:N409),'Guide &amp; Settings'!$C$41))</f>
        <v>0</v>
      </c>
      <c r="I410" s="117">
        <f t="shared" si="104"/>
        <v>0</v>
      </c>
      <c r="J410" s="118">
        <f>IF($D410="",0,IF($F410&lt;2,0,IF($E410="Win",('Guide &amp; Settings'!$C$42/(($F410-1)*COUNTIFS($A$4:$A$810,$A410,$E$4:$E$810,"Win")))*SUMIFS($X$4:$X$810,$A$4:$A$810,$A410,$E$4:$E$810,"Loss"),-('Guide &amp; Settings'!$C$42/($F410-1))*$X410)))</f>
        <v>0</v>
      </c>
      <c r="K410" s="118">
        <f>IF($D410="",0,'Guide &amp; Settings'!$C$43*(IF($E410="Win",1,0)-$I410))</f>
        <v>0</v>
      </c>
      <c r="L410" s="119">
        <f>IF($D410="",0,'Guide &amp; Settings'!$C$44*IF($F410&gt;=3,$F410,0))</f>
        <v>0</v>
      </c>
      <c r="M410" s="118">
        <f t="shared" si="105"/>
        <v>0</v>
      </c>
      <c r="N410" s="116">
        <f t="shared" si="106"/>
        <v>0</v>
      </c>
      <c r="O410" s="115" t="str">
        <f t="shared" si="107"/>
        <v/>
      </c>
      <c r="P410">
        <f t="shared" si="108"/>
        <v>0</v>
      </c>
      <c r="Q410">
        <f t="shared" si="109"/>
        <v>0</v>
      </c>
      <c r="R410">
        <f t="shared" si="110"/>
        <v>0</v>
      </c>
      <c r="S410">
        <f t="shared" si="111"/>
        <v>0</v>
      </c>
      <c r="T410" s="83">
        <f t="shared" si="112"/>
        <v>0</v>
      </c>
      <c r="U410" s="120">
        <f>IF($D410="",0,IFERROR(LOOKUP(2,1/(($D$3:D409=$D410)*($C$3:C409=$C410)*($A$3:A409&lt;$A410)),$AB$3:AB409),1000))</f>
        <v>0</v>
      </c>
      <c r="V410" s="120">
        <f t="shared" si="113"/>
        <v>0</v>
      </c>
      <c r="W410">
        <f t="shared" si="114"/>
        <v>0</v>
      </c>
      <c r="X410">
        <f t="shared" si="115"/>
        <v>0</v>
      </c>
      <c r="Y410">
        <f t="shared" si="116"/>
        <v>0</v>
      </c>
      <c r="Z410">
        <f t="shared" si="117"/>
        <v>0</v>
      </c>
      <c r="AA410">
        <f>IF($D410="",0,IF($F410&lt;2,0,IF($E410="Win",('Guide &amp; Settings'!$C$42/(($F410-1)*COUNTIFS($A$4:$A$810,$A410,$E$4:$E$810,"Win")))*SUMIFS($Z$4:$Z$810,$A$4:$A$810,$A410,$E$4:$E$810,"Loss"),-('Guide &amp; Settings'!$C$42/($F410-1))*$Z410)))</f>
        <v>0</v>
      </c>
      <c r="AB410" s="120">
        <f t="shared" si="118"/>
        <v>0</v>
      </c>
      <c r="AC410" s="120" t="str">
        <f>IF($D410="","",IF(SUMPRODUCT(MAX(($D$4:$D$810=$D410)*($B$4:$B$810&lt;$B410)*$B$4:$B$810))=0,0,MAX(($B410-MAX(SUMPRODUCT(MAX(($D$4:$D$810=$D410)*($B$4:$B$810&lt;$B410)*$B$4:$B$810)),'Guide &amp; Settings'!$C$50))/7-'Guide &amp; Settings'!$C$48,0)*'Guide &amp; Settings'!$C$49))</f>
        <v/>
      </c>
    </row>
    <row r="411" spans="1:29" x14ac:dyDescent="0.2">
      <c r="A411" s="111"/>
      <c r="B411" s="112"/>
      <c r="C411" s="113"/>
      <c r="D411" s="113"/>
      <c r="E411" s="111"/>
      <c r="F411" s="114">
        <f t="shared" si="102"/>
        <v>0</v>
      </c>
      <c r="G411" s="115" t="str">
        <f t="shared" si="103"/>
        <v/>
      </c>
      <c r="H411" s="116">
        <f>IF($D411="",0,IFERROR(LOOKUP(2,1/(($D$3:D410=$D411)*($A$3:A410&lt;$A411)),$N$3:N410),'Guide &amp; Settings'!$C$41))</f>
        <v>0</v>
      </c>
      <c r="I411" s="117">
        <f t="shared" si="104"/>
        <v>0</v>
      </c>
      <c r="J411" s="118">
        <f>IF($D411="",0,IF($F411&lt;2,0,IF($E411="Win",('Guide &amp; Settings'!$C$42/(($F411-1)*COUNTIFS($A$4:$A$810,$A411,$E$4:$E$810,"Win")))*SUMIFS($X$4:$X$810,$A$4:$A$810,$A411,$E$4:$E$810,"Loss"),-('Guide &amp; Settings'!$C$42/($F411-1))*$X411)))</f>
        <v>0</v>
      </c>
      <c r="K411" s="118">
        <f>IF($D411="",0,'Guide &amp; Settings'!$C$43*(IF($E411="Win",1,0)-$I411))</f>
        <v>0</v>
      </c>
      <c r="L411" s="119">
        <f>IF($D411="",0,'Guide &amp; Settings'!$C$44*IF($F411&gt;=3,$F411,0))</f>
        <v>0</v>
      </c>
      <c r="M411" s="118">
        <f t="shared" si="105"/>
        <v>0</v>
      </c>
      <c r="N411" s="116">
        <f t="shared" si="106"/>
        <v>0</v>
      </c>
      <c r="O411" s="115" t="str">
        <f t="shared" si="107"/>
        <v/>
      </c>
      <c r="P411">
        <f t="shared" si="108"/>
        <v>0</v>
      </c>
      <c r="Q411">
        <f t="shared" si="109"/>
        <v>0</v>
      </c>
      <c r="R411">
        <f t="shared" si="110"/>
        <v>0</v>
      </c>
      <c r="S411">
        <f t="shared" si="111"/>
        <v>0</v>
      </c>
      <c r="T411" s="83">
        <f t="shared" si="112"/>
        <v>0</v>
      </c>
      <c r="U411" s="120">
        <f>IF($D411="",0,IFERROR(LOOKUP(2,1/(($D$3:D410=$D411)*($C$3:C410=$C411)*($A$3:A410&lt;$A411)),$AB$3:AB410),1000))</f>
        <v>0</v>
      </c>
      <c r="V411" s="120">
        <f t="shared" si="113"/>
        <v>0</v>
      </c>
      <c r="W411">
        <f t="shared" si="114"/>
        <v>0</v>
      </c>
      <c r="X411">
        <f t="shared" si="115"/>
        <v>0</v>
      </c>
      <c r="Y411">
        <f t="shared" si="116"/>
        <v>0</v>
      </c>
      <c r="Z411">
        <f t="shared" si="117"/>
        <v>0</v>
      </c>
      <c r="AA411">
        <f>IF($D411="",0,IF($F411&lt;2,0,IF($E411="Win",('Guide &amp; Settings'!$C$42/(($F411-1)*COUNTIFS($A$4:$A$810,$A411,$E$4:$E$810,"Win")))*SUMIFS($Z$4:$Z$810,$A$4:$A$810,$A411,$E$4:$E$810,"Loss"),-('Guide &amp; Settings'!$C$42/($F411-1))*$Z411)))</f>
        <v>0</v>
      </c>
      <c r="AB411" s="120">
        <f t="shared" si="118"/>
        <v>0</v>
      </c>
      <c r="AC411" s="120" t="str">
        <f>IF($D411="","",IF(SUMPRODUCT(MAX(($D$4:$D$810=$D411)*($B$4:$B$810&lt;$B411)*$B$4:$B$810))=0,0,MAX(($B411-MAX(SUMPRODUCT(MAX(($D$4:$D$810=$D411)*($B$4:$B$810&lt;$B411)*$B$4:$B$810)),'Guide &amp; Settings'!$C$50))/7-'Guide &amp; Settings'!$C$48,0)*'Guide &amp; Settings'!$C$49))</f>
        <v/>
      </c>
    </row>
    <row r="412" spans="1:29" x14ac:dyDescent="0.2">
      <c r="A412" s="111"/>
      <c r="B412" s="112"/>
      <c r="C412" s="113"/>
      <c r="D412" s="113"/>
      <c r="E412" s="111"/>
      <c r="F412" s="114">
        <f t="shared" si="102"/>
        <v>0</v>
      </c>
      <c r="G412" s="115" t="str">
        <f t="shared" si="103"/>
        <v/>
      </c>
      <c r="H412" s="116">
        <f>IF($D412="",0,IFERROR(LOOKUP(2,1/(($D$3:D411=$D412)*($A$3:A411&lt;$A412)),$N$3:N411),'Guide &amp; Settings'!$C$41))</f>
        <v>0</v>
      </c>
      <c r="I412" s="117">
        <f t="shared" si="104"/>
        <v>0</v>
      </c>
      <c r="J412" s="118">
        <f>IF($D412="",0,IF($F412&lt;2,0,IF($E412="Win",('Guide &amp; Settings'!$C$42/(($F412-1)*COUNTIFS($A$4:$A$810,$A412,$E$4:$E$810,"Win")))*SUMIFS($X$4:$X$810,$A$4:$A$810,$A412,$E$4:$E$810,"Loss"),-('Guide &amp; Settings'!$C$42/($F412-1))*$X412)))</f>
        <v>0</v>
      </c>
      <c r="K412" s="118">
        <f>IF($D412="",0,'Guide &amp; Settings'!$C$43*(IF($E412="Win",1,0)-$I412))</f>
        <v>0</v>
      </c>
      <c r="L412" s="119">
        <f>IF($D412="",0,'Guide &amp; Settings'!$C$44*IF($F412&gt;=3,$F412,0))</f>
        <v>0</v>
      </c>
      <c r="M412" s="118">
        <f t="shared" si="105"/>
        <v>0</v>
      </c>
      <c r="N412" s="116">
        <f t="shared" si="106"/>
        <v>0</v>
      </c>
      <c r="O412" s="115" t="str">
        <f t="shared" si="107"/>
        <v/>
      </c>
      <c r="P412">
        <f t="shared" si="108"/>
        <v>0</v>
      </c>
      <c r="Q412">
        <f t="shared" si="109"/>
        <v>0</v>
      </c>
      <c r="R412">
        <f t="shared" si="110"/>
        <v>0</v>
      </c>
      <c r="S412">
        <f t="shared" si="111"/>
        <v>0</v>
      </c>
      <c r="T412" s="83">
        <f t="shared" si="112"/>
        <v>0</v>
      </c>
      <c r="U412" s="120">
        <f>IF($D412="",0,IFERROR(LOOKUP(2,1/(($D$3:D411=$D412)*($C$3:C411=$C412)*($A$3:A411&lt;$A412)),$AB$3:AB411),1000))</f>
        <v>0</v>
      </c>
      <c r="V412" s="120">
        <f t="shared" si="113"/>
        <v>0</v>
      </c>
      <c r="W412">
        <f t="shared" si="114"/>
        <v>0</v>
      </c>
      <c r="X412">
        <f t="shared" si="115"/>
        <v>0</v>
      </c>
      <c r="Y412">
        <f t="shared" si="116"/>
        <v>0</v>
      </c>
      <c r="Z412">
        <f t="shared" si="117"/>
        <v>0</v>
      </c>
      <c r="AA412">
        <f>IF($D412="",0,IF($F412&lt;2,0,IF($E412="Win",('Guide &amp; Settings'!$C$42/(($F412-1)*COUNTIFS($A$4:$A$810,$A412,$E$4:$E$810,"Win")))*SUMIFS($Z$4:$Z$810,$A$4:$A$810,$A412,$E$4:$E$810,"Loss"),-('Guide &amp; Settings'!$C$42/($F412-1))*$Z412)))</f>
        <v>0</v>
      </c>
      <c r="AB412" s="120">
        <f t="shared" si="118"/>
        <v>0</v>
      </c>
      <c r="AC412" s="120" t="str">
        <f>IF($D412="","",IF(SUMPRODUCT(MAX(($D$4:$D$810=$D412)*($B$4:$B$810&lt;$B412)*$B$4:$B$810))=0,0,MAX(($B412-MAX(SUMPRODUCT(MAX(($D$4:$D$810=$D412)*($B$4:$B$810&lt;$B412)*$B$4:$B$810)),'Guide &amp; Settings'!$C$50))/7-'Guide &amp; Settings'!$C$48,0)*'Guide &amp; Settings'!$C$49))</f>
        <v/>
      </c>
    </row>
    <row r="413" spans="1:29" x14ac:dyDescent="0.2">
      <c r="A413" s="111"/>
      <c r="B413" s="112"/>
      <c r="C413" s="113"/>
      <c r="D413" s="113"/>
      <c r="E413" s="111"/>
      <c r="F413" s="114">
        <f t="shared" si="102"/>
        <v>0</v>
      </c>
      <c r="G413" s="115" t="str">
        <f t="shared" si="103"/>
        <v/>
      </c>
      <c r="H413" s="116">
        <f>IF($D413="",0,IFERROR(LOOKUP(2,1/(($D$3:D412=$D413)*($A$3:A412&lt;$A413)),$N$3:N412),'Guide &amp; Settings'!$C$41))</f>
        <v>0</v>
      </c>
      <c r="I413" s="117">
        <f t="shared" si="104"/>
        <v>0</v>
      </c>
      <c r="J413" s="118">
        <f>IF($D413="",0,IF($F413&lt;2,0,IF($E413="Win",('Guide &amp; Settings'!$C$42/(($F413-1)*COUNTIFS($A$4:$A$810,$A413,$E$4:$E$810,"Win")))*SUMIFS($X$4:$X$810,$A$4:$A$810,$A413,$E$4:$E$810,"Loss"),-('Guide &amp; Settings'!$C$42/($F413-1))*$X413)))</f>
        <v>0</v>
      </c>
      <c r="K413" s="118">
        <f>IF($D413="",0,'Guide &amp; Settings'!$C$43*(IF($E413="Win",1,0)-$I413))</f>
        <v>0</v>
      </c>
      <c r="L413" s="119">
        <f>IF($D413="",0,'Guide &amp; Settings'!$C$44*IF($F413&gt;=3,$F413,0))</f>
        <v>0</v>
      </c>
      <c r="M413" s="118">
        <f t="shared" si="105"/>
        <v>0</v>
      </c>
      <c r="N413" s="116">
        <f t="shared" si="106"/>
        <v>0</v>
      </c>
      <c r="O413" s="115" t="str">
        <f t="shared" si="107"/>
        <v/>
      </c>
      <c r="P413">
        <f t="shared" si="108"/>
        <v>0</v>
      </c>
      <c r="Q413">
        <f t="shared" si="109"/>
        <v>0</v>
      </c>
      <c r="R413">
        <f t="shared" si="110"/>
        <v>0</v>
      </c>
      <c r="S413">
        <f t="shared" si="111"/>
        <v>0</v>
      </c>
      <c r="T413" s="83">
        <f t="shared" si="112"/>
        <v>0</v>
      </c>
      <c r="U413" s="120">
        <f>IF($D413="",0,IFERROR(LOOKUP(2,1/(($D$3:D412=$D413)*($C$3:C412=$C413)*($A$3:A412&lt;$A413)),$AB$3:AB412),1000))</f>
        <v>0</v>
      </c>
      <c r="V413" s="120">
        <f t="shared" si="113"/>
        <v>0</v>
      </c>
      <c r="W413">
        <f t="shared" si="114"/>
        <v>0</v>
      </c>
      <c r="X413">
        <f t="shared" si="115"/>
        <v>0</v>
      </c>
      <c r="Y413">
        <f t="shared" si="116"/>
        <v>0</v>
      </c>
      <c r="Z413">
        <f t="shared" si="117"/>
        <v>0</v>
      </c>
      <c r="AA413">
        <f>IF($D413="",0,IF($F413&lt;2,0,IF($E413="Win",('Guide &amp; Settings'!$C$42/(($F413-1)*COUNTIFS($A$4:$A$810,$A413,$E$4:$E$810,"Win")))*SUMIFS($Z$4:$Z$810,$A$4:$A$810,$A413,$E$4:$E$810,"Loss"),-('Guide &amp; Settings'!$C$42/($F413-1))*$Z413)))</f>
        <v>0</v>
      </c>
      <c r="AB413" s="120">
        <f t="shared" si="118"/>
        <v>0</v>
      </c>
      <c r="AC413" s="120" t="str">
        <f>IF($D413="","",IF(SUMPRODUCT(MAX(($D$4:$D$810=$D413)*($B$4:$B$810&lt;$B413)*$B$4:$B$810))=0,0,MAX(($B413-MAX(SUMPRODUCT(MAX(($D$4:$D$810=$D413)*($B$4:$B$810&lt;$B413)*$B$4:$B$810)),'Guide &amp; Settings'!$C$50))/7-'Guide &amp; Settings'!$C$48,0)*'Guide &amp; Settings'!$C$49))</f>
        <v/>
      </c>
    </row>
    <row r="414" spans="1:29" x14ac:dyDescent="0.2">
      <c r="A414" s="111"/>
      <c r="B414" s="112"/>
      <c r="C414" s="113"/>
      <c r="D414" s="113"/>
      <c r="E414" s="111"/>
      <c r="F414" s="114">
        <f t="shared" si="102"/>
        <v>0</v>
      </c>
      <c r="G414" s="115" t="str">
        <f t="shared" si="103"/>
        <v/>
      </c>
      <c r="H414" s="116">
        <f>IF($D414="",0,IFERROR(LOOKUP(2,1/(($D$3:D413=$D414)*($A$3:A413&lt;$A414)),$N$3:N413),'Guide &amp; Settings'!$C$41))</f>
        <v>0</v>
      </c>
      <c r="I414" s="117">
        <f t="shared" si="104"/>
        <v>0</v>
      </c>
      <c r="J414" s="118">
        <f>IF($D414="",0,IF($F414&lt;2,0,IF($E414="Win",('Guide &amp; Settings'!$C$42/(($F414-1)*COUNTIFS($A$4:$A$810,$A414,$E$4:$E$810,"Win")))*SUMIFS($X$4:$X$810,$A$4:$A$810,$A414,$E$4:$E$810,"Loss"),-('Guide &amp; Settings'!$C$42/($F414-1))*$X414)))</f>
        <v>0</v>
      </c>
      <c r="K414" s="118">
        <f>IF($D414="",0,'Guide &amp; Settings'!$C$43*(IF($E414="Win",1,0)-$I414))</f>
        <v>0</v>
      </c>
      <c r="L414" s="119">
        <f>IF($D414="",0,'Guide &amp; Settings'!$C$44*IF($F414&gt;=3,$F414,0))</f>
        <v>0</v>
      </c>
      <c r="M414" s="118">
        <f t="shared" si="105"/>
        <v>0</v>
      </c>
      <c r="N414" s="116">
        <f t="shared" si="106"/>
        <v>0</v>
      </c>
      <c r="O414" s="115" t="str">
        <f t="shared" si="107"/>
        <v/>
      </c>
      <c r="P414">
        <f t="shared" si="108"/>
        <v>0</v>
      </c>
      <c r="Q414">
        <f t="shared" si="109"/>
        <v>0</v>
      </c>
      <c r="R414">
        <f t="shared" si="110"/>
        <v>0</v>
      </c>
      <c r="S414">
        <f t="shared" si="111"/>
        <v>0</v>
      </c>
      <c r="T414" s="83">
        <f t="shared" si="112"/>
        <v>0</v>
      </c>
      <c r="U414" s="120">
        <f>IF($D414="",0,IFERROR(LOOKUP(2,1/(($D$3:D413=$D414)*($C$3:C413=$C414)*($A$3:A413&lt;$A414)),$AB$3:AB413),1000))</f>
        <v>0</v>
      </c>
      <c r="V414" s="120">
        <f t="shared" si="113"/>
        <v>0</v>
      </c>
      <c r="W414">
        <f t="shared" si="114"/>
        <v>0</v>
      </c>
      <c r="X414">
        <f t="shared" si="115"/>
        <v>0</v>
      </c>
      <c r="Y414">
        <f t="shared" si="116"/>
        <v>0</v>
      </c>
      <c r="Z414">
        <f t="shared" si="117"/>
        <v>0</v>
      </c>
      <c r="AA414">
        <f>IF($D414="",0,IF($F414&lt;2,0,IF($E414="Win",('Guide &amp; Settings'!$C$42/(($F414-1)*COUNTIFS($A$4:$A$810,$A414,$E$4:$E$810,"Win")))*SUMIFS($Z$4:$Z$810,$A$4:$A$810,$A414,$E$4:$E$810,"Loss"),-('Guide &amp; Settings'!$C$42/($F414-1))*$Z414)))</f>
        <v>0</v>
      </c>
      <c r="AB414" s="120">
        <f t="shared" si="118"/>
        <v>0</v>
      </c>
      <c r="AC414" s="120" t="str">
        <f>IF($D414="","",IF(SUMPRODUCT(MAX(($D$4:$D$810=$D414)*($B$4:$B$810&lt;$B414)*$B$4:$B$810))=0,0,MAX(($B414-MAX(SUMPRODUCT(MAX(($D$4:$D$810=$D414)*($B$4:$B$810&lt;$B414)*$B$4:$B$810)),'Guide &amp; Settings'!$C$50))/7-'Guide &amp; Settings'!$C$48,0)*'Guide &amp; Settings'!$C$49))</f>
        <v/>
      </c>
    </row>
    <row r="415" spans="1:29" x14ac:dyDescent="0.2">
      <c r="A415" s="111"/>
      <c r="B415" s="112"/>
      <c r="C415" s="113"/>
      <c r="D415" s="113"/>
      <c r="E415" s="111"/>
      <c r="F415" s="114">
        <f t="shared" si="102"/>
        <v>0</v>
      </c>
      <c r="G415" s="115" t="str">
        <f t="shared" si="103"/>
        <v/>
      </c>
      <c r="H415" s="116">
        <f>IF($D415="",0,IFERROR(LOOKUP(2,1/(($D$3:D414=$D415)*($A$3:A414&lt;$A415)),$N$3:N414),'Guide &amp; Settings'!$C$41))</f>
        <v>0</v>
      </c>
      <c r="I415" s="117">
        <f t="shared" si="104"/>
        <v>0</v>
      </c>
      <c r="J415" s="118">
        <f>IF($D415="",0,IF($F415&lt;2,0,IF($E415="Win",('Guide &amp; Settings'!$C$42/(($F415-1)*COUNTIFS($A$4:$A$810,$A415,$E$4:$E$810,"Win")))*SUMIFS($X$4:$X$810,$A$4:$A$810,$A415,$E$4:$E$810,"Loss"),-('Guide &amp; Settings'!$C$42/($F415-1))*$X415)))</f>
        <v>0</v>
      </c>
      <c r="K415" s="118">
        <f>IF($D415="",0,'Guide &amp; Settings'!$C$43*(IF($E415="Win",1,0)-$I415))</f>
        <v>0</v>
      </c>
      <c r="L415" s="119">
        <f>IF($D415="",0,'Guide &amp; Settings'!$C$44*IF($F415&gt;=3,$F415,0))</f>
        <v>0</v>
      </c>
      <c r="M415" s="118">
        <f t="shared" si="105"/>
        <v>0</v>
      </c>
      <c r="N415" s="116">
        <f t="shared" si="106"/>
        <v>0</v>
      </c>
      <c r="O415" s="115" t="str">
        <f t="shared" si="107"/>
        <v/>
      </c>
      <c r="P415">
        <f t="shared" si="108"/>
        <v>0</v>
      </c>
      <c r="Q415">
        <f t="shared" si="109"/>
        <v>0</v>
      </c>
      <c r="R415">
        <f t="shared" si="110"/>
        <v>0</v>
      </c>
      <c r="S415">
        <f t="shared" si="111"/>
        <v>0</v>
      </c>
      <c r="T415" s="83">
        <f t="shared" si="112"/>
        <v>0</v>
      </c>
      <c r="U415" s="120">
        <f>IF($D415="",0,IFERROR(LOOKUP(2,1/(($D$3:D414=$D415)*($C$3:C414=$C415)*($A$3:A414&lt;$A415)),$AB$3:AB414),1000))</f>
        <v>0</v>
      </c>
      <c r="V415" s="120">
        <f t="shared" si="113"/>
        <v>0</v>
      </c>
      <c r="W415">
        <f t="shared" si="114"/>
        <v>0</v>
      </c>
      <c r="X415">
        <f t="shared" si="115"/>
        <v>0</v>
      </c>
      <c r="Y415">
        <f t="shared" si="116"/>
        <v>0</v>
      </c>
      <c r="Z415">
        <f t="shared" si="117"/>
        <v>0</v>
      </c>
      <c r="AA415">
        <f>IF($D415="",0,IF($F415&lt;2,0,IF($E415="Win",('Guide &amp; Settings'!$C$42/(($F415-1)*COUNTIFS($A$4:$A$810,$A415,$E$4:$E$810,"Win")))*SUMIFS($Z$4:$Z$810,$A$4:$A$810,$A415,$E$4:$E$810,"Loss"),-('Guide &amp; Settings'!$C$42/($F415-1))*$Z415)))</f>
        <v>0</v>
      </c>
      <c r="AB415" s="120">
        <f t="shared" si="118"/>
        <v>0</v>
      </c>
      <c r="AC415" s="120" t="str">
        <f>IF($D415="","",IF(SUMPRODUCT(MAX(($D$4:$D$810=$D415)*($B$4:$B$810&lt;$B415)*$B$4:$B$810))=0,0,MAX(($B415-MAX(SUMPRODUCT(MAX(($D$4:$D$810=$D415)*($B$4:$B$810&lt;$B415)*$B$4:$B$810)),'Guide &amp; Settings'!$C$50))/7-'Guide &amp; Settings'!$C$48,0)*'Guide &amp; Settings'!$C$49))</f>
        <v/>
      </c>
    </row>
    <row r="416" spans="1:29" x14ac:dyDescent="0.2">
      <c r="A416" s="111"/>
      <c r="B416" s="112"/>
      <c r="C416" s="113"/>
      <c r="D416" s="113"/>
      <c r="E416" s="111"/>
      <c r="F416" s="114">
        <f t="shared" si="102"/>
        <v>0</v>
      </c>
      <c r="G416" s="115" t="str">
        <f t="shared" si="103"/>
        <v/>
      </c>
      <c r="H416" s="116">
        <f>IF($D416="",0,IFERROR(LOOKUP(2,1/(($D$3:D415=$D416)*($A$3:A415&lt;$A416)),$N$3:N415),'Guide &amp; Settings'!$C$41))</f>
        <v>0</v>
      </c>
      <c r="I416" s="117">
        <f t="shared" si="104"/>
        <v>0</v>
      </c>
      <c r="J416" s="118">
        <f>IF($D416="",0,IF($F416&lt;2,0,IF($E416="Win",('Guide &amp; Settings'!$C$42/(($F416-1)*COUNTIFS($A$4:$A$810,$A416,$E$4:$E$810,"Win")))*SUMIFS($X$4:$X$810,$A$4:$A$810,$A416,$E$4:$E$810,"Loss"),-('Guide &amp; Settings'!$C$42/($F416-1))*$X416)))</f>
        <v>0</v>
      </c>
      <c r="K416" s="118">
        <f>IF($D416="",0,'Guide &amp; Settings'!$C$43*(IF($E416="Win",1,0)-$I416))</f>
        <v>0</v>
      </c>
      <c r="L416" s="119">
        <f>IF($D416="",0,'Guide &amp; Settings'!$C$44*IF($F416&gt;=3,$F416,0))</f>
        <v>0</v>
      </c>
      <c r="M416" s="118">
        <f t="shared" si="105"/>
        <v>0</v>
      </c>
      <c r="N416" s="116">
        <f t="shared" si="106"/>
        <v>0</v>
      </c>
      <c r="O416" s="115" t="str">
        <f t="shared" si="107"/>
        <v/>
      </c>
      <c r="P416">
        <f t="shared" si="108"/>
        <v>0</v>
      </c>
      <c r="Q416">
        <f t="shared" si="109"/>
        <v>0</v>
      </c>
      <c r="R416">
        <f t="shared" si="110"/>
        <v>0</v>
      </c>
      <c r="S416">
        <f t="shared" si="111"/>
        <v>0</v>
      </c>
      <c r="T416" s="83">
        <f t="shared" si="112"/>
        <v>0</v>
      </c>
      <c r="U416" s="120">
        <f>IF($D416="",0,IFERROR(LOOKUP(2,1/(($D$3:D415=$D416)*($C$3:C415=$C416)*($A$3:A415&lt;$A416)),$AB$3:AB415),1000))</f>
        <v>0</v>
      </c>
      <c r="V416" s="120">
        <f t="shared" si="113"/>
        <v>0</v>
      </c>
      <c r="W416">
        <f t="shared" si="114"/>
        <v>0</v>
      </c>
      <c r="X416">
        <f t="shared" si="115"/>
        <v>0</v>
      </c>
      <c r="Y416">
        <f t="shared" si="116"/>
        <v>0</v>
      </c>
      <c r="Z416">
        <f t="shared" si="117"/>
        <v>0</v>
      </c>
      <c r="AA416">
        <f>IF($D416="",0,IF($F416&lt;2,0,IF($E416="Win",('Guide &amp; Settings'!$C$42/(($F416-1)*COUNTIFS($A$4:$A$810,$A416,$E$4:$E$810,"Win")))*SUMIFS($Z$4:$Z$810,$A$4:$A$810,$A416,$E$4:$E$810,"Loss"),-('Guide &amp; Settings'!$C$42/($F416-1))*$Z416)))</f>
        <v>0</v>
      </c>
      <c r="AB416" s="120">
        <f t="shared" si="118"/>
        <v>0</v>
      </c>
      <c r="AC416" s="120" t="str">
        <f>IF($D416="","",IF(SUMPRODUCT(MAX(($D$4:$D$810=$D416)*($B$4:$B$810&lt;$B416)*$B$4:$B$810))=0,0,MAX(($B416-MAX(SUMPRODUCT(MAX(($D$4:$D$810=$D416)*($B$4:$B$810&lt;$B416)*$B$4:$B$810)),'Guide &amp; Settings'!$C$50))/7-'Guide &amp; Settings'!$C$48,0)*'Guide &amp; Settings'!$C$49))</f>
        <v/>
      </c>
    </row>
    <row r="417" spans="1:29" x14ac:dyDescent="0.2">
      <c r="A417" s="111"/>
      <c r="B417" s="112"/>
      <c r="C417" s="113"/>
      <c r="D417" s="113"/>
      <c r="E417" s="111"/>
      <c r="F417" s="114">
        <f t="shared" si="102"/>
        <v>0</v>
      </c>
      <c r="G417" s="115" t="str">
        <f t="shared" si="103"/>
        <v/>
      </c>
      <c r="H417" s="116">
        <f>IF($D417="",0,IFERROR(LOOKUP(2,1/(($D$3:D416=$D417)*($A$3:A416&lt;$A417)),$N$3:N416),'Guide &amp; Settings'!$C$41))</f>
        <v>0</v>
      </c>
      <c r="I417" s="117">
        <f t="shared" si="104"/>
        <v>0</v>
      </c>
      <c r="J417" s="118">
        <f>IF($D417="",0,IF($F417&lt;2,0,IF($E417="Win",('Guide &amp; Settings'!$C$42/(($F417-1)*COUNTIFS($A$4:$A$810,$A417,$E$4:$E$810,"Win")))*SUMIFS($X$4:$X$810,$A$4:$A$810,$A417,$E$4:$E$810,"Loss"),-('Guide &amp; Settings'!$C$42/($F417-1))*$X417)))</f>
        <v>0</v>
      </c>
      <c r="K417" s="118">
        <f>IF($D417="",0,'Guide &amp; Settings'!$C$43*(IF($E417="Win",1,0)-$I417))</f>
        <v>0</v>
      </c>
      <c r="L417" s="119">
        <f>IF($D417="",0,'Guide &amp; Settings'!$C$44*IF($F417&gt;=3,$F417,0))</f>
        <v>0</v>
      </c>
      <c r="M417" s="118">
        <f t="shared" si="105"/>
        <v>0</v>
      </c>
      <c r="N417" s="116">
        <f t="shared" si="106"/>
        <v>0</v>
      </c>
      <c r="O417" s="115" t="str">
        <f t="shared" si="107"/>
        <v/>
      </c>
      <c r="P417">
        <f t="shared" si="108"/>
        <v>0</v>
      </c>
      <c r="Q417">
        <f t="shared" si="109"/>
        <v>0</v>
      </c>
      <c r="R417">
        <f t="shared" si="110"/>
        <v>0</v>
      </c>
      <c r="S417">
        <f t="shared" si="111"/>
        <v>0</v>
      </c>
      <c r="T417" s="83">
        <f t="shared" si="112"/>
        <v>0</v>
      </c>
      <c r="U417" s="120">
        <f>IF($D417="",0,IFERROR(LOOKUP(2,1/(($D$3:D416=$D417)*($C$3:C416=$C417)*($A$3:A416&lt;$A417)),$AB$3:AB416),1000))</f>
        <v>0</v>
      </c>
      <c r="V417" s="120">
        <f t="shared" si="113"/>
        <v>0</v>
      </c>
      <c r="W417">
        <f t="shared" si="114"/>
        <v>0</v>
      </c>
      <c r="X417">
        <f t="shared" si="115"/>
        <v>0</v>
      </c>
      <c r="Y417">
        <f t="shared" si="116"/>
        <v>0</v>
      </c>
      <c r="Z417">
        <f t="shared" si="117"/>
        <v>0</v>
      </c>
      <c r="AA417">
        <f>IF($D417="",0,IF($F417&lt;2,0,IF($E417="Win",('Guide &amp; Settings'!$C$42/(($F417-1)*COUNTIFS($A$4:$A$810,$A417,$E$4:$E$810,"Win")))*SUMIFS($Z$4:$Z$810,$A$4:$A$810,$A417,$E$4:$E$810,"Loss"),-('Guide &amp; Settings'!$C$42/($F417-1))*$Z417)))</f>
        <v>0</v>
      </c>
      <c r="AB417" s="120">
        <f t="shared" si="118"/>
        <v>0</v>
      </c>
      <c r="AC417" s="120" t="str">
        <f>IF($D417="","",IF(SUMPRODUCT(MAX(($D$4:$D$810=$D417)*($B$4:$B$810&lt;$B417)*$B$4:$B$810))=0,0,MAX(($B417-MAX(SUMPRODUCT(MAX(($D$4:$D$810=$D417)*($B$4:$B$810&lt;$B417)*$B$4:$B$810)),'Guide &amp; Settings'!$C$50))/7-'Guide &amp; Settings'!$C$48,0)*'Guide &amp; Settings'!$C$49))</f>
        <v/>
      </c>
    </row>
    <row r="418" spans="1:29" x14ac:dyDescent="0.2">
      <c r="A418" s="111"/>
      <c r="B418" s="112"/>
      <c r="C418" s="113"/>
      <c r="D418" s="113"/>
      <c r="E418" s="111"/>
      <c r="F418" s="114">
        <f t="shared" si="102"/>
        <v>0</v>
      </c>
      <c r="G418" s="115" t="str">
        <f t="shared" si="103"/>
        <v/>
      </c>
      <c r="H418" s="116">
        <f>IF($D418="",0,IFERROR(LOOKUP(2,1/(($D$3:D417=$D418)*($A$3:A417&lt;$A418)),$N$3:N417),'Guide &amp; Settings'!$C$41))</f>
        <v>0</v>
      </c>
      <c r="I418" s="117">
        <f t="shared" si="104"/>
        <v>0</v>
      </c>
      <c r="J418" s="118">
        <f>IF($D418="",0,IF($F418&lt;2,0,IF($E418="Win",('Guide &amp; Settings'!$C$42/(($F418-1)*COUNTIFS($A$4:$A$810,$A418,$E$4:$E$810,"Win")))*SUMIFS($X$4:$X$810,$A$4:$A$810,$A418,$E$4:$E$810,"Loss"),-('Guide &amp; Settings'!$C$42/($F418-1))*$X418)))</f>
        <v>0</v>
      </c>
      <c r="K418" s="118">
        <f>IF($D418="",0,'Guide &amp; Settings'!$C$43*(IF($E418="Win",1,0)-$I418))</f>
        <v>0</v>
      </c>
      <c r="L418" s="119">
        <f>IF($D418="",0,'Guide &amp; Settings'!$C$44*IF($F418&gt;=3,$F418,0))</f>
        <v>0</v>
      </c>
      <c r="M418" s="118">
        <f t="shared" si="105"/>
        <v>0</v>
      </c>
      <c r="N418" s="116">
        <f t="shared" si="106"/>
        <v>0</v>
      </c>
      <c r="O418" s="115" t="str">
        <f t="shared" si="107"/>
        <v/>
      </c>
      <c r="P418">
        <f t="shared" si="108"/>
        <v>0</v>
      </c>
      <c r="Q418">
        <f t="shared" si="109"/>
        <v>0</v>
      </c>
      <c r="R418">
        <f t="shared" si="110"/>
        <v>0</v>
      </c>
      <c r="S418">
        <f t="shared" si="111"/>
        <v>0</v>
      </c>
      <c r="T418" s="83">
        <f t="shared" si="112"/>
        <v>0</v>
      </c>
      <c r="U418" s="120">
        <f>IF($D418="",0,IFERROR(LOOKUP(2,1/(($D$3:D417=$D418)*($C$3:C417=$C418)*($A$3:A417&lt;$A418)),$AB$3:AB417),1000))</f>
        <v>0</v>
      </c>
      <c r="V418" s="120">
        <f t="shared" si="113"/>
        <v>0</v>
      </c>
      <c r="W418">
        <f t="shared" si="114"/>
        <v>0</v>
      </c>
      <c r="X418">
        <f t="shared" si="115"/>
        <v>0</v>
      </c>
      <c r="Y418">
        <f t="shared" si="116"/>
        <v>0</v>
      </c>
      <c r="Z418">
        <f t="shared" si="117"/>
        <v>0</v>
      </c>
      <c r="AA418">
        <f>IF($D418="",0,IF($F418&lt;2,0,IF($E418="Win",('Guide &amp; Settings'!$C$42/(($F418-1)*COUNTIFS($A$4:$A$810,$A418,$E$4:$E$810,"Win")))*SUMIFS($Z$4:$Z$810,$A$4:$A$810,$A418,$E$4:$E$810,"Loss"),-('Guide &amp; Settings'!$C$42/($F418-1))*$Z418)))</f>
        <v>0</v>
      </c>
      <c r="AB418" s="120">
        <f t="shared" si="118"/>
        <v>0</v>
      </c>
      <c r="AC418" s="120" t="str">
        <f>IF($D418="","",IF(SUMPRODUCT(MAX(($D$4:$D$810=$D418)*($B$4:$B$810&lt;$B418)*$B$4:$B$810))=0,0,MAX(($B418-MAX(SUMPRODUCT(MAX(($D$4:$D$810=$D418)*($B$4:$B$810&lt;$B418)*$B$4:$B$810)),'Guide &amp; Settings'!$C$50))/7-'Guide &amp; Settings'!$C$48,0)*'Guide &amp; Settings'!$C$49))</f>
        <v/>
      </c>
    </row>
    <row r="419" spans="1:29" x14ac:dyDescent="0.2">
      <c r="A419" s="111"/>
      <c r="B419" s="112"/>
      <c r="C419" s="113"/>
      <c r="D419" s="113"/>
      <c r="E419" s="111"/>
      <c r="F419" s="114">
        <f t="shared" si="102"/>
        <v>0</v>
      </c>
      <c r="G419" s="115" t="str">
        <f t="shared" si="103"/>
        <v/>
      </c>
      <c r="H419" s="116">
        <f>IF($D419="",0,IFERROR(LOOKUP(2,1/(($D$3:D418=$D419)*($A$3:A418&lt;$A419)),$N$3:N418),'Guide &amp; Settings'!$C$41))</f>
        <v>0</v>
      </c>
      <c r="I419" s="117">
        <f t="shared" si="104"/>
        <v>0</v>
      </c>
      <c r="J419" s="118">
        <f>IF($D419="",0,IF($F419&lt;2,0,IF($E419="Win",('Guide &amp; Settings'!$C$42/(($F419-1)*COUNTIFS($A$4:$A$810,$A419,$E$4:$E$810,"Win")))*SUMIFS($X$4:$X$810,$A$4:$A$810,$A419,$E$4:$E$810,"Loss"),-('Guide &amp; Settings'!$C$42/($F419-1))*$X419)))</f>
        <v>0</v>
      </c>
      <c r="K419" s="118">
        <f>IF($D419="",0,'Guide &amp; Settings'!$C$43*(IF($E419="Win",1,0)-$I419))</f>
        <v>0</v>
      </c>
      <c r="L419" s="119">
        <f>IF($D419="",0,'Guide &amp; Settings'!$C$44*IF($F419&gt;=3,$F419,0))</f>
        <v>0</v>
      </c>
      <c r="M419" s="118">
        <f t="shared" si="105"/>
        <v>0</v>
      </c>
      <c r="N419" s="116">
        <f t="shared" si="106"/>
        <v>0</v>
      </c>
      <c r="O419" s="115" t="str">
        <f t="shared" si="107"/>
        <v/>
      </c>
      <c r="P419">
        <f t="shared" si="108"/>
        <v>0</v>
      </c>
      <c r="Q419">
        <f t="shared" si="109"/>
        <v>0</v>
      </c>
      <c r="R419">
        <f t="shared" si="110"/>
        <v>0</v>
      </c>
      <c r="S419">
        <f t="shared" si="111"/>
        <v>0</v>
      </c>
      <c r="T419" s="83">
        <f t="shared" si="112"/>
        <v>0</v>
      </c>
      <c r="U419" s="120">
        <f>IF($D419="",0,IFERROR(LOOKUP(2,1/(($D$3:D418=$D419)*($C$3:C418=$C419)*($A$3:A418&lt;$A419)),$AB$3:AB418),1000))</f>
        <v>0</v>
      </c>
      <c r="V419" s="120">
        <f t="shared" si="113"/>
        <v>0</v>
      </c>
      <c r="W419">
        <f t="shared" si="114"/>
        <v>0</v>
      </c>
      <c r="X419">
        <f t="shared" si="115"/>
        <v>0</v>
      </c>
      <c r="Y419">
        <f t="shared" si="116"/>
        <v>0</v>
      </c>
      <c r="Z419">
        <f t="shared" si="117"/>
        <v>0</v>
      </c>
      <c r="AA419">
        <f>IF($D419="",0,IF($F419&lt;2,0,IF($E419="Win",('Guide &amp; Settings'!$C$42/(($F419-1)*COUNTIFS($A$4:$A$810,$A419,$E$4:$E$810,"Win")))*SUMIFS($Z$4:$Z$810,$A$4:$A$810,$A419,$E$4:$E$810,"Loss"),-('Guide &amp; Settings'!$C$42/($F419-1))*$Z419)))</f>
        <v>0</v>
      </c>
      <c r="AB419" s="120">
        <f t="shared" si="118"/>
        <v>0</v>
      </c>
      <c r="AC419" s="120" t="str">
        <f>IF($D419="","",IF(SUMPRODUCT(MAX(($D$4:$D$810=$D419)*($B$4:$B$810&lt;$B419)*$B$4:$B$810))=0,0,MAX(($B419-MAX(SUMPRODUCT(MAX(($D$4:$D$810=$D419)*($B$4:$B$810&lt;$B419)*$B$4:$B$810)),'Guide &amp; Settings'!$C$50))/7-'Guide &amp; Settings'!$C$48,0)*'Guide &amp; Settings'!$C$49))</f>
        <v/>
      </c>
    </row>
    <row r="420" spans="1:29" x14ac:dyDescent="0.2">
      <c r="A420" s="111"/>
      <c r="B420" s="112"/>
      <c r="C420" s="113"/>
      <c r="D420" s="113"/>
      <c r="E420" s="111"/>
      <c r="F420" s="114">
        <f t="shared" si="102"/>
        <v>0</v>
      </c>
      <c r="G420" s="115" t="str">
        <f t="shared" si="103"/>
        <v/>
      </c>
      <c r="H420" s="116">
        <f>IF($D420="",0,IFERROR(LOOKUP(2,1/(($D$3:D419=$D420)*($A$3:A419&lt;$A420)),$N$3:N419),'Guide &amp; Settings'!$C$41))</f>
        <v>0</v>
      </c>
      <c r="I420" s="117">
        <f t="shared" si="104"/>
        <v>0</v>
      </c>
      <c r="J420" s="118">
        <f>IF($D420="",0,IF($F420&lt;2,0,IF($E420="Win",('Guide &amp; Settings'!$C$42/(($F420-1)*COUNTIFS($A$4:$A$810,$A420,$E$4:$E$810,"Win")))*SUMIFS($X$4:$X$810,$A$4:$A$810,$A420,$E$4:$E$810,"Loss"),-('Guide &amp; Settings'!$C$42/($F420-1))*$X420)))</f>
        <v>0</v>
      </c>
      <c r="K420" s="118">
        <f>IF($D420="",0,'Guide &amp; Settings'!$C$43*(IF($E420="Win",1,0)-$I420))</f>
        <v>0</v>
      </c>
      <c r="L420" s="119">
        <f>IF($D420="",0,'Guide &amp; Settings'!$C$44*IF($F420&gt;=3,$F420,0))</f>
        <v>0</v>
      </c>
      <c r="M420" s="118">
        <f t="shared" si="105"/>
        <v>0</v>
      </c>
      <c r="N420" s="116">
        <f t="shared" si="106"/>
        <v>0</v>
      </c>
      <c r="O420" s="115" t="str">
        <f t="shared" si="107"/>
        <v/>
      </c>
      <c r="P420">
        <f t="shared" si="108"/>
        <v>0</v>
      </c>
      <c r="Q420">
        <f t="shared" si="109"/>
        <v>0</v>
      </c>
      <c r="R420">
        <f t="shared" si="110"/>
        <v>0</v>
      </c>
      <c r="S420">
        <f t="shared" si="111"/>
        <v>0</v>
      </c>
      <c r="T420" s="83">
        <f t="shared" si="112"/>
        <v>0</v>
      </c>
      <c r="U420" s="120">
        <f>IF($D420="",0,IFERROR(LOOKUP(2,1/(($D$3:D419=$D420)*($C$3:C419=$C420)*($A$3:A419&lt;$A420)),$AB$3:AB419),1000))</f>
        <v>0</v>
      </c>
      <c r="V420" s="120">
        <f t="shared" si="113"/>
        <v>0</v>
      </c>
      <c r="W420">
        <f t="shared" si="114"/>
        <v>0</v>
      </c>
      <c r="X420">
        <f t="shared" si="115"/>
        <v>0</v>
      </c>
      <c r="Y420">
        <f t="shared" si="116"/>
        <v>0</v>
      </c>
      <c r="Z420">
        <f t="shared" si="117"/>
        <v>0</v>
      </c>
      <c r="AA420">
        <f>IF($D420="",0,IF($F420&lt;2,0,IF($E420="Win",('Guide &amp; Settings'!$C$42/(($F420-1)*COUNTIFS($A$4:$A$810,$A420,$E$4:$E$810,"Win")))*SUMIFS($Z$4:$Z$810,$A$4:$A$810,$A420,$E$4:$E$810,"Loss"),-('Guide &amp; Settings'!$C$42/($F420-1))*$Z420)))</f>
        <v>0</v>
      </c>
      <c r="AB420" s="120">
        <f t="shared" si="118"/>
        <v>0</v>
      </c>
      <c r="AC420" s="120" t="str">
        <f>IF($D420="","",IF(SUMPRODUCT(MAX(($D$4:$D$810=$D420)*($B$4:$B$810&lt;$B420)*$B$4:$B$810))=0,0,MAX(($B420-MAX(SUMPRODUCT(MAX(($D$4:$D$810=$D420)*($B$4:$B$810&lt;$B420)*$B$4:$B$810)),'Guide &amp; Settings'!$C$50))/7-'Guide &amp; Settings'!$C$48,0)*'Guide &amp; Settings'!$C$49))</f>
        <v/>
      </c>
    </row>
    <row r="421" spans="1:29" x14ac:dyDescent="0.2">
      <c r="A421" s="111"/>
      <c r="B421" s="112"/>
      <c r="C421" s="113"/>
      <c r="D421" s="113"/>
      <c r="E421" s="111"/>
      <c r="F421" s="114">
        <f t="shared" si="102"/>
        <v>0</v>
      </c>
      <c r="G421" s="115" t="str">
        <f t="shared" si="103"/>
        <v/>
      </c>
      <c r="H421" s="116">
        <f>IF($D421="",0,IFERROR(LOOKUP(2,1/(($D$3:D420=$D421)*($A$3:A420&lt;$A421)),$N$3:N420),'Guide &amp; Settings'!$C$41))</f>
        <v>0</v>
      </c>
      <c r="I421" s="117">
        <f t="shared" si="104"/>
        <v>0</v>
      </c>
      <c r="J421" s="118">
        <f>IF($D421="",0,IF($F421&lt;2,0,IF($E421="Win",('Guide &amp; Settings'!$C$42/(($F421-1)*COUNTIFS($A$4:$A$810,$A421,$E$4:$E$810,"Win")))*SUMIFS($X$4:$X$810,$A$4:$A$810,$A421,$E$4:$E$810,"Loss"),-('Guide &amp; Settings'!$C$42/($F421-1))*$X421)))</f>
        <v>0</v>
      </c>
      <c r="K421" s="118">
        <f>IF($D421="",0,'Guide &amp; Settings'!$C$43*(IF($E421="Win",1,0)-$I421))</f>
        <v>0</v>
      </c>
      <c r="L421" s="119">
        <f>IF($D421="",0,'Guide &amp; Settings'!$C$44*IF($F421&gt;=3,$F421,0))</f>
        <v>0</v>
      </c>
      <c r="M421" s="118">
        <f t="shared" si="105"/>
        <v>0</v>
      </c>
      <c r="N421" s="116">
        <f t="shared" si="106"/>
        <v>0</v>
      </c>
      <c r="O421" s="115" t="str">
        <f t="shared" si="107"/>
        <v/>
      </c>
      <c r="P421">
        <f t="shared" si="108"/>
        <v>0</v>
      </c>
      <c r="Q421">
        <f t="shared" si="109"/>
        <v>0</v>
      </c>
      <c r="R421">
        <f t="shared" si="110"/>
        <v>0</v>
      </c>
      <c r="S421">
        <f t="shared" si="111"/>
        <v>0</v>
      </c>
      <c r="T421" s="83">
        <f t="shared" si="112"/>
        <v>0</v>
      </c>
      <c r="U421" s="120">
        <f>IF($D421="",0,IFERROR(LOOKUP(2,1/(($D$3:D420=$D421)*($C$3:C420=$C421)*($A$3:A420&lt;$A421)),$AB$3:AB420),1000))</f>
        <v>0</v>
      </c>
      <c r="V421" s="120">
        <f t="shared" si="113"/>
        <v>0</v>
      </c>
      <c r="W421">
        <f t="shared" si="114"/>
        <v>0</v>
      </c>
      <c r="X421">
        <f t="shared" si="115"/>
        <v>0</v>
      </c>
      <c r="Y421">
        <f t="shared" si="116"/>
        <v>0</v>
      </c>
      <c r="Z421">
        <f t="shared" si="117"/>
        <v>0</v>
      </c>
      <c r="AA421">
        <f>IF($D421="",0,IF($F421&lt;2,0,IF($E421="Win",('Guide &amp; Settings'!$C$42/(($F421-1)*COUNTIFS($A$4:$A$810,$A421,$E$4:$E$810,"Win")))*SUMIFS($Z$4:$Z$810,$A$4:$A$810,$A421,$E$4:$E$810,"Loss"),-('Guide &amp; Settings'!$C$42/($F421-1))*$Z421)))</f>
        <v>0</v>
      </c>
      <c r="AB421" s="120">
        <f t="shared" si="118"/>
        <v>0</v>
      </c>
      <c r="AC421" s="120" t="str">
        <f>IF($D421="","",IF(SUMPRODUCT(MAX(($D$4:$D$810=$D421)*($B$4:$B$810&lt;$B421)*$B$4:$B$810))=0,0,MAX(($B421-MAX(SUMPRODUCT(MAX(($D$4:$D$810=$D421)*($B$4:$B$810&lt;$B421)*$B$4:$B$810)),'Guide &amp; Settings'!$C$50))/7-'Guide &amp; Settings'!$C$48,0)*'Guide &amp; Settings'!$C$49))</f>
        <v/>
      </c>
    </row>
    <row r="422" spans="1:29" x14ac:dyDescent="0.2">
      <c r="A422" s="111"/>
      <c r="B422" s="112"/>
      <c r="C422" s="113"/>
      <c r="D422" s="113"/>
      <c r="E422" s="111"/>
      <c r="F422" s="114">
        <f t="shared" si="102"/>
        <v>0</v>
      </c>
      <c r="G422" s="115" t="str">
        <f t="shared" si="103"/>
        <v/>
      </c>
      <c r="H422" s="116">
        <f>IF($D422="",0,IFERROR(LOOKUP(2,1/(($D$3:D421=$D422)*($A$3:A421&lt;$A422)),$N$3:N421),'Guide &amp; Settings'!$C$41))</f>
        <v>0</v>
      </c>
      <c r="I422" s="117">
        <f t="shared" si="104"/>
        <v>0</v>
      </c>
      <c r="J422" s="118">
        <f>IF($D422="",0,IF($F422&lt;2,0,IF($E422="Win",('Guide &amp; Settings'!$C$42/(($F422-1)*COUNTIFS($A$4:$A$810,$A422,$E$4:$E$810,"Win")))*SUMIFS($X$4:$X$810,$A$4:$A$810,$A422,$E$4:$E$810,"Loss"),-('Guide &amp; Settings'!$C$42/($F422-1))*$X422)))</f>
        <v>0</v>
      </c>
      <c r="K422" s="118">
        <f>IF($D422="",0,'Guide &amp; Settings'!$C$43*(IF($E422="Win",1,0)-$I422))</f>
        <v>0</v>
      </c>
      <c r="L422" s="119">
        <f>IF($D422="",0,'Guide &amp; Settings'!$C$44*IF($F422&gt;=3,$F422,0))</f>
        <v>0</v>
      </c>
      <c r="M422" s="118">
        <f t="shared" si="105"/>
        <v>0</v>
      </c>
      <c r="N422" s="116">
        <f t="shared" si="106"/>
        <v>0</v>
      </c>
      <c r="O422" s="115" t="str">
        <f t="shared" si="107"/>
        <v/>
      </c>
      <c r="P422">
        <f t="shared" si="108"/>
        <v>0</v>
      </c>
      <c r="Q422">
        <f t="shared" si="109"/>
        <v>0</v>
      </c>
      <c r="R422">
        <f t="shared" si="110"/>
        <v>0</v>
      </c>
      <c r="S422">
        <f t="shared" si="111"/>
        <v>0</v>
      </c>
      <c r="T422" s="83">
        <f t="shared" si="112"/>
        <v>0</v>
      </c>
      <c r="U422" s="120">
        <f>IF($D422="",0,IFERROR(LOOKUP(2,1/(($D$3:D421=$D422)*($C$3:C421=$C422)*($A$3:A421&lt;$A422)),$AB$3:AB421),1000))</f>
        <v>0</v>
      </c>
      <c r="V422" s="120">
        <f t="shared" si="113"/>
        <v>0</v>
      </c>
      <c r="W422">
        <f t="shared" si="114"/>
        <v>0</v>
      </c>
      <c r="X422">
        <f t="shared" si="115"/>
        <v>0</v>
      </c>
      <c r="Y422">
        <f t="shared" si="116"/>
        <v>0</v>
      </c>
      <c r="Z422">
        <f t="shared" si="117"/>
        <v>0</v>
      </c>
      <c r="AA422">
        <f>IF($D422="",0,IF($F422&lt;2,0,IF($E422="Win",('Guide &amp; Settings'!$C$42/(($F422-1)*COUNTIFS($A$4:$A$810,$A422,$E$4:$E$810,"Win")))*SUMIFS($Z$4:$Z$810,$A$4:$A$810,$A422,$E$4:$E$810,"Loss"),-('Guide &amp; Settings'!$C$42/($F422-1))*$Z422)))</f>
        <v>0</v>
      </c>
      <c r="AB422" s="120">
        <f t="shared" si="118"/>
        <v>0</v>
      </c>
      <c r="AC422" s="120" t="str">
        <f>IF($D422="","",IF(SUMPRODUCT(MAX(($D$4:$D$810=$D422)*($B$4:$B$810&lt;$B422)*$B$4:$B$810))=0,0,MAX(($B422-MAX(SUMPRODUCT(MAX(($D$4:$D$810=$D422)*($B$4:$B$810&lt;$B422)*$B$4:$B$810)),'Guide &amp; Settings'!$C$50))/7-'Guide &amp; Settings'!$C$48,0)*'Guide &amp; Settings'!$C$49))</f>
        <v/>
      </c>
    </row>
    <row r="423" spans="1:29" x14ac:dyDescent="0.2">
      <c r="A423" s="111"/>
      <c r="B423" s="112"/>
      <c r="C423" s="113"/>
      <c r="D423" s="113"/>
      <c r="E423" s="111"/>
      <c r="F423" s="114">
        <f t="shared" si="102"/>
        <v>0</v>
      </c>
      <c r="G423" s="115" t="str">
        <f t="shared" si="103"/>
        <v/>
      </c>
      <c r="H423" s="116">
        <f>IF($D423="",0,IFERROR(LOOKUP(2,1/(($D$3:D422=$D423)*($A$3:A422&lt;$A423)),$N$3:N422),'Guide &amp; Settings'!$C$41))</f>
        <v>0</v>
      </c>
      <c r="I423" s="117">
        <f t="shared" si="104"/>
        <v>0</v>
      </c>
      <c r="J423" s="118">
        <f>IF($D423="",0,IF($F423&lt;2,0,IF($E423="Win",('Guide &amp; Settings'!$C$42/(($F423-1)*COUNTIFS($A$4:$A$810,$A423,$E$4:$E$810,"Win")))*SUMIFS($X$4:$X$810,$A$4:$A$810,$A423,$E$4:$E$810,"Loss"),-('Guide &amp; Settings'!$C$42/($F423-1))*$X423)))</f>
        <v>0</v>
      </c>
      <c r="K423" s="118">
        <f>IF($D423="",0,'Guide &amp; Settings'!$C$43*(IF($E423="Win",1,0)-$I423))</f>
        <v>0</v>
      </c>
      <c r="L423" s="119">
        <f>IF($D423="",0,'Guide &amp; Settings'!$C$44*IF($F423&gt;=3,$F423,0))</f>
        <v>0</v>
      </c>
      <c r="M423" s="118">
        <f t="shared" si="105"/>
        <v>0</v>
      </c>
      <c r="N423" s="116">
        <f t="shared" si="106"/>
        <v>0</v>
      </c>
      <c r="O423" s="115" t="str">
        <f t="shared" si="107"/>
        <v/>
      </c>
      <c r="P423">
        <f t="shared" si="108"/>
        <v>0</v>
      </c>
      <c r="Q423">
        <f t="shared" si="109"/>
        <v>0</v>
      </c>
      <c r="R423">
        <f t="shared" si="110"/>
        <v>0</v>
      </c>
      <c r="S423">
        <f t="shared" si="111"/>
        <v>0</v>
      </c>
      <c r="T423" s="83">
        <f t="shared" si="112"/>
        <v>0</v>
      </c>
      <c r="U423" s="120">
        <f>IF($D423="",0,IFERROR(LOOKUP(2,1/(($D$3:D422=$D423)*($C$3:C422=$C423)*($A$3:A422&lt;$A423)),$AB$3:AB422),1000))</f>
        <v>0</v>
      </c>
      <c r="V423" s="120">
        <f t="shared" si="113"/>
        <v>0</v>
      </c>
      <c r="W423">
        <f t="shared" si="114"/>
        <v>0</v>
      </c>
      <c r="X423">
        <f t="shared" si="115"/>
        <v>0</v>
      </c>
      <c r="Y423">
        <f t="shared" si="116"/>
        <v>0</v>
      </c>
      <c r="Z423">
        <f t="shared" si="117"/>
        <v>0</v>
      </c>
      <c r="AA423">
        <f>IF($D423="",0,IF($F423&lt;2,0,IF($E423="Win",('Guide &amp; Settings'!$C$42/(($F423-1)*COUNTIFS($A$4:$A$810,$A423,$E$4:$E$810,"Win")))*SUMIFS($Z$4:$Z$810,$A$4:$A$810,$A423,$E$4:$E$810,"Loss"),-('Guide &amp; Settings'!$C$42/($F423-1))*$Z423)))</f>
        <v>0</v>
      </c>
      <c r="AB423" s="120">
        <f t="shared" si="118"/>
        <v>0</v>
      </c>
      <c r="AC423" s="120" t="str">
        <f>IF($D423="","",IF(SUMPRODUCT(MAX(($D$4:$D$810=$D423)*($B$4:$B$810&lt;$B423)*$B$4:$B$810))=0,0,MAX(($B423-MAX(SUMPRODUCT(MAX(($D$4:$D$810=$D423)*($B$4:$B$810&lt;$B423)*$B$4:$B$810)),'Guide &amp; Settings'!$C$50))/7-'Guide &amp; Settings'!$C$48,0)*'Guide &amp; Settings'!$C$49))</f>
        <v/>
      </c>
    </row>
    <row r="424" spans="1:29" x14ac:dyDescent="0.2">
      <c r="A424" s="111"/>
      <c r="B424" s="112"/>
      <c r="C424" s="113"/>
      <c r="D424" s="113"/>
      <c r="E424" s="111"/>
      <c r="F424" s="114">
        <f t="shared" si="102"/>
        <v>0</v>
      </c>
      <c r="G424" s="115" t="str">
        <f t="shared" si="103"/>
        <v/>
      </c>
      <c r="H424" s="116">
        <f>IF($D424="",0,IFERROR(LOOKUP(2,1/(($D$3:D423=$D424)*($A$3:A423&lt;$A424)),$N$3:N423),'Guide &amp; Settings'!$C$41))</f>
        <v>0</v>
      </c>
      <c r="I424" s="117">
        <f t="shared" si="104"/>
        <v>0</v>
      </c>
      <c r="J424" s="118">
        <f>IF($D424="",0,IF($F424&lt;2,0,IF($E424="Win",('Guide &amp; Settings'!$C$42/(($F424-1)*COUNTIFS($A$4:$A$810,$A424,$E$4:$E$810,"Win")))*SUMIFS($X$4:$X$810,$A$4:$A$810,$A424,$E$4:$E$810,"Loss"),-('Guide &amp; Settings'!$C$42/($F424-1))*$X424)))</f>
        <v>0</v>
      </c>
      <c r="K424" s="118">
        <f>IF($D424="",0,'Guide &amp; Settings'!$C$43*(IF($E424="Win",1,0)-$I424))</f>
        <v>0</v>
      </c>
      <c r="L424" s="119">
        <f>IF($D424="",0,'Guide &amp; Settings'!$C$44*IF($F424&gt;=3,$F424,0))</f>
        <v>0</v>
      </c>
      <c r="M424" s="118">
        <f t="shared" si="105"/>
        <v>0</v>
      </c>
      <c r="N424" s="116">
        <f t="shared" si="106"/>
        <v>0</v>
      </c>
      <c r="O424" s="115" t="str">
        <f t="shared" si="107"/>
        <v/>
      </c>
      <c r="P424">
        <f t="shared" si="108"/>
        <v>0</v>
      </c>
      <c r="Q424">
        <f t="shared" si="109"/>
        <v>0</v>
      </c>
      <c r="R424">
        <f t="shared" si="110"/>
        <v>0</v>
      </c>
      <c r="S424">
        <f t="shared" si="111"/>
        <v>0</v>
      </c>
      <c r="T424" s="83">
        <f t="shared" si="112"/>
        <v>0</v>
      </c>
      <c r="U424" s="120">
        <f>IF($D424="",0,IFERROR(LOOKUP(2,1/(($D$3:D423=$D424)*($C$3:C423=$C424)*($A$3:A423&lt;$A424)),$AB$3:AB423),1000))</f>
        <v>0</v>
      </c>
      <c r="V424" s="120">
        <f t="shared" si="113"/>
        <v>0</v>
      </c>
      <c r="W424">
        <f t="shared" si="114"/>
        <v>0</v>
      </c>
      <c r="X424">
        <f t="shared" si="115"/>
        <v>0</v>
      </c>
      <c r="Y424">
        <f t="shared" si="116"/>
        <v>0</v>
      </c>
      <c r="Z424">
        <f t="shared" si="117"/>
        <v>0</v>
      </c>
      <c r="AA424">
        <f>IF($D424="",0,IF($F424&lt;2,0,IF($E424="Win",('Guide &amp; Settings'!$C$42/(($F424-1)*COUNTIFS($A$4:$A$810,$A424,$E$4:$E$810,"Win")))*SUMIFS($Z$4:$Z$810,$A$4:$A$810,$A424,$E$4:$E$810,"Loss"),-('Guide &amp; Settings'!$C$42/($F424-1))*$Z424)))</f>
        <v>0</v>
      </c>
      <c r="AB424" s="120">
        <f t="shared" si="118"/>
        <v>0</v>
      </c>
      <c r="AC424" s="120" t="str">
        <f>IF($D424="","",IF(SUMPRODUCT(MAX(($D$4:$D$810=$D424)*($B$4:$B$810&lt;$B424)*$B$4:$B$810))=0,0,MAX(($B424-MAX(SUMPRODUCT(MAX(($D$4:$D$810=$D424)*($B$4:$B$810&lt;$B424)*$B$4:$B$810)),'Guide &amp; Settings'!$C$50))/7-'Guide &amp; Settings'!$C$48,0)*'Guide &amp; Settings'!$C$49))</f>
        <v/>
      </c>
    </row>
    <row r="425" spans="1:29" x14ac:dyDescent="0.2">
      <c r="A425" s="111"/>
      <c r="B425" s="112"/>
      <c r="C425" s="113"/>
      <c r="D425" s="113"/>
      <c r="E425" s="111"/>
      <c r="F425" s="114">
        <f t="shared" si="102"/>
        <v>0</v>
      </c>
      <c r="G425" s="115" t="str">
        <f t="shared" si="103"/>
        <v/>
      </c>
      <c r="H425" s="116">
        <f>IF($D425="",0,IFERROR(LOOKUP(2,1/(($D$3:D424=$D425)*($A$3:A424&lt;$A425)),$N$3:N424),'Guide &amp; Settings'!$C$41))</f>
        <v>0</v>
      </c>
      <c r="I425" s="117">
        <f t="shared" si="104"/>
        <v>0</v>
      </c>
      <c r="J425" s="118">
        <f>IF($D425="",0,IF($F425&lt;2,0,IF($E425="Win",('Guide &amp; Settings'!$C$42/(($F425-1)*COUNTIFS($A$4:$A$810,$A425,$E$4:$E$810,"Win")))*SUMIFS($X$4:$X$810,$A$4:$A$810,$A425,$E$4:$E$810,"Loss"),-('Guide &amp; Settings'!$C$42/($F425-1))*$X425)))</f>
        <v>0</v>
      </c>
      <c r="K425" s="118">
        <f>IF($D425="",0,'Guide &amp; Settings'!$C$43*(IF($E425="Win",1,0)-$I425))</f>
        <v>0</v>
      </c>
      <c r="L425" s="119">
        <f>IF($D425="",0,'Guide &amp; Settings'!$C$44*IF($F425&gt;=3,$F425,0))</f>
        <v>0</v>
      </c>
      <c r="M425" s="118">
        <f t="shared" si="105"/>
        <v>0</v>
      </c>
      <c r="N425" s="116">
        <f t="shared" si="106"/>
        <v>0</v>
      </c>
      <c r="O425" s="115" t="str">
        <f t="shared" si="107"/>
        <v/>
      </c>
      <c r="P425">
        <f t="shared" si="108"/>
        <v>0</v>
      </c>
      <c r="Q425">
        <f t="shared" si="109"/>
        <v>0</v>
      </c>
      <c r="R425">
        <f t="shared" si="110"/>
        <v>0</v>
      </c>
      <c r="S425">
        <f t="shared" si="111"/>
        <v>0</v>
      </c>
      <c r="T425" s="83">
        <f t="shared" si="112"/>
        <v>0</v>
      </c>
      <c r="U425" s="120">
        <f>IF($D425="",0,IFERROR(LOOKUP(2,1/(($D$3:D424=$D425)*($C$3:C424=$C425)*($A$3:A424&lt;$A425)),$AB$3:AB424),1000))</f>
        <v>0</v>
      </c>
      <c r="V425" s="120">
        <f t="shared" si="113"/>
        <v>0</v>
      </c>
      <c r="W425">
        <f t="shared" si="114"/>
        <v>0</v>
      </c>
      <c r="X425">
        <f t="shared" si="115"/>
        <v>0</v>
      </c>
      <c r="Y425">
        <f t="shared" si="116"/>
        <v>0</v>
      </c>
      <c r="Z425">
        <f t="shared" si="117"/>
        <v>0</v>
      </c>
      <c r="AA425">
        <f>IF($D425="",0,IF($F425&lt;2,0,IF($E425="Win",('Guide &amp; Settings'!$C$42/(($F425-1)*COUNTIFS($A$4:$A$810,$A425,$E$4:$E$810,"Win")))*SUMIFS($Z$4:$Z$810,$A$4:$A$810,$A425,$E$4:$E$810,"Loss"),-('Guide &amp; Settings'!$C$42/($F425-1))*$Z425)))</f>
        <v>0</v>
      </c>
      <c r="AB425" s="120">
        <f t="shared" si="118"/>
        <v>0</v>
      </c>
      <c r="AC425" s="120" t="str">
        <f>IF($D425="","",IF(SUMPRODUCT(MAX(($D$4:$D$810=$D425)*($B$4:$B$810&lt;$B425)*$B$4:$B$810))=0,0,MAX(($B425-MAX(SUMPRODUCT(MAX(($D$4:$D$810=$D425)*($B$4:$B$810&lt;$B425)*$B$4:$B$810)),'Guide &amp; Settings'!$C$50))/7-'Guide &amp; Settings'!$C$48,0)*'Guide &amp; Settings'!$C$49))</f>
        <v/>
      </c>
    </row>
    <row r="426" spans="1:29" x14ac:dyDescent="0.2">
      <c r="A426" s="111"/>
      <c r="B426" s="112"/>
      <c r="C426" s="113"/>
      <c r="D426" s="113"/>
      <c r="E426" s="111"/>
      <c r="F426" s="114">
        <f t="shared" si="102"/>
        <v>0</v>
      </c>
      <c r="G426" s="115" t="str">
        <f t="shared" si="103"/>
        <v/>
      </c>
      <c r="H426" s="116">
        <f>IF($D426="",0,IFERROR(LOOKUP(2,1/(($D$3:D425=$D426)*($A$3:A425&lt;$A426)),$N$3:N425),'Guide &amp; Settings'!$C$41))</f>
        <v>0</v>
      </c>
      <c r="I426" s="117">
        <f t="shared" si="104"/>
        <v>0</v>
      </c>
      <c r="J426" s="118">
        <f>IF($D426="",0,IF($F426&lt;2,0,IF($E426="Win",('Guide &amp; Settings'!$C$42/(($F426-1)*COUNTIFS($A$4:$A$810,$A426,$E$4:$E$810,"Win")))*SUMIFS($X$4:$X$810,$A$4:$A$810,$A426,$E$4:$E$810,"Loss"),-('Guide &amp; Settings'!$C$42/($F426-1))*$X426)))</f>
        <v>0</v>
      </c>
      <c r="K426" s="118">
        <f>IF($D426="",0,'Guide &amp; Settings'!$C$43*(IF($E426="Win",1,0)-$I426))</f>
        <v>0</v>
      </c>
      <c r="L426" s="119">
        <f>IF($D426="",0,'Guide &amp; Settings'!$C$44*IF($F426&gt;=3,$F426,0))</f>
        <v>0</v>
      </c>
      <c r="M426" s="118">
        <f t="shared" si="105"/>
        <v>0</v>
      </c>
      <c r="N426" s="116">
        <f t="shared" si="106"/>
        <v>0</v>
      </c>
      <c r="O426" s="115" t="str">
        <f t="shared" si="107"/>
        <v/>
      </c>
      <c r="P426">
        <f t="shared" si="108"/>
        <v>0</v>
      </c>
      <c r="Q426">
        <f t="shared" si="109"/>
        <v>0</v>
      </c>
      <c r="R426">
        <f t="shared" si="110"/>
        <v>0</v>
      </c>
      <c r="S426">
        <f t="shared" si="111"/>
        <v>0</v>
      </c>
      <c r="T426" s="83">
        <f t="shared" si="112"/>
        <v>0</v>
      </c>
      <c r="U426" s="120">
        <f>IF($D426="",0,IFERROR(LOOKUP(2,1/(($D$3:D425=$D426)*($C$3:C425=$C426)*($A$3:A425&lt;$A426)),$AB$3:AB425),1000))</f>
        <v>0</v>
      </c>
      <c r="V426" s="120">
        <f t="shared" si="113"/>
        <v>0</v>
      </c>
      <c r="W426">
        <f t="shared" si="114"/>
        <v>0</v>
      </c>
      <c r="X426">
        <f t="shared" si="115"/>
        <v>0</v>
      </c>
      <c r="Y426">
        <f t="shared" si="116"/>
        <v>0</v>
      </c>
      <c r="Z426">
        <f t="shared" si="117"/>
        <v>0</v>
      </c>
      <c r="AA426">
        <f>IF($D426="",0,IF($F426&lt;2,0,IF($E426="Win",('Guide &amp; Settings'!$C$42/(($F426-1)*COUNTIFS($A$4:$A$810,$A426,$E$4:$E$810,"Win")))*SUMIFS($Z$4:$Z$810,$A$4:$A$810,$A426,$E$4:$E$810,"Loss"),-('Guide &amp; Settings'!$C$42/($F426-1))*$Z426)))</f>
        <v>0</v>
      </c>
      <c r="AB426" s="120">
        <f t="shared" si="118"/>
        <v>0</v>
      </c>
      <c r="AC426" s="120" t="str">
        <f>IF($D426="","",IF(SUMPRODUCT(MAX(($D$4:$D$810=$D426)*($B$4:$B$810&lt;$B426)*$B$4:$B$810))=0,0,MAX(($B426-MAX(SUMPRODUCT(MAX(($D$4:$D$810=$D426)*($B$4:$B$810&lt;$B426)*$B$4:$B$810)),'Guide &amp; Settings'!$C$50))/7-'Guide &amp; Settings'!$C$48,0)*'Guide &amp; Settings'!$C$49))</f>
        <v/>
      </c>
    </row>
    <row r="427" spans="1:29" x14ac:dyDescent="0.2">
      <c r="A427" s="111"/>
      <c r="B427" s="112"/>
      <c r="C427" s="113"/>
      <c r="D427" s="113"/>
      <c r="E427" s="111"/>
      <c r="F427" s="114">
        <f t="shared" si="102"/>
        <v>0</v>
      </c>
      <c r="G427" s="115" t="str">
        <f t="shared" si="103"/>
        <v/>
      </c>
      <c r="H427" s="116">
        <f>IF($D427="",0,IFERROR(LOOKUP(2,1/(($D$3:D426=$D427)*($A$3:A426&lt;$A427)),$N$3:N426),'Guide &amp; Settings'!$C$41))</f>
        <v>0</v>
      </c>
      <c r="I427" s="117">
        <f t="shared" si="104"/>
        <v>0</v>
      </c>
      <c r="J427" s="118">
        <f>IF($D427="",0,IF($F427&lt;2,0,IF($E427="Win",('Guide &amp; Settings'!$C$42/(($F427-1)*COUNTIFS($A$4:$A$810,$A427,$E$4:$E$810,"Win")))*SUMIFS($X$4:$X$810,$A$4:$A$810,$A427,$E$4:$E$810,"Loss"),-('Guide &amp; Settings'!$C$42/($F427-1))*$X427)))</f>
        <v>0</v>
      </c>
      <c r="K427" s="118">
        <f>IF($D427="",0,'Guide &amp; Settings'!$C$43*(IF($E427="Win",1,0)-$I427))</f>
        <v>0</v>
      </c>
      <c r="L427" s="119">
        <f>IF($D427="",0,'Guide &amp; Settings'!$C$44*IF($F427&gt;=3,$F427,0))</f>
        <v>0</v>
      </c>
      <c r="M427" s="118">
        <f t="shared" si="105"/>
        <v>0</v>
      </c>
      <c r="N427" s="116">
        <f t="shared" si="106"/>
        <v>0</v>
      </c>
      <c r="O427" s="115" t="str">
        <f t="shared" si="107"/>
        <v/>
      </c>
      <c r="P427">
        <f t="shared" si="108"/>
        <v>0</v>
      </c>
      <c r="Q427">
        <f t="shared" si="109"/>
        <v>0</v>
      </c>
      <c r="R427">
        <f t="shared" si="110"/>
        <v>0</v>
      </c>
      <c r="S427">
        <f t="shared" si="111"/>
        <v>0</v>
      </c>
      <c r="T427" s="83">
        <f t="shared" si="112"/>
        <v>0</v>
      </c>
      <c r="U427" s="120">
        <f>IF($D427="",0,IFERROR(LOOKUP(2,1/(($D$3:D426=$D427)*($C$3:C426=$C427)*($A$3:A426&lt;$A427)),$AB$3:AB426),1000))</f>
        <v>0</v>
      </c>
      <c r="V427" s="120">
        <f t="shared" si="113"/>
        <v>0</v>
      </c>
      <c r="W427">
        <f t="shared" si="114"/>
        <v>0</v>
      </c>
      <c r="X427">
        <f t="shared" si="115"/>
        <v>0</v>
      </c>
      <c r="Y427">
        <f t="shared" si="116"/>
        <v>0</v>
      </c>
      <c r="Z427">
        <f t="shared" si="117"/>
        <v>0</v>
      </c>
      <c r="AA427">
        <f>IF($D427="",0,IF($F427&lt;2,0,IF($E427="Win",('Guide &amp; Settings'!$C$42/(($F427-1)*COUNTIFS($A$4:$A$810,$A427,$E$4:$E$810,"Win")))*SUMIFS($Z$4:$Z$810,$A$4:$A$810,$A427,$E$4:$E$810,"Loss"),-('Guide &amp; Settings'!$C$42/($F427-1))*$Z427)))</f>
        <v>0</v>
      </c>
      <c r="AB427" s="120">
        <f t="shared" si="118"/>
        <v>0</v>
      </c>
      <c r="AC427" s="120" t="str">
        <f>IF($D427="","",IF(SUMPRODUCT(MAX(($D$4:$D$810=$D427)*($B$4:$B$810&lt;$B427)*$B$4:$B$810))=0,0,MAX(($B427-MAX(SUMPRODUCT(MAX(($D$4:$D$810=$D427)*($B$4:$B$810&lt;$B427)*$B$4:$B$810)),'Guide &amp; Settings'!$C$50))/7-'Guide &amp; Settings'!$C$48,0)*'Guide &amp; Settings'!$C$49))</f>
        <v/>
      </c>
    </row>
    <row r="428" spans="1:29" x14ac:dyDescent="0.2">
      <c r="A428" s="111"/>
      <c r="B428" s="112"/>
      <c r="C428" s="113"/>
      <c r="D428" s="113"/>
      <c r="E428" s="111"/>
      <c r="F428" s="114">
        <f t="shared" si="102"/>
        <v>0</v>
      </c>
      <c r="G428" s="115" t="str">
        <f t="shared" si="103"/>
        <v/>
      </c>
      <c r="H428" s="116">
        <f>IF($D428="",0,IFERROR(LOOKUP(2,1/(($D$3:D427=$D428)*($A$3:A427&lt;$A428)),$N$3:N427),'Guide &amp; Settings'!$C$41))</f>
        <v>0</v>
      </c>
      <c r="I428" s="117">
        <f t="shared" si="104"/>
        <v>0</v>
      </c>
      <c r="J428" s="118">
        <f>IF($D428="",0,IF($F428&lt;2,0,IF($E428="Win",('Guide &amp; Settings'!$C$42/(($F428-1)*COUNTIFS($A$4:$A$810,$A428,$E$4:$E$810,"Win")))*SUMIFS($X$4:$X$810,$A$4:$A$810,$A428,$E$4:$E$810,"Loss"),-('Guide &amp; Settings'!$C$42/($F428-1))*$X428)))</f>
        <v>0</v>
      </c>
      <c r="K428" s="118">
        <f>IF($D428="",0,'Guide &amp; Settings'!$C$43*(IF($E428="Win",1,0)-$I428))</f>
        <v>0</v>
      </c>
      <c r="L428" s="119">
        <f>IF($D428="",0,'Guide &amp; Settings'!$C$44*IF($F428&gt;=3,$F428,0))</f>
        <v>0</v>
      </c>
      <c r="M428" s="118">
        <f t="shared" si="105"/>
        <v>0</v>
      </c>
      <c r="N428" s="116">
        <f t="shared" si="106"/>
        <v>0</v>
      </c>
      <c r="O428" s="115" t="str">
        <f t="shared" si="107"/>
        <v/>
      </c>
      <c r="P428">
        <f t="shared" si="108"/>
        <v>0</v>
      </c>
      <c r="Q428">
        <f t="shared" si="109"/>
        <v>0</v>
      </c>
      <c r="R428">
        <f t="shared" si="110"/>
        <v>0</v>
      </c>
      <c r="S428">
        <f t="shared" si="111"/>
        <v>0</v>
      </c>
      <c r="T428" s="83">
        <f t="shared" si="112"/>
        <v>0</v>
      </c>
      <c r="U428" s="120">
        <f>IF($D428="",0,IFERROR(LOOKUP(2,1/(($D$3:D427=$D428)*($C$3:C427=$C428)*($A$3:A427&lt;$A428)),$AB$3:AB427),1000))</f>
        <v>0</v>
      </c>
      <c r="V428" s="120">
        <f t="shared" si="113"/>
        <v>0</v>
      </c>
      <c r="W428">
        <f t="shared" si="114"/>
        <v>0</v>
      </c>
      <c r="X428">
        <f t="shared" si="115"/>
        <v>0</v>
      </c>
      <c r="Y428">
        <f t="shared" si="116"/>
        <v>0</v>
      </c>
      <c r="Z428">
        <f t="shared" si="117"/>
        <v>0</v>
      </c>
      <c r="AA428">
        <f>IF($D428="",0,IF($F428&lt;2,0,IF($E428="Win",('Guide &amp; Settings'!$C$42/(($F428-1)*COUNTIFS($A$4:$A$810,$A428,$E$4:$E$810,"Win")))*SUMIFS($Z$4:$Z$810,$A$4:$A$810,$A428,$E$4:$E$810,"Loss"),-('Guide &amp; Settings'!$C$42/($F428-1))*$Z428)))</f>
        <v>0</v>
      </c>
      <c r="AB428" s="120">
        <f t="shared" si="118"/>
        <v>0</v>
      </c>
      <c r="AC428" s="120" t="str">
        <f>IF($D428="","",IF(SUMPRODUCT(MAX(($D$4:$D$810=$D428)*($B$4:$B$810&lt;$B428)*$B$4:$B$810))=0,0,MAX(($B428-MAX(SUMPRODUCT(MAX(($D$4:$D$810=$D428)*($B$4:$B$810&lt;$B428)*$B$4:$B$810)),'Guide &amp; Settings'!$C$50))/7-'Guide &amp; Settings'!$C$48,0)*'Guide &amp; Settings'!$C$49))</f>
        <v/>
      </c>
    </row>
    <row r="429" spans="1:29" x14ac:dyDescent="0.2">
      <c r="A429" s="111"/>
      <c r="B429" s="112"/>
      <c r="C429" s="113"/>
      <c r="D429" s="113"/>
      <c r="E429" s="111"/>
      <c r="F429" s="114">
        <f t="shared" si="102"/>
        <v>0</v>
      </c>
      <c r="G429" s="115" t="str">
        <f t="shared" si="103"/>
        <v/>
      </c>
      <c r="H429" s="116">
        <f>IF($D429="",0,IFERROR(LOOKUP(2,1/(($D$3:D428=$D429)*($A$3:A428&lt;$A429)),$N$3:N428),'Guide &amp; Settings'!$C$41))</f>
        <v>0</v>
      </c>
      <c r="I429" s="117">
        <f t="shared" si="104"/>
        <v>0</v>
      </c>
      <c r="J429" s="118">
        <f>IF($D429="",0,IF($F429&lt;2,0,IF($E429="Win",('Guide &amp; Settings'!$C$42/(($F429-1)*COUNTIFS($A$4:$A$810,$A429,$E$4:$E$810,"Win")))*SUMIFS($X$4:$X$810,$A$4:$A$810,$A429,$E$4:$E$810,"Loss"),-('Guide &amp; Settings'!$C$42/($F429-1))*$X429)))</f>
        <v>0</v>
      </c>
      <c r="K429" s="118">
        <f>IF($D429="",0,'Guide &amp; Settings'!$C$43*(IF($E429="Win",1,0)-$I429))</f>
        <v>0</v>
      </c>
      <c r="L429" s="119">
        <f>IF($D429="",0,'Guide &amp; Settings'!$C$44*IF($F429&gt;=3,$F429,0))</f>
        <v>0</v>
      </c>
      <c r="M429" s="118">
        <f t="shared" si="105"/>
        <v>0</v>
      </c>
      <c r="N429" s="116">
        <f t="shared" si="106"/>
        <v>0</v>
      </c>
      <c r="O429" s="115" t="str">
        <f t="shared" si="107"/>
        <v/>
      </c>
      <c r="P429">
        <f t="shared" si="108"/>
        <v>0</v>
      </c>
      <c r="Q429">
        <f t="shared" si="109"/>
        <v>0</v>
      </c>
      <c r="R429">
        <f t="shared" si="110"/>
        <v>0</v>
      </c>
      <c r="S429">
        <f t="shared" si="111"/>
        <v>0</v>
      </c>
      <c r="T429" s="83">
        <f t="shared" si="112"/>
        <v>0</v>
      </c>
      <c r="U429" s="120">
        <f>IF($D429="",0,IFERROR(LOOKUP(2,1/(($D$3:D428=$D429)*($C$3:C428=$C429)*($A$3:A428&lt;$A429)),$AB$3:AB428),1000))</f>
        <v>0</v>
      </c>
      <c r="V429" s="120">
        <f t="shared" si="113"/>
        <v>0</v>
      </c>
      <c r="W429">
        <f t="shared" si="114"/>
        <v>0</v>
      </c>
      <c r="X429">
        <f t="shared" si="115"/>
        <v>0</v>
      </c>
      <c r="Y429">
        <f t="shared" si="116"/>
        <v>0</v>
      </c>
      <c r="Z429">
        <f t="shared" si="117"/>
        <v>0</v>
      </c>
      <c r="AA429">
        <f>IF($D429="",0,IF($F429&lt;2,0,IF($E429="Win",('Guide &amp; Settings'!$C$42/(($F429-1)*COUNTIFS($A$4:$A$810,$A429,$E$4:$E$810,"Win")))*SUMIFS($Z$4:$Z$810,$A$4:$A$810,$A429,$E$4:$E$810,"Loss"),-('Guide &amp; Settings'!$C$42/($F429-1))*$Z429)))</f>
        <v>0</v>
      </c>
      <c r="AB429" s="120">
        <f t="shared" si="118"/>
        <v>0</v>
      </c>
      <c r="AC429" s="120" t="str">
        <f>IF($D429="","",IF(SUMPRODUCT(MAX(($D$4:$D$810=$D429)*($B$4:$B$810&lt;$B429)*$B$4:$B$810))=0,0,MAX(($B429-MAX(SUMPRODUCT(MAX(($D$4:$D$810=$D429)*($B$4:$B$810&lt;$B429)*$B$4:$B$810)),'Guide &amp; Settings'!$C$50))/7-'Guide &amp; Settings'!$C$48,0)*'Guide &amp; Settings'!$C$49))</f>
        <v/>
      </c>
    </row>
    <row r="430" spans="1:29" x14ac:dyDescent="0.2">
      <c r="A430" s="111"/>
      <c r="B430" s="112"/>
      <c r="C430" s="113"/>
      <c r="D430" s="113"/>
      <c r="E430" s="111"/>
      <c r="F430" s="114">
        <f t="shared" si="102"/>
        <v>0</v>
      </c>
      <c r="G430" s="115" t="str">
        <f t="shared" si="103"/>
        <v/>
      </c>
      <c r="H430" s="116">
        <f>IF($D430="",0,IFERROR(LOOKUP(2,1/(($D$3:D429=$D430)*($A$3:A429&lt;$A430)),$N$3:N429),'Guide &amp; Settings'!$C$41))</f>
        <v>0</v>
      </c>
      <c r="I430" s="117">
        <f t="shared" si="104"/>
        <v>0</v>
      </c>
      <c r="J430" s="118">
        <f>IF($D430="",0,IF($F430&lt;2,0,IF($E430="Win",('Guide &amp; Settings'!$C$42/(($F430-1)*COUNTIFS($A$4:$A$810,$A430,$E$4:$E$810,"Win")))*SUMIFS($X$4:$X$810,$A$4:$A$810,$A430,$E$4:$E$810,"Loss"),-('Guide &amp; Settings'!$C$42/($F430-1))*$X430)))</f>
        <v>0</v>
      </c>
      <c r="K430" s="118">
        <f>IF($D430="",0,'Guide &amp; Settings'!$C$43*(IF($E430="Win",1,0)-$I430))</f>
        <v>0</v>
      </c>
      <c r="L430" s="119">
        <f>IF($D430="",0,'Guide &amp; Settings'!$C$44*IF($F430&gt;=3,$F430,0))</f>
        <v>0</v>
      </c>
      <c r="M430" s="118">
        <f t="shared" si="105"/>
        <v>0</v>
      </c>
      <c r="N430" s="116">
        <f t="shared" si="106"/>
        <v>0</v>
      </c>
      <c r="O430" s="115" t="str">
        <f t="shared" si="107"/>
        <v/>
      </c>
      <c r="P430">
        <f t="shared" si="108"/>
        <v>0</v>
      </c>
      <c r="Q430">
        <f t="shared" si="109"/>
        <v>0</v>
      </c>
      <c r="R430">
        <f t="shared" si="110"/>
        <v>0</v>
      </c>
      <c r="S430">
        <f t="shared" si="111"/>
        <v>0</v>
      </c>
      <c r="T430" s="83">
        <f t="shared" si="112"/>
        <v>0</v>
      </c>
      <c r="U430" s="120">
        <f>IF($D430="",0,IFERROR(LOOKUP(2,1/(($D$3:D429=$D430)*($C$3:C429=$C430)*($A$3:A429&lt;$A430)),$AB$3:AB429),1000))</f>
        <v>0</v>
      </c>
      <c r="V430" s="120">
        <f t="shared" si="113"/>
        <v>0</v>
      </c>
      <c r="W430">
        <f t="shared" si="114"/>
        <v>0</v>
      </c>
      <c r="X430">
        <f t="shared" si="115"/>
        <v>0</v>
      </c>
      <c r="Y430">
        <f t="shared" si="116"/>
        <v>0</v>
      </c>
      <c r="Z430">
        <f t="shared" si="117"/>
        <v>0</v>
      </c>
      <c r="AA430">
        <f>IF($D430="",0,IF($F430&lt;2,0,IF($E430="Win",('Guide &amp; Settings'!$C$42/(($F430-1)*COUNTIFS($A$4:$A$810,$A430,$E$4:$E$810,"Win")))*SUMIFS($Z$4:$Z$810,$A$4:$A$810,$A430,$E$4:$E$810,"Loss"),-('Guide &amp; Settings'!$C$42/($F430-1))*$Z430)))</f>
        <v>0</v>
      </c>
      <c r="AB430" s="120">
        <f t="shared" si="118"/>
        <v>0</v>
      </c>
      <c r="AC430" s="120" t="str">
        <f>IF($D430="","",IF(SUMPRODUCT(MAX(($D$4:$D$810=$D430)*($B$4:$B$810&lt;$B430)*$B$4:$B$810))=0,0,MAX(($B430-MAX(SUMPRODUCT(MAX(($D$4:$D$810=$D430)*($B$4:$B$810&lt;$B430)*$B$4:$B$810)),'Guide &amp; Settings'!$C$50))/7-'Guide &amp; Settings'!$C$48,0)*'Guide &amp; Settings'!$C$49))</f>
        <v/>
      </c>
    </row>
    <row r="431" spans="1:29" x14ac:dyDescent="0.2">
      <c r="A431" s="111"/>
      <c r="B431" s="112"/>
      <c r="C431" s="113"/>
      <c r="D431" s="113"/>
      <c r="E431" s="111"/>
      <c r="F431" s="114">
        <f t="shared" si="102"/>
        <v>0</v>
      </c>
      <c r="G431" s="115" t="str">
        <f t="shared" si="103"/>
        <v/>
      </c>
      <c r="H431" s="116">
        <f>IF($D431="",0,IFERROR(LOOKUP(2,1/(($D$3:D430=$D431)*($A$3:A430&lt;$A431)),$N$3:N430),'Guide &amp; Settings'!$C$41))</f>
        <v>0</v>
      </c>
      <c r="I431" s="117">
        <f t="shared" si="104"/>
        <v>0</v>
      </c>
      <c r="J431" s="118">
        <f>IF($D431="",0,IF($F431&lt;2,0,IF($E431="Win",('Guide &amp; Settings'!$C$42/(($F431-1)*COUNTIFS($A$4:$A$810,$A431,$E$4:$E$810,"Win")))*SUMIFS($X$4:$X$810,$A$4:$A$810,$A431,$E$4:$E$810,"Loss"),-('Guide &amp; Settings'!$C$42/($F431-1))*$X431)))</f>
        <v>0</v>
      </c>
      <c r="K431" s="118">
        <f>IF($D431="",0,'Guide &amp; Settings'!$C$43*(IF($E431="Win",1,0)-$I431))</f>
        <v>0</v>
      </c>
      <c r="L431" s="119">
        <f>IF($D431="",0,'Guide &amp; Settings'!$C$44*IF($F431&gt;=3,$F431,0))</f>
        <v>0</v>
      </c>
      <c r="M431" s="118">
        <f t="shared" si="105"/>
        <v>0</v>
      </c>
      <c r="N431" s="116">
        <f t="shared" si="106"/>
        <v>0</v>
      </c>
      <c r="O431" s="115" t="str">
        <f t="shared" si="107"/>
        <v/>
      </c>
      <c r="P431">
        <f t="shared" si="108"/>
        <v>0</v>
      </c>
      <c r="Q431">
        <f t="shared" si="109"/>
        <v>0</v>
      </c>
      <c r="R431">
        <f t="shared" si="110"/>
        <v>0</v>
      </c>
      <c r="S431">
        <f t="shared" si="111"/>
        <v>0</v>
      </c>
      <c r="T431" s="83">
        <f t="shared" si="112"/>
        <v>0</v>
      </c>
      <c r="U431" s="120">
        <f>IF($D431="",0,IFERROR(LOOKUP(2,1/(($D$3:D430=$D431)*($C$3:C430=$C431)*($A$3:A430&lt;$A431)),$AB$3:AB430),1000))</f>
        <v>0</v>
      </c>
      <c r="V431" s="120">
        <f t="shared" si="113"/>
        <v>0</v>
      </c>
      <c r="W431">
        <f t="shared" si="114"/>
        <v>0</v>
      </c>
      <c r="X431">
        <f t="shared" si="115"/>
        <v>0</v>
      </c>
      <c r="Y431">
        <f t="shared" si="116"/>
        <v>0</v>
      </c>
      <c r="Z431">
        <f t="shared" si="117"/>
        <v>0</v>
      </c>
      <c r="AA431">
        <f>IF($D431="",0,IF($F431&lt;2,0,IF($E431="Win",('Guide &amp; Settings'!$C$42/(($F431-1)*COUNTIFS($A$4:$A$810,$A431,$E$4:$E$810,"Win")))*SUMIFS($Z$4:$Z$810,$A$4:$A$810,$A431,$E$4:$E$810,"Loss"),-('Guide &amp; Settings'!$C$42/($F431-1))*$Z431)))</f>
        <v>0</v>
      </c>
      <c r="AB431" s="120">
        <f t="shared" si="118"/>
        <v>0</v>
      </c>
      <c r="AC431" s="120" t="str">
        <f>IF($D431="","",IF(SUMPRODUCT(MAX(($D$4:$D$810=$D431)*($B$4:$B$810&lt;$B431)*$B$4:$B$810))=0,0,MAX(($B431-MAX(SUMPRODUCT(MAX(($D$4:$D$810=$D431)*($B$4:$B$810&lt;$B431)*$B$4:$B$810)),'Guide &amp; Settings'!$C$50))/7-'Guide &amp; Settings'!$C$48,0)*'Guide &amp; Settings'!$C$49))</f>
        <v/>
      </c>
    </row>
    <row r="432" spans="1:29" x14ac:dyDescent="0.2">
      <c r="A432" s="111"/>
      <c r="B432" s="112"/>
      <c r="C432" s="113"/>
      <c r="D432" s="113"/>
      <c r="E432" s="111"/>
      <c r="F432" s="114">
        <f t="shared" si="102"/>
        <v>0</v>
      </c>
      <c r="G432" s="115" t="str">
        <f t="shared" si="103"/>
        <v/>
      </c>
      <c r="H432" s="116">
        <f>IF($D432="",0,IFERROR(LOOKUP(2,1/(($D$3:D431=$D432)*($A$3:A431&lt;$A432)),$N$3:N431),'Guide &amp; Settings'!$C$41))</f>
        <v>0</v>
      </c>
      <c r="I432" s="117">
        <f t="shared" si="104"/>
        <v>0</v>
      </c>
      <c r="J432" s="118">
        <f>IF($D432="",0,IF($F432&lt;2,0,IF($E432="Win",('Guide &amp; Settings'!$C$42/(($F432-1)*COUNTIFS($A$4:$A$810,$A432,$E$4:$E$810,"Win")))*SUMIFS($X$4:$X$810,$A$4:$A$810,$A432,$E$4:$E$810,"Loss"),-('Guide &amp; Settings'!$C$42/($F432-1))*$X432)))</f>
        <v>0</v>
      </c>
      <c r="K432" s="118">
        <f>IF($D432="",0,'Guide &amp; Settings'!$C$43*(IF($E432="Win",1,0)-$I432))</f>
        <v>0</v>
      </c>
      <c r="L432" s="119">
        <f>IF($D432="",0,'Guide &amp; Settings'!$C$44*IF($F432&gt;=3,$F432,0))</f>
        <v>0</v>
      </c>
      <c r="M432" s="118">
        <f t="shared" si="105"/>
        <v>0</v>
      </c>
      <c r="N432" s="116">
        <f t="shared" si="106"/>
        <v>0</v>
      </c>
      <c r="O432" s="115" t="str">
        <f t="shared" si="107"/>
        <v/>
      </c>
      <c r="P432">
        <f t="shared" si="108"/>
        <v>0</v>
      </c>
      <c r="Q432">
        <f t="shared" si="109"/>
        <v>0</v>
      </c>
      <c r="R432">
        <f t="shared" si="110"/>
        <v>0</v>
      </c>
      <c r="S432">
        <f t="shared" si="111"/>
        <v>0</v>
      </c>
      <c r="T432" s="83">
        <f t="shared" si="112"/>
        <v>0</v>
      </c>
      <c r="U432" s="120">
        <f>IF($D432="",0,IFERROR(LOOKUP(2,1/(($D$3:D431=$D432)*($C$3:C431=$C432)*($A$3:A431&lt;$A432)),$AB$3:AB431),1000))</f>
        <v>0</v>
      </c>
      <c r="V432" s="120">
        <f t="shared" si="113"/>
        <v>0</v>
      </c>
      <c r="W432">
        <f t="shared" si="114"/>
        <v>0</v>
      </c>
      <c r="X432">
        <f t="shared" si="115"/>
        <v>0</v>
      </c>
      <c r="Y432">
        <f t="shared" si="116"/>
        <v>0</v>
      </c>
      <c r="Z432">
        <f t="shared" si="117"/>
        <v>0</v>
      </c>
      <c r="AA432">
        <f>IF($D432="",0,IF($F432&lt;2,0,IF($E432="Win",('Guide &amp; Settings'!$C$42/(($F432-1)*COUNTIFS($A$4:$A$810,$A432,$E$4:$E$810,"Win")))*SUMIFS($Z$4:$Z$810,$A$4:$A$810,$A432,$E$4:$E$810,"Loss"),-('Guide &amp; Settings'!$C$42/($F432-1))*$Z432)))</f>
        <v>0</v>
      </c>
      <c r="AB432" s="120">
        <f t="shared" si="118"/>
        <v>0</v>
      </c>
      <c r="AC432" s="120" t="str">
        <f>IF($D432="","",IF(SUMPRODUCT(MAX(($D$4:$D$810=$D432)*($B$4:$B$810&lt;$B432)*$B$4:$B$810))=0,0,MAX(($B432-MAX(SUMPRODUCT(MAX(($D$4:$D$810=$D432)*($B$4:$B$810&lt;$B432)*$B$4:$B$810)),'Guide &amp; Settings'!$C$50))/7-'Guide &amp; Settings'!$C$48,0)*'Guide &amp; Settings'!$C$49))</f>
        <v/>
      </c>
    </row>
    <row r="433" spans="1:29" x14ac:dyDescent="0.2">
      <c r="A433" s="111"/>
      <c r="B433" s="112"/>
      <c r="C433" s="113"/>
      <c r="D433" s="113"/>
      <c r="E433" s="111"/>
      <c r="F433" s="114">
        <f t="shared" si="102"/>
        <v>0</v>
      </c>
      <c r="G433" s="115" t="str">
        <f t="shared" si="103"/>
        <v/>
      </c>
      <c r="H433" s="116">
        <f>IF($D433="",0,IFERROR(LOOKUP(2,1/(($D$3:D432=$D433)*($A$3:A432&lt;$A433)),$N$3:N432),'Guide &amp; Settings'!$C$41))</f>
        <v>0</v>
      </c>
      <c r="I433" s="117">
        <f t="shared" si="104"/>
        <v>0</v>
      </c>
      <c r="J433" s="118">
        <f>IF($D433="",0,IF($F433&lt;2,0,IF($E433="Win",('Guide &amp; Settings'!$C$42/(($F433-1)*COUNTIFS($A$4:$A$810,$A433,$E$4:$E$810,"Win")))*SUMIFS($X$4:$X$810,$A$4:$A$810,$A433,$E$4:$E$810,"Loss"),-('Guide &amp; Settings'!$C$42/($F433-1))*$X433)))</f>
        <v>0</v>
      </c>
      <c r="K433" s="118">
        <f>IF($D433="",0,'Guide &amp; Settings'!$C$43*(IF($E433="Win",1,0)-$I433))</f>
        <v>0</v>
      </c>
      <c r="L433" s="119">
        <f>IF($D433="",0,'Guide &amp; Settings'!$C$44*IF($F433&gt;=3,$F433,0))</f>
        <v>0</v>
      </c>
      <c r="M433" s="118">
        <f t="shared" si="105"/>
        <v>0</v>
      </c>
      <c r="N433" s="116">
        <f t="shared" si="106"/>
        <v>0</v>
      </c>
      <c r="O433" s="115" t="str">
        <f t="shared" si="107"/>
        <v/>
      </c>
      <c r="P433">
        <f t="shared" si="108"/>
        <v>0</v>
      </c>
      <c r="Q433">
        <f t="shared" si="109"/>
        <v>0</v>
      </c>
      <c r="R433">
        <f t="shared" si="110"/>
        <v>0</v>
      </c>
      <c r="S433">
        <f t="shared" si="111"/>
        <v>0</v>
      </c>
      <c r="T433" s="83">
        <f t="shared" si="112"/>
        <v>0</v>
      </c>
      <c r="U433" s="120">
        <f>IF($D433="",0,IFERROR(LOOKUP(2,1/(($D$3:D432=$D433)*($C$3:C432=$C433)*($A$3:A432&lt;$A433)),$AB$3:AB432),1000))</f>
        <v>0</v>
      </c>
      <c r="V433" s="120">
        <f t="shared" si="113"/>
        <v>0</v>
      </c>
      <c r="W433">
        <f t="shared" si="114"/>
        <v>0</v>
      </c>
      <c r="X433">
        <f t="shared" si="115"/>
        <v>0</v>
      </c>
      <c r="Y433">
        <f t="shared" si="116"/>
        <v>0</v>
      </c>
      <c r="Z433">
        <f t="shared" si="117"/>
        <v>0</v>
      </c>
      <c r="AA433">
        <f>IF($D433="",0,IF($F433&lt;2,0,IF($E433="Win",('Guide &amp; Settings'!$C$42/(($F433-1)*COUNTIFS($A$4:$A$810,$A433,$E$4:$E$810,"Win")))*SUMIFS($Z$4:$Z$810,$A$4:$A$810,$A433,$E$4:$E$810,"Loss"),-('Guide &amp; Settings'!$C$42/($F433-1))*$Z433)))</f>
        <v>0</v>
      </c>
      <c r="AB433" s="120">
        <f t="shared" si="118"/>
        <v>0</v>
      </c>
      <c r="AC433" s="120" t="str">
        <f>IF($D433="","",IF(SUMPRODUCT(MAX(($D$4:$D$810=$D433)*($B$4:$B$810&lt;$B433)*$B$4:$B$810))=0,0,MAX(($B433-MAX(SUMPRODUCT(MAX(($D$4:$D$810=$D433)*($B$4:$B$810&lt;$B433)*$B$4:$B$810)),'Guide &amp; Settings'!$C$50))/7-'Guide &amp; Settings'!$C$48,0)*'Guide &amp; Settings'!$C$49))</f>
        <v/>
      </c>
    </row>
    <row r="434" spans="1:29" x14ac:dyDescent="0.2">
      <c r="A434" s="111"/>
      <c r="B434" s="112"/>
      <c r="C434" s="113"/>
      <c r="D434" s="113"/>
      <c r="E434" s="111"/>
      <c r="F434" s="114">
        <f t="shared" si="102"/>
        <v>0</v>
      </c>
      <c r="G434" s="115" t="str">
        <f t="shared" si="103"/>
        <v/>
      </c>
      <c r="H434" s="116">
        <f>IF($D434="",0,IFERROR(LOOKUP(2,1/(($D$3:D433=$D434)*($A$3:A433&lt;$A434)),$N$3:N433),'Guide &amp; Settings'!$C$41))</f>
        <v>0</v>
      </c>
      <c r="I434" s="117">
        <f t="shared" si="104"/>
        <v>0</v>
      </c>
      <c r="J434" s="118">
        <f>IF($D434="",0,IF($F434&lt;2,0,IF($E434="Win",('Guide &amp; Settings'!$C$42/(($F434-1)*COUNTIFS($A$4:$A$810,$A434,$E$4:$E$810,"Win")))*SUMIFS($X$4:$X$810,$A$4:$A$810,$A434,$E$4:$E$810,"Loss"),-('Guide &amp; Settings'!$C$42/($F434-1))*$X434)))</f>
        <v>0</v>
      </c>
      <c r="K434" s="118">
        <f>IF($D434="",0,'Guide &amp; Settings'!$C$43*(IF($E434="Win",1,0)-$I434))</f>
        <v>0</v>
      </c>
      <c r="L434" s="119">
        <f>IF($D434="",0,'Guide &amp; Settings'!$C$44*IF($F434&gt;=3,$F434,0))</f>
        <v>0</v>
      </c>
      <c r="M434" s="118">
        <f t="shared" si="105"/>
        <v>0</v>
      </c>
      <c r="N434" s="116">
        <f t="shared" si="106"/>
        <v>0</v>
      </c>
      <c r="O434" s="115" t="str">
        <f t="shared" si="107"/>
        <v/>
      </c>
      <c r="P434">
        <f t="shared" si="108"/>
        <v>0</v>
      </c>
      <c r="Q434">
        <f t="shared" si="109"/>
        <v>0</v>
      </c>
      <c r="R434">
        <f t="shared" si="110"/>
        <v>0</v>
      </c>
      <c r="S434">
        <f t="shared" si="111"/>
        <v>0</v>
      </c>
      <c r="T434" s="83">
        <f t="shared" si="112"/>
        <v>0</v>
      </c>
      <c r="U434" s="120">
        <f>IF($D434="",0,IFERROR(LOOKUP(2,1/(($D$3:D433=$D434)*($C$3:C433=$C434)*($A$3:A433&lt;$A434)),$AB$3:AB433),1000))</f>
        <v>0</v>
      </c>
      <c r="V434" s="120">
        <f t="shared" si="113"/>
        <v>0</v>
      </c>
      <c r="W434">
        <f t="shared" si="114"/>
        <v>0</v>
      </c>
      <c r="X434">
        <f t="shared" si="115"/>
        <v>0</v>
      </c>
      <c r="Y434">
        <f t="shared" si="116"/>
        <v>0</v>
      </c>
      <c r="Z434">
        <f t="shared" si="117"/>
        <v>0</v>
      </c>
      <c r="AA434">
        <f>IF($D434="",0,IF($F434&lt;2,0,IF($E434="Win",('Guide &amp; Settings'!$C$42/(($F434-1)*COUNTIFS($A$4:$A$810,$A434,$E$4:$E$810,"Win")))*SUMIFS($Z$4:$Z$810,$A$4:$A$810,$A434,$E$4:$E$810,"Loss"),-('Guide &amp; Settings'!$C$42/($F434-1))*$Z434)))</f>
        <v>0</v>
      </c>
      <c r="AB434" s="120">
        <f t="shared" si="118"/>
        <v>0</v>
      </c>
      <c r="AC434" s="120" t="str">
        <f>IF($D434="","",IF(SUMPRODUCT(MAX(($D$4:$D$810=$D434)*($B$4:$B$810&lt;$B434)*$B$4:$B$810))=0,0,MAX(($B434-MAX(SUMPRODUCT(MAX(($D$4:$D$810=$D434)*($B$4:$B$810&lt;$B434)*$B$4:$B$810)),'Guide &amp; Settings'!$C$50))/7-'Guide &amp; Settings'!$C$48,0)*'Guide &amp; Settings'!$C$49))</f>
        <v/>
      </c>
    </row>
    <row r="435" spans="1:29" x14ac:dyDescent="0.2">
      <c r="A435" s="111"/>
      <c r="B435" s="112"/>
      <c r="C435" s="113"/>
      <c r="D435" s="113"/>
      <c r="E435" s="111"/>
      <c r="F435" s="114">
        <f t="shared" si="102"/>
        <v>0</v>
      </c>
      <c r="G435" s="115" t="str">
        <f t="shared" si="103"/>
        <v/>
      </c>
      <c r="H435" s="116">
        <f>IF($D435="",0,IFERROR(LOOKUP(2,1/(($D$3:D434=$D435)*($A$3:A434&lt;$A435)),$N$3:N434),'Guide &amp; Settings'!$C$41))</f>
        <v>0</v>
      </c>
      <c r="I435" s="117">
        <f t="shared" si="104"/>
        <v>0</v>
      </c>
      <c r="J435" s="118">
        <f>IF($D435="",0,IF($F435&lt;2,0,IF($E435="Win",('Guide &amp; Settings'!$C$42/(($F435-1)*COUNTIFS($A$4:$A$810,$A435,$E$4:$E$810,"Win")))*SUMIFS($X$4:$X$810,$A$4:$A$810,$A435,$E$4:$E$810,"Loss"),-('Guide &amp; Settings'!$C$42/($F435-1))*$X435)))</f>
        <v>0</v>
      </c>
      <c r="K435" s="118">
        <f>IF($D435="",0,'Guide &amp; Settings'!$C$43*(IF($E435="Win",1,0)-$I435))</f>
        <v>0</v>
      </c>
      <c r="L435" s="119">
        <f>IF($D435="",0,'Guide &amp; Settings'!$C$44*IF($F435&gt;=3,$F435,0))</f>
        <v>0</v>
      </c>
      <c r="M435" s="118">
        <f t="shared" si="105"/>
        <v>0</v>
      </c>
      <c r="N435" s="116">
        <f t="shared" si="106"/>
        <v>0</v>
      </c>
      <c r="O435" s="115" t="str">
        <f t="shared" si="107"/>
        <v/>
      </c>
      <c r="P435">
        <f t="shared" si="108"/>
        <v>0</v>
      </c>
      <c r="Q435">
        <f t="shared" si="109"/>
        <v>0</v>
      </c>
      <c r="R435">
        <f t="shared" si="110"/>
        <v>0</v>
      </c>
      <c r="S435">
        <f t="shared" si="111"/>
        <v>0</v>
      </c>
      <c r="T435" s="83">
        <f t="shared" si="112"/>
        <v>0</v>
      </c>
      <c r="U435" s="120">
        <f>IF($D435="",0,IFERROR(LOOKUP(2,1/(($D$3:D434=$D435)*($C$3:C434=$C435)*($A$3:A434&lt;$A435)),$AB$3:AB434),1000))</f>
        <v>0</v>
      </c>
      <c r="V435" s="120">
        <f t="shared" si="113"/>
        <v>0</v>
      </c>
      <c r="W435">
        <f t="shared" si="114"/>
        <v>0</v>
      </c>
      <c r="X435">
        <f t="shared" si="115"/>
        <v>0</v>
      </c>
      <c r="Y435">
        <f t="shared" si="116"/>
        <v>0</v>
      </c>
      <c r="Z435">
        <f t="shared" si="117"/>
        <v>0</v>
      </c>
      <c r="AA435">
        <f>IF($D435="",0,IF($F435&lt;2,0,IF($E435="Win",('Guide &amp; Settings'!$C$42/(($F435-1)*COUNTIFS($A$4:$A$810,$A435,$E$4:$E$810,"Win")))*SUMIFS($Z$4:$Z$810,$A$4:$A$810,$A435,$E$4:$E$810,"Loss"),-('Guide &amp; Settings'!$C$42/($F435-1))*$Z435)))</f>
        <v>0</v>
      </c>
      <c r="AB435" s="120">
        <f t="shared" si="118"/>
        <v>0</v>
      </c>
      <c r="AC435" s="120" t="str">
        <f>IF($D435="","",IF(SUMPRODUCT(MAX(($D$4:$D$810=$D435)*($B$4:$B$810&lt;$B435)*$B$4:$B$810))=0,0,MAX(($B435-MAX(SUMPRODUCT(MAX(($D$4:$D$810=$D435)*($B$4:$B$810&lt;$B435)*$B$4:$B$810)),'Guide &amp; Settings'!$C$50))/7-'Guide &amp; Settings'!$C$48,0)*'Guide &amp; Settings'!$C$49))</f>
        <v/>
      </c>
    </row>
    <row r="436" spans="1:29" x14ac:dyDescent="0.2">
      <c r="A436" s="111"/>
      <c r="B436" s="112"/>
      <c r="C436" s="113"/>
      <c r="D436" s="113"/>
      <c r="E436" s="111"/>
      <c r="F436" s="114">
        <f t="shared" si="102"/>
        <v>0</v>
      </c>
      <c r="G436" s="115" t="str">
        <f t="shared" si="103"/>
        <v/>
      </c>
      <c r="H436" s="116">
        <f>IF($D436="",0,IFERROR(LOOKUP(2,1/(($D$3:D435=$D436)*($A$3:A435&lt;$A436)),$N$3:N435),'Guide &amp; Settings'!$C$41))</f>
        <v>0</v>
      </c>
      <c r="I436" s="117">
        <f t="shared" si="104"/>
        <v>0</v>
      </c>
      <c r="J436" s="118">
        <f>IF($D436="",0,IF($F436&lt;2,0,IF($E436="Win",('Guide &amp; Settings'!$C$42/(($F436-1)*COUNTIFS($A$4:$A$810,$A436,$E$4:$E$810,"Win")))*SUMIFS($X$4:$X$810,$A$4:$A$810,$A436,$E$4:$E$810,"Loss"),-('Guide &amp; Settings'!$C$42/($F436-1))*$X436)))</f>
        <v>0</v>
      </c>
      <c r="K436" s="118">
        <f>IF($D436="",0,'Guide &amp; Settings'!$C$43*(IF($E436="Win",1,0)-$I436))</f>
        <v>0</v>
      </c>
      <c r="L436" s="119">
        <f>IF($D436="",0,'Guide &amp; Settings'!$C$44*IF($F436&gt;=3,$F436,0))</f>
        <v>0</v>
      </c>
      <c r="M436" s="118">
        <f t="shared" si="105"/>
        <v>0</v>
      </c>
      <c r="N436" s="116">
        <f t="shared" si="106"/>
        <v>0</v>
      </c>
      <c r="O436" s="115" t="str">
        <f t="shared" si="107"/>
        <v/>
      </c>
      <c r="P436">
        <f t="shared" si="108"/>
        <v>0</v>
      </c>
      <c r="Q436">
        <f t="shared" si="109"/>
        <v>0</v>
      </c>
      <c r="R436">
        <f t="shared" si="110"/>
        <v>0</v>
      </c>
      <c r="S436">
        <f t="shared" si="111"/>
        <v>0</v>
      </c>
      <c r="T436" s="83">
        <f t="shared" si="112"/>
        <v>0</v>
      </c>
      <c r="U436" s="120">
        <f>IF($D436="",0,IFERROR(LOOKUP(2,1/(($D$3:D435=$D436)*($C$3:C435=$C436)*($A$3:A435&lt;$A436)),$AB$3:AB435),1000))</f>
        <v>0</v>
      </c>
      <c r="V436" s="120">
        <f t="shared" si="113"/>
        <v>0</v>
      </c>
      <c r="W436">
        <f t="shared" si="114"/>
        <v>0</v>
      </c>
      <c r="X436">
        <f t="shared" si="115"/>
        <v>0</v>
      </c>
      <c r="Y436">
        <f t="shared" si="116"/>
        <v>0</v>
      </c>
      <c r="Z436">
        <f t="shared" si="117"/>
        <v>0</v>
      </c>
      <c r="AA436">
        <f>IF($D436="",0,IF($F436&lt;2,0,IF($E436="Win",('Guide &amp; Settings'!$C$42/(($F436-1)*COUNTIFS($A$4:$A$810,$A436,$E$4:$E$810,"Win")))*SUMIFS($Z$4:$Z$810,$A$4:$A$810,$A436,$E$4:$E$810,"Loss"),-('Guide &amp; Settings'!$C$42/($F436-1))*$Z436)))</f>
        <v>0</v>
      </c>
      <c r="AB436" s="120">
        <f t="shared" si="118"/>
        <v>0</v>
      </c>
      <c r="AC436" s="120" t="str">
        <f>IF($D436="","",IF(SUMPRODUCT(MAX(($D$4:$D$810=$D436)*($B$4:$B$810&lt;$B436)*$B$4:$B$810))=0,0,MAX(($B436-MAX(SUMPRODUCT(MAX(($D$4:$D$810=$D436)*($B$4:$B$810&lt;$B436)*$B$4:$B$810)),'Guide &amp; Settings'!$C$50))/7-'Guide &amp; Settings'!$C$48,0)*'Guide &amp; Settings'!$C$49))</f>
        <v/>
      </c>
    </row>
    <row r="437" spans="1:29" x14ac:dyDescent="0.2">
      <c r="A437" s="111"/>
      <c r="B437" s="112"/>
      <c r="C437" s="113"/>
      <c r="D437" s="113"/>
      <c r="E437" s="111"/>
      <c r="F437" s="114">
        <f t="shared" si="102"/>
        <v>0</v>
      </c>
      <c r="G437" s="115" t="str">
        <f t="shared" si="103"/>
        <v/>
      </c>
      <c r="H437" s="116">
        <f>IF($D437="",0,IFERROR(LOOKUP(2,1/(($D$3:D436=$D437)*($A$3:A436&lt;$A437)),$N$3:N436),'Guide &amp; Settings'!$C$41))</f>
        <v>0</v>
      </c>
      <c r="I437" s="117">
        <f t="shared" si="104"/>
        <v>0</v>
      </c>
      <c r="J437" s="118">
        <f>IF($D437="",0,IF($F437&lt;2,0,IF($E437="Win",('Guide &amp; Settings'!$C$42/(($F437-1)*COUNTIFS($A$4:$A$810,$A437,$E$4:$E$810,"Win")))*SUMIFS($X$4:$X$810,$A$4:$A$810,$A437,$E$4:$E$810,"Loss"),-('Guide &amp; Settings'!$C$42/($F437-1))*$X437)))</f>
        <v>0</v>
      </c>
      <c r="K437" s="118">
        <f>IF($D437="",0,'Guide &amp; Settings'!$C$43*(IF($E437="Win",1,0)-$I437))</f>
        <v>0</v>
      </c>
      <c r="L437" s="119">
        <f>IF($D437="",0,'Guide &amp; Settings'!$C$44*IF($F437&gt;=3,$F437,0))</f>
        <v>0</v>
      </c>
      <c r="M437" s="118">
        <f t="shared" si="105"/>
        <v>0</v>
      </c>
      <c r="N437" s="116">
        <f t="shared" si="106"/>
        <v>0</v>
      </c>
      <c r="O437" s="115" t="str">
        <f t="shared" si="107"/>
        <v/>
      </c>
      <c r="P437">
        <f t="shared" si="108"/>
        <v>0</v>
      </c>
      <c r="Q437">
        <f t="shared" si="109"/>
        <v>0</v>
      </c>
      <c r="R437">
        <f t="shared" si="110"/>
        <v>0</v>
      </c>
      <c r="S437">
        <f t="shared" si="111"/>
        <v>0</v>
      </c>
      <c r="T437" s="83">
        <f t="shared" si="112"/>
        <v>0</v>
      </c>
      <c r="U437" s="120">
        <f>IF($D437="",0,IFERROR(LOOKUP(2,1/(($D$3:D436=$D437)*($C$3:C436=$C437)*($A$3:A436&lt;$A437)),$AB$3:AB436),1000))</f>
        <v>0</v>
      </c>
      <c r="V437" s="120">
        <f t="shared" si="113"/>
        <v>0</v>
      </c>
      <c r="W437">
        <f t="shared" si="114"/>
        <v>0</v>
      </c>
      <c r="X437">
        <f t="shared" si="115"/>
        <v>0</v>
      </c>
      <c r="Y437">
        <f t="shared" si="116"/>
        <v>0</v>
      </c>
      <c r="Z437">
        <f t="shared" si="117"/>
        <v>0</v>
      </c>
      <c r="AA437">
        <f>IF($D437="",0,IF($F437&lt;2,0,IF($E437="Win",('Guide &amp; Settings'!$C$42/(($F437-1)*COUNTIFS($A$4:$A$810,$A437,$E$4:$E$810,"Win")))*SUMIFS($Z$4:$Z$810,$A$4:$A$810,$A437,$E$4:$E$810,"Loss"),-('Guide &amp; Settings'!$C$42/($F437-1))*$Z437)))</f>
        <v>0</v>
      </c>
      <c r="AB437" s="120">
        <f t="shared" si="118"/>
        <v>0</v>
      </c>
      <c r="AC437" s="120" t="str">
        <f>IF($D437="","",IF(SUMPRODUCT(MAX(($D$4:$D$810=$D437)*($B$4:$B$810&lt;$B437)*$B$4:$B$810))=0,0,MAX(($B437-MAX(SUMPRODUCT(MAX(($D$4:$D$810=$D437)*($B$4:$B$810&lt;$B437)*$B$4:$B$810)),'Guide &amp; Settings'!$C$50))/7-'Guide &amp; Settings'!$C$48,0)*'Guide &amp; Settings'!$C$49))</f>
        <v/>
      </c>
    </row>
    <row r="438" spans="1:29" x14ac:dyDescent="0.2">
      <c r="A438" s="111"/>
      <c r="B438" s="112"/>
      <c r="C438" s="113"/>
      <c r="D438" s="113"/>
      <c r="E438" s="111"/>
      <c r="F438" s="114">
        <f t="shared" si="102"/>
        <v>0</v>
      </c>
      <c r="G438" s="115" t="str">
        <f t="shared" si="103"/>
        <v/>
      </c>
      <c r="H438" s="116">
        <f>IF($D438="",0,IFERROR(LOOKUP(2,1/(($D$3:D437=$D438)*($A$3:A437&lt;$A438)),$N$3:N437),'Guide &amp; Settings'!$C$41))</f>
        <v>0</v>
      </c>
      <c r="I438" s="117">
        <f t="shared" si="104"/>
        <v>0</v>
      </c>
      <c r="J438" s="118">
        <f>IF($D438="",0,IF($F438&lt;2,0,IF($E438="Win",('Guide &amp; Settings'!$C$42/(($F438-1)*COUNTIFS($A$4:$A$810,$A438,$E$4:$E$810,"Win")))*SUMIFS($X$4:$X$810,$A$4:$A$810,$A438,$E$4:$E$810,"Loss"),-('Guide &amp; Settings'!$C$42/($F438-1))*$X438)))</f>
        <v>0</v>
      </c>
      <c r="K438" s="118">
        <f>IF($D438="",0,'Guide &amp; Settings'!$C$43*(IF($E438="Win",1,0)-$I438))</f>
        <v>0</v>
      </c>
      <c r="L438" s="119">
        <f>IF($D438="",0,'Guide &amp; Settings'!$C$44*IF($F438&gt;=3,$F438,0))</f>
        <v>0</v>
      </c>
      <c r="M438" s="118">
        <f t="shared" si="105"/>
        <v>0</v>
      </c>
      <c r="N438" s="116">
        <f t="shared" si="106"/>
        <v>0</v>
      </c>
      <c r="O438" s="115" t="str">
        <f t="shared" si="107"/>
        <v/>
      </c>
      <c r="P438">
        <f t="shared" si="108"/>
        <v>0</v>
      </c>
      <c r="Q438">
        <f t="shared" si="109"/>
        <v>0</v>
      </c>
      <c r="R438">
        <f t="shared" si="110"/>
        <v>0</v>
      </c>
      <c r="S438">
        <f t="shared" si="111"/>
        <v>0</v>
      </c>
      <c r="T438" s="83">
        <f t="shared" si="112"/>
        <v>0</v>
      </c>
      <c r="U438" s="120">
        <f>IF($D438="",0,IFERROR(LOOKUP(2,1/(($D$3:D437=$D438)*($C$3:C437=$C438)*($A$3:A437&lt;$A438)),$AB$3:AB437),1000))</f>
        <v>0</v>
      </c>
      <c r="V438" s="120">
        <f t="shared" si="113"/>
        <v>0</v>
      </c>
      <c r="W438">
        <f t="shared" si="114"/>
        <v>0</v>
      </c>
      <c r="X438">
        <f t="shared" si="115"/>
        <v>0</v>
      </c>
      <c r="Y438">
        <f t="shared" si="116"/>
        <v>0</v>
      </c>
      <c r="Z438">
        <f t="shared" si="117"/>
        <v>0</v>
      </c>
      <c r="AA438">
        <f>IF($D438="",0,IF($F438&lt;2,0,IF($E438="Win",('Guide &amp; Settings'!$C$42/(($F438-1)*COUNTIFS($A$4:$A$810,$A438,$E$4:$E$810,"Win")))*SUMIFS($Z$4:$Z$810,$A$4:$A$810,$A438,$E$4:$E$810,"Loss"),-('Guide &amp; Settings'!$C$42/($F438-1))*$Z438)))</f>
        <v>0</v>
      </c>
      <c r="AB438" s="120">
        <f t="shared" si="118"/>
        <v>0</v>
      </c>
      <c r="AC438" s="120" t="str">
        <f>IF($D438="","",IF(SUMPRODUCT(MAX(($D$4:$D$810=$D438)*($B$4:$B$810&lt;$B438)*$B$4:$B$810))=0,0,MAX(($B438-MAX(SUMPRODUCT(MAX(($D$4:$D$810=$D438)*($B$4:$B$810&lt;$B438)*$B$4:$B$810)),'Guide &amp; Settings'!$C$50))/7-'Guide &amp; Settings'!$C$48,0)*'Guide &amp; Settings'!$C$49))</f>
        <v/>
      </c>
    </row>
    <row r="439" spans="1:29" x14ac:dyDescent="0.2">
      <c r="A439" s="111"/>
      <c r="B439" s="112"/>
      <c r="C439" s="113"/>
      <c r="D439" s="113"/>
      <c r="E439" s="111"/>
      <c r="F439" s="114">
        <f t="shared" si="102"/>
        <v>0</v>
      </c>
      <c r="G439" s="115" t="str">
        <f t="shared" si="103"/>
        <v/>
      </c>
      <c r="H439" s="116">
        <f>IF($D439="",0,IFERROR(LOOKUP(2,1/(($D$3:D438=$D439)*($A$3:A438&lt;$A439)),$N$3:N438),'Guide &amp; Settings'!$C$41))</f>
        <v>0</v>
      </c>
      <c r="I439" s="117">
        <f t="shared" si="104"/>
        <v>0</v>
      </c>
      <c r="J439" s="118">
        <f>IF($D439="",0,IF($F439&lt;2,0,IF($E439="Win",('Guide &amp; Settings'!$C$42/(($F439-1)*COUNTIFS($A$4:$A$810,$A439,$E$4:$E$810,"Win")))*SUMIFS($X$4:$X$810,$A$4:$A$810,$A439,$E$4:$E$810,"Loss"),-('Guide &amp; Settings'!$C$42/($F439-1))*$X439)))</f>
        <v>0</v>
      </c>
      <c r="K439" s="118">
        <f>IF($D439="",0,'Guide &amp; Settings'!$C$43*(IF($E439="Win",1,0)-$I439))</f>
        <v>0</v>
      </c>
      <c r="L439" s="119">
        <f>IF($D439="",0,'Guide &amp; Settings'!$C$44*IF($F439&gt;=3,$F439,0))</f>
        <v>0</v>
      </c>
      <c r="M439" s="118">
        <f t="shared" si="105"/>
        <v>0</v>
      </c>
      <c r="N439" s="116">
        <f t="shared" si="106"/>
        <v>0</v>
      </c>
      <c r="O439" s="115" t="str">
        <f t="shared" si="107"/>
        <v/>
      </c>
      <c r="P439">
        <f t="shared" si="108"/>
        <v>0</v>
      </c>
      <c r="Q439">
        <f t="shared" si="109"/>
        <v>0</v>
      </c>
      <c r="R439">
        <f t="shared" si="110"/>
        <v>0</v>
      </c>
      <c r="S439">
        <f t="shared" si="111"/>
        <v>0</v>
      </c>
      <c r="T439" s="83">
        <f t="shared" si="112"/>
        <v>0</v>
      </c>
      <c r="U439" s="120">
        <f>IF($D439="",0,IFERROR(LOOKUP(2,1/(($D$3:D438=$D439)*($C$3:C438=$C439)*($A$3:A438&lt;$A439)),$AB$3:AB438),1000))</f>
        <v>0</v>
      </c>
      <c r="V439" s="120">
        <f t="shared" si="113"/>
        <v>0</v>
      </c>
      <c r="W439">
        <f t="shared" si="114"/>
        <v>0</v>
      </c>
      <c r="X439">
        <f t="shared" si="115"/>
        <v>0</v>
      </c>
      <c r="Y439">
        <f t="shared" si="116"/>
        <v>0</v>
      </c>
      <c r="Z439">
        <f t="shared" si="117"/>
        <v>0</v>
      </c>
      <c r="AA439">
        <f>IF($D439="",0,IF($F439&lt;2,0,IF($E439="Win",('Guide &amp; Settings'!$C$42/(($F439-1)*COUNTIFS($A$4:$A$810,$A439,$E$4:$E$810,"Win")))*SUMIFS($Z$4:$Z$810,$A$4:$A$810,$A439,$E$4:$E$810,"Loss"),-('Guide &amp; Settings'!$C$42/($F439-1))*$Z439)))</f>
        <v>0</v>
      </c>
      <c r="AB439" s="120">
        <f t="shared" si="118"/>
        <v>0</v>
      </c>
      <c r="AC439" s="120" t="str">
        <f>IF($D439="","",IF(SUMPRODUCT(MAX(($D$4:$D$810=$D439)*($B$4:$B$810&lt;$B439)*$B$4:$B$810))=0,0,MAX(($B439-MAX(SUMPRODUCT(MAX(($D$4:$D$810=$D439)*($B$4:$B$810&lt;$B439)*$B$4:$B$810)),'Guide &amp; Settings'!$C$50))/7-'Guide &amp; Settings'!$C$48,0)*'Guide &amp; Settings'!$C$49))</f>
        <v/>
      </c>
    </row>
    <row r="440" spans="1:29" x14ac:dyDescent="0.2">
      <c r="A440" s="111"/>
      <c r="B440" s="112"/>
      <c r="C440" s="113"/>
      <c r="D440" s="113"/>
      <c r="E440" s="111"/>
      <c r="F440" s="114">
        <f t="shared" ref="F440:F503" si="119">IF($D440="",0,COUNTIF($A$4:$A$810,$A440))</f>
        <v>0</v>
      </c>
      <c r="G440" s="115" t="str">
        <f t="shared" ref="G440:G503" si="120">IF($D440="","",IFERROR(LOOKUP(2,1/(($A$4:$A$810=$A440)*($E$4:$E$810="Win")),$D$4:$D$810),"(no winner)"))</f>
        <v/>
      </c>
      <c r="H440" s="116">
        <f>IF($D440="",0,IFERROR(LOOKUP(2,1/(($D$3:D439=$D440)*($A$3:A439&lt;$A440)),$N$3:N439),'Guide &amp; Settings'!$C$41))</f>
        <v>0</v>
      </c>
      <c r="I440" s="117">
        <f t="shared" ref="I440:I503" si="121">IF($D440="",0,IF($S440=0,0,$R440/$S440))</f>
        <v>0</v>
      </c>
      <c r="J440" s="118">
        <f>IF($D440="",0,IF($F440&lt;2,0,IF($E440="Win",('Guide &amp; Settings'!$C$42/(($F440-1)*COUNTIFS($A$4:$A$810,$A440,$E$4:$E$810,"Win")))*SUMIFS($X$4:$X$810,$A$4:$A$810,$A440,$E$4:$E$810,"Loss"),-('Guide &amp; Settings'!$C$42/($F440-1))*$X440)))</f>
        <v>0</v>
      </c>
      <c r="K440" s="118">
        <f>IF($D440="",0,'Guide &amp; Settings'!$C$43*(IF($E440="Win",1,0)-$I440))</f>
        <v>0</v>
      </c>
      <c r="L440" s="119">
        <f>IF($D440="",0,'Guide &amp; Settings'!$C$44*IF($F440&gt;=3,$F440,0))</f>
        <v>0</v>
      </c>
      <c r="M440" s="118">
        <f t="shared" ref="M440:M503" si="122">IF($D440="",0,$J440+$K440+$L440)</f>
        <v>0</v>
      </c>
      <c r="N440" s="116">
        <f t="shared" ref="N440:N503" si="123">IF($D440="",0,$H440+$M440)</f>
        <v>0</v>
      </c>
      <c r="O440" s="115" t="str">
        <f t="shared" ref="O440:O503" si="124">IF($D440="","",IF(COUNTIFS($A$4:$A$810,$A440,$E$4:$E$810,"Win")=0,"need a winner",IF(COUNTIFS($A$4:$A$810,$A440,$E$4:$E$810,"Loss")=0,"need a loser",IF(COUNTIFS($A$4:$A$810,$A440,$D$4:$D$810,$D440)&gt;1,"duplicate player","OK"))))</f>
        <v/>
      </c>
      <c r="P440">
        <f t="shared" ref="P440:P503" si="125">IF($D440="",0,IFERROR(SUMIFS($H$4:$H$810,$A$4:$A$810,$A440,$E$4:$E$810,"Win")/COUNTIFS($A$4:$A$810,$A440,$E$4:$E$810,"Win"),0))</f>
        <v>0</v>
      </c>
      <c r="Q440">
        <f t="shared" ref="Q440:Q503" si="126">IF($D440="",0,1/(1+10^(($P440-$H440)/400)))</f>
        <v>0</v>
      </c>
      <c r="R440">
        <f t="shared" ref="R440:R503" si="127">IF($D440="",0,(COUNTIFS($D$4:$D$810,$D440,$C$4:$C$810,$C440,$E$4:$E$810,"Win",$A$4:$A$810,"&lt;"&amp;$A440)+1)/(COUNTIFS($D$4:$D$810,$D440,$C$4:$C$810,$C440,$A$4:$A$810,"&lt;"&amp;$A440)+2))</f>
        <v>0</v>
      </c>
      <c r="S440">
        <f t="shared" ref="S440:S503" si="128">IF($D440="",0,SUMIFS($R$4:$R$810,$A$4:$A$810,$A440))</f>
        <v>0</v>
      </c>
      <c r="T440" s="83">
        <f t="shared" ref="T440:T503" si="129">IF($D440="",0,COUNTIFS($D$4:$D$810,$D440,$C$4:$C$810,$C440,$A$4:$A$810,"&lt;"&amp;$A440))</f>
        <v>0</v>
      </c>
      <c r="U440" s="120">
        <f>IF($D440="",0,IFERROR(LOOKUP(2,1/(($D$3:D439=$D440)*($C$3:C439=$C440)*($A$3:A439&lt;$A440)),$AB$3:AB439),1000))</f>
        <v>0</v>
      </c>
      <c r="V440" s="120">
        <f t="shared" ref="V440:V503" si="130">IF($D440="",0,$U440*($T440/($T440+5))+$H440*(1-$T440/($T440+5)))</f>
        <v>0</v>
      </c>
      <c r="W440">
        <f t="shared" ref="W440:W503" si="131">IF($D440="",0,IFERROR(SUMIFS($V$4:$V$810,$A$4:$A$810,$A440,$E$4:$E$810,"Win")/COUNTIFS($A$4:$A$810,$A440,$E$4:$E$810,"Win"),0))</f>
        <v>0</v>
      </c>
      <c r="X440">
        <f t="shared" ref="X440:X503" si="132">IF($D440="",0,1/(1+10^(($W440-$V440)/400)))</f>
        <v>0</v>
      </c>
      <c r="Y440">
        <f t="shared" ref="Y440:Y503" si="133">IF($D440="",0,IFERROR(SUMIFS($U$4:$U$810,$A$4:$A$810,$A440,$E$4:$E$810,"Win")/COUNTIFS($A$4:$A$810,$A440,$E$4:$E$810,"Win"),0))</f>
        <v>0</v>
      </c>
      <c r="Z440">
        <f t="shared" ref="Z440:Z503" si="134">IF($D440="",0,1/(1+10^(($Y440-$U440)/400)))</f>
        <v>0</v>
      </c>
      <c r="AA440">
        <f>IF($D440="",0,IF($F440&lt;2,0,IF($E440="Win",('Guide &amp; Settings'!$C$42/(($F440-1)*COUNTIFS($A$4:$A$810,$A440,$E$4:$E$810,"Win")))*SUMIFS($Z$4:$Z$810,$A$4:$A$810,$A440,$E$4:$E$810,"Loss"),-('Guide &amp; Settings'!$C$42/($F440-1))*$Z440)))</f>
        <v>0</v>
      </c>
      <c r="AB440" s="120">
        <f t="shared" ref="AB440:AB503" si="135">IF($D440="",0,$U440+$AA440)</f>
        <v>0</v>
      </c>
      <c r="AC440" s="120" t="str">
        <f>IF($D440="","",IF(SUMPRODUCT(MAX(($D$4:$D$810=$D440)*($B$4:$B$810&lt;$B440)*$B$4:$B$810))=0,0,MAX(($B440-MAX(SUMPRODUCT(MAX(($D$4:$D$810=$D440)*($B$4:$B$810&lt;$B440)*$B$4:$B$810)),'Guide &amp; Settings'!$C$50))/7-'Guide &amp; Settings'!$C$48,0)*'Guide &amp; Settings'!$C$49))</f>
        <v/>
      </c>
    </row>
    <row r="441" spans="1:29" x14ac:dyDescent="0.2">
      <c r="A441" s="111"/>
      <c r="B441" s="112"/>
      <c r="C441" s="113"/>
      <c r="D441" s="113"/>
      <c r="E441" s="111"/>
      <c r="F441" s="114">
        <f t="shared" si="119"/>
        <v>0</v>
      </c>
      <c r="G441" s="115" t="str">
        <f t="shared" si="120"/>
        <v/>
      </c>
      <c r="H441" s="116">
        <f>IF($D441="",0,IFERROR(LOOKUP(2,1/(($D$3:D440=$D441)*($A$3:A440&lt;$A441)),$N$3:N440),'Guide &amp; Settings'!$C$41))</f>
        <v>0</v>
      </c>
      <c r="I441" s="117">
        <f t="shared" si="121"/>
        <v>0</v>
      </c>
      <c r="J441" s="118">
        <f>IF($D441="",0,IF($F441&lt;2,0,IF($E441="Win",('Guide &amp; Settings'!$C$42/(($F441-1)*COUNTIFS($A$4:$A$810,$A441,$E$4:$E$810,"Win")))*SUMIFS($X$4:$X$810,$A$4:$A$810,$A441,$E$4:$E$810,"Loss"),-('Guide &amp; Settings'!$C$42/($F441-1))*$X441)))</f>
        <v>0</v>
      </c>
      <c r="K441" s="118">
        <f>IF($D441="",0,'Guide &amp; Settings'!$C$43*(IF($E441="Win",1,0)-$I441))</f>
        <v>0</v>
      </c>
      <c r="L441" s="119">
        <f>IF($D441="",0,'Guide &amp; Settings'!$C$44*IF($F441&gt;=3,$F441,0))</f>
        <v>0</v>
      </c>
      <c r="M441" s="118">
        <f t="shared" si="122"/>
        <v>0</v>
      </c>
      <c r="N441" s="116">
        <f t="shared" si="123"/>
        <v>0</v>
      </c>
      <c r="O441" s="115" t="str">
        <f t="shared" si="124"/>
        <v/>
      </c>
      <c r="P441">
        <f t="shared" si="125"/>
        <v>0</v>
      </c>
      <c r="Q441">
        <f t="shared" si="126"/>
        <v>0</v>
      </c>
      <c r="R441">
        <f t="shared" si="127"/>
        <v>0</v>
      </c>
      <c r="S441">
        <f t="shared" si="128"/>
        <v>0</v>
      </c>
      <c r="T441" s="83">
        <f t="shared" si="129"/>
        <v>0</v>
      </c>
      <c r="U441" s="120">
        <f>IF($D441="",0,IFERROR(LOOKUP(2,1/(($D$3:D440=$D441)*($C$3:C440=$C441)*($A$3:A440&lt;$A441)),$AB$3:AB440),1000))</f>
        <v>0</v>
      </c>
      <c r="V441" s="120">
        <f t="shared" si="130"/>
        <v>0</v>
      </c>
      <c r="W441">
        <f t="shared" si="131"/>
        <v>0</v>
      </c>
      <c r="X441">
        <f t="shared" si="132"/>
        <v>0</v>
      </c>
      <c r="Y441">
        <f t="shared" si="133"/>
        <v>0</v>
      </c>
      <c r="Z441">
        <f t="shared" si="134"/>
        <v>0</v>
      </c>
      <c r="AA441">
        <f>IF($D441="",0,IF($F441&lt;2,0,IF($E441="Win",('Guide &amp; Settings'!$C$42/(($F441-1)*COUNTIFS($A$4:$A$810,$A441,$E$4:$E$810,"Win")))*SUMIFS($Z$4:$Z$810,$A$4:$A$810,$A441,$E$4:$E$810,"Loss"),-('Guide &amp; Settings'!$C$42/($F441-1))*$Z441)))</f>
        <v>0</v>
      </c>
      <c r="AB441" s="120">
        <f t="shared" si="135"/>
        <v>0</v>
      </c>
      <c r="AC441" s="120" t="str">
        <f>IF($D441="","",IF(SUMPRODUCT(MAX(($D$4:$D$810=$D441)*($B$4:$B$810&lt;$B441)*$B$4:$B$810))=0,0,MAX(($B441-MAX(SUMPRODUCT(MAX(($D$4:$D$810=$D441)*($B$4:$B$810&lt;$B441)*$B$4:$B$810)),'Guide &amp; Settings'!$C$50))/7-'Guide &amp; Settings'!$C$48,0)*'Guide &amp; Settings'!$C$49))</f>
        <v/>
      </c>
    </row>
    <row r="442" spans="1:29" x14ac:dyDescent="0.2">
      <c r="A442" s="111"/>
      <c r="B442" s="112"/>
      <c r="C442" s="113"/>
      <c r="D442" s="113"/>
      <c r="E442" s="111"/>
      <c r="F442" s="114">
        <f t="shared" si="119"/>
        <v>0</v>
      </c>
      <c r="G442" s="115" t="str">
        <f t="shared" si="120"/>
        <v/>
      </c>
      <c r="H442" s="116">
        <f>IF($D442="",0,IFERROR(LOOKUP(2,1/(($D$3:D441=$D442)*($A$3:A441&lt;$A442)),$N$3:N441),'Guide &amp; Settings'!$C$41))</f>
        <v>0</v>
      </c>
      <c r="I442" s="117">
        <f t="shared" si="121"/>
        <v>0</v>
      </c>
      <c r="J442" s="118">
        <f>IF($D442="",0,IF($F442&lt;2,0,IF($E442="Win",('Guide &amp; Settings'!$C$42/(($F442-1)*COUNTIFS($A$4:$A$810,$A442,$E$4:$E$810,"Win")))*SUMIFS($X$4:$X$810,$A$4:$A$810,$A442,$E$4:$E$810,"Loss"),-('Guide &amp; Settings'!$C$42/($F442-1))*$X442)))</f>
        <v>0</v>
      </c>
      <c r="K442" s="118">
        <f>IF($D442="",0,'Guide &amp; Settings'!$C$43*(IF($E442="Win",1,0)-$I442))</f>
        <v>0</v>
      </c>
      <c r="L442" s="119">
        <f>IF($D442="",0,'Guide &amp; Settings'!$C$44*IF($F442&gt;=3,$F442,0))</f>
        <v>0</v>
      </c>
      <c r="M442" s="118">
        <f t="shared" si="122"/>
        <v>0</v>
      </c>
      <c r="N442" s="116">
        <f t="shared" si="123"/>
        <v>0</v>
      </c>
      <c r="O442" s="115" t="str">
        <f t="shared" si="124"/>
        <v/>
      </c>
      <c r="P442">
        <f t="shared" si="125"/>
        <v>0</v>
      </c>
      <c r="Q442">
        <f t="shared" si="126"/>
        <v>0</v>
      </c>
      <c r="R442">
        <f t="shared" si="127"/>
        <v>0</v>
      </c>
      <c r="S442">
        <f t="shared" si="128"/>
        <v>0</v>
      </c>
      <c r="T442" s="83">
        <f t="shared" si="129"/>
        <v>0</v>
      </c>
      <c r="U442" s="120">
        <f>IF($D442="",0,IFERROR(LOOKUP(2,1/(($D$3:D441=$D442)*($C$3:C441=$C442)*($A$3:A441&lt;$A442)),$AB$3:AB441),1000))</f>
        <v>0</v>
      </c>
      <c r="V442" s="120">
        <f t="shared" si="130"/>
        <v>0</v>
      </c>
      <c r="W442">
        <f t="shared" si="131"/>
        <v>0</v>
      </c>
      <c r="X442">
        <f t="shared" si="132"/>
        <v>0</v>
      </c>
      <c r="Y442">
        <f t="shared" si="133"/>
        <v>0</v>
      </c>
      <c r="Z442">
        <f t="shared" si="134"/>
        <v>0</v>
      </c>
      <c r="AA442">
        <f>IF($D442="",0,IF($F442&lt;2,0,IF($E442="Win",('Guide &amp; Settings'!$C$42/(($F442-1)*COUNTIFS($A$4:$A$810,$A442,$E$4:$E$810,"Win")))*SUMIFS($Z$4:$Z$810,$A$4:$A$810,$A442,$E$4:$E$810,"Loss"),-('Guide &amp; Settings'!$C$42/($F442-1))*$Z442)))</f>
        <v>0</v>
      </c>
      <c r="AB442" s="120">
        <f t="shared" si="135"/>
        <v>0</v>
      </c>
      <c r="AC442" s="120" t="str">
        <f>IF($D442="","",IF(SUMPRODUCT(MAX(($D$4:$D$810=$D442)*($B$4:$B$810&lt;$B442)*$B$4:$B$810))=0,0,MAX(($B442-MAX(SUMPRODUCT(MAX(($D$4:$D$810=$D442)*($B$4:$B$810&lt;$B442)*$B$4:$B$810)),'Guide &amp; Settings'!$C$50))/7-'Guide &amp; Settings'!$C$48,0)*'Guide &amp; Settings'!$C$49))</f>
        <v/>
      </c>
    </row>
    <row r="443" spans="1:29" x14ac:dyDescent="0.2">
      <c r="A443" s="111"/>
      <c r="B443" s="112"/>
      <c r="C443" s="113"/>
      <c r="D443" s="113"/>
      <c r="E443" s="111"/>
      <c r="F443" s="114">
        <f t="shared" si="119"/>
        <v>0</v>
      </c>
      <c r="G443" s="115" t="str">
        <f t="shared" si="120"/>
        <v/>
      </c>
      <c r="H443" s="116">
        <f>IF($D443="",0,IFERROR(LOOKUP(2,1/(($D$3:D442=$D443)*($A$3:A442&lt;$A443)),$N$3:N442),'Guide &amp; Settings'!$C$41))</f>
        <v>0</v>
      </c>
      <c r="I443" s="117">
        <f t="shared" si="121"/>
        <v>0</v>
      </c>
      <c r="J443" s="118">
        <f>IF($D443="",0,IF($F443&lt;2,0,IF($E443="Win",('Guide &amp; Settings'!$C$42/(($F443-1)*COUNTIFS($A$4:$A$810,$A443,$E$4:$E$810,"Win")))*SUMIFS($X$4:$X$810,$A$4:$A$810,$A443,$E$4:$E$810,"Loss"),-('Guide &amp; Settings'!$C$42/($F443-1))*$X443)))</f>
        <v>0</v>
      </c>
      <c r="K443" s="118">
        <f>IF($D443="",0,'Guide &amp; Settings'!$C$43*(IF($E443="Win",1,0)-$I443))</f>
        <v>0</v>
      </c>
      <c r="L443" s="119">
        <f>IF($D443="",0,'Guide &amp; Settings'!$C$44*IF($F443&gt;=3,$F443,0))</f>
        <v>0</v>
      </c>
      <c r="M443" s="118">
        <f t="shared" si="122"/>
        <v>0</v>
      </c>
      <c r="N443" s="116">
        <f t="shared" si="123"/>
        <v>0</v>
      </c>
      <c r="O443" s="115" t="str">
        <f t="shared" si="124"/>
        <v/>
      </c>
      <c r="P443">
        <f t="shared" si="125"/>
        <v>0</v>
      </c>
      <c r="Q443">
        <f t="shared" si="126"/>
        <v>0</v>
      </c>
      <c r="R443">
        <f t="shared" si="127"/>
        <v>0</v>
      </c>
      <c r="S443">
        <f t="shared" si="128"/>
        <v>0</v>
      </c>
      <c r="T443" s="83">
        <f t="shared" si="129"/>
        <v>0</v>
      </c>
      <c r="U443" s="120">
        <f>IF($D443="",0,IFERROR(LOOKUP(2,1/(($D$3:D442=$D443)*($C$3:C442=$C443)*($A$3:A442&lt;$A443)),$AB$3:AB442),1000))</f>
        <v>0</v>
      </c>
      <c r="V443" s="120">
        <f t="shared" si="130"/>
        <v>0</v>
      </c>
      <c r="W443">
        <f t="shared" si="131"/>
        <v>0</v>
      </c>
      <c r="X443">
        <f t="shared" si="132"/>
        <v>0</v>
      </c>
      <c r="Y443">
        <f t="shared" si="133"/>
        <v>0</v>
      </c>
      <c r="Z443">
        <f t="shared" si="134"/>
        <v>0</v>
      </c>
      <c r="AA443">
        <f>IF($D443="",0,IF($F443&lt;2,0,IF($E443="Win",('Guide &amp; Settings'!$C$42/(($F443-1)*COUNTIFS($A$4:$A$810,$A443,$E$4:$E$810,"Win")))*SUMIFS($Z$4:$Z$810,$A$4:$A$810,$A443,$E$4:$E$810,"Loss"),-('Guide &amp; Settings'!$C$42/($F443-1))*$Z443)))</f>
        <v>0</v>
      </c>
      <c r="AB443" s="120">
        <f t="shared" si="135"/>
        <v>0</v>
      </c>
      <c r="AC443" s="120" t="str">
        <f>IF($D443="","",IF(SUMPRODUCT(MAX(($D$4:$D$810=$D443)*($B$4:$B$810&lt;$B443)*$B$4:$B$810))=0,0,MAX(($B443-MAX(SUMPRODUCT(MAX(($D$4:$D$810=$D443)*($B$4:$B$810&lt;$B443)*$B$4:$B$810)),'Guide &amp; Settings'!$C$50))/7-'Guide &amp; Settings'!$C$48,0)*'Guide &amp; Settings'!$C$49))</f>
        <v/>
      </c>
    </row>
    <row r="444" spans="1:29" x14ac:dyDescent="0.2">
      <c r="A444" s="111"/>
      <c r="B444" s="112"/>
      <c r="C444" s="113"/>
      <c r="D444" s="113"/>
      <c r="E444" s="111"/>
      <c r="F444" s="114">
        <f t="shared" si="119"/>
        <v>0</v>
      </c>
      <c r="G444" s="115" t="str">
        <f t="shared" si="120"/>
        <v/>
      </c>
      <c r="H444" s="116">
        <f>IF($D444="",0,IFERROR(LOOKUP(2,1/(($D$3:D443=$D444)*($A$3:A443&lt;$A444)),$N$3:N443),'Guide &amp; Settings'!$C$41))</f>
        <v>0</v>
      </c>
      <c r="I444" s="117">
        <f t="shared" si="121"/>
        <v>0</v>
      </c>
      <c r="J444" s="118">
        <f>IF($D444="",0,IF($F444&lt;2,0,IF($E444="Win",('Guide &amp; Settings'!$C$42/(($F444-1)*COUNTIFS($A$4:$A$810,$A444,$E$4:$E$810,"Win")))*SUMIFS($X$4:$X$810,$A$4:$A$810,$A444,$E$4:$E$810,"Loss"),-('Guide &amp; Settings'!$C$42/($F444-1))*$X444)))</f>
        <v>0</v>
      </c>
      <c r="K444" s="118">
        <f>IF($D444="",0,'Guide &amp; Settings'!$C$43*(IF($E444="Win",1,0)-$I444))</f>
        <v>0</v>
      </c>
      <c r="L444" s="119">
        <f>IF($D444="",0,'Guide &amp; Settings'!$C$44*IF($F444&gt;=3,$F444,0))</f>
        <v>0</v>
      </c>
      <c r="M444" s="118">
        <f t="shared" si="122"/>
        <v>0</v>
      </c>
      <c r="N444" s="116">
        <f t="shared" si="123"/>
        <v>0</v>
      </c>
      <c r="O444" s="115" t="str">
        <f t="shared" si="124"/>
        <v/>
      </c>
      <c r="P444">
        <f t="shared" si="125"/>
        <v>0</v>
      </c>
      <c r="Q444">
        <f t="shared" si="126"/>
        <v>0</v>
      </c>
      <c r="R444">
        <f t="shared" si="127"/>
        <v>0</v>
      </c>
      <c r="S444">
        <f t="shared" si="128"/>
        <v>0</v>
      </c>
      <c r="T444" s="83">
        <f t="shared" si="129"/>
        <v>0</v>
      </c>
      <c r="U444" s="120">
        <f>IF($D444="",0,IFERROR(LOOKUP(2,1/(($D$3:D443=$D444)*($C$3:C443=$C444)*($A$3:A443&lt;$A444)),$AB$3:AB443),1000))</f>
        <v>0</v>
      </c>
      <c r="V444" s="120">
        <f t="shared" si="130"/>
        <v>0</v>
      </c>
      <c r="W444">
        <f t="shared" si="131"/>
        <v>0</v>
      </c>
      <c r="X444">
        <f t="shared" si="132"/>
        <v>0</v>
      </c>
      <c r="Y444">
        <f t="shared" si="133"/>
        <v>0</v>
      </c>
      <c r="Z444">
        <f t="shared" si="134"/>
        <v>0</v>
      </c>
      <c r="AA444">
        <f>IF($D444="",0,IF($F444&lt;2,0,IF($E444="Win",('Guide &amp; Settings'!$C$42/(($F444-1)*COUNTIFS($A$4:$A$810,$A444,$E$4:$E$810,"Win")))*SUMIFS($Z$4:$Z$810,$A$4:$A$810,$A444,$E$4:$E$810,"Loss"),-('Guide &amp; Settings'!$C$42/($F444-1))*$Z444)))</f>
        <v>0</v>
      </c>
      <c r="AB444" s="120">
        <f t="shared" si="135"/>
        <v>0</v>
      </c>
      <c r="AC444" s="120" t="str">
        <f>IF($D444="","",IF(SUMPRODUCT(MAX(($D$4:$D$810=$D444)*($B$4:$B$810&lt;$B444)*$B$4:$B$810))=0,0,MAX(($B444-MAX(SUMPRODUCT(MAX(($D$4:$D$810=$D444)*($B$4:$B$810&lt;$B444)*$B$4:$B$810)),'Guide &amp; Settings'!$C$50))/7-'Guide &amp; Settings'!$C$48,0)*'Guide &amp; Settings'!$C$49))</f>
        <v/>
      </c>
    </row>
    <row r="445" spans="1:29" x14ac:dyDescent="0.2">
      <c r="A445" s="111"/>
      <c r="B445" s="112"/>
      <c r="C445" s="113"/>
      <c r="D445" s="113"/>
      <c r="E445" s="111"/>
      <c r="F445" s="114">
        <f t="shared" si="119"/>
        <v>0</v>
      </c>
      <c r="G445" s="115" t="str">
        <f t="shared" si="120"/>
        <v/>
      </c>
      <c r="H445" s="116">
        <f>IF($D445="",0,IFERROR(LOOKUP(2,1/(($D$3:D444=$D445)*($A$3:A444&lt;$A445)),$N$3:N444),'Guide &amp; Settings'!$C$41))</f>
        <v>0</v>
      </c>
      <c r="I445" s="117">
        <f t="shared" si="121"/>
        <v>0</v>
      </c>
      <c r="J445" s="118">
        <f>IF($D445="",0,IF($F445&lt;2,0,IF($E445="Win",('Guide &amp; Settings'!$C$42/(($F445-1)*COUNTIFS($A$4:$A$810,$A445,$E$4:$E$810,"Win")))*SUMIFS($X$4:$X$810,$A$4:$A$810,$A445,$E$4:$E$810,"Loss"),-('Guide &amp; Settings'!$C$42/($F445-1))*$X445)))</f>
        <v>0</v>
      </c>
      <c r="K445" s="118">
        <f>IF($D445="",0,'Guide &amp; Settings'!$C$43*(IF($E445="Win",1,0)-$I445))</f>
        <v>0</v>
      </c>
      <c r="L445" s="119">
        <f>IF($D445="",0,'Guide &amp; Settings'!$C$44*IF($F445&gt;=3,$F445,0))</f>
        <v>0</v>
      </c>
      <c r="M445" s="118">
        <f t="shared" si="122"/>
        <v>0</v>
      </c>
      <c r="N445" s="116">
        <f t="shared" si="123"/>
        <v>0</v>
      </c>
      <c r="O445" s="115" t="str">
        <f t="shared" si="124"/>
        <v/>
      </c>
      <c r="P445">
        <f t="shared" si="125"/>
        <v>0</v>
      </c>
      <c r="Q445">
        <f t="shared" si="126"/>
        <v>0</v>
      </c>
      <c r="R445">
        <f t="shared" si="127"/>
        <v>0</v>
      </c>
      <c r="S445">
        <f t="shared" si="128"/>
        <v>0</v>
      </c>
      <c r="T445" s="83">
        <f t="shared" si="129"/>
        <v>0</v>
      </c>
      <c r="U445" s="120">
        <f>IF($D445="",0,IFERROR(LOOKUP(2,1/(($D$3:D444=$D445)*($C$3:C444=$C445)*($A$3:A444&lt;$A445)),$AB$3:AB444),1000))</f>
        <v>0</v>
      </c>
      <c r="V445" s="120">
        <f t="shared" si="130"/>
        <v>0</v>
      </c>
      <c r="W445">
        <f t="shared" si="131"/>
        <v>0</v>
      </c>
      <c r="X445">
        <f t="shared" si="132"/>
        <v>0</v>
      </c>
      <c r="Y445">
        <f t="shared" si="133"/>
        <v>0</v>
      </c>
      <c r="Z445">
        <f t="shared" si="134"/>
        <v>0</v>
      </c>
      <c r="AA445">
        <f>IF($D445="",0,IF($F445&lt;2,0,IF($E445="Win",('Guide &amp; Settings'!$C$42/(($F445-1)*COUNTIFS($A$4:$A$810,$A445,$E$4:$E$810,"Win")))*SUMIFS($Z$4:$Z$810,$A$4:$A$810,$A445,$E$4:$E$810,"Loss"),-('Guide &amp; Settings'!$C$42/($F445-1))*$Z445)))</f>
        <v>0</v>
      </c>
      <c r="AB445" s="120">
        <f t="shared" si="135"/>
        <v>0</v>
      </c>
      <c r="AC445" s="120" t="str">
        <f>IF($D445="","",IF(SUMPRODUCT(MAX(($D$4:$D$810=$D445)*($B$4:$B$810&lt;$B445)*$B$4:$B$810))=0,0,MAX(($B445-MAX(SUMPRODUCT(MAX(($D$4:$D$810=$D445)*($B$4:$B$810&lt;$B445)*$B$4:$B$810)),'Guide &amp; Settings'!$C$50))/7-'Guide &amp; Settings'!$C$48,0)*'Guide &amp; Settings'!$C$49))</f>
        <v/>
      </c>
    </row>
    <row r="446" spans="1:29" x14ac:dyDescent="0.2">
      <c r="A446" s="111"/>
      <c r="B446" s="112"/>
      <c r="C446" s="113"/>
      <c r="D446" s="113"/>
      <c r="E446" s="111"/>
      <c r="F446" s="114">
        <f t="shared" si="119"/>
        <v>0</v>
      </c>
      <c r="G446" s="115" t="str">
        <f t="shared" si="120"/>
        <v/>
      </c>
      <c r="H446" s="116">
        <f>IF($D446="",0,IFERROR(LOOKUP(2,1/(($D$3:D445=$D446)*($A$3:A445&lt;$A446)),$N$3:N445),'Guide &amp; Settings'!$C$41))</f>
        <v>0</v>
      </c>
      <c r="I446" s="117">
        <f t="shared" si="121"/>
        <v>0</v>
      </c>
      <c r="J446" s="118">
        <f>IF($D446="",0,IF($F446&lt;2,0,IF($E446="Win",('Guide &amp; Settings'!$C$42/(($F446-1)*COUNTIFS($A$4:$A$810,$A446,$E$4:$E$810,"Win")))*SUMIFS($X$4:$X$810,$A$4:$A$810,$A446,$E$4:$E$810,"Loss"),-('Guide &amp; Settings'!$C$42/($F446-1))*$X446)))</f>
        <v>0</v>
      </c>
      <c r="K446" s="118">
        <f>IF($D446="",0,'Guide &amp; Settings'!$C$43*(IF($E446="Win",1,0)-$I446))</f>
        <v>0</v>
      </c>
      <c r="L446" s="119">
        <f>IF($D446="",0,'Guide &amp; Settings'!$C$44*IF($F446&gt;=3,$F446,0))</f>
        <v>0</v>
      </c>
      <c r="M446" s="118">
        <f t="shared" si="122"/>
        <v>0</v>
      </c>
      <c r="N446" s="116">
        <f t="shared" si="123"/>
        <v>0</v>
      </c>
      <c r="O446" s="115" t="str">
        <f t="shared" si="124"/>
        <v/>
      </c>
      <c r="P446">
        <f t="shared" si="125"/>
        <v>0</v>
      </c>
      <c r="Q446">
        <f t="shared" si="126"/>
        <v>0</v>
      </c>
      <c r="R446">
        <f t="shared" si="127"/>
        <v>0</v>
      </c>
      <c r="S446">
        <f t="shared" si="128"/>
        <v>0</v>
      </c>
      <c r="T446" s="83">
        <f t="shared" si="129"/>
        <v>0</v>
      </c>
      <c r="U446" s="120">
        <f>IF($D446="",0,IFERROR(LOOKUP(2,1/(($D$3:D445=$D446)*($C$3:C445=$C446)*($A$3:A445&lt;$A446)),$AB$3:AB445),1000))</f>
        <v>0</v>
      </c>
      <c r="V446" s="120">
        <f t="shared" si="130"/>
        <v>0</v>
      </c>
      <c r="W446">
        <f t="shared" si="131"/>
        <v>0</v>
      </c>
      <c r="X446">
        <f t="shared" si="132"/>
        <v>0</v>
      </c>
      <c r="Y446">
        <f t="shared" si="133"/>
        <v>0</v>
      </c>
      <c r="Z446">
        <f t="shared" si="134"/>
        <v>0</v>
      </c>
      <c r="AA446">
        <f>IF($D446="",0,IF($F446&lt;2,0,IF($E446="Win",('Guide &amp; Settings'!$C$42/(($F446-1)*COUNTIFS($A$4:$A$810,$A446,$E$4:$E$810,"Win")))*SUMIFS($Z$4:$Z$810,$A$4:$A$810,$A446,$E$4:$E$810,"Loss"),-('Guide &amp; Settings'!$C$42/($F446-1))*$Z446)))</f>
        <v>0</v>
      </c>
      <c r="AB446" s="120">
        <f t="shared" si="135"/>
        <v>0</v>
      </c>
      <c r="AC446" s="120" t="str">
        <f>IF($D446="","",IF(SUMPRODUCT(MAX(($D$4:$D$810=$D446)*($B$4:$B$810&lt;$B446)*$B$4:$B$810))=0,0,MAX(($B446-MAX(SUMPRODUCT(MAX(($D$4:$D$810=$D446)*($B$4:$B$810&lt;$B446)*$B$4:$B$810)),'Guide &amp; Settings'!$C$50))/7-'Guide &amp; Settings'!$C$48,0)*'Guide &amp; Settings'!$C$49))</f>
        <v/>
      </c>
    </row>
    <row r="447" spans="1:29" x14ac:dyDescent="0.2">
      <c r="A447" s="111"/>
      <c r="B447" s="112"/>
      <c r="C447" s="113"/>
      <c r="D447" s="113"/>
      <c r="E447" s="111"/>
      <c r="F447" s="114">
        <f t="shared" si="119"/>
        <v>0</v>
      </c>
      <c r="G447" s="115" t="str">
        <f t="shared" si="120"/>
        <v/>
      </c>
      <c r="H447" s="116">
        <f>IF($D447="",0,IFERROR(LOOKUP(2,1/(($D$3:D446=$D447)*($A$3:A446&lt;$A447)),$N$3:N446),'Guide &amp; Settings'!$C$41))</f>
        <v>0</v>
      </c>
      <c r="I447" s="117">
        <f t="shared" si="121"/>
        <v>0</v>
      </c>
      <c r="J447" s="118">
        <f>IF($D447="",0,IF($F447&lt;2,0,IF($E447="Win",('Guide &amp; Settings'!$C$42/(($F447-1)*COUNTIFS($A$4:$A$810,$A447,$E$4:$E$810,"Win")))*SUMIFS($X$4:$X$810,$A$4:$A$810,$A447,$E$4:$E$810,"Loss"),-('Guide &amp; Settings'!$C$42/($F447-1))*$X447)))</f>
        <v>0</v>
      </c>
      <c r="K447" s="118">
        <f>IF($D447="",0,'Guide &amp; Settings'!$C$43*(IF($E447="Win",1,0)-$I447))</f>
        <v>0</v>
      </c>
      <c r="L447" s="119">
        <f>IF($D447="",0,'Guide &amp; Settings'!$C$44*IF($F447&gt;=3,$F447,0))</f>
        <v>0</v>
      </c>
      <c r="M447" s="118">
        <f t="shared" si="122"/>
        <v>0</v>
      </c>
      <c r="N447" s="116">
        <f t="shared" si="123"/>
        <v>0</v>
      </c>
      <c r="O447" s="115" t="str">
        <f t="shared" si="124"/>
        <v/>
      </c>
      <c r="P447">
        <f t="shared" si="125"/>
        <v>0</v>
      </c>
      <c r="Q447">
        <f t="shared" si="126"/>
        <v>0</v>
      </c>
      <c r="R447">
        <f t="shared" si="127"/>
        <v>0</v>
      </c>
      <c r="S447">
        <f t="shared" si="128"/>
        <v>0</v>
      </c>
      <c r="T447" s="83">
        <f t="shared" si="129"/>
        <v>0</v>
      </c>
      <c r="U447" s="120">
        <f>IF($D447="",0,IFERROR(LOOKUP(2,1/(($D$3:D446=$D447)*($C$3:C446=$C447)*($A$3:A446&lt;$A447)),$AB$3:AB446),1000))</f>
        <v>0</v>
      </c>
      <c r="V447" s="120">
        <f t="shared" si="130"/>
        <v>0</v>
      </c>
      <c r="W447">
        <f t="shared" si="131"/>
        <v>0</v>
      </c>
      <c r="X447">
        <f t="shared" si="132"/>
        <v>0</v>
      </c>
      <c r="Y447">
        <f t="shared" si="133"/>
        <v>0</v>
      </c>
      <c r="Z447">
        <f t="shared" si="134"/>
        <v>0</v>
      </c>
      <c r="AA447">
        <f>IF($D447="",0,IF($F447&lt;2,0,IF($E447="Win",('Guide &amp; Settings'!$C$42/(($F447-1)*COUNTIFS($A$4:$A$810,$A447,$E$4:$E$810,"Win")))*SUMIFS($Z$4:$Z$810,$A$4:$A$810,$A447,$E$4:$E$810,"Loss"),-('Guide &amp; Settings'!$C$42/($F447-1))*$Z447)))</f>
        <v>0</v>
      </c>
      <c r="AB447" s="120">
        <f t="shared" si="135"/>
        <v>0</v>
      </c>
      <c r="AC447" s="120" t="str">
        <f>IF($D447="","",IF(SUMPRODUCT(MAX(($D$4:$D$810=$D447)*($B$4:$B$810&lt;$B447)*$B$4:$B$810))=0,0,MAX(($B447-MAX(SUMPRODUCT(MAX(($D$4:$D$810=$D447)*($B$4:$B$810&lt;$B447)*$B$4:$B$810)),'Guide &amp; Settings'!$C$50))/7-'Guide &amp; Settings'!$C$48,0)*'Guide &amp; Settings'!$C$49))</f>
        <v/>
      </c>
    </row>
    <row r="448" spans="1:29" x14ac:dyDescent="0.2">
      <c r="A448" s="111"/>
      <c r="B448" s="112"/>
      <c r="C448" s="113"/>
      <c r="D448" s="113"/>
      <c r="E448" s="111"/>
      <c r="F448" s="114">
        <f t="shared" si="119"/>
        <v>0</v>
      </c>
      <c r="G448" s="115" t="str">
        <f t="shared" si="120"/>
        <v/>
      </c>
      <c r="H448" s="116">
        <f>IF($D448="",0,IFERROR(LOOKUP(2,1/(($D$3:D447=$D448)*($A$3:A447&lt;$A448)),$N$3:N447),'Guide &amp; Settings'!$C$41))</f>
        <v>0</v>
      </c>
      <c r="I448" s="117">
        <f t="shared" si="121"/>
        <v>0</v>
      </c>
      <c r="J448" s="118">
        <f>IF($D448="",0,IF($F448&lt;2,0,IF($E448="Win",('Guide &amp; Settings'!$C$42/(($F448-1)*COUNTIFS($A$4:$A$810,$A448,$E$4:$E$810,"Win")))*SUMIFS($X$4:$X$810,$A$4:$A$810,$A448,$E$4:$E$810,"Loss"),-('Guide &amp; Settings'!$C$42/($F448-1))*$X448)))</f>
        <v>0</v>
      </c>
      <c r="K448" s="118">
        <f>IF($D448="",0,'Guide &amp; Settings'!$C$43*(IF($E448="Win",1,0)-$I448))</f>
        <v>0</v>
      </c>
      <c r="L448" s="119">
        <f>IF($D448="",0,'Guide &amp; Settings'!$C$44*IF($F448&gt;=3,$F448,0))</f>
        <v>0</v>
      </c>
      <c r="M448" s="118">
        <f t="shared" si="122"/>
        <v>0</v>
      </c>
      <c r="N448" s="116">
        <f t="shared" si="123"/>
        <v>0</v>
      </c>
      <c r="O448" s="115" t="str">
        <f t="shared" si="124"/>
        <v/>
      </c>
      <c r="P448">
        <f t="shared" si="125"/>
        <v>0</v>
      </c>
      <c r="Q448">
        <f t="shared" si="126"/>
        <v>0</v>
      </c>
      <c r="R448">
        <f t="shared" si="127"/>
        <v>0</v>
      </c>
      <c r="S448">
        <f t="shared" si="128"/>
        <v>0</v>
      </c>
      <c r="T448" s="83">
        <f t="shared" si="129"/>
        <v>0</v>
      </c>
      <c r="U448" s="120">
        <f>IF($D448="",0,IFERROR(LOOKUP(2,1/(($D$3:D447=$D448)*($C$3:C447=$C448)*($A$3:A447&lt;$A448)),$AB$3:AB447),1000))</f>
        <v>0</v>
      </c>
      <c r="V448" s="120">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0">
        <f t="shared" si="135"/>
        <v>0</v>
      </c>
      <c r="AC448" s="120" t="str">
        <f>IF($D448="","",IF(SUMPRODUCT(MAX(($D$4:$D$810=$D448)*($B$4:$B$810&lt;$B448)*$B$4:$B$810))=0,0,MAX(($B448-MAX(SUMPRODUCT(MAX(($D$4:$D$810=$D448)*($B$4:$B$810&lt;$B448)*$B$4:$B$810)),'Guide &amp; Settings'!$C$50))/7-'Guide &amp; Settings'!$C$48,0)*'Guide &amp; Settings'!$C$49))</f>
        <v/>
      </c>
    </row>
    <row r="449" spans="1:29" x14ac:dyDescent="0.2">
      <c r="A449" s="111"/>
      <c r="B449" s="112"/>
      <c r="C449" s="113"/>
      <c r="D449" s="113"/>
      <c r="E449" s="111"/>
      <c r="F449" s="114">
        <f t="shared" si="119"/>
        <v>0</v>
      </c>
      <c r="G449" s="115" t="str">
        <f t="shared" si="120"/>
        <v/>
      </c>
      <c r="H449" s="116">
        <f>IF($D449="",0,IFERROR(LOOKUP(2,1/(($D$3:D448=$D449)*($A$3:A448&lt;$A449)),$N$3:N448),'Guide &amp; Settings'!$C$41))</f>
        <v>0</v>
      </c>
      <c r="I449" s="117">
        <f t="shared" si="121"/>
        <v>0</v>
      </c>
      <c r="J449" s="118">
        <f>IF($D449="",0,IF($F449&lt;2,0,IF($E449="Win",('Guide &amp; Settings'!$C$42/(($F449-1)*COUNTIFS($A$4:$A$810,$A449,$E$4:$E$810,"Win")))*SUMIFS($X$4:$X$810,$A$4:$A$810,$A449,$E$4:$E$810,"Loss"),-('Guide &amp; Settings'!$C$42/($F449-1))*$X449)))</f>
        <v>0</v>
      </c>
      <c r="K449" s="118">
        <f>IF($D449="",0,'Guide &amp; Settings'!$C$43*(IF($E449="Win",1,0)-$I449))</f>
        <v>0</v>
      </c>
      <c r="L449" s="119">
        <f>IF($D449="",0,'Guide &amp; Settings'!$C$44*IF($F449&gt;=3,$F449,0))</f>
        <v>0</v>
      </c>
      <c r="M449" s="118">
        <f t="shared" si="122"/>
        <v>0</v>
      </c>
      <c r="N449" s="116">
        <f t="shared" si="123"/>
        <v>0</v>
      </c>
      <c r="O449" s="115" t="str">
        <f t="shared" si="124"/>
        <v/>
      </c>
      <c r="P449">
        <f t="shared" si="125"/>
        <v>0</v>
      </c>
      <c r="Q449">
        <f t="shared" si="126"/>
        <v>0</v>
      </c>
      <c r="R449">
        <f t="shared" si="127"/>
        <v>0</v>
      </c>
      <c r="S449">
        <f t="shared" si="128"/>
        <v>0</v>
      </c>
      <c r="T449" s="83">
        <f t="shared" si="129"/>
        <v>0</v>
      </c>
      <c r="U449" s="120">
        <f>IF($D449="",0,IFERROR(LOOKUP(2,1/(($D$3:D448=$D449)*($C$3:C448=$C449)*($A$3:A448&lt;$A449)),$AB$3:AB448),1000))</f>
        <v>0</v>
      </c>
      <c r="V449" s="120">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0">
        <f t="shared" si="135"/>
        <v>0</v>
      </c>
      <c r="AC449" s="120" t="str">
        <f>IF($D449="","",IF(SUMPRODUCT(MAX(($D$4:$D$810=$D449)*($B$4:$B$810&lt;$B449)*$B$4:$B$810))=0,0,MAX(($B449-MAX(SUMPRODUCT(MAX(($D$4:$D$810=$D449)*($B$4:$B$810&lt;$B449)*$B$4:$B$810)),'Guide &amp; Settings'!$C$50))/7-'Guide &amp; Settings'!$C$48,0)*'Guide &amp; Settings'!$C$49))</f>
        <v/>
      </c>
    </row>
    <row r="450" spans="1:29" x14ac:dyDescent="0.2">
      <c r="A450" s="111"/>
      <c r="B450" s="112"/>
      <c r="C450" s="113"/>
      <c r="D450" s="113"/>
      <c r="E450" s="111"/>
      <c r="F450" s="114">
        <f t="shared" si="119"/>
        <v>0</v>
      </c>
      <c r="G450" s="115" t="str">
        <f t="shared" si="120"/>
        <v/>
      </c>
      <c r="H450" s="116">
        <f>IF($D450="",0,IFERROR(LOOKUP(2,1/(($D$3:D449=$D450)*($A$3:A449&lt;$A450)),$N$3:N449),'Guide &amp; Settings'!$C$41))</f>
        <v>0</v>
      </c>
      <c r="I450" s="117">
        <f t="shared" si="121"/>
        <v>0</v>
      </c>
      <c r="J450" s="118">
        <f>IF($D450="",0,IF($F450&lt;2,0,IF($E450="Win",('Guide &amp; Settings'!$C$42/(($F450-1)*COUNTIFS($A$4:$A$810,$A450,$E$4:$E$810,"Win")))*SUMIFS($X$4:$X$810,$A$4:$A$810,$A450,$E$4:$E$810,"Loss"),-('Guide &amp; Settings'!$C$42/($F450-1))*$X450)))</f>
        <v>0</v>
      </c>
      <c r="K450" s="118">
        <f>IF($D450="",0,'Guide &amp; Settings'!$C$43*(IF($E450="Win",1,0)-$I450))</f>
        <v>0</v>
      </c>
      <c r="L450" s="119">
        <f>IF($D450="",0,'Guide &amp; Settings'!$C$44*IF($F450&gt;=3,$F450,0))</f>
        <v>0</v>
      </c>
      <c r="M450" s="118">
        <f t="shared" si="122"/>
        <v>0</v>
      </c>
      <c r="N450" s="116">
        <f t="shared" si="123"/>
        <v>0</v>
      </c>
      <c r="O450" s="115" t="str">
        <f t="shared" si="124"/>
        <v/>
      </c>
      <c r="P450">
        <f t="shared" si="125"/>
        <v>0</v>
      </c>
      <c r="Q450">
        <f t="shared" si="126"/>
        <v>0</v>
      </c>
      <c r="R450">
        <f t="shared" si="127"/>
        <v>0</v>
      </c>
      <c r="S450">
        <f t="shared" si="128"/>
        <v>0</v>
      </c>
      <c r="T450" s="83">
        <f t="shared" si="129"/>
        <v>0</v>
      </c>
      <c r="U450" s="120">
        <f>IF($D450="",0,IFERROR(LOOKUP(2,1/(($D$3:D449=$D450)*($C$3:C449=$C450)*($A$3:A449&lt;$A450)),$AB$3:AB449),1000))</f>
        <v>0</v>
      </c>
      <c r="V450" s="120">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0">
        <f t="shared" si="135"/>
        <v>0</v>
      </c>
      <c r="AC450" s="120" t="str">
        <f>IF($D450="","",IF(SUMPRODUCT(MAX(($D$4:$D$810=$D450)*($B$4:$B$810&lt;$B450)*$B$4:$B$810))=0,0,MAX(($B450-MAX(SUMPRODUCT(MAX(($D$4:$D$810=$D450)*($B$4:$B$810&lt;$B450)*$B$4:$B$810)),'Guide &amp; Settings'!$C$50))/7-'Guide &amp; Settings'!$C$48,0)*'Guide &amp; Settings'!$C$49))</f>
        <v/>
      </c>
    </row>
    <row r="451" spans="1:29" x14ac:dyDescent="0.2">
      <c r="A451" s="111"/>
      <c r="B451" s="112"/>
      <c r="C451" s="113"/>
      <c r="D451" s="113"/>
      <c r="E451" s="111"/>
      <c r="F451" s="114">
        <f t="shared" si="119"/>
        <v>0</v>
      </c>
      <c r="G451" s="115" t="str">
        <f t="shared" si="120"/>
        <v/>
      </c>
      <c r="H451" s="116">
        <f>IF($D451="",0,IFERROR(LOOKUP(2,1/(($D$3:D450=$D451)*($A$3:A450&lt;$A451)),$N$3:N450),'Guide &amp; Settings'!$C$41))</f>
        <v>0</v>
      </c>
      <c r="I451" s="117">
        <f t="shared" si="121"/>
        <v>0</v>
      </c>
      <c r="J451" s="118">
        <f>IF($D451="",0,IF($F451&lt;2,0,IF($E451="Win",('Guide &amp; Settings'!$C$42/(($F451-1)*COUNTIFS($A$4:$A$810,$A451,$E$4:$E$810,"Win")))*SUMIFS($X$4:$X$810,$A$4:$A$810,$A451,$E$4:$E$810,"Loss"),-('Guide &amp; Settings'!$C$42/($F451-1))*$X451)))</f>
        <v>0</v>
      </c>
      <c r="K451" s="118">
        <f>IF($D451="",0,'Guide &amp; Settings'!$C$43*(IF($E451="Win",1,0)-$I451))</f>
        <v>0</v>
      </c>
      <c r="L451" s="119">
        <f>IF($D451="",0,'Guide &amp; Settings'!$C$44*IF($F451&gt;=3,$F451,0))</f>
        <v>0</v>
      </c>
      <c r="M451" s="118">
        <f t="shared" si="122"/>
        <v>0</v>
      </c>
      <c r="N451" s="116">
        <f t="shared" si="123"/>
        <v>0</v>
      </c>
      <c r="O451" s="115" t="str">
        <f t="shared" si="124"/>
        <v/>
      </c>
      <c r="P451">
        <f t="shared" si="125"/>
        <v>0</v>
      </c>
      <c r="Q451">
        <f t="shared" si="126"/>
        <v>0</v>
      </c>
      <c r="R451">
        <f t="shared" si="127"/>
        <v>0</v>
      </c>
      <c r="S451">
        <f t="shared" si="128"/>
        <v>0</v>
      </c>
      <c r="T451" s="83">
        <f t="shared" si="129"/>
        <v>0</v>
      </c>
      <c r="U451" s="120">
        <f>IF($D451="",0,IFERROR(LOOKUP(2,1/(($D$3:D450=$D451)*($C$3:C450=$C451)*($A$3:A450&lt;$A451)),$AB$3:AB450),1000))</f>
        <v>0</v>
      </c>
      <c r="V451" s="120">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0">
        <f t="shared" si="135"/>
        <v>0</v>
      </c>
      <c r="AC451" s="120" t="str">
        <f>IF($D451="","",IF(SUMPRODUCT(MAX(($D$4:$D$810=$D451)*($B$4:$B$810&lt;$B451)*$B$4:$B$810))=0,0,MAX(($B451-MAX(SUMPRODUCT(MAX(($D$4:$D$810=$D451)*($B$4:$B$810&lt;$B451)*$B$4:$B$810)),'Guide &amp; Settings'!$C$50))/7-'Guide &amp; Settings'!$C$48,0)*'Guide &amp; Settings'!$C$49))</f>
        <v/>
      </c>
    </row>
    <row r="452" spans="1:29" x14ac:dyDescent="0.2">
      <c r="A452" s="111"/>
      <c r="B452" s="112"/>
      <c r="C452" s="113"/>
      <c r="D452" s="113"/>
      <c r="E452" s="111"/>
      <c r="F452" s="114">
        <f t="shared" si="119"/>
        <v>0</v>
      </c>
      <c r="G452" s="115" t="str">
        <f t="shared" si="120"/>
        <v/>
      </c>
      <c r="H452" s="116">
        <f>IF($D452="",0,IFERROR(LOOKUP(2,1/(($D$3:D451=$D452)*($A$3:A451&lt;$A452)),$N$3:N451),'Guide &amp; Settings'!$C$41))</f>
        <v>0</v>
      </c>
      <c r="I452" s="117">
        <f t="shared" si="121"/>
        <v>0</v>
      </c>
      <c r="J452" s="118">
        <f>IF($D452="",0,IF($F452&lt;2,0,IF($E452="Win",('Guide &amp; Settings'!$C$42/(($F452-1)*COUNTIFS($A$4:$A$810,$A452,$E$4:$E$810,"Win")))*SUMIFS($X$4:$X$810,$A$4:$A$810,$A452,$E$4:$E$810,"Loss"),-('Guide &amp; Settings'!$C$42/($F452-1))*$X452)))</f>
        <v>0</v>
      </c>
      <c r="K452" s="118">
        <f>IF($D452="",0,'Guide &amp; Settings'!$C$43*(IF($E452="Win",1,0)-$I452))</f>
        <v>0</v>
      </c>
      <c r="L452" s="119">
        <f>IF($D452="",0,'Guide &amp; Settings'!$C$44*IF($F452&gt;=3,$F452,0))</f>
        <v>0</v>
      </c>
      <c r="M452" s="118">
        <f t="shared" si="122"/>
        <v>0</v>
      </c>
      <c r="N452" s="116">
        <f t="shared" si="123"/>
        <v>0</v>
      </c>
      <c r="O452" s="115" t="str">
        <f t="shared" si="124"/>
        <v/>
      </c>
      <c r="P452">
        <f t="shared" si="125"/>
        <v>0</v>
      </c>
      <c r="Q452">
        <f t="shared" si="126"/>
        <v>0</v>
      </c>
      <c r="R452">
        <f t="shared" si="127"/>
        <v>0</v>
      </c>
      <c r="S452">
        <f t="shared" si="128"/>
        <v>0</v>
      </c>
      <c r="T452" s="83">
        <f t="shared" si="129"/>
        <v>0</v>
      </c>
      <c r="U452" s="120">
        <f>IF($D452="",0,IFERROR(LOOKUP(2,1/(($D$3:D451=$D452)*($C$3:C451=$C452)*($A$3:A451&lt;$A452)),$AB$3:AB451),1000))</f>
        <v>0</v>
      </c>
      <c r="V452" s="120">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0">
        <f t="shared" si="135"/>
        <v>0</v>
      </c>
      <c r="AC452" s="120" t="str">
        <f>IF($D452="","",IF(SUMPRODUCT(MAX(($D$4:$D$810=$D452)*($B$4:$B$810&lt;$B452)*$B$4:$B$810))=0,0,MAX(($B452-MAX(SUMPRODUCT(MAX(($D$4:$D$810=$D452)*($B$4:$B$810&lt;$B452)*$B$4:$B$810)),'Guide &amp; Settings'!$C$50))/7-'Guide &amp; Settings'!$C$48,0)*'Guide &amp; Settings'!$C$49))</f>
        <v/>
      </c>
    </row>
    <row r="453" spans="1:29" x14ac:dyDescent="0.2">
      <c r="A453" s="111"/>
      <c r="B453" s="112"/>
      <c r="C453" s="113"/>
      <c r="D453" s="113"/>
      <c r="E453" s="111"/>
      <c r="F453" s="114">
        <f t="shared" si="119"/>
        <v>0</v>
      </c>
      <c r="G453" s="115" t="str">
        <f t="shared" si="120"/>
        <v/>
      </c>
      <c r="H453" s="116">
        <f>IF($D453="",0,IFERROR(LOOKUP(2,1/(($D$3:D452=$D453)*($A$3:A452&lt;$A453)),$N$3:N452),'Guide &amp; Settings'!$C$41))</f>
        <v>0</v>
      </c>
      <c r="I453" s="117">
        <f t="shared" si="121"/>
        <v>0</v>
      </c>
      <c r="J453" s="118">
        <f>IF($D453="",0,IF($F453&lt;2,0,IF($E453="Win",('Guide &amp; Settings'!$C$42/(($F453-1)*COUNTIFS($A$4:$A$810,$A453,$E$4:$E$810,"Win")))*SUMIFS($X$4:$X$810,$A$4:$A$810,$A453,$E$4:$E$810,"Loss"),-('Guide &amp; Settings'!$C$42/($F453-1))*$X453)))</f>
        <v>0</v>
      </c>
      <c r="K453" s="118">
        <f>IF($D453="",0,'Guide &amp; Settings'!$C$43*(IF($E453="Win",1,0)-$I453))</f>
        <v>0</v>
      </c>
      <c r="L453" s="119">
        <f>IF($D453="",0,'Guide &amp; Settings'!$C$44*IF($F453&gt;=3,$F453,0))</f>
        <v>0</v>
      </c>
      <c r="M453" s="118">
        <f t="shared" si="122"/>
        <v>0</v>
      </c>
      <c r="N453" s="116">
        <f t="shared" si="123"/>
        <v>0</v>
      </c>
      <c r="O453" s="115" t="str">
        <f t="shared" si="124"/>
        <v/>
      </c>
      <c r="P453">
        <f t="shared" si="125"/>
        <v>0</v>
      </c>
      <c r="Q453">
        <f t="shared" si="126"/>
        <v>0</v>
      </c>
      <c r="R453">
        <f t="shared" si="127"/>
        <v>0</v>
      </c>
      <c r="S453">
        <f t="shared" si="128"/>
        <v>0</v>
      </c>
      <c r="T453" s="83">
        <f t="shared" si="129"/>
        <v>0</v>
      </c>
      <c r="U453" s="120">
        <f>IF($D453="",0,IFERROR(LOOKUP(2,1/(($D$3:D452=$D453)*($C$3:C452=$C453)*($A$3:A452&lt;$A453)),$AB$3:AB452),1000))</f>
        <v>0</v>
      </c>
      <c r="V453" s="120">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0">
        <f t="shared" si="135"/>
        <v>0</v>
      </c>
      <c r="AC453" s="120" t="str">
        <f>IF($D453="","",IF(SUMPRODUCT(MAX(($D$4:$D$810=$D453)*($B$4:$B$810&lt;$B453)*$B$4:$B$810))=0,0,MAX(($B453-MAX(SUMPRODUCT(MAX(($D$4:$D$810=$D453)*($B$4:$B$810&lt;$B453)*$B$4:$B$810)),'Guide &amp; Settings'!$C$50))/7-'Guide &amp; Settings'!$C$48,0)*'Guide &amp; Settings'!$C$49))</f>
        <v/>
      </c>
    </row>
    <row r="454" spans="1:29" x14ac:dyDescent="0.2">
      <c r="A454" s="111"/>
      <c r="B454" s="112"/>
      <c r="C454" s="113"/>
      <c r="D454" s="113"/>
      <c r="E454" s="111"/>
      <c r="F454" s="114">
        <f t="shared" si="119"/>
        <v>0</v>
      </c>
      <c r="G454" s="115" t="str">
        <f t="shared" si="120"/>
        <v/>
      </c>
      <c r="H454" s="116">
        <f>IF($D454="",0,IFERROR(LOOKUP(2,1/(($D$3:D453=$D454)*($A$3:A453&lt;$A454)),$N$3:N453),'Guide &amp; Settings'!$C$41))</f>
        <v>0</v>
      </c>
      <c r="I454" s="117">
        <f t="shared" si="121"/>
        <v>0</v>
      </c>
      <c r="J454" s="118">
        <f>IF($D454="",0,IF($F454&lt;2,0,IF($E454="Win",('Guide &amp; Settings'!$C$42/(($F454-1)*COUNTIFS($A$4:$A$810,$A454,$E$4:$E$810,"Win")))*SUMIFS($X$4:$X$810,$A$4:$A$810,$A454,$E$4:$E$810,"Loss"),-('Guide &amp; Settings'!$C$42/($F454-1))*$X454)))</f>
        <v>0</v>
      </c>
      <c r="K454" s="118">
        <f>IF($D454="",0,'Guide &amp; Settings'!$C$43*(IF($E454="Win",1,0)-$I454))</f>
        <v>0</v>
      </c>
      <c r="L454" s="119">
        <f>IF($D454="",0,'Guide &amp; Settings'!$C$44*IF($F454&gt;=3,$F454,0))</f>
        <v>0</v>
      </c>
      <c r="M454" s="118">
        <f t="shared" si="122"/>
        <v>0</v>
      </c>
      <c r="N454" s="116">
        <f t="shared" si="123"/>
        <v>0</v>
      </c>
      <c r="O454" s="115" t="str">
        <f t="shared" si="124"/>
        <v/>
      </c>
      <c r="P454">
        <f t="shared" si="125"/>
        <v>0</v>
      </c>
      <c r="Q454">
        <f t="shared" si="126"/>
        <v>0</v>
      </c>
      <c r="R454">
        <f t="shared" si="127"/>
        <v>0</v>
      </c>
      <c r="S454">
        <f t="shared" si="128"/>
        <v>0</v>
      </c>
      <c r="T454" s="83">
        <f t="shared" si="129"/>
        <v>0</v>
      </c>
      <c r="U454" s="120">
        <f>IF($D454="",0,IFERROR(LOOKUP(2,1/(($D$3:D453=$D454)*($C$3:C453=$C454)*($A$3:A453&lt;$A454)),$AB$3:AB453),1000))</f>
        <v>0</v>
      </c>
      <c r="V454" s="120">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0">
        <f t="shared" si="135"/>
        <v>0</v>
      </c>
      <c r="AC454" s="120" t="str">
        <f>IF($D454="","",IF(SUMPRODUCT(MAX(($D$4:$D$810=$D454)*($B$4:$B$810&lt;$B454)*$B$4:$B$810))=0,0,MAX(($B454-MAX(SUMPRODUCT(MAX(($D$4:$D$810=$D454)*($B$4:$B$810&lt;$B454)*$B$4:$B$810)),'Guide &amp; Settings'!$C$50))/7-'Guide &amp; Settings'!$C$48,0)*'Guide &amp; Settings'!$C$49))</f>
        <v/>
      </c>
    </row>
    <row r="455" spans="1:29" x14ac:dyDescent="0.2">
      <c r="A455" s="111"/>
      <c r="B455" s="112"/>
      <c r="C455" s="113"/>
      <c r="D455" s="113"/>
      <c r="E455" s="111"/>
      <c r="F455" s="114">
        <f t="shared" si="119"/>
        <v>0</v>
      </c>
      <c r="G455" s="115" t="str">
        <f t="shared" si="120"/>
        <v/>
      </c>
      <c r="H455" s="116">
        <f>IF($D455="",0,IFERROR(LOOKUP(2,1/(($D$3:D454=$D455)*($A$3:A454&lt;$A455)),$N$3:N454),'Guide &amp; Settings'!$C$41))</f>
        <v>0</v>
      </c>
      <c r="I455" s="117">
        <f t="shared" si="121"/>
        <v>0</v>
      </c>
      <c r="J455" s="118">
        <f>IF($D455="",0,IF($F455&lt;2,0,IF($E455="Win",('Guide &amp; Settings'!$C$42/(($F455-1)*COUNTIFS($A$4:$A$810,$A455,$E$4:$E$810,"Win")))*SUMIFS($X$4:$X$810,$A$4:$A$810,$A455,$E$4:$E$810,"Loss"),-('Guide &amp; Settings'!$C$42/($F455-1))*$X455)))</f>
        <v>0</v>
      </c>
      <c r="K455" s="118">
        <f>IF($D455="",0,'Guide &amp; Settings'!$C$43*(IF($E455="Win",1,0)-$I455))</f>
        <v>0</v>
      </c>
      <c r="L455" s="119">
        <f>IF($D455="",0,'Guide &amp; Settings'!$C$44*IF($F455&gt;=3,$F455,0))</f>
        <v>0</v>
      </c>
      <c r="M455" s="118">
        <f t="shared" si="122"/>
        <v>0</v>
      </c>
      <c r="N455" s="116">
        <f t="shared" si="123"/>
        <v>0</v>
      </c>
      <c r="O455" s="115" t="str">
        <f t="shared" si="124"/>
        <v/>
      </c>
      <c r="P455">
        <f t="shared" si="125"/>
        <v>0</v>
      </c>
      <c r="Q455">
        <f t="shared" si="126"/>
        <v>0</v>
      </c>
      <c r="R455">
        <f t="shared" si="127"/>
        <v>0</v>
      </c>
      <c r="S455">
        <f t="shared" si="128"/>
        <v>0</v>
      </c>
      <c r="T455" s="83">
        <f t="shared" si="129"/>
        <v>0</v>
      </c>
      <c r="U455" s="120">
        <f>IF($D455="",0,IFERROR(LOOKUP(2,1/(($D$3:D454=$D455)*($C$3:C454=$C455)*($A$3:A454&lt;$A455)),$AB$3:AB454),1000))</f>
        <v>0</v>
      </c>
      <c r="V455" s="120">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0">
        <f t="shared" si="135"/>
        <v>0</v>
      </c>
      <c r="AC455" s="120" t="str">
        <f>IF($D455="","",IF(SUMPRODUCT(MAX(($D$4:$D$810=$D455)*($B$4:$B$810&lt;$B455)*$B$4:$B$810))=0,0,MAX(($B455-MAX(SUMPRODUCT(MAX(($D$4:$D$810=$D455)*($B$4:$B$810&lt;$B455)*$B$4:$B$810)),'Guide &amp; Settings'!$C$50))/7-'Guide &amp; Settings'!$C$48,0)*'Guide &amp; Settings'!$C$49))</f>
        <v/>
      </c>
    </row>
    <row r="456" spans="1:29" x14ac:dyDescent="0.2">
      <c r="A456" s="111"/>
      <c r="B456" s="112"/>
      <c r="C456" s="113"/>
      <c r="D456" s="113"/>
      <c r="E456" s="111"/>
      <c r="F456" s="114">
        <f t="shared" si="119"/>
        <v>0</v>
      </c>
      <c r="G456" s="115" t="str">
        <f t="shared" si="120"/>
        <v/>
      </c>
      <c r="H456" s="116">
        <f>IF($D456="",0,IFERROR(LOOKUP(2,1/(($D$3:D455=$D456)*($A$3:A455&lt;$A456)),$N$3:N455),'Guide &amp; Settings'!$C$41))</f>
        <v>0</v>
      </c>
      <c r="I456" s="117">
        <f t="shared" si="121"/>
        <v>0</v>
      </c>
      <c r="J456" s="118">
        <f>IF($D456="",0,IF($F456&lt;2,0,IF($E456="Win",('Guide &amp; Settings'!$C$42/(($F456-1)*COUNTIFS($A$4:$A$810,$A456,$E$4:$E$810,"Win")))*SUMIFS($X$4:$X$810,$A$4:$A$810,$A456,$E$4:$E$810,"Loss"),-('Guide &amp; Settings'!$C$42/($F456-1))*$X456)))</f>
        <v>0</v>
      </c>
      <c r="K456" s="118">
        <f>IF($D456="",0,'Guide &amp; Settings'!$C$43*(IF($E456="Win",1,0)-$I456))</f>
        <v>0</v>
      </c>
      <c r="L456" s="119">
        <f>IF($D456="",0,'Guide &amp; Settings'!$C$44*IF($F456&gt;=3,$F456,0))</f>
        <v>0</v>
      </c>
      <c r="M456" s="118">
        <f t="shared" si="122"/>
        <v>0</v>
      </c>
      <c r="N456" s="116">
        <f t="shared" si="123"/>
        <v>0</v>
      </c>
      <c r="O456" s="115" t="str">
        <f t="shared" si="124"/>
        <v/>
      </c>
      <c r="P456">
        <f t="shared" si="125"/>
        <v>0</v>
      </c>
      <c r="Q456">
        <f t="shared" si="126"/>
        <v>0</v>
      </c>
      <c r="R456">
        <f t="shared" si="127"/>
        <v>0</v>
      </c>
      <c r="S456">
        <f t="shared" si="128"/>
        <v>0</v>
      </c>
      <c r="T456" s="83">
        <f t="shared" si="129"/>
        <v>0</v>
      </c>
      <c r="U456" s="120">
        <f>IF($D456="",0,IFERROR(LOOKUP(2,1/(($D$3:D455=$D456)*($C$3:C455=$C456)*($A$3:A455&lt;$A456)),$AB$3:AB455),1000))</f>
        <v>0</v>
      </c>
      <c r="V456" s="120">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0">
        <f t="shared" si="135"/>
        <v>0</v>
      </c>
      <c r="AC456" s="120" t="str">
        <f>IF($D456="","",IF(SUMPRODUCT(MAX(($D$4:$D$810=$D456)*($B$4:$B$810&lt;$B456)*$B$4:$B$810))=0,0,MAX(($B456-MAX(SUMPRODUCT(MAX(($D$4:$D$810=$D456)*($B$4:$B$810&lt;$B456)*$B$4:$B$810)),'Guide &amp; Settings'!$C$50))/7-'Guide &amp; Settings'!$C$48,0)*'Guide &amp; Settings'!$C$49))</f>
        <v/>
      </c>
    </row>
    <row r="457" spans="1:29" x14ac:dyDescent="0.2">
      <c r="A457" s="111"/>
      <c r="B457" s="112"/>
      <c r="C457" s="113"/>
      <c r="D457" s="113"/>
      <c r="E457" s="111"/>
      <c r="F457" s="114">
        <f t="shared" si="119"/>
        <v>0</v>
      </c>
      <c r="G457" s="115" t="str">
        <f t="shared" si="120"/>
        <v/>
      </c>
      <c r="H457" s="116">
        <f>IF($D457="",0,IFERROR(LOOKUP(2,1/(($D$3:D456=$D457)*($A$3:A456&lt;$A457)),$N$3:N456),'Guide &amp; Settings'!$C$41))</f>
        <v>0</v>
      </c>
      <c r="I457" s="117">
        <f t="shared" si="121"/>
        <v>0</v>
      </c>
      <c r="J457" s="118">
        <f>IF($D457="",0,IF($F457&lt;2,0,IF($E457="Win",('Guide &amp; Settings'!$C$42/(($F457-1)*COUNTIFS($A$4:$A$810,$A457,$E$4:$E$810,"Win")))*SUMIFS($X$4:$X$810,$A$4:$A$810,$A457,$E$4:$E$810,"Loss"),-('Guide &amp; Settings'!$C$42/($F457-1))*$X457)))</f>
        <v>0</v>
      </c>
      <c r="K457" s="118">
        <f>IF($D457="",0,'Guide &amp; Settings'!$C$43*(IF($E457="Win",1,0)-$I457))</f>
        <v>0</v>
      </c>
      <c r="L457" s="119">
        <f>IF($D457="",0,'Guide &amp; Settings'!$C$44*IF($F457&gt;=3,$F457,0))</f>
        <v>0</v>
      </c>
      <c r="M457" s="118">
        <f t="shared" si="122"/>
        <v>0</v>
      </c>
      <c r="N457" s="116">
        <f t="shared" si="123"/>
        <v>0</v>
      </c>
      <c r="O457" s="115" t="str">
        <f t="shared" si="124"/>
        <v/>
      </c>
      <c r="P457">
        <f t="shared" si="125"/>
        <v>0</v>
      </c>
      <c r="Q457">
        <f t="shared" si="126"/>
        <v>0</v>
      </c>
      <c r="R457">
        <f t="shared" si="127"/>
        <v>0</v>
      </c>
      <c r="S457">
        <f t="shared" si="128"/>
        <v>0</v>
      </c>
      <c r="T457" s="83">
        <f t="shared" si="129"/>
        <v>0</v>
      </c>
      <c r="U457" s="120">
        <f>IF($D457="",0,IFERROR(LOOKUP(2,1/(($D$3:D456=$D457)*($C$3:C456=$C457)*($A$3:A456&lt;$A457)),$AB$3:AB456),1000))</f>
        <v>0</v>
      </c>
      <c r="V457" s="120">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0">
        <f t="shared" si="135"/>
        <v>0</v>
      </c>
      <c r="AC457" s="120" t="str">
        <f>IF($D457="","",IF(SUMPRODUCT(MAX(($D$4:$D$810=$D457)*($B$4:$B$810&lt;$B457)*$B$4:$B$810))=0,0,MAX(($B457-MAX(SUMPRODUCT(MAX(($D$4:$D$810=$D457)*($B$4:$B$810&lt;$B457)*$B$4:$B$810)),'Guide &amp; Settings'!$C$50))/7-'Guide &amp; Settings'!$C$48,0)*'Guide &amp; Settings'!$C$49))</f>
        <v/>
      </c>
    </row>
    <row r="458" spans="1:29" x14ac:dyDescent="0.2">
      <c r="A458" s="111"/>
      <c r="B458" s="112"/>
      <c r="C458" s="113"/>
      <c r="D458" s="113"/>
      <c r="E458" s="111"/>
      <c r="F458" s="114">
        <f t="shared" si="119"/>
        <v>0</v>
      </c>
      <c r="G458" s="115" t="str">
        <f t="shared" si="120"/>
        <v/>
      </c>
      <c r="H458" s="116">
        <f>IF($D458="",0,IFERROR(LOOKUP(2,1/(($D$3:D457=$D458)*($A$3:A457&lt;$A458)),$N$3:N457),'Guide &amp; Settings'!$C$41))</f>
        <v>0</v>
      </c>
      <c r="I458" s="117">
        <f t="shared" si="121"/>
        <v>0</v>
      </c>
      <c r="J458" s="118">
        <f>IF($D458="",0,IF($F458&lt;2,0,IF($E458="Win",('Guide &amp; Settings'!$C$42/(($F458-1)*COUNTIFS($A$4:$A$810,$A458,$E$4:$E$810,"Win")))*SUMIFS($X$4:$X$810,$A$4:$A$810,$A458,$E$4:$E$810,"Loss"),-('Guide &amp; Settings'!$C$42/($F458-1))*$X458)))</f>
        <v>0</v>
      </c>
      <c r="K458" s="118">
        <f>IF($D458="",0,'Guide &amp; Settings'!$C$43*(IF($E458="Win",1,0)-$I458))</f>
        <v>0</v>
      </c>
      <c r="L458" s="119">
        <f>IF($D458="",0,'Guide &amp; Settings'!$C$44*IF($F458&gt;=3,$F458,0))</f>
        <v>0</v>
      </c>
      <c r="M458" s="118">
        <f t="shared" si="122"/>
        <v>0</v>
      </c>
      <c r="N458" s="116">
        <f t="shared" si="123"/>
        <v>0</v>
      </c>
      <c r="O458" s="115" t="str">
        <f t="shared" si="124"/>
        <v/>
      </c>
      <c r="P458">
        <f t="shared" si="125"/>
        <v>0</v>
      </c>
      <c r="Q458">
        <f t="shared" si="126"/>
        <v>0</v>
      </c>
      <c r="R458">
        <f t="shared" si="127"/>
        <v>0</v>
      </c>
      <c r="S458">
        <f t="shared" si="128"/>
        <v>0</v>
      </c>
      <c r="T458" s="83">
        <f t="shared" si="129"/>
        <v>0</v>
      </c>
      <c r="U458" s="120">
        <f>IF($D458="",0,IFERROR(LOOKUP(2,1/(($D$3:D457=$D458)*($C$3:C457=$C458)*($A$3:A457&lt;$A458)),$AB$3:AB457),1000))</f>
        <v>0</v>
      </c>
      <c r="V458" s="120">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0">
        <f t="shared" si="135"/>
        <v>0</v>
      </c>
      <c r="AC458" s="120" t="str">
        <f>IF($D458="","",IF(SUMPRODUCT(MAX(($D$4:$D$810=$D458)*($B$4:$B$810&lt;$B458)*$B$4:$B$810))=0,0,MAX(($B458-MAX(SUMPRODUCT(MAX(($D$4:$D$810=$D458)*($B$4:$B$810&lt;$B458)*$B$4:$B$810)),'Guide &amp; Settings'!$C$50))/7-'Guide &amp; Settings'!$C$48,0)*'Guide &amp; Settings'!$C$49))</f>
        <v/>
      </c>
    </row>
    <row r="459" spans="1:29" x14ac:dyDescent="0.2">
      <c r="A459" s="111"/>
      <c r="B459" s="112"/>
      <c r="C459" s="113"/>
      <c r="D459" s="113"/>
      <c r="E459" s="111"/>
      <c r="F459" s="114">
        <f t="shared" si="119"/>
        <v>0</v>
      </c>
      <c r="G459" s="115" t="str">
        <f t="shared" si="120"/>
        <v/>
      </c>
      <c r="H459" s="116">
        <f>IF($D459="",0,IFERROR(LOOKUP(2,1/(($D$3:D458=$D459)*($A$3:A458&lt;$A459)),$N$3:N458),'Guide &amp; Settings'!$C$41))</f>
        <v>0</v>
      </c>
      <c r="I459" s="117">
        <f t="shared" si="121"/>
        <v>0</v>
      </c>
      <c r="J459" s="118">
        <f>IF($D459="",0,IF($F459&lt;2,0,IF($E459="Win",('Guide &amp; Settings'!$C$42/(($F459-1)*COUNTIFS($A$4:$A$810,$A459,$E$4:$E$810,"Win")))*SUMIFS($X$4:$X$810,$A$4:$A$810,$A459,$E$4:$E$810,"Loss"),-('Guide &amp; Settings'!$C$42/($F459-1))*$X459)))</f>
        <v>0</v>
      </c>
      <c r="K459" s="118">
        <f>IF($D459="",0,'Guide &amp; Settings'!$C$43*(IF($E459="Win",1,0)-$I459))</f>
        <v>0</v>
      </c>
      <c r="L459" s="119">
        <f>IF($D459="",0,'Guide &amp; Settings'!$C$44*IF($F459&gt;=3,$F459,0))</f>
        <v>0</v>
      </c>
      <c r="M459" s="118">
        <f t="shared" si="122"/>
        <v>0</v>
      </c>
      <c r="N459" s="116">
        <f t="shared" si="123"/>
        <v>0</v>
      </c>
      <c r="O459" s="115" t="str">
        <f t="shared" si="124"/>
        <v/>
      </c>
      <c r="P459">
        <f t="shared" si="125"/>
        <v>0</v>
      </c>
      <c r="Q459">
        <f t="shared" si="126"/>
        <v>0</v>
      </c>
      <c r="R459">
        <f t="shared" si="127"/>
        <v>0</v>
      </c>
      <c r="S459">
        <f t="shared" si="128"/>
        <v>0</v>
      </c>
      <c r="T459" s="83">
        <f t="shared" si="129"/>
        <v>0</v>
      </c>
      <c r="U459" s="120">
        <f>IF($D459="",0,IFERROR(LOOKUP(2,1/(($D$3:D458=$D459)*($C$3:C458=$C459)*($A$3:A458&lt;$A459)),$AB$3:AB458),1000))</f>
        <v>0</v>
      </c>
      <c r="V459" s="120">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0">
        <f t="shared" si="135"/>
        <v>0</v>
      </c>
      <c r="AC459" s="120" t="str">
        <f>IF($D459="","",IF(SUMPRODUCT(MAX(($D$4:$D$810=$D459)*($B$4:$B$810&lt;$B459)*$B$4:$B$810))=0,0,MAX(($B459-MAX(SUMPRODUCT(MAX(($D$4:$D$810=$D459)*($B$4:$B$810&lt;$B459)*$B$4:$B$810)),'Guide &amp; Settings'!$C$50))/7-'Guide &amp; Settings'!$C$48,0)*'Guide &amp; Settings'!$C$49))</f>
        <v/>
      </c>
    </row>
    <row r="460" spans="1:29" x14ac:dyDescent="0.2">
      <c r="A460" s="111"/>
      <c r="B460" s="112"/>
      <c r="C460" s="113"/>
      <c r="D460" s="113"/>
      <c r="E460" s="111"/>
      <c r="F460" s="114">
        <f t="shared" si="119"/>
        <v>0</v>
      </c>
      <c r="G460" s="115" t="str">
        <f t="shared" si="120"/>
        <v/>
      </c>
      <c r="H460" s="116">
        <f>IF($D460="",0,IFERROR(LOOKUP(2,1/(($D$3:D459=$D460)*($A$3:A459&lt;$A460)),$N$3:N459),'Guide &amp; Settings'!$C$41))</f>
        <v>0</v>
      </c>
      <c r="I460" s="117">
        <f t="shared" si="121"/>
        <v>0</v>
      </c>
      <c r="J460" s="118">
        <f>IF($D460="",0,IF($F460&lt;2,0,IF($E460="Win",('Guide &amp; Settings'!$C$42/(($F460-1)*COUNTIFS($A$4:$A$810,$A460,$E$4:$E$810,"Win")))*SUMIFS($X$4:$X$810,$A$4:$A$810,$A460,$E$4:$E$810,"Loss"),-('Guide &amp; Settings'!$C$42/($F460-1))*$X460)))</f>
        <v>0</v>
      </c>
      <c r="K460" s="118">
        <f>IF($D460="",0,'Guide &amp; Settings'!$C$43*(IF($E460="Win",1,0)-$I460))</f>
        <v>0</v>
      </c>
      <c r="L460" s="119">
        <f>IF($D460="",0,'Guide &amp; Settings'!$C$44*IF($F460&gt;=3,$F460,0))</f>
        <v>0</v>
      </c>
      <c r="M460" s="118">
        <f t="shared" si="122"/>
        <v>0</v>
      </c>
      <c r="N460" s="116">
        <f t="shared" si="123"/>
        <v>0</v>
      </c>
      <c r="O460" s="115" t="str">
        <f t="shared" si="124"/>
        <v/>
      </c>
      <c r="P460">
        <f t="shared" si="125"/>
        <v>0</v>
      </c>
      <c r="Q460">
        <f t="shared" si="126"/>
        <v>0</v>
      </c>
      <c r="R460">
        <f t="shared" si="127"/>
        <v>0</v>
      </c>
      <c r="S460">
        <f t="shared" si="128"/>
        <v>0</v>
      </c>
      <c r="T460" s="83">
        <f t="shared" si="129"/>
        <v>0</v>
      </c>
      <c r="U460" s="120">
        <f>IF($D460="",0,IFERROR(LOOKUP(2,1/(($D$3:D459=$D460)*($C$3:C459=$C460)*($A$3:A459&lt;$A460)),$AB$3:AB459),1000))</f>
        <v>0</v>
      </c>
      <c r="V460" s="120">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0">
        <f t="shared" si="135"/>
        <v>0</v>
      </c>
      <c r="AC460" s="120" t="str">
        <f>IF($D460="","",IF(SUMPRODUCT(MAX(($D$4:$D$810=$D460)*($B$4:$B$810&lt;$B460)*$B$4:$B$810))=0,0,MAX(($B460-MAX(SUMPRODUCT(MAX(($D$4:$D$810=$D460)*($B$4:$B$810&lt;$B460)*$B$4:$B$810)),'Guide &amp; Settings'!$C$50))/7-'Guide &amp; Settings'!$C$48,0)*'Guide &amp; Settings'!$C$49))</f>
        <v/>
      </c>
    </row>
    <row r="461" spans="1:29" x14ac:dyDescent="0.2">
      <c r="A461" s="111"/>
      <c r="B461" s="112"/>
      <c r="C461" s="113"/>
      <c r="D461" s="113"/>
      <c r="E461" s="111"/>
      <c r="F461" s="114">
        <f t="shared" si="119"/>
        <v>0</v>
      </c>
      <c r="G461" s="115" t="str">
        <f t="shared" si="120"/>
        <v/>
      </c>
      <c r="H461" s="116">
        <f>IF($D461="",0,IFERROR(LOOKUP(2,1/(($D$3:D460=$D461)*($A$3:A460&lt;$A461)),$N$3:N460),'Guide &amp; Settings'!$C$41))</f>
        <v>0</v>
      </c>
      <c r="I461" s="117">
        <f t="shared" si="121"/>
        <v>0</v>
      </c>
      <c r="J461" s="118">
        <f>IF($D461="",0,IF($F461&lt;2,0,IF($E461="Win",('Guide &amp; Settings'!$C$42/(($F461-1)*COUNTIFS($A$4:$A$810,$A461,$E$4:$E$810,"Win")))*SUMIFS($X$4:$X$810,$A$4:$A$810,$A461,$E$4:$E$810,"Loss"),-('Guide &amp; Settings'!$C$42/($F461-1))*$X461)))</f>
        <v>0</v>
      </c>
      <c r="K461" s="118">
        <f>IF($D461="",0,'Guide &amp; Settings'!$C$43*(IF($E461="Win",1,0)-$I461))</f>
        <v>0</v>
      </c>
      <c r="L461" s="119">
        <f>IF($D461="",0,'Guide &amp; Settings'!$C$44*IF($F461&gt;=3,$F461,0))</f>
        <v>0</v>
      </c>
      <c r="M461" s="118">
        <f t="shared" si="122"/>
        <v>0</v>
      </c>
      <c r="N461" s="116">
        <f t="shared" si="123"/>
        <v>0</v>
      </c>
      <c r="O461" s="115" t="str">
        <f t="shared" si="124"/>
        <v/>
      </c>
      <c r="P461">
        <f t="shared" si="125"/>
        <v>0</v>
      </c>
      <c r="Q461">
        <f t="shared" si="126"/>
        <v>0</v>
      </c>
      <c r="R461">
        <f t="shared" si="127"/>
        <v>0</v>
      </c>
      <c r="S461">
        <f t="shared" si="128"/>
        <v>0</v>
      </c>
      <c r="T461" s="83">
        <f t="shared" si="129"/>
        <v>0</v>
      </c>
      <c r="U461" s="120">
        <f>IF($D461="",0,IFERROR(LOOKUP(2,1/(($D$3:D460=$D461)*($C$3:C460=$C461)*($A$3:A460&lt;$A461)),$AB$3:AB460),1000))</f>
        <v>0</v>
      </c>
      <c r="V461" s="120">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0">
        <f t="shared" si="135"/>
        <v>0</v>
      </c>
      <c r="AC461" s="120" t="str">
        <f>IF($D461="","",IF(SUMPRODUCT(MAX(($D$4:$D$810=$D461)*($B$4:$B$810&lt;$B461)*$B$4:$B$810))=0,0,MAX(($B461-MAX(SUMPRODUCT(MAX(($D$4:$D$810=$D461)*($B$4:$B$810&lt;$B461)*$B$4:$B$810)),'Guide &amp; Settings'!$C$50))/7-'Guide &amp; Settings'!$C$48,0)*'Guide &amp; Settings'!$C$49))</f>
        <v/>
      </c>
    </row>
    <row r="462" spans="1:29" x14ac:dyDescent="0.2">
      <c r="A462" s="111"/>
      <c r="B462" s="112"/>
      <c r="C462" s="113"/>
      <c r="D462" s="113"/>
      <c r="E462" s="111"/>
      <c r="F462" s="114">
        <f t="shared" si="119"/>
        <v>0</v>
      </c>
      <c r="G462" s="115" t="str">
        <f t="shared" si="120"/>
        <v/>
      </c>
      <c r="H462" s="116">
        <f>IF($D462="",0,IFERROR(LOOKUP(2,1/(($D$3:D461=$D462)*($A$3:A461&lt;$A462)),$N$3:N461),'Guide &amp; Settings'!$C$41))</f>
        <v>0</v>
      </c>
      <c r="I462" s="117">
        <f t="shared" si="121"/>
        <v>0</v>
      </c>
      <c r="J462" s="118">
        <f>IF($D462="",0,IF($F462&lt;2,0,IF($E462="Win",('Guide &amp; Settings'!$C$42/(($F462-1)*COUNTIFS($A$4:$A$810,$A462,$E$4:$E$810,"Win")))*SUMIFS($X$4:$X$810,$A$4:$A$810,$A462,$E$4:$E$810,"Loss"),-('Guide &amp; Settings'!$C$42/($F462-1))*$X462)))</f>
        <v>0</v>
      </c>
      <c r="K462" s="118">
        <f>IF($D462="",0,'Guide &amp; Settings'!$C$43*(IF($E462="Win",1,0)-$I462))</f>
        <v>0</v>
      </c>
      <c r="L462" s="119">
        <f>IF($D462="",0,'Guide &amp; Settings'!$C$44*IF($F462&gt;=3,$F462,0))</f>
        <v>0</v>
      </c>
      <c r="M462" s="118">
        <f t="shared" si="122"/>
        <v>0</v>
      </c>
      <c r="N462" s="116">
        <f t="shared" si="123"/>
        <v>0</v>
      </c>
      <c r="O462" s="115" t="str">
        <f t="shared" si="124"/>
        <v/>
      </c>
      <c r="P462">
        <f t="shared" si="125"/>
        <v>0</v>
      </c>
      <c r="Q462">
        <f t="shared" si="126"/>
        <v>0</v>
      </c>
      <c r="R462">
        <f t="shared" si="127"/>
        <v>0</v>
      </c>
      <c r="S462">
        <f t="shared" si="128"/>
        <v>0</v>
      </c>
      <c r="T462" s="83">
        <f t="shared" si="129"/>
        <v>0</v>
      </c>
      <c r="U462" s="120">
        <f>IF($D462="",0,IFERROR(LOOKUP(2,1/(($D$3:D461=$D462)*($C$3:C461=$C462)*($A$3:A461&lt;$A462)),$AB$3:AB461),1000))</f>
        <v>0</v>
      </c>
      <c r="V462" s="120">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0">
        <f t="shared" si="135"/>
        <v>0</v>
      </c>
      <c r="AC462" s="120" t="str">
        <f>IF($D462="","",IF(SUMPRODUCT(MAX(($D$4:$D$810=$D462)*($B$4:$B$810&lt;$B462)*$B$4:$B$810))=0,0,MAX(($B462-MAX(SUMPRODUCT(MAX(($D$4:$D$810=$D462)*($B$4:$B$810&lt;$B462)*$B$4:$B$810)),'Guide &amp; Settings'!$C$50))/7-'Guide &amp; Settings'!$C$48,0)*'Guide &amp; Settings'!$C$49))</f>
        <v/>
      </c>
    </row>
    <row r="463" spans="1:29" x14ac:dyDescent="0.2">
      <c r="A463" s="111"/>
      <c r="B463" s="112"/>
      <c r="C463" s="113"/>
      <c r="D463" s="113"/>
      <c r="E463" s="111"/>
      <c r="F463" s="114">
        <f t="shared" si="119"/>
        <v>0</v>
      </c>
      <c r="G463" s="115" t="str">
        <f t="shared" si="120"/>
        <v/>
      </c>
      <c r="H463" s="116">
        <f>IF($D463="",0,IFERROR(LOOKUP(2,1/(($D$3:D462=$D463)*($A$3:A462&lt;$A463)),$N$3:N462),'Guide &amp; Settings'!$C$41))</f>
        <v>0</v>
      </c>
      <c r="I463" s="117">
        <f t="shared" si="121"/>
        <v>0</v>
      </c>
      <c r="J463" s="118">
        <f>IF($D463="",0,IF($F463&lt;2,0,IF($E463="Win",('Guide &amp; Settings'!$C$42/(($F463-1)*COUNTIFS($A$4:$A$810,$A463,$E$4:$E$810,"Win")))*SUMIFS($X$4:$X$810,$A$4:$A$810,$A463,$E$4:$E$810,"Loss"),-('Guide &amp; Settings'!$C$42/($F463-1))*$X463)))</f>
        <v>0</v>
      </c>
      <c r="K463" s="118">
        <f>IF($D463="",0,'Guide &amp; Settings'!$C$43*(IF($E463="Win",1,0)-$I463))</f>
        <v>0</v>
      </c>
      <c r="L463" s="119">
        <f>IF($D463="",0,'Guide &amp; Settings'!$C$44*IF($F463&gt;=3,$F463,0))</f>
        <v>0</v>
      </c>
      <c r="M463" s="118">
        <f t="shared" si="122"/>
        <v>0</v>
      </c>
      <c r="N463" s="116">
        <f t="shared" si="123"/>
        <v>0</v>
      </c>
      <c r="O463" s="115" t="str">
        <f t="shared" si="124"/>
        <v/>
      </c>
      <c r="P463">
        <f t="shared" si="125"/>
        <v>0</v>
      </c>
      <c r="Q463">
        <f t="shared" si="126"/>
        <v>0</v>
      </c>
      <c r="R463">
        <f t="shared" si="127"/>
        <v>0</v>
      </c>
      <c r="S463">
        <f t="shared" si="128"/>
        <v>0</v>
      </c>
      <c r="T463" s="83">
        <f t="shared" si="129"/>
        <v>0</v>
      </c>
      <c r="U463" s="120">
        <f>IF($D463="",0,IFERROR(LOOKUP(2,1/(($D$3:D462=$D463)*($C$3:C462=$C463)*($A$3:A462&lt;$A463)),$AB$3:AB462),1000))</f>
        <v>0</v>
      </c>
      <c r="V463" s="120">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0">
        <f t="shared" si="135"/>
        <v>0</v>
      </c>
      <c r="AC463" s="120" t="str">
        <f>IF($D463="","",IF(SUMPRODUCT(MAX(($D$4:$D$810=$D463)*($B$4:$B$810&lt;$B463)*$B$4:$B$810))=0,0,MAX(($B463-MAX(SUMPRODUCT(MAX(($D$4:$D$810=$D463)*($B$4:$B$810&lt;$B463)*$B$4:$B$810)),'Guide &amp; Settings'!$C$50))/7-'Guide &amp; Settings'!$C$48,0)*'Guide &amp; Settings'!$C$49))</f>
        <v/>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IF($D464="","",IF(SUMPRODUCT(MAX(($D$4:$D$810=$D464)*($B$4:$B$810&lt;$B464)*$B$4:$B$810))=0,0,MAX(($B464-MAX(SUMPRODUCT(MAX(($D$4:$D$810=$D464)*($B$4:$B$810&lt;$B464)*$B$4:$B$810)),'Guide &amp; Settings'!$C$50))/7-'Guide &amp; Settings'!$C$48,0)*'Guide &amp; Settings'!$C$49))</f>
        <v/>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IF($D465="","",IF(SUMPRODUCT(MAX(($D$4:$D$810=$D465)*($B$4:$B$810&lt;$B465)*$B$4:$B$810))=0,0,MAX(($B465-MAX(SUMPRODUCT(MAX(($D$4:$D$810=$D465)*($B$4:$B$810&lt;$B465)*$B$4:$B$810)),'Guide &amp; Settings'!$C$50))/7-'Guide &amp; Settings'!$C$48,0)*'Guide &amp; Settings'!$C$49))</f>
        <v/>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IF($D466="","",IF(SUMPRODUCT(MAX(($D$4:$D$810=$D466)*($B$4:$B$810&lt;$B466)*$B$4:$B$810))=0,0,MAX(($B466-MAX(SUMPRODUCT(MAX(($D$4:$D$810=$D466)*($B$4:$B$810&lt;$B466)*$B$4:$B$810)),'Guide &amp; Settings'!$C$50))/7-'Guide &amp; Settings'!$C$48,0)*'Guide &amp; Settings'!$C$49))</f>
        <v/>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IF($D467="","",IF(SUMPRODUCT(MAX(($D$4:$D$810=$D467)*($B$4:$B$810&lt;$B467)*$B$4:$B$810))=0,0,MAX(($B467-MAX(SUMPRODUCT(MAX(($D$4:$D$810=$D467)*($B$4:$B$810&lt;$B467)*$B$4:$B$810)),'Guide &amp; Settings'!$C$50))/7-'Guide &amp; Settings'!$C$48,0)*'Guide &amp; Settings'!$C$49))</f>
        <v/>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IF($D468="","",IF(SUMPRODUCT(MAX(($D$4:$D$810=$D468)*($B$4:$B$810&lt;$B468)*$B$4:$B$810))=0,0,MAX(($B468-MAX(SUMPRODUCT(MAX(($D$4:$D$810=$D468)*($B$4:$B$810&lt;$B468)*$B$4:$B$810)),'Guide &amp; Settings'!$C$50))/7-'Guide &amp; Settings'!$C$48,0)*'Guide &amp; Settings'!$C$49))</f>
        <v/>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IF($D469="","",IF(SUMPRODUCT(MAX(($D$4:$D$810=$D469)*($B$4:$B$810&lt;$B469)*$B$4:$B$810))=0,0,MAX(($B469-MAX(SUMPRODUCT(MAX(($D$4:$D$810=$D469)*($B$4:$B$810&lt;$B469)*$B$4:$B$810)),'Guide &amp; Settings'!$C$50))/7-'Guide &amp; Settings'!$C$48,0)*'Guide &amp; Settings'!$C$49))</f>
        <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IF($D470="","",IF(SUMPRODUCT(MAX(($D$4:$D$810=$D470)*($B$4:$B$810&lt;$B470)*$B$4:$B$810))=0,0,MAX(($B470-MAX(SUMPRODUCT(MAX(($D$4:$D$810=$D470)*($B$4:$B$810&lt;$B470)*$B$4:$B$810)),'Guide &amp; Settings'!$C$50))/7-'Guide &amp; Settings'!$C$48,0)*'Guide &amp; Settings'!$C$49))</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IF($D471="","",IF(SUMPRODUCT(MAX(($D$4:$D$810=$D471)*($B$4:$B$810&lt;$B471)*$B$4:$B$810))=0,0,MAX(($B471-MAX(SUMPRODUCT(MAX(($D$4:$D$810=$D471)*($B$4:$B$810&lt;$B471)*$B$4:$B$810)),'Guide &amp; Settings'!$C$50))/7-'Guide &amp; Settings'!$C$48,0)*'Guide &amp; Settings'!$C$49))</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IF($D472="","",IF(SUMPRODUCT(MAX(($D$4:$D$810=$D472)*($B$4:$B$810&lt;$B472)*$B$4:$B$810))=0,0,MAX(($B472-MAX(SUMPRODUCT(MAX(($D$4:$D$810=$D472)*($B$4:$B$810&lt;$B472)*$B$4:$B$810)),'Guide &amp; Settings'!$C$50))/7-'Guide &amp; Settings'!$C$48,0)*'Guide &amp; Settings'!$C$49))</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IF($D473="","",IF(SUMPRODUCT(MAX(($D$4:$D$810=$D473)*($B$4:$B$810&lt;$B473)*$B$4:$B$810))=0,0,MAX(($B473-MAX(SUMPRODUCT(MAX(($D$4:$D$810=$D473)*($B$4:$B$810&lt;$B473)*$B$4:$B$810)),'Guide &amp; Settings'!$C$50))/7-'Guide &amp; Settings'!$C$48,0)*'Guide &amp; Settings'!$C$49))</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IF($D474="","",IF(SUMPRODUCT(MAX(($D$4:$D$810=$D474)*($B$4:$B$810&lt;$B474)*$B$4:$B$810))=0,0,MAX(($B474-MAX(SUMPRODUCT(MAX(($D$4:$D$810=$D474)*($B$4:$B$810&lt;$B474)*$B$4:$B$810)),'Guide &amp; Settings'!$C$50))/7-'Guide &amp; Settings'!$C$48,0)*'Guide &amp; Settings'!$C$49))</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IF($D475="","",IF(SUMPRODUCT(MAX(($D$4:$D$810=$D475)*($B$4:$B$810&lt;$B475)*$B$4:$B$810))=0,0,MAX(($B475-MAX(SUMPRODUCT(MAX(($D$4:$D$810=$D475)*($B$4:$B$810&lt;$B475)*$B$4:$B$810)),'Guide &amp; Settings'!$C$50))/7-'Guide &amp; Settings'!$C$48,0)*'Guide &amp; Settings'!$C$49))</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IF($D476="","",IF(SUMPRODUCT(MAX(($D$4:$D$810=$D476)*($B$4:$B$810&lt;$B476)*$B$4:$B$810))=0,0,MAX(($B476-MAX(SUMPRODUCT(MAX(($D$4:$D$810=$D476)*($B$4:$B$810&lt;$B476)*$B$4:$B$810)),'Guide &amp; Settings'!$C$50))/7-'Guide &amp; Settings'!$C$48,0)*'Guide &amp; Settings'!$C$49))</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IF($D477="","",IF(SUMPRODUCT(MAX(($D$4:$D$810=$D477)*($B$4:$B$810&lt;$B477)*$B$4:$B$810))=0,0,MAX(($B477-MAX(SUMPRODUCT(MAX(($D$4:$D$810=$D477)*($B$4:$B$810&lt;$B477)*$B$4:$B$810)),'Guide &amp; Settings'!$C$50))/7-'Guide &amp; Settings'!$C$48,0)*'Guide &amp; Settings'!$C$49))</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IF($D478="","",IF(SUMPRODUCT(MAX(($D$4:$D$810=$D478)*($B$4:$B$810&lt;$B478)*$B$4:$B$810))=0,0,MAX(($B478-MAX(SUMPRODUCT(MAX(($D$4:$D$810=$D478)*($B$4:$B$810&lt;$B478)*$B$4:$B$810)),'Guide &amp; Settings'!$C$50))/7-'Guide &amp; Settings'!$C$48,0)*'Guide &amp; Settings'!$C$49))</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IF($D479="","",IF(SUMPRODUCT(MAX(($D$4:$D$810=$D479)*($B$4:$B$810&lt;$B479)*$B$4:$B$810))=0,0,MAX(($B479-MAX(SUMPRODUCT(MAX(($D$4:$D$810=$D479)*($B$4:$B$810&lt;$B479)*$B$4:$B$810)),'Guide &amp; Settings'!$C$50))/7-'Guide &amp; Settings'!$C$48,0)*'Guide &amp; Settings'!$C$49))</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IF($D480="","",IF(SUMPRODUCT(MAX(($D$4:$D$810=$D480)*($B$4:$B$810&lt;$B480)*$B$4:$B$810))=0,0,MAX(($B480-MAX(SUMPRODUCT(MAX(($D$4:$D$810=$D480)*($B$4:$B$810&lt;$B480)*$B$4:$B$810)),'Guide &amp; Settings'!$C$50))/7-'Guide &amp; Settings'!$C$48,0)*'Guide &amp; Settings'!$C$49))</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IF($D481="","",IF(SUMPRODUCT(MAX(($D$4:$D$810=$D481)*($B$4:$B$810&lt;$B481)*$B$4:$B$810))=0,0,MAX(($B481-MAX(SUMPRODUCT(MAX(($D$4:$D$810=$D481)*($B$4:$B$810&lt;$B481)*$B$4:$B$810)),'Guide &amp; Settings'!$C$50))/7-'Guide &amp; Settings'!$C$48,0)*'Guide &amp; Settings'!$C$49))</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IF($D482="","",IF(SUMPRODUCT(MAX(($D$4:$D$810=$D482)*($B$4:$B$810&lt;$B482)*$B$4:$B$810))=0,0,MAX(($B482-MAX(SUMPRODUCT(MAX(($D$4:$D$810=$D482)*($B$4:$B$810&lt;$B482)*$B$4:$B$810)),'Guide &amp; Settings'!$C$50))/7-'Guide &amp; Settings'!$C$48,0)*'Guide &amp; Settings'!$C$49))</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IF($D483="","",IF(SUMPRODUCT(MAX(($D$4:$D$810=$D483)*($B$4:$B$810&lt;$B483)*$B$4:$B$810))=0,0,MAX(($B483-MAX(SUMPRODUCT(MAX(($D$4:$D$810=$D483)*($B$4:$B$810&lt;$B483)*$B$4:$B$810)),'Guide &amp; Settings'!$C$50))/7-'Guide &amp; Settings'!$C$48,0)*'Guide &amp; Settings'!$C$49))</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IF($D484="","",IF(SUMPRODUCT(MAX(($D$4:$D$810=$D484)*($B$4:$B$810&lt;$B484)*$B$4:$B$810))=0,0,MAX(($B484-MAX(SUMPRODUCT(MAX(($D$4:$D$810=$D484)*($B$4:$B$810&lt;$B484)*$B$4:$B$810)),'Guide &amp; Settings'!$C$50))/7-'Guide &amp; Settings'!$C$48,0)*'Guide &amp; Settings'!$C$49))</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IF($D485="","",IF(SUMPRODUCT(MAX(($D$4:$D$810=$D485)*($B$4:$B$810&lt;$B485)*$B$4:$B$810))=0,0,MAX(($B485-MAX(SUMPRODUCT(MAX(($D$4:$D$810=$D485)*($B$4:$B$810&lt;$B485)*$B$4:$B$810)),'Guide &amp; Settings'!$C$50))/7-'Guide &amp; Settings'!$C$48,0)*'Guide &amp; Settings'!$C$49))</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IF($D486="","",IF(SUMPRODUCT(MAX(($D$4:$D$810=$D486)*($B$4:$B$810&lt;$B486)*$B$4:$B$810))=0,0,MAX(($B486-MAX(SUMPRODUCT(MAX(($D$4:$D$810=$D486)*($B$4:$B$810&lt;$B486)*$B$4:$B$810)),'Guide &amp; Settings'!$C$50))/7-'Guide &amp; Settings'!$C$48,0)*'Guide &amp; Settings'!$C$49))</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IF($D487="","",IF(SUMPRODUCT(MAX(($D$4:$D$810=$D487)*($B$4:$B$810&lt;$B487)*$B$4:$B$810))=0,0,MAX(($B487-MAX(SUMPRODUCT(MAX(($D$4:$D$810=$D487)*($B$4:$B$810&lt;$B487)*$B$4:$B$810)),'Guide &amp; Settings'!$C$50))/7-'Guide &amp; Settings'!$C$48,0)*'Guide &amp; Settings'!$C$49))</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IF($D488="","",IF(SUMPRODUCT(MAX(($D$4:$D$810=$D488)*($B$4:$B$810&lt;$B488)*$B$4:$B$810))=0,0,MAX(($B488-MAX(SUMPRODUCT(MAX(($D$4:$D$810=$D488)*($B$4:$B$810&lt;$B488)*$B$4:$B$810)),'Guide &amp; Settings'!$C$50))/7-'Guide &amp; Settings'!$C$48,0)*'Guide &amp; Settings'!$C$49))</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IF($D489="","",IF(SUMPRODUCT(MAX(($D$4:$D$810=$D489)*($B$4:$B$810&lt;$B489)*$B$4:$B$810))=0,0,MAX(($B489-MAX(SUMPRODUCT(MAX(($D$4:$D$810=$D489)*($B$4:$B$810&lt;$B489)*$B$4:$B$810)),'Guide &amp; Settings'!$C$50))/7-'Guide &amp; Settings'!$C$48,0)*'Guide &amp; Settings'!$C$49))</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IF($D490="","",IF(SUMPRODUCT(MAX(($D$4:$D$810=$D490)*($B$4:$B$810&lt;$B490)*$B$4:$B$810))=0,0,MAX(($B490-MAX(SUMPRODUCT(MAX(($D$4:$D$810=$D490)*($B$4:$B$810&lt;$B490)*$B$4:$B$810)),'Guide &amp; Settings'!$C$50))/7-'Guide &amp; Settings'!$C$48,0)*'Guide &amp; Settings'!$C$49))</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IF($D491="","",IF(SUMPRODUCT(MAX(($D$4:$D$810=$D491)*($B$4:$B$810&lt;$B491)*$B$4:$B$810))=0,0,MAX(($B491-MAX(SUMPRODUCT(MAX(($D$4:$D$810=$D491)*($B$4:$B$810&lt;$B491)*$B$4:$B$810)),'Guide &amp; Settings'!$C$50))/7-'Guide &amp; Settings'!$C$48,0)*'Guide &amp; Settings'!$C$49))</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IF($D492="","",IF(SUMPRODUCT(MAX(($D$4:$D$810=$D492)*($B$4:$B$810&lt;$B492)*$B$4:$B$810))=0,0,MAX(($B492-MAX(SUMPRODUCT(MAX(($D$4:$D$810=$D492)*($B$4:$B$810&lt;$B492)*$B$4:$B$810)),'Guide &amp; Settings'!$C$50))/7-'Guide &amp; Settings'!$C$48,0)*'Guide &amp; Settings'!$C$49))</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IF($D493="","",IF(SUMPRODUCT(MAX(($D$4:$D$810=$D493)*($B$4:$B$810&lt;$B493)*$B$4:$B$810))=0,0,MAX(($B493-MAX(SUMPRODUCT(MAX(($D$4:$D$810=$D493)*($B$4:$B$810&lt;$B493)*$B$4:$B$810)),'Guide &amp; Settings'!$C$50))/7-'Guide &amp; Settings'!$C$48,0)*'Guide &amp; Settings'!$C$49))</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IF($D494="","",IF(SUMPRODUCT(MAX(($D$4:$D$810=$D494)*($B$4:$B$810&lt;$B494)*$B$4:$B$810))=0,0,MAX(($B494-MAX(SUMPRODUCT(MAX(($D$4:$D$810=$D494)*($B$4:$B$810&lt;$B494)*$B$4:$B$810)),'Guide &amp; Settings'!$C$50))/7-'Guide &amp; Settings'!$C$48,0)*'Guide &amp; Settings'!$C$49))</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IF($D495="","",IF(SUMPRODUCT(MAX(($D$4:$D$810=$D495)*($B$4:$B$810&lt;$B495)*$B$4:$B$810))=0,0,MAX(($B495-MAX(SUMPRODUCT(MAX(($D$4:$D$810=$D495)*($B$4:$B$810&lt;$B495)*$B$4:$B$810)),'Guide &amp; Settings'!$C$50))/7-'Guide &amp; Settings'!$C$48,0)*'Guide &amp; Settings'!$C$49))</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IF($D496="","",IF(SUMPRODUCT(MAX(($D$4:$D$810=$D496)*($B$4:$B$810&lt;$B496)*$B$4:$B$810))=0,0,MAX(($B496-MAX(SUMPRODUCT(MAX(($D$4:$D$810=$D496)*($B$4:$B$810&lt;$B496)*$B$4:$B$810)),'Guide &amp; Settings'!$C$50))/7-'Guide &amp; Settings'!$C$48,0)*'Guide &amp; Settings'!$C$49))</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IF($D497="","",IF(SUMPRODUCT(MAX(($D$4:$D$810=$D497)*($B$4:$B$810&lt;$B497)*$B$4:$B$810))=0,0,MAX(($B497-MAX(SUMPRODUCT(MAX(($D$4:$D$810=$D497)*($B$4:$B$810&lt;$B497)*$B$4:$B$810)),'Guide &amp; Settings'!$C$50))/7-'Guide &amp; Settings'!$C$48,0)*'Guide &amp; Settings'!$C$49))</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IF($D498="","",IF(SUMPRODUCT(MAX(($D$4:$D$810=$D498)*($B$4:$B$810&lt;$B498)*$B$4:$B$810))=0,0,MAX(($B498-MAX(SUMPRODUCT(MAX(($D$4:$D$810=$D498)*($B$4:$B$810&lt;$B498)*$B$4:$B$810)),'Guide &amp; Settings'!$C$50))/7-'Guide &amp; Settings'!$C$48,0)*'Guide &amp; Settings'!$C$49))</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IF($D499="","",IF(SUMPRODUCT(MAX(($D$4:$D$810=$D499)*($B$4:$B$810&lt;$B499)*$B$4:$B$810))=0,0,MAX(($B499-MAX(SUMPRODUCT(MAX(($D$4:$D$810=$D499)*($B$4:$B$810&lt;$B499)*$B$4:$B$810)),'Guide &amp; Settings'!$C$50))/7-'Guide &amp; Settings'!$C$48,0)*'Guide &amp; Settings'!$C$49))</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IF($D500="","",IF(SUMPRODUCT(MAX(($D$4:$D$810=$D500)*($B$4:$B$810&lt;$B500)*$B$4:$B$810))=0,0,MAX(($B500-MAX(SUMPRODUCT(MAX(($D$4:$D$810=$D500)*($B$4:$B$810&lt;$B500)*$B$4:$B$810)),'Guide &amp; Settings'!$C$50))/7-'Guide &amp; Settings'!$C$48,0)*'Guide &amp; Settings'!$C$49))</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IF($D501="","",IF(SUMPRODUCT(MAX(($D$4:$D$810=$D501)*($B$4:$B$810&lt;$B501)*$B$4:$B$810))=0,0,MAX(($B501-MAX(SUMPRODUCT(MAX(($D$4:$D$810=$D501)*($B$4:$B$810&lt;$B501)*$B$4:$B$810)),'Guide &amp; Settings'!$C$50))/7-'Guide &amp; Settings'!$C$48,0)*'Guide &amp; Settings'!$C$49))</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IF($D502="","",IF(SUMPRODUCT(MAX(($D$4:$D$810=$D502)*($B$4:$B$810&lt;$B502)*$B$4:$B$810))=0,0,MAX(($B502-MAX(SUMPRODUCT(MAX(($D$4:$D$810=$D502)*($B$4:$B$810&lt;$B502)*$B$4:$B$810)),'Guide &amp; Settings'!$C$50))/7-'Guide &amp; Settings'!$C$48,0)*'Guide &amp; Settings'!$C$49))</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IF($D503="","",IF(SUMPRODUCT(MAX(($D$4:$D$810=$D503)*($B$4:$B$810&lt;$B503)*$B$4:$B$810))=0,0,MAX(($B503-MAX(SUMPRODUCT(MAX(($D$4:$D$810=$D503)*($B$4:$B$810&lt;$B503)*$B$4:$B$810)),'Guide &amp; Settings'!$C$50))/7-'Guide &amp; Settings'!$C$48,0)*'Guide &amp; Settings'!$C$49))</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IF($D504="","",IF(SUMPRODUCT(MAX(($D$4:$D$810=$D504)*($B$4:$B$810&lt;$B504)*$B$4:$B$810))=0,0,MAX(($B504-MAX(SUMPRODUCT(MAX(($D$4:$D$810=$D504)*($B$4:$B$810&lt;$B504)*$B$4:$B$810)),'Guide &amp; Settings'!$C$50))/7-'Guide &amp; Settings'!$C$48,0)*'Guide &amp; Settings'!$C$49))</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IF($D505="","",IF(SUMPRODUCT(MAX(($D$4:$D$810=$D505)*($B$4:$B$810&lt;$B505)*$B$4:$B$810))=0,0,MAX(($B505-MAX(SUMPRODUCT(MAX(($D$4:$D$810=$D505)*($B$4:$B$810&lt;$B505)*$B$4:$B$810)),'Guide &amp; Settings'!$C$50))/7-'Guide &amp; Settings'!$C$48,0)*'Guide &amp; Settings'!$C$49))</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IF($D506="","",IF(SUMPRODUCT(MAX(($D$4:$D$810=$D506)*($B$4:$B$810&lt;$B506)*$B$4:$B$810))=0,0,MAX(($B506-MAX(SUMPRODUCT(MAX(($D$4:$D$810=$D506)*($B$4:$B$810&lt;$B506)*$B$4:$B$810)),'Guide &amp; Settings'!$C$50))/7-'Guide &amp; Settings'!$C$48,0)*'Guide &amp; Settings'!$C$49))</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IF($D507="","",IF(SUMPRODUCT(MAX(($D$4:$D$810=$D507)*($B$4:$B$810&lt;$B507)*$B$4:$B$810))=0,0,MAX(($B507-MAX(SUMPRODUCT(MAX(($D$4:$D$810=$D507)*($B$4:$B$810&lt;$B507)*$B$4:$B$810)),'Guide &amp; Settings'!$C$50))/7-'Guide &amp; Settings'!$C$48,0)*'Guide &amp; Settings'!$C$49))</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IF($D508="","",IF(SUMPRODUCT(MAX(($D$4:$D$810=$D508)*($B$4:$B$810&lt;$B508)*$B$4:$B$810))=0,0,MAX(($B508-MAX(SUMPRODUCT(MAX(($D$4:$D$810=$D508)*($B$4:$B$810&lt;$B508)*$B$4:$B$810)),'Guide &amp; Settings'!$C$50))/7-'Guide &amp; Settings'!$C$48,0)*'Guide &amp; Settings'!$C$49))</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IF($D509="","",IF(SUMPRODUCT(MAX(($D$4:$D$810=$D509)*($B$4:$B$810&lt;$B509)*$B$4:$B$810))=0,0,MAX(($B509-MAX(SUMPRODUCT(MAX(($D$4:$D$810=$D509)*($B$4:$B$810&lt;$B509)*$B$4:$B$810)),'Guide &amp; Settings'!$C$50))/7-'Guide &amp; Settings'!$C$48,0)*'Guide &amp; Settings'!$C$49))</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IF($D510="","",IF(SUMPRODUCT(MAX(($D$4:$D$810=$D510)*($B$4:$B$810&lt;$B510)*$B$4:$B$810))=0,0,MAX(($B510-MAX(SUMPRODUCT(MAX(($D$4:$D$810=$D510)*($B$4:$B$810&lt;$B510)*$B$4:$B$810)),'Guide &amp; Settings'!$C$50))/7-'Guide &amp; Settings'!$C$48,0)*'Guide &amp; Settings'!$C$49))</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IF($D511="","",IF(SUMPRODUCT(MAX(($D$4:$D$810=$D511)*($B$4:$B$810&lt;$B511)*$B$4:$B$810))=0,0,MAX(($B511-MAX(SUMPRODUCT(MAX(($D$4:$D$810=$D511)*($B$4:$B$810&lt;$B511)*$B$4:$B$810)),'Guide &amp; Settings'!$C$50))/7-'Guide &amp; Settings'!$C$48,0)*'Guide &amp; Settings'!$C$49))</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IF($D512="","",IF(SUMPRODUCT(MAX(($D$4:$D$810=$D512)*($B$4:$B$810&lt;$B512)*$B$4:$B$810))=0,0,MAX(($B512-MAX(SUMPRODUCT(MAX(($D$4:$D$810=$D512)*($B$4:$B$810&lt;$B512)*$B$4:$B$810)),'Guide &amp; Settings'!$C$50))/7-'Guide &amp; Settings'!$C$48,0)*'Guide &amp; Settings'!$C$49))</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IF($D513="","",IF(SUMPRODUCT(MAX(($D$4:$D$810=$D513)*($B$4:$B$810&lt;$B513)*$B$4:$B$810))=0,0,MAX(($B513-MAX(SUMPRODUCT(MAX(($D$4:$D$810=$D513)*($B$4:$B$810&lt;$B513)*$B$4:$B$810)),'Guide &amp; Settings'!$C$50))/7-'Guide &amp; Settings'!$C$48,0)*'Guide &amp; Settings'!$C$49))</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IF($D514="","",IF(SUMPRODUCT(MAX(($D$4:$D$810=$D514)*($B$4:$B$810&lt;$B514)*$B$4:$B$810))=0,0,MAX(($B514-MAX(SUMPRODUCT(MAX(($D$4:$D$810=$D514)*($B$4:$B$810&lt;$B514)*$B$4:$B$810)),'Guide &amp; Settings'!$C$50))/7-'Guide &amp; Settings'!$C$48,0)*'Guide &amp; Settings'!$C$49))</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IF($D515="","",IF(SUMPRODUCT(MAX(($D$4:$D$810=$D515)*($B$4:$B$810&lt;$B515)*$B$4:$B$810))=0,0,MAX(($B515-MAX(SUMPRODUCT(MAX(($D$4:$D$810=$D515)*($B$4:$B$810&lt;$B515)*$B$4:$B$810)),'Guide &amp; Settings'!$C$50))/7-'Guide &amp; Settings'!$C$48,0)*'Guide &amp; Settings'!$C$49))</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IF($D516="","",IF(SUMPRODUCT(MAX(($D$4:$D$810=$D516)*($B$4:$B$810&lt;$B516)*$B$4:$B$810))=0,0,MAX(($B516-MAX(SUMPRODUCT(MAX(($D$4:$D$810=$D516)*($B$4:$B$810&lt;$B516)*$B$4:$B$810)),'Guide &amp; Settings'!$C$50))/7-'Guide &amp; Settings'!$C$48,0)*'Guide &amp; Settings'!$C$49))</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IF($D517="","",IF(SUMPRODUCT(MAX(($D$4:$D$810=$D517)*($B$4:$B$810&lt;$B517)*$B$4:$B$810))=0,0,MAX(($B517-MAX(SUMPRODUCT(MAX(($D$4:$D$810=$D517)*($B$4:$B$810&lt;$B517)*$B$4:$B$810)),'Guide &amp; Settings'!$C$50))/7-'Guide &amp; Settings'!$C$48,0)*'Guide &amp; Settings'!$C$49))</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IF($D518="","",IF(SUMPRODUCT(MAX(($D$4:$D$810=$D518)*($B$4:$B$810&lt;$B518)*$B$4:$B$810))=0,0,MAX(($B518-MAX(SUMPRODUCT(MAX(($D$4:$D$810=$D518)*($B$4:$B$810&lt;$B518)*$B$4:$B$810)),'Guide &amp; Settings'!$C$50))/7-'Guide &amp; Settings'!$C$48,0)*'Guide &amp; Settings'!$C$49))</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IF($D519="","",IF(SUMPRODUCT(MAX(($D$4:$D$810=$D519)*($B$4:$B$810&lt;$B519)*$B$4:$B$810))=0,0,MAX(($B519-MAX(SUMPRODUCT(MAX(($D$4:$D$810=$D519)*($B$4:$B$810&lt;$B519)*$B$4:$B$810)),'Guide &amp; Settings'!$C$50))/7-'Guide &amp; Settings'!$C$48,0)*'Guide &amp; Settings'!$C$49))</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IF($D520="","",IF(SUMPRODUCT(MAX(($D$4:$D$810=$D520)*($B$4:$B$810&lt;$B520)*$B$4:$B$810))=0,0,MAX(($B520-MAX(SUMPRODUCT(MAX(($D$4:$D$810=$D520)*($B$4:$B$810&lt;$B520)*$B$4:$B$810)),'Guide &amp; Settings'!$C$50))/7-'Guide &amp; Settings'!$C$48,0)*'Guide &amp; Settings'!$C$49))</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IF($D521="","",IF(SUMPRODUCT(MAX(($D$4:$D$810=$D521)*($B$4:$B$810&lt;$B521)*$B$4:$B$810))=0,0,MAX(($B521-MAX(SUMPRODUCT(MAX(($D$4:$D$810=$D521)*($B$4:$B$810&lt;$B521)*$B$4:$B$810)),'Guide &amp; Settings'!$C$50))/7-'Guide &amp; Settings'!$C$48,0)*'Guide &amp; Settings'!$C$49))</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IF($D522="","",IF(SUMPRODUCT(MAX(($D$4:$D$810=$D522)*($B$4:$B$810&lt;$B522)*$B$4:$B$810))=0,0,MAX(($B522-MAX(SUMPRODUCT(MAX(($D$4:$D$810=$D522)*($B$4:$B$810&lt;$B522)*$B$4:$B$810)),'Guide &amp; Settings'!$C$50))/7-'Guide &amp; Settings'!$C$48,0)*'Guide &amp; Settings'!$C$49))</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IF($D523="","",IF(SUMPRODUCT(MAX(($D$4:$D$810=$D523)*($B$4:$B$810&lt;$B523)*$B$4:$B$810))=0,0,MAX(($B523-MAX(SUMPRODUCT(MAX(($D$4:$D$810=$D523)*($B$4:$B$810&lt;$B523)*$B$4:$B$810)),'Guide &amp; Settings'!$C$50))/7-'Guide &amp; Settings'!$C$48,0)*'Guide &amp; Settings'!$C$49))</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IF($D524="","",IF(SUMPRODUCT(MAX(($D$4:$D$810=$D524)*($B$4:$B$810&lt;$B524)*$B$4:$B$810))=0,0,MAX(($B524-MAX(SUMPRODUCT(MAX(($D$4:$D$810=$D524)*($B$4:$B$810&lt;$B524)*$B$4:$B$810)),'Guide &amp; Settings'!$C$50))/7-'Guide &amp; Settings'!$C$48,0)*'Guide &amp; Settings'!$C$49))</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IF($D525="","",IF(SUMPRODUCT(MAX(($D$4:$D$810=$D525)*($B$4:$B$810&lt;$B525)*$B$4:$B$810))=0,0,MAX(($B525-MAX(SUMPRODUCT(MAX(($D$4:$D$810=$D525)*($B$4:$B$810&lt;$B525)*$B$4:$B$810)),'Guide &amp; Settings'!$C$50))/7-'Guide &amp; Settings'!$C$48,0)*'Guide &amp; Settings'!$C$49))</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IF($D526="","",IF(SUMPRODUCT(MAX(($D$4:$D$810=$D526)*($B$4:$B$810&lt;$B526)*$B$4:$B$810))=0,0,MAX(($B526-MAX(SUMPRODUCT(MAX(($D$4:$D$810=$D526)*($B$4:$B$810&lt;$B526)*$B$4:$B$810)),'Guide &amp; Settings'!$C$50))/7-'Guide &amp; Settings'!$C$48,0)*'Guide &amp; Settings'!$C$49))</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IF($D527="","",IF(SUMPRODUCT(MAX(($D$4:$D$810=$D527)*($B$4:$B$810&lt;$B527)*$B$4:$B$810))=0,0,MAX(($B527-MAX(SUMPRODUCT(MAX(($D$4:$D$810=$D527)*($B$4:$B$810&lt;$B527)*$B$4:$B$810)),'Guide &amp; Settings'!$C$50))/7-'Guide &amp; Settings'!$C$48,0)*'Guide &amp; Settings'!$C$49))</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IF($D528="","",IF(SUMPRODUCT(MAX(($D$4:$D$810=$D528)*($B$4:$B$810&lt;$B528)*$B$4:$B$810))=0,0,MAX(($B528-MAX(SUMPRODUCT(MAX(($D$4:$D$810=$D528)*($B$4:$B$810&lt;$B528)*$B$4:$B$810)),'Guide &amp; Settings'!$C$50))/7-'Guide &amp; Settings'!$C$48,0)*'Guide &amp; Settings'!$C$49))</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IF($D529="","",IF(SUMPRODUCT(MAX(($D$4:$D$810=$D529)*($B$4:$B$810&lt;$B529)*$B$4:$B$810))=0,0,MAX(($B529-MAX(SUMPRODUCT(MAX(($D$4:$D$810=$D529)*($B$4:$B$810&lt;$B529)*$B$4:$B$810)),'Guide &amp; Settings'!$C$50))/7-'Guide &amp; Settings'!$C$48,0)*'Guide &amp; Settings'!$C$49))</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IF($D530="","",IF(SUMPRODUCT(MAX(($D$4:$D$810=$D530)*($B$4:$B$810&lt;$B530)*$B$4:$B$810))=0,0,MAX(($B530-MAX(SUMPRODUCT(MAX(($D$4:$D$810=$D530)*($B$4:$B$810&lt;$B530)*$B$4:$B$810)),'Guide &amp; Settings'!$C$50))/7-'Guide &amp; Settings'!$C$48,0)*'Guide &amp; Settings'!$C$49))</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IF($D531="","",IF(SUMPRODUCT(MAX(($D$4:$D$810=$D531)*($B$4:$B$810&lt;$B531)*$B$4:$B$810))=0,0,MAX(($B531-MAX(SUMPRODUCT(MAX(($D$4:$D$810=$D531)*($B$4:$B$810&lt;$B531)*$B$4:$B$810)),'Guide &amp; Settings'!$C$50))/7-'Guide &amp; Settings'!$C$48,0)*'Guide &amp; Settings'!$C$49))</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IF($D532="","",IF(SUMPRODUCT(MAX(($D$4:$D$810=$D532)*($B$4:$B$810&lt;$B532)*$B$4:$B$810))=0,0,MAX(($B532-MAX(SUMPRODUCT(MAX(($D$4:$D$810=$D532)*($B$4:$B$810&lt;$B532)*$B$4:$B$810)),'Guide &amp; Settings'!$C$50))/7-'Guide &amp; Settings'!$C$48,0)*'Guide &amp; Settings'!$C$49))</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IF($D533="","",IF(SUMPRODUCT(MAX(($D$4:$D$810=$D533)*($B$4:$B$810&lt;$B533)*$B$4:$B$810))=0,0,MAX(($B533-MAX(SUMPRODUCT(MAX(($D$4:$D$810=$D533)*($B$4:$B$810&lt;$B533)*$B$4:$B$810)),'Guide &amp; Settings'!$C$50))/7-'Guide &amp; Settings'!$C$48,0)*'Guide &amp; Settings'!$C$49))</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IF($D534="","",IF(SUMPRODUCT(MAX(($D$4:$D$810=$D534)*($B$4:$B$810&lt;$B534)*$B$4:$B$810))=0,0,MAX(($B534-MAX(SUMPRODUCT(MAX(($D$4:$D$810=$D534)*($B$4:$B$810&lt;$B534)*$B$4:$B$810)),'Guide &amp; Settings'!$C$50))/7-'Guide &amp; Settings'!$C$48,0)*'Guide &amp; Settings'!$C$49))</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IF($D535="","",IF(SUMPRODUCT(MAX(($D$4:$D$810=$D535)*($B$4:$B$810&lt;$B535)*$B$4:$B$810))=0,0,MAX(($B535-MAX(SUMPRODUCT(MAX(($D$4:$D$810=$D535)*($B$4:$B$810&lt;$B535)*$B$4:$B$810)),'Guide &amp; Settings'!$C$50))/7-'Guide &amp; Settings'!$C$48,0)*'Guide &amp; Settings'!$C$49))</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IF($D536="","",IF(SUMPRODUCT(MAX(($D$4:$D$810=$D536)*($B$4:$B$810&lt;$B536)*$B$4:$B$810))=0,0,MAX(($B536-MAX(SUMPRODUCT(MAX(($D$4:$D$810=$D536)*($B$4:$B$810&lt;$B536)*$B$4:$B$810)),'Guide &amp; Settings'!$C$50))/7-'Guide &amp; Settings'!$C$48,0)*'Guide &amp; Settings'!$C$49))</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IF($D537="","",IF(SUMPRODUCT(MAX(($D$4:$D$810=$D537)*($B$4:$B$810&lt;$B537)*$B$4:$B$810))=0,0,MAX(($B537-MAX(SUMPRODUCT(MAX(($D$4:$D$810=$D537)*($B$4:$B$810&lt;$B537)*$B$4:$B$810)),'Guide &amp; Settings'!$C$50))/7-'Guide &amp; Settings'!$C$48,0)*'Guide &amp; Settings'!$C$49))</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IF($D538="","",IF(SUMPRODUCT(MAX(($D$4:$D$810=$D538)*($B$4:$B$810&lt;$B538)*$B$4:$B$810))=0,0,MAX(($B538-MAX(SUMPRODUCT(MAX(($D$4:$D$810=$D538)*($B$4:$B$810&lt;$B538)*$B$4:$B$810)),'Guide &amp; Settings'!$C$50))/7-'Guide &amp; Settings'!$C$48,0)*'Guide &amp; Settings'!$C$49))</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IF($D539="","",IF(SUMPRODUCT(MAX(($D$4:$D$810=$D539)*($B$4:$B$810&lt;$B539)*$B$4:$B$810))=0,0,MAX(($B539-MAX(SUMPRODUCT(MAX(($D$4:$D$810=$D539)*($B$4:$B$810&lt;$B539)*$B$4:$B$810)),'Guide &amp; Settings'!$C$50))/7-'Guide &amp; Settings'!$C$48,0)*'Guide &amp; Settings'!$C$49))</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IF($D540="","",IF(SUMPRODUCT(MAX(($D$4:$D$810=$D540)*($B$4:$B$810&lt;$B540)*$B$4:$B$810))=0,0,MAX(($B540-MAX(SUMPRODUCT(MAX(($D$4:$D$810=$D540)*($B$4:$B$810&lt;$B540)*$B$4:$B$810)),'Guide &amp; Settings'!$C$50))/7-'Guide &amp; Settings'!$C$48,0)*'Guide &amp; Settings'!$C$49))</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IF($D541="","",IF(SUMPRODUCT(MAX(($D$4:$D$810=$D541)*($B$4:$B$810&lt;$B541)*$B$4:$B$810))=0,0,MAX(($B541-MAX(SUMPRODUCT(MAX(($D$4:$D$810=$D541)*($B$4:$B$810&lt;$B541)*$B$4:$B$810)),'Guide &amp; Settings'!$C$50))/7-'Guide &amp; Settings'!$C$48,0)*'Guide &amp; Settings'!$C$49))</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IF($D542="","",IF(SUMPRODUCT(MAX(($D$4:$D$810=$D542)*($B$4:$B$810&lt;$B542)*$B$4:$B$810))=0,0,MAX(($B542-MAX(SUMPRODUCT(MAX(($D$4:$D$810=$D542)*($B$4:$B$810&lt;$B542)*$B$4:$B$810)),'Guide &amp; Settings'!$C$50))/7-'Guide &amp; Settings'!$C$48,0)*'Guide &amp; Settings'!$C$49))</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IF($D543="","",IF(SUMPRODUCT(MAX(($D$4:$D$810=$D543)*($B$4:$B$810&lt;$B543)*$B$4:$B$810))=0,0,MAX(($B543-MAX(SUMPRODUCT(MAX(($D$4:$D$810=$D543)*($B$4:$B$810&lt;$B543)*$B$4:$B$810)),'Guide &amp; Settings'!$C$50))/7-'Guide &amp; Settings'!$C$48,0)*'Guide &amp; Settings'!$C$49))</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IF($D544="","",IF(SUMPRODUCT(MAX(($D$4:$D$810=$D544)*($B$4:$B$810&lt;$B544)*$B$4:$B$810))=0,0,MAX(($B544-MAX(SUMPRODUCT(MAX(($D$4:$D$810=$D544)*($B$4:$B$810&lt;$B544)*$B$4:$B$810)),'Guide &amp; Settings'!$C$50))/7-'Guide &amp; Settings'!$C$48,0)*'Guide &amp; Settings'!$C$49))</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IF($D545="","",IF(SUMPRODUCT(MAX(($D$4:$D$810=$D545)*($B$4:$B$810&lt;$B545)*$B$4:$B$810))=0,0,MAX(($B545-MAX(SUMPRODUCT(MAX(($D$4:$D$810=$D545)*($B$4:$B$810&lt;$B545)*$B$4:$B$810)),'Guide &amp; Settings'!$C$50))/7-'Guide &amp; Settings'!$C$48,0)*'Guide &amp; Settings'!$C$49))</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IF($D546="","",IF(SUMPRODUCT(MAX(($D$4:$D$810=$D546)*($B$4:$B$810&lt;$B546)*$B$4:$B$810))=0,0,MAX(($B546-MAX(SUMPRODUCT(MAX(($D$4:$D$810=$D546)*($B$4:$B$810&lt;$B546)*$B$4:$B$810)),'Guide &amp; Settings'!$C$50))/7-'Guide &amp; Settings'!$C$48,0)*'Guide &amp; Settings'!$C$49))</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IF($D547="","",IF(SUMPRODUCT(MAX(($D$4:$D$810=$D547)*($B$4:$B$810&lt;$B547)*$B$4:$B$810))=0,0,MAX(($B547-MAX(SUMPRODUCT(MAX(($D$4:$D$810=$D547)*($B$4:$B$810&lt;$B547)*$B$4:$B$810)),'Guide &amp; Settings'!$C$50))/7-'Guide &amp; Settings'!$C$48,0)*'Guide &amp; Settings'!$C$49))</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IF($D548="","",IF(SUMPRODUCT(MAX(($D$4:$D$810=$D548)*($B$4:$B$810&lt;$B548)*$B$4:$B$810))=0,0,MAX(($B548-MAX(SUMPRODUCT(MAX(($D$4:$D$810=$D548)*($B$4:$B$810&lt;$B548)*$B$4:$B$810)),'Guide &amp; Settings'!$C$50))/7-'Guide &amp; Settings'!$C$48,0)*'Guide &amp; Settings'!$C$49))</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IF($D549="","",IF(SUMPRODUCT(MAX(($D$4:$D$810=$D549)*($B$4:$B$810&lt;$B549)*$B$4:$B$810))=0,0,MAX(($B549-MAX(SUMPRODUCT(MAX(($D$4:$D$810=$D549)*($B$4:$B$810&lt;$B549)*$B$4:$B$810)),'Guide &amp; Settings'!$C$50))/7-'Guide &amp; Settings'!$C$48,0)*'Guide &amp; Settings'!$C$49))</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IF($D550="","",IF(SUMPRODUCT(MAX(($D$4:$D$810=$D550)*($B$4:$B$810&lt;$B550)*$B$4:$B$810))=0,0,MAX(($B550-MAX(SUMPRODUCT(MAX(($D$4:$D$810=$D550)*($B$4:$B$810&lt;$B550)*$B$4:$B$810)),'Guide &amp; Settings'!$C$50))/7-'Guide &amp; Settings'!$C$48,0)*'Guide &amp; Settings'!$C$49))</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IF($D551="","",IF(SUMPRODUCT(MAX(($D$4:$D$810=$D551)*($B$4:$B$810&lt;$B551)*$B$4:$B$810))=0,0,MAX(($B551-MAX(SUMPRODUCT(MAX(($D$4:$D$810=$D551)*($B$4:$B$810&lt;$B551)*$B$4:$B$810)),'Guide &amp; Settings'!$C$50))/7-'Guide &amp; Settings'!$C$48,0)*'Guide &amp; Settings'!$C$49))</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IF($D552="","",IF(SUMPRODUCT(MAX(($D$4:$D$810=$D552)*($B$4:$B$810&lt;$B552)*$B$4:$B$810))=0,0,MAX(($B552-MAX(SUMPRODUCT(MAX(($D$4:$D$810=$D552)*($B$4:$B$810&lt;$B552)*$B$4:$B$810)),'Guide &amp; Settings'!$C$50))/7-'Guide &amp; Settings'!$C$48,0)*'Guide &amp; Settings'!$C$49))</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IF($D553="","",IF(SUMPRODUCT(MAX(($D$4:$D$810=$D553)*($B$4:$B$810&lt;$B553)*$B$4:$B$810))=0,0,MAX(($B553-MAX(SUMPRODUCT(MAX(($D$4:$D$810=$D553)*($B$4:$B$810&lt;$B553)*$B$4:$B$810)),'Guide &amp; Settings'!$C$50))/7-'Guide &amp; Settings'!$C$48,0)*'Guide &amp; Settings'!$C$49))</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IF($D554="","",IF(SUMPRODUCT(MAX(($D$4:$D$810=$D554)*($B$4:$B$810&lt;$B554)*$B$4:$B$810))=0,0,MAX(($B554-MAX(SUMPRODUCT(MAX(($D$4:$D$810=$D554)*($B$4:$B$810&lt;$B554)*$B$4:$B$810)),'Guide &amp; Settings'!$C$50))/7-'Guide &amp; Settings'!$C$48,0)*'Guide &amp; Settings'!$C$49))</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IF($D555="","",IF(SUMPRODUCT(MAX(($D$4:$D$810=$D555)*($B$4:$B$810&lt;$B555)*$B$4:$B$810))=0,0,MAX(($B555-MAX(SUMPRODUCT(MAX(($D$4:$D$810=$D555)*($B$4:$B$810&lt;$B555)*$B$4:$B$810)),'Guide &amp; Settings'!$C$50))/7-'Guide &amp; Settings'!$C$48,0)*'Guide &amp; Settings'!$C$49))</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IF($D556="","",IF(SUMPRODUCT(MAX(($D$4:$D$810=$D556)*($B$4:$B$810&lt;$B556)*$B$4:$B$810))=0,0,MAX(($B556-MAX(SUMPRODUCT(MAX(($D$4:$D$810=$D556)*($B$4:$B$810&lt;$B556)*$B$4:$B$810)),'Guide &amp; Settings'!$C$50))/7-'Guide &amp; Settings'!$C$48,0)*'Guide &amp; Settings'!$C$49))</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IF($D557="","",IF(SUMPRODUCT(MAX(($D$4:$D$810=$D557)*($B$4:$B$810&lt;$B557)*$B$4:$B$810))=0,0,MAX(($B557-MAX(SUMPRODUCT(MAX(($D$4:$D$810=$D557)*($B$4:$B$810&lt;$B557)*$B$4:$B$810)),'Guide &amp; Settings'!$C$50))/7-'Guide &amp; Settings'!$C$48,0)*'Guide &amp; Settings'!$C$49))</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IF($D558="","",IF(SUMPRODUCT(MAX(($D$4:$D$810=$D558)*($B$4:$B$810&lt;$B558)*$B$4:$B$810))=0,0,MAX(($B558-MAX(SUMPRODUCT(MAX(($D$4:$D$810=$D558)*($B$4:$B$810&lt;$B558)*$B$4:$B$810)),'Guide &amp; Settings'!$C$50))/7-'Guide &amp; Settings'!$C$48,0)*'Guide &amp; Settings'!$C$49))</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IF($D559="","",IF(SUMPRODUCT(MAX(($D$4:$D$810=$D559)*($B$4:$B$810&lt;$B559)*$B$4:$B$810))=0,0,MAX(($B559-MAX(SUMPRODUCT(MAX(($D$4:$D$810=$D559)*($B$4:$B$810&lt;$B559)*$B$4:$B$810)),'Guide &amp; Settings'!$C$50))/7-'Guide &amp; Settings'!$C$48,0)*'Guide &amp; Settings'!$C$49))</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IF($D560="","",IF(SUMPRODUCT(MAX(($D$4:$D$810=$D560)*($B$4:$B$810&lt;$B560)*$B$4:$B$810))=0,0,MAX(($B560-MAX(SUMPRODUCT(MAX(($D$4:$D$810=$D560)*($B$4:$B$810&lt;$B560)*$B$4:$B$810)),'Guide &amp; Settings'!$C$50))/7-'Guide &amp; Settings'!$C$48,0)*'Guide &amp; Settings'!$C$49))</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IF($D561="","",IF(SUMPRODUCT(MAX(($D$4:$D$810=$D561)*($B$4:$B$810&lt;$B561)*$B$4:$B$810))=0,0,MAX(($B561-MAX(SUMPRODUCT(MAX(($D$4:$D$810=$D561)*($B$4:$B$810&lt;$B561)*$B$4:$B$810)),'Guide &amp; Settings'!$C$50))/7-'Guide &amp; Settings'!$C$48,0)*'Guide &amp; Settings'!$C$49))</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IF($D562="","",IF(SUMPRODUCT(MAX(($D$4:$D$810=$D562)*($B$4:$B$810&lt;$B562)*$B$4:$B$810))=0,0,MAX(($B562-MAX(SUMPRODUCT(MAX(($D$4:$D$810=$D562)*($B$4:$B$810&lt;$B562)*$B$4:$B$810)),'Guide &amp; Settings'!$C$50))/7-'Guide &amp; Settings'!$C$48,0)*'Guide &amp; Settings'!$C$49))</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IF($D563="","",IF(SUMPRODUCT(MAX(($D$4:$D$810=$D563)*($B$4:$B$810&lt;$B563)*$B$4:$B$810))=0,0,MAX(($B563-MAX(SUMPRODUCT(MAX(($D$4:$D$810=$D563)*($B$4:$B$810&lt;$B563)*$B$4:$B$810)),'Guide &amp; Settings'!$C$50))/7-'Guide &amp; Settings'!$C$48,0)*'Guide &amp; Settings'!$C$49))</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IF($D564="","",IF(SUMPRODUCT(MAX(($D$4:$D$810=$D564)*($B$4:$B$810&lt;$B564)*$B$4:$B$810))=0,0,MAX(($B564-MAX(SUMPRODUCT(MAX(($D$4:$D$810=$D564)*($B$4:$B$810&lt;$B564)*$B$4:$B$810)),'Guide &amp; Settings'!$C$50))/7-'Guide &amp; Settings'!$C$48,0)*'Guide &amp; Settings'!$C$49))</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IF($D565="","",IF(SUMPRODUCT(MAX(($D$4:$D$810=$D565)*($B$4:$B$810&lt;$B565)*$B$4:$B$810))=0,0,MAX(($B565-MAX(SUMPRODUCT(MAX(($D$4:$D$810=$D565)*($B$4:$B$810&lt;$B565)*$B$4:$B$810)),'Guide &amp; Settings'!$C$50))/7-'Guide &amp; Settings'!$C$48,0)*'Guide &amp; Settings'!$C$49))</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IF($D566="","",IF(SUMPRODUCT(MAX(($D$4:$D$810=$D566)*($B$4:$B$810&lt;$B566)*$B$4:$B$810))=0,0,MAX(($B566-MAX(SUMPRODUCT(MAX(($D$4:$D$810=$D566)*($B$4:$B$810&lt;$B566)*$B$4:$B$810)),'Guide &amp; Settings'!$C$50))/7-'Guide &amp; Settings'!$C$48,0)*'Guide &amp; Settings'!$C$49))</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IF($D567="","",IF(SUMPRODUCT(MAX(($D$4:$D$810=$D567)*($B$4:$B$810&lt;$B567)*$B$4:$B$810))=0,0,MAX(($B567-MAX(SUMPRODUCT(MAX(($D$4:$D$810=$D567)*($B$4:$B$810&lt;$B567)*$B$4:$B$810)),'Guide &amp; Settings'!$C$50))/7-'Guide &amp; Settings'!$C$48,0)*'Guide &amp; Settings'!$C$49))</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IF($D568="","",IF(SUMPRODUCT(MAX(($D$4:$D$810=$D568)*($B$4:$B$810&lt;$B568)*$B$4:$B$810))=0,0,MAX(($B568-MAX(SUMPRODUCT(MAX(($D$4:$D$810=$D568)*($B$4:$B$810&lt;$B568)*$B$4:$B$810)),'Guide &amp; Settings'!$C$50))/7-'Guide &amp; Settings'!$C$48,0)*'Guide &amp; Settings'!$C$49))</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IF($D569="","",IF(SUMPRODUCT(MAX(($D$4:$D$810=$D569)*($B$4:$B$810&lt;$B569)*$B$4:$B$810))=0,0,MAX(($B569-MAX(SUMPRODUCT(MAX(($D$4:$D$810=$D569)*($B$4:$B$810&lt;$B569)*$B$4:$B$810)),'Guide &amp; Settings'!$C$50))/7-'Guide &amp; Settings'!$C$48,0)*'Guide &amp; Settings'!$C$49))</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IF($D570="","",IF(SUMPRODUCT(MAX(($D$4:$D$810=$D570)*($B$4:$B$810&lt;$B570)*$B$4:$B$810))=0,0,MAX(($B570-MAX(SUMPRODUCT(MAX(($D$4:$D$810=$D570)*($B$4:$B$810&lt;$B570)*$B$4:$B$810)),'Guide &amp; Settings'!$C$50))/7-'Guide &amp; Settings'!$C$48,0)*'Guide &amp; Settings'!$C$49))</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IF($D571="","",IF(SUMPRODUCT(MAX(($D$4:$D$810=$D571)*($B$4:$B$810&lt;$B571)*$B$4:$B$810))=0,0,MAX(($B571-MAX(SUMPRODUCT(MAX(($D$4:$D$810=$D571)*($B$4:$B$810&lt;$B571)*$B$4:$B$810)),'Guide &amp; Settings'!$C$50))/7-'Guide &amp; Settings'!$C$48,0)*'Guide &amp; Settings'!$C$49))</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IF($D572="","",IF(SUMPRODUCT(MAX(($D$4:$D$810=$D572)*($B$4:$B$810&lt;$B572)*$B$4:$B$810))=0,0,MAX(($B572-MAX(SUMPRODUCT(MAX(($D$4:$D$810=$D572)*($B$4:$B$810&lt;$B572)*$B$4:$B$810)),'Guide &amp; Settings'!$C$50))/7-'Guide &amp; Settings'!$C$48,0)*'Guide &amp; Settings'!$C$49))</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IF($D573="","",IF(SUMPRODUCT(MAX(($D$4:$D$810=$D573)*($B$4:$B$810&lt;$B573)*$B$4:$B$810))=0,0,MAX(($B573-MAX(SUMPRODUCT(MAX(($D$4:$D$810=$D573)*($B$4:$B$810&lt;$B573)*$B$4:$B$810)),'Guide &amp; Settings'!$C$50))/7-'Guide &amp; Settings'!$C$48,0)*'Guide &amp; Settings'!$C$49))</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IF($D574="","",IF(SUMPRODUCT(MAX(($D$4:$D$810=$D574)*($B$4:$B$810&lt;$B574)*$B$4:$B$810))=0,0,MAX(($B574-MAX(SUMPRODUCT(MAX(($D$4:$D$810=$D574)*($B$4:$B$810&lt;$B574)*$B$4:$B$810)),'Guide &amp; Settings'!$C$50))/7-'Guide &amp; Settings'!$C$48,0)*'Guide &amp; Settings'!$C$49))</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IF($D575="","",IF(SUMPRODUCT(MAX(($D$4:$D$810=$D575)*($B$4:$B$810&lt;$B575)*$B$4:$B$810))=0,0,MAX(($B575-MAX(SUMPRODUCT(MAX(($D$4:$D$810=$D575)*($B$4:$B$810&lt;$B575)*$B$4:$B$810)),'Guide &amp; Settings'!$C$50))/7-'Guide &amp; Settings'!$C$48,0)*'Guide &amp; Settings'!$C$49))</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IF($D576="","",IF(SUMPRODUCT(MAX(($D$4:$D$810=$D576)*($B$4:$B$810&lt;$B576)*$B$4:$B$810))=0,0,MAX(($B576-MAX(SUMPRODUCT(MAX(($D$4:$D$810=$D576)*($B$4:$B$810&lt;$B576)*$B$4:$B$810)),'Guide &amp; Settings'!$C$50))/7-'Guide &amp; Settings'!$C$48,0)*'Guide &amp; Settings'!$C$49))</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IF($D577="","",IF(SUMPRODUCT(MAX(($D$4:$D$810=$D577)*($B$4:$B$810&lt;$B577)*$B$4:$B$810))=0,0,MAX(($B577-MAX(SUMPRODUCT(MAX(($D$4:$D$810=$D577)*($B$4:$B$810&lt;$B577)*$B$4:$B$810)),'Guide &amp; Settings'!$C$50))/7-'Guide &amp; Settings'!$C$48,0)*'Guide &amp; Settings'!$C$49))</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IF($D578="","",IF(SUMPRODUCT(MAX(($D$4:$D$810=$D578)*($B$4:$B$810&lt;$B578)*$B$4:$B$810))=0,0,MAX(($B578-MAX(SUMPRODUCT(MAX(($D$4:$D$810=$D578)*($B$4:$B$810&lt;$B578)*$B$4:$B$810)),'Guide &amp; Settings'!$C$50))/7-'Guide &amp; Settings'!$C$48,0)*'Guide &amp; Settings'!$C$49))</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IF($D579="","",IF(SUMPRODUCT(MAX(($D$4:$D$810=$D579)*($B$4:$B$810&lt;$B579)*$B$4:$B$810))=0,0,MAX(($B579-MAX(SUMPRODUCT(MAX(($D$4:$D$810=$D579)*($B$4:$B$810&lt;$B579)*$B$4:$B$810)),'Guide &amp; Settings'!$C$50))/7-'Guide &amp; Settings'!$C$48,0)*'Guide &amp; Settings'!$C$49))</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IF($D580="","",IF(SUMPRODUCT(MAX(($D$4:$D$810=$D580)*($B$4:$B$810&lt;$B580)*$B$4:$B$810))=0,0,MAX(($B580-MAX(SUMPRODUCT(MAX(($D$4:$D$810=$D580)*($B$4:$B$810&lt;$B580)*$B$4:$B$810)),'Guide &amp; Settings'!$C$50))/7-'Guide &amp; Settings'!$C$48,0)*'Guide &amp; Settings'!$C$49))</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IF($D581="","",IF(SUMPRODUCT(MAX(($D$4:$D$810=$D581)*($B$4:$B$810&lt;$B581)*$B$4:$B$810))=0,0,MAX(($B581-MAX(SUMPRODUCT(MAX(($D$4:$D$810=$D581)*($B$4:$B$810&lt;$B581)*$B$4:$B$810)),'Guide &amp; Settings'!$C$50))/7-'Guide &amp; Settings'!$C$48,0)*'Guide &amp; Settings'!$C$49))</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IF($D582="","",IF(SUMPRODUCT(MAX(($D$4:$D$810=$D582)*($B$4:$B$810&lt;$B582)*$B$4:$B$810))=0,0,MAX(($B582-MAX(SUMPRODUCT(MAX(($D$4:$D$810=$D582)*($B$4:$B$810&lt;$B582)*$B$4:$B$810)),'Guide &amp; Settings'!$C$50))/7-'Guide &amp; Settings'!$C$48,0)*'Guide &amp; Settings'!$C$49))</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IF($D583="","",IF(SUMPRODUCT(MAX(($D$4:$D$810=$D583)*($B$4:$B$810&lt;$B583)*$B$4:$B$810))=0,0,MAX(($B583-MAX(SUMPRODUCT(MAX(($D$4:$D$810=$D583)*($B$4:$B$810&lt;$B583)*$B$4:$B$810)),'Guide &amp; Settings'!$C$50))/7-'Guide &amp; Settings'!$C$48,0)*'Guide &amp; Settings'!$C$49))</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IF($D584="","",IF(SUMPRODUCT(MAX(($D$4:$D$810=$D584)*($B$4:$B$810&lt;$B584)*$B$4:$B$810))=0,0,MAX(($B584-MAX(SUMPRODUCT(MAX(($D$4:$D$810=$D584)*($B$4:$B$810&lt;$B584)*$B$4:$B$810)),'Guide &amp; Settings'!$C$50))/7-'Guide &amp; Settings'!$C$48,0)*'Guide &amp; Settings'!$C$49))</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IF($D585="","",IF(SUMPRODUCT(MAX(($D$4:$D$810=$D585)*($B$4:$B$810&lt;$B585)*$B$4:$B$810))=0,0,MAX(($B585-MAX(SUMPRODUCT(MAX(($D$4:$D$810=$D585)*($B$4:$B$810&lt;$B585)*$B$4:$B$810)),'Guide &amp; Settings'!$C$50))/7-'Guide &amp; Settings'!$C$48,0)*'Guide &amp; Settings'!$C$49))</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IF($D586="","",IF(SUMPRODUCT(MAX(($D$4:$D$810=$D586)*($B$4:$B$810&lt;$B586)*$B$4:$B$810))=0,0,MAX(($B586-MAX(SUMPRODUCT(MAX(($D$4:$D$810=$D586)*($B$4:$B$810&lt;$B586)*$B$4:$B$810)),'Guide &amp; Settings'!$C$50))/7-'Guide &amp; Settings'!$C$48,0)*'Guide &amp; Settings'!$C$49))</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IF($D587="","",IF(SUMPRODUCT(MAX(($D$4:$D$810=$D587)*($B$4:$B$810&lt;$B587)*$B$4:$B$810))=0,0,MAX(($B587-MAX(SUMPRODUCT(MAX(($D$4:$D$810=$D587)*($B$4:$B$810&lt;$B587)*$B$4:$B$810)),'Guide &amp; Settings'!$C$50))/7-'Guide &amp; Settings'!$C$48,0)*'Guide &amp; Settings'!$C$49))</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IF($D588="","",IF(SUMPRODUCT(MAX(($D$4:$D$810=$D588)*($B$4:$B$810&lt;$B588)*$B$4:$B$810))=0,0,MAX(($B588-MAX(SUMPRODUCT(MAX(($D$4:$D$810=$D588)*($B$4:$B$810&lt;$B588)*$B$4:$B$810)),'Guide &amp; Settings'!$C$50))/7-'Guide &amp; Settings'!$C$48,0)*'Guide &amp; Settings'!$C$49))</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IF($D589="","",IF(SUMPRODUCT(MAX(($D$4:$D$810=$D589)*($B$4:$B$810&lt;$B589)*$B$4:$B$810))=0,0,MAX(($B589-MAX(SUMPRODUCT(MAX(($D$4:$D$810=$D589)*($B$4:$B$810&lt;$B589)*$B$4:$B$810)),'Guide &amp; Settings'!$C$50))/7-'Guide &amp; Settings'!$C$48,0)*'Guide &amp; Settings'!$C$49))</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IF($D590="","",IF(SUMPRODUCT(MAX(($D$4:$D$810=$D590)*($B$4:$B$810&lt;$B590)*$B$4:$B$810))=0,0,MAX(($B590-MAX(SUMPRODUCT(MAX(($D$4:$D$810=$D590)*($B$4:$B$810&lt;$B590)*$B$4:$B$810)),'Guide &amp; Settings'!$C$50))/7-'Guide &amp; Settings'!$C$48,0)*'Guide &amp; Settings'!$C$49))</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IF($D591="","",IF(SUMPRODUCT(MAX(($D$4:$D$810=$D591)*($B$4:$B$810&lt;$B591)*$B$4:$B$810))=0,0,MAX(($B591-MAX(SUMPRODUCT(MAX(($D$4:$D$810=$D591)*($B$4:$B$810&lt;$B591)*$B$4:$B$810)),'Guide &amp; Settings'!$C$50))/7-'Guide &amp; Settings'!$C$48,0)*'Guide &amp; Settings'!$C$49))</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IF($D592="","",IF(SUMPRODUCT(MAX(($D$4:$D$810=$D592)*($B$4:$B$810&lt;$B592)*$B$4:$B$810))=0,0,MAX(($B592-MAX(SUMPRODUCT(MAX(($D$4:$D$810=$D592)*($B$4:$B$810&lt;$B592)*$B$4:$B$810)),'Guide &amp; Settings'!$C$50))/7-'Guide &amp; Settings'!$C$48,0)*'Guide &amp; Settings'!$C$49))</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IF($D593="","",IF(SUMPRODUCT(MAX(($D$4:$D$810=$D593)*($B$4:$B$810&lt;$B593)*$B$4:$B$810))=0,0,MAX(($B593-MAX(SUMPRODUCT(MAX(($D$4:$D$810=$D593)*($B$4:$B$810&lt;$B593)*$B$4:$B$810)),'Guide &amp; Settings'!$C$50))/7-'Guide &amp; Settings'!$C$48,0)*'Guide &amp; Settings'!$C$49))</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IF($D594="","",IF(SUMPRODUCT(MAX(($D$4:$D$810=$D594)*($B$4:$B$810&lt;$B594)*$B$4:$B$810))=0,0,MAX(($B594-MAX(SUMPRODUCT(MAX(($D$4:$D$810=$D594)*($B$4:$B$810&lt;$B594)*$B$4:$B$810)),'Guide &amp; Settings'!$C$50))/7-'Guide &amp; Settings'!$C$48,0)*'Guide &amp; Settings'!$C$49))</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IF($D595="","",IF(SUMPRODUCT(MAX(($D$4:$D$810=$D595)*($B$4:$B$810&lt;$B595)*$B$4:$B$810))=0,0,MAX(($B595-MAX(SUMPRODUCT(MAX(($D$4:$D$810=$D595)*($B$4:$B$810&lt;$B595)*$B$4:$B$810)),'Guide &amp; Settings'!$C$50))/7-'Guide &amp; Settings'!$C$48,0)*'Guide &amp; Settings'!$C$49))</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IF($D596="","",IF(SUMPRODUCT(MAX(($D$4:$D$810=$D596)*($B$4:$B$810&lt;$B596)*$B$4:$B$810))=0,0,MAX(($B596-MAX(SUMPRODUCT(MAX(($D$4:$D$810=$D596)*($B$4:$B$810&lt;$B596)*$B$4:$B$810)),'Guide &amp; Settings'!$C$50))/7-'Guide &amp; Settings'!$C$48,0)*'Guide &amp; Settings'!$C$49))</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IF($D597="","",IF(SUMPRODUCT(MAX(($D$4:$D$810=$D597)*($B$4:$B$810&lt;$B597)*$B$4:$B$810))=0,0,MAX(($B597-MAX(SUMPRODUCT(MAX(($D$4:$D$810=$D597)*($B$4:$B$810&lt;$B597)*$B$4:$B$810)),'Guide &amp; Settings'!$C$50))/7-'Guide &amp; Settings'!$C$48,0)*'Guide &amp; Settings'!$C$49))</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IF($D598="","",IF(SUMPRODUCT(MAX(($D$4:$D$810=$D598)*($B$4:$B$810&lt;$B598)*$B$4:$B$810))=0,0,MAX(($B598-MAX(SUMPRODUCT(MAX(($D$4:$D$810=$D598)*($B$4:$B$810&lt;$B598)*$B$4:$B$810)),'Guide &amp; Settings'!$C$50))/7-'Guide &amp; Settings'!$C$48,0)*'Guide &amp; Settings'!$C$49))</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IF($D599="","",IF(SUMPRODUCT(MAX(($D$4:$D$810=$D599)*($B$4:$B$810&lt;$B599)*$B$4:$B$810))=0,0,MAX(($B599-MAX(SUMPRODUCT(MAX(($D$4:$D$810=$D599)*($B$4:$B$810&lt;$B599)*$B$4:$B$810)),'Guide &amp; Settings'!$C$50))/7-'Guide &amp; Settings'!$C$48,0)*'Guide &amp; Settings'!$C$49))</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IF($D600="","",IF(SUMPRODUCT(MAX(($D$4:$D$810=$D600)*($B$4:$B$810&lt;$B600)*$B$4:$B$810))=0,0,MAX(($B600-MAX(SUMPRODUCT(MAX(($D$4:$D$810=$D600)*($B$4:$B$810&lt;$B600)*$B$4:$B$810)),'Guide &amp; Settings'!$C$50))/7-'Guide &amp; Settings'!$C$48,0)*'Guide &amp; Settings'!$C$49))</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IF($D601="","",IF(SUMPRODUCT(MAX(($D$4:$D$810=$D601)*($B$4:$B$810&lt;$B601)*$B$4:$B$810))=0,0,MAX(($B601-MAX(SUMPRODUCT(MAX(($D$4:$D$810=$D601)*($B$4:$B$810&lt;$B601)*$B$4:$B$810)),'Guide &amp; Settings'!$C$50))/7-'Guide &amp; Settings'!$C$48,0)*'Guide &amp; Settings'!$C$49))</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IF($D602="","",IF(SUMPRODUCT(MAX(($D$4:$D$810=$D602)*($B$4:$B$810&lt;$B602)*$B$4:$B$810))=0,0,MAX(($B602-MAX(SUMPRODUCT(MAX(($D$4:$D$810=$D602)*($B$4:$B$810&lt;$B602)*$B$4:$B$810)),'Guide &amp; Settings'!$C$50))/7-'Guide &amp; Settings'!$C$48,0)*'Guide &amp; Settings'!$C$49))</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IF($D603="","",IF(SUMPRODUCT(MAX(($D$4:$D$810=$D603)*($B$4:$B$810&lt;$B603)*$B$4:$B$810))=0,0,MAX(($B603-MAX(SUMPRODUCT(MAX(($D$4:$D$810=$D603)*($B$4:$B$810&lt;$B603)*$B$4:$B$810)),'Guide &amp; Settings'!$C$50))/7-'Guide &amp; Settings'!$C$48,0)*'Guide &amp; Settings'!$C$49))</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IF($D604="","",IF(SUMPRODUCT(MAX(($D$4:$D$810=$D604)*($B$4:$B$810&lt;$B604)*$B$4:$B$810))=0,0,MAX(($B604-MAX(SUMPRODUCT(MAX(($D$4:$D$810=$D604)*($B$4:$B$810&lt;$B604)*$B$4:$B$810)),'Guide &amp; Settings'!$C$50))/7-'Guide &amp; Settings'!$C$48,0)*'Guide &amp; Settings'!$C$49))</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IF($D605="","",IF(SUMPRODUCT(MAX(($D$4:$D$810=$D605)*($B$4:$B$810&lt;$B605)*$B$4:$B$810))=0,0,MAX(($B605-MAX(SUMPRODUCT(MAX(($D$4:$D$810=$D605)*($B$4:$B$810&lt;$B605)*$B$4:$B$810)),'Guide &amp; Settings'!$C$50))/7-'Guide &amp; Settings'!$C$48,0)*'Guide &amp; Settings'!$C$49))</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IF($D606="","",IF(SUMPRODUCT(MAX(($D$4:$D$810=$D606)*($B$4:$B$810&lt;$B606)*$B$4:$B$810))=0,0,MAX(($B606-MAX(SUMPRODUCT(MAX(($D$4:$D$810=$D606)*($B$4:$B$810&lt;$B606)*$B$4:$B$810)),'Guide &amp; Settings'!$C$50))/7-'Guide &amp; Settings'!$C$48,0)*'Guide &amp; Settings'!$C$49))</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IF($D607="","",IF(SUMPRODUCT(MAX(($D$4:$D$810=$D607)*($B$4:$B$810&lt;$B607)*$B$4:$B$810))=0,0,MAX(($B607-MAX(SUMPRODUCT(MAX(($D$4:$D$810=$D607)*($B$4:$B$810&lt;$B607)*$B$4:$B$810)),'Guide &amp; Settings'!$C$50))/7-'Guide &amp; Settings'!$C$48,0)*'Guide &amp; Settings'!$C$49))</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IF($D608="","",IF(SUMPRODUCT(MAX(($D$4:$D$810=$D608)*($B$4:$B$810&lt;$B608)*$B$4:$B$810))=0,0,MAX(($B608-MAX(SUMPRODUCT(MAX(($D$4:$D$810=$D608)*($B$4:$B$810&lt;$B608)*$B$4:$B$810)),'Guide &amp; Settings'!$C$50))/7-'Guide &amp; Settings'!$C$48,0)*'Guide &amp; Settings'!$C$49))</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IF($D609="","",IF(SUMPRODUCT(MAX(($D$4:$D$810=$D609)*($B$4:$B$810&lt;$B609)*$B$4:$B$810))=0,0,MAX(($B609-MAX(SUMPRODUCT(MAX(($D$4:$D$810=$D609)*($B$4:$B$810&lt;$B609)*$B$4:$B$810)),'Guide &amp; Settings'!$C$50))/7-'Guide &amp; Settings'!$C$48,0)*'Guide &amp; Settings'!$C$49))</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IF($D610="","",IF(SUMPRODUCT(MAX(($D$4:$D$810=$D610)*($B$4:$B$810&lt;$B610)*$B$4:$B$810))=0,0,MAX(($B610-MAX(SUMPRODUCT(MAX(($D$4:$D$810=$D610)*($B$4:$B$810&lt;$B610)*$B$4:$B$810)),'Guide &amp; Settings'!$C$50))/7-'Guide &amp; Settings'!$C$48,0)*'Guide &amp; Settings'!$C$49))</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IF($D611="","",IF(SUMPRODUCT(MAX(($D$4:$D$810=$D611)*($B$4:$B$810&lt;$B611)*$B$4:$B$810))=0,0,MAX(($B611-MAX(SUMPRODUCT(MAX(($D$4:$D$810=$D611)*($B$4:$B$810&lt;$B611)*$B$4:$B$810)),'Guide &amp; Settings'!$C$50))/7-'Guide &amp; Settings'!$C$48,0)*'Guide &amp; Settings'!$C$49))</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IF($D612="","",IF(SUMPRODUCT(MAX(($D$4:$D$810=$D612)*($B$4:$B$810&lt;$B612)*$B$4:$B$810))=0,0,MAX(($B612-MAX(SUMPRODUCT(MAX(($D$4:$D$810=$D612)*($B$4:$B$810&lt;$B612)*$B$4:$B$810)),'Guide &amp; Settings'!$C$50))/7-'Guide &amp; Settings'!$C$48,0)*'Guide &amp; Settings'!$C$49))</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IF($D613="","",IF(SUMPRODUCT(MAX(($D$4:$D$810=$D613)*($B$4:$B$810&lt;$B613)*$B$4:$B$810))=0,0,MAX(($B613-MAX(SUMPRODUCT(MAX(($D$4:$D$810=$D613)*($B$4:$B$810&lt;$B613)*$B$4:$B$810)),'Guide &amp; Settings'!$C$50))/7-'Guide &amp; Settings'!$C$48,0)*'Guide &amp; Settings'!$C$49))</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IF($D614="","",IF(SUMPRODUCT(MAX(($D$4:$D$810=$D614)*($B$4:$B$810&lt;$B614)*$B$4:$B$810))=0,0,MAX(($B614-MAX(SUMPRODUCT(MAX(($D$4:$D$810=$D614)*($B$4:$B$810&lt;$B614)*$B$4:$B$810)),'Guide &amp; Settings'!$C$50))/7-'Guide &amp; Settings'!$C$48,0)*'Guide &amp; Settings'!$C$49))</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IF($D615="","",IF(SUMPRODUCT(MAX(($D$4:$D$810=$D615)*($B$4:$B$810&lt;$B615)*$B$4:$B$810))=0,0,MAX(($B615-MAX(SUMPRODUCT(MAX(($D$4:$D$810=$D615)*($B$4:$B$810&lt;$B615)*$B$4:$B$810)),'Guide &amp; Settings'!$C$50))/7-'Guide &amp; Settings'!$C$48,0)*'Guide &amp; Settings'!$C$49))</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IF($D616="","",IF(SUMPRODUCT(MAX(($D$4:$D$810=$D616)*($B$4:$B$810&lt;$B616)*$B$4:$B$810))=0,0,MAX(($B616-MAX(SUMPRODUCT(MAX(($D$4:$D$810=$D616)*($B$4:$B$810&lt;$B616)*$B$4:$B$810)),'Guide &amp; Settings'!$C$50))/7-'Guide &amp; Settings'!$C$48,0)*'Guide &amp; Settings'!$C$49))</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IF($D617="","",IF(SUMPRODUCT(MAX(($D$4:$D$810=$D617)*($B$4:$B$810&lt;$B617)*$B$4:$B$810))=0,0,MAX(($B617-MAX(SUMPRODUCT(MAX(($D$4:$D$810=$D617)*($B$4:$B$810&lt;$B617)*$B$4:$B$810)),'Guide &amp; Settings'!$C$50))/7-'Guide &amp; Settings'!$C$48,0)*'Guide &amp; Settings'!$C$49))</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IF($D618="","",IF(SUMPRODUCT(MAX(($D$4:$D$810=$D618)*($B$4:$B$810&lt;$B618)*$B$4:$B$810))=0,0,MAX(($B618-MAX(SUMPRODUCT(MAX(($D$4:$D$810=$D618)*($B$4:$B$810&lt;$B618)*$B$4:$B$810)),'Guide &amp; Settings'!$C$50))/7-'Guide &amp; Settings'!$C$48,0)*'Guide &amp; Settings'!$C$49))</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IF($D619="","",IF(SUMPRODUCT(MAX(($D$4:$D$810=$D619)*($B$4:$B$810&lt;$B619)*$B$4:$B$810))=0,0,MAX(($B619-MAX(SUMPRODUCT(MAX(($D$4:$D$810=$D619)*($B$4:$B$810&lt;$B619)*$B$4:$B$810)),'Guide &amp; Settings'!$C$50))/7-'Guide &amp; Settings'!$C$48,0)*'Guide &amp; Settings'!$C$49))</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IF($D620="","",IF(SUMPRODUCT(MAX(($D$4:$D$810=$D620)*($B$4:$B$810&lt;$B620)*$B$4:$B$810))=0,0,MAX(($B620-MAX(SUMPRODUCT(MAX(($D$4:$D$810=$D620)*($B$4:$B$810&lt;$B620)*$B$4:$B$810)),'Guide &amp; Settings'!$C$50))/7-'Guide &amp; Settings'!$C$48,0)*'Guide &amp; Settings'!$C$49))</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IF($D621="","",IF(SUMPRODUCT(MAX(($D$4:$D$810=$D621)*($B$4:$B$810&lt;$B621)*$B$4:$B$810))=0,0,MAX(($B621-MAX(SUMPRODUCT(MAX(($D$4:$D$810=$D621)*($B$4:$B$810&lt;$B621)*$B$4:$B$810)),'Guide &amp; Settings'!$C$50))/7-'Guide &amp; Settings'!$C$48,0)*'Guide &amp; Settings'!$C$49))</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IF($D622="","",IF(SUMPRODUCT(MAX(($D$4:$D$810=$D622)*($B$4:$B$810&lt;$B622)*$B$4:$B$810))=0,0,MAX(($B622-MAX(SUMPRODUCT(MAX(($D$4:$D$810=$D622)*($B$4:$B$810&lt;$B622)*$B$4:$B$810)),'Guide &amp; Settings'!$C$50))/7-'Guide &amp; Settings'!$C$48,0)*'Guide &amp; Settings'!$C$49))</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IF($D623="","",IF(SUMPRODUCT(MAX(($D$4:$D$810=$D623)*($B$4:$B$810&lt;$B623)*$B$4:$B$810))=0,0,MAX(($B623-MAX(SUMPRODUCT(MAX(($D$4:$D$810=$D623)*($B$4:$B$810&lt;$B623)*$B$4:$B$810)),'Guide &amp; Settings'!$C$50))/7-'Guide &amp; Settings'!$C$48,0)*'Guide &amp; Settings'!$C$49))</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IF($D624="","",IF(SUMPRODUCT(MAX(($D$4:$D$810=$D624)*($B$4:$B$810&lt;$B624)*$B$4:$B$810))=0,0,MAX(($B624-MAX(SUMPRODUCT(MAX(($D$4:$D$810=$D624)*($B$4:$B$810&lt;$B624)*$B$4:$B$810)),'Guide &amp; Settings'!$C$50))/7-'Guide &amp; Settings'!$C$48,0)*'Guide &amp; Settings'!$C$49))</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IF($D625="","",IF(SUMPRODUCT(MAX(($D$4:$D$810=$D625)*($B$4:$B$810&lt;$B625)*$B$4:$B$810))=0,0,MAX(($B625-MAX(SUMPRODUCT(MAX(($D$4:$D$810=$D625)*($B$4:$B$810&lt;$B625)*$B$4:$B$810)),'Guide &amp; Settings'!$C$50))/7-'Guide &amp; Settings'!$C$48,0)*'Guide &amp; Settings'!$C$49))</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IF($D626="","",IF(SUMPRODUCT(MAX(($D$4:$D$810=$D626)*($B$4:$B$810&lt;$B626)*$B$4:$B$810))=0,0,MAX(($B626-MAX(SUMPRODUCT(MAX(($D$4:$D$810=$D626)*($B$4:$B$810&lt;$B626)*$B$4:$B$810)),'Guide &amp; Settings'!$C$50))/7-'Guide &amp; Settings'!$C$48,0)*'Guide &amp; Settings'!$C$49))</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IF($D627="","",IF(SUMPRODUCT(MAX(($D$4:$D$810=$D627)*($B$4:$B$810&lt;$B627)*$B$4:$B$810))=0,0,MAX(($B627-MAX(SUMPRODUCT(MAX(($D$4:$D$810=$D627)*($B$4:$B$810&lt;$B627)*$B$4:$B$810)),'Guide &amp; Settings'!$C$50))/7-'Guide &amp; Settings'!$C$48,0)*'Guide &amp; Settings'!$C$49))</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IF($D628="","",IF(SUMPRODUCT(MAX(($D$4:$D$810=$D628)*($B$4:$B$810&lt;$B628)*$B$4:$B$810))=0,0,MAX(($B628-MAX(SUMPRODUCT(MAX(($D$4:$D$810=$D628)*($B$4:$B$810&lt;$B628)*$B$4:$B$810)),'Guide &amp; Settings'!$C$50))/7-'Guide &amp; Settings'!$C$48,0)*'Guide &amp; Settings'!$C$49))</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IF($D629="","",IF(SUMPRODUCT(MAX(($D$4:$D$810=$D629)*($B$4:$B$810&lt;$B629)*$B$4:$B$810))=0,0,MAX(($B629-MAX(SUMPRODUCT(MAX(($D$4:$D$810=$D629)*($B$4:$B$810&lt;$B629)*$B$4:$B$810)),'Guide &amp; Settings'!$C$50))/7-'Guide &amp; Settings'!$C$48,0)*'Guide &amp; Settings'!$C$49))</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IF($D630="","",IF(SUMPRODUCT(MAX(($D$4:$D$810=$D630)*($B$4:$B$810&lt;$B630)*$B$4:$B$810))=0,0,MAX(($B630-MAX(SUMPRODUCT(MAX(($D$4:$D$810=$D630)*($B$4:$B$810&lt;$B630)*$B$4:$B$810)),'Guide &amp; Settings'!$C$50))/7-'Guide &amp; Settings'!$C$48,0)*'Guide &amp; Settings'!$C$49))</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IF($D631="","",IF(SUMPRODUCT(MAX(($D$4:$D$810=$D631)*($B$4:$B$810&lt;$B631)*$B$4:$B$810))=0,0,MAX(($B631-MAX(SUMPRODUCT(MAX(($D$4:$D$810=$D631)*($B$4:$B$810&lt;$B631)*$B$4:$B$810)),'Guide &amp; Settings'!$C$50))/7-'Guide &amp; Settings'!$C$48,0)*'Guide &amp; Settings'!$C$49))</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IF($D632="","",IF(SUMPRODUCT(MAX(($D$4:$D$810=$D632)*($B$4:$B$810&lt;$B632)*$B$4:$B$810))=0,0,MAX(($B632-MAX(SUMPRODUCT(MAX(($D$4:$D$810=$D632)*($B$4:$B$810&lt;$B632)*$B$4:$B$810)),'Guide &amp; Settings'!$C$50))/7-'Guide &amp; Settings'!$C$48,0)*'Guide &amp; Settings'!$C$49))</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IF($D633="","",IF(SUMPRODUCT(MAX(($D$4:$D$810=$D633)*($B$4:$B$810&lt;$B633)*$B$4:$B$810))=0,0,MAX(($B633-MAX(SUMPRODUCT(MAX(($D$4:$D$810=$D633)*($B$4:$B$810&lt;$B633)*$B$4:$B$810)),'Guide &amp; Settings'!$C$50))/7-'Guide &amp; Settings'!$C$48,0)*'Guide &amp; Settings'!$C$49))</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IF($D634="","",IF(SUMPRODUCT(MAX(($D$4:$D$810=$D634)*($B$4:$B$810&lt;$B634)*$B$4:$B$810))=0,0,MAX(($B634-MAX(SUMPRODUCT(MAX(($D$4:$D$810=$D634)*($B$4:$B$810&lt;$B634)*$B$4:$B$810)),'Guide &amp; Settings'!$C$50))/7-'Guide &amp; Settings'!$C$48,0)*'Guide &amp; Settings'!$C$49))</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IF($D635="","",IF(SUMPRODUCT(MAX(($D$4:$D$810=$D635)*($B$4:$B$810&lt;$B635)*$B$4:$B$810))=0,0,MAX(($B635-MAX(SUMPRODUCT(MAX(($D$4:$D$810=$D635)*($B$4:$B$810&lt;$B635)*$B$4:$B$810)),'Guide &amp; Settings'!$C$50))/7-'Guide &amp; Settings'!$C$48,0)*'Guide &amp; Settings'!$C$49))</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IF($D636="","",IF(SUMPRODUCT(MAX(($D$4:$D$810=$D636)*($B$4:$B$810&lt;$B636)*$B$4:$B$810))=0,0,MAX(($B636-MAX(SUMPRODUCT(MAX(($D$4:$D$810=$D636)*($B$4:$B$810&lt;$B636)*$B$4:$B$810)),'Guide &amp; Settings'!$C$50))/7-'Guide &amp; Settings'!$C$48,0)*'Guide &amp; Settings'!$C$49))</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IF($D637="","",IF(SUMPRODUCT(MAX(($D$4:$D$810=$D637)*($B$4:$B$810&lt;$B637)*$B$4:$B$810))=0,0,MAX(($B637-MAX(SUMPRODUCT(MAX(($D$4:$D$810=$D637)*($B$4:$B$810&lt;$B637)*$B$4:$B$810)),'Guide &amp; Settings'!$C$50))/7-'Guide &amp; Settings'!$C$48,0)*'Guide &amp; Settings'!$C$49))</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IF($D638="","",IF(SUMPRODUCT(MAX(($D$4:$D$810=$D638)*($B$4:$B$810&lt;$B638)*$B$4:$B$810))=0,0,MAX(($B638-MAX(SUMPRODUCT(MAX(($D$4:$D$810=$D638)*($B$4:$B$810&lt;$B638)*$B$4:$B$810)),'Guide &amp; Settings'!$C$50))/7-'Guide &amp; Settings'!$C$48,0)*'Guide &amp; Settings'!$C$49))</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IF($D639="","",IF(SUMPRODUCT(MAX(($D$4:$D$810=$D639)*($B$4:$B$810&lt;$B639)*$B$4:$B$810))=0,0,MAX(($B639-MAX(SUMPRODUCT(MAX(($D$4:$D$810=$D639)*($B$4:$B$810&lt;$B639)*$B$4:$B$810)),'Guide &amp; Settings'!$C$50))/7-'Guide &amp; Settings'!$C$48,0)*'Guide &amp; Settings'!$C$49))</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IF($D640="","",IF(SUMPRODUCT(MAX(($D$4:$D$810=$D640)*($B$4:$B$810&lt;$B640)*$B$4:$B$810))=0,0,MAX(($B640-MAX(SUMPRODUCT(MAX(($D$4:$D$810=$D640)*($B$4:$B$810&lt;$B640)*$B$4:$B$810)),'Guide &amp; Settings'!$C$50))/7-'Guide &amp; Settings'!$C$48,0)*'Guide &amp; Settings'!$C$49))</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IF($D641="","",IF(SUMPRODUCT(MAX(($D$4:$D$810=$D641)*($B$4:$B$810&lt;$B641)*$B$4:$B$810))=0,0,MAX(($B641-MAX(SUMPRODUCT(MAX(($D$4:$D$810=$D641)*($B$4:$B$810&lt;$B641)*$B$4:$B$810)),'Guide &amp; Settings'!$C$50))/7-'Guide &amp; Settings'!$C$48,0)*'Guide &amp; Settings'!$C$49))</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IF($D642="","",IF(SUMPRODUCT(MAX(($D$4:$D$810=$D642)*($B$4:$B$810&lt;$B642)*$B$4:$B$810))=0,0,MAX(($B642-MAX(SUMPRODUCT(MAX(($D$4:$D$810=$D642)*($B$4:$B$810&lt;$B642)*$B$4:$B$810)),'Guide &amp; Settings'!$C$50))/7-'Guide &amp; Settings'!$C$48,0)*'Guide &amp; Settings'!$C$49))</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IF($D643="","",IF(SUMPRODUCT(MAX(($D$4:$D$810=$D643)*($B$4:$B$810&lt;$B643)*$B$4:$B$810))=0,0,MAX(($B643-MAX(SUMPRODUCT(MAX(($D$4:$D$810=$D643)*($B$4:$B$810&lt;$B643)*$B$4:$B$810)),'Guide &amp; Settings'!$C$50))/7-'Guide &amp; Settings'!$C$48,0)*'Guide &amp; Settings'!$C$49))</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IF($D644="","",IF(SUMPRODUCT(MAX(($D$4:$D$810=$D644)*($B$4:$B$810&lt;$B644)*$B$4:$B$810))=0,0,MAX(($B644-MAX(SUMPRODUCT(MAX(($D$4:$D$810=$D644)*($B$4:$B$810&lt;$B644)*$B$4:$B$810)),'Guide &amp; Settings'!$C$50))/7-'Guide &amp; Settings'!$C$48,0)*'Guide &amp; Settings'!$C$49))</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IF($D645="","",IF(SUMPRODUCT(MAX(($D$4:$D$810=$D645)*($B$4:$B$810&lt;$B645)*$B$4:$B$810))=0,0,MAX(($B645-MAX(SUMPRODUCT(MAX(($D$4:$D$810=$D645)*($B$4:$B$810&lt;$B645)*$B$4:$B$810)),'Guide &amp; Settings'!$C$50))/7-'Guide &amp; Settings'!$C$48,0)*'Guide &amp; Settings'!$C$49))</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IF($D646="","",IF(SUMPRODUCT(MAX(($D$4:$D$810=$D646)*($B$4:$B$810&lt;$B646)*$B$4:$B$810))=0,0,MAX(($B646-MAX(SUMPRODUCT(MAX(($D$4:$D$810=$D646)*($B$4:$B$810&lt;$B646)*$B$4:$B$810)),'Guide &amp; Settings'!$C$50))/7-'Guide &amp; Settings'!$C$48,0)*'Guide &amp; Settings'!$C$49))</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IF($D647="","",IF(SUMPRODUCT(MAX(($D$4:$D$810=$D647)*($B$4:$B$810&lt;$B647)*$B$4:$B$810))=0,0,MAX(($B647-MAX(SUMPRODUCT(MAX(($D$4:$D$810=$D647)*($B$4:$B$810&lt;$B647)*$B$4:$B$810)),'Guide &amp; Settings'!$C$50))/7-'Guide &amp; Settings'!$C$48,0)*'Guide &amp; Settings'!$C$49))</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IF($D648="","",IF(SUMPRODUCT(MAX(($D$4:$D$810=$D648)*($B$4:$B$810&lt;$B648)*$B$4:$B$810))=0,0,MAX(($B648-MAX(SUMPRODUCT(MAX(($D$4:$D$810=$D648)*($B$4:$B$810&lt;$B648)*$B$4:$B$810)),'Guide &amp; Settings'!$C$50))/7-'Guide &amp; Settings'!$C$48,0)*'Guide &amp; Settings'!$C$49))</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IF($D649="","",IF(SUMPRODUCT(MAX(($D$4:$D$810=$D649)*($B$4:$B$810&lt;$B649)*$B$4:$B$810))=0,0,MAX(($B649-MAX(SUMPRODUCT(MAX(($D$4:$D$810=$D649)*($B$4:$B$810&lt;$B649)*$B$4:$B$810)),'Guide &amp; Settings'!$C$50))/7-'Guide &amp; Settings'!$C$48,0)*'Guide &amp; Settings'!$C$49))</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IF($D650="","",IF(SUMPRODUCT(MAX(($D$4:$D$810=$D650)*($B$4:$B$810&lt;$B650)*$B$4:$B$810))=0,0,MAX(($B650-MAX(SUMPRODUCT(MAX(($D$4:$D$810=$D650)*($B$4:$B$810&lt;$B650)*$B$4:$B$810)),'Guide &amp; Settings'!$C$50))/7-'Guide &amp; Settings'!$C$48,0)*'Guide &amp; Settings'!$C$49))</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IF($D651="","",IF(SUMPRODUCT(MAX(($D$4:$D$810=$D651)*($B$4:$B$810&lt;$B651)*$B$4:$B$810))=0,0,MAX(($B651-MAX(SUMPRODUCT(MAX(($D$4:$D$810=$D651)*($B$4:$B$810&lt;$B651)*$B$4:$B$810)),'Guide &amp; Settings'!$C$50))/7-'Guide &amp; Settings'!$C$48,0)*'Guide &amp; Settings'!$C$49))</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IF($D652="","",IF(SUMPRODUCT(MAX(($D$4:$D$810=$D652)*($B$4:$B$810&lt;$B652)*$B$4:$B$810))=0,0,MAX(($B652-MAX(SUMPRODUCT(MAX(($D$4:$D$810=$D652)*($B$4:$B$810&lt;$B652)*$B$4:$B$810)),'Guide &amp; Settings'!$C$50))/7-'Guide &amp; Settings'!$C$48,0)*'Guide &amp; Settings'!$C$49))</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IF($D653="","",IF(SUMPRODUCT(MAX(($D$4:$D$810=$D653)*($B$4:$B$810&lt;$B653)*$B$4:$B$810))=0,0,MAX(($B653-MAX(SUMPRODUCT(MAX(($D$4:$D$810=$D653)*($B$4:$B$810&lt;$B653)*$B$4:$B$810)),'Guide &amp; Settings'!$C$50))/7-'Guide &amp; Settings'!$C$48,0)*'Guide &amp; Settings'!$C$49))</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IF($D654="","",IF(SUMPRODUCT(MAX(($D$4:$D$810=$D654)*($B$4:$B$810&lt;$B654)*$B$4:$B$810))=0,0,MAX(($B654-MAX(SUMPRODUCT(MAX(($D$4:$D$810=$D654)*($B$4:$B$810&lt;$B654)*$B$4:$B$810)),'Guide &amp; Settings'!$C$50))/7-'Guide &amp; Settings'!$C$48,0)*'Guide &amp; Settings'!$C$49))</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IF($D655="","",IF(SUMPRODUCT(MAX(($D$4:$D$810=$D655)*($B$4:$B$810&lt;$B655)*$B$4:$B$810))=0,0,MAX(($B655-MAX(SUMPRODUCT(MAX(($D$4:$D$810=$D655)*($B$4:$B$810&lt;$B655)*$B$4:$B$810)),'Guide &amp; Settings'!$C$50))/7-'Guide &amp; Settings'!$C$48,0)*'Guide &amp; Settings'!$C$49))</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IF($D656="","",IF(SUMPRODUCT(MAX(($D$4:$D$810=$D656)*($B$4:$B$810&lt;$B656)*$B$4:$B$810))=0,0,MAX(($B656-MAX(SUMPRODUCT(MAX(($D$4:$D$810=$D656)*($B$4:$B$810&lt;$B656)*$B$4:$B$810)),'Guide &amp; Settings'!$C$50))/7-'Guide &amp; Settings'!$C$48,0)*'Guide &amp; Settings'!$C$49))</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IF($D657="","",IF(SUMPRODUCT(MAX(($D$4:$D$810=$D657)*($B$4:$B$810&lt;$B657)*$B$4:$B$810))=0,0,MAX(($B657-MAX(SUMPRODUCT(MAX(($D$4:$D$810=$D657)*($B$4:$B$810&lt;$B657)*$B$4:$B$810)),'Guide &amp; Settings'!$C$50))/7-'Guide &amp; Settings'!$C$48,0)*'Guide &amp; Settings'!$C$49))</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IF($D658="","",IF(SUMPRODUCT(MAX(($D$4:$D$810=$D658)*($B$4:$B$810&lt;$B658)*$B$4:$B$810))=0,0,MAX(($B658-MAX(SUMPRODUCT(MAX(($D$4:$D$810=$D658)*($B$4:$B$810&lt;$B658)*$B$4:$B$810)),'Guide &amp; Settings'!$C$50))/7-'Guide &amp; Settings'!$C$48,0)*'Guide &amp; Settings'!$C$49))</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IF($D659="","",IF(SUMPRODUCT(MAX(($D$4:$D$810=$D659)*($B$4:$B$810&lt;$B659)*$B$4:$B$810))=0,0,MAX(($B659-MAX(SUMPRODUCT(MAX(($D$4:$D$810=$D659)*($B$4:$B$810&lt;$B659)*$B$4:$B$810)),'Guide &amp; Settings'!$C$50))/7-'Guide &amp; Settings'!$C$48,0)*'Guide &amp; Settings'!$C$49))</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IF($D660="","",IF(SUMPRODUCT(MAX(($D$4:$D$810=$D660)*($B$4:$B$810&lt;$B660)*$B$4:$B$810))=0,0,MAX(($B660-MAX(SUMPRODUCT(MAX(($D$4:$D$810=$D660)*($B$4:$B$810&lt;$B660)*$B$4:$B$810)),'Guide &amp; Settings'!$C$50))/7-'Guide &amp; Settings'!$C$48,0)*'Guide &amp; Settings'!$C$49))</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IF($D661="","",IF(SUMPRODUCT(MAX(($D$4:$D$810=$D661)*($B$4:$B$810&lt;$B661)*$B$4:$B$810))=0,0,MAX(($B661-MAX(SUMPRODUCT(MAX(($D$4:$D$810=$D661)*($B$4:$B$810&lt;$B661)*$B$4:$B$810)),'Guide &amp; Settings'!$C$50))/7-'Guide &amp; Settings'!$C$48,0)*'Guide &amp; Settings'!$C$49))</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IF($D662="","",IF(SUMPRODUCT(MAX(($D$4:$D$810=$D662)*($B$4:$B$810&lt;$B662)*$B$4:$B$810))=0,0,MAX(($B662-MAX(SUMPRODUCT(MAX(($D$4:$D$810=$D662)*($B$4:$B$810&lt;$B662)*$B$4:$B$810)),'Guide &amp; Settings'!$C$50))/7-'Guide &amp; Settings'!$C$48,0)*'Guide &amp; Settings'!$C$49))</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IF($D663="","",IF(SUMPRODUCT(MAX(($D$4:$D$810=$D663)*($B$4:$B$810&lt;$B663)*$B$4:$B$810))=0,0,MAX(($B663-MAX(SUMPRODUCT(MAX(($D$4:$D$810=$D663)*($B$4:$B$810&lt;$B663)*$B$4:$B$810)),'Guide &amp; Settings'!$C$50))/7-'Guide &amp; Settings'!$C$48,0)*'Guide &amp; Settings'!$C$49))</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IF($D664="","",IF(SUMPRODUCT(MAX(($D$4:$D$810=$D664)*($B$4:$B$810&lt;$B664)*$B$4:$B$810))=0,0,MAX(($B664-MAX(SUMPRODUCT(MAX(($D$4:$D$810=$D664)*($B$4:$B$810&lt;$B664)*$B$4:$B$810)),'Guide &amp; Settings'!$C$50))/7-'Guide &amp; Settings'!$C$48,0)*'Guide &amp; Settings'!$C$49))</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IF($D665="","",IF(SUMPRODUCT(MAX(($D$4:$D$810=$D665)*($B$4:$B$810&lt;$B665)*$B$4:$B$810))=0,0,MAX(($B665-MAX(SUMPRODUCT(MAX(($D$4:$D$810=$D665)*($B$4:$B$810&lt;$B665)*$B$4:$B$810)),'Guide &amp; Settings'!$C$50))/7-'Guide &amp; Settings'!$C$48,0)*'Guide &amp; Settings'!$C$49))</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IF($D666="","",IF(SUMPRODUCT(MAX(($D$4:$D$810=$D666)*($B$4:$B$810&lt;$B666)*$B$4:$B$810))=0,0,MAX(($B666-MAX(SUMPRODUCT(MAX(($D$4:$D$810=$D666)*($B$4:$B$810&lt;$B666)*$B$4:$B$810)),'Guide &amp; Settings'!$C$50))/7-'Guide &amp; Settings'!$C$48,0)*'Guide &amp; Settings'!$C$49))</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IF($D667="","",IF(SUMPRODUCT(MAX(($D$4:$D$810=$D667)*($B$4:$B$810&lt;$B667)*$B$4:$B$810))=0,0,MAX(($B667-MAX(SUMPRODUCT(MAX(($D$4:$D$810=$D667)*($B$4:$B$810&lt;$B667)*$B$4:$B$810)),'Guide &amp; Settings'!$C$50))/7-'Guide &amp; Settings'!$C$48,0)*'Guide &amp; Settings'!$C$49))</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IF($D668="","",IF(SUMPRODUCT(MAX(($D$4:$D$810=$D668)*($B$4:$B$810&lt;$B668)*$B$4:$B$810))=0,0,MAX(($B668-MAX(SUMPRODUCT(MAX(($D$4:$D$810=$D668)*($B$4:$B$810&lt;$B668)*$B$4:$B$810)),'Guide &amp; Settings'!$C$50))/7-'Guide &amp; Settings'!$C$48,0)*'Guide &amp; Settings'!$C$49))</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IF($D669="","",IF(SUMPRODUCT(MAX(($D$4:$D$810=$D669)*($B$4:$B$810&lt;$B669)*$B$4:$B$810))=0,0,MAX(($B669-MAX(SUMPRODUCT(MAX(($D$4:$D$810=$D669)*($B$4:$B$810&lt;$B669)*$B$4:$B$810)),'Guide &amp; Settings'!$C$50))/7-'Guide &amp; Settings'!$C$48,0)*'Guide &amp; Settings'!$C$49))</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IF($D670="","",IF(SUMPRODUCT(MAX(($D$4:$D$810=$D670)*($B$4:$B$810&lt;$B670)*$B$4:$B$810))=0,0,MAX(($B670-MAX(SUMPRODUCT(MAX(($D$4:$D$810=$D670)*($B$4:$B$810&lt;$B670)*$B$4:$B$810)),'Guide &amp; Settings'!$C$50))/7-'Guide &amp; Settings'!$C$48,0)*'Guide &amp; Settings'!$C$49))</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IF($D671="","",IF(SUMPRODUCT(MAX(($D$4:$D$810=$D671)*($B$4:$B$810&lt;$B671)*$B$4:$B$810))=0,0,MAX(($B671-MAX(SUMPRODUCT(MAX(($D$4:$D$810=$D671)*($B$4:$B$810&lt;$B671)*$B$4:$B$810)),'Guide &amp; Settings'!$C$50))/7-'Guide &amp; Settings'!$C$48,0)*'Guide &amp; Settings'!$C$49))</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IF($D672="","",IF(SUMPRODUCT(MAX(($D$4:$D$810=$D672)*($B$4:$B$810&lt;$B672)*$B$4:$B$810))=0,0,MAX(($B672-MAX(SUMPRODUCT(MAX(($D$4:$D$810=$D672)*($B$4:$B$810&lt;$B672)*$B$4:$B$810)),'Guide &amp; Settings'!$C$50))/7-'Guide &amp; Settings'!$C$48,0)*'Guide &amp; Settings'!$C$49))</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IF($D673="","",IF(SUMPRODUCT(MAX(($D$4:$D$810=$D673)*($B$4:$B$810&lt;$B673)*$B$4:$B$810))=0,0,MAX(($B673-MAX(SUMPRODUCT(MAX(($D$4:$D$810=$D673)*($B$4:$B$810&lt;$B673)*$B$4:$B$810)),'Guide &amp; Settings'!$C$50))/7-'Guide &amp; Settings'!$C$48,0)*'Guide &amp; Settings'!$C$49))</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IF($D674="","",IF(SUMPRODUCT(MAX(($D$4:$D$810=$D674)*($B$4:$B$810&lt;$B674)*$B$4:$B$810))=0,0,MAX(($B674-MAX(SUMPRODUCT(MAX(($D$4:$D$810=$D674)*($B$4:$B$810&lt;$B674)*$B$4:$B$810)),'Guide &amp; Settings'!$C$50))/7-'Guide &amp; Settings'!$C$48,0)*'Guide &amp; Settings'!$C$49))</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IF($D675="","",IF(SUMPRODUCT(MAX(($D$4:$D$810=$D675)*($B$4:$B$810&lt;$B675)*$B$4:$B$810))=0,0,MAX(($B675-MAX(SUMPRODUCT(MAX(($D$4:$D$810=$D675)*($B$4:$B$810&lt;$B675)*$B$4:$B$810)),'Guide &amp; Settings'!$C$50))/7-'Guide &amp; Settings'!$C$48,0)*'Guide &amp; Settings'!$C$49))</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IF($D676="","",IF(SUMPRODUCT(MAX(($D$4:$D$810=$D676)*($B$4:$B$810&lt;$B676)*$B$4:$B$810))=0,0,MAX(($B676-MAX(SUMPRODUCT(MAX(($D$4:$D$810=$D676)*($B$4:$B$810&lt;$B676)*$B$4:$B$810)),'Guide &amp; Settings'!$C$50))/7-'Guide &amp; Settings'!$C$48,0)*'Guide &amp; Settings'!$C$49))</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IF($D677="","",IF(SUMPRODUCT(MAX(($D$4:$D$810=$D677)*($B$4:$B$810&lt;$B677)*$B$4:$B$810))=0,0,MAX(($B677-MAX(SUMPRODUCT(MAX(($D$4:$D$810=$D677)*($B$4:$B$810&lt;$B677)*$B$4:$B$810)),'Guide &amp; Settings'!$C$50))/7-'Guide &amp; Settings'!$C$48,0)*'Guide &amp; Settings'!$C$49))</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IF($D678="","",IF(SUMPRODUCT(MAX(($D$4:$D$810=$D678)*($B$4:$B$810&lt;$B678)*$B$4:$B$810))=0,0,MAX(($B678-MAX(SUMPRODUCT(MAX(($D$4:$D$810=$D678)*($B$4:$B$810&lt;$B678)*$B$4:$B$810)),'Guide &amp; Settings'!$C$50))/7-'Guide &amp; Settings'!$C$48,0)*'Guide &amp; Settings'!$C$49))</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IF($D679="","",IF(SUMPRODUCT(MAX(($D$4:$D$810=$D679)*($B$4:$B$810&lt;$B679)*$B$4:$B$810))=0,0,MAX(($B679-MAX(SUMPRODUCT(MAX(($D$4:$D$810=$D679)*($B$4:$B$810&lt;$B679)*$B$4:$B$810)),'Guide &amp; Settings'!$C$50))/7-'Guide &amp; Settings'!$C$48,0)*'Guide &amp; Settings'!$C$49))</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IF($D680="","",IF(SUMPRODUCT(MAX(($D$4:$D$810=$D680)*($B$4:$B$810&lt;$B680)*$B$4:$B$810))=0,0,MAX(($B680-MAX(SUMPRODUCT(MAX(($D$4:$D$810=$D680)*($B$4:$B$810&lt;$B680)*$B$4:$B$810)),'Guide &amp; Settings'!$C$50))/7-'Guide &amp; Settings'!$C$48,0)*'Guide &amp; Settings'!$C$49))</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IF($D681="","",IF(SUMPRODUCT(MAX(($D$4:$D$810=$D681)*($B$4:$B$810&lt;$B681)*$B$4:$B$810))=0,0,MAX(($B681-MAX(SUMPRODUCT(MAX(($D$4:$D$810=$D681)*($B$4:$B$810&lt;$B681)*$B$4:$B$810)),'Guide &amp; Settings'!$C$50))/7-'Guide &amp; Settings'!$C$48,0)*'Guide &amp; Settings'!$C$49))</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IF($D682="","",IF(SUMPRODUCT(MAX(($D$4:$D$810=$D682)*($B$4:$B$810&lt;$B682)*$B$4:$B$810))=0,0,MAX(($B682-MAX(SUMPRODUCT(MAX(($D$4:$D$810=$D682)*($B$4:$B$810&lt;$B682)*$B$4:$B$810)),'Guide &amp; Settings'!$C$50))/7-'Guide &amp; Settings'!$C$48,0)*'Guide &amp; Settings'!$C$49))</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IF($D683="","",IF(SUMPRODUCT(MAX(($D$4:$D$810=$D683)*($B$4:$B$810&lt;$B683)*$B$4:$B$810))=0,0,MAX(($B683-MAX(SUMPRODUCT(MAX(($D$4:$D$810=$D683)*($B$4:$B$810&lt;$B683)*$B$4:$B$810)),'Guide &amp; Settings'!$C$50))/7-'Guide &amp; Settings'!$C$48,0)*'Guide &amp; Settings'!$C$49))</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IF($D684="","",IF(SUMPRODUCT(MAX(($D$4:$D$810=$D684)*($B$4:$B$810&lt;$B684)*$B$4:$B$810))=0,0,MAX(($B684-MAX(SUMPRODUCT(MAX(($D$4:$D$810=$D684)*($B$4:$B$810&lt;$B684)*$B$4:$B$810)),'Guide &amp; Settings'!$C$50))/7-'Guide &amp; Settings'!$C$48,0)*'Guide &amp; Settings'!$C$49))</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IF($D685="","",IF(SUMPRODUCT(MAX(($D$4:$D$810=$D685)*($B$4:$B$810&lt;$B685)*$B$4:$B$810))=0,0,MAX(($B685-MAX(SUMPRODUCT(MAX(($D$4:$D$810=$D685)*($B$4:$B$810&lt;$B685)*$B$4:$B$810)),'Guide &amp; Settings'!$C$50))/7-'Guide &amp; Settings'!$C$48,0)*'Guide &amp; Settings'!$C$49))</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IF($D686="","",IF(SUMPRODUCT(MAX(($D$4:$D$810=$D686)*($B$4:$B$810&lt;$B686)*$B$4:$B$810))=0,0,MAX(($B686-MAX(SUMPRODUCT(MAX(($D$4:$D$810=$D686)*($B$4:$B$810&lt;$B686)*$B$4:$B$810)),'Guide &amp; Settings'!$C$50))/7-'Guide &amp; Settings'!$C$48,0)*'Guide &amp; Settings'!$C$49))</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IF($D687="","",IF(SUMPRODUCT(MAX(($D$4:$D$810=$D687)*($B$4:$B$810&lt;$B687)*$B$4:$B$810))=0,0,MAX(($B687-MAX(SUMPRODUCT(MAX(($D$4:$D$810=$D687)*($B$4:$B$810&lt;$B687)*$B$4:$B$810)),'Guide &amp; Settings'!$C$50))/7-'Guide &amp; Settings'!$C$48,0)*'Guide &amp; Settings'!$C$49))</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IF($D688="","",IF(SUMPRODUCT(MAX(($D$4:$D$810=$D688)*($B$4:$B$810&lt;$B688)*$B$4:$B$810))=0,0,MAX(($B688-MAX(SUMPRODUCT(MAX(($D$4:$D$810=$D688)*($B$4:$B$810&lt;$B688)*$B$4:$B$810)),'Guide &amp; Settings'!$C$50))/7-'Guide &amp; Settings'!$C$48,0)*'Guide &amp; Settings'!$C$49))</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IF($D689="","",IF(SUMPRODUCT(MAX(($D$4:$D$810=$D689)*($B$4:$B$810&lt;$B689)*$B$4:$B$810))=0,0,MAX(($B689-MAX(SUMPRODUCT(MAX(($D$4:$D$810=$D689)*($B$4:$B$810&lt;$B689)*$B$4:$B$810)),'Guide &amp; Settings'!$C$50))/7-'Guide &amp; Settings'!$C$48,0)*'Guide &amp; Settings'!$C$49))</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IF($D690="","",IF(SUMPRODUCT(MAX(($D$4:$D$810=$D690)*($B$4:$B$810&lt;$B690)*$B$4:$B$810))=0,0,MAX(($B690-MAX(SUMPRODUCT(MAX(($D$4:$D$810=$D690)*($B$4:$B$810&lt;$B690)*$B$4:$B$810)),'Guide &amp; Settings'!$C$50))/7-'Guide &amp; Settings'!$C$48,0)*'Guide &amp; Settings'!$C$49))</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IF($D691="","",IF(SUMPRODUCT(MAX(($D$4:$D$810=$D691)*($B$4:$B$810&lt;$B691)*$B$4:$B$810))=0,0,MAX(($B691-MAX(SUMPRODUCT(MAX(($D$4:$D$810=$D691)*($B$4:$B$810&lt;$B691)*$B$4:$B$810)),'Guide &amp; Settings'!$C$50))/7-'Guide &amp; Settings'!$C$48,0)*'Guide &amp; Settings'!$C$49))</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IF($D692="","",IF(SUMPRODUCT(MAX(($D$4:$D$810=$D692)*($B$4:$B$810&lt;$B692)*$B$4:$B$810))=0,0,MAX(($B692-MAX(SUMPRODUCT(MAX(($D$4:$D$810=$D692)*($B$4:$B$810&lt;$B692)*$B$4:$B$810)),'Guide &amp; Settings'!$C$50))/7-'Guide &amp; Settings'!$C$48,0)*'Guide &amp; Settings'!$C$49))</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IF($D693="","",IF(SUMPRODUCT(MAX(($D$4:$D$810=$D693)*($B$4:$B$810&lt;$B693)*$B$4:$B$810))=0,0,MAX(($B693-MAX(SUMPRODUCT(MAX(($D$4:$D$810=$D693)*($B$4:$B$810&lt;$B693)*$B$4:$B$810)),'Guide &amp; Settings'!$C$50))/7-'Guide &amp; Settings'!$C$48,0)*'Guide &amp; Settings'!$C$49))</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IF($D694="","",IF(SUMPRODUCT(MAX(($D$4:$D$810=$D694)*($B$4:$B$810&lt;$B694)*$B$4:$B$810))=0,0,MAX(($B694-MAX(SUMPRODUCT(MAX(($D$4:$D$810=$D694)*($B$4:$B$810&lt;$B694)*$B$4:$B$810)),'Guide &amp; Settings'!$C$50))/7-'Guide &amp; Settings'!$C$48,0)*'Guide &amp; Settings'!$C$49))</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IF($D695="","",IF(SUMPRODUCT(MAX(($D$4:$D$810=$D695)*($B$4:$B$810&lt;$B695)*$B$4:$B$810))=0,0,MAX(($B695-MAX(SUMPRODUCT(MAX(($D$4:$D$810=$D695)*($B$4:$B$810&lt;$B695)*$B$4:$B$810)),'Guide &amp; Settings'!$C$50))/7-'Guide &amp; Settings'!$C$48,0)*'Guide &amp; Settings'!$C$49))</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IF($D696="","",IF(SUMPRODUCT(MAX(($D$4:$D$810=$D696)*($B$4:$B$810&lt;$B696)*$B$4:$B$810))=0,0,MAX(($B696-MAX(SUMPRODUCT(MAX(($D$4:$D$810=$D696)*($B$4:$B$810&lt;$B696)*$B$4:$B$810)),'Guide &amp; Settings'!$C$50))/7-'Guide &amp; Settings'!$C$48,0)*'Guide &amp; Settings'!$C$49))</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IF($D697="","",IF(SUMPRODUCT(MAX(($D$4:$D$810=$D697)*($B$4:$B$810&lt;$B697)*$B$4:$B$810))=0,0,MAX(($B697-MAX(SUMPRODUCT(MAX(($D$4:$D$810=$D697)*($B$4:$B$810&lt;$B697)*$B$4:$B$810)),'Guide &amp; Settings'!$C$50))/7-'Guide &amp; Settings'!$C$48,0)*'Guide &amp; Settings'!$C$49))</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IF($D698="","",IF(SUMPRODUCT(MAX(($D$4:$D$810=$D698)*($B$4:$B$810&lt;$B698)*$B$4:$B$810))=0,0,MAX(($B698-MAX(SUMPRODUCT(MAX(($D$4:$D$810=$D698)*($B$4:$B$810&lt;$B698)*$B$4:$B$810)),'Guide &amp; Settings'!$C$50))/7-'Guide &amp; Settings'!$C$48,0)*'Guide &amp; Settings'!$C$49))</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IF($D699="","",IF(SUMPRODUCT(MAX(($D$4:$D$810=$D699)*($B$4:$B$810&lt;$B699)*$B$4:$B$810))=0,0,MAX(($B699-MAX(SUMPRODUCT(MAX(($D$4:$D$810=$D699)*($B$4:$B$810&lt;$B699)*$B$4:$B$810)),'Guide &amp; Settings'!$C$50))/7-'Guide &amp; Settings'!$C$48,0)*'Guide &amp; Settings'!$C$49))</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IF($D700="","",IF(SUMPRODUCT(MAX(($D$4:$D$810=$D700)*($B$4:$B$810&lt;$B700)*$B$4:$B$810))=0,0,MAX(($B700-MAX(SUMPRODUCT(MAX(($D$4:$D$810=$D700)*($B$4:$B$810&lt;$B700)*$B$4:$B$810)),'Guide &amp; Settings'!$C$50))/7-'Guide &amp; Settings'!$C$48,0)*'Guide &amp; Settings'!$C$49))</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IF($D701="","",IF(SUMPRODUCT(MAX(($D$4:$D$810=$D701)*($B$4:$B$810&lt;$B701)*$B$4:$B$810))=0,0,MAX(($B701-MAX(SUMPRODUCT(MAX(($D$4:$D$810=$D701)*($B$4:$B$810&lt;$B701)*$B$4:$B$810)),'Guide &amp; Settings'!$C$50))/7-'Guide &amp; Settings'!$C$48,0)*'Guide &amp; Settings'!$C$49))</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IF($D702="","",IF(SUMPRODUCT(MAX(($D$4:$D$810=$D702)*($B$4:$B$810&lt;$B702)*$B$4:$B$810))=0,0,MAX(($B702-MAX(SUMPRODUCT(MAX(($D$4:$D$810=$D702)*($B$4:$B$810&lt;$B702)*$B$4:$B$810)),'Guide &amp; Settings'!$C$50))/7-'Guide &amp; Settings'!$C$48,0)*'Guide &amp; Settings'!$C$49))</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IF($D703="","",IF(SUMPRODUCT(MAX(($D$4:$D$810=$D703)*($B$4:$B$810&lt;$B703)*$B$4:$B$810))=0,0,MAX(($B703-MAX(SUMPRODUCT(MAX(($D$4:$D$810=$D703)*($B$4:$B$810&lt;$B703)*$B$4:$B$810)),'Guide &amp; Settings'!$C$50))/7-'Guide &amp; Settings'!$C$48,0)*'Guide &amp; Settings'!$C$49))</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IF($D704="","",IF(SUMPRODUCT(MAX(($D$4:$D$810=$D704)*($B$4:$B$810&lt;$B704)*$B$4:$B$810))=0,0,MAX(($B704-MAX(SUMPRODUCT(MAX(($D$4:$D$810=$D704)*($B$4:$B$810&lt;$B704)*$B$4:$B$810)),'Guide &amp; Settings'!$C$50))/7-'Guide &amp; Settings'!$C$48,0)*'Guide &amp; Settings'!$C$49))</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IF($D705="","",IF(SUMPRODUCT(MAX(($D$4:$D$810=$D705)*($B$4:$B$810&lt;$B705)*$B$4:$B$810))=0,0,MAX(($B705-MAX(SUMPRODUCT(MAX(($D$4:$D$810=$D705)*($B$4:$B$810&lt;$B705)*$B$4:$B$810)),'Guide &amp; Settings'!$C$50))/7-'Guide &amp; Settings'!$C$48,0)*'Guide &amp; Settings'!$C$49))</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IF($D706="","",IF(SUMPRODUCT(MAX(($D$4:$D$810=$D706)*($B$4:$B$810&lt;$B706)*$B$4:$B$810))=0,0,MAX(($B706-MAX(SUMPRODUCT(MAX(($D$4:$D$810=$D706)*($B$4:$B$810&lt;$B706)*$B$4:$B$810)),'Guide &amp; Settings'!$C$50))/7-'Guide &amp; Settings'!$C$48,0)*'Guide &amp; Settings'!$C$49))</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IF($D707="","",IF(SUMPRODUCT(MAX(($D$4:$D$810=$D707)*($B$4:$B$810&lt;$B707)*$B$4:$B$810))=0,0,MAX(($B707-MAX(SUMPRODUCT(MAX(($D$4:$D$810=$D707)*($B$4:$B$810&lt;$B707)*$B$4:$B$810)),'Guide &amp; Settings'!$C$50))/7-'Guide &amp; Settings'!$C$48,0)*'Guide &amp; Settings'!$C$49))</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IF($D708="","",IF(SUMPRODUCT(MAX(($D$4:$D$810=$D708)*($B$4:$B$810&lt;$B708)*$B$4:$B$810))=0,0,MAX(($B708-MAX(SUMPRODUCT(MAX(($D$4:$D$810=$D708)*($B$4:$B$810&lt;$B708)*$B$4:$B$810)),'Guide &amp; Settings'!$C$50))/7-'Guide &amp; Settings'!$C$48,0)*'Guide &amp; Settings'!$C$49))</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IF($D709="","",IF(SUMPRODUCT(MAX(($D$4:$D$810=$D709)*($B$4:$B$810&lt;$B709)*$B$4:$B$810))=0,0,MAX(($B709-MAX(SUMPRODUCT(MAX(($D$4:$D$810=$D709)*($B$4:$B$810&lt;$B709)*$B$4:$B$810)),'Guide &amp; Settings'!$C$50))/7-'Guide &amp; Settings'!$C$48,0)*'Guide &amp; Settings'!$C$49))</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IF($D710="","",IF(SUMPRODUCT(MAX(($D$4:$D$810=$D710)*($B$4:$B$810&lt;$B710)*$B$4:$B$810))=0,0,MAX(($B710-MAX(SUMPRODUCT(MAX(($D$4:$D$810=$D710)*($B$4:$B$810&lt;$B710)*$B$4:$B$810)),'Guide &amp; Settings'!$C$50))/7-'Guide &amp; Settings'!$C$48,0)*'Guide &amp; Settings'!$C$49))</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IF($D711="","",IF(SUMPRODUCT(MAX(($D$4:$D$810=$D711)*($B$4:$B$810&lt;$B711)*$B$4:$B$810))=0,0,MAX(($B711-MAX(SUMPRODUCT(MAX(($D$4:$D$810=$D711)*($B$4:$B$810&lt;$B711)*$B$4:$B$810)),'Guide &amp; Settings'!$C$50))/7-'Guide &amp; Settings'!$C$48,0)*'Guide &amp; Settings'!$C$49))</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IF($D712="","",IF(SUMPRODUCT(MAX(($D$4:$D$810=$D712)*($B$4:$B$810&lt;$B712)*$B$4:$B$810))=0,0,MAX(($B712-MAX(SUMPRODUCT(MAX(($D$4:$D$810=$D712)*($B$4:$B$810&lt;$B712)*$B$4:$B$810)),'Guide &amp; Settings'!$C$50))/7-'Guide &amp; Settings'!$C$48,0)*'Guide &amp; Settings'!$C$49))</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IF($D713="","",IF(SUMPRODUCT(MAX(($D$4:$D$810=$D713)*($B$4:$B$810&lt;$B713)*$B$4:$B$810))=0,0,MAX(($B713-MAX(SUMPRODUCT(MAX(($D$4:$D$810=$D713)*($B$4:$B$810&lt;$B713)*$B$4:$B$810)),'Guide &amp; Settings'!$C$50))/7-'Guide &amp; Settings'!$C$48,0)*'Guide &amp; Settings'!$C$49))</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IF($D714="","",IF(SUMPRODUCT(MAX(($D$4:$D$810=$D714)*($B$4:$B$810&lt;$B714)*$B$4:$B$810))=0,0,MAX(($B714-MAX(SUMPRODUCT(MAX(($D$4:$D$810=$D714)*($B$4:$B$810&lt;$B714)*$B$4:$B$810)),'Guide &amp; Settings'!$C$50))/7-'Guide &amp; Settings'!$C$48,0)*'Guide &amp; Settings'!$C$49))</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IF($D715="","",IF(SUMPRODUCT(MAX(($D$4:$D$810=$D715)*($B$4:$B$810&lt;$B715)*$B$4:$B$810))=0,0,MAX(($B715-MAX(SUMPRODUCT(MAX(($D$4:$D$810=$D715)*($B$4:$B$810&lt;$B715)*$B$4:$B$810)),'Guide &amp; Settings'!$C$50))/7-'Guide &amp; Settings'!$C$48,0)*'Guide &amp; Settings'!$C$49))</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IF($D716="","",IF(SUMPRODUCT(MAX(($D$4:$D$810=$D716)*($B$4:$B$810&lt;$B716)*$B$4:$B$810))=0,0,MAX(($B716-MAX(SUMPRODUCT(MAX(($D$4:$D$810=$D716)*($B$4:$B$810&lt;$B716)*$B$4:$B$810)),'Guide &amp; Settings'!$C$50))/7-'Guide &amp; Settings'!$C$48,0)*'Guide &amp; Settings'!$C$49))</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IF($D717="","",IF(SUMPRODUCT(MAX(($D$4:$D$810=$D717)*($B$4:$B$810&lt;$B717)*$B$4:$B$810))=0,0,MAX(($B717-MAX(SUMPRODUCT(MAX(($D$4:$D$810=$D717)*($B$4:$B$810&lt;$B717)*$B$4:$B$810)),'Guide &amp; Settings'!$C$50))/7-'Guide &amp; Settings'!$C$48,0)*'Guide &amp; Settings'!$C$49))</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IF($D718="","",IF(SUMPRODUCT(MAX(($D$4:$D$810=$D718)*($B$4:$B$810&lt;$B718)*$B$4:$B$810))=0,0,MAX(($B718-MAX(SUMPRODUCT(MAX(($D$4:$D$810=$D718)*($B$4:$B$810&lt;$B718)*$B$4:$B$810)),'Guide &amp; Settings'!$C$50))/7-'Guide &amp; Settings'!$C$48,0)*'Guide &amp; Settings'!$C$49))</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IF($D719="","",IF(SUMPRODUCT(MAX(($D$4:$D$810=$D719)*($B$4:$B$810&lt;$B719)*$B$4:$B$810))=0,0,MAX(($B719-MAX(SUMPRODUCT(MAX(($D$4:$D$810=$D719)*($B$4:$B$810&lt;$B719)*$B$4:$B$810)),'Guide &amp; Settings'!$C$50))/7-'Guide &amp; Settings'!$C$48,0)*'Guide &amp; Settings'!$C$49))</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IF($D720="","",IF(SUMPRODUCT(MAX(($D$4:$D$810=$D720)*($B$4:$B$810&lt;$B720)*$B$4:$B$810))=0,0,MAX(($B720-MAX(SUMPRODUCT(MAX(($D$4:$D$810=$D720)*($B$4:$B$810&lt;$B720)*$B$4:$B$810)),'Guide &amp; Settings'!$C$50))/7-'Guide &amp; Settings'!$C$48,0)*'Guide &amp; Settings'!$C$49))</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IF($D721="","",IF(SUMPRODUCT(MAX(($D$4:$D$810=$D721)*($B$4:$B$810&lt;$B721)*$B$4:$B$810))=0,0,MAX(($B721-MAX(SUMPRODUCT(MAX(($D$4:$D$810=$D721)*($B$4:$B$810&lt;$B721)*$B$4:$B$810)),'Guide &amp; Settings'!$C$50))/7-'Guide &amp; Settings'!$C$48,0)*'Guide &amp; Settings'!$C$49))</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IF($D722="","",IF(SUMPRODUCT(MAX(($D$4:$D$810=$D722)*($B$4:$B$810&lt;$B722)*$B$4:$B$810))=0,0,MAX(($B722-MAX(SUMPRODUCT(MAX(($D$4:$D$810=$D722)*($B$4:$B$810&lt;$B722)*$B$4:$B$810)),'Guide &amp; Settings'!$C$50))/7-'Guide &amp; Settings'!$C$48,0)*'Guide &amp; Settings'!$C$49))</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IF($D723="","",IF(SUMPRODUCT(MAX(($D$4:$D$810=$D723)*($B$4:$B$810&lt;$B723)*$B$4:$B$810))=0,0,MAX(($B723-MAX(SUMPRODUCT(MAX(($D$4:$D$810=$D723)*($B$4:$B$810&lt;$B723)*$B$4:$B$810)),'Guide &amp; Settings'!$C$50))/7-'Guide &amp; Settings'!$C$48,0)*'Guide &amp; Settings'!$C$49))</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IF($D724="","",IF(SUMPRODUCT(MAX(($D$4:$D$810=$D724)*($B$4:$B$810&lt;$B724)*$B$4:$B$810))=0,0,MAX(($B724-MAX(SUMPRODUCT(MAX(($D$4:$D$810=$D724)*($B$4:$B$810&lt;$B724)*$B$4:$B$810)),'Guide &amp; Settings'!$C$50))/7-'Guide &amp; Settings'!$C$48,0)*'Guide &amp; Settings'!$C$49))</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IF($D725="","",IF(SUMPRODUCT(MAX(($D$4:$D$810=$D725)*($B$4:$B$810&lt;$B725)*$B$4:$B$810))=0,0,MAX(($B725-MAX(SUMPRODUCT(MAX(($D$4:$D$810=$D725)*($B$4:$B$810&lt;$B725)*$B$4:$B$810)),'Guide &amp; Settings'!$C$50))/7-'Guide &amp; Settings'!$C$48,0)*'Guide &amp; Settings'!$C$49))</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IF($D726="","",IF(SUMPRODUCT(MAX(($D$4:$D$810=$D726)*($B$4:$B$810&lt;$B726)*$B$4:$B$810))=0,0,MAX(($B726-MAX(SUMPRODUCT(MAX(($D$4:$D$810=$D726)*($B$4:$B$810&lt;$B726)*$B$4:$B$810)),'Guide &amp; Settings'!$C$50))/7-'Guide &amp; Settings'!$C$48,0)*'Guide &amp; Settings'!$C$49))</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IF($D727="","",IF(SUMPRODUCT(MAX(($D$4:$D$810=$D727)*($B$4:$B$810&lt;$B727)*$B$4:$B$810))=0,0,MAX(($B727-MAX(SUMPRODUCT(MAX(($D$4:$D$810=$D727)*($B$4:$B$810&lt;$B727)*$B$4:$B$810)),'Guide &amp; Settings'!$C$50))/7-'Guide &amp; Settings'!$C$48,0)*'Guide &amp; Settings'!$C$49))</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IF($D728="","",IF(SUMPRODUCT(MAX(($D$4:$D$810=$D728)*($B$4:$B$810&lt;$B728)*$B$4:$B$810))=0,0,MAX(($B728-MAX(SUMPRODUCT(MAX(($D$4:$D$810=$D728)*($B$4:$B$810&lt;$B728)*$B$4:$B$810)),'Guide &amp; Settings'!$C$50))/7-'Guide &amp; Settings'!$C$48,0)*'Guide &amp; Settings'!$C$49))</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IF($D729="","",IF(SUMPRODUCT(MAX(($D$4:$D$810=$D729)*($B$4:$B$810&lt;$B729)*$B$4:$B$810))=0,0,MAX(($B729-MAX(SUMPRODUCT(MAX(($D$4:$D$810=$D729)*($B$4:$B$810&lt;$B729)*$B$4:$B$810)),'Guide &amp; Settings'!$C$50))/7-'Guide &amp; Settings'!$C$48,0)*'Guide &amp; Settings'!$C$49))</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IF($D730="","",IF(SUMPRODUCT(MAX(($D$4:$D$810=$D730)*($B$4:$B$810&lt;$B730)*$B$4:$B$810))=0,0,MAX(($B730-MAX(SUMPRODUCT(MAX(($D$4:$D$810=$D730)*($B$4:$B$810&lt;$B730)*$B$4:$B$810)),'Guide &amp; Settings'!$C$50))/7-'Guide &amp; Settings'!$C$48,0)*'Guide &amp; Settings'!$C$49))</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IF($D731="","",IF(SUMPRODUCT(MAX(($D$4:$D$810=$D731)*($B$4:$B$810&lt;$B731)*$B$4:$B$810))=0,0,MAX(($B731-MAX(SUMPRODUCT(MAX(($D$4:$D$810=$D731)*($B$4:$B$810&lt;$B731)*$B$4:$B$810)),'Guide &amp; Settings'!$C$50))/7-'Guide &amp; Settings'!$C$48,0)*'Guide &amp; Settings'!$C$49))</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IF($D732="","",IF(SUMPRODUCT(MAX(($D$4:$D$810=$D732)*($B$4:$B$810&lt;$B732)*$B$4:$B$810))=0,0,MAX(($B732-MAX(SUMPRODUCT(MAX(($D$4:$D$810=$D732)*($B$4:$B$810&lt;$B732)*$B$4:$B$810)),'Guide &amp; Settings'!$C$50))/7-'Guide &amp; Settings'!$C$48,0)*'Guide &amp; Settings'!$C$49))</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IF($D733="","",IF(SUMPRODUCT(MAX(($D$4:$D$810=$D733)*($B$4:$B$810&lt;$B733)*$B$4:$B$810))=0,0,MAX(($B733-MAX(SUMPRODUCT(MAX(($D$4:$D$810=$D733)*($B$4:$B$810&lt;$B733)*$B$4:$B$810)),'Guide &amp; Settings'!$C$50))/7-'Guide &amp; Settings'!$C$48,0)*'Guide &amp; Settings'!$C$49))</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IF($D734="","",IF(SUMPRODUCT(MAX(($D$4:$D$810=$D734)*($B$4:$B$810&lt;$B734)*$B$4:$B$810))=0,0,MAX(($B734-MAX(SUMPRODUCT(MAX(($D$4:$D$810=$D734)*($B$4:$B$810&lt;$B734)*$B$4:$B$810)),'Guide &amp; Settings'!$C$50))/7-'Guide &amp; Settings'!$C$48,0)*'Guide &amp; Settings'!$C$49))</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IF($D735="","",IF(SUMPRODUCT(MAX(($D$4:$D$810=$D735)*($B$4:$B$810&lt;$B735)*$B$4:$B$810))=0,0,MAX(($B735-MAX(SUMPRODUCT(MAX(($D$4:$D$810=$D735)*($B$4:$B$810&lt;$B735)*$B$4:$B$810)),'Guide &amp; Settings'!$C$50))/7-'Guide &amp; Settings'!$C$48,0)*'Guide &amp; Settings'!$C$49))</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IF($D736="","",IF(SUMPRODUCT(MAX(($D$4:$D$810=$D736)*($B$4:$B$810&lt;$B736)*$B$4:$B$810))=0,0,MAX(($B736-MAX(SUMPRODUCT(MAX(($D$4:$D$810=$D736)*($B$4:$B$810&lt;$B736)*$B$4:$B$810)),'Guide &amp; Settings'!$C$50))/7-'Guide &amp; Settings'!$C$48,0)*'Guide &amp; Settings'!$C$49))</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IF($D737="","",IF(SUMPRODUCT(MAX(($D$4:$D$810=$D737)*($B$4:$B$810&lt;$B737)*$B$4:$B$810))=0,0,MAX(($B737-MAX(SUMPRODUCT(MAX(($D$4:$D$810=$D737)*($B$4:$B$810&lt;$B737)*$B$4:$B$810)),'Guide &amp; Settings'!$C$50))/7-'Guide &amp; Settings'!$C$48,0)*'Guide &amp; Settings'!$C$49))</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IF($D738="","",IF(SUMPRODUCT(MAX(($D$4:$D$810=$D738)*($B$4:$B$810&lt;$B738)*$B$4:$B$810))=0,0,MAX(($B738-MAX(SUMPRODUCT(MAX(($D$4:$D$810=$D738)*($B$4:$B$810&lt;$B738)*$B$4:$B$810)),'Guide &amp; Settings'!$C$50))/7-'Guide &amp; Settings'!$C$48,0)*'Guide &amp; Settings'!$C$49))</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IF($D739="","",IF(SUMPRODUCT(MAX(($D$4:$D$810=$D739)*($B$4:$B$810&lt;$B739)*$B$4:$B$810))=0,0,MAX(($B739-MAX(SUMPRODUCT(MAX(($D$4:$D$810=$D739)*($B$4:$B$810&lt;$B739)*$B$4:$B$810)),'Guide &amp; Settings'!$C$50))/7-'Guide &amp; Settings'!$C$48,0)*'Guide &amp; Settings'!$C$49))</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IF($D740="","",IF(SUMPRODUCT(MAX(($D$4:$D$810=$D740)*($B$4:$B$810&lt;$B740)*$B$4:$B$810))=0,0,MAX(($B740-MAX(SUMPRODUCT(MAX(($D$4:$D$810=$D740)*($B$4:$B$810&lt;$B740)*$B$4:$B$810)),'Guide &amp; Settings'!$C$50))/7-'Guide &amp; Settings'!$C$48,0)*'Guide &amp; Settings'!$C$49))</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IF($D741="","",IF(SUMPRODUCT(MAX(($D$4:$D$810=$D741)*($B$4:$B$810&lt;$B741)*$B$4:$B$810))=0,0,MAX(($B741-MAX(SUMPRODUCT(MAX(($D$4:$D$810=$D741)*($B$4:$B$810&lt;$B741)*$B$4:$B$810)),'Guide &amp; Settings'!$C$50))/7-'Guide &amp; Settings'!$C$48,0)*'Guide &amp; Settings'!$C$49))</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IF($D742="","",IF(SUMPRODUCT(MAX(($D$4:$D$810=$D742)*($B$4:$B$810&lt;$B742)*$B$4:$B$810))=0,0,MAX(($B742-MAX(SUMPRODUCT(MAX(($D$4:$D$810=$D742)*($B$4:$B$810&lt;$B742)*$B$4:$B$810)),'Guide &amp; Settings'!$C$50))/7-'Guide &amp; Settings'!$C$48,0)*'Guide &amp; Settings'!$C$49))</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IF($D743="","",IF(SUMPRODUCT(MAX(($D$4:$D$810=$D743)*($B$4:$B$810&lt;$B743)*$B$4:$B$810))=0,0,MAX(($B743-MAX(SUMPRODUCT(MAX(($D$4:$D$810=$D743)*($B$4:$B$810&lt;$B743)*$B$4:$B$810)),'Guide &amp; Settings'!$C$50))/7-'Guide &amp; Settings'!$C$48,0)*'Guide &amp; Settings'!$C$49))</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IF($D744="","",IF(SUMPRODUCT(MAX(($D$4:$D$810=$D744)*($B$4:$B$810&lt;$B744)*$B$4:$B$810))=0,0,MAX(($B744-MAX(SUMPRODUCT(MAX(($D$4:$D$810=$D744)*($B$4:$B$810&lt;$B744)*$B$4:$B$810)),'Guide &amp; Settings'!$C$50))/7-'Guide &amp; Settings'!$C$48,0)*'Guide &amp; Settings'!$C$49))</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IF($D745="","",IF(SUMPRODUCT(MAX(($D$4:$D$810=$D745)*($B$4:$B$810&lt;$B745)*$B$4:$B$810))=0,0,MAX(($B745-MAX(SUMPRODUCT(MAX(($D$4:$D$810=$D745)*($B$4:$B$810&lt;$B745)*$B$4:$B$810)),'Guide &amp; Settings'!$C$50))/7-'Guide &amp; Settings'!$C$48,0)*'Guide &amp; Settings'!$C$49))</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IF($D746="","",IF(SUMPRODUCT(MAX(($D$4:$D$810=$D746)*($B$4:$B$810&lt;$B746)*$B$4:$B$810))=0,0,MAX(($B746-MAX(SUMPRODUCT(MAX(($D$4:$D$810=$D746)*($B$4:$B$810&lt;$B746)*$B$4:$B$810)),'Guide &amp; Settings'!$C$50))/7-'Guide &amp; Settings'!$C$48,0)*'Guide &amp; Settings'!$C$49))</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IF($D747="","",IF(SUMPRODUCT(MAX(($D$4:$D$810=$D747)*($B$4:$B$810&lt;$B747)*$B$4:$B$810))=0,0,MAX(($B747-MAX(SUMPRODUCT(MAX(($D$4:$D$810=$D747)*($B$4:$B$810&lt;$B747)*$B$4:$B$810)),'Guide &amp; Settings'!$C$50))/7-'Guide &amp; Settings'!$C$48,0)*'Guide &amp; Settings'!$C$49))</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IF($D748="","",IF(SUMPRODUCT(MAX(($D$4:$D$810=$D748)*($B$4:$B$810&lt;$B748)*$B$4:$B$810))=0,0,MAX(($B748-MAX(SUMPRODUCT(MAX(($D$4:$D$810=$D748)*($B$4:$B$810&lt;$B748)*$B$4:$B$810)),'Guide &amp; Settings'!$C$50))/7-'Guide &amp; Settings'!$C$48,0)*'Guide &amp; Settings'!$C$49))</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IF($D749="","",IF(SUMPRODUCT(MAX(($D$4:$D$810=$D749)*($B$4:$B$810&lt;$B749)*$B$4:$B$810))=0,0,MAX(($B749-MAX(SUMPRODUCT(MAX(($D$4:$D$810=$D749)*($B$4:$B$810&lt;$B749)*$B$4:$B$810)),'Guide &amp; Settings'!$C$50))/7-'Guide &amp; Settings'!$C$48,0)*'Guide &amp; Settings'!$C$49))</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IF($D750="","",IF(SUMPRODUCT(MAX(($D$4:$D$810=$D750)*($B$4:$B$810&lt;$B750)*$B$4:$B$810))=0,0,MAX(($B750-MAX(SUMPRODUCT(MAX(($D$4:$D$810=$D750)*($B$4:$B$810&lt;$B750)*$B$4:$B$810)),'Guide &amp; Settings'!$C$50))/7-'Guide &amp; Settings'!$C$48,0)*'Guide &amp; Settings'!$C$49))</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IF($D751="","",IF(SUMPRODUCT(MAX(($D$4:$D$810=$D751)*($B$4:$B$810&lt;$B751)*$B$4:$B$810))=0,0,MAX(($B751-MAX(SUMPRODUCT(MAX(($D$4:$D$810=$D751)*($B$4:$B$810&lt;$B751)*$B$4:$B$810)),'Guide &amp; Settings'!$C$50))/7-'Guide &amp; Settings'!$C$48,0)*'Guide &amp; Settings'!$C$49))</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IF($D752="","",IF(SUMPRODUCT(MAX(($D$4:$D$810=$D752)*($B$4:$B$810&lt;$B752)*$B$4:$B$810))=0,0,MAX(($B752-MAX(SUMPRODUCT(MAX(($D$4:$D$810=$D752)*($B$4:$B$810&lt;$B752)*$B$4:$B$810)),'Guide &amp; Settings'!$C$50))/7-'Guide &amp; Settings'!$C$48,0)*'Guide &amp; Settings'!$C$49))</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IF($D753="","",IF(SUMPRODUCT(MAX(($D$4:$D$810=$D753)*($B$4:$B$810&lt;$B753)*$B$4:$B$810))=0,0,MAX(($B753-MAX(SUMPRODUCT(MAX(($D$4:$D$810=$D753)*($B$4:$B$810&lt;$B753)*$B$4:$B$810)),'Guide &amp; Settings'!$C$50))/7-'Guide &amp; Settings'!$C$48,0)*'Guide &amp; Settings'!$C$49))</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IF($D754="","",IF(SUMPRODUCT(MAX(($D$4:$D$810=$D754)*($B$4:$B$810&lt;$B754)*$B$4:$B$810))=0,0,MAX(($B754-MAX(SUMPRODUCT(MAX(($D$4:$D$810=$D754)*($B$4:$B$810&lt;$B754)*$B$4:$B$810)),'Guide &amp; Settings'!$C$50))/7-'Guide &amp; Settings'!$C$48,0)*'Guide &amp; Settings'!$C$49))</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IF($D755="","",IF(SUMPRODUCT(MAX(($D$4:$D$810=$D755)*($B$4:$B$810&lt;$B755)*$B$4:$B$810))=0,0,MAX(($B755-MAX(SUMPRODUCT(MAX(($D$4:$D$810=$D755)*($B$4:$B$810&lt;$B755)*$B$4:$B$810)),'Guide &amp; Settings'!$C$50))/7-'Guide &amp; Settings'!$C$48,0)*'Guide &amp; Settings'!$C$49))</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IF($D756="","",IF(SUMPRODUCT(MAX(($D$4:$D$810=$D756)*($B$4:$B$810&lt;$B756)*$B$4:$B$810))=0,0,MAX(($B756-MAX(SUMPRODUCT(MAX(($D$4:$D$810=$D756)*($B$4:$B$810&lt;$B756)*$B$4:$B$810)),'Guide &amp; Settings'!$C$50))/7-'Guide &amp; Settings'!$C$48,0)*'Guide &amp; Settings'!$C$49))</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IF($D757="","",IF(SUMPRODUCT(MAX(($D$4:$D$810=$D757)*($B$4:$B$810&lt;$B757)*$B$4:$B$810))=0,0,MAX(($B757-MAX(SUMPRODUCT(MAX(($D$4:$D$810=$D757)*($B$4:$B$810&lt;$B757)*$B$4:$B$810)),'Guide &amp; Settings'!$C$50))/7-'Guide &amp; Settings'!$C$48,0)*'Guide &amp; Settings'!$C$49))</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IF($D758="","",IF(SUMPRODUCT(MAX(($D$4:$D$810=$D758)*($B$4:$B$810&lt;$B758)*$B$4:$B$810))=0,0,MAX(($B758-MAX(SUMPRODUCT(MAX(($D$4:$D$810=$D758)*($B$4:$B$810&lt;$B758)*$B$4:$B$810)),'Guide &amp; Settings'!$C$50))/7-'Guide &amp; Settings'!$C$48,0)*'Guide &amp; Settings'!$C$49))</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IF($D759="","",IF(SUMPRODUCT(MAX(($D$4:$D$810=$D759)*($B$4:$B$810&lt;$B759)*$B$4:$B$810))=0,0,MAX(($B759-MAX(SUMPRODUCT(MAX(($D$4:$D$810=$D759)*($B$4:$B$810&lt;$B759)*$B$4:$B$810)),'Guide &amp; Settings'!$C$50))/7-'Guide &amp; Settings'!$C$48,0)*'Guide &amp; Settings'!$C$49))</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IF($D760="","",IF(SUMPRODUCT(MAX(($D$4:$D$810=$D760)*($B$4:$B$810&lt;$B760)*$B$4:$B$810))=0,0,MAX(($B760-MAX(SUMPRODUCT(MAX(($D$4:$D$810=$D760)*($B$4:$B$810&lt;$B760)*$B$4:$B$810)),'Guide &amp; Settings'!$C$50))/7-'Guide &amp; Settings'!$C$48,0)*'Guide &amp; Settings'!$C$49))</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IF($D761="","",IF(SUMPRODUCT(MAX(($D$4:$D$810=$D761)*($B$4:$B$810&lt;$B761)*$B$4:$B$810))=0,0,MAX(($B761-MAX(SUMPRODUCT(MAX(($D$4:$D$810=$D761)*($B$4:$B$810&lt;$B761)*$B$4:$B$810)),'Guide &amp; Settings'!$C$50))/7-'Guide &amp; Settings'!$C$48,0)*'Guide &amp; Settings'!$C$49))</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IF($D762="","",IF(SUMPRODUCT(MAX(($D$4:$D$810=$D762)*($B$4:$B$810&lt;$B762)*$B$4:$B$810))=0,0,MAX(($B762-MAX(SUMPRODUCT(MAX(($D$4:$D$810=$D762)*($B$4:$B$810&lt;$B762)*$B$4:$B$810)),'Guide &amp; Settings'!$C$50))/7-'Guide &amp; Settings'!$C$48,0)*'Guide &amp; Settings'!$C$49))</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IF($D763="","",IF(SUMPRODUCT(MAX(($D$4:$D$810=$D763)*($B$4:$B$810&lt;$B763)*$B$4:$B$810))=0,0,MAX(($B763-MAX(SUMPRODUCT(MAX(($D$4:$D$810=$D763)*($B$4:$B$810&lt;$B763)*$B$4:$B$810)),'Guide &amp; Settings'!$C$50))/7-'Guide &amp; Settings'!$C$48,0)*'Guide &amp; Settings'!$C$49))</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IF($D764="","",IF(SUMPRODUCT(MAX(($D$4:$D$810=$D764)*($B$4:$B$810&lt;$B764)*$B$4:$B$810))=0,0,MAX(($B764-MAX(SUMPRODUCT(MAX(($D$4:$D$810=$D764)*($B$4:$B$810&lt;$B764)*$B$4:$B$810)),'Guide &amp; Settings'!$C$50))/7-'Guide &amp; Settings'!$C$48,0)*'Guide &amp; Settings'!$C$49))</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IF($D765="","",IF(SUMPRODUCT(MAX(($D$4:$D$810=$D765)*($B$4:$B$810&lt;$B765)*$B$4:$B$810))=0,0,MAX(($B765-MAX(SUMPRODUCT(MAX(($D$4:$D$810=$D765)*($B$4:$B$810&lt;$B765)*$B$4:$B$810)),'Guide &amp; Settings'!$C$50))/7-'Guide &amp; Settings'!$C$48,0)*'Guide &amp; Settings'!$C$49))</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IF($D766="","",IF(SUMPRODUCT(MAX(($D$4:$D$810=$D766)*($B$4:$B$810&lt;$B766)*$B$4:$B$810))=0,0,MAX(($B766-MAX(SUMPRODUCT(MAX(($D$4:$D$810=$D766)*($B$4:$B$810&lt;$B766)*$B$4:$B$810)),'Guide &amp; Settings'!$C$50))/7-'Guide &amp; Settings'!$C$48,0)*'Guide &amp; Settings'!$C$49))</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IF($D767="","",IF(SUMPRODUCT(MAX(($D$4:$D$810=$D767)*($B$4:$B$810&lt;$B767)*$B$4:$B$810))=0,0,MAX(($B767-MAX(SUMPRODUCT(MAX(($D$4:$D$810=$D767)*($B$4:$B$810&lt;$B767)*$B$4:$B$810)),'Guide &amp; Settings'!$C$50))/7-'Guide &amp; Settings'!$C$48,0)*'Guide &amp; Settings'!$C$49))</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IF($D768="","",IF(SUMPRODUCT(MAX(($D$4:$D$810=$D768)*($B$4:$B$810&lt;$B768)*$B$4:$B$810))=0,0,MAX(($B768-MAX(SUMPRODUCT(MAX(($D$4:$D$810=$D768)*($B$4:$B$810&lt;$B768)*$B$4:$B$810)),'Guide &amp; Settings'!$C$50))/7-'Guide &amp; Settings'!$C$48,0)*'Guide &amp; Settings'!$C$49))</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IF($D769="","",IF(SUMPRODUCT(MAX(($D$4:$D$810=$D769)*($B$4:$B$810&lt;$B769)*$B$4:$B$810))=0,0,MAX(($B769-MAX(SUMPRODUCT(MAX(($D$4:$D$810=$D769)*($B$4:$B$810&lt;$B769)*$B$4:$B$810)),'Guide &amp; Settings'!$C$50))/7-'Guide &amp; Settings'!$C$48,0)*'Guide &amp; Settings'!$C$49))</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IF($D770="","",IF(SUMPRODUCT(MAX(($D$4:$D$810=$D770)*($B$4:$B$810&lt;$B770)*$B$4:$B$810))=0,0,MAX(($B770-MAX(SUMPRODUCT(MAX(($D$4:$D$810=$D770)*($B$4:$B$810&lt;$B770)*$B$4:$B$810)),'Guide &amp; Settings'!$C$50))/7-'Guide &amp; Settings'!$C$48,0)*'Guide &amp; Settings'!$C$49))</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IF($D771="","",IF(SUMPRODUCT(MAX(($D$4:$D$810=$D771)*($B$4:$B$810&lt;$B771)*$B$4:$B$810))=0,0,MAX(($B771-MAX(SUMPRODUCT(MAX(($D$4:$D$810=$D771)*($B$4:$B$810&lt;$B771)*$B$4:$B$810)),'Guide &amp; Settings'!$C$50))/7-'Guide &amp; Settings'!$C$48,0)*'Guide &amp; Settings'!$C$49))</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IF($D772="","",IF(SUMPRODUCT(MAX(($D$4:$D$810=$D772)*($B$4:$B$810&lt;$B772)*$B$4:$B$810))=0,0,MAX(($B772-MAX(SUMPRODUCT(MAX(($D$4:$D$810=$D772)*($B$4:$B$810&lt;$B772)*$B$4:$B$810)),'Guide &amp; Settings'!$C$50))/7-'Guide &amp; Settings'!$C$48,0)*'Guide &amp; Settings'!$C$49))</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IF($D773="","",IF(SUMPRODUCT(MAX(($D$4:$D$810=$D773)*($B$4:$B$810&lt;$B773)*$B$4:$B$810))=0,0,MAX(($B773-MAX(SUMPRODUCT(MAX(($D$4:$D$810=$D773)*($B$4:$B$810&lt;$B773)*$B$4:$B$810)),'Guide &amp; Settings'!$C$50))/7-'Guide &amp; Settings'!$C$48,0)*'Guide &amp; Settings'!$C$49))</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IF($D774="","",IF(SUMPRODUCT(MAX(($D$4:$D$810=$D774)*($B$4:$B$810&lt;$B774)*$B$4:$B$810))=0,0,MAX(($B774-MAX(SUMPRODUCT(MAX(($D$4:$D$810=$D774)*($B$4:$B$810&lt;$B774)*$B$4:$B$810)),'Guide &amp; Settings'!$C$50))/7-'Guide &amp; Settings'!$C$48,0)*'Guide &amp; Settings'!$C$49))</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IF($D775="","",IF(SUMPRODUCT(MAX(($D$4:$D$810=$D775)*($B$4:$B$810&lt;$B775)*$B$4:$B$810))=0,0,MAX(($B775-MAX(SUMPRODUCT(MAX(($D$4:$D$810=$D775)*($B$4:$B$810&lt;$B775)*$B$4:$B$810)),'Guide &amp; Settings'!$C$50))/7-'Guide &amp; Settings'!$C$48,0)*'Guide &amp; Settings'!$C$49))</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IF($D776="","",IF(SUMPRODUCT(MAX(($D$4:$D$810=$D776)*($B$4:$B$810&lt;$B776)*$B$4:$B$810))=0,0,MAX(($B776-MAX(SUMPRODUCT(MAX(($D$4:$D$810=$D776)*($B$4:$B$810&lt;$B776)*$B$4:$B$810)),'Guide &amp; Settings'!$C$50))/7-'Guide &amp; Settings'!$C$48,0)*'Guide &amp; Settings'!$C$49))</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IF($D777="","",IF(SUMPRODUCT(MAX(($D$4:$D$810=$D777)*($B$4:$B$810&lt;$B777)*$B$4:$B$810))=0,0,MAX(($B777-MAX(SUMPRODUCT(MAX(($D$4:$D$810=$D777)*($B$4:$B$810&lt;$B777)*$B$4:$B$810)),'Guide &amp; Settings'!$C$50))/7-'Guide &amp; Settings'!$C$48,0)*'Guide &amp; Settings'!$C$49))</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IF($D778="","",IF(SUMPRODUCT(MAX(($D$4:$D$810=$D778)*($B$4:$B$810&lt;$B778)*$B$4:$B$810))=0,0,MAX(($B778-MAX(SUMPRODUCT(MAX(($D$4:$D$810=$D778)*($B$4:$B$810&lt;$B778)*$B$4:$B$810)),'Guide &amp; Settings'!$C$50))/7-'Guide &amp; Settings'!$C$48,0)*'Guide &amp; Settings'!$C$49))</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IF($D779="","",IF(SUMPRODUCT(MAX(($D$4:$D$810=$D779)*($B$4:$B$810&lt;$B779)*$B$4:$B$810))=0,0,MAX(($B779-MAX(SUMPRODUCT(MAX(($D$4:$D$810=$D779)*($B$4:$B$810&lt;$B779)*$B$4:$B$810)),'Guide &amp; Settings'!$C$50))/7-'Guide &amp; Settings'!$C$48,0)*'Guide &amp; Settings'!$C$49))</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IF($D780="","",IF(SUMPRODUCT(MAX(($D$4:$D$810=$D780)*($B$4:$B$810&lt;$B780)*$B$4:$B$810))=0,0,MAX(($B780-MAX(SUMPRODUCT(MAX(($D$4:$D$810=$D780)*($B$4:$B$810&lt;$B780)*$B$4:$B$810)),'Guide &amp; Settings'!$C$50))/7-'Guide &amp; Settings'!$C$48,0)*'Guide &amp; Settings'!$C$49))</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IF($D781="","",IF(SUMPRODUCT(MAX(($D$4:$D$810=$D781)*($B$4:$B$810&lt;$B781)*$B$4:$B$810))=0,0,MAX(($B781-MAX(SUMPRODUCT(MAX(($D$4:$D$810=$D781)*($B$4:$B$810&lt;$B781)*$B$4:$B$810)),'Guide &amp; Settings'!$C$50))/7-'Guide &amp; Settings'!$C$48,0)*'Guide &amp; Settings'!$C$49))</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IF($D782="","",IF(SUMPRODUCT(MAX(($D$4:$D$810=$D782)*($B$4:$B$810&lt;$B782)*$B$4:$B$810))=0,0,MAX(($B782-MAX(SUMPRODUCT(MAX(($D$4:$D$810=$D782)*($B$4:$B$810&lt;$B782)*$B$4:$B$810)),'Guide &amp; Settings'!$C$50))/7-'Guide &amp; Settings'!$C$48,0)*'Guide &amp; Settings'!$C$49))</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IF($D783="","",IF(SUMPRODUCT(MAX(($D$4:$D$810=$D783)*($B$4:$B$810&lt;$B783)*$B$4:$B$810))=0,0,MAX(($B783-MAX(SUMPRODUCT(MAX(($D$4:$D$810=$D783)*($B$4:$B$810&lt;$B783)*$B$4:$B$810)),'Guide &amp; Settings'!$C$50))/7-'Guide &amp; Settings'!$C$48,0)*'Guide &amp; Settings'!$C$49))</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IF($D784="","",IF(SUMPRODUCT(MAX(($D$4:$D$810=$D784)*($B$4:$B$810&lt;$B784)*$B$4:$B$810))=0,0,MAX(($B784-MAX(SUMPRODUCT(MAX(($D$4:$D$810=$D784)*($B$4:$B$810&lt;$B784)*$B$4:$B$810)),'Guide &amp; Settings'!$C$50))/7-'Guide &amp; Settings'!$C$48,0)*'Guide &amp; Settings'!$C$49))</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IF($D785="","",IF(SUMPRODUCT(MAX(($D$4:$D$810=$D785)*($B$4:$B$810&lt;$B785)*$B$4:$B$810))=0,0,MAX(($B785-MAX(SUMPRODUCT(MAX(($D$4:$D$810=$D785)*($B$4:$B$810&lt;$B785)*$B$4:$B$810)),'Guide &amp; Settings'!$C$50))/7-'Guide &amp; Settings'!$C$48,0)*'Guide &amp; Settings'!$C$49))</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IF($D786="","",IF(SUMPRODUCT(MAX(($D$4:$D$810=$D786)*($B$4:$B$810&lt;$B786)*$B$4:$B$810))=0,0,MAX(($B786-MAX(SUMPRODUCT(MAX(($D$4:$D$810=$D786)*($B$4:$B$810&lt;$B786)*$B$4:$B$810)),'Guide &amp; Settings'!$C$50))/7-'Guide &amp; Settings'!$C$48,0)*'Guide &amp; Settings'!$C$49))</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IF($D787="","",IF(SUMPRODUCT(MAX(($D$4:$D$810=$D787)*($B$4:$B$810&lt;$B787)*$B$4:$B$810))=0,0,MAX(($B787-MAX(SUMPRODUCT(MAX(($D$4:$D$810=$D787)*($B$4:$B$810&lt;$B787)*$B$4:$B$810)),'Guide &amp; Settings'!$C$50))/7-'Guide &amp; Settings'!$C$48,0)*'Guide &amp; Settings'!$C$49))</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IF($D788="","",IF(SUMPRODUCT(MAX(($D$4:$D$810=$D788)*($B$4:$B$810&lt;$B788)*$B$4:$B$810))=0,0,MAX(($B788-MAX(SUMPRODUCT(MAX(($D$4:$D$810=$D788)*($B$4:$B$810&lt;$B788)*$B$4:$B$810)),'Guide &amp; Settings'!$C$50))/7-'Guide &amp; Settings'!$C$48,0)*'Guide &amp; Settings'!$C$49))</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IF($D789="","",IF(SUMPRODUCT(MAX(($D$4:$D$810=$D789)*($B$4:$B$810&lt;$B789)*$B$4:$B$810))=0,0,MAX(($B789-MAX(SUMPRODUCT(MAX(($D$4:$D$810=$D789)*($B$4:$B$810&lt;$B789)*$B$4:$B$810)),'Guide &amp; Settings'!$C$50))/7-'Guide &amp; Settings'!$C$48,0)*'Guide &amp; Settings'!$C$49))</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IF($D790="","",IF(SUMPRODUCT(MAX(($D$4:$D$810=$D790)*($B$4:$B$810&lt;$B790)*$B$4:$B$810))=0,0,MAX(($B790-MAX(SUMPRODUCT(MAX(($D$4:$D$810=$D790)*($B$4:$B$810&lt;$B790)*$B$4:$B$810)),'Guide &amp; Settings'!$C$50))/7-'Guide &amp; Settings'!$C$48,0)*'Guide &amp; Settings'!$C$49))</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IF($D791="","",IF(SUMPRODUCT(MAX(($D$4:$D$810=$D791)*($B$4:$B$810&lt;$B791)*$B$4:$B$810))=0,0,MAX(($B791-MAX(SUMPRODUCT(MAX(($D$4:$D$810=$D791)*($B$4:$B$810&lt;$B791)*$B$4:$B$810)),'Guide &amp; Settings'!$C$50))/7-'Guide &amp; Settings'!$C$48,0)*'Guide &amp; Settings'!$C$49))</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IF($D792="","",IF(SUMPRODUCT(MAX(($D$4:$D$810=$D792)*($B$4:$B$810&lt;$B792)*$B$4:$B$810))=0,0,MAX(($B792-MAX(SUMPRODUCT(MAX(($D$4:$D$810=$D792)*($B$4:$B$810&lt;$B792)*$B$4:$B$810)),'Guide &amp; Settings'!$C$50))/7-'Guide &amp; Settings'!$C$48,0)*'Guide &amp; Settings'!$C$49))</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IF($D793="","",IF(SUMPRODUCT(MAX(($D$4:$D$810=$D793)*($B$4:$B$810&lt;$B793)*$B$4:$B$810))=0,0,MAX(($B793-MAX(SUMPRODUCT(MAX(($D$4:$D$810=$D793)*($B$4:$B$810&lt;$B793)*$B$4:$B$810)),'Guide &amp; Settings'!$C$50))/7-'Guide &amp; Settings'!$C$48,0)*'Guide &amp; Settings'!$C$49))</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IF($D794="","",IF(SUMPRODUCT(MAX(($D$4:$D$810=$D794)*($B$4:$B$810&lt;$B794)*$B$4:$B$810))=0,0,MAX(($B794-MAX(SUMPRODUCT(MAX(($D$4:$D$810=$D794)*($B$4:$B$810&lt;$B794)*$B$4:$B$810)),'Guide &amp; Settings'!$C$50))/7-'Guide &amp; Settings'!$C$48,0)*'Guide &amp; Settings'!$C$49))</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IF($D795="","",IF(SUMPRODUCT(MAX(($D$4:$D$810=$D795)*($B$4:$B$810&lt;$B795)*$B$4:$B$810))=0,0,MAX(($B795-MAX(SUMPRODUCT(MAX(($D$4:$D$810=$D795)*($B$4:$B$810&lt;$B795)*$B$4:$B$810)),'Guide &amp; Settings'!$C$50))/7-'Guide &amp; Settings'!$C$48,0)*'Guide &amp; Settings'!$C$49))</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IF($D796="","",IF(SUMPRODUCT(MAX(($D$4:$D$810=$D796)*($B$4:$B$810&lt;$B796)*$B$4:$B$810))=0,0,MAX(($B796-MAX(SUMPRODUCT(MAX(($D$4:$D$810=$D796)*($B$4:$B$810&lt;$B796)*$B$4:$B$810)),'Guide &amp; Settings'!$C$50))/7-'Guide &amp; Settings'!$C$48,0)*'Guide &amp; Settings'!$C$49))</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IF($D797="","",IF(SUMPRODUCT(MAX(($D$4:$D$810=$D797)*($B$4:$B$810&lt;$B797)*$B$4:$B$810))=0,0,MAX(($B797-MAX(SUMPRODUCT(MAX(($D$4:$D$810=$D797)*($B$4:$B$810&lt;$B797)*$B$4:$B$810)),'Guide &amp; Settings'!$C$50))/7-'Guide &amp; Settings'!$C$48,0)*'Guide &amp; Settings'!$C$49))</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IF($D798="","",IF(SUMPRODUCT(MAX(($D$4:$D$810=$D798)*($B$4:$B$810&lt;$B798)*$B$4:$B$810))=0,0,MAX(($B798-MAX(SUMPRODUCT(MAX(($D$4:$D$810=$D798)*($B$4:$B$810&lt;$B798)*$B$4:$B$810)),'Guide &amp; Settings'!$C$50))/7-'Guide &amp; Settings'!$C$48,0)*'Guide &amp; Settings'!$C$49))</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IF($D799="","",IF(SUMPRODUCT(MAX(($D$4:$D$810=$D799)*($B$4:$B$810&lt;$B799)*$B$4:$B$810))=0,0,MAX(($B799-MAX(SUMPRODUCT(MAX(($D$4:$D$810=$D799)*($B$4:$B$810&lt;$B799)*$B$4:$B$810)),'Guide &amp; Settings'!$C$50))/7-'Guide &amp; Settings'!$C$48,0)*'Guide &amp; Settings'!$C$49))</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IF($D800="","",IF(SUMPRODUCT(MAX(($D$4:$D$810=$D800)*($B$4:$B$810&lt;$B800)*$B$4:$B$810))=0,0,MAX(($B800-MAX(SUMPRODUCT(MAX(($D$4:$D$810=$D800)*($B$4:$B$810&lt;$B800)*$B$4:$B$810)),'Guide &amp; Settings'!$C$50))/7-'Guide &amp; Settings'!$C$48,0)*'Guide &amp; Settings'!$C$49))</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IF($D801="","",IF(SUMPRODUCT(MAX(($D$4:$D$810=$D801)*($B$4:$B$810&lt;$B801)*$B$4:$B$810))=0,0,MAX(($B801-MAX(SUMPRODUCT(MAX(($D$4:$D$810=$D801)*($B$4:$B$810&lt;$B801)*$B$4:$B$810)),'Guide &amp; Settings'!$C$50))/7-'Guide &amp; Settings'!$C$48,0)*'Guide &amp; Settings'!$C$49))</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IF($D802="","",IF(SUMPRODUCT(MAX(($D$4:$D$810=$D802)*($B$4:$B$810&lt;$B802)*$B$4:$B$810))=0,0,MAX(($B802-MAX(SUMPRODUCT(MAX(($D$4:$D$810=$D802)*($B$4:$B$810&lt;$B802)*$B$4:$B$810)),'Guide &amp; Settings'!$C$50))/7-'Guide &amp; Settings'!$C$48,0)*'Guide &amp; Settings'!$C$49))</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IF($D803="","",IF(SUMPRODUCT(MAX(($D$4:$D$810=$D803)*($B$4:$B$810&lt;$B803)*$B$4:$B$810))=0,0,MAX(($B803-MAX(SUMPRODUCT(MAX(($D$4:$D$810=$D803)*($B$4:$B$810&lt;$B803)*$B$4:$B$810)),'Guide &amp; Settings'!$C$50))/7-'Guide &amp; Settings'!$C$48,0)*'Guide &amp; Settings'!$C$49))</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IF($D804="","",IF(SUMPRODUCT(MAX(($D$4:$D$810=$D804)*($B$4:$B$810&lt;$B804)*$B$4:$B$810))=0,0,MAX(($B804-MAX(SUMPRODUCT(MAX(($D$4:$D$810=$D804)*($B$4:$B$810&lt;$B804)*$B$4:$B$810)),'Guide &amp; Settings'!$C$50))/7-'Guide &amp; Settings'!$C$48,0)*'Guide &amp; Settings'!$C$49))</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IF($D805="","",IF(SUMPRODUCT(MAX(($D$4:$D$810=$D805)*($B$4:$B$810&lt;$B805)*$B$4:$B$810))=0,0,MAX(($B805-MAX(SUMPRODUCT(MAX(($D$4:$D$810=$D805)*($B$4:$B$810&lt;$B805)*$B$4:$B$810)),'Guide &amp; Settings'!$C$50))/7-'Guide &amp; Settings'!$C$48,0)*'Guide &amp; Settings'!$C$49))</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IF($D806="","",IF(SUMPRODUCT(MAX(($D$4:$D$810=$D806)*($B$4:$B$810&lt;$B806)*$B$4:$B$810))=0,0,MAX(($B806-MAX(SUMPRODUCT(MAX(($D$4:$D$810=$D806)*($B$4:$B$810&lt;$B806)*$B$4:$B$810)),'Guide &amp; Settings'!$C$50))/7-'Guide &amp; Settings'!$C$48,0)*'Guide &amp; Settings'!$C$49))</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IF($D807="","",IF(SUMPRODUCT(MAX(($D$4:$D$810=$D807)*($B$4:$B$810&lt;$B807)*$B$4:$B$810))=0,0,MAX(($B807-MAX(SUMPRODUCT(MAX(($D$4:$D$810=$D807)*($B$4:$B$810&lt;$B807)*$B$4:$B$810)),'Guide &amp; Settings'!$C$50))/7-'Guide &amp; Settings'!$C$48,0)*'Guide &amp; Settings'!$C$49))</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IF($D808="","",IF(SUMPRODUCT(MAX(($D$4:$D$810=$D808)*($B$4:$B$810&lt;$B808)*$B$4:$B$810))=0,0,MAX(($B808-MAX(SUMPRODUCT(MAX(($D$4:$D$810=$D808)*($B$4:$B$810&lt;$B808)*$B$4:$B$810)),'Guide &amp; Settings'!$C$50))/7-'Guide &amp; Settings'!$C$48,0)*'Guide &amp; Settings'!$C$49))</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IF($D809="","",IF(SUMPRODUCT(MAX(($D$4:$D$810=$D809)*($B$4:$B$810&lt;$B809)*$B$4:$B$810))=0,0,MAX(($B809-MAX(SUMPRODUCT(MAX(($D$4:$D$810=$D809)*($B$4:$B$810&lt;$B809)*$B$4:$B$810)),'Guide &amp; Settings'!$C$50))/7-'Guide &amp; Settings'!$C$48,0)*'Guide &amp; Settings'!$C$49))</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IF($D810="","",IF(SUMPRODUCT(MAX(($D$4:$D$810=$D810)*($B$4:$B$810&lt;$B810)*$B$4:$B$810))=0,0,MAX(($B810-MAX(SUMPRODUCT(MAX(($D$4:$D$810=$D810)*($B$4:$B$810&lt;$B810)*$B$4:$B$810)),'Guide &amp; Settings'!$C$50))/7-'Guide &amp; Settings'!$C$48,0)*'Guide &amp; Settings'!$C$49))</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Lists!$C$2:$C$21</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0"/>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58" t="s">
        <v>311</v>
      </c>
      <c r="B2" s="158"/>
      <c r="C2" s="158"/>
      <c r="D2" s="158"/>
      <c r="E2" s="158"/>
      <c r="F2" s="158"/>
      <c r="G2" s="158"/>
      <c r="H2" s="158"/>
      <c r="I2" s="158"/>
      <c r="J2" s="158"/>
      <c r="K2" s="158"/>
      <c r="L2" s="158"/>
      <c r="M2" s="158"/>
      <c r="N2" s="158"/>
      <c r="O2" s="158"/>
      <c r="P2" s="158"/>
      <c r="Q2" s="158"/>
      <c r="R2" s="158"/>
    </row>
    <row r="3" spans="1:18" ht="15" customHeight="1" x14ac:dyDescent="0.2">
      <c r="A3" s="73" t="s">
        <v>312</v>
      </c>
      <c r="B3" s="121">
        <f>COUNTA($B$6:$O$6)</f>
        <v>14</v>
      </c>
      <c r="C3" s="73" t="s">
        <v>313</v>
      </c>
      <c r="D3" s="121">
        <f>INT($B$3/2)+1</f>
        <v>8</v>
      </c>
      <c r="E3" s="73" t="s">
        <v>314</v>
      </c>
      <c r="F3" s="121">
        <f>ROUNDUP($B$3/2,0)</f>
        <v>7</v>
      </c>
      <c r="H3" s="158" t="s">
        <v>315</v>
      </c>
      <c r="I3" s="158"/>
      <c r="J3" s="158"/>
      <c r="K3" s="158"/>
      <c r="L3" s="158"/>
      <c r="M3" s="158"/>
      <c r="N3" s="158"/>
      <c r="O3" s="158"/>
      <c r="P3" s="158"/>
      <c r="Q3" s="158"/>
      <c r="R3" s="158"/>
    </row>
    <row r="5" spans="1:18" ht="15" customHeight="1" x14ac:dyDescent="0.2">
      <c r="A5" s="157" t="s">
        <v>316</v>
      </c>
      <c r="B5" s="157"/>
      <c r="C5" s="157"/>
      <c r="D5" s="157"/>
      <c r="E5" s="157"/>
      <c r="F5" s="157"/>
      <c r="G5" s="157"/>
      <c r="H5" s="157"/>
      <c r="I5" s="157"/>
      <c r="J5" s="157"/>
      <c r="K5" s="157"/>
      <c r="L5" s="157"/>
      <c r="M5" s="157"/>
      <c r="N5" s="157"/>
      <c r="O5" s="157"/>
      <c r="P5" s="157"/>
      <c r="Q5" s="157"/>
      <c r="R5" s="157"/>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7" t="s">
        <v>325</v>
      </c>
      <c r="B29" s="157"/>
      <c r="C29" s="157"/>
      <c r="D29" s="157"/>
      <c r="E29" s="157"/>
      <c r="F29" s="157"/>
      <c r="G29" s="157"/>
      <c r="H29" s="157"/>
      <c r="I29" s="157"/>
      <c r="J29" s="157"/>
      <c r="K29" s="157"/>
      <c r="L29" s="157"/>
      <c r="M29" s="157"/>
      <c r="N29" s="157"/>
      <c r="O29" s="157"/>
      <c r="P29" s="157"/>
      <c r="Q29" s="157"/>
      <c r="R29" s="157"/>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I30" sqref="I30"/>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424</v>
      </c>
      <c r="B1" s="164"/>
      <c r="C1" s="164"/>
    </row>
    <row r="2" spans="1:20" ht="41" customHeight="1" x14ac:dyDescent="0.2">
      <c r="A2" s="167" t="s">
        <v>425</v>
      </c>
      <c r="B2" s="167"/>
      <c r="C2" s="167"/>
      <c r="D2" s="167"/>
      <c r="E2" s="167"/>
      <c r="F2" s="167"/>
      <c r="G2" s="167"/>
      <c r="H2" s="167"/>
      <c r="I2" s="167"/>
      <c r="J2" s="167"/>
      <c r="K2" s="167"/>
      <c r="L2" s="140"/>
      <c r="M2" s="140"/>
      <c r="N2" s="140"/>
      <c r="O2" s="140"/>
      <c r="P2" s="140"/>
      <c r="Q2" s="140"/>
      <c r="R2" s="140"/>
      <c r="S2" s="140"/>
      <c r="T2" s="140"/>
    </row>
    <row r="3" spans="1:20" x14ac:dyDescent="0.2">
      <c r="A3" s="133" t="s">
        <v>426</v>
      </c>
      <c r="D3" s="165" t="s">
        <v>427</v>
      </c>
      <c r="E3" s="166"/>
      <c r="F3" s="166"/>
      <c r="G3" s="166"/>
      <c r="H3" s="166"/>
      <c r="I3" s="166"/>
      <c r="J3" s="166"/>
      <c r="K3" s="166"/>
    </row>
    <row r="4" spans="1:20" x14ac:dyDescent="0.2">
      <c r="A4" s="133" t="s">
        <v>428</v>
      </c>
      <c r="B4">
        <v>15</v>
      </c>
      <c r="D4" s="134" t="s">
        <v>429</v>
      </c>
      <c r="E4" s="134">
        <v>4</v>
      </c>
      <c r="F4" s="134">
        <v>5</v>
      </c>
      <c r="G4" s="134">
        <v>6</v>
      </c>
      <c r="H4" s="134">
        <v>7</v>
      </c>
      <c r="I4" s="134">
        <v>8</v>
      </c>
      <c r="J4" s="134">
        <v>9</v>
      </c>
      <c r="K4" s="134">
        <v>10</v>
      </c>
    </row>
    <row r="5" spans="1:20" x14ac:dyDescent="0.2">
      <c r="A5" s="133" t="s">
        <v>430</v>
      </c>
      <c r="B5">
        <v>1</v>
      </c>
      <c r="D5" s="134">
        <v>1</v>
      </c>
      <c r="E5">
        <v>38</v>
      </c>
      <c r="F5">
        <v>35</v>
      </c>
      <c r="G5">
        <v>32</v>
      </c>
      <c r="H5">
        <v>30</v>
      </c>
      <c r="I5">
        <v>29</v>
      </c>
      <c r="J5">
        <v>28</v>
      </c>
      <c r="K5">
        <v>26</v>
      </c>
    </row>
    <row r="6" spans="1:20" x14ac:dyDescent="0.2">
      <c r="A6" s="133" t="s">
        <v>431</v>
      </c>
      <c r="B6">
        <v>4</v>
      </c>
      <c r="D6" s="134">
        <v>2</v>
      </c>
      <c r="E6">
        <v>27</v>
      </c>
      <c r="F6">
        <v>25</v>
      </c>
      <c r="G6">
        <v>23</v>
      </c>
      <c r="H6">
        <v>22</v>
      </c>
      <c r="I6">
        <v>21</v>
      </c>
      <c r="J6">
        <v>20</v>
      </c>
      <c r="K6">
        <v>19</v>
      </c>
    </row>
    <row r="7" spans="1:20" x14ac:dyDescent="0.2">
      <c r="A7" s="133" t="s">
        <v>432</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433</v>
      </c>
      <c r="N16" s="133" t="s">
        <v>434</v>
      </c>
    </row>
    <row r="17" spans="1:15" x14ac:dyDescent="0.2">
      <c r="A17" s="132" t="s">
        <v>435</v>
      </c>
      <c r="B17" s="132" t="s">
        <v>245</v>
      </c>
      <c r="C17" s="132" t="s">
        <v>156</v>
      </c>
      <c r="D17" s="141" t="s">
        <v>436</v>
      </c>
      <c r="E17" s="132" t="s">
        <v>437</v>
      </c>
      <c r="F17" s="132" t="s">
        <v>438</v>
      </c>
      <c r="G17" s="132" t="s">
        <v>439</v>
      </c>
      <c r="H17" s="132" t="s">
        <v>440</v>
      </c>
      <c r="I17" s="132" t="s">
        <v>441</v>
      </c>
      <c r="J17" s="132" t="s">
        <v>442</v>
      </c>
      <c r="K17" s="132" t="s">
        <v>443</v>
      </c>
      <c r="L17" s="132" t="s">
        <v>293</v>
      </c>
      <c r="N17" s="132" t="s">
        <v>229</v>
      </c>
      <c r="O17" s="132" t="s">
        <v>444</v>
      </c>
    </row>
    <row r="18" spans="1:15" x14ac:dyDescent="0.2">
      <c r="B18" s="131"/>
      <c r="F18" t="str">
        <f t="shared" ref="F18:F49" si="0">IF($A18="","",COUNTIF($A$18:$A$137,$A18))</f>
        <v/>
      </c>
      <c r="G18" t="str">
        <f t="shared" ref="G18:G49" si="1">IF($A18="","",$B$4*(1+IF(UPPER($E18)="Y",1,0)))</f>
        <v/>
      </c>
      <c r="H18" t="str">
        <f t="shared" ref="H18:H49" si="2">IF($A18="","",SUMIF($A$18:$A$137,$A18,$G$18:$G$137))</f>
        <v/>
      </c>
      <c r="I18" t="str">
        <f t="shared" ref="I18:I49" si="3">IF($A18="","",IF($F18&lt;$B$6,0,IFERROR(INDEX($E$5:$K$14,$D18,$F18-3),0)))</f>
        <v/>
      </c>
      <c r="J18" s="120" t="str">
        <f t="shared" ref="J18:J49" si="4">IF($A18="","",$H18*$I18/100)</f>
        <v/>
      </c>
      <c r="K18" s="120" t="str">
        <f t="shared" ref="K18:K49" si="5">IF($A18="","",IF($F18&lt;$B$6,0,$J18-$G18))</f>
        <v/>
      </c>
      <c r="L18" t="str">
        <f t="shared" ref="L18:L49" si="6">IF($A18="","",IF($F18&lt;$B$6,"NEED 4+ PLAYERS",IF($F18&gt;$B$7,"MAX 10 PLAYERS",IF($D18="","ADD FINISH",IF(COUNTIFS($A$18:$A$137,$A18,$D$18:$D$137,$D18)&gt;1,"DUPLICATE FINISH",IF(OR($D18&lt;1,$D18&gt;$F18),"BAD FINISH",IF(ABS(SUMIF($A$18:$A$137,$A18,$K$18:$K$137))&gt;0.6,"POT LEAK","OK")))))))</f>
        <v/>
      </c>
      <c r="N18" t="str">
        <f>Lists!$A2</f>
        <v>Aaron</v>
      </c>
      <c r="O18" s="120">
        <f t="shared" ref="O18:O31" si="7">ROUND(SUMIF($C$18:$C$137,$N18,$K$18:$K$137),1)</f>
        <v>0</v>
      </c>
    </row>
    <row r="19" spans="1:15" x14ac:dyDescent="0.2">
      <c r="B19" s="131"/>
      <c r="F19" t="str">
        <f t="shared" si="0"/>
        <v/>
      </c>
      <c r="G19" t="str">
        <f t="shared" si="1"/>
        <v/>
      </c>
      <c r="H19" t="str">
        <f t="shared" si="2"/>
        <v/>
      </c>
      <c r="I19" t="str">
        <f t="shared" si="3"/>
        <v/>
      </c>
      <c r="J19" s="120" t="str">
        <f t="shared" si="4"/>
        <v/>
      </c>
      <c r="K19" s="120" t="str">
        <f t="shared" si="5"/>
        <v/>
      </c>
      <c r="L19" t="str">
        <f t="shared" si="6"/>
        <v/>
      </c>
      <c r="N19" t="str">
        <f>Lists!$A3</f>
        <v>Beau</v>
      </c>
      <c r="O19" s="120">
        <f t="shared" si="7"/>
        <v>0</v>
      </c>
    </row>
    <row r="20" spans="1:15" x14ac:dyDescent="0.2">
      <c r="B20" s="131"/>
      <c r="F20" t="str">
        <f t="shared" si="0"/>
        <v/>
      </c>
      <c r="G20" t="str">
        <f t="shared" si="1"/>
        <v/>
      </c>
      <c r="H20" t="str">
        <f t="shared" si="2"/>
        <v/>
      </c>
      <c r="I20" t="str">
        <f t="shared" si="3"/>
        <v/>
      </c>
      <c r="J20" s="120" t="str">
        <f t="shared" si="4"/>
        <v/>
      </c>
      <c r="K20" s="120" t="str">
        <f t="shared" si="5"/>
        <v/>
      </c>
      <c r="L20" t="str">
        <f t="shared" si="6"/>
        <v/>
      </c>
      <c r="N20" t="str">
        <f>Lists!$A4</f>
        <v>Chase</v>
      </c>
      <c r="O20" s="120">
        <f t="shared" si="7"/>
        <v>0</v>
      </c>
    </row>
    <row r="21" spans="1:15" x14ac:dyDescent="0.2">
      <c r="B21" s="131"/>
      <c r="F21" t="str">
        <f t="shared" si="0"/>
        <v/>
      </c>
      <c r="G21" t="str">
        <f t="shared" si="1"/>
        <v/>
      </c>
      <c r="H21" t="str">
        <f t="shared" si="2"/>
        <v/>
      </c>
      <c r="I21" t="str">
        <f t="shared" si="3"/>
        <v/>
      </c>
      <c r="J21" s="120" t="str">
        <f t="shared" si="4"/>
        <v/>
      </c>
      <c r="K21" s="120" t="str">
        <f t="shared" si="5"/>
        <v/>
      </c>
      <c r="L21" t="str">
        <f t="shared" si="6"/>
        <v/>
      </c>
      <c r="N21" t="str">
        <f>Lists!$A5</f>
        <v>David</v>
      </c>
      <c r="O21" s="120">
        <f t="shared" si="7"/>
        <v>0</v>
      </c>
    </row>
    <row r="22" spans="1:15" x14ac:dyDescent="0.2">
      <c r="B22" s="131"/>
      <c r="F22" t="str">
        <f t="shared" si="0"/>
        <v/>
      </c>
      <c r="G22" t="str">
        <f t="shared" si="1"/>
        <v/>
      </c>
      <c r="H22" t="str">
        <f t="shared" si="2"/>
        <v/>
      </c>
      <c r="I22" t="str">
        <f t="shared" si="3"/>
        <v/>
      </c>
      <c r="J22" s="120" t="str">
        <f t="shared" si="4"/>
        <v/>
      </c>
      <c r="K22" s="120" t="str">
        <f t="shared" si="5"/>
        <v/>
      </c>
      <c r="L22" t="str">
        <f t="shared" si="6"/>
        <v/>
      </c>
      <c r="N22" t="str">
        <f>Lists!$A6</f>
        <v>Josh</v>
      </c>
      <c r="O22" s="120">
        <f t="shared" si="7"/>
        <v>0</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0</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0</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0</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46206</v>
      </c>
    </row>
    <row r="4" spans="1:35" ht="15" customHeight="1" x14ac:dyDescent="0.2">
      <c r="A4" t="s">
        <v>330</v>
      </c>
      <c r="B4" s="127">
        <f>MAX('Match Log'!$B$4:$B$810)</f>
        <v>46213</v>
      </c>
    </row>
    <row r="5" spans="1:35" x14ac:dyDescent="0.2">
      <c r="B5">
        <f ca="1">TODAY()-7</f>
        <v>46206</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1107.5369206684595</v>
      </c>
      <c r="C7">
        <f>IFERROR(INDEX(Engine!$C$2:$C$15,MATCH($A7,Engine!$A$2:$A$15,0)),"")</f>
        <v>1034.5118064997557</v>
      </c>
      <c r="D7">
        <f t="shared" ref="D7:D20" si="0">RANK($B7,$B$7:$B$20)</f>
        <v>3</v>
      </c>
      <c r="E7">
        <f t="shared" ref="E7:E20" si="1">MAX($B$7:$B$20)-$B7</f>
        <v>60.674422932284642</v>
      </c>
      <c r="F7" t="str">
        <f>IFERROR(LOOKUP(2,1/('Match Log'!$D$4:$D$810=$A7),'Match Log'!$E$4:$E$810),"")</f>
        <v>Win</v>
      </c>
      <c r="G7">
        <f>IF($F7="",0,SUMPRODUCT(('Match Log'!$D$4:$D$810=$A7)*(ROW('Match Log'!$A$4:$A$810)&gt;SUMPRODUCT(MAX(('Match Log'!$D$4:$D$810=$A7)*('Match Log'!$E$4:$E$810&lt;&gt;$F7)*ROW('Match Log'!$A$4:$A$810))))))</f>
        <v>2</v>
      </c>
      <c r="H7" t="str">
        <f t="shared" ref="H7:H20" si="2">IF($G7=0,"",LEFT($F7,1)&amp;$G7)</f>
        <v>W2</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WWLWW</v>
      </c>
      <c r="J7">
        <f>IFERROR(LOOKUP(2,1/(('Match Log'!$D$4:$D$810=$A7)*('Match Log'!$B$4:$B$810&lt;=$B$3)),'Match Log'!$N$4:$N$810),1000)</f>
        <v>1112.3077761293196</v>
      </c>
      <c r="K7">
        <f t="shared" ref="K7:K20" si="3">RANK($J7,$J$7:$J$20)</f>
        <v>3</v>
      </c>
      <c r="L7">
        <f t="shared" ref="L7:L20" si="4">$K7-$D7</f>
        <v>0</v>
      </c>
      <c r="M7">
        <f t="shared" ref="M7:M20" si="5">SUMPRODUCT(($D$25:$D$444=$A7)*($G$25:$G$444&gt;0.25)*($D$25:$D$444&lt;&gt;""))</f>
        <v>1</v>
      </c>
      <c r="N7">
        <f t="shared" ref="N7:N20" si="6">LEN($I7)-LEN(SUBSTITUTE($I7,"W",""))</f>
        <v>4</v>
      </c>
      <c r="O7">
        <f t="shared" ref="O7:O20" si="7">IF($F7="Win",$G7,0)</f>
        <v>2</v>
      </c>
      <c r="P7">
        <f>IFERROR(SUMPRODUCT(MAX(('Match Log'!$D$4:$D$810=$A7)*'Match Log'!$B$4:$B$810)),0)</f>
        <v>46213</v>
      </c>
      <c r="Q7">
        <f t="shared" ref="Q7:Q20" si="8">IF($P7=0,"",($B$4-$P7)/7)</f>
        <v>0</v>
      </c>
      <c r="R7">
        <f>IF($P7=0,0,MAX($Q7-'Guide &amp; Settings'!$C$48,0)*'Guide &amp; Settings'!$C$49)</f>
        <v>0</v>
      </c>
      <c r="S7">
        <f>$B7-$R7-$U7+SUMIF('Poker Stake Ledger'!$C$18:$C$137,$A7,'Poker Stake Ledger'!$K$18:$K$137)</f>
        <v>1107.5369206684595</v>
      </c>
      <c r="T7" t="str">
        <f>IF($P7=0,"No games",IF($Q7&gt;='Guide &amp; Settings'!$C$48,"Inactive",IF($Q7&gt;='Guide &amp; Settings'!$C$47,"At risk","Active")))</f>
        <v>Active</v>
      </c>
      <c r="U7">
        <f>SUMIF('Match Log'!$D$4:$D$810,$A7,'Match Log'!$AC$4:$AC$810)</f>
        <v>0</v>
      </c>
      <c r="V7">
        <f t="shared" ref="V7:V20" si="9">IF($F7="Loss",$G7,0)</f>
        <v>0</v>
      </c>
      <c r="W7">
        <f t="shared" ref="W7:W20" si="10">MAX(0,MIN(100,50+($S7-1000)/4))</f>
        <v>76.884230167114879</v>
      </c>
      <c r="X7">
        <f>IFERROR(INDEX(Dashboard!$G$5:$G$18,MATCH($A7,Dashboard!$B$5:$B$18,0))*100,0)</f>
        <v>57.142857142857139</v>
      </c>
      <c r="Y7">
        <f>MIN(100,IFERROR(INDEX(Dashboard!$K$5:$K$18,MATCH($A7,Dashboard!$B$5:$B$18,0)),0)/5*50+$AC7/4*50)</f>
        <v>100</v>
      </c>
      <c r="Z7">
        <f t="shared" ref="Z7:Z20" si="11">IFERROR($N7/LEN($I7)*100,0)</f>
        <v>80</v>
      </c>
      <c r="AA7">
        <f t="shared" ref="AA7:AA20" si="12">IF($C7="",0,MAX(0,MIN(100,50+($C7-1000)/4)))</f>
        <v>58.62795162493893</v>
      </c>
      <c r="AB7">
        <f t="shared" ref="AB7:AB20" si="13">0.35*$W7+0.2*$X7+0.2*$Y7+0.15*$Z7+0.1*$AA7</f>
        <v>76.200847149555528</v>
      </c>
      <c r="AC7">
        <f>IFERROR(SUMPRODUCT((INDEX('Sport Records'!$B$8:$O$26,0,MATCH($A7,'Sport Records'!$B$7:$O$7,0))&gt;=2)*(INDEX('Sport Records'!$B$52:$O$70,0,MATCH($A7,'Sport Records'!$B$51:$O$51,0))&gt;=0.5)),0)</f>
        <v>5</v>
      </c>
      <c r="AD7">
        <f>IFERROR(INDEX(Dashboard!$D$5:$D$18,MATCH($A7,Dashboard!$B$5:$B$18,0)),0)</f>
        <v>35</v>
      </c>
      <c r="AE7">
        <f>IFERROR(INDEX(Dashboard!$K$5:$K$18,MATCH($A7,Dashboard!$B$5:$B$18,0)),0)</f>
        <v>8</v>
      </c>
      <c r="AF7" t="str">
        <f t="shared" ref="AF7:AF20" si="14">IF($AD7=0,"No games",IF(OR($AD7&lt;5,$AE7&lt;2),"Unranked",IF($AB7&gt;=72,IF(AND($AD7&gt;=8,$AE7&gt;=3),"Elite","Mid"),IF($AB7&gt;=58,IF(AND($AD7&gt;=8,$AE7&gt;=3),"Strong","Mid"),IF($AB7&gt;=44,"Mid","Developing")))))</f>
        <v>Elite</v>
      </c>
      <c r="AG7">
        <f ca="1">COUNTIFS('Match Log'!$D$4:$D$810,$A7,'Match Log'!$B$4:$B$810,"&gt;="&amp;$B$5)</f>
        <v>10</v>
      </c>
      <c r="AH7">
        <f ca="1">COUNTIFS('Match Log'!$D$4:$D$810,$A7,'Match Log'!$B$4:$B$810,"&gt;="&amp;$B$5,'Match Log'!$E$4:$E$810,"Win")</f>
        <v>5</v>
      </c>
      <c r="AI7">
        <f t="shared" ref="AI7:AI20" si="15">IF(ISNUMBER($S7),$S7,-1000000)+ROW()/10000000</f>
        <v>1107.5369213684596</v>
      </c>
    </row>
    <row r="8" spans="1:35" ht="15" customHeight="1" x14ac:dyDescent="0.2">
      <c r="A8" t="s">
        <v>135</v>
      </c>
      <c r="B8">
        <f>IFERROR(INDEX(Engine!$B$2:$B$15,MATCH($A8,Engine!$A$2:$A$15,0)),1000)</f>
        <v>1029.2201908859522</v>
      </c>
      <c r="C8">
        <f>IFERROR(INDEX(Engine!$C$2:$C$15,MATCH($A8,Engine!$A$2:$A$15,0)),"")</f>
        <v>1061.9888793259895</v>
      </c>
      <c r="D8">
        <f t="shared" si="0"/>
        <v>9</v>
      </c>
      <c r="E8">
        <f t="shared" si="1"/>
        <v>138.99115271479195</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1029.2201908859522</v>
      </c>
      <c r="K8">
        <f t="shared" si="3"/>
        <v>9</v>
      </c>
      <c r="L8">
        <f t="shared" si="4"/>
        <v>0</v>
      </c>
      <c r="M8">
        <f t="shared" si="5"/>
        <v>0</v>
      </c>
      <c r="N8">
        <f t="shared" si="6"/>
        <v>2</v>
      </c>
      <c r="O8">
        <f t="shared" si="7"/>
        <v>0</v>
      </c>
      <c r="P8">
        <f>IFERROR(SUMPRODUCT(MAX(('Match Log'!$D$4:$D$810=$A8)*'Match Log'!$B$4:$B$810)),0)</f>
        <v>46188</v>
      </c>
      <c r="Q8">
        <f t="shared" si="8"/>
        <v>3.5714285714285716</v>
      </c>
      <c r="R8">
        <f>IF($P8=0,0,MAX($Q8-'Guide &amp; Settings'!$C$48,0)*'Guide &amp; Settings'!$C$49)</f>
        <v>0</v>
      </c>
      <c r="S8">
        <f>$B8-$R8-$U8+SUMIF('Poker Stake Ledger'!$C$18:$C$137,$A8,'Poker Stake Ledger'!$K$18:$K$137)</f>
        <v>1029.2201908859522</v>
      </c>
      <c r="T8" t="str">
        <f>IF($P8=0,"No games",IF($Q8&gt;='Guide &amp; Settings'!$C$48,"Inactive",IF($Q8&gt;='Guide &amp; Settings'!$C$47,"At risk","Active")))</f>
        <v>At risk</v>
      </c>
      <c r="U8">
        <f>SUMIF('Match Log'!$D$4:$D$810,$A8,'Match Log'!$AC$4:$AC$810)</f>
        <v>0</v>
      </c>
      <c r="V8">
        <f t="shared" si="9"/>
        <v>2</v>
      </c>
      <c r="W8">
        <f t="shared" si="10"/>
        <v>57.305047721488052</v>
      </c>
      <c r="X8">
        <f>IFERROR(INDEX(Dashboard!$G$5:$G$18,MATCH($A8,Dashboard!$B$5:$B$18,0))*100,0)</f>
        <v>50</v>
      </c>
      <c r="Y8">
        <f>MIN(100,IFERROR(INDEX(Dashboard!$K$5:$K$18,MATCH($A8,Dashboard!$B$5:$B$18,0)),0)/5*50+$AC8/4*50)</f>
        <v>42.5</v>
      </c>
      <c r="Z8">
        <f t="shared" si="11"/>
        <v>40</v>
      </c>
      <c r="AA8">
        <f t="shared" si="12"/>
        <v>65.497219831497375</v>
      </c>
      <c r="AB8">
        <f t="shared" si="13"/>
        <v>51.106488685670556</v>
      </c>
      <c r="AC8">
        <f>IFERROR(SUMPRODUCT((INDEX('Sport Records'!$B$8:$O$26,0,MATCH($A8,'Sport Records'!$B$7:$O$7,0))&gt;=2)*(INDEX('Sport Records'!$B$52:$O$70,0,MATCH($A8,'Sport Records'!$B$51:$O$51,0))&gt;=0.5)),0)</f>
        <v>1</v>
      </c>
      <c r="AD8">
        <f>IFERROR(INDEX(Dashboard!$D$5:$D$18,MATCH($A8,Dashboard!$B$5:$B$18,0)),0)</f>
        <v>10</v>
      </c>
      <c r="AE8">
        <f>IFERROR(INDEX(Dashboard!$K$5:$K$18,MATCH($A8,Dashboard!$B$5:$B$18,0)),0)</f>
        <v>3</v>
      </c>
      <c r="AF8" t="str">
        <f t="shared" si="14"/>
        <v>Mid</v>
      </c>
      <c r="AG8">
        <f ca="1">COUNTIFS('Match Log'!$D$4:$D$810,$A8,'Match Log'!$B$4:$B$810,"&gt;="&amp;$B$5)</f>
        <v>0</v>
      </c>
      <c r="AH8">
        <f ca="1">COUNTIFS('Match Log'!$D$4:$D$810,$A8,'Match Log'!$B$4:$B$810,"&gt;="&amp;$B$5,'Match Log'!$E$4:$E$810,"Win")</f>
        <v>0</v>
      </c>
      <c r="AI8">
        <f t="shared" si="15"/>
        <v>1029.2201916859522</v>
      </c>
    </row>
    <row r="9" spans="1:35" ht="15" customHeight="1" x14ac:dyDescent="0.2">
      <c r="A9" t="s">
        <v>173</v>
      </c>
      <c r="B9">
        <f>IFERROR(INDEX(Engine!$B$2:$B$15,MATCH($A9,Engine!$A$2:$A$15,0)),1000)</f>
        <v>1016.7837867075796</v>
      </c>
      <c r="C9">
        <f>IFERROR(INDEX(Engine!$C$2:$C$15,MATCH($A9,Engine!$A$2:$A$15,0)),"")</f>
        <v>1057.537237185235</v>
      </c>
      <c r="D9">
        <f t="shared" si="0"/>
        <v>11</v>
      </c>
      <c r="E9">
        <f t="shared" si="1"/>
        <v>151.42755689316459</v>
      </c>
      <c r="F9" t="str">
        <f>IFERROR(LOOKUP(2,1/('Match Log'!$D$4:$D$810=$A9),'Match Log'!$E$4:$E$810),"")</f>
        <v>Win</v>
      </c>
      <c r="G9">
        <f>IF($F9="",0,SUMPRODUCT(('Match Log'!$D$4:$D$810=$A9)*(ROW('Match Log'!$A$4:$A$810)&gt;SUMPRODUCT(MAX(('Match Log'!$D$4:$D$810=$A9)*('Match Log'!$E$4:$E$810&lt;&gt;$F9)*ROW('Match Log'!$A$4:$A$810))))))</f>
        <v>1</v>
      </c>
      <c r="H9" t="str">
        <f t="shared" si="2"/>
        <v>W1</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WLLLW</v>
      </c>
      <c r="J9">
        <f>IFERROR(LOOKUP(2,1/(('Match Log'!$D$4:$D$810=$A9)*('Match Log'!$B$4:$B$810&lt;=$B$3)),'Match Log'!$N$4:$N$810),1000)</f>
        <v>1016.7837867075796</v>
      </c>
      <c r="K9">
        <f t="shared" si="3"/>
        <v>10</v>
      </c>
      <c r="L9">
        <f t="shared" si="4"/>
        <v>-1</v>
      </c>
      <c r="M9">
        <f t="shared" si="5"/>
        <v>0</v>
      </c>
      <c r="N9">
        <f t="shared" si="6"/>
        <v>2</v>
      </c>
      <c r="O9">
        <f t="shared" si="7"/>
        <v>1</v>
      </c>
      <c r="P9">
        <f>IFERROR(SUMPRODUCT(MAX(('Match Log'!$D$4:$D$810=$A9)*'Match Log'!$B$4:$B$810)),0)</f>
        <v>46188</v>
      </c>
      <c r="Q9">
        <f t="shared" si="8"/>
        <v>3.5714285714285716</v>
      </c>
      <c r="R9">
        <f>IF($P9=0,0,MAX($Q9-'Guide &amp; Settings'!$C$48,0)*'Guide &amp; Settings'!$C$49)</f>
        <v>0</v>
      </c>
      <c r="S9">
        <f>$B9-$R9-$U9+SUMIF('Poker Stake Ledger'!$C$18:$C$137,$A9,'Poker Stake Ledger'!$K$18:$K$137)</f>
        <v>1016.7837867075796</v>
      </c>
      <c r="T9" t="str">
        <f>IF($P9=0,"No games",IF($Q9&gt;='Guide &amp; Settings'!$C$48,"Inactive",IF($Q9&gt;='Guide &amp; Settings'!$C$47,"At risk","Active")))</f>
        <v>At risk</v>
      </c>
      <c r="U9">
        <f>SUMIF('Match Log'!$D$4:$D$810,$A9,'Match Log'!$AC$4:$AC$810)</f>
        <v>0</v>
      </c>
      <c r="V9">
        <f t="shared" si="9"/>
        <v>0</v>
      </c>
      <c r="W9">
        <f t="shared" si="10"/>
        <v>54.195946676894891</v>
      </c>
      <c r="X9">
        <f>IFERROR(INDEX(Dashboard!$G$5:$G$18,MATCH($A9,Dashboard!$B$5:$B$18,0))*100,0)</f>
        <v>50</v>
      </c>
      <c r="Y9">
        <f>MIN(100,IFERROR(INDEX(Dashboard!$K$5:$K$18,MATCH($A9,Dashboard!$B$5:$B$18,0)),0)/5*50+$AC9/4*50)</f>
        <v>72.5</v>
      </c>
      <c r="Z9">
        <f t="shared" si="11"/>
        <v>40</v>
      </c>
      <c r="AA9">
        <f t="shared" si="12"/>
        <v>64.384309296308743</v>
      </c>
      <c r="AB9">
        <f t="shared" si="13"/>
        <v>55.907012266544086</v>
      </c>
      <c r="AC9">
        <f>IFERROR(SUMPRODUCT((INDEX('Sport Records'!$B$8:$O$26,0,MATCH($A9,'Sport Records'!$B$7:$O$7,0))&gt;=2)*(INDEX('Sport Records'!$B$52:$O$70,0,MATCH($A9,'Sport Records'!$B$51:$O$51,0))&gt;=0.5)),0)</f>
        <v>1</v>
      </c>
      <c r="AD9">
        <f>IFERROR(INDEX(Dashboard!$D$5:$D$18,MATCH($A9,Dashboard!$B$5:$B$18,0)),0)</f>
        <v>10</v>
      </c>
      <c r="AE9">
        <f>IFERROR(INDEX(Dashboard!$K$5:$K$18,MATCH($A9,Dashboard!$B$5:$B$18,0)),0)</f>
        <v>6</v>
      </c>
      <c r="AF9" t="str">
        <f t="shared" si="14"/>
        <v>Mid</v>
      </c>
      <c r="AG9">
        <f ca="1">COUNTIFS('Match Log'!$D$4:$D$810,$A9,'Match Log'!$B$4:$B$810,"&gt;="&amp;$B$5)</f>
        <v>0</v>
      </c>
      <c r="AH9">
        <f ca="1">COUNTIFS('Match Log'!$D$4:$D$810,$A9,'Match Log'!$B$4:$B$810,"&gt;="&amp;$B$5,'Match Log'!$E$4:$E$810,"Win")</f>
        <v>0</v>
      </c>
      <c r="AI9">
        <f t="shared" si="15"/>
        <v>1016.7837876075796</v>
      </c>
    </row>
    <row r="10" spans="1:35" ht="15" customHeight="1" x14ac:dyDescent="0.2">
      <c r="A10" t="s">
        <v>140</v>
      </c>
      <c r="B10">
        <f>IFERROR(INDEX(Engine!$B$2:$B$15,MATCH($A10,Engine!$A$2:$A$15,0)),1000)</f>
        <v>981.92436608474441</v>
      </c>
      <c r="C10">
        <f>IFERROR(INDEX(Engine!$C$2:$C$15,MATCH($A10,Engine!$A$2:$A$15,0)),"")</f>
        <v>1073.7380222792842</v>
      </c>
      <c r="D10">
        <f t="shared" si="0"/>
        <v>13</v>
      </c>
      <c r="E10">
        <f t="shared" si="1"/>
        <v>186.28697751599975</v>
      </c>
      <c r="F10" t="str">
        <f>IFERROR(LOOKUP(2,1/('Match Log'!$D$4:$D$810=$A10),'Match Log'!$E$4:$E$810),"")</f>
        <v>Win</v>
      </c>
      <c r="G10">
        <f>IF($F10="",0,SUMPRODUCT(('Match Log'!$D$4:$D$810=$A10)*(ROW('Match Log'!$A$4:$A$810)&gt;SUMPRODUCT(MAX(('Match Log'!$D$4:$D$810=$A10)*('Match Log'!$E$4:$E$810&lt;&gt;$F10)*ROW('Match Log'!$A$4:$A$810))))))</f>
        <v>2</v>
      </c>
      <c r="H10" t="str">
        <f t="shared" si="2"/>
        <v>W2</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LLLWW</v>
      </c>
      <c r="J10">
        <f>IFERROR(LOOKUP(2,1/(('Match Log'!$D$4:$D$810=$A10)*('Match Log'!$B$4:$B$810&lt;=$B$3)),'Match Log'!$N$4:$N$810),1000)</f>
        <v>981.92436608474441</v>
      </c>
      <c r="K10">
        <f t="shared" si="3"/>
        <v>13</v>
      </c>
      <c r="L10">
        <f t="shared" si="4"/>
        <v>0</v>
      </c>
      <c r="M10">
        <f t="shared" si="5"/>
        <v>0</v>
      </c>
      <c r="N10">
        <f t="shared" si="6"/>
        <v>2</v>
      </c>
      <c r="O10">
        <f t="shared" si="7"/>
        <v>2</v>
      </c>
      <c r="P10">
        <f>IFERROR(SUMPRODUCT(MAX(('Match Log'!$D$4:$D$810=$A10)*'Match Log'!$B$4:$B$810)),0)</f>
        <v>46188</v>
      </c>
      <c r="Q10">
        <f t="shared" si="8"/>
        <v>3.5714285714285716</v>
      </c>
      <c r="R10">
        <f>IF($P10=0,0,MAX($Q10-'Guide &amp; Settings'!$C$48,0)*'Guide &amp; Settings'!$C$49)</f>
        <v>0</v>
      </c>
      <c r="S10">
        <f>$B10-$R10-$U10+SUMIF('Poker Stake Ledger'!$C$18:$C$137,$A10,'Poker Stake Ledger'!$K$18:$K$137)</f>
        <v>981.92436608474441</v>
      </c>
      <c r="T10" t="str">
        <f>IF($P10=0,"No games",IF($Q10&gt;='Guide &amp; Settings'!$C$48,"Inactive",IF($Q10&gt;='Guide &amp; Settings'!$C$47,"At risk","Active")))</f>
        <v>At risk</v>
      </c>
      <c r="U10">
        <f>SUMIF('Match Log'!$D$4:$D$810,$A10,'Match Log'!$AC$4:$AC$810)</f>
        <v>0</v>
      </c>
      <c r="V10">
        <f t="shared" si="9"/>
        <v>0</v>
      </c>
      <c r="W10">
        <f t="shared" si="10"/>
        <v>45.481091521186102</v>
      </c>
      <c r="X10">
        <f>IFERROR(INDEX(Dashboard!$G$5:$G$18,MATCH($A10,Dashboard!$B$5:$B$18,0))*100,0)</f>
        <v>28.571428571428569</v>
      </c>
      <c r="Y10">
        <f>MIN(100,IFERROR(INDEX(Dashboard!$K$5:$K$18,MATCH($A10,Dashboard!$B$5:$B$18,0)),0)/5*50+$AC10/4*50)</f>
        <v>30</v>
      </c>
      <c r="Z10">
        <f t="shared" si="11"/>
        <v>40</v>
      </c>
      <c r="AA10">
        <f t="shared" si="12"/>
        <v>68.434505569821056</v>
      </c>
      <c r="AB10">
        <f t="shared" si="13"/>
        <v>40.476118303682952</v>
      </c>
      <c r="AC10">
        <f>IFERROR(SUMPRODUCT((INDEX('Sport Records'!$B$8:$O$26,0,MATCH($A10,'Sport Records'!$B$7:$O$7,0))&gt;=2)*(INDEX('Sport Records'!$B$52:$O$70,0,MATCH($A10,'Sport Records'!$B$51:$O$51,0))&gt;=0.5)),0)</f>
        <v>0</v>
      </c>
      <c r="AD10">
        <f>IFERROR(INDEX(Dashboard!$D$5:$D$18,MATCH($A10,Dashboard!$B$5:$B$18,0)),0)</f>
        <v>14</v>
      </c>
      <c r="AE10">
        <f>IFERROR(INDEX(Dashboard!$K$5:$K$18,MATCH($A10,Dashboard!$B$5:$B$18,0)),0)</f>
        <v>3</v>
      </c>
      <c r="AF10" t="str">
        <f t="shared" si="14"/>
        <v>Developing</v>
      </c>
      <c r="AG10">
        <f ca="1">COUNTIFS('Match Log'!$D$4:$D$810,$A10,'Match Log'!$B$4:$B$810,"&gt;="&amp;$B$5)</f>
        <v>0</v>
      </c>
      <c r="AH10">
        <f ca="1">COUNTIFS('Match Log'!$D$4:$D$810,$A10,'Match Log'!$B$4:$B$810,"&gt;="&amp;$B$5,'Match Log'!$E$4:$E$810,"Win")</f>
        <v>0</v>
      </c>
      <c r="AI10">
        <f t="shared" si="15"/>
        <v>981.9243670847444</v>
      </c>
    </row>
    <row r="11" spans="1:35" ht="15" customHeight="1" x14ac:dyDescent="0.2">
      <c r="A11" t="s">
        <v>137</v>
      </c>
      <c r="B11">
        <f>IFERROR(INDEX(Engine!$B$2:$B$15,MATCH($A11,Engine!$A$2:$A$15,0)),1000)</f>
        <v>1129.7012289075892</v>
      </c>
      <c r="C11">
        <f>IFERROR(INDEX(Engine!$C$2:$C$15,MATCH($A11,Engine!$A$2:$A$15,0)),"")</f>
        <v>1040.8228664166516</v>
      </c>
      <c r="D11">
        <f t="shared" si="0"/>
        <v>2</v>
      </c>
      <c r="E11">
        <f t="shared" si="1"/>
        <v>38.510114693154947</v>
      </c>
      <c r="F11" t="str">
        <f>IFERROR(LOOKUP(2,1/('Match Log'!$D$4:$D$810=$A11),'Match Log'!$E$4:$E$810),"")</f>
        <v>Loss</v>
      </c>
      <c r="G11">
        <f>IF($F11="",0,SUMPRODUCT(('Match Log'!$D$4:$D$810=$A11)*(ROW('Match Log'!$A$4:$A$810)&gt;SUMPRODUCT(MAX(('Match Log'!$D$4:$D$810=$A11)*('Match Log'!$E$4:$E$810&lt;&gt;$F11)*ROW('Match Log'!$A$4:$A$810))))))</f>
        <v>1</v>
      </c>
      <c r="H11" t="str">
        <f t="shared" si="2"/>
        <v>L1</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LLWWL</v>
      </c>
      <c r="J11">
        <f>IFERROR(LOOKUP(2,1/(('Match Log'!$D$4:$D$810=$A11)*('Match Log'!$B$4:$B$810&lt;=$B$3)),'Match Log'!$N$4:$N$810),1000)</f>
        <v>1129.7012289075892</v>
      </c>
      <c r="K11">
        <f t="shared" si="3"/>
        <v>2</v>
      </c>
      <c r="L11">
        <f t="shared" si="4"/>
        <v>0</v>
      </c>
      <c r="M11">
        <f t="shared" si="5"/>
        <v>1</v>
      </c>
      <c r="N11">
        <f t="shared" si="6"/>
        <v>2</v>
      </c>
      <c r="O11">
        <f t="shared" si="7"/>
        <v>0</v>
      </c>
      <c r="P11">
        <f>IFERROR(SUMPRODUCT(MAX(('Match Log'!$D$4:$D$810=$A11)*'Match Log'!$B$4:$B$810)),0)</f>
        <v>46199</v>
      </c>
      <c r="Q11">
        <f t="shared" si="8"/>
        <v>2</v>
      </c>
      <c r="R11">
        <f>IF($P11=0,0,MAX($Q11-'Guide &amp; Settings'!$C$48,0)*'Guide &amp; Settings'!$C$49)</f>
        <v>0</v>
      </c>
      <c r="S11">
        <f>$B11-$R11-$U11+SUMIF('Poker Stake Ledger'!$C$18:$C$137,$A11,'Poker Stake Ledger'!$K$18:$K$137)</f>
        <v>1129.7012289075892</v>
      </c>
      <c r="T11" t="str">
        <f>IF($P11=0,"No games",IF($Q11&gt;='Guide &amp; Settings'!$C$48,"Inactive",IF($Q11&gt;='Guide &amp; Settings'!$C$47,"At risk","Active")))</f>
        <v>At risk</v>
      </c>
      <c r="U11">
        <f>SUMIF('Match Log'!$D$4:$D$810,$A11,'Match Log'!$AC$4:$AC$810)</f>
        <v>0</v>
      </c>
      <c r="V11">
        <f t="shared" si="9"/>
        <v>1</v>
      </c>
      <c r="W11">
        <f t="shared" si="10"/>
        <v>82.425307226897303</v>
      </c>
      <c r="X11">
        <f>IFERROR(INDEX(Dashboard!$G$5:$G$18,MATCH($A11,Dashboard!$B$5:$B$18,0))*100,0)</f>
        <v>62.5</v>
      </c>
      <c r="Y11">
        <f>MIN(100,IFERROR(INDEX(Dashboard!$K$5:$K$18,MATCH($A11,Dashboard!$B$5:$B$18,0)),0)/5*50+$AC11/4*50)</f>
        <v>100</v>
      </c>
      <c r="Z11">
        <f t="shared" si="11"/>
        <v>40</v>
      </c>
      <c r="AA11">
        <f t="shared" si="12"/>
        <v>60.205716604162888</v>
      </c>
      <c r="AB11">
        <f t="shared" si="13"/>
        <v>73.369429189830356</v>
      </c>
      <c r="AC11">
        <f>IFERROR(SUMPRODUCT((INDEX('Sport Records'!$B$8:$O$26,0,MATCH($A11,'Sport Records'!$B$7:$O$7,0))&gt;=2)*(INDEX('Sport Records'!$B$52:$O$70,0,MATCH($A11,'Sport Records'!$B$51:$O$51,0))&gt;=0.5)),0)</f>
        <v>2</v>
      </c>
      <c r="AD11">
        <f>IFERROR(INDEX(Dashboard!$D$5:$D$18,MATCH($A11,Dashboard!$B$5:$B$18,0)),0)</f>
        <v>32</v>
      </c>
      <c r="AE11">
        <f>IFERROR(INDEX(Dashboard!$K$5:$K$18,MATCH($A11,Dashboard!$B$5:$B$18,0)),0)</f>
        <v>8</v>
      </c>
      <c r="AF11" t="str">
        <f t="shared" si="14"/>
        <v>Elite</v>
      </c>
      <c r="AG11">
        <f ca="1">COUNTIFS('Match Log'!$D$4:$D$810,$A11,'Match Log'!$B$4:$B$810,"&gt;="&amp;$B$5)</f>
        <v>0</v>
      </c>
      <c r="AH11">
        <f ca="1">COUNTIFS('Match Log'!$D$4:$D$810,$A11,'Match Log'!$B$4:$B$810,"&gt;="&amp;$B$5,'Match Log'!$E$4:$E$810,"Win")</f>
        <v>0</v>
      </c>
      <c r="AI11">
        <f t="shared" si="15"/>
        <v>1129.7012300075892</v>
      </c>
    </row>
    <row r="12" spans="1:35" ht="15" customHeight="1" x14ac:dyDescent="0.2">
      <c r="A12" t="s">
        <v>134</v>
      </c>
      <c r="B12">
        <f>IFERROR(INDEX(Engine!$B$2:$B$15,MATCH($A12,Engine!$A$2:$A$15,0)),1000)</f>
        <v>1021.558407295008</v>
      </c>
      <c r="C12">
        <f>IFERROR(INDEX(Engine!$C$2:$C$15,MATCH($A12,Engine!$A$2:$A$15,0)),"")</f>
        <v>1079.2971490225038</v>
      </c>
      <c r="D12">
        <f t="shared" si="0"/>
        <v>10</v>
      </c>
      <c r="E12">
        <f t="shared" si="1"/>
        <v>146.65293630573615</v>
      </c>
      <c r="F12" t="str">
        <f>IFERROR(LOOKUP(2,1/('Match Log'!$D$4:$D$810=$A12),'Match Log'!$E$4:$E$810),"")</f>
        <v>Loss</v>
      </c>
      <c r="G12">
        <f>IF($F12="",0,SUMPRODUCT(('Match Log'!$D$4:$D$810=$A12)*(ROW('Match Log'!$A$4:$A$810)&gt;SUMPRODUCT(MAX(('Match Log'!$D$4:$D$810=$A12)*('Match Log'!$E$4:$E$810&lt;&gt;$F12)*ROW('Match Log'!$A$4:$A$810))))))</f>
        <v>2</v>
      </c>
      <c r="H12" t="str">
        <f t="shared" si="2"/>
        <v>L2</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LLWLL</v>
      </c>
      <c r="J12">
        <f>IFERROR(LOOKUP(2,1/(('Match Log'!$D$4:$D$810=$A12)*('Match Log'!$B$4:$B$810&lt;=$B$3)),'Match Log'!$N$4:$N$810),1000)</f>
        <v>1002.9754060253616</v>
      </c>
      <c r="K12">
        <f t="shared" si="3"/>
        <v>11</v>
      </c>
      <c r="L12">
        <f t="shared" si="4"/>
        <v>1</v>
      </c>
      <c r="M12">
        <f t="shared" si="5"/>
        <v>3</v>
      </c>
      <c r="N12">
        <f t="shared" si="6"/>
        <v>1</v>
      </c>
      <c r="O12">
        <f t="shared" si="7"/>
        <v>0</v>
      </c>
      <c r="P12">
        <f>IFERROR(SUMPRODUCT(MAX(('Match Log'!$D$4:$D$810=$A12)*'Match Log'!$B$4:$B$810)),0)</f>
        <v>46213</v>
      </c>
      <c r="Q12">
        <f t="shared" si="8"/>
        <v>0</v>
      </c>
      <c r="R12">
        <f>IF($P12=0,0,MAX($Q12-'Guide &amp; Settings'!$C$48,0)*'Guide &amp; Settings'!$C$49)</f>
        <v>0</v>
      </c>
      <c r="S12">
        <f>$B12-$R12-$U12+SUMIF('Poker Stake Ledger'!$C$18:$C$137,$A12,'Poker Stake Ledger'!$K$18:$K$137)</f>
        <v>1021.558407295008</v>
      </c>
      <c r="T12" t="str">
        <f>IF($P12=0,"No games",IF($Q12&gt;='Guide &amp; Settings'!$C$48,"Inactive",IF($Q12&gt;='Guide &amp; Settings'!$C$47,"At risk","Active")))</f>
        <v>Active</v>
      </c>
      <c r="U12">
        <f>SUMIF('Match Log'!$D$4:$D$810,$A12,'Match Log'!$AC$4:$AC$810)</f>
        <v>0</v>
      </c>
      <c r="V12">
        <f t="shared" si="9"/>
        <v>2</v>
      </c>
      <c r="W12">
        <f t="shared" si="10"/>
        <v>55.389601823752002</v>
      </c>
      <c r="X12">
        <f>IFERROR(INDEX(Dashboard!$G$5:$G$18,MATCH($A12,Dashboard!$B$5:$B$18,0))*100,0)</f>
        <v>44.067796610169488</v>
      </c>
      <c r="Y12">
        <f>MIN(100,IFERROR(INDEX(Dashboard!$K$5:$K$18,MATCH($A12,Dashboard!$B$5:$B$18,0)),0)/5*50+$AC12/4*50)</f>
        <v>100</v>
      </c>
      <c r="Z12">
        <f t="shared" si="11"/>
        <v>20</v>
      </c>
      <c r="AA12">
        <f t="shared" si="12"/>
        <v>69.824287255625961</v>
      </c>
      <c r="AB12">
        <f t="shared" si="13"/>
        <v>58.182348685909695</v>
      </c>
      <c r="AC12">
        <f>IFERROR(SUMPRODUCT((INDEX('Sport Records'!$B$8:$O$26,0,MATCH($A12,'Sport Records'!$B$7:$O$7,0))&gt;=2)*(INDEX('Sport Records'!$B$52:$O$70,0,MATCH($A12,'Sport Records'!$B$51:$O$51,0))&gt;=0.5)),0)</f>
        <v>3</v>
      </c>
      <c r="AD12">
        <f>IFERROR(INDEX(Dashboard!$D$5:$D$18,MATCH($A12,Dashboard!$B$5:$B$18,0)),0)</f>
        <v>59</v>
      </c>
      <c r="AE12">
        <f>IFERROR(INDEX(Dashboard!$K$5:$K$18,MATCH($A12,Dashboard!$B$5:$B$18,0)),0)</f>
        <v>9</v>
      </c>
      <c r="AF12" t="str">
        <f t="shared" si="14"/>
        <v>Strong</v>
      </c>
      <c r="AG12">
        <f ca="1">COUNTIFS('Match Log'!$D$4:$D$810,$A12,'Match Log'!$B$4:$B$810,"&gt;="&amp;$B$5)</f>
        <v>22</v>
      </c>
      <c r="AH12">
        <f ca="1">COUNTIFS('Match Log'!$D$4:$D$810,$A12,'Match Log'!$B$4:$B$810,"&gt;="&amp;$B$5,'Match Log'!$E$4:$E$810,"Win")</f>
        <v>10</v>
      </c>
      <c r="AI12">
        <f t="shared" si="15"/>
        <v>1021.5584084950081</v>
      </c>
    </row>
    <row r="13" spans="1:35" ht="15" customHeight="1" x14ac:dyDescent="0.2">
      <c r="A13" t="s">
        <v>168</v>
      </c>
      <c r="B13">
        <f>IFERROR(INDEX(Engine!$B$2:$B$15,MATCH($A13,Engine!$A$2:$A$15,0)),1000)</f>
        <v>1084.8903813508514</v>
      </c>
      <c r="C13">
        <f>IFERROR(INDEX(Engine!$C$2:$C$15,MATCH($A13,Engine!$A$2:$A$15,0)),"")</f>
        <v>1053.519533678787</v>
      </c>
      <c r="D13">
        <f t="shared" si="0"/>
        <v>4</v>
      </c>
      <c r="E13">
        <f t="shared" si="1"/>
        <v>83.320962249892773</v>
      </c>
      <c r="F13" t="str">
        <f>IFERROR(LOOKUP(2,1/('Match Log'!$D$4:$D$810=$A13),'Match Log'!$E$4:$E$810),"")</f>
        <v>Loss</v>
      </c>
      <c r="G13">
        <f>IF($F13="",0,SUMPRODUCT(('Match Log'!$D$4:$D$810=$A13)*(ROW('Match Log'!$A$4:$A$810)&gt;SUMPRODUCT(MAX(('Match Log'!$D$4:$D$810=$A13)*('Match Log'!$E$4:$E$810&lt;&gt;$F13)*ROW('Match Log'!$A$4:$A$810))))))</f>
        <v>3</v>
      </c>
      <c r="H13" t="str">
        <f t="shared" si="2"/>
        <v>L3</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WWLLL</v>
      </c>
      <c r="J13">
        <f>IFERROR(LOOKUP(2,1/(('Match Log'!$D$4:$D$810=$A13)*('Match Log'!$B$4:$B$810&lt;=$B$3)),'Match Log'!$N$4:$N$810),1000)</f>
        <v>1084.8903813508514</v>
      </c>
      <c r="K13">
        <f t="shared" si="3"/>
        <v>4</v>
      </c>
      <c r="L13">
        <f t="shared" si="4"/>
        <v>0</v>
      </c>
      <c r="M13">
        <f t="shared" si="5"/>
        <v>0</v>
      </c>
      <c r="N13">
        <f t="shared" si="6"/>
        <v>2</v>
      </c>
      <c r="O13">
        <f t="shared" si="7"/>
        <v>0</v>
      </c>
      <c r="P13">
        <f>IFERROR(SUMPRODUCT(MAX(('Match Log'!$D$4:$D$810=$A13)*'Match Log'!$B$4:$B$810)),0)</f>
        <v>46188</v>
      </c>
      <c r="Q13">
        <f t="shared" si="8"/>
        <v>3.5714285714285716</v>
      </c>
      <c r="R13">
        <f>IF($P13=0,0,MAX($Q13-'Guide &amp; Settings'!$C$48,0)*'Guide &amp; Settings'!$C$49)</f>
        <v>0</v>
      </c>
      <c r="S13">
        <f>$B13-$R13-$U13+SUMIF('Poker Stake Ledger'!$C$18:$C$137,$A13,'Poker Stake Ledger'!$K$18:$K$137)</f>
        <v>1084.8903813508514</v>
      </c>
      <c r="T13" t="str">
        <f>IF($P13=0,"No games",IF($Q13&gt;='Guide &amp; Settings'!$C$48,"Inactive",IF($Q13&gt;='Guide &amp; Settings'!$C$47,"At risk","Active")))</f>
        <v>At risk</v>
      </c>
      <c r="U13">
        <f>SUMIF('Match Log'!$D$4:$D$810,$A13,'Match Log'!$AC$4:$AC$810)</f>
        <v>0</v>
      </c>
      <c r="V13">
        <f t="shared" si="9"/>
        <v>3</v>
      </c>
      <c r="W13">
        <f t="shared" si="10"/>
        <v>71.222595337712846</v>
      </c>
      <c r="X13">
        <f>IFERROR(INDEX(Dashboard!$G$5:$G$18,MATCH($A13,Dashboard!$B$5:$B$18,0))*100,0)</f>
        <v>58.82352941176471</v>
      </c>
      <c r="Y13">
        <f>MIN(100,IFERROR(INDEX(Dashboard!$K$5:$K$18,MATCH($A13,Dashboard!$B$5:$B$18,0)),0)/5*50+$AC13/4*50)</f>
        <v>65</v>
      </c>
      <c r="Z13">
        <f t="shared" si="11"/>
        <v>40</v>
      </c>
      <c r="AA13">
        <f t="shared" si="12"/>
        <v>63.379883419696739</v>
      </c>
      <c r="AB13">
        <f t="shared" si="13"/>
        <v>62.030602592522115</v>
      </c>
      <c r="AC13">
        <f>IFERROR(SUMPRODUCT((INDEX('Sport Records'!$B$8:$O$26,0,MATCH($A13,'Sport Records'!$B$7:$O$7,0))&gt;=2)*(INDEX('Sport Records'!$B$52:$O$70,0,MATCH($A13,'Sport Records'!$B$51:$O$51,0))&gt;=0.5)),0)</f>
        <v>2</v>
      </c>
      <c r="AD13">
        <f>IFERROR(INDEX(Dashboard!$D$5:$D$18,MATCH($A13,Dashboard!$B$5:$B$18,0)),0)</f>
        <v>17</v>
      </c>
      <c r="AE13">
        <f>IFERROR(INDEX(Dashboard!$K$5:$K$18,MATCH($A13,Dashboard!$B$5:$B$18,0)),0)</f>
        <v>4</v>
      </c>
      <c r="AF13" t="str">
        <f t="shared" si="14"/>
        <v>Strong</v>
      </c>
      <c r="AG13">
        <f ca="1">COUNTIFS('Match Log'!$D$4:$D$810,$A13,'Match Log'!$B$4:$B$810,"&gt;="&amp;$B$5)</f>
        <v>0</v>
      </c>
      <c r="AH13">
        <f ca="1">COUNTIFS('Match Log'!$D$4:$D$810,$A13,'Match Log'!$B$4:$B$810,"&gt;="&amp;$B$5,'Match Log'!$E$4:$E$810,"Win")</f>
        <v>0</v>
      </c>
      <c r="AI13">
        <f t="shared" si="15"/>
        <v>1084.8903826508513</v>
      </c>
    </row>
    <row r="14" spans="1:35" ht="15" customHeight="1" x14ac:dyDescent="0.2">
      <c r="A14" t="s">
        <v>170</v>
      </c>
      <c r="B14">
        <f>IFERROR(INDEX(Engine!$B$2:$B$15,MATCH($A14,Engine!$A$2:$A$15,0)),1000)</f>
        <v>1050.8634549674414</v>
      </c>
      <c r="C14">
        <f>IFERROR(INDEX(Engine!$C$2:$C$15,MATCH($A14,Engine!$A$2:$A$15,0)),"")</f>
        <v>1066.7017859970554</v>
      </c>
      <c r="D14">
        <f t="shared" si="0"/>
        <v>6</v>
      </c>
      <c r="E14">
        <f t="shared" si="1"/>
        <v>117.34788863330277</v>
      </c>
      <c r="F14" t="str">
        <f>IFERROR(LOOKUP(2,1/('Match Log'!$D$4:$D$810=$A14),'Match Log'!$E$4:$E$810),"")</f>
        <v>Win</v>
      </c>
      <c r="G14">
        <f>IF($F14="",0,SUMPRODUCT(('Match Log'!$D$4:$D$810=$A14)*(ROW('Match Log'!$A$4:$A$810)&gt;SUMPRODUCT(MAX(('Match Log'!$D$4:$D$810=$A14)*('Match Log'!$E$4:$E$810&lt;&gt;$F14)*ROW('Match Log'!$A$4:$A$810))))))</f>
        <v>1</v>
      </c>
      <c r="H14" t="str">
        <f t="shared" si="2"/>
        <v>W1</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WLWLW</v>
      </c>
      <c r="J14">
        <f>IFERROR(LOOKUP(2,1/(('Match Log'!$D$4:$D$810=$A14)*('Match Log'!$B$4:$B$810&lt;=$B$3)),'Match Log'!$N$4:$N$810),1000)</f>
        <v>1046.7343560403631</v>
      </c>
      <c r="K14">
        <f t="shared" si="3"/>
        <v>6</v>
      </c>
      <c r="L14">
        <f t="shared" si="4"/>
        <v>0</v>
      </c>
      <c r="M14">
        <f t="shared" si="5"/>
        <v>4</v>
      </c>
      <c r="N14">
        <f t="shared" si="6"/>
        <v>3</v>
      </c>
      <c r="O14">
        <f t="shared" si="7"/>
        <v>1</v>
      </c>
      <c r="P14">
        <f>IFERROR(SUMPRODUCT(MAX(('Match Log'!$D$4:$D$810=$A14)*'Match Log'!$B$4:$B$810)),0)</f>
        <v>46208</v>
      </c>
      <c r="Q14">
        <f t="shared" si="8"/>
        <v>0.7142857142857143</v>
      </c>
      <c r="R14">
        <f>IF($P14=0,0,MAX($Q14-'Guide &amp; Settings'!$C$48,0)*'Guide &amp; Settings'!$C$49)</f>
        <v>0</v>
      </c>
      <c r="S14">
        <f>$B14-$R14-$U14+SUMIF('Poker Stake Ledger'!$C$18:$C$137,$A14,'Poker Stake Ledger'!$K$18:$K$137)</f>
        <v>1050.8634549674414</v>
      </c>
      <c r="T14" t="str">
        <f>IF($P14=0,"No games",IF($Q14&gt;='Guide &amp; Settings'!$C$48,"Inactive",IF($Q14&gt;='Guide &amp; Settings'!$C$47,"At risk","Active")))</f>
        <v>Active</v>
      </c>
      <c r="U14">
        <f>SUMIF('Match Log'!$D$4:$D$810,$A14,'Match Log'!$AC$4:$AC$810)</f>
        <v>0</v>
      </c>
      <c r="V14">
        <f t="shared" si="9"/>
        <v>0</v>
      </c>
      <c r="W14">
        <f t="shared" si="10"/>
        <v>62.715863741860346</v>
      </c>
      <c r="X14">
        <f>IFERROR(INDEX(Dashboard!$G$5:$G$18,MATCH($A14,Dashboard!$B$5:$B$18,0))*100,0)</f>
        <v>44.230769230769226</v>
      </c>
      <c r="Y14">
        <f>MIN(100,IFERROR(INDEX(Dashboard!$K$5:$K$18,MATCH($A14,Dashboard!$B$5:$B$18,0)),0)/5*50+$AC14/4*50)</f>
        <v>100</v>
      </c>
      <c r="Z14">
        <f t="shared" si="11"/>
        <v>60</v>
      </c>
      <c r="AA14">
        <f t="shared" si="12"/>
        <v>66.675446499263842</v>
      </c>
      <c r="AB14">
        <f t="shared" si="13"/>
        <v>66.464250805731353</v>
      </c>
      <c r="AC14">
        <f>IFERROR(SUMPRODUCT((INDEX('Sport Records'!$B$8:$O$26,0,MATCH($A14,'Sport Records'!$B$7:$O$7,0))&gt;=2)*(INDEX('Sport Records'!$B$52:$O$70,0,MATCH($A14,'Sport Records'!$B$51:$O$51,0))&gt;=0.5)),0)</f>
        <v>5</v>
      </c>
      <c r="AD14">
        <f>IFERROR(INDEX(Dashboard!$D$5:$D$18,MATCH($A14,Dashboard!$B$5:$B$18,0)),0)</f>
        <v>52</v>
      </c>
      <c r="AE14">
        <f>IFERROR(INDEX(Dashboard!$K$5:$K$18,MATCH($A14,Dashboard!$B$5:$B$18,0)),0)</f>
        <v>11</v>
      </c>
      <c r="AF14" t="str">
        <f t="shared" si="14"/>
        <v>Strong</v>
      </c>
      <c r="AG14">
        <f ca="1">COUNTIFS('Match Log'!$D$4:$D$810,$A14,'Match Log'!$B$4:$B$810,"&gt;="&amp;$B$5)</f>
        <v>3</v>
      </c>
      <c r="AH14">
        <f ca="1">COUNTIFS('Match Log'!$D$4:$D$810,$A14,'Match Log'!$B$4:$B$810,"&gt;="&amp;$B$5,'Match Log'!$E$4:$E$810,"Win")</f>
        <v>2</v>
      </c>
      <c r="AI14">
        <f t="shared" si="15"/>
        <v>1050.8634563674414</v>
      </c>
    </row>
    <row r="15" spans="1:35" ht="15" customHeight="1" x14ac:dyDescent="0.2">
      <c r="A15" t="s">
        <v>167</v>
      </c>
      <c r="B15">
        <f>IFERROR(INDEX(Engine!$B$2:$B$15,MATCH($A15,Engine!$A$2:$A$15,0)),1000)</f>
        <v>1168.2113436007442</v>
      </c>
      <c r="C15">
        <f>IFERROR(INDEX(Engine!$C$2:$C$15,MATCH($A15,Engine!$A$2:$A$15,0)),"")</f>
        <v>1052.5762893009789</v>
      </c>
      <c r="D15">
        <f t="shared" si="0"/>
        <v>1</v>
      </c>
      <c r="E15">
        <f t="shared" si="1"/>
        <v>0</v>
      </c>
      <c r="F15" t="str">
        <f>IFERROR(LOOKUP(2,1/('Match Log'!$D$4:$D$810=$A15),'Match Log'!$E$4:$E$810),"")</f>
        <v>Win</v>
      </c>
      <c r="G15">
        <f>IF($F15="",0,SUMPRODUCT(('Match Log'!$D$4:$D$810=$A15)*(ROW('Match Log'!$A$4:$A$810)&gt;SUMPRODUCT(MAX(('Match Log'!$D$4:$D$810=$A15)*('Match Log'!$E$4:$E$810&lt;&gt;$F15)*ROW('Match Log'!$A$4:$A$810))))))</f>
        <v>2</v>
      </c>
      <c r="H15" t="str">
        <f t="shared" si="2"/>
        <v>W2</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LLLWW</v>
      </c>
      <c r="J15">
        <f>IFERROR(LOOKUP(2,1/(('Match Log'!$D$4:$D$810=$A15)*('Match Log'!$B$4:$B$810&lt;=$B$3)),'Match Log'!$N$4:$N$810),1000)</f>
        <v>1168.2113436007442</v>
      </c>
      <c r="K15">
        <f t="shared" si="3"/>
        <v>1</v>
      </c>
      <c r="L15">
        <f t="shared" si="4"/>
        <v>0</v>
      </c>
      <c r="M15">
        <f t="shared" si="5"/>
        <v>2</v>
      </c>
      <c r="N15">
        <f t="shared" si="6"/>
        <v>2</v>
      </c>
      <c r="O15">
        <f t="shared" si="7"/>
        <v>2</v>
      </c>
      <c r="P15">
        <f>IFERROR(SUMPRODUCT(MAX(('Match Log'!$D$4:$D$810=$A15)*'Match Log'!$B$4:$B$810)),0)</f>
        <v>46189</v>
      </c>
      <c r="Q15">
        <f t="shared" si="8"/>
        <v>3.4285714285714284</v>
      </c>
      <c r="R15">
        <f>IF($P15=0,0,MAX($Q15-'Guide &amp; Settings'!$C$48,0)*'Guide &amp; Settings'!$C$49)</f>
        <v>0</v>
      </c>
      <c r="S15">
        <f>$B15-$R15-$U15+SUMIF('Poker Stake Ledger'!$C$18:$C$137,$A15,'Poker Stake Ledger'!$K$18:$K$137)</f>
        <v>1168.2113436007442</v>
      </c>
      <c r="T15" t="str">
        <f>IF($P15=0,"No games",IF($Q15&gt;='Guide &amp; Settings'!$C$48,"Inactive",IF($Q15&gt;='Guide &amp; Settings'!$C$47,"At risk","Active")))</f>
        <v>At risk</v>
      </c>
      <c r="U15">
        <f>SUMIF('Match Log'!$D$4:$D$810,$A15,'Match Log'!$AC$4:$AC$810)</f>
        <v>0</v>
      </c>
      <c r="V15">
        <f t="shared" si="9"/>
        <v>0</v>
      </c>
      <c r="W15">
        <f t="shared" si="10"/>
        <v>92.052835900186039</v>
      </c>
      <c r="X15">
        <f>IFERROR(INDEX(Dashboard!$G$5:$G$18,MATCH($A15,Dashboard!$B$5:$B$18,0))*100,0)</f>
        <v>65.217391304347828</v>
      </c>
      <c r="Y15">
        <f>MIN(100,IFERROR(INDEX(Dashboard!$K$5:$K$18,MATCH($A15,Dashboard!$B$5:$B$18,0)),0)/5*50+$AC15/4*50)</f>
        <v>67.5</v>
      </c>
      <c r="Z15">
        <f t="shared" si="11"/>
        <v>40</v>
      </c>
      <c r="AA15">
        <f t="shared" si="12"/>
        <v>63.144072325244736</v>
      </c>
      <c r="AB15">
        <f t="shared" si="13"/>
        <v>71.076378058459156</v>
      </c>
      <c r="AC15">
        <f>IFERROR(SUMPRODUCT((INDEX('Sport Records'!$B$8:$O$26,0,MATCH($A15,'Sport Records'!$B$7:$O$7,0))&gt;=2)*(INDEX('Sport Records'!$B$52:$O$70,0,MATCH($A15,'Sport Records'!$B$51:$O$51,0))&gt;=0.5)),0)</f>
        <v>3</v>
      </c>
      <c r="AD15">
        <f>IFERROR(INDEX(Dashboard!$D$5:$D$18,MATCH($A15,Dashboard!$B$5:$B$18,0)),0)</f>
        <v>23</v>
      </c>
      <c r="AE15">
        <f>IFERROR(INDEX(Dashboard!$K$5:$K$18,MATCH($A15,Dashboard!$B$5:$B$18,0)),0)</f>
        <v>3</v>
      </c>
      <c r="AF15" t="str">
        <f t="shared" si="14"/>
        <v>Strong</v>
      </c>
      <c r="AG15">
        <f ca="1">COUNTIFS('Match Log'!$D$4:$D$810,$A15,'Match Log'!$B$4:$B$810,"&gt;="&amp;$B$5)</f>
        <v>0</v>
      </c>
      <c r="AH15">
        <f ca="1">COUNTIFS('Match Log'!$D$4:$D$810,$A15,'Match Log'!$B$4:$B$810,"&gt;="&amp;$B$5,'Match Log'!$E$4:$E$810,"Win")</f>
        <v>0</v>
      </c>
      <c r="AI15">
        <f t="shared" si="15"/>
        <v>1168.2113451007442</v>
      </c>
    </row>
    <row r="16" spans="1:35" ht="15" customHeight="1" x14ac:dyDescent="0.2">
      <c r="A16" t="s">
        <v>175</v>
      </c>
      <c r="B16">
        <f>IFERROR(INDEX(Engine!$B$2:$B$15,MATCH($A16,Engine!$A$2:$A$15,0)),1000)</f>
        <v>893.03675187725173</v>
      </c>
      <c r="C16">
        <f>IFERROR(INDEX(Engine!$C$2:$C$15,MATCH($A16,Engine!$A$2:$A$15,0)),"")</f>
        <v>1081.0307811604919</v>
      </c>
      <c r="D16">
        <f t="shared" si="0"/>
        <v>14</v>
      </c>
      <c r="E16">
        <f t="shared" si="1"/>
        <v>275.17459172349243</v>
      </c>
      <c r="F16" t="str">
        <f>IFERROR(LOOKUP(2,1/('Match Log'!$D$4:$D$810=$A16),'Match Log'!$E$4:$E$810),"")</f>
        <v>Loss</v>
      </c>
      <c r="G16">
        <f>IF($F16="",0,SUMPRODUCT(('Match Log'!$D$4:$D$810=$A16)*(ROW('Match Log'!$A$4:$A$810)&gt;SUMPRODUCT(MAX(('Match Log'!$D$4:$D$810=$A16)*('Match Log'!$E$4:$E$810&lt;&gt;$F16)*ROW('Match Log'!$A$4:$A$810))))))</f>
        <v>4</v>
      </c>
      <c r="H16" t="str">
        <f t="shared" si="2"/>
        <v>L4</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WLLLL</v>
      </c>
      <c r="J16">
        <f>IFERROR(LOOKUP(2,1/(('Match Log'!$D$4:$D$810=$A16)*('Match Log'!$B$4:$B$810&lt;=$B$3)),'Match Log'!$N$4:$N$810),1000)</f>
        <v>893.03675187725173</v>
      </c>
      <c r="K16">
        <f t="shared" si="3"/>
        <v>14</v>
      </c>
      <c r="L16">
        <f t="shared" si="4"/>
        <v>0</v>
      </c>
      <c r="M16">
        <f t="shared" si="5"/>
        <v>1</v>
      </c>
      <c r="N16">
        <f t="shared" si="6"/>
        <v>1</v>
      </c>
      <c r="O16">
        <f t="shared" si="7"/>
        <v>0</v>
      </c>
      <c r="P16">
        <f>IFERROR(SUMPRODUCT(MAX(('Match Log'!$D$4:$D$810=$A16)*'Match Log'!$B$4:$B$810)),0)</f>
        <v>46188</v>
      </c>
      <c r="Q16">
        <f t="shared" si="8"/>
        <v>3.5714285714285716</v>
      </c>
      <c r="R16">
        <f>IF($P16=0,0,MAX($Q16-'Guide &amp; Settings'!$C$48,0)*'Guide &amp; Settings'!$C$49)</f>
        <v>0</v>
      </c>
      <c r="S16">
        <f>$B16-$R16-$U16+SUMIF('Poker Stake Ledger'!$C$18:$C$137,$A16,'Poker Stake Ledger'!$K$18:$K$137)</f>
        <v>893.03675187725173</v>
      </c>
      <c r="T16" t="str">
        <f>IF($P16=0,"No games",IF($Q16&gt;='Guide &amp; Settings'!$C$48,"Inactive",IF($Q16&gt;='Guide &amp; Settings'!$C$47,"At risk","Active")))</f>
        <v>At risk</v>
      </c>
      <c r="U16">
        <f>SUMIF('Match Log'!$D$4:$D$810,$A16,'Match Log'!$AC$4:$AC$810)</f>
        <v>0</v>
      </c>
      <c r="V16">
        <f t="shared" si="9"/>
        <v>4</v>
      </c>
      <c r="W16">
        <f t="shared" si="10"/>
        <v>23.259187969312933</v>
      </c>
      <c r="X16">
        <f>IFERROR(INDEX(Dashboard!$G$5:$G$18,MATCH($A16,Dashboard!$B$5:$B$18,0))*100,0)</f>
        <v>15.384615384615385</v>
      </c>
      <c r="Y16">
        <f>MIN(100,IFERROR(INDEX(Dashboard!$K$5:$K$18,MATCH($A16,Dashboard!$B$5:$B$18,0)),0)/5*50+$AC16/4*50)</f>
        <v>30</v>
      </c>
      <c r="Z16">
        <f t="shared" si="11"/>
        <v>20</v>
      </c>
      <c r="AA16">
        <f t="shared" si="12"/>
        <v>70.257695290122967</v>
      </c>
      <c r="AB16">
        <f t="shared" si="13"/>
        <v>27.243408395194901</v>
      </c>
      <c r="AC16">
        <f>IFERROR(SUMPRODUCT((INDEX('Sport Records'!$B$8:$O$26,0,MATCH($A16,'Sport Records'!$B$7:$O$7,0))&gt;=2)*(INDEX('Sport Records'!$B$52:$O$70,0,MATCH($A16,'Sport Records'!$B$51:$O$51,0))&gt;=0.5)),0)</f>
        <v>0</v>
      </c>
      <c r="AD16">
        <f>IFERROR(INDEX(Dashboard!$D$5:$D$18,MATCH($A16,Dashboard!$B$5:$B$18,0)),0)</f>
        <v>13</v>
      </c>
      <c r="AE16">
        <f>IFERROR(INDEX(Dashboard!$K$5:$K$18,MATCH($A16,Dashboard!$B$5:$B$18,0)),0)</f>
        <v>3</v>
      </c>
      <c r="AF16" t="str">
        <f t="shared" si="14"/>
        <v>Developing</v>
      </c>
      <c r="AG16">
        <f ca="1">COUNTIFS('Match Log'!$D$4:$D$810,$A16,'Match Log'!$B$4:$B$810,"&gt;="&amp;$B$5)</f>
        <v>0</v>
      </c>
      <c r="AH16">
        <f ca="1">COUNTIFS('Match Log'!$D$4:$D$810,$A16,'Match Log'!$B$4:$B$810,"&gt;="&amp;$B$5,'Match Log'!$E$4:$E$810,"Win")</f>
        <v>0</v>
      </c>
      <c r="AI16">
        <f t="shared" si="15"/>
        <v>893.03675347725175</v>
      </c>
    </row>
    <row r="17" spans="1:35" ht="15" customHeight="1" x14ac:dyDescent="0.2">
      <c r="A17" t="s">
        <v>169</v>
      </c>
      <c r="B17">
        <f>IFERROR(INDEX(Engine!$B$2:$B$15,MATCH($A17,Engine!$A$2:$A$15,0)),1000)</f>
        <v>1058.6657209484931</v>
      </c>
      <c r="C17">
        <f>IFERROR(INDEX(Engine!$C$2:$C$15,MATCH($A17,Engine!$A$2:$A$15,0)),"")</f>
        <v>1060.0060557014265</v>
      </c>
      <c r="D17">
        <f t="shared" si="0"/>
        <v>5</v>
      </c>
      <c r="E17">
        <f t="shared" si="1"/>
        <v>109.54562265225104</v>
      </c>
      <c r="F17" t="str">
        <f>IFERROR(LOOKUP(2,1/('Match Log'!$D$4:$D$810=$A17),'Match Log'!$E$4:$E$810),"")</f>
        <v>Loss</v>
      </c>
      <c r="G17">
        <f>IF($F17="",0,SUMPRODUCT(('Match Log'!$D$4:$D$810=$A17)*(ROW('Match Log'!$A$4:$A$810)&gt;SUMPRODUCT(MAX(('Match Log'!$D$4:$D$810=$A17)*('Match Log'!$E$4:$E$810&lt;&gt;$F17)*ROW('Match Log'!$A$4:$A$810))))))</f>
        <v>1</v>
      </c>
      <c r="H17" t="str">
        <f t="shared" si="2"/>
        <v>L1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LLLWL</v>
      </c>
      <c r="J17">
        <f>IFERROR(LOOKUP(2,1/(('Match Log'!$D$4:$D$810=$A17)*('Match Log'!$B$4:$B$810&lt;=$B$3)),'Match Log'!$N$4:$N$810),1000)</f>
        <v>1076.6069656843583</v>
      </c>
      <c r="K17">
        <f t="shared" si="3"/>
        <v>5</v>
      </c>
      <c r="L17">
        <f t="shared" si="4"/>
        <v>0</v>
      </c>
      <c r="M17">
        <f t="shared" si="5"/>
        <v>2</v>
      </c>
      <c r="N17">
        <f t="shared" si="6"/>
        <v>1</v>
      </c>
      <c r="O17">
        <f t="shared" si="7"/>
        <v>0</v>
      </c>
      <c r="P17">
        <f>IFERROR(SUMPRODUCT(MAX(('Match Log'!$D$4:$D$810=$A17)*'Match Log'!$B$4:$B$810)),0)</f>
        <v>46209</v>
      </c>
      <c r="Q17">
        <f t="shared" si="8"/>
        <v>0.5714285714285714</v>
      </c>
      <c r="R17">
        <f>IF($P17=0,0,MAX($Q17-'Guide &amp; Settings'!$C$48,0)*'Guide &amp; Settings'!$C$49)</f>
        <v>0</v>
      </c>
      <c r="S17">
        <f>$B17-$R17-$U17+SUMIF('Poker Stake Ledger'!$C$18:$C$137,$A17,'Poker Stake Ledger'!$K$18:$K$137)</f>
        <v>1058.6657209484931</v>
      </c>
      <c r="T17" t="str">
        <f>IF($P17=0,"No games",IF($Q17&gt;='Guide &amp; Settings'!$C$48,"Inactive",IF($Q17&gt;='Guide &amp; Settings'!$C$47,"At risk","Active")))</f>
        <v>Active</v>
      </c>
      <c r="U17">
        <f>SUMIF('Match Log'!$D$4:$D$810,$A17,'Match Log'!$AC$4:$AC$810)</f>
        <v>0</v>
      </c>
      <c r="V17">
        <f t="shared" si="9"/>
        <v>1</v>
      </c>
      <c r="W17">
        <f t="shared" si="10"/>
        <v>64.666430237123279</v>
      </c>
      <c r="X17">
        <f>IFERROR(INDEX(Dashboard!$G$5:$G$18,MATCH($A17,Dashboard!$B$5:$B$18,0))*100,0)</f>
        <v>45.454545454545453</v>
      </c>
      <c r="Y17">
        <f>MIN(100,IFERROR(INDEX(Dashboard!$K$5:$K$18,MATCH($A17,Dashboard!$B$5:$B$18,0)),0)/5*50+$AC17/4*50)</f>
        <v>100</v>
      </c>
      <c r="Z17">
        <f t="shared" si="11"/>
        <v>20</v>
      </c>
      <c r="AA17">
        <f t="shared" si="12"/>
        <v>65.001513925356619</v>
      </c>
      <c r="AB17">
        <f t="shared" si="13"/>
        <v>61.224311066437899</v>
      </c>
      <c r="AC17">
        <f>IFERROR(SUMPRODUCT((INDEX('Sport Records'!$B$8:$O$26,0,MATCH($A17,'Sport Records'!$B$7:$O$7,0))&gt;=2)*(INDEX('Sport Records'!$B$52:$O$70,0,MATCH($A17,'Sport Records'!$B$51:$O$51,0))&gt;=0.5)),0)</f>
        <v>2</v>
      </c>
      <c r="AD17">
        <f>IFERROR(INDEX(Dashboard!$D$5:$D$18,MATCH($A17,Dashboard!$B$5:$B$18,0)),0)</f>
        <v>44</v>
      </c>
      <c r="AE17">
        <f>IFERROR(INDEX(Dashboard!$K$5:$K$18,MATCH($A17,Dashboard!$B$5:$B$18,0)),0)</f>
        <v>8</v>
      </c>
      <c r="AF17" t="str">
        <f t="shared" si="14"/>
        <v>Strong</v>
      </c>
      <c r="AG17">
        <f ca="1">COUNTIFS('Match Log'!$D$4:$D$810,$A17,'Match Log'!$B$4:$B$810,"&gt;="&amp;$B$5)</f>
        <v>9</v>
      </c>
      <c r="AH17">
        <f ca="1">COUNTIFS('Match Log'!$D$4:$D$810,$A17,'Match Log'!$B$4:$B$810,"&gt;="&amp;$B$5,'Match Log'!$E$4:$E$810,"Win")</f>
        <v>5</v>
      </c>
      <c r="AI17">
        <f t="shared" si="15"/>
        <v>1058.6657226484931</v>
      </c>
    </row>
    <row r="18" spans="1:35" ht="15" customHeight="1" x14ac:dyDescent="0.2">
      <c r="A18" t="s">
        <v>171</v>
      </c>
      <c r="B18">
        <f>IFERROR(INDEX(Engine!$B$2:$B$15,MATCH($A18,Engine!$A$2:$A$15,0)),1000)</f>
        <v>1031.225848367051</v>
      </c>
      <c r="C18">
        <f>IFERROR(INDEX(Engine!$C$2:$C$15,MATCH($A18,Engine!$A$2:$A$15,0)),"")</f>
        <v>1051.9562851744297</v>
      </c>
      <c r="D18">
        <f t="shared" si="0"/>
        <v>7</v>
      </c>
      <c r="E18">
        <f t="shared" si="1"/>
        <v>136.9854952336932</v>
      </c>
      <c r="F18" t="str">
        <f>IFERROR(LOOKUP(2,1/('Match Log'!$D$4:$D$810=$A18),'Match Log'!$E$4:$E$810),"")</f>
        <v>Win</v>
      </c>
      <c r="G18">
        <f>IF($F18="",0,SUMPRODUCT(('Match Log'!$D$4:$D$810=$A18)*(ROW('Match Log'!$A$4:$A$810)&gt;SUMPRODUCT(MAX(('Match Log'!$D$4:$D$810=$A18)*('Match Log'!$E$4:$E$810&lt;&gt;$F18)*ROW('Match Log'!$A$4:$A$810))))))</f>
        <v>2</v>
      </c>
      <c r="H18" t="str">
        <f t="shared" si="2"/>
        <v>W2</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LLLWW</v>
      </c>
      <c r="J18">
        <f>IFERROR(LOOKUP(2,1/(('Match Log'!$D$4:$D$810=$A18)*('Match Log'!$B$4:$B$810&lt;=$B$3)),'Match Log'!$N$4:$N$810),1000)</f>
        <v>1031.225848367051</v>
      </c>
      <c r="K18">
        <f t="shared" si="3"/>
        <v>7</v>
      </c>
      <c r="L18">
        <f t="shared" si="4"/>
        <v>0</v>
      </c>
      <c r="M18">
        <f t="shared" si="5"/>
        <v>0</v>
      </c>
      <c r="N18">
        <f t="shared" si="6"/>
        <v>2</v>
      </c>
      <c r="O18">
        <f t="shared" si="7"/>
        <v>2</v>
      </c>
      <c r="P18">
        <f>IFERROR(SUMPRODUCT(MAX(('Match Log'!$D$4:$D$810=$A18)*'Match Log'!$B$4:$B$810)),0)</f>
        <v>46188</v>
      </c>
      <c r="Q18">
        <f t="shared" si="8"/>
        <v>3.5714285714285716</v>
      </c>
      <c r="R18">
        <f>IF($P18=0,0,MAX($Q18-'Guide &amp; Settings'!$C$48,0)*'Guide &amp; Settings'!$C$49)</f>
        <v>0</v>
      </c>
      <c r="S18">
        <f>$B18-$R18-$U18+SUMIF('Poker Stake Ledger'!$C$18:$C$137,$A18,'Poker Stake Ledger'!$K$18:$K$137)</f>
        <v>1031.225848367051</v>
      </c>
      <c r="T18" t="str">
        <f>IF($P18=0,"No games",IF($Q18&gt;='Guide &amp; Settings'!$C$48,"Inactive",IF($Q18&gt;='Guide &amp; Settings'!$C$47,"At risk","Active")))</f>
        <v>At risk</v>
      </c>
      <c r="U18">
        <f>SUMIF('Match Log'!$D$4:$D$810,$A18,'Match Log'!$AC$4:$AC$810)</f>
        <v>0</v>
      </c>
      <c r="V18">
        <f t="shared" si="9"/>
        <v>0</v>
      </c>
      <c r="W18">
        <f t="shared" si="10"/>
        <v>57.806462091762739</v>
      </c>
      <c r="X18">
        <f>IFERROR(INDEX(Dashboard!$G$5:$G$18,MATCH($A18,Dashboard!$B$5:$B$18,0))*100,0)</f>
        <v>40</v>
      </c>
      <c r="Y18">
        <f>MIN(100,IFERROR(INDEX(Dashboard!$K$5:$K$18,MATCH($A18,Dashboard!$B$5:$B$18,0)),0)/5*50+$AC18/4*50)</f>
        <v>10</v>
      </c>
      <c r="Z18">
        <f t="shared" si="11"/>
        <v>40</v>
      </c>
      <c r="AA18">
        <f t="shared" si="12"/>
        <v>62.989071293607424</v>
      </c>
      <c r="AB18">
        <f t="shared" si="13"/>
        <v>42.531168861477695</v>
      </c>
      <c r="AC18">
        <f>IFERROR(SUMPRODUCT((INDEX('Sport Records'!$B$8:$O$26,0,MATCH($A18,'Sport Records'!$B$7:$O$7,0))&gt;=2)*(INDEX('Sport Records'!$B$52:$O$70,0,MATCH($A18,'Sport Records'!$B$51:$O$51,0))&gt;=0.5)),0)</f>
        <v>0</v>
      </c>
      <c r="AD18">
        <f>IFERROR(INDEX(Dashboard!$D$5:$D$18,MATCH($A18,Dashboard!$B$5:$B$18,0)),0)</f>
        <v>5</v>
      </c>
      <c r="AE18">
        <f>IFERROR(INDEX(Dashboard!$K$5:$K$18,MATCH($A18,Dashboard!$B$5:$B$18,0)),0)</f>
        <v>1</v>
      </c>
      <c r="AF18" t="str">
        <f t="shared" si="14"/>
        <v>Unranked</v>
      </c>
      <c r="AG18">
        <f ca="1">COUNTIFS('Match Log'!$D$4:$D$810,$A18,'Match Log'!$B$4:$B$810,"&gt;="&amp;$B$5)</f>
        <v>0</v>
      </c>
      <c r="AH18">
        <f ca="1">COUNTIFS('Match Log'!$D$4:$D$810,$A18,'Match Log'!$B$4:$B$810,"&gt;="&amp;$B$5,'Match Log'!$E$4:$E$810,"Win")</f>
        <v>0</v>
      </c>
      <c r="AI18">
        <f t="shared" si="15"/>
        <v>1031.225850167051</v>
      </c>
    </row>
    <row r="19" spans="1:35" ht="15" customHeight="1" x14ac:dyDescent="0.2">
      <c r="A19" t="s">
        <v>172</v>
      </c>
      <c r="B19">
        <f>IFERROR(INDEX(Engine!$B$2:$B$15,MATCH($A19,Engine!$A$2:$A$15,0)),1000)</f>
        <v>1030.3815983388336</v>
      </c>
      <c r="C19">
        <f>IFERROR(INDEX(Engine!$C$2:$C$15,MATCH($A19,Engine!$A$2:$A$15,0)),"")</f>
        <v>1064.5272835761066</v>
      </c>
      <c r="D19">
        <f t="shared" si="0"/>
        <v>8</v>
      </c>
      <c r="E19">
        <f t="shared" si="1"/>
        <v>137.8297452619106</v>
      </c>
      <c r="F19" t="str">
        <f>IFERROR(LOOKUP(2,1/('Match Log'!$D$4:$D$810=$A19),'Match Log'!$E$4:$E$810),"")</f>
        <v>Loss</v>
      </c>
      <c r="G19">
        <f>IF($F19="",0,SUMPRODUCT(('Match Log'!$D$4:$D$810=$A19)*(ROW('Match Log'!$A$4:$A$810)&gt;SUMPRODUCT(MAX(('Match Log'!$D$4:$D$810=$A19)*('Match Log'!$E$4:$E$810&lt;&gt;$F19)*ROW('Match Log'!$A$4:$A$810))))))</f>
        <v>1</v>
      </c>
      <c r="H19" t="str">
        <f t="shared" si="2"/>
        <v>L1</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WLWL</v>
      </c>
      <c r="J19">
        <f>IFERROR(LOOKUP(2,1/(('Match Log'!$D$4:$D$810=$A19)*('Match Log'!$B$4:$B$810&lt;=$B$3)),'Match Log'!$N$4:$N$810),1000)</f>
        <v>1030.3815983388336</v>
      </c>
      <c r="K19">
        <f t="shared" si="3"/>
        <v>8</v>
      </c>
      <c r="L19">
        <f t="shared" si="4"/>
        <v>0</v>
      </c>
      <c r="M19">
        <f t="shared" si="5"/>
        <v>0</v>
      </c>
      <c r="N19">
        <f t="shared" si="6"/>
        <v>2</v>
      </c>
      <c r="O19">
        <f t="shared" si="7"/>
        <v>0</v>
      </c>
      <c r="P19">
        <f>IFERROR(SUMPRODUCT(MAX(('Match Log'!$D$4:$D$810=$A19)*'Match Log'!$B$4:$B$810)),0)</f>
        <v>46188</v>
      </c>
      <c r="Q19">
        <f t="shared" si="8"/>
        <v>3.5714285714285716</v>
      </c>
      <c r="R19">
        <f>IF($P19=0,0,MAX($Q19-'Guide &amp; Settings'!$C$48,0)*'Guide &amp; Settings'!$C$49)</f>
        <v>0</v>
      </c>
      <c r="S19">
        <f>$B19-$R19-$U19+SUMIF('Poker Stake Ledger'!$C$18:$C$137,$A19,'Poker Stake Ledger'!$K$18:$K$137)</f>
        <v>1030.3815983388336</v>
      </c>
      <c r="T19" t="str">
        <f>IF($P19=0,"No games",IF($Q19&gt;='Guide &amp; Settings'!$C$48,"Inactive",IF($Q19&gt;='Guide &amp; Settings'!$C$47,"At risk","Active")))</f>
        <v>At risk</v>
      </c>
      <c r="U19">
        <f>SUMIF('Match Log'!$D$4:$D$810,$A19,'Match Log'!$AC$4:$AC$810)</f>
        <v>0</v>
      </c>
      <c r="V19">
        <f t="shared" si="9"/>
        <v>1</v>
      </c>
      <c r="W19">
        <f t="shared" si="10"/>
        <v>57.595399584708389</v>
      </c>
      <c r="X19">
        <f>IFERROR(INDEX(Dashboard!$G$5:$G$18,MATCH($A19,Dashboard!$B$5:$B$18,0))*100,0)</f>
        <v>50</v>
      </c>
      <c r="Y19">
        <f>MIN(100,IFERROR(INDEX(Dashboard!$K$5:$K$18,MATCH($A19,Dashboard!$B$5:$B$18,0)),0)/5*50+$AC19/4*50)</f>
        <v>22.5</v>
      </c>
      <c r="Z19">
        <f t="shared" si="11"/>
        <v>50</v>
      </c>
      <c r="AA19">
        <f t="shared" si="12"/>
        <v>66.131820894026646</v>
      </c>
      <c r="AB19">
        <f t="shared" si="13"/>
        <v>48.771571944050599</v>
      </c>
      <c r="AC19">
        <f>IFERROR(SUMPRODUCT((INDEX('Sport Records'!$B$8:$O$26,0,MATCH($A19,'Sport Records'!$B$7:$O$7,0))&gt;=2)*(INDEX('Sport Records'!$B$52:$O$70,0,MATCH($A19,'Sport Records'!$B$51:$O$51,0))&gt;=0.5)),0)</f>
        <v>1</v>
      </c>
      <c r="AD19">
        <f>IFERROR(INDEX(Dashboard!$D$5:$D$18,MATCH($A19,Dashboard!$B$5:$B$18,0)),0)</f>
        <v>4</v>
      </c>
      <c r="AE19">
        <f>IFERROR(INDEX(Dashboard!$K$5:$K$18,MATCH($A19,Dashboard!$B$5:$B$18,0)),0)</f>
        <v>1</v>
      </c>
      <c r="AF19" t="str">
        <f t="shared" si="14"/>
        <v>Unranked</v>
      </c>
      <c r="AG19">
        <f ca="1">COUNTIFS('Match Log'!$D$4:$D$810,$A19,'Match Log'!$B$4:$B$810,"&gt;="&amp;$B$5)</f>
        <v>0</v>
      </c>
      <c r="AH19">
        <f ca="1">COUNTIFS('Match Log'!$D$4:$D$810,$A19,'Match Log'!$B$4:$B$810,"&gt;="&amp;$B$5,'Match Log'!$E$4:$E$810,"Win")</f>
        <v>0</v>
      </c>
      <c r="AI19">
        <f t="shared" si="15"/>
        <v>1030.3816002388335</v>
      </c>
    </row>
    <row r="20" spans="1:35" ht="15" customHeight="1" x14ac:dyDescent="0.2">
      <c r="A20" t="s">
        <v>174</v>
      </c>
      <c r="B20">
        <f>IFERROR(INDEX(Engine!$B$2:$B$15,MATCH($A20,Engine!$A$2:$A$15,0)),1000)</f>
        <v>1000</v>
      </c>
      <c r="C20" t="str">
        <f>IFERROR(INDEX(Engine!$C$2:$C$15,MATCH($A20,Engine!$A$2:$A$15,0)),"")</f>
        <v/>
      </c>
      <c r="D20">
        <f t="shared" si="0"/>
        <v>12</v>
      </c>
      <c r="E20">
        <f t="shared" si="1"/>
        <v>168.21134360074416</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12</v>
      </c>
      <c r="L20">
        <f t="shared" si="4"/>
        <v>0</v>
      </c>
      <c r="M20">
        <f t="shared" si="5"/>
        <v>0</v>
      </c>
      <c r="N20">
        <f t="shared" si="6"/>
        <v>0</v>
      </c>
      <c r="O20">
        <f t="shared" si="7"/>
        <v>0</v>
      </c>
      <c r="P20">
        <f>IFERROR(SUMPRODUCT(MAX(('Match Log'!$D$4:$D$810=$A20)*'Match Log'!$B$4:$B$810)),0)</f>
        <v>0</v>
      </c>
      <c r="Q20" t="str">
        <f t="shared" si="8"/>
        <v/>
      </c>
      <c r="R20">
        <f>IF($P20=0,0,MAX($Q20-'Guide &amp; Settings'!$C$48,0)*'Guide &amp; Settings'!$C$49)</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IFERROR(INDEX(Dashboard!$G$5:$G$18,MATCH($A20,Dashboard!$B$5:$B$18,0))*100,0)</f>
        <v>0</v>
      </c>
      <c r="Y20">
        <f>MIN(100,IFERROR(INDEX(Dashboard!$K$5:$K$18,MATCH($A20,Dashboard!$B$5:$B$18,0)),0)/5*50+$AC20/4*50)</f>
        <v>0</v>
      </c>
      <c r="Z20">
        <f t="shared" si="11"/>
        <v>0</v>
      </c>
      <c r="AA20">
        <f t="shared" si="12"/>
        <v>0</v>
      </c>
      <c r="AB20">
        <f t="shared" si="13"/>
        <v>17.5</v>
      </c>
      <c r="AC20">
        <f>IFERROR(SUMPRODUCT((INDEX('Sport Records'!$B$8:$O$26,0,MATCH($A20,'Sport Records'!$B$7:$O$7,0))&gt;=2)*(INDEX('Sport Records'!$B$52:$O$70,0,MATCH($A20,'Sport Records'!$B$51:$O$51,0))&gt;=0.5)),0)</f>
        <v>0</v>
      </c>
      <c r="AD20">
        <f>IFERROR(INDEX(Dashboard!$D$5:$D$18,MATCH($A20,Dashboard!$B$5:$B$18,0)),0)</f>
        <v>0</v>
      </c>
      <c r="AE20">
        <f>IFERROR(INDEX(Dashboard!$K$5:$K$18,MATCH($A20,Dashboard!$B$5:$B$18,0)),0)</f>
        <v>0</v>
      </c>
      <c r="AF20" t="str">
        <f t="shared"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Kart</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Kart</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Kart</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Kart</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0.25</v>
      </c>
      <c r="G71">
        <f t="shared" si="19"/>
        <v>0.5</v>
      </c>
      <c r="H71" t="str">
        <f t="array" ref="H71">IFERROR(IF(COUNTIFS('Match Log'!$A$4:$A$810,$A71,'Match Log'!$E$4:$E$810,"Win")&gt;1,_xlfn.TEXTJOIN(" + ",TRUE,IF(('Match Log'!$A$4:$A$810=$A71)*('Match Log'!$E$4:$E$810="Loss"),'Match Log'!$D$4:$D$810,"")),IF($E71=2,LOOKUP(2,1/(('Match Log'!$A$4:$A$810=$A71)*('Match Log'!$E$4:$E$810="Loss")),'Match Log'!$D$4:$D$810),"the field")),"")</f>
        <v>Oscar</v>
      </c>
      <c r="I71">
        <f t="shared" si="20"/>
        <v>0.49995299999999998</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998.28627447903841</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956.79857074963707</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0.46153846153846151</v>
      </c>
      <c r="G72">
        <f t="shared" si="19"/>
        <v>7.6923076923076983E-2</v>
      </c>
      <c r="H72" t="str">
        <f t="array" ref="H72">IFERROR(IF(COUNTIFS('Match Log'!$A$4:$A$810,$A72,'Match Log'!$E$4:$E$810,"Win")&gt;1,_xlfn.TEXTJOIN(" + ",TRUE,IF(('Match Log'!$A$4:$A$810=$A72)*('Match Log'!$E$4:$E$810="Loss"),'Match Log'!$D$4:$D$810,"")),IF($E72=2,LOOKUP(2,1/(('Match Log'!$A$4:$A$810=$A72)*('Match Log'!$E$4:$E$810="Loss")),'Match Log'!$D$4:$D$810),"the field")),"")</f>
        <v>Oscar</v>
      </c>
      <c r="I72">
        <f t="shared" si="20"/>
        <v>7.6875076923076976E-2</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1019.8457383193305</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935.23910690934497</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0.4</v>
      </c>
      <c r="G73">
        <f t="shared" si="19"/>
        <v>0.19999999999999996</v>
      </c>
      <c r="H73" t="str">
        <f t="array" ref="H73">IFERROR(IF(COUNTIFS('Match Log'!$A$4:$A$810,$A73,'Match Log'!$E$4:$E$810,"Win")&gt;1,_xlfn.TEXTJOIN(" + ",TRUE,IF(('Match Log'!$A$4:$A$810=$A73)*('Match Log'!$E$4:$E$810="Loss"),'Match Log'!$D$4:$D$810,"")),IF($E73=2,LOOKUP(2,1/(('Match Log'!$A$4:$A$810=$A73)*('Match Log'!$E$4:$E$810="Loss")),'Match Log'!$D$4:$D$810),"the field")),"")</f>
        <v>Daniel (Ferret)</v>
      </c>
      <c r="I73">
        <f t="shared" si="20"/>
        <v>0.19995099999999996</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994.16654867186321</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960.91829655681227</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994.16654867186321</v>
      </c>
      <c r="S74">
        <f>IF($J74&gt;MAX('Match Log'!$A$4:$A$810),NA(),IFERROR(LOOKUP(2,1/(('Match Log'!$D$4:$D$810=$S$24)*('Match Log'!$A$4:$A$810&lt;=$J74)),'Match Log'!$N$4:$N$810),NA()))</f>
        <v>1051.5351713835635</v>
      </c>
      <c r="T74">
        <f>IF($J74&gt;MAX('Match Log'!$A$4:$A$810),NA(),IFERROR(LOOKUP(2,1/(('Match Log'!$D$4:$D$810=$T$24)*('Match Log'!$A$4:$A$810&lt;=$J74)),'Match Log'!$N$4:$N$810),NA()))</f>
        <v>914.42496189230224</v>
      </c>
      <c r="U74">
        <f>IF($J74&gt;MAX('Match Log'!$A$4:$A$810),NA(),IFERROR(LOOKUP(2,1/(('Match Log'!$D$4:$D$810=$U$24)*('Match Log'!$A$4:$A$810&lt;=$J74)),'Match Log'!$N$4:$N$810),NA()))</f>
        <v>940.77949600573038</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994.16654867186321</v>
      </c>
      <c r="S75">
        <f>IF($J75&gt;MAX('Match Log'!$A$4:$A$810),NA(),IFERROR(LOOKUP(2,1/(('Match Log'!$D$4:$D$810=$S$24)*('Match Log'!$A$4:$A$810&lt;=$J75)),'Match Log'!$N$4:$N$810),NA()))</f>
        <v>1069.239243353531</v>
      </c>
      <c r="T75">
        <f>IF($J75&gt;MAX('Match Log'!$A$4:$A$810),NA(),IFERROR(LOOKUP(2,1/(('Match Log'!$D$4:$D$810=$T$24)*('Match Log'!$A$4:$A$810&lt;=$J75)),'Match Log'!$N$4:$N$810),NA()))</f>
        <v>914.42496189230224</v>
      </c>
      <c r="U75">
        <f>IF($J75&gt;MAX('Match Log'!$A$4:$A$810),NA(),IFERROR(LOOKUP(2,1/(('Match Log'!$D$4:$D$810=$U$24)*('Match Log'!$A$4:$A$810&lt;=$J75)),'Match Log'!$N$4:$N$810),NA()))</f>
        <v>923.07542403576281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994.16654867186321</v>
      </c>
      <c r="S76">
        <f>IF($J76&gt;MAX('Match Log'!$A$4:$A$810),NA(),IFERROR(LOOKUP(2,1/(('Match Log'!$D$4:$D$810=$S$24)*('Match Log'!$A$4:$A$810&lt;=$J76)),'Match Log'!$N$4:$N$810),NA()))</f>
        <v>1085.0465286626036</v>
      </c>
      <c r="T76">
        <f>IF($J76&gt;MAX('Match Log'!$A$4:$A$810),NA(),IFERROR(LOOKUP(2,1/(('Match Log'!$D$4:$D$810=$T$24)*('Match Log'!$A$4:$A$810&lt;=$J76)),'Match Log'!$N$4:$N$810),NA()))</f>
        <v>914.42496189230224</v>
      </c>
      <c r="U76">
        <f>IF($J76&gt;MAX('Match Log'!$A$4:$A$810),NA(),IFERROR(LOOKUP(2,1/(('Match Log'!$D$4:$D$810=$U$24)*('Match Log'!$A$4:$A$810&lt;=$J76)),'Match Log'!$N$4:$N$810),NA()))</f>
        <v>907.26813872669015</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994.16654867186321</v>
      </c>
      <c r="S77">
        <f>IF($J77&gt;MAX('Match Log'!$A$4:$A$810),NA(),IFERROR(LOOKUP(2,1/(('Match Log'!$D$4:$D$810=$S$24)*('Match Log'!$A$4:$A$810&lt;=$J77)),'Match Log'!$N$4:$N$810),NA()))</f>
        <v>1054.7322046090017</v>
      </c>
      <c r="T77">
        <f>IF($J77&gt;MAX('Match Log'!$A$4:$A$810),NA(),IFERROR(LOOKUP(2,1/(('Match Log'!$D$4:$D$810=$T$24)*('Match Log'!$A$4:$A$810&lt;=$J77)),'Match Log'!$N$4:$N$810),NA()))</f>
        <v>914.42496189230224</v>
      </c>
      <c r="U77">
        <f>IF($J77&gt;MAX('Match Log'!$A$4:$A$810),NA(),IFERROR(LOOKUP(2,1/(('Match Log'!$D$4:$D$810=$U$24)*('Match Log'!$A$4:$A$810&lt;=$J77)),'Match Log'!$N$4:$N$810),NA()))</f>
        <v>937.58246278029208</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975.33097176714045</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994.16654867186321</v>
      </c>
      <c r="S78">
        <f>IF($J78&gt;MAX('Match Log'!$A$4:$A$810),NA(),IFERROR(LOOKUP(2,1/(('Match Log'!$D$4:$D$810=$S$24)*('Match Log'!$A$4:$A$810&lt;=$J78)),'Match Log'!$N$4:$N$810),NA()))</f>
        <v>1054.7322046090017</v>
      </c>
      <c r="T78">
        <f>IF($J78&gt;MAX('Match Log'!$A$4:$A$810),NA(),IFERROR(LOOKUP(2,1/(('Match Log'!$D$4:$D$810=$T$24)*('Match Log'!$A$4:$A$810&lt;=$J78)),'Match Log'!$N$4:$N$810),NA()))</f>
        <v>914.42496189230224</v>
      </c>
      <c r="U78">
        <f>IF($J78&gt;MAX('Match Log'!$A$4:$A$810),NA(),IFERROR(LOOKUP(2,1/(('Match Log'!$D$4:$D$810=$U$24)*('Match Log'!$A$4:$A$810&lt;=$J78)),'Match Log'!$N$4:$N$810),NA()))</f>
        <v>962.25149101315162</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975.33097176714045</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983.06074452161181</v>
      </c>
      <c r="Q79">
        <f>IF($J79&gt;MAX('Match Log'!$A$4:$A$810),NA(),IFERROR(LOOKUP(2,1/(('Match Log'!$D$4:$D$810=$Q$24)*('Match Log'!$A$4:$A$810&lt;=$J79)),'Match Log'!$N$4:$N$810),NA()))</f>
        <v>1004.2142857142857</v>
      </c>
      <c r="R79">
        <f>IF($J79&gt;MAX('Match Log'!$A$4:$A$810),NA(),IFERROR(LOOKUP(2,1/(('Match Log'!$D$4:$D$810=$R$24)*('Match Log'!$A$4:$A$810&lt;=$J79)),'Match Log'!$N$4:$N$810),NA()))</f>
        <v>994.16654867186321</v>
      </c>
      <c r="S79">
        <f>IF($J79&gt;MAX('Match Log'!$A$4:$A$810),NA(),IFERROR(LOOKUP(2,1/(('Match Log'!$D$4:$D$810=$S$24)*('Match Log'!$A$4:$A$810&lt;=$J79)),'Match Log'!$N$4:$N$810),NA()))</f>
        <v>1054.7322046090017</v>
      </c>
      <c r="T79">
        <f>IF($J79&gt;MAX('Match Log'!$A$4:$A$810),NA(),IFERROR(LOOKUP(2,1/(('Match Log'!$D$4:$D$810=$T$24)*('Match Log'!$A$4:$A$810&lt;=$J79)),'Match Log'!$N$4:$N$810),NA()))</f>
        <v>914.42496189230224</v>
      </c>
      <c r="U79">
        <f>IF($J79&gt;MAX('Match Log'!$A$4:$A$810),NA(),IFERROR(LOOKUP(2,1/(('Match Log'!$D$4:$D$810=$U$24)*('Match Log'!$A$4:$A$810&lt;=$J79)),'Match Log'!$N$4:$N$810),NA()))</f>
        <v>986.66509914651715</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975.33097176714045</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1122.1458342010349</v>
      </c>
      <c r="P80">
        <f>IF($J80&gt;MAX('Match Log'!$A$4:$A$810),NA(),IFERROR(LOOKUP(2,1/(('Match Log'!$D$4:$D$810=$P$24)*('Match Log'!$A$4:$A$810&lt;=$J80)),'Match Log'!$N$4:$N$810),NA()))</f>
        <v>1012.2562816449486</v>
      </c>
      <c r="Q80">
        <f>IF($J80&gt;MAX('Match Log'!$A$4:$A$810),NA(),IFERROR(LOOKUP(2,1/(('Match Log'!$D$4:$D$810=$Q$24)*('Match Log'!$A$4:$A$810&lt;=$J80)),'Match Log'!$N$4:$N$810),NA()))</f>
        <v>1004.2142857142857</v>
      </c>
      <c r="R80">
        <f>IF($J80&gt;MAX('Match Log'!$A$4:$A$810),NA(),IFERROR(LOOKUP(2,1/(('Match Log'!$D$4:$D$810=$R$24)*('Match Log'!$A$4:$A$810&lt;=$J80)),'Match Log'!$N$4:$N$810),NA()))</f>
        <v>994.16654867186321</v>
      </c>
      <c r="S80">
        <f>IF($J80&gt;MAX('Match Log'!$A$4:$A$810),NA(),IFERROR(LOOKUP(2,1/(('Match Log'!$D$4:$D$810=$S$24)*('Match Log'!$A$4:$A$810&lt;=$J80)),'Match Log'!$N$4:$N$810),NA()))</f>
        <v>1054.7322046090017</v>
      </c>
      <c r="T80">
        <f>IF($J80&gt;MAX('Match Log'!$A$4:$A$810),NA(),IFERROR(LOOKUP(2,1/(('Match Log'!$D$4:$D$810=$T$24)*('Match Log'!$A$4:$A$810&lt;=$J80)),'Match Log'!$N$4:$N$810),NA()))</f>
        <v>914.42496189230224</v>
      </c>
      <c r="U80">
        <f>IF($J80&gt;MAX('Match Log'!$A$4:$A$810),NA(),IFERROR(LOOKUP(2,1/(('Match Log'!$D$4:$D$810=$U$24)*('Match Log'!$A$4:$A$810&lt;=$J80)),'Match Log'!$N$4:$N$810),NA()))</f>
        <v>986.66509914651715</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975.33097176714045</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1122.1458342010349</v>
      </c>
      <c r="P81">
        <f>IF($J81&gt;MAX('Match Log'!$A$4:$A$810),NA(),IFERROR(LOOKUP(2,1/(('Match Log'!$D$4:$D$810=$P$24)*('Match Log'!$A$4:$A$810&lt;=$J81)),'Match Log'!$N$4:$N$810),NA()))</f>
        <v>1012.2562816449486</v>
      </c>
      <c r="Q81">
        <f>IF($J81&gt;MAX('Match Log'!$A$4:$A$810),NA(),IFERROR(LOOKUP(2,1/(('Match Log'!$D$4:$D$810=$Q$24)*('Match Log'!$A$4:$A$810&lt;=$J81)),'Match Log'!$N$4:$N$810),NA()))</f>
        <v>1004.2142857142857</v>
      </c>
      <c r="R81">
        <f>IF($J81&gt;MAX('Match Log'!$A$4:$A$810),NA(),IFERROR(LOOKUP(2,1/(('Match Log'!$D$4:$D$810=$R$24)*('Match Log'!$A$4:$A$810&lt;=$J81)),'Match Log'!$N$4:$N$810),NA()))</f>
        <v>994.16654867186321</v>
      </c>
      <c r="S81">
        <f>IF($J81&gt;MAX('Match Log'!$A$4:$A$810),NA(),IFERROR(LOOKUP(2,1/(('Match Log'!$D$4:$D$810=$S$24)*('Match Log'!$A$4:$A$810&lt;=$J81)),'Match Log'!$N$4:$N$810),NA()))</f>
        <v>1054.7322046090017</v>
      </c>
      <c r="T81">
        <f>IF($J81&gt;MAX('Match Log'!$A$4:$A$810),NA(),IFERROR(LOOKUP(2,1/(('Match Log'!$D$4:$D$810=$T$24)*('Match Log'!$A$4:$A$810&lt;=$J81)),'Match Log'!$N$4:$N$810),NA()))</f>
        <v>914.42496189230224</v>
      </c>
      <c r="U81">
        <f>IF($J81&gt;MAX('Match Log'!$A$4:$A$810),NA(),IFERROR(LOOKUP(2,1/(('Match Log'!$D$4:$D$810=$U$24)*('Match Log'!$A$4:$A$810&lt;=$J81)),'Match Log'!$N$4:$N$810),NA()))</f>
        <v>986.66509914651715</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975.33097176714045</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1122.1458342010349</v>
      </c>
      <c r="P82">
        <f>IF($J82&gt;MAX('Match Log'!$A$4:$A$810),NA(),IFERROR(LOOKUP(2,1/(('Match Log'!$D$4:$D$810=$P$24)*('Match Log'!$A$4:$A$810&lt;=$J82)),'Match Log'!$N$4:$N$810),NA()))</f>
        <v>1012.2562816449486</v>
      </c>
      <c r="Q82">
        <f>IF($J82&gt;MAX('Match Log'!$A$4:$A$810),NA(),IFERROR(LOOKUP(2,1/(('Match Log'!$D$4:$D$810=$Q$24)*('Match Log'!$A$4:$A$810&lt;=$J82)),'Match Log'!$N$4:$N$810),NA()))</f>
        <v>1004.2142857142857</v>
      </c>
      <c r="R82">
        <f>IF($J82&gt;MAX('Match Log'!$A$4:$A$810),NA(),IFERROR(LOOKUP(2,1/(('Match Log'!$D$4:$D$810=$R$24)*('Match Log'!$A$4:$A$810&lt;=$J82)),'Match Log'!$N$4:$N$810),NA()))</f>
        <v>974.92778705998126</v>
      </c>
      <c r="S82">
        <f>IF($J82&gt;MAX('Match Log'!$A$4:$A$810),NA(),IFERROR(LOOKUP(2,1/(('Match Log'!$D$4:$D$810=$S$24)*('Match Log'!$A$4:$A$810&lt;=$J82)),'Match Log'!$N$4:$N$810),NA()))</f>
        <v>1073.9709662208836</v>
      </c>
      <c r="T82">
        <f>IF($J82&gt;MAX('Match Log'!$A$4:$A$810),NA(),IFERROR(LOOKUP(2,1/(('Match Log'!$D$4:$D$810=$T$24)*('Match Log'!$A$4:$A$810&lt;=$J82)),'Match Log'!$N$4:$N$810),NA()))</f>
        <v>914.42496189230224</v>
      </c>
      <c r="U82">
        <f>IF($J82&gt;MAX('Match Log'!$A$4:$A$810),NA(),IFERROR(LOOKUP(2,1/(('Match Log'!$D$4:$D$810=$U$24)*('Match Log'!$A$4:$A$810&lt;=$J82)),'Match Log'!$N$4:$N$810),NA()))</f>
        <v>986.66509914651715</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975.33097176714045</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1122.1458342010349</v>
      </c>
      <c r="P83">
        <f>IF($J83&gt;MAX('Match Log'!$A$4:$A$810),NA(),IFERROR(LOOKUP(2,1/(('Match Log'!$D$4:$D$810=$P$24)*('Match Log'!$A$4:$A$810&lt;=$J83)),'Match Log'!$N$4:$N$810),NA()))</f>
        <v>1012.2562816449486</v>
      </c>
      <c r="Q83">
        <f>IF($J83&gt;MAX('Match Log'!$A$4:$A$810),NA(),IFERROR(LOOKUP(2,1/(('Match Log'!$D$4:$D$810=$Q$24)*('Match Log'!$A$4:$A$810&lt;=$J83)),'Match Log'!$N$4:$N$810),NA()))</f>
        <v>1026.5608547405914</v>
      </c>
      <c r="R83">
        <f>IF($J83&gt;MAX('Match Log'!$A$4:$A$810),NA(),IFERROR(LOOKUP(2,1/(('Match Log'!$D$4:$D$810=$R$24)*('Match Log'!$A$4:$A$810&lt;=$J83)),'Match Log'!$N$4:$N$810),NA()))</f>
        <v>974.92778705998126</v>
      </c>
      <c r="S83">
        <f>IF($J83&gt;MAX('Match Log'!$A$4:$A$810),NA(),IFERROR(LOOKUP(2,1/(('Match Log'!$D$4:$D$810=$S$24)*('Match Log'!$A$4:$A$810&lt;=$J83)),'Match Log'!$N$4:$N$810),NA()))</f>
        <v>1073.9709662208836</v>
      </c>
      <c r="T83">
        <f>IF($J83&gt;MAX('Match Log'!$A$4:$A$810),NA(),IFERROR(LOOKUP(2,1/(('Match Log'!$D$4:$D$810=$T$24)*('Match Log'!$A$4:$A$810&lt;=$J83)),'Match Log'!$N$4:$N$810),NA()))</f>
        <v>914.42496189230224</v>
      </c>
      <c r="U83">
        <f>IF($J83&gt;MAX('Match Log'!$A$4:$A$810),NA(),IFERROR(LOOKUP(2,1/(('Match Log'!$D$4:$D$810=$U$24)*('Match Log'!$A$4:$A$810&lt;=$J83)),'Match Log'!$N$4:$N$810),NA()))</f>
        <v>986.66509914651715</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994.55452889075195</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1122.1458342010349</v>
      </c>
      <c r="P84">
        <f>IF($J84&gt;MAX('Match Log'!$A$4:$A$810),NA(),IFERROR(LOOKUP(2,1/(('Match Log'!$D$4:$D$810=$P$24)*('Match Log'!$A$4:$A$810&lt;=$J84)),'Match Log'!$N$4:$N$810),NA()))</f>
        <v>1012.2562816449486</v>
      </c>
      <c r="Q84">
        <f>IF($J84&gt;MAX('Match Log'!$A$4:$A$810),NA(),IFERROR(LOOKUP(2,1/(('Match Log'!$D$4:$D$810=$Q$24)*('Match Log'!$A$4:$A$810&lt;=$J84)),'Match Log'!$N$4:$N$810),NA()))</f>
        <v>1026.5608547405914</v>
      </c>
      <c r="R84">
        <f>IF($J84&gt;MAX('Match Log'!$A$4:$A$810),NA(),IFERROR(LOOKUP(2,1/(('Match Log'!$D$4:$D$810=$R$24)*('Match Log'!$A$4:$A$810&lt;=$J84)),'Match Log'!$N$4:$N$810),NA()))</f>
        <v>974.92778705998126</v>
      </c>
      <c r="S84">
        <f>IF($J84&gt;MAX('Match Log'!$A$4:$A$810),NA(),IFERROR(LOOKUP(2,1/(('Match Log'!$D$4:$D$810=$S$24)*('Match Log'!$A$4:$A$810&lt;=$J84)),'Match Log'!$N$4:$N$810),NA()))</f>
        <v>1073.9709662208836</v>
      </c>
      <c r="T84">
        <f>IF($J84&gt;MAX('Match Log'!$A$4:$A$810),NA(),IFERROR(LOOKUP(2,1/(('Match Log'!$D$4:$D$810=$T$24)*('Match Log'!$A$4:$A$810&lt;=$J84)),'Match Log'!$N$4:$N$810),NA()))</f>
        <v>895.20140476869074</v>
      </c>
      <c r="U84">
        <f>IF($J84&gt;MAX('Match Log'!$A$4:$A$810),NA(),IFERROR(LOOKUP(2,1/(('Match Log'!$D$4:$D$810=$U$24)*('Match Log'!$A$4:$A$810&lt;=$J84)),'Match Log'!$N$4:$N$810),NA()))</f>
        <v>986.66509914651715</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994.55452889075195</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1122.1458342010349</v>
      </c>
      <c r="P85">
        <f>IF($J85&gt;MAX('Match Log'!$A$4:$A$810),NA(),IFERROR(LOOKUP(2,1/(('Match Log'!$D$4:$D$810=$P$24)*('Match Log'!$A$4:$A$810&lt;=$J85)),'Match Log'!$N$4:$N$810),NA()))</f>
        <v>988.19417301284341</v>
      </c>
      <c r="Q85">
        <f>IF($J85&gt;MAX('Match Log'!$A$4:$A$810),NA(),IFERROR(LOOKUP(2,1/(('Match Log'!$D$4:$D$810=$Q$24)*('Match Log'!$A$4:$A$810&lt;=$J85)),'Match Log'!$N$4:$N$810),NA()))</f>
        <v>1026.5608547405914</v>
      </c>
      <c r="R85">
        <f>IF($J85&gt;MAX('Match Log'!$A$4:$A$810),NA(),IFERROR(LOOKUP(2,1/(('Match Log'!$D$4:$D$810=$R$24)*('Match Log'!$A$4:$A$810&lt;=$J85)),'Match Log'!$N$4:$N$810),NA()))</f>
        <v>974.92778705998126</v>
      </c>
      <c r="S85">
        <f>IF($J85&gt;MAX('Match Log'!$A$4:$A$810),NA(),IFERROR(LOOKUP(2,1/(('Match Log'!$D$4:$D$810=$S$24)*('Match Log'!$A$4:$A$810&lt;=$J85)),'Match Log'!$N$4:$N$810),NA()))</f>
        <v>1073.9709662208836</v>
      </c>
      <c r="T85">
        <f>IF($J85&gt;MAX('Match Log'!$A$4:$A$810),NA(),IFERROR(LOOKUP(2,1/(('Match Log'!$D$4:$D$810=$T$24)*('Match Log'!$A$4:$A$810&lt;=$J85)),'Match Log'!$N$4:$N$810),NA()))</f>
        <v>895.20140476869074</v>
      </c>
      <c r="U85">
        <f>IF($J85&gt;MAX('Match Log'!$A$4:$A$810),NA(),IFERROR(LOOKUP(2,1/(('Match Log'!$D$4:$D$810=$U$24)*('Match Log'!$A$4:$A$810&lt;=$J85)),'Match Log'!$N$4:$N$810),NA()))</f>
        <v>1010.7272077786223</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994.55452889075195</v>
      </c>
      <c r="M86">
        <f>IF($J86&gt;MAX('Match Log'!$A$4:$A$810),NA(),IFERROR(LOOKUP(2,1/(('Match Log'!$D$4:$D$810=$M$24)*('Match Log'!$A$4:$A$810&lt;=$J86)),'Match Log'!$N$4:$N$810),NA()))</f>
        <v>1000.0398229848671</v>
      </c>
      <c r="N86">
        <f>IF($J86&gt;MAX('Match Log'!$A$4:$A$810),NA(),IFERROR(LOOKUP(2,1/(('Match Log'!$D$4:$D$810=$N$24)*('Match Log'!$A$4:$A$810&lt;=$J86)),'Match Log'!$N$4:$N$810),NA()))</f>
        <v>951.2737556356999</v>
      </c>
      <c r="O86">
        <f>IF($J86&gt;MAX('Match Log'!$A$4:$A$810),NA(),IFERROR(LOOKUP(2,1/(('Match Log'!$D$4:$D$810=$O$24)*('Match Log'!$A$4:$A$810&lt;=$J86)),'Match Log'!$N$4:$N$810),NA()))</f>
        <v>1122.1458342010349</v>
      </c>
      <c r="P86">
        <f>IF($J86&gt;MAX('Match Log'!$A$4:$A$810),NA(),IFERROR(LOOKUP(2,1/(('Match Log'!$D$4:$D$810=$P$24)*('Match Log'!$A$4:$A$810&lt;=$J86)),'Match Log'!$N$4:$N$810),NA()))</f>
        <v>988.19417301284341</v>
      </c>
      <c r="Q86">
        <f>IF($J86&gt;MAX('Match Log'!$A$4:$A$810),NA(),IFERROR(LOOKUP(2,1/(('Match Log'!$D$4:$D$810=$Q$24)*('Match Log'!$A$4:$A$810&lt;=$J86)),'Match Log'!$N$4:$N$810),NA()))</f>
        <v>1026.5608547405914</v>
      </c>
      <c r="R86">
        <f>IF($J86&gt;MAX('Match Log'!$A$4:$A$810),NA(),IFERROR(LOOKUP(2,1/(('Match Log'!$D$4:$D$810=$R$24)*('Match Log'!$A$4:$A$810&lt;=$J86)),'Match Log'!$N$4:$N$810),NA()))</f>
        <v>974.92778705998126</v>
      </c>
      <c r="S86">
        <f>IF($J86&gt;MAX('Match Log'!$A$4:$A$810),NA(),IFERROR(LOOKUP(2,1/(('Match Log'!$D$4:$D$810=$S$24)*('Match Log'!$A$4:$A$810&lt;=$J86)),'Match Log'!$N$4:$N$810),NA()))</f>
        <v>1092.0378539776184</v>
      </c>
      <c r="T86">
        <f>IF($J86&gt;MAX('Match Log'!$A$4:$A$810),NA(),IFERROR(LOOKUP(2,1/(('Match Log'!$D$4:$D$810=$T$24)*('Match Log'!$A$4:$A$810&lt;=$J86)),'Match Log'!$N$4:$N$810),NA()))</f>
        <v>895.20140476869074</v>
      </c>
      <c r="U86">
        <f>IF($J86&gt;MAX('Match Log'!$A$4:$A$810),NA(),IFERROR(LOOKUP(2,1/(('Match Log'!$D$4:$D$810=$U$24)*('Match Log'!$A$4:$A$810&lt;=$J86)),'Match Log'!$N$4:$N$810),NA()))</f>
        <v>1010.7272077786223</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994.55452889075195</v>
      </c>
      <c r="M87">
        <f>IF($J87&gt;MAX('Match Log'!$A$4:$A$810),NA(),IFERROR(LOOKUP(2,1/(('Match Log'!$D$4:$D$810=$M$24)*('Match Log'!$A$4:$A$810&lt;=$J87)),'Match Log'!$N$4:$N$810),NA()))</f>
        <v>1000.0398229848671</v>
      </c>
      <c r="N87">
        <f>IF($J87&gt;MAX('Match Log'!$A$4:$A$810),NA(),IFERROR(LOOKUP(2,1/(('Match Log'!$D$4:$D$810=$N$24)*('Match Log'!$A$4:$A$810&lt;=$J87)),'Match Log'!$N$4:$N$810),NA()))</f>
        <v>951.2737556356999</v>
      </c>
      <c r="O87">
        <f>IF($J87&gt;MAX('Match Log'!$A$4:$A$810),NA(),IFERROR(LOOKUP(2,1/(('Match Log'!$D$4:$D$810=$O$24)*('Match Log'!$A$4:$A$810&lt;=$J87)),'Match Log'!$N$4:$N$810),NA()))</f>
        <v>1122.1458342010349</v>
      </c>
      <c r="P87">
        <f>IF($J87&gt;MAX('Match Log'!$A$4:$A$810),NA(),IFERROR(LOOKUP(2,1/(('Match Log'!$D$4:$D$810=$P$24)*('Match Log'!$A$4:$A$810&lt;=$J87)),'Match Log'!$N$4:$N$810),NA()))</f>
        <v>988.19417301284341</v>
      </c>
      <c r="Q87">
        <f>IF($J87&gt;MAX('Match Log'!$A$4:$A$810),NA(),IFERROR(LOOKUP(2,1/(('Match Log'!$D$4:$D$810=$Q$24)*('Match Log'!$A$4:$A$810&lt;=$J87)),'Match Log'!$N$4:$N$810),NA()))</f>
        <v>1047.9647947853223</v>
      </c>
      <c r="R87">
        <f>IF($J87&gt;MAX('Match Log'!$A$4:$A$810),NA(),IFERROR(LOOKUP(2,1/(('Match Log'!$D$4:$D$810=$R$24)*('Match Log'!$A$4:$A$810&lt;=$J87)),'Match Log'!$N$4:$N$810),NA()))</f>
        <v>974.92778705998126</v>
      </c>
      <c r="S87">
        <f>IF($J87&gt;MAX('Match Log'!$A$4:$A$810),NA(),IFERROR(LOOKUP(2,1/(('Match Log'!$D$4:$D$810=$S$24)*('Match Log'!$A$4:$A$810&lt;=$J87)),'Match Log'!$N$4:$N$810),NA()))</f>
        <v>1092.0378539776184</v>
      </c>
      <c r="T87">
        <f>IF($J87&gt;MAX('Match Log'!$A$4:$A$810),NA(),IFERROR(LOOKUP(2,1/(('Match Log'!$D$4:$D$810=$T$24)*('Match Log'!$A$4:$A$810&lt;=$J87)),'Match Log'!$N$4:$N$810),NA()))</f>
        <v>895.20140476869074</v>
      </c>
      <c r="U87">
        <f>IF($J87&gt;MAX('Match Log'!$A$4:$A$810),NA(),IFERROR(LOOKUP(2,1/(('Match Log'!$D$4:$D$810=$U$24)*('Match Log'!$A$4:$A$810&lt;=$J87)),'Match Log'!$N$4:$N$810),NA()))</f>
        <v>989.32326773389138</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994.55452889075195</v>
      </c>
      <c r="M88">
        <f>IF($J88&gt;MAX('Match Log'!$A$4:$A$810),NA(),IFERROR(LOOKUP(2,1/(('Match Log'!$D$4:$D$810=$M$24)*('Match Log'!$A$4:$A$810&lt;=$J88)),'Match Log'!$N$4:$N$810),NA()))</f>
        <v>1016.7837867075796</v>
      </c>
      <c r="N88">
        <f>IF($J88&gt;MAX('Match Log'!$A$4:$A$810),NA(),IFERROR(LOOKUP(2,1/(('Match Log'!$D$4:$D$810=$N$24)*('Match Log'!$A$4:$A$810&lt;=$J88)),'Match Log'!$N$4:$N$810),NA()))</f>
        <v>951.2737556356999</v>
      </c>
      <c r="O88">
        <f>IF($J88&gt;MAX('Match Log'!$A$4:$A$810),NA(),IFERROR(LOOKUP(2,1/(('Match Log'!$D$4:$D$810=$O$24)*('Match Log'!$A$4:$A$810&lt;=$J88)),'Match Log'!$N$4:$N$810),NA()))</f>
        <v>1122.1458342010349</v>
      </c>
      <c r="P88">
        <f>IF($J88&gt;MAX('Match Log'!$A$4:$A$810),NA(),IFERROR(LOOKUP(2,1/(('Match Log'!$D$4:$D$810=$P$24)*('Match Log'!$A$4:$A$810&lt;=$J88)),'Match Log'!$N$4:$N$810),NA()))</f>
        <v>988.19417301284341</v>
      </c>
      <c r="Q88">
        <f>IF($J88&gt;MAX('Match Log'!$A$4:$A$810),NA(),IFERROR(LOOKUP(2,1/(('Match Log'!$D$4:$D$810=$Q$24)*('Match Log'!$A$4:$A$810&lt;=$J88)),'Match Log'!$N$4:$N$810),NA()))</f>
        <v>1047.9647947853223</v>
      </c>
      <c r="R88">
        <f>IF($J88&gt;MAX('Match Log'!$A$4:$A$810),NA(),IFERROR(LOOKUP(2,1/(('Match Log'!$D$4:$D$810=$R$24)*('Match Log'!$A$4:$A$810&lt;=$J88)),'Match Log'!$N$4:$N$810),NA()))</f>
        <v>974.92778705998126</v>
      </c>
      <c r="S88">
        <f>IF($J88&gt;MAX('Match Log'!$A$4:$A$810),NA(),IFERROR(LOOKUP(2,1/(('Match Log'!$D$4:$D$810=$S$24)*('Match Log'!$A$4:$A$810&lt;=$J88)),'Match Log'!$N$4:$N$810),NA()))</f>
        <v>1092.0378539776184</v>
      </c>
      <c r="T88">
        <f>IF($J88&gt;MAX('Match Log'!$A$4:$A$810),NA(),IFERROR(LOOKUP(2,1/(('Match Log'!$D$4:$D$810=$T$24)*('Match Log'!$A$4:$A$810&lt;=$J88)),'Match Log'!$N$4:$N$810),NA()))</f>
        <v>878.45744104597827</v>
      </c>
      <c r="U88">
        <f>IF($J88&gt;MAX('Match Log'!$A$4:$A$810),NA(),IFERROR(LOOKUP(2,1/(('Match Log'!$D$4:$D$810=$U$24)*('Match Log'!$A$4:$A$810&lt;=$J88)),'Match Log'!$N$4:$N$810),NA()))</f>
        <v>989.32326773389138</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994.55452889075195</v>
      </c>
      <c r="M89">
        <f>IF($J89&gt;MAX('Match Log'!$A$4:$A$810),NA(),IFERROR(LOOKUP(2,1/(('Match Log'!$D$4:$D$810=$M$24)*('Match Log'!$A$4:$A$810&lt;=$J89)),'Match Log'!$N$4:$N$810),NA()))</f>
        <v>1016.7837867075796</v>
      </c>
      <c r="N89">
        <f>IF($J89&gt;MAX('Match Log'!$A$4:$A$810),NA(),IFERROR(LOOKUP(2,1/(('Match Log'!$D$4:$D$810=$N$24)*('Match Log'!$A$4:$A$810&lt;=$J89)),'Match Log'!$N$4:$N$810),NA()))</f>
        <v>951.2737556356999</v>
      </c>
      <c r="O89">
        <f>IF($J89&gt;MAX('Match Log'!$A$4:$A$810),NA(),IFERROR(LOOKUP(2,1/(('Match Log'!$D$4:$D$810=$O$24)*('Match Log'!$A$4:$A$810&lt;=$J89)),'Match Log'!$N$4:$N$810),NA()))</f>
        <v>1122.1458342010349</v>
      </c>
      <c r="P89">
        <f>IF($J89&gt;MAX('Match Log'!$A$4:$A$810),NA(),IFERROR(LOOKUP(2,1/(('Match Log'!$D$4:$D$810=$P$24)*('Match Log'!$A$4:$A$810&lt;=$J89)),'Match Log'!$N$4:$N$810),NA()))</f>
        <v>988.19417301284341</v>
      </c>
      <c r="Q89">
        <f>IF($J89&gt;MAX('Match Log'!$A$4:$A$810),NA(),IFERROR(LOOKUP(2,1/(('Match Log'!$D$4:$D$810=$Q$24)*('Match Log'!$A$4:$A$810&lt;=$J89)),'Match Log'!$N$4:$N$810),NA()))</f>
        <v>1047.9647947853223</v>
      </c>
      <c r="R89">
        <f>IF($J89&gt;MAX('Match Log'!$A$4:$A$810),NA(),IFERROR(LOOKUP(2,1/(('Match Log'!$D$4:$D$810=$R$24)*('Match Log'!$A$4:$A$810&lt;=$J89)),'Match Log'!$N$4:$N$810),NA()))</f>
        <v>974.92778705998126</v>
      </c>
      <c r="S89">
        <f>IF($J89&gt;MAX('Match Log'!$A$4:$A$810),NA(),IFERROR(LOOKUP(2,1/(('Match Log'!$D$4:$D$810=$S$24)*('Match Log'!$A$4:$A$810&lt;=$J89)),'Match Log'!$N$4:$N$810),NA()))</f>
        <v>1092.0378539776184</v>
      </c>
      <c r="T89">
        <f>IF($J89&gt;MAX('Match Log'!$A$4:$A$810),NA(),IFERROR(LOOKUP(2,1/(('Match Log'!$D$4:$D$810=$T$24)*('Match Log'!$A$4:$A$810&lt;=$J89)),'Match Log'!$N$4:$N$810),NA()))</f>
        <v>906.43903736198956</v>
      </c>
      <c r="U89">
        <f>IF($J89&gt;MAX('Match Log'!$A$4:$A$810),NA(),IFERROR(LOOKUP(2,1/(('Match Log'!$D$4:$D$810=$U$24)*('Match Log'!$A$4:$A$810&lt;=$J89)),'Match Log'!$N$4:$N$810),NA()))</f>
        <v>961.34167141788009</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994.55452889075195</v>
      </c>
      <c r="M90">
        <f>IF($J90&gt;MAX('Match Log'!$A$4:$A$810),NA(),IFERROR(LOOKUP(2,1/(('Match Log'!$D$4:$D$810=$M$24)*('Match Log'!$A$4:$A$810&lt;=$J90)),'Match Log'!$N$4:$N$810),NA()))</f>
        <v>1016.7837867075796</v>
      </c>
      <c r="N90">
        <f>IF($J90&gt;MAX('Match Log'!$A$4:$A$810),NA(),IFERROR(LOOKUP(2,1/(('Match Log'!$D$4:$D$810=$N$24)*('Match Log'!$A$4:$A$810&lt;=$J90)),'Match Log'!$N$4:$N$810),NA()))</f>
        <v>951.2737556356999</v>
      </c>
      <c r="O90">
        <f>IF($J90&gt;MAX('Match Log'!$A$4:$A$810),NA(),IFERROR(LOOKUP(2,1/(('Match Log'!$D$4:$D$810=$O$24)*('Match Log'!$A$4:$A$810&lt;=$J90)),'Match Log'!$N$4:$N$810),NA()))</f>
        <v>1122.1458342010349</v>
      </c>
      <c r="P90">
        <f>IF($J90&gt;MAX('Match Log'!$A$4:$A$810),NA(),IFERROR(LOOKUP(2,1/(('Match Log'!$D$4:$D$810=$P$24)*('Match Log'!$A$4:$A$810&lt;=$J90)),'Match Log'!$N$4:$N$810),NA()))</f>
        <v>988.19417301284341</v>
      </c>
      <c r="Q90">
        <f>IF($J90&gt;MAX('Match Log'!$A$4:$A$810),NA(),IFERROR(LOOKUP(2,1/(('Match Log'!$D$4:$D$810=$Q$24)*('Match Log'!$A$4:$A$810&lt;=$J90)),'Match Log'!$N$4:$N$810),NA()))</f>
        <v>1064.7958892852189</v>
      </c>
      <c r="R90">
        <f>IF($J90&gt;MAX('Match Log'!$A$4:$A$810),NA(),IFERROR(LOOKUP(2,1/(('Match Log'!$D$4:$D$810=$R$24)*('Match Log'!$A$4:$A$810&lt;=$J90)),'Match Log'!$N$4:$N$810),NA()))</f>
        <v>974.92778705998126</v>
      </c>
      <c r="S90">
        <f>IF($J90&gt;MAX('Match Log'!$A$4:$A$810),NA(),IFERROR(LOOKUP(2,1/(('Match Log'!$D$4:$D$810=$S$24)*('Match Log'!$A$4:$A$810&lt;=$J90)),'Match Log'!$N$4:$N$810),NA()))</f>
        <v>1092.0378539776184</v>
      </c>
      <c r="T90">
        <f>IF($J90&gt;MAX('Match Log'!$A$4:$A$810),NA(),IFERROR(LOOKUP(2,1/(('Match Log'!$D$4:$D$810=$T$24)*('Match Log'!$A$4:$A$810&lt;=$J90)),'Match Log'!$N$4:$N$810),NA()))</f>
        <v>906.43903736198956</v>
      </c>
      <c r="U90">
        <f>IF($J90&gt;MAX('Match Log'!$A$4:$A$810),NA(),IFERROR(LOOKUP(2,1/(('Match Log'!$D$4:$D$810=$U$24)*('Match Log'!$A$4:$A$810&lt;=$J90)),'Match Log'!$N$4:$N$810),NA()))</f>
        <v>944.5105769179836</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994.55452889075195</v>
      </c>
      <c r="M91">
        <f>IF($J91&gt;MAX('Match Log'!$A$4:$A$810),NA(),IFERROR(LOOKUP(2,1/(('Match Log'!$D$4:$D$810=$M$24)*('Match Log'!$A$4:$A$810&lt;=$J91)),'Match Log'!$N$4:$N$810),NA()))</f>
        <v>1016.7837867075796</v>
      </c>
      <c r="N91">
        <f>IF($J91&gt;MAX('Match Log'!$A$4:$A$810),NA(),IFERROR(LOOKUP(2,1/(('Match Log'!$D$4:$D$810=$N$24)*('Match Log'!$A$4:$A$810&lt;=$J91)),'Match Log'!$N$4:$N$810),NA()))</f>
        <v>951.2737556356999</v>
      </c>
      <c r="O91">
        <f>IF($J91&gt;MAX('Match Log'!$A$4:$A$810),NA(),IFERROR(LOOKUP(2,1/(('Match Log'!$D$4:$D$810=$O$24)*('Match Log'!$A$4:$A$810&lt;=$J91)),'Match Log'!$N$4:$N$810),NA()))</f>
        <v>1122.1458342010349</v>
      </c>
      <c r="P91">
        <f>IF($J91&gt;MAX('Match Log'!$A$4:$A$810),NA(),IFERROR(LOOKUP(2,1/(('Match Log'!$D$4:$D$810=$P$24)*('Match Log'!$A$4:$A$810&lt;=$J91)),'Match Log'!$N$4:$N$810),NA()))</f>
        <v>988.19417301284341</v>
      </c>
      <c r="Q91">
        <f>IF($J91&gt;MAX('Match Log'!$A$4:$A$810),NA(),IFERROR(LOOKUP(2,1/(('Match Log'!$D$4:$D$810=$Q$24)*('Match Log'!$A$4:$A$810&lt;=$J91)),'Match Log'!$N$4:$N$810),NA()))</f>
        <v>1064.7958892852189</v>
      </c>
      <c r="R91">
        <f>IF($J91&gt;MAX('Match Log'!$A$4:$A$810),NA(),IFERROR(LOOKUP(2,1/(('Match Log'!$D$4:$D$810=$R$24)*('Match Log'!$A$4:$A$810&lt;=$J91)),'Match Log'!$N$4:$N$810),NA()))</f>
        <v>974.92778705998126</v>
      </c>
      <c r="S91">
        <f>IF($J91&gt;MAX('Match Log'!$A$4:$A$810),NA(),IFERROR(LOOKUP(2,1/(('Match Log'!$D$4:$D$810=$S$24)*('Match Log'!$A$4:$A$810&lt;=$J91)),'Match Log'!$N$4:$N$810),NA()))</f>
        <v>1092.0378539776184</v>
      </c>
      <c r="T91">
        <f>IF($J91&gt;MAX('Match Log'!$A$4:$A$810),NA(),IFERROR(LOOKUP(2,1/(('Match Log'!$D$4:$D$810=$T$24)*('Match Log'!$A$4:$A$810&lt;=$J91)),'Match Log'!$N$4:$N$810),NA()))</f>
        <v>928.77798338306945</v>
      </c>
      <c r="U91">
        <f>IF($J91&gt;MAX('Match Log'!$A$4:$A$810),NA(),IFERROR(LOOKUP(2,1/(('Match Log'!$D$4:$D$810=$U$24)*('Match Log'!$A$4:$A$810&lt;=$J91)),'Match Log'!$N$4:$N$810),NA()))</f>
        <v>922.17163089690371</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994.55452889075195</v>
      </c>
      <c r="M92">
        <f>IF($J92&gt;MAX('Match Log'!$A$4:$A$810),NA(),IFERROR(LOOKUP(2,1/(('Match Log'!$D$4:$D$810=$M$24)*('Match Log'!$A$4:$A$810&lt;=$J92)),'Match Log'!$N$4:$N$810),NA()))</f>
        <v>1016.7837867075796</v>
      </c>
      <c r="N92">
        <f>IF($J92&gt;MAX('Match Log'!$A$4:$A$810),NA(),IFERROR(LOOKUP(2,1/(('Match Log'!$D$4:$D$810=$N$24)*('Match Log'!$A$4:$A$810&lt;=$J92)),'Match Log'!$N$4:$N$810),NA()))</f>
        <v>951.2737556356999</v>
      </c>
      <c r="O92">
        <f>IF($J92&gt;MAX('Match Log'!$A$4:$A$810),NA(),IFERROR(LOOKUP(2,1/(('Match Log'!$D$4:$D$810=$O$24)*('Match Log'!$A$4:$A$810&lt;=$J92)),'Match Log'!$N$4:$N$810),NA()))</f>
        <v>1122.1458342010349</v>
      </c>
      <c r="P92">
        <f>IF($J92&gt;MAX('Match Log'!$A$4:$A$810),NA(),IFERROR(LOOKUP(2,1/(('Match Log'!$D$4:$D$810=$P$24)*('Match Log'!$A$4:$A$810&lt;=$J92)),'Match Log'!$N$4:$N$810),NA()))</f>
        <v>988.19417301284341</v>
      </c>
      <c r="Q92">
        <f>IF($J92&gt;MAX('Match Log'!$A$4:$A$810),NA(),IFERROR(LOOKUP(2,1/(('Match Log'!$D$4:$D$810=$Q$24)*('Match Log'!$A$4:$A$810&lt;=$J92)),'Match Log'!$N$4:$N$810),NA()))</f>
        <v>1081.084406649305</v>
      </c>
      <c r="R92">
        <f>IF($J92&gt;MAX('Match Log'!$A$4:$A$810),NA(),IFERROR(LOOKUP(2,1/(('Match Log'!$D$4:$D$810=$R$24)*('Match Log'!$A$4:$A$810&lt;=$J92)),'Match Log'!$N$4:$N$810),NA()))</f>
        <v>974.92778705998126</v>
      </c>
      <c r="S92">
        <f>IF($J92&gt;MAX('Match Log'!$A$4:$A$810),NA(),IFERROR(LOOKUP(2,1/(('Match Log'!$D$4:$D$810=$S$24)*('Match Log'!$A$4:$A$810&lt;=$J92)),'Match Log'!$N$4:$N$810),NA()))</f>
        <v>1092.0378539776184</v>
      </c>
      <c r="T92">
        <f>IF($J92&gt;MAX('Match Log'!$A$4:$A$810),NA(),IFERROR(LOOKUP(2,1/(('Match Log'!$D$4:$D$810=$T$24)*('Match Log'!$A$4:$A$810&lt;=$J92)),'Match Log'!$N$4:$N$810),NA()))</f>
        <v>912.48946601898319</v>
      </c>
      <c r="U92">
        <f>IF($J92&gt;MAX('Match Log'!$A$4:$A$810),NA(),IFERROR(LOOKUP(2,1/(('Match Log'!$D$4:$D$810=$U$24)*('Match Log'!$A$4:$A$810&lt;=$J92)),'Match Log'!$N$4:$N$810),NA()))</f>
        <v>922.17163089690371</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994.55452889075195</v>
      </c>
      <c r="M93">
        <f>IF($J93&gt;MAX('Match Log'!$A$4:$A$810),NA(),IFERROR(LOOKUP(2,1/(('Match Log'!$D$4:$D$810=$M$24)*('Match Log'!$A$4:$A$810&lt;=$J93)),'Match Log'!$N$4:$N$810),NA()))</f>
        <v>1016.7837867075796</v>
      </c>
      <c r="N93">
        <f>IF($J93&gt;MAX('Match Log'!$A$4:$A$810),NA(),IFERROR(LOOKUP(2,1/(('Match Log'!$D$4:$D$810=$N$24)*('Match Log'!$A$4:$A$810&lt;=$J93)),'Match Log'!$N$4:$N$810),NA()))</f>
        <v>951.2737556356999</v>
      </c>
      <c r="O93">
        <f>IF($J93&gt;MAX('Match Log'!$A$4:$A$810),NA(),IFERROR(LOOKUP(2,1/(('Match Log'!$D$4:$D$810=$O$24)*('Match Log'!$A$4:$A$810&lt;=$J93)),'Match Log'!$N$4:$N$810),NA()))</f>
        <v>1141.0979346657248</v>
      </c>
      <c r="P93">
        <f>IF($J93&gt;MAX('Match Log'!$A$4:$A$810),NA(),IFERROR(LOOKUP(2,1/(('Match Log'!$D$4:$D$810=$P$24)*('Match Log'!$A$4:$A$810&lt;=$J93)),'Match Log'!$N$4:$N$810),NA()))</f>
        <v>1006.1027952166637</v>
      </c>
      <c r="Q93">
        <f>IF($J93&gt;MAX('Match Log'!$A$4:$A$810),NA(),IFERROR(LOOKUP(2,1/(('Match Log'!$D$4:$D$810=$Q$24)*('Match Log'!$A$4:$A$810&lt;=$J93)),'Match Log'!$N$4:$N$810),NA()))</f>
        <v>1081.084406649305</v>
      </c>
      <c r="R93">
        <f>IF($J93&gt;MAX('Match Log'!$A$4:$A$810),NA(),IFERROR(LOOKUP(2,1/(('Match Log'!$D$4:$D$810=$R$24)*('Match Log'!$A$4:$A$810&lt;=$J93)),'Match Log'!$N$4:$N$810),NA()))</f>
        <v>972.5500158693128</v>
      </c>
      <c r="S93">
        <f>IF($J93&gt;MAX('Match Log'!$A$4:$A$810),NA(),IFERROR(LOOKUP(2,1/(('Match Log'!$D$4:$D$810=$S$24)*('Match Log'!$A$4:$A$810&lt;=$J93)),'Match Log'!$N$4:$N$810),NA()))</f>
        <v>1085.5549024997767</v>
      </c>
      <c r="T93">
        <f>IF($J93&gt;MAX('Match Log'!$A$4:$A$810),NA(),IFERROR(LOOKUP(2,1/(('Match Log'!$D$4:$D$810=$T$24)*('Match Log'!$A$4:$A$810&lt;=$J93)),'Match Log'!$N$4:$N$810),NA()))</f>
        <v>912.48946601898319</v>
      </c>
      <c r="U93">
        <f>IF($J93&gt;MAX('Match Log'!$A$4:$A$810),NA(),IFERROR(LOOKUP(2,1/(('Match Log'!$D$4:$D$810=$U$24)*('Match Log'!$A$4:$A$810&lt;=$J93)),'Match Log'!$N$4:$N$810),NA()))</f>
        <v>922.17163089690371</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994.55452889075195</v>
      </c>
      <c r="M94">
        <f>IF($J94&gt;MAX('Match Log'!$A$4:$A$810),NA(),IFERROR(LOOKUP(2,1/(('Match Log'!$D$4:$D$810=$M$24)*('Match Log'!$A$4:$A$810&lt;=$J94)),'Match Log'!$N$4:$N$810),NA()))</f>
        <v>1016.7837867075796</v>
      </c>
      <c r="N94">
        <f>IF($J94&gt;MAX('Match Log'!$A$4:$A$810),NA(),IFERROR(LOOKUP(2,1/(('Match Log'!$D$4:$D$810=$N$24)*('Match Log'!$A$4:$A$810&lt;=$J94)),'Match Log'!$N$4:$N$810),NA()))</f>
        <v>951.2737556356999</v>
      </c>
      <c r="O94">
        <f>IF($J94&gt;MAX('Match Log'!$A$4:$A$810),NA(),IFERROR(LOOKUP(2,1/(('Match Log'!$D$4:$D$810=$O$24)*('Match Log'!$A$4:$A$810&lt;=$J94)),'Match Log'!$N$4:$N$810),NA()))</f>
        <v>1135.6654540973088</v>
      </c>
      <c r="P94">
        <f>IF($J94&gt;MAX('Match Log'!$A$4:$A$810),NA(),IFERROR(LOOKUP(2,1/(('Match Log'!$D$4:$D$810=$P$24)*('Match Log'!$A$4:$A$810&lt;=$J94)),'Match Log'!$N$4:$N$810),NA()))</f>
        <v>1001.511291599808</v>
      </c>
      <c r="Q94">
        <f>IF($J94&gt;MAX('Match Log'!$A$4:$A$810),NA(),IFERROR(LOOKUP(2,1/(('Match Log'!$D$4:$D$810=$Q$24)*('Match Log'!$A$4:$A$810&lt;=$J94)),'Match Log'!$N$4:$N$810),NA()))</f>
        <v>1098.6157120466619</v>
      </c>
      <c r="R94">
        <f>IF($J94&gt;MAX('Match Log'!$A$4:$A$810),NA(),IFERROR(LOOKUP(2,1/(('Match Log'!$D$4:$D$810=$R$24)*('Match Log'!$A$4:$A$810&lt;=$J94)),'Match Log'!$N$4:$N$810),NA()))</f>
        <v>972.5500158693128</v>
      </c>
      <c r="S94">
        <f>IF($J94&gt;MAX('Match Log'!$A$4:$A$810),NA(),IFERROR(LOOKUP(2,1/(('Match Log'!$D$4:$D$810=$S$24)*('Match Log'!$A$4:$A$810&lt;=$J94)),'Match Log'!$N$4:$N$810),NA()))</f>
        <v>1085.5549024997767</v>
      </c>
      <c r="T94">
        <f>IF($J94&gt;MAX('Match Log'!$A$4:$A$810),NA(),IFERROR(LOOKUP(2,1/(('Match Log'!$D$4:$D$810=$T$24)*('Match Log'!$A$4:$A$810&lt;=$J94)),'Match Log'!$N$4:$N$810),NA()))</f>
        <v>912.48946601898319</v>
      </c>
      <c r="U94">
        <f>IF($J94&gt;MAX('Match Log'!$A$4:$A$810),NA(),IFERROR(LOOKUP(2,1/(('Match Log'!$D$4:$D$810=$U$24)*('Match Log'!$A$4:$A$810&lt;=$J94)),'Match Log'!$N$4:$N$810),NA()))</f>
        <v>942.66430968481859</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994.55452889075195</v>
      </c>
      <c r="M95">
        <f>IF($J95&gt;MAX('Match Log'!$A$4:$A$810),NA(),IFERROR(LOOKUP(2,1/(('Match Log'!$D$4:$D$810=$M$24)*('Match Log'!$A$4:$A$810&lt;=$J95)),'Match Log'!$N$4:$N$810),NA()))</f>
        <v>1016.7837867075796</v>
      </c>
      <c r="N95">
        <f>IF($J95&gt;MAX('Match Log'!$A$4:$A$810),NA(),IFERROR(LOOKUP(2,1/(('Match Log'!$D$4:$D$810=$N$24)*('Match Log'!$A$4:$A$810&lt;=$J95)),'Match Log'!$N$4:$N$810),NA()))</f>
        <v>948.03610321390011</v>
      </c>
      <c r="O95">
        <f>IF($J95&gt;MAX('Match Log'!$A$4:$A$810),NA(),IFERROR(LOOKUP(2,1/(('Match Log'!$D$4:$D$810=$O$24)*('Match Log'!$A$4:$A$810&lt;=$J95)),'Match Log'!$N$4:$N$810),NA()))</f>
        <v>1135.6654540973088</v>
      </c>
      <c r="P95">
        <f>IF($J95&gt;MAX('Match Log'!$A$4:$A$810),NA(),IFERROR(LOOKUP(2,1/(('Match Log'!$D$4:$D$810=$P$24)*('Match Log'!$A$4:$A$810&lt;=$J95)),'Match Log'!$N$4:$N$810),NA()))</f>
        <v>1001.511291599808</v>
      </c>
      <c r="Q95">
        <f>IF($J95&gt;MAX('Match Log'!$A$4:$A$810),NA(),IFERROR(LOOKUP(2,1/(('Match Log'!$D$4:$D$810=$Q$24)*('Match Log'!$A$4:$A$810&lt;=$J95)),'Match Log'!$N$4:$N$810),NA()))</f>
        <v>1114.821738548716</v>
      </c>
      <c r="R95">
        <f>IF($J95&gt;MAX('Match Log'!$A$4:$A$810),NA(),IFERROR(LOOKUP(2,1/(('Match Log'!$D$4:$D$810=$R$24)*('Match Log'!$A$4:$A$810&lt;=$J95)),'Match Log'!$N$4:$N$810),NA()))</f>
        <v>972.5500158693128</v>
      </c>
      <c r="S95">
        <f>IF($J95&gt;MAX('Match Log'!$A$4:$A$810),NA(),IFERROR(LOOKUP(2,1/(('Match Log'!$D$4:$D$810=$S$24)*('Match Log'!$A$4:$A$810&lt;=$J95)),'Match Log'!$N$4:$N$810),NA()))</f>
        <v>1085.5549024997767</v>
      </c>
      <c r="T95">
        <f>IF($J95&gt;MAX('Match Log'!$A$4:$A$810),NA(),IFERROR(LOOKUP(2,1/(('Match Log'!$D$4:$D$810=$T$24)*('Match Log'!$A$4:$A$810&lt;=$J95)),'Match Log'!$N$4:$N$810),NA()))</f>
        <v>912.48946601898319</v>
      </c>
      <c r="U95">
        <f>IF($J95&gt;MAX('Match Log'!$A$4:$A$810),NA(),IFERROR(LOOKUP(2,1/(('Match Log'!$D$4:$D$810=$U$24)*('Match Log'!$A$4:$A$810&lt;=$J95)),'Match Log'!$N$4:$N$810),NA()))</f>
        <v>961.46233618687268</v>
      </c>
      <c r="V95">
        <f>IF($J95&gt;MAX('Match Log'!$A$4:$A$810),NA(),IFERROR(LOOKUP(2,1/(('Match Log'!$D$4:$D$810=$V$24)*('Match Log'!$A$4:$A$810&lt;=$J95)),'Match Log'!$N$4:$N$810),NA()))</f>
        <v>996.23359941769172</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1023.7594026829813</v>
      </c>
      <c r="L96">
        <f>IF($J96&gt;MAX('Match Log'!$A$4:$A$810),NA(),IFERROR(LOOKUP(2,1/(('Match Log'!$D$4:$D$810=$L$24)*('Match Log'!$A$4:$A$810&lt;=$J96)),'Match Log'!$N$4:$N$810),NA()))</f>
        <v>994.55452889075195</v>
      </c>
      <c r="M96">
        <f>IF($J96&gt;MAX('Match Log'!$A$4:$A$810),NA(),IFERROR(LOOKUP(2,1/(('Match Log'!$D$4:$D$810=$M$24)*('Match Log'!$A$4:$A$810&lt;=$J96)),'Match Log'!$N$4:$N$810),NA()))</f>
        <v>1016.7837867075796</v>
      </c>
      <c r="N96">
        <f>IF($J96&gt;MAX('Match Log'!$A$4:$A$810),NA(),IFERROR(LOOKUP(2,1/(('Match Log'!$D$4:$D$810=$N$24)*('Match Log'!$A$4:$A$810&lt;=$J96)),'Match Log'!$N$4:$N$810),NA()))</f>
        <v>948.03610321390011</v>
      </c>
      <c r="O96">
        <f>IF($J96&gt;MAX('Match Log'!$A$4:$A$810),NA(),IFERROR(LOOKUP(2,1/(('Match Log'!$D$4:$D$810=$O$24)*('Match Log'!$A$4:$A$810&lt;=$J96)),'Match Log'!$N$4:$N$810),NA()))</f>
        <v>1135.6654540973088</v>
      </c>
      <c r="P96">
        <f>IF($J96&gt;MAX('Match Log'!$A$4:$A$810),NA(),IFERROR(LOOKUP(2,1/(('Match Log'!$D$4:$D$810=$P$24)*('Match Log'!$A$4:$A$810&lt;=$J96)),'Match Log'!$N$4:$N$810),NA()))</f>
        <v>1001.511291599808</v>
      </c>
      <c r="Q96">
        <f>IF($J96&gt;MAX('Match Log'!$A$4:$A$810),NA(),IFERROR(LOOKUP(2,1/(('Match Log'!$D$4:$D$810=$Q$24)*('Match Log'!$A$4:$A$810&lt;=$J96)),'Match Log'!$N$4:$N$810),NA()))</f>
        <v>1130.1917963276956</v>
      </c>
      <c r="R96">
        <f>IF($J96&gt;MAX('Match Log'!$A$4:$A$810),NA(),IFERROR(LOOKUP(2,1/(('Match Log'!$D$4:$D$810=$R$24)*('Match Log'!$A$4:$A$810&lt;=$J96)),'Match Log'!$N$4:$N$810),NA()))</f>
        <v>972.5500158693128</v>
      </c>
      <c r="S96">
        <f>IF($J96&gt;MAX('Match Log'!$A$4:$A$810),NA(),IFERROR(LOOKUP(2,1/(('Match Log'!$D$4:$D$810=$S$24)*('Match Log'!$A$4:$A$810&lt;=$J96)),'Match Log'!$N$4:$N$810),NA()))</f>
        <v>1085.5549024997767</v>
      </c>
      <c r="T96">
        <f>IF($J96&gt;MAX('Match Log'!$A$4:$A$810),NA(),IFERROR(LOOKUP(2,1/(('Match Log'!$D$4:$D$810=$T$24)*('Match Log'!$A$4:$A$810&lt;=$J96)),'Match Log'!$N$4:$N$810),NA()))</f>
        <v>909.74082601830435</v>
      </c>
      <c r="U96">
        <f>IF($J96&gt;MAX('Match Log'!$A$4:$A$810),NA(),IFERROR(LOOKUP(2,1/(('Match Log'!$D$4:$D$810=$U$24)*('Match Log'!$A$4:$A$810&lt;=$J96)),'Match Log'!$N$4:$N$810),NA()))</f>
        <v>979.4182926748889</v>
      </c>
      <c r="V96">
        <f>IF($J96&gt;MAX('Match Log'!$A$4:$A$810),NA(),IFERROR(LOOKUP(2,1/(('Match Log'!$D$4:$D$810=$V$24)*('Match Log'!$A$4:$A$810&lt;=$J96)),'Match Log'!$N$4:$N$810),NA()))</f>
        <v>996.23359941769172</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1023.7594026829813</v>
      </c>
      <c r="L97">
        <f>IF($J97&gt;MAX('Match Log'!$A$4:$A$810),NA(),IFERROR(LOOKUP(2,1/(('Match Log'!$D$4:$D$810=$L$24)*('Match Log'!$A$4:$A$810&lt;=$J97)),'Match Log'!$N$4:$N$810),NA()))</f>
        <v>1013.2951826648067</v>
      </c>
      <c r="M97">
        <f>IF($J97&gt;MAX('Match Log'!$A$4:$A$810),NA(),IFERROR(LOOKUP(2,1/(('Match Log'!$D$4:$D$810=$M$24)*('Match Log'!$A$4:$A$810&lt;=$J97)),'Match Log'!$N$4:$N$810),NA()))</f>
        <v>1016.7837867075796</v>
      </c>
      <c r="N97">
        <f>IF($J97&gt;MAX('Match Log'!$A$4:$A$810),NA(),IFERROR(LOOKUP(2,1/(('Match Log'!$D$4:$D$810=$N$24)*('Match Log'!$A$4:$A$810&lt;=$J97)),'Match Log'!$N$4:$N$810),NA()))</f>
        <v>948.03610321390011</v>
      </c>
      <c r="O97">
        <f>IF($J97&gt;MAX('Match Log'!$A$4:$A$810),NA(),IFERROR(LOOKUP(2,1/(('Match Log'!$D$4:$D$810=$O$24)*('Match Log'!$A$4:$A$810&lt;=$J97)),'Match Log'!$N$4:$N$810),NA()))</f>
        <v>1135.6654540973088</v>
      </c>
      <c r="P97">
        <f>IF($J97&gt;MAX('Match Log'!$A$4:$A$810),NA(),IFERROR(LOOKUP(2,1/(('Match Log'!$D$4:$D$810=$P$24)*('Match Log'!$A$4:$A$810&lt;=$J97)),'Match Log'!$N$4:$N$810),NA()))</f>
        <v>1001.511291599808</v>
      </c>
      <c r="Q97">
        <f>IF($J97&gt;MAX('Match Log'!$A$4:$A$810),NA(),IFERROR(LOOKUP(2,1/(('Match Log'!$D$4:$D$810=$Q$24)*('Match Log'!$A$4:$A$810&lt;=$J97)),'Match Log'!$N$4:$N$810),NA()))</f>
        <v>1123.212203398283</v>
      </c>
      <c r="R97">
        <f>IF($J97&gt;MAX('Match Log'!$A$4:$A$810),NA(),IFERROR(LOOKUP(2,1/(('Match Log'!$D$4:$D$810=$R$24)*('Match Log'!$A$4:$A$810&lt;=$J97)),'Match Log'!$N$4:$N$810),NA()))</f>
        <v>972.5500158693128</v>
      </c>
      <c r="S97">
        <f>IF($J97&gt;MAX('Match Log'!$A$4:$A$810),NA(),IFERROR(LOOKUP(2,1/(('Match Log'!$D$4:$D$810=$S$24)*('Match Log'!$A$4:$A$810&lt;=$J97)),'Match Log'!$N$4:$N$810),NA()))</f>
        <v>1085.5549024997767</v>
      </c>
      <c r="T97">
        <f>IF($J97&gt;MAX('Match Log'!$A$4:$A$810),NA(),IFERROR(LOOKUP(2,1/(('Match Log'!$D$4:$D$810=$T$24)*('Match Log'!$A$4:$A$810&lt;=$J97)),'Match Log'!$N$4:$N$810),NA()))</f>
        <v>909.74082601830435</v>
      </c>
      <c r="U97">
        <f>IF($J97&gt;MAX('Match Log'!$A$4:$A$810),NA(),IFERROR(LOOKUP(2,1/(('Match Log'!$D$4:$D$810=$U$24)*('Match Log'!$A$4:$A$810&lt;=$J97)),'Match Log'!$N$4:$N$810),NA()))</f>
        <v>976.13396936053971</v>
      </c>
      <c r="V97">
        <f>IF($J97&gt;MAX('Match Log'!$A$4:$A$810),NA(),IFERROR(LOOKUP(2,1/(('Match Log'!$D$4:$D$810=$V$24)*('Match Log'!$A$4:$A$810&lt;=$J97)),'Match Log'!$N$4:$N$810),NA()))</f>
        <v>996.23359941769172</v>
      </c>
      <c r="W97">
        <f>IF($J97&gt;MAX('Match Log'!$A$4:$A$810),NA(),IFERROR(LOOKUP(2,1/(('Match Log'!$D$4:$D$810=$W$24)*('Match Log'!$A$4:$A$810&lt;=$J97)),'Match Log'!$N$4:$N$810),NA()))</f>
        <v>1019.523262469707</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1023.7594026829813</v>
      </c>
      <c r="L98">
        <f>IF($J98&gt;MAX('Match Log'!$A$4:$A$810),NA(),IFERROR(LOOKUP(2,1/(('Match Log'!$D$4:$D$810=$L$24)*('Match Log'!$A$4:$A$810&lt;=$J98)),'Match Log'!$N$4:$N$810),NA()))</f>
        <v>1008.4472093066528</v>
      </c>
      <c r="M98">
        <f>IF($J98&gt;MAX('Match Log'!$A$4:$A$810),NA(),IFERROR(LOOKUP(2,1/(('Match Log'!$D$4:$D$810=$M$24)*('Match Log'!$A$4:$A$810&lt;=$J98)),'Match Log'!$N$4:$N$810),NA()))</f>
        <v>1016.7837867075796</v>
      </c>
      <c r="N98">
        <f>IF($J98&gt;MAX('Match Log'!$A$4:$A$810),NA(),IFERROR(LOOKUP(2,1/(('Match Log'!$D$4:$D$810=$N$24)*('Match Log'!$A$4:$A$810&lt;=$J98)),'Match Log'!$N$4:$N$810),NA()))</f>
        <v>948.03610321390011</v>
      </c>
      <c r="O98">
        <f>IF($J98&gt;MAX('Match Log'!$A$4:$A$810),NA(),IFERROR(LOOKUP(2,1/(('Match Log'!$D$4:$D$810=$O$24)*('Match Log'!$A$4:$A$810&lt;=$J98)),'Match Log'!$N$4:$N$810),NA()))</f>
        <v>1154.5683744118867</v>
      </c>
      <c r="P98">
        <f>IF($J98&gt;MAX('Match Log'!$A$4:$A$810),NA(),IFERROR(LOOKUP(2,1/(('Match Log'!$D$4:$D$810=$P$24)*('Match Log'!$A$4:$A$810&lt;=$J98)),'Match Log'!$N$4:$N$810),NA()))</f>
        <v>1019.8962263028751</v>
      </c>
      <c r="Q98">
        <f>IF($J98&gt;MAX('Match Log'!$A$4:$A$810),NA(),IFERROR(LOOKUP(2,1/(('Match Log'!$D$4:$D$810=$Q$24)*('Match Log'!$A$4:$A$810&lt;=$J98)),'Match Log'!$N$4:$N$810),NA()))</f>
        <v>1123.212203398283</v>
      </c>
      <c r="R98">
        <f>IF($J98&gt;MAX('Match Log'!$A$4:$A$810),NA(),IFERROR(LOOKUP(2,1/(('Match Log'!$D$4:$D$810=$R$24)*('Match Log'!$A$4:$A$810&lt;=$J98)),'Match Log'!$N$4:$N$810),NA()))</f>
        <v>972.5500158693128</v>
      </c>
      <c r="S98">
        <f>IF($J98&gt;MAX('Match Log'!$A$4:$A$810),NA(),IFERROR(LOOKUP(2,1/(('Match Log'!$D$4:$D$810=$S$24)*('Match Log'!$A$4:$A$810&lt;=$J98)),'Match Log'!$N$4:$N$810),NA()))</f>
        <v>1085.5549024997767</v>
      </c>
      <c r="T98">
        <f>IF($J98&gt;MAX('Match Log'!$A$4:$A$810),NA(),IFERROR(LOOKUP(2,1/(('Match Log'!$D$4:$D$810=$T$24)*('Match Log'!$A$4:$A$810&lt;=$J98)),'Match Log'!$N$4:$N$810),NA()))</f>
        <v>909.74082601830435</v>
      </c>
      <c r="U98">
        <f>IF($J98&gt;MAX('Match Log'!$A$4:$A$810),NA(),IFERROR(LOOKUP(2,1/(('Match Log'!$D$4:$D$810=$U$24)*('Match Log'!$A$4:$A$810&lt;=$J98)),'Match Log'!$N$4:$N$810),NA()))</f>
        <v>976.13396936053971</v>
      </c>
      <c r="V98">
        <f>IF($J98&gt;MAX('Match Log'!$A$4:$A$810),NA(),IFERROR(LOOKUP(2,1/(('Match Log'!$D$4:$D$810=$V$24)*('Match Log'!$A$4:$A$810&lt;=$J98)),'Match Log'!$N$4:$N$810),NA()))</f>
        <v>996.23359941769172</v>
      </c>
      <c r="W98">
        <f>IF($J98&gt;MAX('Match Log'!$A$4:$A$810),NA(),IFERROR(LOOKUP(2,1/(('Match Log'!$D$4:$D$810=$W$24)*('Match Log'!$A$4:$A$810&lt;=$J98)),'Match Log'!$N$4:$N$810),NA()))</f>
        <v>1015.0833808102159</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1023.7594026829813</v>
      </c>
      <c r="L99">
        <f>IF($J99&gt;MAX('Match Log'!$A$4:$A$810),NA(),IFERROR(LOOKUP(2,1/(('Match Log'!$D$4:$D$810=$L$24)*('Match Log'!$A$4:$A$810&lt;=$J99)),'Match Log'!$N$4:$N$810),NA()))</f>
        <v>1008.4472093066528</v>
      </c>
      <c r="M99">
        <f>IF($J99&gt;MAX('Match Log'!$A$4:$A$810),NA(),IFERROR(LOOKUP(2,1/(('Match Log'!$D$4:$D$810=$M$24)*('Match Log'!$A$4:$A$810&lt;=$J99)),'Match Log'!$N$4:$N$810),NA()))</f>
        <v>1016.7837867075796</v>
      </c>
      <c r="N99">
        <f>IF($J99&gt;MAX('Match Log'!$A$4:$A$810),NA(),IFERROR(LOOKUP(2,1/(('Match Log'!$D$4:$D$810=$N$24)*('Match Log'!$A$4:$A$810&lt;=$J99)),'Match Log'!$N$4:$N$810),NA()))</f>
        <v>948.03610321390011</v>
      </c>
      <c r="O99">
        <f>IF($J99&gt;MAX('Match Log'!$A$4:$A$810),NA(),IFERROR(LOOKUP(2,1/(('Match Log'!$D$4:$D$810=$O$24)*('Match Log'!$A$4:$A$810&lt;=$J99)),'Match Log'!$N$4:$N$810),NA()))</f>
        <v>1149.159920014753</v>
      </c>
      <c r="P99">
        <f>IF($J99&gt;MAX('Match Log'!$A$4:$A$810),NA(),IFERROR(LOOKUP(2,1/(('Match Log'!$D$4:$D$810=$P$24)*('Match Log'!$A$4:$A$810&lt;=$J99)),'Match Log'!$N$4:$N$810),NA()))</f>
        <v>1015.0898285777957</v>
      </c>
      <c r="Q99">
        <f>IF($J99&gt;MAX('Match Log'!$A$4:$A$810),NA(),IFERROR(LOOKUP(2,1/(('Match Log'!$D$4:$D$810=$Q$24)*('Match Log'!$A$4:$A$810&lt;=$J99)),'Match Log'!$N$4:$N$810),NA()))</f>
        <v>1123.212203398283</v>
      </c>
      <c r="R99">
        <f>IF($J99&gt;MAX('Match Log'!$A$4:$A$810),NA(),IFERROR(LOOKUP(2,1/(('Match Log'!$D$4:$D$810=$R$24)*('Match Log'!$A$4:$A$810&lt;=$J99)),'Match Log'!$N$4:$N$810),NA()))</f>
        <v>992.75037873339329</v>
      </c>
      <c r="S99">
        <f>IF($J99&gt;MAX('Match Log'!$A$4:$A$810),NA(),IFERROR(LOOKUP(2,1/(('Match Log'!$D$4:$D$810=$S$24)*('Match Log'!$A$4:$A$810&lt;=$J99)),'Match Log'!$N$4:$N$810),NA()))</f>
        <v>1103.5693917579094</v>
      </c>
      <c r="T99">
        <f>IF($J99&gt;MAX('Match Log'!$A$4:$A$810),NA(),IFERROR(LOOKUP(2,1/(('Match Log'!$D$4:$D$810=$T$24)*('Match Log'!$A$4:$A$810&lt;=$J99)),'Match Log'!$N$4:$N$810),NA()))</f>
        <v>909.74082601830435</v>
      </c>
      <c r="U99">
        <f>IF($J99&gt;MAX('Match Log'!$A$4:$A$810),NA(),IFERROR(LOOKUP(2,1/(('Match Log'!$D$4:$D$810=$U$24)*('Match Log'!$A$4:$A$810&lt;=$J99)),'Match Log'!$N$4:$N$810),NA()))</f>
        <v>976.13396936053971</v>
      </c>
      <c r="V99">
        <f>IF($J99&gt;MAX('Match Log'!$A$4:$A$810),NA(),IFERROR(LOOKUP(2,1/(('Match Log'!$D$4:$D$810=$V$24)*('Match Log'!$A$4:$A$810&lt;=$J99)),'Match Log'!$N$4:$N$810),NA()))</f>
        <v>996.23359941769172</v>
      </c>
      <c r="W99">
        <f>IF($J99&gt;MAX('Match Log'!$A$4:$A$810),NA(),IFERROR(LOOKUP(2,1/(('Match Log'!$D$4:$D$810=$W$24)*('Match Log'!$A$4:$A$810&lt;=$J99)),'Match Log'!$N$4:$N$810),NA()))</f>
        <v>1015.0833808102159</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1023.7594026829813</v>
      </c>
      <c r="L100">
        <f>IF($J100&gt;MAX('Match Log'!$A$4:$A$810),NA(),IFERROR(LOOKUP(2,1/(('Match Log'!$D$4:$D$810=$L$24)*('Match Log'!$A$4:$A$810&lt;=$J100)),'Match Log'!$N$4:$N$810),NA()))</f>
        <v>1008.4472093066528</v>
      </c>
      <c r="M100">
        <f>IF($J100&gt;MAX('Match Log'!$A$4:$A$810),NA(),IFERROR(LOOKUP(2,1/(('Match Log'!$D$4:$D$810=$M$24)*('Match Log'!$A$4:$A$810&lt;=$J100)),'Match Log'!$N$4:$N$810),NA()))</f>
        <v>1016.7837867075796</v>
      </c>
      <c r="N100">
        <f>IF($J100&gt;MAX('Match Log'!$A$4:$A$810),NA(),IFERROR(LOOKUP(2,1/(('Match Log'!$D$4:$D$810=$N$24)*('Match Log'!$A$4:$A$810&lt;=$J100)),'Match Log'!$N$4:$N$810),NA()))</f>
        <v>945.02062066151154</v>
      </c>
      <c r="O100">
        <f>IF($J100&gt;MAX('Match Log'!$A$4:$A$810),NA(),IFERROR(LOOKUP(2,1/(('Match Log'!$D$4:$D$810=$O$24)*('Match Log'!$A$4:$A$810&lt;=$J100)),'Match Log'!$N$4:$N$810),NA()))</f>
        <v>1149.159920014753</v>
      </c>
      <c r="P100">
        <f>IF($J100&gt;MAX('Match Log'!$A$4:$A$810),NA(),IFERROR(LOOKUP(2,1/(('Match Log'!$D$4:$D$810=$P$24)*('Match Log'!$A$4:$A$810&lt;=$J100)),'Match Log'!$N$4:$N$810),NA()))</f>
        <v>1015.0898285777957</v>
      </c>
      <c r="Q100">
        <f>IF($J100&gt;MAX('Match Log'!$A$4:$A$810),NA(),IFERROR(LOOKUP(2,1/(('Match Log'!$D$4:$D$810=$Q$24)*('Match Log'!$A$4:$A$810&lt;=$J100)),'Match Log'!$N$4:$N$810),NA()))</f>
        <v>1123.212203398283</v>
      </c>
      <c r="R100">
        <f>IF($J100&gt;MAX('Match Log'!$A$4:$A$810),NA(),IFERROR(LOOKUP(2,1/(('Match Log'!$D$4:$D$810=$R$24)*('Match Log'!$A$4:$A$810&lt;=$J100)),'Match Log'!$N$4:$N$810),NA()))</f>
        <v>1010.6611047417879</v>
      </c>
      <c r="S100">
        <f>IF($J100&gt;MAX('Match Log'!$A$4:$A$810),NA(),IFERROR(LOOKUP(2,1/(('Match Log'!$D$4:$D$810=$S$24)*('Match Log'!$A$4:$A$810&lt;=$J100)),'Match Log'!$N$4:$N$810),NA()))</f>
        <v>1119.7023399885263</v>
      </c>
      <c r="T100">
        <f>IF($J100&gt;MAX('Match Log'!$A$4:$A$810),NA(),IFERROR(LOOKUP(2,1/(('Match Log'!$D$4:$D$810=$T$24)*('Match Log'!$A$4:$A$810&lt;=$J100)),'Match Log'!$N$4:$N$810),NA()))</f>
        <v>909.74082601830435</v>
      </c>
      <c r="U100">
        <f>IF($J100&gt;MAX('Match Log'!$A$4:$A$810),NA(),IFERROR(LOOKUP(2,1/(('Match Log'!$D$4:$D$810=$U$24)*('Match Log'!$A$4:$A$810&lt;=$J100)),'Match Log'!$N$4:$N$810),NA()))</f>
        <v>976.13396936053971</v>
      </c>
      <c r="V100">
        <f>IF($J100&gt;MAX('Match Log'!$A$4:$A$810),NA(),IFERROR(LOOKUP(2,1/(('Match Log'!$D$4:$D$810=$V$24)*('Match Log'!$A$4:$A$810&lt;=$J100)),'Match Log'!$N$4:$N$810),NA()))</f>
        <v>993.20540773106882</v>
      </c>
      <c r="W100">
        <f>IF($J100&gt;MAX('Match Log'!$A$4:$A$810),NA(),IFERROR(LOOKUP(2,1/(('Match Log'!$D$4:$D$810=$W$24)*('Match Log'!$A$4:$A$810&lt;=$J100)),'Match Log'!$N$4:$N$810),NA()))</f>
        <v>1015.0833808102159</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1021.6686831011822</v>
      </c>
      <c r="L101">
        <f>IF($J101&gt;MAX('Match Log'!$A$4:$A$810),NA(),IFERROR(LOOKUP(2,1/(('Match Log'!$D$4:$D$810=$L$24)*('Match Log'!$A$4:$A$810&lt;=$J101)),'Match Log'!$N$4:$N$810),NA()))</f>
        <v>1008.4472093066528</v>
      </c>
      <c r="M101">
        <f>IF($J101&gt;MAX('Match Log'!$A$4:$A$810),NA(),IFERROR(LOOKUP(2,1/(('Match Log'!$D$4:$D$810=$M$24)*('Match Log'!$A$4:$A$810&lt;=$J101)),'Match Log'!$N$4:$N$810),NA()))</f>
        <v>1016.7837867075796</v>
      </c>
      <c r="N101">
        <f>IF($J101&gt;MAX('Match Log'!$A$4:$A$810),NA(),IFERROR(LOOKUP(2,1/(('Match Log'!$D$4:$D$810=$N$24)*('Match Log'!$A$4:$A$810&lt;=$J101)),'Match Log'!$N$4:$N$810),NA()))</f>
        <v>945.02062066151154</v>
      </c>
      <c r="O101">
        <f>IF($J101&gt;MAX('Match Log'!$A$4:$A$810),NA(),IFERROR(LOOKUP(2,1/(('Match Log'!$D$4:$D$810=$O$24)*('Match Log'!$A$4:$A$810&lt;=$J101)),'Match Log'!$N$4:$N$810),NA()))</f>
        <v>1149.159920014753</v>
      </c>
      <c r="P101">
        <f>IF($J101&gt;MAX('Match Log'!$A$4:$A$810),NA(),IFERROR(LOOKUP(2,1/(('Match Log'!$D$4:$D$810=$P$24)*('Match Log'!$A$4:$A$810&lt;=$J101)),'Match Log'!$N$4:$N$810),NA()))</f>
        <v>1015.0898285777957</v>
      </c>
      <c r="Q101">
        <f>IF($J101&gt;MAX('Match Log'!$A$4:$A$810),NA(),IFERROR(LOOKUP(2,1/(('Match Log'!$D$4:$D$810=$Q$24)*('Match Log'!$A$4:$A$810&lt;=$J101)),'Match Log'!$N$4:$N$810),NA()))</f>
        <v>1123.212203398283</v>
      </c>
      <c r="R101">
        <f>IF($J101&gt;MAX('Match Log'!$A$4:$A$810),NA(),IFERROR(LOOKUP(2,1/(('Match Log'!$D$4:$D$810=$R$24)*('Match Log'!$A$4:$A$810&lt;=$J101)),'Match Log'!$N$4:$N$810),NA()))</f>
        <v>1027.6724515565552</v>
      </c>
      <c r="S101">
        <f>IF($J101&gt;MAX('Match Log'!$A$4:$A$810),NA(),IFERROR(LOOKUP(2,1/(('Match Log'!$D$4:$D$810=$S$24)*('Match Log'!$A$4:$A$810&lt;=$J101)),'Match Log'!$N$4:$N$810),NA()))</f>
        <v>1135.2765610547908</v>
      </c>
      <c r="T101">
        <f>IF($J101&gt;MAX('Match Log'!$A$4:$A$810),NA(),IFERROR(LOOKUP(2,1/(('Match Log'!$D$4:$D$810=$T$24)*('Match Log'!$A$4:$A$810&lt;=$J101)),'Match Log'!$N$4:$N$810),NA()))</f>
        <v>907.24597771907167</v>
      </c>
      <c r="U101">
        <f>IF($J101&gt;MAX('Match Log'!$A$4:$A$810),NA(),IFERROR(LOOKUP(2,1/(('Match Log'!$D$4:$D$810=$U$24)*('Match Log'!$A$4:$A$810&lt;=$J101)),'Match Log'!$N$4:$N$810),NA()))</f>
        <v>976.13396936053971</v>
      </c>
      <c r="V101">
        <f>IF($J101&gt;MAX('Match Log'!$A$4:$A$810),NA(),IFERROR(LOOKUP(2,1/(('Match Log'!$D$4:$D$810=$V$24)*('Match Log'!$A$4:$A$810&lt;=$J101)),'Match Log'!$N$4:$N$810),NA()))</f>
        <v>993.20540773106882</v>
      </c>
      <c r="W101">
        <f>IF($J101&gt;MAX('Match Log'!$A$4:$A$810),NA(),IFERROR(LOOKUP(2,1/(('Match Log'!$D$4:$D$810=$W$24)*('Match Log'!$A$4:$A$810&lt;=$J101)),'Match Log'!$N$4:$N$810),NA()))</f>
        <v>1015.0833808102159</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1021.6686831011822</v>
      </c>
      <c r="L102">
        <f>IF($J102&gt;MAX('Match Log'!$A$4:$A$810),NA(),IFERROR(LOOKUP(2,1/(('Match Log'!$D$4:$D$810=$L$24)*('Match Log'!$A$4:$A$810&lt;=$J102)),'Match Log'!$N$4:$N$810),NA()))</f>
        <v>1027.3576150733875</v>
      </c>
      <c r="M102">
        <f>IF($J102&gt;MAX('Match Log'!$A$4:$A$810),NA(),IFERROR(LOOKUP(2,1/(('Match Log'!$D$4:$D$810=$M$24)*('Match Log'!$A$4:$A$810&lt;=$J102)),'Match Log'!$N$4:$N$810),NA()))</f>
        <v>1016.7837867075796</v>
      </c>
      <c r="N102">
        <f>IF($J102&gt;MAX('Match Log'!$A$4:$A$810),NA(),IFERROR(LOOKUP(2,1/(('Match Log'!$D$4:$D$810=$N$24)*('Match Log'!$A$4:$A$810&lt;=$J102)),'Match Log'!$N$4:$N$810),NA()))</f>
        <v>945.02062066151154</v>
      </c>
      <c r="O102">
        <f>IF($J102&gt;MAX('Match Log'!$A$4:$A$810),NA(),IFERROR(LOOKUP(2,1/(('Match Log'!$D$4:$D$810=$O$24)*('Match Log'!$A$4:$A$810&lt;=$J102)),'Match Log'!$N$4:$N$810),NA()))</f>
        <v>1149.159920014753</v>
      </c>
      <c r="P102">
        <f>IF($J102&gt;MAX('Match Log'!$A$4:$A$810),NA(),IFERROR(LOOKUP(2,1/(('Match Log'!$D$4:$D$810=$P$24)*('Match Log'!$A$4:$A$810&lt;=$J102)),'Match Log'!$N$4:$N$810),NA()))</f>
        <v>1015.0898285777957</v>
      </c>
      <c r="Q102">
        <f>IF($J102&gt;MAX('Match Log'!$A$4:$A$810),NA(),IFERROR(LOOKUP(2,1/(('Match Log'!$D$4:$D$810=$Q$24)*('Match Log'!$A$4:$A$810&lt;=$J102)),'Match Log'!$N$4:$N$810),NA()))</f>
        <v>1123.212203398283</v>
      </c>
      <c r="R102">
        <f>IF($J102&gt;MAX('Match Log'!$A$4:$A$810),NA(),IFERROR(LOOKUP(2,1/(('Match Log'!$D$4:$D$810=$R$24)*('Match Log'!$A$4:$A$810&lt;=$J102)),'Match Log'!$N$4:$N$810),NA()))</f>
        <v>1023.5101510255264</v>
      </c>
      <c r="S102">
        <f>IF($J102&gt;MAX('Match Log'!$A$4:$A$810),NA(),IFERROR(LOOKUP(2,1/(('Match Log'!$D$4:$D$810=$S$24)*('Match Log'!$A$4:$A$810&lt;=$J102)),'Match Log'!$N$4:$N$810),NA()))</f>
        <v>1129.1224748311113</v>
      </c>
      <c r="T102">
        <f>IF($J102&gt;MAX('Match Log'!$A$4:$A$810),NA(),IFERROR(LOOKUP(2,1/(('Match Log'!$D$4:$D$810=$T$24)*('Match Log'!$A$4:$A$810&lt;=$J102)),'Match Log'!$N$4:$N$810),NA()))</f>
        <v>907.24597771907167</v>
      </c>
      <c r="U102">
        <f>IF($J102&gt;MAX('Match Log'!$A$4:$A$810),NA(),IFERROR(LOOKUP(2,1/(('Match Log'!$D$4:$D$810=$U$24)*('Match Log'!$A$4:$A$810&lt;=$J102)),'Match Log'!$N$4:$N$810),NA()))</f>
        <v>976.13396936053971</v>
      </c>
      <c r="V102">
        <f>IF($J102&gt;MAX('Match Log'!$A$4:$A$810),NA(),IFERROR(LOOKUP(2,1/(('Match Log'!$D$4:$D$810=$V$24)*('Match Log'!$A$4:$A$810&lt;=$J102)),'Match Log'!$N$4:$N$810),NA()))</f>
        <v>993.20540773106882</v>
      </c>
      <c r="W102">
        <f>IF($J102&gt;MAX('Match Log'!$A$4:$A$810),NA(),IFERROR(LOOKUP(2,1/(('Match Log'!$D$4:$D$810=$W$24)*('Match Log'!$A$4:$A$810&lt;=$J102)),'Match Log'!$N$4:$N$810),NA()))</f>
        <v>1034.4893617981895</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1021.6686831011822</v>
      </c>
      <c r="L103">
        <f>IF($J103&gt;MAX('Match Log'!$A$4:$A$810),NA(),IFERROR(LOOKUP(2,1/(('Match Log'!$D$4:$D$810=$L$24)*('Match Log'!$A$4:$A$810&lt;=$J103)),'Match Log'!$N$4:$N$810),NA()))</f>
        <v>1022.9168011819886</v>
      </c>
      <c r="M103">
        <f>IF($J103&gt;MAX('Match Log'!$A$4:$A$810),NA(),IFERROR(LOOKUP(2,1/(('Match Log'!$D$4:$D$810=$M$24)*('Match Log'!$A$4:$A$810&lt;=$J103)),'Match Log'!$N$4:$N$810),NA()))</f>
        <v>1016.7837867075796</v>
      </c>
      <c r="N103">
        <f>IF($J103&gt;MAX('Match Log'!$A$4:$A$810),NA(),IFERROR(LOOKUP(2,1/(('Match Log'!$D$4:$D$810=$N$24)*('Match Log'!$A$4:$A$810&lt;=$J103)),'Match Log'!$N$4:$N$810),NA()))</f>
        <v>945.02062066151154</v>
      </c>
      <c r="O103">
        <f>IF($J103&gt;MAX('Match Log'!$A$4:$A$810),NA(),IFERROR(LOOKUP(2,1/(('Match Log'!$D$4:$D$810=$O$24)*('Match Log'!$A$4:$A$810&lt;=$J103)),'Match Log'!$N$4:$N$810),NA()))</f>
        <v>1149.159920014753</v>
      </c>
      <c r="P103">
        <f>IF($J103&gt;MAX('Match Log'!$A$4:$A$810),NA(),IFERROR(LOOKUP(2,1/(('Match Log'!$D$4:$D$810=$P$24)*('Match Log'!$A$4:$A$810&lt;=$J103)),'Match Log'!$N$4:$N$810),NA()))</f>
        <v>1015.0898285777957</v>
      </c>
      <c r="Q103">
        <f>IF($J103&gt;MAX('Match Log'!$A$4:$A$810),NA(),IFERROR(LOOKUP(2,1/(('Match Log'!$D$4:$D$810=$Q$24)*('Match Log'!$A$4:$A$810&lt;=$J103)),'Match Log'!$N$4:$N$810),NA()))</f>
        <v>1140.664376689045</v>
      </c>
      <c r="R103">
        <f>IF($J103&gt;MAX('Match Log'!$A$4:$A$810),NA(),IFERROR(LOOKUP(2,1/(('Match Log'!$D$4:$D$810=$R$24)*('Match Log'!$A$4:$A$810&lt;=$J103)),'Match Log'!$N$4:$N$810),NA()))</f>
        <v>1023.5101510255264</v>
      </c>
      <c r="S103">
        <f>IF($J103&gt;MAX('Match Log'!$A$4:$A$810),NA(),IFERROR(LOOKUP(2,1/(('Match Log'!$D$4:$D$810=$S$24)*('Match Log'!$A$4:$A$810&lt;=$J103)),'Match Log'!$N$4:$N$810),NA()))</f>
        <v>1129.1224748311113</v>
      </c>
      <c r="T103">
        <f>IF($J103&gt;MAX('Match Log'!$A$4:$A$810),NA(),IFERROR(LOOKUP(2,1/(('Match Log'!$D$4:$D$810=$T$24)*('Match Log'!$A$4:$A$810&lt;=$J103)),'Match Log'!$N$4:$N$810),NA()))</f>
        <v>907.24597771907167</v>
      </c>
      <c r="U103">
        <f>IF($J103&gt;MAX('Match Log'!$A$4:$A$810),NA(),IFERROR(LOOKUP(2,1/(('Match Log'!$D$4:$D$810=$U$24)*('Match Log'!$A$4:$A$810&lt;=$J103)),'Match Log'!$N$4:$N$810),NA()))</f>
        <v>995.23037342053249</v>
      </c>
      <c r="V103">
        <f>IF($J103&gt;MAX('Match Log'!$A$4:$A$810),NA(),IFERROR(LOOKUP(2,1/(('Match Log'!$D$4:$D$810=$V$24)*('Match Log'!$A$4:$A$810&lt;=$J103)),'Match Log'!$N$4:$N$810),NA()))</f>
        <v>993.20540773106882</v>
      </c>
      <c r="W103">
        <f>IF($J103&gt;MAX('Match Log'!$A$4:$A$810),NA(),IFERROR(LOOKUP(2,1/(('Match Log'!$D$4:$D$810=$W$24)*('Match Log'!$A$4:$A$810&lt;=$J103)),'Match Log'!$N$4:$N$810),NA()))</f>
        <v>1030.3815983388336</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1021.6686831011822</v>
      </c>
      <c r="L104">
        <f>IF($J104&gt;MAX('Match Log'!$A$4:$A$810),NA(),IFERROR(LOOKUP(2,1/(('Match Log'!$D$4:$D$810=$L$24)*('Match Log'!$A$4:$A$810&lt;=$J104)),'Match Log'!$N$4:$N$810),NA()))</f>
        <v>1022.9168011819886</v>
      </c>
      <c r="M104">
        <f>IF($J104&gt;MAX('Match Log'!$A$4:$A$810),NA(),IFERROR(LOOKUP(2,1/(('Match Log'!$D$4:$D$810=$M$24)*('Match Log'!$A$4:$A$810&lt;=$J104)),'Match Log'!$N$4:$N$810),NA()))</f>
        <v>1016.7837867075796</v>
      </c>
      <c r="N104">
        <f>IF($J104&gt;MAX('Match Log'!$A$4:$A$810),NA(),IFERROR(LOOKUP(2,1/(('Match Log'!$D$4:$D$810=$N$24)*('Match Log'!$A$4:$A$810&lt;=$J104)),'Match Log'!$N$4:$N$810),NA()))</f>
        <v>945.02062066151154</v>
      </c>
      <c r="O104">
        <f>IF($J104&gt;MAX('Match Log'!$A$4:$A$810),NA(),IFERROR(LOOKUP(2,1/(('Match Log'!$D$4:$D$810=$O$24)*('Match Log'!$A$4:$A$810&lt;=$J104)),'Match Log'!$N$4:$N$810),NA()))</f>
        <v>1168.2168229142774</v>
      </c>
      <c r="P104">
        <f>IF($J104&gt;MAX('Match Log'!$A$4:$A$810),NA(),IFERROR(LOOKUP(2,1/(('Match Log'!$D$4:$D$810=$P$24)*('Match Log'!$A$4:$A$810&lt;=$J104)),'Match Log'!$N$4:$N$810),NA()))</f>
        <v>1033.7652285871466</v>
      </c>
      <c r="Q104">
        <f>IF($J104&gt;MAX('Match Log'!$A$4:$A$810),NA(),IFERROR(LOOKUP(2,1/(('Match Log'!$D$4:$D$810=$Q$24)*('Match Log'!$A$4:$A$810&lt;=$J104)),'Match Log'!$N$4:$N$810),NA()))</f>
        <v>1134.0440793414489</v>
      </c>
      <c r="R104">
        <f>IF($J104&gt;MAX('Match Log'!$A$4:$A$810),NA(),IFERROR(LOOKUP(2,1/(('Match Log'!$D$4:$D$810=$R$24)*('Match Log'!$A$4:$A$810&lt;=$J104)),'Match Log'!$N$4:$N$810),NA()))</f>
        <v>1023.5101510255264</v>
      </c>
      <c r="S104">
        <f>IF($J104&gt;MAX('Match Log'!$A$4:$A$810),NA(),IFERROR(LOOKUP(2,1/(('Match Log'!$D$4:$D$810=$S$24)*('Match Log'!$A$4:$A$810&lt;=$J104)),'Match Log'!$N$4:$N$810),NA()))</f>
        <v>1129.1224748311113</v>
      </c>
      <c r="T104">
        <f>IF($J104&gt;MAX('Match Log'!$A$4:$A$810),NA(),IFERROR(LOOKUP(2,1/(('Match Log'!$D$4:$D$810=$T$24)*('Match Log'!$A$4:$A$810&lt;=$J104)),'Match Log'!$N$4:$N$810),NA()))</f>
        <v>907.24597771907167</v>
      </c>
      <c r="U104">
        <f>IF($J104&gt;MAX('Match Log'!$A$4:$A$810),NA(),IFERROR(LOOKUP(2,1/(('Match Log'!$D$4:$D$810=$U$24)*('Match Log'!$A$4:$A$810&lt;=$J104)),'Match Log'!$N$4:$N$810),NA()))</f>
        <v>992.11836785925334</v>
      </c>
      <c r="V104">
        <f>IF($J104&gt;MAX('Match Log'!$A$4:$A$810),NA(),IFERROR(LOOKUP(2,1/(('Match Log'!$D$4:$D$810=$V$24)*('Match Log'!$A$4:$A$810&lt;=$J104)),'Match Log'!$N$4:$N$810),NA()))</f>
        <v>993.20540773106882</v>
      </c>
      <c r="W104">
        <f>IF($J104&gt;MAX('Match Log'!$A$4:$A$810),NA(),IFERROR(LOOKUP(2,1/(('Match Log'!$D$4:$D$810=$W$24)*('Match Log'!$A$4:$A$810&lt;=$J104)),'Match Log'!$N$4:$N$810),NA()))</f>
        <v>1030.3815983388336</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1021.6686831011822</v>
      </c>
      <c r="L105">
        <f>IF($J105&gt;MAX('Match Log'!$A$4:$A$810),NA(),IFERROR(LOOKUP(2,1/(('Match Log'!$D$4:$D$810=$L$24)*('Match Log'!$A$4:$A$810&lt;=$J105)),'Match Log'!$N$4:$N$810),NA()))</f>
        <v>1022.9168011819886</v>
      </c>
      <c r="M105">
        <f>IF($J105&gt;MAX('Match Log'!$A$4:$A$810),NA(),IFERROR(LOOKUP(2,1/(('Match Log'!$D$4:$D$810=$M$24)*('Match Log'!$A$4:$A$810&lt;=$J105)),'Match Log'!$N$4:$N$810),NA()))</f>
        <v>1016.7837867075796</v>
      </c>
      <c r="N105">
        <f>IF($J105&gt;MAX('Match Log'!$A$4:$A$810),NA(),IFERROR(LOOKUP(2,1/(('Match Log'!$D$4:$D$810=$N$24)*('Match Log'!$A$4:$A$810&lt;=$J105)),'Match Log'!$N$4:$N$810),NA()))</f>
        <v>945.02062066151154</v>
      </c>
      <c r="O105">
        <f>IF($J105&gt;MAX('Match Log'!$A$4:$A$810),NA(),IFERROR(LOOKUP(2,1/(('Match Log'!$D$4:$D$810=$O$24)*('Match Log'!$A$4:$A$810&lt;=$J105)),'Match Log'!$N$4:$N$810),NA()))</f>
        <v>1163.6944202317491</v>
      </c>
      <c r="P105">
        <f>IF($J105&gt;MAX('Match Log'!$A$4:$A$810),NA(),IFERROR(LOOKUP(2,1/(('Match Log'!$D$4:$D$810=$P$24)*('Match Log'!$A$4:$A$810&lt;=$J105)),'Match Log'!$N$4:$N$810),NA()))</f>
        <v>1029.7715942913092</v>
      </c>
      <c r="Q105">
        <f>IF($J105&gt;MAX('Match Log'!$A$4:$A$810),NA(),IFERROR(LOOKUP(2,1/(('Match Log'!$D$4:$D$810=$Q$24)*('Match Log'!$A$4:$A$810&lt;=$J105)),'Match Log'!$N$4:$N$810),NA()))</f>
        <v>1134.0440793414489</v>
      </c>
      <c r="R105">
        <f>IF($J105&gt;MAX('Match Log'!$A$4:$A$810),NA(),IFERROR(LOOKUP(2,1/(('Match Log'!$D$4:$D$810=$R$24)*('Match Log'!$A$4:$A$810&lt;=$J105)),'Match Log'!$N$4:$N$810),NA()))</f>
        <v>1042.2181695147092</v>
      </c>
      <c r="S105">
        <f>IF($J105&gt;MAX('Match Log'!$A$4:$A$810),NA(),IFERROR(LOOKUP(2,1/(('Match Log'!$D$4:$D$810=$S$24)*('Match Log'!$A$4:$A$810&lt;=$J105)),'Match Log'!$N$4:$N$810),NA()))</f>
        <v>1146.9304933202941</v>
      </c>
      <c r="T105">
        <f>IF($J105&gt;MAX('Match Log'!$A$4:$A$810),NA(),IFERROR(LOOKUP(2,1/(('Match Log'!$D$4:$D$810=$T$24)*('Match Log'!$A$4:$A$810&lt;=$J105)),'Match Log'!$N$4:$N$810),NA()))</f>
        <v>907.24597771907167</v>
      </c>
      <c r="U105">
        <f>IF($J105&gt;MAX('Match Log'!$A$4:$A$810),NA(),IFERROR(LOOKUP(2,1/(('Match Log'!$D$4:$D$810=$U$24)*('Match Log'!$A$4:$A$810&lt;=$J105)),'Match Log'!$N$4:$N$810),NA()))</f>
        <v>992.11836785925334</v>
      </c>
      <c r="V105">
        <f>IF($J105&gt;MAX('Match Log'!$A$4:$A$810),NA(),IFERROR(LOOKUP(2,1/(('Match Log'!$D$4:$D$810=$V$24)*('Match Log'!$A$4:$A$810&lt;=$J105)),'Match Log'!$N$4:$N$810),NA()))</f>
        <v>993.20540773106882</v>
      </c>
      <c r="W105">
        <f>IF($J105&gt;MAX('Match Log'!$A$4:$A$810),NA(),IFERROR(LOOKUP(2,1/(('Match Log'!$D$4:$D$810=$W$24)*('Match Log'!$A$4:$A$810&lt;=$J105)),'Match Log'!$N$4:$N$810),NA()))</f>
        <v>1030.3815983388336</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1021.6686831011822</v>
      </c>
      <c r="L106">
        <f>IF($J106&gt;MAX('Match Log'!$A$4:$A$810),NA(),IFERROR(LOOKUP(2,1/(('Match Log'!$D$4:$D$810=$L$24)*('Match Log'!$A$4:$A$810&lt;=$J106)),'Match Log'!$N$4:$N$810),NA()))</f>
        <v>1022.9168011819886</v>
      </c>
      <c r="M106">
        <f>IF($J106&gt;MAX('Match Log'!$A$4:$A$810),NA(),IFERROR(LOOKUP(2,1/(('Match Log'!$D$4:$D$810=$M$24)*('Match Log'!$A$4:$A$810&lt;=$J106)),'Match Log'!$N$4:$N$810),NA()))</f>
        <v>1016.7837867075796</v>
      </c>
      <c r="N106">
        <f>IF($J106&gt;MAX('Match Log'!$A$4:$A$810),NA(),IFERROR(LOOKUP(2,1/(('Match Log'!$D$4:$D$810=$N$24)*('Match Log'!$A$4:$A$810&lt;=$J106)),'Match Log'!$N$4:$N$810),NA()))</f>
        <v>942.76014496190749</v>
      </c>
      <c r="O106">
        <f>IF($J106&gt;MAX('Match Log'!$A$4:$A$810),NA(),IFERROR(LOOKUP(2,1/(('Match Log'!$D$4:$D$810=$O$24)*('Match Log'!$A$4:$A$810&lt;=$J106)),'Match Log'!$N$4:$N$810),NA()))</f>
        <v>1163.6944202317491</v>
      </c>
      <c r="P106">
        <f>IF($J106&gt;MAX('Match Log'!$A$4:$A$810),NA(),IFERROR(LOOKUP(2,1/(('Match Log'!$D$4:$D$810=$P$24)*('Match Log'!$A$4:$A$810&lt;=$J106)),'Match Log'!$N$4:$N$810),NA()))</f>
        <v>1029.7715942913092</v>
      </c>
      <c r="Q106">
        <f>IF($J106&gt;MAX('Match Log'!$A$4:$A$810),NA(),IFERROR(LOOKUP(2,1/(('Match Log'!$D$4:$D$810=$Q$24)*('Match Log'!$A$4:$A$810&lt;=$J106)),'Match Log'!$N$4:$N$810),NA()))</f>
        <v>1134.0440793414489</v>
      </c>
      <c r="R106">
        <f>IF($J106&gt;MAX('Match Log'!$A$4:$A$810),NA(),IFERROR(LOOKUP(2,1/(('Match Log'!$D$4:$D$810=$R$24)*('Match Log'!$A$4:$A$810&lt;=$J106)),'Match Log'!$N$4:$N$810),NA()))</f>
        <v>1058.8795680397786</v>
      </c>
      <c r="S106">
        <f>IF($J106&gt;MAX('Match Log'!$A$4:$A$810),NA(),IFERROR(LOOKUP(2,1/(('Match Log'!$D$4:$D$810=$S$24)*('Match Log'!$A$4:$A$810&lt;=$J106)),'Match Log'!$N$4:$N$810),NA()))</f>
        <v>1162.6492936580523</v>
      </c>
      <c r="T106">
        <f>IF($J106&gt;MAX('Match Log'!$A$4:$A$810),NA(),IFERROR(LOOKUP(2,1/(('Match Log'!$D$4:$D$810=$T$24)*('Match Log'!$A$4:$A$810&lt;=$J106)),'Match Log'!$N$4:$N$810),NA()))</f>
        <v>907.24597771907167</v>
      </c>
      <c r="U106">
        <f>IF($J106&gt;MAX('Match Log'!$A$4:$A$810),NA(),IFERROR(LOOKUP(2,1/(('Match Log'!$D$4:$D$810=$U$24)*('Match Log'!$A$4:$A$810&lt;=$J106)),'Match Log'!$N$4:$N$810),NA()))</f>
        <v>992.11836785925334</v>
      </c>
      <c r="V106">
        <f>IF($J106&gt;MAX('Match Log'!$A$4:$A$810),NA(),IFERROR(LOOKUP(2,1/(('Match Log'!$D$4:$D$810=$V$24)*('Match Log'!$A$4:$A$810&lt;=$J106)),'Match Log'!$N$4:$N$810),NA()))</f>
        <v>991.08568456784496</v>
      </c>
      <c r="W106">
        <f>IF($J106&gt;MAX('Match Log'!$A$4:$A$810),NA(),IFERROR(LOOKUP(2,1/(('Match Log'!$D$4:$D$810=$W$24)*('Match Log'!$A$4:$A$810&lt;=$J106)),'Match Log'!$N$4:$N$810),NA()))</f>
        <v>1030.3815983388336</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1042.7576396056772</v>
      </c>
      <c r="L107">
        <f>IF($J107&gt;MAX('Match Log'!$A$4:$A$810),NA(),IFERROR(LOOKUP(2,1/(('Match Log'!$D$4:$D$810=$L$24)*('Match Log'!$A$4:$A$810&lt;=$J107)),'Match Log'!$N$4:$N$810),NA()))</f>
        <v>1041.6540494492169</v>
      </c>
      <c r="M107">
        <f>IF($J107&gt;MAX('Match Log'!$A$4:$A$810),NA(),IFERROR(LOOKUP(2,1/(('Match Log'!$D$4:$D$810=$M$24)*('Match Log'!$A$4:$A$810&lt;=$J107)),'Match Log'!$N$4:$N$810),NA()))</f>
        <v>1016.7837867075796</v>
      </c>
      <c r="N107">
        <f>IF($J107&gt;MAX('Match Log'!$A$4:$A$810),NA(),IFERROR(LOOKUP(2,1/(('Match Log'!$D$4:$D$810=$N$24)*('Match Log'!$A$4:$A$810&lt;=$J107)),'Match Log'!$N$4:$N$810),NA()))</f>
        <v>942.76014496190749</v>
      </c>
      <c r="O107">
        <f>IF($J107&gt;MAX('Match Log'!$A$4:$A$810),NA(),IFERROR(LOOKUP(2,1/(('Match Log'!$D$4:$D$810=$O$24)*('Match Log'!$A$4:$A$810&lt;=$J107)),'Match Log'!$N$4:$N$810),NA()))</f>
        <v>1163.6944202317491</v>
      </c>
      <c r="P107">
        <f>IF($J107&gt;MAX('Match Log'!$A$4:$A$810),NA(),IFERROR(LOOKUP(2,1/(('Match Log'!$D$4:$D$810=$P$24)*('Match Log'!$A$4:$A$810&lt;=$J107)),'Match Log'!$N$4:$N$810),NA()))</f>
        <v>1029.7715942913092</v>
      </c>
      <c r="Q107">
        <f>IF($J107&gt;MAX('Match Log'!$A$4:$A$810),NA(),IFERROR(LOOKUP(2,1/(('Match Log'!$D$4:$D$810=$Q$24)*('Match Log'!$A$4:$A$810&lt;=$J107)),'Match Log'!$N$4:$N$810),NA()))</f>
        <v>1134.0440793414489</v>
      </c>
      <c r="R107">
        <f>IF($J107&gt;MAX('Match Log'!$A$4:$A$810),NA(),IFERROR(LOOKUP(2,1/(('Match Log'!$D$4:$D$810=$R$24)*('Match Log'!$A$4:$A$810&lt;=$J107)),'Match Log'!$N$4:$N$810),NA()))</f>
        <v>1053.8268660498134</v>
      </c>
      <c r="S107">
        <f>IF($J107&gt;MAX('Match Log'!$A$4:$A$810),NA(),IFERROR(LOOKUP(2,1/(('Match Log'!$D$4:$D$810=$S$24)*('Match Log'!$A$4:$A$810&lt;=$J107)),'Match Log'!$N$4:$N$810),NA()))</f>
        <v>1155.8757908762943</v>
      </c>
      <c r="T107">
        <f>IF($J107&gt;MAX('Match Log'!$A$4:$A$810),NA(),IFERROR(LOOKUP(2,1/(('Match Log'!$D$4:$D$810=$T$24)*('Match Log'!$A$4:$A$810&lt;=$J107)),'Match Log'!$N$4:$N$810),NA()))</f>
        <v>907.24597771907167</v>
      </c>
      <c r="U107">
        <f>IF($J107&gt;MAX('Match Log'!$A$4:$A$810),NA(),IFERROR(LOOKUP(2,1/(('Match Log'!$D$4:$D$810=$U$24)*('Match Log'!$A$4:$A$810&lt;=$J107)),'Match Log'!$N$4:$N$810),NA()))</f>
        <v>992.11836785925334</v>
      </c>
      <c r="V107">
        <f>IF($J107&gt;MAX('Match Log'!$A$4:$A$810),NA(),IFERROR(LOOKUP(2,1/(('Match Log'!$D$4:$D$810=$V$24)*('Match Log'!$A$4:$A$810&lt;=$J107)),'Match Log'!$N$4:$N$810),NA()))</f>
        <v>991.08568456784496</v>
      </c>
      <c r="W107">
        <f>IF($J107&gt;MAX('Match Log'!$A$4:$A$810),NA(),IFERROR(LOOKUP(2,1/(('Match Log'!$D$4:$D$810=$W$24)*('Match Log'!$A$4:$A$810&lt;=$J107)),'Match Log'!$N$4:$N$810),NA()))</f>
        <v>1030.3815983388336</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1062.6813702451004</v>
      </c>
      <c r="L108">
        <f>IF($J108&gt;MAX('Match Log'!$A$4:$A$810),NA(),IFERROR(LOOKUP(2,1/(('Match Log'!$D$4:$D$810=$L$24)*('Match Log'!$A$4:$A$810&lt;=$J108)),'Match Log'!$N$4:$N$810),NA()))</f>
        <v>1059.6593334866984</v>
      </c>
      <c r="M108">
        <f>IF($J108&gt;MAX('Match Log'!$A$4:$A$810),NA(),IFERROR(LOOKUP(2,1/(('Match Log'!$D$4:$D$810=$M$24)*('Match Log'!$A$4:$A$810&lt;=$J108)),'Match Log'!$N$4:$N$810),NA()))</f>
        <v>1016.7837867075796</v>
      </c>
      <c r="N108">
        <f>IF($J108&gt;MAX('Match Log'!$A$4:$A$810),NA(),IFERROR(LOOKUP(2,1/(('Match Log'!$D$4:$D$810=$N$24)*('Match Log'!$A$4:$A$810&lt;=$J108)),'Match Log'!$N$4:$N$810),NA()))</f>
        <v>942.76014496190749</v>
      </c>
      <c r="O108">
        <f>IF($J108&gt;MAX('Match Log'!$A$4:$A$810),NA(),IFERROR(LOOKUP(2,1/(('Match Log'!$D$4:$D$810=$O$24)*('Match Log'!$A$4:$A$810&lt;=$J108)),'Match Log'!$N$4:$N$810),NA()))</f>
        <v>1163.6944202317491</v>
      </c>
      <c r="P108">
        <f>IF($J108&gt;MAX('Match Log'!$A$4:$A$810),NA(),IFERROR(LOOKUP(2,1/(('Match Log'!$D$4:$D$810=$P$24)*('Match Log'!$A$4:$A$810&lt;=$J108)),'Match Log'!$N$4:$N$810),NA()))</f>
        <v>1029.7715942913092</v>
      </c>
      <c r="Q108">
        <f>IF($J108&gt;MAX('Match Log'!$A$4:$A$810),NA(),IFERROR(LOOKUP(2,1/(('Match Log'!$D$4:$D$810=$Q$24)*('Match Log'!$A$4:$A$810&lt;=$J108)),'Match Log'!$N$4:$N$810),NA()))</f>
        <v>1127.3851990259313</v>
      </c>
      <c r="R108">
        <f>IF($J108&gt;MAX('Match Log'!$A$4:$A$810),NA(),IFERROR(LOOKUP(2,1/(('Match Log'!$D$4:$D$810=$R$24)*('Match Log'!$A$4:$A$810&lt;=$J108)),'Match Log'!$N$4:$N$810),NA()))</f>
        <v>1053.8268660498134</v>
      </c>
      <c r="S108">
        <f>IF($J108&gt;MAX('Match Log'!$A$4:$A$810),NA(),IFERROR(LOOKUP(2,1/(('Match Log'!$D$4:$D$810=$S$24)*('Match Log'!$A$4:$A$810&lt;=$J108)),'Match Log'!$N$4:$N$810),NA()))</f>
        <v>1155.8757908762943</v>
      </c>
      <c r="T108">
        <f>IF($J108&gt;MAX('Match Log'!$A$4:$A$810),NA(),IFERROR(LOOKUP(2,1/(('Match Log'!$D$4:$D$810=$T$24)*('Match Log'!$A$4:$A$810&lt;=$J108)),'Match Log'!$N$4:$N$810),NA()))</f>
        <v>907.24597771907167</v>
      </c>
      <c r="U108">
        <f>IF($J108&gt;MAX('Match Log'!$A$4:$A$810),NA(),IFERROR(LOOKUP(2,1/(('Match Log'!$D$4:$D$810=$U$24)*('Match Log'!$A$4:$A$810&lt;=$J108)),'Match Log'!$N$4:$N$810),NA()))</f>
        <v>988.84823349786632</v>
      </c>
      <c r="V108">
        <f>IF($J108&gt;MAX('Match Log'!$A$4:$A$810),NA(),IFERROR(LOOKUP(2,1/(('Match Log'!$D$4:$D$810=$V$24)*('Match Log'!$A$4:$A$810&lt;=$J108)),'Match Log'!$N$4:$N$810),NA()))</f>
        <v>991.08568456784496</v>
      </c>
      <c r="W108">
        <f>IF($J108&gt;MAX('Match Log'!$A$4:$A$810),NA(),IFERROR(LOOKUP(2,1/(('Match Log'!$D$4:$D$810=$W$24)*('Match Log'!$A$4:$A$810&lt;=$J108)),'Match Log'!$N$4:$N$810),NA()))</f>
        <v>1030.3815983388336</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1057.8442062146762</v>
      </c>
      <c r="L109">
        <f>IF($J109&gt;MAX('Match Log'!$A$4:$A$810),NA(),IFERROR(LOOKUP(2,1/(('Match Log'!$D$4:$D$810=$L$24)*('Match Log'!$A$4:$A$810&lt;=$J109)),'Match Log'!$N$4:$N$810),NA()))</f>
        <v>1052.1085402518941</v>
      </c>
      <c r="M109">
        <f>IF($J109&gt;MAX('Match Log'!$A$4:$A$810),NA(),IFERROR(LOOKUP(2,1/(('Match Log'!$D$4:$D$810=$M$24)*('Match Log'!$A$4:$A$810&lt;=$J109)),'Match Log'!$N$4:$N$810),NA()))</f>
        <v>1016.7837867075796</v>
      </c>
      <c r="N109">
        <f>IF($J109&gt;MAX('Match Log'!$A$4:$A$810),NA(),IFERROR(LOOKUP(2,1/(('Match Log'!$D$4:$D$810=$N$24)*('Match Log'!$A$4:$A$810&lt;=$J109)),'Match Log'!$N$4:$N$810),NA()))</f>
        <v>962.61741276053897</v>
      </c>
      <c r="O109">
        <f>IF($J109&gt;MAX('Match Log'!$A$4:$A$810),NA(),IFERROR(LOOKUP(2,1/(('Match Log'!$D$4:$D$810=$O$24)*('Match Log'!$A$4:$A$810&lt;=$J109)),'Match Log'!$N$4:$N$810),NA()))</f>
        <v>1163.6944202317491</v>
      </c>
      <c r="P109">
        <f>IF($J109&gt;MAX('Match Log'!$A$4:$A$810),NA(),IFERROR(LOOKUP(2,1/(('Match Log'!$D$4:$D$810=$P$24)*('Match Log'!$A$4:$A$810&lt;=$J109)),'Match Log'!$N$4:$N$810),NA()))</f>
        <v>1029.7715942913092</v>
      </c>
      <c r="Q109">
        <f>IF($J109&gt;MAX('Match Log'!$A$4:$A$810),NA(),IFERROR(LOOKUP(2,1/(('Match Log'!$D$4:$D$810=$Q$24)*('Match Log'!$A$4:$A$810&lt;=$J109)),'Match Log'!$N$4:$N$810),NA()))</f>
        <v>1127.3851990259313</v>
      </c>
      <c r="R109">
        <f>IF($J109&gt;MAX('Match Log'!$A$4:$A$810),NA(),IFERROR(LOOKUP(2,1/(('Match Log'!$D$4:$D$810=$R$24)*('Match Log'!$A$4:$A$810&lt;=$J109)),'Match Log'!$N$4:$N$810),NA()))</f>
        <v>1053.8268660498134</v>
      </c>
      <c r="S109">
        <f>IF($J109&gt;MAX('Match Log'!$A$4:$A$810),NA(),IFERROR(LOOKUP(2,1/(('Match Log'!$D$4:$D$810=$S$24)*('Match Log'!$A$4:$A$810&lt;=$J109)),'Match Log'!$N$4:$N$810),NA()))</f>
        <v>1155.8757908762943</v>
      </c>
      <c r="T109">
        <f>IF($J109&gt;MAX('Match Log'!$A$4:$A$810),NA(),IFERROR(LOOKUP(2,1/(('Match Log'!$D$4:$D$810=$T$24)*('Match Log'!$A$4:$A$810&lt;=$J109)),'Match Log'!$N$4:$N$810),NA()))</f>
        <v>907.24597771907167</v>
      </c>
      <c r="U109">
        <f>IF($J109&gt;MAX('Match Log'!$A$4:$A$810),NA(),IFERROR(LOOKUP(2,1/(('Match Log'!$D$4:$D$810=$U$24)*('Match Log'!$A$4:$A$810&lt;=$J109)),'Match Log'!$N$4:$N$810),NA()))</f>
        <v>988.84823349786632</v>
      </c>
      <c r="V109">
        <f>IF($J109&gt;MAX('Match Log'!$A$4:$A$810),NA(),IFERROR(LOOKUP(2,1/(('Match Log'!$D$4:$D$810=$V$24)*('Match Log'!$A$4:$A$810&lt;=$J109)),'Match Log'!$N$4:$N$810),NA()))</f>
        <v>1011.6163740344422</v>
      </c>
      <c r="W109">
        <f>IF($J109&gt;MAX('Match Log'!$A$4:$A$810),NA(),IFERROR(LOOKUP(2,1/(('Match Log'!$D$4:$D$810=$W$24)*('Match Log'!$A$4:$A$810&lt;=$J109)),'Match Log'!$N$4:$N$810),NA()))</f>
        <v>1030.3815983388336</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1057.8442062146762</v>
      </c>
      <c r="L110">
        <f>IF($J110&gt;MAX('Match Log'!$A$4:$A$810),NA(),IFERROR(LOOKUP(2,1/(('Match Log'!$D$4:$D$810=$L$24)*('Match Log'!$A$4:$A$810&lt;=$J110)),'Match Log'!$N$4:$N$810),NA()))</f>
        <v>1052.1085402518941</v>
      </c>
      <c r="M110">
        <f>IF($J110&gt;MAX('Match Log'!$A$4:$A$810),NA(),IFERROR(LOOKUP(2,1/(('Match Log'!$D$4:$D$810=$M$24)*('Match Log'!$A$4:$A$810&lt;=$J110)),'Match Log'!$N$4:$N$810),NA()))</f>
        <v>1016.7837867075796</v>
      </c>
      <c r="N110">
        <f>IF($J110&gt;MAX('Match Log'!$A$4:$A$810),NA(),IFERROR(LOOKUP(2,1/(('Match Log'!$D$4:$D$810=$N$24)*('Match Log'!$A$4:$A$810&lt;=$J110)),'Match Log'!$N$4:$N$810),NA()))</f>
        <v>981.92436608474441</v>
      </c>
      <c r="O110">
        <f>IF($J110&gt;MAX('Match Log'!$A$4:$A$810),NA(),IFERROR(LOOKUP(2,1/(('Match Log'!$D$4:$D$810=$O$24)*('Match Log'!$A$4:$A$810&lt;=$J110)),'Match Log'!$N$4:$N$810),NA()))</f>
        <v>1158.0745310110758</v>
      </c>
      <c r="P110">
        <f>IF($J110&gt;MAX('Match Log'!$A$4:$A$810),NA(),IFERROR(LOOKUP(2,1/(('Match Log'!$D$4:$D$810=$P$24)*('Match Log'!$A$4:$A$810&lt;=$J110)),'Match Log'!$N$4:$N$810),NA()))</f>
        <v>1024.4750558551682</v>
      </c>
      <c r="Q110">
        <f>IF($J110&gt;MAX('Match Log'!$A$4:$A$810),NA(),IFERROR(LOOKUP(2,1/(('Match Log'!$D$4:$D$810=$Q$24)*('Match Log'!$A$4:$A$810&lt;=$J110)),'Match Log'!$N$4:$N$810),NA()))</f>
        <v>1127.3851990259313</v>
      </c>
      <c r="R110">
        <f>IF($J110&gt;MAX('Match Log'!$A$4:$A$810),NA(),IFERROR(LOOKUP(2,1/(('Match Log'!$D$4:$D$810=$R$24)*('Match Log'!$A$4:$A$810&lt;=$J110)),'Match Log'!$N$4:$N$810),NA()))</f>
        <v>1053.8268660498134</v>
      </c>
      <c r="S110">
        <f>IF($J110&gt;MAX('Match Log'!$A$4:$A$810),NA(),IFERROR(LOOKUP(2,1/(('Match Log'!$D$4:$D$810=$S$24)*('Match Log'!$A$4:$A$810&lt;=$J110)),'Match Log'!$N$4:$N$810),NA()))</f>
        <v>1155.8757908762943</v>
      </c>
      <c r="T110">
        <f>IF($J110&gt;MAX('Match Log'!$A$4:$A$810),NA(),IFERROR(LOOKUP(2,1/(('Match Log'!$D$4:$D$810=$T$24)*('Match Log'!$A$4:$A$810&lt;=$J110)),'Match Log'!$N$4:$N$810),NA()))</f>
        <v>907.24597771907167</v>
      </c>
      <c r="U110">
        <f>IF($J110&gt;MAX('Match Log'!$A$4:$A$810),NA(),IFERROR(LOOKUP(2,1/(('Match Log'!$D$4:$D$810=$U$24)*('Match Log'!$A$4:$A$810&lt;=$J110)),'Match Log'!$N$4:$N$810),NA()))</f>
        <v>988.84823349786632</v>
      </c>
      <c r="V110">
        <f>IF($J110&gt;MAX('Match Log'!$A$4:$A$810),NA(),IFERROR(LOOKUP(2,1/(('Match Log'!$D$4:$D$810=$V$24)*('Match Log'!$A$4:$A$810&lt;=$J110)),'Match Log'!$N$4:$N$810),NA()))</f>
        <v>1031.225848367051</v>
      </c>
      <c r="W110">
        <f>IF($J110&gt;MAX('Match Log'!$A$4:$A$810),NA(),IFERROR(LOOKUP(2,1/(('Match Log'!$D$4:$D$810=$W$24)*('Match Log'!$A$4:$A$810&lt;=$J110)),'Match Log'!$N$4:$N$810),NA()))</f>
        <v>1030.3815983388336</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1057.8442062146762</v>
      </c>
      <c r="L111">
        <f>IF($J111&gt;MAX('Match Log'!$A$4:$A$810),NA(),IFERROR(LOOKUP(2,1/(('Match Log'!$D$4:$D$810=$L$24)*('Match Log'!$A$4:$A$810&lt;=$J111)),'Match Log'!$N$4:$N$810),NA()))</f>
        <v>1052.1085402518941</v>
      </c>
      <c r="M111">
        <f>IF($J111&gt;MAX('Match Log'!$A$4:$A$810),NA(),IFERROR(LOOKUP(2,1/(('Match Log'!$D$4:$D$810=$M$24)*('Match Log'!$A$4:$A$810&lt;=$J111)),'Match Log'!$N$4:$N$810),NA()))</f>
        <v>1016.7837867075796</v>
      </c>
      <c r="N111">
        <f>IF($J111&gt;MAX('Match Log'!$A$4:$A$810),NA(),IFERROR(LOOKUP(2,1/(('Match Log'!$D$4:$D$810=$N$24)*('Match Log'!$A$4:$A$810&lt;=$J111)),'Match Log'!$N$4:$N$810),NA()))</f>
        <v>981.92436608474441</v>
      </c>
      <c r="O111">
        <f>IF($J111&gt;MAX('Match Log'!$A$4:$A$810),NA(),IFERROR(LOOKUP(2,1/(('Match Log'!$D$4:$D$810=$O$24)*('Match Log'!$A$4:$A$810&lt;=$J111)),'Match Log'!$N$4:$N$810),NA()))</f>
        <v>1158.0745310110758</v>
      </c>
      <c r="P111">
        <f>IF($J111&gt;MAX('Match Log'!$A$4:$A$810),NA(),IFERROR(LOOKUP(2,1/(('Match Log'!$D$4:$D$810=$P$24)*('Match Log'!$A$4:$A$810&lt;=$J111)),'Match Log'!$N$4:$N$810),NA()))</f>
        <v>1024.4750558551682</v>
      </c>
      <c r="Q111">
        <f>IF($J111&gt;MAX('Match Log'!$A$4:$A$810),NA(),IFERROR(LOOKUP(2,1/(('Match Log'!$D$4:$D$810=$Q$24)*('Match Log'!$A$4:$A$810&lt;=$J111)),'Match Log'!$N$4:$N$810),NA()))</f>
        <v>1147.4171642404699</v>
      </c>
      <c r="R111">
        <f>IF($J111&gt;MAX('Match Log'!$A$4:$A$810),NA(),IFERROR(LOOKUP(2,1/(('Match Log'!$D$4:$D$810=$R$24)*('Match Log'!$A$4:$A$810&lt;=$J111)),'Match Log'!$N$4:$N$810),NA()))</f>
        <v>1053.8268660498134</v>
      </c>
      <c r="S111">
        <f>IF($J111&gt;MAX('Match Log'!$A$4:$A$810),NA(),IFERROR(LOOKUP(2,1/(('Match Log'!$D$4:$D$810=$S$24)*('Match Log'!$A$4:$A$810&lt;=$J111)),'Match Log'!$N$4:$N$810),NA()))</f>
        <v>1135.8438256617558</v>
      </c>
      <c r="T111">
        <f>IF($J111&gt;MAX('Match Log'!$A$4:$A$810),NA(),IFERROR(LOOKUP(2,1/(('Match Log'!$D$4:$D$810=$T$24)*('Match Log'!$A$4:$A$810&lt;=$J111)),'Match Log'!$N$4:$N$810),NA()))</f>
        <v>907.24597771907167</v>
      </c>
      <c r="U111">
        <f>IF($J111&gt;MAX('Match Log'!$A$4:$A$810),NA(),IFERROR(LOOKUP(2,1/(('Match Log'!$D$4:$D$810=$U$24)*('Match Log'!$A$4:$A$810&lt;=$J111)),'Match Log'!$N$4:$N$810),NA()))</f>
        <v>988.84823349786632</v>
      </c>
      <c r="V111">
        <f>IF($J111&gt;MAX('Match Log'!$A$4:$A$810),NA(),IFERROR(LOOKUP(2,1/(('Match Log'!$D$4:$D$810=$V$24)*('Match Log'!$A$4:$A$810&lt;=$J111)),'Match Log'!$N$4:$N$810),NA()))</f>
        <v>1031.225848367051</v>
      </c>
      <c r="W111">
        <f>IF($J111&gt;MAX('Match Log'!$A$4:$A$810),NA(),IFERROR(LOOKUP(2,1/(('Match Log'!$D$4:$D$810=$W$24)*('Match Log'!$A$4:$A$810&lt;=$J111)),'Match Log'!$N$4:$N$810),NA()))</f>
        <v>1030.3815983388336</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1057.8442062146762</v>
      </c>
      <c r="L112">
        <f>IF($J112&gt;MAX('Match Log'!$A$4:$A$810),NA(),IFERROR(LOOKUP(2,1/(('Match Log'!$D$4:$D$810=$L$24)*('Match Log'!$A$4:$A$810&lt;=$J112)),'Match Log'!$N$4:$N$810),NA()))</f>
        <v>1052.1085402518941</v>
      </c>
      <c r="M112">
        <f>IF($J112&gt;MAX('Match Log'!$A$4:$A$810),NA(),IFERROR(LOOKUP(2,1/(('Match Log'!$D$4:$D$810=$M$24)*('Match Log'!$A$4:$A$810&lt;=$J112)),'Match Log'!$N$4:$N$810),NA()))</f>
        <v>1016.7837867075796</v>
      </c>
      <c r="N112">
        <f>IF($J112&gt;MAX('Match Log'!$A$4:$A$810),NA(),IFERROR(LOOKUP(2,1/(('Match Log'!$D$4:$D$810=$N$24)*('Match Log'!$A$4:$A$810&lt;=$J112)),'Match Log'!$N$4:$N$810),NA()))</f>
        <v>981.92436608474441</v>
      </c>
      <c r="O112">
        <f>IF($J112&gt;MAX('Match Log'!$A$4:$A$810),NA(),IFERROR(LOOKUP(2,1/(('Match Log'!$D$4:$D$810=$O$24)*('Match Log'!$A$4:$A$810&lt;=$J112)),'Match Log'!$N$4:$N$810),NA()))</f>
        <v>1158.0745310110758</v>
      </c>
      <c r="P112">
        <f>IF($J112&gt;MAX('Match Log'!$A$4:$A$810),NA(),IFERROR(LOOKUP(2,1/(('Match Log'!$D$4:$D$810=$P$24)*('Match Log'!$A$4:$A$810&lt;=$J112)),'Match Log'!$N$4:$N$810),NA()))</f>
        <v>1024.4750558551682</v>
      </c>
      <c r="Q112">
        <f>IF($J112&gt;MAX('Match Log'!$A$4:$A$810),NA(),IFERROR(LOOKUP(2,1/(('Match Log'!$D$4:$D$810=$Q$24)*('Match Log'!$A$4:$A$810&lt;=$J112)),'Match Log'!$N$4:$N$810),NA()))</f>
        <v>1165.026056955317</v>
      </c>
      <c r="R112">
        <f>IF($J112&gt;MAX('Match Log'!$A$4:$A$810),NA(),IFERROR(LOOKUP(2,1/(('Match Log'!$D$4:$D$810=$R$24)*('Match Log'!$A$4:$A$810&lt;=$J112)),'Match Log'!$N$4:$N$810),NA()))</f>
        <v>1053.8268660498134</v>
      </c>
      <c r="S112">
        <f>IF($J112&gt;MAX('Match Log'!$A$4:$A$810),NA(),IFERROR(LOOKUP(2,1/(('Match Log'!$D$4:$D$810=$S$24)*('Match Log'!$A$4:$A$810&lt;=$J112)),'Match Log'!$N$4:$N$810),NA()))</f>
        <v>1118.2349329469087</v>
      </c>
      <c r="T112">
        <f>IF($J112&gt;MAX('Match Log'!$A$4:$A$810),NA(),IFERROR(LOOKUP(2,1/(('Match Log'!$D$4:$D$810=$T$24)*('Match Log'!$A$4:$A$810&lt;=$J112)),'Match Log'!$N$4:$N$810),NA()))</f>
        <v>907.24597771907167</v>
      </c>
      <c r="U112">
        <f>IF($J112&gt;MAX('Match Log'!$A$4:$A$810),NA(),IFERROR(LOOKUP(2,1/(('Match Log'!$D$4:$D$810=$U$24)*('Match Log'!$A$4:$A$810&lt;=$J112)),'Match Log'!$N$4:$N$810),NA()))</f>
        <v>988.84823349786632</v>
      </c>
      <c r="V112">
        <f>IF($J112&gt;MAX('Match Log'!$A$4:$A$810),NA(),IFERROR(LOOKUP(2,1/(('Match Log'!$D$4:$D$810=$V$24)*('Match Log'!$A$4:$A$810&lt;=$J112)),'Match Log'!$N$4:$N$810),NA()))</f>
        <v>1031.225848367051</v>
      </c>
      <c r="W112">
        <f>IF($J112&gt;MAX('Match Log'!$A$4:$A$810),NA(),IFERROR(LOOKUP(2,1/(('Match Log'!$D$4:$D$810=$W$24)*('Match Log'!$A$4:$A$810&lt;=$J112)),'Match Log'!$N$4:$N$810),NA()))</f>
        <v>1030.3815983388336</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1057.8442062146762</v>
      </c>
      <c r="L113">
        <f>IF($J113&gt;MAX('Match Log'!$A$4:$A$810),NA(),IFERROR(LOOKUP(2,1/(('Match Log'!$D$4:$D$810=$L$24)*('Match Log'!$A$4:$A$810&lt;=$J113)),'Match Log'!$N$4:$N$810),NA()))</f>
        <v>1052.1085402518941</v>
      </c>
      <c r="M113">
        <f>IF($J113&gt;MAX('Match Log'!$A$4:$A$810),NA(),IFERROR(LOOKUP(2,1/(('Match Log'!$D$4:$D$810=$M$24)*('Match Log'!$A$4:$A$810&lt;=$J113)),'Match Log'!$N$4:$N$810),NA()))</f>
        <v>1016.7837867075796</v>
      </c>
      <c r="N113">
        <f>IF($J113&gt;MAX('Match Log'!$A$4:$A$810),NA(),IFERROR(LOOKUP(2,1/(('Match Log'!$D$4:$D$810=$N$24)*('Match Log'!$A$4:$A$810&lt;=$J113)),'Match Log'!$N$4:$N$810),NA()))</f>
        <v>981.92436608474441</v>
      </c>
      <c r="O113">
        <f>IF($J113&gt;MAX('Match Log'!$A$4:$A$810),NA(),IFERROR(LOOKUP(2,1/(('Match Log'!$D$4:$D$810=$O$24)*('Match Log'!$A$4:$A$810&lt;=$J113)),'Match Log'!$N$4:$N$810),NA()))</f>
        <v>1158.0745310110758</v>
      </c>
      <c r="P113">
        <f>IF($J113&gt;MAX('Match Log'!$A$4:$A$810),NA(),IFERROR(LOOKUP(2,1/(('Match Log'!$D$4:$D$810=$P$24)*('Match Log'!$A$4:$A$810&lt;=$J113)),'Match Log'!$N$4:$N$810),NA()))</f>
        <v>1016.1493029697812</v>
      </c>
      <c r="Q113">
        <f>IF($J113&gt;MAX('Match Log'!$A$4:$A$810),NA(),IFERROR(LOOKUP(2,1/(('Match Log'!$D$4:$D$810=$Q$24)*('Match Log'!$A$4:$A$810&lt;=$J113)),'Match Log'!$N$4:$N$810),NA()))</f>
        <v>1165.026056955317</v>
      </c>
      <c r="R113">
        <f>IF($J113&gt;MAX('Match Log'!$A$4:$A$810),NA(),IFERROR(LOOKUP(2,1/(('Match Log'!$D$4:$D$810=$R$24)*('Match Log'!$A$4:$A$810&lt;=$J113)),'Match Log'!$N$4:$N$810),NA()))</f>
        <v>1078.6736344283954</v>
      </c>
      <c r="S113">
        <f>IF($J113&gt;MAX('Match Log'!$A$4:$A$810),NA(),IFERROR(LOOKUP(2,1/(('Match Log'!$D$4:$D$810=$S$24)*('Match Log'!$A$4:$A$810&lt;=$J113)),'Match Log'!$N$4:$N$810),NA()))</f>
        <v>1118.2349329469087</v>
      </c>
      <c r="T113">
        <f>IF($J113&gt;MAX('Match Log'!$A$4:$A$810),NA(),IFERROR(LOOKUP(2,1/(('Match Log'!$D$4:$D$810=$T$24)*('Match Log'!$A$4:$A$810&lt;=$J113)),'Match Log'!$N$4:$N$810),NA()))</f>
        <v>907.24597771907167</v>
      </c>
      <c r="U113">
        <f>IF($J113&gt;MAX('Match Log'!$A$4:$A$810),NA(),IFERROR(LOOKUP(2,1/(('Match Log'!$D$4:$D$810=$U$24)*('Match Log'!$A$4:$A$810&lt;=$J113)),'Match Log'!$N$4:$N$810),NA()))</f>
        <v>981.32721800467129</v>
      </c>
      <c r="V113">
        <f>IF($J113&gt;MAX('Match Log'!$A$4:$A$810),NA(),IFERROR(LOOKUP(2,1/(('Match Log'!$D$4:$D$810=$V$24)*('Match Log'!$A$4:$A$810&lt;=$J113)),'Match Log'!$N$4:$N$810),NA()))</f>
        <v>1031.225848367051</v>
      </c>
      <c r="W113">
        <f>IF($J113&gt;MAX('Match Log'!$A$4:$A$810),NA(),IFERROR(LOOKUP(2,1/(('Match Log'!$D$4:$D$810=$W$24)*('Match Log'!$A$4:$A$810&lt;=$J113)),'Match Log'!$N$4:$N$810),NA()))</f>
        <v>1030.3815983388336</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1057.8442062146762</v>
      </c>
      <c r="L114">
        <f>IF($J114&gt;MAX('Match Log'!$A$4:$A$810),NA(),IFERROR(LOOKUP(2,1/(('Match Log'!$D$4:$D$810=$L$24)*('Match Log'!$A$4:$A$810&lt;=$J114)),'Match Log'!$N$4:$N$810),NA()))</f>
        <v>1052.1085402518941</v>
      </c>
      <c r="M114">
        <f>IF($J114&gt;MAX('Match Log'!$A$4:$A$810),NA(),IFERROR(LOOKUP(2,1/(('Match Log'!$D$4:$D$810=$M$24)*('Match Log'!$A$4:$A$810&lt;=$J114)),'Match Log'!$N$4:$N$810),NA()))</f>
        <v>1016.7837867075796</v>
      </c>
      <c r="N114">
        <f>IF($J114&gt;MAX('Match Log'!$A$4:$A$810),NA(),IFERROR(LOOKUP(2,1/(('Match Log'!$D$4:$D$810=$N$24)*('Match Log'!$A$4:$A$810&lt;=$J114)),'Match Log'!$N$4:$N$810),NA()))</f>
        <v>981.92436608474441</v>
      </c>
      <c r="O114">
        <f>IF($J114&gt;MAX('Match Log'!$A$4:$A$810),NA(),IFERROR(LOOKUP(2,1/(('Match Log'!$D$4:$D$810=$O$24)*('Match Log'!$A$4:$A$810&lt;=$J114)),'Match Log'!$N$4:$N$810),NA()))</f>
        <v>1158.0745310110758</v>
      </c>
      <c r="P114">
        <f>IF($J114&gt;MAX('Match Log'!$A$4:$A$810),NA(),IFERROR(LOOKUP(2,1/(('Match Log'!$D$4:$D$810=$P$24)*('Match Log'!$A$4:$A$810&lt;=$J114)),'Match Log'!$N$4:$N$810),NA()))</f>
        <v>1016.1493029697812</v>
      </c>
      <c r="Q114">
        <f>IF($J114&gt;MAX('Match Log'!$A$4:$A$810),NA(),IFERROR(LOOKUP(2,1/(('Match Log'!$D$4:$D$810=$Q$24)*('Match Log'!$A$4:$A$810&lt;=$J114)),'Match Log'!$N$4:$N$810),NA()))</f>
        <v>1133.8672708839456</v>
      </c>
      <c r="R114">
        <f>IF($J114&gt;MAX('Match Log'!$A$4:$A$810),NA(),IFERROR(LOOKUP(2,1/(('Match Log'!$D$4:$D$810=$R$24)*('Match Log'!$A$4:$A$810&lt;=$J114)),'Match Log'!$N$4:$N$810),NA()))</f>
        <v>1078.6736344283954</v>
      </c>
      <c r="S114">
        <f>IF($J114&gt;MAX('Match Log'!$A$4:$A$810),NA(),IFERROR(LOOKUP(2,1/(('Match Log'!$D$4:$D$810=$S$24)*('Match Log'!$A$4:$A$810&lt;=$J114)),'Match Log'!$N$4:$N$810),NA()))</f>
        <v>1118.2349329469087</v>
      </c>
      <c r="T114">
        <f>IF($J114&gt;MAX('Match Log'!$A$4:$A$810),NA(),IFERROR(LOOKUP(2,1/(('Match Log'!$D$4:$D$810=$T$24)*('Match Log'!$A$4:$A$810&lt;=$J114)),'Match Log'!$N$4:$N$810),NA()))</f>
        <v>907.24597771907167</v>
      </c>
      <c r="U114">
        <f>IF($J114&gt;MAX('Match Log'!$A$4:$A$810),NA(),IFERROR(LOOKUP(2,1/(('Match Log'!$D$4:$D$810=$U$24)*('Match Log'!$A$4:$A$810&lt;=$J114)),'Match Log'!$N$4:$N$810),NA()))</f>
        <v>1012.4860040760427</v>
      </c>
      <c r="V114">
        <f>IF($J114&gt;MAX('Match Log'!$A$4:$A$810),NA(),IFERROR(LOOKUP(2,1/(('Match Log'!$D$4:$D$810=$V$24)*('Match Log'!$A$4:$A$810&lt;=$J114)),'Match Log'!$N$4:$N$810),NA()))</f>
        <v>1031.225848367051</v>
      </c>
      <c r="W114">
        <f>IF($J114&gt;MAX('Match Log'!$A$4:$A$810),NA(),IFERROR(LOOKUP(2,1/(('Match Log'!$D$4:$D$810=$W$24)*('Match Log'!$A$4:$A$810&lt;=$J114)),'Match Log'!$N$4:$N$810),NA()))</f>
        <v>1030.3815983388336</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1057.8442062146762</v>
      </c>
      <c r="L115">
        <f>IF($J115&gt;MAX('Match Log'!$A$4:$A$810),NA(),IFERROR(LOOKUP(2,1/(('Match Log'!$D$4:$D$810=$L$24)*('Match Log'!$A$4:$A$810&lt;=$J115)),'Match Log'!$N$4:$N$810),NA()))</f>
        <v>1052.1085402518941</v>
      </c>
      <c r="M115">
        <f>IF($J115&gt;MAX('Match Log'!$A$4:$A$810),NA(),IFERROR(LOOKUP(2,1/(('Match Log'!$D$4:$D$810=$M$24)*('Match Log'!$A$4:$A$810&lt;=$J115)),'Match Log'!$N$4:$N$810),NA()))</f>
        <v>1016.7837867075796</v>
      </c>
      <c r="N115">
        <f>IF($J115&gt;MAX('Match Log'!$A$4:$A$810),NA(),IFERROR(LOOKUP(2,1/(('Match Log'!$D$4:$D$810=$N$24)*('Match Log'!$A$4:$A$810&lt;=$J115)),'Match Log'!$N$4:$N$810),NA()))</f>
        <v>981.92436608474441</v>
      </c>
      <c r="O115">
        <f>IF($J115&gt;MAX('Match Log'!$A$4:$A$810),NA(),IFERROR(LOOKUP(2,1/(('Match Log'!$D$4:$D$810=$O$24)*('Match Log'!$A$4:$A$810&lt;=$J115)),'Match Log'!$N$4:$N$810),NA()))</f>
        <v>1158.0745310110758</v>
      </c>
      <c r="P115">
        <f>IF($J115&gt;MAX('Match Log'!$A$4:$A$810),NA(),IFERROR(LOOKUP(2,1/(('Match Log'!$D$4:$D$810=$P$24)*('Match Log'!$A$4:$A$810&lt;=$J115)),'Match Log'!$N$4:$N$810),NA()))</f>
        <v>1016.1493029697812</v>
      </c>
      <c r="Q115">
        <f>IF($J115&gt;MAX('Match Log'!$A$4:$A$810),NA(),IFERROR(LOOKUP(2,1/(('Match Log'!$D$4:$D$810=$Q$24)*('Match Log'!$A$4:$A$810&lt;=$J115)),'Match Log'!$N$4:$N$810),NA()))</f>
        <v>1107.4689303691496</v>
      </c>
      <c r="R115">
        <f>IF($J115&gt;MAX('Match Log'!$A$4:$A$810),NA(),IFERROR(LOOKUP(2,1/(('Match Log'!$D$4:$D$810=$R$24)*('Match Log'!$A$4:$A$810&lt;=$J115)),'Match Log'!$N$4:$N$810),NA()))</f>
        <v>1078.6736344283954</v>
      </c>
      <c r="S115">
        <f>IF($J115&gt;MAX('Match Log'!$A$4:$A$810),NA(),IFERROR(LOOKUP(2,1/(('Match Log'!$D$4:$D$810=$S$24)*('Match Log'!$A$4:$A$810&lt;=$J115)),'Match Log'!$N$4:$N$810),NA()))</f>
        <v>1118.2349329469087</v>
      </c>
      <c r="T115">
        <f>IF($J115&gt;MAX('Match Log'!$A$4:$A$810),NA(),IFERROR(LOOKUP(2,1/(('Match Log'!$D$4:$D$810=$T$24)*('Match Log'!$A$4:$A$810&lt;=$J115)),'Match Log'!$N$4:$N$810),NA()))</f>
        <v>907.24597771907167</v>
      </c>
      <c r="U115">
        <f>IF($J115&gt;MAX('Match Log'!$A$4:$A$810),NA(),IFERROR(LOOKUP(2,1/(('Match Log'!$D$4:$D$810=$U$24)*('Match Log'!$A$4:$A$810&lt;=$J115)),'Match Log'!$N$4:$N$810),NA()))</f>
        <v>1038.8843445908387</v>
      </c>
      <c r="V115">
        <f>IF($J115&gt;MAX('Match Log'!$A$4:$A$810),NA(),IFERROR(LOOKUP(2,1/(('Match Log'!$D$4:$D$810=$V$24)*('Match Log'!$A$4:$A$810&lt;=$J115)),'Match Log'!$N$4:$N$810),NA()))</f>
        <v>1031.225848367051</v>
      </c>
      <c r="W115">
        <f>IF($J115&gt;MAX('Match Log'!$A$4:$A$810),NA(),IFERROR(LOOKUP(2,1/(('Match Log'!$D$4:$D$810=$W$24)*('Match Log'!$A$4:$A$810&lt;=$J115)),'Match Log'!$N$4:$N$810),NA()))</f>
        <v>1030.3815983388336</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1057.8442062146762</v>
      </c>
      <c r="L116">
        <f>IF($J116&gt;MAX('Match Log'!$A$4:$A$810),NA(),IFERROR(LOOKUP(2,1/(('Match Log'!$D$4:$D$810=$L$24)*('Match Log'!$A$4:$A$810&lt;=$J116)),'Match Log'!$N$4:$N$810),NA()))</f>
        <v>1052.1085402518941</v>
      </c>
      <c r="M116">
        <f>IF($J116&gt;MAX('Match Log'!$A$4:$A$810),NA(),IFERROR(LOOKUP(2,1/(('Match Log'!$D$4:$D$810=$M$24)*('Match Log'!$A$4:$A$810&lt;=$J116)),'Match Log'!$N$4:$N$810),NA()))</f>
        <v>1016.7837867075796</v>
      </c>
      <c r="N116">
        <f>IF($J116&gt;MAX('Match Log'!$A$4:$A$810),NA(),IFERROR(LOOKUP(2,1/(('Match Log'!$D$4:$D$810=$N$24)*('Match Log'!$A$4:$A$810&lt;=$J116)),'Match Log'!$N$4:$N$810),NA()))</f>
        <v>981.92436608474441</v>
      </c>
      <c r="O116">
        <f>IF($J116&gt;MAX('Match Log'!$A$4:$A$810),NA(),IFERROR(LOOKUP(2,1/(('Match Log'!$D$4:$D$810=$O$24)*('Match Log'!$A$4:$A$810&lt;=$J116)),'Match Log'!$N$4:$N$810),NA()))</f>
        <v>1158.0745310110758</v>
      </c>
      <c r="P116">
        <f>IF($J116&gt;MAX('Match Log'!$A$4:$A$810),NA(),IFERROR(LOOKUP(2,1/(('Match Log'!$D$4:$D$810=$P$24)*('Match Log'!$A$4:$A$810&lt;=$J116)),'Match Log'!$N$4:$N$810),NA()))</f>
        <v>1016.1493029697812</v>
      </c>
      <c r="Q116">
        <f>IF($J116&gt;MAX('Match Log'!$A$4:$A$810),NA(),IFERROR(LOOKUP(2,1/(('Match Log'!$D$4:$D$810=$Q$24)*('Match Log'!$A$4:$A$810&lt;=$J116)),'Match Log'!$N$4:$N$810),NA()))</f>
        <v>1084.8903813508514</v>
      </c>
      <c r="R116">
        <f>IF($J116&gt;MAX('Match Log'!$A$4:$A$810),NA(),IFERROR(LOOKUP(2,1/(('Match Log'!$D$4:$D$810=$R$24)*('Match Log'!$A$4:$A$810&lt;=$J116)),'Match Log'!$N$4:$N$810),NA()))</f>
        <v>1078.6736344283954</v>
      </c>
      <c r="S116">
        <f>IF($J116&gt;MAX('Match Log'!$A$4:$A$810),NA(),IFERROR(LOOKUP(2,1/(('Match Log'!$D$4:$D$810=$S$24)*('Match Log'!$A$4:$A$810&lt;=$J116)),'Match Log'!$N$4:$N$810),NA()))</f>
        <v>1118.2349329469087</v>
      </c>
      <c r="T116">
        <f>IF($J116&gt;MAX('Match Log'!$A$4:$A$810),NA(),IFERROR(LOOKUP(2,1/(('Match Log'!$D$4:$D$810=$T$24)*('Match Log'!$A$4:$A$810&lt;=$J116)),'Match Log'!$N$4:$N$810),NA()))</f>
        <v>907.24597771907167</v>
      </c>
      <c r="U116">
        <f>IF($J116&gt;MAX('Match Log'!$A$4:$A$810),NA(),IFERROR(LOOKUP(2,1/(('Match Log'!$D$4:$D$810=$U$24)*('Match Log'!$A$4:$A$810&lt;=$J116)),'Match Log'!$N$4:$N$810),NA()))</f>
        <v>1061.4628936091369</v>
      </c>
      <c r="V116">
        <f>IF($J116&gt;MAX('Match Log'!$A$4:$A$810),NA(),IFERROR(LOOKUP(2,1/(('Match Log'!$D$4:$D$810=$V$24)*('Match Log'!$A$4:$A$810&lt;=$J116)),'Match Log'!$N$4:$N$810),NA()))</f>
        <v>1031.225848367051</v>
      </c>
      <c r="W116">
        <f>IF($J116&gt;MAX('Match Log'!$A$4:$A$810),NA(),IFERROR(LOOKUP(2,1/(('Match Log'!$D$4:$D$810=$W$24)*('Match Log'!$A$4:$A$810&lt;=$J116)),'Match Log'!$N$4:$N$810),NA()))</f>
        <v>1030.3815983388336</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1057.8442062146762</v>
      </c>
      <c r="L117">
        <f>IF($J117&gt;MAX('Match Log'!$A$4:$A$810),NA(),IFERROR(LOOKUP(2,1/(('Match Log'!$D$4:$D$810=$L$24)*('Match Log'!$A$4:$A$810&lt;=$J117)),'Match Log'!$N$4:$N$810),NA()))</f>
        <v>1029.2201908859522</v>
      </c>
      <c r="M117">
        <f>IF($J117&gt;MAX('Match Log'!$A$4:$A$810),NA(),IFERROR(LOOKUP(2,1/(('Match Log'!$D$4:$D$810=$M$24)*('Match Log'!$A$4:$A$810&lt;=$J117)),'Match Log'!$N$4:$N$810),NA()))</f>
        <v>1016.7837867075796</v>
      </c>
      <c r="N117">
        <f>IF($J117&gt;MAX('Match Log'!$A$4:$A$810),NA(),IFERROR(LOOKUP(2,1/(('Match Log'!$D$4:$D$810=$N$24)*('Match Log'!$A$4:$A$810&lt;=$J117)),'Match Log'!$N$4:$N$810),NA()))</f>
        <v>981.92436608474441</v>
      </c>
      <c r="O117">
        <f>IF($J117&gt;MAX('Match Log'!$A$4:$A$810),NA(),IFERROR(LOOKUP(2,1/(('Match Log'!$D$4:$D$810=$O$24)*('Match Log'!$A$4:$A$810&lt;=$J117)),'Match Log'!$N$4:$N$810),NA()))</f>
        <v>1158.0745310110758</v>
      </c>
      <c r="P117">
        <f>IF($J117&gt;MAX('Match Log'!$A$4:$A$810),NA(),IFERROR(LOOKUP(2,1/(('Match Log'!$D$4:$D$810=$P$24)*('Match Log'!$A$4:$A$810&lt;=$J117)),'Match Log'!$N$4:$N$810),NA()))</f>
        <v>1016.1493029697812</v>
      </c>
      <c r="Q117">
        <f>IF($J117&gt;MAX('Match Log'!$A$4:$A$810),NA(),IFERROR(LOOKUP(2,1/(('Match Log'!$D$4:$D$810=$Q$24)*('Match Log'!$A$4:$A$810&lt;=$J117)),'Match Log'!$N$4:$N$810),NA()))</f>
        <v>1084.8903813508514</v>
      </c>
      <c r="R117">
        <f>IF($J117&gt;MAX('Match Log'!$A$4:$A$810),NA(),IFERROR(LOOKUP(2,1/(('Match Log'!$D$4:$D$810=$R$24)*('Match Log'!$A$4:$A$810&lt;=$J117)),'Match Log'!$N$4:$N$810),NA()))</f>
        <v>1078.6736344283954</v>
      </c>
      <c r="S117">
        <f>IF($J117&gt;MAX('Match Log'!$A$4:$A$810),NA(),IFERROR(LOOKUP(2,1/(('Match Log'!$D$4:$D$810=$S$24)*('Match Log'!$A$4:$A$810&lt;=$J117)),'Match Log'!$N$4:$N$810),NA()))</f>
        <v>1118.2349329469087</v>
      </c>
      <c r="T117">
        <f>IF($J117&gt;MAX('Match Log'!$A$4:$A$810),NA(),IFERROR(LOOKUP(2,1/(('Match Log'!$D$4:$D$810=$T$24)*('Match Log'!$A$4:$A$810&lt;=$J117)),'Match Log'!$N$4:$N$810),NA()))</f>
        <v>907.24597771907167</v>
      </c>
      <c r="U117">
        <f>IF($J117&gt;MAX('Match Log'!$A$4:$A$810),NA(),IFERROR(LOOKUP(2,1/(('Match Log'!$D$4:$D$810=$U$24)*('Match Log'!$A$4:$A$810&lt;=$J117)),'Match Log'!$N$4:$N$810),NA()))</f>
        <v>1084.3512429750788</v>
      </c>
      <c r="V117">
        <f>IF($J117&gt;MAX('Match Log'!$A$4:$A$810),NA(),IFERROR(LOOKUP(2,1/(('Match Log'!$D$4:$D$810=$V$24)*('Match Log'!$A$4:$A$810&lt;=$J117)),'Match Log'!$N$4:$N$810),NA()))</f>
        <v>1031.225848367051</v>
      </c>
      <c r="W117">
        <f>IF($J117&gt;MAX('Match Log'!$A$4:$A$810),NA(),IFERROR(LOOKUP(2,1/(('Match Log'!$D$4:$D$810=$W$24)*('Match Log'!$A$4:$A$810&lt;=$J117)),'Match Log'!$N$4:$N$810),NA()))</f>
        <v>1030.3815983388336</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1057.8442062146762</v>
      </c>
      <c r="L118">
        <f>IF($J118&gt;MAX('Match Log'!$A$4:$A$810),NA(),IFERROR(LOOKUP(2,1/(('Match Log'!$D$4:$D$810=$L$24)*('Match Log'!$A$4:$A$810&lt;=$J118)),'Match Log'!$N$4:$N$810),NA()))</f>
        <v>1029.2201908859522</v>
      </c>
      <c r="M118">
        <f>IF($J118&gt;MAX('Match Log'!$A$4:$A$810),NA(),IFERROR(LOOKUP(2,1/(('Match Log'!$D$4:$D$810=$M$24)*('Match Log'!$A$4:$A$810&lt;=$J118)),'Match Log'!$N$4:$N$810),NA()))</f>
        <v>1016.7837867075796</v>
      </c>
      <c r="N118">
        <f>IF($J118&gt;MAX('Match Log'!$A$4:$A$810),NA(),IFERROR(LOOKUP(2,1/(('Match Log'!$D$4:$D$810=$N$24)*('Match Log'!$A$4:$A$810&lt;=$J118)),'Match Log'!$N$4:$N$810),NA()))</f>
        <v>981.92436608474441</v>
      </c>
      <c r="O118">
        <f>IF($J118&gt;MAX('Match Log'!$A$4:$A$810),NA(),IFERROR(LOOKUP(2,1/(('Match Log'!$D$4:$D$810=$O$24)*('Match Log'!$A$4:$A$810&lt;=$J118)),'Match Log'!$N$4:$N$810),NA()))</f>
        <v>1158.0745310110758</v>
      </c>
      <c r="P118">
        <f>IF($J118&gt;MAX('Match Log'!$A$4:$A$810),NA(),IFERROR(LOOKUP(2,1/(('Match Log'!$D$4:$D$810=$P$24)*('Match Log'!$A$4:$A$810&lt;=$J118)),'Match Log'!$N$4:$N$810),NA()))</f>
        <v>1016.1493029697812</v>
      </c>
      <c r="Q118">
        <f>IF($J118&gt;MAX('Match Log'!$A$4:$A$810),NA(),IFERROR(LOOKUP(2,1/(('Match Log'!$D$4:$D$810=$Q$24)*('Match Log'!$A$4:$A$810&lt;=$J118)),'Match Log'!$N$4:$N$810),NA()))</f>
        <v>1084.8903813508514</v>
      </c>
      <c r="R118">
        <f>IF($J118&gt;MAX('Match Log'!$A$4:$A$810),NA(),IFERROR(LOOKUP(2,1/(('Match Log'!$D$4:$D$810=$R$24)*('Match Log'!$A$4:$A$810&lt;=$J118)),'Match Log'!$N$4:$N$810),NA()))</f>
        <v>1092.8828602702154</v>
      </c>
      <c r="S118">
        <f>IF($J118&gt;MAX('Match Log'!$A$4:$A$810),NA(),IFERROR(LOOKUP(2,1/(('Match Log'!$D$4:$D$810=$S$24)*('Match Log'!$A$4:$A$810&lt;=$J118)),'Match Log'!$N$4:$N$810),NA()))</f>
        <v>1118.2349329469087</v>
      </c>
      <c r="T118">
        <f>IF($J118&gt;MAX('Match Log'!$A$4:$A$810),NA(),IFERROR(LOOKUP(2,1/(('Match Log'!$D$4:$D$810=$T$24)*('Match Log'!$A$4:$A$810&lt;=$J118)),'Match Log'!$N$4:$N$810),NA()))</f>
        <v>893.03675187725173</v>
      </c>
      <c r="U118">
        <f>IF($J118&gt;MAX('Match Log'!$A$4:$A$810),NA(),IFERROR(LOOKUP(2,1/(('Match Log'!$D$4:$D$810=$U$24)*('Match Log'!$A$4:$A$810&lt;=$J118)),'Match Log'!$N$4:$N$810),NA()))</f>
        <v>1084.3512429750788</v>
      </c>
      <c r="V118">
        <f>IF($J118&gt;MAX('Match Log'!$A$4:$A$810),NA(),IFERROR(LOOKUP(2,1/(('Match Log'!$D$4:$D$810=$V$24)*('Match Log'!$A$4:$A$810&lt;=$J118)),'Match Log'!$N$4:$N$810),NA()))</f>
        <v>1031.225848367051</v>
      </c>
      <c r="W118">
        <f>IF($J118&gt;MAX('Match Log'!$A$4:$A$810),NA(),IFERROR(LOOKUP(2,1/(('Match Log'!$D$4:$D$810=$W$24)*('Match Log'!$A$4:$A$810&lt;=$J118)),'Match Log'!$N$4:$N$810),NA()))</f>
        <v>1030.3815983388336</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1057.8442062146762</v>
      </c>
      <c r="L119">
        <f>IF($J119&gt;MAX('Match Log'!$A$4:$A$810),NA(),IFERROR(LOOKUP(2,1/(('Match Log'!$D$4:$D$810=$L$24)*('Match Log'!$A$4:$A$810&lt;=$J119)),'Match Log'!$N$4:$N$810),NA()))</f>
        <v>1029.2201908859522</v>
      </c>
      <c r="M119">
        <f>IF($J119&gt;MAX('Match Log'!$A$4:$A$810),NA(),IFERROR(LOOKUP(2,1/(('Match Log'!$D$4:$D$810=$M$24)*('Match Log'!$A$4:$A$810&lt;=$J119)),'Match Log'!$N$4:$N$810),NA()))</f>
        <v>1016.7837867075796</v>
      </c>
      <c r="N119">
        <f>IF($J119&gt;MAX('Match Log'!$A$4:$A$810),NA(),IFERROR(LOOKUP(2,1/(('Match Log'!$D$4:$D$810=$N$24)*('Match Log'!$A$4:$A$810&lt;=$J119)),'Match Log'!$N$4:$N$810),NA()))</f>
        <v>981.92436608474441</v>
      </c>
      <c r="O119">
        <f>IF($J119&gt;MAX('Match Log'!$A$4:$A$810),NA(),IFERROR(LOOKUP(2,1/(('Match Log'!$D$4:$D$810=$O$24)*('Match Log'!$A$4:$A$810&lt;=$J119)),'Match Log'!$N$4:$N$810),NA()))</f>
        <v>1158.0745310110758</v>
      </c>
      <c r="P119">
        <f>IF($J119&gt;MAX('Match Log'!$A$4:$A$810),NA(),IFERROR(LOOKUP(2,1/(('Match Log'!$D$4:$D$810=$P$24)*('Match Log'!$A$4:$A$810&lt;=$J119)),'Match Log'!$N$4:$N$810),NA()))</f>
        <v>1009.6941424050542</v>
      </c>
      <c r="Q119">
        <f>IF($J119&gt;MAX('Match Log'!$A$4:$A$810),NA(),IFERROR(LOOKUP(2,1/(('Match Log'!$D$4:$D$810=$Q$24)*('Match Log'!$A$4:$A$810&lt;=$J119)),'Match Log'!$N$4:$N$810),NA()))</f>
        <v>1084.8903813508514</v>
      </c>
      <c r="R119">
        <f>IF($J119&gt;MAX('Match Log'!$A$4:$A$810),NA(),IFERROR(LOOKUP(2,1/(('Match Log'!$D$4:$D$810=$R$24)*('Match Log'!$A$4:$A$810&lt;=$J119)),'Match Log'!$N$4:$N$810),NA()))</f>
        <v>1116.0822981256626</v>
      </c>
      <c r="S119">
        <f>IF($J119&gt;MAX('Match Log'!$A$4:$A$810),NA(),IFERROR(LOOKUP(2,1/(('Match Log'!$D$4:$D$810=$S$24)*('Match Log'!$A$4:$A$810&lt;=$J119)),'Match Log'!$N$4:$N$810),NA()))</f>
        <v>1118.2349329469087</v>
      </c>
      <c r="T119">
        <f>IF($J119&gt;MAX('Match Log'!$A$4:$A$810),NA(),IFERROR(LOOKUP(2,1/(('Match Log'!$D$4:$D$810=$T$24)*('Match Log'!$A$4:$A$810&lt;=$J119)),'Match Log'!$N$4:$N$810),NA()))</f>
        <v>893.03675187725173</v>
      </c>
      <c r="U119">
        <f>IF($J119&gt;MAX('Match Log'!$A$4:$A$810),NA(),IFERROR(LOOKUP(2,1/(('Match Log'!$D$4:$D$810=$U$24)*('Match Log'!$A$4:$A$810&lt;=$J119)),'Match Log'!$N$4:$N$810),NA()))</f>
        <v>1076.6069656843583</v>
      </c>
      <c r="V119">
        <f>IF($J119&gt;MAX('Match Log'!$A$4:$A$810),NA(),IFERROR(LOOKUP(2,1/(('Match Log'!$D$4:$D$810=$V$24)*('Match Log'!$A$4:$A$810&lt;=$J119)),'Match Log'!$N$4:$N$810),NA()))</f>
        <v>1031.225848367051</v>
      </c>
      <c r="W119">
        <f>IF($J119&gt;MAX('Match Log'!$A$4:$A$810),NA(),IFERROR(LOOKUP(2,1/(('Match Log'!$D$4:$D$810=$W$24)*('Match Log'!$A$4:$A$810&lt;=$J119)),'Match Log'!$N$4:$N$810),NA()))</f>
        <v>1030.3815983388336</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1057.8442062146762</v>
      </c>
      <c r="L120">
        <f>IF($J120&gt;MAX('Match Log'!$A$4:$A$810),NA(),IFERROR(LOOKUP(2,1/(('Match Log'!$D$4:$D$810=$L$24)*('Match Log'!$A$4:$A$810&lt;=$J120)),'Match Log'!$N$4:$N$810),NA()))</f>
        <v>1029.2201908859522</v>
      </c>
      <c r="M120">
        <f>IF($J120&gt;MAX('Match Log'!$A$4:$A$810),NA(),IFERROR(LOOKUP(2,1/(('Match Log'!$D$4:$D$810=$M$24)*('Match Log'!$A$4:$A$810&lt;=$J120)),'Match Log'!$N$4:$N$810),NA()))</f>
        <v>1016.7837867075796</v>
      </c>
      <c r="N120">
        <f>IF($J120&gt;MAX('Match Log'!$A$4:$A$810),NA(),IFERROR(LOOKUP(2,1/(('Match Log'!$D$4:$D$810=$N$24)*('Match Log'!$A$4:$A$810&lt;=$J120)),'Match Log'!$N$4:$N$810),NA()))</f>
        <v>981.92436608474441</v>
      </c>
      <c r="O120">
        <f>IF($J120&gt;MAX('Match Log'!$A$4:$A$810),NA(),IFERROR(LOOKUP(2,1/(('Match Log'!$D$4:$D$810=$O$24)*('Match Log'!$A$4:$A$810&lt;=$J120)),'Match Log'!$N$4:$N$810),NA()))</f>
        <v>1158.0745310110758</v>
      </c>
      <c r="P120">
        <f>IF($J120&gt;MAX('Match Log'!$A$4:$A$810),NA(),IFERROR(LOOKUP(2,1/(('Match Log'!$D$4:$D$810=$P$24)*('Match Log'!$A$4:$A$810&lt;=$J120)),'Match Log'!$N$4:$N$810),NA()))</f>
        <v>1009.6941424050542</v>
      </c>
      <c r="Q120">
        <f>IF($J120&gt;MAX('Match Log'!$A$4:$A$810),NA(),IFERROR(LOOKUP(2,1/(('Match Log'!$D$4:$D$810=$Q$24)*('Match Log'!$A$4:$A$810&lt;=$J120)),'Match Log'!$N$4:$N$810),NA()))</f>
        <v>1084.8903813508514</v>
      </c>
      <c r="R120">
        <f>IF($J120&gt;MAX('Match Log'!$A$4:$A$810),NA(),IFERROR(LOOKUP(2,1/(('Match Log'!$D$4:$D$810=$R$24)*('Match Log'!$A$4:$A$810&lt;=$J120)),'Match Log'!$N$4:$N$810),NA()))</f>
        <v>1089.455302555162</v>
      </c>
      <c r="S120">
        <f>IF($J120&gt;MAX('Match Log'!$A$4:$A$810),NA(),IFERROR(LOOKUP(2,1/(('Match Log'!$D$4:$D$810=$S$24)*('Match Log'!$A$4:$A$810&lt;=$J120)),'Match Log'!$N$4:$N$810),NA()))</f>
        <v>1144.8619285174093</v>
      </c>
      <c r="T120">
        <f>IF($J120&gt;MAX('Match Log'!$A$4:$A$810),NA(),IFERROR(LOOKUP(2,1/(('Match Log'!$D$4:$D$810=$T$24)*('Match Log'!$A$4:$A$810&lt;=$J120)),'Match Log'!$N$4:$N$810),NA()))</f>
        <v>893.03675187725173</v>
      </c>
      <c r="U120">
        <f>IF($J120&gt;MAX('Match Log'!$A$4:$A$810),NA(),IFERROR(LOOKUP(2,1/(('Match Log'!$D$4:$D$810=$U$24)*('Match Log'!$A$4:$A$810&lt;=$J120)),'Match Log'!$N$4:$N$810),NA()))</f>
        <v>1076.6069656843583</v>
      </c>
      <c r="V120">
        <f>IF($J120&gt;MAX('Match Log'!$A$4:$A$810),NA(),IFERROR(LOOKUP(2,1/(('Match Log'!$D$4:$D$810=$V$24)*('Match Log'!$A$4:$A$810&lt;=$J120)),'Match Log'!$N$4:$N$810),NA()))</f>
        <v>1031.225848367051</v>
      </c>
      <c r="W120">
        <f>IF($J120&gt;MAX('Match Log'!$A$4:$A$810),NA(),IFERROR(LOOKUP(2,1/(('Match Log'!$D$4:$D$810=$W$24)*('Match Log'!$A$4:$A$810&lt;=$J120)),'Match Log'!$N$4:$N$810),NA()))</f>
        <v>1030.3815983388336</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1057.8442062146762</v>
      </c>
      <c r="L121">
        <f>IF($J121&gt;MAX('Match Log'!$A$4:$A$810),NA(),IFERROR(LOOKUP(2,1/(('Match Log'!$D$4:$D$810=$L$24)*('Match Log'!$A$4:$A$810&lt;=$J121)),'Match Log'!$N$4:$N$810),NA()))</f>
        <v>1029.2201908859522</v>
      </c>
      <c r="M121">
        <f>IF($J121&gt;MAX('Match Log'!$A$4:$A$810),NA(),IFERROR(LOOKUP(2,1/(('Match Log'!$D$4:$D$810=$M$24)*('Match Log'!$A$4:$A$810&lt;=$J121)),'Match Log'!$N$4:$N$810),NA()))</f>
        <v>1016.7837867075796</v>
      </c>
      <c r="N121">
        <f>IF($J121&gt;MAX('Match Log'!$A$4:$A$810),NA(),IFERROR(LOOKUP(2,1/(('Match Log'!$D$4:$D$810=$N$24)*('Match Log'!$A$4:$A$810&lt;=$J121)),'Match Log'!$N$4:$N$810),NA()))</f>
        <v>981.92436608474441</v>
      </c>
      <c r="O121">
        <f>IF($J121&gt;MAX('Match Log'!$A$4:$A$810),NA(),IFERROR(LOOKUP(2,1/(('Match Log'!$D$4:$D$810=$O$24)*('Match Log'!$A$4:$A$810&lt;=$J121)),'Match Log'!$N$4:$N$810),NA()))</f>
        <v>1158.0745310110758</v>
      </c>
      <c r="P121">
        <f>IF($J121&gt;MAX('Match Log'!$A$4:$A$810),NA(),IFERROR(LOOKUP(2,1/(('Match Log'!$D$4:$D$810=$P$24)*('Match Log'!$A$4:$A$810&lt;=$J121)),'Match Log'!$N$4:$N$810),NA()))</f>
        <v>1009.6941424050542</v>
      </c>
      <c r="Q121">
        <f>IF($J121&gt;MAX('Match Log'!$A$4:$A$810),NA(),IFERROR(LOOKUP(2,1/(('Match Log'!$D$4:$D$810=$Q$24)*('Match Log'!$A$4:$A$810&lt;=$J121)),'Match Log'!$N$4:$N$810),NA()))</f>
        <v>1084.8903813508514</v>
      </c>
      <c r="R121">
        <f>IF($J121&gt;MAX('Match Log'!$A$4:$A$810),NA(),IFERROR(LOOKUP(2,1/(('Match Log'!$D$4:$D$810=$R$24)*('Match Log'!$A$4:$A$810&lt;=$J121)),'Match Log'!$N$4:$N$810),NA()))</f>
        <v>1066.1058874718271</v>
      </c>
      <c r="S121">
        <f>IF($J121&gt;MAX('Match Log'!$A$4:$A$810),NA(),IFERROR(LOOKUP(2,1/(('Match Log'!$D$4:$D$810=$S$24)*('Match Log'!$A$4:$A$810&lt;=$J121)),'Match Log'!$N$4:$N$810),NA()))</f>
        <v>1168.2113436007442</v>
      </c>
      <c r="T121">
        <f>IF($J121&gt;MAX('Match Log'!$A$4:$A$810),NA(),IFERROR(LOOKUP(2,1/(('Match Log'!$D$4:$D$810=$T$24)*('Match Log'!$A$4:$A$810&lt;=$J121)),'Match Log'!$N$4:$N$810),NA()))</f>
        <v>893.03675187725173</v>
      </c>
      <c r="U121">
        <f>IF($J121&gt;MAX('Match Log'!$A$4:$A$810),NA(),IFERROR(LOOKUP(2,1/(('Match Log'!$D$4:$D$810=$U$24)*('Match Log'!$A$4:$A$810&lt;=$J121)),'Match Log'!$N$4:$N$810),NA()))</f>
        <v>1076.6069656843583</v>
      </c>
      <c r="V121">
        <f>IF($J121&gt;MAX('Match Log'!$A$4:$A$810),NA(),IFERROR(LOOKUP(2,1/(('Match Log'!$D$4:$D$810=$V$24)*('Match Log'!$A$4:$A$810&lt;=$J121)),'Match Log'!$N$4:$N$810),NA()))</f>
        <v>1031.225848367051</v>
      </c>
      <c r="W121">
        <f>IF($J121&gt;MAX('Match Log'!$A$4:$A$810),NA(),IFERROR(LOOKUP(2,1/(('Match Log'!$D$4:$D$810=$W$24)*('Match Log'!$A$4:$A$810&lt;=$J121)),'Match Log'!$N$4:$N$810),NA()))</f>
        <v>1030.3815983388336</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1057.8442062146762</v>
      </c>
      <c r="L122">
        <f>IF($J122&gt;MAX('Match Log'!$A$4:$A$810),NA(),IFERROR(LOOKUP(2,1/(('Match Log'!$D$4:$D$810=$L$24)*('Match Log'!$A$4:$A$810&lt;=$J122)),'Match Log'!$N$4:$N$810),NA()))</f>
        <v>1029.2201908859522</v>
      </c>
      <c r="M122">
        <f>IF($J122&gt;MAX('Match Log'!$A$4:$A$810),NA(),IFERROR(LOOKUP(2,1/(('Match Log'!$D$4:$D$810=$M$24)*('Match Log'!$A$4:$A$810&lt;=$J122)),'Match Log'!$N$4:$N$810),NA()))</f>
        <v>1016.7837867075796</v>
      </c>
      <c r="N122">
        <f>IF($J122&gt;MAX('Match Log'!$A$4:$A$810),NA(),IFERROR(LOOKUP(2,1/(('Match Log'!$D$4:$D$810=$N$24)*('Match Log'!$A$4:$A$810&lt;=$J122)),'Match Log'!$N$4:$N$810),NA()))</f>
        <v>981.92436608474441</v>
      </c>
      <c r="O122">
        <f>IF($J122&gt;MAX('Match Log'!$A$4:$A$810),NA(),IFERROR(LOOKUP(2,1/(('Match Log'!$D$4:$D$810=$O$24)*('Match Log'!$A$4:$A$810&lt;=$J122)),'Match Log'!$N$4:$N$810),NA()))</f>
        <v>1158.0745310110758</v>
      </c>
      <c r="P122">
        <f>IF($J122&gt;MAX('Match Log'!$A$4:$A$810),NA(),IFERROR(LOOKUP(2,1/(('Match Log'!$D$4:$D$810=$P$24)*('Match Log'!$A$4:$A$810&lt;=$J122)),'Match Log'!$N$4:$N$810),NA()))</f>
        <v>1034.2694085900962</v>
      </c>
      <c r="Q122">
        <f>IF($J122&gt;MAX('Match Log'!$A$4:$A$810),NA(),IFERROR(LOOKUP(2,1/(('Match Log'!$D$4:$D$810=$Q$24)*('Match Log'!$A$4:$A$810&lt;=$J122)),'Match Log'!$N$4:$N$810),NA()))</f>
        <v>1084.8903813508514</v>
      </c>
      <c r="R122">
        <f>IF($J122&gt;MAX('Match Log'!$A$4:$A$810),NA(),IFERROR(LOOKUP(2,1/(('Match Log'!$D$4:$D$810=$R$24)*('Match Log'!$A$4:$A$810&lt;=$J122)),'Match Log'!$N$4:$N$810),NA()))</f>
        <v>1041.5306212867852</v>
      </c>
      <c r="S122">
        <f>IF($J122&gt;MAX('Match Log'!$A$4:$A$810),NA(),IFERROR(LOOKUP(2,1/(('Match Log'!$D$4:$D$810=$S$24)*('Match Log'!$A$4:$A$810&lt;=$J122)),'Match Log'!$N$4:$N$810),NA()))</f>
        <v>1168.2113436007442</v>
      </c>
      <c r="T122">
        <f>IF($J122&gt;MAX('Match Log'!$A$4:$A$810),NA(),IFERROR(LOOKUP(2,1/(('Match Log'!$D$4:$D$810=$T$24)*('Match Log'!$A$4:$A$810&lt;=$J122)),'Match Log'!$N$4:$N$810),NA()))</f>
        <v>893.03675187725173</v>
      </c>
      <c r="U122">
        <f>IF($J122&gt;MAX('Match Log'!$A$4:$A$810),NA(),IFERROR(LOOKUP(2,1/(('Match Log'!$D$4:$D$810=$U$24)*('Match Log'!$A$4:$A$810&lt;=$J122)),'Match Log'!$N$4:$N$810),NA()))</f>
        <v>1076.6069656843583</v>
      </c>
      <c r="V122">
        <f>IF($J122&gt;MAX('Match Log'!$A$4:$A$810),NA(),IFERROR(LOOKUP(2,1/(('Match Log'!$D$4:$D$810=$V$24)*('Match Log'!$A$4:$A$810&lt;=$J122)),'Match Log'!$N$4:$N$810),NA()))</f>
        <v>1031.225848367051</v>
      </c>
      <c r="W122">
        <f>IF($J122&gt;MAX('Match Log'!$A$4:$A$810),NA(),IFERROR(LOOKUP(2,1/(('Match Log'!$D$4:$D$810=$W$24)*('Match Log'!$A$4:$A$810&lt;=$J122)),'Match Log'!$N$4:$N$810),NA()))</f>
        <v>1030.3815983388336</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0.5</v>
      </c>
      <c r="G123">
        <f t="shared" si="25"/>
        <v>0</v>
      </c>
      <c r="H123" t="str">
        <f t="array" ref="H123">IFERROR(IF(COUNTIFS('Match Log'!$A$4:$A$810,$A123,'Match Log'!$E$4:$E$810,"Win")&gt;1,_xlfn.TEXTJOIN(" + ",TRUE,IF(('Match Log'!$A$4:$A$810=$A123)*('Match Log'!$E$4:$E$810="Loss"),'Match Log'!$D$4:$D$810,"")),IF($E123=2,LOOKUP(2,1/(('Match Log'!$A$4:$A$810=$A123)*('Match Log'!$E$4:$E$810="Loss")),'Match Log'!$D$4:$D$810),"the field")),"")</f>
        <v>Josh</v>
      </c>
      <c r="I123">
        <f t="shared" si="26"/>
        <v>-9.8999999999999994E-5</v>
      </c>
      <c r="J123">
        <v>99</v>
      </c>
      <c r="K123">
        <f>IF($J123&gt;MAX('Match Log'!$A$4:$A$810),NA(),IFERROR(LOOKUP(2,1/(('Match Log'!$D$4:$D$810=$K$24)*('Match Log'!$A$4:$A$810&lt;=$J123)),'Match Log'!$N$4:$N$810),NA()))</f>
        <v>1057.8442062146762</v>
      </c>
      <c r="L123">
        <f>IF($J123&gt;MAX('Match Log'!$A$4:$A$810),NA(),IFERROR(LOOKUP(2,1/(('Match Log'!$D$4:$D$810=$L$24)*('Match Log'!$A$4:$A$810&lt;=$J123)),'Match Log'!$N$4:$N$810),NA()))</f>
        <v>1029.2201908859522</v>
      </c>
      <c r="M123">
        <f>IF($J123&gt;MAX('Match Log'!$A$4:$A$810),NA(),IFERROR(LOOKUP(2,1/(('Match Log'!$D$4:$D$810=$M$24)*('Match Log'!$A$4:$A$810&lt;=$J123)),'Match Log'!$N$4:$N$810),NA()))</f>
        <v>1016.7837867075796</v>
      </c>
      <c r="N123">
        <f>IF($J123&gt;MAX('Match Log'!$A$4:$A$810),NA(),IFERROR(LOOKUP(2,1/(('Match Log'!$D$4:$D$810=$N$24)*('Match Log'!$A$4:$A$810&lt;=$J123)),'Match Log'!$N$4:$N$810),NA()))</f>
        <v>981.92436608474441</v>
      </c>
      <c r="O123">
        <f>IF($J123&gt;MAX('Match Log'!$A$4:$A$810),NA(),IFERROR(LOOKUP(2,1/(('Match Log'!$D$4:$D$810=$O$24)*('Match Log'!$A$4:$A$810&lt;=$J123)),'Match Log'!$N$4:$N$810),NA()))</f>
        <v>1130.9001204968256</v>
      </c>
      <c r="P123">
        <f>IF($J123&gt;MAX('Match Log'!$A$4:$A$810),NA(),IFERROR(LOOKUP(2,1/(('Match Log'!$D$4:$D$810=$P$24)*('Match Log'!$A$4:$A$810&lt;=$J123)),'Match Log'!$N$4:$N$810),NA()))</f>
        <v>1034.2694085900962</v>
      </c>
      <c r="Q123">
        <f>IF($J123&gt;MAX('Match Log'!$A$4:$A$810),NA(),IFERROR(LOOKUP(2,1/(('Match Log'!$D$4:$D$810=$Q$24)*('Match Log'!$A$4:$A$810&lt;=$J123)),'Match Log'!$N$4:$N$810),NA()))</f>
        <v>1084.8903813508514</v>
      </c>
      <c r="R123">
        <f>IF($J123&gt;MAX('Match Log'!$A$4:$A$810),NA(),IFERROR(LOOKUP(2,1/(('Match Log'!$D$4:$D$810=$R$24)*('Match Log'!$A$4:$A$810&lt;=$J123)),'Match Log'!$N$4:$N$810),NA()))</f>
        <v>1068.7050318010354</v>
      </c>
      <c r="S123">
        <f>IF($J123&gt;MAX('Match Log'!$A$4:$A$810),NA(),IFERROR(LOOKUP(2,1/(('Match Log'!$D$4:$D$810=$S$24)*('Match Log'!$A$4:$A$810&lt;=$J123)),'Match Log'!$N$4:$N$810),NA()))</f>
        <v>1168.2113436007442</v>
      </c>
      <c r="T123">
        <f>IF($J123&gt;MAX('Match Log'!$A$4:$A$810),NA(),IFERROR(LOOKUP(2,1/(('Match Log'!$D$4:$D$810=$T$24)*('Match Log'!$A$4:$A$810&lt;=$J123)),'Match Log'!$N$4:$N$810),NA()))</f>
        <v>893.03675187725173</v>
      </c>
      <c r="U123">
        <f>IF($J123&gt;MAX('Match Log'!$A$4:$A$810),NA(),IFERROR(LOOKUP(2,1/(('Match Log'!$D$4:$D$810=$U$24)*('Match Log'!$A$4:$A$810&lt;=$J123)),'Match Log'!$N$4:$N$810),NA()))</f>
        <v>1076.6069656843583</v>
      </c>
      <c r="V123">
        <f>IF($J123&gt;MAX('Match Log'!$A$4:$A$810),NA(),IFERROR(LOOKUP(2,1/(('Match Log'!$D$4:$D$810=$V$24)*('Match Log'!$A$4:$A$810&lt;=$J123)),'Match Log'!$N$4:$N$810),NA()))</f>
        <v>1031.225848367051</v>
      </c>
      <c r="W123">
        <f>IF($J123&gt;MAX('Match Log'!$A$4:$A$810),NA(),IFERROR(LOOKUP(2,1/(('Match Log'!$D$4:$D$810=$W$24)*('Match Log'!$A$4:$A$810&lt;=$J123)),'Match Log'!$N$4:$N$810),NA()))</f>
        <v>1030.3815983388336</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0.66666666666666663</v>
      </c>
      <c r="G124">
        <f t="shared" si="25"/>
        <v>-0.33333333333333326</v>
      </c>
      <c r="H124" t="str">
        <f t="array" ref="H124">IFERROR(IF(COUNTIFS('Match Log'!$A$4:$A$810,$A124,'Match Log'!$E$4:$E$810,"Win")&gt;1,_xlfn.TEXTJOIN(" + ",TRUE,IF(('Match Log'!$A$4:$A$810=$A124)*('Match Log'!$E$4:$E$810="Loss"),'Match Log'!$D$4:$D$810,"")),IF($E124=2,LOOKUP(2,1/(('Match Log'!$A$4:$A$810=$A124)*('Match Log'!$E$4:$E$810="Loss")),'Match Log'!$D$4:$D$810),"the field")),"")</f>
        <v>Josh</v>
      </c>
      <c r="I124">
        <f t="shared" si="26"/>
        <v>-0.33343333333333325</v>
      </c>
      <c r="J124">
        <v>100</v>
      </c>
      <c r="K124">
        <f>IF($J124&gt;MAX('Match Log'!$A$4:$A$810),NA(),IFERROR(LOOKUP(2,1/(('Match Log'!$D$4:$D$810=$K$24)*('Match Log'!$A$4:$A$810&lt;=$J124)),'Match Log'!$N$4:$N$810),NA()))</f>
        <v>1057.8442062146762</v>
      </c>
      <c r="L124">
        <f>IF($J124&gt;MAX('Match Log'!$A$4:$A$810),NA(),IFERROR(LOOKUP(2,1/(('Match Log'!$D$4:$D$810=$L$24)*('Match Log'!$A$4:$A$810&lt;=$J124)),'Match Log'!$N$4:$N$810),NA()))</f>
        <v>1029.2201908859522</v>
      </c>
      <c r="M124">
        <f>IF($J124&gt;MAX('Match Log'!$A$4:$A$810),NA(),IFERROR(LOOKUP(2,1/(('Match Log'!$D$4:$D$810=$M$24)*('Match Log'!$A$4:$A$810&lt;=$J124)),'Match Log'!$N$4:$N$810),NA()))</f>
        <v>1016.7837867075796</v>
      </c>
      <c r="N124">
        <f>IF($J124&gt;MAX('Match Log'!$A$4:$A$810),NA(),IFERROR(LOOKUP(2,1/(('Match Log'!$D$4:$D$810=$N$24)*('Match Log'!$A$4:$A$810&lt;=$J124)),'Match Log'!$N$4:$N$810),NA()))</f>
        <v>981.92436608474441</v>
      </c>
      <c r="O124">
        <f>IF($J124&gt;MAX('Match Log'!$A$4:$A$810),NA(),IFERROR(LOOKUP(2,1/(('Match Log'!$D$4:$D$810=$O$24)*('Match Log'!$A$4:$A$810&lt;=$J124)),'Match Log'!$N$4:$N$810),NA()))</f>
        <v>1108.7715965499422</v>
      </c>
      <c r="P124">
        <f>IF($J124&gt;MAX('Match Log'!$A$4:$A$810),NA(),IFERROR(LOOKUP(2,1/(('Match Log'!$D$4:$D$810=$P$24)*('Match Log'!$A$4:$A$810&lt;=$J124)),'Match Log'!$N$4:$N$810),NA()))</f>
        <v>1034.2694085900962</v>
      </c>
      <c r="Q124">
        <f>IF($J124&gt;MAX('Match Log'!$A$4:$A$810),NA(),IFERROR(LOOKUP(2,1/(('Match Log'!$D$4:$D$810=$Q$24)*('Match Log'!$A$4:$A$810&lt;=$J124)),'Match Log'!$N$4:$N$810),NA()))</f>
        <v>1084.8903813508514</v>
      </c>
      <c r="R124">
        <f>IF($J124&gt;MAX('Match Log'!$A$4:$A$810),NA(),IFERROR(LOOKUP(2,1/(('Match Log'!$D$4:$D$810=$R$24)*('Match Log'!$A$4:$A$810&lt;=$J124)),'Match Log'!$N$4:$N$810),NA()))</f>
        <v>1090.8335557479188</v>
      </c>
      <c r="S124">
        <f>IF($J124&gt;MAX('Match Log'!$A$4:$A$810),NA(),IFERROR(LOOKUP(2,1/(('Match Log'!$D$4:$D$810=$S$24)*('Match Log'!$A$4:$A$810&lt;=$J124)),'Match Log'!$N$4:$N$810),NA()))</f>
        <v>1168.2113436007442</v>
      </c>
      <c r="T124">
        <f>IF($J124&gt;MAX('Match Log'!$A$4:$A$810),NA(),IFERROR(LOOKUP(2,1/(('Match Log'!$D$4:$D$810=$T$24)*('Match Log'!$A$4:$A$810&lt;=$J124)),'Match Log'!$N$4:$N$810),NA()))</f>
        <v>893.03675187725173</v>
      </c>
      <c r="U124">
        <f>IF($J124&gt;MAX('Match Log'!$A$4:$A$810),NA(),IFERROR(LOOKUP(2,1/(('Match Log'!$D$4:$D$810=$U$24)*('Match Log'!$A$4:$A$810&lt;=$J124)),'Match Log'!$N$4:$N$810),NA()))</f>
        <v>1076.6069656843583</v>
      </c>
      <c r="V124">
        <f>IF($J124&gt;MAX('Match Log'!$A$4:$A$810),NA(),IFERROR(LOOKUP(2,1/(('Match Log'!$D$4:$D$810=$V$24)*('Match Log'!$A$4:$A$810&lt;=$J124)),'Match Log'!$N$4:$N$810),NA()))</f>
        <v>1031.225848367051</v>
      </c>
      <c r="W124">
        <f>IF($J124&gt;MAX('Match Log'!$A$4:$A$810),NA(),IFERROR(LOOKUP(2,1/(('Match Log'!$D$4:$D$810=$W$24)*('Match Log'!$A$4:$A$810&lt;=$J124)),'Match Log'!$N$4:$N$810),NA()))</f>
        <v>1030.3815983388336</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0.25</v>
      </c>
      <c r="G125">
        <f t="shared" si="25"/>
        <v>0.5</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0.49989899999999998</v>
      </c>
      <c r="J125">
        <v>101</v>
      </c>
      <c r="K125">
        <f>IF($J125&gt;MAX('Match Log'!$A$4:$A$810),NA(),IFERROR(LOOKUP(2,1/(('Match Log'!$D$4:$D$810=$K$24)*('Match Log'!$A$4:$A$810&lt;=$J125)),'Match Log'!$N$4:$N$810),NA()))</f>
        <v>1057.8442062146762</v>
      </c>
      <c r="L125">
        <f>IF($J125&gt;MAX('Match Log'!$A$4:$A$810),NA(),IFERROR(LOOKUP(2,1/(('Match Log'!$D$4:$D$810=$L$24)*('Match Log'!$A$4:$A$810&lt;=$J125)),'Match Log'!$N$4:$N$810),NA()))</f>
        <v>1029.2201908859522</v>
      </c>
      <c r="M125">
        <f>IF($J125&gt;MAX('Match Log'!$A$4:$A$810),NA(),IFERROR(LOOKUP(2,1/(('Match Log'!$D$4:$D$810=$M$24)*('Match Log'!$A$4:$A$810&lt;=$J125)),'Match Log'!$N$4:$N$810),NA()))</f>
        <v>1016.7837867075796</v>
      </c>
      <c r="N125">
        <f>IF($J125&gt;MAX('Match Log'!$A$4:$A$810),NA(),IFERROR(LOOKUP(2,1/(('Match Log'!$D$4:$D$810=$N$24)*('Match Log'!$A$4:$A$810&lt;=$J125)),'Match Log'!$N$4:$N$810),NA()))</f>
        <v>981.92436608474441</v>
      </c>
      <c r="O125">
        <f>IF($J125&gt;MAX('Match Log'!$A$4:$A$810),NA(),IFERROR(LOOKUP(2,1/(('Match Log'!$D$4:$D$810=$O$24)*('Match Log'!$A$4:$A$810&lt;=$J125)),'Match Log'!$N$4:$N$810),NA()))</f>
        <v>1133.9849466347907</v>
      </c>
      <c r="P125">
        <f>IF($J125&gt;MAX('Match Log'!$A$4:$A$810),NA(),IFERROR(LOOKUP(2,1/(('Match Log'!$D$4:$D$810=$P$24)*('Match Log'!$A$4:$A$810&lt;=$J125)),'Match Log'!$N$4:$N$810),NA()))</f>
        <v>1034.2694085900962</v>
      </c>
      <c r="Q125">
        <f>IF($J125&gt;MAX('Match Log'!$A$4:$A$810),NA(),IFERROR(LOOKUP(2,1/(('Match Log'!$D$4:$D$810=$Q$24)*('Match Log'!$A$4:$A$810&lt;=$J125)),'Match Log'!$N$4:$N$810),NA()))</f>
        <v>1084.8903813508514</v>
      </c>
      <c r="R125">
        <f>IF($J125&gt;MAX('Match Log'!$A$4:$A$810),NA(),IFERROR(LOOKUP(2,1/(('Match Log'!$D$4:$D$810=$R$24)*('Match Log'!$A$4:$A$810&lt;=$J125)),'Match Log'!$N$4:$N$810),NA()))</f>
        <v>1065.6202056630702</v>
      </c>
      <c r="S125">
        <f>IF($J125&gt;MAX('Match Log'!$A$4:$A$810),NA(),IFERROR(LOOKUP(2,1/(('Match Log'!$D$4:$D$810=$S$24)*('Match Log'!$A$4:$A$810&lt;=$J125)),'Match Log'!$N$4:$N$810),NA()))</f>
        <v>1168.2113436007442</v>
      </c>
      <c r="T125">
        <f>IF($J125&gt;MAX('Match Log'!$A$4:$A$810),NA(),IFERROR(LOOKUP(2,1/(('Match Log'!$D$4:$D$810=$T$24)*('Match Log'!$A$4:$A$810&lt;=$J125)),'Match Log'!$N$4:$N$810),NA()))</f>
        <v>893.03675187725173</v>
      </c>
      <c r="U125">
        <f>IF($J125&gt;MAX('Match Log'!$A$4:$A$810),NA(),IFERROR(LOOKUP(2,1/(('Match Log'!$D$4:$D$810=$U$24)*('Match Log'!$A$4:$A$810&lt;=$J125)),'Match Log'!$N$4:$N$810),NA()))</f>
        <v>1076.6069656843583</v>
      </c>
      <c r="V125">
        <f>IF($J125&gt;MAX('Match Log'!$A$4:$A$810),NA(),IFERROR(LOOKUP(2,1/(('Match Log'!$D$4:$D$810=$V$24)*('Match Log'!$A$4:$A$810&lt;=$J125)),'Match Log'!$N$4:$N$810),NA()))</f>
        <v>1031.225848367051</v>
      </c>
      <c r="W125">
        <f>IF($J125&gt;MAX('Match Log'!$A$4:$A$810),NA(),IFERROR(LOOKUP(2,1/(('Match Log'!$D$4:$D$810=$W$24)*('Match Log'!$A$4:$A$810&lt;=$J125)),'Match Log'!$N$4:$N$810),NA()))</f>
        <v>1030.3815983388336</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0.4</v>
      </c>
      <c r="G126">
        <f t="shared" si="25"/>
        <v>0.19999999999999996</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0.19989799999999996</v>
      </c>
      <c r="J126">
        <v>102</v>
      </c>
      <c r="K126">
        <f>IF($J126&gt;MAX('Match Log'!$A$4:$A$810),NA(),IFERROR(LOOKUP(2,1/(('Match Log'!$D$4:$D$810=$K$24)*('Match Log'!$A$4:$A$810&lt;=$J126)),'Match Log'!$N$4:$N$810),NA()))</f>
        <v>1057.8442062146762</v>
      </c>
      <c r="L126">
        <f>IF($J126&gt;MAX('Match Log'!$A$4:$A$810),NA(),IFERROR(LOOKUP(2,1/(('Match Log'!$D$4:$D$810=$L$24)*('Match Log'!$A$4:$A$810&lt;=$J126)),'Match Log'!$N$4:$N$810),NA()))</f>
        <v>1029.2201908859522</v>
      </c>
      <c r="M126">
        <f>IF($J126&gt;MAX('Match Log'!$A$4:$A$810),NA(),IFERROR(LOOKUP(2,1/(('Match Log'!$D$4:$D$810=$M$24)*('Match Log'!$A$4:$A$810&lt;=$J126)),'Match Log'!$N$4:$N$810),NA()))</f>
        <v>1016.7837867075796</v>
      </c>
      <c r="N126">
        <f>IF($J126&gt;MAX('Match Log'!$A$4:$A$810),NA(),IFERROR(LOOKUP(2,1/(('Match Log'!$D$4:$D$810=$N$24)*('Match Log'!$A$4:$A$810&lt;=$J126)),'Match Log'!$N$4:$N$810),NA()))</f>
        <v>981.92436608474441</v>
      </c>
      <c r="O126">
        <f>IF($J126&gt;MAX('Match Log'!$A$4:$A$810),NA(),IFERROR(LOOKUP(2,1/(('Match Log'!$D$4:$D$810=$O$24)*('Match Log'!$A$4:$A$810&lt;=$J126)),'Match Log'!$N$4:$N$810),NA()))</f>
        <v>1155.6279259377604</v>
      </c>
      <c r="P126">
        <f>IF($J126&gt;MAX('Match Log'!$A$4:$A$810),NA(),IFERROR(LOOKUP(2,1/(('Match Log'!$D$4:$D$810=$P$24)*('Match Log'!$A$4:$A$810&lt;=$J126)),'Match Log'!$N$4:$N$810),NA()))</f>
        <v>1034.2694085900962</v>
      </c>
      <c r="Q126">
        <f>IF($J126&gt;MAX('Match Log'!$A$4:$A$810),NA(),IFERROR(LOOKUP(2,1/(('Match Log'!$D$4:$D$810=$Q$24)*('Match Log'!$A$4:$A$810&lt;=$J126)),'Match Log'!$N$4:$N$810),NA()))</f>
        <v>1084.8903813508514</v>
      </c>
      <c r="R126">
        <f>IF($J126&gt;MAX('Match Log'!$A$4:$A$810),NA(),IFERROR(LOOKUP(2,1/(('Match Log'!$D$4:$D$810=$R$24)*('Match Log'!$A$4:$A$810&lt;=$J126)),'Match Log'!$N$4:$N$810),NA()))</f>
        <v>1043.9772263601005</v>
      </c>
      <c r="S126">
        <f>IF($J126&gt;MAX('Match Log'!$A$4:$A$810),NA(),IFERROR(LOOKUP(2,1/(('Match Log'!$D$4:$D$810=$S$24)*('Match Log'!$A$4:$A$810&lt;=$J126)),'Match Log'!$N$4:$N$810),NA()))</f>
        <v>1168.2113436007442</v>
      </c>
      <c r="T126">
        <f>IF($J126&gt;MAX('Match Log'!$A$4:$A$810),NA(),IFERROR(LOOKUP(2,1/(('Match Log'!$D$4:$D$810=$T$24)*('Match Log'!$A$4:$A$810&lt;=$J126)),'Match Log'!$N$4:$N$810),NA()))</f>
        <v>893.03675187725173</v>
      </c>
      <c r="U126">
        <f>IF($J126&gt;MAX('Match Log'!$A$4:$A$810),NA(),IFERROR(LOOKUP(2,1/(('Match Log'!$D$4:$D$810=$U$24)*('Match Log'!$A$4:$A$810&lt;=$J126)),'Match Log'!$N$4:$N$810),NA()))</f>
        <v>1076.6069656843583</v>
      </c>
      <c r="V126">
        <f>IF($J126&gt;MAX('Match Log'!$A$4:$A$810),NA(),IFERROR(LOOKUP(2,1/(('Match Log'!$D$4:$D$810=$V$24)*('Match Log'!$A$4:$A$810&lt;=$J126)),'Match Log'!$N$4:$N$810),NA()))</f>
        <v>1031.225848367051</v>
      </c>
      <c r="W126">
        <f>IF($J126&gt;MAX('Match Log'!$A$4:$A$810),NA(),IFERROR(LOOKUP(2,1/(('Match Log'!$D$4:$D$810=$W$24)*('Match Log'!$A$4:$A$810&lt;=$J126)),'Match Log'!$N$4:$N$810),NA()))</f>
        <v>1030.3815983388336</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1057.8442062146762</v>
      </c>
      <c r="L127">
        <f>IF($J127&gt;MAX('Match Log'!$A$4:$A$810),NA(),IFERROR(LOOKUP(2,1/(('Match Log'!$D$4:$D$810=$L$24)*('Match Log'!$A$4:$A$810&lt;=$J127)),'Match Log'!$N$4:$N$810),NA()))</f>
        <v>1029.2201908859522</v>
      </c>
      <c r="M127">
        <f>IF($J127&gt;MAX('Match Log'!$A$4:$A$810),NA(),IFERROR(LOOKUP(2,1/(('Match Log'!$D$4:$D$810=$M$24)*('Match Log'!$A$4:$A$810&lt;=$J127)),'Match Log'!$N$4:$N$810),NA()))</f>
        <v>1016.7837867075796</v>
      </c>
      <c r="N127">
        <f>IF($J127&gt;MAX('Match Log'!$A$4:$A$810),NA(),IFERROR(LOOKUP(2,1/(('Match Log'!$D$4:$D$810=$N$24)*('Match Log'!$A$4:$A$810&lt;=$J127)),'Match Log'!$N$4:$N$810),NA()))</f>
        <v>981.92436608474441</v>
      </c>
      <c r="O127">
        <f>IF($J127&gt;MAX('Match Log'!$A$4:$A$810),NA(),IFERROR(LOOKUP(2,1/(('Match Log'!$D$4:$D$810=$O$24)*('Match Log'!$A$4:$A$810&lt;=$J127)),'Match Log'!$N$4:$N$810),NA()))</f>
        <v>1129.7012289075892</v>
      </c>
      <c r="P127">
        <f>IF($J127&gt;MAX('Match Log'!$A$4:$A$810),NA(),IFERROR(LOOKUP(2,1/(('Match Log'!$D$4:$D$810=$P$24)*('Match Log'!$A$4:$A$810&lt;=$J127)),'Match Log'!$N$4:$N$810),NA()))</f>
        <v>1034.2694085900962</v>
      </c>
      <c r="Q127">
        <f>IF($J127&gt;MAX('Match Log'!$A$4:$A$810),NA(),IFERROR(LOOKUP(2,1/(('Match Log'!$D$4:$D$810=$Q$24)*('Match Log'!$A$4:$A$810&lt;=$J127)),'Match Log'!$N$4:$N$810),NA()))</f>
        <v>1084.8903813508514</v>
      </c>
      <c r="R127">
        <f>IF($J127&gt;MAX('Match Log'!$A$4:$A$810),NA(),IFERROR(LOOKUP(2,1/(('Match Log'!$D$4:$D$810=$R$24)*('Match Log'!$A$4:$A$810&lt;=$J127)),'Match Log'!$N$4:$N$810),NA()))</f>
        <v>1069.9039233902718</v>
      </c>
      <c r="S127">
        <f>IF($J127&gt;MAX('Match Log'!$A$4:$A$810),NA(),IFERROR(LOOKUP(2,1/(('Match Log'!$D$4:$D$810=$S$24)*('Match Log'!$A$4:$A$810&lt;=$J127)),'Match Log'!$N$4:$N$810),NA()))</f>
        <v>1168.2113436007442</v>
      </c>
      <c r="T127">
        <f>IF($J127&gt;MAX('Match Log'!$A$4:$A$810),NA(),IFERROR(LOOKUP(2,1/(('Match Log'!$D$4:$D$810=$T$24)*('Match Log'!$A$4:$A$810&lt;=$J127)),'Match Log'!$N$4:$N$810),NA()))</f>
        <v>893.03675187725173</v>
      </c>
      <c r="U127">
        <f>IF($J127&gt;MAX('Match Log'!$A$4:$A$810),NA(),IFERROR(LOOKUP(2,1/(('Match Log'!$D$4:$D$810=$U$24)*('Match Log'!$A$4:$A$810&lt;=$J127)),'Match Log'!$N$4:$N$810),NA()))</f>
        <v>1076.6069656843583</v>
      </c>
      <c r="V127">
        <f>IF($J127&gt;MAX('Match Log'!$A$4:$A$810),NA(),IFERROR(LOOKUP(2,1/(('Match Log'!$D$4:$D$810=$V$24)*('Match Log'!$A$4:$A$810&lt;=$J127)),'Match Log'!$N$4:$N$810),NA()))</f>
        <v>1031.225848367051</v>
      </c>
      <c r="W127">
        <f>IF($J127&gt;MAX('Match Log'!$A$4:$A$810),NA(),IFERROR(LOOKUP(2,1/(('Match Log'!$D$4:$D$810=$W$24)*('Match Log'!$A$4:$A$810&lt;=$J127)),'Match Log'!$N$4:$N$810),NA()))</f>
        <v>1030.3815983388336</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1032.1112051327555</v>
      </c>
      <c r="L128">
        <f>IF($J128&gt;MAX('Match Log'!$A$4:$A$810),NA(),IFERROR(LOOKUP(2,1/(('Match Log'!$D$4:$D$810=$L$24)*('Match Log'!$A$4:$A$810&lt;=$J128)),'Match Log'!$N$4:$N$810),NA()))</f>
        <v>1029.2201908859522</v>
      </c>
      <c r="M128">
        <f>IF($J128&gt;MAX('Match Log'!$A$4:$A$810),NA(),IFERROR(LOOKUP(2,1/(('Match Log'!$D$4:$D$810=$M$24)*('Match Log'!$A$4:$A$810&lt;=$J128)),'Match Log'!$N$4:$N$810),NA()))</f>
        <v>1016.7837867075796</v>
      </c>
      <c r="N128">
        <f>IF($J128&gt;MAX('Match Log'!$A$4:$A$810),NA(),IFERROR(LOOKUP(2,1/(('Match Log'!$D$4:$D$810=$N$24)*('Match Log'!$A$4:$A$810&lt;=$J128)),'Match Log'!$N$4:$N$810),NA()))</f>
        <v>981.92436608474441</v>
      </c>
      <c r="O128">
        <f>IF($J128&gt;MAX('Match Log'!$A$4:$A$810),NA(),IFERROR(LOOKUP(2,1/(('Match Log'!$D$4:$D$810=$O$24)*('Match Log'!$A$4:$A$810&lt;=$J128)),'Match Log'!$N$4:$N$810),NA()))</f>
        <v>1129.7012289075892</v>
      </c>
      <c r="P128">
        <f>IF($J128&gt;MAX('Match Log'!$A$4:$A$810),NA(),IFERROR(LOOKUP(2,1/(('Match Log'!$D$4:$D$810=$P$24)*('Match Log'!$A$4:$A$810&lt;=$J128)),'Match Log'!$N$4:$N$810),NA()))</f>
        <v>1060.0024096720169</v>
      </c>
      <c r="Q128">
        <f>IF($J128&gt;MAX('Match Log'!$A$4:$A$810),NA(),IFERROR(LOOKUP(2,1/(('Match Log'!$D$4:$D$810=$Q$24)*('Match Log'!$A$4:$A$810&lt;=$J128)),'Match Log'!$N$4:$N$810),NA()))</f>
        <v>1084.8903813508514</v>
      </c>
      <c r="R128">
        <f>IF($J128&gt;MAX('Match Log'!$A$4:$A$810),NA(),IFERROR(LOOKUP(2,1/(('Match Log'!$D$4:$D$810=$R$24)*('Match Log'!$A$4:$A$810&lt;=$J128)),'Match Log'!$N$4:$N$810),NA()))</f>
        <v>1069.9039233902718</v>
      </c>
      <c r="S128">
        <f>IF($J128&gt;MAX('Match Log'!$A$4:$A$810),NA(),IFERROR(LOOKUP(2,1/(('Match Log'!$D$4:$D$810=$S$24)*('Match Log'!$A$4:$A$810&lt;=$J128)),'Match Log'!$N$4:$N$810),NA()))</f>
        <v>1168.2113436007442</v>
      </c>
      <c r="T128">
        <f>IF($J128&gt;MAX('Match Log'!$A$4:$A$810),NA(),IFERROR(LOOKUP(2,1/(('Match Log'!$D$4:$D$810=$T$24)*('Match Log'!$A$4:$A$810&lt;=$J128)),'Match Log'!$N$4:$N$810),NA()))</f>
        <v>893.03675187725173</v>
      </c>
      <c r="U128">
        <f>IF($J128&gt;MAX('Match Log'!$A$4:$A$810),NA(),IFERROR(LOOKUP(2,1/(('Match Log'!$D$4:$D$810=$U$24)*('Match Log'!$A$4:$A$810&lt;=$J128)),'Match Log'!$N$4:$N$810),NA()))</f>
        <v>1076.6069656843583</v>
      </c>
      <c r="V128">
        <f>IF($J128&gt;MAX('Match Log'!$A$4:$A$810),NA(),IFERROR(LOOKUP(2,1/(('Match Log'!$D$4:$D$810=$V$24)*('Match Log'!$A$4:$A$810&lt;=$J128)),'Match Log'!$N$4:$N$810),NA()))</f>
        <v>1031.225848367051</v>
      </c>
      <c r="W128">
        <f>IF($J128&gt;MAX('Match Log'!$A$4:$A$810),NA(),IFERROR(LOOKUP(2,1/(('Match Log'!$D$4:$D$810=$W$24)*('Match Log'!$A$4:$A$810&lt;=$J128)),'Match Log'!$N$4:$N$810),NA()))</f>
        <v>1030.3815983388336</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1055.301073253218</v>
      </c>
      <c r="L129">
        <f>IF($J129&gt;MAX('Match Log'!$A$4:$A$810),NA(),IFERROR(LOOKUP(2,1/(('Match Log'!$D$4:$D$810=$L$24)*('Match Log'!$A$4:$A$810&lt;=$J129)),'Match Log'!$N$4:$N$810),NA()))</f>
        <v>1029.2201908859522</v>
      </c>
      <c r="M129">
        <f>IF($J129&gt;MAX('Match Log'!$A$4:$A$810),NA(),IFERROR(LOOKUP(2,1/(('Match Log'!$D$4:$D$810=$M$24)*('Match Log'!$A$4:$A$810&lt;=$J129)),'Match Log'!$N$4:$N$810),NA()))</f>
        <v>1016.7837867075796</v>
      </c>
      <c r="N129">
        <f>IF($J129&gt;MAX('Match Log'!$A$4:$A$810),NA(),IFERROR(LOOKUP(2,1/(('Match Log'!$D$4:$D$810=$N$24)*('Match Log'!$A$4:$A$810&lt;=$J129)),'Match Log'!$N$4:$N$810),NA()))</f>
        <v>981.92436608474441</v>
      </c>
      <c r="O129">
        <f>IF($J129&gt;MAX('Match Log'!$A$4:$A$810),NA(),IFERROR(LOOKUP(2,1/(('Match Log'!$D$4:$D$810=$O$24)*('Match Log'!$A$4:$A$810&lt;=$J129)),'Match Log'!$N$4:$N$810),NA()))</f>
        <v>1129.7012289075892</v>
      </c>
      <c r="P129">
        <f>IF($J129&gt;MAX('Match Log'!$A$4:$A$810),NA(),IFERROR(LOOKUP(2,1/(('Match Log'!$D$4:$D$810=$P$24)*('Match Log'!$A$4:$A$810&lt;=$J129)),'Match Log'!$N$4:$N$810),NA()))</f>
        <v>1036.8125415515544</v>
      </c>
      <c r="Q129">
        <f>IF($J129&gt;MAX('Match Log'!$A$4:$A$810),NA(),IFERROR(LOOKUP(2,1/(('Match Log'!$D$4:$D$810=$Q$24)*('Match Log'!$A$4:$A$810&lt;=$J129)),'Match Log'!$N$4:$N$810),NA()))</f>
        <v>1084.8903813508514</v>
      </c>
      <c r="R129">
        <f>IF($J129&gt;MAX('Match Log'!$A$4:$A$810),NA(),IFERROR(LOOKUP(2,1/(('Match Log'!$D$4:$D$810=$R$24)*('Match Log'!$A$4:$A$810&lt;=$J129)),'Match Log'!$N$4:$N$810),NA()))</f>
        <v>1069.9039233902718</v>
      </c>
      <c r="S129">
        <f>IF($J129&gt;MAX('Match Log'!$A$4:$A$810),NA(),IFERROR(LOOKUP(2,1/(('Match Log'!$D$4:$D$810=$S$24)*('Match Log'!$A$4:$A$810&lt;=$J129)),'Match Log'!$N$4:$N$810),NA()))</f>
        <v>1168.2113436007442</v>
      </c>
      <c r="T129">
        <f>IF($J129&gt;MAX('Match Log'!$A$4:$A$810),NA(),IFERROR(LOOKUP(2,1/(('Match Log'!$D$4:$D$810=$T$24)*('Match Log'!$A$4:$A$810&lt;=$J129)),'Match Log'!$N$4:$N$810),NA()))</f>
        <v>893.03675187725173</v>
      </c>
      <c r="U129">
        <f>IF($J129&gt;MAX('Match Log'!$A$4:$A$810),NA(),IFERROR(LOOKUP(2,1/(('Match Log'!$D$4:$D$810=$U$24)*('Match Log'!$A$4:$A$810&lt;=$J129)),'Match Log'!$N$4:$N$810),NA()))</f>
        <v>1076.6069656843583</v>
      </c>
      <c r="V129">
        <f>IF($J129&gt;MAX('Match Log'!$A$4:$A$810),NA(),IFERROR(LOOKUP(2,1/(('Match Log'!$D$4:$D$810=$V$24)*('Match Log'!$A$4:$A$810&lt;=$J129)),'Match Log'!$N$4:$N$810),NA()))</f>
        <v>1031.225848367051</v>
      </c>
      <c r="W129">
        <f>IF($J129&gt;MAX('Match Log'!$A$4:$A$810),NA(),IFERROR(LOOKUP(2,1/(('Match Log'!$D$4:$D$810=$W$24)*('Match Log'!$A$4:$A$810&lt;=$J129)),'Match Log'!$N$4:$N$810),NA()))</f>
        <v>1030.3815983388336</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1073.7469885035252</v>
      </c>
      <c r="L130">
        <f>IF($J130&gt;MAX('Match Log'!$A$4:$A$810),NA(),IFERROR(LOOKUP(2,1/(('Match Log'!$D$4:$D$810=$L$24)*('Match Log'!$A$4:$A$810&lt;=$J130)),'Match Log'!$N$4:$N$810),NA()))</f>
        <v>1029.2201908859522</v>
      </c>
      <c r="M130">
        <f>IF($J130&gt;MAX('Match Log'!$A$4:$A$810),NA(),IFERROR(LOOKUP(2,1/(('Match Log'!$D$4:$D$810=$M$24)*('Match Log'!$A$4:$A$810&lt;=$J130)),'Match Log'!$N$4:$N$810),NA()))</f>
        <v>1016.7837867075796</v>
      </c>
      <c r="N130">
        <f>IF($J130&gt;MAX('Match Log'!$A$4:$A$810),NA(),IFERROR(LOOKUP(2,1/(('Match Log'!$D$4:$D$810=$N$24)*('Match Log'!$A$4:$A$810&lt;=$J130)),'Match Log'!$N$4:$N$810),NA()))</f>
        <v>981.92436608474441</v>
      </c>
      <c r="O130">
        <f>IF($J130&gt;MAX('Match Log'!$A$4:$A$810),NA(),IFERROR(LOOKUP(2,1/(('Match Log'!$D$4:$D$810=$O$24)*('Match Log'!$A$4:$A$810&lt;=$J130)),'Match Log'!$N$4:$N$810),NA()))</f>
        <v>1129.7012289075892</v>
      </c>
      <c r="P130">
        <f>IF($J130&gt;MAX('Match Log'!$A$4:$A$810),NA(),IFERROR(LOOKUP(2,1/(('Match Log'!$D$4:$D$810=$P$24)*('Match Log'!$A$4:$A$810&lt;=$J130)),'Match Log'!$N$4:$N$810),NA()))</f>
        <v>1018.366626301247</v>
      </c>
      <c r="Q130">
        <f>IF($J130&gt;MAX('Match Log'!$A$4:$A$810),NA(),IFERROR(LOOKUP(2,1/(('Match Log'!$D$4:$D$810=$Q$24)*('Match Log'!$A$4:$A$810&lt;=$J130)),'Match Log'!$N$4:$N$810),NA()))</f>
        <v>1084.8903813508514</v>
      </c>
      <c r="R130">
        <f>IF($J130&gt;MAX('Match Log'!$A$4:$A$810),NA(),IFERROR(LOOKUP(2,1/(('Match Log'!$D$4:$D$810=$R$24)*('Match Log'!$A$4:$A$810&lt;=$J130)),'Match Log'!$N$4:$N$810),NA()))</f>
        <v>1069.9039233902718</v>
      </c>
      <c r="S130">
        <f>IF($J130&gt;MAX('Match Log'!$A$4:$A$810),NA(),IFERROR(LOOKUP(2,1/(('Match Log'!$D$4:$D$810=$S$24)*('Match Log'!$A$4:$A$810&lt;=$J130)),'Match Log'!$N$4:$N$810),NA()))</f>
        <v>1168.2113436007442</v>
      </c>
      <c r="T130">
        <f>IF($J130&gt;MAX('Match Log'!$A$4:$A$810),NA(),IFERROR(LOOKUP(2,1/(('Match Log'!$D$4:$D$810=$T$24)*('Match Log'!$A$4:$A$810&lt;=$J130)),'Match Log'!$N$4:$N$810),NA()))</f>
        <v>893.03675187725173</v>
      </c>
      <c r="U130">
        <f>IF($J130&gt;MAX('Match Log'!$A$4:$A$810),NA(),IFERROR(LOOKUP(2,1/(('Match Log'!$D$4:$D$810=$U$24)*('Match Log'!$A$4:$A$810&lt;=$J130)),'Match Log'!$N$4:$N$810),NA()))</f>
        <v>1076.6069656843583</v>
      </c>
      <c r="V130">
        <f>IF($J130&gt;MAX('Match Log'!$A$4:$A$810),NA(),IFERROR(LOOKUP(2,1/(('Match Log'!$D$4:$D$810=$V$24)*('Match Log'!$A$4:$A$810&lt;=$J130)),'Match Log'!$N$4:$N$810),NA()))</f>
        <v>1031.225848367051</v>
      </c>
      <c r="W130">
        <f>IF($J130&gt;MAX('Match Log'!$A$4:$A$810),NA(),IFERROR(LOOKUP(2,1/(('Match Log'!$D$4:$D$810=$W$24)*('Match Log'!$A$4:$A$810&lt;=$J130)),'Match Log'!$N$4:$N$810),NA()))</f>
        <v>1030.3815983388336</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1046.3886391417018</v>
      </c>
      <c r="L131">
        <f>IF($J131&gt;MAX('Match Log'!$A$4:$A$810),NA(),IFERROR(LOOKUP(2,1/(('Match Log'!$D$4:$D$810=$L$24)*('Match Log'!$A$4:$A$810&lt;=$J131)),'Match Log'!$N$4:$N$810),NA()))</f>
        <v>1029.2201908859522</v>
      </c>
      <c r="M131">
        <f>IF($J131&gt;MAX('Match Log'!$A$4:$A$810),NA(),IFERROR(LOOKUP(2,1/(('Match Log'!$D$4:$D$810=$M$24)*('Match Log'!$A$4:$A$810&lt;=$J131)),'Match Log'!$N$4:$N$810),NA()))</f>
        <v>1016.7837867075796</v>
      </c>
      <c r="N131">
        <f>IF($J131&gt;MAX('Match Log'!$A$4:$A$810),NA(),IFERROR(LOOKUP(2,1/(('Match Log'!$D$4:$D$810=$N$24)*('Match Log'!$A$4:$A$810&lt;=$J131)),'Match Log'!$N$4:$N$810),NA()))</f>
        <v>981.92436608474441</v>
      </c>
      <c r="O131">
        <f>IF($J131&gt;MAX('Match Log'!$A$4:$A$810),NA(),IFERROR(LOOKUP(2,1/(('Match Log'!$D$4:$D$810=$O$24)*('Match Log'!$A$4:$A$810&lt;=$J131)),'Match Log'!$N$4:$N$810),NA()))</f>
        <v>1129.7012289075892</v>
      </c>
      <c r="P131">
        <f>IF($J131&gt;MAX('Match Log'!$A$4:$A$810),NA(),IFERROR(LOOKUP(2,1/(('Match Log'!$D$4:$D$810=$P$24)*('Match Log'!$A$4:$A$810&lt;=$J131)),'Match Log'!$N$4:$N$810),NA()))</f>
        <v>1045.7249756630706</v>
      </c>
      <c r="Q131">
        <f>IF($J131&gt;MAX('Match Log'!$A$4:$A$810),NA(),IFERROR(LOOKUP(2,1/(('Match Log'!$D$4:$D$810=$Q$24)*('Match Log'!$A$4:$A$810&lt;=$J131)),'Match Log'!$N$4:$N$810),NA()))</f>
        <v>1084.8903813508514</v>
      </c>
      <c r="R131">
        <f>IF($J131&gt;MAX('Match Log'!$A$4:$A$810),NA(),IFERROR(LOOKUP(2,1/(('Match Log'!$D$4:$D$810=$R$24)*('Match Log'!$A$4:$A$810&lt;=$J131)),'Match Log'!$N$4:$N$810),NA()))</f>
        <v>1069.9039233902718</v>
      </c>
      <c r="S131">
        <f>IF($J131&gt;MAX('Match Log'!$A$4:$A$810),NA(),IFERROR(LOOKUP(2,1/(('Match Log'!$D$4:$D$810=$S$24)*('Match Log'!$A$4:$A$810&lt;=$J131)),'Match Log'!$N$4:$N$810),NA()))</f>
        <v>1168.2113436007442</v>
      </c>
      <c r="T131">
        <f>IF($J131&gt;MAX('Match Log'!$A$4:$A$810),NA(),IFERROR(LOOKUP(2,1/(('Match Log'!$D$4:$D$810=$T$24)*('Match Log'!$A$4:$A$810&lt;=$J131)),'Match Log'!$N$4:$N$810),NA()))</f>
        <v>893.03675187725173</v>
      </c>
      <c r="U131">
        <f>IF($J131&gt;MAX('Match Log'!$A$4:$A$810),NA(),IFERROR(LOOKUP(2,1/(('Match Log'!$D$4:$D$810=$U$24)*('Match Log'!$A$4:$A$810&lt;=$J131)),'Match Log'!$N$4:$N$810),NA()))</f>
        <v>1076.6069656843583</v>
      </c>
      <c r="V131">
        <f>IF($J131&gt;MAX('Match Log'!$A$4:$A$810),NA(),IFERROR(LOOKUP(2,1/(('Match Log'!$D$4:$D$810=$V$24)*('Match Log'!$A$4:$A$810&lt;=$J131)),'Match Log'!$N$4:$N$810),NA()))</f>
        <v>1031.225848367051</v>
      </c>
      <c r="W131">
        <f>IF($J131&gt;MAX('Match Log'!$A$4:$A$810),NA(),IFERROR(LOOKUP(2,1/(('Match Log'!$D$4:$D$810=$W$24)*('Match Log'!$A$4:$A$810&lt;=$J131)),'Match Log'!$N$4:$N$810),NA()))</f>
        <v>1030.3815983388336</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1021.7866326652597</v>
      </c>
      <c r="L132">
        <f>IF($J132&gt;MAX('Match Log'!$A$4:$A$810),NA(),IFERROR(LOOKUP(2,1/(('Match Log'!$D$4:$D$810=$L$24)*('Match Log'!$A$4:$A$810&lt;=$J132)),'Match Log'!$N$4:$N$810),NA()))</f>
        <v>1029.2201908859522</v>
      </c>
      <c r="M132">
        <f>IF($J132&gt;MAX('Match Log'!$A$4:$A$810),NA(),IFERROR(LOOKUP(2,1/(('Match Log'!$D$4:$D$810=$M$24)*('Match Log'!$A$4:$A$810&lt;=$J132)),'Match Log'!$N$4:$N$810),NA()))</f>
        <v>1016.7837867075796</v>
      </c>
      <c r="N132">
        <f>IF($J132&gt;MAX('Match Log'!$A$4:$A$810),NA(),IFERROR(LOOKUP(2,1/(('Match Log'!$D$4:$D$810=$N$24)*('Match Log'!$A$4:$A$810&lt;=$J132)),'Match Log'!$N$4:$N$810),NA()))</f>
        <v>981.92436608474441</v>
      </c>
      <c r="O132">
        <f>IF($J132&gt;MAX('Match Log'!$A$4:$A$810),NA(),IFERROR(LOOKUP(2,1/(('Match Log'!$D$4:$D$810=$O$24)*('Match Log'!$A$4:$A$810&lt;=$J132)),'Match Log'!$N$4:$N$810),NA()))</f>
        <v>1129.7012289075892</v>
      </c>
      <c r="P132">
        <f>IF($J132&gt;MAX('Match Log'!$A$4:$A$810),NA(),IFERROR(LOOKUP(2,1/(('Match Log'!$D$4:$D$810=$P$24)*('Match Log'!$A$4:$A$810&lt;=$J132)),'Match Log'!$N$4:$N$810),NA()))</f>
        <v>1070.3269821395127</v>
      </c>
      <c r="Q132">
        <f>IF($J132&gt;MAX('Match Log'!$A$4:$A$810),NA(),IFERROR(LOOKUP(2,1/(('Match Log'!$D$4:$D$810=$Q$24)*('Match Log'!$A$4:$A$810&lt;=$J132)),'Match Log'!$N$4:$N$810),NA()))</f>
        <v>1084.8903813508514</v>
      </c>
      <c r="R132">
        <f>IF($J132&gt;MAX('Match Log'!$A$4:$A$810),NA(),IFERROR(LOOKUP(2,1/(('Match Log'!$D$4:$D$810=$R$24)*('Match Log'!$A$4:$A$810&lt;=$J132)),'Match Log'!$N$4:$N$810),NA()))</f>
        <v>1069.9039233902718</v>
      </c>
      <c r="S132">
        <f>IF($J132&gt;MAX('Match Log'!$A$4:$A$810),NA(),IFERROR(LOOKUP(2,1/(('Match Log'!$D$4:$D$810=$S$24)*('Match Log'!$A$4:$A$810&lt;=$J132)),'Match Log'!$N$4:$N$810),NA()))</f>
        <v>1168.2113436007442</v>
      </c>
      <c r="T132">
        <f>IF($J132&gt;MAX('Match Log'!$A$4:$A$810),NA(),IFERROR(LOOKUP(2,1/(('Match Log'!$D$4:$D$810=$T$24)*('Match Log'!$A$4:$A$810&lt;=$J132)),'Match Log'!$N$4:$N$810),NA()))</f>
        <v>893.03675187725173</v>
      </c>
      <c r="U132">
        <f>IF($J132&gt;MAX('Match Log'!$A$4:$A$810),NA(),IFERROR(LOOKUP(2,1/(('Match Log'!$D$4:$D$810=$U$24)*('Match Log'!$A$4:$A$810&lt;=$J132)),'Match Log'!$N$4:$N$810),NA()))</f>
        <v>1076.6069656843583</v>
      </c>
      <c r="V132">
        <f>IF($J132&gt;MAX('Match Log'!$A$4:$A$810),NA(),IFERROR(LOOKUP(2,1/(('Match Log'!$D$4:$D$810=$V$24)*('Match Log'!$A$4:$A$810&lt;=$J132)),'Match Log'!$N$4:$N$810),NA()))</f>
        <v>1031.225848367051</v>
      </c>
      <c r="W132">
        <f>IF($J132&gt;MAX('Match Log'!$A$4:$A$810),NA(),IFERROR(LOOKUP(2,1/(('Match Log'!$D$4:$D$810=$W$24)*('Match Log'!$A$4:$A$810&lt;=$J132)),'Match Log'!$N$4:$N$810),NA()))</f>
        <v>1030.3815983388336</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1043.6573627534565</v>
      </c>
      <c r="L133">
        <f>IF($J133&gt;MAX('Match Log'!$A$4:$A$810),NA(),IFERROR(LOOKUP(2,1/(('Match Log'!$D$4:$D$810=$L$24)*('Match Log'!$A$4:$A$810&lt;=$J133)),'Match Log'!$N$4:$N$810),NA()))</f>
        <v>1029.2201908859522</v>
      </c>
      <c r="M133">
        <f>IF($J133&gt;MAX('Match Log'!$A$4:$A$810),NA(),IFERROR(LOOKUP(2,1/(('Match Log'!$D$4:$D$810=$M$24)*('Match Log'!$A$4:$A$810&lt;=$J133)),'Match Log'!$N$4:$N$810),NA()))</f>
        <v>1016.7837867075796</v>
      </c>
      <c r="N133">
        <f>IF($J133&gt;MAX('Match Log'!$A$4:$A$810),NA(),IFERROR(LOOKUP(2,1/(('Match Log'!$D$4:$D$810=$N$24)*('Match Log'!$A$4:$A$810&lt;=$J133)),'Match Log'!$N$4:$N$810),NA()))</f>
        <v>981.92436608474441</v>
      </c>
      <c r="O133">
        <f>IF($J133&gt;MAX('Match Log'!$A$4:$A$810),NA(),IFERROR(LOOKUP(2,1/(('Match Log'!$D$4:$D$810=$O$24)*('Match Log'!$A$4:$A$810&lt;=$J133)),'Match Log'!$N$4:$N$810),NA()))</f>
        <v>1129.7012289075892</v>
      </c>
      <c r="P133">
        <f>IF($J133&gt;MAX('Match Log'!$A$4:$A$810),NA(),IFERROR(LOOKUP(2,1/(('Match Log'!$D$4:$D$810=$P$24)*('Match Log'!$A$4:$A$810&lt;=$J133)),'Match Log'!$N$4:$N$810),NA()))</f>
        <v>1048.4562520513159</v>
      </c>
      <c r="Q133">
        <f>IF($J133&gt;MAX('Match Log'!$A$4:$A$810),NA(),IFERROR(LOOKUP(2,1/(('Match Log'!$D$4:$D$810=$Q$24)*('Match Log'!$A$4:$A$810&lt;=$J133)),'Match Log'!$N$4:$N$810),NA()))</f>
        <v>1084.8903813508514</v>
      </c>
      <c r="R133">
        <f>IF($J133&gt;MAX('Match Log'!$A$4:$A$810),NA(),IFERROR(LOOKUP(2,1/(('Match Log'!$D$4:$D$810=$R$24)*('Match Log'!$A$4:$A$810&lt;=$J133)),'Match Log'!$N$4:$N$810),NA()))</f>
        <v>1069.9039233902718</v>
      </c>
      <c r="S133">
        <f>IF($J133&gt;MAX('Match Log'!$A$4:$A$810),NA(),IFERROR(LOOKUP(2,1/(('Match Log'!$D$4:$D$810=$S$24)*('Match Log'!$A$4:$A$810&lt;=$J133)),'Match Log'!$N$4:$N$810),NA()))</f>
        <v>1168.2113436007442</v>
      </c>
      <c r="T133">
        <f>IF($J133&gt;MAX('Match Log'!$A$4:$A$810),NA(),IFERROR(LOOKUP(2,1/(('Match Log'!$D$4:$D$810=$T$24)*('Match Log'!$A$4:$A$810&lt;=$J133)),'Match Log'!$N$4:$N$810),NA()))</f>
        <v>893.03675187725173</v>
      </c>
      <c r="U133">
        <f>IF($J133&gt;MAX('Match Log'!$A$4:$A$810),NA(),IFERROR(LOOKUP(2,1/(('Match Log'!$D$4:$D$810=$U$24)*('Match Log'!$A$4:$A$810&lt;=$J133)),'Match Log'!$N$4:$N$810),NA()))</f>
        <v>1076.6069656843583</v>
      </c>
      <c r="V133">
        <f>IF($J133&gt;MAX('Match Log'!$A$4:$A$810),NA(),IFERROR(LOOKUP(2,1/(('Match Log'!$D$4:$D$810=$V$24)*('Match Log'!$A$4:$A$810&lt;=$J133)),'Match Log'!$N$4:$N$810),NA()))</f>
        <v>1031.225848367051</v>
      </c>
      <c r="W133">
        <f>IF($J133&gt;MAX('Match Log'!$A$4:$A$810),NA(),IFERROR(LOOKUP(2,1/(('Match Log'!$D$4:$D$810=$W$24)*('Match Log'!$A$4:$A$810&lt;=$J133)),'Match Log'!$N$4:$N$810),NA()))</f>
        <v>1030.3815983388336</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1063.4365494374706</v>
      </c>
      <c r="L134">
        <f>IF($J134&gt;MAX('Match Log'!$A$4:$A$810),NA(),IFERROR(LOOKUP(2,1/(('Match Log'!$D$4:$D$810=$L$24)*('Match Log'!$A$4:$A$810&lt;=$J134)),'Match Log'!$N$4:$N$810),NA()))</f>
        <v>1029.2201908859522</v>
      </c>
      <c r="M134">
        <f>IF($J134&gt;MAX('Match Log'!$A$4:$A$810),NA(),IFERROR(LOOKUP(2,1/(('Match Log'!$D$4:$D$810=$M$24)*('Match Log'!$A$4:$A$810&lt;=$J134)),'Match Log'!$N$4:$N$810),NA()))</f>
        <v>1016.7837867075796</v>
      </c>
      <c r="N134">
        <f>IF($J134&gt;MAX('Match Log'!$A$4:$A$810),NA(),IFERROR(LOOKUP(2,1/(('Match Log'!$D$4:$D$810=$N$24)*('Match Log'!$A$4:$A$810&lt;=$J134)),'Match Log'!$N$4:$N$810),NA()))</f>
        <v>981.92436608474441</v>
      </c>
      <c r="O134">
        <f>IF($J134&gt;MAX('Match Log'!$A$4:$A$810),NA(),IFERROR(LOOKUP(2,1/(('Match Log'!$D$4:$D$810=$O$24)*('Match Log'!$A$4:$A$810&lt;=$J134)),'Match Log'!$N$4:$N$810),NA()))</f>
        <v>1129.7012289075892</v>
      </c>
      <c r="P134">
        <f>IF($J134&gt;MAX('Match Log'!$A$4:$A$810),NA(),IFERROR(LOOKUP(2,1/(('Match Log'!$D$4:$D$810=$P$24)*('Match Log'!$A$4:$A$810&lt;=$J134)),'Match Log'!$N$4:$N$810),NA()))</f>
        <v>1028.6770653673018</v>
      </c>
      <c r="Q134">
        <f>IF($J134&gt;MAX('Match Log'!$A$4:$A$810),NA(),IFERROR(LOOKUP(2,1/(('Match Log'!$D$4:$D$810=$Q$24)*('Match Log'!$A$4:$A$810&lt;=$J134)),'Match Log'!$N$4:$N$810),NA()))</f>
        <v>1084.8903813508514</v>
      </c>
      <c r="R134">
        <f>IF($J134&gt;MAX('Match Log'!$A$4:$A$810),NA(),IFERROR(LOOKUP(2,1/(('Match Log'!$D$4:$D$810=$R$24)*('Match Log'!$A$4:$A$810&lt;=$J134)),'Match Log'!$N$4:$N$810),NA()))</f>
        <v>1069.9039233902718</v>
      </c>
      <c r="S134">
        <f>IF($J134&gt;MAX('Match Log'!$A$4:$A$810),NA(),IFERROR(LOOKUP(2,1/(('Match Log'!$D$4:$D$810=$S$24)*('Match Log'!$A$4:$A$810&lt;=$J134)),'Match Log'!$N$4:$N$810),NA()))</f>
        <v>1168.2113436007442</v>
      </c>
      <c r="T134">
        <f>IF($J134&gt;MAX('Match Log'!$A$4:$A$810),NA(),IFERROR(LOOKUP(2,1/(('Match Log'!$D$4:$D$810=$T$24)*('Match Log'!$A$4:$A$810&lt;=$J134)),'Match Log'!$N$4:$N$810),NA()))</f>
        <v>893.03675187725173</v>
      </c>
      <c r="U134">
        <f>IF($J134&gt;MAX('Match Log'!$A$4:$A$810),NA(),IFERROR(LOOKUP(2,1/(('Match Log'!$D$4:$D$810=$U$24)*('Match Log'!$A$4:$A$810&lt;=$J134)),'Match Log'!$N$4:$N$810),NA()))</f>
        <v>1076.6069656843583</v>
      </c>
      <c r="V134">
        <f>IF($J134&gt;MAX('Match Log'!$A$4:$A$810),NA(),IFERROR(LOOKUP(2,1/(('Match Log'!$D$4:$D$810=$V$24)*('Match Log'!$A$4:$A$810&lt;=$J134)),'Match Log'!$N$4:$N$810),NA()))</f>
        <v>1031.225848367051</v>
      </c>
      <c r="W134">
        <f>IF($J134&gt;MAX('Match Log'!$A$4:$A$810),NA(),IFERROR(LOOKUP(2,1/(('Match Log'!$D$4:$D$810=$W$24)*('Match Log'!$A$4:$A$810&lt;=$J134)),'Match Log'!$N$4:$N$810),NA()))</f>
        <v>1030.3815983388336</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1082.2958989214244</v>
      </c>
      <c r="L135">
        <f>IF($J135&gt;MAX('Match Log'!$A$4:$A$810),NA(),IFERROR(LOOKUP(2,1/(('Match Log'!$D$4:$D$810=$L$24)*('Match Log'!$A$4:$A$810&lt;=$J135)),'Match Log'!$N$4:$N$810),NA()))</f>
        <v>1029.2201908859522</v>
      </c>
      <c r="M135">
        <f>IF($J135&gt;MAX('Match Log'!$A$4:$A$810),NA(),IFERROR(LOOKUP(2,1/(('Match Log'!$D$4:$D$810=$M$24)*('Match Log'!$A$4:$A$810&lt;=$J135)),'Match Log'!$N$4:$N$810),NA()))</f>
        <v>1016.7837867075796</v>
      </c>
      <c r="N135">
        <f>IF($J135&gt;MAX('Match Log'!$A$4:$A$810),NA(),IFERROR(LOOKUP(2,1/(('Match Log'!$D$4:$D$810=$N$24)*('Match Log'!$A$4:$A$810&lt;=$J135)),'Match Log'!$N$4:$N$810),NA()))</f>
        <v>981.92436608474441</v>
      </c>
      <c r="O135">
        <f>IF($J135&gt;MAX('Match Log'!$A$4:$A$810),NA(),IFERROR(LOOKUP(2,1/(('Match Log'!$D$4:$D$810=$O$24)*('Match Log'!$A$4:$A$810&lt;=$J135)),'Match Log'!$N$4:$N$810),NA()))</f>
        <v>1129.7012289075892</v>
      </c>
      <c r="P135">
        <f>IF($J135&gt;MAX('Match Log'!$A$4:$A$810),NA(),IFERROR(LOOKUP(2,1/(('Match Log'!$D$4:$D$810=$P$24)*('Match Log'!$A$4:$A$810&lt;=$J135)),'Match Log'!$N$4:$N$810),NA()))</f>
        <v>1009.817715883348</v>
      </c>
      <c r="Q135">
        <f>IF($J135&gt;MAX('Match Log'!$A$4:$A$810),NA(),IFERROR(LOOKUP(2,1/(('Match Log'!$D$4:$D$810=$Q$24)*('Match Log'!$A$4:$A$810&lt;=$J135)),'Match Log'!$N$4:$N$810),NA()))</f>
        <v>1084.8903813508514</v>
      </c>
      <c r="R135">
        <f>IF($J135&gt;MAX('Match Log'!$A$4:$A$810),NA(),IFERROR(LOOKUP(2,1/(('Match Log'!$D$4:$D$810=$R$24)*('Match Log'!$A$4:$A$810&lt;=$J135)),'Match Log'!$N$4:$N$810),NA()))</f>
        <v>1069.9039233902718</v>
      </c>
      <c r="S135">
        <f>IF($J135&gt;MAX('Match Log'!$A$4:$A$810),NA(),IFERROR(LOOKUP(2,1/(('Match Log'!$D$4:$D$810=$S$24)*('Match Log'!$A$4:$A$810&lt;=$J135)),'Match Log'!$N$4:$N$810),NA()))</f>
        <v>1168.2113436007442</v>
      </c>
      <c r="T135">
        <f>IF($J135&gt;MAX('Match Log'!$A$4:$A$810),NA(),IFERROR(LOOKUP(2,1/(('Match Log'!$D$4:$D$810=$T$24)*('Match Log'!$A$4:$A$810&lt;=$J135)),'Match Log'!$N$4:$N$810),NA()))</f>
        <v>893.03675187725173</v>
      </c>
      <c r="U135">
        <f>IF($J135&gt;MAX('Match Log'!$A$4:$A$810),NA(),IFERROR(LOOKUP(2,1/(('Match Log'!$D$4:$D$810=$U$24)*('Match Log'!$A$4:$A$810&lt;=$J135)),'Match Log'!$N$4:$N$810),NA()))</f>
        <v>1076.6069656843583</v>
      </c>
      <c r="V135">
        <f>IF($J135&gt;MAX('Match Log'!$A$4:$A$810),NA(),IFERROR(LOOKUP(2,1/(('Match Log'!$D$4:$D$810=$V$24)*('Match Log'!$A$4:$A$810&lt;=$J135)),'Match Log'!$N$4:$N$810),NA()))</f>
        <v>1031.225848367051</v>
      </c>
      <c r="W135">
        <f>IF($J135&gt;MAX('Match Log'!$A$4:$A$810),NA(),IFERROR(LOOKUP(2,1/(('Match Log'!$D$4:$D$810=$W$24)*('Match Log'!$A$4:$A$810&lt;=$J135)),'Match Log'!$N$4:$N$810),NA()))</f>
        <v>1030.3815983388336</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1098.243484374352</v>
      </c>
      <c r="L136">
        <f>IF($J136&gt;MAX('Match Log'!$A$4:$A$810),NA(),IFERROR(LOOKUP(2,1/(('Match Log'!$D$4:$D$810=$L$24)*('Match Log'!$A$4:$A$810&lt;=$J136)),'Match Log'!$N$4:$N$810),NA()))</f>
        <v>1029.2201908859522</v>
      </c>
      <c r="M136">
        <f>IF($J136&gt;MAX('Match Log'!$A$4:$A$810),NA(),IFERROR(LOOKUP(2,1/(('Match Log'!$D$4:$D$810=$M$24)*('Match Log'!$A$4:$A$810&lt;=$J136)),'Match Log'!$N$4:$N$810),NA()))</f>
        <v>1016.7837867075796</v>
      </c>
      <c r="N136">
        <f>IF($J136&gt;MAX('Match Log'!$A$4:$A$810),NA(),IFERROR(LOOKUP(2,1/(('Match Log'!$D$4:$D$810=$N$24)*('Match Log'!$A$4:$A$810&lt;=$J136)),'Match Log'!$N$4:$N$810),NA()))</f>
        <v>981.92436608474441</v>
      </c>
      <c r="O136">
        <f>IF($J136&gt;MAX('Match Log'!$A$4:$A$810),NA(),IFERROR(LOOKUP(2,1/(('Match Log'!$D$4:$D$810=$O$24)*('Match Log'!$A$4:$A$810&lt;=$J136)),'Match Log'!$N$4:$N$810),NA()))</f>
        <v>1129.7012289075892</v>
      </c>
      <c r="P136">
        <f>IF($J136&gt;MAX('Match Log'!$A$4:$A$810),NA(),IFERROR(LOOKUP(2,1/(('Match Log'!$D$4:$D$810=$P$24)*('Match Log'!$A$4:$A$810&lt;=$J136)),'Match Log'!$N$4:$N$810),NA()))</f>
        <v>993.87013043042043</v>
      </c>
      <c r="Q136">
        <f>IF($J136&gt;MAX('Match Log'!$A$4:$A$810),NA(),IFERROR(LOOKUP(2,1/(('Match Log'!$D$4:$D$810=$Q$24)*('Match Log'!$A$4:$A$810&lt;=$J136)),'Match Log'!$N$4:$N$810),NA()))</f>
        <v>1084.8903813508514</v>
      </c>
      <c r="R136">
        <f>IF($J136&gt;MAX('Match Log'!$A$4:$A$810),NA(),IFERROR(LOOKUP(2,1/(('Match Log'!$D$4:$D$810=$R$24)*('Match Log'!$A$4:$A$810&lt;=$J136)),'Match Log'!$N$4:$N$810),NA()))</f>
        <v>1069.9039233902718</v>
      </c>
      <c r="S136">
        <f>IF($J136&gt;MAX('Match Log'!$A$4:$A$810),NA(),IFERROR(LOOKUP(2,1/(('Match Log'!$D$4:$D$810=$S$24)*('Match Log'!$A$4:$A$810&lt;=$J136)),'Match Log'!$N$4:$N$810),NA()))</f>
        <v>1168.2113436007442</v>
      </c>
      <c r="T136">
        <f>IF($J136&gt;MAX('Match Log'!$A$4:$A$810),NA(),IFERROR(LOOKUP(2,1/(('Match Log'!$D$4:$D$810=$T$24)*('Match Log'!$A$4:$A$810&lt;=$J136)),'Match Log'!$N$4:$N$810),NA()))</f>
        <v>893.03675187725173</v>
      </c>
      <c r="U136">
        <f>IF($J136&gt;MAX('Match Log'!$A$4:$A$810),NA(),IFERROR(LOOKUP(2,1/(('Match Log'!$D$4:$D$810=$U$24)*('Match Log'!$A$4:$A$810&lt;=$J136)),'Match Log'!$N$4:$N$810),NA()))</f>
        <v>1076.6069656843583</v>
      </c>
      <c r="V136">
        <f>IF($J136&gt;MAX('Match Log'!$A$4:$A$810),NA(),IFERROR(LOOKUP(2,1/(('Match Log'!$D$4:$D$810=$V$24)*('Match Log'!$A$4:$A$810&lt;=$J136)),'Match Log'!$N$4:$N$810),NA()))</f>
        <v>1031.225848367051</v>
      </c>
      <c r="W136">
        <f>IF($J136&gt;MAX('Match Log'!$A$4:$A$810),NA(),IFERROR(LOOKUP(2,1/(('Match Log'!$D$4:$D$810=$W$24)*('Match Log'!$A$4:$A$810&lt;=$J136)),'Match Log'!$N$4:$N$810),NA()))</f>
        <v>1030.3815983388336</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1112.3077761293196</v>
      </c>
      <c r="L137">
        <f>IF($J137&gt;MAX('Match Log'!$A$4:$A$810),NA(),IFERROR(LOOKUP(2,1/(('Match Log'!$D$4:$D$810=$L$24)*('Match Log'!$A$4:$A$810&lt;=$J137)),'Match Log'!$N$4:$N$810),NA()))</f>
        <v>1029.2201908859522</v>
      </c>
      <c r="M137">
        <f>IF($J137&gt;MAX('Match Log'!$A$4:$A$810),NA(),IFERROR(LOOKUP(2,1/(('Match Log'!$D$4:$D$810=$M$24)*('Match Log'!$A$4:$A$810&lt;=$J137)),'Match Log'!$N$4:$N$810),NA()))</f>
        <v>1016.7837867075796</v>
      </c>
      <c r="N137">
        <f>IF($J137&gt;MAX('Match Log'!$A$4:$A$810),NA(),IFERROR(LOOKUP(2,1/(('Match Log'!$D$4:$D$810=$N$24)*('Match Log'!$A$4:$A$810&lt;=$J137)),'Match Log'!$N$4:$N$810),NA()))</f>
        <v>981.92436608474441</v>
      </c>
      <c r="O137">
        <f>IF($J137&gt;MAX('Match Log'!$A$4:$A$810),NA(),IFERROR(LOOKUP(2,1/(('Match Log'!$D$4:$D$810=$O$24)*('Match Log'!$A$4:$A$810&lt;=$J137)),'Match Log'!$N$4:$N$810),NA()))</f>
        <v>1129.7012289075892</v>
      </c>
      <c r="P137">
        <f>IF($J137&gt;MAX('Match Log'!$A$4:$A$810),NA(),IFERROR(LOOKUP(2,1/(('Match Log'!$D$4:$D$810=$P$24)*('Match Log'!$A$4:$A$810&lt;=$J137)),'Match Log'!$N$4:$N$810),NA()))</f>
        <v>979.80583867545283</v>
      </c>
      <c r="Q137">
        <f>IF($J137&gt;MAX('Match Log'!$A$4:$A$810),NA(),IFERROR(LOOKUP(2,1/(('Match Log'!$D$4:$D$810=$Q$24)*('Match Log'!$A$4:$A$810&lt;=$J137)),'Match Log'!$N$4:$N$810),NA()))</f>
        <v>1084.8903813508514</v>
      </c>
      <c r="R137">
        <f>IF($J137&gt;MAX('Match Log'!$A$4:$A$810),NA(),IFERROR(LOOKUP(2,1/(('Match Log'!$D$4:$D$810=$R$24)*('Match Log'!$A$4:$A$810&lt;=$J137)),'Match Log'!$N$4:$N$810),NA()))</f>
        <v>1069.9039233902718</v>
      </c>
      <c r="S137">
        <f>IF($J137&gt;MAX('Match Log'!$A$4:$A$810),NA(),IFERROR(LOOKUP(2,1/(('Match Log'!$D$4:$D$810=$S$24)*('Match Log'!$A$4:$A$810&lt;=$J137)),'Match Log'!$N$4:$N$810),NA()))</f>
        <v>1168.2113436007442</v>
      </c>
      <c r="T137">
        <f>IF($J137&gt;MAX('Match Log'!$A$4:$A$810),NA(),IFERROR(LOOKUP(2,1/(('Match Log'!$D$4:$D$810=$T$24)*('Match Log'!$A$4:$A$810&lt;=$J137)),'Match Log'!$N$4:$N$810),NA()))</f>
        <v>893.03675187725173</v>
      </c>
      <c r="U137">
        <f>IF($J137&gt;MAX('Match Log'!$A$4:$A$810),NA(),IFERROR(LOOKUP(2,1/(('Match Log'!$D$4:$D$810=$U$24)*('Match Log'!$A$4:$A$810&lt;=$J137)),'Match Log'!$N$4:$N$810),NA()))</f>
        <v>1076.6069656843583</v>
      </c>
      <c r="V137">
        <f>IF($J137&gt;MAX('Match Log'!$A$4:$A$810),NA(),IFERROR(LOOKUP(2,1/(('Match Log'!$D$4:$D$810=$V$24)*('Match Log'!$A$4:$A$810&lt;=$J137)),'Match Log'!$N$4:$N$810),NA()))</f>
        <v>1031.225848367051</v>
      </c>
      <c r="W137">
        <f>IF($J137&gt;MAX('Match Log'!$A$4:$A$810),NA(),IFERROR(LOOKUP(2,1/(('Match Log'!$D$4:$D$810=$W$24)*('Match Log'!$A$4:$A$810&lt;=$J137)),'Match Log'!$N$4:$N$810),NA()))</f>
        <v>1030.3815983388336</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1112.3077761293196</v>
      </c>
      <c r="L138">
        <f>IF($J138&gt;MAX('Match Log'!$A$4:$A$810),NA(),IFERROR(LOOKUP(2,1/(('Match Log'!$D$4:$D$810=$L$24)*('Match Log'!$A$4:$A$810&lt;=$J138)),'Match Log'!$N$4:$N$810),NA()))</f>
        <v>1029.2201908859522</v>
      </c>
      <c r="M138">
        <f>IF($J138&gt;MAX('Match Log'!$A$4:$A$810),NA(),IFERROR(LOOKUP(2,1/(('Match Log'!$D$4:$D$810=$M$24)*('Match Log'!$A$4:$A$810&lt;=$J138)),'Match Log'!$N$4:$N$810),NA()))</f>
        <v>1016.7837867075796</v>
      </c>
      <c r="N138">
        <f>IF($J138&gt;MAX('Match Log'!$A$4:$A$810),NA(),IFERROR(LOOKUP(2,1/(('Match Log'!$D$4:$D$810=$N$24)*('Match Log'!$A$4:$A$810&lt;=$J138)),'Match Log'!$N$4:$N$810),NA()))</f>
        <v>981.92436608474441</v>
      </c>
      <c r="O138">
        <f>IF($J138&gt;MAX('Match Log'!$A$4:$A$810),NA(),IFERROR(LOOKUP(2,1/(('Match Log'!$D$4:$D$810=$O$24)*('Match Log'!$A$4:$A$810&lt;=$J138)),'Match Log'!$N$4:$N$810),NA()))</f>
        <v>1129.7012289075892</v>
      </c>
      <c r="P138">
        <f>IF($J138&gt;MAX('Match Log'!$A$4:$A$810),NA(),IFERROR(LOOKUP(2,1/(('Match Log'!$D$4:$D$810=$P$24)*('Match Log'!$A$4:$A$810&lt;=$J138)),'Match Log'!$N$4:$N$810),NA()))</f>
        <v>1002.9754060253616</v>
      </c>
      <c r="Q138">
        <f>IF($J138&gt;MAX('Match Log'!$A$4:$A$810),NA(),IFERROR(LOOKUP(2,1/(('Match Log'!$D$4:$D$810=$Q$24)*('Match Log'!$A$4:$A$810&lt;=$J138)),'Match Log'!$N$4:$N$810),NA()))</f>
        <v>1084.8903813508514</v>
      </c>
      <c r="R138">
        <f>IF($J138&gt;MAX('Match Log'!$A$4:$A$810),NA(),IFERROR(LOOKUP(2,1/(('Match Log'!$D$4:$D$810=$R$24)*('Match Log'!$A$4:$A$810&lt;=$J138)),'Match Log'!$N$4:$N$810),NA()))</f>
        <v>1046.7343560403631</v>
      </c>
      <c r="S138">
        <f>IF($J138&gt;MAX('Match Log'!$A$4:$A$810),NA(),IFERROR(LOOKUP(2,1/(('Match Log'!$D$4:$D$810=$S$24)*('Match Log'!$A$4:$A$810&lt;=$J138)),'Match Log'!$N$4:$N$810),NA()))</f>
        <v>1168.2113436007442</v>
      </c>
      <c r="T138">
        <f>IF($J138&gt;MAX('Match Log'!$A$4:$A$810),NA(),IFERROR(LOOKUP(2,1/(('Match Log'!$D$4:$D$810=$T$24)*('Match Log'!$A$4:$A$810&lt;=$J138)),'Match Log'!$N$4:$N$810),NA()))</f>
        <v>893.03675187725173</v>
      </c>
      <c r="U138">
        <f>IF($J138&gt;MAX('Match Log'!$A$4:$A$810),NA(),IFERROR(LOOKUP(2,1/(('Match Log'!$D$4:$D$810=$U$24)*('Match Log'!$A$4:$A$810&lt;=$J138)),'Match Log'!$N$4:$N$810),NA()))</f>
        <v>1076.6069656843583</v>
      </c>
      <c r="V138">
        <f>IF($J138&gt;MAX('Match Log'!$A$4:$A$810),NA(),IFERROR(LOOKUP(2,1/(('Match Log'!$D$4:$D$810=$V$24)*('Match Log'!$A$4:$A$810&lt;=$J138)),'Match Log'!$N$4:$N$810),NA()))</f>
        <v>1031.225848367051</v>
      </c>
      <c r="W138">
        <f>IF($J138&gt;MAX('Match Log'!$A$4:$A$810),NA(),IFERROR(LOOKUP(2,1/(('Match Log'!$D$4:$D$810=$W$24)*('Match Log'!$A$4:$A$810&lt;=$J138)),'Match Log'!$N$4:$N$810),NA()))</f>
        <v>1030.3815983388336</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1112.3077761293196</v>
      </c>
      <c r="L139">
        <f>IF($J139&gt;MAX('Match Log'!$A$4:$A$810),NA(),IFERROR(LOOKUP(2,1/(('Match Log'!$D$4:$D$810=$L$24)*('Match Log'!$A$4:$A$810&lt;=$J139)),'Match Log'!$N$4:$N$810),NA()))</f>
        <v>1029.2201908859522</v>
      </c>
      <c r="M139">
        <f>IF($J139&gt;MAX('Match Log'!$A$4:$A$810),NA(),IFERROR(LOOKUP(2,1/(('Match Log'!$D$4:$D$810=$M$24)*('Match Log'!$A$4:$A$810&lt;=$J139)),'Match Log'!$N$4:$N$810),NA()))</f>
        <v>1016.7837867075796</v>
      </c>
      <c r="N139">
        <f>IF($J139&gt;MAX('Match Log'!$A$4:$A$810),NA(),IFERROR(LOOKUP(2,1/(('Match Log'!$D$4:$D$810=$N$24)*('Match Log'!$A$4:$A$810&lt;=$J139)),'Match Log'!$N$4:$N$810),NA()))</f>
        <v>981.92436608474441</v>
      </c>
      <c r="O139">
        <f>IF($J139&gt;MAX('Match Log'!$A$4:$A$810),NA(),IFERROR(LOOKUP(2,1/(('Match Log'!$D$4:$D$810=$O$24)*('Match Log'!$A$4:$A$810&lt;=$J139)),'Match Log'!$N$4:$N$810),NA()))</f>
        <v>1129.7012289075892</v>
      </c>
      <c r="P139">
        <f>IF($J139&gt;MAX('Match Log'!$A$4:$A$810),NA(),IFERROR(LOOKUP(2,1/(('Match Log'!$D$4:$D$810=$P$24)*('Match Log'!$A$4:$A$810&lt;=$J139)),'Match Log'!$N$4:$N$810),NA()))</f>
        <v>986.98278461509813</v>
      </c>
      <c r="Q139">
        <f>IF($J139&gt;MAX('Match Log'!$A$4:$A$810),NA(),IFERROR(LOOKUP(2,1/(('Match Log'!$D$4:$D$810=$Q$24)*('Match Log'!$A$4:$A$810&lt;=$J139)),'Match Log'!$N$4:$N$810),NA()))</f>
        <v>1084.8903813508514</v>
      </c>
      <c r="R139">
        <f>IF($J139&gt;MAX('Match Log'!$A$4:$A$810),NA(),IFERROR(LOOKUP(2,1/(('Match Log'!$D$4:$D$810=$R$24)*('Match Log'!$A$4:$A$810&lt;=$J139)),'Match Log'!$N$4:$N$810),NA()))</f>
        <v>1046.7343560403631</v>
      </c>
      <c r="S139">
        <f>IF($J139&gt;MAX('Match Log'!$A$4:$A$810),NA(),IFERROR(LOOKUP(2,1/(('Match Log'!$D$4:$D$810=$S$24)*('Match Log'!$A$4:$A$810&lt;=$J139)),'Match Log'!$N$4:$N$810),NA()))</f>
        <v>1168.2113436007442</v>
      </c>
      <c r="T139">
        <f>IF($J139&gt;MAX('Match Log'!$A$4:$A$810),NA(),IFERROR(LOOKUP(2,1/(('Match Log'!$D$4:$D$810=$T$24)*('Match Log'!$A$4:$A$810&lt;=$J139)),'Match Log'!$N$4:$N$810),NA()))</f>
        <v>893.03675187725173</v>
      </c>
      <c r="U139">
        <f>IF($J139&gt;MAX('Match Log'!$A$4:$A$810),NA(),IFERROR(LOOKUP(2,1/(('Match Log'!$D$4:$D$810=$U$24)*('Match Log'!$A$4:$A$810&lt;=$J139)),'Match Log'!$N$4:$N$810),NA()))</f>
        <v>1092.5995870946217</v>
      </c>
      <c r="V139">
        <f>IF($J139&gt;MAX('Match Log'!$A$4:$A$810),NA(),IFERROR(LOOKUP(2,1/(('Match Log'!$D$4:$D$810=$V$24)*('Match Log'!$A$4:$A$810&lt;=$J139)),'Match Log'!$N$4:$N$810),NA()))</f>
        <v>1031.225848367051</v>
      </c>
      <c r="W139">
        <f>IF($J139&gt;MAX('Match Log'!$A$4:$A$810),NA(),IFERROR(LOOKUP(2,1/(('Match Log'!$D$4:$D$810=$W$24)*('Match Log'!$A$4:$A$810&lt;=$J139)),'Match Log'!$N$4:$N$810),NA()))</f>
        <v>1030.3815983388336</v>
      </c>
      <c r="X139" t="e">
        <f>IF($J139&gt;MAX('Match Log'!$A$4:$A$810),NA(),IFERROR(LOOKUP(2,1/(('Match Log'!$D$4:$D$810=$X$24)*('Match Log'!$A$4:$A$810&lt;=$J139)),'Match Log'!$N$4:$N$810),NA()))</f>
        <v>#N/A</v>
      </c>
      <c r="Y139">
        <f t="shared" ca="1" si="27"/>
        <v>-0.50011499999999998</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1112.3077761293196</v>
      </c>
      <c r="L140">
        <f>IF($J140&gt;MAX('Match Log'!$A$4:$A$810),NA(),IFERROR(LOOKUP(2,1/(('Match Log'!$D$4:$D$810=$L$24)*('Match Log'!$A$4:$A$810&lt;=$J140)),'Match Log'!$N$4:$N$810),NA()))</f>
        <v>1029.2201908859522</v>
      </c>
      <c r="M140">
        <f>IF($J140&gt;MAX('Match Log'!$A$4:$A$810),NA(),IFERROR(LOOKUP(2,1/(('Match Log'!$D$4:$D$810=$M$24)*('Match Log'!$A$4:$A$810&lt;=$J140)),'Match Log'!$N$4:$N$810),NA()))</f>
        <v>1016.7837867075796</v>
      </c>
      <c r="N140">
        <f>IF($J140&gt;MAX('Match Log'!$A$4:$A$810),NA(),IFERROR(LOOKUP(2,1/(('Match Log'!$D$4:$D$810=$N$24)*('Match Log'!$A$4:$A$810&lt;=$J140)),'Match Log'!$N$4:$N$810),NA()))</f>
        <v>981.92436608474441</v>
      </c>
      <c r="O140">
        <f>IF($J140&gt;MAX('Match Log'!$A$4:$A$810),NA(),IFERROR(LOOKUP(2,1/(('Match Log'!$D$4:$D$810=$O$24)*('Match Log'!$A$4:$A$810&lt;=$J140)),'Match Log'!$N$4:$N$810),NA()))</f>
        <v>1129.7012289075892</v>
      </c>
      <c r="P140">
        <f>IF($J140&gt;MAX('Match Log'!$A$4:$A$810),NA(),IFERROR(LOOKUP(2,1/(('Match Log'!$D$4:$D$810=$P$24)*('Match Log'!$A$4:$A$810&lt;=$J140)),'Match Log'!$N$4:$N$810),NA()))</f>
        <v>972.8327291751624</v>
      </c>
      <c r="Q140">
        <f>IF($J140&gt;MAX('Match Log'!$A$4:$A$810),NA(),IFERROR(LOOKUP(2,1/(('Match Log'!$D$4:$D$810=$Q$24)*('Match Log'!$A$4:$A$810&lt;=$J140)),'Match Log'!$N$4:$N$810),NA()))</f>
        <v>1084.8903813508514</v>
      </c>
      <c r="R140">
        <f>IF($J140&gt;MAX('Match Log'!$A$4:$A$810),NA(),IFERROR(LOOKUP(2,1/(('Match Log'!$D$4:$D$810=$R$24)*('Match Log'!$A$4:$A$810&lt;=$J140)),'Match Log'!$N$4:$N$810),NA()))</f>
        <v>1046.7343560403631</v>
      </c>
      <c r="S140">
        <f>IF($J140&gt;MAX('Match Log'!$A$4:$A$810),NA(),IFERROR(LOOKUP(2,1/(('Match Log'!$D$4:$D$810=$S$24)*('Match Log'!$A$4:$A$810&lt;=$J140)),'Match Log'!$N$4:$N$810),NA()))</f>
        <v>1168.2113436007442</v>
      </c>
      <c r="T140">
        <f>IF($J140&gt;MAX('Match Log'!$A$4:$A$810),NA(),IFERROR(LOOKUP(2,1/(('Match Log'!$D$4:$D$810=$T$24)*('Match Log'!$A$4:$A$810&lt;=$J140)),'Match Log'!$N$4:$N$810),NA()))</f>
        <v>893.03675187725173</v>
      </c>
      <c r="U140">
        <f>IF($J140&gt;MAX('Match Log'!$A$4:$A$810),NA(),IFERROR(LOOKUP(2,1/(('Match Log'!$D$4:$D$810=$U$24)*('Match Log'!$A$4:$A$810&lt;=$J140)),'Match Log'!$N$4:$N$810),NA()))</f>
        <v>1106.7496425345573</v>
      </c>
      <c r="V140">
        <f>IF($J140&gt;MAX('Match Log'!$A$4:$A$810),NA(),IFERROR(LOOKUP(2,1/(('Match Log'!$D$4:$D$810=$V$24)*('Match Log'!$A$4:$A$810&lt;=$J140)),'Match Log'!$N$4:$N$810),NA()))</f>
        <v>1031.225848367051</v>
      </c>
      <c r="W140">
        <f>IF($J140&gt;MAX('Match Log'!$A$4:$A$810),NA(),IFERROR(LOOKUP(2,1/(('Match Log'!$D$4:$D$810=$W$24)*('Match Log'!$A$4:$A$810&lt;=$J140)),'Match Log'!$N$4:$N$810),NA()))</f>
        <v>1030.3815983388336</v>
      </c>
      <c r="X140" t="e">
        <f>IF($J140&gt;MAX('Match Log'!$A$4:$A$810),NA(),IFERROR(LOOKUP(2,1/(('Match Log'!$D$4:$D$810=$X$24)*('Match Log'!$A$4:$A$810&lt;=$J140)),'Match Log'!$N$4:$N$810),NA()))</f>
        <v>#N/A</v>
      </c>
      <c r="Y140">
        <f t="shared" ca="1" si="27"/>
        <v>-0.60011600000000009</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1112.3077761293196</v>
      </c>
      <c r="L141">
        <f>IF($J141&gt;MAX('Match Log'!$A$4:$A$810),NA(),IFERROR(LOOKUP(2,1/(('Match Log'!$D$4:$D$810=$L$24)*('Match Log'!$A$4:$A$810&lt;=$J141)),'Match Log'!$N$4:$N$810),NA()))</f>
        <v>1029.2201908859522</v>
      </c>
      <c r="M141">
        <f>IF($J141&gt;MAX('Match Log'!$A$4:$A$810),NA(),IFERROR(LOOKUP(2,1/(('Match Log'!$D$4:$D$810=$M$24)*('Match Log'!$A$4:$A$810&lt;=$J141)),'Match Log'!$N$4:$N$810),NA()))</f>
        <v>1016.7837867075796</v>
      </c>
      <c r="N141">
        <f>IF($J141&gt;MAX('Match Log'!$A$4:$A$810),NA(),IFERROR(LOOKUP(2,1/(('Match Log'!$D$4:$D$810=$N$24)*('Match Log'!$A$4:$A$810&lt;=$J141)),'Match Log'!$N$4:$N$810),NA()))</f>
        <v>981.92436608474441</v>
      </c>
      <c r="O141">
        <f>IF($J141&gt;MAX('Match Log'!$A$4:$A$810),NA(),IFERROR(LOOKUP(2,1/(('Match Log'!$D$4:$D$810=$O$24)*('Match Log'!$A$4:$A$810&lt;=$J141)),'Match Log'!$N$4:$N$810),NA()))</f>
        <v>1129.7012289075892</v>
      </c>
      <c r="P141">
        <f>IF($J141&gt;MAX('Match Log'!$A$4:$A$810),NA(),IFERROR(LOOKUP(2,1/(('Match Log'!$D$4:$D$810=$P$24)*('Match Log'!$A$4:$A$810&lt;=$J141)),'Match Log'!$N$4:$N$810),NA()))</f>
        <v>960.13896954625932</v>
      </c>
      <c r="Q141">
        <f>IF($J141&gt;MAX('Match Log'!$A$4:$A$810),NA(),IFERROR(LOOKUP(2,1/(('Match Log'!$D$4:$D$810=$Q$24)*('Match Log'!$A$4:$A$810&lt;=$J141)),'Match Log'!$N$4:$N$810),NA()))</f>
        <v>1084.8903813508514</v>
      </c>
      <c r="R141">
        <f>IF($J141&gt;MAX('Match Log'!$A$4:$A$810),NA(),IFERROR(LOOKUP(2,1/(('Match Log'!$D$4:$D$810=$R$24)*('Match Log'!$A$4:$A$810&lt;=$J141)),'Match Log'!$N$4:$N$810),NA()))</f>
        <v>1046.7343560403631</v>
      </c>
      <c r="S141">
        <f>IF($J141&gt;MAX('Match Log'!$A$4:$A$810),NA(),IFERROR(LOOKUP(2,1/(('Match Log'!$D$4:$D$810=$S$24)*('Match Log'!$A$4:$A$810&lt;=$J141)),'Match Log'!$N$4:$N$810),NA()))</f>
        <v>1168.2113436007442</v>
      </c>
      <c r="T141">
        <f>IF($J141&gt;MAX('Match Log'!$A$4:$A$810),NA(),IFERROR(LOOKUP(2,1/(('Match Log'!$D$4:$D$810=$T$24)*('Match Log'!$A$4:$A$810&lt;=$J141)),'Match Log'!$N$4:$N$810),NA()))</f>
        <v>893.03675187725173</v>
      </c>
      <c r="U141">
        <f>IF($J141&gt;MAX('Match Log'!$A$4:$A$810),NA(),IFERROR(LOOKUP(2,1/(('Match Log'!$D$4:$D$810=$U$24)*('Match Log'!$A$4:$A$810&lt;=$J141)),'Match Log'!$N$4:$N$810),NA()))</f>
        <v>1119.4434021634604</v>
      </c>
      <c r="V141">
        <f>IF($J141&gt;MAX('Match Log'!$A$4:$A$810),NA(),IFERROR(LOOKUP(2,1/(('Match Log'!$D$4:$D$810=$V$24)*('Match Log'!$A$4:$A$810&lt;=$J141)),'Match Log'!$N$4:$N$810),NA()))</f>
        <v>1031.225848367051</v>
      </c>
      <c r="W141">
        <f>IF($J141&gt;MAX('Match Log'!$A$4:$A$810),NA(),IFERROR(LOOKUP(2,1/(('Match Log'!$D$4:$D$810=$W$24)*('Match Log'!$A$4:$A$810&lt;=$J141)),'Match Log'!$N$4:$N$810),NA()))</f>
        <v>1030.3815983388336</v>
      </c>
      <c r="X141" t="e">
        <f>IF($J141&gt;MAX('Match Log'!$A$4:$A$810),NA(),IFERROR(LOOKUP(2,1/(('Match Log'!$D$4:$D$810=$X$24)*('Match Log'!$A$4:$A$810&lt;=$J141)),'Match Log'!$N$4:$N$810),NA()))</f>
        <v>#N/A</v>
      </c>
      <c r="Y141">
        <f t="shared" ca="1" si="27"/>
        <v>-0.66678366666666677</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1112.3077761293196</v>
      </c>
      <c r="L142">
        <f>IF($J142&gt;MAX('Match Log'!$A$4:$A$810),NA(),IFERROR(LOOKUP(2,1/(('Match Log'!$D$4:$D$810=$L$24)*('Match Log'!$A$4:$A$810&lt;=$J142)),'Match Log'!$N$4:$N$810),NA()))</f>
        <v>1029.2201908859522</v>
      </c>
      <c r="M142">
        <f>IF($J142&gt;MAX('Match Log'!$A$4:$A$810),NA(),IFERROR(LOOKUP(2,1/(('Match Log'!$D$4:$D$810=$M$24)*('Match Log'!$A$4:$A$810&lt;=$J142)),'Match Log'!$N$4:$N$810),NA()))</f>
        <v>1016.7837867075796</v>
      </c>
      <c r="N142">
        <f>IF($J142&gt;MAX('Match Log'!$A$4:$A$810),NA(),IFERROR(LOOKUP(2,1/(('Match Log'!$D$4:$D$810=$N$24)*('Match Log'!$A$4:$A$810&lt;=$J142)),'Match Log'!$N$4:$N$810),NA()))</f>
        <v>981.92436608474441</v>
      </c>
      <c r="O142">
        <f>IF($J142&gt;MAX('Match Log'!$A$4:$A$810),NA(),IFERROR(LOOKUP(2,1/(('Match Log'!$D$4:$D$810=$O$24)*('Match Log'!$A$4:$A$810&lt;=$J142)),'Match Log'!$N$4:$N$810),NA()))</f>
        <v>1129.7012289075892</v>
      </c>
      <c r="P142">
        <f>IF($J142&gt;MAX('Match Log'!$A$4:$A$810),NA(),IFERROR(LOOKUP(2,1/(('Match Log'!$D$4:$D$810=$P$24)*('Match Log'!$A$4:$A$810&lt;=$J142)),'Match Log'!$N$4:$N$810),NA()))</f>
        <v>942.18333246120994</v>
      </c>
      <c r="Q142">
        <f>IF($J142&gt;MAX('Match Log'!$A$4:$A$810),NA(),IFERROR(LOOKUP(2,1/(('Match Log'!$D$4:$D$810=$Q$24)*('Match Log'!$A$4:$A$810&lt;=$J142)),'Match Log'!$N$4:$N$810),NA()))</f>
        <v>1084.8903813508514</v>
      </c>
      <c r="R142">
        <f>IF($J142&gt;MAX('Match Log'!$A$4:$A$810),NA(),IFERROR(LOOKUP(2,1/(('Match Log'!$D$4:$D$810=$R$24)*('Match Log'!$A$4:$A$810&lt;=$J142)),'Match Log'!$N$4:$N$810),NA()))</f>
        <v>1046.7343560403631</v>
      </c>
      <c r="S142">
        <f>IF($J142&gt;MAX('Match Log'!$A$4:$A$810),NA(),IFERROR(LOOKUP(2,1/(('Match Log'!$D$4:$D$810=$S$24)*('Match Log'!$A$4:$A$810&lt;=$J142)),'Match Log'!$N$4:$N$810),NA()))</f>
        <v>1168.2113436007442</v>
      </c>
      <c r="T142">
        <f>IF($J142&gt;MAX('Match Log'!$A$4:$A$810),NA(),IFERROR(LOOKUP(2,1/(('Match Log'!$D$4:$D$810=$T$24)*('Match Log'!$A$4:$A$810&lt;=$J142)),'Match Log'!$N$4:$N$810),NA()))</f>
        <v>893.03675187725173</v>
      </c>
      <c r="U142">
        <f>IF($J142&gt;MAX('Match Log'!$A$4:$A$810),NA(),IFERROR(LOOKUP(2,1/(('Match Log'!$D$4:$D$810=$U$24)*('Match Log'!$A$4:$A$810&lt;=$J142)),'Match Log'!$N$4:$N$810),NA()))</f>
        <v>1137.3990392485098</v>
      </c>
      <c r="V142">
        <f>IF($J142&gt;MAX('Match Log'!$A$4:$A$810),NA(),IFERROR(LOOKUP(2,1/(('Match Log'!$D$4:$D$810=$V$24)*('Match Log'!$A$4:$A$810&lt;=$J142)),'Match Log'!$N$4:$N$810),NA()))</f>
        <v>1031.225848367051</v>
      </c>
      <c r="W142">
        <f>IF($J142&gt;MAX('Match Log'!$A$4:$A$810),NA(),IFERROR(LOOKUP(2,1/(('Match Log'!$D$4:$D$810=$W$24)*('Match Log'!$A$4:$A$810&lt;=$J142)),'Match Log'!$N$4:$N$810),NA()))</f>
        <v>1030.3815983388336</v>
      </c>
      <c r="X142" t="e">
        <f>IF($J142&gt;MAX('Match Log'!$A$4:$A$810),NA(),IFERROR(LOOKUP(2,1/(('Match Log'!$D$4:$D$810=$X$24)*('Match Log'!$A$4:$A$810&lt;=$J142)),'Match Log'!$N$4:$N$810),NA()))</f>
        <v>#N/A</v>
      </c>
      <c r="Y142">
        <f t="shared" ca="1" si="27"/>
        <v>0.14273914285714279</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1112.3077761293196</v>
      </c>
      <c r="L143">
        <f>IF($J143&gt;MAX('Match Log'!$A$4:$A$810),NA(),IFERROR(LOOKUP(2,1/(('Match Log'!$D$4:$D$810=$L$24)*('Match Log'!$A$4:$A$810&lt;=$J143)),'Match Log'!$N$4:$N$810),NA()))</f>
        <v>1029.2201908859522</v>
      </c>
      <c r="M143">
        <f>IF($J143&gt;MAX('Match Log'!$A$4:$A$810),NA(),IFERROR(LOOKUP(2,1/(('Match Log'!$D$4:$D$810=$M$24)*('Match Log'!$A$4:$A$810&lt;=$J143)),'Match Log'!$N$4:$N$810),NA()))</f>
        <v>1016.7837867075796</v>
      </c>
      <c r="N143">
        <f>IF($J143&gt;MAX('Match Log'!$A$4:$A$810),NA(),IFERROR(LOOKUP(2,1/(('Match Log'!$D$4:$D$810=$N$24)*('Match Log'!$A$4:$A$810&lt;=$J143)),'Match Log'!$N$4:$N$810),NA()))</f>
        <v>981.92436608474441</v>
      </c>
      <c r="O143">
        <f>IF($J143&gt;MAX('Match Log'!$A$4:$A$810),NA(),IFERROR(LOOKUP(2,1/(('Match Log'!$D$4:$D$810=$O$24)*('Match Log'!$A$4:$A$810&lt;=$J143)),'Match Log'!$N$4:$N$810),NA()))</f>
        <v>1129.7012289075892</v>
      </c>
      <c r="P143">
        <f>IF($J143&gt;MAX('Match Log'!$A$4:$A$810),NA(),IFERROR(LOOKUP(2,1/(('Match Log'!$D$4:$D$810=$P$24)*('Match Log'!$A$4:$A$810&lt;=$J143)),'Match Log'!$N$4:$N$810),NA()))</f>
        <v>966.88282707977726</v>
      </c>
      <c r="Q143">
        <f>IF($J143&gt;MAX('Match Log'!$A$4:$A$810),NA(),IFERROR(LOOKUP(2,1/(('Match Log'!$D$4:$D$810=$Q$24)*('Match Log'!$A$4:$A$810&lt;=$J143)),'Match Log'!$N$4:$N$810),NA()))</f>
        <v>1084.8903813508514</v>
      </c>
      <c r="R143">
        <f>IF($J143&gt;MAX('Match Log'!$A$4:$A$810),NA(),IFERROR(LOOKUP(2,1/(('Match Log'!$D$4:$D$810=$R$24)*('Match Log'!$A$4:$A$810&lt;=$J143)),'Match Log'!$N$4:$N$810),NA()))</f>
        <v>1046.7343560403631</v>
      </c>
      <c r="S143">
        <f>IF($J143&gt;MAX('Match Log'!$A$4:$A$810),NA(),IFERROR(LOOKUP(2,1/(('Match Log'!$D$4:$D$810=$S$24)*('Match Log'!$A$4:$A$810&lt;=$J143)),'Match Log'!$N$4:$N$810),NA()))</f>
        <v>1168.2113436007442</v>
      </c>
      <c r="T143">
        <f>IF($J143&gt;MAX('Match Log'!$A$4:$A$810),NA(),IFERROR(LOOKUP(2,1/(('Match Log'!$D$4:$D$810=$T$24)*('Match Log'!$A$4:$A$810&lt;=$J143)),'Match Log'!$N$4:$N$810),NA()))</f>
        <v>893.03675187725173</v>
      </c>
      <c r="U143">
        <f>IF($J143&gt;MAX('Match Log'!$A$4:$A$810),NA(),IFERROR(LOOKUP(2,1/(('Match Log'!$D$4:$D$810=$U$24)*('Match Log'!$A$4:$A$810&lt;=$J143)),'Match Log'!$N$4:$N$810),NA()))</f>
        <v>1112.6995446299425</v>
      </c>
      <c r="V143">
        <f>IF($J143&gt;MAX('Match Log'!$A$4:$A$810),NA(),IFERROR(LOOKUP(2,1/(('Match Log'!$D$4:$D$810=$V$24)*('Match Log'!$A$4:$A$810&lt;=$J143)),'Match Log'!$N$4:$N$810),NA()))</f>
        <v>1031.225848367051</v>
      </c>
      <c r="W143">
        <f>IF($J143&gt;MAX('Match Log'!$A$4:$A$810),NA(),IFERROR(LOOKUP(2,1/(('Match Log'!$D$4:$D$810=$W$24)*('Match Log'!$A$4:$A$810&lt;=$J143)),'Match Log'!$N$4:$N$810),NA()))</f>
        <v>1030.3815983388336</v>
      </c>
      <c r="X143" t="e">
        <f>IF($J143&gt;MAX('Match Log'!$A$4:$A$810),NA(),IFERROR(LOOKUP(2,1/(('Match Log'!$D$4:$D$810=$X$24)*('Match Log'!$A$4:$A$810&lt;=$J143)),'Match Log'!$N$4:$N$810),NA()))</f>
        <v>#N/A</v>
      </c>
      <c r="Y143">
        <f t="shared" ca="1" si="27"/>
        <v>-0.19552129885057459</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1112.3077761293196</v>
      </c>
      <c r="L144">
        <f>IF($J144&gt;MAX('Match Log'!$A$4:$A$810),NA(),IFERROR(LOOKUP(2,1/(('Match Log'!$D$4:$D$810=$L$24)*('Match Log'!$A$4:$A$810&lt;=$J144)),'Match Log'!$N$4:$N$810),NA()))</f>
        <v>1029.2201908859522</v>
      </c>
      <c r="M144">
        <f>IF($J144&gt;MAX('Match Log'!$A$4:$A$810),NA(),IFERROR(LOOKUP(2,1/(('Match Log'!$D$4:$D$810=$M$24)*('Match Log'!$A$4:$A$810&lt;=$J144)),'Match Log'!$N$4:$N$810),NA()))</f>
        <v>1016.7837867075796</v>
      </c>
      <c r="N144">
        <f>IF($J144&gt;MAX('Match Log'!$A$4:$A$810),NA(),IFERROR(LOOKUP(2,1/(('Match Log'!$D$4:$D$810=$N$24)*('Match Log'!$A$4:$A$810&lt;=$J144)),'Match Log'!$N$4:$N$810),NA()))</f>
        <v>981.92436608474441</v>
      </c>
      <c r="O144">
        <f>IF($J144&gt;MAX('Match Log'!$A$4:$A$810),NA(),IFERROR(LOOKUP(2,1/(('Match Log'!$D$4:$D$810=$O$24)*('Match Log'!$A$4:$A$810&lt;=$J144)),'Match Log'!$N$4:$N$810),NA()))</f>
        <v>1129.7012289075892</v>
      </c>
      <c r="P144">
        <f>IF($J144&gt;MAX('Match Log'!$A$4:$A$810),NA(),IFERROR(LOOKUP(2,1/(('Match Log'!$D$4:$D$810=$P$24)*('Match Log'!$A$4:$A$810&lt;=$J144)),'Match Log'!$N$4:$N$810),NA()))</f>
        <v>989.12415503039074</v>
      </c>
      <c r="Q144">
        <f>IF($J144&gt;MAX('Match Log'!$A$4:$A$810),NA(),IFERROR(LOOKUP(2,1/(('Match Log'!$D$4:$D$810=$Q$24)*('Match Log'!$A$4:$A$810&lt;=$J144)),'Match Log'!$N$4:$N$810),NA()))</f>
        <v>1084.8903813508514</v>
      </c>
      <c r="R144">
        <f>IF($J144&gt;MAX('Match Log'!$A$4:$A$810),NA(),IFERROR(LOOKUP(2,1/(('Match Log'!$D$4:$D$810=$R$24)*('Match Log'!$A$4:$A$810&lt;=$J144)),'Match Log'!$N$4:$N$810),NA()))</f>
        <v>1046.7343560403631</v>
      </c>
      <c r="S144">
        <f>IF($J144&gt;MAX('Match Log'!$A$4:$A$810),NA(),IFERROR(LOOKUP(2,1/(('Match Log'!$D$4:$D$810=$S$24)*('Match Log'!$A$4:$A$810&lt;=$J144)),'Match Log'!$N$4:$N$810),NA()))</f>
        <v>1168.2113436007442</v>
      </c>
      <c r="T144">
        <f>IF($J144&gt;MAX('Match Log'!$A$4:$A$810),NA(),IFERROR(LOOKUP(2,1/(('Match Log'!$D$4:$D$810=$T$24)*('Match Log'!$A$4:$A$810&lt;=$J144)),'Match Log'!$N$4:$N$810),NA()))</f>
        <v>893.03675187725173</v>
      </c>
      <c r="U144">
        <f>IF($J144&gt;MAX('Match Log'!$A$4:$A$810),NA(),IFERROR(LOOKUP(2,1/(('Match Log'!$D$4:$D$810=$U$24)*('Match Log'!$A$4:$A$810&lt;=$J144)),'Match Log'!$N$4:$N$810),NA()))</f>
        <v>1090.4582166793289</v>
      </c>
      <c r="V144">
        <f>IF($J144&gt;MAX('Match Log'!$A$4:$A$810),NA(),IFERROR(LOOKUP(2,1/(('Match Log'!$D$4:$D$810=$V$24)*('Match Log'!$A$4:$A$810&lt;=$J144)),'Match Log'!$N$4:$N$810),NA()))</f>
        <v>1031.225848367051</v>
      </c>
      <c r="W144">
        <f>IF($J144&gt;MAX('Match Log'!$A$4:$A$810),NA(),IFERROR(LOOKUP(2,1/(('Match Log'!$D$4:$D$810=$W$24)*('Match Log'!$A$4:$A$810&lt;=$J144)),'Match Log'!$N$4:$N$810),NA()))</f>
        <v>1030.3815983388336</v>
      </c>
      <c r="X144" t="e">
        <f>IF($J144&gt;MAX('Match Log'!$A$4:$A$810),NA(),IFERROR(LOOKUP(2,1/(('Match Log'!$D$4:$D$810=$X$24)*('Match Log'!$A$4:$A$810&lt;=$J144)),'Match Log'!$N$4:$N$810),NA()))</f>
        <v>#N/A</v>
      </c>
      <c r="Y144">
        <f t="shared" ca="1" si="27"/>
        <v>-0.25012000000000001</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1112.3077761293196</v>
      </c>
      <c r="L145">
        <f>IF($J145&gt;MAX('Match Log'!$A$4:$A$810),NA(),IFERROR(LOOKUP(2,1/(('Match Log'!$D$4:$D$810=$L$24)*('Match Log'!$A$4:$A$810&lt;=$J145)),'Match Log'!$N$4:$N$810),NA()))</f>
        <v>1029.2201908859522</v>
      </c>
      <c r="M145">
        <f>IF($J145&gt;MAX('Match Log'!$A$4:$A$810),NA(),IFERROR(LOOKUP(2,1/(('Match Log'!$D$4:$D$810=$M$24)*('Match Log'!$A$4:$A$810&lt;=$J145)),'Match Log'!$N$4:$N$810),NA()))</f>
        <v>1016.7837867075796</v>
      </c>
      <c r="N145">
        <f>IF($J145&gt;MAX('Match Log'!$A$4:$A$810),NA(),IFERROR(LOOKUP(2,1/(('Match Log'!$D$4:$D$810=$N$24)*('Match Log'!$A$4:$A$810&lt;=$J145)),'Match Log'!$N$4:$N$810),NA()))</f>
        <v>981.92436608474441</v>
      </c>
      <c r="O145">
        <f>IF($J145&gt;MAX('Match Log'!$A$4:$A$810),NA(),IFERROR(LOOKUP(2,1/(('Match Log'!$D$4:$D$810=$O$24)*('Match Log'!$A$4:$A$810&lt;=$J145)),'Match Log'!$N$4:$N$810),NA()))</f>
        <v>1129.7012289075892</v>
      </c>
      <c r="P145">
        <f>IF($J145&gt;MAX('Match Log'!$A$4:$A$810),NA(),IFERROR(LOOKUP(2,1/(('Match Log'!$D$4:$D$810=$P$24)*('Match Log'!$A$4:$A$810&lt;=$J145)),'Match Log'!$N$4:$N$810),NA()))</f>
        <v>973.0353523079342</v>
      </c>
      <c r="Q145">
        <f>IF($J145&gt;MAX('Match Log'!$A$4:$A$810),NA(),IFERROR(LOOKUP(2,1/(('Match Log'!$D$4:$D$810=$Q$24)*('Match Log'!$A$4:$A$810&lt;=$J145)),'Match Log'!$N$4:$N$810),NA()))</f>
        <v>1084.8903813508514</v>
      </c>
      <c r="R145">
        <f>IF($J145&gt;MAX('Match Log'!$A$4:$A$810),NA(),IFERROR(LOOKUP(2,1/(('Match Log'!$D$4:$D$810=$R$24)*('Match Log'!$A$4:$A$810&lt;=$J145)),'Match Log'!$N$4:$N$810),NA()))</f>
        <v>1062.8231587628195</v>
      </c>
      <c r="S145">
        <f>IF($J145&gt;MAX('Match Log'!$A$4:$A$810),NA(),IFERROR(LOOKUP(2,1/(('Match Log'!$D$4:$D$810=$S$24)*('Match Log'!$A$4:$A$810&lt;=$J145)),'Match Log'!$N$4:$N$810),NA()))</f>
        <v>1168.2113436007442</v>
      </c>
      <c r="T145">
        <f>IF($J145&gt;MAX('Match Log'!$A$4:$A$810),NA(),IFERROR(LOOKUP(2,1/(('Match Log'!$D$4:$D$810=$T$24)*('Match Log'!$A$4:$A$810&lt;=$J145)),'Match Log'!$N$4:$N$810),NA()))</f>
        <v>893.03675187725173</v>
      </c>
      <c r="U145">
        <f>IF($J145&gt;MAX('Match Log'!$A$4:$A$810),NA(),IFERROR(LOOKUP(2,1/(('Match Log'!$D$4:$D$810=$U$24)*('Match Log'!$A$4:$A$810&lt;=$J145)),'Match Log'!$N$4:$N$810),NA()))</f>
        <v>1090.4582166793289</v>
      </c>
      <c r="V145">
        <f>IF($J145&gt;MAX('Match Log'!$A$4:$A$810),NA(),IFERROR(LOOKUP(2,1/(('Match Log'!$D$4:$D$810=$V$24)*('Match Log'!$A$4:$A$810&lt;=$J145)),'Match Log'!$N$4:$N$810),NA()))</f>
        <v>1031.225848367051</v>
      </c>
      <c r="W145">
        <f>IF($J145&gt;MAX('Match Log'!$A$4:$A$810),NA(),IFERROR(LOOKUP(2,1/(('Match Log'!$D$4:$D$810=$W$24)*('Match Log'!$A$4:$A$810&lt;=$J145)),'Match Log'!$N$4:$N$810),NA()))</f>
        <v>1030.3815983388336</v>
      </c>
      <c r="X145" t="e">
        <f>IF($J145&gt;MAX('Match Log'!$A$4:$A$810),NA(),IFERROR(LOOKUP(2,1/(('Match Log'!$D$4:$D$810=$X$24)*('Match Log'!$A$4:$A$810&lt;=$J145)),'Match Log'!$N$4:$N$810),NA()))</f>
        <v>#N/A</v>
      </c>
      <c r="Y145">
        <f t="shared" ref="Y145:Y208" ca="1" si="30">IF(AND($B145&lt;&gt;"",$B145&gt;=$B$5,$I145&lt;&gt;""),$I145,"")</f>
        <v>-0.47380521052631569</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1112.3077761293196</v>
      </c>
      <c r="L146">
        <f>IF($J146&gt;MAX('Match Log'!$A$4:$A$810),NA(),IFERROR(LOOKUP(2,1/(('Match Log'!$D$4:$D$810=$L$24)*('Match Log'!$A$4:$A$810&lt;=$J146)),'Match Log'!$N$4:$N$810),NA()))</f>
        <v>1029.2201908859522</v>
      </c>
      <c r="M146">
        <f>IF($J146&gt;MAX('Match Log'!$A$4:$A$810),NA(),IFERROR(LOOKUP(2,1/(('Match Log'!$D$4:$D$810=$M$24)*('Match Log'!$A$4:$A$810&lt;=$J146)),'Match Log'!$N$4:$N$810),NA()))</f>
        <v>1016.7837867075796</v>
      </c>
      <c r="N146">
        <f>IF($J146&gt;MAX('Match Log'!$A$4:$A$810),NA(),IFERROR(LOOKUP(2,1/(('Match Log'!$D$4:$D$810=$N$24)*('Match Log'!$A$4:$A$810&lt;=$J146)),'Match Log'!$N$4:$N$810),NA()))</f>
        <v>981.92436608474441</v>
      </c>
      <c r="O146">
        <f>IF($J146&gt;MAX('Match Log'!$A$4:$A$810),NA(),IFERROR(LOOKUP(2,1/(('Match Log'!$D$4:$D$810=$O$24)*('Match Log'!$A$4:$A$810&lt;=$J146)),'Match Log'!$N$4:$N$810),NA()))</f>
        <v>1129.7012289075892</v>
      </c>
      <c r="P146">
        <f>IF($J146&gt;MAX('Match Log'!$A$4:$A$810),NA(),IFERROR(LOOKUP(2,1/(('Match Log'!$D$4:$D$810=$P$24)*('Match Log'!$A$4:$A$810&lt;=$J146)),'Match Log'!$N$4:$N$810),NA()))</f>
        <v>1002.6191995030379</v>
      </c>
      <c r="Q146">
        <f>IF($J146&gt;MAX('Match Log'!$A$4:$A$810),NA(),IFERROR(LOOKUP(2,1/(('Match Log'!$D$4:$D$810=$Q$24)*('Match Log'!$A$4:$A$810&lt;=$J146)),'Match Log'!$N$4:$N$810),NA()))</f>
        <v>1084.8903813508514</v>
      </c>
      <c r="R146">
        <f>IF($J146&gt;MAX('Match Log'!$A$4:$A$810),NA(),IFERROR(LOOKUP(2,1/(('Match Log'!$D$4:$D$810=$R$24)*('Match Log'!$A$4:$A$810&lt;=$J146)),'Match Log'!$N$4:$N$810),NA()))</f>
        <v>1033.2393115677157</v>
      </c>
      <c r="S146">
        <f>IF($J146&gt;MAX('Match Log'!$A$4:$A$810),NA(),IFERROR(LOOKUP(2,1/(('Match Log'!$D$4:$D$810=$S$24)*('Match Log'!$A$4:$A$810&lt;=$J146)),'Match Log'!$N$4:$N$810),NA()))</f>
        <v>1168.2113436007442</v>
      </c>
      <c r="T146">
        <f>IF($J146&gt;MAX('Match Log'!$A$4:$A$810),NA(),IFERROR(LOOKUP(2,1/(('Match Log'!$D$4:$D$810=$T$24)*('Match Log'!$A$4:$A$810&lt;=$J146)),'Match Log'!$N$4:$N$810),NA()))</f>
        <v>893.03675187725173</v>
      </c>
      <c r="U146">
        <f>IF($J146&gt;MAX('Match Log'!$A$4:$A$810),NA(),IFERROR(LOOKUP(2,1/(('Match Log'!$D$4:$D$810=$U$24)*('Match Log'!$A$4:$A$810&lt;=$J146)),'Match Log'!$N$4:$N$810),NA()))</f>
        <v>1090.4582166793289</v>
      </c>
      <c r="V146">
        <f>IF($J146&gt;MAX('Match Log'!$A$4:$A$810),NA(),IFERROR(LOOKUP(2,1/(('Match Log'!$D$4:$D$810=$V$24)*('Match Log'!$A$4:$A$810&lt;=$J146)),'Match Log'!$N$4:$N$810),NA()))</f>
        <v>1031.225848367051</v>
      </c>
      <c r="W146">
        <f>IF($J146&gt;MAX('Match Log'!$A$4:$A$810),NA(),IFERROR(LOOKUP(2,1/(('Match Log'!$D$4:$D$810=$W$24)*('Match Log'!$A$4:$A$810&lt;=$J146)),'Match Log'!$N$4:$N$810),NA()))</f>
        <v>1030.3815983388336</v>
      </c>
      <c r="X146" t="e">
        <f>IF($J146&gt;MAX('Match Log'!$A$4:$A$810),NA(),IFERROR(LOOKUP(2,1/(('Match Log'!$D$4:$D$810=$X$24)*('Match Log'!$A$4:$A$810&lt;=$J146)),'Match Log'!$N$4:$N$810),NA()))</f>
        <v>#N/A</v>
      </c>
      <c r="Y146">
        <f t="shared" ca="1" si="30"/>
        <v>0.53833953846153859</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1112.3077761293196</v>
      </c>
      <c r="L147">
        <f>IF($J147&gt;MAX('Match Log'!$A$4:$A$810),NA(),IFERROR(LOOKUP(2,1/(('Match Log'!$D$4:$D$810=$L$24)*('Match Log'!$A$4:$A$810&lt;=$J147)),'Match Log'!$N$4:$N$810),NA()))</f>
        <v>1029.2201908859522</v>
      </c>
      <c r="M147">
        <f>IF($J147&gt;MAX('Match Log'!$A$4:$A$810),NA(),IFERROR(LOOKUP(2,1/(('Match Log'!$D$4:$D$810=$M$24)*('Match Log'!$A$4:$A$810&lt;=$J147)),'Match Log'!$N$4:$N$810),NA()))</f>
        <v>1016.7837867075796</v>
      </c>
      <c r="N147">
        <f>IF($J147&gt;MAX('Match Log'!$A$4:$A$810),NA(),IFERROR(LOOKUP(2,1/(('Match Log'!$D$4:$D$810=$N$24)*('Match Log'!$A$4:$A$810&lt;=$J147)),'Match Log'!$N$4:$N$810),NA()))</f>
        <v>981.92436608474441</v>
      </c>
      <c r="O147">
        <f>IF($J147&gt;MAX('Match Log'!$A$4:$A$810),NA(),IFERROR(LOOKUP(2,1/(('Match Log'!$D$4:$D$810=$O$24)*('Match Log'!$A$4:$A$810&lt;=$J147)),'Match Log'!$N$4:$N$810),NA()))</f>
        <v>1129.7012289075892</v>
      </c>
      <c r="P147">
        <f>IF($J147&gt;MAX('Match Log'!$A$4:$A$810),NA(),IFERROR(LOOKUP(2,1/(('Match Log'!$D$4:$D$810=$P$24)*('Match Log'!$A$4:$A$810&lt;=$J147)),'Match Log'!$N$4:$N$810),NA()))</f>
        <v>984.99505610331221</v>
      </c>
      <c r="Q147">
        <f>IF($J147&gt;MAX('Match Log'!$A$4:$A$810),NA(),IFERROR(LOOKUP(2,1/(('Match Log'!$D$4:$D$810=$Q$24)*('Match Log'!$A$4:$A$810&lt;=$J147)),'Match Log'!$N$4:$N$810),NA()))</f>
        <v>1084.8903813508514</v>
      </c>
      <c r="R147">
        <f>IF($J147&gt;MAX('Match Log'!$A$4:$A$810),NA(),IFERROR(LOOKUP(2,1/(('Match Log'!$D$4:$D$810=$R$24)*('Match Log'!$A$4:$A$810&lt;=$J147)),'Match Log'!$N$4:$N$810),NA()))</f>
        <v>1050.8634549674414</v>
      </c>
      <c r="S147">
        <f>IF($J147&gt;MAX('Match Log'!$A$4:$A$810),NA(),IFERROR(LOOKUP(2,1/(('Match Log'!$D$4:$D$810=$S$24)*('Match Log'!$A$4:$A$810&lt;=$J147)),'Match Log'!$N$4:$N$810),NA()))</f>
        <v>1168.2113436007442</v>
      </c>
      <c r="T147">
        <f>IF($J147&gt;MAX('Match Log'!$A$4:$A$810),NA(),IFERROR(LOOKUP(2,1/(('Match Log'!$D$4:$D$810=$T$24)*('Match Log'!$A$4:$A$810&lt;=$J147)),'Match Log'!$N$4:$N$810),NA()))</f>
        <v>893.03675187725173</v>
      </c>
      <c r="U147">
        <f>IF($J147&gt;MAX('Match Log'!$A$4:$A$810),NA(),IFERROR(LOOKUP(2,1/(('Match Log'!$D$4:$D$810=$U$24)*('Match Log'!$A$4:$A$810&lt;=$J147)),'Match Log'!$N$4:$N$810),NA()))</f>
        <v>1090.4582166793289</v>
      </c>
      <c r="V147">
        <f>IF($J147&gt;MAX('Match Log'!$A$4:$A$810),NA(),IFERROR(LOOKUP(2,1/(('Match Log'!$D$4:$D$810=$V$24)*('Match Log'!$A$4:$A$810&lt;=$J147)),'Match Log'!$N$4:$N$810),NA()))</f>
        <v>1031.225848367051</v>
      </c>
      <c r="W147">
        <f>IF($J147&gt;MAX('Match Log'!$A$4:$A$810),NA(),IFERROR(LOOKUP(2,1/(('Match Log'!$D$4:$D$810=$W$24)*('Match Log'!$A$4:$A$810&lt;=$J147)),'Match Log'!$N$4:$N$810),NA()))</f>
        <v>1030.3815983388336</v>
      </c>
      <c r="X147" t="e">
        <f>IF($J147&gt;MAX('Match Log'!$A$4:$A$810),NA(),IFERROR(LOOKUP(2,1/(('Match Log'!$D$4:$D$810=$X$24)*('Match Log'!$A$4:$A$810&lt;=$J147)),'Match Log'!$N$4:$N$810),NA()))</f>
        <v>#N/A</v>
      </c>
      <c r="Y147">
        <f t="shared" ca="1" si="30"/>
        <v>-0.36375936363636352</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1112.3077761293196</v>
      </c>
      <c r="L148">
        <f>IF($J148&gt;MAX('Match Log'!$A$4:$A$810),NA(),IFERROR(LOOKUP(2,1/(('Match Log'!$D$4:$D$810=$L$24)*('Match Log'!$A$4:$A$810&lt;=$J148)),'Match Log'!$N$4:$N$810),NA()))</f>
        <v>1029.2201908859522</v>
      </c>
      <c r="M148">
        <f>IF($J148&gt;MAX('Match Log'!$A$4:$A$810),NA(),IFERROR(LOOKUP(2,1/(('Match Log'!$D$4:$D$810=$M$24)*('Match Log'!$A$4:$A$810&lt;=$J148)),'Match Log'!$N$4:$N$810),NA()))</f>
        <v>1016.7837867075796</v>
      </c>
      <c r="N148">
        <f>IF($J148&gt;MAX('Match Log'!$A$4:$A$810),NA(),IFERROR(LOOKUP(2,1/(('Match Log'!$D$4:$D$810=$N$24)*('Match Log'!$A$4:$A$810&lt;=$J148)),'Match Log'!$N$4:$N$810),NA()))</f>
        <v>981.92436608474441</v>
      </c>
      <c r="O148">
        <f>IF($J148&gt;MAX('Match Log'!$A$4:$A$810),NA(),IFERROR(LOOKUP(2,1/(('Match Log'!$D$4:$D$810=$O$24)*('Match Log'!$A$4:$A$810&lt;=$J148)),'Match Log'!$N$4:$N$810),NA()))</f>
        <v>1129.7012289075892</v>
      </c>
      <c r="P148">
        <f>IF($J148&gt;MAX('Match Log'!$A$4:$A$810),NA(),IFERROR(LOOKUP(2,1/(('Match Log'!$D$4:$D$810=$P$24)*('Match Log'!$A$4:$A$810&lt;=$J148)),'Match Log'!$N$4:$N$810),NA()))</f>
        <v>1012.0650351160468</v>
      </c>
      <c r="Q148">
        <f>IF($J148&gt;MAX('Match Log'!$A$4:$A$810),NA(),IFERROR(LOOKUP(2,1/(('Match Log'!$D$4:$D$810=$Q$24)*('Match Log'!$A$4:$A$810&lt;=$J148)),'Match Log'!$N$4:$N$810),NA()))</f>
        <v>1084.8903813508514</v>
      </c>
      <c r="R148">
        <f>IF($J148&gt;MAX('Match Log'!$A$4:$A$810),NA(),IFERROR(LOOKUP(2,1/(('Match Log'!$D$4:$D$810=$R$24)*('Match Log'!$A$4:$A$810&lt;=$J148)),'Match Log'!$N$4:$N$810),NA()))</f>
        <v>1050.8634549674414</v>
      </c>
      <c r="S148">
        <f>IF($J148&gt;MAX('Match Log'!$A$4:$A$810),NA(),IFERROR(LOOKUP(2,1/(('Match Log'!$D$4:$D$810=$S$24)*('Match Log'!$A$4:$A$810&lt;=$J148)),'Match Log'!$N$4:$N$810),NA()))</f>
        <v>1168.2113436007442</v>
      </c>
      <c r="T148">
        <f>IF($J148&gt;MAX('Match Log'!$A$4:$A$810),NA(),IFERROR(LOOKUP(2,1/(('Match Log'!$D$4:$D$810=$T$24)*('Match Log'!$A$4:$A$810&lt;=$J148)),'Match Log'!$N$4:$N$810),NA()))</f>
        <v>893.03675187725173</v>
      </c>
      <c r="U148">
        <f>IF($J148&gt;MAX('Match Log'!$A$4:$A$810),NA(),IFERROR(LOOKUP(2,1/(('Match Log'!$D$4:$D$810=$U$24)*('Match Log'!$A$4:$A$810&lt;=$J148)),'Match Log'!$N$4:$N$810),NA()))</f>
        <v>1063.3882376665943</v>
      </c>
      <c r="V148">
        <f>IF($J148&gt;MAX('Match Log'!$A$4:$A$810),NA(),IFERROR(LOOKUP(2,1/(('Match Log'!$D$4:$D$810=$V$24)*('Match Log'!$A$4:$A$810&lt;=$J148)),'Match Log'!$N$4:$N$810),NA()))</f>
        <v>1031.225848367051</v>
      </c>
      <c r="W148">
        <f>IF($J148&gt;MAX('Match Log'!$A$4:$A$810),NA(),IFERROR(LOOKUP(2,1/(('Match Log'!$D$4:$D$810=$W$24)*('Match Log'!$A$4:$A$810&lt;=$J148)),'Match Log'!$N$4:$N$810),NA()))</f>
        <v>1030.3815983388336</v>
      </c>
      <c r="X148" t="e">
        <f>IF($J148&gt;MAX('Match Log'!$A$4:$A$810),NA(),IFERROR(LOOKUP(2,1/(('Match Log'!$D$4:$D$810=$X$24)*('Match Log'!$A$4:$A$810&lt;=$J148)),'Match Log'!$N$4:$N$810),NA()))</f>
        <v>#N/A</v>
      </c>
      <c r="Y148">
        <f t="shared" ca="1" si="30"/>
        <v>3.4358758620689614E-2</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1112.3077761293196</v>
      </c>
      <c r="L149">
        <f>IF($J149&gt;MAX('Match Log'!$A$4:$A$810),NA(),IFERROR(LOOKUP(2,1/(('Match Log'!$D$4:$D$810=$L$24)*('Match Log'!$A$4:$A$810&lt;=$J149)),'Match Log'!$N$4:$N$810),NA()))</f>
        <v>1029.2201908859522</v>
      </c>
      <c r="M149">
        <f>IF($J149&gt;MAX('Match Log'!$A$4:$A$810),NA(),IFERROR(LOOKUP(2,1/(('Match Log'!$D$4:$D$810=$M$24)*('Match Log'!$A$4:$A$810&lt;=$J149)),'Match Log'!$N$4:$N$810),NA()))</f>
        <v>1016.7837867075796</v>
      </c>
      <c r="N149">
        <f>IF($J149&gt;MAX('Match Log'!$A$4:$A$810),NA(),IFERROR(LOOKUP(2,1/(('Match Log'!$D$4:$D$810=$N$24)*('Match Log'!$A$4:$A$810&lt;=$J149)),'Match Log'!$N$4:$N$810),NA()))</f>
        <v>981.92436608474441</v>
      </c>
      <c r="O149">
        <f>IF($J149&gt;MAX('Match Log'!$A$4:$A$810),NA(),IFERROR(LOOKUP(2,1/(('Match Log'!$D$4:$D$810=$O$24)*('Match Log'!$A$4:$A$810&lt;=$J149)),'Match Log'!$N$4:$N$810),NA()))</f>
        <v>1129.7012289075892</v>
      </c>
      <c r="P149">
        <f>IF($J149&gt;MAX('Match Log'!$A$4:$A$810),NA(),IFERROR(LOOKUP(2,1/(('Match Log'!$D$4:$D$810=$P$24)*('Match Log'!$A$4:$A$810&lt;=$J149)),'Match Log'!$N$4:$N$810),NA()))</f>
        <v>991.11004859453374</v>
      </c>
      <c r="Q149">
        <f>IF($J149&gt;MAX('Match Log'!$A$4:$A$810),NA(),IFERROR(LOOKUP(2,1/(('Match Log'!$D$4:$D$810=$Q$24)*('Match Log'!$A$4:$A$810&lt;=$J149)),'Match Log'!$N$4:$N$810),NA()))</f>
        <v>1084.8903813508514</v>
      </c>
      <c r="R149">
        <f>IF($J149&gt;MAX('Match Log'!$A$4:$A$810),NA(),IFERROR(LOOKUP(2,1/(('Match Log'!$D$4:$D$810=$R$24)*('Match Log'!$A$4:$A$810&lt;=$J149)),'Match Log'!$N$4:$N$810),NA()))</f>
        <v>1050.8634549674414</v>
      </c>
      <c r="S149">
        <f>IF($J149&gt;MAX('Match Log'!$A$4:$A$810),NA(),IFERROR(LOOKUP(2,1/(('Match Log'!$D$4:$D$810=$S$24)*('Match Log'!$A$4:$A$810&lt;=$J149)),'Match Log'!$N$4:$N$810),NA()))</f>
        <v>1168.2113436007442</v>
      </c>
      <c r="T149">
        <f>IF($J149&gt;MAX('Match Log'!$A$4:$A$810),NA(),IFERROR(LOOKUP(2,1/(('Match Log'!$D$4:$D$810=$T$24)*('Match Log'!$A$4:$A$810&lt;=$J149)),'Match Log'!$N$4:$N$810),NA()))</f>
        <v>893.03675187725173</v>
      </c>
      <c r="U149">
        <f>IF($J149&gt;MAX('Match Log'!$A$4:$A$810),NA(),IFERROR(LOOKUP(2,1/(('Match Log'!$D$4:$D$810=$U$24)*('Match Log'!$A$4:$A$810&lt;=$J149)),'Match Log'!$N$4:$N$810),NA()))</f>
        <v>1084.3432241881073</v>
      </c>
      <c r="V149">
        <f>IF($J149&gt;MAX('Match Log'!$A$4:$A$810),NA(),IFERROR(LOOKUP(2,1/(('Match Log'!$D$4:$D$810=$V$24)*('Match Log'!$A$4:$A$810&lt;=$J149)),'Match Log'!$N$4:$N$810),NA()))</f>
        <v>1031.225848367051</v>
      </c>
      <c r="W149">
        <f>IF($J149&gt;MAX('Match Log'!$A$4:$A$810),NA(),IFERROR(LOOKUP(2,1/(('Match Log'!$D$4:$D$810=$W$24)*('Match Log'!$A$4:$A$810&lt;=$J149)),'Match Log'!$N$4:$N$810),NA()))</f>
        <v>1030.3815983388336</v>
      </c>
      <c r="X149" t="e">
        <f>IF($J149&gt;MAX('Match Log'!$A$4:$A$810),NA(),IFERROR(LOOKUP(2,1/(('Match Log'!$D$4:$D$810=$X$24)*('Match Log'!$A$4:$A$810&lt;=$J149)),'Match Log'!$N$4:$N$810),NA()))</f>
        <v>#N/A</v>
      </c>
      <c r="Y149">
        <f t="shared" ca="1" si="30"/>
        <v>0.19987499999999997</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1112.3077761293196</v>
      </c>
      <c r="L150">
        <f>IF($J150&gt;MAX('Match Log'!$A$4:$A$810),NA(),IFERROR(LOOKUP(2,1/(('Match Log'!$D$4:$D$810=$L$24)*('Match Log'!$A$4:$A$810&lt;=$J150)),'Match Log'!$N$4:$N$810),NA()))</f>
        <v>1029.2201908859522</v>
      </c>
      <c r="M150">
        <f>IF($J150&gt;MAX('Match Log'!$A$4:$A$810),NA(),IFERROR(LOOKUP(2,1/(('Match Log'!$D$4:$D$810=$M$24)*('Match Log'!$A$4:$A$810&lt;=$J150)),'Match Log'!$N$4:$N$810),NA()))</f>
        <v>1016.7837867075796</v>
      </c>
      <c r="N150">
        <f>IF($J150&gt;MAX('Match Log'!$A$4:$A$810),NA(),IFERROR(LOOKUP(2,1/(('Match Log'!$D$4:$D$810=$N$24)*('Match Log'!$A$4:$A$810&lt;=$J150)),'Match Log'!$N$4:$N$810),NA()))</f>
        <v>981.92436608474441</v>
      </c>
      <c r="O150">
        <f>IF($J150&gt;MAX('Match Log'!$A$4:$A$810),NA(),IFERROR(LOOKUP(2,1/(('Match Log'!$D$4:$D$810=$O$24)*('Match Log'!$A$4:$A$810&lt;=$J150)),'Match Log'!$N$4:$N$810),NA()))</f>
        <v>1129.7012289075892</v>
      </c>
      <c r="P150">
        <f>IF($J150&gt;MAX('Match Log'!$A$4:$A$810),NA(),IFERROR(LOOKUP(2,1/(('Match Log'!$D$4:$D$810=$P$24)*('Match Log'!$A$4:$A$810&lt;=$J150)),'Match Log'!$N$4:$N$810),NA()))</f>
        <v>1016.787551834148</v>
      </c>
      <c r="Q150">
        <f>IF($J150&gt;MAX('Match Log'!$A$4:$A$810),NA(),IFERROR(LOOKUP(2,1/(('Match Log'!$D$4:$D$810=$Q$24)*('Match Log'!$A$4:$A$810&lt;=$J150)),'Match Log'!$N$4:$N$810),NA()))</f>
        <v>1084.8903813508514</v>
      </c>
      <c r="R150">
        <f>IF($J150&gt;MAX('Match Log'!$A$4:$A$810),NA(),IFERROR(LOOKUP(2,1/(('Match Log'!$D$4:$D$810=$R$24)*('Match Log'!$A$4:$A$810&lt;=$J150)),'Match Log'!$N$4:$N$810),NA()))</f>
        <v>1050.8634549674414</v>
      </c>
      <c r="S150">
        <f>IF($J150&gt;MAX('Match Log'!$A$4:$A$810),NA(),IFERROR(LOOKUP(2,1/(('Match Log'!$D$4:$D$810=$S$24)*('Match Log'!$A$4:$A$810&lt;=$J150)),'Match Log'!$N$4:$N$810),NA()))</f>
        <v>1168.2113436007442</v>
      </c>
      <c r="T150">
        <f>IF($J150&gt;MAX('Match Log'!$A$4:$A$810),NA(),IFERROR(LOOKUP(2,1/(('Match Log'!$D$4:$D$810=$T$24)*('Match Log'!$A$4:$A$810&lt;=$J150)),'Match Log'!$N$4:$N$810),NA()))</f>
        <v>893.03675187725173</v>
      </c>
      <c r="U150">
        <f>IF($J150&gt;MAX('Match Log'!$A$4:$A$810),NA(),IFERROR(LOOKUP(2,1/(('Match Log'!$D$4:$D$810=$U$24)*('Match Log'!$A$4:$A$810&lt;=$J150)),'Match Log'!$N$4:$N$810),NA()))</f>
        <v>1058.6657209484931</v>
      </c>
      <c r="V150">
        <f>IF($J150&gt;MAX('Match Log'!$A$4:$A$810),NA(),IFERROR(LOOKUP(2,1/(('Match Log'!$D$4:$D$810=$V$24)*('Match Log'!$A$4:$A$810&lt;=$J150)),'Match Log'!$N$4:$N$810),NA()))</f>
        <v>1031.225848367051</v>
      </c>
      <c r="W150">
        <f>IF($J150&gt;MAX('Match Log'!$A$4:$A$810),NA(),IFERROR(LOOKUP(2,1/(('Match Log'!$D$4:$D$810=$W$24)*('Match Log'!$A$4:$A$810&lt;=$J150)),'Match Log'!$N$4:$N$810),NA()))</f>
        <v>1030.3815983388336</v>
      </c>
      <c r="X150" t="e">
        <f>IF($J150&gt;MAX('Match Log'!$A$4:$A$810),NA(),IFERROR(LOOKUP(2,1/(('Match Log'!$D$4:$D$810=$X$24)*('Match Log'!$A$4:$A$810&lt;=$J150)),'Match Log'!$N$4:$N$810),NA()))</f>
        <v>#N/A</v>
      </c>
      <c r="Y150">
        <f t="shared" ca="1" si="30"/>
        <v>3.0177030303030275E-2</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1086.007564258605</v>
      </c>
      <c r="L151">
        <f>IF($J151&gt;MAX('Match Log'!$A$4:$A$810),NA(),IFERROR(LOOKUP(2,1/(('Match Log'!$D$4:$D$810=$L$24)*('Match Log'!$A$4:$A$810&lt;=$J151)),'Match Log'!$N$4:$N$810),NA()))</f>
        <v>1029.2201908859522</v>
      </c>
      <c r="M151">
        <f>IF($J151&gt;MAX('Match Log'!$A$4:$A$810),NA(),IFERROR(LOOKUP(2,1/(('Match Log'!$D$4:$D$810=$M$24)*('Match Log'!$A$4:$A$810&lt;=$J151)),'Match Log'!$N$4:$N$810),NA()))</f>
        <v>1016.7837867075796</v>
      </c>
      <c r="N151">
        <f>IF($J151&gt;MAX('Match Log'!$A$4:$A$810),NA(),IFERROR(LOOKUP(2,1/(('Match Log'!$D$4:$D$810=$N$24)*('Match Log'!$A$4:$A$810&lt;=$J151)),'Match Log'!$N$4:$N$810),NA()))</f>
        <v>981.92436608474441</v>
      </c>
      <c r="O151">
        <f>IF($J151&gt;MAX('Match Log'!$A$4:$A$810),NA(),IFERROR(LOOKUP(2,1/(('Match Log'!$D$4:$D$810=$O$24)*('Match Log'!$A$4:$A$810&lt;=$J151)),'Match Log'!$N$4:$N$810),NA()))</f>
        <v>1129.7012289075892</v>
      </c>
      <c r="P151">
        <f>IF($J151&gt;MAX('Match Log'!$A$4:$A$810),NA(),IFERROR(LOOKUP(2,1/(('Match Log'!$D$4:$D$810=$P$24)*('Match Log'!$A$4:$A$810&lt;=$J151)),'Match Log'!$N$4:$N$810),NA()))</f>
        <v>1043.0877637048625</v>
      </c>
      <c r="Q151">
        <f>IF($J151&gt;MAX('Match Log'!$A$4:$A$810),NA(),IFERROR(LOOKUP(2,1/(('Match Log'!$D$4:$D$810=$Q$24)*('Match Log'!$A$4:$A$810&lt;=$J151)),'Match Log'!$N$4:$N$810),NA()))</f>
        <v>1084.8903813508514</v>
      </c>
      <c r="R151">
        <f>IF($J151&gt;MAX('Match Log'!$A$4:$A$810),NA(),IFERROR(LOOKUP(2,1/(('Match Log'!$D$4:$D$810=$R$24)*('Match Log'!$A$4:$A$810&lt;=$J151)),'Match Log'!$N$4:$N$810),NA()))</f>
        <v>1050.8634549674414</v>
      </c>
      <c r="S151">
        <f>IF($J151&gt;MAX('Match Log'!$A$4:$A$810),NA(),IFERROR(LOOKUP(2,1/(('Match Log'!$D$4:$D$810=$S$24)*('Match Log'!$A$4:$A$810&lt;=$J151)),'Match Log'!$N$4:$N$810),NA()))</f>
        <v>1168.2113436007442</v>
      </c>
      <c r="T151">
        <f>IF($J151&gt;MAX('Match Log'!$A$4:$A$810),NA(),IFERROR(LOOKUP(2,1/(('Match Log'!$D$4:$D$810=$T$24)*('Match Log'!$A$4:$A$810&lt;=$J151)),'Match Log'!$N$4:$N$810),NA()))</f>
        <v>893.03675187725173</v>
      </c>
      <c r="U151">
        <f>IF($J151&gt;MAX('Match Log'!$A$4:$A$810),NA(),IFERROR(LOOKUP(2,1/(('Match Log'!$D$4:$D$810=$U$24)*('Match Log'!$A$4:$A$810&lt;=$J151)),'Match Log'!$N$4:$N$810),NA()))</f>
        <v>1058.6657209484931</v>
      </c>
      <c r="V151">
        <f>IF($J151&gt;MAX('Match Log'!$A$4:$A$810),NA(),IFERROR(LOOKUP(2,1/(('Match Log'!$D$4:$D$810=$V$24)*('Match Log'!$A$4:$A$810&lt;=$J151)),'Match Log'!$N$4:$N$810),NA()))</f>
        <v>1031.225848367051</v>
      </c>
      <c r="W151">
        <f>IF($J151&gt;MAX('Match Log'!$A$4:$A$810),NA(),IFERROR(LOOKUP(2,1/(('Match Log'!$D$4:$D$810=$W$24)*('Match Log'!$A$4:$A$810&lt;=$J151)),'Match Log'!$N$4:$N$810),NA()))</f>
        <v>1030.3815983388336</v>
      </c>
      <c r="X151" t="e">
        <f>IF($J151&gt;MAX('Match Log'!$A$4:$A$810),NA(),IFERROR(LOOKUP(2,1/(('Match Log'!$D$4:$D$810=$X$24)*('Match Log'!$A$4:$A$810&lt;=$J151)),'Match Log'!$N$4:$N$810),NA()))</f>
        <v>#N/A</v>
      </c>
      <c r="Y151">
        <f t="shared" ca="1" si="30"/>
        <v>0.16653966666666664</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1106.0736249589231</v>
      </c>
      <c r="L152">
        <f>IF($J152&gt;MAX('Match Log'!$A$4:$A$810),NA(),IFERROR(LOOKUP(2,1/(('Match Log'!$D$4:$D$810=$L$24)*('Match Log'!$A$4:$A$810&lt;=$J152)),'Match Log'!$N$4:$N$810),NA()))</f>
        <v>1029.2201908859522</v>
      </c>
      <c r="M152">
        <f>IF($J152&gt;MAX('Match Log'!$A$4:$A$810),NA(),IFERROR(LOOKUP(2,1/(('Match Log'!$D$4:$D$810=$M$24)*('Match Log'!$A$4:$A$810&lt;=$J152)),'Match Log'!$N$4:$N$810),NA()))</f>
        <v>1016.7837867075796</v>
      </c>
      <c r="N152">
        <f>IF($J152&gt;MAX('Match Log'!$A$4:$A$810),NA(),IFERROR(LOOKUP(2,1/(('Match Log'!$D$4:$D$810=$N$24)*('Match Log'!$A$4:$A$810&lt;=$J152)),'Match Log'!$N$4:$N$810),NA()))</f>
        <v>981.92436608474441</v>
      </c>
      <c r="O152">
        <f>IF($J152&gt;MAX('Match Log'!$A$4:$A$810),NA(),IFERROR(LOOKUP(2,1/(('Match Log'!$D$4:$D$810=$O$24)*('Match Log'!$A$4:$A$810&lt;=$J152)),'Match Log'!$N$4:$N$810),NA()))</f>
        <v>1129.7012289075892</v>
      </c>
      <c r="P152">
        <f>IF($J152&gt;MAX('Match Log'!$A$4:$A$810),NA(),IFERROR(LOOKUP(2,1/(('Match Log'!$D$4:$D$810=$P$24)*('Match Log'!$A$4:$A$810&lt;=$J152)),'Match Log'!$N$4:$N$810),NA()))</f>
        <v>1023.0217030045443</v>
      </c>
      <c r="Q152">
        <f>IF($J152&gt;MAX('Match Log'!$A$4:$A$810),NA(),IFERROR(LOOKUP(2,1/(('Match Log'!$D$4:$D$810=$Q$24)*('Match Log'!$A$4:$A$810&lt;=$J152)),'Match Log'!$N$4:$N$810),NA()))</f>
        <v>1084.8903813508514</v>
      </c>
      <c r="R152">
        <f>IF($J152&gt;MAX('Match Log'!$A$4:$A$810),NA(),IFERROR(LOOKUP(2,1/(('Match Log'!$D$4:$D$810=$R$24)*('Match Log'!$A$4:$A$810&lt;=$J152)),'Match Log'!$N$4:$N$810),NA()))</f>
        <v>1050.8634549674414</v>
      </c>
      <c r="S152">
        <f>IF($J152&gt;MAX('Match Log'!$A$4:$A$810),NA(),IFERROR(LOOKUP(2,1/(('Match Log'!$D$4:$D$810=$S$24)*('Match Log'!$A$4:$A$810&lt;=$J152)),'Match Log'!$N$4:$N$810),NA()))</f>
        <v>1168.2113436007442</v>
      </c>
      <c r="T152">
        <f>IF($J152&gt;MAX('Match Log'!$A$4:$A$810),NA(),IFERROR(LOOKUP(2,1/(('Match Log'!$D$4:$D$810=$T$24)*('Match Log'!$A$4:$A$810&lt;=$J152)),'Match Log'!$N$4:$N$810),NA()))</f>
        <v>893.03675187725173</v>
      </c>
      <c r="U152">
        <f>IF($J152&gt;MAX('Match Log'!$A$4:$A$810),NA(),IFERROR(LOOKUP(2,1/(('Match Log'!$D$4:$D$810=$U$24)*('Match Log'!$A$4:$A$810&lt;=$J152)),'Match Log'!$N$4:$N$810),NA()))</f>
        <v>1058.6657209484931</v>
      </c>
      <c r="V152">
        <f>IF($J152&gt;MAX('Match Log'!$A$4:$A$810),NA(),IFERROR(LOOKUP(2,1/(('Match Log'!$D$4:$D$810=$V$24)*('Match Log'!$A$4:$A$810&lt;=$J152)),'Match Log'!$N$4:$N$810),NA()))</f>
        <v>1031.225848367051</v>
      </c>
      <c r="W152">
        <f>IF($J152&gt;MAX('Match Log'!$A$4:$A$810),NA(),IFERROR(LOOKUP(2,1/(('Match Log'!$D$4:$D$810=$W$24)*('Match Log'!$A$4:$A$810&lt;=$J152)),'Match Log'!$N$4:$N$810),NA()))</f>
        <v>1030.3815983388336</v>
      </c>
      <c r="X152" t="e">
        <f>IF($J152&gt;MAX('Match Log'!$A$4:$A$810),NA(),IFERROR(LOOKUP(2,1/(('Match Log'!$D$4:$D$810=$X$24)*('Match Log'!$A$4:$A$810&lt;=$J152)),'Match Log'!$N$4:$N$810),NA()))</f>
        <v>#N/A</v>
      </c>
      <c r="Y152">
        <f t="shared" ca="1" si="30"/>
        <v>-9.4778205761317E-2</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1080.3201643856687</v>
      </c>
      <c r="L153">
        <f>IF($J153&gt;MAX('Match Log'!$A$4:$A$810),NA(),IFERROR(LOOKUP(2,1/(('Match Log'!$D$4:$D$810=$L$24)*('Match Log'!$A$4:$A$810&lt;=$J153)),'Match Log'!$N$4:$N$810),NA()))</f>
        <v>1029.2201908859522</v>
      </c>
      <c r="M153">
        <f>IF($J153&gt;MAX('Match Log'!$A$4:$A$810),NA(),IFERROR(LOOKUP(2,1/(('Match Log'!$D$4:$D$810=$M$24)*('Match Log'!$A$4:$A$810&lt;=$J153)),'Match Log'!$N$4:$N$810),NA()))</f>
        <v>1016.7837867075796</v>
      </c>
      <c r="N153">
        <f>IF($J153&gt;MAX('Match Log'!$A$4:$A$810),NA(),IFERROR(LOOKUP(2,1/(('Match Log'!$D$4:$D$810=$N$24)*('Match Log'!$A$4:$A$810&lt;=$J153)),'Match Log'!$N$4:$N$810),NA()))</f>
        <v>981.92436608474441</v>
      </c>
      <c r="O153">
        <f>IF($J153&gt;MAX('Match Log'!$A$4:$A$810),NA(),IFERROR(LOOKUP(2,1/(('Match Log'!$D$4:$D$810=$O$24)*('Match Log'!$A$4:$A$810&lt;=$J153)),'Match Log'!$N$4:$N$810),NA()))</f>
        <v>1129.7012289075892</v>
      </c>
      <c r="P153">
        <f>IF($J153&gt;MAX('Match Log'!$A$4:$A$810),NA(),IFERROR(LOOKUP(2,1/(('Match Log'!$D$4:$D$810=$P$24)*('Match Log'!$A$4:$A$810&lt;=$J153)),'Match Log'!$N$4:$N$810),NA()))</f>
        <v>1048.7751635777988</v>
      </c>
      <c r="Q153">
        <f>IF($J153&gt;MAX('Match Log'!$A$4:$A$810),NA(),IFERROR(LOOKUP(2,1/(('Match Log'!$D$4:$D$810=$Q$24)*('Match Log'!$A$4:$A$810&lt;=$J153)),'Match Log'!$N$4:$N$810),NA()))</f>
        <v>1084.8903813508514</v>
      </c>
      <c r="R153">
        <f>IF($J153&gt;MAX('Match Log'!$A$4:$A$810),NA(),IFERROR(LOOKUP(2,1/(('Match Log'!$D$4:$D$810=$R$24)*('Match Log'!$A$4:$A$810&lt;=$J153)),'Match Log'!$N$4:$N$810),NA()))</f>
        <v>1050.8634549674414</v>
      </c>
      <c r="S153">
        <f>IF($J153&gt;MAX('Match Log'!$A$4:$A$810),NA(),IFERROR(LOOKUP(2,1/(('Match Log'!$D$4:$D$810=$S$24)*('Match Log'!$A$4:$A$810&lt;=$J153)),'Match Log'!$N$4:$N$810),NA()))</f>
        <v>1168.2113436007442</v>
      </c>
      <c r="T153">
        <f>IF($J153&gt;MAX('Match Log'!$A$4:$A$810),NA(),IFERROR(LOOKUP(2,1/(('Match Log'!$D$4:$D$810=$T$24)*('Match Log'!$A$4:$A$810&lt;=$J153)),'Match Log'!$N$4:$N$810),NA()))</f>
        <v>893.03675187725173</v>
      </c>
      <c r="U153">
        <f>IF($J153&gt;MAX('Match Log'!$A$4:$A$810),NA(),IFERROR(LOOKUP(2,1/(('Match Log'!$D$4:$D$810=$U$24)*('Match Log'!$A$4:$A$810&lt;=$J153)),'Match Log'!$N$4:$N$810),NA()))</f>
        <v>1058.6657209484931</v>
      </c>
      <c r="V153">
        <f>IF($J153&gt;MAX('Match Log'!$A$4:$A$810),NA(),IFERROR(LOOKUP(2,1/(('Match Log'!$D$4:$D$810=$V$24)*('Match Log'!$A$4:$A$810&lt;=$J153)),'Match Log'!$N$4:$N$810),NA()))</f>
        <v>1031.225848367051</v>
      </c>
      <c r="W153">
        <f>IF($J153&gt;MAX('Match Log'!$A$4:$A$810),NA(),IFERROR(LOOKUP(2,1/(('Match Log'!$D$4:$D$810=$W$24)*('Match Log'!$A$4:$A$810&lt;=$J153)),'Match Log'!$N$4:$N$810),NA()))</f>
        <v>1030.3815983388336</v>
      </c>
      <c r="X153" t="e">
        <f>IF($J153&gt;MAX('Match Log'!$A$4:$A$810),NA(),IFERROR(LOOKUP(2,1/(('Match Log'!$D$4:$D$810=$X$24)*('Match Log'!$A$4:$A$810&lt;=$J153)),'Match Log'!$N$4:$N$810),NA()))</f>
        <v>#N/A</v>
      </c>
      <c r="Y153">
        <f t="shared" ca="1" si="30"/>
        <v>-1.2899999999999999E-4</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1059.3563576220192</v>
      </c>
      <c r="L154">
        <f>IF($J154&gt;MAX('Match Log'!$A$4:$A$810),NA(),IFERROR(LOOKUP(2,1/(('Match Log'!$D$4:$D$810=$L$24)*('Match Log'!$A$4:$A$810&lt;=$J154)),'Match Log'!$N$4:$N$810),NA()))</f>
        <v>1029.2201908859522</v>
      </c>
      <c r="M154">
        <f>IF($J154&gt;MAX('Match Log'!$A$4:$A$810),NA(),IFERROR(LOOKUP(2,1/(('Match Log'!$D$4:$D$810=$M$24)*('Match Log'!$A$4:$A$810&lt;=$J154)),'Match Log'!$N$4:$N$810),NA()))</f>
        <v>1016.7837867075796</v>
      </c>
      <c r="N154">
        <f>IF($J154&gt;MAX('Match Log'!$A$4:$A$810),NA(),IFERROR(LOOKUP(2,1/(('Match Log'!$D$4:$D$810=$N$24)*('Match Log'!$A$4:$A$810&lt;=$J154)),'Match Log'!$N$4:$N$810),NA()))</f>
        <v>981.92436608474441</v>
      </c>
      <c r="O154">
        <f>IF($J154&gt;MAX('Match Log'!$A$4:$A$810),NA(),IFERROR(LOOKUP(2,1/(('Match Log'!$D$4:$D$810=$O$24)*('Match Log'!$A$4:$A$810&lt;=$J154)),'Match Log'!$N$4:$N$810),NA()))</f>
        <v>1129.7012289075892</v>
      </c>
      <c r="P154">
        <f>IF($J154&gt;MAX('Match Log'!$A$4:$A$810),NA(),IFERROR(LOOKUP(2,1/(('Match Log'!$D$4:$D$810=$P$24)*('Match Log'!$A$4:$A$810&lt;=$J154)),'Match Log'!$N$4:$N$810),NA()))</f>
        <v>1069.7389703414483</v>
      </c>
      <c r="Q154">
        <f>IF($J154&gt;MAX('Match Log'!$A$4:$A$810),NA(),IFERROR(LOOKUP(2,1/(('Match Log'!$D$4:$D$810=$Q$24)*('Match Log'!$A$4:$A$810&lt;=$J154)),'Match Log'!$N$4:$N$810),NA()))</f>
        <v>1084.8903813508514</v>
      </c>
      <c r="R154">
        <f>IF($J154&gt;MAX('Match Log'!$A$4:$A$810),NA(),IFERROR(LOOKUP(2,1/(('Match Log'!$D$4:$D$810=$R$24)*('Match Log'!$A$4:$A$810&lt;=$J154)),'Match Log'!$N$4:$N$810),NA()))</f>
        <v>1050.8634549674414</v>
      </c>
      <c r="S154">
        <f>IF($J154&gt;MAX('Match Log'!$A$4:$A$810),NA(),IFERROR(LOOKUP(2,1/(('Match Log'!$D$4:$D$810=$S$24)*('Match Log'!$A$4:$A$810&lt;=$J154)),'Match Log'!$N$4:$N$810),NA()))</f>
        <v>1168.2113436007442</v>
      </c>
      <c r="T154">
        <f>IF($J154&gt;MAX('Match Log'!$A$4:$A$810),NA(),IFERROR(LOOKUP(2,1/(('Match Log'!$D$4:$D$810=$T$24)*('Match Log'!$A$4:$A$810&lt;=$J154)),'Match Log'!$N$4:$N$810),NA()))</f>
        <v>893.03675187725173</v>
      </c>
      <c r="U154">
        <f>IF($J154&gt;MAX('Match Log'!$A$4:$A$810),NA(),IFERROR(LOOKUP(2,1/(('Match Log'!$D$4:$D$810=$U$24)*('Match Log'!$A$4:$A$810&lt;=$J154)),'Match Log'!$N$4:$N$810),NA()))</f>
        <v>1058.6657209484931</v>
      </c>
      <c r="V154">
        <f>IF($J154&gt;MAX('Match Log'!$A$4:$A$810),NA(),IFERROR(LOOKUP(2,1/(('Match Log'!$D$4:$D$810=$V$24)*('Match Log'!$A$4:$A$810&lt;=$J154)),'Match Log'!$N$4:$N$810),NA()))</f>
        <v>1031.225848367051</v>
      </c>
      <c r="W154">
        <f>IF($J154&gt;MAX('Match Log'!$A$4:$A$810),NA(),IFERROR(LOOKUP(2,1/(('Match Log'!$D$4:$D$810=$W$24)*('Match Log'!$A$4:$A$810&lt;=$J154)),'Match Log'!$N$4:$N$810),NA()))</f>
        <v>1030.3815983388336</v>
      </c>
      <c r="X154" t="e">
        <f>IF($J154&gt;MAX('Match Log'!$A$4:$A$810),NA(),IFERROR(LOOKUP(2,1/(('Match Log'!$D$4:$D$810=$X$24)*('Match Log'!$A$4:$A$810&lt;=$J154)),'Match Log'!$N$4:$N$810),NA()))</f>
        <v>#N/A</v>
      </c>
      <c r="Y154">
        <f t="shared" ca="1" si="30"/>
        <v>-0.33346333333333328</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1041.4993516821401</v>
      </c>
      <c r="L155">
        <f>IF($J155&gt;MAX('Match Log'!$A$4:$A$810),NA(),IFERROR(LOOKUP(2,1/(('Match Log'!$D$4:$D$810=$L$24)*('Match Log'!$A$4:$A$810&lt;=$J155)),'Match Log'!$N$4:$N$810),NA()))</f>
        <v>1029.2201908859522</v>
      </c>
      <c r="M155">
        <f>IF($J155&gt;MAX('Match Log'!$A$4:$A$810),NA(),IFERROR(LOOKUP(2,1/(('Match Log'!$D$4:$D$810=$M$24)*('Match Log'!$A$4:$A$810&lt;=$J155)),'Match Log'!$N$4:$N$810),NA()))</f>
        <v>1016.7837867075796</v>
      </c>
      <c r="N155">
        <f>IF($J155&gt;MAX('Match Log'!$A$4:$A$810),NA(),IFERROR(LOOKUP(2,1/(('Match Log'!$D$4:$D$810=$N$24)*('Match Log'!$A$4:$A$810&lt;=$J155)),'Match Log'!$N$4:$N$810),NA()))</f>
        <v>981.92436608474441</v>
      </c>
      <c r="O155">
        <f>IF($J155&gt;MAX('Match Log'!$A$4:$A$810),NA(),IFERROR(LOOKUP(2,1/(('Match Log'!$D$4:$D$810=$O$24)*('Match Log'!$A$4:$A$810&lt;=$J155)),'Match Log'!$N$4:$N$810),NA()))</f>
        <v>1129.7012289075892</v>
      </c>
      <c r="P155">
        <f>IF($J155&gt;MAX('Match Log'!$A$4:$A$810),NA(),IFERROR(LOOKUP(2,1/(('Match Log'!$D$4:$D$810=$P$24)*('Match Log'!$A$4:$A$810&lt;=$J155)),'Match Log'!$N$4:$N$810),NA()))</f>
        <v>1087.5959762813275</v>
      </c>
      <c r="Q155">
        <f>IF($J155&gt;MAX('Match Log'!$A$4:$A$810),NA(),IFERROR(LOOKUP(2,1/(('Match Log'!$D$4:$D$810=$Q$24)*('Match Log'!$A$4:$A$810&lt;=$J155)),'Match Log'!$N$4:$N$810),NA()))</f>
        <v>1084.8903813508514</v>
      </c>
      <c r="R155">
        <f>IF($J155&gt;MAX('Match Log'!$A$4:$A$810),NA(),IFERROR(LOOKUP(2,1/(('Match Log'!$D$4:$D$810=$R$24)*('Match Log'!$A$4:$A$810&lt;=$J155)),'Match Log'!$N$4:$N$810),NA()))</f>
        <v>1050.8634549674414</v>
      </c>
      <c r="S155">
        <f>IF($J155&gt;MAX('Match Log'!$A$4:$A$810),NA(),IFERROR(LOOKUP(2,1/(('Match Log'!$D$4:$D$810=$S$24)*('Match Log'!$A$4:$A$810&lt;=$J155)),'Match Log'!$N$4:$N$810),NA()))</f>
        <v>1168.2113436007442</v>
      </c>
      <c r="T155">
        <f>IF($J155&gt;MAX('Match Log'!$A$4:$A$810),NA(),IFERROR(LOOKUP(2,1/(('Match Log'!$D$4:$D$810=$T$24)*('Match Log'!$A$4:$A$810&lt;=$J155)),'Match Log'!$N$4:$N$810),NA()))</f>
        <v>893.03675187725173</v>
      </c>
      <c r="U155">
        <f>IF($J155&gt;MAX('Match Log'!$A$4:$A$810),NA(),IFERROR(LOOKUP(2,1/(('Match Log'!$D$4:$D$810=$U$24)*('Match Log'!$A$4:$A$810&lt;=$J155)),'Match Log'!$N$4:$N$810),NA()))</f>
        <v>1058.6657209484931</v>
      </c>
      <c r="V155">
        <f>IF($J155&gt;MAX('Match Log'!$A$4:$A$810),NA(),IFERROR(LOOKUP(2,1/(('Match Log'!$D$4:$D$810=$V$24)*('Match Log'!$A$4:$A$810&lt;=$J155)),'Match Log'!$N$4:$N$810),NA()))</f>
        <v>1031.225848367051</v>
      </c>
      <c r="W155">
        <f>IF($J155&gt;MAX('Match Log'!$A$4:$A$810),NA(),IFERROR(LOOKUP(2,1/(('Match Log'!$D$4:$D$810=$W$24)*('Match Log'!$A$4:$A$810&lt;=$J155)),'Match Log'!$N$4:$N$810),NA()))</f>
        <v>1030.3815983388336</v>
      </c>
      <c r="X155" t="e">
        <f>IF($J155&gt;MAX('Match Log'!$A$4:$A$810),NA(),IFERROR(LOOKUP(2,1/(('Match Log'!$D$4:$D$810=$X$24)*('Match Log'!$A$4:$A$810&lt;=$J155)),'Match Log'!$N$4:$N$810),NA()))</f>
        <v>#N/A</v>
      </c>
      <c r="Y155">
        <f t="shared" ca="1" si="30"/>
        <v>-0.50013099999999999</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1061.4340486214085</v>
      </c>
      <c r="L156">
        <f>IF($J156&gt;MAX('Match Log'!$A$4:$A$810),NA(),IFERROR(LOOKUP(2,1/(('Match Log'!$D$4:$D$810=$L$24)*('Match Log'!$A$4:$A$810&lt;=$J156)),'Match Log'!$N$4:$N$810),NA()))</f>
        <v>1029.2201908859522</v>
      </c>
      <c r="M156">
        <f>IF($J156&gt;MAX('Match Log'!$A$4:$A$810),NA(),IFERROR(LOOKUP(2,1/(('Match Log'!$D$4:$D$810=$M$24)*('Match Log'!$A$4:$A$810&lt;=$J156)),'Match Log'!$N$4:$N$810),NA()))</f>
        <v>1016.7837867075796</v>
      </c>
      <c r="N156">
        <f>IF($J156&gt;MAX('Match Log'!$A$4:$A$810),NA(),IFERROR(LOOKUP(2,1/(('Match Log'!$D$4:$D$810=$N$24)*('Match Log'!$A$4:$A$810&lt;=$J156)),'Match Log'!$N$4:$N$810),NA()))</f>
        <v>981.92436608474441</v>
      </c>
      <c r="O156">
        <f>IF($J156&gt;MAX('Match Log'!$A$4:$A$810),NA(),IFERROR(LOOKUP(2,1/(('Match Log'!$D$4:$D$810=$O$24)*('Match Log'!$A$4:$A$810&lt;=$J156)),'Match Log'!$N$4:$N$810),NA()))</f>
        <v>1129.7012289075892</v>
      </c>
      <c r="P156">
        <f>IF($J156&gt;MAX('Match Log'!$A$4:$A$810),NA(),IFERROR(LOOKUP(2,1/(('Match Log'!$D$4:$D$810=$P$24)*('Match Log'!$A$4:$A$810&lt;=$J156)),'Match Log'!$N$4:$N$810),NA()))</f>
        <v>1067.6612793420591</v>
      </c>
      <c r="Q156">
        <f>IF($J156&gt;MAX('Match Log'!$A$4:$A$810),NA(),IFERROR(LOOKUP(2,1/(('Match Log'!$D$4:$D$810=$Q$24)*('Match Log'!$A$4:$A$810&lt;=$J156)),'Match Log'!$N$4:$N$810),NA()))</f>
        <v>1084.8903813508514</v>
      </c>
      <c r="R156">
        <f>IF($J156&gt;MAX('Match Log'!$A$4:$A$810),NA(),IFERROR(LOOKUP(2,1/(('Match Log'!$D$4:$D$810=$R$24)*('Match Log'!$A$4:$A$810&lt;=$J156)),'Match Log'!$N$4:$N$810),NA()))</f>
        <v>1050.8634549674414</v>
      </c>
      <c r="S156">
        <f>IF($J156&gt;MAX('Match Log'!$A$4:$A$810),NA(),IFERROR(LOOKUP(2,1/(('Match Log'!$D$4:$D$810=$S$24)*('Match Log'!$A$4:$A$810&lt;=$J156)),'Match Log'!$N$4:$N$810),NA()))</f>
        <v>1168.2113436007442</v>
      </c>
      <c r="T156">
        <f>IF($J156&gt;MAX('Match Log'!$A$4:$A$810),NA(),IFERROR(LOOKUP(2,1/(('Match Log'!$D$4:$D$810=$T$24)*('Match Log'!$A$4:$A$810&lt;=$J156)),'Match Log'!$N$4:$N$810),NA()))</f>
        <v>893.03675187725173</v>
      </c>
      <c r="U156">
        <f>IF($J156&gt;MAX('Match Log'!$A$4:$A$810),NA(),IFERROR(LOOKUP(2,1/(('Match Log'!$D$4:$D$810=$U$24)*('Match Log'!$A$4:$A$810&lt;=$J156)),'Match Log'!$N$4:$N$810),NA()))</f>
        <v>1058.6657209484931</v>
      </c>
      <c r="V156">
        <f>IF($J156&gt;MAX('Match Log'!$A$4:$A$810),NA(),IFERROR(LOOKUP(2,1/(('Match Log'!$D$4:$D$810=$V$24)*('Match Log'!$A$4:$A$810&lt;=$J156)),'Match Log'!$N$4:$N$810),NA()))</f>
        <v>1031.225848367051</v>
      </c>
      <c r="W156">
        <f>IF($J156&gt;MAX('Match Log'!$A$4:$A$810),NA(),IFERROR(LOOKUP(2,1/(('Match Log'!$D$4:$D$810=$W$24)*('Match Log'!$A$4:$A$810&lt;=$J156)),'Match Log'!$N$4:$N$810),NA()))</f>
        <v>1030.3815983388336</v>
      </c>
      <c r="X156" t="e">
        <f>IF($J156&gt;MAX('Match Log'!$A$4:$A$810),NA(),IFERROR(LOOKUP(2,1/(('Match Log'!$D$4:$D$810=$X$24)*('Match Log'!$A$4:$A$810&lt;=$J156)),'Match Log'!$N$4:$N$810),NA()))</f>
        <v>#N/A</v>
      </c>
      <c r="Y156">
        <f t="shared" ca="1" si="30"/>
        <v>-0.14298914285714301</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1079.6756025728332</v>
      </c>
      <c r="L157">
        <f>IF($J157&gt;MAX('Match Log'!$A$4:$A$810),NA(),IFERROR(LOOKUP(2,1/(('Match Log'!$D$4:$D$810=$L$24)*('Match Log'!$A$4:$A$810&lt;=$J157)),'Match Log'!$N$4:$N$810),NA()))</f>
        <v>1029.2201908859522</v>
      </c>
      <c r="M157">
        <f>IF($J157&gt;MAX('Match Log'!$A$4:$A$810),NA(),IFERROR(LOOKUP(2,1/(('Match Log'!$D$4:$D$810=$M$24)*('Match Log'!$A$4:$A$810&lt;=$J157)),'Match Log'!$N$4:$N$810),NA()))</f>
        <v>1016.7837867075796</v>
      </c>
      <c r="N157">
        <f>IF($J157&gt;MAX('Match Log'!$A$4:$A$810),NA(),IFERROR(LOOKUP(2,1/(('Match Log'!$D$4:$D$810=$N$24)*('Match Log'!$A$4:$A$810&lt;=$J157)),'Match Log'!$N$4:$N$810),NA()))</f>
        <v>981.92436608474441</v>
      </c>
      <c r="O157">
        <f>IF($J157&gt;MAX('Match Log'!$A$4:$A$810),NA(),IFERROR(LOOKUP(2,1/(('Match Log'!$D$4:$D$810=$O$24)*('Match Log'!$A$4:$A$810&lt;=$J157)),'Match Log'!$N$4:$N$810),NA()))</f>
        <v>1129.7012289075892</v>
      </c>
      <c r="P157">
        <f>IF($J157&gt;MAX('Match Log'!$A$4:$A$810),NA(),IFERROR(LOOKUP(2,1/(('Match Log'!$D$4:$D$810=$P$24)*('Match Log'!$A$4:$A$810&lt;=$J157)),'Match Log'!$N$4:$N$810),NA()))</f>
        <v>1049.4197253906343</v>
      </c>
      <c r="Q157">
        <f>IF($J157&gt;MAX('Match Log'!$A$4:$A$810),NA(),IFERROR(LOOKUP(2,1/(('Match Log'!$D$4:$D$810=$Q$24)*('Match Log'!$A$4:$A$810&lt;=$J157)),'Match Log'!$N$4:$N$810),NA()))</f>
        <v>1084.8903813508514</v>
      </c>
      <c r="R157">
        <f>IF($J157&gt;MAX('Match Log'!$A$4:$A$810),NA(),IFERROR(LOOKUP(2,1/(('Match Log'!$D$4:$D$810=$R$24)*('Match Log'!$A$4:$A$810&lt;=$J157)),'Match Log'!$N$4:$N$810),NA()))</f>
        <v>1050.8634549674414</v>
      </c>
      <c r="S157">
        <f>IF($J157&gt;MAX('Match Log'!$A$4:$A$810),NA(),IFERROR(LOOKUP(2,1/(('Match Log'!$D$4:$D$810=$S$24)*('Match Log'!$A$4:$A$810&lt;=$J157)),'Match Log'!$N$4:$N$810),NA()))</f>
        <v>1168.2113436007442</v>
      </c>
      <c r="T157">
        <f>IF($J157&gt;MAX('Match Log'!$A$4:$A$810),NA(),IFERROR(LOOKUP(2,1/(('Match Log'!$D$4:$D$810=$T$24)*('Match Log'!$A$4:$A$810&lt;=$J157)),'Match Log'!$N$4:$N$810),NA()))</f>
        <v>893.03675187725173</v>
      </c>
      <c r="U157">
        <f>IF($J157&gt;MAX('Match Log'!$A$4:$A$810),NA(),IFERROR(LOOKUP(2,1/(('Match Log'!$D$4:$D$810=$U$24)*('Match Log'!$A$4:$A$810&lt;=$J157)),'Match Log'!$N$4:$N$810),NA()))</f>
        <v>1058.6657209484931</v>
      </c>
      <c r="V157">
        <f>IF($J157&gt;MAX('Match Log'!$A$4:$A$810),NA(),IFERROR(LOOKUP(2,1/(('Match Log'!$D$4:$D$810=$V$24)*('Match Log'!$A$4:$A$810&lt;=$J157)),'Match Log'!$N$4:$N$810),NA()))</f>
        <v>1031.225848367051</v>
      </c>
      <c r="W157">
        <f>IF($J157&gt;MAX('Match Log'!$A$4:$A$810),NA(),IFERROR(LOOKUP(2,1/(('Match Log'!$D$4:$D$810=$W$24)*('Match Log'!$A$4:$A$810&lt;=$J157)),'Match Log'!$N$4:$N$810),NA()))</f>
        <v>1030.3815983388336</v>
      </c>
      <c r="X157" t="e">
        <f>IF($J157&gt;MAX('Match Log'!$A$4:$A$810),NA(),IFERROR(LOOKUP(2,1/(('Match Log'!$D$4:$D$810=$X$24)*('Match Log'!$A$4:$A$810&lt;=$J157)),'Match Log'!$N$4:$N$810),NA()))</f>
        <v>#N/A</v>
      </c>
      <c r="Y157">
        <f t="shared" ca="1" si="30"/>
        <v>-0.18508597805642651</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1061.9153995559886</v>
      </c>
      <c r="L158">
        <f>IF($J158&gt;MAX('Match Log'!$A$4:$A$810),NA(),IFERROR(LOOKUP(2,1/(('Match Log'!$D$4:$D$810=$L$24)*('Match Log'!$A$4:$A$810&lt;=$J158)),'Match Log'!$N$4:$N$810),NA()))</f>
        <v>1029.2201908859522</v>
      </c>
      <c r="M158">
        <f>IF($J158&gt;MAX('Match Log'!$A$4:$A$810),NA(),IFERROR(LOOKUP(2,1/(('Match Log'!$D$4:$D$810=$M$24)*('Match Log'!$A$4:$A$810&lt;=$J158)),'Match Log'!$N$4:$N$810),NA()))</f>
        <v>1016.7837867075796</v>
      </c>
      <c r="N158">
        <f>IF($J158&gt;MAX('Match Log'!$A$4:$A$810),NA(),IFERROR(LOOKUP(2,1/(('Match Log'!$D$4:$D$810=$N$24)*('Match Log'!$A$4:$A$810&lt;=$J158)),'Match Log'!$N$4:$N$810),NA()))</f>
        <v>981.92436608474441</v>
      </c>
      <c r="O158">
        <f>IF($J158&gt;MAX('Match Log'!$A$4:$A$810),NA(),IFERROR(LOOKUP(2,1/(('Match Log'!$D$4:$D$810=$O$24)*('Match Log'!$A$4:$A$810&lt;=$J158)),'Match Log'!$N$4:$N$810),NA()))</f>
        <v>1129.7012289075892</v>
      </c>
      <c r="P158">
        <f>IF($J158&gt;MAX('Match Log'!$A$4:$A$810),NA(),IFERROR(LOOKUP(2,1/(('Match Log'!$D$4:$D$810=$P$24)*('Match Log'!$A$4:$A$810&lt;=$J158)),'Match Log'!$N$4:$N$810),NA()))</f>
        <v>1067.1799284074789</v>
      </c>
      <c r="Q158">
        <f>IF($J158&gt;MAX('Match Log'!$A$4:$A$810),NA(),IFERROR(LOOKUP(2,1/(('Match Log'!$D$4:$D$810=$Q$24)*('Match Log'!$A$4:$A$810&lt;=$J158)),'Match Log'!$N$4:$N$810),NA()))</f>
        <v>1084.8903813508514</v>
      </c>
      <c r="R158">
        <f>IF($J158&gt;MAX('Match Log'!$A$4:$A$810),NA(),IFERROR(LOOKUP(2,1/(('Match Log'!$D$4:$D$810=$R$24)*('Match Log'!$A$4:$A$810&lt;=$J158)),'Match Log'!$N$4:$N$810),NA()))</f>
        <v>1050.8634549674414</v>
      </c>
      <c r="S158">
        <f>IF($J158&gt;MAX('Match Log'!$A$4:$A$810),NA(),IFERROR(LOOKUP(2,1/(('Match Log'!$D$4:$D$810=$S$24)*('Match Log'!$A$4:$A$810&lt;=$J158)),'Match Log'!$N$4:$N$810),NA()))</f>
        <v>1168.2113436007442</v>
      </c>
      <c r="T158">
        <f>IF($J158&gt;MAX('Match Log'!$A$4:$A$810),NA(),IFERROR(LOOKUP(2,1/(('Match Log'!$D$4:$D$810=$T$24)*('Match Log'!$A$4:$A$810&lt;=$J158)),'Match Log'!$N$4:$N$810),NA()))</f>
        <v>893.03675187725173</v>
      </c>
      <c r="U158">
        <f>IF($J158&gt;MAX('Match Log'!$A$4:$A$810),NA(),IFERROR(LOOKUP(2,1/(('Match Log'!$D$4:$D$810=$U$24)*('Match Log'!$A$4:$A$810&lt;=$J158)),'Match Log'!$N$4:$N$810),NA()))</f>
        <v>1058.6657209484931</v>
      </c>
      <c r="V158">
        <f>IF($J158&gt;MAX('Match Log'!$A$4:$A$810),NA(),IFERROR(LOOKUP(2,1/(('Match Log'!$D$4:$D$810=$V$24)*('Match Log'!$A$4:$A$810&lt;=$J158)),'Match Log'!$N$4:$N$810),NA()))</f>
        <v>1031.225848367051</v>
      </c>
      <c r="W158">
        <f>IF($J158&gt;MAX('Match Log'!$A$4:$A$810),NA(),IFERROR(LOOKUP(2,1/(('Match Log'!$D$4:$D$810=$W$24)*('Match Log'!$A$4:$A$810&lt;=$J158)),'Match Log'!$N$4:$N$810),NA()))</f>
        <v>1030.3815983388336</v>
      </c>
      <c r="X158" t="e">
        <f>IF($J158&gt;MAX('Match Log'!$A$4:$A$810),NA(),IFERROR(LOOKUP(2,1/(('Match Log'!$D$4:$D$810=$X$24)*('Match Log'!$A$4:$A$810&lt;=$J158)),'Match Log'!$N$4:$N$810),NA()))</f>
        <v>#N/A</v>
      </c>
      <c r="Y158">
        <f t="shared" ca="1" si="30"/>
        <v>-0.60013400000000006</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1090.3160302328126</v>
      </c>
      <c r="L159">
        <f>IF($J159&gt;MAX('Match Log'!$A$4:$A$810),NA(),IFERROR(LOOKUP(2,1/(('Match Log'!$D$4:$D$810=$L$24)*('Match Log'!$A$4:$A$810&lt;=$J159)),'Match Log'!$N$4:$N$810),NA()))</f>
        <v>1029.2201908859522</v>
      </c>
      <c r="M159">
        <f>IF($J159&gt;MAX('Match Log'!$A$4:$A$810),NA(),IFERROR(LOOKUP(2,1/(('Match Log'!$D$4:$D$810=$M$24)*('Match Log'!$A$4:$A$810&lt;=$J159)),'Match Log'!$N$4:$N$810),NA()))</f>
        <v>1016.7837867075796</v>
      </c>
      <c r="N159">
        <f>IF($J159&gt;MAX('Match Log'!$A$4:$A$810),NA(),IFERROR(LOOKUP(2,1/(('Match Log'!$D$4:$D$810=$N$24)*('Match Log'!$A$4:$A$810&lt;=$J159)),'Match Log'!$N$4:$N$810),NA()))</f>
        <v>981.92436608474441</v>
      </c>
      <c r="O159">
        <f>IF($J159&gt;MAX('Match Log'!$A$4:$A$810),NA(),IFERROR(LOOKUP(2,1/(('Match Log'!$D$4:$D$810=$O$24)*('Match Log'!$A$4:$A$810&lt;=$J159)),'Match Log'!$N$4:$N$810),NA()))</f>
        <v>1129.7012289075892</v>
      </c>
      <c r="P159">
        <f>IF($J159&gt;MAX('Match Log'!$A$4:$A$810),NA(),IFERROR(LOOKUP(2,1/(('Match Log'!$D$4:$D$810=$P$24)*('Match Log'!$A$4:$A$810&lt;=$J159)),'Match Log'!$N$4:$N$810),NA()))</f>
        <v>1038.7792977306549</v>
      </c>
      <c r="Q159">
        <f>IF($J159&gt;MAX('Match Log'!$A$4:$A$810),NA(),IFERROR(LOOKUP(2,1/(('Match Log'!$D$4:$D$810=$Q$24)*('Match Log'!$A$4:$A$810&lt;=$J159)),'Match Log'!$N$4:$N$810),NA()))</f>
        <v>1084.8903813508514</v>
      </c>
      <c r="R159">
        <f>IF($J159&gt;MAX('Match Log'!$A$4:$A$810),NA(),IFERROR(LOOKUP(2,1/(('Match Log'!$D$4:$D$810=$R$24)*('Match Log'!$A$4:$A$810&lt;=$J159)),'Match Log'!$N$4:$N$810),NA()))</f>
        <v>1050.8634549674414</v>
      </c>
      <c r="S159">
        <f>IF($J159&gt;MAX('Match Log'!$A$4:$A$810),NA(),IFERROR(LOOKUP(2,1/(('Match Log'!$D$4:$D$810=$S$24)*('Match Log'!$A$4:$A$810&lt;=$J159)),'Match Log'!$N$4:$N$810),NA()))</f>
        <v>1168.2113436007442</v>
      </c>
      <c r="T159">
        <f>IF($J159&gt;MAX('Match Log'!$A$4:$A$810),NA(),IFERROR(LOOKUP(2,1/(('Match Log'!$D$4:$D$810=$T$24)*('Match Log'!$A$4:$A$810&lt;=$J159)),'Match Log'!$N$4:$N$810),NA()))</f>
        <v>893.03675187725173</v>
      </c>
      <c r="U159">
        <f>IF($J159&gt;MAX('Match Log'!$A$4:$A$810),NA(),IFERROR(LOOKUP(2,1/(('Match Log'!$D$4:$D$810=$U$24)*('Match Log'!$A$4:$A$810&lt;=$J159)),'Match Log'!$N$4:$N$810),NA()))</f>
        <v>1058.6657209484931</v>
      </c>
      <c r="V159">
        <f>IF($J159&gt;MAX('Match Log'!$A$4:$A$810),NA(),IFERROR(LOOKUP(2,1/(('Match Log'!$D$4:$D$810=$V$24)*('Match Log'!$A$4:$A$810&lt;=$J159)),'Match Log'!$N$4:$N$810),NA()))</f>
        <v>1031.225848367051</v>
      </c>
      <c r="W159">
        <f>IF($J159&gt;MAX('Match Log'!$A$4:$A$810),NA(),IFERROR(LOOKUP(2,1/(('Match Log'!$D$4:$D$810=$W$24)*('Match Log'!$A$4:$A$810&lt;=$J159)),'Match Log'!$N$4:$N$810),NA()))</f>
        <v>1030.3815983388336</v>
      </c>
      <c r="X159" t="e">
        <f>IF($J159&gt;MAX('Match Log'!$A$4:$A$810),NA(),IFERROR(LOOKUP(2,1/(('Match Log'!$D$4:$D$810=$X$24)*('Match Log'!$A$4:$A$810&lt;=$J159)),'Match Log'!$N$4:$N$810),NA()))</f>
        <v>#N/A</v>
      </c>
      <c r="Y159">
        <f t="shared" ca="1" si="30"/>
        <v>0.66653166666666674</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1107.5369206684595</v>
      </c>
      <c r="L160">
        <f>IF($J160&gt;MAX('Match Log'!$A$4:$A$810),NA(),IFERROR(LOOKUP(2,1/(('Match Log'!$D$4:$D$810=$L$24)*('Match Log'!$A$4:$A$810&lt;=$J160)),'Match Log'!$N$4:$N$810),NA()))</f>
        <v>1029.2201908859522</v>
      </c>
      <c r="M160">
        <f>IF($J160&gt;MAX('Match Log'!$A$4:$A$810),NA(),IFERROR(LOOKUP(2,1/(('Match Log'!$D$4:$D$810=$M$24)*('Match Log'!$A$4:$A$810&lt;=$J160)),'Match Log'!$N$4:$N$810),NA()))</f>
        <v>1016.7837867075796</v>
      </c>
      <c r="N160">
        <f>IF($J160&gt;MAX('Match Log'!$A$4:$A$810),NA(),IFERROR(LOOKUP(2,1/(('Match Log'!$D$4:$D$810=$N$24)*('Match Log'!$A$4:$A$810&lt;=$J160)),'Match Log'!$N$4:$N$810),NA()))</f>
        <v>981.92436608474441</v>
      </c>
      <c r="O160">
        <f>IF($J160&gt;MAX('Match Log'!$A$4:$A$810),NA(),IFERROR(LOOKUP(2,1/(('Match Log'!$D$4:$D$810=$O$24)*('Match Log'!$A$4:$A$810&lt;=$J160)),'Match Log'!$N$4:$N$810),NA()))</f>
        <v>1129.7012289075892</v>
      </c>
      <c r="P160">
        <f>IF($J160&gt;MAX('Match Log'!$A$4:$A$810),NA(),IFERROR(LOOKUP(2,1/(('Match Log'!$D$4:$D$810=$P$24)*('Match Log'!$A$4:$A$810&lt;=$J160)),'Match Log'!$N$4:$N$810),NA()))</f>
        <v>1021.558407295008</v>
      </c>
      <c r="Q160">
        <f>IF($J160&gt;MAX('Match Log'!$A$4:$A$810),NA(),IFERROR(LOOKUP(2,1/(('Match Log'!$D$4:$D$810=$Q$24)*('Match Log'!$A$4:$A$810&lt;=$J160)),'Match Log'!$N$4:$N$810),NA()))</f>
        <v>1084.8903813508514</v>
      </c>
      <c r="R160">
        <f>IF($J160&gt;MAX('Match Log'!$A$4:$A$810),NA(),IFERROR(LOOKUP(2,1/(('Match Log'!$D$4:$D$810=$R$24)*('Match Log'!$A$4:$A$810&lt;=$J160)),'Match Log'!$N$4:$N$810),NA()))</f>
        <v>1050.8634549674414</v>
      </c>
      <c r="S160">
        <f>IF($J160&gt;MAX('Match Log'!$A$4:$A$810),NA(),IFERROR(LOOKUP(2,1/(('Match Log'!$D$4:$D$810=$S$24)*('Match Log'!$A$4:$A$810&lt;=$J160)),'Match Log'!$N$4:$N$810),NA()))</f>
        <v>1168.2113436007442</v>
      </c>
      <c r="T160">
        <f>IF($J160&gt;MAX('Match Log'!$A$4:$A$810),NA(),IFERROR(LOOKUP(2,1/(('Match Log'!$D$4:$D$810=$T$24)*('Match Log'!$A$4:$A$810&lt;=$J160)),'Match Log'!$N$4:$N$810),NA()))</f>
        <v>893.03675187725173</v>
      </c>
      <c r="U160">
        <f>IF($J160&gt;MAX('Match Log'!$A$4:$A$810),NA(),IFERROR(LOOKUP(2,1/(('Match Log'!$D$4:$D$810=$U$24)*('Match Log'!$A$4:$A$810&lt;=$J160)),'Match Log'!$N$4:$N$810),NA()))</f>
        <v>1058.6657209484931</v>
      </c>
      <c r="V160">
        <f>IF($J160&gt;MAX('Match Log'!$A$4:$A$810),NA(),IFERROR(LOOKUP(2,1/(('Match Log'!$D$4:$D$810=$V$24)*('Match Log'!$A$4:$A$810&lt;=$J160)),'Match Log'!$N$4:$N$810),NA()))</f>
        <v>1031.225848367051</v>
      </c>
      <c r="W160">
        <f>IF($J160&gt;MAX('Match Log'!$A$4:$A$810),NA(),IFERROR(LOOKUP(2,1/(('Match Log'!$D$4:$D$810=$W$24)*('Match Log'!$A$4:$A$810&lt;=$J160)),'Match Log'!$N$4:$N$810),NA()))</f>
        <v>1030.3815983388336</v>
      </c>
      <c r="X160" t="e">
        <f>IF($J160&gt;MAX('Match Log'!$A$4:$A$810),NA(),IFERROR(LOOKUP(2,1/(('Match Log'!$D$4:$D$810=$X$24)*('Match Log'!$A$4:$A$810&lt;=$J160)),'Match Log'!$N$4:$N$810),NA()))</f>
        <v>#N/A</v>
      </c>
      <c r="Y160">
        <f t="shared" ca="1" si="30"/>
        <v>-0.25013600000000002</v>
      </c>
    </row>
    <row r="161" spans="1:25" x14ac:dyDescent="0.2">
      <c r="A161">
        <v>137</v>
      </c>
      <c r="B161" t="str">
        <f>IFERROR(INDEX('Match Log'!$B$4:$B$810,MATCH(137,'Match Log'!$A$4:$A$810,0)),"")</f>
        <v/>
      </c>
      <c r="C161" t="str">
        <f>IFERROR(INDEX('Match Log'!$C$4:$C$810,MATCH(137,'Match Log'!$A$4:$A$810,0)),"")</f>
        <v/>
      </c>
      <c r="D161" t="str">
        <f t="array" ref="D161">IFERROR(_xlfn.TEXTJOIN(" + ",TRUE,IF(('Match Log'!$A$4:$A$810=$A161)*('Match Log'!$E$4:$E$810="Win"),'Match Log'!$D$4:$D$810,"")),IFERROR(LOOKUP(2,1/(('Match Log'!$A$4:$A$810=$A161)*('Match Log'!$E$4:$E$810="Win")),'Match Log'!$D$4:$D$810),""))</f>
        <v/>
      </c>
      <c r="E161" t="str">
        <f>IFERROR(INDEX('Match Log'!$F$4:$F$810,MATCH(137,'Match Log'!$A$4:$A$810,0)),"")</f>
        <v/>
      </c>
      <c r="F161">
        <f>IFERROR(SUMIFS('Match Log'!$I$4:$I$810,'Match Log'!$A$4:$A$810,137,'Match Log'!$E$4:$E$810,"Win"),"")</f>
        <v>0</v>
      </c>
      <c r="G161" t="str">
        <f t="shared" si="28"/>
        <v/>
      </c>
      <c r="H161" t="str">
        <f t="array" ref="H161">IFERROR(IF(COUNTIFS('Match Log'!$A$4:$A$810,$A161,'Match Log'!$E$4:$E$810,"Win")&gt;1,_xlfn.TEXTJOIN(" + ",TRUE,IF(('Match Log'!$A$4:$A$810=$A161)*('Match Log'!$E$4:$E$810="Loss"),'Match Log'!$D$4:$D$810,"")),IF($E161=2,LOOKUP(2,1/(('Match Log'!$A$4:$A$810=$A161)*('Match Log'!$E$4:$E$810="Loss")),'Match Log'!$D$4:$D$810),"the field")),"")</f>
        <v>the field</v>
      </c>
      <c r="I161" t="str">
        <f t="shared" si="29"/>
        <v/>
      </c>
      <c r="J161">
        <v>137</v>
      </c>
      <c r="K161" t="e">
        <f>IF($J161&gt;MAX('Match Log'!$A$4:$A$810),NA(),IFERROR(LOOKUP(2,1/(('Match Log'!$D$4:$D$810=$K$24)*('Match Log'!$A$4:$A$810&lt;=$J161)),'Match Log'!$N$4:$N$810),NA()))</f>
        <v>#N/A</v>
      </c>
      <c r="L161" t="e">
        <f>IF($J161&gt;MAX('Match Log'!$A$4:$A$810),NA(),IFERROR(LOOKUP(2,1/(('Match Log'!$D$4:$D$810=$L$24)*('Match Log'!$A$4:$A$810&lt;=$J161)),'Match Log'!$N$4:$N$810),NA()))</f>
        <v>#N/A</v>
      </c>
      <c r="M161" t="e">
        <f>IF($J161&gt;MAX('Match Log'!$A$4:$A$810),NA(),IFERROR(LOOKUP(2,1/(('Match Log'!$D$4:$D$810=$M$24)*('Match Log'!$A$4:$A$810&lt;=$J161)),'Match Log'!$N$4:$N$810),NA()))</f>
        <v>#N/A</v>
      </c>
      <c r="N161" t="e">
        <f>IF($J161&gt;MAX('Match Log'!$A$4:$A$810),NA(),IFERROR(LOOKUP(2,1/(('Match Log'!$D$4:$D$810=$N$24)*('Match Log'!$A$4:$A$810&lt;=$J161)),'Match Log'!$N$4:$N$810),NA()))</f>
        <v>#N/A</v>
      </c>
      <c r="O161" t="e">
        <f>IF($J161&gt;MAX('Match Log'!$A$4:$A$810),NA(),IFERROR(LOOKUP(2,1/(('Match Log'!$D$4:$D$810=$O$24)*('Match Log'!$A$4:$A$810&lt;=$J161)),'Match Log'!$N$4:$N$810),NA()))</f>
        <v>#N/A</v>
      </c>
      <c r="P161" t="e">
        <f>IF($J161&gt;MAX('Match Log'!$A$4:$A$810),NA(),IFERROR(LOOKUP(2,1/(('Match Log'!$D$4:$D$810=$P$24)*('Match Log'!$A$4:$A$810&lt;=$J161)),'Match Log'!$N$4:$N$810),NA()))</f>
        <v>#N/A</v>
      </c>
      <c r="Q161" t="e">
        <f>IF($J161&gt;MAX('Match Log'!$A$4:$A$810),NA(),IFERROR(LOOKUP(2,1/(('Match Log'!$D$4:$D$810=$Q$24)*('Match Log'!$A$4:$A$810&lt;=$J161)),'Match Log'!$N$4:$N$810),NA()))</f>
        <v>#N/A</v>
      </c>
      <c r="R161" t="e">
        <f>IF($J161&gt;MAX('Match Log'!$A$4:$A$810),NA(),IFERROR(LOOKUP(2,1/(('Match Log'!$D$4:$D$810=$R$24)*('Match Log'!$A$4:$A$810&lt;=$J161)),'Match Log'!$N$4:$N$810),NA()))</f>
        <v>#N/A</v>
      </c>
      <c r="S161" t="e">
        <f>IF($J161&gt;MAX('Match Log'!$A$4:$A$810),NA(),IFERROR(LOOKUP(2,1/(('Match Log'!$D$4:$D$810=$S$24)*('Match Log'!$A$4:$A$810&lt;=$J161)),'Match Log'!$N$4:$N$810),NA()))</f>
        <v>#N/A</v>
      </c>
      <c r="T161" t="e">
        <f>IF($J161&gt;MAX('Match Log'!$A$4:$A$810),NA(),IFERROR(LOOKUP(2,1/(('Match Log'!$D$4:$D$810=$T$24)*('Match Log'!$A$4:$A$810&lt;=$J161)),'Match Log'!$N$4:$N$810),NA()))</f>
        <v>#N/A</v>
      </c>
      <c r="U161" t="e">
        <f>IF($J161&gt;MAX('Match Log'!$A$4:$A$810),NA(),IFERROR(LOOKUP(2,1/(('Match Log'!$D$4:$D$810=$U$24)*('Match Log'!$A$4:$A$810&lt;=$J161)),'Match Log'!$N$4:$N$810),NA()))</f>
        <v>#N/A</v>
      </c>
      <c r="V161" t="e">
        <f>IF($J161&gt;MAX('Match Log'!$A$4:$A$810),NA(),IFERROR(LOOKUP(2,1/(('Match Log'!$D$4:$D$810=$V$24)*('Match Log'!$A$4:$A$810&lt;=$J161)),'Match Log'!$N$4:$N$810),NA()))</f>
        <v>#N/A</v>
      </c>
      <c r="W161" t="e">
        <f>IF($J161&gt;MAX('Match Log'!$A$4:$A$810),NA(),IFERROR(LOOKUP(2,1/(('Match Log'!$D$4:$D$810=$W$24)*('Match Log'!$A$4:$A$810&lt;=$J161)),'Match Log'!$N$4:$N$810),NA()))</f>
        <v>#N/A</v>
      </c>
      <c r="X161" t="e">
        <f>IF($J161&gt;MAX('Match Log'!$A$4:$A$810),NA(),IFERROR(LOOKUP(2,1/(('Match Log'!$D$4:$D$810=$X$24)*('Match Log'!$A$4:$A$810&lt;=$J161)),'Match Log'!$N$4:$N$810),NA()))</f>
        <v>#N/A</v>
      </c>
      <c r="Y161" t="str">
        <f t="shared" ca="1" si="30"/>
        <v/>
      </c>
    </row>
    <row r="162" spans="1:25" x14ac:dyDescent="0.2">
      <c r="A162">
        <v>138</v>
      </c>
      <c r="B162" t="str">
        <f>IFERROR(INDEX('Match Log'!$B$4:$B$810,MATCH(138,'Match Log'!$A$4:$A$810,0)),"")</f>
        <v/>
      </c>
      <c r="C162" t="str">
        <f>IFERROR(INDEX('Match Log'!$C$4:$C$810,MATCH(138,'Match Log'!$A$4:$A$810,0)),"")</f>
        <v/>
      </c>
      <c r="D162" t="str">
        <f t="array" ref="D162">IFERROR(_xlfn.TEXTJOIN(" + ",TRUE,IF(('Match Log'!$A$4:$A$810=$A162)*('Match Log'!$E$4:$E$810="Win"),'Match Log'!$D$4:$D$810,"")),IFERROR(LOOKUP(2,1/(('Match Log'!$A$4:$A$810=$A162)*('Match Log'!$E$4:$E$810="Win")),'Match Log'!$D$4:$D$810),""))</f>
        <v/>
      </c>
      <c r="E162" t="str">
        <f>IFERROR(INDEX('Match Log'!$F$4:$F$810,MATCH(138,'Match Log'!$A$4:$A$810,0)),"")</f>
        <v/>
      </c>
      <c r="F162">
        <f>IFERROR(SUMIFS('Match Log'!$I$4:$I$810,'Match Log'!$A$4:$A$810,138,'Match Log'!$E$4:$E$810,"Win"),"")</f>
        <v>0</v>
      </c>
      <c r="G162" t="str">
        <f t="shared" si="28"/>
        <v/>
      </c>
      <c r="H162" t="str">
        <f t="array" ref="H162">IFERROR(IF(COUNTIFS('Match Log'!$A$4:$A$810,$A162,'Match Log'!$E$4:$E$810,"Win")&gt;1,_xlfn.TEXTJOIN(" + ",TRUE,IF(('Match Log'!$A$4:$A$810=$A162)*('Match Log'!$E$4:$E$810="Loss"),'Match Log'!$D$4:$D$810,"")),IF($E162=2,LOOKUP(2,1/(('Match Log'!$A$4:$A$810=$A162)*('Match Log'!$E$4:$E$810="Loss")),'Match Log'!$D$4:$D$810),"the field")),"")</f>
        <v>the field</v>
      </c>
      <c r="I162" t="str">
        <f t="shared" si="29"/>
        <v/>
      </c>
      <c r="J162">
        <v>138</v>
      </c>
      <c r="K162" t="e">
        <f>IF($J162&gt;MAX('Match Log'!$A$4:$A$810),NA(),IFERROR(LOOKUP(2,1/(('Match Log'!$D$4:$D$810=$K$24)*('Match Log'!$A$4:$A$810&lt;=$J162)),'Match Log'!$N$4:$N$810),NA()))</f>
        <v>#N/A</v>
      </c>
      <c r="L162" t="e">
        <f>IF($J162&gt;MAX('Match Log'!$A$4:$A$810),NA(),IFERROR(LOOKUP(2,1/(('Match Log'!$D$4:$D$810=$L$24)*('Match Log'!$A$4:$A$810&lt;=$J162)),'Match Log'!$N$4:$N$810),NA()))</f>
        <v>#N/A</v>
      </c>
      <c r="M162" t="e">
        <f>IF($J162&gt;MAX('Match Log'!$A$4:$A$810),NA(),IFERROR(LOOKUP(2,1/(('Match Log'!$D$4:$D$810=$M$24)*('Match Log'!$A$4:$A$810&lt;=$J162)),'Match Log'!$N$4:$N$810),NA()))</f>
        <v>#N/A</v>
      </c>
      <c r="N162" t="e">
        <f>IF($J162&gt;MAX('Match Log'!$A$4:$A$810),NA(),IFERROR(LOOKUP(2,1/(('Match Log'!$D$4:$D$810=$N$24)*('Match Log'!$A$4:$A$810&lt;=$J162)),'Match Log'!$N$4:$N$810),NA()))</f>
        <v>#N/A</v>
      </c>
      <c r="O162" t="e">
        <f>IF($J162&gt;MAX('Match Log'!$A$4:$A$810),NA(),IFERROR(LOOKUP(2,1/(('Match Log'!$D$4:$D$810=$O$24)*('Match Log'!$A$4:$A$810&lt;=$J162)),'Match Log'!$N$4:$N$810),NA()))</f>
        <v>#N/A</v>
      </c>
      <c r="P162" t="e">
        <f>IF($J162&gt;MAX('Match Log'!$A$4:$A$810),NA(),IFERROR(LOOKUP(2,1/(('Match Log'!$D$4:$D$810=$P$24)*('Match Log'!$A$4:$A$810&lt;=$J162)),'Match Log'!$N$4:$N$810),NA()))</f>
        <v>#N/A</v>
      </c>
      <c r="Q162" t="e">
        <f>IF($J162&gt;MAX('Match Log'!$A$4:$A$810),NA(),IFERROR(LOOKUP(2,1/(('Match Log'!$D$4:$D$810=$Q$24)*('Match Log'!$A$4:$A$810&lt;=$J162)),'Match Log'!$N$4:$N$810),NA()))</f>
        <v>#N/A</v>
      </c>
      <c r="R162" t="e">
        <f>IF($J162&gt;MAX('Match Log'!$A$4:$A$810),NA(),IFERROR(LOOKUP(2,1/(('Match Log'!$D$4:$D$810=$R$24)*('Match Log'!$A$4:$A$810&lt;=$J162)),'Match Log'!$N$4:$N$810),NA()))</f>
        <v>#N/A</v>
      </c>
      <c r="S162" t="e">
        <f>IF($J162&gt;MAX('Match Log'!$A$4:$A$810),NA(),IFERROR(LOOKUP(2,1/(('Match Log'!$D$4:$D$810=$S$24)*('Match Log'!$A$4:$A$810&lt;=$J162)),'Match Log'!$N$4:$N$810),NA()))</f>
        <v>#N/A</v>
      </c>
      <c r="T162" t="e">
        <f>IF($J162&gt;MAX('Match Log'!$A$4:$A$810),NA(),IFERROR(LOOKUP(2,1/(('Match Log'!$D$4:$D$810=$T$24)*('Match Log'!$A$4:$A$810&lt;=$J162)),'Match Log'!$N$4:$N$810),NA()))</f>
        <v>#N/A</v>
      </c>
      <c r="U162" t="e">
        <f>IF($J162&gt;MAX('Match Log'!$A$4:$A$810),NA(),IFERROR(LOOKUP(2,1/(('Match Log'!$D$4:$D$810=$U$24)*('Match Log'!$A$4:$A$810&lt;=$J162)),'Match Log'!$N$4:$N$810),NA()))</f>
        <v>#N/A</v>
      </c>
      <c r="V162" t="e">
        <f>IF($J162&gt;MAX('Match Log'!$A$4:$A$810),NA(),IFERROR(LOOKUP(2,1/(('Match Log'!$D$4:$D$810=$V$24)*('Match Log'!$A$4:$A$810&lt;=$J162)),'Match Log'!$N$4:$N$810),NA()))</f>
        <v>#N/A</v>
      </c>
      <c r="W162" t="e">
        <f>IF($J162&gt;MAX('Match Log'!$A$4:$A$810),NA(),IFERROR(LOOKUP(2,1/(('Match Log'!$D$4:$D$810=$W$24)*('Match Log'!$A$4:$A$810&lt;=$J162)),'Match Log'!$N$4:$N$810),NA()))</f>
        <v>#N/A</v>
      </c>
      <c r="X162" t="e">
        <f>IF($J162&gt;MAX('Match Log'!$A$4:$A$810),NA(),IFERROR(LOOKUP(2,1/(('Match Log'!$D$4:$D$810=$X$24)*('Match Log'!$A$4:$A$810&lt;=$J162)),'Match Log'!$N$4:$N$810),NA()))</f>
        <v>#N/A</v>
      </c>
      <c r="Y162" t="str">
        <f t="shared" ca="1" si="30"/>
        <v/>
      </c>
    </row>
    <row r="163" spans="1:25" x14ac:dyDescent="0.2">
      <c r="A163">
        <v>139</v>
      </c>
      <c r="B163" t="str">
        <f>IFERROR(INDEX('Match Log'!$B$4:$B$810,MATCH(139,'Match Log'!$A$4:$A$810,0)),"")</f>
        <v/>
      </c>
      <c r="C163" t="str">
        <f>IFERROR(INDEX('Match Log'!$C$4:$C$810,MATCH(139,'Match Log'!$A$4:$A$810,0)),"")</f>
        <v/>
      </c>
      <c r="D163" t="str">
        <f t="array" ref="D163">IFERROR(_xlfn.TEXTJOIN(" + ",TRUE,IF(('Match Log'!$A$4:$A$810=$A163)*('Match Log'!$E$4:$E$810="Win"),'Match Log'!$D$4:$D$810,"")),IFERROR(LOOKUP(2,1/(('Match Log'!$A$4:$A$810=$A163)*('Match Log'!$E$4:$E$810="Win")),'Match Log'!$D$4:$D$810),""))</f>
        <v/>
      </c>
      <c r="E163" t="str">
        <f>IFERROR(INDEX('Match Log'!$F$4:$F$810,MATCH(139,'Match Log'!$A$4:$A$810,0)),"")</f>
        <v/>
      </c>
      <c r="F163">
        <f>IFERROR(SUMIFS('Match Log'!$I$4:$I$810,'Match Log'!$A$4:$A$810,139,'Match Log'!$E$4:$E$810,"Win"),"")</f>
        <v>0</v>
      </c>
      <c r="G163" t="str">
        <f t="shared" si="28"/>
        <v/>
      </c>
      <c r="H163" t="str">
        <f t="array" ref="H163">IFERROR(IF(COUNTIFS('Match Log'!$A$4:$A$810,$A163,'Match Log'!$E$4:$E$810,"Win")&gt;1,_xlfn.TEXTJOIN(" + ",TRUE,IF(('Match Log'!$A$4:$A$810=$A163)*('Match Log'!$E$4:$E$810="Loss"),'Match Log'!$D$4:$D$810,"")),IF($E163=2,LOOKUP(2,1/(('Match Log'!$A$4:$A$810=$A163)*('Match Log'!$E$4:$E$810="Loss")),'Match Log'!$D$4:$D$810),"the field")),"")</f>
        <v>the field</v>
      </c>
      <c r="I163" t="str">
        <f t="shared" si="29"/>
        <v/>
      </c>
      <c r="J163">
        <v>139</v>
      </c>
      <c r="K163" t="e">
        <f>IF($J163&gt;MAX('Match Log'!$A$4:$A$810),NA(),IFERROR(LOOKUP(2,1/(('Match Log'!$D$4:$D$810=$K$24)*('Match Log'!$A$4:$A$810&lt;=$J163)),'Match Log'!$N$4:$N$810),NA()))</f>
        <v>#N/A</v>
      </c>
      <c r="L163" t="e">
        <f>IF($J163&gt;MAX('Match Log'!$A$4:$A$810),NA(),IFERROR(LOOKUP(2,1/(('Match Log'!$D$4:$D$810=$L$24)*('Match Log'!$A$4:$A$810&lt;=$J163)),'Match Log'!$N$4:$N$810),NA()))</f>
        <v>#N/A</v>
      </c>
      <c r="M163" t="e">
        <f>IF($J163&gt;MAX('Match Log'!$A$4:$A$810),NA(),IFERROR(LOOKUP(2,1/(('Match Log'!$D$4:$D$810=$M$24)*('Match Log'!$A$4:$A$810&lt;=$J163)),'Match Log'!$N$4:$N$810),NA()))</f>
        <v>#N/A</v>
      </c>
      <c r="N163" t="e">
        <f>IF($J163&gt;MAX('Match Log'!$A$4:$A$810),NA(),IFERROR(LOOKUP(2,1/(('Match Log'!$D$4:$D$810=$N$24)*('Match Log'!$A$4:$A$810&lt;=$J163)),'Match Log'!$N$4:$N$810),NA()))</f>
        <v>#N/A</v>
      </c>
      <c r="O163" t="e">
        <f>IF($J163&gt;MAX('Match Log'!$A$4:$A$810),NA(),IFERROR(LOOKUP(2,1/(('Match Log'!$D$4:$D$810=$O$24)*('Match Log'!$A$4:$A$810&lt;=$J163)),'Match Log'!$N$4:$N$810),NA()))</f>
        <v>#N/A</v>
      </c>
      <c r="P163" t="e">
        <f>IF($J163&gt;MAX('Match Log'!$A$4:$A$810),NA(),IFERROR(LOOKUP(2,1/(('Match Log'!$D$4:$D$810=$P$24)*('Match Log'!$A$4:$A$810&lt;=$J163)),'Match Log'!$N$4:$N$810),NA()))</f>
        <v>#N/A</v>
      </c>
      <c r="Q163" t="e">
        <f>IF($J163&gt;MAX('Match Log'!$A$4:$A$810),NA(),IFERROR(LOOKUP(2,1/(('Match Log'!$D$4:$D$810=$Q$24)*('Match Log'!$A$4:$A$810&lt;=$J163)),'Match Log'!$N$4:$N$810),NA()))</f>
        <v>#N/A</v>
      </c>
      <c r="R163" t="e">
        <f>IF($J163&gt;MAX('Match Log'!$A$4:$A$810),NA(),IFERROR(LOOKUP(2,1/(('Match Log'!$D$4:$D$810=$R$24)*('Match Log'!$A$4:$A$810&lt;=$J163)),'Match Log'!$N$4:$N$810),NA()))</f>
        <v>#N/A</v>
      </c>
      <c r="S163" t="e">
        <f>IF($J163&gt;MAX('Match Log'!$A$4:$A$810),NA(),IFERROR(LOOKUP(2,1/(('Match Log'!$D$4:$D$810=$S$24)*('Match Log'!$A$4:$A$810&lt;=$J163)),'Match Log'!$N$4:$N$810),NA()))</f>
        <v>#N/A</v>
      </c>
      <c r="T163" t="e">
        <f>IF($J163&gt;MAX('Match Log'!$A$4:$A$810),NA(),IFERROR(LOOKUP(2,1/(('Match Log'!$D$4:$D$810=$T$24)*('Match Log'!$A$4:$A$810&lt;=$J163)),'Match Log'!$N$4:$N$810),NA()))</f>
        <v>#N/A</v>
      </c>
      <c r="U163" t="e">
        <f>IF($J163&gt;MAX('Match Log'!$A$4:$A$810),NA(),IFERROR(LOOKUP(2,1/(('Match Log'!$D$4:$D$810=$U$24)*('Match Log'!$A$4:$A$810&lt;=$J163)),'Match Log'!$N$4:$N$810),NA()))</f>
        <v>#N/A</v>
      </c>
      <c r="V163" t="e">
        <f>IF($J163&gt;MAX('Match Log'!$A$4:$A$810),NA(),IFERROR(LOOKUP(2,1/(('Match Log'!$D$4:$D$810=$V$24)*('Match Log'!$A$4:$A$810&lt;=$J163)),'Match Log'!$N$4:$N$810),NA()))</f>
        <v>#N/A</v>
      </c>
      <c r="W163" t="e">
        <f>IF($J163&gt;MAX('Match Log'!$A$4:$A$810),NA(),IFERROR(LOOKUP(2,1/(('Match Log'!$D$4:$D$810=$W$24)*('Match Log'!$A$4:$A$810&lt;=$J163)),'Match Log'!$N$4:$N$810),NA()))</f>
        <v>#N/A</v>
      </c>
      <c r="X163" t="e">
        <f>IF($J163&gt;MAX('Match Log'!$A$4:$A$810),NA(),IFERROR(LOOKUP(2,1/(('Match Log'!$D$4:$D$810=$X$24)*('Match Log'!$A$4:$A$810&lt;=$J163)),'Match Log'!$N$4:$N$810),NA()))</f>
        <v>#N/A</v>
      </c>
      <c r="Y163" t="str">
        <f t="shared" ca="1" si="30"/>
        <v/>
      </c>
    </row>
    <row r="164" spans="1:25" x14ac:dyDescent="0.2">
      <c r="A164">
        <v>140</v>
      </c>
      <c r="B164" t="str">
        <f>IFERROR(INDEX('Match Log'!$B$4:$B$810,MATCH(140,'Match Log'!$A$4:$A$810,0)),"")</f>
        <v/>
      </c>
      <c r="C164" t="str">
        <f>IFERROR(INDEX('Match Log'!$C$4:$C$810,MATCH(140,'Match Log'!$A$4:$A$810,0)),"")</f>
        <v/>
      </c>
      <c r="D164" t="str">
        <f t="array" ref="D164">IFERROR(_xlfn.TEXTJOIN(" + ",TRUE,IF(('Match Log'!$A$4:$A$810=$A164)*('Match Log'!$E$4:$E$810="Win"),'Match Log'!$D$4:$D$810,"")),IFERROR(LOOKUP(2,1/(('Match Log'!$A$4:$A$810=$A164)*('Match Log'!$E$4:$E$810="Win")),'Match Log'!$D$4:$D$810),""))</f>
        <v/>
      </c>
      <c r="E164" t="str">
        <f>IFERROR(INDEX('Match Log'!$F$4:$F$810,MATCH(140,'Match Log'!$A$4:$A$810,0)),"")</f>
        <v/>
      </c>
      <c r="F164">
        <f>IFERROR(SUMIFS('Match Log'!$I$4:$I$810,'Match Log'!$A$4:$A$810,140,'Match Log'!$E$4:$E$810,"Win"),"")</f>
        <v>0</v>
      </c>
      <c r="G164" t="str">
        <f t="shared" si="28"/>
        <v/>
      </c>
      <c r="H164" t="str">
        <f t="array" ref="H164">IFERROR(IF(COUNTIFS('Match Log'!$A$4:$A$810,$A164,'Match Log'!$E$4:$E$810,"Win")&gt;1,_xlfn.TEXTJOIN(" + ",TRUE,IF(('Match Log'!$A$4:$A$810=$A164)*('Match Log'!$E$4:$E$810="Loss"),'Match Log'!$D$4:$D$810,"")),IF($E164=2,LOOKUP(2,1/(('Match Log'!$A$4:$A$810=$A164)*('Match Log'!$E$4:$E$810="Loss")),'Match Log'!$D$4:$D$810),"the field")),"")</f>
        <v>the field</v>
      </c>
      <c r="I164" t="str">
        <f t="shared" si="29"/>
        <v/>
      </c>
      <c r="J164">
        <v>140</v>
      </c>
      <c r="K164" t="e">
        <f>IF($J164&gt;MAX('Match Log'!$A$4:$A$810),NA(),IFERROR(LOOKUP(2,1/(('Match Log'!$D$4:$D$810=$K$24)*('Match Log'!$A$4:$A$810&lt;=$J164)),'Match Log'!$N$4:$N$810),NA()))</f>
        <v>#N/A</v>
      </c>
      <c r="L164" t="e">
        <f>IF($J164&gt;MAX('Match Log'!$A$4:$A$810),NA(),IFERROR(LOOKUP(2,1/(('Match Log'!$D$4:$D$810=$L$24)*('Match Log'!$A$4:$A$810&lt;=$J164)),'Match Log'!$N$4:$N$810),NA()))</f>
        <v>#N/A</v>
      </c>
      <c r="M164" t="e">
        <f>IF($J164&gt;MAX('Match Log'!$A$4:$A$810),NA(),IFERROR(LOOKUP(2,1/(('Match Log'!$D$4:$D$810=$M$24)*('Match Log'!$A$4:$A$810&lt;=$J164)),'Match Log'!$N$4:$N$810),NA()))</f>
        <v>#N/A</v>
      </c>
      <c r="N164" t="e">
        <f>IF($J164&gt;MAX('Match Log'!$A$4:$A$810),NA(),IFERROR(LOOKUP(2,1/(('Match Log'!$D$4:$D$810=$N$24)*('Match Log'!$A$4:$A$810&lt;=$J164)),'Match Log'!$N$4:$N$810),NA()))</f>
        <v>#N/A</v>
      </c>
      <c r="O164" t="e">
        <f>IF($J164&gt;MAX('Match Log'!$A$4:$A$810),NA(),IFERROR(LOOKUP(2,1/(('Match Log'!$D$4:$D$810=$O$24)*('Match Log'!$A$4:$A$810&lt;=$J164)),'Match Log'!$N$4:$N$810),NA()))</f>
        <v>#N/A</v>
      </c>
      <c r="P164" t="e">
        <f>IF($J164&gt;MAX('Match Log'!$A$4:$A$810),NA(),IFERROR(LOOKUP(2,1/(('Match Log'!$D$4:$D$810=$P$24)*('Match Log'!$A$4:$A$810&lt;=$J164)),'Match Log'!$N$4:$N$810),NA()))</f>
        <v>#N/A</v>
      </c>
      <c r="Q164" t="e">
        <f>IF($J164&gt;MAX('Match Log'!$A$4:$A$810),NA(),IFERROR(LOOKUP(2,1/(('Match Log'!$D$4:$D$810=$Q$24)*('Match Log'!$A$4:$A$810&lt;=$J164)),'Match Log'!$N$4:$N$810),NA()))</f>
        <v>#N/A</v>
      </c>
      <c r="R164" t="e">
        <f>IF($J164&gt;MAX('Match Log'!$A$4:$A$810),NA(),IFERROR(LOOKUP(2,1/(('Match Log'!$D$4:$D$810=$R$24)*('Match Log'!$A$4:$A$810&lt;=$J164)),'Match Log'!$N$4:$N$810),NA()))</f>
        <v>#N/A</v>
      </c>
      <c r="S164" t="e">
        <f>IF($J164&gt;MAX('Match Log'!$A$4:$A$810),NA(),IFERROR(LOOKUP(2,1/(('Match Log'!$D$4:$D$810=$S$24)*('Match Log'!$A$4:$A$810&lt;=$J164)),'Match Log'!$N$4:$N$810),NA()))</f>
        <v>#N/A</v>
      </c>
      <c r="T164" t="e">
        <f>IF($J164&gt;MAX('Match Log'!$A$4:$A$810),NA(),IFERROR(LOOKUP(2,1/(('Match Log'!$D$4:$D$810=$T$24)*('Match Log'!$A$4:$A$810&lt;=$J164)),'Match Log'!$N$4:$N$810),NA()))</f>
        <v>#N/A</v>
      </c>
      <c r="U164" t="e">
        <f>IF($J164&gt;MAX('Match Log'!$A$4:$A$810),NA(),IFERROR(LOOKUP(2,1/(('Match Log'!$D$4:$D$810=$U$24)*('Match Log'!$A$4:$A$810&lt;=$J164)),'Match Log'!$N$4:$N$810),NA()))</f>
        <v>#N/A</v>
      </c>
      <c r="V164" t="e">
        <f>IF($J164&gt;MAX('Match Log'!$A$4:$A$810),NA(),IFERROR(LOOKUP(2,1/(('Match Log'!$D$4:$D$810=$V$24)*('Match Log'!$A$4:$A$810&lt;=$J164)),'Match Log'!$N$4:$N$810),NA()))</f>
        <v>#N/A</v>
      </c>
      <c r="W164" t="e">
        <f>IF($J164&gt;MAX('Match Log'!$A$4:$A$810),NA(),IFERROR(LOOKUP(2,1/(('Match Log'!$D$4:$D$810=$W$24)*('Match Log'!$A$4:$A$810&lt;=$J164)),'Match Log'!$N$4:$N$810),NA()))</f>
        <v>#N/A</v>
      </c>
      <c r="X164" t="e">
        <f>IF($J164&gt;MAX('Match Log'!$A$4:$A$810),NA(),IFERROR(LOOKUP(2,1/(('Match Log'!$D$4:$D$810=$X$24)*('Match Log'!$A$4:$A$810&lt;=$J164)),'Match Log'!$N$4:$N$810),NA()))</f>
        <v>#N/A</v>
      </c>
      <c r="Y164" t="str">
        <f t="shared" ca="1" si="30"/>
        <v/>
      </c>
    </row>
    <row r="165" spans="1:25" x14ac:dyDescent="0.2">
      <c r="A165">
        <v>141</v>
      </c>
      <c r="B165" t="str">
        <f>IFERROR(INDEX('Match Log'!$B$4:$B$810,MATCH(141,'Match Log'!$A$4:$A$810,0)),"")</f>
        <v/>
      </c>
      <c r="C165" t="str">
        <f>IFERROR(INDEX('Match Log'!$C$4:$C$810,MATCH(141,'Match Log'!$A$4:$A$810,0)),"")</f>
        <v/>
      </c>
      <c r="D165" t="str">
        <f t="array" ref="D165">IFERROR(_xlfn.TEXTJOIN(" + ",TRUE,IF(('Match Log'!$A$4:$A$810=$A165)*('Match Log'!$E$4:$E$810="Win"),'Match Log'!$D$4:$D$810,"")),IFERROR(LOOKUP(2,1/(('Match Log'!$A$4:$A$810=$A165)*('Match Log'!$E$4:$E$810="Win")),'Match Log'!$D$4:$D$810),""))</f>
        <v/>
      </c>
      <c r="E165" t="str">
        <f>IFERROR(INDEX('Match Log'!$F$4:$F$810,MATCH(141,'Match Log'!$A$4:$A$810,0)),"")</f>
        <v/>
      </c>
      <c r="F165">
        <f>IFERROR(SUMIFS('Match Log'!$I$4:$I$810,'Match Log'!$A$4:$A$810,141,'Match Log'!$E$4:$E$810,"Win"),"")</f>
        <v>0</v>
      </c>
      <c r="G165" t="str">
        <f t="shared" si="28"/>
        <v/>
      </c>
      <c r="H165" t="str">
        <f t="array" ref="H165">IFERROR(IF(COUNTIFS('Match Log'!$A$4:$A$810,$A165,'Match Log'!$E$4:$E$810,"Win")&gt;1,_xlfn.TEXTJOIN(" + ",TRUE,IF(('Match Log'!$A$4:$A$810=$A165)*('Match Log'!$E$4:$E$810="Loss"),'Match Log'!$D$4:$D$810,"")),IF($E165=2,LOOKUP(2,1/(('Match Log'!$A$4:$A$810=$A165)*('Match Log'!$E$4:$E$810="Loss")),'Match Log'!$D$4:$D$810),"the field")),"")</f>
        <v>the field</v>
      </c>
      <c r="I165" t="str">
        <f t="shared" si="29"/>
        <v/>
      </c>
      <c r="J165">
        <v>141</v>
      </c>
      <c r="K165" t="e">
        <f>IF($J165&gt;MAX('Match Log'!$A$4:$A$810),NA(),IFERROR(LOOKUP(2,1/(('Match Log'!$D$4:$D$810=$K$24)*('Match Log'!$A$4:$A$810&lt;=$J165)),'Match Log'!$N$4:$N$810),NA()))</f>
        <v>#N/A</v>
      </c>
      <c r="L165" t="e">
        <f>IF($J165&gt;MAX('Match Log'!$A$4:$A$810),NA(),IFERROR(LOOKUP(2,1/(('Match Log'!$D$4:$D$810=$L$24)*('Match Log'!$A$4:$A$810&lt;=$J165)),'Match Log'!$N$4:$N$810),NA()))</f>
        <v>#N/A</v>
      </c>
      <c r="M165" t="e">
        <f>IF($J165&gt;MAX('Match Log'!$A$4:$A$810),NA(),IFERROR(LOOKUP(2,1/(('Match Log'!$D$4:$D$810=$M$24)*('Match Log'!$A$4:$A$810&lt;=$J165)),'Match Log'!$N$4:$N$810),NA()))</f>
        <v>#N/A</v>
      </c>
      <c r="N165" t="e">
        <f>IF($J165&gt;MAX('Match Log'!$A$4:$A$810),NA(),IFERROR(LOOKUP(2,1/(('Match Log'!$D$4:$D$810=$N$24)*('Match Log'!$A$4:$A$810&lt;=$J165)),'Match Log'!$N$4:$N$810),NA()))</f>
        <v>#N/A</v>
      </c>
      <c r="O165" t="e">
        <f>IF($J165&gt;MAX('Match Log'!$A$4:$A$810),NA(),IFERROR(LOOKUP(2,1/(('Match Log'!$D$4:$D$810=$O$24)*('Match Log'!$A$4:$A$810&lt;=$J165)),'Match Log'!$N$4:$N$810),NA()))</f>
        <v>#N/A</v>
      </c>
      <c r="P165" t="e">
        <f>IF($J165&gt;MAX('Match Log'!$A$4:$A$810),NA(),IFERROR(LOOKUP(2,1/(('Match Log'!$D$4:$D$810=$P$24)*('Match Log'!$A$4:$A$810&lt;=$J165)),'Match Log'!$N$4:$N$810),NA()))</f>
        <v>#N/A</v>
      </c>
      <c r="Q165" t="e">
        <f>IF($J165&gt;MAX('Match Log'!$A$4:$A$810),NA(),IFERROR(LOOKUP(2,1/(('Match Log'!$D$4:$D$810=$Q$24)*('Match Log'!$A$4:$A$810&lt;=$J165)),'Match Log'!$N$4:$N$810),NA()))</f>
        <v>#N/A</v>
      </c>
      <c r="R165" t="e">
        <f>IF($J165&gt;MAX('Match Log'!$A$4:$A$810),NA(),IFERROR(LOOKUP(2,1/(('Match Log'!$D$4:$D$810=$R$24)*('Match Log'!$A$4:$A$810&lt;=$J165)),'Match Log'!$N$4:$N$810),NA()))</f>
        <v>#N/A</v>
      </c>
      <c r="S165" t="e">
        <f>IF($J165&gt;MAX('Match Log'!$A$4:$A$810),NA(),IFERROR(LOOKUP(2,1/(('Match Log'!$D$4:$D$810=$S$24)*('Match Log'!$A$4:$A$810&lt;=$J165)),'Match Log'!$N$4:$N$810),NA()))</f>
        <v>#N/A</v>
      </c>
      <c r="T165" t="e">
        <f>IF($J165&gt;MAX('Match Log'!$A$4:$A$810),NA(),IFERROR(LOOKUP(2,1/(('Match Log'!$D$4:$D$810=$T$24)*('Match Log'!$A$4:$A$810&lt;=$J165)),'Match Log'!$N$4:$N$810),NA()))</f>
        <v>#N/A</v>
      </c>
      <c r="U165" t="e">
        <f>IF($J165&gt;MAX('Match Log'!$A$4:$A$810),NA(),IFERROR(LOOKUP(2,1/(('Match Log'!$D$4:$D$810=$U$24)*('Match Log'!$A$4:$A$810&lt;=$J165)),'Match Log'!$N$4:$N$810),NA()))</f>
        <v>#N/A</v>
      </c>
      <c r="V165" t="e">
        <f>IF($J165&gt;MAX('Match Log'!$A$4:$A$810),NA(),IFERROR(LOOKUP(2,1/(('Match Log'!$D$4:$D$810=$V$24)*('Match Log'!$A$4:$A$810&lt;=$J165)),'Match Log'!$N$4:$N$810),NA()))</f>
        <v>#N/A</v>
      </c>
      <c r="W165" t="e">
        <f>IF($J165&gt;MAX('Match Log'!$A$4:$A$810),NA(),IFERROR(LOOKUP(2,1/(('Match Log'!$D$4:$D$810=$W$24)*('Match Log'!$A$4:$A$810&lt;=$J165)),'Match Log'!$N$4:$N$810),NA()))</f>
        <v>#N/A</v>
      </c>
      <c r="X165" t="e">
        <f>IF($J165&gt;MAX('Match Log'!$A$4:$A$810),NA(),IFERROR(LOOKUP(2,1/(('Match Log'!$D$4:$D$810=$X$24)*('Match Log'!$A$4:$A$810&lt;=$J165)),'Match Log'!$N$4:$N$810),NA()))</f>
        <v>#N/A</v>
      </c>
      <c r="Y165" t="str">
        <f t="shared" ca="1" si="30"/>
        <v/>
      </c>
    </row>
    <row r="166" spans="1:25" x14ac:dyDescent="0.2">
      <c r="A166">
        <v>142</v>
      </c>
      <c r="B166" t="str">
        <f>IFERROR(INDEX('Match Log'!$B$4:$B$810,MATCH(142,'Match Log'!$A$4:$A$810,0)),"")</f>
        <v/>
      </c>
      <c r="C166" t="str">
        <f>IFERROR(INDEX('Match Log'!$C$4:$C$810,MATCH(142,'Match Log'!$A$4:$A$810,0)),"")</f>
        <v/>
      </c>
      <c r="D166" t="str">
        <f t="array" ref="D166">IFERROR(_xlfn.TEXTJOIN(" + ",TRUE,IF(('Match Log'!$A$4:$A$810=$A166)*('Match Log'!$E$4:$E$810="Win"),'Match Log'!$D$4:$D$810,"")),IFERROR(LOOKUP(2,1/(('Match Log'!$A$4:$A$810=$A166)*('Match Log'!$E$4:$E$810="Win")),'Match Log'!$D$4:$D$810),""))</f>
        <v/>
      </c>
      <c r="E166" t="str">
        <f>IFERROR(INDEX('Match Log'!$F$4:$F$810,MATCH(142,'Match Log'!$A$4:$A$810,0)),"")</f>
        <v/>
      </c>
      <c r="F166">
        <f>IFERROR(SUMIFS('Match Log'!$I$4:$I$810,'Match Log'!$A$4:$A$810,142,'Match Log'!$E$4:$E$810,"Win"),"")</f>
        <v>0</v>
      </c>
      <c r="G166" t="str">
        <f t="shared" si="28"/>
        <v/>
      </c>
      <c r="H166" t="str">
        <f t="array" ref="H166">IFERROR(IF(COUNTIFS('Match Log'!$A$4:$A$810,$A166,'Match Log'!$E$4:$E$810,"Win")&gt;1,_xlfn.TEXTJOIN(" + ",TRUE,IF(('Match Log'!$A$4:$A$810=$A166)*('Match Log'!$E$4:$E$810="Loss"),'Match Log'!$D$4:$D$810,"")),IF($E166=2,LOOKUP(2,1/(('Match Log'!$A$4:$A$810=$A166)*('Match Log'!$E$4:$E$810="Loss")),'Match Log'!$D$4:$D$810),"the field")),"")</f>
        <v>the field</v>
      </c>
      <c r="I166" t="str">
        <f t="shared" si="29"/>
        <v/>
      </c>
      <c r="J166">
        <v>142</v>
      </c>
      <c r="K166" t="e">
        <f>IF($J166&gt;MAX('Match Log'!$A$4:$A$810),NA(),IFERROR(LOOKUP(2,1/(('Match Log'!$D$4:$D$810=$K$24)*('Match Log'!$A$4:$A$810&lt;=$J166)),'Match Log'!$N$4:$N$810),NA()))</f>
        <v>#N/A</v>
      </c>
      <c r="L166" t="e">
        <f>IF($J166&gt;MAX('Match Log'!$A$4:$A$810),NA(),IFERROR(LOOKUP(2,1/(('Match Log'!$D$4:$D$810=$L$24)*('Match Log'!$A$4:$A$810&lt;=$J166)),'Match Log'!$N$4:$N$810),NA()))</f>
        <v>#N/A</v>
      </c>
      <c r="M166" t="e">
        <f>IF($J166&gt;MAX('Match Log'!$A$4:$A$810),NA(),IFERROR(LOOKUP(2,1/(('Match Log'!$D$4:$D$810=$M$24)*('Match Log'!$A$4:$A$810&lt;=$J166)),'Match Log'!$N$4:$N$810),NA()))</f>
        <v>#N/A</v>
      </c>
      <c r="N166" t="e">
        <f>IF($J166&gt;MAX('Match Log'!$A$4:$A$810),NA(),IFERROR(LOOKUP(2,1/(('Match Log'!$D$4:$D$810=$N$24)*('Match Log'!$A$4:$A$810&lt;=$J166)),'Match Log'!$N$4:$N$810),NA()))</f>
        <v>#N/A</v>
      </c>
      <c r="O166" t="e">
        <f>IF($J166&gt;MAX('Match Log'!$A$4:$A$810),NA(),IFERROR(LOOKUP(2,1/(('Match Log'!$D$4:$D$810=$O$24)*('Match Log'!$A$4:$A$810&lt;=$J166)),'Match Log'!$N$4:$N$810),NA()))</f>
        <v>#N/A</v>
      </c>
      <c r="P166" t="e">
        <f>IF($J166&gt;MAX('Match Log'!$A$4:$A$810),NA(),IFERROR(LOOKUP(2,1/(('Match Log'!$D$4:$D$810=$P$24)*('Match Log'!$A$4:$A$810&lt;=$J166)),'Match Log'!$N$4:$N$810),NA()))</f>
        <v>#N/A</v>
      </c>
      <c r="Q166" t="e">
        <f>IF($J166&gt;MAX('Match Log'!$A$4:$A$810),NA(),IFERROR(LOOKUP(2,1/(('Match Log'!$D$4:$D$810=$Q$24)*('Match Log'!$A$4:$A$810&lt;=$J166)),'Match Log'!$N$4:$N$810),NA()))</f>
        <v>#N/A</v>
      </c>
      <c r="R166" t="e">
        <f>IF($J166&gt;MAX('Match Log'!$A$4:$A$810),NA(),IFERROR(LOOKUP(2,1/(('Match Log'!$D$4:$D$810=$R$24)*('Match Log'!$A$4:$A$810&lt;=$J166)),'Match Log'!$N$4:$N$810),NA()))</f>
        <v>#N/A</v>
      </c>
      <c r="S166" t="e">
        <f>IF($J166&gt;MAX('Match Log'!$A$4:$A$810),NA(),IFERROR(LOOKUP(2,1/(('Match Log'!$D$4:$D$810=$S$24)*('Match Log'!$A$4:$A$810&lt;=$J166)),'Match Log'!$N$4:$N$810),NA()))</f>
        <v>#N/A</v>
      </c>
      <c r="T166" t="e">
        <f>IF($J166&gt;MAX('Match Log'!$A$4:$A$810),NA(),IFERROR(LOOKUP(2,1/(('Match Log'!$D$4:$D$810=$T$24)*('Match Log'!$A$4:$A$810&lt;=$J166)),'Match Log'!$N$4:$N$810),NA()))</f>
        <v>#N/A</v>
      </c>
      <c r="U166" t="e">
        <f>IF($J166&gt;MAX('Match Log'!$A$4:$A$810),NA(),IFERROR(LOOKUP(2,1/(('Match Log'!$D$4:$D$810=$U$24)*('Match Log'!$A$4:$A$810&lt;=$J166)),'Match Log'!$N$4:$N$810),NA()))</f>
        <v>#N/A</v>
      </c>
      <c r="V166" t="e">
        <f>IF($J166&gt;MAX('Match Log'!$A$4:$A$810),NA(),IFERROR(LOOKUP(2,1/(('Match Log'!$D$4:$D$810=$V$24)*('Match Log'!$A$4:$A$810&lt;=$J166)),'Match Log'!$N$4:$N$810),NA()))</f>
        <v>#N/A</v>
      </c>
      <c r="W166" t="e">
        <f>IF($J166&gt;MAX('Match Log'!$A$4:$A$810),NA(),IFERROR(LOOKUP(2,1/(('Match Log'!$D$4:$D$810=$W$24)*('Match Log'!$A$4:$A$810&lt;=$J166)),'Match Log'!$N$4:$N$810),NA()))</f>
        <v>#N/A</v>
      </c>
      <c r="X166" t="e">
        <f>IF($J166&gt;MAX('Match Log'!$A$4:$A$810),NA(),IFERROR(LOOKUP(2,1/(('Match Log'!$D$4:$D$810=$X$24)*('Match Log'!$A$4:$A$810&lt;=$J166)),'Match Log'!$N$4:$N$810),NA()))</f>
        <v>#N/A</v>
      </c>
      <c r="Y166" t="str">
        <f t="shared" ca="1" si="30"/>
        <v/>
      </c>
    </row>
    <row r="167" spans="1:25" x14ac:dyDescent="0.2">
      <c r="A167">
        <v>143</v>
      </c>
      <c r="B167" t="str">
        <f>IFERROR(INDEX('Match Log'!$B$4:$B$810,MATCH(143,'Match Log'!$A$4:$A$810,0)),"")</f>
        <v/>
      </c>
      <c r="C167" t="str">
        <f>IFERROR(INDEX('Match Log'!$C$4:$C$810,MATCH(143,'Match Log'!$A$4:$A$810,0)),"")</f>
        <v/>
      </c>
      <c r="D167" t="str">
        <f t="array" ref="D167">IFERROR(_xlfn.TEXTJOIN(" + ",TRUE,IF(('Match Log'!$A$4:$A$810=$A167)*('Match Log'!$E$4:$E$810="Win"),'Match Log'!$D$4:$D$810,"")),IFERROR(LOOKUP(2,1/(('Match Log'!$A$4:$A$810=$A167)*('Match Log'!$E$4:$E$810="Win")),'Match Log'!$D$4:$D$810),""))</f>
        <v/>
      </c>
      <c r="E167" t="str">
        <f>IFERROR(INDEX('Match Log'!$F$4:$F$810,MATCH(143,'Match Log'!$A$4:$A$810,0)),"")</f>
        <v/>
      </c>
      <c r="F167">
        <f>IFERROR(SUMIFS('Match Log'!$I$4:$I$810,'Match Log'!$A$4:$A$810,143,'Match Log'!$E$4:$E$810,"Win"),"")</f>
        <v>0</v>
      </c>
      <c r="G167" t="str">
        <f t="shared" si="28"/>
        <v/>
      </c>
      <c r="H167" t="str">
        <f t="array" ref="H167">IFERROR(IF(COUNTIFS('Match Log'!$A$4:$A$810,$A167,'Match Log'!$E$4:$E$810,"Win")&gt;1,_xlfn.TEXTJOIN(" + ",TRUE,IF(('Match Log'!$A$4:$A$810=$A167)*('Match Log'!$E$4:$E$810="Loss"),'Match Log'!$D$4:$D$810,"")),IF($E167=2,LOOKUP(2,1/(('Match Log'!$A$4:$A$810=$A167)*('Match Log'!$E$4:$E$810="Loss")),'Match Log'!$D$4:$D$810),"the field")),"")</f>
        <v>the field</v>
      </c>
      <c r="I167" t="str">
        <f t="shared" si="29"/>
        <v/>
      </c>
      <c r="J167">
        <v>143</v>
      </c>
      <c r="K167" t="e">
        <f>IF($J167&gt;MAX('Match Log'!$A$4:$A$810),NA(),IFERROR(LOOKUP(2,1/(('Match Log'!$D$4:$D$810=$K$24)*('Match Log'!$A$4:$A$810&lt;=$J167)),'Match Log'!$N$4:$N$810),NA()))</f>
        <v>#N/A</v>
      </c>
      <c r="L167" t="e">
        <f>IF($J167&gt;MAX('Match Log'!$A$4:$A$810),NA(),IFERROR(LOOKUP(2,1/(('Match Log'!$D$4:$D$810=$L$24)*('Match Log'!$A$4:$A$810&lt;=$J167)),'Match Log'!$N$4:$N$810),NA()))</f>
        <v>#N/A</v>
      </c>
      <c r="M167" t="e">
        <f>IF($J167&gt;MAX('Match Log'!$A$4:$A$810),NA(),IFERROR(LOOKUP(2,1/(('Match Log'!$D$4:$D$810=$M$24)*('Match Log'!$A$4:$A$810&lt;=$J167)),'Match Log'!$N$4:$N$810),NA()))</f>
        <v>#N/A</v>
      </c>
      <c r="N167" t="e">
        <f>IF($J167&gt;MAX('Match Log'!$A$4:$A$810),NA(),IFERROR(LOOKUP(2,1/(('Match Log'!$D$4:$D$810=$N$24)*('Match Log'!$A$4:$A$810&lt;=$J167)),'Match Log'!$N$4:$N$810),NA()))</f>
        <v>#N/A</v>
      </c>
      <c r="O167" t="e">
        <f>IF($J167&gt;MAX('Match Log'!$A$4:$A$810),NA(),IFERROR(LOOKUP(2,1/(('Match Log'!$D$4:$D$810=$O$24)*('Match Log'!$A$4:$A$810&lt;=$J167)),'Match Log'!$N$4:$N$810),NA()))</f>
        <v>#N/A</v>
      </c>
      <c r="P167" t="e">
        <f>IF($J167&gt;MAX('Match Log'!$A$4:$A$810),NA(),IFERROR(LOOKUP(2,1/(('Match Log'!$D$4:$D$810=$P$24)*('Match Log'!$A$4:$A$810&lt;=$J167)),'Match Log'!$N$4:$N$810),NA()))</f>
        <v>#N/A</v>
      </c>
      <c r="Q167" t="e">
        <f>IF($J167&gt;MAX('Match Log'!$A$4:$A$810),NA(),IFERROR(LOOKUP(2,1/(('Match Log'!$D$4:$D$810=$Q$24)*('Match Log'!$A$4:$A$810&lt;=$J167)),'Match Log'!$N$4:$N$810),NA()))</f>
        <v>#N/A</v>
      </c>
      <c r="R167" t="e">
        <f>IF($J167&gt;MAX('Match Log'!$A$4:$A$810),NA(),IFERROR(LOOKUP(2,1/(('Match Log'!$D$4:$D$810=$R$24)*('Match Log'!$A$4:$A$810&lt;=$J167)),'Match Log'!$N$4:$N$810),NA()))</f>
        <v>#N/A</v>
      </c>
      <c r="S167" t="e">
        <f>IF($J167&gt;MAX('Match Log'!$A$4:$A$810),NA(),IFERROR(LOOKUP(2,1/(('Match Log'!$D$4:$D$810=$S$24)*('Match Log'!$A$4:$A$810&lt;=$J167)),'Match Log'!$N$4:$N$810),NA()))</f>
        <v>#N/A</v>
      </c>
      <c r="T167" t="e">
        <f>IF($J167&gt;MAX('Match Log'!$A$4:$A$810),NA(),IFERROR(LOOKUP(2,1/(('Match Log'!$D$4:$D$810=$T$24)*('Match Log'!$A$4:$A$810&lt;=$J167)),'Match Log'!$N$4:$N$810),NA()))</f>
        <v>#N/A</v>
      </c>
      <c r="U167" t="e">
        <f>IF($J167&gt;MAX('Match Log'!$A$4:$A$810),NA(),IFERROR(LOOKUP(2,1/(('Match Log'!$D$4:$D$810=$U$24)*('Match Log'!$A$4:$A$810&lt;=$J167)),'Match Log'!$N$4:$N$810),NA()))</f>
        <v>#N/A</v>
      </c>
      <c r="V167" t="e">
        <f>IF($J167&gt;MAX('Match Log'!$A$4:$A$810),NA(),IFERROR(LOOKUP(2,1/(('Match Log'!$D$4:$D$810=$V$24)*('Match Log'!$A$4:$A$810&lt;=$J167)),'Match Log'!$N$4:$N$810),NA()))</f>
        <v>#N/A</v>
      </c>
      <c r="W167" t="e">
        <f>IF($J167&gt;MAX('Match Log'!$A$4:$A$810),NA(),IFERROR(LOOKUP(2,1/(('Match Log'!$D$4:$D$810=$W$24)*('Match Log'!$A$4:$A$810&lt;=$J167)),'Match Log'!$N$4:$N$810),NA()))</f>
        <v>#N/A</v>
      </c>
      <c r="X167" t="e">
        <f>IF($J167&gt;MAX('Match Log'!$A$4:$A$810),NA(),IFERROR(LOOKUP(2,1/(('Match Log'!$D$4:$D$810=$X$24)*('Match Log'!$A$4:$A$810&lt;=$J167)),'Match Log'!$N$4:$N$810),NA()))</f>
        <v>#N/A</v>
      </c>
      <c r="Y167" t="str">
        <f t="shared" ca="1" si="30"/>
        <v/>
      </c>
    </row>
    <row r="168" spans="1:25" x14ac:dyDescent="0.2">
      <c r="A168">
        <v>144</v>
      </c>
      <c r="B168" t="str">
        <f>IFERROR(INDEX('Match Log'!$B$4:$B$810,MATCH(144,'Match Log'!$A$4:$A$810,0)),"")</f>
        <v/>
      </c>
      <c r="C168" t="str">
        <f>IFERROR(INDEX('Match Log'!$C$4:$C$810,MATCH(144,'Match Log'!$A$4:$A$810,0)),"")</f>
        <v/>
      </c>
      <c r="D168" t="str">
        <f t="array" ref="D168">IFERROR(_xlfn.TEXTJOIN(" + ",TRUE,IF(('Match Log'!$A$4:$A$810=$A168)*('Match Log'!$E$4:$E$810="Win"),'Match Log'!$D$4:$D$810,"")),IFERROR(LOOKUP(2,1/(('Match Log'!$A$4:$A$810=$A168)*('Match Log'!$E$4:$E$810="Win")),'Match Log'!$D$4:$D$810),""))</f>
        <v/>
      </c>
      <c r="E168" t="str">
        <f>IFERROR(INDEX('Match Log'!$F$4:$F$810,MATCH(144,'Match Log'!$A$4:$A$810,0)),"")</f>
        <v/>
      </c>
      <c r="F168">
        <f>IFERROR(SUMIFS('Match Log'!$I$4:$I$810,'Match Log'!$A$4:$A$810,144,'Match Log'!$E$4:$E$810,"Win"),"")</f>
        <v>0</v>
      </c>
      <c r="G168" t="str">
        <f t="shared" si="28"/>
        <v/>
      </c>
      <c r="H168" t="str">
        <f t="array" ref="H168">IFERROR(IF(COUNTIFS('Match Log'!$A$4:$A$810,$A168,'Match Log'!$E$4:$E$810,"Win")&gt;1,_xlfn.TEXTJOIN(" + ",TRUE,IF(('Match Log'!$A$4:$A$810=$A168)*('Match Log'!$E$4:$E$810="Loss"),'Match Log'!$D$4:$D$810,"")),IF($E168=2,LOOKUP(2,1/(('Match Log'!$A$4:$A$810=$A168)*('Match Log'!$E$4:$E$810="Loss")),'Match Log'!$D$4:$D$810),"the field")),"")</f>
        <v>the field</v>
      </c>
      <c r="I168" t="str">
        <f t="shared" si="29"/>
        <v/>
      </c>
      <c r="J168">
        <v>144</v>
      </c>
      <c r="K168" t="e">
        <f>IF($J168&gt;MAX('Match Log'!$A$4:$A$810),NA(),IFERROR(LOOKUP(2,1/(('Match Log'!$D$4:$D$810=$K$24)*('Match Log'!$A$4:$A$810&lt;=$J168)),'Match Log'!$N$4:$N$810),NA()))</f>
        <v>#N/A</v>
      </c>
      <c r="L168" t="e">
        <f>IF($J168&gt;MAX('Match Log'!$A$4:$A$810),NA(),IFERROR(LOOKUP(2,1/(('Match Log'!$D$4:$D$810=$L$24)*('Match Log'!$A$4:$A$810&lt;=$J168)),'Match Log'!$N$4:$N$810),NA()))</f>
        <v>#N/A</v>
      </c>
      <c r="M168" t="e">
        <f>IF($J168&gt;MAX('Match Log'!$A$4:$A$810),NA(),IFERROR(LOOKUP(2,1/(('Match Log'!$D$4:$D$810=$M$24)*('Match Log'!$A$4:$A$810&lt;=$J168)),'Match Log'!$N$4:$N$810),NA()))</f>
        <v>#N/A</v>
      </c>
      <c r="N168" t="e">
        <f>IF($J168&gt;MAX('Match Log'!$A$4:$A$810),NA(),IFERROR(LOOKUP(2,1/(('Match Log'!$D$4:$D$810=$N$24)*('Match Log'!$A$4:$A$810&lt;=$J168)),'Match Log'!$N$4:$N$810),NA()))</f>
        <v>#N/A</v>
      </c>
      <c r="O168" t="e">
        <f>IF($J168&gt;MAX('Match Log'!$A$4:$A$810),NA(),IFERROR(LOOKUP(2,1/(('Match Log'!$D$4:$D$810=$O$24)*('Match Log'!$A$4:$A$810&lt;=$J168)),'Match Log'!$N$4:$N$810),NA()))</f>
        <v>#N/A</v>
      </c>
      <c r="P168" t="e">
        <f>IF($J168&gt;MAX('Match Log'!$A$4:$A$810),NA(),IFERROR(LOOKUP(2,1/(('Match Log'!$D$4:$D$810=$P$24)*('Match Log'!$A$4:$A$810&lt;=$J168)),'Match Log'!$N$4:$N$810),NA()))</f>
        <v>#N/A</v>
      </c>
      <c r="Q168" t="e">
        <f>IF($J168&gt;MAX('Match Log'!$A$4:$A$810),NA(),IFERROR(LOOKUP(2,1/(('Match Log'!$D$4:$D$810=$Q$24)*('Match Log'!$A$4:$A$810&lt;=$J168)),'Match Log'!$N$4:$N$810),NA()))</f>
        <v>#N/A</v>
      </c>
      <c r="R168" t="e">
        <f>IF($J168&gt;MAX('Match Log'!$A$4:$A$810),NA(),IFERROR(LOOKUP(2,1/(('Match Log'!$D$4:$D$810=$R$24)*('Match Log'!$A$4:$A$810&lt;=$J168)),'Match Log'!$N$4:$N$810),NA()))</f>
        <v>#N/A</v>
      </c>
      <c r="S168" t="e">
        <f>IF($J168&gt;MAX('Match Log'!$A$4:$A$810),NA(),IFERROR(LOOKUP(2,1/(('Match Log'!$D$4:$D$810=$S$24)*('Match Log'!$A$4:$A$810&lt;=$J168)),'Match Log'!$N$4:$N$810),NA()))</f>
        <v>#N/A</v>
      </c>
      <c r="T168" t="e">
        <f>IF($J168&gt;MAX('Match Log'!$A$4:$A$810),NA(),IFERROR(LOOKUP(2,1/(('Match Log'!$D$4:$D$810=$T$24)*('Match Log'!$A$4:$A$810&lt;=$J168)),'Match Log'!$N$4:$N$810),NA()))</f>
        <v>#N/A</v>
      </c>
      <c r="U168" t="e">
        <f>IF($J168&gt;MAX('Match Log'!$A$4:$A$810),NA(),IFERROR(LOOKUP(2,1/(('Match Log'!$D$4:$D$810=$U$24)*('Match Log'!$A$4:$A$810&lt;=$J168)),'Match Log'!$N$4:$N$810),NA()))</f>
        <v>#N/A</v>
      </c>
      <c r="V168" t="e">
        <f>IF($J168&gt;MAX('Match Log'!$A$4:$A$810),NA(),IFERROR(LOOKUP(2,1/(('Match Log'!$D$4:$D$810=$V$24)*('Match Log'!$A$4:$A$810&lt;=$J168)),'Match Log'!$N$4:$N$810),NA()))</f>
        <v>#N/A</v>
      </c>
      <c r="W168" t="e">
        <f>IF($J168&gt;MAX('Match Log'!$A$4:$A$810),NA(),IFERROR(LOOKUP(2,1/(('Match Log'!$D$4:$D$810=$W$24)*('Match Log'!$A$4:$A$810&lt;=$J168)),'Match Log'!$N$4:$N$810),NA()))</f>
        <v>#N/A</v>
      </c>
      <c r="X168" t="e">
        <f>IF($J168&gt;MAX('Match Log'!$A$4:$A$810),NA(),IFERROR(LOOKUP(2,1/(('Match Log'!$D$4:$D$810=$X$24)*('Match Log'!$A$4:$A$810&lt;=$J168)),'Match Log'!$N$4:$N$810),NA()))</f>
        <v>#N/A</v>
      </c>
      <c r="Y168" t="str">
        <f t="shared" ca="1" si="30"/>
        <v/>
      </c>
    </row>
    <row r="169" spans="1:25" x14ac:dyDescent="0.2">
      <c r="A169">
        <v>145</v>
      </c>
      <c r="B169" t="str">
        <f>IFERROR(INDEX('Match Log'!$B$4:$B$810,MATCH(145,'Match Log'!$A$4:$A$810,0)),"")</f>
        <v/>
      </c>
      <c r="C169" t="str">
        <f>IFERROR(INDEX('Match Log'!$C$4:$C$810,MATCH(145,'Match Log'!$A$4:$A$810,0)),"")</f>
        <v/>
      </c>
      <c r="D169" t="str">
        <f t="array" ref="D169">IFERROR(_xlfn.TEXTJOIN(" + ",TRUE,IF(('Match Log'!$A$4:$A$810=$A169)*('Match Log'!$E$4:$E$810="Win"),'Match Log'!$D$4:$D$810,"")),IFERROR(LOOKUP(2,1/(('Match Log'!$A$4:$A$810=$A169)*('Match Log'!$E$4:$E$810="Win")),'Match Log'!$D$4:$D$810),""))</f>
        <v/>
      </c>
      <c r="E169" t="str">
        <f>IFERROR(INDEX('Match Log'!$F$4:$F$810,MATCH(145,'Match Log'!$A$4:$A$810,0)),"")</f>
        <v/>
      </c>
      <c r="F169">
        <f>IFERROR(SUMIFS('Match Log'!$I$4:$I$810,'Match Log'!$A$4:$A$810,145,'Match Log'!$E$4:$E$810,"Win"),"")</f>
        <v>0</v>
      </c>
      <c r="G169" t="str">
        <f t="shared" si="28"/>
        <v/>
      </c>
      <c r="H169" t="str">
        <f t="array" ref="H169">IFERROR(IF(COUNTIFS('Match Log'!$A$4:$A$810,$A169,'Match Log'!$E$4:$E$810,"Win")&gt;1,_xlfn.TEXTJOIN(" + ",TRUE,IF(('Match Log'!$A$4:$A$810=$A169)*('Match Log'!$E$4:$E$810="Loss"),'Match Log'!$D$4:$D$810,"")),IF($E169=2,LOOKUP(2,1/(('Match Log'!$A$4:$A$810=$A169)*('Match Log'!$E$4:$E$810="Loss")),'Match Log'!$D$4:$D$810),"the field")),"")</f>
        <v>the field</v>
      </c>
      <c r="I169" t="str">
        <f t="shared" si="29"/>
        <v/>
      </c>
      <c r="J169">
        <v>145</v>
      </c>
      <c r="K169" t="e">
        <f>IF($J169&gt;MAX('Match Log'!$A$4:$A$810),NA(),IFERROR(LOOKUP(2,1/(('Match Log'!$D$4:$D$810=$K$24)*('Match Log'!$A$4:$A$810&lt;=$J169)),'Match Log'!$N$4:$N$810),NA()))</f>
        <v>#N/A</v>
      </c>
      <c r="L169" t="e">
        <f>IF($J169&gt;MAX('Match Log'!$A$4:$A$810),NA(),IFERROR(LOOKUP(2,1/(('Match Log'!$D$4:$D$810=$L$24)*('Match Log'!$A$4:$A$810&lt;=$J169)),'Match Log'!$N$4:$N$810),NA()))</f>
        <v>#N/A</v>
      </c>
      <c r="M169" t="e">
        <f>IF($J169&gt;MAX('Match Log'!$A$4:$A$810),NA(),IFERROR(LOOKUP(2,1/(('Match Log'!$D$4:$D$810=$M$24)*('Match Log'!$A$4:$A$810&lt;=$J169)),'Match Log'!$N$4:$N$810),NA()))</f>
        <v>#N/A</v>
      </c>
      <c r="N169" t="e">
        <f>IF($J169&gt;MAX('Match Log'!$A$4:$A$810),NA(),IFERROR(LOOKUP(2,1/(('Match Log'!$D$4:$D$810=$N$24)*('Match Log'!$A$4:$A$810&lt;=$J169)),'Match Log'!$N$4:$N$810),NA()))</f>
        <v>#N/A</v>
      </c>
      <c r="O169" t="e">
        <f>IF($J169&gt;MAX('Match Log'!$A$4:$A$810),NA(),IFERROR(LOOKUP(2,1/(('Match Log'!$D$4:$D$810=$O$24)*('Match Log'!$A$4:$A$810&lt;=$J169)),'Match Log'!$N$4:$N$810),NA()))</f>
        <v>#N/A</v>
      </c>
      <c r="P169" t="e">
        <f>IF($J169&gt;MAX('Match Log'!$A$4:$A$810),NA(),IFERROR(LOOKUP(2,1/(('Match Log'!$D$4:$D$810=$P$24)*('Match Log'!$A$4:$A$810&lt;=$J169)),'Match Log'!$N$4:$N$810),NA()))</f>
        <v>#N/A</v>
      </c>
      <c r="Q169" t="e">
        <f>IF($J169&gt;MAX('Match Log'!$A$4:$A$810),NA(),IFERROR(LOOKUP(2,1/(('Match Log'!$D$4:$D$810=$Q$24)*('Match Log'!$A$4:$A$810&lt;=$J169)),'Match Log'!$N$4:$N$810),NA()))</f>
        <v>#N/A</v>
      </c>
      <c r="R169" t="e">
        <f>IF($J169&gt;MAX('Match Log'!$A$4:$A$810),NA(),IFERROR(LOOKUP(2,1/(('Match Log'!$D$4:$D$810=$R$24)*('Match Log'!$A$4:$A$810&lt;=$J169)),'Match Log'!$N$4:$N$810),NA()))</f>
        <v>#N/A</v>
      </c>
      <c r="S169" t="e">
        <f>IF($J169&gt;MAX('Match Log'!$A$4:$A$810),NA(),IFERROR(LOOKUP(2,1/(('Match Log'!$D$4:$D$810=$S$24)*('Match Log'!$A$4:$A$810&lt;=$J169)),'Match Log'!$N$4:$N$810),NA()))</f>
        <v>#N/A</v>
      </c>
      <c r="T169" t="e">
        <f>IF($J169&gt;MAX('Match Log'!$A$4:$A$810),NA(),IFERROR(LOOKUP(2,1/(('Match Log'!$D$4:$D$810=$T$24)*('Match Log'!$A$4:$A$810&lt;=$J169)),'Match Log'!$N$4:$N$810),NA()))</f>
        <v>#N/A</v>
      </c>
      <c r="U169" t="e">
        <f>IF($J169&gt;MAX('Match Log'!$A$4:$A$810),NA(),IFERROR(LOOKUP(2,1/(('Match Log'!$D$4:$D$810=$U$24)*('Match Log'!$A$4:$A$810&lt;=$J169)),'Match Log'!$N$4:$N$810),NA()))</f>
        <v>#N/A</v>
      </c>
      <c r="V169" t="e">
        <f>IF($J169&gt;MAX('Match Log'!$A$4:$A$810),NA(),IFERROR(LOOKUP(2,1/(('Match Log'!$D$4:$D$810=$V$24)*('Match Log'!$A$4:$A$810&lt;=$J169)),'Match Log'!$N$4:$N$810),NA()))</f>
        <v>#N/A</v>
      </c>
      <c r="W169" t="e">
        <f>IF($J169&gt;MAX('Match Log'!$A$4:$A$810),NA(),IFERROR(LOOKUP(2,1/(('Match Log'!$D$4:$D$810=$W$24)*('Match Log'!$A$4:$A$810&lt;=$J169)),'Match Log'!$N$4:$N$810),NA()))</f>
        <v>#N/A</v>
      </c>
      <c r="X169" t="e">
        <f>IF($J169&gt;MAX('Match Log'!$A$4:$A$810),NA(),IFERROR(LOOKUP(2,1/(('Match Log'!$D$4:$D$810=$X$24)*('Match Log'!$A$4:$A$810&lt;=$J169)),'Match Log'!$N$4:$N$810),NA()))</f>
        <v>#N/A</v>
      </c>
      <c r="Y169" t="str">
        <f t="shared" ca="1" si="30"/>
        <v/>
      </c>
    </row>
    <row r="170" spans="1:25" x14ac:dyDescent="0.2">
      <c r="A170">
        <v>146</v>
      </c>
      <c r="B170" t="str">
        <f>IFERROR(INDEX('Match Log'!$B$4:$B$810,MATCH(146,'Match Log'!$A$4:$A$810,0)),"")</f>
        <v/>
      </c>
      <c r="C170" t="str">
        <f>IFERROR(INDEX('Match Log'!$C$4:$C$810,MATCH(146,'Match Log'!$A$4:$A$810,0)),"")</f>
        <v/>
      </c>
      <c r="D170" t="str">
        <f t="array" ref="D170">IFERROR(_xlfn.TEXTJOIN(" + ",TRUE,IF(('Match Log'!$A$4:$A$810=$A170)*('Match Log'!$E$4:$E$810="Win"),'Match Log'!$D$4:$D$810,"")),IFERROR(LOOKUP(2,1/(('Match Log'!$A$4:$A$810=$A170)*('Match Log'!$E$4:$E$810="Win")),'Match Log'!$D$4:$D$810),""))</f>
        <v/>
      </c>
      <c r="E170" t="str">
        <f>IFERROR(INDEX('Match Log'!$F$4:$F$810,MATCH(146,'Match Log'!$A$4:$A$810,0)),"")</f>
        <v/>
      </c>
      <c r="F170">
        <f>IFERROR(SUMIFS('Match Log'!$I$4:$I$810,'Match Log'!$A$4:$A$810,146,'Match Log'!$E$4:$E$810,"Win"),"")</f>
        <v>0</v>
      </c>
      <c r="G170" t="str">
        <f t="shared" si="28"/>
        <v/>
      </c>
      <c r="H170" t="str">
        <f t="array" ref="H170">IFERROR(IF(COUNTIFS('Match Log'!$A$4:$A$810,$A170,'Match Log'!$E$4:$E$810,"Win")&gt;1,_xlfn.TEXTJOIN(" + ",TRUE,IF(('Match Log'!$A$4:$A$810=$A170)*('Match Log'!$E$4:$E$810="Loss"),'Match Log'!$D$4:$D$810,"")),IF($E170=2,LOOKUP(2,1/(('Match Log'!$A$4:$A$810=$A170)*('Match Log'!$E$4:$E$810="Loss")),'Match Log'!$D$4:$D$810),"the field")),"")</f>
        <v>the field</v>
      </c>
      <c r="I170" t="str">
        <f t="shared" si="29"/>
        <v/>
      </c>
      <c r="J170">
        <v>146</v>
      </c>
      <c r="K170" t="e">
        <f>IF($J170&gt;MAX('Match Log'!$A$4:$A$810),NA(),IFERROR(LOOKUP(2,1/(('Match Log'!$D$4:$D$810=$K$24)*('Match Log'!$A$4:$A$810&lt;=$J170)),'Match Log'!$N$4:$N$810),NA()))</f>
        <v>#N/A</v>
      </c>
      <c r="L170" t="e">
        <f>IF($J170&gt;MAX('Match Log'!$A$4:$A$810),NA(),IFERROR(LOOKUP(2,1/(('Match Log'!$D$4:$D$810=$L$24)*('Match Log'!$A$4:$A$810&lt;=$J170)),'Match Log'!$N$4:$N$810),NA()))</f>
        <v>#N/A</v>
      </c>
      <c r="M170" t="e">
        <f>IF($J170&gt;MAX('Match Log'!$A$4:$A$810),NA(),IFERROR(LOOKUP(2,1/(('Match Log'!$D$4:$D$810=$M$24)*('Match Log'!$A$4:$A$810&lt;=$J170)),'Match Log'!$N$4:$N$810),NA()))</f>
        <v>#N/A</v>
      </c>
      <c r="N170" t="e">
        <f>IF($J170&gt;MAX('Match Log'!$A$4:$A$810),NA(),IFERROR(LOOKUP(2,1/(('Match Log'!$D$4:$D$810=$N$24)*('Match Log'!$A$4:$A$810&lt;=$J170)),'Match Log'!$N$4:$N$810),NA()))</f>
        <v>#N/A</v>
      </c>
      <c r="O170" t="e">
        <f>IF($J170&gt;MAX('Match Log'!$A$4:$A$810),NA(),IFERROR(LOOKUP(2,1/(('Match Log'!$D$4:$D$810=$O$24)*('Match Log'!$A$4:$A$810&lt;=$J170)),'Match Log'!$N$4:$N$810),NA()))</f>
        <v>#N/A</v>
      </c>
      <c r="P170" t="e">
        <f>IF($J170&gt;MAX('Match Log'!$A$4:$A$810),NA(),IFERROR(LOOKUP(2,1/(('Match Log'!$D$4:$D$810=$P$24)*('Match Log'!$A$4:$A$810&lt;=$J170)),'Match Log'!$N$4:$N$810),NA()))</f>
        <v>#N/A</v>
      </c>
      <c r="Q170" t="e">
        <f>IF($J170&gt;MAX('Match Log'!$A$4:$A$810),NA(),IFERROR(LOOKUP(2,1/(('Match Log'!$D$4:$D$810=$Q$24)*('Match Log'!$A$4:$A$810&lt;=$J170)),'Match Log'!$N$4:$N$810),NA()))</f>
        <v>#N/A</v>
      </c>
      <c r="R170" t="e">
        <f>IF($J170&gt;MAX('Match Log'!$A$4:$A$810),NA(),IFERROR(LOOKUP(2,1/(('Match Log'!$D$4:$D$810=$R$24)*('Match Log'!$A$4:$A$810&lt;=$J170)),'Match Log'!$N$4:$N$810),NA()))</f>
        <v>#N/A</v>
      </c>
      <c r="S170" t="e">
        <f>IF($J170&gt;MAX('Match Log'!$A$4:$A$810),NA(),IFERROR(LOOKUP(2,1/(('Match Log'!$D$4:$D$810=$S$24)*('Match Log'!$A$4:$A$810&lt;=$J170)),'Match Log'!$N$4:$N$810),NA()))</f>
        <v>#N/A</v>
      </c>
      <c r="T170" t="e">
        <f>IF($J170&gt;MAX('Match Log'!$A$4:$A$810),NA(),IFERROR(LOOKUP(2,1/(('Match Log'!$D$4:$D$810=$T$24)*('Match Log'!$A$4:$A$810&lt;=$J170)),'Match Log'!$N$4:$N$810),NA()))</f>
        <v>#N/A</v>
      </c>
      <c r="U170" t="e">
        <f>IF($J170&gt;MAX('Match Log'!$A$4:$A$810),NA(),IFERROR(LOOKUP(2,1/(('Match Log'!$D$4:$D$810=$U$24)*('Match Log'!$A$4:$A$810&lt;=$J170)),'Match Log'!$N$4:$N$810),NA()))</f>
        <v>#N/A</v>
      </c>
      <c r="V170" t="e">
        <f>IF($J170&gt;MAX('Match Log'!$A$4:$A$810),NA(),IFERROR(LOOKUP(2,1/(('Match Log'!$D$4:$D$810=$V$24)*('Match Log'!$A$4:$A$810&lt;=$J170)),'Match Log'!$N$4:$N$810),NA()))</f>
        <v>#N/A</v>
      </c>
      <c r="W170" t="e">
        <f>IF($J170&gt;MAX('Match Log'!$A$4:$A$810),NA(),IFERROR(LOOKUP(2,1/(('Match Log'!$D$4:$D$810=$W$24)*('Match Log'!$A$4:$A$810&lt;=$J170)),'Match Log'!$N$4:$N$810),NA()))</f>
        <v>#N/A</v>
      </c>
      <c r="X170" t="e">
        <f>IF($J170&gt;MAX('Match Log'!$A$4:$A$810),NA(),IFERROR(LOOKUP(2,1/(('Match Log'!$D$4:$D$810=$X$24)*('Match Log'!$A$4:$A$810&lt;=$J170)),'Match Log'!$N$4:$N$810),NA()))</f>
        <v>#N/A</v>
      </c>
      <c r="Y170" t="str">
        <f t="shared" ca="1" si="30"/>
        <v/>
      </c>
    </row>
    <row r="171" spans="1:25" x14ac:dyDescent="0.2">
      <c r="A171">
        <v>147</v>
      </c>
      <c r="B171" t="str">
        <f>IFERROR(INDEX('Match Log'!$B$4:$B$810,MATCH(147,'Match Log'!$A$4:$A$810,0)),"")</f>
        <v/>
      </c>
      <c r="C171" t="str">
        <f>IFERROR(INDEX('Match Log'!$C$4:$C$810,MATCH(147,'Match Log'!$A$4:$A$810,0)),"")</f>
        <v/>
      </c>
      <c r="D171" t="str">
        <f t="array" ref="D171">IFERROR(_xlfn.TEXTJOIN(" + ",TRUE,IF(('Match Log'!$A$4:$A$810=$A171)*('Match Log'!$E$4:$E$810="Win"),'Match Log'!$D$4:$D$810,"")),IFERROR(LOOKUP(2,1/(('Match Log'!$A$4:$A$810=$A171)*('Match Log'!$E$4:$E$810="Win")),'Match Log'!$D$4:$D$810),""))</f>
        <v/>
      </c>
      <c r="E171" t="str">
        <f>IFERROR(INDEX('Match Log'!$F$4:$F$810,MATCH(147,'Match Log'!$A$4:$A$810,0)),"")</f>
        <v/>
      </c>
      <c r="F171">
        <f>IFERROR(SUMIFS('Match Log'!$I$4:$I$810,'Match Log'!$A$4:$A$810,147,'Match Log'!$E$4:$E$810,"Win"),"")</f>
        <v>0</v>
      </c>
      <c r="G171" t="str">
        <f t="shared" si="28"/>
        <v/>
      </c>
      <c r="H171" t="str">
        <f t="array" ref="H171">IFERROR(IF(COUNTIFS('Match Log'!$A$4:$A$810,$A171,'Match Log'!$E$4:$E$810,"Win")&gt;1,_xlfn.TEXTJOIN(" + ",TRUE,IF(('Match Log'!$A$4:$A$810=$A171)*('Match Log'!$E$4:$E$810="Loss"),'Match Log'!$D$4:$D$810,"")),IF($E171=2,LOOKUP(2,1/(('Match Log'!$A$4:$A$810=$A171)*('Match Log'!$E$4:$E$810="Loss")),'Match Log'!$D$4:$D$810),"the field")),"")</f>
        <v>the field</v>
      </c>
      <c r="I171" t="str">
        <f t="shared" si="29"/>
        <v/>
      </c>
      <c r="J171">
        <v>147</v>
      </c>
      <c r="K171" t="e">
        <f>IF($J171&gt;MAX('Match Log'!$A$4:$A$810),NA(),IFERROR(LOOKUP(2,1/(('Match Log'!$D$4:$D$810=$K$24)*('Match Log'!$A$4:$A$810&lt;=$J171)),'Match Log'!$N$4:$N$810),NA()))</f>
        <v>#N/A</v>
      </c>
      <c r="L171" t="e">
        <f>IF($J171&gt;MAX('Match Log'!$A$4:$A$810),NA(),IFERROR(LOOKUP(2,1/(('Match Log'!$D$4:$D$810=$L$24)*('Match Log'!$A$4:$A$810&lt;=$J171)),'Match Log'!$N$4:$N$810),NA()))</f>
        <v>#N/A</v>
      </c>
      <c r="M171" t="e">
        <f>IF($J171&gt;MAX('Match Log'!$A$4:$A$810),NA(),IFERROR(LOOKUP(2,1/(('Match Log'!$D$4:$D$810=$M$24)*('Match Log'!$A$4:$A$810&lt;=$J171)),'Match Log'!$N$4:$N$810),NA()))</f>
        <v>#N/A</v>
      </c>
      <c r="N171" t="e">
        <f>IF($J171&gt;MAX('Match Log'!$A$4:$A$810),NA(),IFERROR(LOOKUP(2,1/(('Match Log'!$D$4:$D$810=$N$24)*('Match Log'!$A$4:$A$810&lt;=$J171)),'Match Log'!$N$4:$N$810),NA()))</f>
        <v>#N/A</v>
      </c>
      <c r="O171" t="e">
        <f>IF($J171&gt;MAX('Match Log'!$A$4:$A$810),NA(),IFERROR(LOOKUP(2,1/(('Match Log'!$D$4:$D$810=$O$24)*('Match Log'!$A$4:$A$810&lt;=$J171)),'Match Log'!$N$4:$N$810),NA()))</f>
        <v>#N/A</v>
      </c>
      <c r="P171" t="e">
        <f>IF($J171&gt;MAX('Match Log'!$A$4:$A$810),NA(),IFERROR(LOOKUP(2,1/(('Match Log'!$D$4:$D$810=$P$24)*('Match Log'!$A$4:$A$810&lt;=$J171)),'Match Log'!$N$4:$N$810),NA()))</f>
        <v>#N/A</v>
      </c>
      <c r="Q171" t="e">
        <f>IF($J171&gt;MAX('Match Log'!$A$4:$A$810),NA(),IFERROR(LOOKUP(2,1/(('Match Log'!$D$4:$D$810=$Q$24)*('Match Log'!$A$4:$A$810&lt;=$J171)),'Match Log'!$N$4:$N$810),NA()))</f>
        <v>#N/A</v>
      </c>
      <c r="R171" t="e">
        <f>IF($J171&gt;MAX('Match Log'!$A$4:$A$810),NA(),IFERROR(LOOKUP(2,1/(('Match Log'!$D$4:$D$810=$R$24)*('Match Log'!$A$4:$A$810&lt;=$J171)),'Match Log'!$N$4:$N$810),NA()))</f>
        <v>#N/A</v>
      </c>
      <c r="S171" t="e">
        <f>IF($J171&gt;MAX('Match Log'!$A$4:$A$810),NA(),IFERROR(LOOKUP(2,1/(('Match Log'!$D$4:$D$810=$S$24)*('Match Log'!$A$4:$A$810&lt;=$J171)),'Match Log'!$N$4:$N$810),NA()))</f>
        <v>#N/A</v>
      </c>
      <c r="T171" t="e">
        <f>IF($J171&gt;MAX('Match Log'!$A$4:$A$810),NA(),IFERROR(LOOKUP(2,1/(('Match Log'!$D$4:$D$810=$T$24)*('Match Log'!$A$4:$A$810&lt;=$J171)),'Match Log'!$N$4:$N$810),NA()))</f>
        <v>#N/A</v>
      </c>
      <c r="U171" t="e">
        <f>IF($J171&gt;MAX('Match Log'!$A$4:$A$810),NA(),IFERROR(LOOKUP(2,1/(('Match Log'!$D$4:$D$810=$U$24)*('Match Log'!$A$4:$A$810&lt;=$J171)),'Match Log'!$N$4:$N$810),NA()))</f>
        <v>#N/A</v>
      </c>
      <c r="V171" t="e">
        <f>IF($J171&gt;MAX('Match Log'!$A$4:$A$810),NA(),IFERROR(LOOKUP(2,1/(('Match Log'!$D$4:$D$810=$V$24)*('Match Log'!$A$4:$A$810&lt;=$J171)),'Match Log'!$N$4:$N$810),NA()))</f>
        <v>#N/A</v>
      </c>
      <c r="W171" t="e">
        <f>IF($J171&gt;MAX('Match Log'!$A$4:$A$810),NA(),IFERROR(LOOKUP(2,1/(('Match Log'!$D$4:$D$810=$W$24)*('Match Log'!$A$4:$A$810&lt;=$J171)),'Match Log'!$N$4:$N$810),NA()))</f>
        <v>#N/A</v>
      </c>
      <c r="X171" t="e">
        <f>IF($J171&gt;MAX('Match Log'!$A$4:$A$810),NA(),IFERROR(LOOKUP(2,1/(('Match Log'!$D$4:$D$810=$X$24)*('Match Log'!$A$4:$A$810&lt;=$J171)),'Match Log'!$N$4:$N$810),NA()))</f>
        <v>#N/A</v>
      </c>
      <c r="Y171" t="str">
        <f t="shared" ca="1" si="30"/>
        <v/>
      </c>
    </row>
    <row r="172" spans="1:25" x14ac:dyDescent="0.2">
      <c r="A172">
        <v>148</v>
      </c>
      <c r="B172" t="str">
        <f>IFERROR(INDEX('Match Log'!$B$4:$B$810,MATCH(148,'Match Log'!$A$4:$A$810,0)),"")</f>
        <v/>
      </c>
      <c r="C172" t="str">
        <f>IFERROR(INDEX('Match Log'!$C$4:$C$810,MATCH(148,'Match Log'!$A$4:$A$810,0)),"")</f>
        <v/>
      </c>
      <c r="D172" t="str">
        <f t="array" ref="D172">IFERROR(_xlfn.TEXTJOIN(" + ",TRUE,IF(('Match Log'!$A$4:$A$810=$A172)*('Match Log'!$E$4:$E$810="Win"),'Match Log'!$D$4:$D$810,"")),IFERROR(LOOKUP(2,1/(('Match Log'!$A$4:$A$810=$A172)*('Match Log'!$E$4:$E$810="Win")),'Match Log'!$D$4:$D$810),""))</f>
        <v/>
      </c>
      <c r="E172" t="str">
        <f>IFERROR(INDEX('Match Log'!$F$4:$F$810,MATCH(148,'Match Log'!$A$4:$A$810,0)),"")</f>
        <v/>
      </c>
      <c r="F172">
        <f>IFERROR(SUMIFS('Match Log'!$I$4:$I$810,'Match Log'!$A$4:$A$810,148,'Match Log'!$E$4:$E$810,"Win"),"")</f>
        <v>0</v>
      </c>
      <c r="G172" t="str">
        <f t="shared" si="28"/>
        <v/>
      </c>
      <c r="H172" t="str">
        <f t="array" ref="H172">IFERROR(IF(COUNTIFS('Match Log'!$A$4:$A$810,$A172,'Match Log'!$E$4:$E$810,"Win")&gt;1,_xlfn.TEXTJOIN(" + ",TRUE,IF(('Match Log'!$A$4:$A$810=$A172)*('Match Log'!$E$4:$E$810="Loss"),'Match Log'!$D$4:$D$810,"")),IF($E172=2,LOOKUP(2,1/(('Match Log'!$A$4:$A$810=$A172)*('Match Log'!$E$4:$E$810="Loss")),'Match Log'!$D$4:$D$810),"the field")),"")</f>
        <v>the field</v>
      </c>
      <c r="I172" t="str">
        <f t="shared" si="29"/>
        <v/>
      </c>
      <c r="J172">
        <v>148</v>
      </c>
      <c r="K172" t="e">
        <f>IF($J172&gt;MAX('Match Log'!$A$4:$A$810),NA(),IFERROR(LOOKUP(2,1/(('Match Log'!$D$4:$D$810=$K$24)*('Match Log'!$A$4:$A$810&lt;=$J172)),'Match Log'!$N$4:$N$810),NA()))</f>
        <v>#N/A</v>
      </c>
      <c r="L172" t="e">
        <f>IF($J172&gt;MAX('Match Log'!$A$4:$A$810),NA(),IFERROR(LOOKUP(2,1/(('Match Log'!$D$4:$D$810=$L$24)*('Match Log'!$A$4:$A$810&lt;=$J172)),'Match Log'!$N$4:$N$810),NA()))</f>
        <v>#N/A</v>
      </c>
      <c r="M172" t="e">
        <f>IF($J172&gt;MAX('Match Log'!$A$4:$A$810),NA(),IFERROR(LOOKUP(2,1/(('Match Log'!$D$4:$D$810=$M$24)*('Match Log'!$A$4:$A$810&lt;=$J172)),'Match Log'!$N$4:$N$810),NA()))</f>
        <v>#N/A</v>
      </c>
      <c r="N172" t="e">
        <f>IF($J172&gt;MAX('Match Log'!$A$4:$A$810),NA(),IFERROR(LOOKUP(2,1/(('Match Log'!$D$4:$D$810=$N$24)*('Match Log'!$A$4:$A$810&lt;=$J172)),'Match Log'!$N$4:$N$810),NA()))</f>
        <v>#N/A</v>
      </c>
      <c r="O172" t="e">
        <f>IF($J172&gt;MAX('Match Log'!$A$4:$A$810),NA(),IFERROR(LOOKUP(2,1/(('Match Log'!$D$4:$D$810=$O$24)*('Match Log'!$A$4:$A$810&lt;=$J172)),'Match Log'!$N$4:$N$810),NA()))</f>
        <v>#N/A</v>
      </c>
      <c r="P172" t="e">
        <f>IF($J172&gt;MAX('Match Log'!$A$4:$A$810),NA(),IFERROR(LOOKUP(2,1/(('Match Log'!$D$4:$D$810=$P$24)*('Match Log'!$A$4:$A$810&lt;=$J172)),'Match Log'!$N$4:$N$810),NA()))</f>
        <v>#N/A</v>
      </c>
      <c r="Q172" t="e">
        <f>IF($J172&gt;MAX('Match Log'!$A$4:$A$810),NA(),IFERROR(LOOKUP(2,1/(('Match Log'!$D$4:$D$810=$Q$24)*('Match Log'!$A$4:$A$810&lt;=$J172)),'Match Log'!$N$4:$N$810),NA()))</f>
        <v>#N/A</v>
      </c>
      <c r="R172" t="e">
        <f>IF($J172&gt;MAX('Match Log'!$A$4:$A$810),NA(),IFERROR(LOOKUP(2,1/(('Match Log'!$D$4:$D$810=$R$24)*('Match Log'!$A$4:$A$810&lt;=$J172)),'Match Log'!$N$4:$N$810),NA()))</f>
        <v>#N/A</v>
      </c>
      <c r="S172" t="e">
        <f>IF($J172&gt;MAX('Match Log'!$A$4:$A$810),NA(),IFERROR(LOOKUP(2,1/(('Match Log'!$D$4:$D$810=$S$24)*('Match Log'!$A$4:$A$810&lt;=$J172)),'Match Log'!$N$4:$N$810),NA()))</f>
        <v>#N/A</v>
      </c>
      <c r="T172" t="e">
        <f>IF($J172&gt;MAX('Match Log'!$A$4:$A$810),NA(),IFERROR(LOOKUP(2,1/(('Match Log'!$D$4:$D$810=$T$24)*('Match Log'!$A$4:$A$810&lt;=$J172)),'Match Log'!$N$4:$N$810),NA()))</f>
        <v>#N/A</v>
      </c>
      <c r="U172" t="e">
        <f>IF($J172&gt;MAX('Match Log'!$A$4:$A$810),NA(),IFERROR(LOOKUP(2,1/(('Match Log'!$D$4:$D$810=$U$24)*('Match Log'!$A$4:$A$810&lt;=$J172)),'Match Log'!$N$4:$N$810),NA()))</f>
        <v>#N/A</v>
      </c>
      <c r="V172" t="e">
        <f>IF($J172&gt;MAX('Match Log'!$A$4:$A$810),NA(),IFERROR(LOOKUP(2,1/(('Match Log'!$D$4:$D$810=$V$24)*('Match Log'!$A$4:$A$810&lt;=$J172)),'Match Log'!$N$4:$N$810),NA()))</f>
        <v>#N/A</v>
      </c>
      <c r="W172" t="e">
        <f>IF($J172&gt;MAX('Match Log'!$A$4:$A$810),NA(),IFERROR(LOOKUP(2,1/(('Match Log'!$D$4:$D$810=$W$24)*('Match Log'!$A$4:$A$810&lt;=$J172)),'Match Log'!$N$4:$N$810),NA()))</f>
        <v>#N/A</v>
      </c>
      <c r="X172" t="e">
        <f>IF($J172&gt;MAX('Match Log'!$A$4:$A$810),NA(),IFERROR(LOOKUP(2,1/(('Match Log'!$D$4:$D$810=$X$24)*('Match Log'!$A$4:$A$810&lt;=$J172)),'Match Log'!$N$4:$N$810),NA()))</f>
        <v>#N/A</v>
      </c>
      <c r="Y172" t="str">
        <f t="shared" ca="1" si="30"/>
        <v/>
      </c>
    </row>
    <row r="173" spans="1:25" x14ac:dyDescent="0.2">
      <c r="A173">
        <v>149</v>
      </c>
      <c r="B173" t="str">
        <f>IFERROR(INDEX('Match Log'!$B$4:$B$810,MATCH(149,'Match Log'!$A$4:$A$810,0)),"")</f>
        <v/>
      </c>
      <c r="C173" t="str">
        <f>IFERROR(INDEX('Match Log'!$C$4:$C$810,MATCH(149,'Match Log'!$A$4:$A$810,0)),"")</f>
        <v/>
      </c>
      <c r="D173" t="str">
        <f t="array" ref="D173">IFERROR(_xlfn.TEXTJOIN(" + ",TRUE,IF(('Match Log'!$A$4:$A$810=$A173)*('Match Log'!$E$4:$E$810="Win"),'Match Log'!$D$4:$D$810,"")),IFERROR(LOOKUP(2,1/(('Match Log'!$A$4:$A$810=$A173)*('Match Log'!$E$4:$E$810="Win")),'Match Log'!$D$4:$D$810),""))</f>
        <v/>
      </c>
      <c r="E173" t="str">
        <f>IFERROR(INDEX('Match Log'!$F$4:$F$810,MATCH(149,'Match Log'!$A$4:$A$810,0)),"")</f>
        <v/>
      </c>
      <c r="F173">
        <f>IFERROR(SUMIFS('Match Log'!$I$4:$I$810,'Match Log'!$A$4:$A$810,149,'Match Log'!$E$4:$E$810,"Win"),"")</f>
        <v>0</v>
      </c>
      <c r="G173" t="str">
        <f t="shared" si="28"/>
        <v/>
      </c>
      <c r="H173" t="str">
        <f t="array" ref="H173">IFERROR(IF(COUNTIFS('Match Log'!$A$4:$A$810,$A173,'Match Log'!$E$4:$E$810,"Win")&gt;1,_xlfn.TEXTJOIN(" + ",TRUE,IF(('Match Log'!$A$4:$A$810=$A173)*('Match Log'!$E$4:$E$810="Loss"),'Match Log'!$D$4:$D$810,"")),IF($E173=2,LOOKUP(2,1/(('Match Log'!$A$4:$A$810=$A173)*('Match Log'!$E$4:$E$810="Loss")),'Match Log'!$D$4:$D$810),"the field")),"")</f>
        <v>the field</v>
      </c>
      <c r="I173" t="str">
        <f t="shared" si="29"/>
        <v/>
      </c>
      <c r="J173">
        <v>149</v>
      </c>
      <c r="K173" t="e">
        <f>IF($J173&gt;MAX('Match Log'!$A$4:$A$810),NA(),IFERROR(LOOKUP(2,1/(('Match Log'!$D$4:$D$810=$K$24)*('Match Log'!$A$4:$A$810&lt;=$J173)),'Match Log'!$N$4:$N$810),NA()))</f>
        <v>#N/A</v>
      </c>
      <c r="L173" t="e">
        <f>IF($J173&gt;MAX('Match Log'!$A$4:$A$810),NA(),IFERROR(LOOKUP(2,1/(('Match Log'!$D$4:$D$810=$L$24)*('Match Log'!$A$4:$A$810&lt;=$J173)),'Match Log'!$N$4:$N$810),NA()))</f>
        <v>#N/A</v>
      </c>
      <c r="M173" t="e">
        <f>IF($J173&gt;MAX('Match Log'!$A$4:$A$810),NA(),IFERROR(LOOKUP(2,1/(('Match Log'!$D$4:$D$810=$M$24)*('Match Log'!$A$4:$A$810&lt;=$J173)),'Match Log'!$N$4:$N$810),NA()))</f>
        <v>#N/A</v>
      </c>
      <c r="N173" t="e">
        <f>IF($J173&gt;MAX('Match Log'!$A$4:$A$810),NA(),IFERROR(LOOKUP(2,1/(('Match Log'!$D$4:$D$810=$N$24)*('Match Log'!$A$4:$A$810&lt;=$J173)),'Match Log'!$N$4:$N$810),NA()))</f>
        <v>#N/A</v>
      </c>
      <c r="O173" t="e">
        <f>IF($J173&gt;MAX('Match Log'!$A$4:$A$810),NA(),IFERROR(LOOKUP(2,1/(('Match Log'!$D$4:$D$810=$O$24)*('Match Log'!$A$4:$A$810&lt;=$J173)),'Match Log'!$N$4:$N$810),NA()))</f>
        <v>#N/A</v>
      </c>
      <c r="P173" t="e">
        <f>IF($J173&gt;MAX('Match Log'!$A$4:$A$810),NA(),IFERROR(LOOKUP(2,1/(('Match Log'!$D$4:$D$810=$P$24)*('Match Log'!$A$4:$A$810&lt;=$J173)),'Match Log'!$N$4:$N$810),NA()))</f>
        <v>#N/A</v>
      </c>
      <c r="Q173" t="e">
        <f>IF($J173&gt;MAX('Match Log'!$A$4:$A$810),NA(),IFERROR(LOOKUP(2,1/(('Match Log'!$D$4:$D$810=$Q$24)*('Match Log'!$A$4:$A$810&lt;=$J173)),'Match Log'!$N$4:$N$810),NA()))</f>
        <v>#N/A</v>
      </c>
      <c r="R173" t="e">
        <f>IF($J173&gt;MAX('Match Log'!$A$4:$A$810),NA(),IFERROR(LOOKUP(2,1/(('Match Log'!$D$4:$D$810=$R$24)*('Match Log'!$A$4:$A$810&lt;=$J173)),'Match Log'!$N$4:$N$810),NA()))</f>
        <v>#N/A</v>
      </c>
      <c r="S173" t="e">
        <f>IF($J173&gt;MAX('Match Log'!$A$4:$A$810),NA(),IFERROR(LOOKUP(2,1/(('Match Log'!$D$4:$D$810=$S$24)*('Match Log'!$A$4:$A$810&lt;=$J173)),'Match Log'!$N$4:$N$810),NA()))</f>
        <v>#N/A</v>
      </c>
      <c r="T173" t="e">
        <f>IF($J173&gt;MAX('Match Log'!$A$4:$A$810),NA(),IFERROR(LOOKUP(2,1/(('Match Log'!$D$4:$D$810=$T$24)*('Match Log'!$A$4:$A$810&lt;=$J173)),'Match Log'!$N$4:$N$810),NA()))</f>
        <v>#N/A</v>
      </c>
      <c r="U173" t="e">
        <f>IF($J173&gt;MAX('Match Log'!$A$4:$A$810),NA(),IFERROR(LOOKUP(2,1/(('Match Log'!$D$4:$D$810=$U$24)*('Match Log'!$A$4:$A$810&lt;=$J173)),'Match Log'!$N$4:$N$810),NA()))</f>
        <v>#N/A</v>
      </c>
      <c r="V173" t="e">
        <f>IF($J173&gt;MAX('Match Log'!$A$4:$A$810),NA(),IFERROR(LOOKUP(2,1/(('Match Log'!$D$4:$D$810=$V$24)*('Match Log'!$A$4:$A$810&lt;=$J173)),'Match Log'!$N$4:$N$810),NA()))</f>
        <v>#N/A</v>
      </c>
      <c r="W173" t="e">
        <f>IF($J173&gt;MAX('Match Log'!$A$4:$A$810),NA(),IFERROR(LOOKUP(2,1/(('Match Log'!$D$4:$D$810=$W$24)*('Match Log'!$A$4:$A$810&lt;=$J173)),'Match Log'!$N$4:$N$810),NA()))</f>
        <v>#N/A</v>
      </c>
      <c r="X173" t="e">
        <f>IF($J173&gt;MAX('Match Log'!$A$4:$A$810),NA(),IFERROR(LOOKUP(2,1/(('Match Log'!$D$4:$D$810=$X$24)*('Match Log'!$A$4:$A$810&lt;=$J173)),'Match Log'!$N$4:$N$810),NA()))</f>
        <v>#N/A</v>
      </c>
      <c r="Y173" t="str">
        <f t="shared" ca="1" si="30"/>
        <v/>
      </c>
    </row>
    <row r="174" spans="1:25" x14ac:dyDescent="0.2">
      <c r="A174">
        <v>150</v>
      </c>
      <c r="B174" t="str">
        <f>IFERROR(INDEX('Match Log'!$B$4:$B$810,MATCH(150,'Match Log'!$A$4:$A$810,0)),"")</f>
        <v/>
      </c>
      <c r="C174" t="str">
        <f>IFERROR(INDEX('Match Log'!$C$4:$C$810,MATCH(150,'Match Log'!$A$4:$A$810,0)),"")</f>
        <v/>
      </c>
      <c r="D174" t="str">
        <f t="array" ref="D174">IFERROR(_xlfn.TEXTJOIN(" + ",TRUE,IF(('Match Log'!$A$4:$A$810=$A174)*('Match Log'!$E$4:$E$810="Win"),'Match Log'!$D$4:$D$810,"")),IFERROR(LOOKUP(2,1/(('Match Log'!$A$4:$A$810=$A174)*('Match Log'!$E$4:$E$810="Win")),'Match Log'!$D$4:$D$810),""))</f>
        <v/>
      </c>
      <c r="E174" t="str">
        <f>IFERROR(INDEX('Match Log'!$F$4:$F$810,MATCH(150,'Match Log'!$A$4:$A$810,0)),"")</f>
        <v/>
      </c>
      <c r="F174">
        <f>IFERROR(SUMIFS('Match Log'!$I$4:$I$810,'Match Log'!$A$4:$A$810,150,'Match Log'!$E$4:$E$810,"Win"),"")</f>
        <v>0</v>
      </c>
      <c r="G174" t="str">
        <f t="shared" si="28"/>
        <v/>
      </c>
      <c r="H174" t="str">
        <f t="array" ref="H174">IFERROR(IF(COUNTIFS('Match Log'!$A$4:$A$810,$A174,'Match Log'!$E$4:$E$810,"Win")&gt;1,_xlfn.TEXTJOIN(" + ",TRUE,IF(('Match Log'!$A$4:$A$810=$A174)*('Match Log'!$E$4:$E$810="Loss"),'Match Log'!$D$4:$D$810,"")),IF($E174=2,LOOKUP(2,1/(('Match Log'!$A$4:$A$810=$A174)*('Match Log'!$E$4:$E$810="Loss")),'Match Log'!$D$4:$D$810),"the field")),"")</f>
        <v>the field</v>
      </c>
      <c r="I174" t="str">
        <f t="shared" si="29"/>
        <v/>
      </c>
      <c r="J174">
        <v>150</v>
      </c>
      <c r="K174" t="e">
        <f>IF($J174&gt;MAX('Match Log'!$A$4:$A$810),NA(),IFERROR(LOOKUP(2,1/(('Match Log'!$D$4:$D$810=$K$24)*('Match Log'!$A$4:$A$810&lt;=$J174)),'Match Log'!$N$4:$N$810),NA()))</f>
        <v>#N/A</v>
      </c>
      <c r="L174" t="e">
        <f>IF($J174&gt;MAX('Match Log'!$A$4:$A$810),NA(),IFERROR(LOOKUP(2,1/(('Match Log'!$D$4:$D$810=$L$24)*('Match Log'!$A$4:$A$810&lt;=$J174)),'Match Log'!$N$4:$N$810),NA()))</f>
        <v>#N/A</v>
      </c>
      <c r="M174" t="e">
        <f>IF($J174&gt;MAX('Match Log'!$A$4:$A$810),NA(),IFERROR(LOOKUP(2,1/(('Match Log'!$D$4:$D$810=$M$24)*('Match Log'!$A$4:$A$810&lt;=$J174)),'Match Log'!$N$4:$N$810),NA()))</f>
        <v>#N/A</v>
      </c>
      <c r="N174" t="e">
        <f>IF($J174&gt;MAX('Match Log'!$A$4:$A$810),NA(),IFERROR(LOOKUP(2,1/(('Match Log'!$D$4:$D$810=$N$24)*('Match Log'!$A$4:$A$810&lt;=$J174)),'Match Log'!$N$4:$N$810),NA()))</f>
        <v>#N/A</v>
      </c>
      <c r="O174" t="e">
        <f>IF($J174&gt;MAX('Match Log'!$A$4:$A$810),NA(),IFERROR(LOOKUP(2,1/(('Match Log'!$D$4:$D$810=$O$24)*('Match Log'!$A$4:$A$810&lt;=$J174)),'Match Log'!$N$4:$N$810),NA()))</f>
        <v>#N/A</v>
      </c>
      <c r="P174" t="e">
        <f>IF($J174&gt;MAX('Match Log'!$A$4:$A$810),NA(),IFERROR(LOOKUP(2,1/(('Match Log'!$D$4:$D$810=$P$24)*('Match Log'!$A$4:$A$810&lt;=$J174)),'Match Log'!$N$4:$N$810),NA()))</f>
        <v>#N/A</v>
      </c>
      <c r="Q174" t="e">
        <f>IF($J174&gt;MAX('Match Log'!$A$4:$A$810),NA(),IFERROR(LOOKUP(2,1/(('Match Log'!$D$4:$D$810=$Q$24)*('Match Log'!$A$4:$A$810&lt;=$J174)),'Match Log'!$N$4:$N$810),NA()))</f>
        <v>#N/A</v>
      </c>
      <c r="R174" t="e">
        <f>IF($J174&gt;MAX('Match Log'!$A$4:$A$810),NA(),IFERROR(LOOKUP(2,1/(('Match Log'!$D$4:$D$810=$R$24)*('Match Log'!$A$4:$A$810&lt;=$J174)),'Match Log'!$N$4:$N$810),NA()))</f>
        <v>#N/A</v>
      </c>
      <c r="S174" t="e">
        <f>IF($J174&gt;MAX('Match Log'!$A$4:$A$810),NA(),IFERROR(LOOKUP(2,1/(('Match Log'!$D$4:$D$810=$S$24)*('Match Log'!$A$4:$A$810&lt;=$J174)),'Match Log'!$N$4:$N$810),NA()))</f>
        <v>#N/A</v>
      </c>
      <c r="T174" t="e">
        <f>IF($J174&gt;MAX('Match Log'!$A$4:$A$810),NA(),IFERROR(LOOKUP(2,1/(('Match Log'!$D$4:$D$810=$T$24)*('Match Log'!$A$4:$A$810&lt;=$J174)),'Match Log'!$N$4:$N$810),NA()))</f>
        <v>#N/A</v>
      </c>
      <c r="U174" t="e">
        <f>IF($J174&gt;MAX('Match Log'!$A$4:$A$810),NA(),IFERROR(LOOKUP(2,1/(('Match Log'!$D$4:$D$810=$U$24)*('Match Log'!$A$4:$A$810&lt;=$J174)),'Match Log'!$N$4:$N$810),NA()))</f>
        <v>#N/A</v>
      </c>
      <c r="V174" t="e">
        <f>IF($J174&gt;MAX('Match Log'!$A$4:$A$810),NA(),IFERROR(LOOKUP(2,1/(('Match Log'!$D$4:$D$810=$V$24)*('Match Log'!$A$4:$A$810&lt;=$J174)),'Match Log'!$N$4:$N$810),NA()))</f>
        <v>#N/A</v>
      </c>
      <c r="W174" t="e">
        <f>IF($J174&gt;MAX('Match Log'!$A$4:$A$810),NA(),IFERROR(LOOKUP(2,1/(('Match Log'!$D$4:$D$810=$W$24)*('Match Log'!$A$4:$A$810&lt;=$J174)),'Match Log'!$N$4:$N$810),NA()))</f>
        <v>#N/A</v>
      </c>
      <c r="X174" t="e">
        <f>IF($J174&gt;MAX('Match Log'!$A$4:$A$810),NA(),IFERROR(LOOKUP(2,1/(('Match Log'!$D$4:$D$810=$X$24)*('Match Log'!$A$4:$A$810&lt;=$J174)),'Match Log'!$N$4:$N$810),NA()))</f>
        <v>#N/A</v>
      </c>
      <c r="Y174" t="str">
        <f t="shared" ca="1" si="30"/>
        <v/>
      </c>
    </row>
    <row r="175" spans="1:25" x14ac:dyDescent="0.2">
      <c r="A175">
        <v>151</v>
      </c>
      <c r="B175" t="str">
        <f>IFERROR(INDEX('Match Log'!$B$4:$B$810,MATCH(151,'Match Log'!$A$4:$A$810,0)),"")</f>
        <v/>
      </c>
      <c r="C175" t="str">
        <f>IFERROR(INDEX('Match Log'!$C$4:$C$810,MATCH(151,'Match Log'!$A$4:$A$810,0)),"")</f>
        <v/>
      </c>
      <c r="D175" t="str">
        <f t="array" ref="D175">IFERROR(_xlfn.TEXTJOIN(" + ",TRUE,IF(('Match Log'!$A$4:$A$810=$A175)*('Match Log'!$E$4:$E$810="Win"),'Match Log'!$D$4:$D$810,"")),IFERROR(LOOKUP(2,1/(('Match Log'!$A$4:$A$810=$A175)*('Match Log'!$E$4:$E$810="Win")),'Match Log'!$D$4:$D$810),""))</f>
        <v/>
      </c>
      <c r="E175" t="str">
        <f>IFERROR(INDEX('Match Log'!$F$4:$F$810,MATCH(151,'Match Log'!$A$4:$A$810,0)),"")</f>
        <v/>
      </c>
      <c r="F175">
        <f>IFERROR(SUMIFS('Match Log'!$I$4:$I$810,'Match Log'!$A$4:$A$810,151,'Match Log'!$E$4:$E$810,"Win"),"")</f>
        <v>0</v>
      </c>
      <c r="G175" t="str">
        <f t="shared" si="28"/>
        <v/>
      </c>
      <c r="H175" t="str">
        <f t="array" ref="H175">IFERROR(IF(COUNTIFS('Match Log'!$A$4:$A$810,$A175,'Match Log'!$E$4:$E$810,"Win")&gt;1,_xlfn.TEXTJOIN(" + ",TRUE,IF(('Match Log'!$A$4:$A$810=$A175)*('Match Log'!$E$4:$E$810="Loss"),'Match Log'!$D$4:$D$810,"")),IF($E175=2,LOOKUP(2,1/(('Match Log'!$A$4:$A$810=$A175)*('Match Log'!$E$4:$E$810="Loss")),'Match Log'!$D$4:$D$810),"the field")),"")</f>
        <v>the field</v>
      </c>
      <c r="I175" t="str">
        <f t="shared" si="29"/>
        <v/>
      </c>
      <c r="J175">
        <v>151</v>
      </c>
      <c r="K175" t="e">
        <f>IF($J175&gt;MAX('Match Log'!$A$4:$A$810),NA(),IFERROR(LOOKUP(2,1/(('Match Log'!$D$4:$D$810=$K$24)*('Match Log'!$A$4:$A$810&lt;=$J175)),'Match Log'!$N$4:$N$810),NA()))</f>
        <v>#N/A</v>
      </c>
      <c r="L175" t="e">
        <f>IF($J175&gt;MAX('Match Log'!$A$4:$A$810),NA(),IFERROR(LOOKUP(2,1/(('Match Log'!$D$4:$D$810=$L$24)*('Match Log'!$A$4:$A$810&lt;=$J175)),'Match Log'!$N$4:$N$810),NA()))</f>
        <v>#N/A</v>
      </c>
      <c r="M175" t="e">
        <f>IF($J175&gt;MAX('Match Log'!$A$4:$A$810),NA(),IFERROR(LOOKUP(2,1/(('Match Log'!$D$4:$D$810=$M$24)*('Match Log'!$A$4:$A$810&lt;=$J175)),'Match Log'!$N$4:$N$810),NA()))</f>
        <v>#N/A</v>
      </c>
      <c r="N175" t="e">
        <f>IF($J175&gt;MAX('Match Log'!$A$4:$A$810),NA(),IFERROR(LOOKUP(2,1/(('Match Log'!$D$4:$D$810=$N$24)*('Match Log'!$A$4:$A$810&lt;=$J175)),'Match Log'!$N$4:$N$810),NA()))</f>
        <v>#N/A</v>
      </c>
      <c r="O175" t="e">
        <f>IF($J175&gt;MAX('Match Log'!$A$4:$A$810),NA(),IFERROR(LOOKUP(2,1/(('Match Log'!$D$4:$D$810=$O$24)*('Match Log'!$A$4:$A$810&lt;=$J175)),'Match Log'!$N$4:$N$810),NA()))</f>
        <v>#N/A</v>
      </c>
      <c r="P175" t="e">
        <f>IF($J175&gt;MAX('Match Log'!$A$4:$A$810),NA(),IFERROR(LOOKUP(2,1/(('Match Log'!$D$4:$D$810=$P$24)*('Match Log'!$A$4:$A$810&lt;=$J175)),'Match Log'!$N$4:$N$810),NA()))</f>
        <v>#N/A</v>
      </c>
      <c r="Q175" t="e">
        <f>IF($J175&gt;MAX('Match Log'!$A$4:$A$810),NA(),IFERROR(LOOKUP(2,1/(('Match Log'!$D$4:$D$810=$Q$24)*('Match Log'!$A$4:$A$810&lt;=$J175)),'Match Log'!$N$4:$N$810),NA()))</f>
        <v>#N/A</v>
      </c>
      <c r="R175" t="e">
        <f>IF($J175&gt;MAX('Match Log'!$A$4:$A$810),NA(),IFERROR(LOOKUP(2,1/(('Match Log'!$D$4:$D$810=$R$24)*('Match Log'!$A$4:$A$810&lt;=$J175)),'Match Log'!$N$4:$N$810),NA()))</f>
        <v>#N/A</v>
      </c>
      <c r="S175" t="e">
        <f>IF($J175&gt;MAX('Match Log'!$A$4:$A$810),NA(),IFERROR(LOOKUP(2,1/(('Match Log'!$D$4:$D$810=$S$24)*('Match Log'!$A$4:$A$810&lt;=$J175)),'Match Log'!$N$4:$N$810),NA()))</f>
        <v>#N/A</v>
      </c>
      <c r="T175" t="e">
        <f>IF($J175&gt;MAX('Match Log'!$A$4:$A$810),NA(),IFERROR(LOOKUP(2,1/(('Match Log'!$D$4:$D$810=$T$24)*('Match Log'!$A$4:$A$810&lt;=$J175)),'Match Log'!$N$4:$N$810),NA()))</f>
        <v>#N/A</v>
      </c>
      <c r="U175" t="e">
        <f>IF($J175&gt;MAX('Match Log'!$A$4:$A$810),NA(),IFERROR(LOOKUP(2,1/(('Match Log'!$D$4:$D$810=$U$24)*('Match Log'!$A$4:$A$810&lt;=$J175)),'Match Log'!$N$4:$N$810),NA()))</f>
        <v>#N/A</v>
      </c>
      <c r="V175" t="e">
        <f>IF($J175&gt;MAX('Match Log'!$A$4:$A$810),NA(),IFERROR(LOOKUP(2,1/(('Match Log'!$D$4:$D$810=$V$24)*('Match Log'!$A$4:$A$810&lt;=$J175)),'Match Log'!$N$4:$N$810),NA()))</f>
        <v>#N/A</v>
      </c>
      <c r="W175" t="e">
        <f>IF($J175&gt;MAX('Match Log'!$A$4:$A$810),NA(),IFERROR(LOOKUP(2,1/(('Match Log'!$D$4:$D$810=$W$24)*('Match Log'!$A$4:$A$810&lt;=$J175)),'Match Log'!$N$4:$N$810),NA()))</f>
        <v>#N/A</v>
      </c>
      <c r="X175" t="e">
        <f>IF($J175&gt;MAX('Match Log'!$A$4:$A$810),NA(),IFERROR(LOOKUP(2,1/(('Match Log'!$D$4:$D$810=$X$24)*('Match Log'!$A$4:$A$810&lt;=$J175)),'Match Log'!$N$4:$N$810),NA()))</f>
        <v>#N/A</v>
      </c>
      <c r="Y175" t="str">
        <f t="shared" ca="1" si="30"/>
        <v/>
      </c>
    </row>
    <row r="176" spans="1:25" x14ac:dyDescent="0.2">
      <c r="A176">
        <v>152</v>
      </c>
      <c r="B176" t="str">
        <f>IFERROR(INDEX('Match Log'!$B$4:$B$810,MATCH(152,'Match Log'!$A$4:$A$810,0)),"")</f>
        <v/>
      </c>
      <c r="C176" t="str">
        <f>IFERROR(INDEX('Match Log'!$C$4:$C$810,MATCH(152,'Match Log'!$A$4:$A$810,0)),"")</f>
        <v/>
      </c>
      <c r="D176" t="str">
        <f t="array" ref="D176">IFERROR(_xlfn.TEXTJOIN(" + ",TRUE,IF(('Match Log'!$A$4:$A$810=$A176)*('Match Log'!$E$4:$E$810="Win"),'Match Log'!$D$4:$D$810,"")),IFERROR(LOOKUP(2,1/(('Match Log'!$A$4:$A$810=$A176)*('Match Log'!$E$4:$E$810="Win")),'Match Log'!$D$4:$D$810),""))</f>
        <v/>
      </c>
      <c r="E176" t="str">
        <f>IFERROR(INDEX('Match Log'!$F$4:$F$810,MATCH(152,'Match Log'!$A$4:$A$810,0)),"")</f>
        <v/>
      </c>
      <c r="F176">
        <f>IFERROR(SUMIFS('Match Log'!$I$4:$I$810,'Match Log'!$A$4:$A$810,152,'Match Log'!$E$4:$E$810,"Win"),"")</f>
        <v>0</v>
      </c>
      <c r="G176" t="str">
        <f t="shared" si="28"/>
        <v/>
      </c>
      <c r="H176" t="str">
        <f t="array" ref="H176">IFERROR(IF(COUNTIFS('Match Log'!$A$4:$A$810,$A176,'Match Log'!$E$4:$E$810,"Win")&gt;1,_xlfn.TEXTJOIN(" + ",TRUE,IF(('Match Log'!$A$4:$A$810=$A176)*('Match Log'!$E$4:$E$810="Loss"),'Match Log'!$D$4:$D$810,"")),IF($E176=2,LOOKUP(2,1/(('Match Log'!$A$4:$A$810=$A176)*('Match Log'!$E$4:$E$810="Loss")),'Match Log'!$D$4:$D$810),"the field")),"")</f>
        <v>the field</v>
      </c>
      <c r="I176" t="str">
        <f t="shared" si="29"/>
        <v/>
      </c>
      <c r="J176">
        <v>152</v>
      </c>
      <c r="K176" t="e">
        <f>IF($J176&gt;MAX('Match Log'!$A$4:$A$810),NA(),IFERROR(LOOKUP(2,1/(('Match Log'!$D$4:$D$810=$K$24)*('Match Log'!$A$4:$A$810&lt;=$J176)),'Match Log'!$N$4:$N$810),NA()))</f>
        <v>#N/A</v>
      </c>
      <c r="L176" t="e">
        <f>IF($J176&gt;MAX('Match Log'!$A$4:$A$810),NA(),IFERROR(LOOKUP(2,1/(('Match Log'!$D$4:$D$810=$L$24)*('Match Log'!$A$4:$A$810&lt;=$J176)),'Match Log'!$N$4:$N$810),NA()))</f>
        <v>#N/A</v>
      </c>
      <c r="M176" t="e">
        <f>IF($J176&gt;MAX('Match Log'!$A$4:$A$810),NA(),IFERROR(LOOKUP(2,1/(('Match Log'!$D$4:$D$810=$M$24)*('Match Log'!$A$4:$A$810&lt;=$J176)),'Match Log'!$N$4:$N$810),NA()))</f>
        <v>#N/A</v>
      </c>
      <c r="N176" t="e">
        <f>IF($J176&gt;MAX('Match Log'!$A$4:$A$810),NA(),IFERROR(LOOKUP(2,1/(('Match Log'!$D$4:$D$810=$N$24)*('Match Log'!$A$4:$A$810&lt;=$J176)),'Match Log'!$N$4:$N$810),NA()))</f>
        <v>#N/A</v>
      </c>
      <c r="O176" t="e">
        <f>IF($J176&gt;MAX('Match Log'!$A$4:$A$810),NA(),IFERROR(LOOKUP(2,1/(('Match Log'!$D$4:$D$810=$O$24)*('Match Log'!$A$4:$A$810&lt;=$J176)),'Match Log'!$N$4:$N$810),NA()))</f>
        <v>#N/A</v>
      </c>
      <c r="P176" t="e">
        <f>IF($J176&gt;MAX('Match Log'!$A$4:$A$810),NA(),IFERROR(LOOKUP(2,1/(('Match Log'!$D$4:$D$810=$P$24)*('Match Log'!$A$4:$A$810&lt;=$J176)),'Match Log'!$N$4:$N$810),NA()))</f>
        <v>#N/A</v>
      </c>
      <c r="Q176" t="e">
        <f>IF($J176&gt;MAX('Match Log'!$A$4:$A$810),NA(),IFERROR(LOOKUP(2,1/(('Match Log'!$D$4:$D$810=$Q$24)*('Match Log'!$A$4:$A$810&lt;=$J176)),'Match Log'!$N$4:$N$810),NA()))</f>
        <v>#N/A</v>
      </c>
      <c r="R176" t="e">
        <f>IF($J176&gt;MAX('Match Log'!$A$4:$A$810),NA(),IFERROR(LOOKUP(2,1/(('Match Log'!$D$4:$D$810=$R$24)*('Match Log'!$A$4:$A$810&lt;=$J176)),'Match Log'!$N$4:$N$810),NA()))</f>
        <v>#N/A</v>
      </c>
      <c r="S176" t="e">
        <f>IF($J176&gt;MAX('Match Log'!$A$4:$A$810),NA(),IFERROR(LOOKUP(2,1/(('Match Log'!$D$4:$D$810=$S$24)*('Match Log'!$A$4:$A$810&lt;=$J176)),'Match Log'!$N$4:$N$810),NA()))</f>
        <v>#N/A</v>
      </c>
      <c r="T176" t="e">
        <f>IF($J176&gt;MAX('Match Log'!$A$4:$A$810),NA(),IFERROR(LOOKUP(2,1/(('Match Log'!$D$4:$D$810=$T$24)*('Match Log'!$A$4:$A$810&lt;=$J176)),'Match Log'!$N$4:$N$810),NA()))</f>
        <v>#N/A</v>
      </c>
      <c r="U176" t="e">
        <f>IF($J176&gt;MAX('Match Log'!$A$4:$A$810),NA(),IFERROR(LOOKUP(2,1/(('Match Log'!$D$4:$D$810=$U$24)*('Match Log'!$A$4:$A$810&lt;=$J176)),'Match Log'!$N$4:$N$810),NA()))</f>
        <v>#N/A</v>
      </c>
      <c r="V176" t="e">
        <f>IF($J176&gt;MAX('Match Log'!$A$4:$A$810),NA(),IFERROR(LOOKUP(2,1/(('Match Log'!$D$4:$D$810=$V$24)*('Match Log'!$A$4:$A$810&lt;=$J176)),'Match Log'!$N$4:$N$810),NA()))</f>
        <v>#N/A</v>
      </c>
      <c r="W176" t="e">
        <f>IF($J176&gt;MAX('Match Log'!$A$4:$A$810),NA(),IFERROR(LOOKUP(2,1/(('Match Log'!$D$4:$D$810=$W$24)*('Match Log'!$A$4:$A$810&lt;=$J176)),'Match Log'!$N$4:$N$810),NA()))</f>
        <v>#N/A</v>
      </c>
      <c r="X176" t="e">
        <f>IF($J176&gt;MAX('Match Log'!$A$4:$A$810),NA(),IFERROR(LOOKUP(2,1/(('Match Log'!$D$4:$D$810=$X$24)*('Match Log'!$A$4:$A$810&lt;=$J176)),'Match Log'!$N$4:$N$810),NA()))</f>
        <v>#N/A</v>
      </c>
      <c r="Y176" t="str">
        <f t="shared" ca="1" si="30"/>
        <v/>
      </c>
    </row>
    <row r="177" spans="1:25" x14ac:dyDescent="0.2">
      <c r="A177">
        <v>153</v>
      </c>
      <c r="B177" t="str">
        <f>IFERROR(INDEX('Match Log'!$B$4:$B$810,MATCH(153,'Match Log'!$A$4:$A$810,0)),"")</f>
        <v/>
      </c>
      <c r="C177" t="str">
        <f>IFERROR(INDEX('Match Log'!$C$4:$C$810,MATCH(153,'Match Log'!$A$4:$A$810,0)),"")</f>
        <v/>
      </c>
      <c r="D177" t="str">
        <f t="array" ref="D177">IFERROR(_xlfn.TEXTJOIN(" + ",TRUE,IF(('Match Log'!$A$4:$A$810=$A177)*('Match Log'!$E$4:$E$810="Win"),'Match Log'!$D$4:$D$810,"")),IFERROR(LOOKUP(2,1/(('Match Log'!$A$4:$A$810=$A177)*('Match Log'!$E$4:$E$810="Win")),'Match Log'!$D$4:$D$810),""))</f>
        <v/>
      </c>
      <c r="E177" t="str">
        <f>IFERROR(INDEX('Match Log'!$F$4:$F$810,MATCH(153,'Match Log'!$A$4:$A$810,0)),"")</f>
        <v/>
      </c>
      <c r="F177">
        <f>IFERROR(SUMIFS('Match Log'!$I$4:$I$810,'Match Log'!$A$4:$A$810,153,'Match Log'!$E$4:$E$810,"Win"),"")</f>
        <v>0</v>
      </c>
      <c r="G177" t="str">
        <f t="shared" si="28"/>
        <v/>
      </c>
      <c r="H177" t="str">
        <f t="array" ref="H177">IFERROR(IF(COUNTIFS('Match Log'!$A$4:$A$810,$A177,'Match Log'!$E$4:$E$810,"Win")&gt;1,_xlfn.TEXTJOIN(" + ",TRUE,IF(('Match Log'!$A$4:$A$810=$A177)*('Match Log'!$E$4:$E$810="Loss"),'Match Log'!$D$4:$D$810,"")),IF($E177=2,LOOKUP(2,1/(('Match Log'!$A$4:$A$810=$A177)*('Match Log'!$E$4:$E$810="Loss")),'Match Log'!$D$4:$D$810),"the field")),"")</f>
        <v>the field</v>
      </c>
      <c r="I177" t="str">
        <f t="shared" si="29"/>
        <v/>
      </c>
      <c r="J177">
        <v>153</v>
      </c>
      <c r="K177" t="e">
        <f>IF($J177&gt;MAX('Match Log'!$A$4:$A$810),NA(),IFERROR(LOOKUP(2,1/(('Match Log'!$D$4:$D$810=$K$24)*('Match Log'!$A$4:$A$810&lt;=$J177)),'Match Log'!$N$4:$N$810),NA()))</f>
        <v>#N/A</v>
      </c>
      <c r="L177" t="e">
        <f>IF($J177&gt;MAX('Match Log'!$A$4:$A$810),NA(),IFERROR(LOOKUP(2,1/(('Match Log'!$D$4:$D$810=$L$24)*('Match Log'!$A$4:$A$810&lt;=$J177)),'Match Log'!$N$4:$N$810),NA()))</f>
        <v>#N/A</v>
      </c>
      <c r="M177" t="e">
        <f>IF($J177&gt;MAX('Match Log'!$A$4:$A$810),NA(),IFERROR(LOOKUP(2,1/(('Match Log'!$D$4:$D$810=$M$24)*('Match Log'!$A$4:$A$810&lt;=$J177)),'Match Log'!$N$4:$N$810),NA()))</f>
        <v>#N/A</v>
      </c>
      <c r="N177" t="e">
        <f>IF($J177&gt;MAX('Match Log'!$A$4:$A$810),NA(),IFERROR(LOOKUP(2,1/(('Match Log'!$D$4:$D$810=$N$24)*('Match Log'!$A$4:$A$810&lt;=$J177)),'Match Log'!$N$4:$N$810),NA()))</f>
        <v>#N/A</v>
      </c>
      <c r="O177" t="e">
        <f>IF($J177&gt;MAX('Match Log'!$A$4:$A$810),NA(),IFERROR(LOOKUP(2,1/(('Match Log'!$D$4:$D$810=$O$24)*('Match Log'!$A$4:$A$810&lt;=$J177)),'Match Log'!$N$4:$N$810),NA()))</f>
        <v>#N/A</v>
      </c>
      <c r="P177" t="e">
        <f>IF($J177&gt;MAX('Match Log'!$A$4:$A$810),NA(),IFERROR(LOOKUP(2,1/(('Match Log'!$D$4:$D$810=$P$24)*('Match Log'!$A$4:$A$810&lt;=$J177)),'Match Log'!$N$4:$N$810),NA()))</f>
        <v>#N/A</v>
      </c>
      <c r="Q177" t="e">
        <f>IF($J177&gt;MAX('Match Log'!$A$4:$A$810),NA(),IFERROR(LOOKUP(2,1/(('Match Log'!$D$4:$D$810=$Q$24)*('Match Log'!$A$4:$A$810&lt;=$J177)),'Match Log'!$N$4:$N$810),NA()))</f>
        <v>#N/A</v>
      </c>
      <c r="R177" t="e">
        <f>IF($J177&gt;MAX('Match Log'!$A$4:$A$810),NA(),IFERROR(LOOKUP(2,1/(('Match Log'!$D$4:$D$810=$R$24)*('Match Log'!$A$4:$A$810&lt;=$J177)),'Match Log'!$N$4:$N$810),NA()))</f>
        <v>#N/A</v>
      </c>
      <c r="S177" t="e">
        <f>IF($J177&gt;MAX('Match Log'!$A$4:$A$810),NA(),IFERROR(LOOKUP(2,1/(('Match Log'!$D$4:$D$810=$S$24)*('Match Log'!$A$4:$A$810&lt;=$J177)),'Match Log'!$N$4:$N$810),NA()))</f>
        <v>#N/A</v>
      </c>
      <c r="T177" t="e">
        <f>IF($J177&gt;MAX('Match Log'!$A$4:$A$810),NA(),IFERROR(LOOKUP(2,1/(('Match Log'!$D$4:$D$810=$T$24)*('Match Log'!$A$4:$A$810&lt;=$J177)),'Match Log'!$N$4:$N$810),NA()))</f>
        <v>#N/A</v>
      </c>
      <c r="U177" t="e">
        <f>IF($J177&gt;MAX('Match Log'!$A$4:$A$810),NA(),IFERROR(LOOKUP(2,1/(('Match Log'!$D$4:$D$810=$U$24)*('Match Log'!$A$4:$A$810&lt;=$J177)),'Match Log'!$N$4:$N$810),NA()))</f>
        <v>#N/A</v>
      </c>
      <c r="V177" t="e">
        <f>IF($J177&gt;MAX('Match Log'!$A$4:$A$810),NA(),IFERROR(LOOKUP(2,1/(('Match Log'!$D$4:$D$810=$V$24)*('Match Log'!$A$4:$A$810&lt;=$J177)),'Match Log'!$N$4:$N$810),NA()))</f>
        <v>#N/A</v>
      </c>
      <c r="W177" t="e">
        <f>IF($J177&gt;MAX('Match Log'!$A$4:$A$810),NA(),IFERROR(LOOKUP(2,1/(('Match Log'!$D$4:$D$810=$W$24)*('Match Log'!$A$4:$A$810&lt;=$J177)),'Match Log'!$N$4:$N$810),NA()))</f>
        <v>#N/A</v>
      </c>
      <c r="X177" t="e">
        <f>IF($J177&gt;MAX('Match Log'!$A$4:$A$810),NA(),IFERROR(LOOKUP(2,1/(('Match Log'!$D$4:$D$810=$X$24)*('Match Log'!$A$4:$A$810&lt;=$J177)),'Match Log'!$N$4:$N$810),NA()))</f>
        <v>#N/A</v>
      </c>
      <c r="Y177" t="str">
        <f t="shared" ca="1" si="30"/>
        <v/>
      </c>
    </row>
    <row r="178" spans="1:25" x14ac:dyDescent="0.2">
      <c r="A178">
        <v>154</v>
      </c>
      <c r="B178" t="str">
        <f>IFERROR(INDEX('Match Log'!$B$4:$B$810,MATCH(154,'Match Log'!$A$4:$A$810,0)),"")</f>
        <v/>
      </c>
      <c r="C178" t="str">
        <f>IFERROR(INDEX('Match Log'!$C$4:$C$810,MATCH(154,'Match Log'!$A$4:$A$810,0)),"")</f>
        <v/>
      </c>
      <c r="D178" t="str">
        <f t="array" ref="D178">IFERROR(_xlfn.TEXTJOIN(" + ",TRUE,IF(('Match Log'!$A$4:$A$810=$A178)*('Match Log'!$E$4:$E$810="Win"),'Match Log'!$D$4:$D$810,"")),IFERROR(LOOKUP(2,1/(('Match Log'!$A$4:$A$810=$A178)*('Match Log'!$E$4:$E$810="Win")),'Match Log'!$D$4:$D$810),""))</f>
        <v/>
      </c>
      <c r="E178" t="str">
        <f>IFERROR(INDEX('Match Log'!$F$4:$F$810,MATCH(154,'Match Log'!$A$4:$A$810,0)),"")</f>
        <v/>
      </c>
      <c r="F178">
        <f>IFERROR(SUMIFS('Match Log'!$I$4:$I$810,'Match Log'!$A$4:$A$810,154,'Match Log'!$E$4:$E$810,"Win"),"")</f>
        <v>0</v>
      </c>
      <c r="G178" t="str">
        <f t="shared" si="28"/>
        <v/>
      </c>
      <c r="H178" t="str">
        <f t="array" ref="H178">IFERROR(IF(COUNTIFS('Match Log'!$A$4:$A$810,$A178,'Match Log'!$E$4:$E$810,"Win")&gt;1,_xlfn.TEXTJOIN(" + ",TRUE,IF(('Match Log'!$A$4:$A$810=$A178)*('Match Log'!$E$4:$E$810="Loss"),'Match Log'!$D$4:$D$810,"")),IF($E178=2,LOOKUP(2,1/(('Match Log'!$A$4:$A$810=$A178)*('Match Log'!$E$4:$E$810="Loss")),'Match Log'!$D$4:$D$810),"the field")),"")</f>
        <v>the field</v>
      </c>
      <c r="I178" t="str">
        <f t="shared" si="29"/>
        <v/>
      </c>
      <c r="J178">
        <v>154</v>
      </c>
      <c r="K178" t="e">
        <f>IF($J178&gt;MAX('Match Log'!$A$4:$A$810),NA(),IFERROR(LOOKUP(2,1/(('Match Log'!$D$4:$D$810=$K$24)*('Match Log'!$A$4:$A$810&lt;=$J178)),'Match Log'!$N$4:$N$810),NA()))</f>
        <v>#N/A</v>
      </c>
      <c r="L178" t="e">
        <f>IF($J178&gt;MAX('Match Log'!$A$4:$A$810),NA(),IFERROR(LOOKUP(2,1/(('Match Log'!$D$4:$D$810=$L$24)*('Match Log'!$A$4:$A$810&lt;=$J178)),'Match Log'!$N$4:$N$810),NA()))</f>
        <v>#N/A</v>
      </c>
      <c r="M178" t="e">
        <f>IF($J178&gt;MAX('Match Log'!$A$4:$A$810),NA(),IFERROR(LOOKUP(2,1/(('Match Log'!$D$4:$D$810=$M$24)*('Match Log'!$A$4:$A$810&lt;=$J178)),'Match Log'!$N$4:$N$810),NA()))</f>
        <v>#N/A</v>
      </c>
      <c r="N178" t="e">
        <f>IF($J178&gt;MAX('Match Log'!$A$4:$A$810),NA(),IFERROR(LOOKUP(2,1/(('Match Log'!$D$4:$D$810=$N$24)*('Match Log'!$A$4:$A$810&lt;=$J178)),'Match Log'!$N$4:$N$810),NA()))</f>
        <v>#N/A</v>
      </c>
      <c r="O178" t="e">
        <f>IF($J178&gt;MAX('Match Log'!$A$4:$A$810),NA(),IFERROR(LOOKUP(2,1/(('Match Log'!$D$4:$D$810=$O$24)*('Match Log'!$A$4:$A$810&lt;=$J178)),'Match Log'!$N$4:$N$810),NA()))</f>
        <v>#N/A</v>
      </c>
      <c r="P178" t="e">
        <f>IF($J178&gt;MAX('Match Log'!$A$4:$A$810),NA(),IFERROR(LOOKUP(2,1/(('Match Log'!$D$4:$D$810=$P$24)*('Match Log'!$A$4:$A$810&lt;=$J178)),'Match Log'!$N$4:$N$810),NA()))</f>
        <v>#N/A</v>
      </c>
      <c r="Q178" t="e">
        <f>IF($J178&gt;MAX('Match Log'!$A$4:$A$810),NA(),IFERROR(LOOKUP(2,1/(('Match Log'!$D$4:$D$810=$Q$24)*('Match Log'!$A$4:$A$810&lt;=$J178)),'Match Log'!$N$4:$N$810),NA()))</f>
        <v>#N/A</v>
      </c>
      <c r="R178" t="e">
        <f>IF($J178&gt;MAX('Match Log'!$A$4:$A$810),NA(),IFERROR(LOOKUP(2,1/(('Match Log'!$D$4:$D$810=$R$24)*('Match Log'!$A$4:$A$810&lt;=$J178)),'Match Log'!$N$4:$N$810),NA()))</f>
        <v>#N/A</v>
      </c>
      <c r="S178" t="e">
        <f>IF($J178&gt;MAX('Match Log'!$A$4:$A$810),NA(),IFERROR(LOOKUP(2,1/(('Match Log'!$D$4:$D$810=$S$24)*('Match Log'!$A$4:$A$810&lt;=$J178)),'Match Log'!$N$4:$N$810),NA()))</f>
        <v>#N/A</v>
      </c>
      <c r="T178" t="e">
        <f>IF($J178&gt;MAX('Match Log'!$A$4:$A$810),NA(),IFERROR(LOOKUP(2,1/(('Match Log'!$D$4:$D$810=$T$24)*('Match Log'!$A$4:$A$810&lt;=$J178)),'Match Log'!$N$4:$N$810),NA()))</f>
        <v>#N/A</v>
      </c>
      <c r="U178" t="e">
        <f>IF($J178&gt;MAX('Match Log'!$A$4:$A$810),NA(),IFERROR(LOOKUP(2,1/(('Match Log'!$D$4:$D$810=$U$24)*('Match Log'!$A$4:$A$810&lt;=$J178)),'Match Log'!$N$4:$N$810),NA()))</f>
        <v>#N/A</v>
      </c>
      <c r="V178" t="e">
        <f>IF($J178&gt;MAX('Match Log'!$A$4:$A$810),NA(),IFERROR(LOOKUP(2,1/(('Match Log'!$D$4:$D$810=$V$24)*('Match Log'!$A$4:$A$810&lt;=$J178)),'Match Log'!$N$4:$N$810),NA()))</f>
        <v>#N/A</v>
      </c>
      <c r="W178" t="e">
        <f>IF($J178&gt;MAX('Match Log'!$A$4:$A$810),NA(),IFERROR(LOOKUP(2,1/(('Match Log'!$D$4:$D$810=$W$24)*('Match Log'!$A$4:$A$810&lt;=$J178)),'Match Log'!$N$4:$N$810),NA()))</f>
        <v>#N/A</v>
      </c>
      <c r="X178" t="e">
        <f>IF($J178&gt;MAX('Match Log'!$A$4:$A$810),NA(),IFERROR(LOOKUP(2,1/(('Match Log'!$D$4:$D$810=$X$24)*('Match Log'!$A$4:$A$810&lt;=$J178)),'Match Log'!$N$4:$N$810),NA()))</f>
        <v>#N/A</v>
      </c>
      <c r="Y178" t="str">
        <f t="shared" ca="1" si="30"/>
        <v/>
      </c>
    </row>
    <row r="179" spans="1:25" x14ac:dyDescent="0.2">
      <c r="A179">
        <v>155</v>
      </c>
      <c r="B179" t="str">
        <f>IFERROR(INDEX('Match Log'!$B$4:$B$810,MATCH(155,'Match Log'!$A$4:$A$810,0)),"")</f>
        <v/>
      </c>
      <c r="C179" t="str">
        <f>IFERROR(INDEX('Match Log'!$C$4:$C$810,MATCH(155,'Match Log'!$A$4:$A$810,0)),"")</f>
        <v/>
      </c>
      <c r="D179" t="str">
        <f t="array" ref="D179">IFERROR(_xlfn.TEXTJOIN(" + ",TRUE,IF(('Match Log'!$A$4:$A$810=$A179)*('Match Log'!$E$4:$E$810="Win"),'Match Log'!$D$4:$D$810,"")),IFERROR(LOOKUP(2,1/(('Match Log'!$A$4:$A$810=$A179)*('Match Log'!$E$4:$E$810="Win")),'Match Log'!$D$4:$D$810),""))</f>
        <v/>
      </c>
      <c r="E179" t="str">
        <f>IFERROR(INDEX('Match Log'!$F$4:$F$810,MATCH(155,'Match Log'!$A$4:$A$810,0)),"")</f>
        <v/>
      </c>
      <c r="F179">
        <f>IFERROR(SUMIFS('Match Log'!$I$4:$I$810,'Match Log'!$A$4:$A$810,155,'Match Log'!$E$4:$E$810,"Win"),"")</f>
        <v>0</v>
      </c>
      <c r="G179" t="str">
        <f t="shared" si="28"/>
        <v/>
      </c>
      <c r="H179" t="str">
        <f t="array" ref="H179">IFERROR(IF(COUNTIFS('Match Log'!$A$4:$A$810,$A179,'Match Log'!$E$4:$E$810,"Win")&gt;1,_xlfn.TEXTJOIN(" + ",TRUE,IF(('Match Log'!$A$4:$A$810=$A179)*('Match Log'!$E$4:$E$810="Loss"),'Match Log'!$D$4:$D$810,"")),IF($E179=2,LOOKUP(2,1/(('Match Log'!$A$4:$A$810=$A179)*('Match Log'!$E$4:$E$810="Loss")),'Match Log'!$D$4:$D$810),"the field")),"")</f>
        <v>the field</v>
      </c>
      <c r="I179" t="str">
        <f t="shared" si="29"/>
        <v/>
      </c>
      <c r="J179">
        <v>155</v>
      </c>
      <c r="K179" t="e">
        <f>IF($J179&gt;MAX('Match Log'!$A$4:$A$810),NA(),IFERROR(LOOKUP(2,1/(('Match Log'!$D$4:$D$810=$K$24)*('Match Log'!$A$4:$A$810&lt;=$J179)),'Match Log'!$N$4:$N$810),NA()))</f>
        <v>#N/A</v>
      </c>
      <c r="L179" t="e">
        <f>IF($J179&gt;MAX('Match Log'!$A$4:$A$810),NA(),IFERROR(LOOKUP(2,1/(('Match Log'!$D$4:$D$810=$L$24)*('Match Log'!$A$4:$A$810&lt;=$J179)),'Match Log'!$N$4:$N$810),NA()))</f>
        <v>#N/A</v>
      </c>
      <c r="M179" t="e">
        <f>IF($J179&gt;MAX('Match Log'!$A$4:$A$810),NA(),IFERROR(LOOKUP(2,1/(('Match Log'!$D$4:$D$810=$M$24)*('Match Log'!$A$4:$A$810&lt;=$J179)),'Match Log'!$N$4:$N$810),NA()))</f>
        <v>#N/A</v>
      </c>
      <c r="N179" t="e">
        <f>IF($J179&gt;MAX('Match Log'!$A$4:$A$810),NA(),IFERROR(LOOKUP(2,1/(('Match Log'!$D$4:$D$810=$N$24)*('Match Log'!$A$4:$A$810&lt;=$J179)),'Match Log'!$N$4:$N$810),NA()))</f>
        <v>#N/A</v>
      </c>
      <c r="O179" t="e">
        <f>IF($J179&gt;MAX('Match Log'!$A$4:$A$810),NA(),IFERROR(LOOKUP(2,1/(('Match Log'!$D$4:$D$810=$O$24)*('Match Log'!$A$4:$A$810&lt;=$J179)),'Match Log'!$N$4:$N$810),NA()))</f>
        <v>#N/A</v>
      </c>
      <c r="P179" t="e">
        <f>IF($J179&gt;MAX('Match Log'!$A$4:$A$810),NA(),IFERROR(LOOKUP(2,1/(('Match Log'!$D$4:$D$810=$P$24)*('Match Log'!$A$4:$A$810&lt;=$J179)),'Match Log'!$N$4:$N$810),NA()))</f>
        <v>#N/A</v>
      </c>
      <c r="Q179" t="e">
        <f>IF($J179&gt;MAX('Match Log'!$A$4:$A$810),NA(),IFERROR(LOOKUP(2,1/(('Match Log'!$D$4:$D$810=$Q$24)*('Match Log'!$A$4:$A$810&lt;=$J179)),'Match Log'!$N$4:$N$810),NA()))</f>
        <v>#N/A</v>
      </c>
      <c r="R179" t="e">
        <f>IF($J179&gt;MAX('Match Log'!$A$4:$A$810),NA(),IFERROR(LOOKUP(2,1/(('Match Log'!$D$4:$D$810=$R$24)*('Match Log'!$A$4:$A$810&lt;=$J179)),'Match Log'!$N$4:$N$810),NA()))</f>
        <v>#N/A</v>
      </c>
      <c r="S179" t="e">
        <f>IF($J179&gt;MAX('Match Log'!$A$4:$A$810),NA(),IFERROR(LOOKUP(2,1/(('Match Log'!$D$4:$D$810=$S$24)*('Match Log'!$A$4:$A$810&lt;=$J179)),'Match Log'!$N$4:$N$810),NA()))</f>
        <v>#N/A</v>
      </c>
      <c r="T179" t="e">
        <f>IF($J179&gt;MAX('Match Log'!$A$4:$A$810),NA(),IFERROR(LOOKUP(2,1/(('Match Log'!$D$4:$D$810=$T$24)*('Match Log'!$A$4:$A$810&lt;=$J179)),'Match Log'!$N$4:$N$810),NA()))</f>
        <v>#N/A</v>
      </c>
      <c r="U179" t="e">
        <f>IF($J179&gt;MAX('Match Log'!$A$4:$A$810),NA(),IFERROR(LOOKUP(2,1/(('Match Log'!$D$4:$D$810=$U$24)*('Match Log'!$A$4:$A$810&lt;=$J179)),'Match Log'!$N$4:$N$810),NA()))</f>
        <v>#N/A</v>
      </c>
      <c r="V179" t="e">
        <f>IF($J179&gt;MAX('Match Log'!$A$4:$A$810),NA(),IFERROR(LOOKUP(2,1/(('Match Log'!$D$4:$D$810=$V$24)*('Match Log'!$A$4:$A$810&lt;=$J179)),'Match Log'!$N$4:$N$810),NA()))</f>
        <v>#N/A</v>
      </c>
      <c r="W179" t="e">
        <f>IF($J179&gt;MAX('Match Log'!$A$4:$A$810),NA(),IFERROR(LOOKUP(2,1/(('Match Log'!$D$4:$D$810=$W$24)*('Match Log'!$A$4:$A$810&lt;=$J179)),'Match Log'!$N$4:$N$810),NA()))</f>
        <v>#N/A</v>
      </c>
      <c r="X179" t="e">
        <f>IF($J179&gt;MAX('Match Log'!$A$4:$A$810),NA(),IFERROR(LOOKUP(2,1/(('Match Log'!$D$4:$D$810=$X$24)*('Match Log'!$A$4:$A$810&lt;=$J179)),'Match Log'!$N$4:$N$810),NA()))</f>
        <v>#N/A</v>
      </c>
      <c r="Y179" t="str">
        <f t="shared" ca="1" si="30"/>
        <v/>
      </c>
    </row>
    <row r="180" spans="1:25" x14ac:dyDescent="0.2">
      <c r="A180">
        <v>156</v>
      </c>
      <c r="B180" t="str">
        <f>IFERROR(INDEX('Match Log'!$B$4:$B$810,MATCH(156,'Match Log'!$A$4:$A$810,0)),"")</f>
        <v/>
      </c>
      <c r="C180" t="str">
        <f>IFERROR(INDEX('Match Log'!$C$4:$C$810,MATCH(156,'Match Log'!$A$4:$A$810,0)),"")</f>
        <v/>
      </c>
      <c r="D180" t="str">
        <f t="array" ref="D180">IFERROR(_xlfn.TEXTJOIN(" + ",TRUE,IF(('Match Log'!$A$4:$A$810=$A180)*('Match Log'!$E$4:$E$810="Win"),'Match Log'!$D$4:$D$810,"")),IFERROR(LOOKUP(2,1/(('Match Log'!$A$4:$A$810=$A180)*('Match Log'!$E$4:$E$810="Win")),'Match Log'!$D$4:$D$810),""))</f>
        <v/>
      </c>
      <c r="E180" t="str">
        <f>IFERROR(INDEX('Match Log'!$F$4:$F$810,MATCH(156,'Match Log'!$A$4:$A$810,0)),"")</f>
        <v/>
      </c>
      <c r="F180">
        <f>IFERROR(SUMIFS('Match Log'!$I$4:$I$810,'Match Log'!$A$4:$A$810,156,'Match Log'!$E$4:$E$810,"Win"),"")</f>
        <v>0</v>
      </c>
      <c r="G180" t="str">
        <f t="shared" si="28"/>
        <v/>
      </c>
      <c r="H180" t="str">
        <f t="array" ref="H180">IFERROR(IF(COUNTIFS('Match Log'!$A$4:$A$810,$A180,'Match Log'!$E$4:$E$810,"Win")&gt;1,_xlfn.TEXTJOIN(" + ",TRUE,IF(('Match Log'!$A$4:$A$810=$A180)*('Match Log'!$E$4:$E$810="Loss"),'Match Log'!$D$4:$D$810,"")),IF($E180=2,LOOKUP(2,1/(('Match Log'!$A$4:$A$810=$A180)*('Match Log'!$E$4:$E$810="Loss")),'Match Log'!$D$4:$D$810),"the field")),"")</f>
        <v>the field</v>
      </c>
      <c r="I180" t="str">
        <f t="shared" si="29"/>
        <v/>
      </c>
      <c r="J180">
        <v>156</v>
      </c>
      <c r="K180" t="e">
        <f>IF($J180&gt;MAX('Match Log'!$A$4:$A$810),NA(),IFERROR(LOOKUP(2,1/(('Match Log'!$D$4:$D$810=$K$24)*('Match Log'!$A$4:$A$810&lt;=$J180)),'Match Log'!$N$4:$N$810),NA()))</f>
        <v>#N/A</v>
      </c>
      <c r="L180" t="e">
        <f>IF($J180&gt;MAX('Match Log'!$A$4:$A$810),NA(),IFERROR(LOOKUP(2,1/(('Match Log'!$D$4:$D$810=$L$24)*('Match Log'!$A$4:$A$810&lt;=$J180)),'Match Log'!$N$4:$N$810),NA()))</f>
        <v>#N/A</v>
      </c>
      <c r="M180" t="e">
        <f>IF($J180&gt;MAX('Match Log'!$A$4:$A$810),NA(),IFERROR(LOOKUP(2,1/(('Match Log'!$D$4:$D$810=$M$24)*('Match Log'!$A$4:$A$810&lt;=$J180)),'Match Log'!$N$4:$N$810),NA()))</f>
        <v>#N/A</v>
      </c>
      <c r="N180" t="e">
        <f>IF($J180&gt;MAX('Match Log'!$A$4:$A$810),NA(),IFERROR(LOOKUP(2,1/(('Match Log'!$D$4:$D$810=$N$24)*('Match Log'!$A$4:$A$810&lt;=$J180)),'Match Log'!$N$4:$N$810),NA()))</f>
        <v>#N/A</v>
      </c>
      <c r="O180" t="e">
        <f>IF($J180&gt;MAX('Match Log'!$A$4:$A$810),NA(),IFERROR(LOOKUP(2,1/(('Match Log'!$D$4:$D$810=$O$24)*('Match Log'!$A$4:$A$810&lt;=$J180)),'Match Log'!$N$4:$N$810),NA()))</f>
        <v>#N/A</v>
      </c>
      <c r="P180" t="e">
        <f>IF($J180&gt;MAX('Match Log'!$A$4:$A$810),NA(),IFERROR(LOOKUP(2,1/(('Match Log'!$D$4:$D$810=$P$24)*('Match Log'!$A$4:$A$810&lt;=$J180)),'Match Log'!$N$4:$N$810),NA()))</f>
        <v>#N/A</v>
      </c>
      <c r="Q180" t="e">
        <f>IF($J180&gt;MAX('Match Log'!$A$4:$A$810),NA(),IFERROR(LOOKUP(2,1/(('Match Log'!$D$4:$D$810=$Q$24)*('Match Log'!$A$4:$A$810&lt;=$J180)),'Match Log'!$N$4:$N$810),NA()))</f>
        <v>#N/A</v>
      </c>
      <c r="R180" t="e">
        <f>IF($J180&gt;MAX('Match Log'!$A$4:$A$810),NA(),IFERROR(LOOKUP(2,1/(('Match Log'!$D$4:$D$810=$R$24)*('Match Log'!$A$4:$A$810&lt;=$J180)),'Match Log'!$N$4:$N$810),NA()))</f>
        <v>#N/A</v>
      </c>
      <c r="S180" t="e">
        <f>IF($J180&gt;MAX('Match Log'!$A$4:$A$810),NA(),IFERROR(LOOKUP(2,1/(('Match Log'!$D$4:$D$810=$S$24)*('Match Log'!$A$4:$A$810&lt;=$J180)),'Match Log'!$N$4:$N$810),NA()))</f>
        <v>#N/A</v>
      </c>
      <c r="T180" t="e">
        <f>IF($J180&gt;MAX('Match Log'!$A$4:$A$810),NA(),IFERROR(LOOKUP(2,1/(('Match Log'!$D$4:$D$810=$T$24)*('Match Log'!$A$4:$A$810&lt;=$J180)),'Match Log'!$N$4:$N$810),NA()))</f>
        <v>#N/A</v>
      </c>
      <c r="U180" t="e">
        <f>IF($J180&gt;MAX('Match Log'!$A$4:$A$810),NA(),IFERROR(LOOKUP(2,1/(('Match Log'!$D$4:$D$810=$U$24)*('Match Log'!$A$4:$A$810&lt;=$J180)),'Match Log'!$N$4:$N$810),NA()))</f>
        <v>#N/A</v>
      </c>
      <c r="V180" t="e">
        <f>IF($J180&gt;MAX('Match Log'!$A$4:$A$810),NA(),IFERROR(LOOKUP(2,1/(('Match Log'!$D$4:$D$810=$V$24)*('Match Log'!$A$4:$A$810&lt;=$J180)),'Match Log'!$N$4:$N$810),NA()))</f>
        <v>#N/A</v>
      </c>
      <c r="W180" t="e">
        <f>IF($J180&gt;MAX('Match Log'!$A$4:$A$810),NA(),IFERROR(LOOKUP(2,1/(('Match Log'!$D$4:$D$810=$W$24)*('Match Log'!$A$4:$A$810&lt;=$J180)),'Match Log'!$N$4:$N$810),NA()))</f>
        <v>#N/A</v>
      </c>
      <c r="X180" t="e">
        <f>IF($J180&gt;MAX('Match Log'!$A$4:$A$810),NA(),IFERROR(LOOKUP(2,1/(('Match Log'!$D$4:$D$810=$X$24)*('Match Log'!$A$4:$A$810&lt;=$J180)),'Match Log'!$N$4:$N$810),NA()))</f>
        <v>#N/A</v>
      </c>
      <c r="Y180" t="str">
        <f t="shared" ca="1" si="30"/>
        <v/>
      </c>
    </row>
    <row r="181" spans="1:25" x14ac:dyDescent="0.2">
      <c r="A181">
        <v>157</v>
      </c>
      <c r="B181" t="str">
        <f>IFERROR(INDEX('Match Log'!$B$4:$B$810,MATCH(157,'Match Log'!$A$4:$A$810,0)),"")</f>
        <v/>
      </c>
      <c r="C181" t="str">
        <f>IFERROR(INDEX('Match Log'!$C$4:$C$810,MATCH(157,'Match Log'!$A$4:$A$810,0)),"")</f>
        <v/>
      </c>
      <c r="D181" t="str">
        <f t="array" ref="D181">IFERROR(_xlfn.TEXTJOIN(" + ",TRUE,IF(('Match Log'!$A$4:$A$810=$A181)*('Match Log'!$E$4:$E$810="Win"),'Match Log'!$D$4:$D$810,"")),IFERROR(LOOKUP(2,1/(('Match Log'!$A$4:$A$810=$A181)*('Match Log'!$E$4:$E$810="Win")),'Match Log'!$D$4:$D$810),""))</f>
        <v/>
      </c>
      <c r="E181" t="str">
        <f>IFERROR(INDEX('Match Log'!$F$4:$F$810,MATCH(157,'Match Log'!$A$4:$A$810,0)),"")</f>
        <v/>
      </c>
      <c r="F181">
        <f>IFERROR(SUMIFS('Match Log'!$I$4:$I$810,'Match Log'!$A$4:$A$810,157,'Match Log'!$E$4:$E$810,"Win"),"")</f>
        <v>0</v>
      </c>
      <c r="G181" t="str">
        <f t="shared" si="28"/>
        <v/>
      </c>
      <c r="H181" t="str">
        <f t="array" ref="H181">IFERROR(IF(COUNTIFS('Match Log'!$A$4:$A$810,$A181,'Match Log'!$E$4:$E$810,"Win")&gt;1,_xlfn.TEXTJOIN(" + ",TRUE,IF(('Match Log'!$A$4:$A$810=$A181)*('Match Log'!$E$4:$E$810="Loss"),'Match Log'!$D$4:$D$810,"")),IF($E181=2,LOOKUP(2,1/(('Match Log'!$A$4:$A$810=$A181)*('Match Log'!$E$4:$E$810="Loss")),'Match Log'!$D$4:$D$810),"the field")),"")</f>
        <v>the field</v>
      </c>
      <c r="I181" t="str">
        <f t="shared" si="29"/>
        <v/>
      </c>
      <c r="J181">
        <v>157</v>
      </c>
      <c r="K181" t="e">
        <f>IF($J181&gt;MAX('Match Log'!$A$4:$A$810),NA(),IFERROR(LOOKUP(2,1/(('Match Log'!$D$4:$D$810=$K$24)*('Match Log'!$A$4:$A$810&lt;=$J181)),'Match Log'!$N$4:$N$810),NA()))</f>
        <v>#N/A</v>
      </c>
      <c r="L181" t="e">
        <f>IF($J181&gt;MAX('Match Log'!$A$4:$A$810),NA(),IFERROR(LOOKUP(2,1/(('Match Log'!$D$4:$D$810=$L$24)*('Match Log'!$A$4:$A$810&lt;=$J181)),'Match Log'!$N$4:$N$810),NA()))</f>
        <v>#N/A</v>
      </c>
      <c r="M181" t="e">
        <f>IF($J181&gt;MAX('Match Log'!$A$4:$A$810),NA(),IFERROR(LOOKUP(2,1/(('Match Log'!$D$4:$D$810=$M$24)*('Match Log'!$A$4:$A$810&lt;=$J181)),'Match Log'!$N$4:$N$810),NA()))</f>
        <v>#N/A</v>
      </c>
      <c r="N181" t="e">
        <f>IF($J181&gt;MAX('Match Log'!$A$4:$A$810),NA(),IFERROR(LOOKUP(2,1/(('Match Log'!$D$4:$D$810=$N$24)*('Match Log'!$A$4:$A$810&lt;=$J181)),'Match Log'!$N$4:$N$810),NA()))</f>
        <v>#N/A</v>
      </c>
      <c r="O181" t="e">
        <f>IF($J181&gt;MAX('Match Log'!$A$4:$A$810),NA(),IFERROR(LOOKUP(2,1/(('Match Log'!$D$4:$D$810=$O$24)*('Match Log'!$A$4:$A$810&lt;=$J181)),'Match Log'!$N$4:$N$810),NA()))</f>
        <v>#N/A</v>
      </c>
      <c r="P181" t="e">
        <f>IF($J181&gt;MAX('Match Log'!$A$4:$A$810),NA(),IFERROR(LOOKUP(2,1/(('Match Log'!$D$4:$D$810=$P$24)*('Match Log'!$A$4:$A$810&lt;=$J181)),'Match Log'!$N$4:$N$810),NA()))</f>
        <v>#N/A</v>
      </c>
      <c r="Q181" t="e">
        <f>IF($J181&gt;MAX('Match Log'!$A$4:$A$810),NA(),IFERROR(LOOKUP(2,1/(('Match Log'!$D$4:$D$810=$Q$24)*('Match Log'!$A$4:$A$810&lt;=$J181)),'Match Log'!$N$4:$N$810),NA()))</f>
        <v>#N/A</v>
      </c>
      <c r="R181" t="e">
        <f>IF($J181&gt;MAX('Match Log'!$A$4:$A$810),NA(),IFERROR(LOOKUP(2,1/(('Match Log'!$D$4:$D$810=$R$24)*('Match Log'!$A$4:$A$810&lt;=$J181)),'Match Log'!$N$4:$N$810),NA()))</f>
        <v>#N/A</v>
      </c>
      <c r="S181" t="e">
        <f>IF($J181&gt;MAX('Match Log'!$A$4:$A$810),NA(),IFERROR(LOOKUP(2,1/(('Match Log'!$D$4:$D$810=$S$24)*('Match Log'!$A$4:$A$810&lt;=$J181)),'Match Log'!$N$4:$N$810),NA()))</f>
        <v>#N/A</v>
      </c>
      <c r="T181" t="e">
        <f>IF($J181&gt;MAX('Match Log'!$A$4:$A$810),NA(),IFERROR(LOOKUP(2,1/(('Match Log'!$D$4:$D$810=$T$24)*('Match Log'!$A$4:$A$810&lt;=$J181)),'Match Log'!$N$4:$N$810),NA()))</f>
        <v>#N/A</v>
      </c>
      <c r="U181" t="e">
        <f>IF($J181&gt;MAX('Match Log'!$A$4:$A$810),NA(),IFERROR(LOOKUP(2,1/(('Match Log'!$D$4:$D$810=$U$24)*('Match Log'!$A$4:$A$810&lt;=$J181)),'Match Log'!$N$4:$N$810),NA()))</f>
        <v>#N/A</v>
      </c>
      <c r="V181" t="e">
        <f>IF($J181&gt;MAX('Match Log'!$A$4:$A$810),NA(),IFERROR(LOOKUP(2,1/(('Match Log'!$D$4:$D$810=$V$24)*('Match Log'!$A$4:$A$810&lt;=$J181)),'Match Log'!$N$4:$N$810),NA()))</f>
        <v>#N/A</v>
      </c>
      <c r="W181" t="e">
        <f>IF($J181&gt;MAX('Match Log'!$A$4:$A$810),NA(),IFERROR(LOOKUP(2,1/(('Match Log'!$D$4:$D$810=$W$24)*('Match Log'!$A$4:$A$810&lt;=$J181)),'Match Log'!$N$4:$N$810),NA()))</f>
        <v>#N/A</v>
      </c>
      <c r="X181" t="e">
        <f>IF($J181&gt;MAX('Match Log'!$A$4:$A$810),NA(),IFERROR(LOOKUP(2,1/(('Match Log'!$D$4:$D$810=$X$24)*('Match Log'!$A$4:$A$810&lt;=$J181)),'Match Log'!$N$4:$N$810),NA()))</f>
        <v>#N/A</v>
      </c>
      <c r="Y181" t="str">
        <f t="shared" ca="1" si="30"/>
        <v/>
      </c>
    </row>
    <row r="182" spans="1:25" x14ac:dyDescent="0.2">
      <c r="A182">
        <v>158</v>
      </c>
      <c r="B182" t="str">
        <f>IFERROR(INDEX('Match Log'!$B$4:$B$810,MATCH(158,'Match Log'!$A$4:$A$810,0)),"")</f>
        <v/>
      </c>
      <c r="C182" t="str">
        <f>IFERROR(INDEX('Match Log'!$C$4:$C$810,MATCH(158,'Match Log'!$A$4:$A$810,0)),"")</f>
        <v/>
      </c>
      <c r="D182" t="str">
        <f t="array" ref="D182">IFERROR(_xlfn.TEXTJOIN(" + ",TRUE,IF(('Match Log'!$A$4:$A$810=$A182)*('Match Log'!$E$4:$E$810="Win"),'Match Log'!$D$4:$D$810,"")),IFERROR(LOOKUP(2,1/(('Match Log'!$A$4:$A$810=$A182)*('Match Log'!$E$4:$E$810="Win")),'Match Log'!$D$4:$D$810),""))</f>
        <v/>
      </c>
      <c r="E182" t="str">
        <f>IFERROR(INDEX('Match Log'!$F$4:$F$810,MATCH(158,'Match Log'!$A$4:$A$810,0)),"")</f>
        <v/>
      </c>
      <c r="F182">
        <f>IFERROR(SUMIFS('Match Log'!$I$4:$I$810,'Match Log'!$A$4:$A$810,158,'Match Log'!$E$4:$E$810,"Win"),"")</f>
        <v>0</v>
      </c>
      <c r="G182" t="str">
        <f t="shared" si="28"/>
        <v/>
      </c>
      <c r="H182" t="str">
        <f t="array" ref="H182">IFERROR(IF(COUNTIFS('Match Log'!$A$4:$A$810,$A182,'Match Log'!$E$4:$E$810,"Win")&gt;1,_xlfn.TEXTJOIN(" + ",TRUE,IF(('Match Log'!$A$4:$A$810=$A182)*('Match Log'!$E$4:$E$810="Loss"),'Match Log'!$D$4:$D$810,"")),IF($E182=2,LOOKUP(2,1/(('Match Log'!$A$4:$A$810=$A182)*('Match Log'!$E$4:$E$810="Loss")),'Match Log'!$D$4:$D$810),"the field")),"")</f>
        <v>the field</v>
      </c>
      <c r="I182" t="str">
        <f t="shared" si="29"/>
        <v/>
      </c>
      <c r="J182">
        <v>158</v>
      </c>
      <c r="K182" t="e">
        <f>IF($J182&gt;MAX('Match Log'!$A$4:$A$810),NA(),IFERROR(LOOKUP(2,1/(('Match Log'!$D$4:$D$810=$K$24)*('Match Log'!$A$4:$A$810&lt;=$J182)),'Match Log'!$N$4:$N$810),NA()))</f>
        <v>#N/A</v>
      </c>
      <c r="L182" t="e">
        <f>IF($J182&gt;MAX('Match Log'!$A$4:$A$810),NA(),IFERROR(LOOKUP(2,1/(('Match Log'!$D$4:$D$810=$L$24)*('Match Log'!$A$4:$A$810&lt;=$J182)),'Match Log'!$N$4:$N$810),NA()))</f>
        <v>#N/A</v>
      </c>
      <c r="M182" t="e">
        <f>IF($J182&gt;MAX('Match Log'!$A$4:$A$810),NA(),IFERROR(LOOKUP(2,1/(('Match Log'!$D$4:$D$810=$M$24)*('Match Log'!$A$4:$A$810&lt;=$J182)),'Match Log'!$N$4:$N$810),NA()))</f>
        <v>#N/A</v>
      </c>
      <c r="N182" t="e">
        <f>IF($J182&gt;MAX('Match Log'!$A$4:$A$810),NA(),IFERROR(LOOKUP(2,1/(('Match Log'!$D$4:$D$810=$N$24)*('Match Log'!$A$4:$A$810&lt;=$J182)),'Match Log'!$N$4:$N$810),NA()))</f>
        <v>#N/A</v>
      </c>
      <c r="O182" t="e">
        <f>IF($J182&gt;MAX('Match Log'!$A$4:$A$810),NA(),IFERROR(LOOKUP(2,1/(('Match Log'!$D$4:$D$810=$O$24)*('Match Log'!$A$4:$A$810&lt;=$J182)),'Match Log'!$N$4:$N$810),NA()))</f>
        <v>#N/A</v>
      </c>
      <c r="P182" t="e">
        <f>IF($J182&gt;MAX('Match Log'!$A$4:$A$810),NA(),IFERROR(LOOKUP(2,1/(('Match Log'!$D$4:$D$810=$P$24)*('Match Log'!$A$4:$A$810&lt;=$J182)),'Match Log'!$N$4:$N$810),NA()))</f>
        <v>#N/A</v>
      </c>
      <c r="Q182" t="e">
        <f>IF($J182&gt;MAX('Match Log'!$A$4:$A$810),NA(),IFERROR(LOOKUP(2,1/(('Match Log'!$D$4:$D$810=$Q$24)*('Match Log'!$A$4:$A$810&lt;=$J182)),'Match Log'!$N$4:$N$810),NA()))</f>
        <v>#N/A</v>
      </c>
      <c r="R182" t="e">
        <f>IF($J182&gt;MAX('Match Log'!$A$4:$A$810),NA(),IFERROR(LOOKUP(2,1/(('Match Log'!$D$4:$D$810=$R$24)*('Match Log'!$A$4:$A$810&lt;=$J182)),'Match Log'!$N$4:$N$810),NA()))</f>
        <v>#N/A</v>
      </c>
      <c r="S182" t="e">
        <f>IF($J182&gt;MAX('Match Log'!$A$4:$A$810),NA(),IFERROR(LOOKUP(2,1/(('Match Log'!$D$4:$D$810=$S$24)*('Match Log'!$A$4:$A$810&lt;=$J182)),'Match Log'!$N$4:$N$810),NA()))</f>
        <v>#N/A</v>
      </c>
      <c r="T182" t="e">
        <f>IF($J182&gt;MAX('Match Log'!$A$4:$A$810),NA(),IFERROR(LOOKUP(2,1/(('Match Log'!$D$4:$D$810=$T$24)*('Match Log'!$A$4:$A$810&lt;=$J182)),'Match Log'!$N$4:$N$810),NA()))</f>
        <v>#N/A</v>
      </c>
      <c r="U182" t="e">
        <f>IF($J182&gt;MAX('Match Log'!$A$4:$A$810),NA(),IFERROR(LOOKUP(2,1/(('Match Log'!$D$4:$D$810=$U$24)*('Match Log'!$A$4:$A$810&lt;=$J182)),'Match Log'!$N$4:$N$810),NA()))</f>
        <v>#N/A</v>
      </c>
      <c r="V182" t="e">
        <f>IF($J182&gt;MAX('Match Log'!$A$4:$A$810),NA(),IFERROR(LOOKUP(2,1/(('Match Log'!$D$4:$D$810=$V$24)*('Match Log'!$A$4:$A$810&lt;=$J182)),'Match Log'!$N$4:$N$810),NA()))</f>
        <v>#N/A</v>
      </c>
      <c r="W182" t="e">
        <f>IF($J182&gt;MAX('Match Log'!$A$4:$A$810),NA(),IFERROR(LOOKUP(2,1/(('Match Log'!$D$4:$D$810=$W$24)*('Match Log'!$A$4:$A$810&lt;=$J182)),'Match Log'!$N$4:$N$810),NA()))</f>
        <v>#N/A</v>
      </c>
      <c r="X182" t="e">
        <f>IF($J182&gt;MAX('Match Log'!$A$4:$A$810),NA(),IFERROR(LOOKUP(2,1/(('Match Log'!$D$4:$D$810=$X$24)*('Match Log'!$A$4:$A$810&lt;=$J182)),'Match Log'!$N$4:$N$810),NA()))</f>
        <v>#N/A</v>
      </c>
      <c r="Y182" t="str">
        <f t="shared" ca="1" si="30"/>
        <v/>
      </c>
    </row>
    <row r="183" spans="1:25" x14ac:dyDescent="0.2">
      <c r="A183">
        <v>159</v>
      </c>
      <c r="B183" t="str">
        <f>IFERROR(INDEX('Match Log'!$B$4:$B$810,MATCH(159,'Match Log'!$A$4:$A$810,0)),"")</f>
        <v/>
      </c>
      <c r="C183" t="str">
        <f>IFERROR(INDEX('Match Log'!$C$4:$C$810,MATCH(159,'Match Log'!$A$4:$A$810,0)),"")</f>
        <v/>
      </c>
      <c r="D183" t="str">
        <f t="array" ref="D183">IFERROR(_xlfn.TEXTJOIN(" + ",TRUE,IF(('Match Log'!$A$4:$A$810=$A183)*('Match Log'!$E$4:$E$810="Win"),'Match Log'!$D$4:$D$810,"")),IFERROR(LOOKUP(2,1/(('Match Log'!$A$4:$A$810=$A183)*('Match Log'!$E$4:$E$810="Win")),'Match Log'!$D$4:$D$810),""))</f>
        <v/>
      </c>
      <c r="E183" t="str">
        <f>IFERROR(INDEX('Match Log'!$F$4:$F$810,MATCH(159,'Match Log'!$A$4:$A$810,0)),"")</f>
        <v/>
      </c>
      <c r="F183">
        <f>IFERROR(SUMIFS('Match Log'!$I$4:$I$810,'Match Log'!$A$4:$A$810,159,'Match Log'!$E$4:$E$810,"Win"),"")</f>
        <v>0</v>
      </c>
      <c r="G183" t="str">
        <f t="shared" si="28"/>
        <v/>
      </c>
      <c r="H183" t="str">
        <f t="array" ref="H183">IFERROR(IF(COUNTIFS('Match Log'!$A$4:$A$810,$A183,'Match Log'!$E$4:$E$810,"Win")&gt;1,_xlfn.TEXTJOIN(" + ",TRUE,IF(('Match Log'!$A$4:$A$810=$A183)*('Match Log'!$E$4:$E$810="Loss"),'Match Log'!$D$4:$D$810,"")),IF($E183=2,LOOKUP(2,1/(('Match Log'!$A$4:$A$810=$A183)*('Match Log'!$E$4:$E$810="Loss")),'Match Log'!$D$4:$D$810),"the field")),"")</f>
        <v>the field</v>
      </c>
      <c r="I183" t="str">
        <f t="shared" si="29"/>
        <v/>
      </c>
      <c r="J183">
        <v>159</v>
      </c>
      <c r="K183" t="e">
        <f>IF($J183&gt;MAX('Match Log'!$A$4:$A$810),NA(),IFERROR(LOOKUP(2,1/(('Match Log'!$D$4:$D$810=$K$24)*('Match Log'!$A$4:$A$810&lt;=$J183)),'Match Log'!$N$4:$N$810),NA()))</f>
        <v>#N/A</v>
      </c>
      <c r="L183" t="e">
        <f>IF($J183&gt;MAX('Match Log'!$A$4:$A$810),NA(),IFERROR(LOOKUP(2,1/(('Match Log'!$D$4:$D$810=$L$24)*('Match Log'!$A$4:$A$810&lt;=$J183)),'Match Log'!$N$4:$N$810),NA()))</f>
        <v>#N/A</v>
      </c>
      <c r="M183" t="e">
        <f>IF($J183&gt;MAX('Match Log'!$A$4:$A$810),NA(),IFERROR(LOOKUP(2,1/(('Match Log'!$D$4:$D$810=$M$24)*('Match Log'!$A$4:$A$810&lt;=$J183)),'Match Log'!$N$4:$N$810),NA()))</f>
        <v>#N/A</v>
      </c>
      <c r="N183" t="e">
        <f>IF($J183&gt;MAX('Match Log'!$A$4:$A$810),NA(),IFERROR(LOOKUP(2,1/(('Match Log'!$D$4:$D$810=$N$24)*('Match Log'!$A$4:$A$810&lt;=$J183)),'Match Log'!$N$4:$N$810),NA()))</f>
        <v>#N/A</v>
      </c>
      <c r="O183" t="e">
        <f>IF($J183&gt;MAX('Match Log'!$A$4:$A$810),NA(),IFERROR(LOOKUP(2,1/(('Match Log'!$D$4:$D$810=$O$24)*('Match Log'!$A$4:$A$810&lt;=$J183)),'Match Log'!$N$4:$N$810),NA()))</f>
        <v>#N/A</v>
      </c>
      <c r="P183" t="e">
        <f>IF($J183&gt;MAX('Match Log'!$A$4:$A$810),NA(),IFERROR(LOOKUP(2,1/(('Match Log'!$D$4:$D$810=$P$24)*('Match Log'!$A$4:$A$810&lt;=$J183)),'Match Log'!$N$4:$N$810),NA()))</f>
        <v>#N/A</v>
      </c>
      <c r="Q183" t="e">
        <f>IF($J183&gt;MAX('Match Log'!$A$4:$A$810),NA(),IFERROR(LOOKUP(2,1/(('Match Log'!$D$4:$D$810=$Q$24)*('Match Log'!$A$4:$A$810&lt;=$J183)),'Match Log'!$N$4:$N$810),NA()))</f>
        <v>#N/A</v>
      </c>
      <c r="R183" t="e">
        <f>IF($J183&gt;MAX('Match Log'!$A$4:$A$810),NA(),IFERROR(LOOKUP(2,1/(('Match Log'!$D$4:$D$810=$R$24)*('Match Log'!$A$4:$A$810&lt;=$J183)),'Match Log'!$N$4:$N$810),NA()))</f>
        <v>#N/A</v>
      </c>
      <c r="S183" t="e">
        <f>IF($J183&gt;MAX('Match Log'!$A$4:$A$810),NA(),IFERROR(LOOKUP(2,1/(('Match Log'!$D$4:$D$810=$S$24)*('Match Log'!$A$4:$A$810&lt;=$J183)),'Match Log'!$N$4:$N$810),NA()))</f>
        <v>#N/A</v>
      </c>
      <c r="T183" t="e">
        <f>IF($J183&gt;MAX('Match Log'!$A$4:$A$810),NA(),IFERROR(LOOKUP(2,1/(('Match Log'!$D$4:$D$810=$T$24)*('Match Log'!$A$4:$A$810&lt;=$J183)),'Match Log'!$N$4:$N$810),NA()))</f>
        <v>#N/A</v>
      </c>
      <c r="U183" t="e">
        <f>IF($J183&gt;MAX('Match Log'!$A$4:$A$810),NA(),IFERROR(LOOKUP(2,1/(('Match Log'!$D$4:$D$810=$U$24)*('Match Log'!$A$4:$A$810&lt;=$J183)),'Match Log'!$N$4:$N$810),NA()))</f>
        <v>#N/A</v>
      </c>
      <c r="V183" t="e">
        <f>IF($J183&gt;MAX('Match Log'!$A$4:$A$810),NA(),IFERROR(LOOKUP(2,1/(('Match Log'!$D$4:$D$810=$V$24)*('Match Log'!$A$4:$A$810&lt;=$J183)),'Match Log'!$N$4:$N$810),NA()))</f>
        <v>#N/A</v>
      </c>
      <c r="W183" t="e">
        <f>IF($J183&gt;MAX('Match Log'!$A$4:$A$810),NA(),IFERROR(LOOKUP(2,1/(('Match Log'!$D$4:$D$810=$W$24)*('Match Log'!$A$4:$A$810&lt;=$J183)),'Match Log'!$N$4:$N$810),NA()))</f>
        <v>#N/A</v>
      </c>
      <c r="X183" t="e">
        <f>IF($J183&gt;MAX('Match Log'!$A$4:$A$810),NA(),IFERROR(LOOKUP(2,1/(('Match Log'!$D$4:$D$810=$X$24)*('Match Log'!$A$4:$A$810&lt;=$J183)),'Match Log'!$N$4:$N$810),NA()))</f>
        <v>#N/A</v>
      </c>
      <c r="Y183" t="str">
        <f t="shared" ca="1" si="30"/>
        <v/>
      </c>
    </row>
    <row r="184" spans="1:25" x14ac:dyDescent="0.2">
      <c r="A184">
        <v>160</v>
      </c>
      <c r="B184" t="str">
        <f>IFERROR(INDEX('Match Log'!$B$4:$B$810,MATCH(160,'Match Log'!$A$4:$A$810,0)),"")</f>
        <v/>
      </c>
      <c r="C184" t="str">
        <f>IFERROR(INDEX('Match Log'!$C$4:$C$810,MATCH(160,'Match Log'!$A$4:$A$810,0)),"")</f>
        <v/>
      </c>
      <c r="D184" t="str">
        <f t="array" ref="D184">IFERROR(_xlfn.TEXTJOIN(" + ",TRUE,IF(('Match Log'!$A$4:$A$810=$A184)*('Match Log'!$E$4:$E$810="Win"),'Match Log'!$D$4:$D$810,"")),IFERROR(LOOKUP(2,1/(('Match Log'!$A$4:$A$810=$A184)*('Match Log'!$E$4:$E$810="Win")),'Match Log'!$D$4:$D$810),""))</f>
        <v/>
      </c>
      <c r="E184" t="str">
        <f>IFERROR(INDEX('Match Log'!$F$4:$F$810,MATCH(160,'Match Log'!$A$4:$A$810,0)),"")</f>
        <v/>
      </c>
      <c r="F184">
        <f>IFERROR(SUMIFS('Match Log'!$I$4:$I$810,'Match Log'!$A$4:$A$810,160,'Match Log'!$E$4:$E$810,"Win"),"")</f>
        <v>0</v>
      </c>
      <c r="G184" t="str">
        <f t="shared" si="28"/>
        <v/>
      </c>
      <c r="H184" t="str">
        <f t="array" ref="H184">IFERROR(IF(COUNTIFS('Match Log'!$A$4:$A$810,$A184,'Match Log'!$E$4:$E$810,"Win")&gt;1,_xlfn.TEXTJOIN(" + ",TRUE,IF(('Match Log'!$A$4:$A$810=$A184)*('Match Log'!$E$4:$E$810="Loss"),'Match Log'!$D$4:$D$810,"")),IF($E184=2,LOOKUP(2,1/(('Match Log'!$A$4:$A$810=$A184)*('Match Log'!$E$4:$E$810="Loss")),'Match Log'!$D$4:$D$810),"the field")),"")</f>
        <v>the field</v>
      </c>
      <c r="I184" t="str">
        <f t="shared" si="29"/>
        <v/>
      </c>
      <c r="J184">
        <v>160</v>
      </c>
      <c r="K184" t="e">
        <f>IF($J184&gt;MAX('Match Log'!$A$4:$A$810),NA(),IFERROR(LOOKUP(2,1/(('Match Log'!$D$4:$D$810=$K$24)*('Match Log'!$A$4:$A$810&lt;=$J184)),'Match Log'!$N$4:$N$810),NA()))</f>
        <v>#N/A</v>
      </c>
      <c r="L184" t="e">
        <f>IF($J184&gt;MAX('Match Log'!$A$4:$A$810),NA(),IFERROR(LOOKUP(2,1/(('Match Log'!$D$4:$D$810=$L$24)*('Match Log'!$A$4:$A$810&lt;=$J184)),'Match Log'!$N$4:$N$810),NA()))</f>
        <v>#N/A</v>
      </c>
      <c r="M184" t="e">
        <f>IF($J184&gt;MAX('Match Log'!$A$4:$A$810),NA(),IFERROR(LOOKUP(2,1/(('Match Log'!$D$4:$D$810=$M$24)*('Match Log'!$A$4:$A$810&lt;=$J184)),'Match Log'!$N$4:$N$810),NA()))</f>
        <v>#N/A</v>
      </c>
      <c r="N184" t="e">
        <f>IF($J184&gt;MAX('Match Log'!$A$4:$A$810),NA(),IFERROR(LOOKUP(2,1/(('Match Log'!$D$4:$D$810=$N$24)*('Match Log'!$A$4:$A$810&lt;=$J184)),'Match Log'!$N$4:$N$810),NA()))</f>
        <v>#N/A</v>
      </c>
      <c r="O184" t="e">
        <f>IF($J184&gt;MAX('Match Log'!$A$4:$A$810),NA(),IFERROR(LOOKUP(2,1/(('Match Log'!$D$4:$D$810=$O$24)*('Match Log'!$A$4:$A$810&lt;=$J184)),'Match Log'!$N$4:$N$810),NA()))</f>
        <v>#N/A</v>
      </c>
      <c r="P184" t="e">
        <f>IF($J184&gt;MAX('Match Log'!$A$4:$A$810),NA(),IFERROR(LOOKUP(2,1/(('Match Log'!$D$4:$D$810=$P$24)*('Match Log'!$A$4:$A$810&lt;=$J184)),'Match Log'!$N$4:$N$810),NA()))</f>
        <v>#N/A</v>
      </c>
      <c r="Q184" t="e">
        <f>IF($J184&gt;MAX('Match Log'!$A$4:$A$810),NA(),IFERROR(LOOKUP(2,1/(('Match Log'!$D$4:$D$810=$Q$24)*('Match Log'!$A$4:$A$810&lt;=$J184)),'Match Log'!$N$4:$N$810),NA()))</f>
        <v>#N/A</v>
      </c>
      <c r="R184" t="e">
        <f>IF($J184&gt;MAX('Match Log'!$A$4:$A$810),NA(),IFERROR(LOOKUP(2,1/(('Match Log'!$D$4:$D$810=$R$24)*('Match Log'!$A$4:$A$810&lt;=$J184)),'Match Log'!$N$4:$N$810),NA()))</f>
        <v>#N/A</v>
      </c>
      <c r="S184" t="e">
        <f>IF($J184&gt;MAX('Match Log'!$A$4:$A$810),NA(),IFERROR(LOOKUP(2,1/(('Match Log'!$D$4:$D$810=$S$24)*('Match Log'!$A$4:$A$810&lt;=$J184)),'Match Log'!$N$4:$N$810),NA()))</f>
        <v>#N/A</v>
      </c>
      <c r="T184" t="e">
        <f>IF($J184&gt;MAX('Match Log'!$A$4:$A$810),NA(),IFERROR(LOOKUP(2,1/(('Match Log'!$D$4:$D$810=$T$24)*('Match Log'!$A$4:$A$810&lt;=$J184)),'Match Log'!$N$4:$N$810),NA()))</f>
        <v>#N/A</v>
      </c>
      <c r="U184" t="e">
        <f>IF($J184&gt;MAX('Match Log'!$A$4:$A$810),NA(),IFERROR(LOOKUP(2,1/(('Match Log'!$D$4:$D$810=$U$24)*('Match Log'!$A$4:$A$810&lt;=$J184)),'Match Log'!$N$4:$N$810),NA()))</f>
        <v>#N/A</v>
      </c>
      <c r="V184" t="e">
        <f>IF($J184&gt;MAX('Match Log'!$A$4:$A$810),NA(),IFERROR(LOOKUP(2,1/(('Match Log'!$D$4:$D$810=$V$24)*('Match Log'!$A$4:$A$810&lt;=$J184)),'Match Log'!$N$4:$N$810),NA()))</f>
        <v>#N/A</v>
      </c>
      <c r="W184" t="e">
        <f>IF($J184&gt;MAX('Match Log'!$A$4:$A$810),NA(),IFERROR(LOOKUP(2,1/(('Match Log'!$D$4:$D$810=$W$24)*('Match Log'!$A$4:$A$810&lt;=$J184)),'Match Log'!$N$4:$N$810),NA()))</f>
        <v>#N/A</v>
      </c>
      <c r="X184" t="e">
        <f>IF($J184&gt;MAX('Match Log'!$A$4:$A$810),NA(),IFERROR(LOOKUP(2,1/(('Match Log'!$D$4:$D$810=$X$24)*('Match Log'!$A$4:$A$810&lt;=$J184)),'Match Log'!$N$4:$N$810),NA()))</f>
        <v>#N/A</v>
      </c>
      <c r="Y184" t="str">
        <f t="shared" ca="1" si="30"/>
        <v/>
      </c>
    </row>
    <row r="185" spans="1:25" x14ac:dyDescent="0.2">
      <c r="A185">
        <v>161</v>
      </c>
      <c r="B185" t="str">
        <f>IFERROR(INDEX('Match Log'!$B$4:$B$810,MATCH(161,'Match Log'!$A$4:$A$810,0)),"")</f>
        <v/>
      </c>
      <c r="C185" t="str">
        <f>IFERROR(INDEX('Match Log'!$C$4:$C$810,MATCH(161,'Match Log'!$A$4:$A$810,0)),"")</f>
        <v/>
      </c>
      <c r="D185" t="str">
        <f t="array" ref="D185">IFERROR(_xlfn.TEXTJOIN(" + ",TRUE,IF(('Match Log'!$A$4:$A$810=$A185)*('Match Log'!$E$4:$E$810="Win"),'Match Log'!$D$4:$D$810,"")),IFERROR(LOOKUP(2,1/(('Match Log'!$A$4:$A$810=$A185)*('Match Log'!$E$4:$E$810="Win")),'Match Log'!$D$4:$D$810),""))</f>
        <v/>
      </c>
      <c r="E185" t="str">
        <f>IFERROR(INDEX('Match Log'!$F$4:$F$810,MATCH(161,'Match Log'!$A$4:$A$810,0)),"")</f>
        <v/>
      </c>
      <c r="F185">
        <f>IFERROR(SUMIFS('Match Log'!$I$4:$I$810,'Match Log'!$A$4:$A$810,161,'Match Log'!$E$4:$E$810,"Win"),"")</f>
        <v>0</v>
      </c>
      <c r="G185" t="str">
        <f t="shared" si="28"/>
        <v/>
      </c>
      <c r="H185" t="str">
        <f t="array" ref="H185">IFERROR(IF(COUNTIFS('Match Log'!$A$4:$A$810,$A185,'Match Log'!$E$4:$E$810,"Win")&gt;1,_xlfn.TEXTJOIN(" + ",TRUE,IF(('Match Log'!$A$4:$A$810=$A185)*('Match Log'!$E$4:$E$810="Loss"),'Match Log'!$D$4:$D$810,"")),IF($E185=2,LOOKUP(2,1/(('Match Log'!$A$4:$A$810=$A185)*('Match Log'!$E$4:$E$810="Loss")),'Match Log'!$D$4:$D$810),"the field")),"")</f>
        <v>the field</v>
      </c>
      <c r="I185" t="str">
        <f t="shared" si="29"/>
        <v/>
      </c>
      <c r="J185">
        <v>161</v>
      </c>
      <c r="K185" t="e">
        <f>IF($J185&gt;MAX('Match Log'!$A$4:$A$810),NA(),IFERROR(LOOKUP(2,1/(('Match Log'!$D$4:$D$810=$K$24)*('Match Log'!$A$4:$A$810&lt;=$J185)),'Match Log'!$N$4:$N$810),NA()))</f>
        <v>#N/A</v>
      </c>
      <c r="L185" t="e">
        <f>IF($J185&gt;MAX('Match Log'!$A$4:$A$810),NA(),IFERROR(LOOKUP(2,1/(('Match Log'!$D$4:$D$810=$L$24)*('Match Log'!$A$4:$A$810&lt;=$J185)),'Match Log'!$N$4:$N$810),NA()))</f>
        <v>#N/A</v>
      </c>
      <c r="M185" t="e">
        <f>IF($J185&gt;MAX('Match Log'!$A$4:$A$810),NA(),IFERROR(LOOKUP(2,1/(('Match Log'!$D$4:$D$810=$M$24)*('Match Log'!$A$4:$A$810&lt;=$J185)),'Match Log'!$N$4:$N$810),NA()))</f>
        <v>#N/A</v>
      </c>
      <c r="N185" t="e">
        <f>IF($J185&gt;MAX('Match Log'!$A$4:$A$810),NA(),IFERROR(LOOKUP(2,1/(('Match Log'!$D$4:$D$810=$N$24)*('Match Log'!$A$4:$A$810&lt;=$J185)),'Match Log'!$N$4:$N$810),NA()))</f>
        <v>#N/A</v>
      </c>
      <c r="O185" t="e">
        <f>IF($J185&gt;MAX('Match Log'!$A$4:$A$810),NA(),IFERROR(LOOKUP(2,1/(('Match Log'!$D$4:$D$810=$O$24)*('Match Log'!$A$4:$A$810&lt;=$J185)),'Match Log'!$N$4:$N$810),NA()))</f>
        <v>#N/A</v>
      </c>
      <c r="P185" t="e">
        <f>IF($J185&gt;MAX('Match Log'!$A$4:$A$810),NA(),IFERROR(LOOKUP(2,1/(('Match Log'!$D$4:$D$810=$P$24)*('Match Log'!$A$4:$A$810&lt;=$J185)),'Match Log'!$N$4:$N$810),NA()))</f>
        <v>#N/A</v>
      </c>
      <c r="Q185" t="e">
        <f>IF($J185&gt;MAX('Match Log'!$A$4:$A$810),NA(),IFERROR(LOOKUP(2,1/(('Match Log'!$D$4:$D$810=$Q$24)*('Match Log'!$A$4:$A$810&lt;=$J185)),'Match Log'!$N$4:$N$810),NA()))</f>
        <v>#N/A</v>
      </c>
      <c r="R185" t="e">
        <f>IF($J185&gt;MAX('Match Log'!$A$4:$A$810),NA(),IFERROR(LOOKUP(2,1/(('Match Log'!$D$4:$D$810=$R$24)*('Match Log'!$A$4:$A$810&lt;=$J185)),'Match Log'!$N$4:$N$810),NA()))</f>
        <v>#N/A</v>
      </c>
      <c r="S185" t="e">
        <f>IF($J185&gt;MAX('Match Log'!$A$4:$A$810),NA(),IFERROR(LOOKUP(2,1/(('Match Log'!$D$4:$D$810=$S$24)*('Match Log'!$A$4:$A$810&lt;=$J185)),'Match Log'!$N$4:$N$810),NA()))</f>
        <v>#N/A</v>
      </c>
      <c r="T185" t="e">
        <f>IF($J185&gt;MAX('Match Log'!$A$4:$A$810),NA(),IFERROR(LOOKUP(2,1/(('Match Log'!$D$4:$D$810=$T$24)*('Match Log'!$A$4:$A$810&lt;=$J185)),'Match Log'!$N$4:$N$810),NA()))</f>
        <v>#N/A</v>
      </c>
      <c r="U185" t="e">
        <f>IF($J185&gt;MAX('Match Log'!$A$4:$A$810),NA(),IFERROR(LOOKUP(2,1/(('Match Log'!$D$4:$D$810=$U$24)*('Match Log'!$A$4:$A$810&lt;=$J185)),'Match Log'!$N$4:$N$810),NA()))</f>
        <v>#N/A</v>
      </c>
      <c r="V185" t="e">
        <f>IF($J185&gt;MAX('Match Log'!$A$4:$A$810),NA(),IFERROR(LOOKUP(2,1/(('Match Log'!$D$4:$D$810=$V$24)*('Match Log'!$A$4:$A$810&lt;=$J185)),'Match Log'!$N$4:$N$810),NA()))</f>
        <v>#N/A</v>
      </c>
      <c r="W185" t="e">
        <f>IF($J185&gt;MAX('Match Log'!$A$4:$A$810),NA(),IFERROR(LOOKUP(2,1/(('Match Log'!$D$4:$D$810=$W$24)*('Match Log'!$A$4:$A$810&lt;=$J185)),'Match Log'!$N$4:$N$810),NA()))</f>
        <v>#N/A</v>
      </c>
      <c r="X185" t="e">
        <f>IF($J185&gt;MAX('Match Log'!$A$4:$A$810),NA(),IFERROR(LOOKUP(2,1/(('Match Log'!$D$4:$D$810=$X$24)*('Match Log'!$A$4:$A$810&lt;=$J185)),'Match Log'!$N$4:$N$810),NA()))</f>
        <v>#N/A</v>
      </c>
      <c r="Y185" t="str">
        <f t="shared" ca="1" si="30"/>
        <v/>
      </c>
    </row>
    <row r="186" spans="1:25" x14ac:dyDescent="0.2">
      <c r="A186">
        <v>162</v>
      </c>
      <c r="B186" t="str">
        <f>IFERROR(INDEX('Match Log'!$B$4:$B$810,MATCH(162,'Match Log'!$A$4:$A$810,0)),"")</f>
        <v/>
      </c>
      <c r="C186" t="str">
        <f>IFERROR(INDEX('Match Log'!$C$4:$C$810,MATCH(162,'Match Log'!$A$4:$A$810,0)),"")</f>
        <v/>
      </c>
      <c r="D186" t="str">
        <f t="array" ref="D186">IFERROR(_xlfn.TEXTJOIN(" + ",TRUE,IF(('Match Log'!$A$4:$A$810=$A186)*('Match Log'!$E$4:$E$810="Win"),'Match Log'!$D$4:$D$810,"")),IFERROR(LOOKUP(2,1/(('Match Log'!$A$4:$A$810=$A186)*('Match Log'!$E$4:$E$810="Win")),'Match Log'!$D$4:$D$810),""))</f>
        <v/>
      </c>
      <c r="E186" t="str">
        <f>IFERROR(INDEX('Match Log'!$F$4:$F$810,MATCH(162,'Match Log'!$A$4:$A$810,0)),"")</f>
        <v/>
      </c>
      <c r="F186">
        <f>IFERROR(SUMIFS('Match Log'!$I$4:$I$810,'Match Log'!$A$4:$A$810,162,'Match Log'!$E$4:$E$810,"Win"),"")</f>
        <v>0</v>
      </c>
      <c r="G186" t="str">
        <f t="shared" si="28"/>
        <v/>
      </c>
      <c r="H186" t="str">
        <f t="array" ref="H186">IFERROR(IF(COUNTIFS('Match Log'!$A$4:$A$810,$A186,'Match Log'!$E$4:$E$810,"Win")&gt;1,_xlfn.TEXTJOIN(" + ",TRUE,IF(('Match Log'!$A$4:$A$810=$A186)*('Match Log'!$E$4:$E$810="Loss"),'Match Log'!$D$4:$D$810,"")),IF($E186=2,LOOKUP(2,1/(('Match Log'!$A$4:$A$810=$A186)*('Match Log'!$E$4:$E$810="Loss")),'Match Log'!$D$4:$D$810),"the field")),"")</f>
        <v>the field</v>
      </c>
      <c r="I186" t="str">
        <f t="shared" si="29"/>
        <v/>
      </c>
      <c r="J186">
        <v>162</v>
      </c>
      <c r="K186" t="e">
        <f>IF($J186&gt;MAX('Match Log'!$A$4:$A$810),NA(),IFERROR(LOOKUP(2,1/(('Match Log'!$D$4:$D$810=$K$24)*('Match Log'!$A$4:$A$810&lt;=$J186)),'Match Log'!$N$4:$N$810),NA()))</f>
        <v>#N/A</v>
      </c>
      <c r="L186" t="e">
        <f>IF($J186&gt;MAX('Match Log'!$A$4:$A$810),NA(),IFERROR(LOOKUP(2,1/(('Match Log'!$D$4:$D$810=$L$24)*('Match Log'!$A$4:$A$810&lt;=$J186)),'Match Log'!$N$4:$N$810),NA()))</f>
        <v>#N/A</v>
      </c>
      <c r="M186" t="e">
        <f>IF($J186&gt;MAX('Match Log'!$A$4:$A$810),NA(),IFERROR(LOOKUP(2,1/(('Match Log'!$D$4:$D$810=$M$24)*('Match Log'!$A$4:$A$810&lt;=$J186)),'Match Log'!$N$4:$N$810),NA()))</f>
        <v>#N/A</v>
      </c>
      <c r="N186" t="e">
        <f>IF($J186&gt;MAX('Match Log'!$A$4:$A$810),NA(),IFERROR(LOOKUP(2,1/(('Match Log'!$D$4:$D$810=$N$24)*('Match Log'!$A$4:$A$810&lt;=$J186)),'Match Log'!$N$4:$N$810),NA()))</f>
        <v>#N/A</v>
      </c>
      <c r="O186" t="e">
        <f>IF($J186&gt;MAX('Match Log'!$A$4:$A$810),NA(),IFERROR(LOOKUP(2,1/(('Match Log'!$D$4:$D$810=$O$24)*('Match Log'!$A$4:$A$810&lt;=$J186)),'Match Log'!$N$4:$N$810),NA()))</f>
        <v>#N/A</v>
      </c>
      <c r="P186" t="e">
        <f>IF($J186&gt;MAX('Match Log'!$A$4:$A$810),NA(),IFERROR(LOOKUP(2,1/(('Match Log'!$D$4:$D$810=$P$24)*('Match Log'!$A$4:$A$810&lt;=$J186)),'Match Log'!$N$4:$N$810),NA()))</f>
        <v>#N/A</v>
      </c>
      <c r="Q186" t="e">
        <f>IF($J186&gt;MAX('Match Log'!$A$4:$A$810),NA(),IFERROR(LOOKUP(2,1/(('Match Log'!$D$4:$D$810=$Q$24)*('Match Log'!$A$4:$A$810&lt;=$J186)),'Match Log'!$N$4:$N$810),NA()))</f>
        <v>#N/A</v>
      </c>
      <c r="R186" t="e">
        <f>IF($J186&gt;MAX('Match Log'!$A$4:$A$810),NA(),IFERROR(LOOKUP(2,1/(('Match Log'!$D$4:$D$810=$R$24)*('Match Log'!$A$4:$A$810&lt;=$J186)),'Match Log'!$N$4:$N$810),NA()))</f>
        <v>#N/A</v>
      </c>
      <c r="S186" t="e">
        <f>IF($J186&gt;MAX('Match Log'!$A$4:$A$810),NA(),IFERROR(LOOKUP(2,1/(('Match Log'!$D$4:$D$810=$S$24)*('Match Log'!$A$4:$A$810&lt;=$J186)),'Match Log'!$N$4:$N$810),NA()))</f>
        <v>#N/A</v>
      </c>
      <c r="T186" t="e">
        <f>IF($J186&gt;MAX('Match Log'!$A$4:$A$810),NA(),IFERROR(LOOKUP(2,1/(('Match Log'!$D$4:$D$810=$T$24)*('Match Log'!$A$4:$A$810&lt;=$J186)),'Match Log'!$N$4:$N$810),NA()))</f>
        <v>#N/A</v>
      </c>
      <c r="U186" t="e">
        <f>IF($J186&gt;MAX('Match Log'!$A$4:$A$810),NA(),IFERROR(LOOKUP(2,1/(('Match Log'!$D$4:$D$810=$U$24)*('Match Log'!$A$4:$A$810&lt;=$J186)),'Match Log'!$N$4:$N$810),NA()))</f>
        <v>#N/A</v>
      </c>
      <c r="V186" t="e">
        <f>IF($J186&gt;MAX('Match Log'!$A$4:$A$810),NA(),IFERROR(LOOKUP(2,1/(('Match Log'!$D$4:$D$810=$V$24)*('Match Log'!$A$4:$A$810&lt;=$J186)),'Match Log'!$N$4:$N$810),NA()))</f>
        <v>#N/A</v>
      </c>
      <c r="W186" t="e">
        <f>IF($J186&gt;MAX('Match Log'!$A$4:$A$810),NA(),IFERROR(LOOKUP(2,1/(('Match Log'!$D$4:$D$810=$W$24)*('Match Log'!$A$4:$A$810&lt;=$J186)),'Match Log'!$N$4:$N$810),NA()))</f>
        <v>#N/A</v>
      </c>
      <c r="X186" t="e">
        <f>IF($J186&gt;MAX('Match Log'!$A$4:$A$810),NA(),IFERROR(LOOKUP(2,1/(('Match Log'!$D$4:$D$810=$X$24)*('Match Log'!$A$4:$A$810&lt;=$J186)),'Match Log'!$N$4:$N$810),NA()))</f>
        <v>#N/A</v>
      </c>
      <c r="Y186" t="str">
        <f t="shared" ca="1" si="30"/>
        <v/>
      </c>
    </row>
    <row r="187" spans="1:25" x14ac:dyDescent="0.2">
      <c r="A187">
        <v>163</v>
      </c>
      <c r="B187" t="str">
        <f>IFERROR(INDEX('Match Log'!$B$4:$B$810,MATCH(163,'Match Log'!$A$4:$A$810,0)),"")</f>
        <v/>
      </c>
      <c r="C187" t="str">
        <f>IFERROR(INDEX('Match Log'!$C$4:$C$810,MATCH(163,'Match Log'!$A$4:$A$810,0)),"")</f>
        <v/>
      </c>
      <c r="D187" t="str">
        <f t="array" ref="D187">IFERROR(_xlfn.TEXTJOIN(" + ",TRUE,IF(('Match Log'!$A$4:$A$810=$A187)*('Match Log'!$E$4:$E$810="Win"),'Match Log'!$D$4:$D$810,"")),IFERROR(LOOKUP(2,1/(('Match Log'!$A$4:$A$810=$A187)*('Match Log'!$E$4:$E$810="Win")),'Match Log'!$D$4:$D$810),""))</f>
        <v/>
      </c>
      <c r="E187" t="str">
        <f>IFERROR(INDEX('Match Log'!$F$4:$F$810,MATCH(163,'Match Log'!$A$4:$A$810,0)),"")</f>
        <v/>
      </c>
      <c r="F187">
        <f>IFERROR(SUMIFS('Match Log'!$I$4:$I$810,'Match Log'!$A$4:$A$810,163,'Match Log'!$E$4:$E$810,"Win"),"")</f>
        <v>0</v>
      </c>
      <c r="G187" t="str">
        <f t="shared" si="28"/>
        <v/>
      </c>
      <c r="H187" t="str">
        <f t="array" ref="H187">IFERROR(IF(COUNTIFS('Match Log'!$A$4:$A$810,$A187,'Match Log'!$E$4:$E$810,"Win")&gt;1,_xlfn.TEXTJOIN(" + ",TRUE,IF(('Match Log'!$A$4:$A$810=$A187)*('Match Log'!$E$4:$E$810="Loss"),'Match Log'!$D$4:$D$810,"")),IF($E187=2,LOOKUP(2,1/(('Match Log'!$A$4:$A$810=$A187)*('Match Log'!$E$4:$E$810="Loss")),'Match Log'!$D$4:$D$810),"the field")),"")</f>
        <v>the field</v>
      </c>
      <c r="I187" t="str">
        <f t="shared" si="29"/>
        <v/>
      </c>
      <c r="J187">
        <v>163</v>
      </c>
      <c r="K187" t="e">
        <f>IF($J187&gt;MAX('Match Log'!$A$4:$A$810),NA(),IFERROR(LOOKUP(2,1/(('Match Log'!$D$4:$D$810=$K$24)*('Match Log'!$A$4:$A$810&lt;=$J187)),'Match Log'!$N$4:$N$810),NA()))</f>
        <v>#N/A</v>
      </c>
      <c r="L187" t="e">
        <f>IF($J187&gt;MAX('Match Log'!$A$4:$A$810),NA(),IFERROR(LOOKUP(2,1/(('Match Log'!$D$4:$D$810=$L$24)*('Match Log'!$A$4:$A$810&lt;=$J187)),'Match Log'!$N$4:$N$810),NA()))</f>
        <v>#N/A</v>
      </c>
      <c r="M187" t="e">
        <f>IF($J187&gt;MAX('Match Log'!$A$4:$A$810),NA(),IFERROR(LOOKUP(2,1/(('Match Log'!$D$4:$D$810=$M$24)*('Match Log'!$A$4:$A$810&lt;=$J187)),'Match Log'!$N$4:$N$810),NA()))</f>
        <v>#N/A</v>
      </c>
      <c r="N187" t="e">
        <f>IF($J187&gt;MAX('Match Log'!$A$4:$A$810),NA(),IFERROR(LOOKUP(2,1/(('Match Log'!$D$4:$D$810=$N$24)*('Match Log'!$A$4:$A$810&lt;=$J187)),'Match Log'!$N$4:$N$810),NA()))</f>
        <v>#N/A</v>
      </c>
      <c r="O187" t="e">
        <f>IF($J187&gt;MAX('Match Log'!$A$4:$A$810),NA(),IFERROR(LOOKUP(2,1/(('Match Log'!$D$4:$D$810=$O$24)*('Match Log'!$A$4:$A$810&lt;=$J187)),'Match Log'!$N$4:$N$810),NA()))</f>
        <v>#N/A</v>
      </c>
      <c r="P187" t="e">
        <f>IF($J187&gt;MAX('Match Log'!$A$4:$A$810),NA(),IFERROR(LOOKUP(2,1/(('Match Log'!$D$4:$D$810=$P$24)*('Match Log'!$A$4:$A$810&lt;=$J187)),'Match Log'!$N$4:$N$810),NA()))</f>
        <v>#N/A</v>
      </c>
      <c r="Q187" t="e">
        <f>IF($J187&gt;MAX('Match Log'!$A$4:$A$810),NA(),IFERROR(LOOKUP(2,1/(('Match Log'!$D$4:$D$810=$Q$24)*('Match Log'!$A$4:$A$810&lt;=$J187)),'Match Log'!$N$4:$N$810),NA()))</f>
        <v>#N/A</v>
      </c>
      <c r="R187" t="e">
        <f>IF($J187&gt;MAX('Match Log'!$A$4:$A$810),NA(),IFERROR(LOOKUP(2,1/(('Match Log'!$D$4:$D$810=$R$24)*('Match Log'!$A$4:$A$810&lt;=$J187)),'Match Log'!$N$4:$N$810),NA()))</f>
        <v>#N/A</v>
      </c>
      <c r="S187" t="e">
        <f>IF($J187&gt;MAX('Match Log'!$A$4:$A$810),NA(),IFERROR(LOOKUP(2,1/(('Match Log'!$D$4:$D$810=$S$24)*('Match Log'!$A$4:$A$810&lt;=$J187)),'Match Log'!$N$4:$N$810),NA()))</f>
        <v>#N/A</v>
      </c>
      <c r="T187" t="e">
        <f>IF($J187&gt;MAX('Match Log'!$A$4:$A$810),NA(),IFERROR(LOOKUP(2,1/(('Match Log'!$D$4:$D$810=$T$24)*('Match Log'!$A$4:$A$810&lt;=$J187)),'Match Log'!$N$4:$N$810),NA()))</f>
        <v>#N/A</v>
      </c>
      <c r="U187" t="e">
        <f>IF($J187&gt;MAX('Match Log'!$A$4:$A$810),NA(),IFERROR(LOOKUP(2,1/(('Match Log'!$D$4:$D$810=$U$24)*('Match Log'!$A$4:$A$810&lt;=$J187)),'Match Log'!$N$4:$N$810),NA()))</f>
        <v>#N/A</v>
      </c>
      <c r="V187" t="e">
        <f>IF($J187&gt;MAX('Match Log'!$A$4:$A$810),NA(),IFERROR(LOOKUP(2,1/(('Match Log'!$D$4:$D$810=$V$24)*('Match Log'!$A$4:$A$810&lt;=$J187)),'Match Log'!$N$4:$N$810),NA()))</f>
        <v>#N/A</v>
      </c>
      <c r="W187" t="e">
        <f>IF($J187&gt;MAX('Match Log'!$A$4:$A$810),NA(),IFERROR(LOOKUP(2,1/(('Match Log'!$D$4:$D$810=$W$24)*('Match Log'!$A$4:$A$810&lt;=$J187)),'Match Log'!$N$4:$N$810),NA()))</f>
        <v>#N/A</v>
      </c>
      <c r="X187" t="e">
        <f>IF($J187&gt;MAX('Match Log'!$A$4:$A$810),NA(),IFERROR(LOOKUP(2,1/(('Match Log'!$D$4:$D$810=$X$24)*('Match Log'!$A$4:$A$810&lt;=$J187)),'Match Log'!$N$4:$N$810),NA()))</f>
        <v>#N/A</v>
      </c>
      <c r="Y187" t="str">
        <f t="shared" ca="1" si="30"/>
        <v/>
      </c>
    </row>
    <row r="188" spans="1:25" x14ac:dyDescent="0.2">
      <c r="A188">
        <v>164</v>
      </c>
      <c r="B188" t="str">
        <f>IFERROR(INDEX('Match Log'!$B$4:$B$810,MATCH(164,'Match Log'!$A$4:$A$810,0)),"")</f>
        <v/>
      </c>
      <c r="C188" t="str">
        <f>IFERROR(INDEX('Match Log'!$C$4:$C$810,MATCH(164,'Match Log'!$A$4:$A$810,0)),"")</f>
        <v/>
      </c>
      <c r="D188" t="str">
        <f t="array" ref="D188">IFERROR(_xlfn.TEXTJOIN(" + ",TRUE,IF(('Match Log'!$A$4:$A$810=$A188)*('Match Log'!$E$4:$E$810="Win"),'Match Log'!$D$4:$D$810,"")),IFERROR(LOOKUP(2,1/(('Match Log'!$A$4:$A$810=$A188)*('Match Log'!$E$4:$E$810="Win")),'Match Log'!$D$4:$D$810),""))</f>
        <v/>
      </c>
      <c r="E188" t="str">
        <f>IFERROR(INDEX('Match Log'!$F$4:$F$810,MATCH(164,'Match Log'!$A$4:$A$810,0)),"")</f>
        <v/>
      </c>
      <c r="F188">
        <f>IFERROR(SUMIFS('Match Log'!$I$4:$I$810,'Match Log'!$A$4:$A$810,164,'Match Log'!$E$4:$E$810,"Win"),"")</f>
        <v>0</v>
      </c>
      <c r="G188" t="str">
        <f t="shared" si="28"/>
        <v/>
      </c>
      <c r="H188" t="str">
        <f t="array" ref="H188">IFERROR(IF(COUNTIFS('Match Log'!$A$4:$A$810,$A188,'Match Log'!$E$4:$E$810,"Win")&gt;1,_xlfn.TEXTJOIN(" + ",TRUE,IF(('Match Log'!$A$4:$A$810=$A188)*('Match Log'!$E$4:$E$810="Loss"),'Match Log'!$D$4:$D$810,"")),IF($E188=2,LOOKUP(2,1/(('Match Log'!$A$4:$A$810=$A188)*('Match Log'!$E$4:$E$810="Loss")),'Match Log'!$D$4:$D$810),"the field")),"")</f>
        <v>the field</v>
      </c>
      <c r="I188" t="str">
        <f t="shared" si="29"/>
        <v/>
      </c>
      <c r="J188">
        <v>164</v>
      </c>
      <c r="K188" t="e">
        <f>IF($J188&gt;MAX('Match Log'!$A$4:$A$810),NA(),IFERROR(LOOKUP(2,1/(('Match Log'!$D$4:$D$810=$K$24)*('Match Log'!$A$4:$A$810&lt;=$J188)),'Match Log'!$N$4:$N$810),NA()))</f>
        <v>#N/A</v>
      </c>
      <c r="L188" t="e">
        <f>IF($J188&gt;MAX('Match Log'!$A$4:$A$810),NA(),IFERROR(LOOKUP(2,1/(('Match Log'!$D$4:$D$810=$L$24)*('Match Log'!$A$4:$A$810&lt;=$J188)),'Match Log'!$N$4:$N$810),NA()))</f>
        <v>#N/A</v>
      </c>
      <c r="M188" t="e">
        <f>IF($J188&gt;MAX('Match Log'!$A$4:$A$810),NA(),IFERROR(LOOKUP(2,1/(('Match Log'!$D$4:$D$810=$M$24)*('Match Log'!$A$4:$A$810&lt;=$J188)),'Match Log'!$N$4:$N$810),NA()))</f>
        <v>#N/A</v>
      </c>
      <c r="N188" t="e">
        <f>IF($J188&gt;MAX('Match Log'!$A$4:$A$810),NA(),IFERROR(LOOKUP(2,1/(('Match Log'!$D$4:$D$810=$N$24)*('Match Log'!$A$4:$A$810&lt;=$J188)),'Match Log'!$N$4:$N$810),NA()))</f>
        <v>#N/A</v>
      </c>
      <c r="O188" t="e">
        <f>IF($J188&gt;MAX('Match Log'!$A$4:$A$810),NA(),IFERROR(LOOKUP(2,1/(('Match Log'!$D$4:$D$810=$O$24)*('Match Log'!$A$4:$A$810&lt;=$J188)),'Match Log'!$N$4:$N$810),NA()))</f>
        <v>#N/A</v>
      </c>
      <c r="P188" t="e">
        <f>IF($J188&gt;MAX('Match Log'!$A$4:$A$810),NA(),IFERROR(LOOKUP(2,1/(('Match Log'!$D$4:$D$810=$P$24)*('Match Log'!$A$4:$A$810&lt;=$J188)),'Match Log'!$N$4:$N$810),NA()))</f>
        <v>#N/A</v>
      </c>
      <c r="Q188" t="e">
        <f>IF($J188&gt;MAX('Match Log'!$A$4:$A$810),NA(),IFERROR(LOOKUP(2,1/(('Match Log'!$D$4:$D$810=$Q$24)*('Match Log'!$A$4:$A$810&lt;=$J188)),'Match Log'!$N$4:$N$810),NA()))</f>
        <v>#N/A</v>
      </c>
      <c r="R188" t="e">
        <f>IF($J188&gt;MAX('Match Log'!$A$4:$A$810),NA(),IFERROR(LOOKUP(2,1/(('Match Log'!$D$4:$D$810=$R$24)*('Match Log'!$A$4:$A$810&lt;=$J188)),'Match Log'!$N$4:$N$810),NA()))</f>
        <v>#N/A</v>
      </c>
      <c r="S188" t="e">
        <f>IF($J188&gt;MAX('Match Log'!$A$4:$A$810),NA(),IFERROR(LOOKUP(2,1/(('Match Log'!$D$4:$D$810=$S$24)*('Match Log'!$A$4:$A$810&lt;=$J188)),'Match Log'!$N$4:$N$810),NA()))</f>
        <v>#N/A</v>
      </c>
      <c r="T188" t="e">
        <f>IF($J188&gt;MAX('Match Log'!$A$4:$A$810),NA(),IFERROR(LOOKUP(2,1/(('Match Log'!$D$4:$D$810=$T$24)*('Match Log'!$A$4:$A$810&lt;=$J188)),'Match Log'!$N$4:$N$810),NA()))</f>
        <v>#N/A</v>
      </c>
      <c r="U188" t="e">
        <f>IF($J188&gt;MAX('Match Log'!$A$4:$A$810),NA(),IFERROR(LOOKUP(2,1/(('Match Log'!$D$4:$D$810=$U$24)*('Match Log'!$A$4:$A$810&lt;=$J188)),'Match Log'!$N$4:$N$810),NA()))</f>
        <v>#N/A</v>
      </c>
      <c r="V188" t="e">
        <f>IF($J188&gt;MAX('Match Log'!$A$4:$A$810),NA(),IFERROR(LOOKUP(2,1/(('Match Log'!$D$4:$D$810=$V$24)*('Match Log'!$A$4:$A$810&lt;=$J188)),'Match Log'!$N$4:$N$810),NA()))</f>
        <v>#N/A</v>
      </c>
      <c r="W188" t="e">
        <f>IF($J188&gt;MAX('Match Log'!$A$4:$A$810),NA(),IFERROR(LOOKUP(2,1/(('Match Log'!$D$4:$D$810=$W$24)*('Match Log'!$A$4:$A$810&lt;=$J188)),'Match Log'!$N$4:$N$810),NA()))</f>
        <v>#N/A</v>
      </c>
      <c r="X188" t="e">
        <f>IF($J188&gt;MAX('Match Log'!$A$4:$A$810),NA(),IFERROR(LOOKUP(2,1/(('Match Log'!$D$4:$D$810=$X$24)*('Match Log'!$A$4:$A$810&lt;=$J188)),'Match Log'!$N$4:$N$810),NA()))</f>
        <v>#N/A</v>
      </c>
      <c r="Y188" t="str">
        <f t="shared" ca="1" si="30"/>
        <v/>
      </c>
    </row>
    <row r="189" spans="1:25" x14ac:dyDescent="0.2">
      <c r="A189">
        <v>165</v>
      </c>
      <c r="B189" t="str">
        <f>IFERROR(INDEX('Match Log'!$B$4:$B$810,MATCH(165,'Match Log'!$A$4:$A$810,0)),"")</f>
        <v/>
      </c>
      <c r="C189" t="str">
        <f>IFERROR(INDEX('Match Log'!$C$4:$C$810,MATCH(165,'Match Log'!$A$4:$A$810,0)),"")</f>
        <v/>
      </c>
      <c r="D189" t="str">
        <f t="array" ref="D189">IFERROR(_xlfn.TEXTJOIN(" + ",TRUE,IF(('Match Log'!$A$4:$A$810=$A189)*('Match Log'!$E$4:$E$810="Win"),'Match Log'!$D$4:$D$810,"")),IFERROR(LOOKUP(2,1/(('Match Log'!$A$4:$A$810=$A189)*('Match Log'!$E$4:$E$810="Win")),'Match Log'!$D$4:$D$810),""))</f>
        <v/>
      </c>
      <c r="E189" t="str">
        <f>IFERROR(INDEX('Match Log'!$F$4:$F$810,MATCH(165,'Match Log'!$A$4:$A$810,0)),"")</f>
        <v/>
      </c>
      <c r="F189">
        <f>IFERROR(SUMIFS('Match Log'!$I$4:$I$810,'Match Log'!$A$4:$A$810,165,'Match Log'!$E$4:$E$810,"Win"),"")</f>
        <v>0</v>
      </c>
      <c r="G189" t="str">
        <f t="shared" si="28"/>
        <v/>
      </c>
      <c r="H189" t="str">
        <f t="array" ref="H189">IFERROR(IF(COUNTIFS('Match Log'!$A$4:$A$810,$A189,'Match Log'!$E$4:$E$810,"Win")&gt;1,_xlfn.TEXTJOIN(" + ",TRUE,IF(('Match Log'!$A$4:$A$810=$A189)*('Match Log'!$E$4:$E$810="Loss"),'Match Log'!$D$4:$D$810,"")),IF($E189=2,LOOKUP(2,1/(('Match Log'!$A$4:$A$810=$A189)*('Match Log'!$E$4:$E$810="Loss")),'Match Log'!$D$4:$D$810),"the field")),"")</f>
        <v>the field</v>
      </c>
      <c r="I189" t="str">
        <f t="shared" si="29"/>
        <v/>
      </c>
      <c r="J189">
        <v>165</v>
      </c>
      <c r="K189" t="e">
        <f>IF($J189&gt;MAX('Match Log'!$A$4:$A$810),NA(),IFERROR(LOOKUP(2,1/(('Match Log'!$D$4:$D$810=$K$24)*('Match Log'!$A$4:$A$810&lt;=$J189)),'Match Log'!$N$4:$N$810),NA()))</f>
        <v>#N/A</v>
      </c>
      <c r="L189" t="e">
        <f>IF($J189&gt;MAX('Match Log'!$A$4:$A$810),NA(),IFERROR(LOOKUP(2,1/(('Match Log'!$D$4:$D$810=$L$24)*('Match Log'!$A$4:$A$810&lt;=$J189)),'Match Log'!$N$4:$N$810),NA()))</f>
        <v>#N/A</v>
      </c>
      <c r="M189" t="e">
        <f>IF($J189&gt;MAX('Match Log'!$A$4:$A$810),NA(),IFERROR(LOOKUP(2,1/(('Match Log'!$D$4:$D$810=$M$24)*('Match Log'!$A$4:$A$810&lt;=$J189)),'Match Log'!$N$4:$N$810),NA()))</f>
        <v>#N/A</v>
      </c>
      <c r="N189" t="e">
        <f>IF($J189&gt;MAX('Match Log'!$A$4:$A$810),NA(),IFERROR(LOOKUP(2,1/(('Match Log'!$D$4:$D$810=$N$24)*('Match Log'!$A$4:$A$810&lt;=$J189)),'Match Log'!$N$4:$N$810),NA()))</f>
        <v>#N/A</v>
      </c>
      <c r="O189" t="e">
        <f>IF($J189&gt;MAX('Match Log'!$A$4:$A$810),NA(),IFERROR(LOOKUP(2,1/(('Match Log'!$D$4:$D$810=$O$24)*('Match Log'!$A$4:$A$810&lt;=$J189)),'Match Log'!$N$4:$N$810),NA()))</f>
        <v>#N/A</v>
      </c>
      <c r="P189" t="e">
        <f>IF($J189&gt;MAX('Match Log'!$A$4:$A$810),NA(),IFERROR(LOOKUP(2,1/(('Match Log'!$D$4:$D$810=$P$24)*('Match Log'!$A$4:$A$810&lt;=$J189)),'Match Log'!$N$4:$N$810),NA()))</f>
        <v>#N/A</v>
      </c>
      <c r="Q189" t="e">
        <f>IF($J189&gt;MAX('Match Log'!$A$4:$A$810),NA(),IFERROR(LOOKUP(2,1/(('Match Log'!$D$4:$D$810=$Q$24)*('Match Log'!$A$4:$A$810&lt;=$J189)),'Match Log'!$N$4:$N$810),NA()))</f>
        <v>#N/A</v>
      </c>
      <c r="R189" t="e">
        <f>IF($J189&gt;MAX('Match Log'!$A$4:$A$810),NA(),IFERROR(LOOKUP(2,1/(('Match Log'!$D$4:$D$810=$R$24)*('Match Log'!$A$4:$A$810&lt;=$J189)),'Match Log'!$N$4:$N$810),NA()))</f>
        <v>#N/A</v>
      </c>
      <c r="S189" t="e">
        <f>IF($J189&gt;MAX('Match Log'!$A$4:$A$810),NA(),IFERROR(LOOKUP(2,1/(('Match Log'!$D$4:$D$810=$S$24)*('Match Log'!$A$4:$A$810&lt;=$J189)),'Match Log'!$N$4:$N$810),NA()))</f>
        <v>#N/A</v>
      </c>
      <c r="T189" t="e">
        <f>IF($J189&gt;MAX('Match Log'!$A$4:$A$810),NA(),IFERROR(LOOKUP(2,1/(('Match Log'!$D$4:$D$810=$T$24)*('Match Log'!$A$4:$A$810&lt;=$J189)),'Match Log'!$N$4:$N$810),NA()))</f>
        <v>#N/A</v>
      </c>
      <c r="U189" t="e">
        <f>IF($J189&gt;MAX('Match Log'!$A$4:$A$810),NA(),IFERROR(LOOKUP(2,1/(('Match Log'!$D$4:$D$810=$U$24)*('Match Log'!$A$4:$A$810&lt;=$J189)),'Match Log'!$N$4:$N$810),NA()))</f>
        <v>#N/A</v>
      </c>
      <c r="V189" t="e">
        <f>IF($J189&gt;MAX('Match Log'!$A$4:$A$810),NA(),IFERROR(LOOKUP(2,1/(('Match Log'!$D$4:$D$810=$V$24)*('Match Log'!$A$4:$A$810&lt;=$J189)),'Match Log'!$N$4:$N$810),NA()))</f>
        <v>#N/A</v>
      </c>
      <c r="W189" t="e">
        <f>IF($J189&gt;MAX('Match Log'!$A$4:$A$810),NA(),IFERROR(LOOKUP(2,1/(('Match Log'!$D$4:$D$810=$W$24)*('Match Log'!$A$4:$A$810&lt;=$J189)),'Match Log'!$N$4:$N$810),NA()))</f>
        <v>#N/A</v>
      </c>
      <c r="X189" t="e">
        <f>IF($J189&gt;MAX('Match Log'!$A$4:$A$810),NA(),IFERROR(LOOKUP(2,1/(('Match Log'!$D$4:$D$810=$X$24)*('Match Log'!$A$4:$A$810&lt;=$J189)),'Match Log'!$N$4:$N$810),NA()))</f>
        <v>#N/A</v>
      </c>
      <c r="Y189" t="str">
        <f t="shared" ca="1" si="30"/>
        <v/>
      </c>
    </row>
    <row r="190" spans="1:25" x14ac:dyDescent="0.2">
      <c r="A190">
        <v>166</v>
      </c>
      <c r="B190" t="str">
        <f>IFERROR(INDEX('Match Log'!$B$4:$B$810,MATCH(166,'Match Log'!$A$4:$A$810,0)),"")</f>
        <v/>
      </c>
      <c r="C190" t="str">
        <f>IFERROR(INDEX('Match Log'!$C$4:$C$810,MATCH(166,'Match Log'!$A$4:$A$810,0)),"")</f>
        <v/>
      </c>
      <c r="D190" t="str">
        <f t="array" ref="D190">IFERROR(_xlfn.TEXTJOIN(" + ",TRUE,IF(('Match Log'!$A$4:$A$810=$A190)*('Match Log'!$E$4:$E$810="Win"),'Match Log'!$D$4:$D$810,"")),IFERROR(LOOKUP(2,1/(('Match Log'!$A$4:$A$810=$A190)*('Match Log'!$E$4:$E$810="Win")),'Match Log'!$D$4:$D$810),""))</f>
        <v/>
      </c>
      <c r="E190" t="str">
        <f>IFERROR(INDEX('Match Log'!$F$4:$F$810,MATCH(166,'Match Log'!$A$4:$A$810,0)),"")</f>
        <v/>
      </c>
      <c r="F190">
        <f>IFERROR(SUMIFS('Match Log'!$I$4:$I$810,'Match Log'!$A$4:$A$810,166,'Match Log'!$E$4:$E$810,"Win"),"")</f>
        <v>0</v>
      </c>
      <c r="G190" t="str">
        <f t="shared" si="28"/>
        <v/>
      </c>
      <c r="H190" t="str">
        <f t="array" ref="H190">IFERROR(IF(COUNTIFS('Match Log'!$A$4:$A$810,$A190,'Match Log'!$E$4:$E$810,"Win")&gt;1,_xlfn.TEXTJOIN(" + ",TRUE,IF(('Match Log'!$A$4:$A$810=$A190)*('Match Log'!$E$4:$E$810="Loss"),'Match Log'!$D$4:$D$810,"")),IF($E190=2,LOOKUP(2,1/(('Match Log'!$A$4:$A$810=$A190)*('Match Log'!$E$4:$E$810="Loss")),'Match Log'!$D$4:$D$810),"the field")),"")</f>
        <v>the field</v>
      </c>
      <c r="I190" t="str">
        <f t="shared" si="29"/>
        <v/>
      </c>
      <c r="J190">
        <v>166</v>
      </c>
      <c r="K190" t="e">
        <f>IF($J190&gt;MAX('Match Log'!$A$4:$A$810),NA(),IFERROR(LOOKUP(2,1/(('Match Log'!$D$4:$D$810=$K$24)*('Match Log'!$A$4:$A$810&lt;=$J190)),'Match Log'!$N$4:$N$810),NA()))</f>
        <v>#N/A</v>
      </c>
      <c r="L190" t="e">
        <f>IF($J190&gt;MAX('Match Log'!$A$4:$A$810),NA(),IFERROR(LOOKUP(2,1/(('Match Log'!$D$4:$D$810=$L$24)*('Match Log'!$A$4:$A$810&lt;=$J190)),'Match Log'!$N$4:$N$810),NA()))</f>
        <v>#N/A</v>
      </c>
      <c r="M190" t="e">
        <f>IF($J190&gt;MAX('Match Log'!$A$4:$A$810),NA(),IFERROR(LOOKUP(2,1/(('Match Log'!$D$4:$D$810=$M$24)*('Match Log'!$A$4:$A$810&lt;=$J190)),'Match Log'!$N$4:$N$810),NA()))</f>
        <v>#N/A</v>
      </c>
      <c r="N190" t="e">
        <f>IF($J190&gt;MAX('Match Log'!$A$4:$A$810),NA(),IFERROR(LOOKUP(2,1/(('Match Log'!$D$4:$D$810=$N$24)*('Match Log'!$A$4:$A$810&lt;=$J190)),'Match Log'!$N$4:$N$810),NA()))</f>
        <v>#N/A</v>
      </c>
      <c r="O190" t="e">
        <f>IF($J190&gt;MAX('Match Log'!$A$4:$A$810),NA(),IFERROR(LOOKUP(2,1/(('Match Log'!$D$4:$D$810=$O$24)*('Match Log'!$A$4:$A$810&lt;=$J190)),'Match Log'!$N$4:$N$810),NA()))</f>
        <v>#N/A</v>
      </c>
      <c r="P190" t="e">
        <f>IF($J190&gt;MAX('Match Log'!$A$4:$A$810),NA(),IFERROR(LOOKUP(2,1/(('Match Log'!$D$4:$D$810=$P$24)*('Match Log'!$A$4:$A$810&lt;=$J190)),'Match Log'!$N$4:$N$810),NA()))</f>
        <v>#N/A</v>
      </c>
      <c r="Q190" t="e">
        <f>IF($J190&gt;MAX('Match Log'!$A$4:$A$810),NA(),IFERROR(LOOKUP(2,1/(('Match Log'!$D$4:$D$810=$Q$24)*('Match Log'!$A$4:$A$810&lt;=$J190)),'Match Log'!$N$4:$N$810),NA()))</f>
        <v>#N/A</v>
      </c>
      <c r="R190" t="e">
        <f>IF($J190&gt;MAX('Match Log'!$A$4:$A$810),NA(),IFERROR(LOOKUP(2,1/(('Match Log'!$D$4:$D$810=$R$24)*('Match Log'!$A$4:$A$810&lt;=$J190)),'Match Log'!$N$4:$N$810),NA()))</f>
        <v>#N/A</v>
      </c>
      <c r="S190" t="e">
        <f>IF($J190&gt;MAX('Match Log'!$A$4:$A$810),NA(),IFERROR(LOOKUP(2,1/(('Match Log'!$D$4:$D$810=$S$24)*('Match Log'!$A$4:$A$810&lt;=$J190)),'Match Log'!$N$4:$N$810),NA()))</f>
        <v>#N/A</v>
      </c>
      <c r="T190" t="e">
        <f>IF($J190&gt;MAX('Match Log'!$A$4:$A$810),NA(),IFERROR(LOOKUP(2,1/(('Match Log'!$D$4:$D$810=$T$24)*('Match Log'!$A$4:$A$810&lt;=$J190)),'Match Log'!$N$4:$N$810),NA()))</f>
        <v>#N/A</v>
      </c>
      <c r="U190" t="e">
        <f>IF($J190&gt;MAX('Match Log'!$A$4:$A$810),NA(),IFERROR(LOOKUP(2,1/(('Match Log'!$D$4:$D$810=$U$24)*('Match Log'!$A$4:$A$810&lt;=$J190)),'Match Log'!$N$4:$N$810),NA()))</f>
        <v>#N/A</v>
      </c>
      <c r="V190" t="e">
        <f>IF($J190&gt;MAX('Match Log'!$A$4:$A$810),NA(),IFERROR(LOOKUP(2,1/(('Match Log'!$D$4:$D$810=$V$24)*('Match Log'!$A$4:$A$810&lt;=$J190)),'Match Log'!$N$4:$N$810),NA()))</f>
        <v>#N/A</v>
      </c>
      <c r="W190" t="e">
        <f>IF($J190&gt;MAX('Match Log'!$A$4:$A$810),NA(),IFERROR(LOOKUP(2,1/(('Match Log'!$D$4:$D$810=$W$24)*('Match Log'!$A$4:$A$810&lt;=$J190)),'Match Log'!$N$4:$N$810),NA()))</f>
        <v>#N/A</v>
      </c>
      <c r="X190" t="e">
        <f>IF($J190&gt;MAX('Match Log'!$A$4:$A$810),NA(),IFERROR(LOOKUP(2,1/(('Match Log'!$D$4:$D$810=$X$24)*('Match Log'!$A$4:$A$810&lt;=$J190)),'Match Log'!$N$4:$N$810),NA()))</f>
        <v>#N/A</v>
      </c>
      <c r="Y190" t="str">
        <f t="shared" ca="1" si="30"/>
        <v/>
      </c>
    </row>
    <row r="191" spans="1:25" x14ac:dyDescent="0.2">
      <c r="A191">
        <v>167</v>
      </c>
      <c r="B191" t="str">
        <f>IFERROR(INDEX('Match Log'!$B$4:$B$810,MATCH(167,'Match Log'!$A$4:$A$810,0)),"")</f>
        <v/>
      </c>
      <c r="C191" t="str">
        <f>IFERROR(INDEX('Match Log'!$C$4:$C$810,MATCH(167,'Match Log'!$A$4:$A$810,0)),"")</f>
        <v/>
      </c>
      <c r="D191" t="str">
        <f t="array" ref="D191">IFERROR(_xlfn.TEXTJOIN(" + ",TRUE,IF(('Match Log'!$A$4:$A$810=$A191)*('Match Log'!$E$4:$E$810="Win"),'Match Log'!$D$4:$D$810,"")),IFERROR(LOOKUP(2,1/(('Match Log'!$A$4:$A$810=$A191)*('Match Log'!$E$4:$E$810="Win")),'Match Log'!$D$4:$D$810),""))</f>
        <v/>
      </c>
      <c r="E191" t="str">
        <f>IFERROR(INDEX('Match Log'!$F$4:$F$810,MATCH(167,'Match Log'!$A$4:$A$810,0)),"")</f>
        <v/>
      </c>
      <c r="F191">
        <f>IFERROR(SUMIFS('Match Log'!$I$4:$I$810,'Match Log'!$A$4:$A$810,167,'Match Log'!$E$4:$E$810,"Win"),"")</f>
        <v>0</v>
      </c>
      <c r="G191" t="str">
        <f t="shared" si="28"/>
        <v/>
      </c>
      <c r="H191" t="str">
        <f t="array" ref="H191">IFERROR(IF(COUNTIFS('Match Log'!$A$4:$A$810,$A191,'Match Log'!$E$4:$E$810,"Win")&gt;1,_xlfn.TEXTJOIN(" + ",TRUE,IF(('Match Log'!$A$4:$A$810=$A191)*('Match Log'!$E$4:$E$810="Loss"),'Match Log'!$D$4:$D$810,"")),IF($E191=2,LOOKUP(2,1/(('Match Log'!$A$4:$A$810=$A191)*('Match Log'!$E$4:$E$810="Loss")),'Match Log'!$D$4:$D$810),"the field")),"")</f>
        <v>the field</v>
      </c>
      <c r="I191" t="str">
        <f t="shared" si="29"/>
        <v/>
      </c>
      <c r="J191">
        <v>167</v>
      </c>
      <c r="K191" t="e">
        <f>IF($J191&gt;MAX('Match Log'!$A$4:$A$810),NA(),IFERROR(LOOKUP(2,1/(('Match Log'!$D$4:$D$810=$K$24)*('Match Log'!$A$4:$A$810&lt;=$J191)),'Match Log'!$N$4:$N$810),NA()))</f>
        <v>#N/A</v>
      </c>
      <c r="L191" t="e">
        <f>IF($J191&gt;MAX('Match Log'!$A$4:$A$810),NA(),IFERROR(LOOKUP(2,1/(('Match Log'!$D$4:$D$810=$L$24)*('Match Log'!$A$4:$A$810&lt;=$J191)),'Match Log'!$N$4:$N$810),NA()))</f>
        <v>#N/A</v>
      </c>
      <c r="M191" t="e">
        <f>IF($J191&gt;MAX('Match Log'!$A$4:$A$810),NA(),IFERROR(LOOKUP(2,1/(('Match Log'!$D$4:$D$810=$M$24)*('Match Log'!$A$4:$A$810&lt;=$J191)),'Match Log'!$N$4:$N$810),NA()))</f>
        <v>#N/A</v>
      </c>
      <c r="N191" t="e">
        <f>IF($J191&gt;MAX('Match Log'!$A$4:$A$810),NA(),IFERROR(LOOKUP(2,1/(('Match Log'!$D$4:$D$810=$N$24)*('Match Log'!$A$4:$A$810&lt;=$J191)),'Match Log'!$N$4:$N$810),NA()))</f>
        <v>#N/A</v>
      </c>
      <c r="O191" t="e">
        <f>IF($J191&gt;MAX('Match Log'!$A$4:$A$810),NA(),IFERROR(LOOKUP(2,1/(('Match Log'!$D$4:$D$810=$O$24)*('Match Log'!$A$4:$A$810&lt;=$J191)),'Match Log'!$N$4:$N$810),NA()))</f>
        <v>#N/A</v>
      </c>
      <c r="P191" t="e">
        <f>IF($J191&gt;MAX('Match Log'!$A$4:$A$810),NA(),IFERROR(LOOKUP(2,1/(('Match Log'!$D$4:$D$810=$P$24)*('Match Log'!$A$4:$A$810&lt;=$J191)),'Match Log'!$N$4:$N$810),NA()))</f>
        <v>#N/A</v>
      </c>
      <c r="Q191" t="e">
        <f>IF($J191&gt;MAX('Match Log'!$A$4:$A$810),NA(),IFERROR(LOOKUP(2,1/(('Match Log'!$D$4:$D$810=$Q$24)*('Match Log'!$A$4:$A$810&lt;=$J191)),'Match Log'!$N$4:$N$810),NA()))</f>
        <v>#N/A</v>
      </c>
      <c r="R191" t="e">
        <f>IF($J191&gt;MAX('Match Log'!$A$4:$A$810),NA(),IFERROR(LOOKUP(2,1/(('Match Log'!$D$4:$D$810=$R$24)*('Match Log'!$A$4:$A$810&lt;=$J191)),'Match Log'!$N$4:$N$810),NA()))</f>
        <v>#N/A</v>
      </c>
      <c r="S191" t="e">
        <f>IF($J191&gt;MAX('Match Log'!$A$4:$A$810),NA(),IFERROR(LOOKUP(2,1/(('Match Log'!$D$4:$D$810=$S$24)*('Match Log'!$A$4:$A$810&lt;=$J191)),'Match Log'!$N$4:$N$810),NA()))</f>
        <v>#N/A</v>
      </c>
      <c r="T191" t="e">
        <f>IF($J191&gt;MAX('Match Log'!$A$4:$A$810),NA(),IFERROR(LOOKUP(2,1/(('Match Log'!$D$4:$D$810=$T$24)*('Match Log'!$A$4:$A$810&lt;=$J191)),'Match Log'!$N$4:$N$810),NA()))</f>
        <v>#N/A</v>
      </c>
      <c r="U191" t="e">
        <f>IF($J191&gt;MAX('Match Log'!$A$4:$A$810),NA(),IFERROR(LOOKUP(2,1/(('Match Log'!$D$4:$D$810=$U$24)*('Match Log'!$A$4:$A$810&lt;=$J191)),'Match Log'!$N$4:$N$810),NA()))</f>
        <v>#N/A</v>
      </c>
      <c r="V191" t="e">
        <f>IF($J191&gt;MAX('Match Log'!$A$4:$A$810),NA(),IFERROR(LOOKUP(2,1/(('Match Log'!$D$4:$D$810=$V$24)*('Match Log'!$A$4:$A$810&lt;=$J191)),'Match Log'!$N$4:$N$810),NA()))</f>
        <v>#N/A</v>
      </c>
      <c r="W191" t="e">
        <f>IF($J191&gt;MAX('Match Log'!$A$4:$A$810),NA(),IFERROR(LOOKUP(2,1/(('Match Log'!$D$4:$D$810=$W$24)*('Match Log'!$A$4:$A$810&lt;=$J191)),'Match Log'!$N$4:$N$810),NA()))</f>
        <v>#N/A</v>
      </c>
      <c r="X191" t="e">
        <f>IF($J191&gt;MAX('Match Log'!$A$4:$A$810),NA(),IFERROR(LOOKUP(2,1/(('Match Log'!$D$4:$D$810=$X$24)*('Match Log'!$A$4:$A$810&lt;=$J191)),'Match Log'!$N$4:$N$810),NA()))</f>
        <v>#N/A</v>
      </c>
      <c r="Y191" t="str">
        <f t="shared" ca="1" si="30"/>
        <v/>
      </c>
    </row>
    <row r="192" spans="1:25" x14ac:dyDescent="0.2">
      <c r="A192">
        <v>168</v>
      </c>
      <c r="B192" t="str">
        <f>IFERROR(INDEX('Match Log'!$B$4:$B$810,MATCH(168,'Match Log'!$A$4:$A$810,0)),"")</f>
        <v/>
      </c>
      <c r="C192" t="str">
        <f>IFERROR(INDEX('Match Log'!$C$4:$C$810,MATCH(168,'Match Log'!$A$4:$A$810,0)),"")</f>
        <v/>
      </c>
      <c r="D192" t="str">
        <f t="array" ref="D192">IFERROR(_xlfn.TEXTJOIN(" + ",TRUE,IF(('Match Log'!$A$4:$A$810=$A192)*('Match Log'!$E$4:$E$810="Win"),'Match Log'!$D$4:$D$810,"")),IFERROR(LOOKUP(2,1/(('Match Log'!$A$4:$A$810=$A192)*('Match Log'!$E$4:$E$810="Win")),'Match Log'!$D$4:$D$810),""))</f>
        <v/>
      </c>
      <c r="E192" t="str">
        <f>IFERROR(INDEX('Match Log'!$F$4:$F$810,MATCH(168,'Match Log'!$A$4:$A$810,0)),"")</f>
        <v/>
      </c>
      <c r="F192">
        <f>IFERROR(SUMIFS('Match Log'!$I$4:$I$810,'Match Log'!$A$4:$A$810,168,'Match Log'!$E$4:$E$810,"Win"),"")</f>
        <v>0</v>
      </c>
      <c r="G192" t="str">
        <f t="shared" si="28"/>
        <v/>
      </c>
      <c r="H192" t="str">
        <f t="array" ref="H192">IFERROR(IF(COUNTIFS('Match Log'!$A$4:$A$810,$A192,'Match Log'!$E$4:$E$810,"Win")&gt;1,_xlfn.TEXTJOIN(" + ",TRUE,IF(('Match Log'!$A$4:$A$810=$A192)*('Match Log'!$E$4:$E$810="Loss"),'Match Log'!$D$4:$D$810,"")),IF($E192=2,LOOKUP(2,1/(('Match Log'!$A$4:$A$810=$A192)*('Match Log'!$E$4:$E$810="Loss")),'Match Log'!$D$4:$D$810),"the field")),"")</f>
        <v>the field</v>
      </c>
      <c r="I192" t="str">
        <f t="shared" si="29"/>
        <v/>
      </c>
      <c r="J192">
        <v>168</v>
      </c>
      <c r="K192" t="e">
        <f>IF($J192&gt;MAX('Match Log'!$A$4:$A$810),NA(),IFERROR(LOOKUP(2,1/(('Match Log'!$D$4:$D$810=$K$24)*('Match Log'!$A$4:$A$810&lt;=$J192)),'Match Log'!$N$4:$N$810),NA()))</f>
        <v>#N/A</v>
      </c>
      <c r="L192" t="e">
        <f>IF($J192&gt;MAX('Match Log'!$A$4:$A$810),NA(),IFERROR(LOOKUP(2,1/(('Match Log'!$D$4:$D$810=$L$24)*('Match Log'!$A$4:$A$810&lt;=$J192)),'Match Log'!$N$4:$N$810),NA()))</f>
        <v>#N/A</v>
      </c>
      <c r="M192" t="e">
        <f>IF($J192&gt;MAX('Match Log'!$A$4:$A$810),NA(),IFERROR(LOOKUP(2,1/(('Match Log'!$D$4:$D$810=$M$24)*('Match Log'!$A$4:$A$810&lt;=$J192)),'Match Log'!$N$4:$N$810),NA()))</f>
        <v>#N/A</v>
      </c>
      <c r="N192" t="e">
        <f>IF($J192&gt;MAX('Match Log'!$A$4:$A$810),NA(),IFERROR(LOOKUP(2,1/(('Match Log'!$D$4:$D$810=$N$24)*('Match Log'!$A$4:$A$810&lt;=$J192)),'Match Log'!$N$4:$N$810),NA()))</f>
        <v>#N/A</v>
      </c>
      <c r="O192" t="e">
        <f>IF($J192&gt;MAX('Match Log'!$A$4:$A$810),NA(),IFERROR(LOOKUP(2,1/(('Match Log'!$D$4:$D$810=$O$24)*('Match Log'!$A$4:$A$810&lt;=$J192)),'Match Log'!$N$4:$N$810),NA()))</f>
        <v>#N/A</v>
      </c>
      <c r="P192" t="e">
        <f>IF($J192&gt;MAX('Match Log'!$A$4:$A$810),NA(),IFERROR(LOOKUP(2,1/(('Match Log'!$D$4:$D$810=$P$24)*('Match Log'!$A$4:$A$810&lt;=$J192)),'Match Log'!$N$4:$N$810),NA()))</f>
        <v>#N/A</v>
      </c>
      <c r="Q192" t="e">
        <f>IF($J192&gt;MAX('Match Log'!$A$4:$A$810),NA(),IFERROR(LOOKUP(2,1/(('Match Log'!$D$4:$D$810=$Q$24)*('Match Log'!$A$4:$A$810&lt;=$J192)),'Match Log'!$N$4:$N$810),NA()))</f>
        <v>#N/A</v>
      </c>
      <c r="R192" t="e">
        <f>IF($J192&gt;MAX('Match Log'!$A$4:$A$810),NA(),IFERROR(LOOKUP(2,1/(('Match Log'!$D$4:$D$810=$R$24)*('Match Log'!$A$4:$A$810&lt;=$J192)),'Match Log'!$N$4:$N$810),NA()))</f>
        <v>#N/A</v>
      </c>
      <c r="S192" t="e">
        <f>IF($J192&gt;MAX('Match Log'!$A$4:$A$810),NA(),IFERROR(LOOKUP(2,1/(('Match Log'!$D$4:$D$810=$S$24)*('Match Log'!$A$4:$A$810&lt;=$J192)),'Match Log'!$N$4:$N$810),NA()))</f>
        <v>#N/A</v>
      </c>
      <c r="T192" t="e">
        <f>IF($J192&gt;MAX('Match Log'!$A$4:$A$810),NA(),IFERROR(LOOKUP(2,1/(('Match Log'!$D$4:$D$810=$T$24)*('Match Log'!$A$4:$A$810&lt;=$J192)),'Match Log'!$N$4:$N$810),NA()))</f>
        <v>#N/A</v>
      </c>
      <c r="U192" t="e">
        <f>IF($J192&gt;MAX('Match Log'!$A$4:$A$810),NA(),IFERROR(LOOKUP(2,1/(('Match Log'!$D$4:$D$810=$U$24)*('Match Log'!$A$4:$A$810&lt;=$J192)),'Match Log'!$N$4:$N$810),NA()))</f>
        <v>#N/A</v>
      </c>
      <c r="V192" t="e">
        <f>IF($J192&gt;MAX('Match Log'!$A$4:$A$810),NA(),IFERROR(LOOKUP(2,1/(('Match Log'!$D$4:$D$810=$V$24)*('Match Log'!$A$4:$A$810&lt;=$J192)),'Match Log'!$N$4:$N$810),NA()))</f>
        <v>#N/A</v>
      </c>
      <c r="W192" t="e">
        <f>IF($J192&gt;MAX('Match Log'!$A$4:$A$810),NA(),IFERROR(LOOKUP(2,1/(('Match Log'!$D$4:$D$810=$W$24)*('Match Log'!$A$4:$A$810&lt;=$J192)),'Match Log'!$N$4:$N$810),NA()))</f>
        <v>#N/A</v>
      </c>
      <c r="X192" t="e">
        <f>IF($J192&gt;MAX('Match Log'!$A$4:$A$810),NA(),IFERROR(LOOKUP(2,1/(('Match Log'!$D$4:$D$810=$X$24)*('Match Log'!$A$4:$A$810&lt;=$J192)),'Match Log'!$N$4:$N$810),NA()))</f>
        <v>#N/A</v>
      </c>
      <c r="Y192" t="str">
        <f t="shared" ca="1" si="30"/>
        <v/>
      </c>
    </row>
    <row r="193" spans="1:25" x14ac:dyDescent="0.2">
      <c r="A193">
        <v>169</v>
      </c>
      <c r="B193" t="str">
        <f>IFERROR(INDEX('Match Log'!$B$4:$B$810,MATCH(169,'Match Log'!$A$4:$A$810,0)),"")</f>
        <v/>
      </c>
      <c r="C193" t="str">
        <f>IFERROR(INDEX('Match Log'!$C$4:$C$810,MATCH(169,'Match Log'!$A$4:$A$810,0)),"")</f>
        <v/>
      </c>
      <c r="D193" t="str">
        <f t="array" ref="D193">IFERROR(_xlfn.TEXTJOIN(" + ",TRUE,IF(('Match Log'!$A$4:$A$810=$A193)*('Match Log'!$E$4:$E$810="Win"),'Match Log'!$D$4:$D$810,"")),IFERROR(LOOKUP(2,1/(('Match Log'!$A$4:$A$810=$A193)*('Match Log'!$E$4:$E$810="Win")),'Match Log'!$D$4:$D$810),""))</f>
        <v/>
      </c>
      <c r="E193" t="str">
        <f>IFERROR(INDEX('Match Log'!$F$4:$F$810,MATCH(169,'Match Log'!$A$4:$A$810,0)),"")</f>
        <v/>
      </c>
      <c r="F193">
        <f>IFERROR(SUMIFS('Match Log'!$I$4:$I$810,'Match Log'!$A$4:$A$810,169,'Match Log'!$E$4:$E$810,"Win"),"")</f>
        <v>0</v>
      </c>
      <c r="G193" t="str">
        <f t="shared" si="28"/>
        <v/>
      </c>
      <c r="H193" t="str">
        <f t="array" ref="H193">IFERROR(IF(COUNTIFS('Match Log'!$A$4:$A$810,$A193,'Match Log'!$E$4:$E$810,"Win")&gt;1,_xlfn.TEXTJOIN(" + ",TRUE,IF(('Match Log'!$A$4:$A$810=$A193)*('Match Log'!$E$4:$E$810="Loss"),'Match Log'!$D$4:$D$810,"")),IF($E193=2,LOOKUP(2,1/(('Match Log'!$A$4:$A$810=$A193)*('Match Log'!$E$4:$E$810="Loss")),'Match Log'!$D$4:$D$810),"the field")),"")</f>
        <v>the field</v>
      </c>
      <c r="I193" t="str">
        <f t="shared" si="29"/>
        <v/>
      </c>
      <c r="J193">
        <v>169</v>
      </c>
      <c r="K193" t="e">
        <f>IF($J193&gt;MAX('Match Log'!$A$4:$A$810),NA(),IFERROR(LOOKUP(2,1/(('Match Log'!$D$4:$D$810=$K$24)*('Match Log'!$A$4:$A$810&lt;=$J193)),'Match Log'!$N$4:$N$810),NA()))</f>
        <v>#N/A</v>
      </c>
      <c r="L193" t="e">
        <f>IF($J193&gt;MAX('Match Log'!$A$4:$A$810),NA(),IFERROR(LOOKUP(2,1/(('Match Log'!$D$4:$D$810=$L$24)*('Match Log'!$A$4:$A$810&lt;=$J193)),'Match Log'!$N$4:$N$810),NA()))</f>
        <v>#N/A</v>
      </c>
      <c r="M193" t="e">
        <f>IF($J193&gt;MAX('Match Log'!$A$4:$A$810),NA(),IFERROR(LOOKUP(2,1/(('Match Log'!$D$4:$D$810=$M$24)*('Match Log'!$A$4:$A$810&lt;=$J193)),'Match Log'!$N$4:$N$810),NA()))</f>
        <v>#N/A</v>
      </c>
      <c r="N193" t="e">
        <f>IF($J193&gt;MAX('Match Log'!$A$4:$A$810),NA(),IFERROR(LOOKUP(2,1/(('Match Log'!$D$4:$D$810=$N$24)*('Match Log'!$A$4:$A$810&lt;=$J193)),'Match Log'!$N$4:$N$810),NA()))</f>
        <v>#N/A</v>
      </c>
      <c r="O193" t="e">
        <f>IF($J193&gt;MAX('Match Log'!$A$4:$A$810),NA(),IFERROR(LOOKUP(2,1/(('Match Log'!$D$4:$D$810=$O$24)*('Match Log'!$A$4:$A$810&lt;=$J193)),'Match Log'!$N$4:$N$810),NA()))</f>
        <v>#N/A</v>
      </c>
      <c r="P193" t="e">
        <f>IF($J193&gt;MAX('Match Log'!$A$4:$A$810),NA(),IFERROR(LOOKUP(2,1/(('Match Log'!$D$4:$D$810=$P$24)*('Match Log'!$A$4:$A$810&lt;=$J193)),'Match Log'!$N$4:$N$810),NA()))</f>
        <v>#N/A</v>
      </c>
      <c r="Q193" t="e">
        <f>IF($J193&gt;MAX('Match Log'!$A$4:$A$810),NA(),IFERROR(LOOKUP(2,1/(('Match Log'!$D$4:$D$810=$Q$24)*('Match Log'!$A$4:$A$810&lt;=$J193)),'Match Log'!$N$4:$N$810),NA()))</f>
        <v>#N/A</v>
      </c>
      <c r="R193" t="e">
        <f>IF($J193&gt;MAX('Match Log'!$A$4:$A$810),NA(),IFERROR(LOOKUP(2,1/(('Match Log'!$D$4:$D$810=$R$24)*('Match Log'!$A$4:$A$810&lt;=$J193)),'Match Log'!$N$4:$N$810),NA()))</f>
        <v>#N/A</v>
      </c>
      <c r="S193" t="e">
        <f>IF($J193&gt;MAX('Match Log'!$A$4:$A$810),NA(),IFERROR(LOOKUP(2,1/(('Match Log'!$D$4:$D$810=$S$24)*('Match Log'!$A$4:$A$810&lt;=$J193)),'Match Log'!$N$4:$N$810),NA()))</f>
        <v>#N/A</v>
      </c>
      <c r="T193" t="e">
        <f>IF($J193&gt;MAX('Match Log'!$A$4:$A$810),NA(),IFERROR(LOOKUP(2,1/(('Match Log'!$D$4:$D$810=$T$24)*('Match Log'!$A$4:$A$810&lt;=$J193)),'Match Log'!$N$4:$N$810),NA()))</f>
        <v>#N/A</v>
      </c>
      <c r="U193" t="e">
        <f>IF($J193&gt;MAX('Match Log'!$A$4:$A$810),NA(),IFERROR(LOOKUP(2,1/(('Match Log'!$D$4:$D$810=$U$24)*('Match Log'!$A$4:$A$810&lt;=$J193)),'Match Log'!$N$4:$N$810),NA()))</f>
        <v>#N/A</v>
      </c>
      <c r="V193" t="e">
        <f>IF($J193&gt;MAX('Match Log'!$A$4:$A$810),NA(),IFERROR(LOOKUP(2,1/(('Match Log'!$D$4:$D$810=$V$24)*('Match Log'!$A$4:$A$810&lt;=$J193)),'Match Log'!$N$4:$N$810),NA()))</f>
        <v>#N/A</v>
      </c>
      <c r="W193" t="e">
        <f>IF($J193&gt;MAX('Match Log'!$A$4:$A$810),NA(),IFERROR(LOOKUP(2,1/(('Match Log'!$D$4:$D$810=$W$24)*('Match Log'!$A$4:$A$810&lt;=$J193)),'Match Log'!$N$4:$N$810),NA()))</f>
        <v>#N/A</v>
      </c>
      <c r="X193" t="e">
        <f>IF($J193&gt;MAX('Match Log'!$A$4:$A$810),NA(),IFERROR(LOOKUP(2,1/(('Match Log'!$D$4:$D$810=$X$24)*('Match Log'!$A$4:$A$810&lt;=$J193)),'Match Log'!$N$4:$N$810),NA()))</f>
        <v>#N/A</v>
      </c>
      <c r="Y193" t="str">
        <f t="shared" ca="1" si="30"/>
        <v/>
      </c>
    </row>
    <row r="194" spans="1:25" x14ac:dyDescent="0.2">
      <c r="A194">
        <v>170</v>
      </c>
      <c r="B194" t="str">
        <f>IFERROR(INDEX('Match Log'!$B$4:$B$810,MATCH(170,'Match Log'!$A$4:$A$810,0)),"")</f>
        <v/>
      </c>
      <c r="C194" t="str">
        <f>IFERROR(INDEX('Match Log'!$C$4:$C$810,MATCH(170,'Match Log'!$A$4:$A$810,0)),"")</f>
        <v/>
      </c>
      <c r="D194" t="str">
        <f t="array" ref="D194">IFERROR(_xlfn.TEXTJOIN(" + ",TRUE,IF(('Match Log'!$A$4:$A$810=$A194)*('Match Log'!$E$4:$E$810="Win"),'Match Log'!$D$4:$D$810,"")),IFERROR(LOOKUP(2,1/(('Match Log'!$A$4:$A$810=$A194)*('Match Log'!$E$4:$E$810="Win")),'Match Log'!$D$4:$D$810),""))</f>
        <v/>
      </c>
      <c r="E194" t="str">
        <f>IFERROR(INDEX('Match Log'!$F$4:$F$810,MATCH(170,'Match Log'!$A$4:$A$810,0)),"")</f>
        <v/>
      </c>
      <c r="F194">
        <f>IFERROR(SUMIFS('Match Log'!$I$4:$I$810,'Match Log'!$A$4:$A$810,170,'Match Log'!$E$4:$E$810,"Win"),"")</f>
        <v>0</v>
      </c>
      <c r="G194" t="str">
        <f t="shared" si="28"/>
        <v/>
      </c>
      <c r="H194" t="str">
        <f t="array" ref="H194">IFERROR(IF(COUNTIFS('Match Log'!$A$4:$A$810,$A194,'Match Log'!$E$4:$E$810,"Win")&gt;1,_xlfn.TEXTJOIN(" + ",TRUE,IF(('Match Log'!$A$4:$A$810=$A194)*('Match Log'!$E$4:$E$810="Loss"),'Match Log'!$D$4:$D$810,"")),IF($E194=2,LOOKUP(2,1/(('Match Log'!$A$4:$A$810=$A194)*('Match Log'!$E$4:$E$810="Loss")),'Match Log'!$D$4:$D$810),"the field")),"")</f>
        <v>the field</v>
      </c>
      <c r="I194" t="str">
        <f t="shared" si="29"/>
        <v/>
      </c>
      <c r="J194">
        <v>170</v>
      </c>
      <c r="K194" t="e">
        <f>IF($J194&gt;MAX('Match Log'!$A$4:$A$810),NA(),IFERROR(LOOKUP(2,1/(('Match Log'!$D$4:$D$810=$K$24)*('Match Log'!$A$4:$A$810&lt;=$J194)),'Match Log'!$N$4:$N$810),NA()))</f>
        <v>#N/A</v>
      </c>
      <c r="L194" t="e">
        <f>IF($J194&gt;MAX('Match Log'!$A$4:$A$810),NA(),IFERROR(LOOKUP(2,1/(('Match Log'!$D$4:$D$810=$L$24)*('Match Log'!$A$4:$A$810&lt;=$J194)),'Match Log'!$N$4:$N$810),NA()))</f>
        <v>#N/A</v>
      </c>
      <c r="M194" t="e">
        <f>IF($J194&gt;MAX('Match Log'!$A$4:$A$810),NA(),IFERROR(LOOKUP(2,1/(('Match Log'!$D$4:$D$810=$M$24)*('Match Log'!$A$4:$A$810&lt;=$J194)),'Match Log'!$N$4:$N$810),NA()))</f>
        <v>#N/A</v>
      </c>
      <c r="N194" t="e">
        <f>IF($J194&gt;MAX('Match Log'!$A$4:$A$810),NA(),IFERROR(LOOKUP(2,1/(('Match Log'!$D$4:$D$810=$N$24)*('Match Log'!$A$4:$A$810&lt;=$J194)),'Match Log'!$N$4:$N$810),NA()))</f>
        <v>#N/A</v>
      </c>
      <c r="O194" t="e">
        <f>IF($J194&gt;MAX('Match Log'!$A$4:$A$810),NA(),IFERROR(LOOKUP(2,1/(('Match Log'!$D$4:$D$810=$O$24)*('Match Log'!$A$4:$A$810&lt;=$J194)),'Match Log'!$N$4:$N$810),NA()))</f>
        <v>#N/A</v>
      </c>
      <c r="P194" t="e">
        <f>IF($J194&gt;MAX('Match Log'!$A$4:$A$810),NA(),IFERROR(LOOKUP(2,1/(('Match Log'!$D$4:$D$810=$P$24)*('Match Log'!$A$4:$A$810&lt;=$J194)),'Match Log'!$N$4:$N$810),NA()))</f>
        <v>#N/A</v>
      </c>
      <c r="Q194" t="e">
        <f>IF($J194&gt;MAX('Match Log'!$A$4:$A$810),NA(),IFERROR(LOOKUP(2,1/(('Match Log'!$D$4:$D$810=$Q$24)*('Match Log'!$A$4:$A$810&lt;=$J194)),'Match Log'!$N$4:$N$810),NA()))</f>
        <v>#N/A</v>
      </c>
      <c r="R194" t="e">
        <f>IF($J194&gt;MAX('Match Log'!$A$4:$A$810),NA(),IFERROR(LOOKUP(2,1/(('Match Log'!$D$4:$D$810=$R$24)*('Match Log'!$A$4:$A$810&lt;=$J194)),'Match Log'!$N$4:$N$810),NA()))</f>
        <v>#N/A</v>
      </c>
      <c r="S194" t="e">
        <f>IF($J194&gt;MAX('Match Log'!$A$4:$A$810),NA(),IFERROR(LOOKUP(2,1/(('Match Log'!$D$4:$D$810=$S$24)*('Match Log'!$A$4:$A$810&lt;=$J194)),'Match Log'!$N$4:$N$810),NA()))</f>
        <v>#N/A</v>
      </c>
      <c r="T194" t="e">
        <f>IF($J194&gt;MAX('Match Log'!$A$4:$A$810),NA(),IFERROR(LOOKUP(2,1/(('Match Log'!$D$4:$D$810=$T$24)*('Match Log'!$A$4:$A$810&lt;=$J194)),'Match Log'!$N$4:$N$810),NA()))</f>
        <v>#N/A</v>
      </c>
      <c r="U194" t="e">
        <f>IF($J194&gt;MAX('Match Log'!$A$4:$A$810),NA(),IFERROR(LOOKUP(2,1/(('Match Log'!$D$4:$D$810=$U$24)*('Match Log'!$A$4:$A$810&lt;=$J194)),'Match Log'!$N$4:$N$810),NA()))</f>
        <v>#N/A</v>
      </c>
      <c r="V194" t="e">
        <f>IF($J194&gt;MAX('Match Log'!$A$4:$A$810),NA(),IFERROR(LOOKUP(2,1/(('Match Log'!$D$4:$D$810=$V$24)*('Match Log'!$A$4:$A$810&lt;=$J194)),'Match Log'!$N$4:$N$810),NA()))</f>
        <v>#N/A</v>
      </c>
      <c r="W194" t="e">
        <f>IF($J194&gt;MAX('Match Log'!$A$4:$A$810),NA(),IFERROR(LOOKUP(2,1/(('Match Log'!$D$4:$D$810=$W$24)*('Match Log'!$A$4:$A$810&lt;=$J194)),'Match Log'!$N$4:$N$810),NA()))</f>
        <v>#N/A</v>
      </c>
      <c r="X194" t="e">
        <f>IF($J194&gt;MAX('Match Log'!$A$4:$A$810),NA(),IFERROR(LOOKUP(2,1/(('Match Log'!$D$4:$D$810=$X$24)*('Match Log'!$A$4:$A$810&lt;=$J194)),'Match Log'!$N$4:$N$810),NA()))</f>
        <v>#N/A</v>
      </c>
      <c r="Y194" t="str">
        <f t="shared" ca="1" si="30"/>
        <v/>
      </c>
    </row>
    <row r="195" spans="1:25" x14ac:dyDescent="0.2">
      <c r="A195">
        <v>171</v>
      </c>
      <c r="B195" t="str">
        <f>IFERROR(INDEX('Match Log'!$B$4:$B$810,MATCH(171,'Match Log'!$A$4:$A$810,0)),"")</f>
        <v/>
      </c>
      <c r="C195" t="str">
        <f>IFERROR(INDEX('Match Log'!$C$4:$C$810,MATCH(171,'Match Log'!$A$4:$A$810,0)),"")</f>
        <v/>
      </c>
      <c r="D195" t="str">
        <f t="array" ref="D195">IFERROR(_xlfn.TEXTJOIN(" + ",TRUE,IF(('Match Log'!$A$4:$A$810=$A195)*('Match Log'!$E$4:$E$810="Win"),'Match Log'!$D$4:$D$810,"")),IFERROR(LOOKUP(2,1/(('Match Log'!$A$4:$A$810=$A195)*('Match Log'!$E$4:$E$810="Win")),'Match Log'!$D$4:$D$810),""))</f>
        <v/>
      </c>
      <c r="E195" t="str">
        <f>IFERROR(INDEX('Match Log'!$F$4:$F$810,MATCH(171,'Match Log'!$A$4:$A$810,0)),"")</f>
        <v/>
      </c>
      <c r="F195">
        <f>IFERROR(SUMIFS('Match Log'!$I$4:$I$810,'Match Log'!$A$4:$A$810,171,'Match Log'!$E$4:$E$810,"Win"),"")</f>
        <v>0</v>
      </c>
      <c r="G195" t="str">
        <f t="shared" si="28"/>
        <v/>
      </c>
      <c r="H195" t="str">
        <f t="array" ref="H195">IFERROR(IF(COUNTIFS('Match Log'!$A$4:$A$810,$A195,'Match Log'!$E$4:$E$810,"Win")&gt;1,_xlfn.TEXTJOIN(" + ",TRUE,IF(('Match Log'!$A$4:$A$810=$A195)*('Match Log'!$E$4:$E$810="Loss"),'Match Log'!$D$4:$D$810,"")),IF($E195=2,LOOKUP(2,1/(('Match Log'!$A$4:$A$810=$A195)*('Match Log'!$E$4:$E$810="Loss")),'Match Log'!$D$4:$D$810),"the field")),"")</f>
        <v>the field</v>
      </c>
      <c r="I195" t="str">
        <f t="shared" si="29"/>
        <v/>
      </c>
      <c r="J195">
        <v>171</v>
      </c>
      <c r="K195" t="e">
        <f>IF($J195&gt;MAX('Match Log'!$A$4:$A$810),NA(),IFERROR(LOOKUP(2,1/(('Match Log'!$D$4:$D$810=$K$24)*('Match Log'!$A$4:$A$810&lt;=$J195)),'Match Log'!$N$4:$N$810),NA()))</f>
        <v>#N/A</v>
      </c>
      <c r="L195" t="e">
        <f>IF($J195&gt;MAX('Match Log'!$A$4:$A$810),NA(),IFERROR(LOOKUP(2,1/(('Match Log'!$D$4:$D$810=$L$24)*('Match Log'!$A$4:$A$810&lt;=$J195)),'Match Log'!$N$4:$N$810),NA()))</f>
        <v>#N/A</v>
      </c>
      <c r="M195" t="e">
        <f>IF($J195&gt;MAX('Match Log'!$A$4:$A$810),NA(),IFERROR(LOOKUP(2,1/(('Match Log'!$D$4:$D$810=$M$24)*('Match Log'!$A$4:$A$810&lt;=$J195)),'Match Log'!$N$4:$N$810),NA()))</f>
        <v>#N/A</v>
      </c>
      <c r="N195" t="e">
        <f>IF($J195&gt;MAX('Match Log'!$A$4:$A$810),NA(),IFERROR(LOOKUP(2,1/(('Match Log'!$D$4:$D$810=$N$24)*('Match Log'!$A$4:$A$810&lt;=$J195)),'Match Log'!$N$4:$N$810),NA()))</f>
        <v>#N/A</v>
      </c>
      <c r="O195" t="e">
        <f>IF($J195&gt;MAX('Match Log'!$A$4:$A$810),NA(),IFERROR(LOOKUP(2,1/(('Match Log'!$D$4:$D$810=$O$24)*('Match Log'!$A$4:$A$810&lt;=$J195)),'Match Log'!$N$4:$N$810),NA()))</f>
        <v>#N/A</v>
      </c>
      <c r="P195" t="e">
        <f>IF($J195&gt;MAX('Match Log'!$A$4:$A$810),NA(),IFERROR(LOOKUP(2,1/(('Match Log'!$D$4:$D$810=$P$24)*('Match Log'!$A$4:$A$810&lt;=$J195)),'Match Log'!$N$4:$N$810),NA()))</f>
        <v>#N/A</v>
      </c>
      <c r="Q195" t="e">
        <f>IF($J195&gt;MAX('Match Log'!$A$4:$A$810),NA(),IFERROR(LOOKUP(2,1/(('Match Log'!$D$4:$D$810=$Q$24)*('Match Log'!$A$4:$A$810&lt;=$J195)),'Match Log'!$N$4:$N$810),NA()))</f>
        <v>#N/A</v>
      </c>
      <c r="R195" t="e">
        <f>IF($J195&gt;MAX('Match Log'!$A$4:$A$810),NA(),IFERROR(LOOKUP(2,1/(('Match Log'!$D$4:$D$810=$R$24)*('Match Log'!$A$4:$A$810&lt;=$J195)),'Match Log'!$N$4:$N$810),NA()))</f>
        <v>#N/A</v>
      </c>
      <c r="S195" t="e">
        <f>IF($J195&gt;MAX('Match Log'!$A$4:$A$810),NA(),IFERROR(LOOKUP(2,1/(('Match Log'!$D$4:$D$810=$S$24)*('Match Log'!$A$4:$A$810&lt;=$J195)),'Match Log'!$N$4:$N$810),NA()))</f>
        <v>#N/A</v>
      </c>
      <c r="T195" t="e">
        <f>IF($J195&gt;MAX('Match Log'!$A$4:$A$810),NA(),IFERROR(LOOKUP(2,1/(('Match Log'!$D$4:$D$810=$T$24)*('Match Log'!$A$4:$A$810&lt;=$J195)),'Match Log'!$N$4:$N$810),NA()))</f>
        <v>#N/A</v>
      </c>
      <c r="U195" t="e">
        <f>IF($J195&gt;MAX('Match Log'!$A$4:$A$810),NA(),IFERROR(LOOKUP(2,1/(('Match Log'!$D$4:$D$810=$U$24)*('Match Log'!$A$4:$A$810&lt;=$J195)),'Match Log'!$N$4:$N$810),NA()))</f>
        <v>#N/A</v>
      </c>
      <c r="V195" t="e">
        <f>IF($J195&gt;MAX('Match Log'!$A$4:$A$810),NA(),IFERROR(LOOKUP(2,1/(('Match Log'!$D$4:$D$810=$V$24)*('Match Log'!$A$4:$A$810&lt;=$J195)),'Match Log'!$N$4:$N$810),NA()))</f>
        <v>#N/A</v>
      </c>
      <c r="W195" t="e">
        <f>IF($J195&gt;MAX('Match Log'!$A$4:$A$810),NA(),IFERROR(LOOKUP(2,1/(('Match Log'!$D$4:$D$810=$W$24)*('Match Log'!$A$4:$A$810&lt;=$J195)),'Match Log'!$N$4:$N$810),NA()))</f>
        <v>#N/A</v>
      </c>
      <c r="X195" t="e">
        <f>IF($J195&gt;MAX('Match Log'!$A$4:$A$810),NA(),IFERROR(LOOKUP(2,1/(('Match Log'!$D$4:$D$810=$X$24)*('Match Log'!$A$4:$A$810&lt;=$J195)),'Match Log'!$N$4:$N$810),NA()))</f>
        <v>#N/A</v>
      </c>
      <c r="Y195" t="str">
        <f t="shared" ca="1" si="30"/>
        <v/>
      </c>
    </row>
    <row r="196" spans="1:25" x14ac:dyDescent="0.2">
      <c r="A196">
        <v>172</v>
      </c>
      <c r="B196" t="str">
        <f>IFERROR(INDEX('Match Log'!$B$4:$B$810,MATCH(172,'Match Log'!$A$4:$A$810,0)),"")</f>
        <v/>
      </c>
      <c r="C196" t="str">
        <f>IFERROR(INDEX('Match Log'!$C$4:$C$810,MATCH(172,'Match Log'!$A$4:$A$810,0)),"")</f>
        <v/>
      </c>
      <c r="D196" t="str">
        <f t="array" ref="D196">IFERROR(_xlfn.TEXTJOIN(" + ",TRUE,IF(('Match Log'!$A$4:$A$810=$A196)*('Match Log'!$E$4:$E$810="Win"),'Match Log'!$D$4:$D$810,"")),IFERROR(LOOKUP(2,1/(('Match Log'!$A$4:$A$810=$A196)*('Match Log'!$E$4:$E$810="Win")),'Match Log'!$D$4:$D$810),""))</f>
        <v/>
      </c>
      <c r="E196" t="str">
        <f>IFERROR(INDEX('Match Log'!$F$4:$F$810,MATCH(172,'Match Log'!$A$4:$A$810,0)),"")</f>
        <v/>
      </c>
      <c r="F196">
        <f>IFERROR(SUMIFS('Match Log'!$I$4:$I$810,'Match Log'!$A$4:$A$810,172,'Match Log'!$E$4:$E$810,"Win"),"")</f>
        <v>0</v>
      </c>
      <c r="G196" t="str">
        <f t="shared" si="28"/>
        <v/>
      </c>
      <c r="H196" t="str">
        <f t="array" ref="H196">IFERROR(IF(COUNTIFS('Match Log'!$A$4:$A$810,$A196,'Match Log'!$E$4:$E$810,"Win")&gt;1,_xlfn.TEXTJOIN(" + ",TRUE,IF(('Match Log'!$A$4:$A$810=$A196)*('Match Log'!$E$4:$E$810="Loss"),'Match Log'!$D$4:$D$810,"")),IF($E196=2,LOOKUP(2,1/(('Match Log'!$A$4:$A$810=$A196)*('Match Log'!$E$4:$E$810="Loss")),'Match Log'!$D$4:$D$810),"the field")),"")</f>
        <v>the field</v>
      </c>
      <c r="I196" t="str">
        <f t="shared" si="29"/>
        <v/>
      </c>
      <c r="J196">
        <v>172</v>
      </c>
      <c r="K196" t="e">
        <f>IF($J196&gt;MAX('Match Log'!$A$4:$A$810),NA(),IFERROR(LOOKUP(2,1/(('Match Log'!$D$4:$D$810=$K$24)*('Match Log'!$A$4:$A$810&lt;=$J196)),'Match Log'!$N$4:$N$810),NA()))</f>
        <v>#N/A</v>
      </c>
      <c r="L196" t="e">
        <f>IF($J196&gt;MAX('Match Log'!$A$4:$A$810),NA(),IFERROR(LOOKUP(2,1/(('Match Log'!$D$4:$D$810=$L$24)*('Match Log'!$A$4:$A$810&lt;=$J196)),'Match Log'!$N$4:$N$810),NA()))</f>
        <v>#N/A</v>
      </c>
      <c r="M196" t="e">
        <f>IF($J196&gt;MAX('Match Log'!$A$4:$A$810),NA(),IFERROR(LOOKUP(2,1/(('Match Log'!$D$4:$D$810=$M$24)*('Match Log'!$A$4:$A$810&lt;=$J196)),'Match Log'!$N$4:$N$810),NA()))</f>
        <v>#N/A</v>
      </c>
      <c r="N196" t="e">
        <f>IF($J196&gt;MAX('Match Log'!$A$4:$A$810),NA(),IFERROR(LOOKUP(2,1/(('Match Log'!$D$4:$D$810=$N$24)*('Match Log'!$A$4:$A$810&lt;=$J196)),'Match Log'!$N$4:$N$810),NA()))</f>
        <v>#N/A</v>
      </c>
      <c r="O196" t="e">
        <f>IF($J196&gt;MAX('Match Log'!$A$4:$A$810),NA(),IFERROR(LOOKUP(2,1/(('Match Log'!$D$4:$D$810=$O$24)*('Match Log'!$A$4:$A$810&lt;=$J196)),'Match Log'!$N$4:$N$810),NA()))</f>
        <v>#N/A</v>
      </c>
      <c r="P196" t="e">
        <f>IF($J196&gt;MAX('Match Log'!$A$4:$A$810),NA(),IFERROR(LOOKUP(2,1/(('Match Log'!$D$4:$D$810=$P$24)*('Match Log'!$A$4:$A$810&lt;=$J196)),'Match Log'!$N$4:$N$810),NA()))</f>
        <v>#N/A</v>
      </c>
      <c r="Q196" t="e">
        <f>IF($J196&gt;MAX('Match Log'!$A$4:$A$810),NA(),IFERROR(LOOKUP(2,1/(('Match Log'!$D$4:$D$810=$Q$24)*('Match Log'!$A$4:$A$810&lt;=$J196)),'Match Log'!$N$4:$N$810),NA()))</f>
        <v>#N/A</v>
      </c>
      <c r="R196" t="e">
        <f>IF($J196&gt;MAX('Match Log'!$A$4:$A$810),NA(),IFERROR(LOOKUP(2,1/(('Match Log'!$D$4:$D$810=$R$24)*('Match Log'!$A$4:$A$810&lt;=$J196)),'Match Log'!$N$4:$N$810),NA()))</f>
        <v>#N/A</v>
      </c>
      <c r="S196" t="e">
        <f>IF($J196&gt;MAX('Match Log'!$A$4:$A$810),NA(),IFERROR(LOOKUP(2,1/(('Match Log'!$D$4:$D$810=$S$24)*('Match Log'!$A$4:$A$810&lt;=$J196)),'Match Log'!$N$4:$N$810),NA()))</f>
        <v>#N/A</v>
      </c>
      <c r="T196" t="e">
        <f>IF($J196&gt;MAX('Match Log'!$A$4:$A$810),NA(),IFERROR(LOOKUP(2,1/(('Match Log'!$D$4:$D$810=$T$24)*('Match Log'!$A$4:$A$810&lt;=$J196)),'Match Log'!$N$4:$N$810),NA()))</f>
        <v>#N/A</v>
      </c>
      <c r="U196" t="e">
        <f>IF($J196&gt;MAX('Match Log'!$A$4:$A$810),NA(),IFERROR(LOOKUP(2,1/(('Match Log'!$D$4:$D$810=$U$24)*('Match Log'!$A$4:$A$810&lt;=$J196)),'Match Log'!$N$4:$N$810),NA()))</f>
        <v>#N/A</v>
      </c>
      <c r="V196" t="e">
        <f>IF($J196&gt;MAX('Match Log'!$A$4:$A$810),NA(),IFERROR(LOOKUP(2,1/(('Match Log'!$D$4:$D$810=$V$24)*('Match Log'!$A$4:$A$810&lt;=$J196)),'Match Log'!$N$4:$N$810),NA()))</f>
        <v>#N/A</v>
      </c>
      <c r="W196" t="e">
        <f>IF($J196&gt;MAX('Match Log'!$A$4:$A$810),NA(),IFERROR(LOOKUP(2,1/(('Match Log'!$D$4:$D$810=$W$24)*('Match Log'!$A$4:$A$810&lt;=$J196)),'Match Log'!$N$4:$N$810),NA()))</f>
        <v>#N/A</v>
      </c>
      <c r="X196" t="e">
        <f>IF($J196&gt;MAX('Match Log'!$A$4:$A$810),NA(),IFERROR(LOOKUP(2,1/(('Match Log'!$D$4:$D$810=$X$24)*('Match Log'!$A$4:$A$810&lt;=$J196)),'Match Log'!$N$4:$N$810),NA()))</f>
        <v>#N/A</v>
      </c>
      <c r="Y196" t="str">
        <f t="shared" ca="1" si="30"/>
        <v/>
      </c>
    </row>
    <row r="197" spans="1:25" x14ac:dyDescent="0.2">
      <c r="A197">
        <v>173</v>
      </c>
      <c r="B197" t="str">
        <f>IFERROR(INDEX('Match Log'!$B$4:$B$810,MATCH(173,'Match Log'!$A$4:$A$810,0)),"")</f>
        <v/>
      </c>
      <c r="C197" t="str">
        <f>IFERROR(INDEX('Match Log'!$C$4:$C$810,MATCH(173,'Match Log'!$A$4:$A$810,0)),"")</f>
        <v/>
      </c>
      <c r="D197" t="str">
        <f t="array" ref="D197">IFERROR(_xlfn.TEXTJOIN(" + ",TRUE,IF(('Match Log'!$A$4:$A$810=$A197)*('Match Log'!$E$4:$E$810="Win"),'Match Log'!$D$4:$D$810,"")),IFERROR(LOOKUP(2,1/(('Match Log'!$A$4:$A$810=$A197)*('Match Log'!$E$4:$E$810="Win")),'Match Log'!$D$4:$D$810),""))</f>
        <v/>
      </c>
      <c r="E197" t="str">
        <f>IFERROR(INDEX('Match Log'!$F$4:$F$810,MATCH(173,'Match Log'!$A$4:$A$810,0)),"")</f>
        <v/>
      </c>
      <c r="F197">
        <f>IFERROR(SUMIFS('Match Log'!$I$4:$I$810,'Match Log'!$A$4:$A$810,173,'Match Log'!$E$4:$E$810,"Win"),"")</f>
        <v>0</v>
      </c>
      <c r="G197" t="str">
        <f t="shared" si="28"/>
        <v/>
      </c>
      <c r="H197" t="str">
        <f t="array" ref="H197">IFERROR(IF(COUNTIFS('Match Log'!$A$4:$A$810,$A197,'Match Log'!$E$4:$E$810,"Win")&gt;1,_xlfn.TEXTJOIN(" + ",TRUE,IF(('Match Log'!$A$4:$A$810=$A197)*('Match Log'!$E$4:$E$810="Loss"),'Match Log'!$D$4:$D$810,"")),IF($E197=2,LOOKUP(2,1/(('Match Log'!$A$4:$A$810=$A197)*('Match Log'!$E$4:$E$810="Loss")),'Match Log'!$D$4:$D$810),"the field")),"")</f>
        <v>the field</v>
      </c>
      <c r="I197" t="str">
        <f t="shared" si="29"/>
        <v/>
      </c>
      <c r="J197">
        <v>173</v>
      </c>
      <c r="K197" t="e">
        <f>IF($J197&gt;MAX('Match Log'!$A$4:$A$810),NA(),IFERROR(LOOKUP(2,1/(('Match Log'!$D$4:$D$810=$K$24)*('Match Log'!$A$4:$A$810&lt;=$J197)),'Match Log'!$N$4:$N$810),NA()))</f>
        <v>#N/A</v>
      </c>
      <c r="L197" t="e">
        <f>IF($J197&gt;MAX('Match Log'!$A$4:$A$810),NA(),IFERROR(LOOKUP(2,1/(('Match Log'!$D$4:$D$810=$L$24)*('Match Log'!$A$4:$A$810&lt;=$J197)),'Match Log'!$N$4:$N$810),NA()))</f>
        <v>#N/A</v>
      </c>
      <c r="M197" t="e">
        <f>IF($J197&gt;MAX('Match Log'!$A$4:$A$810),NA(),IFERROR(LOOKUP(2,1/(('Match Log'!$D$4:$D$810=$M$24)*('Match Log'!$A$4:$A$810&lt;=$J197)),'Match Log'!$N$4:$N$810),NA()))</f>
        <v>#N/A</v>
      </c>
      <c r="N197" t="e">
        <f>IF($J197&gt;MAX('Match Log'!$A$4:$A$810),NA(),IFERROR(LOOKUP(2,1/(('Match Log'!$D$4:$D$810=$N$24)*('Match Log'!$A$4:$A$810&lt;=$J197)),'Match Log'!$N$4:$N$810),NA()))</f>
        <v>#N/A</v>
      </c>
      <c r="O197" t="e">
        <f>IF($J197&gt;MAX('Match Log'!$A$4:$A$810),NA(),IFERROR(LOOKUP(2,1/(('Match Log'!$D$4:$D$810=$O$24)*('Match Log'!$A$4:$A$810&lt;=$J197)),'Match Log'!$N$4:$N$810),NA()))</f>
        <v>#N/A</v>
      </c>
      <c r="P197" t="e">
        <f>IF($J197&gt;MAX('Match Log'!$A$4:$A$810),NA(),IFERROR(LOOKUP(2,1/(('Match Log'!$D$4:$D$810=$P$24)*('Match Log'!$A$4:$A$810&lt;=$J197)),'Match Log'!$N$4:$N$810),NA()))</f>
        <v>#N/A</v>
      </c>
      <c r="Q197" t="e">
        <f>IF($J197&gt;MAX('Match Log'!$A$4:$A$810),NA(),IFERROR(LOOKUP(2,1/(('Match Log'!$D$4:$D$810=$Q$24)*('Match Log'!$A$4:$A$810&lt;=$J197)),'Match Log'!$N$4:$N$810),NA()))</f>
        <v>#N/A</v>
      </c>
      <c r="R197" t="e">
        <f>IF($J197&gt;MAX('Match Log'!$A$4:$A$810),NA(),IFERROR(LOOKUP(2,1/(('Match Log'!$D$4:$D$810=$R$24)*('Match Log'!$A$4:$A$810&lt;=$J197)),'Match Log'!$N$4:$N$810),NA()))</f>
        <v>#N/A</v>
      </c>
      <c r="S197" t="e">
        <f>IF($J197&gt;MAX('Match Log'!$A$4:$A$810),NA(),IFERROR(LOOKUP(2,1/(('Match Log'!$D$4:$D$810=$S$24)*('Match Log'!$A$4:$A$810&lt;=$J197)),'Match Log'!$N$4:$N$810),NA()))</f>
        <v>#N/A</v>
      </c>
      <c r="T197" t="e">
        <f>IF($J197&gt;MAX('Match Log'!$A$4:$A$810),NA(),IFERROR(LOOKUP(2,1/(('Match Log'!$D$4:$D$810=$T$24)*('Match Log'!$A$4:$A$810&lt;=$J197)),'Match Log'!$N$4:$N$810),NA()))</f>
        <v>#N/A</v>
      </c>
      <c r="U197" t="e">
        <f>IF($J197&gt;MAX('Match Log'!$A$4:$A$810),NA(),IFERROR(LOOKUP(2,1/(('Match Log'!$D$4:$D$810=$U$24)*('Match Log'!$A$4:$A$810&lt;=$J197)),'Match Log'!$N$4:$N$810),NA()))</f>
        <v>#N/A</v>
      </c>
      <c r="V197" t="e">
        <f>IF($J197&gt;MAX('Match Log'!$A$4:$A$810),NA(),IFERROR(LOOKUP(2,1/(('Match Log'!$D$4:$D$810=$V$24)*('Match Log'!$A$4:$A$810&lt;=$J197)),'Match Log'!$N$4:$N$810),NA()))</f>
        <v>#N/A</v>
      </c>
      <c r="W197" t="e">
        <f>IF($J197&gt;MAX('Match Log'!$A$4:$A$810),NA(),IFERROR(LOOKUP(2,1/(('Match Log'!$D$4:$D$810=$W$24)*('Match Log'!$A$4:$A$810&lt;=$J197)),'Match Log'!$N$4:$N$810),NA()))</f>
        <v>#N/A</v>
      </c>
      <c r="X197" t="e">
        <f>IF($J197&gt;MAX('Match Log'!$A$4:$A$810),NA(),IFERROR(LOOKUP(2,1/(('Match Log'!$D$4:$D$810=$X$24)*('Match Log'!$A$4:$A$810&lt;=$J197)),'Match Log'!$N$4:$N$810),NA()))</f>
        <v>#N/A</v>
      </c>
      <c r="Y197" t="str">
        <f t="shared" ca="1" si="30"/>
        <v/>
      </c>
    </row>
    <row r="198" spans="1:25" x14ac:dyDescent="0.2">
      <c r="A198">
        <v>174</v>
      </c>
      <c r="B198" t="str">
        <f>IFERROR(INDEX('Match Log'!$B$4:$B$810,MATCH(174,'Match Log'!$A$4:$A$810,0)),"")</f>
        <v/>
      </c>
      <c r="C198" t="str">
        <f>IFERROR(INDEX('Match Log'!$C$4:$C$810,MATCH(174,'Match Log'!$A$4:$A$810,0)),"")</f>
        <v/>
      </c>
      <c r="D198" t="str">
        <f t="array" ref="D198">IFERROR(_xlfn.TEXTJOIN(" + ",TRUE,IF(('Match Log'!$A$4:$A$810=$A198)*('Match Log'!$E$4:$E$810="Win"),'Match Log'!$D$4:$D$810,"")),IFERROR(LOOKUP(2,1/(('Match Log'!$A$4:$A$810=$A198)*('Match Log'!$E$4:$E$810="Win")),'Match Log'!$D$4:$D$810),""))</f>
        <v/>
      </c>
      <c r="E198" t="str">
        <f>IFERROR(INDEX('Match Log'!$F$4:$F$810,MATCH(174,'Match Log'!$A$4:$A$810,0)),"")</f>
        <v/>
      </c>
      <c r="F198">
        <f>IFERROR(SUMIFS('Match Log'!$I$4:$I$810,'Match Log'!$A$4:$A$810,174,'Match Log'!$E$4:$E$810,"Win"),"")</f>
        <v>0</v>
      </c>
      <c r="G198" t="str">
        <f t="shared" si="28"/>
        <v/>
      </c>
      <c r="H198" t="str">
        <f t="array" ref="H198">IFERROR(IF(COUNTIFS('Match Log'!$A$4:$A$810,$A198,'Match Log'!$E$4:$E$810,"Win")&gt;1,_xlfn.TEXTJOIN(" + ",TRUE,IF(('Match Log'!$A$4:$A$810=$A198)*('Match Log'!$E$4:$E$810="Loss"),'Match Log'!$D$4:$D$810,"")),IF($E198=2,LOOKUP(2,1/(('Match Log'!$A$4:$A$810=$A198)*('Match Log'!$E$4:$E$810="Loss")),'Match Log'!$D$4:$D$810),"the field")),"")</f>
        <v>the field</v>
      </c>
      <c r="I198" t="str">
        <f t="shared" si="29"/>
        <v/>
      </c>
      <c r="J198">
        <v>174</v>
      </c>
      <c r="K198" t="e">
        <f>IF($J198&gt;MAX('Match Log'!$A$4:$A$810),NA(),IFERROR(LOOKUP(2,1/(('Match Log'!$D$4:$D$810=$K$24)*('Match Log'!$A$4:$A$810&lt;=$J198)),'Match Log'!$N$4:$N$810),NA()))</f>
        <v>#N/A</v>
      </c>
      <c r="L198" t="e">
        <f>IF($J198&gt;MAX('Match Log'!$A$4:$A$810),NA(),IFERROR(LOOKUP(2,1/(('Match Log'!$D$4:$D$810=$L$24)*('Match Log'!$A$4:$A$810&lt;=$J198)),'Match Log'!$N$4:$N$810),NA()))</f>
        <v>#N/A</v>
      </c>
      <c r="M198" t="e">
        <f>IF($J198&gt;MAX('Match Log'!$A$4:$A$810),NA(),IFERROR(LOOKUP(2,1/(('Match Log'!$D$4:$D$810=$M$24)*('Match Log'!$A$4:$A$810&lt;=$J198)),'Match Log'!$N$4:$N$810),NA()))</f>
        <v>#N/A</v>
      </c>
      <c r="N198" t="e">
        <f>IF($J198&gt;MAX('Match Log'!$A$4:$A$810),NA(),IFERROR(LOOKUP(2,1/(('Match Log'!$D$4:$D$810=$N$24)*('Match Log'!$A$4:$A$810&lt;=$J198)),'Match Log'!$N$4:$N$810),NA()))</f>
        <v>#N/A</v>
      </c>
      <c r="O198" t="e">
        <f>IF($J198&gt;MAX('Match Log'!$A$4:$A$810),NA(),IFERROR(LOOKUP(2,1/(('Match Log'!$D$4:$D$810=$O$24)*('Match Log'!$A$4:$A$810&lt;=$J198)),'Match Log'!$N$4:$N$810),NA()))</f>
        <v>#N/A</v>
      </c>
      <c r="P198" t="e">
        <f>IF($J198&gt;MAX('Match Log'!$A$4:$A$810),NA(),IFERROR(LOOKUP(2,1/(('Match Log'!$D$4:$D$810=$P$24)*('Match Log'!$A$4:$A$810&lt;=$J198)),'Match Log'!$N$4:$N$810),NA()))</f>
        <v>#N/A</v>
      </c>
      <c r="Q198" t="e">
        <f>IF($J198&gt;MAX('Match Log'!$A$4:$A$810),NA(),IFERROR(LOOKUP(2,1/(('Match Log'!$D$4:$D$810=$Q$24)*('Match Log'!$A$4:$A$810&lt;=$J198)),'Match Log'!$N$4:$N$810),NA()))</f>
        <v>#N/A</v>
      </c>
      <c r="R198" t="e">
        <f>IF($J198&gt;MAX('Match Log'!$A$4:$A$810),NA(),IFERROR(LOOKUP(2,1/(('Match Log'!$D$4:$D$810=$R$24)*('Match Log'!$A$4:$A$810&lt;=$J198)),'Match Log'!$N$4:$N$810),NA()))</f>
        <v>#N/A</v>
      </c>
      <c r="S198" t="e">
        <f>IF($J198&gt;MAX('Match Log'!$A$4:$A$810),NA(),IFERROR(LOOKUP(2,1/(('Match Log'!$D$4:$D$810=$S$24)*('Match Log'!$A$4:$A$810&lt;=$J198)),'Match Log'!$N$4:$N$810),NA()))</f>
        <v>#N/A</v>
      </c>
      <c r="T198" t="e">
        <f>IF($J198&gt;MAX('Match Log'!$A$4:$A$810),NA(),IFERROR(LOOKUP(2,1/(('Match Log'!$D$4:$D$810=$T$24)*('Match Log'!$A$4:$A$810&lt;=$J198)),'Match Log'!$N$4:$N$810),NA()))</f>
        <v>#N/A</v>
      </c>
      <c r="U198" t="e">
        <f>IF($J198&gt;MAX('Match Log'!$A$4:$A$810),NA(),IFERROR(LOOKUP(2,1/(('Match Log'!$D$4:$D$810=$U$24)*('Match Log'!$A$4:$A$810&lt;=$J198)),'Match Log'!$N$4:$N$810),NA()))</f>
        <v>#N/A</v>
      </c>
      <c r="V198" t="e">
        <f>IF($J198&gt;MAX('Match Log'!$A$4:$A$810),NA(),IFERROR(LOOKUP(2,1/(('Match Log'!$D$4:$D$810=$V$24)*('Match Log'!$A$4:$A$810&lt;=$J198)),'Match Log'!$N$4:$N$810),NA()))</f>
        <v>#N/A</v>
      </c>
      <c r="W198" t="e">
        <f>IF($J198&gt;MAX('Match Log'!$A$4:$A$810),NA(),IFERROR(LOOKUP(2,1/(('Match Log'!$D$4:$D$810=$W$24)*('Match Log'!$A$4:$A$810&lt;=$J198)),'Match Log'!$N$4:$N$810),NA()))</f>
        <v>#N/A</v>
      </c>
      <c r="X198" t="e">
        <f>IF($J198&gt;MAX('Match Log'!$A$4:$A$810),NA(),IFERROR(LOOKUP(2,1/(('Match Log'!$D$4:$D$810=$X$24)*('Match Log'!$A$4:$A$810&lt;=$J198)),'Match Log'!$N$4:$N$810),NA()))</f>
        <v>#N/A</v>
      </c>
      <c r="Y198" t="str">
        <f t="shared" ca="1" si="30"/>
        <v/>
      </c>
    </row>
    <row r="199" spans="1:25" x14ac:dyDescent="0.2">
      <c r="A199">
        <v>175</v>
      </c>
      <c r="B199" t="str">
        <f>IFERROR(INDEX('Match Log'!$B$4:$B$810,MATCH(175,'Match Log'!$A$4:$A$810,0)),"")</f>
        <v/>
      </c>
      <c r="C199" t="str">
        <f>IFERROR(INDEX('Match Log'!$C$4:$C$810,MATCH(175,'Match Log'!$A$4:$A$810,0)),"")</f>
        <v/>
      </c>
      <c r="D199" t="str">
        <f t="array" ref="D199">IFERROR(_xlfn.TEXTJOIN(" + ",TRUE,IF(('Match Log'!$A$4:$A$810=$A199)*('Match Log'!$E$4:$E$810="Win"),'Match Log'!$D$4:$D$810,"")),IFERROR(LOOKUP(2,1/(('Match Log'!$A$4:$A$810=$A199)*('Match Log'!$E$4:$E$810="Win")),'Match Log'!$D$4:$D$810),""))</f>
        <v/>
      </c>
      <c r="E199" t="str">
        <f>IFERROR(INDEX('Match Log'!$F$4:$F$810,MATCH(175,'Match Log'!$A$4:$A$810,0)),"")</f>
        <v/>
      </c>
      <c r="F199">
        <f>IFERROR(SUMIFS('Match Log'!$I$4:$I$810,'Match Log'!$A$4:$A$810,175,'Match Log'!$E$4:$E$810,"Win"),"")</f>
        <v>0</v>
      </c>
      <c r="G199" t="str">
        <f t="shared" si="28"/>
        <v/>
      </c>
      <c r="H199" t="str">
        <f t="array" ref="H199">IFERROR(IF(COUNTIFS('Match Log'!$A$4:$A$810,$A199,'Match Log'!$E$4:$E$810,"Win")&gt;1,_xlfn.TEXTJOIN(" + ",TRUE,IF(('Match Log'!$A$4:$A$810=$A199)*('Match Log'!$E$4:$E$810="Loss"),'Match Log'!$D$4:$D$810,"")),IF($E199=2,LOOKUP(2,1/(('Match Log'!$A$4:$A$810=$A199)*('Match Log'!$E$4:$E$810="Loss")),'Match Log'!$D$4:$D$810),"the field")),"")</f>
        <v>the field</v>
      </c>
      <c r="I199" t="str">
        <f t="shared" si="29"/>
        <v/>
      </c>
      <c r="J199">
        <v>175</v>
      </c>
      <c r="K199" t="e">
        <f>IF($J199&gt;MAX('Match Log'!$A$4:$A$810),NA(),IFERROR(LOOKUP(2,1/(('Match Log'!$D$4:$D$810=$K$24)*('Match Log'!$A$4:$A$810&lt;=$J199)),'Match Log'!$N$4:$N$810),NA()))</f>
        <v>#N/A</v>
      </c>
      <c r="L199" t="e">
        <f>IF($J199&gt;MAX('Match Log'!$A$4:$A$810),NA(),IFERROR(LOOKUP(2,1/(('Match Log'!$D$4:$D$810=$L$24)*('Match Log'!$A$4:$A$810&lt;=$J199)),'Match Log'!$N$4:$N$810),NA()))</f>
        <v>#N/A</v>
      </c>
      <c r="M199" t="e">
        <f>IF($J199&gt;MAX('Match Log'!$A$4:$A$810),NA(),IFERROR(LOOKUP(2,1/(('Match Log'!$D$4:$D$810=$M$24)*('Match Log'!$A$4:$A$810&lt;=$J199)),'Match Log'!$N$4:$N$810),NA()))</f>
        <v>#N/A</v>
      </c>
      <c r="N199" t="e">
        <f>IF($J199&gt;MAX('Match Log'!$A$4:$A$810),NA(),IFERROR(LOOKUP(2,1/(('Match Log'!$D$4:$D$810=$N$24)*('Match Log'!$A$4:$A$810&lt;=$J199)),'Match Log'!$N$4:$N$810),NA()))</f>
        <v>#N/A</v>
      </c>
      <c r="O199" t="e">
        <f>IF($J199&gt;MAX('Match Log'!$A$4:$A$810),NA(),IFERROR(LOOKUP(2,1/(('Match Log'!$D$4:$D$810=$O$24)*('Match Log'!$A$4:$A$810&lt;=$J199)),'Match Log'!$N$4:$N$810),NA()))</f>
        <v>#N/A</v>
      </c>
      <c r="P199" t="e">
        <f>IF($J199&gt;MAX('Match Log'!$A$4:$A$810),NA(),IFERROR(LOOKUP(2,1/(('Match Log'!$D$4:$D$810=$P$24)*('Match Log'!$A$4:$A$810&lt;=$J199)),'Match Log'!$N$4:$N$810),NA()))</f>
        <v>#N/A</v>
      </c>
      <c r="Q199" t="e">
        <f>IF($J199&gt;MAX('Match Log'!$A$4:$A$810),NA(),IFERROR(LOOKUP(2,1/(('Match Log'!$D$4:$D$810=$Q$24)*('Match Log'!$A$4:$A$810&lt;=$J199)),'Match Log'!$N$4:$N$810),NA()))</f>
        <v>#N/A</v>
      </c>
      <c r="R199" t="e">
        <f>IF($J199&gt;MAX('Match Log'!$A$4:$A$810),NA(),IFERROR(LOOKUP(2,1/(('Match Log'!$D$4:$D$810=$R$24)*('Match Log'!$A$4:$A$810&lt;=$J199)),'Match Log'!$N$4:$N$810),NA()))</f>
        <v>#N/A</v>
      </c>
      <c r="S199" t="e">
        <f>IF($J199&gt;MAX('Match Log'!$A$4:$A$810),NA(),IFERROR(LOOKUP(2,1/(('Match Log'!$D$4:$D$810=$S$24)*('Match Log'!$A$4:$A$810&lt;=$J199)),'Match Log'!$N$4:$N$810),NA()))</f>
        <v>#N/A</v>
      </c>
      <c r="T199" t="e">
        <f>IF($J199&gt;MAX('Match Log'!$A$4:$A$810),NA(),IFERROR(LOOKUP(2,1/(('Match Log'!$D$4:$D$810=$T$24)*('Match Log'!$A$4:$A$810&lt;=$J199)),'Match Log'!$N$4:$N$810),NA()))</f>
        <v>#N/A</v>
      </c>
      <c r="U199" t="e">
        <f>IF($J199&gt;MAX('Match Log'!$A$4:$A$810),NA(),IFERROR(LOOKUP(2,1/(('Match Log'!$D$4:$D$810=$U$24)*('Match Log'!$A$4:$A$810&lt;=$J199)),'Match Log'!$N$4:$N$810),NA()))</f>
        <v>#N/A</v>
      </c>
      <c r="V199" t="e">
        <f>IF($J199&gt;MAX('Match Log'!$A$4:$A$810),NA(),IFERROR(LOOKUP(2,1/(('Match Log'!$D$4:$D$810=$V$24)*('Match Log'!$A$4:$A$810&lt;=$J199)),'Match Log'!$N$4:$N$810),NA()))</f>
        <v>#N/A</v>
      </c>
      <c r="W199" t="e">
        <f>IF($J199&gt;MAX('Match Log'!$A$4:$A$810),NA(),IFERROR(LOOKUP(2,1/(('Match Log'!$D$4:$D$810=$W$24)*('Match Log'!$A$4:$A$810&lt;=$J199)),'Match Log'!$N$4:$N$810),NA()))</f>
        <v>#N/A</v>
      </c>
      <c r="X199" t="e">
        <f>IF($J199&gt;MAX('Match Log'!$A$4:$A$810),NA(),IFERROR(LOOKUP(2,1/(('Match Log'!$D$4:$D$810=$X$24)*('Match Log'!$A$4:$A$810&lt;=$J199)),'Match Log'!$N$4:$N$810),NA()))</f>
        <v>#N/A</v>
      </c>
      <c r="Y199" t="str">
        <f t="shared" ca="1" si="30"/>
        <v/>
      </c>
    </row>
    <row r="200" spans="1:25" x14ac:dyDescent="0.2">
      <c r="A200">
        <v>176</v>
      </c>
      <c r="B200" t="str">
        <f>IFERROR(INDEX('Match Log'!$B$4:$B$810,MATCH(176,'Match Log'!$A$4:$A$810,0)),"")</f>
        <v/>
      </c>
      <c r="C200" t="str">
        <f>IFERROR(INDEX('Match Log'!$C$4:$C$810,MATCH(176,'Match Log'!$A$4:$A$810,0)),"")</f>
        <v/>
      </c>
      <c r="D200" t="str">
        <f t="array" ref="D200">IFERROR(_xlfn.TEXTJOIN(" + ",TRUE,IF(('Match Log'!$A$4:$A$810=$A200)*('Match Log'!$E$4:$E$810="Win"),'Match Log'!$D$4:$D$810,"")),IFERROR(LOOKUP(2,1/(('Match Log'!$A$4:$A$810=$A200)*('Match Log'!$E$4:$E$810="Win")),'Match Log'!$D$4:$D$810),""))</f>
        <v/>
      </c>
      <c r="E200" t="str">
        <f>IFERROR(INDEX('Match Log'!$F$4:$F$810,MATCH(176,'Match Log'!$A$4:$A$810,0)),"")</f>
        <v/>
      </c>
      <c r="F200">
        <f>IFERROR(SUMIFS('Match Log'!$I$4:$I$810,'Match Log'!$A$4:$A$810,176,'Match Log'!$E$4:$E$810,"Win"),"")</f>
        <v>0</v>
      </c>
      <c r="G200" t="str">
        <f t="shared" si="28"/>
        <v/>
      </c>
      <c r="H200" t="str">
        <f t="array" ref="H200">IFERROR(IF(COUNTIFS('Match Log'!$A$4:$A$810,$A200,'Match Log'!$E$4:$E$810,"Win")&gt;1,_xlfn.TEXTJOIN(" + ",TRUE,IF(('Match Log'!$A$4:$A$810=$A200)*('Match Log'!$E$4:$E$810="Loss"),'Match Log'!$D$4:$D$810,"")),IF($E200=2,LOOKUP(2,1/(('Match Log'!$A$4:$A$810=$A200)*('Match Log'!$E$4:$E$810="Loss")),'Match Log'!$D$4:$D$810),"the field")),"")</f>
        <v>the field</v>
      </c>
      <c r="I200" t="str">
        <f t="shared" si="29"/>
        <v/>
      </c>
      <c r="J200">
        <v>176</v>
      </c>
      <c r="K200" t="e">
        <f>IF($J200&gt;MAX('Match Log'!$A$4:$A$810),NA(),IFERROR(LOOKUP(2,1/(('Match Log'!$D$4:$D$810=$K$24)*('Match Log'!$A$4:$A$810&lt;=$J200)),'Match Log'!$N$4:$N$810),NA()))</f>
        <v>#N/A</v>
      </c>
      <c r="L200" t="e">
        <f>IF($J200&gt;MAX('Match Log'!$A$4:$A$810),NA(),IFERROR(LOOKUP(2,1/(('Match Log'!$D$4:$D$810=$L$24)*('Match Log'!$A$4:$A$810&lt;=$J200)),'Match Log'!$N$4:$N$810),NA()))</f>
        <v>#N/A</v>
      </c>
      <c r="M200" t="e">
        <f>IF($J200&gt;MAX('Match Log'!$A$4:$A$810),NA(),IFERROR(LOOKUP(2,1/(('Match Log'!$D$4:$D$810=$M$24)*('Match Log'!$A$4:$A$810&lt;=$J200)),'Match Log'!$N$4:$N$810),NA()))</f>
        <v>#N/A</v>
      </c>
      <c r="N200" t="e">
        <f>IF($J200&gt;MAX('Match Log'!$A$4:$A$810),NA(),IFERROR(LOOKUP(2,1/(('Match Log'!$D$4:$D$810=$N$24)*('Match Log'!$A$4:$A$810&lt;=$J200)),'Match Log'!$N$4:$N$810),NA()))</f>
        <v>#N/A</v>
      </c>
      <c r="O200" t="e">
        <f>IF($J200&gt;MAX('Match Log'!$A$4:$A$810),NA(),IFERROR(LOOKUP(2,1/(('Match Log'!$D$4:$D$810=$O$24)*('Match Log'!$A$4:$A$810&lt;=$J200)),'Match Log'!$N$4:$N$810),NA()))</f>
        <v>#N/A</v>
      </c>
      <c r="P200" t="e">
        <f>IF($J200&gt;MAX('Match Log'!$A$4:$A$810),NA(),IFERROR(LOOKUP(2,1/(('Match Log'!$D$4:$D$810=$P$24)*('Match Log'!$A$4:$A$810&lt;=$J200)),'Match Log'!$N$4:$N$810),NA()))</f>
        <v>#N/A</v>
      </c>
      <c r="Q200" t="e">
        <f>IF($J200&gt;MAX('Match Log'!$A$4:$A$810),NA(),IFERROR(LOOKUP(2,1/(('Match Log'!$D$4:$D$810=$Q$24)*('Match Log'!$A$4:$A$810&lt;=$J200)),'Match Log'!$N$4:$N$810),NA()))</f>
        <v>#N/A</v>
      </c>
      <c r="R200" t="e">
        <f>IF($J200&gt;MAX('Match Log'!$A$4:$A$810),NA(),IFERROR(LOOKUP(2,1/(('Match Log'!$D$4:$D$810=$R$24)*('Match Log'!$A$4:$A$810&lt;=$J200)),'Match Log'!$N$4:$N$810),NA()))</f>
        <v>#N/A</v>
      </c>
      <c r="S200" t="e">
        <f>IF($J200&gt;MAX('Match Log'!$A$4:$A$810),NA(),IFERROR(LOOKUP(2,1/(('Match Log'!$D$4:$D$810=$S$24)*('Match Log'!$A$4:$A$810&lt;=$J200)),'Match Log'!$N$4:$N$810),NA()))</f>
        <v>#N/A</v>
      </c>
      <c r="T200" t="e">
        <f>IF($J200&gt;MAX('Match Log'!$A$4:$A$810),NA(),IFERROR(LOOKUP(2,1/(('Match Log'!$D$4:$D$810=$T$24)*('Match Log'!$A$4:$A$810&lt;=$J200)),'Match Log'!$N$4:$N$810),NA()))</f>
        <v>#N/A</v>
      </c>
      <c r="U200" t="e">
        <f>IF($J200&gt;MAX('Match Log'!$A$4:$A$810),NA(),IFERROR(LOOKUP(2,1/(('Match Log'!$D$4:$D$810=$U$24)*('Match Log'!$A$4:$A$810&lt;=$J200)),'Match Log'!$N$4:$N$810),NA()))</f>
        <v>#N/A</v>
      </c>
      <c r="V200" t="e">
        <f>IF($J200&gt;MAX('Match Log'!$A$4:$A$810),NA(),IFERROR(LOOKUP(2,1/(('Match Log'!$D$4:$D$810=$V$24)*('Match Log'!$A$4:$A$810&lt;=$J200)),'Match Log'!$N$4:$N$810),NA()))</f>
        <v>#N/A</v>
      </c>
      <c r="W200" t="e">
        <f>IF($J200&gt;MAX('Match Log'!$A$4:$A$810),NA(),IFERROR(LOOKUP(2,1/(('Match Log'!$D$4:$D$810=$W$24)*('Match Log'!$A$4:$A$810&lt;=$J200)),'Match Log'!$N$4:$N$810),NA()))</f>
        <v>#N/A</v>
      </c>
      <c r="X200" t="e">
        <f>IF($J200&gt;MAX('Match Log'!$A$4:$A$810),NA(),IFERROR(LOOKUP(2,1/(('Match Log'!$D$4:$D$810=$X$24)*('Match Log'!$A$4:$A$810&lt;=$J200)),'Match Log'!$N$4:$N$810),NA()))</f>
        <v>#N/A</v>
      </c>
      <c r="Y200" t="str">
        <f t="shared" ca="1" si="30"/>
        <v/>
      </c>
    </row>
    <row r="201" spans="1:25" x14ac:dyDescent="0.2">
      <c r="A201">
        <v>177</v>
      </c>
      <c r="B201" t="str">
        <f>IFERROR(INDEX('Match Log'!$B$4:$B$810,MATCH(177,'Match Log'!$A$4:$A$810,0)),"")</f>
        <v/>
      </c>
      <c r="C201" t="str">
        <f>IFERROR(INDEX('Match Log'!$C$4:$C$810,MATCH(177,'Match Log'!$A$4:$A$810,0)),"")</f>
        <v/>
      </c>
      <c r="D201" t="str">
        <f t="array" ref="D201">IFERROR(_xlfn.TEXTJOIN(" + ",TRUE,IF(('Match Log'!$A$4:$A$810=$A201)*('Match Log'!$E$4:$E$810="Win"),'Match Log'!$D$4:$D$810,"")),IFERROR(LOOKUP(2,1/(('Match Log'!$A$4:$A$810=$A201)*('Match Log'!$E$4:$E$810="Win")),'Match Log'!$D$4:$D$810),""))</f>
        <v/>
      </c>
      <c r="E201" t="str">
        <f>IFERROR(INDEX('Match Log'!$F$4:$F$810,MATCH(177,'Match Log'!$A$4:$A$810,0)),"")</f>
        <v/>
      </c>
      <c r="F201">
        <f>IFERROR(SUMIFS('Match Log'!$I$4:$I$810,'Match Log'!$A$4:$A$810,177,'Match Log'!$E$4:$E$810,"Win"),"")</f>
        <v>0</v>
      </c>
      <c r="G201" t="str">
        <f t="shared" si="28"/>
        <v/>
      </c>
      <c r="H201" t="str">
        <f t="array" ref="H201">IFERROR(IF(COUNTIFS('Match Log'!$A$4:$A$810,$A201,'Match Log'!$E$4:$E$810,"Win")&gt;1,_xlfn.TEXTJOIN(" + ",TRUE,IF(('Match Log'!$A$4:$A$810=$A201)*('Match Log'!$E$4:$E$810="Loss"),'Match Log'!$D$4:$D$810,"")),IF($E201=2,LOOKUP(2,1/(('Match Log'!$A$4:$A$810=$A201)*('Match Log'!$E$4:$E$810="Loss")),'Match Log'!$D$4:$D$810),"the field")),"")</f>
        <v>the field</v>
      </c>
      <c r="I201" t="str">
        <f t="shared" si="29"/>
        <v/>
      </c>
      <c r="J201">
        <v>177</v>
      </c>
      <c r="K201" t="e">
        <f>IF($J201&gt;MAX('Match Log'!$A$4:$A$810),NA(),IFERROR(LOOKUP(2,1/(('Match Log'!$D$4:$D$810=$K$24)*('Match Log'!$A$4:$A$810&lt;=$J201)),'Match Log'!$N$4:$N$810),NA()))</f>
        <v>#N/A</v>
      </c>
      <c r="L201" t="e">
        <f>IF($J201&gt;MAX('Match Log'!$A$4:$A$810),NA(),IFERROR(LOOKUP(2,1/(('Match Log'!$D$4:$D$810=$L$24)*('Match Log'!$A$4:$A$810&lt;=$J201)),'Match Log'!$N$4:$N$810),NA()))</f>
        <v>#N/A</v>
      </c>
      <c r="M201" t="e">
        <f>IF($J201&gt;MAX('Match Log'!$A$4:$A$810),NA(),IFERROR(LOOKUP(2,1/(('Match Log'!$D$4:$D$810=$M$24)*('Match Log'!$A$4:$A$810&lt;=$J201)),'Match Log'!$N$4:$N$810),NA()))</f>
        <v>#N/A</v>
      </c>
      <c r="N201" t="e">
        <f>IF($J201&gt;MAX('Match Log'!$A$4:$A$810),NA(),IFERROR(LOOKUP(2,1/(('Match Log'!$D$4:$D$810=$N$24)*('Match Log'!$A$4:$A$810&lt;=$J201)),'Match Log'!$N$4:$N$810),NA()))</f>
        <v>#N/A</v>
      </c>
      <c r="O201" t="e">
        <f>IF($J201&gt;MAX('Match Log'!$A$4:$A$810),NA(),IFERROR(LOOKUP(2,1/(('Match Log'!$D$4:$D$810=$O$24)*('Match Log'!$A$4:$A$810&lt;=$J201)),'Match Log'!$N$4:$N$810),NA()))</f>
        <v>#N/A</v>
      </c>
      <c r="P201" t="e">
        <f>IF($J201&gt;MAX('Match Log'!$A$4:$A$810),NA(),IFERROR(LOOKUP(2,1/(('Match Log'!$D$4:$D$810=$P$24)*('Match Log'!$A$4:$A$810&lt;=$J201)),'Match Log'!$N$4:$N$810),NA()))</f>
        <v>#N/A</v>
      </c>
      <c r="Q201" t="e">
        <f>IF($J201&gt;MAX('Match Log'!$A$4:$A$810),NA(),IFERROR(LOOKUP(2,1/(('Match Log'!$D$4:$D$810=$Q$24)*('Match Log'!$A$4:$A$810&lt;=$J201)),'Match Log'!$N$4:$N$810),NA()))</f>
        <v>#N/A</v>
      </c>
      <c r="R201" t="e">
        <f>IF($J201&gt;MAX('Match Log'!$A$4:$A$810),NA(),IFERROR(LOOKUP(2,1/(('Match Log'!$D$4:$D$810=$R$24)*('Match Log'!$A$4:$A$810&lt;=$J201)),'Match Log'!$N$4:$N$810),NA()))</f>
        <v>#N/A</v>
      </c>
      <c r="S201" t="e">
        <f>IF($J201&gt;MAX('Match Log'!$A$4:$A$810),NA(),IFERROR(LOOKUP(2,1/(('Match Log'!$D$4:$D$810=$S$24)*('Match Log'!$A$4:$A$810&lt;=$J201)),'Match Log'!$N$4:$N$810),NA()))</f>
        <v>#N/A</v>
      </c>
      <c r="T201" t="e">
        <f>IF($J201&gt;MAX('Match Log'!$A$4:$A$810),NA(),IFERROR(LOOKUP(2,1/(('Match Log'!$D$4:$D$810=$T$24)*('Match Log'!$A$4:$A$810&lt;=$J201)),'Match Log'!$N$4:$N$810),NA()))</f>
        <v>#N/A</v>
      </c>
      <c r="U201" t="e">
        <f>IF($J201&gt;MAX('Match Log'!$A$4:$A$810),NA(),IFERROR(LOOKUP(2,1/(('Match Log'!$D$4:$D$810=$U$24)*('Match Log'!$A$4:$A$810&lt;=$J201)),'Match Log'!$N$4:$N$810),NA()))</f>
        <v>#N/A</v>
      </c>
      <c r="V201" t="e">
        <f>IF($J201&gt;MAX('Match Log'!$A$4:$A$810),NA(),IFERROR(LOOKUP(2,1/(('Match Log'!$D$4:$D$810=$V$24)*('Match Log'!$A$4:$A$810&lt;=$J201)),'Match Log'!$N$4:$N$810),NA()))</f>
        <v>#N/A</v>
      </c>
      <c r="W201" t="e">
        <f>IF($J201&gt;MAX('Match Log'!$A$4:$A$810),NA(),IFERROR(LOOKUP(2,1/(('Match Log'!$D$4:$D$810=$W$24)*('Match Log'!$A$4:$A$810&lt;=$J201)),'Match Log'!$N$4:$N$810),NA()))</f>
        <v>#N/A</v>
      </c>
      <c r="X201" t="e">
        <f>IF($J201&gt;MAX('Match Log'!$A$4:$A$810),NA(),IFERROR(LOOKUP(2,1/(('Match Log'!$D$4:$D$810=$X$24)*('Match Log'!$A$4:$A$810&lt;=$J201)),'Match Log'!$N$4:$N$810),NA()))</f>
        <v>#N/A</v>
      </c>
      <c r="Y201" t="str">
        <f t="shared" ca="1" si="30"/>
        <v/>
      </c>
    </row>
    <row r="202" spans="1:25" x14ac:dyDescent="0.2">
      <c r="A202">
        <v>178</v>
      </c>
      <c r="B202" t="str">
        <f>IFERROR(INDEX('Match Log'!$B$4:$B$810,MATCH(178,'Match Log'!$A$4:$A$810,0)),"")</f>
        <v/>
      </c>
      <c r="C202" t="str">
        <f>IFERROR(INDEX('Match Log'!$C$4:$C$810,MATCH(178,'Match Log'!$A$4:$A$810,0)),"")</f>
        <v/>
      </c>
      <c r="D202" t="str">
        <f t="array" ref="D202">IFERROR(_xlfn.TEXTJOIN(" + ",TRUE,IF(('Match Log'!$A$4:$A$810=$A202)*('Match Log'!$E$4:$E$810="Win"),'Match Log'!$D$4:$D$810,"")),IFERROR(LOOKUP(2,1/(('Match Log'!$A$4:$A$810=$A202)*('Match Log'!$E$4:$E$810="Win")),'Match Log'!$D$4:$D$810),""))</f>
        <v/>
      </c>
      <c r="E202" t="str">
        <f>IFERROR(INDEX('Match Log'!$F$4:$F$810,MATCH(178,'Match Log'!$A$4:$A$810,0)),"")</f>
        <v/>
      </c>
      <c r="F202">
        <f>IFERROR(SUMIFS('Match Log'!$I$4:$I$810,'Match Log'!$A$4:$A$810,178,'Match Log'!$E$4:$E$810,"Win"),"")</f>
        <v>0</v>
      </c>
      <c r="G202" t="str">
        <f t="shared" si="28"/>
        <v/>
      </c>
      <c r="H202" t="str">
        <f t="array" ref="H202">IFERROR(IF(COUNTIFS('Match Log'!$A$4:$A$810,$A202,'Match Log'!$E$4:$E$810,"Win")&gt;1,_xlfn.TEXTJOIN(" + ",TRUE,IF(('Match Log'!$A$4:$A$810=$A202)*('Match Log'!$E$4:$E$810="Loss"),'Match Log'!$D$4:$D$810,"")),IF($E202=2,LOOKUP(2,1/(('Match Log'!$A$4:$A$810=$A202)*('Match Log'!$E$4:$E$810="Loss")),'Match Log'!$D$4:$D$810),"the field")),"")</f>
        <v>the field</v>
      </c>
      <c r="I202" t="str">
        <f t="shared" si="29"/>
        <v/>
      </c>
      <c r="J202">
        <v>178</v>
      </c>
      <c r="K202" t="e">
        <f>IF($J202&gt;MAX('Match Log'!$A$4:$A$810),NA(),IFERROR(LOOKUP(2,1/(('Match Log'!$D$4:$D$810=$K$24)*('Match Log'!$A$4:$A$810&lt;=$J202)),'Match Log'!$N$4:$N$810),NA()))</f>
        <v>#N/A</v>
      </c>
      <c r="L202" t="e">
        <f>IF($J202&gt;MAX('Match Log'!$A$4:$A$810),NA(),IFERROR(LOOKUP(2,1/(('Match Log'!$D$4:$D$810=$L$24)*('Match Log'!$A$4:$A$810&lt;=$J202)),'Match Log'!$N$4:$N$810),NA()))</f>
        <v>#N/A</v>
      </c>
      <c r="M202" t="e">
        <f>IF($J202&gt;MAX('Match Log'!$A$4:$A$810),NA(),IFERROR(LOOKUP(2,1/(('Match Log'!$D$4:$D$810=$M$24)*('Match Log'!$A$4:$A$810&lt;=$J202)),'Match Log'!$N$4:$N$810),NA()))</f>
        <v>#N/A</v>
      </c>
      <c r="N202" t="e">
        <f>IF($J202&gt;MAX('Match Log'!$A$4:$A$810),NA(),IFERROR(LOOKUP(2,1/(('Match Log'!$D$4:$D$810=$N$24)*('Match Log'!$A$4:$A$810&lt;=$J202)),'Match Log'!$N$4:$N$810),NA()))</f>
        <v>#N/A</v>
      </c>
      <c r="O202" t="e">
        <f>IF($J202&gt;MAX('Match Log'!$A$4:$A$810),NA(),IFERROR(LOOKUP(2,1/(('Match Log'!$D$4:$D$810=$O$24)*('Match Log'!$A$4:$A$810&lt;=$J202)),'Match Log'!$N$4:$N$810),NA()))</f>
        <v>#N/A</v>
      </c>
      <c r="P202" t="e">
        <f>IF($J202&gt;MAX('Match Log'!$A$4:$A$810),NA(),IFERROR(LOOKUP(2,1/(('Match Log'!$D$4:$D$810=$P$24)*('Match Log'!$A$4:$A$810&lt;=$J202)),'Match Log'!$N$4:$N$810),NA()))</f>
        <v>#N/A</v>
      </c>
      <c r="Q202" t="e">
        <f>IF($J202&gt;MAX('Match Log'!$A$4:$A$810),NA(),IFERROR(LOOKUP(2,1/(('Match Log'!$D$4:$D$810=$Q$24)*('Match Log'!$A$4:$A$810&lt;=$J202)),'Match Log'!$N$4:$N$810),NA()))</f>
        <v>#N/A</v>
      </c>
      <c r="R202" t="e">
        <f>IF($J202&gt;MAX('Match Log'!$A$4:$A$810),NA(),IFERROR(LOOKUP(2,1/(('Match Log'!$D$4:$D$810=$R$24)*('Match Log'!$A$4:$A$810&lt;=$J202)),'Match Log'!$N$4:$N$810),NA()))</f>
        <v>#N/A</v>
      </c>
      <c r="S202" t="e">
        <f>IF($J202&gt;MAX('Match Log'!$A$4:$A$810),NA(),IFERROR(LOOKUP(2,1/(('Match Log'!$D$4:$D$810=$S$24)*('Match Log'!$A$4:$A$810&lt;=$J202)),'Match Log'!$N$4:$N$810),NA()))</f>
        <v>#N/A</v>
      </c>
      <c r="T202" t="e">
        <f>IF($J202&gt;MAX('Match Log'!$A$4:$A$810),NA(),IFERROR(LOOKUP(2,1/(('Match Log'!$D$4:$D$810=$T$24)*('Match Log'!$A$4:$A$810&lt;=$J202)),'Match Log'!$N$4:$N$810),NA()))</f>
        <v>#N/A</v>
      </c>
      <c r="U202" t="e">
        <f>IF($J202&gt;MAX('Match Log'!$A$4:$A$810),NA(),IFERROR(LOOKUP(2,1/(('Match Log'!$D$4:$D$810=$U$24)*('Match Log'!$A$4:$A$810&lt;=$J202)),'Match Log'!$N$4:$N$810),NA()))</f>
        <v>#N/A</v>
      </c>
      <c r="V202" t="e">
        <f>IF($J202&gt;MAX('Match Log'!$A$4:$A$810),NA(),IFERROR(LOOKUP(2,1/(('Match Log'!$D$4:$D$810=$V$24)*('Match Log'!$A$4:$A$810&lt;=$J202)),'Match Log'!$N$4:$N$810),NA()))</f>
        <v>#N/A</v>
      </c>
      <c r="W202" t="e">
        <f>IF($J202&gt;MAX('Match Log'!$A$4:$A$810),NA(),IFERROR(LOOKUP(2,1/(('Match Log'!$D$4:$D$810=$W$24)*('Match Log'!$A$4:$A$810&lt;=$J202)),'Match Log'!$N$4:$N$810),NA()))</f>
        <v>#N/A</v>
      </c>
      <c r="X202" t="e">
        <f>IF($J202&gt;MAX('Match Log'!$A$4:$A$810),NA(),IFERROR(LOOKUP(2,1/(('Match Log'!$D$4:$D$810=$X$24)*('Match Log'!$A$4:$A$810&lt;=$J202)),'Match Log'!$N$4:$N$810),NA()))</f>
        <v>#N/A</v>
      </c>
      <c r="Y202" t="str">
        <f t="shared" ca="1" si="30"/>
        <v/>
      </c>
    </row>
    <row r="203" spans="1:25" x14ac:dyDescent="0.2">
      <c r="A203">
        <v>179</v>
      </c>
      <c r="B203" t="str">
        <f>IFERROR(INDEX('Match Log'!$B$4:$B$810,MATCH(179,'Match Log'!$A$4:$A$810,0)),"")</f>
        <v/>
      </c>
      <c r="C203" t="str">
        <f>IFERROR(INDEX('Match Log'!$C$4:$C$810,MATCH(179,'Match Log'!$A$4:$A$810,0)),"")</f>
        <v/>
      </c>
      <c r="D203" t="str">
        <f t="array" ref="D203">IFERROR(_xlfn.TEXTJOIN(" + ",TRUE,IF(('Match Log'!$A$4:$A$810=$A203)*('Match Log'!$E$4:$E$810="Win"),'Match Log'!$D$4:$D$810,"")),IFERROR(LOOKUP(2,1/(('Match Log'!$A$4:$A$810=$A203)*('Match Log'!$E$4:$E$810="Win")),'Match Log'!$D$4:$D$810),""))</f>
        <v/>
      </c>
      <c r="E203" t="str">
        <f>IFERROR(INDEX('Match Log'!$F$4:$F$810,MATCH(179,'Match Log'!$A$4:$A$810,0)),"")</f>
        <v/>
      </c>
      <c r="F203">
        <f>IFERROR(SUMIFS('Match Log'!$I$4:$I$810,'Match Log'!$A$4:$A$810,179,'Match Log'!$E$4:$E$810,"Win"),"")</f>
        <v>0</v>
      </c>
      <c r="G203" t="str">
        <f t="shared" si="28"/>
        <v/>
      </c>
      <c r="H203" t="str">
        <f t="array" ref="H203">IFERROR(IF(COUNTIFS('Match Log'!$A$4:$A$810,$A203,'Match Log'!$E$4:$E$810,"Win")&gt;1,_xlfn.TEXTJOIN(" + ",TRUE,IF(('Match Log'!$A$4:$A$810=$A203)*('Match Log'!$E$4:$E$810="Loss"),'Match Log'!$D$4:$D$810,"")),IF($E203=2,LOOKUP(2,1/(('Match Log'!$A$4:$A$810=$A203)*('Match Log'!$E$4:$E$810="Loss")),'Match Log'!$D$4:$D$810),"the field")),"")</f>
        <v>the field</v>
      </c>
      <c r="I203" t="str">
        <f t="shared" si="29"/>
        <v/>
      </c>
      <c r="J203">
        <v>179</v>
      </c>
      <c r="K203" t="e">
        <f>IF($J203&gt;MAX('Match Log'!$A$4:$A$810),NA(),IFERROR(LOOKUP(2,1/(('Match Log'!$D$4:$D$810=$K$24)*('Match Log'!$A$4:$A$810&lt;=$J203)),'Match Log'!$N$4:$N$810),NA()))</f>
        <v>#N/A</v>
      </c>
      <c r="L203" t="e">
        <f>IF($J203&gt;MAX('Match Log'!$A$4:$A$810),NA(),IFERROR(LOOKUP(2,1/(('Match Log'!$D$4:$D$810=$L$24)*('Match Log'!$A$4:$A$810&lt;=$J203)),'Match Log'!$N$4:$N$810),NA()))</f>
        <v>#N/A</v>
      </c>
      <c r="M203" t="e">
        <f>IF($J203&gt;MAX('Match Log'!$A$4:$A$810),NA(),IFERROR(LOOKUP(2,1/(('Match Log'!$D$4:$D$810=$M$24)*('Match Log'!$A$4:$A$810&lt;=$J203)),'Match Log'!$N$4:$N$810),NA()))</f>
        <v>#N/A</v>
      </c>
      <c r="N203" t="e">
        <f>IF($J203&gt;MAX('Match Log'!$A$4:$A$810),NA(),IFERROR(LOOKUP(2,1/(('Match Log'!$D$4:$D$810=$N$24)*('Match Log'!$A$4:$A$810&lt;=$J203)),'Match Log'!$N$4:$N$810),NA()))</f>
        <v>#N/A</v>
      </c>
      <c r="O203" t="e">
        <f>IF($J203&gt;MAX('Match Log'!$A$4:$A$810),NA(),IFERROR(LOOKUP(2,1/(('Match Log'!$D$4:$D$810=$O$24)*('Match Log'!$A$4:$A$810&lt;=$J203)),'Match Log'!$N$4:$N$810),NA()))</f>
        <v>#N/A</v>
      </c>
      <c r="P203" t="e">
        <f>IF($J203&gt;MAX('Match Log'!$A$4:$A$810),NA(),IFERROR(LOOKUP(2,1/(('Match Log'!$D$4:$D$810=$P$24)*('Match Log'!$A$4:$A$810&lt;=$J203)),'Match Log'!$N$4:$N$810),NA()))</f>
        <v>#N/A</v>
      </c>
      <c r="Q203" t="e">
        <f>IF($J203&gt;MAX('Match Log'!$A$4:$A$810),NA(),IFERROR(LOOKUP(2,1/(('Match Log'!$D$4:$D$810=$Q$24)*('Match Log'!$A$4:$A$810&lt;=$J203)),'Match Log'!$N$4:$N$810),NA()))</f>
        <v>#N/A</v>
      </c>
      <c r="R203" t="e">
        <f>IF($J203&gt;MAX('Match Log'!$A$4:$A$810),NA(),IFERROR(LOOKUP(2,1/(('Match Log'!$D$4:$D$810=$R$24)*('Match Log'!$A$4:$A$810&lt;=$J203)),'Match Log'!$N$4:$N$810),NA()))</f>
        <v>#N/A</v>
      </c>
      <c r="S203" t="e">
        <f>IF($J203&gt;MAX('Match Log'!$A$4:$A$810),NA(),IFERROR(LOOKUP(2,1/(('Match Log'!$D$4:$D$810=$S$24)*('Match Log'!$A$4:$A$810&lt;=$J203)),'Match Log'!$N$4:$N$810),NA()))</f>
        <v>#N/A</v>
      </c>
      <c r="T203" t="e">
        <f>IF($J203&gt;MAX('Match Log'!$A$4:$A$810),NA(),IFERROR(LOOKUP(2,1/(('Match Log'!$D$4:$D$810=$T$24)*('Match Log'!$A$4:$A$810&lt;=$J203)),'Match Log'!$N$4:$N$810),NA()))</f>
        <v>#N/A</v>
      </c>
      <c r="U203" t="e">
        <f>IF($J203&gt;MAX('Match Log'!$A$4:$A$810),NA(),IFERROR(LOOKUP(2,1/(('Match Log'!$D$4:$D$810=$U$24)*('Match Log'!$A$4:$A$810&lt;=$J203)),'Match Log'!$N$4:$N$810),NA()))</f>
        <v>#N/A</v>
      </c>
      <c r="V203" t="e">
        <f>IF($J203&gt;MAX('Match Log'!$A$4:$A$810),NA(),IFERROR(LOOKUP(2,1/(('Match Log'!$D$4:$D$810=$V$24)*('Match Log'!$A$4:$A$810&lt;=$J203)),'Match Log'!$N$4:$N$810),NA()))</f>
        <v>#N/A</v>
      </c>
      <c r="W203" t="e">
        <f>IF($J203&gt;MAX('Match Log'!$A$4:$A$810),NA(),IFERROR(LOOKUP(2,1/(('Match Log'!$D$4:$D$810=$W$24)*('Match Log'!$A$4:$A$810&lt;=$J203)),'Match Log'!$N$4:$N$810),NA()))</f>
        <v>#N/A</v>
      </c>
      <c r="X203" t="e">
        <f>IF($J203&gt;MAX('Match Log'!$A$4:$A$810),NA(),IFERROR(LOOKUP(2,1/(('Match Log'!$D$4:$D$810=$X$24)*('Match Log'!$A$4:$A$810&lt;=$J203)),'Match Log'!$N$4:$N$810),NA()))</f>
        <v>#N/A</v>
      </c>
      <c r="Y203" t="str">
        <f t="shared" ca="1" si="30"/>
        <v/>
      </c>
    </row>
    <row r="204" spans="1:25" x14ac:dyDescent="0.2">
      <c r="A204">
        <v>180</v>
      </c>
      <c r="B204" t="str">
        <f>IFERROR(INDEX('Match Log'!$B$4:$B$810,MATCH(180,'Match Log'!$A$4:$A$810,0)),"")</f>
        <v/>
      </c>
      <c r="C204" t="str">
        <f>IFERROR(INDEX('Match Log'!$C$4:$C$810,MATCH(180,'Match Log'!$A$4:$A$810,0)),"")</f>
        <v/>
      </c>
      <c r="D204" t="str">
        <f t="array" ref="D204">IFERROR(_xlfn.TEXTJOIN(" + ",TRUE,IF(('Match Log'!$A$4:$A$810=$A204)*('Match Log'!$E$4:$E$810="Win"),'Match Log'!$D$4:$D$810,"")),IFERROR(LOOKUP(2,1/(('Match Log'!$A$4:$A$810=$A204)*('Match Log'!$E$4:$E$810="Win")),'Match Log'!$D$4:$D$810),""))</f>
        <v/>
      </c>
      <c r="E204" t="str">
        <f>IFERROR(INDEX('Match Log'!$F$4:$F$810,MATCH(180,'Match Log'!$A$4:$A$810,0)),"")</f>
        <v/>
      </c>
      <c r="F204">
        <f>IFERROR(SUMIFS('Match Log'!$I$4:$I$810,'Match Log'!$A$4:$A$810,180,'Match Log'!$E$4:$E$810,"Win"),"")</f>
        <v>0</v>
      </c>
      <c r="G204" t="str">
        <f t="shared" si="28"/>
        <v/>
      </c>
      <c r="H204" t="str">
        <f t="array" ref="H204">IFERROR(IF(COUNTIFS('Match Log'!$A$4:$A$810,$A204,'Match Log'!$E$4:$E$810,"Win")&gt;1,_xlfn.TEXTJOIN(" + ",TRUE,IF(('Match Log'!$A$4:$A$810=$A204)*('Match Log'!$E$4:$E$810="Loss"),'Match Log'!$D$4:$D$810,"")),IF($E204=2,LOOKUP(2,1/(('Match Log'!$A$4:$A$810=$A204)*('Match Log'!$E$4:$E$810="Loss")),'Match Log'!$D$4:$D$810),"the field")),"")</f>
        <v>the field</v>
      </c>
      <c r="I204" t="str">
        <f t="shared" si="29"/>
        <v/>
      </c>
      <c r="J204">
        <v>180</v>
      </c>
      <c r="K204" t="e">
        <f>IF($J204&gt;MAX('Match Log'!$A$4:$A$810),NA(),IFERROR(LOOKUP(2,1/(('Match Log'!$D$4:$D$810=$K$24)*('Match Log'!$A$4:$A$810&lt;=$J204)),'Match Log'!$N$4:$N$810),NA()))</f>
        <v>#N/A</v>
      </c>
      <c r="L204" t="e">
        <f>IF($J204&gt;MAX('Match Log'!$A$4:$A$810),NA(),IFERROR(LOOKUP(2,1/(('Match Log'!$D$4:$D$810=$L$24)*('Match Log'!$A$4:$A$810&lt;=$J204)),'Match Log'!$N$4:$N$810),NA()))</f>
        <v>#N/A</v>
      </c>
      <c r="M204" t="e">
        <f>IF($J204&gt;MAX('Match Log'!$A$4:$A$810),NA(),IFERROR(LOOKUP(2,1/(('Match Log'!$D$4:$D$810=$M$24)*('Match Log'!$A$4:$A$810&lt;=$J204)),'Match Log'!$N$4:$N$810),NA()))</f>
        <v>#N/A</v>
      </c>
      <c r="N204" t="e">
        <f>IF($J204&gt;MAX('Match Log'!$A$4:$A$810),NA(),IFERROR(LOOKUP(2,1/(('Match Log'!$D$4:$D$810=$N$24)*('Match Log'!$A$4:$A$810&lt;=$J204)),'Match Log'!$N$4:$N$810),NA()))</f>
        <v>#N/A</v>
      </c>
      <c r="O204" t="e">
        <f>IF($J204&gt;MAX('Match Log'!$A$4:$A$810),NA(),IFERROR(LOOKUP(2,1/(('Match Log'!$D$4:$D$810=$O$24)*('Match Log'!$A$4:$A$810&lt;=$J204)),'Match Log'!$N$4:$N$810),NA()))</f>
        <v>#N/A</v>
      </c>
      <c r="P204" t="e">
        <f>IF($J204&gt;MAX('Match Log'!$A$4:$A$810),NA(),IFERROR(LOOKUP(2,1/(('Match Log'!$D$4:$D$810=$P$24)*('Match Log'!$A$4:$A$810&lt;=$J204)),'Match Log'!$N$4:$N$810),NA()))</f>
        <v>#N/A</v>
      </c>
      <c r="Q204" t="e">
        <f>IF($J204&gt;MAX('Match Log'!$A$4:$A$810),NA(),IFERROR(LOOKUP(2,1/(('Match Log'!$D$4:$D$810=$Q$24)*('Match Log'!$A$4:$A$810&lt;=$J204)),'Match Log'!$N$4:$N$810),NA()))</f>
        <v>#N/A</v>
      </c>
      <c r="R204" t="e">
        <f>IF($J204&gt;MAX('Match Log'!$A$4:$A$810),NA(),IFERROR(LOOKUP(2,1/(('Match Log'!$D$4:$D$810=$R$24)*('Match Log'!$A$4:$A$810&lt;=$J204)),'Match Log'!$N$4:$N$810),NA()))</f>
        <v>#N/A</v>
      </c>
      <c r="S204" t="e">
        <f>IF($J204&gt;MAX('Match Log'!$A$4:$A$810),NA(),IFERROR(LOOKUP(2,1/(('Match Log'!$D$4:$D$810=$S$24)*('Match Log'!$A$4:$A$810&lt;=$J204)),'Match Log'!$N$4:$N$810),NA()))</f>
        <v>#N/A</v>
      </c>
      <c r="T204" t="e">
        <f>IF($J204&gt;MAX('Match Log'!$A$4:$A$810),NA(),IFERROR(LOOKUP(2,1/(('Match Log'!$D$4:$D$810=$T$24)*('Match Log'!$A$4:$A$810&lt;=$J204)),'Match Log'!$N$4:$N$810),NA()))</f>
        <v>#N/A</v>
      </c>
      <c r="U204" t="e">
        <f>IF($J204&gt;MAX('Match Log'!$A$4:$A$810),NA(),IFERROR(LOOKUP(2,1/(('Match Log'!$D$4:$D$810=$U$24)*('Match Log'!$A$4:$A$810&lt;=$J204)),'Match Log'!$N$4:$N$810),NA()))</f>
        <v>#N/A</v>
      </c>
      <c r="V204" t="e">
        <f>IF($J204&gt;MAX('Match Log'!$A$4:$A$810),NA(),IFERROR(LOOKUP(2,1/(('Match Log'!$D$4:$D$810=$V$24)*('Match Log'!$A$4:$A$810&lt;=$J204)),'Match Log'!$N$4:$N$810),NA()))</f>
        <v>#N/A</v>
      </c>
      <c r="W204" t="e">
        <f>IF($J204&gt;MAX('Match Log'!$A$4:$A$810),NA(),IFERROR(LOOKUP(2,1/(('Match Log'!$D$4:$D$810=$W$24)*('Match Log'!$A$4:$A$810&lt;=$J204)),'Match Log'!$N$4:$N$810),NA()))</f>
        <v>#N/A</v>
      </c>
      <c r="X204" t="e">
        <f>IF($J204&gt;MAX('Match Log'!$A$4:$A$810),NA(),IFERROR(LOOKUP(2,1/(('Match Log'!$D$4:$D$810=$X$24)*('Match Log'!$A$4:$A$810&lt;=$J204)),'Match Log'!$N$4:$N$810),NA()))</f>
        <v>#N/A</v>
      </c>
      <c r="Y204" t="str">
        <f t="shared" ca="1" si="30"/>
        <v/>
      </c>
    </row>
    <row r="205" spans="1:25" x14ac:dyDescent="0.2">
      <c r="A205">
        <v>181</v>
      </c>
      <c r="B205" t="str">
        <f>IFERROR(INDEX('Match Log'!$B$4:$B$810,MATCH(181,'Match Log'!$A$4:$A$810,0)),"")</f>
        <v/>
      </c>
      <c r="C205" t="str">
        <f>IFERROR(INDEX('Match Log'!$C$4:$C$810,MATCH(181,'Match Log'!$A$4:$A$810,0)),"")</f>
        <v/>
      </c>
      <c r="D205" t="str">
        <f t="array" ref="D205">IFERROR(_xlfn.TEXTJOIN(" + ",TRUE,IF(('Match Log'!$A$4:$A$810=$A205)*('Match Log'!$E$4:$E$810="Win"),'Match Log'!$D$4:$D$810,"")),IFERROR(LOOKUP(2,1/(('Match Log'!$A$4:$A$810=$A205)*('Match Log'!$E$4:$E$810="Win")),'Match Log'!$D$4:$D$810),""))</f>
        <v/>
      </c>
      <c r="E205" t="str">
        <f>IFERROR(INDEX('Match Log'!$F$4:$F$810,MATCH(181,'Match Log'!$A$4:$A$810,0)),"")</f>
        <v/>
      </c>
      <c r="F205">
        <f>IFERROR(SUMIFS('Match Log'!$I$4:$I$810,'Match Log'!$A$4:$A$810,181,'Match Log'!$E$4:$E$810,"Win"),"")</f>
        <v>0</v>
      </c>
      <c r="G205" t="str">
        <f t="shared" si="28"/>
        <v/>
      </c>
      <c r="H205" t="str">
        <f t="array" ref="H205">IFERROR(IF(COUNTIFS('Match Log'!$A$4:$A$810,$A205,'Match Log'!$E$4:$E$810,"Win")&gt;1,_xlfn.TEXTJOIN(" + ",TRUE,IF(('Match Log'!$A$4:$A$810=$A205)*('Match Log'!$E$4:$E$810="Loss"),'Match Log'!$D$4:$D$810,"")),IF($E205=2,LOOKUP(2,1/(('Match Log'!$A$4:$A$810=$A205)*('Match Log'!$E$4:$E$810="Loss")),'Match Log'!$D$4:$D$810),"the field")),"")</f>
        <v>the field</v>
      </c>
      <c r="I205" t="str">
        <f t="shared" si="29"/>
        <v/>
      </c>
      <c r="J205">
        <v>181</v>
      </c>
      <c r="K205" t="e">
        <f>IF($J205&gt;MAX('Match Log'!$A$4:$A$810),NA(),IFERROR(LOOKUP(2,1/(('Match Log'!$D$4:$D$810=$K$24)*('Match Log'!$A$4:$A$810&lt;=$J205)),'Match Log'!$N$4:$N$810),NA()))</f>
        <v>#N/A</v>
      </c>
      <c r="L205" t="e">
        <f>IF($J205&gt;MAX('Match Log'!$A$4:$A$810),NA(),IFERROR(LOOKUP(2,1/(('Match Log'!$D$4:$D$810=$L$24)*('Match Log'!$A$4:$A$810&lt;=$J205)),'Match Log'!$N$4:$N$810),NA()))</f>
        <v>#N/A</v>
      </c>
      <c r="M205" t="e">
        <f>IF($J205&gt;MAX('Match Log'!$A$4:$A$810),NA(),IFERROR(LOOKUP(2,1/(('Match Log'!$D$4:$D$810=$M$24)*('Match Log'!$A$4:$A$810&lt;=$J205)),'Match Log'!$N$4:$N$810),NA()))</f>
        <v>#N/A</v>
      </c>
      <c r="N205" t="e">
        <f>IF($J205&gt;MAX('Match Log'!$A$4:$A$810),NA(),IFERROR(LOOKUP(2,1/(('Match Log'!$D$4:$D$810=$N$24)*('Match Log'!$A$4:$A$810&lt;=$J205)),'Match Log'!$N$4:$N$810),NA()))</f>
        <v>#N/A</v>
      </c>
      <c r="O205" t="e">
        <f>IF($J205&gt;MAX('Match Log'!$A$4:$A$810),NA(),IFERROR(LOOKUP(2,1/(('Match Log'!$D$4:$D$810=$O$24)*('Match Log'!$A$4:$A$810&lt;=$J205)),'Match Log'!$N$4:$N$810),NA()))</f>
        <v>#N/A</v>
      </c>
      <c r="P205" t="e">
        <f>IF($J205&gt;MAX('Match Log'!$A$4:$A$810),NA(),IFERROR(LOOKUP(2,1/(('Match Log'!$D$4:$D$810=$P$24)*('Match Log'!$A$4:$A$810&lt;=$J205)),'Match Log'!$N$4:$N$810),NA()))</f>
        <v>#N/A</v>
      </c>
      <c r="Q205" t="e">
        <f>IF($J205&gt;MAX('Match Log'!$A$4:$A$810),NA(),IFERROR(LOOKUP(2,1/(('Match Log'!$D$4:$D$810=$Q$24)*('Match Log'!$A$4:$A$810&lt;=$J205)),'Match Log'!$N$4:$N$810),NA()))</f>
        <v>#N/A</v>
      </c>
      <c r="R205" t="e">
        <f>IF($J205&gt;MAX('Match Log'!$A$4:$A$810),NA(),IFERROR(LOOKUP(2,1/(('Match Log'!$D$4:$D$810=$R$24)*('Match Log'!$A$4:$A$810&lt;=$J205)),'Match Log'!$N$4:$N$810),NA()))</f>
        <v>#N/A</v>
      </c>
      <c r="S205" t="e">
        <f>IF($J205&gt;MAX('Match Log'!$A$4:$A$810),NA(),IFERROR(LOOKUP(2,1/(('Match Log'!$D$4:$D$810=$S$24)*('Match Log'!$A$4:$A$810&lt;=$J205)),'Match Log'!$N$4:$N$810),NA()))</f>
        <v>#N/A</v>
      </c>
      <c r="T205" t="e">
        <f>IF($J205&gt;MAX('Match Log'!$A$4:$A$810),NA(),IFERROR(LOOKUP(2,1/(('Match Log'!$D$4:$D$810=$T$24)*('Match Log'!$A$4:$A$810&lt;=$J205)),'Match Log'!$N$4:$N$810),NA()))</f>
        <v>#N/A</v>
      </c>
      <c r="U205" t="e">
        <f>IF($J205&gt;MAX('Match Log'!$A$4:$A$810),NA(),IFERROR(LOOKUP(2,1/(('Match Log'!$D$4:$D$810=$U$24)*('Match Log'!$A$4:$A$810&lt;=$J205)),'Match Log'!$N$4:$N$810),NA()))</f>
        <v>#N/A</v>
      </c>
      <c r="V205" t="e">
        <f>IF($J205&gt;MAX('Match Log'!$A$4:$A$810),NA(),IFERROR(LOOKUP(2,1/(('Match Log'!$D$4:$D$810=$V$24)*('Match Log'!$A$4:$A$810&lt;=$J205)),'Match Log'!$N$4:$N$810),NA()))</f>
        <v>#N/A</v>
      </c>
      <c r="W205" t="e">
        <f>IF($J205&gt;MAX('Match Log'!$A$4:$A$810),NA(),IFERROR(LOOKUP(2,1/(('Match Log'!$D$4:$D$810=$W$24)*('Match Log'!$A$4:$A$810&lt;=$J205)),'Match Log'!$N$4:$N$810),NA()))</f>
        <v>#N/A</v>
      </c>
      <c r="X205" t="e">
        <f>IF($J205&gt;MAX('Match Log'!$A$4:$A$810),NA(),IFERROR(LOOKUP(2,1/(('Match Log'!$D$4:$D$810=$X$24)*('Match Log'!$A$4:$A$810&lt;=$J205)),'Match Log'!$N$4:$N$810),NA()))</f>
        <v>#N/A</v>
      </c>
      <c r="Y205" t="str">
        <f t="shared" ca="1" si="30"/>
        <v/>
      </c>
    </row>
    <row r="206" spans="1:25" x14ac:dyDescent="0.2">
      <c r="A206">
        <v>182</v>
      </c>
      <c r="B206" t="str">
        <f>IFERROR(INDEX('Match Log'!$B$4:$B$810,MATCH(182,'Match Log'!$A$4:$A$810,0)),"")</f>
        <v/>
      </c>
      <c r="C206" t="str">
        <f>IFERROR(INDEX('Match Log'!$C$4:$C$810,MATCH(182,'Match Log'!$A$4:$A$810,0)),"")</f>
        <v/>
      </c>
      <c r="D206" t="str">
        <f t="array" ref="D206">IFERROR(_xlfn.TEXTJOIN(" + ",TRUE,IF(('Match Log'!$A$4:$A$810=$A206)*('Match Log'!$E$4:$E$810="Win"),'Match Log'!$D$4:$D$810,"")),IFERROR(LOOKUP(2,1/(('Match Log'!$A$4:$A$810=$A206)*('Match Log'!$E$4:$E$810="Win")),'Match Log'!$D$4:$D$810),""))</f>
        <v/>
      </c>
      <c r="E206" t="str">
        <f>IFERROR(INDEX('Match Log'!$F$4:$F$810,MATCH(182,'Match Log'!$A$4:$A$810,0)),"")</f>
        <v/>
      </c>
      <c r="F206">
        <f>IFERROR(SUMIFS('Match Log'!$I$4:$I$810,'Match Log'!$A$4:$A$810,182,'Match Log'!$E$4:$E$810,"Win"),"")</f>
        <v>0</v>
      </c>
      <c r="G206" t="str">
        <f t="shared" si="28"/>
        <v/>
      </c>
      <c r="H206" t="str">
        <f t="array" ref="H206">IFERROR(IF(COUNTIFS('Match Log'!$A$4:$A$810,$A206,'Match Log'!$E$4:$E$810,"Win")&gt;1,_xlfn.TEXTJOIN(" + ",TRUE,IF(('Match Log'!$A$4:$A$810=$A206)*('Match Log'!$E$4:$E$810="Loss"),'Match Log'!$D$4:$D$810,"")),IF($E206=2,LOOKUP(2,1/(('Match Log'!$A$4:$A$810=$A206)*('Match Log'!$E$4:$E$810="Loss")),'Match Log'!$D$4:$D$810),"the field")),"")</f>
        <v>the field</v>
      </c>
      <c r="I206" t="str">
        <f t="shared" si="29"/>
        <v/>
      </c>
      <c r="J206">
        <v>182</v>
      </c>
      <c r="K206" t="e">
        <f>IF($J206&gt;MAX('Match Log'!$A$4:$A$810),NA(),IFERROR(LOOKUP(2,1/(('Match Log'!$D$4:$D$810=$K$24)*('Match Log'!$A$4:$A$810&lt;=$J206)),'Match Log'!$N$4:$N$810),NA()))</f>
        <v>#N/A</v>
      </c>
      <c r="L206" t="e">
        <f>IF($J206&gt;MAX('Match Log'!$A$4:$A$810),NA(),IFERROR(LOOKUP(2,1/(('Match Log'!$D$4:$D$810=$L$24)*('Match Log'!$A$4:$A$810&lt;=$J206)),'Match Log'!$N$4:$N$810),NA()))</f>
        <v>#N/A</v>
      </c>
      <c r="M206" t="e">
        <f>IF($J206&gt;MAX('Match Log'!$A$4:$A$810),NA(),IFERROR(LOOKUP(2,1/(('Match Log'!$D$4:$D$810=$M$24)*('Match Log'!$A$4:$A$810&lt;=$J206)),'Match Log'!$N$4:$N$810),NA()))</f>
        <v>#N/A</v>
      </c>
      <c r="N206" t="e">
        <f>IF($J206&gt;MAX('Match Log'!$A$4:$A$810),NA(),IFERROR(LOOKUP(2,1/(('Match Log'!$D$4:$D$810=$N$24)*('Match Log'!$A$4:$A$810&lt;=$J206)),'Match Log'!$N$4:$N$810),NA()))</f>
        <v>#N/A</v>
      </c>
      <c r="O206" t="e">
        <f>IF($J206&gt;MAX('Match Log'!$A$4:$A$810),NA(),IFERROR(LOOKUP(2,1/(('Match Log'!$D$4:$D$810=$O$24)*('Match Log'!$A$4:$A$810&lt;=$J206)),'Match Log'!$N$4:$N$810),NA()))</f>
        <v>#N/A</v>
      </c>
      <c r="P206" t="e">
        <f>IF($J206&gt;MAX('Match Log'!$A$4:$A$810),NA(),IFERROR(LOOKUP(2,1/(('Match Log'!$D$4:$D$810=$P$24)*('Match Log'!$A$4:$A$810&lt;=$J206)),'Match Log'!$N$4:$N$810),NA()))</f>
        <v>#N/A</v>
      </c>
      <c r="Q206" t="e">
        <f>IF($J206&gt;MAX('Match Log'!$A$4:$A$810),NA(),IFERROR(LOOKUP(2,1/(('Match Log'!$D$4:$D$810=$Q$24)*('Match Log'!$A$4:$A$810&lt;=$J206)),'Match Log'!$N$4:$N$810),NA()))</f>
        <v>#N/A</v>
      </c>
      <c r="R206" t="e">
        <f>IF($J206&gt;MAX('Match Log'!$A$4:$A$810),NA(),IFERROR(LOOKUP(2,1/(('Match Log'!$D$4:$D$810=$R$24)*('Match Log'!$A$4:$A$810&lt;=$J206)),'Match Log'!$N$4:$N$810),NA()))</f>
        <v>#N/A</v>
      </c>
      <c r="S206" t="e">
        <f>IF($J206&gt;MAX('Match Log'!$A$4:$A$810),NA(),IFERROR(LOOKUP(2,1/(('Match Log'!$D$4:$D$810=$S$24)*('Match Log'!$A$4:$A$810&lt;=$J206)),'Match Log'!$N$4:$N$810),NA()))</f>
        <v>#N/A</v>
      </c>
      <c r="T206" t="e">
        <f>IF($J206&gt;MAX('Match Log'!$A$4:$A$810),NA(),IFERROR(LOOKUP(2,1/(('Match Log'!$D$4:$D$810=$T$24)*('Match Log'!$A$4:$A$810&lt;=$J206)),'Match Log'!$N$4:$N$810),NA()))</f>
        <v>#N/A</v>
      </c>
      <c r="U206" t="e">
        <f>IF($J206&gt;MAX('Match Log'!$A$4:$A$810),NA(),IFERROR(LOOKUP(2,1/(('Match Log'!$D$4:$D$810=$U$24)*('Match Log'!$A$4:$A$810&lt;=$J206)),'Match Log'!$N$4:$N$810),NA()))</f>
        <v>#N/A</v>
      </c>
      <c r="V206" t="e">
        <f>IF($J206&gt;MAX('Match Log'!$A$4:$A$810),NA(),IFERROR(LOOKUP(2,1/(('Match Log'!$D$4:$D$810=$V$24)*('Match Log'!$A$4:$A$810&lt;=$J206)),'Match Log'!$N$4:$N$810),NA()))</f>
        <v>#N/A</v>
      </c>
      <c r="W206" t="e">
        <f>IF($J206&gt;MAX('Match Log'!$A$4:$A$810),NA(),IFERROR(LOOKUP(2,1/(('Match Log'!$D$4:$D$810=$W$24)*('Match Log'!$A$4:$A$810&lt;=$J206)),'Match Log'!$N$4:$N$810),NA()))</f>
        <v>#N/A</v>
      </c>
      <c r="X206" t="e">
        <f>IF($J206&gt;MAX('Match Log'!$A$4:$A$810),NA(),IFERROR(LOOKUP(2,1/(('Match Log'!$D$4:$D$810=$X$24)*('Match Log'!$A$4:$A$810&lt;=$J206)),'Match Log'!$N$4:$N$810),NA()))</f>
        <v>#N/A</v>
      </c>
      <c r="Y206" t="str">
        <f t="shared" ca="1" si="30"/>
        <v/>
      </c>
    </row>
    <row r="207" spans="1:25" x14ac:dyDescent="0.2">
      <c r="A207">
        <v>183</v>
      </c>
      <c r="B207" t="str">
        <f>IFERROR(INDEX('Match Log'!$B$4:$B$810,MATCH(183,'Match Log'!$A$4:$A$810,0)),"")</f>
        <v/>
      </c>
      <c r="C207" t="str">
        <f>IFERROR(INDEX('Match Log'!$C$4:$C$810,MATCH(183,'Match Log'!$A$4:$A$810,0)),"")</f>
        <v/>
      </c>
      <c r="D207" t="str">
        <f t="array" ref="D207">IFERROR(_xlfn.TEXTJOIN(" + ",TRUE,IF(('Match Log'!$A$4:$A$810=$A207)*('Match Log'!$E$4:$E$810="Win"),'Match Log'!$D$4:$D$810,"")),IFERROR(LOOKUP(2,1/(('Match Log'!$A$4:$A$810=$A207)*('Match Log'!$E$4:$E$810="Win")),'Match Log'!$D$4:$D$810),""))</f>
        <v/>
      </c>
      <c r="E207" t="str">
        <f>IFERROR(INDEX('Match Log'!$F$4:$F$810,MATCH(183,'Match Log'!$A$4:$A$810,0)),"")</f>
        <v/>
      </c>
      <c r="F207">
        <f>IFERROR(SUMIFS('Match Log'!$I$4:$I$810,'Match Log'!$A$4:$A$810,183,'Match Log'!$E$4:$E$810,"Win"),"")</f>
        <v>0</v>
      </c>
      <c r="G207" t="str">
        <f t="shared" si="28"/>
        <v/>
      </c>
      <c r="H207" t="str">
        <f t="array" ref="H207">IFERROR(IF(COUNTIFS('Match Log'!$A$4:$A$810,$A207,'Match Log'!$E$4:$E$810,"Win")&gt;1,_xlfn.TEXTJOIN(" + ",TRUE,IF(('Match Log'!$A$4:$A$810=$A207)*('Match Log'!$E$4:$E$810="Loss"),'Match Log'!$D$4:$D$810,"")),IF($E207=2,LOOKUP(2,1/(('Match Log'!$A$4:$A$810=$A207)*('Match Log'!$E$4:$E$810="Loss")),'Match Log'!$D$4:$D$810),"the field")),"")</f>
        <v>the field</v>
      </c>
      <c r="I207" t="str">
        <f t="shared" si="29"/>
        <v/>
      </c>
      <c r="J207">
        <v>183</v>
      </c>
      <c r="K207" t="e">
        <f>IF($J207&gt;MAX('Match Log'!$A$4:$A$810),NA(),IFERROR(LOOKUP(2,1/(('Match Log'!$D$4:$D$810=$K$24)*('Match Log'!$A$4:$A$810&lt;=$J207)),'Match Log'!$N$4:$N$810),NA()))</f>
        <v>#N/A</v>
      </c>
      <c r="L207" t="e">
        <f>IF($J207&gt;MAX('Match Log'!$A$4:$A$810),NA(),IFERROR(LOOKUP(2,1/(('Match Log'!$D$4:$D$810=$L$24)*('Match Log'!$A$4:$A$810&lt;=$J207)),'Match Log'!$N$4:$N$810),NA()))</f>
        <v>#N/A</v>
      </c>
      <c r="M207" t="e">
        <f>IF($J207&gt;MAX('Match Log'!$A$4:$A$810),NA(),IFERROR(LOOKUP(2,1/(('Match Log'!$D$4:$D$810=$M$24)*('Match Log'!$A$4:$A$810&lt;=$J207)),'Match Log'!$N$4:$N$810),NA()))</f>
        <v>#N/A</v>
      </c>
      <c r="N207" t="e">
        <f>IF($J207&gt;MAX('Match Log'!$A$4:$A$810),NA(),IFERROR(LOOKUP(2,1/(('Match Log'!$D$4:$D$810=$N$24)*('Match Log'!$A$4:$A$810&lt;=$J207)),'Match Log'!$N$4:$N$810),NA()))</f>
        <v>#N/A</v>
      </c>
      <c r="O207" t="e">
        <f>IF($J207&gt;MAX('Match Log'!$A$4:$A$810),NA(),IFERROR(LOOKUP(2,1/(('Match Log'!$D$4:$D$810=$O$24)*('Match Log'!$A$4:$A$810&lt;=$J207)),'Match Log'!$N$4:$N$810),NA()))</f>
        <v>#N/A</v>
      </c>
      <c r="P207" t="e">
        <f>IF($J207&gt;MAX('Match Log'!$A$4:$A$810),NA(),IFERROR(LOOKUP(2,1/(('Match Log'!$D$4:$D$810=$P$24)*('Match Log'!$A$4:$A$810&lt;=$J207)),'Match Log'!$N$4:$N$810),NA()))</f>
        <v>#N/A</v>
      </c>
      <c r="Q207" t="e">
        <f>IF($J207&gt;MAX('Match Log'!$A$4:$A$810),NA(),IFERROR(LOOKUP(2,1/(('Match Log'!$D$4:$D$810=$Q$24)*('Match Log'!$A$4:$A$810&lt;=$J207)),'Match Log'!$N$4:$N$810),NA()))</f>
        <v>#N/A</v>
      </c>
      <c r="R207" t="e">
        <f>IF($J207&gt;MAX('Match Log'!$A$4:$A$810),NA(),IFERROR(LOOKUP(2,1/(('Match Log'!$D$4:$D$810=$R$24)*('Match Log'!$A$4:$A$810&lt;=$J207)),'Match Log'!$N$4:$N$810),NA()))</f>
        <v>#N/A</v>
      </c>
      <c r="S207" t="e">
        <f>IF($J207&gt;MAX('Match Log'!$A$4:$A$810),NA(),IFERROR(LOOKUP(2,1/(('Match Log'!$D$4:$D$810=$S$24)*('Match Log'!$A$4:$A$810&lt;=$J207)),'Match Log'!$N$4:$N$810),NA()))</f>
        <v>#N/A</v>
      </c>
      <c r="T207" t="e">
        <f>IF($J207&gt;MAX('Match Log'!$A$4:$A$810),NA(),IFERROR(LOOKUP(2,1/(('Match Log'!$D$4:$D$810=$T$24)*('Match Log'!$A$4:$A$810&lt;=$J207)),'Match Log'!$N$4:$N$810),NA()))</f>
        <v>#N/A</v>
      </c>
      <c r="U207" t="e">
        <f>IF($J207&gt;MAX('Match Log'!$A$4:$A$810),NA(),IFERROR(LOOKUP(2,1/(('Match Log'!$D$4:$D$810=$U$24)*('Match Log'!$A$4:$A$810&lt;=$J207)),'Match Log'!$N$4:$N$810),NA()))</f>
        <v>#N/A</v>
      </c>
      <c r="V207" t="e">
        <f>IF($J207&gt;MAX('Match Log'!$A$4:$A$810),NA(),IFERROR(LOOKUP(2,1/(('Match Log'!$D$4:$D$810=$V$24)*('Match Log'!$A$4:$A$810&lt;=$J207)),'Match Log'!$N$4:$N$810),NA()))</f>
        <v>#N/A</v>
      </c>
      <c r="W207" t="e">
        <f>IF($J207&gt;MAX('Match Log'!$A$4:$A$810),NA(),IFERROR(LOOKUP(2,1/(('Match Log'!$D$4:$D$810=$W$24)*('Match Log'!$A$4:$A$810&lt;=$J207)),'Match Log'!$N$4:$N$810),NA()))</f>
        <v>#N/A</v>
      </c>
      <c r="X207" t="e">
        <f>IF($J207&gt;MAX('Match Log'!$A$4:$A$810),NA(),IFERROR(LOOKUP(2,1/(('Match Log'!$D$4:$D$810=$X$24)*('Match Log'!$A$4:$A$810&lt;=$J207)),'Match Log'!$N$4:$N$810),NA()))</f>
        <v>#N/A</v>
      </c>
      <c r="Y207" t="str">
        <f t="shared" ca="1" si="30"/>
        <v/>
      </c>
    </row>
    <row r="208" spans="1:25" x14ac:dyDescent="0.2">
      <c r="A208">
        <v>184</v>
      </c>
      <c r="B208" t="str">
        <f>IFERROR(INDEX('Match Log'!$B$4:$B$810,MATCH(184,'Match Log'!$A$4:$A$810,0)),"")</f>
        <v/>
      </c>
      <c r="C208" t="str">
        <f>IFERROR(INDEX('Match Log'!$C$4:$C$810,MATCH(184,'Match Log'!$A$4:$A$810,0)),"")</f>
        <v/>
      </c>
      <c r="D208" t="str">
        <f t="array" ref="D208">IFERROR(_xlfn.TEXTJOIN(" + ",TRUE,IF(('Match Log'!$A$4:$A$810=$A208)*('Match Log'!$E$4:$E$810="Win"),'Match Log'!$D$4:$D$810,"")),IFERROR(LOOKUP(2,1/(('Match Log'!$A$4:$A$810=$A208)*('Match Log'!$E$4:$E$810="Win")),'Match Log'!$D$4:$D$810),""))</f>
        <v/>
      </c>
      <c r="E208" t="str">
        <f>IFERROR(INDEX('Match Log'!$F$4:$F$810,MATCH(184,'Match Log'!$A$4:$A$810,0)),"")</f>
        <v/>
      </c>
      <c r="F208">
        <f>IFERROR(SUMIFS('Match Log'!$I$4:$I$810,'Match Log'!$A$4:$A$810,184,'Match Log'!$E$4:$E$810,"Win"),"")</f>
        <v>0</v>
      </c>
      <c r="G208" t="str">
        <f t="shared" si="28"/>
        <v/>
      </c>
      <c r="H208" t="str">
        <f t="array" ref="H208">IFERROR(IF(COUNTIFS('Match Log'!$A$4:$A$810,$A208,'Match Log'!$E$4:$E$810,"Win")&gt;1,_xlfn.TEXTJOIN(" + ",TRUE,IF(('Match Log'!$A$4:$A$810=$A208)*('Match Log'!$E$4:$E$810="Loss"),'Match Log'!$D$4:$D$810,"")),IF($E208=2,LOOKUP(2,1/(('Match Log'!$A$4:$A$810=$A208)*('Match Log'!$E$4:$E$810="Loss")),'Match Log'!$D$4:$D$810),"the field")),"")</f>
        <v>the field</v>
      </c>
      <c r="I208" t="str">
        <f t="shared" si="29"/>
        <v/>
      </c>
      <c r="J208">
        <v>184</v>
      </c>
      <c r="K208" t="e">
        <f>IF($J208&gt;MAX('Match Log'!$A$4:$A$810),NA(),IFERROR(LOOKUP(2,1/(('Match Log'!$D$4:$D$810=$K$24)*('Match Log'!$A$4:$A$810&lt;=$J208)),'Match Log'!$N$4:$N$810),NA()))</f>
        <v>#N/A</v>
      </c>
      <c r="L208" t="e">
        <f>IF($J208&gt;MAX('Match Log'!$A$4:$A$810),NA(),IFERROR(LOOKUP(2,1/(('Match Log'!$D$4:$D$810=$L$24)*('Match Log'!$A$4:$A$810&lt;=$J208)),'Match Log'!$N$4:$N$810),NA()))</f>
        <v>#N/A</v>
      </c>
      <c r="M208" t="e">
        <f>IF($J208&gt;MAX('Match Log'!$A$4:$A$810),NA(),IFERROR(LOOKUP(2,1/(('Match Log'!$D$4:$D$810=$M$24)*('Match Log'!$A$4:$A$810&lt;=$J208)),'Match Log'!$N$4:$N$810),NA()))</f>
        <v>#N/A</v>
      </c>
      <c r="N208" t="e">
        <f>IF($J208&gt;MAX('Match Log'!$A$4:$A$810),NA(),IFERROR(LOOKUP(2,1/(('Match Log'!$D$4:$D$810=$N$24)*('Match Log'!$A$4:$A$810&lt;=$J208)),'Match Log'!$N$4:$N$810),NA()))</f>
        <v>#N/A</v>
      </c>
      <c r="O208" t="e">
        <f>IF($J208&gt;MAX('Match Log'!$A$4:$A$810),NA(),IFERROR(LOOKUP(2,1/(('Match Log'!$D$4:$D$810=$O$24)*('Match Log'!$A$4:$A$810&lt;=$J208)),'Match Log'!$N$4:$N$810),NA()))</f>
        <v>#N/A</v>
      </c>
      <c r="P208" t="e">
        <f>IF($J208&gt;MAX('Match Log'!$A$4:$A$810),NA(),IFERROR(LOOKUP(2,1/(('Match Log'!$D$4:$D$810=$P$24)*('Match Log'!$A$4:$A$810&lt;=$J208)),'Match Log'!$N$4:$N$810),NA()))</f>
        <v>#N/A</v>
      </c>
      <c r="Q208" t="e">
        <f>IF($J208&gt;MAX('Match Log'!$A$4:$A$810),NA(),IFERROR(LOOKUP(2,1/(('Match Log'!$D$4:$D$810=$Q$24)*('Match Log'!$A$4:$A$810&lt;=$J208)),'Match Log'!$N$4:$N$810),NA()))</f>
        <v>#N/A</v>
      </c>
      <c r="R208" t="e">
        <f>IF($J208&gt;MAX('Match Log'!$A$4:$A$810),NA(),IFERROR(LOOKUP(2,1/(('Match Log'!$D$4:$D$810=$R$24)*('Match Log'!$A$4:$A$810&lt;=$J208)),'Match Log'!$N$4:$N$810),NA()))</f>
        <v>#N/A</v>
      </c>
      <c r="S208" t="e">
        <f>IF($J208&gt;MAX('Match Log'!$A$4:$A$810),NA(),IFERROR(LOOKUP(2,1/(('Match Log'!$D$4:$D$810=$S$24)*('Match Log'!$A$4:$A$810&lt;=$J208)),'Match Log'!$N$4:$N$810),NA()))</f>
        <v>#N/A</v>
      </c>
      <c r="T208" t="e">
        <f>IF($J208&gt;MAX('Match Log'!$A$4:$A$810),NA(),IFERROR(LOOKUP(2,1/(('Match Log'!$D$4:$D$810=$T$24)*('Match Log'!$A$4:$A$810&lt;=$J208)),'Match Log'!$N$4:$N$810),NA()))</f>
        <v>#N/A</v>
      </c>
      <c r="U208" t="e">
        <f>IF($J208&gt;MAX('Match Log'!$A$4:$A$810),NA(),IFERROR(LOOKUP(2,1/(('Match Log'!$D$4:$D$810=$U$24)*('Match Log'!$A$4:$A$810&lt;=$J208)),'Match Log'!$N$4:$N$810),NA()))</f>
        <v>#N/A</v>
      </c>
      <c r="V208" t="e">
        <f>IF($J208&gt;MAX('Match Log'!$A$4:$A$810),NA(),IFERROR(LOOKUP(2,1/(('Match Log'!$D$4:$D$810=$V$24)*('Match Log'!$A$4:$A$810&lt;=$J208)),'Match Log'!$N$4:$N$810),NA()))</f>
        <v>#N/A</v>
      </c>
      <c r="W208" t="e">
        <f>IF($J208&gt;MAX('Match Log'!$A$4:$A$810),NA(),IFERROR(LOOKUP(2,1/(('Match Log'!$D$4:$D$810=$W$24)*('Match Log'!$A$4:$A$810&lt;=$J208)),'Match Log'!$N$4:$N$810),NA()))</f>
        <v>#N/A</v>
      </c>
      <c r="X208" t="e">
        <f>IF($J208&gt;MAX('Match Log'!$A$4:$A$810),NA(),IFERROR(LOOKUP(2,1/(('Match Log'!$D$4:$D$810=$X$24)*('Match Log'!$A$4:$A$810&lt;=$J208)),'Match Log'!$N$4:$N$810),NA()))</f>
        <v>#N/A</v>
      </c>
      <c r="Y208" t="str">
        <f t="shared" ca="1" si="30"/>
        <v/>
      </c>
    </row>
    <row r="209" spans="1:25" x14ac:dyDescent="0.2">
      <c r="A209">
        <v>185</v>
      </c>
      <c r="B209" t="str">
        <f>IFERROR(INDEX('Match Log'!$B$4:$B$810,MATCH(185,'Match Log'!$A$4:$A$810,0)),"")</f>
        <v/>
      </c>
      <c r="C209" t="str">
        <f>IFERROR(INDEX('Match Log'!$C$4:$C$810,MATCH(185,'Match Log'!$A$4:$A$810,0)),"")</f>
        <v/>
      </c>
      <c r="D209" t="str">
        <f t="array" ref="D209">IFERROR(_xlfn.TEXTJOIN(" + ",TRUE,IF(('Match Log'!$A$4:$A$810=$A209)*('Match Log'!$E$4:$E$810="Win"),'Match Log'!$D$4:$D$810,"")),IFERROR(LOOKUP(2,1/(('Match Log'!$A$4:$A$810=$A209)*('Match Log'!$E$4:$E$810="Win")),'Match Log'!$D$4:$D$810),""))</f>
        <v/>
      </c>
      <c r="E209" t="str">
        <f>IFERROR(INDEX('Match Log'!$F$4:$F$810,MATCH(185,'Match Log'!$A$4:$A$810,0)),"")</f>
        <v/>
      </c>
      <c r="F209">
        <f>IFERROR(SUMIFS('Match Log'!$I$4:$I$810,'Match Log'!$A$4:$A$810,185,'Match Log'!$E$4:$E$810,"Win"),"")</f>
        <v>0</v>
      </c>
      <c r="G209" t="str">
        <f t="shared" ref="G209:G272" si="31">IF($D209="","",1-$F209*$E209)</f>
        <v/>
      </c>
      <c r="H209" t="str">
        <f t="array" ref="H209">IFERROR(IF(COUNTIFS('Match Log'!$A$4:$A$810,$A209,'Match Log'!$E$4:$E$810,"Win")&gt;1,_xlfn.TEXTJOIN(" + ",TRUE,IF(('Match Log'!$A$4:$A$810=$A209)*('Match Log'!$E$4:$E$810="Loss"),'Match Log'!$D$4:$D$810,"")),IF($E209=2,LOOKUP(2,1/(('Match Log'!$A$4:$A$810=$A209)*('Match Log'!$E$4:$E$810="Loss")),'Match Log'!$D$4:$D$810),"the field")),"")</f>
        <v>the field</v>
      </c>
      <c r="I209" t="str">
        <f t="shared" ref="I209:I272" si="32">IF($G209="","",$G209-$A209/1000000)</f>
        <v/>
      </c>
      <c r="J209">
        <v>185</v>
      </c>
      <c r="K209" t="e">
        <f>IF($J209&gt;MAX('Match Log'!$A$4:$A$810),NA(),IFERROR(LOOKUP(2,1/(('Match Log'!$D$4:$D$810=$K$24)*('Match Log'!$A$4:$A$810&lt;=$J209)),'Match Log'!$N$4:$N$810),NA()))</f>
        <v>#N/A</v>
      </c>
      <c r="L209" t="e">
        <f>IF($J209&gt;MAX('Match Log'!$A$4:$A$810),NA(),IFERROR(LOOKUP(2,1/(('Match Log'!$D$4:$D$810=$L$24)*('Match Log'!$A$4:$A$810&lt;=$J209)),'Match Log'!$N$4:$N$810),NA()))</f>
        <v>#N/A</v>
      </c>
      <c r="M209" t="e">
        <f>IF($J209&gt;MAX('Match Log'!$A$4:$A$810),NA(),IFERROR(LOOKUP(2,1/(('Match Log'!$D$4:$D$810=$M$24)*('Match Log'!$A$4:$A$810&lt;=$J209)),'Match Log'!$N$4:$N$810),NA()))</f>
        <v>#N/A</v>
      </c>
      <c r="N209" t="e">
        <f>IF($J209&gt;MAX('Match Log'!$A$4:$A$810),NA(),IFERROR(LOOKUP(2,1/(('Match Log'!$D$4:$D$810=$N$24)*('Match Log'!$A$4:$A$810&lt;=$J209)),'Match Log'!$N$4:$N$810),NA()))</f>
        <v>#N/A</v>
      </c>
      <c r="O209" t="e">
        <f>IF($J209&gt;MAX('Match Log'!$A$4:$A$810),NA(),IFERROR(LOOKUP(2,1/(('Match Log'!$D$4:$D$810=$O$24)*('Match Log'!$A$4:$A$810&lt;=$J209)),'Match Log'!$N$4:$N$810),NA()))</f>
        <v>#N/A</v>
      </c>
      <c r="P209" t="e">
        <f>IF($J209&gt;MAX('Match Log'!$A$4:$A$810),NA(),IFERROR(LOOKUP(2,1/(('Match Log'!$D$4:$D$810=$P$24)*('Match Log'!$A$4:$A$810&lt;=$J209)),'Match Log'!$N$4:$N$810),NA()))</f>
        <v>#N/A</v>
      </c>
      <c r="Q209" t="e">
        <f>IF($J209&gt;MAX('Match Log'!$A$4:$A$810),NA(),IFERROR(LOOKUP(2,1/(('Match Log'!$D$4:$D$810=$Q$24)*('Match Log'!$A$4:$A$810&lt;=$J209)),'Match Log'!$N$4:$N$810),NA()))</f>
        <v>#N/A</v>
      </c>
      <c r="R209" t="e">
        <f>IF($J209&gt;MAX('Match Log'!$A$4:$A$810),NA(),IFERROR(LOOKUP(2,1/(('Match Log'!$D$4:$D$810=$R$24)*('Match Log'!$A$4:$A$810&lt;=$J209)),'Match Log'!$N$4:$N$810),NA()))</f>
        <v>#N/A</v>
      </c>
      <c r="S209" t="e">
        <f>IF($J209&gt;MAX('Match Log'!$A$4:$A$810),NA(),IFERROR(LOOKUP(2,1/(('Match Log'!$D$4:$D$810=$S$24)*('Match Log'!$A$4:$A$810&lt;=$J209)),'Match Log'!$N$4:$N$810),NA()))</f>
        <v>#N/A</v>
      </c>
      <c r="T209" t="e">
        <f>IF($J209&gt;MAX('Match Log'!$A$4:$A$810),NA(),IFERROR(LOOKUP(2,1/(('Match Log'!$D$4:$D$810=$T$24)*('Match Log'!$A$4:$A$810&lt;=$J209)),'Match Log'!$N$4:$N$810),NA()))</f>
        <v>#N/A</v>
      </c>
      <c r="U209" t="e">
        <f>IF($J209&gt;MAX('Match Log'!$A$4:$A$810),NA(),IFERROR(LOOKUP(2,1/(('Match Log'!$D$4:$D$810=$U$24)*('Match Log'!$A$4:$A$810&lt;=$J209)),'Match Log'!$N$4:$N$810),NA()))</f>
        <v>#N/A</v>
      </c>
      <c r="V209" t="e">
        <f>IF($J209&gt;MAX('Match Log'!$A$4:$A$810),NA(),IFERROR(LOOKUP(2,1/(('Match Log'!$D$4:$D$810=$V$24)*('Match Log'!$A$4:$A$810&lt;=$J209)),'Match Log'!$N$4:$N$810),NA()))</f>
        <v>#N/A</v>
      </c>
      <c r="W209" t="e">
        <f>IF($J209&gt;MAX('Match Log'!$A$4:$A$810),NA(),IFERROR(LOOKUP(2,1/(('Match Log'!$D$4:$D$810=$W$24)*('Match Log'!$A$4:$A$810&lt;=$J209)),'Match Log'!$N$4:$N$810),NA()))</f>
        <v>#N/A</v>
      </c>
      <c r="X209" t="e">
        <f>IF($J209&gt;MAX('Match Log'!$A$4:$A$810),NA(),IFERROR(LOOKUP(2,1/(('Match Log'!$D$4:$D$810=$X$24)*('Match Log'!$A$4:$A$810&lt;=$J209)),'Match Log'!$N$4:$N$810),NA()))</f>
        <v>#N/A</v>
      </c>
      <c r="Y209" t="str">
        <f t="shared" ref="Y209:Y272" ca="1" si="33">IF(AND($B209&lt;&gt;"",$B209&gt;=$B$5,$I209&lt;&gt;""),$I209,"")</f>
        <v/>
      </c>
    </row>
    <row r="210" spans="1:25" x14ac:dyDescent="0.2">
      <c r="A210">
        <v>186</v>
      </c>
      <c r="B210" t="str">
        <f>IFERROR(INDEX('Match Log'!$B$4:$B$810,MATCH(186,'Match Log'!$A$4:$A$810,0)),"")</f>
        <v/>
      </c>
      <c r="C210" t="str">
        <f>IFERROR(INDEX('Match Log'!$C$4:$C$810,MATCH(186,'Match Log'!$A$4:$A$810,0)),"")</f>
        <v/>
      </c>
      <c r="D210" t="str">
        <f t="array" ref="D210">IFERROR(_xlfn.TEXTJOIN(" + ",TRUE,IF(('Match Log'!$A$4:$A$810=$A210)*('Match Log'!$E$4:$E$810="Win"),'Match Log'!$D$4:$D$810,"")),IFERROR(LOOKUP(2,1/(('Match Log'!$A$4:$A$810=$A210)*('Match Log'!$E$4:$E$810="Win")),'Match Log'!$D$4:$D$810),""))</f>
        <v/>
      </c>
      <c r="E210" t="str">
        <f>IFERROR(INDEX('Match Log'!$F$4:$F$810,MATCH(186,'Match Log'!$A$4:$A$810,0)),"")</f>
        <v/>
      </c>
      <c r="F210">
        <f>IFERROR(SUMIFS('Match Log'!$I$4:$I$810,'Match Log'!$A$4:$A$810,186,'Match Log'!$E$4:$E$810,"Win"),"")</f>
        <v>0</v>
      </c>
      <c r="G210" t="str">
        <f t="shared" si="31"/>
        <v/>
      </c>
      <c r="H210" t="str">
        <f t="array" ref="H210">IFERROR(IF(COUNTIFS('Match Log'!$A$4:$A$810,$A210,'Match Log'!$E$4:$E$810,"Win")&gt;1,_xlfn.TEXTJOIN(" + ",TRUE,IF(('Match Log'!$A$4:$A$810=$A210)*('Match Log'!$E$4:$E$810="Loss"),'Match Log'!$D$4:$D$810,"")),IF($E210=2,LOOKUP(2,1/(('Match Log'!$A$4:$A$810=$A210)*('Match Log'!$E$4:$E$810="Loss")),'Match Log'!$D$4:$D$810),"the field")),"")</f>
        <v>the field</v>
      </c>
      <c r="I210" t="str">
        <f t="shared" si="32"/>
        <v/>
      </c>
      <c r="J210">
        <v>186</v>
      </c>
      <c r="K210" t="e">
        <f>IF($J210&gt;MAX('Match Log'!$A$4:$A$810),NA(),IFERROR(LOOKUP(2,1/(('Match Log'!$D$4:$D$810=$K$24)*('Match Log'!$A$4:$A$810&lt;=$J210)),'Match Log'!$N$4:$N$810),NA()))</f>
        <v>#N/A</v>
      </c>
      <c r="L210" t="e">
        <f>IF($J210&gt;MAX('Match Log'!$A$4:$A$810),NA(),IFERROR(LOOKUP(2,1/(('Match Log'!$D$4:$D$810=$L$24)*('Match Log'!$A$4:$A$810&lt;=$J210)),'Match Log'!$N$4:$N$810),NA()))</f>
        <v>#N/A</v>
      </c>
      <c r="M210" t="e">
        <f>IF($J210&gt;MAX('Match Log'!$A$4:$A$810),NA(),IFERROR(LOOKUP(2,1/(('Match Log'!$D$4:$D$810=$M$24)*('Match Log'!$A$4:$A$810&lt;=$J210)),'Match Log'!$N$4:$N$810),NA()))</f>
        <v>#N/A</v>
      </c>
      <c r="N210" t="e">
        <f>IF($J210&gt;MAX('Match Log'!$A$4:$A$810),NA(),IFERROR(LOOKUP(2,1/(('Match Log'!$D$4:$D$810=$N$24)*('Match Log'!$A$4:$A$810&lt;=$J210)),'Match Log'!$N$4:$N$810),NA()))</f>
        <v>#N/A</v>
      </c>
      <c r="O210" t="e">
        <f>IF($J210&gt;MAX('Match Log'!$A$4:$A$810),NA(),IFERROR(LOOKUP(2,1/(('Match Log'!$D$4:$D$810=$O$24)*('Match Log'!$A$4:$A$810&lt;=$J210)),'Match Log'!$N$4:$N$810),NA()))</f>
        <v>#N/A</v>
      </c>
      <c r="P210" t="e">
        <f>IF($J210&gt;MAX('Match Log'!$A$4:$A$810),NA(),IFERROR(LOOKUP(2,1/(('Match Log'!$D$4:$D$810=$P$24)*('Match Log'!$A$4:$A$810&lt;=$J210)),'Match Log'!$N$4:$N$810),NA()))</f>
        <v>#N/A</v>
      </c>
      <c r="Q210" t="e">
        <f>IF($J210&gt;MAX('Match Log'!$A$4:$A$810),NA(),IFERROR(LOOKUP(2,1/(('Match Log'!$D$4:$D$810=$Q$24)*('Match Log'!$A$4:$A$810&lt;=$J210)),'Match Log'!$N$4:$N$810),NA()))</f>
        <v>#N/A</v>
      </c>
      <c r="R210" t="e">
        <f>IF($J210&gt;MAX('Match Log'!$A$4:$A$810),NA(),IFERROR(LOOKUP(2,1/(('Match Log'!$D$4:$D$810=$R$24)*('Match Log'!$A$4:$A$810&lt;=$J210)),'Match Log'!$N$4:$N$810),NA()))</f>
        <v>#N/A</v>
      </c>
      <c r="S210" t="e">
        <f>IF($J210&gt;MAX('Match Log'!$A$4:$A$810),NA(),IFERROR(LOOKUP(2,1/(('Match Log'!$D$4:$D$810=$S$24)*('Match Log'!$A$4:$A$810&lt;=$J210)),'Match Log'!$N$4:$N$810),NA()))</f>
        <v>#N/A</v>
      </c>
      <c r="T210" t="e">
        <f>IF($J210&gt;MAX('Match Log'!$A$4:$A$810),NA(),IFERROR(LOOKUP(2,1/(('Match Log'!$D$4:$D$810=$T$24)*('Match Log'!$A$4:$A$810&lt;=$J210)),'Match Log'!$N$4:$N$810),NA()))</f>
        <v>#N/A</v>
      </c>
      <c r="U210" t="e">
        <f>IF($J210&gt;MAX('Match Log'!$A$4:$A$810),NA(),IFERROR(LOOKUP(2,1/(('Match Log'!$D$4:$D$810=$U$24)*('Match Log'!$A$4:$A$810&lt;=$J210)),'Match Log'!$N$4:$N$810),NA()))</f>
        <v>#N/A</v>
      </c>
      <c r="V210" t="e">
        <f>IF($J210&gt;MAX('Match Log'!$A$4:$A$810),NA(),IFERROR(LOOKUP(2,1/(('Match Log'!$D$4:$D$810=$V$24)*('Match Log'!$A$4:$A$810&lt;=$J210)),'Match Log'!$N$4:$N$810),NA()))</f>
        <v>#N/A</v>
      </c>
      <c r="W210" t="e">
        <f>IF($J210&gt;MAX('Match Log'!$A$4:$A$810),NA(),IFERROR(LOOKUP(2,1/(('Match Log'!$D$4:$D$810=$W$24)*('Match Log'!$A$4:$A$810&lt;=$J210)),'Match Log'!$N$4:$N$810),NA()))</f>
        <v>#N/A</v>
      </c>
      <c r="X210" t="e">
        <f>IF($J210&gt;MAX('Match Log'!$A$4:$A$810),NA(),IFERROR(LOOKUP(2,1/(('Match Log'!$D$4:$D$810=$X$24)*('Match Log'!$A$4:$A$810&lt;=$J210)),'Match Log'!$N$4:$N$810),NA()))</f>
        <v>#N/A</v>
      </c>
      <c r="Y210" t="str">
        <f t="shared" ca="1" si="33"/>
        <v/>
      </c>
    </row>
    <row r="211" spans="1:25" x14ac:dyDescent="0.2">
      <c r="A211">
        <v>187</v>
      </c>
      <c r="B211" t="str">
        <f>IFERROR(INDEX('Match Log'!$B$4:$B$810,MATCH(187,'Match Log'!$A$4:$A$810,0)),"")</f>
        <v/>
      </c>
      <c r="C211" t="str">
        <f>IFERROR(INDEX('Match Log'!$C$4:$C$810,MATCH(187,'Match Log'!$A$4:$A$810,0)),"")</f>
        <v/>
      </c>
      <c r="D211" t="str">
        <f t="array" ref="D211">IFERROR(_xlfn.TEXTJOIN(" + ",TRUE,IF(('Match Log'!$A$4:$A$810=$A211)*('Match Log'!$E$4:$E$810="Win"),'Match Log'!$D$4:$D$810,"")),IFERROR(LOOKUP(2,1/(('Match Log'!$A$4:$A$810=$A211)*('Match Log'!$E$4:$E$810="Win")),'Match Log'!$D$4:$D$810),""))</f>
        <v/>
      </c>
      <c r="E211" t="str">
        <f>IFERROR(INDEX('Match Log'!$F$4:$F$810,MATCH(187,'Match Log'!$A$4:$A$810,0)),"")</f>
        <v/>
      </c>
      <c r="F211">
        <f>IFERROR(SUMIFS('Match Log'!$I$4:$I$810,'Match Log'!$A$4:$A$810,187,'Match Log'!$E$4:$E$810,"Win"),"")</f>
        <v>0</v>
      </c>
      <c r="G211" t="str">
        <f t="shared" si="31"/>
        <v/>
      </c>
      <c r="H211" t="str">
        <f t="array" ref="H211">IFERROR(IF(COUNTIFS('Match Log'!$A$4:$A$810,$A211,'Match Log'!$E$4:$E$810,"Win")&gt;1,_xlfn.TEXTJOIN(" + ",TRUE,IF(('Match Log'!$A$4:$A$810=$A211)*('Match Log'!$E$4:$E$810="Loss"),'Match Log'!$D$4:$D$810,"")),IF($E211=2,LOOKUP(2,1/(('Match Log'!$A$4:$A$810=$A211)*('Match Log'!$E$4:$E$810="Loss")),'Match Log'!$D$4:$D$810),"the field")),"")</f>
        <v>the field</v>
      </c>
      <c r="I211" t="str">
        <f t="shared" si="32"/>
        <v/>
      </c>
      <c r="J211">
        <v>187</v>
      </c>
      <c r="K211" t="e">
        <f>IF($J211&gt;MAX('Match Log'!$A$4:$A$810),NA(),IFERROR(LOOKUP(2,1/(('Match Log'!$D$4:$D$810=$K$24)*('Match Log'!$A$4:$A$810&lt;=$J211)),'Match Log'!$N$4:$N$810),NA()))</f>
        <v>#N/A</v>
      </c>
      <c r="L211" t="e">
        <f>IF($J211&gt;MAX('Match Log'!$A$4:$A$810),NA(),IFERROR(LOOKUP(2,1/(('Match Log'!$D$4:$D$810=$L$24)*('Match Log'!$A$4:$A$810&lt;=$J211)),'Match Log'!$N$4:$N$810),NA()))</f>
        <v>#N/A</v>
      </c>
      <c r="M211" t="e">
        <f>IF($J211&gt;MAX('Match Log'!$A$4:$A$810),NA(),IFERROR(LOOKUP(2,1/(('Match Log'!$D$4:$D$810=$M$24)*('Match Log'!$A$4:$A$810&lt;=$J211)),'Match Log'!$N$4:$N$810),NA()))</f>
        <v>#N/A</v>
      </c>
      <c r="N211" t="e">
        <f>IF($J211&gt;MAX('Match Log'!$A$4:$A$810),NA(),IFERROR(LOOKUP(2,1/(('Match Log'!$D$4:$D$810=$N$24)*('Match Log'!$A$4:$A$810&lt;=$J211)),'Match Log'!$N$4:$N$810),NA()))</f>
        <v>#N/A</v>
      </c>
      <c r="O211" t="e">
        <f>IF($J211&gt;MAX('Match Log'!$A$4:$A$810),NA(),IFERROR(LOOKUP(2,1/(('Match Log'!$D$4:$D$810=$O$24)*('Match Log'!$A$4:$A$810&lt;=$J211)),'Match Log'!$N$4:$N$810),NA()))</f>
        <v>#N/A</v>
      </c>
      <c r="P211" t="e">
        <f>IF($J211&gt;MAX('Match Log'!$A$4:$A$810),NA(),IFERROR(LOOKUP(2,1/(('Match Log'!$D$4:$D$810=$P$24)*('Match Log'!$A$4:$A$810&lt;=$J211)),'Match Log'!$N$4:$N$810),NA()))</f>
        <v>#N/A</v>
      </c>
      <c r="Q211" t="e">
        <f>IF($J211&gt;MAX('Match Log'!$A$4:$A$810),NA(),IFERROR(LOOKUP(2,1/(('Match Log'!$D$4:$D$810=$Q$24)*('Match Log'!$A$4:$A$810&lt;=$J211)),'Match Log'!$N$4:$N$810),NA()))</f>
        <v>#N/A</v>
      </c>
      <c r="R211" t="e">
        <f>IF($J211&gt;MAX('Match Log'!$A$4:$A$810),NA(),IFERROR(LOOKUP(2,1/(('Match Log'!$D$4:$D$810=$R$24)*('Match Log'!$A$4:$A$810&lt;=$J211)),'Match Log'!$N$4:$N$810),NA()))</f>
        <v>#N/A</v>
      </c>
      <c r="S211" t="e">
        <f>IF($J211&gt;MAX('Match Log'!$A$4:$A$810),NA(),IFERROR(LOOKUP(2,1/(('Match Log'!$D$4:$D$810=$S$24)*('Match Log'!$A$4:$A$810&lt;=$J211)),'Match Log'!$N$4:$N$810),NA()))</f>
        <v>#N/A</v>
      </c>
      <c r="T211" t="e">
        <f>IF($J211&gt;MAX('Match Log'!$A$4:$A$810),NA(),IFERROR(LOOKUP(2,1/(('Match Log'!$D$4:$D$810=$T$24)*('Match Log'!$A$4:$A$810&lt;=$J211)),'Match Log'!$N$4:$N$810),NA()))</f>
        <v>#N/A</v>
      </c>
      <c r="U211" t="e">
        <f>IF($J211&gt;MAX('Match Log'!$A$4:$A$810),NA(),IFERROR(LOOKUP(2,1/(('Match Log'!$D$4:$D$810=$U$24)*('Match Log'!$A$4:$A$810&lt;=$J211)),'Match Log'!$N$4:$N$810),NA()))</f>
        <v>#N/A</v>
      </c>
      <c r="V211" t="e">
        <f>IF($J211&gt;MAX('Match Log'!$A$4:$A$810),NA(),IFERROR(LOOKUP(2,1/(('Match Log'!$D$4:$D$810=$V$24)*('Match Log'!$A$4:$A$810&lt;=$J211)),'Match Log'!$N$4:$N$810),NA()))</f>
        <v>#N/A</v>
      </c>
      <c r="W211" t="e">
        <f>IF($J211&gt;MAX('Match Log'!$A$4:$A$810),NA(),IFERROR(LOOKUP(2,1/(('Match Log'!$D$4:$D$810=$W$24)*('Match Log'!$A$4:$A$810&lt;=$J211)),'Match Log'!$N$4:$N$810),NA()))</f>
        <v>#N/A</v>
      </c>
      <c r="X211" t="e">
        <f>IF($J211&gt;MAX('Match Log'!$A$4:$A$810),NA(),IFERROR(LOOKUP(2,1/(('Match Log'!$D$4:$D$810=$X$24)*('Match Log'!$A$4:$A$810&lt;=$J211)),'Match Log'!$N$4:$N$810),NA()))</f>
        <v>#N/A</v>
      </c>
      <c r="Y211" t="str">
        <f t="shared" ca="1" si="33"/>
        <v/>
      </c>
    </row>
    <row r="212" spans="1:25" x14ac:dyDescent="0.2">
      <c r="A212">
        <v>188</v>
      </c>
      <c r="B212" t="str">
        <f>IFERROR(INDEX('Match Log'!$B$4:$B$810,MATCH(188,'Match Log'!$A$4:$A$810,0)),"")</f>
        <v/>
      </c>
      <c r="C212" t="str">
        <f>IFERROR(INDEX('Match Log'!$C$4:$C$810,MATCH(188,'Match Log'!$A$4:$A$810,0)),"")</f>
        <v/>
      </c>
      <c r="D212" t="str">
        <f t="array" ref="D212">IFERROR(_xlfn.TEXTJOIN(" + ",TRUE,IF(('Match Log'!$A$4:$A$810=$A212)*('Match Log'!$E$4:$E$810="Win"),'Match Log'!$D$4:$D$810,"")),IFERROR(LOOKUP(2,1/(('Match Log'!$A$4:$A$810=$A212)*('Match Log'!$E$4:$E$810="Win")),'Match Log'!$D$4:$D$810),""))</f>
        <v/>
      </c>
      <c r="E212" t="str">
        <f>IFERROR(INDEX('Match Log'!$F$4:$F$810,MATCH(188,'Match Log'!$A$4:$A$810,0)),"")</f>
        <v/>
      </c>
      <c r="F212">
        <f>IFERROR(SUMIFS('Match Log'!$I$4:$I$810,'Match Log'!$A$4:$A$810,188,'Match Log'!$E$4:$E$810,"Win"),"")</f>
        <v>0</v>
      </c>
      <c r="G212" t="str">
        <f t="shared" si="31"/>
        <v/>
      </c>
      <c r="H212" t="str">
        <f t="array" ref="H212">IFERROR(IF(COUNTIFS('Match Log'!$A$4:$A$810,$A212,'Match Log'!$E$4:$E$810,"Win")&gt;1,_xlfn.TEXTJOIN(" + ",TRUE,IF(('Match Log'!$A$4:$A$810=$A212)*('Match Log'!$E$4:$E$810="Loss"),'Match Log'!$D$4:$D$810,"")),IF($E212=2,LOOKUP(2,1/(('Match Log'!$A$4:$A$810=$A212)*('Match Log'!$E$4:$E$810="Loss")),'Match Log'!$D$4:$D$810),"the field")),"")</f>
        <v>the field</v>
      </c>
      <c r="I212" t="str">
        <f t="shared" si="32"/>
        <v/>
      </c>
      <c r="J212">
        <v>188</v>
      </c>
      <c r="K212" t="e">
        <f>IF($J212&gt;MAX('Match Log'!$A$4:$A$810),NA(),IFERROR(LOOKUP(2,1/(('Match Log'!$D$4:$D$810=$K$24)*('Match Log'!$A$4:$A$810&lt;=$J212)),'Match Log'!$N$4:$N$810),NA()))</f>
        <v>#N/A</v>
      </c>
      <c r="L212" t="e">
        <f>IF($J212&gt;MAX('Match Log'!$A$4:$A$810),NA(),IFERROR(LOOKUP(2,1/(('Match Log'!$D$4:$D$810=$L$24)*('Match Log'!$A$4:$A$810&lt;=$J212)),'Match Log'!$N$4:$N$810),NA()))</f>
        <v>#N/A</v>
      </c>
      <c r="M212" t="e">
        <f>IF($J212&gt;MAX('Match Log'!$A$4:$A$810),NA(),IFERROR(LOOKUP(2,1/(('Match Log'!$D$4:$D$810=$M$24)*('Match Log'!$A$4:$A$810&lt;=$J212)),'Match Log'!$N$4:$N$810),NA()))</f>
        <v>#N/A</v>
      </c>
      <c r="N212" t="e">
        <f>IF($J212&gt;MAX('Match Log'!$A$4:$A$810),NA(),IFERROR(LOOKUP(2,1/(('Match Log'!$D$4:$D$810=$N$24)*('Match Log'!$A$4:$A$810&lt;=$J212)),'Match Log'!$N$4:$N$810),NA()))</f>
        <v>#N/A</v>
      </c>
      <c r="O212" t="e">
        <f>IF($J212&gt;MAX('Match Log'!$A$4:$A$810),NA(),IFERROR(LOOKUP(2,1/(('Match Log'!$D$4:$D$810=$O$24)*('Match Log'!$A$4:$A$810&lt;=$J212)),'Match Log'!$N$4:$N$810),NA()))</f>
        <v>#N/A</v>
      </c>
      <c r="P212" t="e">
        <f>IF($J212&gt;MAX('Match Log'!$A$4:$A$810),NA(),IFERROR(LOOKUP(2,1/(('Match Log'!$D$4:$D$810=$P$24)*('Match Log'!$A$4:$A$810&lt;=$J212)),'Match Log'!$N$4:$N$810),NA()))</f>
        <v>#N/A</v>
      </c>
      <c r="Q212" t="e">
        <f>IF($J212&gt;MAX('Match Log'!$A$4:$A$810),NA(),IFERROR(LOOKUP(2,1/(('Match Log'!$D$4:$D$810=$Q$24)*('Match Log'!$A$4:$A$810&lt;=$J212)),'Match Log'!$N$4:$N$810),NA()))</f>
        <v>#N/A</v>
      </c>
      <c r="R212" t="e">
        <f>IF($J212&gt;MAX('Match Log'!$A$4:$A$810),NA(),IFERROR(LOOKUP(2,1/(('Match Log'!$D$4:$D$810=$R$24)*('Match Log'!$A$4:$A$810&lt;=$J212)),'Match Log'!$N$4:$N$810),NA()))</f>
        <v>#N/A</v>
      </c>
      <c r="S212" t="e">
        <f>IF($J212&gt;MAX('Match Log'!$A$4:$A$810),NA(),IFERROR(LOOKUP(2,1/(('Match Log'!$D$4:$D$810=$S$24)*('Match Log'!$A$4:$A$810&lt;=$J212)),'Match Log'!$N$4:$N$810),NA()))</f>
        <v>#N/A</v>
      </c>
      <c r="T212" t="e">
        <f>IF($J212&gt;MAX('Match Log'!$A$4:$A$810),NA(),IFERROR(LOOKUP(2,1/(('Match Log'!$D$4:$D$810=$T$24)*('Match Log'!$A$4:$A$810&lt;=$J212)),'Match Log'!$N$4:$N$810),NA()))</f>
        <v>#N/A</v>
      </c>
      <c r="U212" t="e">
        <f>IF($J212&gt;MAX('Match Log'!$A$4:$A$810),NA(),IFERROR(LOOKUP(2,1/(('Match Log'!$D$4:$D$810=$U$24)*('Match Log'!$A$4:$A$810&lt;=$J212)),'Match Log'!$N$4:$N$810),NA()))</f>
        <v>#N/A</v>
      </c>
      <c r="V212" t="e">
        <f>IF($J212&gt;MAX('Match Log'!$A$4:$A$810),NA(),IFERROR(LOOKUP(2,1/(('Match Log'!$D$4:$D$810=$V$24)*('Match Log'!$A$4:$A$810&lt;=$J212)),'Match Log'!$N$4:$N$810),NA()))</f>
        <v>#N/A</v>
      </c>
      <c r="W212" t="e">
        <f>IF($J212&gt;MAX('Match Log'!$A$4:$A$810),NA(),IFERROR(LOOKUP(2,1/(('Match Log'!$D$4:$D$810=$W$24)*('Match Log'!$A$4:$A$810&lt;=$J212)),'Match Log'!$N$4:$N$810),NA()))</f>
        <v>#N/A</v>
      </c>
      <c r="X212" t="e">
        <f>IF($J212&gt;MAX('Match Log'!$A$4:$A$810),NA(),IFERROR(LOOKUP(2,1/(('Match Log'!$D$4:$D$810=$X$24)*('Match Log'!$A$4:$A$810&lt;=$J212)),'Match Log'!$N$4:$N$810),NA()))</f>
        <v>#N/A</v>
      </c>
      <c r="Y212" t="str">
        <f t="shared" ca="1" si="33"/>
        <v/>
      </c>
    </row>
    <row r="213" spans="1:25" x14ac:dyDescent="0.2">
      <c r="A213">
        <v>189</v>
      </c>
      <c r="B213" t="str">
        <f>IFERROR(INDEX('Match Log'!$B$4:$B$810,MATCH(189,'Match Log'!$A$4:$A$810,0)),"")</f>
        <v/>
      </c>
      <c r="C213" t="str">
        <f>IFERROR(INDEX('Match Log'!$C$4:$C$810,MATCH(189,'Match Log'!$A$4:$A$810,0)),"")</f>
        <v/>
      </c>
      <c r="D213" t="str">
        <f t="array" ref="D213">IFERROR(_xlfn.TEXTJOIN(" + ",TRUE,IF(('Match Log'!$A$4:$A$810=$A213)*('Match Log'!$E$4:$E$810="Win"),'Match Log'!$D$4:$D$810,"")),IFERROR(LOOKUP(2,1/(('Match Log'!$A$4:$A$810=$A213)*('Match Log'!$E$4:$E$810="Win")),'Match Log'!$D$4:$D$810),""))</f>
        <v/>
      </c>
      <c r="E213" t="str">
        <f>IFERROR(INDEX('Match Log'!$F$4:$F$810,MATCH(189,'Match Log'!$A$4:$A$810,0)),"")</f>
        <v/>
      </c>
      <c r="F213">
        <f>IFERROR(SUMIFS('Match Log'!$I$4:$I$810,'Match Log'!$A$4:$A$810,189,'Match Log'!$E$4:$E$810,"Win"),"")</f>
        <v>0</v>
      </c>
      <c r="G213" t="str">
        <f t="shared" si="31"/>
        <v/>
      </c>
      <c r="H213" t="str">
        <f t="array" ref="H213">IFERROR(IF(COUNTIFS('Match Log'!$A$4:$A$810,$A213,'Match Log'!$E$4:$E$810,"Win")&gt;1,_xlfn.TEXTJOIN(" + ",TRUE,IF(('Match Log'!$A$4:$A$810=$A213)*('Match Log'!$E$4:$E$810="Loss"),'Match Log'!$D$4:$D$810,"")),IF($E213=2,LOOKUP(2,1/(('Match Log'!$A$4:$A$810=$A213)*('Match Log'!$E$4:$E$810="Loss")),'Match Log'!$D$4:$D$810),"the field")),"")</f>
        <v>the field</v>
      </c>
      <c r="I213" t="str">
        <f t="shared" si="32"/>
        <v/>
      </c>
      <c r="J213">
        <v>189</v>
      </c>
      <c r="K213" t="e">
        <f>IF($J213&gt;MAX('Match Log'!$A$4:$A$810),NA(),IFERROR(LOOKUP(2,1/(('Match Log'!$D$4:$D$810=$K$24)*('Match Log'!$A$4:$A$810&lt;=$J213)),'Match Log'!$N$4:$N$810),NA()))</f>
        <v>#N/A</v>
      </c>
      <c r="L213" t="e">
        <f>IF($J213&gt;MAX('Match Log'!$A$4:$A$810),NA(),IFERROR(LOOKUP(2,1/(('Match Log'!$D$4:$D$810=$L$24)*('Match Log'!$A$4:$A$810&lt;=$J213)),'Match Log'!$N$4:$N$810),NA()))</f>
        <v>#N/A</v>
      </c>
      <c r="M213" t="e">
        <f>IF($J213&gt;MAX('Match Log'!$A$4:$A$810),NA(),IFERROR(LOOKUP(2,1/(('Match Log'!$D$4:$D$810=$M$24)*('Match Log'!$A$4:$A$810&lt;=$J213)),'Match Log'!$N$4:$N$810),NA()))</f>
        <v>#N/A</v>
      </c>
      <c r="N213" t="e">
        <f>IF($J213&gt;MAX('Match Log'!$A$4:$A$810),NA(),IFERROR(LOOKUP(2,1/(('Match Log'!$D$4:$D$810=$N$24)*('Match Log'!$A$4:$A$810&lt;=$J213)),'Match Log'!$N$4:$N$810),NA()))</f>
        <v>#N/A</v>
      </c>
      <c r="O213" t="e">
        <f>IF($J213&gt;MAX('Match Log'!$A$4:$A$810),NA(),IFERROR(LOOKUP(2,1/(('Match Log'!$D$4:$D$810=$O$24)*('Match Log'!$A$4:$A$810&lt;=$J213)),'Match Log'!$N$4:$N$810),NA()))</f>
        <v>#N/A</v>
      </c>
      <c r="P213" t="e">
        <f>IF($J213&gt;MAX('Match Log'!$A$4:$A$810),NA(),IFERROR(LOOKUP(2,1/(('Match Log'!$D$4:$D$810=$P$24)*('Match Log'!$A$4:$A$810&lt;=$J213)),'Match Log'!$N$4:$N$810),NA()))</f>
        <v>#N/A</v>
      </c>
      <c r="Q213" t="e">
        <f>IF($J213&gt;MAX('Match Log'!$A$4:$A$810),NA(),IFERROR(LOOKUP(2,1/(('Match Log'!$D$4:$D$810=$Q$24)*('Match Log'!$A$4:$A$810&lt;=$J213)),'Match Log'!$N$4:$N$810),NA()))</f>
        <v>#N/A</v>
      </c>
      <c r="R213" t="e">
        <f>IF($J213&gt;MAX('Match Log'!$A$4:$A$810),NA(),IFERROR(LOOKUP(2,1/(('Match Log'!$D$4:$D$810=$R$24)*('Match Log'!$A$4:$A$810&lt;=$J213)),'Match Log'!$N$4:$N$810),NA()))</f>
        <v>#N/A</v>
      </c>
      <c r="S213" t="e">
        <f>IF($J213&gt;MAX('Match Log'!$A$4:$A$810),NA(),IFERROR(LOOKUP(2,1/(('Match Log'!$D$4:$D$810=$S$24)*('Match Log'!$A$4:$A$810&lt;=$J213)),'Match Log'!$N$4:$N$810),NA()))</f>
        <v>#N/A</v>
      </c>
      <c r="T213" t="e">
        <f>IF($J213&gt;MAX('Match Log'!$A$4:$A$810),NA(),IFERROR(LOOKUP(2,1/(('Match Log'!$D$4:$D$810=$T$24)*('Match Log'!$A$4:$A$810&lt;=$J213)),'Match Log'!$N$4:$N$810),NA()))</f>
        <v>#N/A</v>
      </c>
      <c r="U213" t="e">
        <f>IF($J213&gt;MAX('Match Log'!$A$4:$A$810),NA(),IFERROR(LOOKUP(2,1/(('Match Log'!$D$4:$D$810=$U$24)*('Match Log'!$A$4:$A$810&lt;=$J213)),'Match Log'!$N$4:$N$810),NA()))</f>
        <v>#N/A</v>
      </c>
      <c r="V213" t="e">
        <f>IF($J213&gt;MAX('Match Log'!$A$4:$A$810),NA(),IFERROR(LOOKUP(2,1/(('Match Log'!$D$4:$D$810=$V$24)*('Match Log'!$A$4:$A$810&lt;=$J213)),'Match Log'!$N$4:$N$810),NA()))</f>
        <v>#N/A</v>
      </c>
      <c r="W213" t="e">
        <f>IF($J213&gt;MAX('Match Log'!$A$4:$A$810),NA(),IFERROR(LOOKUP(2,1/(('Match Log'!$D$4:$D$810=$W$24)*('Match Log'!$A$4:$A$810&lt;=$J213)),'Match Log'!$N$4:$N$810),NA()))</f>
        <v>#N/A</v>
      </c>
      <c r="X213" t="e">
        <f>IF($J213&gt;MAX('Match Log'!$A$4:$A$810),NA(),IFERROR(LOOKUP(2,1/(('Match Log'!$D$4:$D$810=$X$24)*('Match Log'!$A$4:$A$810&lt;=$J213)),'Match Log'!$N$4:$N$810),NA()))</f>
        <v>#N/A</v>
      </c>
      <c r="Y213" t="str">
        <f t="shared" ca="1" si="33"/>
        <v/>
      </c>
    </row>
    <row r="214" spans="1:25" x14ac:dyDescent="0.2">
      <c r="A214">
        <v>190</v>
      </c>
      <c r="B214" t="str">
        <f>IFERROR(INDEX('Match Log'!$B$4:$B$810,MATCH(190,'Match Log'!$A$4:$A$810,0)),"")</f>
        <v/>
      </c>
      <c r="C214" t="str">
        <f>IFERROR(INDEX('Match Log'!$C$4:$C$810,MATCH(190,'Match Log'!$A$4:$A$810,0)),"")</f>
        <v/>
      </c>
      <c r="D214" t="str">
        <f t="array" ref="D214">IFERROR(_xlfn.TEXTJOIN(" + ",TRUE,IF(('Match Log'!$A$4:$A$810=$A214)*('Match Log'!$E$4:$E$810="Win"),'Match Log'!$D$4:$D$810,"")),IFERROR(LOOKUP(2,1/(('Match Log'!$A$4:$A$810=$A214)*('Match Log'!$E$4:$E$810="Win")),'Match Log'!$D$4:$D$810),""))</f>
        <v/>
      </c>
      <c r="E214" t="str">
        <f>IFERROR(INDEX('Match Log'!$F$4:$F$810,MATCH(190,'Match Log'!$A$4:$A$810,0)),"")</f>
        <v/>
      </c>
      <c r="F214">
        <f>IFERROR(SUMIFS('Match Log'!$I$4:$I$810,'Match Log'!$A$4:$A$810,190,'Match Log'!$E$4:$E$810,"Win"),"")</f>
        <v>0</v>
      </c>
      <c r="G214" t="str">
        <f t="shared" si="31"/>
        <v/>
      </c>
      <c r="H214" t="str">
        <f t="array" ref="H214">IFERROR(IF(COUNTIFS('Match Log'!$A$4:$A$810,$A214,'Match Log'!$E$4:$E$810,"Win")&gt;1,_xlfn.TEXTJOIN(" + ",TRUE,IF(('Match Log'!$A$4:$A$810=$A214)*('Match Log'!$E$4:$E$810="Loss"),'Match Log'!$D$4:$D$810,"")),IF($E214=2,LOOKUP(2,1/(('Match Log'!$A$4:$A$810=$A214)*('Match Log'!$E$4:$E$810="Loss")),'Match Log'!$D$4:$D$810),"the field")),"")</f>
        <v>the field</v>
      </c>
      <c r="I214" t="str">
        <f t="shared" si="32"/>
        <v/>
      </c>
      <c r="J214">
        <v>190</v>
      </c>
      <c r="K214" t="e">
        <f>IF($J214&gt;MAX('Match Log'!$A$4:$A$810),NA(),IFERROR(LOOKUP(2,1/(('Match Log'!$D$4:$D$810=$K$24)*('Match Log'!$A$4:$A$810&lt;=$J214)),'Match Log'!$N$4:$N$810),NA()))</f>
        <v>#N/A</v>
      </c>
      <c r="L214" t="e">
        <f>IF($J214&gt;MAX('Match Log'!$A$4:$A$810),NA(),IFERROR(LOOKUP(2,1/(('Match Log'!$D$4:$D$810=$L$24)*('Match Log'!$A$4:$A$810&lt;=$J214)),'Match Log'!$N$4:$N$810),NA()))</f>
        <v>#N/A</v>
      </c>
      <c r="M214" t="e">
        <f>IF($J214&gt;MAX('Match Log'!$A$4:$A$810),NA(),IFERROR(LOOKUP(2,1/(('Match Log'!$D$4:$D$810=$M$24)*('Match Log'!$A$4:$A$810&lt;=$J214)),'Match Log'!$N$4:$N$810),NA()))</f>
        <v>#N/A</v>
      </c>
      <c r="N214" t="e">
        <f>IF($J214&gt;MAX('Match Log'!$A$4:$A$810),NA(),IFERROR(LOOKUP(2,1/(('Match Log'!$D$4:$D$810=$N$24)*('Match Log'!$A$4:$A$810&lt;=$J214)),'Match Log'!$N$4:$N$810),NA()))</f>
        <v>#N/A</v>
      </c>
      <c r="O214" t="e">
        <f>IF($J214&gt;MAX('Match Log'!$A$4:$A$810),NA(),IFERROR(LOOKUP(2,1/(('Match Log'!$D$4:$D$810=$O$24)*('Match Log'!$A$4:$A$810&lt;=$J214)),'Match Log'!$N$4:$N$810),NA()))</f>
        <v>#N/A</v>
      </c>
      <c r="P214" t="e">
        <f>IF($J214&gt;MAX('Match Log'!$A$4:$A$810),NA(),IFERROR(LOOKUP(2,1/(('Match Log'!$D$4:$D$810=$P$24)*('Match Log'!$A$4:$A$810&lt;=$J214)),'Match Log'!$N$4:$N$810),NA()))</f>
        <v>#N/A</v>
      </c>
      <c r="Q214" t="e">
        <f>IF($J214&gt;MAX('Match Log'!$A$4:$A$810),NA(),IFERROR(LOOKUP(2,1/(('Match Log'!$D$4:$D$810=$Q$24)*('Match Log'!$A$4:$A$810&lt;=$J214)),'Match Log'!$N$4:$N$810),NA()))</f>
        <v>#N/A</v>
      </c>
      <c r="R214" t="e">
        <f>IF($J214&gt;MAX('Match Log'!$A$4:$A$810),NA(),IFERROR(LOOKUP(2,1/(('Match Log'!$D$4:$D$810=$R$24)*('Match Log'!$A$4:$A$810&lt;=$J214)),'Match Log'!$N$4:$N$810),NA()))</f>
        <v>#N/A</v>
      </c>
      <c r="S214" t="e">
        <f>IF($J214&gt;MAX('Match Log'!$A$4:$A$810),NA(),IFERROR(LOOKUP(2,1/(('Match Log'!$D$4:$D$810=$S$24)*('Match Log'!$A$4:$A$810&lt;=$J214)),'Match Log'!$N$4:$N$810),NA()))</f>
        <v>#N/A</v>
      </c>
      <c r="T214" t="e">
        <f>IF($J214&gt;MAX('Match Log'!$A$4:$A$810),NA(),IFERROR(LOOKUP(2,1/(('Match Log'!$D$4:$D$810=$T$24)*('Match Log'!$A$4:$A$810&lt;=$J214)),'Match Log'!$N$4:$N$810),NA()))</f>
        <v>#N/A</v>
      </c>
      <c r="U214" t="e">
        <f>IF($J214&gt;MAX('Match Log'!$A$4:$A$810),NA(),IFERROR(LOOKUP(2,1/(('Match Log'!$D$4:$D$810=$U$24)*('Match Log'!$A$4:$A$810&lt;=$J214)),'Match Log'!$N$4:$N$810),NA()))</f>
        <v>#N/A</v>
      </c>
      <c r="V214" t="e">
        <f>IF($J214&gt;MAX('Match Log'!$A$4:$A$810),NA(),IFERROR(LOOKUP(2,1/(('Match Log'!$D$4:$D$810=$V$24)*('Match Log'!$A$4:$A$810&lt;=$J214)),'Match Log'!$N$4:$N$810),NA()))</f>
        <v>#N/A</v>
      </c>
      <c r="W214" t="e">
        <f>IF($J214&gt;MAX('Match Log'!$A$4:$A$810),NA(),IFERROR(LOOKUP(2,1/(('Match Log'!$D$4:$D$810=$W$24)*('Match Log'!$A$4:$A$810&lt;=$J214)),'Match Log'!$N$4:$N$810),NA()))</f>
        <v>#N/A</v>
      </c>
      <c r="X214" t="e">
        <f>IF($J214&gt;MAX('Match Log'!$A$4:$A$810),NA(),IFERROR(LOOKUP(2,1/(('Match Log'!$D$4:$D$810=$X$24)*('Match Log'!$A$4:$A$810&lt;=$J214)),'Match Log'!$N$4:$N$810),NA()))</f>
        <v>#N/A</v>
      </c>
      <c r="Y214" t="str">
        <f t="shared" ca="1" si="33"/>
        <v/>
      </c>
    </row>
    <row r="215" spans="1:25" x14ac:dyDescent="0.2">
      <c r="A215">
        <v>191</v>
      </c>
      <c r="B215" t="str">
        <f>IFERROR(INDEX('Match Log'!$B$4:$B$810,MATCH(191,'Match Log'!$A$4:$A$810,0)),"")</f>
        <v/>
      </c>
      <c r="C215" t="str">
        <f>IFERROR(INDEX('Match Log'!$C$4:$C$810,MATCH(191,'Match Log'!$A$4:$A$810,0)),"")</f>
        <v/>
      </c>
      <c r="D215" t="str">
        <f t="array" ref="D215">IFERROR(_xlfn.TEXTJOIN(" + ",TRUE,IF(('Match Log'!$A$4:$A$810=$A215)*('Match Log'!$E$4:$E$810="Win"),'Match Log'!$D$4:$D$810,"")),IFERROR(LOOKUP(2,1/(('Match Log'!$A$4:$A$810=$A215)*('Match Log'!$E$4:$E$810="Win")),'Match Log'!$D$4:$D$810),""))</f>
        <v/>
      </c>
      <c r="E215" t="str">
        <f>IFERROR(INDEX('Match Log'!$F$4:$F$810,MATCH(191,'Match Log'!$A$4:$A$810,0)),"")</f>
        <v/>
      </c>
      <c r="F215">
        <f>IFERROR(SUMIFS('Match Log'!$I$4:$I$810,'Match Log'!$A$4:$A$810,191,'Match Log'!$E$4:$E$810,"Win"),"")</f>
        <v>0</v>
      </c>
      <c r="G215" t="str">
        <f t="shared" si="31"/>
        <v/>
      </c>
      <c r="H215" t="str">
        <f t="array" ref="H215">IFERROR(IF(COUNTIFS('Match Log'!$A$4:$A$810,$A215,'Match Log'!$E$4:$E$810,"Win")&gt;1,_xlfn.TEXTJOIN(" + ",TRUE,IF(('Match Log'!$A$4:$A$810=$A215)*('Match Log'!$E$4:$E$810="Loss"),'Match Log'!$D$4:$D$810,"")),IF($E215=2,LOOKUP(2,1/(('Match Log'!$A$4:$A$810=$A215)*('Match Log'!$E$4:$E$810="Loss")),'Match Log'!$D$4:$D$810),"the field")),"")</f>
        <v>the field</v>
      </c>
      <c r="I215" t="str">
        <f t="shared" si="32"/>
        <v/>
      </c>
      <c r="J215">
        <v>191</v>
      </c>
      <c r="K215" t="e">
        <f>IF($J215&gt;MAX('Match Log'!$A$4:$A$810),NA(),IFERROR(LOOKUP(2,1/(('Match Log'!$D$4:$D$810=$K$24)*('Match Log'!$A$4:$A$810&lt;=$J215)),'Match Log'!$N$4:$N$810),NA()))</f>
        <v>#N/A</v>
      </c>
      <c r="L215" t="e">
        <f>IF($J215&gt;MAX('Match Log'!$A$4:$A$810),NA(),IFERROR(LOOKUP(2,1/(('Match Log'!$D$4:$D$810=$L$24)*('Match Log'!$A$4:$A$810&lt;=$J215)),'Match Log'!$N$4:$N$810),NA()))</f>
        <v>#N/A</v>
      </c>
      <c r="M215" t="e">
        <f>IF($J215&gt;MAX('Match Log'!$A$4:$A$810),NA(),IFERROR(LOOKUP(2,1/(('Match Log'!$D$4:$D$810=$M$24)*('Match Log'!$A$4:$A$810&lt;=$J215)),'Match Log'!$N$4:$N$810),NA()))</f>
        <v>#N/A</v>
      </c>
      <c r="N215" t="e">
        <f>IF($J215&gt;MAX('Match Log'!$A$4:$A$810),NA(),IFERROR(LOOKUP(2,1/(('Match Log'!$D$4:$D$810=$N$24)*('Match Log'!$A$4:$A$810&lt;=$J215)),'Match Log'!$N$4:$N$810),NA()))</f>
        <v>#N/A</v>
      </c>
      <c r="O215" t="e">
        <f>IF($J215&gt;MAX('Match Log'!$A$4:$A$810),NA(),IFERROR(LOOKUP(2,1/(('Match Log'!$D$4:$D$810=$O$24)*('Match Log'!$A$4:$A$810&lt;=$J215)),'Match Log'!$N$4:$N$810),NA()))</f>
        <v>#N/A</v>
      </c>
      <c r="P215" t="e">
        <f>IF($J215&gt;MAX('Match Log'!$A$4:$A$810),NA(),IFERROR(LOOKUP(2,1/(('Match Log'!$D$4:$D$810=$P$24)*('Match Log'!$A$4:$A$810&lt;=$J215)),'Match Log'!$N$4:$N$810),NA()))</f>
        <v>#N/A</v>
      </c>
      <c r="Q215" t="e">
        <f>IF($J215&gt;MAX('Match Log'!$A$4:$A$810),NA(),IFERROR(LOOKUP(2,1/(('Match Log'!$D$4:$D$810=$Q$24)*('Match Log'!$A$4:$A$810&lt;=$J215)),'Match Log'!$N$4:$N$810),NA()))</f>
        <v>#N/A</v>
      </c>
      <c r="R215" t="e">
        <f>IF($J215&gt;MAX('Match Log'!$A$4:$A$810),NA(),IFERROR(LOOKUP(2,1/(('Match Log'!$D$4:$D$810=$R$24)*('Match Log'!$A$4:$A$810&lt;=$J215)),'Match Log'!$N$4:$N$810),NA()))</f>
        <v>#N/A</v>
      </c>
      <c r="S215" t="e">
        <f>IF($J215&gt;MAX('Match Log'!$A$4:$A$810),NA(),IFERROR(LOOKUP(2,1/(('Match Log'!$D$4:$D$810=$S$24)*('Match Log'!$A$4:$A$810&lt;=$J215)),'Match Log'!$N$4:$N$810),NA()))</f>
        <v>#N/A</v>
      </c>
      <c r="T215" t="e">
        <f>IF($J215&gt;MAX('Match Log'!$A$4:$A$810),NA(),IFERROR(LOOKUP(2,1/(('Match Log'!$D$4:$D$810=$T$24)*('Match Log'!$A$4:$A$810&lt;=$J215)),'Match Log'!$N$4:$N$810),NA()))</f>
        <v>#N/A</v>
      </c>
      <c r="U215" t="e">
        <f>IF($J215&gt;MAX('Match Log'!$A$4:$A$810),NA(),IFERROR(LOOKUP(2,1/(('Match Log'!$D$4:$D$810=$U$24)*('Match Log'!$A$4:$A$810&lt;=$J215)),'Match Log'!$N$4:$N$810),NA()))</f>
        <v>#N/A</v>
      </c>
      <c r="V215" t="e">
        <f>IF($J215&gt;MAX('Match Log'!$A$4:$A$810),NA(),IFERROR(LOOKUP(2,1/(('Match Log'!$D$4:$D$810=$V$24)*('Match Log'!$A$4:$A$810&lt;=$J215)),'Match Log'!$N$4:$N$810),NA()))</f>
        <v>#N/A</v>
      </c>
      <c r="W215" t="e">
        <f>IF($J215&gt;MAX('Match Log'!$A$4:$A$810),NA(),IFERROR(LOOKUP(2,1/(('Match Log'!$D$4:$D$810=$W$24)*('Match Log'!$A$4:$A$810&lt;=$J215)),'Match Log'!$N$4:$N$810),NA()))</f>
        <v>#N/A</v>
      </c>
      <c r="X215" t="e">
        <f>IF($J215&gt;MAX('Match Log'!$A$4:$A$810),NA(),IFERROR(LOOKUP(2,1/(('Match Log'!$D$4:$D$810=$X$24)*('Match Log'!$A$4:$A$810&lt;=$J215)),'Match Log'!$N$4:$N$810),NA()))</f>
        <v>#N/A</v>
      </c>
      <c r="Y215" t="str">
        <f t="shared" ca="1" si="33"/>
        <v/>
      </c>
    </row>
    <row r="216" spans="1:25" x14ac:dyDescent="0.2">
      <c r="A216">
        <v>192</v>
      </c>
      <c r="B216" t="str">
        <f>IFERROR(INDEX('Match Log'!$B$4:$B$810,MATCH(192,'Match Log'!$A$4:$A$810,0)),"")</f>
        <v/>
      </c>
      <c r="C216" t="str">
        <f>IFERROR(INDEX('Match Log'!$C$4:$C$810,MATCH(192,'Match Log'!$A$4:$A$810,0)),"")</f>
        <v/>
      </c>
      <c r="D216" t="str">
        <f t="array" ref="D216">IFERROR(_xlfn.TEXTJOIN(" + ",TRUE,IF(('Match Log'!$A$4:$A$810=$A216)*('Match Log'!$E$4:$E$810="Win"),'Match Log'!$D$4:$D$810,"")),IFERROR(LOOKUP(2,1/(('Match Log'!$A$4:$A$810=$A216)*('Match Log'!$E$4:$E$810="Win")),'Match Log'!$D$4:$D$810),""))</f>
        <v/>
      </c>
      <c r="E216" t="str">
        <f>IFERROR(INDEX('Match Log'!$F$4:$F$810,MATCH(192,'Match Log'!$A$4:$A$810,0)),"")</f>
        <v/>
      </c>
      <c r="F216">
        <f>IFERROR(SUMIFS('Match Log'!$I$4:$I$810,'Match Log'!$A$4:$A$810,192,'Match Log'!$E$4:$E$810,"Win"),"")</f>
        <v>0</v>
      </c>
      <c r="G216" t="str">
        <f t="shared" si="31"/>
        <v/>
      </c>
      <c r="H216" t="str">
        <f t="array" ref="H216">IFERROR(IF(COUNTIFS('Match Log'!$A$4:$A$810,$A216,'Match Log'!$E$4:$E$810,"Win")&gt;1,_xlfn.TEXTJOIN(" + ",TRUE,IF(('Match Log'!$A$4:$A$810=$A216)*('Match Log'!$E$4:$E$810="Loss"),'Match Log'!$D$4:$D$810,"")),IF($E216=2,LOOKUP(2,1/(('Match Log'!$A$4:$A$810=$A216)*('Match Log'!$E$4:$E$810="Loss")),'Match Log'!$D$4:$D$810),"the field")),"")</f>
        <v>the field</v>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 t="array" ref="D217">IFERROR(_xlfn.TEXTJOIN(" + ",TRUE,IF(('Match Log'!$A$4:$A$810=$A217)*('Match Log'!$E$4:$E$810="Win"),'Match Log'!$D$4:$D$810,"")),IFERROR(LOOKUP(2,1/(('Match Log'!$A$4:$A$810=$A217)*('Match Log'!$E$4:$E$810="Win")),'Match Log'!$D$4:$D$810),""))</f>
        <v/>
      </c>
      <c r="E217" t="str">
        <f>IFERROR(INDEX('Match Log'!$F$4:$F$810,MATCH(193,'Match Log'!$A$4:$A$810,0)),"")</f>
        <v/>
      </c>
      <c r="F217">
        <f>IFERROR(SUMIFS('Match Log'!$I$4:$I$810,'Match Log'!$A$4:$A$810,193,'Match Log'!$E$4:$E$810,"Win"),"")</f>
        <v>0</v>
      </c>
      <c r="G217" t="str">
        <f t="shared" si="31"/>
        <v/>
      </c>
      <c r="H217" t="str">
        <f t="array" ref="H217">IFERROR(IF(COUNTIFS('Match Log'!$A$4:$A$810,$A217,'Match Log'!$E$4:$E$810,"Win")&gt;1,_xlfn.TEXTJOIN(" + ",TRUE,IF(('Match Log'!$A$4:$A$810=$A217)*('Match Log'!$E$4:$E$810="Loss"),'Match Log'!$D$4:$D$810,"")),IF($E217=2,LOOKUP(2,1/(('Match Log'!$A$4:$A$810=$A217)*('Match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 t="array" ref="D218">IFERROR(_xlfn.TEXTJOIN(" + ",TRUE,IF(('Match Log'!$A$4:$A$810=$A218)*('Match Log'!$E$4:$E$810="Win"),'Match Log'!$D$4:$D$810,"")),IFERROR(LOOKUP(2,1/(('Match Log'!$A$4:$A$810=$A218)*('Match Log'!$E$4:$E$810="Win")),'Match Log'!$D$4:$D$810),""))</f>
        <v/>
      </c>
      <c r="E218" t="str">
        <f>IFERROR(INDEX('Match Log'!$F$4:$F$810,MATCH(194,'Match Log'!$A$4:$A$810,0)),"")</f>
        <v/>
      </c>
      <c r="F218">
        <f>IFERROR(SUMIFS('Match Log'!$I$4:$I$810,'Match Log'!$A$4:$A$810,194,'Match Log'!$E$4:$E$810,"Win"),"")</f>
        <v>0</v>
      </c>
      <c r="G218" t="str">
        <f t="shared" si="31"/>
        <v/>
      </c>
      <c r="H218" t="str">
        <f t="array" ref="H218">IFERROR(IF(COUNTIFS('Match Log'!$A$4:$A$810,$A218,'Match Log'!$E$4:$E$810,"Win")&gt;1,_xlfn.TEXTJOIN(" + ",TRUE,IF(('Match Log'!$A$4:$A$810=$A218)*('Match Log'!$E$4:$E$810="Loss"),'Match Log'!$D$4:$D$810,"")),IF($E218=2,LOOKUP(2,1/(('Match Log'!$A$4:$A$810=$A218)*('Match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 t="array" ref="D219">IFERROR(_xlfn.TEXTJOIN(" + ",TRUE,IF(('Match Log'!$A$4:$A$810=$A219)*('Match Log'!$E$4:$E$810="Win"),'Match Log'!$D$4:$D$810,"")),IFERROR(LOOKUP(2,1/(('Match Log'!$A$4:$A$810=$A219)*('Match Log'!$E$4:$E$810="Win")),'Match Log'!$D$4:$D$810),""))</f>
        <v/>
      </c>
      <c r="E219" t="str">
        <f>IFERROR(INDEX('Match Log'!$F$4:$F$810,MATCH(195,'Match Log'!$A$4:$A$810,0)),"")</f>
        <v/>
      </c>
      <c r="F219">
        <f>IFERROR(SUMIFS('Match Log'!$I$4:$I$810,'Match Log'!$A$4:$A$810,195,'Match Log'!$E$4:$E$810,"Win"),"")</f>
        <v>0</v>
      </c>
      <c r="G219" t="str">
        <f t="shared" si="31"/>
        <v/>
      </c>
      <c r="H219" t="str">
        <f t="array" ref="H219">IFERROR(IF(COUNTIFS('Match Log'!$A$4:$A$810,$A219,'Match Log'!$E$4:$E$810,"Win")&gt;1,_xlfn.TEXTJOIN(" + ",TRUE,IF(('Match Log'!$A$4:$A$810=$A219)*('Match Log'!$E$4:$E$810="Loss"),'Match Log'!$D$4:$D$810,"")),IF($E219=2,LOOKUP(2,1/(('Match Log'!$A$4:$A$810=$A219)*('Match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 t="array" ref="D220">IFERROR(_xlfn.TEXTJOIN(" + ",TRUE,IF(('Match Log'!$A$4:$A$810=$A220)*('Match Log'!$E$4:$E$810="Win"),'Match Log'!$D$4:$D$810,"")),IFERROR(LOOKUP(2,1/(('Match Log'!$A$4:$A$810=$A220)*('Match Log'!$E$4:$E$810="Win")),'Match Log'!$D$4:$D$810),""))</f>
        <v/>
      </c>
      <c r="E220" t="str">
        <f>IFERROR(INDEX('Match Log'!$F$4:$F$810,MATCH(196,'Match Log'!$A$4:$A$810,0)),"")</f>
        <v/>
      </c>
      <c r="F220">
        <f>IFERROR(SUMIFS('Match Log'!$I$4:$I$810,'Match Log'!$A$4:$A$810,196,'Match Log'!$E$4:$E$810,"Win"),"")</f>
        <v>0</v>
      </c>
      <c r="G220" t="str">
        <f t="shared" si="31"/>
        <v/>
      </c>
      <c r="H220" t="str">
        <f t="array" ref="H220">IFERROR(IF(COUNTIFS('Match Log'!$A$4:$A$810,$A220,'Match Log'!$E$4:$E$810,"Win")&gt;1,_xlfn.TEXTJOIN(" + ",TRUE,IF(('Match Log'!$A$4:$A$810=$A220)*('Match Log'!$E$4:$E$810="Loss"),'Match Log'!$D$4:$D$810,"")),IF($E220=2,LOOKUP(2,1/(('Match Log'!$A$4:$A$810=$A220)*('Match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 t="array" ref="D221">IFERROR(_xlfn.TEXTJOIN(" + ",TRUE,IF(('Match Log'!$A$4:$A$810=$A221)*('Match Log'!$E$4:$E$810="Win"),'Match Log'!$D$4:$D$810,"")),IFERROR(LOOKUP(2,1/(('Match Log'!$A$4:$A$810=$A221)*('Match Log'!$E$4:$E$810="Win")),'Match Log'!$D$4:$D$810),""))</f>
        <v/>
      </c>
      <c r="E221" t="str">
        <f>IFERROR(INDEX('Match Log'!$F$4:$F$810,MATCH(197,'Match Log'!$A$4:$A$810,0)),"")</f>
        <v/>
      </c>
      <c r="F221">
        <f>IFERROR(SUMIFS('Match Log'!$I$4:$I$810,'Match Log'!$A$4:$A$810,197,'Match Log'!$E$4:$E$810,"Win"),"")</f>
        <v>0</v>
      </c>
      <c r="G221" t="str">
        <f t="shared" si="31"/>
        <v/>
      </c>
      <c r="H221" t="str">
        <f t="array" ref="H221">IFERROR(IF(COUNTIFS('Match Log'!$A$4:$A$810,$A221,'Match Log'!$E$4:$E$810,"Win")&gt;1,_xlfn.TEXTJOIN(" + ",TRUE,IF(('Match Log'!$A$4:$A$810=$A221)*('Match Log'!$E$4:$E$810="Loss"),'Match Log'!$D$4:$D$810,"")),IF($E221=2,LOOKUP(2,1/(('Match Log'!$A$4:$A$810=$A221)*('Match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 t="array" ref="D222">IFERROR(_xlfn.TEXTJOIN(" + ",TRUE,IF(('Match Log'!$A$4:$A$810=$A222)*('Match Log'!$E$4:$E$810="Win"),'Match Log'!$D$4:$D$810,"")),IFERROR(LOOKUP(2,1/(('Match Log'!$A$4:$A$810=$A222)*('Match Log'!$E$4:$E$810="Win")),'Match Log'!$D$4:$D$810),""))</f>
        <v/>
      </c>
      <c r="E222" t="str">
        <f>IFERROR(INDEX('Match Log'!$F$4:$F$810,MATCH(198,'Match Log'!$A$4:$A$810,0)),"")</f>
        <v/>
      </c>
      <c r="F222">
        <f>IFERROR(SUMIFS('Match Log'!$I$4:$I$810,'Match Log'!$A$4:$A$810,198,'Match Log'!$E$4:$E$810,"Win"),"")</f>
        <v>0</v>
      </c>
      <c r="G222" t="str">
        <f t="shared" si="31"/>
        <v/>
      </c>
      <c r="H222" t="str">
        <f t="array" ref="H222">IFERROR(IF(COUNTIFS('Match Log'!$A$4:$A$810,$A222,'Match Log'!$E$4:$E$810,"Win")&gt;1,_xlfn.TEXTJOIN(" + ",TRUE,IF(('Match Log'!$A$4:$A$810=$A222)*('Match Log'!$E$4:$E$810="Loss"),'Match Log'!$D$4:$D$810,"")),IF($E222=2,LOOKUP(2,1/(('Match Log'!$A$4:$A$810=$A222)*('Match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 t="array" ref="D223">IFERROR(_xlfn.TEXTJOIN(" + ",TRUE,IF(('Match Log'!$A$4:$A$810=$A223)*('Match Log'!$E$4:$E$810="Win"),'Match Log'!$D$4:$D$810,"")),IFERROR(LOOKUP(2,1/(('Match Log'!$A$4:$A$810=$A223)*('Match Log'!$E$4:$E$810="Win")),'Match Log'!$D$4:$D$810),""))</f>
        <v/>
      </c>
      <c r="E223" t="str">
        <f>IFERROR(INDEX('Match Log'!$F$4:$F$810,MATCH(199,'Match Log'!$A$4:$A$810,0)),"")</f>
        <v/>
      </c>
      <c r="F223">
        <f>IFERROR(SUMIFS('Match Log'!$I$4:$I$810,'Match Log'!$A$4:$A$810,199,'Match Log'!$E$4:$E$810,"Win"),"")</f>
        <v>0</v>
      </c>
      <c r="G223" t="str">
        <f t="shared" si="31"/>
        <v/>
      </c>
      <c r="H223" t="str">
        <f t="array" ref="H223">IFERROR(IF(COUNTIFS('Match Log'!$A$4:$A$810,$A223,'Match Log'!$E$4:$E$810,"Win")&gt;1,_xlfn.TEXTJOIN(" + ",TRUE,IF(('Match Log'!$A$4:$A$810=$A223)*('Match Log'!$E$4:$E$810="Loss"),'Match Log'!$D$4:$D$810,"")),IF($E223=2,LOOKUP(2,1/(('Match Log'!$A$4:$A$810=$A223)*('Match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1107.5369206684595</v>
      </c>
      <c r="C2">
        <f>IFERROR(SUMPRODUCT(INDEX('Head-to-Head'!$B$22:$O$35,1,0),$D$2:$Q$2)/SUM(INDEX('Head-to-Head'!$B$22:$O$35,1,0)),"")</f>
        <v>1034.5118064997557</v>
      </c>
      <c r="D2">
        <f>$B$2</f>
        <v>1107.5369206684595</v>
      </c>
      <c r="E2">
        <f>$B$3</f>
        <v>1029.2201908859522</v>
      </c>
      <c r="F2">
        <f>$B$4</f>
        <v>1016.7837867075796</v>
      </c>
      <c r="G2">
        <f>$B$5</f>
        <v>981.92436608474441</v>
      </c>
      <c r="H2">
        <f>$B$6</f>
        <v>1129.7012289075892</v>
      </c>
      <c r="I2">
        <f>$B$7</f>
        <v>1021.558407295008</v>
      </c>
      <c r="J2">
        <f>$B$8</f>
        <v>1084.8903813508514</v>
      </c>
      <c r="K2">
        <f>$B$9</f>
        <v>1050.8634549674414</v>
      </c>
      <c r="L2">
        <f>$B$10</f>
        <v>1168.2113436007442</v>
      </c>
      <c r="M2">
        <f>$B$11</f>
        <v>893.03675187725173</v>
      </c>
      <c r="N2">
        <f>$B$12</f>
        <v>1058.6657209484931</v>
      </c>
      <c r="O2">
        <f>$B$13</f>
        <v>1031.225848367051</v>
      </c>
      <c r="P2">
        <f>$B$14</f>
        <v>1030.3815983388336</v>
      </c>
      <c r="Q2">
        <f>$B$15</f>
        <v>1000</v>
      </c>
    </row>
    <row r="3" spans="1:17" ht="15" customHeight="1" x14ac:dyDescent="0.2">
      <c r="A3" t="s">
        <v>135</v>
      </c>
      <c r="B3">
        <f>IF(COUNTIF('Match Log'!$D$4:$D$810,$A3)=0,'Guide &amp; Settings'!$C$41,IFERROR(LOOKUP(2,1/('Match Log'!$D$4:$D$810=$A3),'Match Log'!$N$4:$N$810),'Guide &amp; Settings'!$C$41))</f>
        <v>1029.2201908859522</v>
      </c>
      <c r="C3">
        <f>IFERROR(SUMPRODUCT(INDEX('Head-to-Head'!$B$22:$O$35,2,0),$D$2:$Q$2)/SUM(INDEX('Head-to-Head'!$B$22:$O$35,2,0)),"")</f>
        <v>1061.9888793259895</v>
      </c>
    </row>
    <row r="4" spans="1:17" ht="15" customHeight="1" x14ac:dyDescent="0.2">
      <c r="A4" t="s">
        <v>173</v>
      </c>
      <c r="B4">
        <f>IF(COUNTIF('Match Log'!$D$4:$D$810,$A4)=0,'Guide &amp; Settings'!$C$41,IFERROR(LOOKUP(2,1/('Match Log'!$D$4:$D$810=$A4),'Match Log'!$N$4:$N$810),'Guide &amp; Settings'!$C$41))</f>
        <v>1016.7837867075796</v>
      </c>
      <c r="C4">
        <f>IFERROR(SUMPRODUCT(INDEX('Head-to-Head'!$B$22:$O$35,3,0),$D$2:$Q$2)/SUM(INDEX('Head-to-Head'!$B$22:$O$35,3,0)),"")</f>
        <v>1057.537237185235</v>
      </c>
    </row>
    <row r="5" spans="1:17" ht="15" customHeight="1" x14ac:dyDescent="0.2">
      <c r="A5" t="s">
        <v>140</v>
      </c>
      <c r="B5">
        <f>IF(COUNTIF('Match Log'!$D$4:$D$810,$A5)=0,'Guide &amp; Settings'!$C$41,IFERROR(LOOKUP(2,1/('Match Log'!$D$4:$D$810=$A5),'Match Log'!$N$4:$N$810),'Guide &amp; Settings'!$C$41))</f>
        <v>981.92436608474441</v>
      </c>
      <c r="C5">
        <f>IFERROR(SUMPRODUCT(INDEX('Head-to-Head'!$B$22:$O$35,4,0),$D$2:$Q$2)/SUM(INDEX('Head-to-Head'!$B$22:$O$35,4,0)),"")</f>
        <v>1073.7380222792842</v>
      </c>
    </row>
    <row r="6" spans="1:17" ht="15" customHeight="1" x14ac:dyDescent="0.2">
      <c r="A6" t="s">
        <v>137</v>
      </c>
      <c r="B6">
        <f>IF(COUNTIF('Match Log'!$D$4:$D$810,$A6)=0,'Guide &amp; Settings'!$C$41,IFERROR(LOOKUP(2,1/('Match Log'!$D$4:$D$810=$A6),'Match Log'!$N$4:$N$810),'Guide &amp; Settings'!$C$41))</f>
        <v>1129.7012289075892</v>
      </c>
      <c r="C6">
        <f>IFERROR(SUMPRODUCT(INDEX('Head-to-Head'!$B$22:$O$35,5,0),$D$2:$Q$2)/SUM(INDEX('Head-to-Head'!$B$22:$O$35,5,0)),"")</f>
        <v>1040.8228664166516</v>
      </c>
    </row>
    <row r="7" spans="1:17" ht="15" customHeight="1" x14ac:dyDescent="0.2">
      <c r="A7" t="s">
        <v>134</v>
      </c>
      <c r="B7">
        <f>IF(COUNTIF('Match Log'!$D$4:$D$810,$A7)=0,'Guide &amp; Settings'!$C$41,IFERROR(LOOKUP(2,1/('Match Log'!$D$4:$D$810=$A7),'Match Log'!$N$4:$N$810),'Guide &amp; Settings'!$C$41))</f>
        <v>1021.558407295008</v>
      </c>
      <c r="C7">
        <f>IFERROR(SUMPRODUCT(INDEX('Head-to-Head'!$B$22:$O$35,6,0),$D$2:$Q$2)/SUM(INDEX('Head-to-Head'!$B$22:$O$35,6,0)),"")</f>
        <v>1079.2971490225038</v>
      </c>
    </row>
    <row r="8" spans="1:17" ht="15" customHeight="1" x14ac:dyDescent="0.2">
      <c r="A8" t="s">
        <v>168</v>
      </c>
      <c r="B8">
        <f>IF(COUNTIF('Match Log'!$D$4:$D$810,$A8)=0,'Guide &amp; Settings'!$C$41,IFERROR(LOOKUP(2,1/('Match Log'!$D$4:$D$810=$A8),'Match Log'!$N$4:$N$810),'Guide &amp; Settings'!$C$41))</f>
        <v>1084.8903813508514</v>
      </c>
      <c r="C8">
        <f>IFERROR(SUMPRODUCT(INDEX('Head-to-Head'!$B$22:$O$35,7,0),$D$2:$Q$2)/SUM(INDEX('Head-to-Head'!$B$22:$O$35,7,0)),"")</f>
        <v>1053.519533678787</v>
      </c>
    </row>
    <row r="9" spans="1:17" ht="15" customHeight="1" x14ac:dyDescent="0.2">
      <c r="A9" t="s">
        <v>170</v>
      </c>
      <c r="B9">
        <f>IF(COUNTIF('Match Log'!$D$4:$D$810,$A9)=0,'Guide &amp; Settings'!$C$41,IFERROR(LOOKUP(2,1/('Match Log'!$D$4:$D$810=$A9),'Match Log'!$N$4:$N$810),'Guide &amp; Settings'!$C$41))</f>
        <v>1050.8634549674414</v>
      </c>
      <c r="C9">
        <f>IFERROR(SUMPRODUCT(INDEX('Head-to-Head'!$B$22:$O$35,8,0),$D$2:$Q$2)/SUM(INDEX('Head-to-Head'!$B$22:$O$35,8,0)),"")</f>
        <v>1066.7017859970554</v>
      </c>
    </row>
    <row r="10" spans="1:17" ht="15" customHeight="1" x14ac:dyDescent="0.2">
      <c r="A10" t="s">
        <v>167</v>
      </c>
      <c r="B10">
        <f>IF(COUNTIF('Match Log'!$D$4:$D$810,$A10)=0,'Guide &amp; Settings'!$C$41,IFERROR(LOOKUP(2,1/('Match Log'!$D$4:$D$810=$A10),'Match Log'!$N$4:$N$810),'Guide &amp; Settings'!$C$41))</f>
        <v>1168.2113436007442</v>
      </c>
      <c r="C10">
        <f>IFERROR(SUMPRODUCT(INDEX('Head-to-Head'!$B$22:$O$35,9,0),$D$2:$Q$2)/SUM(INDEX('Head-to-Head'!$B$22:$O$35,9,0)),"")</f>
        <v>1052.5762893009789</v>
      </c>
    </row>
    <row r="11" spans="1:17" ht="15" customHeight="1" x14ac:dyDescent="0.2">
      <c r="A11" t="s">
        <v>175</v>
      </c>
      <c r="B11">
        <f>IF(COUNTIF('Match Log'!$D$4:$D$810,$A11)=0,'Guide &amp; Settings'!$C$41,IFERROR(LOOKUP(2,1/('Match Log'!$D$4:$D$810=$A11),'Match Log'!$N$4:$N$810),'Guide &amp; Settings'!$C$41))</f>
        <v>893.03675187725173</v>
      </c>
      <c r="C11">
        <f>IFERROR(SUMPRODUCT(INDEX('Head-to-Head'!$B$22:$O$35,10,0),$D$2:$Q$2)/SUM(INDEX('Head-to-Head'!$B$22:$O$35,10,0)),"")</f>
        <v>1081.0307811604919</v>
      </c>
    </row>
    <row r="12" spans="1:17" ht="15" customHeight="1" x14ac:dyDescent="0.2">
      <c r="A12" t="s">
        <v>169</v>
      </c>
      <c r="B12">
        <f>IF(COUNTIF('Match Log'!$D$4:$D$810,$A12)=0,'Guide &amp; Settings'!$C$41,IFERROR(LOOKUP(2,1/('Match Log'!$D$4:$D$810=$A12),'Match Log'!$N$4:$N$810),'Guide &amp; Settings'!$C$41))</f>
        <v>1058.6657209484931</v>
      </c>
      <c r="C12">
        <f>IFERROR(SUMPRODUCT(INDEX('Head-to-Head'!$B$22:$O$35,11,0),$D$2:$Q$2)/SUM(INDEX('Head-to-Head'!$B$22:$O$35,11,0)),"")</f>
        <v>1060.0060557014265</v>
      </c>
    </row>
    <row r="13" spans="1:17" ht="15" customHeight="1" x14ac:dyDescent="0.2">
      <c r="A13" t="s">
        <v>171</v>
      </c>
      <c r="B13">
        <f>IF(COUNTIF('Match Log'!$D$4:$D$810,$A13)=0,'Guide &amp; Settings'!$C$41,IFERROR(LOOKUP(2,1/('Match Log'!$D$4:$D$810=$A13),'Match Log'!$N$4:$N$810),'Guide &amp; Settings'!$C$41))</f>
        <v>1031.225848367051</v>
      </c>
      <c r="C13">
        <f>IFERROR(SUMPRODUCT(INDEX('Head-to-Head'!$B$22:$O$35,12,0),$D$2:$Q$2)/SUM(INDEX('Head-to-Head'!$B$22:$O$35,12,0)),"")</f>
        <v>1051.9562851744297</v>
      </c>
    </row>
    <row r="14" spans="1:17" ht="15" customHeight="1" x14ac:dyDescent="0.2">
      <c r="A14" t="s">
        <v>172</v>
      </c>
      <c r="B14">
        <f>IF(COUNTIF('Match Log'!$D$4:$D$810,$A14)=0,'Guide &amp; Settings'!$C$41,IFERROR(LOOKUP(2,1/('Match Log'!$D$4:$D$810=$A14),'Match Log'!$N$4:$N$810),'Guide &amp; Settings'!$C$41))</f>
        <v>1030.3815983388336</v>
      </c>
      <c r="C14">
        <f>IFERROR(SUMPRODUCT(INDEX('Head-to-Head'!$B$22:$O$35,13,0),$D$2:$Q$2)/SUM(INDEX('Head-to-Head'!$B$22:$O$35,13,0)),"")</f>
        <v>1064.5272835761066</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1"/>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2026-07-10T11:52:12Z</dcterms:modified>
  <dc:language>en-US</dc:language>
</cp:coreProperties>
</file>